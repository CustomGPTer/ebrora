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Lift Plan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'Lift Plan'!$A$1:$F$52</definedName>
    <definedName function="false" hidden="false" name="LiftPlan" vbProcedure="false">'Lift Plan'!$A$1:$F$52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<sst xmlns="http://schemas.openxmlformats.org/spreadsheetml/2006/main" count="188" uniqueCount="156">
  <si>
    <t xml:space="preserve">EBRORA</t>
  </si>
  <si>
    <t xml:space="preserve">ebrora.com</t>
  </si>
  <si>
    <t xml:space="preserve">Crane Lift Plan
Summary Sheet</t>
  </si>
  <si>
    <t xml:space="preserve">A per-lift record sheet covering crane specification, load details, rigging arrangement, and pre-lift safety checks — supporting compliance with BS 7121 and LOLER 1998.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</si>
  <si>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</si>
  <si>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</si>
  <si>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</si>
  <si>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</si>
  <si>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</si>
  <si>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This form is completed once per planned lift. Save a copy for each lift (e.g. 'Lift Plan LP-001 Steel Column A1.xlsx').</t>
  </si>
  <si>
    <t xml:space="preserve">2.</t>
  </si>
  <si>
    <t xml:space="preserve">Fill in Section 1 (Lift Identity) with the lift reference, date, and project details.</t>
  </si>
  <si>
    <t xml:space="preserve">3.</t>
  </si>
  <si>
    <t xml:space="preserve">Complete Section 2 (Crane Details) with the crane type, capacity, and configuration for this specific lift.</t>
  </si>
  <si>
    <t xml:space="preserve">4.</t>
  </si>
  <si>
    <t xml:space="preserve">In Section 3 (Load Details), enter the item being lifted, its total weight, dimensions, and centre of gravity position.</t>
  </si>
  <si>
    <t xml:space="preserve">5.</t>
  </si>
  <si>
    <t xml:space="preserve">Section 4 (Rigging Arrangement) records the slings, shackles, and lifting accessories. Enter SWL and condition for each.</t>
  </si>
  <si>
    <t xml:space="preserve">6.</t>
  </si>
  <si>
    <t xml:space="preserve">Work through Section 5 (Pre-Lift Checklist) and mark each item Pass or Fail. All items must be Pass before the lift proceeds.</t>
  </si>
  <si>
    <t xml:space="preserve">7.</t>
  </si>
  <si>
    <t xml:space="preserve">Section 6 is the Authorisation sign-off. The Appointed Person, Crane Supervisor, and Slinger/Signaller must all sign.</t>
  </si>
  <si>
    <t xml:space="preserve">Colour Key</t>
  </si>
  <si>
    <t xml:space="preserve">Light teal cells — Editable input fields.</t>
  </si>
  <si>
    <t xml:space="preserve">Teal section headers — Section dividers.</t>
  </si>
  <si>
    <t xml:space="preserve">Green — Pre-lift check is 'Pass'.</t>
  </si>
  <si>
    <t xml:space="preserve">Red — Pre-lift check is 'Fail'. Lift must NOT proceed.</t>
  </si>
  <si>
    <t xml:space="preserve">Tips</t>
  </si>
  <si>
    <t xml:space="preserve">Tip 1:</t>
  </si>
  <si>
    <t xml:space="preserve">Under LOLER 1998, every lift must be planned by a competent person. This form provides the documented evidence that planning took place — keep it in the lifting file.</t>
  </si>
  <si>
    <t xml:space="preserve">Tip 2:</t>
  </si>
  <si>
    <t xml:space="preserve">The Duty Chart / Load Chart radius and SWL must be checked against the actual lift configuration. If in doubt, get the crane supplier to confirm in writing.</t>
  </si>
  <si>
    <t xml:space="preserve">Tip 3:</t>
  </si>
  <si>
    <t xml:space="preserve">For tandem lifts (two cranes), complete a separate form for each crane and cross-reference them. Tandem lifts require a specific method statement beyond this summary.</t>
  </si>
  <si>
    <t xml:space="preserve">CRANE LIFT PLAN — SUMMARY SHEET</t>
  </si>
  <si>
    <t xml:space="preserve">In accordance with LOLER 1998, BS 7121, and CDM 2015</t>
  </si>
  <si>
    <t xml:space="preserve">1. LIFT IDENTITY</t>
  </si>
  <si>
    <t xml:space="preserve">Lift Plan Ref:</t>
  </si>
  <si>
    <t xml:space="preserve">LP-2026-014</t>
  </si>
  <si>
    <t xml:space="preserve">Date of Lift:</t>
  </si>
  <si>
    <t xml:space="preserve">Time:</t>
  </si>
  <si>
    <t xml:space="preserve">Project:</t>
  </si>
  <si>
    <t xml:space="preserve">Riverside Gateway Phase 2</t>
  </si>
  <si>
    <t xml:space="preserve">Location:</t>
  </si>
  <si>
    <t xml:space="preserve">Grid B3 — Level 2</t>
  </si>
  <si>
    <t xml:space="preserve">Appointed Person:</t>
  </si>
  <si>
    <t xml:space="preserve">K. Davies</t>
  </si>
  <si>
    <t xml:space="preserve">Crane Supervisor:</t>
  </si>
  <si>
    <t xml:space="preserve">Lift Category:</t>
  </si>
  <si>
    <t xml:space="preserve">Standard</t>
  </si>
  <si>
    <t xml:space="preserve">2. CRANE DETAILS</t>
  </si>
  <si>
    <t xml:space="preserve">Crane Type:</t>
  </si>
  <si>
    <t xml:space="preserve">Tower Crane</t>
  </si>
  <si>
    <t xml:space="preserve">Make / Model:</t>
  </si>
  <si>
    <t xml:space="preserve">Liebherr 172 EC-B 8</t>
  </si>
  <si>
    <t xml:space="preserve">Fleet / ID No.:</t>
  </si>
  <si>
    <t xml:space="preserve">TC-001</t>
  </si>
  <si>
    <t xml:space="preserve">Max SWL (tonnes):</t>
  </si>
  <si>
    <t xml:space="preserve">8.0</t>
  </si>
  <si>
    <t xml:space="preserve">SWL at Radius:</t>
  </si>
  <si>
    <t xml:space="preserve">3.2t @ 45m</t>
  </si>
  <si>
    <t xml:space="preserve">Max Radius (m):</t>
  </si>
  <si>
    <t xml:space="preserve">55</t>
  </si>
  <si>
    <t xml:space="preserve">Hook Height (m):</t>
  </si>
  <si>
    <t xml:space="preserve">42</t>
  </si>
  <si>
    <t xml:space="preserve">Jib Length (m):</t>
  </si>
  <si>
    <t xml:space="preserve">Counterweight:</t>
  </si>
  <si>
    <t xml:space="preserve">Standard config</t>
  </si>
  <si>
    <t xml:space="preserve">Last Inspection:</t>
  </si>
  <si>
    <t xml:space="preserve">Next Thorough Exam:</t>
  </si>
  <si>
    <t xml:space="preserve">Cert. No.:</t>
  </si>
  <si>
    <t xml:space="preserve">LOLER-TC001-2026</t>
  </si>
  <si>
    <t xml:space="preserve">3. LOAD DETAILS</t>
  </si>
  <si>
    <t xml:space="preserve">Description:</t>
  </si>
  <si>
    <t xml:space="preserve">Universal steel column UC 305x305x118 — 12m length</t>
  </si>
  <si>
    <t xml:space="preserve">Drawing Ref:</t>
  </si>
  <si>
    <t xml:space="preserve">S-201 Rev C</t>
  </si>
  <si>
    <t xml:space="preserve">Total Weight (kg):</t>
  </si>
  <si>
    <t xml:space="preserve">1,416</t>
  </si>
  <si>
    <t xml:space="preserve">Rigging Weight (kg):</t>
  </si>
  <si>
    <t xml:space="preserve">85</t>
  </si>
  <si>
    <t xml:space="preserve">Total Lift (kg):</t>
  </si>
  <si>
    <t xml:space="preserve">Dimensions (LxWxH):</t>
  </si>
  <si>
    <t xml:space="preserve">12.0m x 0.31m x 0.31m</t>
  </si>
  <si>
    <t xml:space="preserve">C of G Position:</t>
  </si>
  <si>
    <t xml:space="preserve">Centre — uniform section</t>
  </si>
  <si>
    <t xml:space="preserve">Wind Limit:</t>
  </si>
  <si>
    <t xml:space="preserve">38 mph max</t>
  </si>
  <si>
    <t xml:space="preserve">Lift Radius (m):</t>
  </si>
  <si>
    <t xml:space="preserve">32</t>
  </si>
  <si>
    <t xml:space="preserve">% of SWL:</t>
  </si>
  <si>
    <t xml:space="preserve">Within Capacity:</t>
  </si>
  <si>
    <t xml:space="preserve">Yes</t>
  </si>
  <si>
    <t xml:space="preserve">4. RIGGING ARRANGEMENT</t>
  </si>
  <si>
    <t xml:space="preserve">Item</t>
  </si>
  <si>
    <t xml:space="preserve">Description</t>
  </si>
  <si>
    <t xml:space="preserve">SWL (tonnes)</t>
  </si>
  <si>
    <t xml:space="preserve">Cert No.</t>
  </si>
  <si>
    <t xml:space="preserve">Condition</t>
  </si>
  <si>
    <t xml:space="preserve">Inspected By</t>
  </si>
  <si>
    <t xml:space="preserve">Sling 1</t>
  </si>
  <si>
    <t xml:space="preserve">2-leg chain sling, 3m legs, 60° incl.</t>
  </si>
  <si>
    <t xml:space="preserve">3.2</t>
  </si>
  <si>
    <t xml:space="preserve">CS-2024-0891</t>
  </si>
  <si>
    <t xml:space="preserve">Good</t>
  </si>
  <si>
    <t xml:space="preserve">Sling 2</t>
  </si>
  <si>
    <t xml:space="preserve">CS-2024-0892</t>
  </si>
  <si>
    <t xml:space="preserve">Shackle 1</t>
  </si>
  <si>
    <t xml:space="preserve">Bow shackle 4.75t WLL</t>
  </si>
  <si>
    <t xml:space="preserve">4.75</t>
  </si>
  <si>
    <t xml:space="preserve">SH-2025-1104</t>
  </si>
  <si>
    <t xml:space="preserve">Shackle 2</t>
  </si>
  <si>
    <t xml:space="preserve">SH-2025-1105</t>
  </si>
  <si>
    <t xml:space="preserve">Tag line</t>
  </si>
  <si>
    <t xml:space="preserve">10m polypropylene tag line</t>
  </si>
  <si>
    <t xml:space="preserve">N/A</t>
  </si>
  <si>
    <t xml:space="preserve">Slinger</t>
  </si>
  <si>
    <t xml:space="preserve">5. PRE-LIFT SAFETY CHECKLIST</t>
  </si>
  <si>
    <t xml:space="preserve">Check Item</t>
  </si>
  <si>
    <t xml:space="preserve">Result</t>
  </si>
  <si>
    <t xml:space="preserve">Notes</t>
  </si>
  <si>
    <t xml:space="preserve">Lift plan reviewed and understood by all personnel</t>
  </si>
  <si>
    <t xml:space="preserve">Pass</t>
  </si>
  <si>
    <t xml:space="preserve">Exclusion zone established and barriered</t>
  </si>
  <si>
    <t xml:space="preserve">Banksman / signaller in position with clear sight lines</t>
  </si>
  <si>
    <t xml:space="preserve">Wind speed checked and within limits</t>
  </si>
  <si>
    <t xml:space="preserve">Measured 22mph at 08:15 — within 38mph limit</t>
  </si>
  <si>
    <t xml:space="preserve">Crane on firm, level ground / outriggers fully extended</t>
  </si>
  <si>
    <t xml:space="preserve">Lifting accessories inspected and within certification</t>
  </si>
  <si>
    <t xml:space="preserve">Load weight confirmed (weighed or from manufacturer data)</t>
  </si>
  <si>
    <t xml:space="preserve">Sling angles checked — no leg exceeds 60° from vertical</t>
  </si>
  <si>
    <t xml:space="preserve">Tag lines attached and manned</t>
  </si>
  <si>
    <t xml:space="preserve">No persons under suspended load confirmed</t>
  </si>
  <si>
    <t xml:space="preserve">Communications checked (radio / hand signals agreed)</t>
  </si>
  <si>
    <t xml:space="preserve">Overhead obstructions / power lines checked</t>
  </si>
  <si>
    <t xml:space="preserve">ALL CHECKS PASS:</t>
  </si>
  <si>
    <t xml:space="preserve">6. AUTHORISATION — LIFT APPROVED TO PROCEED</t>
  </si>
  <si>
    <t xml:space="preserve">Signature:</t>
  </si>
  <si>
    <t xml:space="preserve">Date/Time:</t>
  </si>
  <si>
    <t xml:space="preserve">Slinger/Signaller:</t>
  </si>
  <si>
    <t xml:space="preserve">M. Briggs</t>
  </si>
  <si>
    <t xml:space="preserve">CPCS Card No.:</t>
  </si>
  <si>
    <t xml:space="preserve">CPCS-SL-44821</t>
  </si>
  <si>
    <t xml:space="preserve">Crane Operator:</t>
  </si>
  <si>
    <t xml:space="preserve">CPCS-TC-31205</t>
  </si>
  <si>
    <t xml:space="preserve">IF ANY PRE-LIFT CHECK FAILS, THE LIFT MUST NOT PROCEED UNTIL THE ISSUE IS RESOLVED AND RE-CHECKED.</t>
  </si>
  <si>
    <t xml:space="preserve">ebrora.com — Free professional construction management templates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</si>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</sst>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hh:mm"/>
    <numFmt numFmtId="167" formatCode="#,##0"/>
    <numFmt numFmtId="168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B2A4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b val="true"/>
      <sz val="9"/>
      <color rgb="FFCC00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FF0F0"/>
      </patternFill>
    </fill>
    <fill>
      <patternFill patternType="solid">
        <fgColor rgb="FFE8F6F7"/>
        <bgColor rgb="FFF2F2F2"/>
      </patternFill>
    </fill>
    <fill>
      <patternFill patternType="solid">
        <fgColor rgb="FF2AABB3"/>
        <bgColor rgb="FF339966"/>
      </patternFill>
    </fill>
    <fill>
      <patternFill patternType="solid">
        <fgColor rgb="FFF2F2F2"/>
        <bgColor rgb="FFE8F6F7"/>
      </patternFill>
    </fill>
    <fill>
      <patternFill patternType="solid">
        <fgColor rgb="FFFFF0F0"/>
        <bgColor rgb="FFF2F2F2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/>
      <right/>
      <top/>
      <bottom style="thin">
        <color rgb="FF2AABB3"/>
      </bottom>
      <diagonal/>
    </border>
    <border diagonalUp="false" diagonalDown="false">
      <left/>
      <right/>
      <top/>
      <bottom style="thin">
        <color rgb="FF1B2A4A"/>
      </bottom>
      <diagonal/>
    </border>
    <border diagonalUp="false" diagonalDown="false">
      <left/>
      <right style="hair">
        <color rgb="FF8C8C8C"/>
      </right>
      <top/>
      <bottom style="hair">
        <color rgb="FF8C8C8C"/>
      </bottom>
      <diagonal/>
    </border>
    <border diagonalUp="false" diagonalDown="false">
      <left/>
      <right/>
      <top/>
      <bottom style="hair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0F0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6"/>
  </cols>
  <sheetData>
    <row r="1" customFormat="false" ht="18.65" hidden="false" customHeight="tru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/>
      <c r="B3" s="10"/>
      <c r="C3" s="10"/>
      <c r="D3" s="10"/>
      <c r="E3" s="10"/>
      <c r="F3" s="10"/>
    </row>
    <row r="4" customFormat="false" ht="15" hidden="false" customHeight="true" outlineLevel="0" collapsed="false">
      <c r="A4" s="11" t="s">
        <v>7</v>
      </c>
      <c r="B4" s="11"/>
      <c r="C4" s="11"/>
      <c r="D4" s="11"/>
      <c r="E4" s="11"/>
      <c r="F4" s="11"/>
    </row>
    <row r="5" customFormat="false" ht="23.85" hidden="false" customHeight="true" outlineLevel="0" collapsed="false">
      <c r="A5" s="9" t="s">
        <v>8</v>
      </c>
      <c r="B5" s="10" t="s">
        <v>9</v>
      </c>
      <c r="C5" s="10"/>
      <c r="D5" s="10"/>
      <c r="E5" s="10"/>
      <c r="F5" s="10"/>
    </row>
    <row r="6" customFormat="false" ht="15" hidden="false" customHeight="true" outlineLevel="0" collapsed="false">
      <c r="A6" s="9" t="s">
        <v>10</v>
      </c>
      <c r="B6" s="10" t="s">
        <v>11</v>
      </c>
      <c r="C6" s="10"/>
      <c r="D6" s="10"/>
      <c r="E6" s="10"/>
      <c r="F6" s="10"/>
    </row>
    <row r="7" customFormat="false" ht="15" hidden="false" customHeight="true" outlineLevel="0" collapsed="false">
      <c r="A7" s="9" t="s">
        <v>12</v>
      </c>
      <c r="B7" s="10" t="s">
        <v>13</v>
      </c>
      <c r="C7" s="10"/>
      <c r="D7" s="10"/>
      <c r="E7" s="10"/>
      <c r="F7" s="10"/>
    </row>
    <row r="8" customFormat="false" ht="23.85" hidden="false" customHeight="true" outlineLevel="0" collapsed="false">
      <c r="A8" s="9" t="s">
        <v>14</v>
      </c>
      <c r="B8" s="10" t="s">
        <v>15</v>
      </c>
      <c r="C8" s="10"/>
      <c r="D8" s="10"/>
      <c r="E8" s="10"/>
      <c r="F8" s="10"/>
    </row>
    <row r="9" customFormat="false" ht="23.85" hidden="false" customHeight="true" outlineLevel="0" collapsed="false">
      <c r="A9" s="9" t="s">
        <v>16</v>
      </c>
      <c r="B9" s="10" t="s">
        <v>17</v>
      </c>
      <c r="C9" s="10"/>
      <c r="D9" s="10"/>
      <c r="E9" s="10"/>
      <c r="F9" s="10"/>
    </row>
    <row r="10" customFormat="false" ht="23.85" hidden="false" customHeight="true" outlineLevel="0" collapsed="false">
      <c r="A10" s="9" t="s">
        <v>18</v>
      </c>
      <c r="B10" s="10" t="s">
        <v>19</v>
      </c>
      <c r="C10" s="10"/>
      <c r="D10" s="10"/>
      <c r="E10" s="10"/>
      <c r="F10" s="10"/>
    </row>
    <row r="11" customFormat="false" ht="23.85" hidden="false" customHeight="true" outlineLevel="0" collapsed="false">
      <c r="A11" s="9" t="s">
        <v>20</v>
      </c>
      <c r="B11" s="10" t="s">
        <v>21</v>
      </c>
      <c r="C11" s="10"/>
      <c r="D11" s="10"/>
      <c r="E11" s="10"/>
      <c r="F11" s="10"/>
    </row>
    <row r="12" customFormat="false" ht="15" hidden="false" customHeight="false" outlineLevel="0" collapsed="false">
      <c r="A12" s="9"/>
      <c r="B12" s="10"/>
      <c r="C12" s="10"/>
      <c r="D12" s="10"/>
      <c r="E12" s="10"/>
      <c r="F12" s="10"/>
    </row>
    <row r="13" customFormat="false" ht="15" hidden="false" customHeight="true" outlineLevel="0" collapsed="false">
      <c r="A13" s="11" t="s">
        <v>22</v>
      </c>
      <c r="B13" s="11"/>
      <c r="C13" s="11"/>
      <c r="D13" s="11"/>
      <c r="E13" s="11"/>
      <c r="F13" s="11"/>
    </row>
    <row r="14" customFormat="false" ht="15" hidden="false" customHeight="true" outlineLevel="0" collapsed="false">
      <c r="A14" s="9"/>
      <c r="B14" s="10" t="s">
        <v>23</v>
      </c>
      <c r="C14" s="10"/>
      <c r="D14" s="10"/>
      <c r="E14" s="10"/>
      <c r="F14" s="10"/>
    </row>
    <row r="15" customFormat="false" ht="15" hidden="false" customHeight="true" outlineLevel="0" collapsed="false">
      <c r="A15" s="9"/>
      <c r="B15" s="10" t="s">
        <v>24</v>
      </c>
      <c r="C15" s="10"/>
      <c r="D15" s="10"/>
      <c r="E15" s="10"/>
      <c r="F15" s="10"/>
    </row>
    <row r="16" customFormat="false" ht="15" hidden="false" customHeight="true" outlineLevel="0" collapsed="false">
      <c r="A16" s="9"/>
      <c r="B16" s="10" t="s">
        <v>25</v>
      </c>
      <c r="C16" s="10"/>
      <c r="D16" s="10"/>
      <c r="E16" s="10"/>
      <c r="F16" s="10"/>
    </row>
    <row r="17" customFormat="false" ht="15" hidden="false" customHeight="true" outlineLevel="0" collapsed="false">
      <c r="A17" s="9"/>
      <c r="B17" s="10" t="s">
        <v>26</v>
      </c>
      <c r="C17" s="10"/>
      <c r="D17" s="10"/>
      <c r="E17" s="10"/>
      <c r="F17" s="10"/>
    </row>
    <row r="18" customFormat="false" ht="15" hidden="false" customHeight="false" outlineLevel="0" collapsed="false">
      <c r="A18" s="9"/>
      <c r="B18" s="10"/>
      <c r="C18" s="10"/>
      <c r="D18" s="10"/>
      <c r="E18" s="10"/>
      <c r="F18" s="10"/>
    </row>
    <row r="19" customFormat="false" ht="15" hidden="false" customHeight="true" outlineLevel="0" collapsed="false">
      <c r="A19" s="11" t="s">
        <v>27</v>
      </c>
      <c r="B19" s="11"/>
      <c r="C19" s="11"/>
      <c r="D19" s="11"/>
      <c r="E19" s="11"/>
      <c r="F19" s="11"/>
    </row>
    <row r="20" customFormat="false" ht="23.85" hidden="false" customHeight="true" outlineLevel="0" collapsed="false">
      <c r="A20" s="12" t="s">
        <v>28</v>
      </c>
      <c r="B20" s="10" t="s">
        <v>29</v>
      </c>
      <c r="C20" s="10"/>
      <c r="D20" s="10"/>
      <c r="E20" s="10"/>
      <c r="F20" s="10"/>
    </row>
    <row r="21" customFormat="false" ht="23.85" hidden="false" customHeight="true" outlineLevel="0" collapsed="false">
      <c r="A21" s="12" t="s">
        <v>30</v>
      </c>
      <c r="B21" s="10" t="s">
        <v>31</v>
      </c>
      <c r="C21" s="10"/>
      <c r="D21" s="10"/>
      <c r="E21" s="10"/>
      <c r="F21" s="10"/>
    </row>
    <row r="22" customFormat="false" ht="23.85" hidden="false" customHeight="true" outlineLevel="0" collapsed="false">
      <c r="A22" s="12" t="s">
        <v>32</v>
      </c>
      <c r="B22" s="10" t="s">
        <v>33</v>
      </c>
      <c r="C22" s="10"/>
      <c r="D22" s="10"/>
      <c r="E22" s="10"/>
      <c r="F22" s="10"/>
    </row>
  </sheetData>
  <mergeCells count="21">
    <mergeCell ref="A1:F1"/>
    <mergeCell ref="B3:F3"/>
    <mergeCell ref="A4:F4"/>
    <mergeCell ref="B5:F5"/>
    <mergeCell ref="B6:F6"/>
    <mergeCell ref="B7:F7"/>
    <mergeCell ref="B8:F8"/>
    <mergeCell ref="B9:F9"/>
    <mergeCell ref="B10:F10"/>
    <mergeCell ref="B11:F11"/>
    <mergeCell ref="B12:F12"/>
    <mergeCell ref="A13:F13"/>
    <mergeCell ref="B14:F14"/>
    <mergeCell ref="B15:F15"/>
    <mergeCell ref="B16:F16"/>
    <mergeCell ref="B17:F17"/>
    <mergeCell ref="B18:F18"/>
    <mergeCell ref="A19:F19"/>
    <mergeCell ref="B20:F2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8.65" hidden="false" customHeight="true" outlineLevel="0" collapsed="false">
      <c r="A1" s="13" t="s">
        <v>34</v>
      </c>
      <c r="B1" s="13"/>
      <c r="C1" s="13"/>
      <c r="D1" s="13"/>
      <c r="E1" s="13"/>
      <c r="F1" s="13"/>
    </row>
    <row r="2" customFormat="false" ht="15" hidden="false" customHeight="true" outlineLevel="0" collapsed="false">
      <c r="A2" s="14" t="s">
        <v>35</v>
      </c>
      <c r="B2" s="14"/>
      <c r="C2" s="14"/>
      <c r="D2" s="14"/>
      <c r="E2" s="14"/>
      <c r="F2" s="14"/>
    </row>
    <row r="4" customFormat="false" ht="15" hidden="false" customHeight="true" outlineLevel="0" collapsed="false">
      <c r="A4" s="15" t="s">
        <v>36</v>
      </c>
      <c r="B4" s="15"/>
      <c r="C4" s="15"/>
      <c r="D4" s="15"/>
      <c r="E4" s="15"/>
      <c r="F4" s="15"/>
    </row>
    <row r="5" customFormat="false" ht="15" hidden="false" customHeight="false" outlineLevel="0" collapsed="false">
      <c r="A5" s="16" t="s">
        <v>37</v>
      </c>
      <c r="B5" s="17" t="s">
        <v>38</v>
      </c>
      <c r="C5" s="16" t="s">
        <v>39</v>
      </c>
      <c r="D5" s="18" t="n">
        <v>46104</v>
      </c>
      <c r="E5" s="16" t="s">
        <v>40</v>
      </c>
      <c r="F5" s="19" t="n">
        <v>0.354166666666667</v>
      </c>
    </row>
    <row r="6" customFormat="false" ht="15" hidden="false" customHeight="true" outlineLevel="0" collapsed="false">
      <c r="A6" s="16" t="s">
        <v>41</v>
      </c>
      <c r="B6" s="17" t="s">
        <v>42</v>
      </c>
      <c r="C6" s="17"/>
      <c r="D6" s="17"/>
      <c r="E6" s="16" t="s">
        <v>43</v>
      </c>
      <c r="F6" s="17" t="s">
        <v>44</v>
      </c>
    </row>
    <row r="7" customFormat="false" ht="15" hidden="false" customHeight="false" outlineLevel="0" collapsed="false">
      <c r="A7" s="16" t="s">
        <v>45</v>
      </c>
      <c r="B7" s="17" t="s">
        <v>46</v>
      </c>
      <c r="C7" s="16" t="s">
        <v>47</v>
      </c>
      <c r="D7" s="17" t="s">
        <v>46</v>
      </c>
      <c r="E7" s="16" t="s">
        <v>48</v>
      </c>
      <c r="F7" s="17" t="s">
        <v>49</v>
      </c>
    </row>
    <row r="9" customFormat="false" ht="15" hidden="false" customHeight="true" outlineLevel="0" collapsed="false">
      <c r="A9" s="15" t="s">
        <v>50</v>
      </c>
      <c r="B9" s="15"/>
      <c r="C9" s="15"/>
      <c r="D9" s="15"/>
      <c r="E9" s="15"/>
      <c r="F9" s="15"/>
    </row>
    <row r="10" customFormat="false" ht="15" hidden="false" customHeight="false" outlineLevel="0" collapsed="false">
      <c r="A10" s="16" t="s">
        <v>51</v>
      </c>
      <c r="B10" s="17" t="s">
        <v>52</v>
      </c>
      <c r="C10" s="16" t="s">
        <v>53</v>
      </c>
      <c r="D10" s="17" t="s">
        <v>54</v>
      </c>
      <c r="E10" s="16" t="s">
        <v>55</v>
      </c>
      <c r="F10" s="17" t="s">
        <v>56</v>
      </c>
    </row>
    <row r="11" customFormat="false" ht="15" hidden="false" customHeight="false" outlineLevel="0" collapsed="false">
      <c r="A11" s="16" t="s">
        <v>57</v>
      </c>
      <c r="B11" s="17" t="s">
        <v>58</v>
      </c>
      <c r="C11" s="16" t="s">
        <v>59</v>
      </c>
      <c r="D11" s="17" t="s">
        <v>60</v>
      </c>
      <c r="E11" s="16" t="s">
        <v>61</v>
      </c>
      <c r="F11" s="17" t="s">
        <v>62</v>
      </c>
    </row>
    <row r="12" customFormat="false" ht="15" hidden="false" customHeight="false" outlineLevel="0" collapsed="false">
      <c r="A12" s="16" t="s">
        <v>63</v>
      </c>
      <c r="B12" s="17" t="s">
        <v>64</v>
      </c>
      <c r="C12" s="16" t="s">
        <v>65</v>
      </c>
      <c r="D12" s="17" t="s">
        <v>62</v>
      </c>
      <c r="E12" s="16" t="s">
        <v>66</v>
      </c>
      <c r="F12" s="17" t="s">
        <v>67</v>
      </c>
    </row>
    <row r="13" customFormat="false" ht="15" hidden="false" customHeight="false" outlineLevel="0" collapsed="false">
      <c r="A13" s="16" t="s">
        <v>68</v>
      </c>
      <c r="B13" s="18" t="n">
        <v>46082</v>
      </c>
      <c r="C13" s="16" t="s">
        <v>69</v>
      </c>
      <c r="D13" s="18" t="n">
        <v>46266</v>
      </c>
      <c r="E13" s="16" t="s">
        <v>70</v>
      </c>
      <c r="F13" s="17" t="s">
        <v>71</v>
      </c>
    </row>
    <row r="15" customFormat="false" ht="15" hidden="false" customHeight="true" outlineLevel="0" collapsed="false">
      <c r="A15" s="15" t="s">
        <v>72</v>
      </c>
      <c r="B15" s="15"/>
      <c r="C15" s="15"/>
      <c r="D15" s="15"/>
      <c r="E15" s="15"/>
      <c r="F15" s="15"/>
    </row>
    <row r="16" customFormat="false" ht="15" hidden="false" customHeight="true" outlineLevel="0" collapsed="false">
      <c r="A16" s="16" t="s">
        <v>73</v>
      </c>
      <c r="B16" s="17" t="s">
        <v>74</v>
      </c>
      <c r="C16" s="17"/>
      <c r="D16" s="17"/>
      <c r="E16" s="16" t="s">
        <v>75</v>
      </c>
      <c r="F16" s="17" t="s">
        <v>76</v>
      </c>
    </row>
    <row r="17" customFormat="false" ht="15" hidden="false" customHeight="false" outlineLevel="0" collapsed="false">
      <c r="A17" s="16" t="s">
        <v>77</v>
      </c>
      <c r="B17" s="17" t="s">
        <v>78</v>
      </c>
      <c r="C17" s="16" t="s">
        <v>79</v>
      </c>
      <c r="D17" s="17" t="s">
        <v>80</v>
      </c>
      <c r="E17" s="16" t="s">
        <v>81</v>
      </c>
      <c r="F17" s="20" t="n">
        <f aca="false">B17+D17</f>
        <v>1501</v>
      </c>
    </row>
    <row r="18" customFormat="false" ht="23.85" hidden="false" customHeight="false" outlineLevel="0" collapsed="false">
      <c r="A18" s="16" t="s">
        <v>82</v>
      </c>
      <c r="B18" s="17" t="s">
        <v>83</v>
      </c>
      <c r="C18" s="16" t="s">
        <v>84</v>
      </c>
      <c r="D18" s="17" t="s">
        <v>85</v>
      </c>
      <c r="E18" s="16" t="s">
        <v>86</v>
      </c>
      <c r="F18" s="17" t="s">
        <v>87</v>
      </c>
    </row>
    <row r="19" customFormat="false" ht="15" hidden="false" customHeight="false" outlineLevel="0" collapsed="false">
      <c r="A19" s="16" t="s">
        <v>88</v>
      </c>
      <c r="B19" s="17" t="s">
        <v>89</v>
      </c>
      <c r="C19" s="16" t="s">
        <v>90</v>
      </c>
      <c r="D19" s="21" t="n">
        <f aca="false">IFERROR((B17+D17)/(3200),0)</f>
        <v>0.4690625</v>
      </c>
      <c r="E19" s="16" t="s">
        <v>91</v>
      </c>
      <c r="F19" s="17" t="s">
        <v>92</v>
      </c>
    </row>
    <row r="21" customFormat="false" ht="15" hidden="false" customHeight="true" outlineLevel="0" collapsed="false">
      <c r="A21" s="15" t="s">
        <v>93</v>
      </c>
      <c r="B21" s="15"/>
      <c r="C21" s="15"/>
      <c r="D21" s="15"/>
      <c r="E21" s="15"/>
      <c r="F21" s="15"/>
    </row>
    <row r="22" customFormat="false" ht="15" hidden="false" customHeight="false" outlineLevel="0" collapsed="false">
      <c r="A22" s="22" t="s">
        <v>94</v>
      </c>
      <c r="B22" s="22" t="s">
        <v>95</v>
      </c>
      <c r="C22" s="22" t="s">
        <v>96</v>
      </c>
      <c r="D22" s="22" t="s">
        <v>97</v>
      </c>
      <c r="E22" s="22" t="s">
        <v>98</v>
      </c>
      <c r="F22" s="22" t="s">
        <v>99</v>
      </c>
    </row>
    <row r="23" customFormat="false" ht="23.85" hidden="false" customHeight="false" outlineLevel="0" collapsed="false">
      <c r="A23" s="23" t="s">
        <v>100</v>
      </c>
      <c r="B23" s="23" t="s">
        <v>101</v>
      </c>
      <c r="C23" s="23" t="s">
        <v>102</v>
      </c>
      <c r="D23" s="23" t="s">
        <v>103</v>
      </c>
      <c r="E23" s="23" t="s">
        <v>104</v>
      </c>
      <c r="F23" s="23" t="s">
        <v>46</v>
      </c>
    </row>
    <row r="24" customFormat="false" ht="23.85" hidden="false" customHeight="false" outlineLevel="0" collapsed="false">
      <c r="A24" s="23" t="s">
        <v>105</v>
      </c>
      <c r="B24" s="23" t="s">
        <v>101</v>
      </c>
      <c r="C24" s="23" t="s">
        <v>102</v>
      </c>
      <c r="D24" s="23" t="s">
        <v>106</v>
      </c>
      <c r="E24" s="23" t="s">
        <v>104</v>
      </c>
      <c r="F24" s="23" t="s">
        <v>46</v>
      </c>
    </row>
    <row r="25" customFormat="false" ht="15" hidden="false" customHeight="false" outlineLevel="0" collapsed="false">
      <c r="A25" s="23" t="s">
        <v>107</v>
      </c>
      <c r="B25" s="23" t="s">
        <v>108</v>
      </c>
      <c r="C25" s="23" t="s">
        <v>109</v>
      </c>
      <c r="D25" s="23" t="s">
        <v>110</v>
      </c>
      <c r="E25" s="23" t="s">
        <v>104</v>
      </c>
      <c r="F25" s="23" t="s">
        <v>46</v>
      </c>
    </row>
    <row r="26" customFormat="false" ht="15" hidden="false" customHeight="false" outlineLevel="0" collapsed="false">
      <c r="A26" s="23" t="s">
        <v>111</v>
      </c>
      <c r="B26" s="23" t="s">
        <v>108</v>
      </c>
      <c r="C26" s="23" t="s">
        <v>109</v>
      </c>
      <c r="D26" s="23" t="s">
        <v>112</v>
      </c>
      <c r="E26" s="23" t="s">
        <v>104</v>
      </c>
      <c r="F26" s="23" t="s">
        <v>46</v>
      </c>
    </row>
    <row r="27" customFormat="false" ht="23.85" hidden="false" customHeight="false" outlineLevel="0" collapsed="false">
      <c r="A27" s="23" t="s">
        <v>113</v>
      </c>
      <c r="B27" s="23" t="s">
        <v>114</v>
      </c>
      <c r="C27" s="23" t="s">
        <v>115</v>
      </c>
      <c r="D27" s="23" t="s">
        <v>115</v>
      </c>
      <c r="E27" s="23" t="s">
        <v>104</v>
      </c>
      <c r="F27" s="23" t="s">
        <v>116</v>
      </c>
    </row>
    <row r="29" customFormat="false" ht="15" hidden="false" customHeight="true" outlineLevel="0" collapsed="false">
      <c r="A29" s="15" t="s">
        <v>117</v>
      </c>
      <c r="B29" s="15"/>
      <c r="C29" s="15"/>
      <c r="D29" s="15"/>
      <c r="E29" s="15"/>
      <c r="F29" s="15"/>
    </row>
    <row r="30" customFormat="false" ht="15" hidden="false" customHeight="true" outlineLevel="0" collapsed="false">
      <c r="A30" s="24" t="s">
        <v>118</v>
      </c>
      <c r="B30" s="24"/>
      <c r="C30" s="24"/>
      <c r="D30" s="24"/>
      <c r="E30" s="25" t="s">
        <v>119</v>
      </c>
      <c r="F30" s="25" t="s">
        <v>120</v>
      </c>
    </row>
    <row r="31" customFormat="false" ht="15" hidden="false" customHeight="true" outlineLevel="0" collapsed="false">
      <c r="A31" s="26" t="s">
        <v>121</v>
      </c>
      <c r="B31" s="26"/>
      <c r="C31" s="26"/>
      <c r="D31" s="26"/>
      <c r="E31" s="27" t="s">
        <v>122</v>
      </c>
      <c r="F31" s="23"/>
    </row>
    <row r="32" customFormat="false" ht="15" hidden="false" customHeight="true" outlineLevel="0" collapsed="false">
      <c r="A32" s="26" t="s">
        <v>123</v>
      </c>
      <c r="B32" s="26"/>
      <c r="C32" s="26"/>
      <c r="D32" s="26"/>
      <c r="E32" s="27" t="s">
        <v>122</v>
      </c>
      <c r="F32" s="23"/>
    </row>
    <row r="33" customFormat="false" ht="15" hidden="false" customHeight="true" outlineLevel="0" collapsed="false">
      <c r="A33" s="26" t="s">
        <v>124</v>
      </c>
      <c r="B33" s="26"/>
      <c r="C33" s="26"/>
      <c r="D33" s="26"/>
      <c r="E33" s="27" t="s">
        <v>122</v>
      </c>
      <c r="F33" s="23"/>
    </row>
    <row r="34" customFormat="false" ht="35.05" hidden="false" customHeight="true" outlineLevel="0" collapsed="false">
      <c r="A34" s="26" t="s">
        <v>125</v>
      </c>
      <c r="B34" s="26"/>
      <c r="C34" s="26"/>
      <c r="D34" s="26"/>
      <c r="E34" s="27" t="s">
        <v>122</v>
      </c>
      <c r="F34" s="23" t="s">
        <v>126</v>
      </c>
    </row>
    <row r="35" customFormat="false" ht="15" hidden="false" customHeight="true" outlineLevel="0" collapsed="false">
      <c r="A35" s="26" t="s">
        <v>127</v>
      </c>
      <c r="B35" s="26"/>
      <c r="C35" s="26"/>
      <c r="D35" s="26"/>
      <c r="E35" s="27" t="s">
        <v>122</v>
      </c>
      <c r="F35" s="23"/>
    </row>
    <row r="36" customFormat="false" ht="15" hidden="false" customHeight="true" outlineLevel="0" collapsed="false">
      <c r="A36" s="26" t="s">
        <v>128</v>
      </c>
      <c r="B36" s="26"/>
      <c r="C36" s="26"/>
      <c r="D36" s="26"/>
      <c r="E36" s="27" t="s">
        <v>122</v>
      </c>
      <c r="F36" s="23"/>
    </row>
    <row r="37" customFormat="false" ht="15" hidden="false" customHeight="true" outlineLevel="0" collapsed="false">
      <c r="A37" s="26" t="s">
        <v>129</v>
      </c>
      <c r="B37" s="26"/>
      <c r="C37" s="26"/>
      <c r="D37" s="26"/>
      <c r="E37" s="27" t="s">
        <v>122</v>
      </c>
      <c r="F37" s="23"/>
    </row>
    <row r="38" customFormat="false" ht="15" hidden="false" customHeight="true" outlineLevel="0" collapsed="false">
      <c r="A38" s="26" t="s">
        <v>130</v>
      </c>
      <c r="B38" s="26"/>
      <c r="C38" s="26"/>
      <c r="D38" s="26"/>
      <c r="E38" s="27" t="s">
        <v>122</v>
      </c>
      <c r="F38" s="23"/>
    </row>
    <row r="39" customFormat="false" ht="15" hidden="false" customHeight="true" outlineLevel="0" collapsed="false">
      <c r="A39" s="26" t="s">
        <v>131</v>
      </c>
      <c r="B39" s="26"/>
      <c r="C39" s="26"/>
      <c r="D39" s="26"/>
      <c r="E39" s="27" t="s">
        <v>122</v>
      </c>
      <c r="F39" s="23"/>
    </row>
    <row r="40" customFormat="false" ht="15" hidden="false" customHeight="true" outlineLevel="0" collapsed="false">
      <c r="A40" s="26" t="s">
        <v>132</v>
      </c>
      <c r="B40" s="26"/>
      <c r="C40" s="26"/>
      <c r="D40" s="26"/>
      <c r="E40" s="27" t="s">
        <v>122</v>
      </c>
      <c r="F40" s="23"/>
    </row>
    <row r="41" customFormat="false" ht="15" hidden="false" customHeight="true" outlineLevel="0" collapsed="false">
      <c r="A41" s="26" t="s">
        <v>133</v>
      </c>
      <c r="B41" s="26"/>
      <c r="C41" s="26"/>
      <c r="D41" s="26"/>
      <c r="E41" s="27" t="s">
        <v>122</v>
      </c>
      <c r="F41" s="23"/>
    </row>
    <row r="42" customFormat="false" ht="15" hidden="false" customHeight="true" outlineLevel="0" collapsed="false">
      <c r="A42" s="26" t="s">
        <v>134</v>
      </c>
      <c r="B42" s="26"/>
      <c r="C42" s="26"/>
      <c r="D42" s="26"/>
      <c r="E42" s="27" t="s">
        <v>122</v>
      </c>
      <c r="F42" s="23"/>
    </row>
    <row r="43" customFormat="false" ht="15" hidden="false" customHeight="false" outlineLevel="0" collapsed="false">
      <c r="A43" s="28" t="s">
        <v>135</v>
      </c>
      <c r="B43" s="28"/>
      <c r="C43" s="28"/>
      <c r="D43" s="29" t="str">
        <f aca="false">IF(COUNTIF(E31:E42,"Fail")=0,"YES — PROCEED","NO — DO NOT LIFT")</f>
        <v>YES — PROCEED</v>
      </c>
      <c r="E43" s="29"/>
      <c r="F43" s="29"/>
    </row>
    <row r="45" customFormat="false" ht="15" hidden="false" customHeight="true" outlineLevel="0" collapsed="false">
      <c r="A45" s="15" t="s">
        <v>136</v>
      </c>
      <c r="B45" s="15"/>
      <c r="C45" s="15"/>
      <c r="D45" s="15"/>
      <c r="E45" s="15"/>
      <c r="F45" s="15"/>
    </row>
    <row r="46" customFormat="false" ht="15" hidden="false" customHeight="false" outlineLevel="0" collapsed="false">
      <c r="A46" s="16" t="s">
        <v>45</v>
      </c>
      <c r="B46" s="30" t="s">
        <v>46</v>
      </c>
      <c r="C46" s="16" t="s">
        <v>137</v>
      </c>
      <c r="D46" s="31"/>
      <c r="E46" s="16" t="s">
        <v>138</v>
      </c>
      <c r="F46" s="31"/>
    </row>
    <row r="47" customFormat="false" ht="15" hidden="false" customHeight="false" outlineLevel="0" collapsed="false">
      <c r="A47" s="16" t="s">
        <v>139</v>
      </c>
      <c r="B47" s="30" t="s">
        <v>140</v>
      </c>
      <c r="C47" s="16" t="s">
        <v>137</v>
      </c>
      <c r="D47" s="31"/>
      <c r="E47" s="16" t="s">
        <v>141</v>
      </c>
      <c r="F47" s="30" t="s">
        <v>142</v>
      </c>
    </row>
    <row r="48" customFormat="false" ht="15" hidden="false" customHeight="false" outlineLevel="0" collapsed="false">
      <c r="A48" s="16" t="s">
        <v>143</v>
      </c>
      <c r="B48" s="30" t="s">
        <v>46</v>
      </c>
      <c r="C48" s="16" t="s">
        <v>137</v>
      </c>
      <c r="D48" s="31"/>
      <c r="E48" s="16" t="s">
        <v>141</v>
      </c>
      <c r="F48" s="30" t="s">
        <v>144</v>
      </c>
    </row>
    <row r="50" customFormat="false" ht="15" hidden="false" customHeight="true" outlineLevel="0" collapsed="false">
      <c r="A50" s="32" t="s">
        <v>145</v>
      </c>
      <c r="B50" s="32"/>
      <c r="C50" s="32"/>
      <c r="D50" s="32"/>
      <c r="E50" s="32"/>
      <c r="F50" s="32"/>
    </row>
    <row r="52" customFormat="false" ht="15" hidden="false" customHeight="true" outlineLevel="0" collapsed="false">
      <c r="A52" s="14" t="s">
        <v>146</v>
      </c>
      <c r="B52" s="14"/>
      <c r="C52" s="14"/>
      <c r="D52" s="14"/>
      <c r="E52" s="14"/>
      <c r="F52" s="14"/>
    </row>
  </sheetData>
  <mergeCells count="27">
    <mergeCell ref="A1:F1"/>
    <mergeCell ref="A2:F2"/>
    <mergeCell ref="A4:F4"/>
    <mergeCell ref="B6:D6"/>
    <mergeCell ref="A9:F9"/>
    <mergeCell ref="A15:F15"/>
    <mergeCell ref="B16:D16"/>
    <mergeCell ref="A21:F21"/>
    <mergeCell ref="A29:F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C43"/>
    <mergeCell ref="D43:F43"/>
    <mergeCell ref="A45:F45"/>
    <mergeCell ref="A50:F50"/>
    <mergeCell ref="A52:F52"/>
  </mergeCells>
  <conditionalFormatting sqref="E23:E27">
    <cfRule type="cellIs" priority="2" operator="equal" aboveAverage="0" equalAverage="0" bottom="0" percent="0" rank="0" text="" dxfId="0">
      <formula>"Good"</formula>
    </cfRule>
    <cfRule type="cellIs" priority="3" operator="equal" aboveAverage="0" equalAverage="0" bottom="0" percent="0" rank="0" text="" dxfId="1">
      <formula>"Reject"</formula>
    </cfRule>
  </conditionalFormatting>
  <conditionalFormatting sqref="E31:E42">
    <cfRule type="cellIs" priority="4" operator="equal" aboveAverage="0" equalAverage="0" bottom="0" percent="0" rank="0" text="" dxfId="0">
      <formula>"Pass"</formula>
    </cfRule>
    <cfRule type="cellIs" priority="5" operator="equal" aboveAverage="0" equalAverage="0" bottom="0" percent="0" rank="0" text="" dxfId="1">
      <formula>"Fail"</formula>
    </cfRule>
  </conditionalFormatting>
  <dataValidations count="4">
    <dataValidation allowBlank="true" errorStyle="stop" operator="between" showDropDown="false" showErrorMessage="false" showInputMessage="false" sqref="F7" type="list">
      <formula1>"Standard,Complex,Tandem,Critical"</formula1>
      <formula2>0</formula2>
    </dataValidation>
    <dataValidation allowBlank="true" errorStyle="stop" operator="between" showDropDown="false" showErrorMessage="false" showInputMessage="false" sqref="F19" type="list">
      <formula1>"Yes,No"</formula1>
      <formula2>0</formula2>
    </dataValidation>
    <dataValidation allowBlank="true" errorStyle="stop" operator="between" showDropDown="false" showErrorMessage="false" showInputMessage="false" sqref="E23:E27" type="list">
      <formula1>"Good,Acceptable,Reject,N/A"</formula1>
      <formula2>0</formula2>
    </dataValidation>
    <dataValidation allowBlank="true" errorStyle="stop" operator="between" showDropDown="false" showErrorMessage="false" showInputMessage="false" sqref="E31:E42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&amp;CCrane Lift Plan Summary Sheet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8.65" hidden="false" customHeight="false" outlineLevel="0" collapsed="false">
      <c r="A1" s="33" t="s">
        <v>147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 t="s">
        <v>148</v>
      </c>
    </row>
    <row r="4" customFormat="false" ht="15" hidden="false" customHeight="false" outlineLevel="0" collapsed="false">
      <c r="A4" s="9"/>
    </row>
    <row r="5" customFormat="false" ht="23.85" hidden="false" customHeight="false" outlineLevel="0" collapsed="false">
      <c r="A5" s="9" t="s">
        <v>149</v>
      </c>
    </row>
    <row r="6" customFormat="false" ht="15" hidden="false" customHeight="false" outlineLevel="0" collapsed="false">
      <c r="A6" s="9"/>
    </row>
    <row r="7" customFormat="false" ht="23.85" hidden="false" customHeight="false" outlineLevel="0" collapsed="false">
      <c r="A7" s="9" t="s">
        <v>150</v>
      </c>
    </row>
    <row r="8" customFormat="false" ht="15" hidden="false" customHeight="false" outlineLevel="0" collapsed="false">
      <c r="A8" s="9"/>
    </row>
    <row r="9" customFormat="false" ht="15" hidden="false" customHeight="false" outlineLevel="0" collapsed="false">
      <c r="A9" s="9" t="s">
        <v>151</v>
      </c>
    </row>
    <row r="10" customFormat="false" ht="15" hidden="false" customHeight="false" outlineLevel="0" collapsed="false">
      <c r="A10" s="9"/>
    </row>
    <row r="11" customFormat="false" ht="15" hidden="false" customHeight="false" outlineLevel="0" collapsed="false">
      <c r="A11" s="9" t="s">
        <v>152</v>
      </c>
    </row>
    <row r="12" customFormat="false" ht="15" hidden="false" customHeight="false" outlineLevel="0" collapsed="false">
      <c r="A12" s="9"/>
    </row>
    <row r="13" customFormat="false" ht="23.85" hidden="false" customHeight="false" outlineLevel="0" collapsed="false">
      <c r="A13" s="9" t="s">
        <v>153</v>
      </c>
    </row>
    <row r="14" customFormat="false" ht="15" hidden="false" customHeight="false" outlineLevel="0" collapsed="false">
      <c r="A14" s="9"/>
    </row>
    <row r="15" customFormat="false" ht="15" hidden="false" customHeight="false" outlineLevel="0" collapsed="false">
      <c r="A15" s="9" t="s">
        <v>154</v>
      </c>
    </row>
    <row r="16" customFormat="false" ht="15" hidden="false" customHeight="false" outlineLevel="0" collapsed="false">
      <c r="A16" s="9"/>
    </row>
    <row r="17" customFormat="false" ht="15" hidden="false" customHeight="false" outlineLevel="0" collapsed="false">
      <c r="A17" s="9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Site Management &amp; Planning</cp:category>
  <dcterms:created xsi:type="dcterms:W3CDTF">2026-03-22T19:29:41Z</dcterms:created>
  <dc:creator>Ebrora Ltd</dc:creator>
  <dc:description>A per-lift record covering crane details, load specification, rigging arrangement, and a 12-point pre-lift safety checklist with go/no-go authorisation — supporting BS 7121 and LOLER 1998 compliance.
Free professional construction management template from Ebrora Ltd. Visit ebrora.com for our full range of tools and templates.</dc:description>
  <cp:keywords>Ebrora construction crane lift plan LOLER BS 7121 rigging lifting site management health and safety</cp:keywords>
  <dc:language>en-US</dc:language>
  <cp:lastModifiedBy>Ebrora Ltd</cp:lastModifiedBy>
  <dcterms:modified xsi:type="dcterms:W3CDTF">2026-03-22T19:29:41Z</dcterms:modified>
  <cp:revision>0</cp:revision>
  <dc:subject>Per-lift record sheet covering crane specification, load details, rigging arrangement, and pre-lift safety checks for construction lifting operations.</dc:subject>
  <dc:title>Crane Lift Plan Summary 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