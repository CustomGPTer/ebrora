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rawing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'Drawing Register'!$A$1:$N$102</definedName>
    <definedName function="false" hidden="false" localSheetId="2" name="_xlnm.Print_Titles" vbProcedure="false">'Drawing Register'!$1:$2</definedName>
    <definedName function="false" hidden="true" localSheetId="2" name="_xlnm._FilterDatabase" vbProcedure="false">'Drawing Register'!$A$2:$N$2</definedName>
    <definedName function="false" hidden="false" localSheetId="1" name="_xlnm.Print_Area" vbProcedure="false">Instructions!$A$1:$F$28</definedName>
    <definedName function="false" hidden="false" name="DrawingRegister_Data" vbProcedure="false">'Drawing Register'!$A$3:$J$101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<sst xmlns="http://schemas.openxmlformats.org/spreadsheetml/2006/main" count="137" uniqueCount="127">
  <si>
    <t xml:space="preserve">EBRORA</t>
  </si>
  <si>
    <t xml:space="preserve">ebrora.com</t>
  </si>
  <si>
    <t xml:space="preserve">Drawing Register</t>
  </si>
  <si>
    <t xml:space="preserve">Track every IFC drawing, revision and approval status across all disciplines — from first issue to as-built.</t>
  </si>
  <si>
    <t xml:space="preserve">This is a free template from Ebrora.
For our full range of professional-grade construction management tools, visit ebrora.com</t>
  </si>
  <si>
    <t xml:space="preserve">© Ebrora 2025 — All rights reserved</t>
  </si>
  <si>
    <t xml:space="preserve">How to Use This Template — Drawing Register</t>
  </si>
  <si>
    <t xml:space="preserve">Step-by-Step Instructions</t>
  </si>
  <si>
    <t xml:space="preserve">1.</t>
  </si>
  <si>
    <t xml:space="preserve">Go to the 'Drawing Register' sheet. Enter your Project Name and Contract Number in the fields at the top.</t>
  </si>
  <si>
    <t xml:space="preserve">2.</t>
  </si>
  <si>
    <t xml:space="preserve">For each drawing, type the Drawing Number in column B. Column A auto-generates a sequential reference (DWG-001, DWG-002, etc.).</t>
  </si>
  <si>
    <t xml:space="preserve">3.</t>
  </si>
  <si>
    <t xml:space="preserve">Select the Revision from the dropdown in column C. Update this each time a new revision is issued — never overwrite old revisions, add a new row.</t>
  </si>
  <si>
    <t xml:space="preserve">4.</t>
  </si>
  <si>
    <t xml:space="preserve">Use the Discipline dropdown (column E) to assign the drawing to the correct engineering discipline.</t>
  </si>
  <si>
    <t xml:space="preserve">5.</t>
  </si>
  <si>
    <t xml:space="preserve">Use the Status dropdown (column F) to set the current state. Row highlighting updates automatically.</t>
  </si>
  <si>
    <t xml:space="preserve">6.</t>
  </si>
  <si>
    <t xml:space="preserve">Enter the issue date in column G. Record the name or initials of the issuing engineer in column H.</t>
  </si>
  <si>
    <t xml:space="preserve">7.</t>
  </si>
  <si>
    <t xml:space="preserve">If this drawing supersedes a previous revision, enter the old ref and revision in column I for traceability.</t>
  </si>
  <si>
    <t xml:space="preserve">8.</t>
  </si>
  <si>
    <t xml:space="preserve">Use column J for comments — e.g., 'Linked to NCR-045', 'Awaiting CDM coordinator approval', or special distribution notes.</t>
  </si>
  <si>
    <t xml:space="preserve">9.</t>
  </si>
  <si>
    <t xml:space="preserve">Click the [+] button above columns K–N to expand Optional Fields: P&amp;ID cross-references, spec clauses, originator company, and file paths.</t>
  </si>
  <si>
    <t xml:space="preserve">10.</t>
  </si>
  <si>
    <t xml:space="preserve">Use the AutoFilter arrows on row 2 to filter or sort by discipline, status, revision, or date.</t>
  </si>
  <si>
    <t xml:space="preserve">Colour Key</t>
  </si>
  <si>
    <t xml:space="preserve">  </t>
  </si>
  <si>
    <t xml:space="preserve">IFC — Issued for Construction. Fully approved, ready for build.</t>
  </si>
  <si>
    <t xml:space="preserve">For Construction — Approved and released for construction use.</t>
  </si>
  <si>
    <t xml:space="preserve">For Review — Out with client or engineer. Not yet approved for construction.</t>
  </si>
  <si>
    <t xml:space="preserve">Superseded — This revision replaced by a newer issue. Row is greyed out.</t>
  </si>
  <si>
    <t xml:space="preserve">Cancelled — Drawing formally withdrawn. Do not use.</t>
  </si>
  <si>
    <t xml:space="preserve">Light teal cells — User input / editable fields.</t>
  </si>
  <si>
    <t xml:space="preserve">Dark navy header rows — Do not edit.</t>
  </si>
  <si>
    <t xml:space="preserve">Tips</t>
  </si>
  <si>
    <t xml:space="preserve">*</t>
  </si>
  <si>
    <t xml:space="preserve">Agree your drawing numbering convention with the designer before the first issue. Standard format: [Project Code]-[Discipline]-[Number] (e.g., WRC-CV-0001). Inconsistent numbering creates problems for ISO 19650 compliance and the H&amp;S file.</t>
  </si>
  <si>
    <t xml:space="preserve">Never delete a superseded row. Change the Status to 'Superseded' and record the superseding drawing number in the Notes column. This preserves your full audit trail.</t>
  </si>
  <si>
    <t xml:space="preserve">At the start of each week, filter Status = 'For Review' to see which drawings need chasing. Under NEC4, the contract sets a response period — typically 14 calendar days — so track it.</t>
  </si>
  <si>
    <t xml:space="preserve">Project Name:</t>
  </si>
  <si>
    <t xml:space="preserve">[Enter Project Name]</t>
  </si>
  <si>
    <t xml:space="preserve">Contract No:</t>
  </si>
  <si>
    <t xml:space="preserve">[Contract No]</t>
  </si>
  <si>
    <t xml:space="preserve">▸ Optional Fields — Click [+] to expand</t>
  </si>
  <si>
    <t xml:space="preserve">Ref</t>
  </si>
  <si>
    <t xml:space="preserve">Drawing No.</t>
  </si>
  <si>
    <t xml:space="preserve">Revision</t>
  </si>
  <si>
    <t xml:space="preserve">Title</t>
  </si>
  <si>
    <t xml:space="preserve">Discipline</t>
  </si>
  <si>
    <t xml:space="preserve">Status</t>
  </si>
  <si>
    <t xml:space="preserve">Date Issued</t>
  </si>
  <si>
    <t xml:space="preserve">Issued By</t>
  </si>
  <si>
    <t xml:space="preserve">Supersedes</t>
  </si>
  <si>
    <t xml:space="preserve">Notes</t>
  </si>
  <si>
    <t xml:space="preserve">P&amp;ID / Drawing Ref</t>
  </si>
  <si>
    <t xml:space="preserve">Related Spec Clause</t>
  </si>
  <si>
    <t xml:space="preserve">Originator Company</t>
  </si>
  <si>
    <t xml:space="preserve">File Path / Link</t>
  </si>
  <si>
    <t xml:space="preserve">WRC-CV-0001</t>
  </si>
  <si>
    <t xml:space="preserve">C</t>
  </si>
  <si>
    <t xml:space="preserve">Site Access Road &amp; Haul Route — General Arrangement</t>
  </si>
  <si>
    <t xml:space="preserve">Civil</t>
  </si>
  <si>
    <t xml:space="preserve">IFC</t>
  </si>
  <si>
    <t xml:space="preserve">J. Hargreaves</t>
  </si>
  <si>
    <t xml:space="preserve">WRC-CV-0001 Rev B</t>
  </si>
  <si>
    <t xml:space="preserve">Approved. Phase 1 haul route only — see drawing notes.</t>
  </si>
  <si>
    <t xml:space="preserve">CESWI 6th Ed.</t>
  </si>
  <si>
    <t xml:space="preserve">Hargreaves Consulting</t>
  </si>
  <si>
    <t xml:space="preserve">//server/drawings/WRC-CV-0001-C.pdf</t>
  </si>
  <si>
    <t xml:space="preserve">WRC-ST-0003</t>
  </si>
  <si>
    <t xml:space="preserve">B</t>
  </si>
  <si>
    <t xml:space="preserve">Primary Sedimentation Tank — Reinforcement Details</t>
  </si>
  <si>
    <t xml:space="preserve">Structural</t>
  </si>
  <si>
    <t xml:space="preserve">For Construction</t>
  </si>
  <si>
    <t xml:space="preserve">S. Patel</t>
  </si>
  <si>
    <t xml:space="preserve">WRC-ST-0003 Rev A</t>
  </si>
  <si>
    <t xml:space="preserve">2nd pour rebar details added Rev B. Confirmed by SE.</t>
  </si>
  <si>
    <t xml:space="preserve">BS 8500</t>
  </si>
  <si>
    <t xml:space="preserve">Structural Partners Ltd</t>
  </si>
  <si>
    <t xml:space="preserve">//server/drawings/WRC-ST-0003-B.pdf</t>
  </si>
  <si>
    <t xml:space="preserve">WRC-ME-0012</t>
  </si>
  <si>
    <t xml:space="preserve">P02</t>
  </si>
  <si>
    <t xml:space="preserve">MHPP — Inlet Works General Arrangement</t>
  </si>
  <si>
    <t xml:space="preserve">Mechanical</t>
  </si>
  <si>
    <t xml:space="preserve">For Review</t>
  </si>
  <si>
    <t xml:space="preserve">T. Walsh</t>
  </si>
  <si>
    <t xml:space="preserve">Awaiting client comment period close 07/03/25.</t>
  </si>
  <si>
    <t xml:space="preserve">P&amp;ID-IN-001</t>
  </si>
  <si>
    <t xml:space="preserve">DD ENV 1991</t>
  </si>
  <si>
    <t xml:space="preserve">Walsh MEP Ltd</t>
  </si>
  <si>
    <t xml:space="preserve">WRC-EL-0005</t>
  </si>
  <si>
    <t xml:space="preserve">A</t>
  </si>
  <si>
    <t xml:space="preserve">MCC-01 Panel Schedule &amp; Wiring Diagram</t>
  </si>
  <si>
    <t xml:space="preserve">Electrical</t>
  </si>
  <si>
    <t xml:space="preserve">Superseded</t>
  </si>
  <si>
    <t xml:space="preserve">C. Roberts</t>
  </si>
  <si>
    <t xml:space="preserve">WRC-EL-0005 Rev -</t>
  </si>
  <si>
    <t xml:space="preserve">Superseded Rev B — supply voltage uprated to 415V.</t>
  </si>
  <si>
    <t xml:space="preserve">BS 7671:2018</t>
  </si>
  <si>
    <t xml:space="preserve">Roberts Electrical</t>
  </si>
  <si>
    <t xml:space="preserve">//server/drawings/WRC-EL-0005-A-OLD.pdf</t>
  </si>
  <si>
    <t xml:space="preserve">WRC-IN-0002</t>
  </si>
  <si>
    <t xml:space="preserve">P01</t>
  </si>
  <si>
    <t xml:space="preserve">P&amp;ID — Inlet Screening &amp; Grit Removal</t>
  </si>
  <si>
    <t xml:space="preserve">Instrumentation</t>
  </si>
  <si>
    <t xml:space="preserve">A. Nkosi</t>
  </si>
  <si>
    <t xml:space="preserve">First issue — process team review in progress.</t>
  </si>
  <si>
    <t xml:space="preserve">SCADA-IDF-001</t>
  </si>
  <si>
    <t xml:space="preserve">ISO 10628</t>
  </si>
  <si>
    <t xml:space="preserve">InControl Systems Ltd</t>
  </si>
  <si>
    <t xml:space="preserve">TOTAL DRAWINGS</t>
  </si>
  <si>
    <t xml:space="preserve">FOR CONSTRUCTION</t>
  </si>
  <si>
    <t xml:space="preserve">FOR REVIEW</t>
  </si>
  <si>
    <t xml:space="preserve">SUPERSEDED</t>
  </si>
  <si>
    <t xml:space="preserve">CANCELLED</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</si>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</sst>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CC"/>
      </patternFill>
    </fill>
    <fill>
      <patternFill patternType="solid">
        <fgColor rgb="FFCCFFCC"/>
        <bgColor rgb="FFC6EFCE"/>
      </patternFill>
    </fill>
    <fill>
      <patternFill patternType="solid">
        <fgColor rgb="FFFFEB9C"/>
        <bgColor rgb="FFFFFFCC"/>
      </patternFill>
    </fill>
    <fill>
      <patternFill patternType="solid">
        <fgColor rgb="FFD9D9D9"/>
        <bgColor rgb="FFC6EFCE"/>
      </patternFill>
    </fill>
    <fill>
      <patternFill patternType="solid">
        <fgColor rgb="FFFFC7CE"/>
        <bgColor rgb="FFD9D9D9"/>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ont>
        <name val="Calibri"/>
        <charset val="1"/>
        <family val="0"/>
        <b val="1"/>
        <color rgb="FF375623"/>
      </font>
      <fill>
        <patternFill>
          <bgColor rgb="FFC6EFCE"/>
        </patternFill>
      </fill>
    </dxf>
    <dxf>
      <font>
        <name val="Calibri"/>
        <charset val="1"/>
        <family val="0"/>
        <b val="1"/>
        <color rgb="FF005700"/>
      </font>
      <fill>
        <patternFill>
          <bgColor rgb="FFCCFFCC"/>
        </patternFill>
      </fill>
    </dxf>
    <dxf>
      <font>
        <name val="Calibri"/>
        <charset val="1"/>
        <family val="0"/>
        <b val="1"/>
        <color rgb="FF7D6608"/>
      </font>
      <fill>
        <patternFill>
          <bgColor rgb="FFFFEB9C"/>
        </patternFill>
      </fill>
    </dxf>
    <dxf>
      <font>
        <name val="Calibri"/>
        <charset val="1"/>
        <family val="0"/>
        <b val="1"/>
        <color rgb="FF9C0006"/>
      </font>
      <fill>
        <patternFill>
          <bgColor rgb="FFFFC7CE"/>
        </patternFill>
      </fill>
    </dxf>
    <dxf>
      <font>
        <name val="Calibri"/>
        <charset val="1"/>
        <family val="0"/>
        <b val="1"/>
        <i val="1"/>
        <color rgb="FF8C8C8C"/>
      </font>
      <fill>
        <patternFill>
          <bgColor rgb="FFD9D9D9"/>
        </patternFill>
      </fill>
    </dxf>
    <dxf>
      <font>
        <name val="Calibri"/>
        <charset val="1"/>
        <family val="0"/>
        <i val="1"/>
        <color rgb="FF8C8C8C"/>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FCE"/>
      <rgbColor rgb="FFCCFFCC"/>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57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4" customFormat="false" ht="21.75" hidden="false" customHeight="true" outlineLevel="0" collapsed="false">
      <c r="A24" s="10" t="s">
        <v>37</v>
      </c>
      <c r="B24" s="10"/>
      <c r="C24" s="10"/>
      <c r="D24" s="10"/>
      <c r="E24" s="10"/>
      <c r="F24" s="10"/>
    </row>
    <row r="25" customFormat="false" ht="37.5" hidden="false" customHeight="true" outlineLevel="0" collapsed="false">
      <c r="A25" s="20" t="s">
        <v>38</v>
      </c>
      <c r="B25" s="12" t="s">
        <v>39</v>
      </c>
      <c r="C25" s="12"/>
      <c r="D25" s="12"/>
      <c r="E25" s="12"/>
      <c r="F25" s="12"/>
    </row>
    <row r="26" customFormat="false" ht="37.5" hidden="false" customHeight="true" outlineLevel="0" collapsed="false">
      <c r="A26" s="20" t="s">
        <v>38</v>
      </c>
      <c r="B26" s="12" t="s">
        <v>40</v>
      </c>
      <c r="C26" s="12"/>
      <c r="D26" s="12"/>
      <c r="E26" s="12"/>
      <c r="F26" s="12"/>
    </row>
    <row r="27" customFormat="false" ht="37.5" hidden="false" customHeight="true" outlineLevel="0" collapsed="false">
      <c r="A27" s="20" t="s">
        <v>38</v>
      </c>
      <c r="B27" s="12" t="s">
        <v>41</v>
      </c>
      <c r="C27" s="12"/>
      <c r="D27" s="12"/>
      <c r="E27" s="12"/>
      <c r="F27" s="12"/>
    </row>
  </sheetData>
  <mergeCells count="24">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9"/>
    <col collapsed="false" customWidth="true" hidden="false" outlineLevel="0" max="2" min="2" style="0" width="22"/>
    <col collapsed="false" customWidth="true" hidden="false" outlineLevel="0" max="3" min="3" style="0" width="12"/>
    <col collapsed="false" customWidth="true" hidden="false" outlineLevel="0" max="4" min="4" style="0" width="46"/>
    <col collapsed="false" customWidth="true" hidden="false" outlineLevel="0" max="5" min="5" style="0" width="17"/>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20"/>
    <col collapsed="false" customWidth="true" hidden="false" outlineLevel="0" max="10" min="10" style="0" width="35"/>
    <col collapsed="false" customWidth="true" hidden="true" outlineLevel="1" max="14" min="11" style="0" width="20"/>
  </cols>
  <sheetData>
    <row r="1" customFormat="false" ht="21.75" hidden="false" customHeight="true" outlineLevel="0" collapsed="false">
      <c r="A1" s="21" t="s">
        <v>42</v>
      </c>
      <c r="B1" s="21"/>
      <c r="C1" s="21"/>
      <c r="D1" s="22" t="s">
        <v>43</v>
      </c>
      <c r="E1" s="22"/>
      <c r="F1" s="22"/>
      <c r="G1" s="21" t="s">
        <v>44</v>
      </c>
      <c r="H1" s="21"/>
      <c r="I1" s="22" t="s">
        <v>45</v>
      </c>
      <c r="J1" s="22"/>
      <c r="K1" s="23" t="s">
        <v>46</v>
      </c>
      <c r="L1" s="23"/>
      <c r="M1" s="23"/>
      <c r="N1" s="23"/>
    </row>
    <row r="2" customFormat="false" ht="31.5" hidden="false" customHeight="true" outlineLevel="0" collapsed="false">
      <c r="A2" s="24" t="s">
        <v>47</v>
      </c>
      <c r="B2" s="24" t="s">
        <v>48</v>
      </c>
      <c r="C2" s="24" t="s">
        <v>49</v>
      </c>
      <c r="D2" s="24" t="s">
        <v>50</v>
      </c>
      <c r="E2" s="24" t="s">
        <v>51</v>
      </c>
      <c r="F2" s="24" t="s">
        <v>52</v>
      </c>
      <c r="G2" s="24" t="s">
        <v>53</v>
      </c>
      <c r="H2" s="24" t="s">
        <v>54</v>
      </c>
      <c r="I2" s="24" t="s">
        <v>55</v>
      </c>
      <c r="J2" s="24" t="s">
        <v>56</v>
      </c>
      <c r="K2" s="24" t="s">
        <v>57</v>
      </c>
      <c r="L2" s="24" t="s">
        <v>58</v>
      </c>
      <c r="M2" s="24" t="s">
        <v>59</v>
      </c>
      <c r="N2" s="24" t="s">
        <v>60</v>
      </c>
    </row>
    <row r="3" customFormat="false" ht="21.75" hidden="false" customHeight="true" outlineLevel="0" collapsed="false">
      <c r="A3" s="25" t="str">
        <f aca="false">IF(B3&lt;&gt;"","DWG-"&amp;TEXT(ROW()-2,"000"),"")</f>
        <v>DWG-001</v>
      </c>
      <c r="B3" s="26" t="s">
        <v>61</v>
      </c>
      <c r="C3" s="26" t="s">
        <v>62</v>
      </c>
      <c r="D3" s="26" t="s">
        <v>63</v>
      </c>
      <c r="E3" s="26" t="s">
        <v>64</v>
      </c>
      <c r="F3" s="27" t="s">
        <v>65</v>
      </c>
      <c r="G3" s="28" t="n">
        <v>45672</v>
      </c>
      <c r="H3" s="26" t="s">
        <v>66</v>
      </c>
      <c r="I3" s="26" t="s">
        <v>67</v>
      </c>
      <c r="J3" s="26" t="s">
        <v>68</v>
      </c>
      <c r="K3" s="29"/>
      <c r="L3" s="29" t="s">
        <v>69</v>
      </c>
      <c r="M3" s="29" t="s">
        <v>70</v>
      </c>
      <c r="N3" s="29" t="s">
        <v>71</v>
      </c>
    </row>
    <row r="4" customFormat="false" ht="21.75" hidden="false" customHeight="true" outlineLevel="0" collapsed="false">
      <c r="A4" s="25" t="str">
        <f aca="false">IF(B4&lt;&gt;"","DWG-"&amp;TEXT(ROW()-2,"000"),"")</f>
        <v>DWG-002</v>
      </c>
      <c r="B4" s="26" t="s">
        <v>72</v>
      </c>
      <c r="C4" s="26" t="s">
        <v>73</v>
      </c>
      <c r="D4" s="26" t="s">
        <v>74</v>
      </c>
      <c r="E4" s="26" t="s">
        <v>75</v>
      </c>
      <c r="F4" s="27" t="s">
        <v>76</v>
      </c>
      <c r="G4" s="28" t="n">
        <v>45691</v>
      </c>
      <c r="H4" s="26" t="s">
        <v>77</v>
      </c>
      <c r="I4" s="26" t="s">
        <v>78</v>
      </c>
      <c r="J4" s="26" t="s">
        <v>79</v>
      </c>
      <c r="K4" s="29"/>
      <c r="L4" s="29" t="s">
        <v>80</v>
      </c>
      <c r="M4" s="29" t="s">
        <v>81</v>
      </c>
      <c r="N4" s="29" t="s">
        <v>82</v>
      </c>
    </row>
    <row r="5" customFormat="false" ht="21.75" hidden="false" customHeight="true" outlineLevel="0" collapsed="false">
      <c r="A5" s="25" t="str">
        <f aca="false">IF(B5&lt;&gt;"","DWG-"&amp;TEXT(ROW()-2,"000"),"")</f>
        <v>DWG-003</v>
      </c>
      <c r="B5" s="26" t="s">
        <v>83</v>
      </c>
      <c r="C5" s="26" t="s">
        <v>84</v>
      </c>
      <c r="D5" s="26" t="s">
        <v>85</v>
      </c>
      <c r="E5" s="26" t="s">
        <v>86</v>
      </c>
      <c r="F5" s="27" t="s">
        <v>87</v>
      </c>
      <c r="G5" s="28" t="n">
        <v>45708</v>
      </c>
      <c r="H5" s="26" t="s">
        <v>88</v>
      </c>
      <c r="I5" s="26"/>
      <c r="J5" s="26" t="s">
        <v>89</v>
      </c>
      <c r="K5" s="29" t="s">
        <v>90</v>
      </c>
      <c r="L5" s="29" t="s">
        <v>91</v>
      </c>
      <c r="M5" s="29" t="s">
        <v>92</v>
      </c>
      <c r="N5" s="29"/>
    </row>
    <row r="6" customFormat="false" ht="21.75" hidden="false" customHeight="true" outlineLevel="0" collapsed="false">
      <c r="A6" s="25" t="str">
        <f aca="false">IF(B6&lt;&gt;"","DWG-"&amp;TEXT(ROW()-2,"000"),"")</f>
        <v>DWG-004</v>
      </c>
      <c r="B6" s="26" t="s">
        <v>93</v>
      </c>
      <c r="C6" s="26" t="s">
        <v>94</v>
      </c>
      <c r="D6" s="26" t="s">
        <v>95</v>
      </c>
      <c r="E6" s="26" t="s">
        <v>96</v>
      </c>
      <c r="F6" s="27" t="s">
        <v>97</v>
      </c>
      <c r="G6" s="28" t="n">
        <v>45606</v>
      </c>
      <c r="H6" s="26" t="s">
        <v>98</v>
      </c>
      <c r="I6" s="26" t="s">
        <v>99</v>
      </c>
      <c r="J6" s="26" t="s">
        <v>100</v>
      </c>
      <c r="K6" s="29"/>
      <c r="L6" s="29" t="s">
        <v>101</v>
      </c>
      <c r="M6" s="29" t="s">
        <v>102</v>
      </c>
      <c r="N6" s="29" t="s">
        <v>103</v>
      </c>
    </row>
    <row r="7" customFormat="false" ht="21.75" hidden="false" customHeight="true" outlineLevel="0" collapsed="false">
      <c r="A7" s="25" t="str">
        <f aca="false">IF(B7&lt;&gt;"","DWG-"&amp;TEXT(ROW()-2,"000"),"")</f>
        <v>DWG-005</v>
      </c>
      <c r="B7" s="26" t="s">
        <v>104</v>
      </c>
      <c r="C7" s="26" t="s">
        <v>105</v>
      </c>
      <c r="D7" s="26" t="s">
        <v>106</v>
      </c>
      <c r="E7" s="26" t="s">
        <v>107</v>
      </c>
      <c r="F7" s="27" t="s">
        <v>87</v>
      </c>
      <c r="G7" s="28" t="n">
        <v>45717</v>
      </c>
      <c r="H7" s="26" t="s">
        <v>108</v>
      </c>
      <c r="I7" s="26"/>
      <c r="J7" s="26" t="s">
        <v>109</v>
      </c>
      <c r="K7" s="29" t="s">
        <v>110</v>
      </c>
      <c r="L7" s="29" t="s">
        <v>111</v>
      </c>
      <c r="M7" s="29" t="s">
        <v>112</v>
      </c>
      <c r="N7" s="29"/>
    </row>
    <row r="8" customFormat="false" ht="19.5" hidden="false" customHeight="true" outlineLevel="0" collapsed="false">
      <c r="A8" s="25" t="str">
        <f aca="false">IF(B8&lt;&gt;"","DWG-"&amp;TEXT(ROW()-2,"000"),"")</f>
        <v/>
      </c>
      <c r="B8" s="26"/>
      <c r="C8" s="26"/>
      <c r="D8" s="26"/>
      <c r="E8" s="26"/>
      <c r="F8" s="27"/>
      <c r="G8" s="28"/>
      <c r="H8" s="26"/>
      <c r="I8" s="26"/>
      <c r="J8" s="26"/>
    </row>
    <row r="9" customFormat="false" ht="19.5" hidden="false" customHeight="true" outlineLevel="0" collapsed="false">
      <c r="A9" s="25" t="str">
        <f aca="false">IF(B9&lt;&gt;"","DWG-"&amp;TEXT(ROW()-2,"000"),"")</f>
        <v/>
      </c>
      <c r="B9" s="26"/>
      <c r="C9" s="26"/>
      <c r="D9" s="26"/>
      <c r="E9" s="26"/>
      <c r="F9" s="27"/>
      <c r="G9" s="28"/>
      <c r="H9" s="26"/>
      <c r="I9" s="26"/>
      <c r="J9" s="26"/>
    </row>
    <row r="10" customFormat="false" ht="19.5" hidden="false" customHeight="true" outlineLevel="0" collapsed="false">
      <c r="A10" s="25" t="str">
        <f aca="false">IF(B10&lt;&gt;"","DWG-"&amp;TEXT(ROW()-2,"000"),"")</f>
        <v/>
      </c>
      <c r="B10" s="26"/>
      <c r="C10" s="26"/>
      <c r="D10" s="26"/>
      <c r="E10" s="26"/>
      <c r="F10" s="27"/>
      <c r="G10" s="28"/>
      <c r="H10" s="26"/>
      <c r="I10" s="26"/>
      <c r="J10" s="26"/>
    </row>
    <row r="11" customFormat="false" ht="19.5" hidden="false" customHeight="true" outlineLevel="0" collapsed="false">
      <c r="A11" s="25" t="str">
        <f aca="false">IF(B11&lt;&gt;"","DWG-"&amp;TEXT(ROW()-2,"000"),"")</f>
        <v/>
      </c>
      <c r="B11" s="26"/>
      <c r="C11" s="26"/>
      <c r="D11" s="26"/>
      <c r="E11" s="26"/>
      <c r="F11" s="27"/>
      <c r="G11" s="28"/>
      <c r="H11" s="26"/>
      <c r="I11" s="26"/>
      <c r="J11" s="26"/>
    </row>
    <row r="12" customFormat="false" ht="19.5" hidden="false" customHeight="true" outlineLevel="0" collapsed="false">
      <c r="A12" s="25" t="str">
        <f aca="false">IF(B12&lt;&gt;"","DWG-"&amp;TEXT(ROW()-2,"000"),"")</f>
        <v/>
      </c>
      <c r="B12" s="26"/>
      <c r="C12" s="26"/>
      <c r="D12" s="26"/>
      <c r="E12" s="26"/>
      <c r="F12" s="27"/>
      <c r="G12" s="28"/>
      <c r="H12" s="26"/>
      <c r="I12" s="26"/>
      <c r="J12" s="26"/>
    </row>
    <row r="13" customFormat="false" ht="19.5" hidden="false" customHeight="true" outlineLevel="0" collapsed="false">
      <c r="A13" s="25" t="str">
        <f aca="false">IF(B13&lt;&gt;"","DWG-"&amp;TEXT(ROW()-2,"000"),"")</f>
        <v/>
      </c>
      <c r="B13" s="26"/>
      <c r="C13" s="26"/>
      <c r="D13" s="26"/>
      <c r="E13" s="26"/>
      <c r="F13" s="27"/>
      <c r="G13" s="28"/>
      <c r="H13" s="26"/>
      <c r="I13" s="26"/>
      <c r="J13" s="26"/>
    </row>
    <row r="14" customFormat="false" ht="19.5" hidden="false" customHeight="true" outlineLevel="0" collapsed="false">
      <c r="A14" s="25" t="str">
        <f aca="false">IF(B14&lt;&gt;"","DWG-"&amp;TEXT(ROW()-2,"000"),"")</f>
        <v/>
      </c>
      <c r="B14" s="26"/>
      <c r="C14" s="26"/>
      <c r="D14" s="26"/>
      <c r="E14" s="26"/>
      <c r="F14" s="27"/>
      <c r="G14" s="28"/>
      <c r="H14" s="26"/>
      <c r="I14" s="26"/>
      <c r="J14" s="26"/>
    </row>
    <row r="15" customFormat="false" ht="19.5" hidden="false" customHeight="true" outlineLevel="0" collapsed="false">
      <c r="A15" s="25" t="str">
        <f aca="false">IF(B15&lt;&gt;"","DWG-"&amp;TEXT(ROW()-2,"000"),"")</f>
        <v/>
      </c>
      <c r="B15" s="26"/>
      <c r="C15" s="26"/>
      <c r="D15" s="26"/>
      <c r="E15" s="26"/>
      <c r="F15" s="27"/>
      <c r="G15" s="28"/>
      <c r="H15" s="26"/>
      <c r="I15" s="26"/>
      <c r="J15" s="26"/>
    </row>
    <row r="16" customFormat="false" ht="19.5" hidden="false" customHeight="true" outlineLevel="0" collapsed="false">
      <c r="A16" s="25" t="str">
        <f aca="false">IF(B16&lt;&gt;"","DWG-"&amp;TEXT(ROW()-2,"000"),"")</f>
        <v/>
      </c>
      <c r="B16" s="26"/>
      <c r="C16" s="26"/>
      <c r="D16" s="26"/>
      <c r="E16" s="26"/>
      <c r="F16" s="27"/>
      <c r="G16" s="28"/>
      <c r="H16" s="26"/>
      <c r="I16" s="26"/>
      <c r="J16" s="26"/>
    </row>
    <row r="17" customFormat="false" ht="19.5" hidden="false" customHeight="true" outlineLevel="0" collapsed="false">
      <c r="A17" s="25" t="str">
        <f aca="false">IF(B17&lt;&gt;"","DWG-"&amp;TEXT(ROW()-2,"000"),"")</f>
        <v/>
      </c>
      <c r="B17" s="26"/>
      <c r="C17" s="26"/>
      <c r="D17" s="26"/>
      <c r="E17" s="26"/>
      <c r="F17" s="27"/>
      <c r="G17" s="28"/>
      <c r="H17" s="26"/>
      <c r="I17" s="26"/>
      <c r="J17" s="26"/>
    </row>
    <row r="18" customFormat="false" ht="19.5" hidden="false" customHeight="true" outlineLevel="0" collapsed="false">
      <c r="A18" s="25" t="str">
        <f aca="false">IF(B18&lt;&gt;"","DWG-"&amp;TEXT(ROW()-2,"000"),"")</f>
        <v/>
      </c>
      <c r="B18" s="26"/>
      <c r="C18" s="26"/>
      <c r="D18" s="26"/>
      <c r="E18" s="26"/>
      <c r="F18" s="27"/>
      <c r="G18" s="28"/>
      <c r="H18" s="26"/>
      <c r="I18" s="26"/>
      <c r="J18" s="26"/>
    </row>
    <row r="19" customFormat="false" ht="19.5" hidden="false" customHeight="true" outlineLevel="0" collapsed="false">
      <c r="A19" s="25" t="str">
        <f aca="false">IF(B19&lt;&gt;"","DWG-"&amp;TEXT(ROW()-2,"000"),"")</f>
        <v/>
      </c>
      <c r="B19" s="26"/>
      <c r="C19" s="26"/>
      <c r="D19" s="26"/>
      <c r="E19" s="26"/>
      <c r="F19" s="27"/>
      <c r="G19" s="28"/>
      <c r="H19" s="26"/>
      <c r="I19" s="26"/>
      <c r="J19" s="26"/>
    </row>
    <row r="20" customFormat="false" ht="19.5" hidden="false" customHeight="true" outlineLevel="0" collapsed="false">
      <c r="A20" s="25" t="str">
        <f aca="false">IF(B20&lt;&gt;"","DWG-"&amp;TEXT(ROW()-2,"000"),"")</f>
        <v/>
      </c>
      <c r="B20" s="26"/>
      <c r="C20" s="26"/>
      <c r="D20" s="26"/>
      <c r="E20" s="26"/>
      <c r="F20" s="27"/>
      <c r="G20" s="28"/>
      <c r="H20" s="26"/>
      <c r="I20" s="26"/>
      <c r="J20" s="26"/>
    </row>
    <row r="21" customFormat="false" ht="19.5" hidden="false" customHeight="true" outlineLevel="0" collapsed="false">
      <c r="A21" s="25" t="str">
        <f aca="false">IF(B21&lt;&gt;"","DWG-"&amp;TEXT(ROW()-2,"000"),"")</f>
        <v/>
      </c>
      <c r="B21" s="26"/>
      <c r="C21" s="26"/>
      <c r="D21" s="26"/>
      <c r="E21" s="26"/>
      <c r="F21" s="27"/>
      <c r="G21" s="28"/>
      <c r="H21" s="26"/>
      <c r="I21" s="26"/>
      <c r="J21" s="26"/>
    </row>
    <row r="22" customFormat="false" ht="19.5" hidden="false" customHeight="true" outlineLevel="0" collapsed="false">
      <c r="A22" s="25" t="str">
        <f aca="false">IF(B22&lt;&gt;"","DWG-"&amp;TEXT(ROW()-2,"000"),"")</f>
        <v/>
      </c>
      <c r="B22" s="26"/>
      <c r="C22" s="26"/>
      <c r="D22" s="26"/>
      <c r="E22" s="26"/>
      <c r="F22" s="27"/>
      <c r="G22" s="28"/>
      <c r="H22" s="26"/>
      <c r="I22" s="26"/>
      <c r="J22" s="26"/>
    </row>
    <row r="23" customFormat="false" ht="19.5" hidden="false" customHeight="true" outlineLevel="0" collapsed="false">
      <c r="A23" s="25" t="str">
        <f aca="false">IF(B23&lt;&gt;"","DWG-"&amp;TEXT(ROW()-2,"000"),"")</f>
        <v/>
      </c>
      <c r="B23" s="26"/>
      <c r="C23" s="26"/>
      <c r="D23" s="26"/>
      <c r="E23" s="26"/>
      <c r="F23" s="27"/>
      <c r="G23" s="28"/>
      <c r="H23" s="26"/>
      <c r="I23" s="26"/>
      <c r="J23" s="26"/>
    </row>
    <row r="24" customFormat="false" ht="19.5" hidden="false" customHeight="true" outlineLevel="0" collapsed="false">
      <c r="A24" s="25" t="str">
        <f aca="false">IF(B24&lt;&gt;"","DWG-"&amp;TEXT(ROW()-2,"000"),"")</f>
        <v/>
      </c>
      <c r="B24" s="26"/>
      <c r="C24" s="26"/>
      <c r="D24" s="26"/>
      <c r="E24" s="26"/>
      <c r="F24" s="27"/>
      <c r="G24" s="28"/>
      <c r="H24" s="26"/>
      <c r="I24" s="26"/>
      <c r="J24" s="26"/>
    </row>
    <row r="25" customFormat="false" ht="19.5" hidden="false" customHeight="true" outlineLevel="0" collapsed="false">
      <c r="A25" s="25" t="str">
        <f aca="false">IF(B25&lt;&gt;"","DWG-"&amp;TEXT(ROW()-2,"000"),"")</f>
        <v/>
      </c>
      <c r="B25" s="26"/>
      <c r="C25" s="26"/>
      <c r="D25" s="26"/>
      <c r="E25" s="26"/>
      <c r="F25" s="27"/>
      <c r="G25" s="28"/>
      <c r="H25" s="26"/>
      <c r="I25" s="26"/>
      <c r="J25" s="26"/>
    </row>
    <row r="26" customFormat="false" ht="19.5" hidden="false" customHeight="true" outlineLevel="0" collapsed="false">
      <c r="A26" s="25" t="str">
        <f aca="false">IF(B26&lt;&gt;"","DWG-"&amp;TEXT(ROW()-2,"000"),"")</f>
        <v/>
      </c>
      <c r="B26" s="26"/>
      <c r="C26" s="26"/>
      <c r="D26" s="26"/>
      <c r="E26" s="26"/>
      <c r="F26" s="27"/>
      <c r="G26" s="28"/>
      <c r="H26" s="26"/>
      <c r="I26" s="26"/>
      <c r="J26" s="26"/>
    </row>
    <row r="27" customFormat="false" ht="19.5" hidden="false" customHeight="true" outlineLevel="0" collapsed="false">
      <c r="A27" s="25" t="str">
        <f aca="false">IF(B27&lt;&gt;"","DWG-"&amp;TEXT(ROW()-2,"000"),"")</f>
        <v/>
      </c>
      <c r="B27" s="26"/>
      <c r="C27" s="26"/>
      <c r="D27" s="26"/>
      <c r="E27" s="26"/>
      <c r="F27" s="27"/>
      <c r="G27" s="28"/>
      <c r="H27" s="26"/>
      <c r="I27" s="26"/>
      <c r="J27" s="26"/>
    </row>
    <row r="28" customFormat="false" ht="19.5" hidden="false" customHeight="true" outlineLevel="0" collapsed="false">
      <c r="A28" s="25" t="str">
        <f aca="false">IF(B28&lt;&gt;"","DWG-"&amp;TEXT(ROW()-2,"000"),"")</f>
        <v/>
      </c>
      <c r="B28" s="26"/>
      <c r="C28" s="26"/>
      <c r="D28" s="26"/>
      <c r="E28" s="26"/>
      <c r="F28" s="27"/>
      <c r="G28" s="28"/>
      <c r="H28" s="26"/>
      <c r="I28" s="26"/>
      <c r="J28" s="26"/>
    </row>
    <row r="29" customFormat="false" ht="19.5" hidden="false" customHeight="true" outlineLevel="0" collapsed="false">
      <c r="A29" s="25" t="str">
        <f aca="false">IF(B29&lt;&gt;"","DWG-"&amp;TEXT(ROW()-2,"000"),"")</f>
        <v/>
      </c>
      <c r="B29" s="26"/>
      <c r="C29" s="26"/>
      <c r="D29" s="26"/>
      <c r="E29" s="26"/>
      <c r="F29" s="27"/>
      <c r="G29" s="28"/>
      <c r="H29" s="26"/>
      <c r="I29" s="26"/>
      <c r="J29" s="26"/>
    </row>
    <row r="30" customFormat="false" ht="19.5" hidden="false" customHeight="true" outlineLevel="0" collapsed="false">
      <c r="A30" s="25" t="str">
        <f aca="false">IF(B30&lt;&gt;"","DWG-"&amp;TEXT(ROW()-2,"000"),"")</f>
        <v/>
      </c>
      <c r="B30" s="26"/>
      <c r="C30" s="26"/>
      <c r="D30" s="26"/>
      <c r="E30" s="26"/>
      <c r="F30" s="27"/>
      <c r="G30" s="28"/>
      <c r="H30" s="26"/>
      <c r="I30" s="26"/>
      <c r="J30" s="26"/>
    </row>
    <row r="31" customFormat="false" ht="19.5" hidden="false" customHeight="true" outlineLevel="0" collapsed="false">
      <c r="A31" s="25" t="str">
        <f aca="false">IF(B31&lt;&gt;"","DWG-"&amp;TEXT(ROW()-2,"000"),"")</f>
        <v/>
      </c>
      <c r="B31" s="26"/>
      <c r="C31" s="26"/>
      <c r="D31" s="26"/>
      <c r="E31" s="26"/>
      <c r="F31" s="27"/>
      <c r="G31" s="28"/>
      <c r="H31" s="26"/>
      <c r="I31" s="26"/>
      <c r="J31" s="26"/>
    </row>
    <row r="32" customFormat="false" ht="19.5" hidden="false" customHeight="true" outlineLevel="0" collapsed="false">
      <c r="A32" s="25" t="str">
        <f aca="false">IF(B32&lt;&gt;"","DWG-"&amp;TEXT(ROW()-2,"000"),"")</f>
        <v/>
      </c>
      <c r="B32" s="26"/>
      <c r="C32" s="26"/>
      <c r="D32" s="26"/>
      <c r="E32" s="26"/>
      <c r="F32" s="27"/>
      <c r="G32" s="28"/>
      <c r="H32" s="26"/>
      <c r="I32" s="26"/>
      <c r="J32" s="26"/>
    </row>
    <row r="33" customFormat="false" ht="19.5" hidden="false" customHeight="true" outlineLevel="0" collapsed="false">
      <c r="A33" s="25" t="str">
        <f aca="false">IF(B33&lt;&gt;"","DWG-"&amp;TEXT(ROW()-2,"000"),"")</f>
        <v/>
      </c>
      <c r="B33" s="26"/>
      <c r="C33" s="26"/>
      <c r="D33" s="26"/>
      <c r="E33" s="26"/>
      <c r="F33" s="27"/>
      <c r="G33" s="28"/>
      <c r="H33" s="26"/>
      <c r="I33" s="26"/>
      <c r="J33" s="26"/>
    </row>
    <row r="34" customFormat="false" ht="19.5" hidden="false" customHeight="true" outlineLevel="0" collapsed="false">
      <c r="A34" s="25" t="str">
        <f aca="false">IF(B34&lt;&gt;"","DWG-"&amp;TEXT(ROW()-2,"000"),"")</f>
        <v/>
      </c>
      <c r="B34" s="26"/>
      <c r="C34" s="26"/>
      <c r="D34" s="26"/>
      <c r="E34" s="26"/>
      <c r="F34" s="27"/>
      <c r="G34" s="28"/>
      <c r="H34" s="26"/>
      <c r="I34" s="26"/>
      <c r="J34" s="26"/>
    </row>
    <row r="35" customFormat="false" ht="19.5" hidden="false" customHeight="true" outlineLevel="0" collapsed="false">
      <c r="A35" s="25" t="str">
        <f aca="false">IF(B35&lt;&gt;"","DWG-"&amp;TEXT(ROW()-2,"000"),"")</f>
        <v/>
      </c>
      <c r="B35" s="26"/>
      <c r="C35" s="26"/>
      <c r="D35" s="26"/>
      <c r="E35" s="26"/>
      <c r="F35" s="27"/>
      <c r="G35" s="28"/>
      <c r="H35" s="26"/>
      <c r="I35" s="26"/>
      <c r="J35" s="26"/>
    </row>
    <row r="36" customFormat="false" ht="19.5" hidden="false" customHeight="true" outlineLevel="0" collapsed="false">
      <c r="A36" s="25" t="str">
        <f aca="false">IF(B36&lt;&gt;"","DWG-"&amp;TEXT(ROW()-2,"000"),"")</f>
        <v/>
      </c>
      <c r="B36" s="26"/>
      <c r="C36" s="26"/>
      <c r="D36" s="26"/>
      <c r="E36" s="26"/>
      <c r="F36" s="27"/>
      <c r="G36" s="28"/>
      <c r="H36" s="26"/>
      <c r="I36" s="26"/>
      <c r="J36" s="26"/>
    </row>
    <row r="37" customFormat="false" ht="19.5" hidden="false" customHeight="true" outlineLevel="0" collapsed="false">
      <c r="A37" s="25" t="str">
        <f aca="false">IF(B37&lt;&gt;"","DWG-"&amp;TEXT(ROW()-2,"000"),"")</f>
        <v/>
      </c>
      <c r="B37" s="26"/>
      <c r="C37" s="26"/>
      <c r="D37" s="26"/>
      <c r="E37" s="26"/>
      <c r="F37" s="27"/>
      <c r="G37" s="28"/>
      <c r="H37" s="26"/>
      <c r="I37" s="26"/>
      <c r="J37" s="26"/>
    </row>
    <row r="38" customFormat="false" ht="19.5" hidden="false" customHeight="true" outlineLevel="0" collapsed="false">
      <c r="A38" s="25" t="str">
        <f aca="false">IF(B38&lt;&gt;"","DWG-"&amp;TEXT(ROW()-2,"000"),"")</f>
        <v/>
      </c>
      <c r="B38" s="26"/>
      <c r="C38" s="26"/>
      <c r="D38" s="26"/>
      <c r="E38" s="26"/>
      <c r="F38" s="27"/>
      <c r="G38" s="28"/>
      <c r="H38" s="26"/>
      <c r="I38" s="26"/>
      <c r="J38" s="26"/>
    </row>
    <row r="39" customFormat="false" ht="19.5" hidden="false" customHeight="true" outlineLevel="0" collapsed="false">
      <c r="A39" s="25" t="str">
        <f aca="false">IF(B39&lt;&gt;"","DWG-"&amp;TEXT(ROW()-2,"000"),"")</f>
        <v/>
      </c>
      <c r="B39" s="26"/>
      <c r="C39" s="26"/>
      <c r="D39" s="26"/>
      <c r="E39" s="26"/>
      <c r="F39" s="27"/>
      <c r="G39" s="28"/>
      <c r="H39" s="26"/>
      <c r="I39" s="26"/>
      <c r="J39" s="26"/>
    </row>
    <row r="40" customFormat="false" ht="19.5" hidden="false" customHeight="true" outlineLevel="0" collapsed="false">
      <c r="A40" s="25" t="str">
        <f aca="false">IF(B40&lt;&gt;"","DWG-"&amp;TEXT(ROW()-2,"000"),"")</f>
        <v/>
      </c>
      <c r="B40" s="26"/>
      <c r="C40" s="26"/>
      <c r="D40" s="26"/>
      <c r="E40" s="26"/>
      <c r="F40" s="27"/>
      <c r="G40" s="28"/>
      <c r="H40" s="26"/>
      <c r="I40" s="26"/>
      <c r="J40" s="26"/>
    </row>
    <row r="41" customFormat="false" ht="19.5" hidden="false" customHeight="true" outlineLevel="0" collapsed="false">
      <c r="A41" s="25" t="str">
        <f aca="false">IF(B41&lt;&gt;"","DWG-"&amp;TEXT(ROW()-2,"000"),"")</f>
        <v/>
      </c>
      <c r="B41" s="26"/>
      <c r="C41" s="26"/>
      <c r="D41" s="26"/>
      <c r="E41" s="26"/>
      <c r="F41" s="27"/>
      <c r="G41" s="28"/>
      <c r="H41" s="26"/>
      <c r="I41" s="26"/>
      <c r="J41" s="26"/>
    </row>
    <row r="42" customFormat="false" ht="19.5" hidden="false" customHeight="true" outlineLevel="0" collapsed="false">
      <c r="A42" s="25" t="str">
        <f aca="false">IF(B42&lt;&gt;"","DWG-"&amp;TEXT(ROW()-2,"000"),"")</f>
        <v/>
      </c>
      <c r="B42" s="26"/>
      <c r="C42" s="26"/>
      <c r="D42" s="26"/>
      <c r="E42" s="26"/>
      <c r="F42" s="27"/>
      <c r="G42" s="28"/>
      <c r="H42" s="26"/>
      <c r="I42" s="26"/>
      <c r="J42" s="26"/>
    </row>
    <row r="43" customFormat="false" ht="19.5" hidden="false" customHeight="true" outlineLevel="0" collapsed="false">
      <c r="A43" s="25" t="str">
        <f aca="false">IF(B43&lt;&gt;"","DWG-"&amp;TEXT(ROW()-2,"000"),"")</f>
        <v/>
      </c>
      <c r="B43" s="26"/>
      <c r="C43" s="26"/>
      <c r="D43" s="26"/>
      <c r="E43" s="26"/>
      <c r="F43" s="27"/>
      <c r="G43" s="28"/>
      <c r="H43" s="26"/>
      <c r="I43" s="26"/>
      <c r="J43" s="26"/>
    </row>
    <row r="44" customFormat="false" ht="19.5" hidden="false" customHeight="true" outlineLevel="0" collapsed="false">
      <c r="A44" s="25" t="str">
        <f aca="false">IF(B44&lt;&gt;"","DWG-"&amp;TEXT(ROW()-2,"000"),"")</f>
        <v/>
      </c>
      <c r="B44" s="26"/>
      <c r="C44" s="26"/>
      <c r="D44" s="26"/>
      <c r="E44" s="26"/>
      <c r="F44" s="27"/>
      <c r="G44" s="28"/>
      <c r="H44" s="26"/>
      <c r="I44" s="26"/>
      <c r="J44" s="26"/>
    </row>
    <row r="45" customFormat="false" ht="19.5" hidden="false" customHeight="true" outlineLevel="0" collapsed="false">
      <c r="A45" s="25" t="str">
        <f aca="false">IF(B45&lt;&gt;"","DWG-"&amp;TEXT(ROW()-2,"000"),"")</f>
        <v/>
      </c>
      <c r="B45" s="26"/>
      <c r="C45" s="26"/>
      <c r="D45" s="26"/>
      <c r="E45" s="26"/>
      <c r="F45" s="27"/>
      <c r="G45" s="28"/>
      <c r="H45" s="26"/>
      <c r="I45" s="26"/>
      <c r="J45" s="26"/>
    </row>
    <row r="46" customFormat="false" ht="19.5" hidden="false" customHeight="true" outlineLevel="0" collapsed="false">
      <c r="A46" s="25" t="str">
        <f aca="false">IF(B46&lt;&gt;"","DWG-"&amp;TEXT(ROW()-2,"000"),"")</f>
        <v/>
      </c>
      <c r="B46" s="26"/>
      <c r="C46" s="26"/>
      <c r="D46" s="26"/>
      <c r="E46" s="26"/>
      <c r="F46" s="27"/>
      <c r="G46" s="28"/>
      <c r="H46" s="26"/>
      <c r="I46" s="26"/>
      <c r="J46" s="26"/>
    </row>
    <row r="47" customFormat="false" ht="19.5" hidden="false" customHeight="true" outlineLevel="0" collapsed="false">
      <c r="A47" s="25" t="str">
        <f aca="false">IF(B47&lt;&gt;"","DWG-"&amp;TEXT(ROW()-2,"000"),"")</f>
        <v/>
      </c>
      <c r="B47" s="26"/>
      <c r="C47" s="26"/>
      <c r="D47" s="26"/>
      <c r="E47" s="26"/>
      <c r="F47" s="27"/>
      <c r="G47" s="28"/>
      <c r="H47" s="26"/>
      <c r="I47" s="26"/>
      <c r="J47" s="26"/>
    </row>
    <row r="48" customFormat="false" ht="19.5" hidden="false" customHeight="true" outlineLevel="0" collapsed="false">
      <c r="A48" s="25" t="str">
        <f aca="false">IF(B48&lt;&gt;"","DWG-"&amp;TEXT(ROW()-2,"000"),"")</f>
        <v/>
      </c>
      <c r="B48" s="26"/>
      <c r="C48" s="26"/>
      <c r="D48" s="26"/>
      <c r="E48" s="26"/>
      <c r="F48" s="27"/>
      <c r="G48" s="28"/>
      <c r="H48" s="26"/>
      <c r="I48" s="26"/>
      <c r="J48" s="26"/>
    </row>
    <row r="49" customFormat="false" ht="19.5" hidden="false" customHeight="true" outlineLevel="0" collapsed="false">
      <c r="A49" s="25" t="str">
        <f aca="false">IF(B49&lt;&gt;"","DWG-"&amp;TEXT(ROW()-2,"000"),"")</f>
        <v/>
      </c>
      <c r="B49" s="26"/>
      <c r="C49" s="26"/>
      <c r="D49" s="26"/>
      <c r="E49" s="26"/>
      <c r="F49" s="27"/>
      <c r="G49" s="28"/>
      <c r="H49" s="26"/>
      <c r="I49" s="26"/>
      <c r="J49" s="26"/>
    </row>
    <row r="50" customFormat="false" ht="19.5" hidden="false" customHeight="true" outlineLevel="0" collapsed="false">
      <c r="A50" s="25" t="str">
        <f aca="false">IF(B50&lt;&gt;"","DWG-"&amp;TEXT(ROW()-2,"000"),"")</f>
        <v/>
      </c>
      <c r="B50" s="26"/>
      <c r="C50" s="26"/>
      <c r="D50" s="26"/>
      <c r="E50" s="26"/>
      <c r="F50" s="27"/>
      <c r="G50" s="28"/>
      <c r="H50" s="26"/>
      <c r="I50" s="26"/>
      <c r="J50" s="26"/>
    </row>
    <row r="51" customFormat="false" ht="19.5" hidden="false" customHeight="true" outlineLevel="0" collapsed="false">
      <c r="A51" s="25" t="str">
        <f aca="false">IF(B51&lt;&gt;"","DWG-"&amp;TEXT(ROW()-2,"000"),"")</f>
        <v/>
      </c>
      <c r="B51" s="26"/>
      <c r="C51" s="26"/>
      <c r="D51" s="26"/>
      <c r="E51" s="26"/>
      <c r="F51" s="27"/>
      <c r="G51" s="28"/>
      <c r="H51" s="26"/>
      <c r="I51" s="26"/>
      <c r="J51" s="26"/>
    </row>
    <row r="52" customFormat="false" ht="19.5" hidden="false" customHeight="true" outlineLevel="0" collapsed="false">
      <c r="A52" s="25" t="str">
        <f aca="false">IF(B52&lt;&gt;"","DWG-"&amp;TEXT(ROW()-2,"000"),"")</f>
        <v/>
      </c>
      <c r="B52" s="26"/>
      <c r="C52" s="26"/>
      <c r="D52" s="26"/>
      <c r="E52" s="26"/>
      <c r="F52" s="27"/>
      <c r="G52" s="28"/>
      <c r="H52" s="26"/>
      <c r="I52" s="26"/>
      <c r="J52" s="26"/>
    </row>
    <row r="53" customFormat="false" ht="19.5" hidden="false" customHeight="true" outlineLevel="0" collapsed="false">
      <c r="A53" s="25" t="str">
        <f aca="false">IF(B53&lt;&gt;"","DWG-"&amp;TEXT(ROW()-2,"000"),"")</f>
        <v/>
      </c>
      <c r="B53" s="26"/>
      <c r="C53" s="26"/>
      <c r="D53" s="26"/>
      <c r="E53" s="26"/>
      <c r="F53" s="27"/>
      <c r="G53" s="28"/>
      <c r="H53" s="26"/>
      <c r="I53" s="26"/>
      <c r="J53" s="26"/>
    </row>
    <row r="54" customFormat="false" ht="19.5" hidden="false" customHeight="true" outlineLevel="0" collapsed="false">
      <c r="A54" s="25" t="str">
        <f aca="false">IF(B54&lt;&gt;"","DWG-"&amp;TEXT(ROW()-2,"000"),"")</f>
        <v/>
      </c>
      <c r="B54" s="26"/>
      <c r="C54" s="26"/>
      <c r="D54" s="26"/>
      <c r="E54" s="26"/>
      <c r="F54" s="27"/>
      <c r="G54" s="28"/>
      <c r="H54" s="26"/>
      <c r="I54" s="26"/>
      <c r="J54" s="26"/>
    </row>
    <row r="55" customFormat="false" ht="19.5" hidden="false" customHeight="true" outlineLevel="0" collapsed="false">
      <c r="A55" s="25" t="str">
        <f aca="false">IF(B55&lt;&gt;"","DWG-"&amp;TEXT(ROW()-2,"000"),"")</f>
        <v/>
      </c>
      <c r="B55" s="26"/>
      <c r="C55" s="26"/>
      <c r="D55" s="26"/>
      <c r="E55" s="26"/>
      <c r="F55" s="27"/>
      <c r="G55" s="28"/>
      <c r="H55" s="26"/>
      <c r="I55" s="26"/>
      <c r="J55" s="26"/>
    </row>
    <row r="56" customFormat="false" ht="19.5" hidden="false" customHeight="true" outlineLevel="0" collapsed="false">
      <c r="A56" s="25" t="str">
        <f aca="false">IF(B56&lt;&gt;"","DWG-"&amp;TEXT(ROW()-2,"000"),"")</f>
        <v/>
      </c>
      <c r="B56" s="26"/>
      <c r="C56" s="26"/>
      <c r="D56" s="26"/>
      <c r="E56" s="26"/>
      <c r="F56" s="27"/>
      <c r="G56" s="28"/>
      <c r="H56" s="26"/>
      <c r="I56" s="26"/>
      <c r="J56" s="26"/>
    </row>
    <row r="57" customFormat="false" ht="19.5" hidden="false" customHeight="true" outlineLevel="0" collapsed="false">
      <c r="A57" s="25" t="str">
        <f aca="false">IF(B57&lt;&gt;"","DWG-"&amp;TEXT(ROW()-2,"000"),"")</f>
        <v/>
      </c>
      <c r="B57" s="26"/>
      <c r="C57" s="26"/>
      <c r="D57" s="26"/>
      <c r="E57" s="26"/>
      <c r="F57" s="27"/>
      <c r="G57" s="28"/>
      <c r="H57" s="26"/>
      <c r="I57" s="26"/>
      <c r="J57" s="26"/>
    </row>
    <row r="58" customFormat="false" ht="19.5" hidden="false" customHeight="true" outlineLevel="0" collapsed="false">
      <c r="A58" s="25" t="str">
        <f aca="false">IF(B58&lt;&gt;"","DWG-"&amp;TEXT(ROW()-2,"000"),"")</f>
        <v/>
      </c>
      <c r="B58" s="26"/>
      <c r="C58" s="26"/>
      <c r="D58" s="26"/>
      <c r="E58" s="26"/>
      <c r="F58" s="27"/>
      <c r="G58" s="28"/>
      <c r="H58" s="26"/>
      <c r="I58" s="26"/>
      <c r="J58" s="26"/>
    </row>
    <row r="59" customFormat="false" ht="19.5" hidden="false" customHeight="true" outlineLevel="0" collapsed="false">
      <c r="A59" s="25" t="str">
        <f aca="false">IF(B59&lt;&gt;"","DWG-"&amp;TEXT(ROW()-2,"000"),"")</f>
        <v/>
      </c>
      <c r="B59" s="26"/>
      <c r="C59" s="26"/>
      <c r="D59" s="26"/>
      <c r="E59" s="26"/>
      <c r="F59" s="27"/>
      <c r="G59" s="28"/>
      <c r="H59" s="26"/>
      <c r="I59" s="26"/>
      <c r="J59" s="26"/>
    </row>
    <row r="60" customFormat="false" ht="19.5" hidden="false" customHeight="true" outlineLevel="0" collapsed="false">
      <c r="A60" s="25" t="str">
        <f aca="false">IF(B60&lt;&gt;"","DWG-"&amp;TEXT(ROW()-2,"000"),"")</f>
        <v/>
      </c>
      <c r="B60" s="26"/>
      <c r="C60" s="26"/>
      <c r="D60" s="26"/>
      <c r="E60" s="26"/>
      <c r="F60" s="27"/>
      <c r="G60" s="28"/>
      <c r="H60" s="26"/>
      <c r="I60" s="26"/>
      <c r="J60" s="26"/>
    </row>
    <row r="61" customFormat="false" ht="19.5" hidden="false" customHeight="true" outlineLevel="0" collapsed="false">
      <c r="A61" s="25" t="str">
        <f aca="false">IF(B61&lt;&gt;"","DWG-"&amp;TEXT(ROW()-2,"000"),"")</f>
        <v/>
      </c>
      <c r="B61" s="26"/>
      <c r="C61" s="26"/>
      <c r="D61" s="26"/>
      <c r="E61" s="26"/>
      <c r="F61" s="27"/>
      <c r="G61" s="28"/>
      <c r="H61" s="26"/>
      <c r="I61" s="26"/>
      <c r="J61" s="26"/>
    </row>
    <row r="62" customFormat="false" ht="19.5" hidden="false" customHeight="true" outlineLevel="0" collapsed="false">
      <c r="A62" s="25" t="str">
        <f aca="false">IF(B62&lt;&gt;"","DWG-"&amp;TEXT(ROW()-2,"000"),"")</f>
        <v/>
      </c>
      <c r="B62" s="26"/>
      <c r="C62" s="26"/>
      <c r="D62" s="26"/>
      <c r="E62" s="26"/>
      <c r="F62" s="27"/>
      <c r="G62" s="28"/>
      <c r="H62" s="26"/>
      <c r="I62" s="26"/>
      <c r="J62" s="26"/>
    </row>
    <row r="63" customFormat="false" ht="19.5" hidden="false" customHeight="true" outlineLevel="0" collapsed="false">
      <c r="A63" s="25" t="str">
        <f aca="false">IF(B63&lt;&gt;"","DWG-"&amp;TEXT(ROW()-2,"000"),"")</f>
        <v/>
      </c>
      <c r="B63" s="26"/>
      <c r="C63" s="26"/>
      <c r="D63" s="26"/>
      <c r="E63" s="26"/>
      <c r="F63" s="27"/>
      <c r="G63" s="28"/>
      <c r="H63" s="26"/>
      <c r="I63" s="26"/>
      <c r="J63" s="26"/>
    </row>
    <row r="64" customFormat="false" ht="19.5" hidden="false" customHeight="true" outlineLevel="0" collapsed="false">
      <c r="A64" s="25" t="str">
        <f aca="false">IF(B64&lt;&gt;"","DWG-"&amp;TEXT(ROW()-2,"000"),"")</f>
        <v/>
      </c>
      <c r="B64" s="26"/>
      <c r="C64" s="26"/>
      <c r="D64" s="26"/>
      <c r="E64" s="26"/>
      <c r="F64" s="27"/>
      <c r="G64" s="28"/>
      <c r="H64" s="26"/>
      <c r="I64" s="26"/>
      <c r="J64" s="26"/>
    </row>
    <row r="65" customFormat="false" ht="19.5" hidden="false" customHeight="true" outlineLevel="0" collapsed="false">
      <c r="A65" s="25" t="str">
        <f aca="false">IF(B65&lt;&gt;"","DWG-"&amp;TEXT(ROW()-2,"000"),"")</f>
        <v/>
      </c>
      <c r="B65" s="26"/>
      <c r="C65" s="26"/>
      <c r="D65" s="26"/>
      <c r="E65" s="26"/>
      <c r="F65" s="27"/>
      <c r="G65" s="28"/>
      <c r="H65" s="26"/>
      <c r="I65" s="26"/>
      <c r="J65" s="26"/>
    </row>
    <row r="66" customFormat="false" ht="19.5" hidden="false" customHeight="true" outlineLevel="0" collapsed="false">
      <c r="A66" s="25" t="str">
        <f aca="false">IF(B66&lt;&gt;"","DWG-"&amp;TEXT(ROW()-2,"000"),"")</f>
        <v/>
      </c>
      <c r="B66" s="26"/>
      <c r="C66" s="26"/>
      <c r="D66" s="26"/>
      <c r="E66" s="26"/>
      <c r="F66" s="27"/>
      <c r="G66" s="28"/>
      <c r="H66" s="26"/>
      <c r="I66" s="26"/>
      <c r="J66" s="26"/>
    </row>
    <row r="67" customFormat="false" ht="19.5" hidden="false" customHeight="true" outlineLevel="0" collapsed="false">
      <c r="A67" s="25" t="str">
        <f aca="false">IF(B67&lt;&gt;"","DWG-"&amp;TEXT(ROW()-2,"000"),"")</f>
        <v/>
      </c>
      <c r="B67" s="26"/>
      <c r="C67" s="26"/>
      <c r="D67" s="26"/>
      <c r="E67" s="26"/>
      <c r="F67" s="27"/>
      <c r="G67" s="28"/>
      <c r="H67" s="26"/>
      <c r="I67" s="26"/>
      <c r="J67" s="26"/>
    </row>
    <row r="68" customFormat="false" ht="19.5" hidden="false" customHeight="true" outlineLevel="0" collapsed="false">
      <c r="A68" s="25" t="str">
        <f aca="false">IF(B68&lt;&gt;"","DWG-"&amp;TEXT(ROW()-2,"000"),"")</f>
        <v/>
      </c>
      <c r="B68" s="26"/>
      <c r="C68" s="26"/>
      <c r="D68" s="26"/>
      <c r="E68" s="26"/>
      <c r="F68" s="27"/>
      <c r="G68" s="28"/>
      <c r="H68" s="26"/>
      <c r="I68" s="26"/>
      <c r="J68" s="26"/>
    </row>
    <row r="69" customFormat="false" ht="19.5" hidden="false" customHeight="true" outlineLevel="0" collapsed="false">
      <c r="A69" s="25" t="str">
        <f aca="false">IF(B69&lt;&gt;"","DWG-"&amp;TEXT(ROW()-2,"000"),"")</f>
        <v/>
      </c>
      <c r="B69" s="26"/>
      <c r="C69" s="26"/>
      <c r="D69" s="26"/>
      <c r="E69" s="26"/>
      <c r="F69" s="27"/>
      <c r="G69" s="28"/>
      <c r="H69" s="26"/>
      <c r="I69" s="26"/>
      <c r="J69" s="26"/>
    </row>
    <row r="70" customFormat="false" ht="19.5" hidden="false" customHeight="true" outlineLevel="0" collapsed="false">
      <c r="A70" s="25" t="str">
        <f aca="false">IF(B70&lt;&gt;"","DWG-"&amp;TEXT(ROW()-2,"000"),"")</f>
        <v/>
      </c>
      <c r="B70" s="26"/>
      <c r="C70" s="26"/>
      <c r="D70" s="26"/>
      <c r="E70" s="26"/>
      <c r="F70" s="27"/>
      <c r="G70" s="28"/>
      <c r="H70" s="26"/>
      <c r="I70" s="26"/>
      <c r="J70" s="26"/>
    </row>
    <row r="71" customFormat="false" ht="19.5" hidden="false" customHeight="true" outlineLevel="0" collapsed="false">
      <c r="A71" s="25" t="str">
        <f aca="false">IF(B71&lt;&gt;"","DWG-"&amp;TEXT(ROW()-2,"000"),"")</f>
        <v/>
      </c>
      <c r="B71" s="26"/>
      <c r="C71" s="26"/>
      <c r="D71" s="26"/>
      <c r="E71" s="26"/>
      <c r="F71" s="27"/>
      <c r="G71" s="28"/>
      <c r="H71" s="26"/>
      <c r="I71" s="26"/>
      <c r="J71" s="26"/>
    </row>
    <row r="72" customFormat="false" ht="19.5" hidden="false" customHeight="true" outlineLevel="0" collapsed="false">
      <c r="A72" s="25" t="str">
        <f aca="false">IF(B72&lt;&gt;"","DWG-"&amp;TEXT(ROW()-2,"000"),"")</f>
        <v/>
      </c>
      <c r="B72" s="26"/>
      <c r="C72" s="26"/>
      <c r="D72" s="26"/>
      <c r="E72" s="26"/>
      <c r="F72" s="27"/>
      <c r="G72" s="28"/>
      <c r="H72" s="26"/>
      <c r="I72" s="26"/>
      <c r="J72" s="26"/>
    </row>
    <row r="73" customFormat="false" ht="19.5" hidden="false" customHeight="true" outlineLevel="0" collapsed="false">
      <c r="A73" s="25" t="str">
        <f aca="false">IF(B73&lt;&gt;"","DWG-"&amp;TEXT(ROW()-2,"000"),"")</f>
        <v/>
      </c>
      <c r="B73" s="26"/>
      <c r="C73" s="26"/>
      <c r="D73" s="26"/>
      <c r="E73" s="26"/>
      <c r="F73" s="27"/>
      <c r="G73" s="28"/>
      <c r="H73" s="26"/>
      <c r="I73" s="26"/>
      <c r="J73" s="26"/>
    </row>
    <row r="74" customFormat="false" ht="19.5" hidden="false" customHeight="true" outlineLevel="0" collapsed="false">
      <c r="A74" s="25" t="str">
        <f aca="false">IF(B74&lt;&gt;"","DWG-"&amp;TEXT(ROW()-2,"000"),"")</f>
        <v/>
      </c>
      <c r="B74" s="26"/>
      <c r="C74" s="26"/>
      <c r="D74" s="26"/>
      <c r="E74" s="26"/>
      <c r="F74" s="27"/>
      <c r="G74" s="28"/>
      <c r="H74" s="26"/>
      <c r="I74" s="26"/>
      <c r="J74" s="26"/>
    </row>
    <row r="75" customFormat="false" ht="19.5" hidden="false" customHeight="true" outlineLevel="0" collapsed="false">
      <c r="A75" s="25" t="str">
        <f aca="false">IF(B75&lt;&gt;"","DWG-"&amp;TEXT(ROW()-2,"000"),"")</f>
        <v/>
      </c>
      <c r="B75" s="26"/>
      <c r="C75" s="26"/>
      <c r="D75" s="26"/>
      <c r="E75" s="26"/>
      <c r="F75" s="27"/>
      <c r="G75" s="28"/>
      <c r="H75" s="26"/>
      <c r="I75" s="26"/>
      <c r="J75" s="26"/>
    </row>
    <row r="76" customFormat="false" ht="19.5" hidden="false" customHeight="true" outlineLevel="0" collapsed="false">
      <c r="A76" s="25" t="str">
        <f aca="false">IF(B76&lt;&gt;"","DWG-"&amp;TEXT(ROW()-2,"000"),"")</f>
        <v/>
      </c>
      <c r="B76" s="26"/>
      <c r="C76" s="26"/>
      <c r="D76" s="26"/>
      <c r="E76" s="26"/>
      <c r="F76" s="27"/>
      <c r="G76" s="28"/>
      <c r="H76" s="26"/>
      <c r="I76" s="26"/>
      <c r="J76" s="26"/>
    </row>
    <row r="77" customFormat="false" ht="19.5" hidden="false" customHeight="true" outlineLevel="0" collapsed="false">
      <c r="A77" s="25" t="str">
        <f aca="false">IF(B77&lt;&gt;"","DWG-"&amp;TEXT(ROW()-2,"000"),"")</f>
        <v/>
      </c>
      <c r="B77" s="26"/>
      <c r="C77" s="26"/>
      <c r="D77" s="26"/>
      <c r="E77" s="26"/>
      <c r="F77" s="27"/>
      <c r="G77" s="28"/>
      <c r="H77" s="26"/>
      <c r="I77" s="26"/>
      <c r="J77" s="26"/>
    </row>
    <row r="78" customFormat="false" ht="19.5" hidden="false" customHeight="true" outlineLevel="0" collapsed="false">
      <c r="A78" s="25" t="str">
        <f aca="false">IF(B78&lt;&gt;"","DWG-"&amp;TEXT(ROW()-2,"000"),"")</f>
        <v/>
      </c>
      <c r="B78" s="26"/>
      <c r="C78" s="26"/>
      <c r="D78" s="26"/>
      <c r="E78" s="26"/>
      <c r="F78" s="27"/>
      <c r="G78" s="28"/>
      <c r="H78" s="26"/>
      <c r="I78" s="26"/>
      <c r="J78" s="26"/>
    </row>
    <row r="79" customFormat="false" ht="19.5" hidden="false" customHeight="true" outlineLevel="0" collapsed="false">
      <c r="A79" s="25" t="str">
        <f aca="false">IF(B79&lt;&gt;"","DWG-"&amp;TEXT(ROW()-2,"000"),"")</f>
        <v/>
      </c>
      <c r="B79" s="26"/>
      <c r="C79" s="26"/>
      <c r="D79" s="26"/>
      <c r="E79" s="26"/>
      <c r="F79" s="27"/>
      <c r="G79" s="28"/>
      <c r="H79" s="26"/>
      <c r="I79" s="26"/>
      <c r="J79" s="26"/>
    </row>
    <row r="80" customFormat="false" ht="19.5" hidden="false" customHeight="true" outlineLevel="0" collapsed="false">
      <c r="A80" s="25" t="str">
        <f aca="false">IF(B80&lt;&gt;"","DWG-"&amp;TEXT(ROW()-2,"000"),"")</f>
        <v/>
      </c>
      <c r="B80" s="26"/>
      <c r="C80" s="26"/>
      <c r="D80" s="26"/>
      <c r="E80" s="26"/>
      <c r="F80" s="27"/>
      <c r="G80" s="28"/>
      <c r="H80" s="26"/>
      <c r="I80" s="26"/>
      <c r="J80" s="26"/>
    </row>
    <row r="81" customFormat="false" ht="19.5" hidden="false" customHeight="true" outlineLevel="0" collapsed="false">
      <c r="A81" s="25" t="str">
        <f aca="false">IF(B81&lt;&gt;"","DWG-"&amp;TEXT(ROW()-2,"000"),"")</f>
        <v/>
      </c>
      <c r="B81" s="26"/>
      <c r="C81" s="26"/>
      <c r="D81" s="26"/>
      <c r="E81" s="26"/>
      <c r="F81" s="27"/>
      <c r="G81" s="28"/>
      <c r="H81" s="26"/>
      <c r="I81" s="26"/>
      <c r="J81" s="26"/>
    </row>
    <row r="82" customFormat="false" ht="19.5" hidden="false" customHeight="true" outlineLevel="0" collapsed="false">
      <c r="A82" s="25" t="str">
        <f aca="false">IF(B82&lt;&gt;"","DWG-"&amp;TEXT(ROW()-2,"000"),"")</f>
        <v/>
      </c>
      <c r="B82" s="26"/>
      <c r="C82" s="26"/>
      <c r="D82" s="26"/>
      <c r="E82" s="26"/>
      <c r="F82" s="27"/>
      <c r="G82" s="28"/>
      <c r="H82" s="26"/>
      <c r="I82" s="26"/>
      <c r="J82" s="26"/>
    </row>
    <row r="83" customFormat="false" ht="19.5" hidden="false" customHeight="true" outlineLevel="0" collapsed="false">
      <c r="A83" s="25" t="str">
        <f aca="false">IF(B83&lt;&gt;"","DWG-"&amp;TEXT(ROW()-2,"000"),"")</f>
        <v/>
      </c>
      <c r="B83" s="26"/>
      <c r="C83" s="26"/>
      <c r="D83" s="26"/>
      <c r="E83" s="26"/>
      <c r="F83" s="27"/>
      <c r="G83" s="28"/>
      <c r="H83" s="26"/>
      <c r="I83" s="26"/>
      <c r="J83" s="26"/>
    </row>
    <row r="84" customFormat="false" ht="19.5" hidden="false" customHeight="true" outlineLevel="0" collapsed="false">
      <c r="A84" s="25" t="str">
        <f aca="false">IF(B84&lt;&gt;"","DWG-"&amp;TEXT(ROW()-2,"000"),"")</f>
        <v/>
      </c>
      <c r="B84" s="26"/>
      <c r="C84" s="26"/>
      <c r="D84" s="26"/>
      <c r="E84" s="26"/>
      <c r="F84" s="27"/>
      <c r="G84" s="28"/>
      <c r="H84" s="26"/>
      <c r="I84" s="26"/>
      <c r="J84" s="26"/>
    </row>
    <row r="85" customFormat="false" ht="19.5" hidden="false" customHeight="true" outlineLevel="0" collapsed="false">
      <c r="A85" s="25" t="str">
        <f aca="false">IF(B85&lt;&gt;"","DWG-"&amp;TEXT(ROW()-2,"000"),"")</f>
        <v/>
      </c>
      <c r="B85" s="26"/>
      <c r="C85" s="26"/>
      <c r="D85" s="26"/>
      <c r="E85" s="26"/>
      <c r="F85" s="27"/>
      <c r="G85" s="28"/>
      <c r="H85" s="26"/>
      <c r="I85" s="26"/>
      <c r="J85" s="26"/>
    </row>
    <row r="86" customFormat="false" ht="19.5" hidden="false" customHeight="true" outlineLevel="0" collapsed="false">
      <c r="A86" s="25" t="str">
        <f aca="false">IF(B86&lt;&gt;"","DWG-"&amp;TEXT(ROW()-2,"000"),"")</f>
        <v/>
      </c>
      <c r="B86" s="26"/>
      <c r="C86" s="26"/>
      <c r="D86" s="26"/>
      <c r="E86" s="26"/>
      <c r="F86" s="27"/>
      <c r="G86" s="28"/>
      <c r="H86" s="26"/>
      <c r="I86" s="26"/>
      <c r="J86" s="26"/>
    </row>
    <row r="87" customFormat="false" ht="19.5" hidden="false" customHeight="true" outlineLevel="0" collapsed="false">
      <c r="A87" s="25" t="str">
        <f aca="false">IF(B87&lt;&gt;"","DWG-"&amp;TEXT(ROW()-2,"000"),"")</f>
        <v/>
      </c>
      <c r="B87" s="26"/>
      <c r="C87" s="26"/>
      <c r="D87" s="26"/>
      <c r="E87" s="26"/>
      <c r="F87" s="27"/>
      <c r="G87" s="28"/>
      <c r="H87" s="26"/>
      <c r="I87" s="26"/>
      <c r="J87" s="26"/>
    </row>
    <row r="88" customFormat="false" ht="19.5" hidden="false" customHeight="true" outlineLevel="0" collapsed="false">
      <c r="A88" s="25" t="str">
        <f aca="false">IF(B88&lt;&gt;"","DWG-"&amp;TEXT(ROW()-2,"000"),"")</f>
        <v/>
      </c>
      <c r="B88" s="26"/>
      <c r="C88" s="26"/>
      <c r="D88" s="26"/>
      <c r="E88" s="26"/>
      <c r="F88" s="27"/>
      <c r="G88" s="28"/>
      <c r="H88" s="26"/>
      <c r="I88" s="26"/>
      <c r="J88" s="26"/>
    </row>
    <row r="89" customFormat="false" ht="19.5" hidden="false" customHeight="true" outlineLevel="0" collapsed="false">
      <c r="A89" s="25" t="str">
        <f aca="false">IF(B89&lt;&gt;"","DWG-"&amp;TEXT(ROW()-2,"000"),"")</f>
        <v/>
      </c>
      <c r="B89" s="26"/>
      <c r="C89" s="26"/>
      <c r="D89" s="26"/>
      <c r="E89" s="26"/>
      <c r="F89" s="27"/>
      <c r="G89" s="28"/>
      <c r="H89" s="26"/>
      <c r="I89" s="26"/>
      <c r="J89" s="26"/>
    </row>
    <row r="90" customFormat="false" ht="19.5" hidden="false" customHeight="true" outlineLevel="0" collapsed="false">
      <c r="A90" s="25" t="str">
        <f aca="false">IF(B90&lt;&gt;"","DWG-"&amp;TEXT(ROW()-2,"000"),"")</f>
        <v/>
      </c>
      <c r="B90" s="26"/>
      <c r="C90" s="26"/>
      <c r="D90" s="26"/>
      <c r="E90" s="26"/>
      <c r="F90" s="27"/>
      <c r="G90" s="28"/>
      <c r="H90" s="26"/>
      <c r="I90" s="26"/>
      <c r="J90" s="26"/>
    </row>
    <row r="91" customFormat="false" ht="19.5" hidden="false" customHeight="true" outlineLevel="0" collapsed="false">
      <c r="A91" s="25" t="str">
        <f aca="false">IF(B91&lt;&gt;"","DWG-"&amp;TEXT(ROW()-2,"000"),"")</f>
        <v/>
      </c>
      <c r="B91" s="26"/>
      <c r="C91" s="26"/>
      <c r="D91" s="26"/>
      <c r="E91" s="26"/>
      <c r="F91" s="27"/>
      <c r="G91" s="28"/>
      <c r="H91" s="26"/>
      <c r="I91" s="26"/>
      <c r="J91" s="26"/>
    </row>
    <row r="92" customFormat="false" ht="19.5" hidden="false" customHeight="true" outlineLevel="0" collapsed="false">
      <c r="A92" s="25" t="str">
        <f aca="false">IF(B92&lt;&gt;"","DWG-"&amp;TEXT(ROW()-2,"000"),"")</f>
        <v/>
      </c>
      <c r="B92" s="26"/>
      <c r="C92" s="26"/>
      <c r="D92" s="26"/>
      <c r="E92" s="26"/>
      <c r="F92" s="27"/>
      <c r="G92" s="28"/>
      <c r="H92" s="26"/>
      <c r="I92" s="26"/>
      <c r="J92" s="26"/>
    </row>
    <row r="93" customFormat="false" ht="19.5" hidden="false" customHeight="true" outlineLevel="0" collapsed="false">
      <c r="A93" s="25" t="str">
        <f aca="false">IF(B93&lt;&gt;"","DWG-"&amp;TEXT(ROW()-2,"000"),"")</f>
        <v/>
      </c>
      <c r="B93" s="26"/>
      <c r="C93" s="26"/>
      <c r="D93" s="26"/>
      <c r="E93" s="26"/>
      <c r="F93" s="27"/>
      <c r="G93" s="28"/>
      <c r="H93" s="26"/>
      <c r="I93" s="26"/>
      <c r="J93" s="26"/>
    </row>
    <row r="94" customFormat="false" ht="19.5" hidden="false" customHeight="true" outlineLevel="0" collapsed="false">
      <c r="A94" s="25" t="str">
        <f aca="false">IF(B94&lt;&gt;"","DWG-"&amp;TEXT(ROW()-2,"000"),"")</f>
        <v/>
      </c>
      <c r="B94" s="26"/>
      <c r="C94" s="26"/>
      <c r="D94" s="26"/>
      <c r="E94" s="26"/>
      <c r="F94" s="27"/>
      <c r="G94" s="28"/>
      <c r="H94" s="26"/>
      <c r="I94" s="26"/>
      <c r="J94" s="26"/>
    </row>
    <row r="95" customFormat="false" ht="19.5" hidden="false" customHeight="true" outlineLevel="0" collapsed="false">
      <c r="A95" s="25" t="str">
        <f aca="false">IF(B95&lt;&gt;"","DWG-"&amp;TEXT(ROW()-2,"000"),"")</f>
        <v/>
      </c>
      <c r="B95" s="26"/>
      <c r="C95" s="26"/>
      <c r="D95" s="26"/>
      <c r="E95" s="26"/>
      <c r="F95" s="27"/>
      <c r="G95" s="28"/>
      <c r="H95" s="26"/>
      <c r="I95" s="26"/>
      <c r="J95" s="26"/>
    </row>
    <row r="96" customFormat="false" ht="19.5" hidden="false" customHeight="true" outlineLevel="0" collapsed="false">
      <c r="A96" s="25" t="str">
        <f aca="false">IF(B96&lt;&gt;"","DWG-"&amp;TEXT(ROW()-2,"000"),"")</f>
        <v/>
      </c>
      <c r="B96" s="26"/>
      <c r="C96" s="26"/>
      <c r="D96" s="26"/>
      <c r="E96" s="26"/>
      <c r="F96" s="27"/>
      <c r="G96" s="28"/>
      <c r="H96" s="26"/>
      <c r="I96" s="26"/>
      <c r="J96" s="26"/>
    </row>
    <row r="97" customFormat="false" ht="19.5" hidden="false" customHeight="true" outlineLevel="0" collapsed="false">
      <c r="A97" s="25" t="str">
        <f aca="false">IF(B97&lt;&gt;"","DWG-"&amp;TEXT(ROW()-2,"000"),"")</f>
        <v/>
      </c>
      <c r="B97" s="26"/>
      <c r="C97" s="26"/>
      <c r="D97" s="26"/>
      <c r="E97" s="26"/>
      <c r="F97" s="27"/>
      <c r="G97" s="28"/>
      <c r="H97" s="26"/>
      <c r="I97" s="26"/>
      <c r="J97" s="26"/>
    </row>
    <row r="98" customFormat="false" ht="19.5" hidden="false" customHeight="true" outlineLevel="0" collapsed="false">
      <c r="A98" s="25" t="str">
        <f aca="false">IF(B98&lt;&gt;"","DWG-"&amp;TEXT(ROW()-2,"000"),"")</f>
        <v/>
      </c>
      <c r="B98" s="26"/>
      <c r="C98" s="26"/>
      <c r="D98" s="26"/>
      <c r="E98" s="26"/>
      <c r="F98" s="27"/>
      <c r="G98" s="28"/>
      <c r="H98" s="26"/>
      <c r="I98" s="26"/>
      <c r="J98" s="26"/>
    </row>
    <row r="99" customFormat="false" ht="19.5" hidden="false" customHeight="true" outlineLevel="0" collapsed="false">
      <c r="A99" s="25" t="str">
        <f aca="false">IF(B99&lt;&gt;"","DWG-"&amp;TEXT(ROW()-2,"000"),"")</f>
        <v/>
      </c>
      <c r="B99" s="26"/>
      <c r="C99" s="26"/>
      <c r="D99" s="26"/>
      <c r="E99" s="26"/>
      <c r="F99" s="27"/>
      <c r="G99" s="28"/>
      <c r="H99" s="26"/>
      <c r="I99" s="26"/>
      <c r="J99" s="26"/>
    </row>
    <row r="100" customFormat="false" ht="19.5" hidden="false" customHeight="true" outlineLevel="0" collapsed="false">
      <c r="A100" s="25" t="str">
        <f aca="false">IF(B100&lt;&gt;"","DWG-"&amp;TEXT(ROW()-2,"000"),"")</f>
        <v/>
      </c>
      <c r="B100" s="26"/>
      <c r="C100" s="26"/>
      <c r="D100" s="26"/>
      <c r="E100" s="26"/>
      <c r="F100" s="27"/>
      <c r="G100" s="28"/>
      <c r="H100" s="26"/>
      <c r="I100" s="26"/>
      <c r="J100" s="26"/>
    </row>
    <row r="102" customFormat="false" ht="24" hidden="false" customHeight="true" outlineLevel="0" collapsed="false">
      <c r="A102" s="30" t="s">
        <v>113</v>
      </c>
      <c r="B102" s="31" t="n">
        <f aca="false">COUNTA(B3:B101)</f>
        <v>5</v>
      </c>
      <c r="C102" s="30" t="s">
        <v>65</v>
      </c>
      <c r="D102" s="31" t="n">
        <f aca="false">COUNTIF(F3:F101,"IFC")</f>
        <v>1</v>
      </c>
      <c r="E102" s="30" t="s">
        <v>114</v>
      </c>
      <c r="F102" s="31" t="n">
        <f aca="false">COUNTIF(F3:F101,"For Construction")</f>
        <v>1</v>
      </c>
      <c r="G102" s="30" t="s">
        <v>115</v>
      </c>
      <c r="H102" s="31" t="n">
        <f aca="false">COUNTIF(F3:F101,"For Review")</f>
        <v>2</v>
      </c>
      <c r="I102" s="30" t="s">
        <v>116</v>
      </c>
      <c r="J102" s="31" t="n">
        <f aca="false">COUNTIF(F3:F101,"Superseded")</f>
        <v>1</v>
      </c>
      <c r="K102" s="30" t="s">
        <v>117</v>
      </c>
      <c r="L102" s="31" t="n">
        <f aca="false">COUNTIF(F3:F101,"Cancelled")</f>
        <v>0</v>
      </c>
      <c r="M102" s="32"/>
      <c r="N102" s="32"/>
    </row>
  </sheetData>
  <autoFilter ref="A2:N2"/>
  <mergeCells count="5">
    <mergeCell ref="A1:C1"/>
    <mergeCell ref="D1:F1"/>
    <mergeCell ref="G1:H1"/>
    <mergeCell ref="I1:J1"/>
    <mergeCell ref="K1:N1"/>
  </mergeCells>
  <conditionalFormatting sqref="F3:F101">
    <cfRule type="cellIs" priority="2" operator="equal" aboveAverage="0" equalAverage="0" bottom="0" percent="0" rank="0" text="" dxfId="3">
      <formula>"IFC"</formula>
    </cfRule>
    <cfRule type="cellIs" priority="3" operator="equal" aboveAverage="0" equalAverage="0" bottom="0" percent="0" rank="0" text="" dxfId="4">
      <formula>"For Construction"</formula>
    </cfRule>
    <cfRule type="cellIs" priority="4" operator="equal" aboveAverage="0" equalAverage="0" bottom="0" percent="0" rank="0" text="" dxfId="5">
      <formula>"For Review"</formula>
    </cfRule>
    <cfRule type="cellIs" priority="5" operator="equal" aboveAverage="0" equalAverage="0" bottom="0" percent="0" rank="0" text="" dxfId="6">
      <formula>"Cancelled"</formula>
    </cfRule>
    <cfRule type="cellIs" priority="6" operator="equal" aboveAverage="0" equalAverage="0" bottom="0" percent="0" rank="0" text="" dxfId="7">
      <formula>"Superseded"</formula>
    </cfRule>
  </conditionalFormatting>
  <conditionalFormatting sqref="A3:J101">
    <cfRule type="expression" priority="7" aboveAverage="0" equalAverage="0" bottom="0" percent="0" rank="0" text="" dxfId="8">
      <formula>$F3="Superseded"</formula>
    </cfRule>
  </conditionalFormatting>
  <dataValidations count="3">
    <dataValidation allowBlank="true" errorStyle="stop" operator="between" showDropDown="false" showErrorMessage="false" showInputMessage="false" sqref="F3:F1000" type="list">
      <formula1>"IFC,For Construction,For Review,Superseded,Cancelled"</formula1>
      <formula2>0</formula2>
    </dataValidation>
    <dataValidation allowBlank="true" errorStyle="stop" operator="between" showDropDown="false" showErrorMessage="false" showInputMessage="false" sqref="E3:E1000" type="list">
      <formula1>"Civil,Structural,Mechanical,Electrical,Instrumentation,Process,Architectural,Multi-Discipline"</formula1>
      <formula2>0</formula2>
    </dataValidation>
    <dataValidation allowBlank="true" errorStyle="stop" operator="between" showDropDown="false" showErrorMessage="false" showInputMessage="false" sqref="C3:C1000" type="list">
      <formula1>"P01,P02,P03,A,B,C,D,E,F,G,H"</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&amp;CDrawing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118</v>
      </c>
    </row>
    <row r="2" customFormat="false" ht="21.75" hidden="false" customHeight="true" outlineLevel="0" collapsed="false">
      <c r="A2" s="34"/>
    </row>
    <row r="3" customFormat="false" ht="21.75" hidden="false" customHeight="true" outlineLevel="0" collapsed="false">
      <c r="A3" s="34" t="s">
        <v>119</v>
      </c>
    </row>
    <row r="4" customFormat="false" ht="21.75" hidden="false" customHeight="true" outlineLevel="0" collapsed="false">
      <c r="A4" s="34"/>
    </row>
    <row r="5" customFormat="false" ht="21.75" hidden="false" customHeight="true" outlineLevel="0" collapsed="false">
      <c r="A5" s="34" t="s">
        <v>120</v>
      </c>
    </row>
    <row r="6" customFormat="false" ht="21.75" hidden="false" customHeight="true" outlineLevel="0" collapsed="false">
      <c r="A6" s="34" t="s">
        <v>121</v>
      </c>
    </row>
    <row r="7" customFormat="false" ht="21.75" hidden="false" customHeight="true" outlineLevel="0" collapsed="false">
      <c r="A7" s="34" t="s">
        <v>122</v>
      </c>
    </row>
    <row r="8" customFormat="false" ht="21.75" hidden="false" customHeight="true" outlineLevel="0" collapsed="false">
      <c r="A8" s="34" t="s">
        <v>123</v>
      </c>
    </row>
    <row r="9" customFormat="false" ht="21.75" hidden="false" customHeight="true" outlineLevel="0" collapsed="false">
      <c r="A9" s="34" t="s">
        <v>124</v>
      </c>
    </row>
    <row r="10" customFormat="false" ht="21.75" hidden="false" customHeight="true" outlineLevel="0" collapsed="false">
      <c r="A10" s="34" t="s">
        <v>125</v>
      </c>
    </row>
    <row r="11" customFormat="false" ht="21.75" hidden="false" customHeight="true" outlineLevel="0" collapsed="false">
      <c r="A11" s="34"/>
    </row>
    <row r="12" customFormat="false" ht="21.75" hidden="false" customHeight="true" outlineLevel="0" collapsed="false">
      <c r="A12" s="34"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2026-03-24T12:58:15Z</dcterms:created>
  <dc:creator>Ebrora Ltd</dc:creator>
  <dc:description>IFC drawing register tracking drawing numbers, revisions, disciplines and issue status on UK construction projects.
Free professional construction management template from Ebrora Ltd. Visit ebrora.com for our full range of tools and templates.</dc:description>
  <cp:keywords>Ebrora construction drawing register IFC document control revisions UK construction engineering drawings</cp:keywords>
  <dc:language>en-US</dc:language>
  <cp:lastModifiedBy>Ebrora Ltd</cp:lastModifiedBy>
  <dcterms:modified xsi:type="dcterms:W3CDTF">2026-03-24T12:58:15Z</dcterms:modified>
  <cp:revision>0</cp:revision>
  <dc:subject>IFC drawing register for tracking drawing numbers, revisions, disciplines and issue status on construction projects.</dc:subject>
  <dc:title>Drawing Register</dc:title>
</cp:coreProperties>
</file>

<file path=docProps/custom.xml><?xml version="1.0" encoding="utf-8"?>
<Properties xmlns="http://schemas.openxmlformats.org/officeDocument/2006/custom-properties" xmlns:vt="http://schemas.openxmlformats.org/officeDocument/2006/docPropsVTypes"/>
</file>