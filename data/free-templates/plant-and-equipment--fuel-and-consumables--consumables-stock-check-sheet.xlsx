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Stock Check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'Stock Check'!$A$1:$L$48</definedName>
    <definedName function="false" hidden="true" localSheetId="2" name="_xlnm._FilterDatabase" vbProcedure="false">'Stock Check'!$A$7:$O$48</definedName>
    <definedName function="false" hidden="false" name="DataTable" vbProcedure="false">'Stock Check'!$A$7:$O$48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<sst xmlns="http://schemas.openxmlformats.org/spreadsheetml/2006/main" count="115" uniqueCount="107">
  <si>
    <t xml:space="preserve">EBRORA</t>
  </si>
  <si>
    <t xml:space="preserve">ebrora.com</t>
  </si>
  <si>
    <t xml:space="preserve">Consumables Stock
Check Sheet</t>
  </si>
  <si>
    <t xml:space="preserve">Monitor consumable stock levels with reorder alerts, average daily usage rates, and days-of-stock-remaining calculations.</t>
  </si>
  <si>
    <t xml:space="preserve">This is a free template from Ebrora.
For our full range of professional-grade construction management tools,
visit ebrora.com</t>
  </si>
  <si>
    <t xml:space="preserve">© Ebrora 2026 — All rights reserved</t>
  </si>
  <si>
    <t xml:space="preserve">How to Use This Template</t>
  </si>
  <si>
    <t xml:space="preserve">Step-by-Step Instructions</t>
  </si>
  <si>
    <t xml:space="preserve">1. Go to the 'Stock Check' sheet. The summary shows total items, items needing reorder, and out-of-stock count.</t>
  </si>
  <si>
    <t xml:space="preserve">2. List each consumable with its description, category, unit of measure, and storage location.</t>
  </si>
  <si>
    <t xml:space="preserve">3. Enter the current stock quantity after each stock check. Record the date of the last count.</t>
  </si>
  <si>
    <t xml:space="preserve">4. Set the Minimum Stock Level (trigger point for reorder) and the Average Daily Usage rate.</t>
  </si>
  <si>
    <t xml:space="preserve">5. 'Days Remaining' auto-calculates: current stock ÷ daily usage. Items below 5 days highlight red.</t>
  </si>
  <si>
    <t xml:space="preserve">6. 'Reorder?' auto-flags YES when stock drops to or below the minimum level.</t>
  </si>
  <si>
    <t xml:space="preserve">7. Expand optional columns [+] for unit cost, supplier, order lead time, and last order date.</t>
  </si>
  <si>
    <t xml:space="preserve">8. Run this check weekly — print a copy for the stores person to count against.</t>
  </si>
  <si>
    <t xml:space="preserve">Colour Key</t>
  </si>
  <si>
    <t xml:space="preserve">Light teal</t>
  </si>
  <si>
    <t xml:space="preserve">Editable cells</t>
  </si>
  <si>
    <t xml:space="preserve">Dark navy</t>
  </si>
  <si>
    <t xml:space="preserve">Headers</t>
  </si>
  <si>
    <t xml:space="preserve">Green</t>
  </si>
  <si>
    <t xml:space="preserve">Good / In stock</t>
  </si>
  <si>
    <t xml:space="preserve">Amber</t>
  </si>
  <si>
    <t xml:space="preserve">Low stock — reorder soon</t>
  </si>
  <si>
    <t xml:space="preserve">Red</t>
  </si>
  <si>
    <t xml:space="preserve">Out of stock / Critical</t>
  </si>
  <si>
    <t xml:space="preserve">Tips</t>
  </si>
  <si>
    <t xml:space="preserve">• Set minimum levels based on lead time: if a supplier takes 3 days to deliver, your minimum should cover 5 days of usage.</t>
  </si>
  <si>
    <t xml:space="preserve">• Group items by category (fixings, PPE, consumables, etc.) so the stores person can count area by area.</t>
  </si>
  <si>
    <t xml:space="preserve">• Flag any items with zero stock immediately — don't wait for the weekly check to discover you've run out.</t>
  </si>
  <si>
    <t xml:space="preserve">CONSUMABLES STOCK CHECK SHEET</t>
  </si>
  <si>
    <t xml:space="preserve">Total Items</t>
  </si>
  <si>
    <t xml:space="preserve">In Stock</t>
  </si>
  <si>
    <t xml:space="preserve">Need Reorder</t>
  </si>
  <si>
    <t xml:space="preserve">Out of Stock</t>
  </si>
  <si>
    <t xml:space="preserve">Last Check Date</t>
  </si>
  <si>
    <t xml:space="preserve">▸ Optional Fields — Click [+] to expand</t>
  </si>
  <si>
    <t xml:space="preserve">Item
Ref</t>
  </si>
  <si>
    <t xml:space="preserve">Description</t>
  </si>
  <si>
    <t xml:space="preserve">Category</t>
  </si>
  <si>
    <t xml:space="preserve">Unit</t>
  </si>
  <si>
    <t xml:space="preserve">Storage Location</t>
  </si>
  <si>
    <t xml:space="preserve">Current
Stock</t>
  </si>
  <si>
    <t xml:space="preserve">Last Count
Date</t>
  </si>
  <si>
    <t xml:space="preserve">Avg Daily
Usage</t>
  </si>
  <si>
    <t xml:space="preserve">Days
Remaining</t>
  </si>
  <si>
    <t xml:space="preserve">Min
Stock</t>
  </si>
  <si>
    <t xml:space="preserve">Reorder?</t>
  </si>
  <si>
    <t xml:space="preserve">Notes</t>
  </si>
  <si>
    <t xml:space="preserve">Supplier</t>
  </si>
  <si>
    <t xml:space="preserve">Lead Time
(days)</t>
  </si>
  <si>
    <t xml:space="preserve">Last Order
Date</t>
  </si>
  <si>
    <t xml:space="preserve">CS-001</t>
  </si>
  <si>
    <t xml:space="preserve">M10 Coach Bolts — 75mm (Box of 100)</t>
  </si>
  <si>
    <t xml:space="preserve">Fixings</t>
  </si>
  <si>
    <t xml:space="preserve">Box</t>
  </si>
  <si>
    <t xml:space="preserve">Bolt Store — Rack A</t>
  </si>
  <si>
    <t xml:space="preserve">Galvanised — for timber connections</t>
  </si>
  <si>
    <t xml:space="preserve">Screwfix</t>
  </si>
  <si>
    <t xml:space="preserve">CS-002</t>
  </si>
  <si>
    <t xml:space="preserve">Cutting Discs 230mm (Pack of 5)</t>
  </si>
  <si>
    <t xml:space="preserve">Abrasives</t>
  </si>
  <si>
    <t xml:space="preserve">Pack</t>
  </si>
  <si>
    <t xml:space="preserve">Tool Store — Shelf 3</t>
  </si>
  <si>
    <t xml:space="preserve">For 9" grinder</t>
  </si>
  <si>
    <t xml:space="preserve">Toolstation</t>
  </si>
  <si>
    <t xml:space="preserve">CS-003</t>
  </si>
  <si>
    <t xml:space="preserve">Disposable Ear Plugs (Box of 200)</t>
  </si>
  <si>
    <t xml:space="preserve">PPE</t>
  </si>
  <si>
    <t xml:space="preserve">PPE Store</t>
  </si>
  <si>
    <t xml:space="preserve">Arco</t>
  </si>
  <si>
    <t xml:space="preserve">CS-004</t>
  </si>
  <si>
    <t xml:space="preserve">Sika Boom AP Expanding Foam (750ml)</t>
  </si>
  <si>
    <t xml:space="preserve">Sealants &amp; Adhesives</t>
  </si>
  <si>
    <t xml:space="preserve">Each</t>
  </si>
  <si>
    <t xml:space="preserve">Material Store</t>
  </si>
  <si>
    <t xml:space="preserve">OUT OF STOCK — order urgently</t>
  </si>
  <si>
    <t xml:space="preserve">Travis Perkins</t>
  </si>
  <si>
    <t xml:space="preserve">CS-005</t>
  </si>
  <si>
    <t xml:space="preserve">Cable Ties 300mm (Pack of 100)</t>
  </si>
  <si>
    <t xml:space="preserve">Electrical</t>
  </si>
  <si>
    <t xml:space="preserve">Electrical Store</t>
  </si>
  <si>
    <t xml:space="preserve">CEF</t>
  </si>
  <si>
    <t xml:space="preserve">CS-006</t>
  </si>
  <si>
    <t xml:space="preserve">Blue Roll Paper Towels (6 pack)</t>
  </si>
  <si>
    <t xml:space="preserve">Cleaning</t>
  </si>
  <si>
    <t xml:space="preserve">Welfare Unit</t>
  </si>
  <si>
    <t xml:space="preserve">Running low</t>
  </si>
  <si>
    <t xml:space="preserve">Amazon Business</t>
  </si>
  <si>
    <t xml:space="preserve">CS-007</t>
  </si>
  <si>
    <t xml:space="preserve">Welding Rods 3.2mm E7018 (5kg pack)</t>
  </si>
  <si>
    <t xml:space="preserve">Welding</t>
  </si>
  <si>
    <t xml:space="preserve">Welding Store</t>
  </si>
  <si>
    <t xml:space="preserve">BOC</t>
  </si>
  <si>
    <t xml:space="preserve">CS-008</t>
  </si>
  <si>
    <t xml:space="preserve">Hi-Vis Vests — Orange (Each)</t>
  </si>
  <si>
    <t xml:space="preserve">Visitor and new-starter issue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</si>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</sst>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dd/mm/yyyy"/>
    <numFmt numFmtId="167" formatCode="0"/>
    <numFmt numFmtId="168" formatCode="\£#,##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2AABB3"/>
      <name val="Calibri"/>
      <family val="0"/>
      <charset val="1"/>
    </font>
    <font>
      <b val="true"/>
      <sz val="16"/>
      <color rgb="FF1B2A4A"/>
      <name val="Calibri"/>
      <family val="0"/>
      <charset val="1"/>
    </font>
    <font>
      <b val="true"/>
      <sz val="16"/>
      <color rgb="FF9C6500"/>
      <name val="Calibri"/>
      <family val="0"/>
      <charset val="1"/>
    </font>
    <font>
      <b val="true"/>
      <sz val="16"/>
      <color rgb="FF9C0006"/>
      <name val="Calibri"/>
      <family val="0"/>
      <charset val="1"/>
    </font>
    <font>
      <i val="true"/>
      <sz val="9"/>
      <color rgb="FF2AABB3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 diagonalUp="false" diagonalDown="false">
      <left/>
      <right/>
      <top/>
      <bottom style="medium">
        <color rgb="FF2AABB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B2A4A"/>
          <bgColor rgb="FF000000"/>
        </patternFill>
      </fill>
    </dxf>
    <dxf>
      <fill>
        <patternFill patternType="solid">
          <fgColor rgb="FFE8F6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Calibri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Calibri"/>
        <charset val="1"/>
        <family val="0"/>
        <color rgb="FF006100"/>
      </font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7" t="s">
        <v>5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8" t="s">
        <v>6</v>
      </c>
      <c r="B1" s="8"/>
      <c r="C1" s="8"/>
      <c r="D1" s="8"/>
      <c r="E1" s="8"/>
      <c r="F1" s="8"/>
    </row>
    <row r="3" customFormat="false" ht="15" hidden="false" customHeight="false" outlineLevel="0" collapsed="false">
      <c r="A3" s="9" t="s">
        <v>7</v>
      </c>
      <c r="B3" s="9"/>
      <c r="C3" s="9"/>
      <c r="D3" s="9"/>
      <c r="E3" s="9"/>
      <c r="F3" s="9"/>
    </row>
    <row r="4" customFormat="false" ht="30" hidden="false" customHeight="true" outlineLevel="0" collapsed="false">
      <c r="A4" s="10" t="s">
        <v>8</v>
      </c>
      <c r="B4" s="10"/>
      <c r="C4" s="10"/>
      <c r="D4" s="10"/>
      <c r="E4" s="10"/>
      <c r="F4" s="10"/>
    </row>
    <row r="5" customFormat="false" ht="30" hidden="false" customHeight="true" outlineLevel="0" collapsed="false">
      <c r="A5" s="10" t="s">
        <v>9</v>
      </c>
      <c r="B5" s="10"/>
      <c r="C5" s="10"/>
      <c r="D5" s="10"/>
      <c r="E5" s="10"/>
      <c r="F5" s="10"/>
    </row>
    <row r="6" customFormat="false" ht="30" hidden="false" customHeight="true" outlineLevel="0" collapsed="false">
      <c r="A6" s="10" t="s">
        <v>10</v>
      </c>
      <c r="B6" s="10"/>
      <c r="C6" s="10"/>
      <c r="D6" s="10"/>
      <c r="E6" s="10"/>
      <c r="F6" s="10"/>
    </row>
    <row r="7" customFormat="false" ht="30" hidden="false" customHeight="true" outlineLevel="0" collapsed="false">
      <c r="A7" s="10" t="s">
        <v>11</v>
      </c>
      <c r="B7" s="10"/>
      <c r="C7" s="10"/>
      <c r="D7" s="10"/>
      <c r="E7" s="10"/>
      <c r="F7" s="10"/>
    </row>
    <row r="8" customFormat="false" ht="30" hidden="false" customHeight="true" outlineLevel="0" collapsed="false">
      <c r="A8" s="10" t="s">
        <v>12</v>
      </c>
      <c r="B8" s="10"/>
      <c r="C8" s="10"/>
      <c r="D8" s="10"/>
      <c r="E8" s="10"/>
      <c r="F8" s="10"/>
    </row>
    <row r="9" customFormat="false" ht="30" hidden="false" customHeight="true" outlineLevel="0" collapsed="false">
      <c r="A9" s="10" t="s">
        <v>13</v>
      </c>
      <c r="B9" s="10"/>
      <c r="C9" s="10"/>
      <c r="D9" s="10"/>
      <c r="E9" s="10"/>
      <c r="F9" s="10"/>
    </row>
    <row r="10" customFormat="false" ht="30" hidden="false" customHeight="true" outlineLevel="0" collapsed="false">
      <c r="A10" s="10" t="s">
        <v>14</v>
      </c>
      <c r="B10" s="10"/>
      <c r="C10" s="10"/>
      <c r="D10" s="10"/>
      <c r="E10" s="10"/>
      <c r="F10" s="10"/>
    </row>
    <row r="11" customFormat="false" ht="30" hidden="false" customHeight="true" outlineLevel="0" collapsed="false">
      <c r="A11" s="10" t="s">
        <v>15</v>
      </c>
      <c r="B11" s="10"/>
      <c r="C11" s="10"/>
      <c r="D11" s="10"/>
      <c r="E11" s="10"/>
      <c r="F11" s="10"/>
    </row>
    <row r="13" customFormat="false" ht="15" hidden="false" customHeight="false" outlineLevel="0" collapsed="false">
      <c r="A13" s="9" t="s">
        <v>16</v>
      </c>
      <c r="B13" s="9"/>
      <c r="C13" s="9"/>
      <c r="D13" s="9"/>
      <c r="E13" s="9"/>
      <c r="F13" s="9"/>
    </row>
    <row r="14" customFormat="false" ht="15" hidden="false" customHeight="false" outlineLevel="0" collapsed="false">
      <c r="A14" s="11"/>
      <c r="B14" s="12" t="s">
        <v>17</v>
      </c>
      <c r="C14" s="12"/>
      <c r="D14" s="13" t="s">
        <v>18</v>
      </c>
      <c r="E14" s="13"/>
      <c r="F14" s="13"/>
    </row>
    <row r="15" customFormat="false" ht="15" hidden="false" customHeight="false" outlineLevel="0" collapsed="false">
      <c r="A15" s="14"/>
      <c r="B15" s="12" t="s">
        <v>19</v>
      </c>
      <c r="C15" s="12"/>
      <c r="D15" s="13" t="s">
        <v>20</v>
      </c>
      <c r="E15" s="13"/>
      <c r="F15" s="13"/>
    </row>
    <row r="16" customFormat="false" ht="15" hidden="false" customHeight="false" outlineLevel="0" collapsed="false">
      <c r="A16" s="15"/>
      <c r="B16" s="12" t="s">
        <v>21</v>
      </c>
      <c r="C16" s="12"/>
      <c r="D16" s="13" t="s">
        <v>22</v>
      </c>
      <c r="E16" s="13"/>
      <c r="F16" s="13"/>
    </row>
    <row r="17" customFormat="false" ht="15" hidden="false" customHeight="false" outlineLevel="0" collapsed="false">
      <c r="A17" s="16"/>
      <c r="B17" s="12" t="s">
        <v>23</v>
      </c>
      <c r="C17" s="12"/>
      <c r="D17" s="13" t="s">
        <v>24</v>
      </c>
      <c r="E17" s="13"/>
      <c r="F17" s="13"/>
    </row>
    <row r="18" customFormat="false" ht="15" hidden="false" customHeight="false" outlineLevel="0" collapsed="false">
      <c r="A18" s="17"/>
      <c r="B18" s="12" t="s">
        <v>25</v>
      </c>
      <c r="C18" s="12"/>
      <c r="D18" s="13" t="s">
        <v>26</v>
      </c>
      <c r="E18" s="13"/>
      <c r="F18" s="13"/>
    </row>
    <row r="20" customFormat="false" ht="15" hidden="false" customHeight="false" outlineLevel="0" collapsed="false">
      <c r="A20" s="9" t="s">
        <v>27</v>
      </c>
      <c r="B20" s="9"/>
      <c r="C20" s="9"/>
      <c r="D20" s="9"/>
      <c r="E20" s="9"/>
      <c r="F20" s="9"/>
    </row>
    <row r="21" customFormat="false" ht="30" hidden="false" customHeight="true" outlineLevel="0" collapsed="false">
      <c r="A21" s="10" t="s">
        <v>28</v>
      </c>
      <c r="B21" s="10"/>
      <c r="C21" s="10"/>
      <c r="D21" s="10"/>
      <c r="E21" s="10"/>
      <c r="F21" s="10"/>
    </row>
    <row r="22" customFormat="false" ht="30" hidden="false" customHeight="true" outlineLevel="0" collapsed="false">
      <c r="A22" s="10" t="s">
        <v>29</v>
      </c>
      <c r="B22" s="10"/>
      <c r="C22" s="10"/>
      <c r="D22" s="10"/>
      <c r="E22" s="10"/>
      <c r="F22" s="10"/>
    </row>
    <row r="23" customFormat="false" ht="30" hidden="false" customHeight="true" outlineLevel="0" collapsed="false">
      <c r="A23" s="10" t="s">
        <v>30</v>
      </c>
      <c r="B23" s="10"/>
      <c r="C23" s="10"/>
      <c r="D23" s="10"/>
      <c r="E23" s="10"/>
      <c r="F23" s="10"/>
    </row>
  </sheetData>
  <mergeCells count="25">
    <mergeCell ref="A1:F1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8:C18"/>
    <mergeCell ref="D18:F18"/>
    <mergeCell ref="A20:F20"/>
    <mergeCell ref="A21:F21"/>
    <mergeCell ref="A22:F22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7" min="6" style="0" width="12"/>
    <col collapsed="false" customWidth="true" hidden="false" outlineLevel="0" max="9" min="8" style="0" width="11"/>
    <col collapsed="false" customWidth="true" hidden="false" outlineLevel="0" max="11" min="10" style="0" width="10"/>
    <col collapsed="false" customWidth="true" hidden="true" outlineLevel="1" max="15" min="12" style="0" width="28"/>
  </cols>
  <sheetData>
    <row r="1" customFormat="false" ht="18.65" hidden="false" customHeight="true" outlineLevel="0" collapsed="false">
      <c r="A1" s="18" t="s">
        <v>31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9"/>
      <c r="M1" s="19"/>
      <c r="N1" s="19"/>
      <c r="O1" s="19"/>
    </row>
    <row r="2" customFormat="false" ht="6" hidden="false" customHeight="true" outlineLevel="0" collapsed="false"/>
    <row r="3" customFormat="false" ht="23.85" hidden="false" customHeight="false" outlineLevel="0" collapsed="false">
      <c r="A3" s="20" t="s">
        <v>32</v>
      </c>
      <c r="C3" s="20" t="s">
        <v>33</v>
      </c>
      <c r="E3" s="20" t="s">
        <v>34</v>
      </c>
      <c r="G3" s="20" t="s">
        <v>35</v>
      </c>
      <c r="I3" s="20" t="s">
        <v>36</v>
      </c>
    </row>
    <row r="4" customFormat="false" ht="40.25" hidden="false" customHeight="false" outlineLevel="0" collapsed="false">
      <c r="A4" s="21" t="n">
        <f aca="false">COUNTA(A8:A48)</f>
        <v>8</v>
      </c>
      <c r="C4" s="21" t="n">
        <f aca="false">COUNTIF(F8:F48,"&gt;"&amp;0)</f>
        <v>7</v>
      </c>
      <c r="E4" s="22" t="n">
        <f aca="false">COUNTIF(J8:J48,"YES")</f>
        <v>0</v>
      </c>
      <c r="G4" s="23" t="n">
        <f aca="false">COUNTIF(F8:F48,0)</f>
        <v>1</v>
      </c>
      <c r="I4" s="24" t="n">
        <f aca="false">MAX(G8:G48)</f>
        <v>46101</v>
      </c>
    </row>
    <row r="5" customFormat="false" ht="15" hidden="false" customHeight="false" outlineLevel="0" collapsed="false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customFormat="false" ht="3.75" hidden="false" customHeight="true" outlineLevel="0" collapsed="false">
      <c r="L6" s="26" t="s">
        <v>37</v>
      </c>
      <c r="M6" s="26"/>
      <c r="N6" s="26"/>
      <c r="O6" s="26"/>
    </row>
    <row r="7" customFormat="false" ht="37.5" hidden="false" customHeight="true" outlineLevel="0" collapsed="false">
      <c r="A7" s="27" t="s">
        <v>38</v>
      </c>
      <c r="B7" s="27" t="s">
        <v>39</v>
      </c>
      <c r="C7" s="27" t="s">
        <v>40</v>
      </c>
      <c r="D7" s="27" t="s">
        <v>41</v>
      </c>
      <c r="E7" s="27" t="s">
        <v>42</v>
      </c>
      <c r="F7" s="27" t="s">
        <v>43</v>
      </c>
      <c r="G7" s="27" t="s">
        <v>44</v>
      </c>
      <c r="H7" s="27" t="s">
        <v>45</v>
      </c>
      <c r="I7" s="27" t="s">
        <v>46</v>
      </c>
      <c r="J7" s="27" t="s">
        <v>47</v>
      </c>
      <c r="K7" s="27" t="s">
        <v>48</v>
      </c>
      <c r="L7" s="27" t="s">
        <v>49</v>
      </c>
      <c r="M7" s="27" t="s">
        <v>50</v>
      </c>
      <c r="N7" s="27" t="s">
        <v>51</v>
      </c>
      <c r="O7" s="27" t="s">
        <v>52</v>
      </c>
    </row>
    <row r="8" customFormat="false" ht="23.85" hidden="false" customHeight="false" outlineLevel="0" collapsed="false">
      <c r="A8" s="28" t="s">
        <v>53</v>
      </c>
      <c r="B8" s="29" t="s">
        <v>54</v>
      </c>
      <c r="C8" s="28" t="s">
        <v>55</v>
      </c>
      <c r="D8" s="28" t="s">
        <v>56</v>
      </c>
      <c r="E8" s="29" t="s">
        <v>57</v>
      </c>
      <c r="F8" s="28" t="n">
        <v>8</v>
      </c>
      <c r="G8" s="30" t="n">
        <v>46101</v>
      </c>
      <c r="H8" s="28" t="n">
        <v>1.5</v>
      </c>
      <c r="I8" s="31" t="n">
        <f aca="false">IFERROR(F8/H8,"")</f>
        <v>5.33333333333333</v>
      </c>
      <c r="J8" s="28" t="n">
        <v>5</v>
      </c>
      <c r="K8" s="32" t="str">
        <f aca="false">IF(OR(F8="",J8=""),"",IF(F8&lt;=J8,"YES","NO"))</f>
        <v>NO</v>
      </c>
      <c r="L8" s="29" t="s">
        <v>58</v>
      </c>
      <c r="M8" s="33" t="n">
        <v>2.45</v>
      </c>
      <c r="N8" s="29" t="s">
        <v>59</v>
      </c>
      <c r="O8" s="30" t="n">
        <v>2</v>
      </c>
    </row>
    <row r="9" customFormat="false" ht="15" hidden="false" customHeight="false" outlineLevel="0" collapsed="false">
      <c r="A9" s="28" t="s">
        <v>60</v>
      </c>
      <c r="B9" s="29" t="s">
        <v>61</v>
      </c>
      <c r="C9" s="28" t="s">
        <v>62</v>
      </c>
      <c r="D9" s="28" t="s">
        <v>63</v>
      </c>
      <c r="E9" s="29" t="s">
        <v>64</v>
      </c>
      <c r="F9" s="28" t="n">
        <v>3</v>
      </c>
      <c r="G9" s="30" t="n">
        <v>46101</v>
      </c>
      <c r="H9" s="28" t="n">
        <v>2</v>
      </c>
      <c r="I9" s="31" t="n">
        <f aca="false">IFERROR(F9/H9,"")</f>
        <v>1.5</v>
      </c>
      <c r="J9" s="28" t="n">
        <v>4</v>
      </c>
      <c r="K9" s="32" t="str">
        <f aca="false">IF(OR(F9="",J9=""),"",IF(F9&lt;=J9,"YES","NO"))</f>
        <v>YES</v>
      </c>
      <c r="L9" s="29" t="s">
        <v>65</v>
      </c>
      <c r="M9" s="33" t="n">
        <v>8.5</v>
      </c>
      <c r="N9" s="29" t="s">
        <v>66</v>
      </c>
      <c r="O9" s="30" t="n">
        <v>1</v>
      </c>
    </row>
    <row r="10" customFormat="false" ht="15" hidden="false" customHeight="false" outlineLevel="0" collapsed="false">
      <c r="A10" s="28" t="s">
        <v>67</v>
      </c>
      <c r="B10" s="29" t="s">
        <v>68</v>
      </c>
      <c r="C10" s="28" t="s">
        <v>69</v>
      </c>
      <c r="D10" s="28" t="s">
        <v>56</v>
      </c>
      <c r="E10" s="29" t="s">
        <v>70</v>
      </c>
      <c r="F10" s="28" t="n">
        <v>12</v>
      </c>
      <c r="G10" s="30" t="n">
        <v>46101</v>
      </c>
      <c r="H10" s="28" t="n">
        <v>0.5</v>
      </c>
      <c r="I10" s="31" t="n">
        <f aca="false">IFERROR(F10/H10,"")</f>
        <v>24</v>
      </c>
      <c r="J10" s="28" t="n">
        <v>3</v>
      </c>
      <c r="K10" s="32" t="str">
        <f aca="false">IF(OR(F10="",J10=""),"",IF(F10&lt;=J10,"YES","NO"))</f>
        <v>NO</v>
      </c>
      <c r="L10" s="29"/>
      <c r="M10" s="33" t="n">
        <v>15</v>
      </c>
      <c r="N10" s="29" t="s">
        <v>71</v>
      </c>
      <c r="O10" s="30" t="n">
        <v>3</v>
      </c>
    </row>
    <row r="11" customFormat="false" ht="23.85" hidden="false" customHeight="false" outlineLevel="0" collapsed="false">
      <c r="A11" s="28" t="s">
        <v>72</v>
      </c>
      <c r="B11" s="29" t="s">
        <v>73</v>
      </c>
      <c r="C11" s="28" t="s">
        <v>74</v>
      </c>
      <c r="D11" s="28" t="s">
        <v>75</v>
      </c>
      <c r="E11" s="29" t="s">
        <v>76</v>
      </c>
      <c r="F11" s="28" t="n">
        <v>0</v>
      </c>
      <c r="G11" s="30" t="n">
        <v>46101</v>
      </c>
      <c r="H11" s="28" t="n">
        <v>1</v>
      </c>
      <c r="I11" s="31" t="n">
        <f aca="false">IFERROR(F11/H11,"")</f>
        <v>0</v>
      </c>
      <c r="J11" s="28" t="n">
        <v>5</v>
      </c>
      <c r="K11" s="32" t="str">
        <f aca="false">IF(OR(F11="",J11=""),"",IF(F11&lt;=J11,"YES","NO"))</f>
        <v>YES</v>
      </c>
      <c r="L11" s="29" t="s">
        <v>77</v>
      </c>
      <c r="M11" s="33" t="n">
        <v>6.8</v>
      </c>
      <c r="N11" s="29" t="s">
        <v>78</v>
      </c>
      <c r="O11" s="30" t="n">
        <v>2</v>
      </c>
    </row>
    <row r="12" customFormat="false" ht="15" hidden="false" customHeight="false" outlineLevel="0" collapsed="false">
      <c r="A12" s="28" t="s">
        <v>79</v>
      </c>
      <c r="B12" s="29" t="s">
        <v>80</v>
      </c>
      <c r="C12" s="28" t="s">
        <v>81</v>
      </c>
      <c r="D12" s="28" t="s">
        <v>63</v>
      </c>
      <c r="E12" s="29" t="s">
        <v>82</v>
      </c>
      <c r="F12" s="28" t="n">
        <v>15</v>
      </c>
      <c r="G12" s="30" t="n">
        <v>46101</v>
      </c>
      <c r="H12" s="28" t="n">
        <v>0.3</v>
      </c>
      <c r="I12" s="31" t="n">
        <f aca="false">IFERROR(F12/H12,"")</f>
        <v>50</v>
      </c>
      <c r="J12" s="28" t="n">
        <v>3</v>
      </c>
      <c r="K12" s="32" t="str">
        <f aca="false">IF(OR(F12="",J12=""),"",IF(F12&lt;=J12,"YES","NO"))</f>
        <v>NO</v>
      </c>
      <c r="L12" s="29"/>
      <c r="M12" s="33" t="n">
        <v>3.2</v>
      </c>
      <c r="N12" s="29" t="s">
        <v>83</v>
      </c>
      <c r="O12" s="30" t="n">
        <v>2</v>
      </c>
    </row>
    <row r="13" customFormat="false" ht="15" hidden="false" customHeight="false" outlineLevel="0" collapsed="false">
      <c r="A13" s="28" t="s">
        <v>84</v>
      </c>
      <c r="B13" s="29" t="s">
        <v>85</v>
      </c>
      <c r="C13" s="28" t="s">
        <v>86</v>
      </c>
      <c r="D13" s="28" t="s">
        <v>63</v>
      </c>
      <c r="E13" s="29" t="s">
        <v>87</v>
      </c>
      <c r="F13" s="28" t="n">
        <v>2</v>
      </c>
      <c r="G13" s="30" t="n">
        <v>46101</v>
      </c>
      <c r="H13" s="28" t="n">
        <v>1</v>
      </c>
      <c r="I13" s="31" t="n">
        <f aca="false">IFERROR(F13/H13,"")</f>
        <v>2</v>
      </c>
      <c r="J13" s="28" t="n">
        <v>3</v>
      </c>
      <c r="K13" s="32" t="str">
        <f aca="false">IF(OR(F13="",J13=""),"",IF(F13&lt;=J13,"YES","NO"))</f>
        <v>YES</v>
      </c>
      <c r="L13" s="29" t="s">
        <v>88</v>
      </c>
      <c r="M13" s="33" t="n">
        <v>12.5</v>
      </c>
      <c r="N13" s="29" t="s">
        <v>89</v>
      </c>
      <c r="O13" s="30" t="n">
        <v>1</v>
      </c>
    </row>
    <row r="14" customFormat="false" ht="23.85" hidden="false" customHeight="false" outlineLevel="0" collapsed="false">
      <c r="A14" s="28" t="s">
        <v>90</v>
      </c>
      <c r="B14" s="29" t="s">
        <v>91</v>
      </c>
      <c r="C14" s="28" t="s">
        <v>92</v>
      </c>
      <c r="D14" s="28" t="s">
        <v>63</v>
      </c>
      <c r="E14" s="29" t="s">
        <v>93</v>
      </c>
      <c r="F14" s="28" t="n">
        <v>4</v>
      </c>
      <c r="G14" s="30" t="n">
        <v>46101</v>
      </c>
      <c r="H14" s="28" t="n">
        <v>0.5</v>
      </c>
      <c r="I14" s="31" t="n">
        <f aca="false">IFERROR(F14/H14,"")</f>
        <v>8</v>
      </c>
      <c r="J14" s="28" t="n">
        <v>2</v>
      </c>
      <c r="K14" s="32" t="str">
        <f aca="false">IF(OR(F14="",J14=""),"",IF(F14&lt;=J14,"YES","NO"))</f>
        <v>NO</v>
      </c>
      <c r="L14" s="29"/>
      <c r="M14" s="33" t="n">
        <v>24</v>
      </c>
      <c r="N14" s="29" t="s">
        <v>94</v>
      </c>
      <c r="O14" s="30" t="n">
        <v>5</v>
      </c>
    </row>
    <row r="15" customFormat="false" ht="15" hidden="false" customHeight="false" outlineLevel="0" collapsed="false">
      <c r="A15" s="28" t="s">
        <v>95</v>
      </c>
      <c r="B15" s="29" t="s">
        <v>96</v>
      </c>
      <c r="C15" s="28" t="s">
        <v>69</v>
      </c>
      <c r="D15" s="28" t="s">
        <v>75</v>
      </c>
      <c r="E15" s="29" t="s">
        <v>70</v>
      </c>
      <c r="F15" s="28" t="n">
        <v>25</v>
      </c>
      <c r="G15" s="30" t="n">
        <v>46101</v>
      </c>
      <c r="H15" s="28" t="n">
        <v>2</v>
      </c>
      <c r="I15" s="31" t="n">
        <f aca="false">IFERROR(F15/H15,"")</f>
        <v>12.5</v>
      </c>
      <c r="J15" s="28" t="n">
        <v>10</v>
      </c>
      <c r="K15" s="32" t="str">
        <f aca="false">IF(OR(F15="",J15=""),"",IF(F15&lt;=J15,"YES","NO"))</f>
        <v>NO</v>
      </c>
      <c r="L15" s="29" t="s">
        <v>97</v>
      </c>
      <c r="M15" s="33" t="n">
        <v>3.5</v>
      </c>
      <c r="N15" s="29" t="s">
        <v>71</v>
      </c>
      <c r="O15" s="30" t="n">
        <v>2</v>
      </c>
    </row>
    <row r="16" customFormat="false" ht="15" hidden="false" customHeight="false" outlineLevel="0" collapsed="false">
      <c r="A16" s="28"/>
      <c r="B16" s="29"/>
      <c r="C16" s="28"/>
      <c r="D16" s="28"/>
      <c r="E16" s="29"/>
      <c r="F16" s="28"/>
      <c r="G16" s="30"/>
      <c r="H16" s="28"/>
      <c r="I16" s="31" t="str">
        <f aca="false">IFERROR(F16/H16,"")</f>
        <v/>
      </c>
      <c r="J16" s="28"/>
      <c r="K16" s="32" t="str">
        <f aca="false">IF(OR(F16="",J16=""),"",IF(F16&lt;=J16,"YES","NO"))</f>
        <v/>
      </c>
      <c r="L16" s="29"/>
      <c r="M16" s="33"/>
      <c r="N16" s="29"/>
      <c r="O16" s="30"/>
    </row>
    <row r="17" customFormat="false" ht="15" hidden="false" customHeight="false" outlineLevel="0" collapsed="false">
      <c r="A17" s="28"/>
      <c r="B17" s="29"/>
      <c r="C17" s="28"/>
      <c r="D17" s="28"/>
      <c r="E17" s="29"/>
      <c r="F17" s="28"/>
      <c r="G17" s="30"/>
      <c r="H17" s="28"/>
      <c r="I17" s="31" t="str">
        <f aca="false">IFERROR(F17/H17,"")</f>
        <v/>
      </c>
      <c r="J17" s="28"/>
      <c r="K17" s="32" t="str">
        <f aca="false">IF(OR(F17="",J17=""),"",IF(F17&lt;=J17,"YES","NO"))</f>
        <v/>
      </c>
      <c r="L17" s="29"/>
      <c r="M17" s="33"/>
      <c r="N17" s="29"/>
      <c r="O17" s="30"/>
    </row>
    <row r="18" customFormat="false" ht="15" hidden="false" customHeight="false" outlineLevel="0" collapsed="false">
      <c r="A18" s="28"/>
      <c r="B18" s="29"/>
      <c r="C18" s="28"/>
      <c r="D18" s="28"/>
      <c r="E18" s="29"/>
      <c r="F18" s="28"/>
      <c r="G18" s="30"/>
      <c r="H18" s="28"/>
      <c r="I18" s="31" t="str">
        <f aca="false">IFERROR(F18/H18,"")</f>
        <v/>
      </c>
      <c r="J18" s="28"/>
      <c r="K18" s="32" t="str">
        <f aca="false">IF(OR(F18="",J18=""),"",IF(F18&lt;=J18,"YES","NO"))</f>
        <v/>
      </c>
      <c r="L18" s="29"/>
      <c r="M18" s="33"/>
      <c r="N18" s="29"/>
      <c r="O18" s="30"/>
    </row>
    <row r="19" customFormat="false" ht="15" hidden="false" customHeight="false" outlineLevel="0" collapsed="false">
      <c r="A19" s="28"/>
      <c r="B19" s="29"/>
      <c r="C19" s="28"/>
      <c r="D19" s="28"/>
      <c r="E19" s="29"/>
      <c r="F19" s="28"/>
      <c r="G19" s="30"/>
      <c r="H19" s="28"/>
      <c r="I19" s="31" t="str">
        <f aca="false">IFERROR(F19/H19,"")</f>
        <v/>
      </c>
      <c r="J19" s="28"/>
      <c r="K19" s="32" t="str">
        <f aca="false">IF(OR(F19="",J19=""),"",IF(F19&lt;=J19,"YES","NO"))</f>
        <v/>
      </c>
      <c r="L19" s="29"/>
      <c r="M19" s="33"/>
      <c r="N19" s="29"/>
      <c r="O19" s="30"/>
    </row>
    <row r="20" customFormat="false" ht="15" hidden="false" customHeight="false" outlineLevel="0" collapsed="false">
      <c r="A20" s="28"/>
      <c r="B20" s="29"/>
      <c r="C20" s="28"/>
      <c r="D20" s="28"/>
      <c r="E20" s="29"/>
      <c r="F20" s="28"/>
      <c r="G20" s="30"/>
      <c r="H20" s="28"/>
      <c r="I20" s="31" t="str">
        <f aca="false">IFERROR(F20/H20,"")</f>
        <v/>
      </c>
      <c r="J20" s="28"/>
      <c r="K20" s="32" t="str">
        <f aca="false">IF(OR(F20="",J20=""),"",IF(F20&lt;=J20,"YES","NO"))</f>
        <v/>
      </c>
      <c r="L20" s="29"/>
      <c r="M20" s="33"/>
      <c r="N20" s="29"/>
      <c r="O20" s="30"/>
    </row>
    <row r="21" customFormat="false" ht="15" hidden="false" customHeight="false" outlineLevel="0" collapsed="false">
      <c r="A21" s="28"/>
      <c r="B21" s="29"/>
      <c r="C21" s="28"/>
      <c r="D21" s="28"/>
      <c r="E21" s="29"/>
      <c r="F21" s="28"/>
      <c r="G21" s="30"/>
      <c r="H21" s="28"/>
      <c r="I21" s="31" t="str">
        <f aca="false">IFERROR(F21/H21,"")</f>
        <v/>
      </c>
      <c r="J21" s="28"/>
      <c r="K21" s="32" t="str">
        <f aca="false">IF(OR(F21="",J21=""),"",IF(F21&lt;=J21,"YES","NO"))</f>
        <v/>
      </c>
      <c r="L21" s="29"/>
      <c r="M21" s="33"/>
      <c r="N21" s="29"/>
      <c r="O21" s="30"/>
    </row>
    <row r="22" customFormat="false" ht="15" hidden="false" customHeight="false" outlineLevel="0" collapsed="false">
      <c r="A22" s="28"/>
      <c r="B22" s="29"/>
      <c r="C22" s="28"/>
      <c r="D22" s="28"/>
      <c r="E22" s="29"/>
      <c r="F22" s="28"/>
      <c r="G22" s="30"/>
      <c r="H22" s="28"/>
      <c r="I22" s="31" t="str">
        <f aca="false">IFERROR(F22/H22,"")</f>
        <v/>
      </c>
      <c r="J22" s="28"/>
      <c r="K22" s="32" t="str">
        <f aca="false">IF(OR(F22="",J22=""),"",IF(F22&lt;=J22,"YES","NO"))</f>
        <v/>
      </c>
      <c r="L22" s="29"/>
      <c r="M22" s="33"/>
      <c r="N22" s="29"/>
      <c r="O22" s="30"/>
    </row>
    <row r="23" customFormat="false" ht="15" hidden="false" customHeight="false" outlineLevel="0" collapsed="false">
      <c r="A23" s="28"/>
      <c r="B23" s="29"/>
      <c r="C23" s="28"/>
      <c r="D23" s="28"/>
      <c r="E23" s="29"/>
      <c r="F23" s="28"/>
      <c r="G23" s="30"/>
      <c r="H23" s="28"/>
      <c r="I23" s="31" t="str">
        <f aca="false">IFERROR(F23/H23,"")</f>
        <v/>
      </c>
      <c r="J23" s="28"/>
      <c r="K23" s="32" t="str">
        <f aca="false">IF(OR(F23="",J23=""),"",IF(F23&lt;=J23,"YES","NO"))</f>
        <v/>
      </c>
      <c r="L23" s="29"/>
      <c r="M23" s="33"/>
      <c r="N23" s="29"/>
      <c r="O23" s="30"/>
    </row>
    <row r="24" customFormat="false" ht="15" hidden="false" customHeight="false" outlineLevel="0" collapsed="false">
      <c r="A24" s="28"/>
      <c r="B24" s="29"/>
      <c r="C24" s="28"/>
      <c r="D24" s="28"/>
      <c r="E24" s="29"/>
      <c r="F24" s="28"/>
      <c r="G24" s="30"/>
      <c r="H24" s="28"/>
      <c r="I24" s="31" t="str">
        <f aca="false">IFERROR(F24/H24,"")</f>
        <v/>
      </c>
      <c r="J24" s="28"/>
      <c r="K24" s="32" t="str">
        <f aca="false">IF(OR(F24="",J24=""),"",IF(F24&lt;=J24,"YES","NO"))</f>
        <v/>
      </c>
      <c r="L24" s="29"/>
      <c r="M24" s="33"/>
      <c r="N24" s="29"/>
      <c r="O24" s="30"/>
    </row>
    <row r="25" customFormat="false" ht="15" hidden="false" customHeight="false" outlineLevel="0" collapsed="false">
      <c r="A25" s="28"/>
      <c r="B25" s="29"/>
      <c r="C25" s="28"/>
      <c r="D25" s="28"/>
      <c r="E25" s="29"/>
      <c r="F25" s="28"/>
      <c r="G25" s="30"/>
      <c r="H25" s="28"/>
      <c r="I25" s="31" t="str">
        <f aca="false">IFERROR(F25/H25,"")</f>
        <v/>
      </c>
      <c r="J25" s="28"/>
      <c r="K25" s="32" t="str">
        <f aca="false">IF(OR(F25="",J25=""),"",IF(F25&lt;=J25,"YES","NO"))</f>
        <v/>
      </c>
      <c r="L25" s="29"/>
      <c r="M25" s="33"/>
      <c r="N25" s="29"/>
      <c r="O25" s="30"/>
    </row>
    <row r="26" customFormat="false" ht="15" hidden="false" customHeight="false" outlineLevel="0" collapsed="false">
      <c r="A26" s="28"/>
      <c r="B26" s="29"/>
      <c r="C26" s="28"/>
      <c r="D26" s="28"/>
      <c r="E26" s="29"/>
      <c r="F26" s="28"/>
      <c r="G26" s="30"/>
      <c r="H26" s="28"/>
      <c r="I26" s="31" t="str">
        <f aca="false">IFERROR(F26/H26,"")</f>
        <v/>
      </c>
      <c r="J26" s="28"/>
      <c r="K26" s="32" t="str">
        <f aca="false">IF(OR(F26="",J26=""),"",IF(F26&lt;=J26,"YES","NO"))</f>
        <v/>
      </c>
      <c r="L26" s="29"/>
      <c r="M26" s="33"/>
      <c r="N26" s="29"/>
      <c r="O26" s="30"/>
    </row>
    <row r="27" customFormat="false" ht="15" hidden="false" customHeight="false" outlineLevel="0" collapsed="false">
      <c r="A27" s="28"/>
      <c r="B27" s="29"/>
      <c r="C27" s="28"/>
      <c r="D27" s="28"/>
      <c r="E27" s="29"/>
      <c r="F27" s="28"/>
      <c r="G27" s="30"/>
      <c r="H27" s="28"/>
      <c r="I27" s="31" t="str">
        <f aca="false">IFERROR(F27/H27,"")</f>
        <v/>
      </c>
      <c r="J27" s="28"/>
      <c r="K27" s="32" t="str">
        <f aca="false">IF(OR(F27="",J27=""),"",IF(F27&lt;=J27,"YES","NO"))</f>
        <v/>
      </c>
      <c r="L27" s="29"/>
      <c r="M27" s="33"/>
      <c r="N27" s="29"/>
      <c r="O27" s="30"/>
    </row>
    <row r="28" customFormat="false" ht="15" hidden="false" customHeight="false" outlineLevel="0" collapsed="false">
      <c r="A28" s="28"/>
      <c r="B28" s="29"/>
      <c r="C28" s="28"/>
      <c r="D28" s="28"/>
      <c r="E28" s="29"/>
      <c r="F28" s="28"/>
      <c r="G28" s="30"/>
      <c r="H28" s="28"/>
      <c r="I28" s="31" t="str">
        <f aca="false">IFERROR(F28/H28,"")</f>
        <v/>
      </c>
      <c r="J28" s="28"/>
      <c r="K28" s="32" t="str">
        <f aca="false">IF(OR(F28="",J28=""),"",IF(F28&lt;=J28,"YES","NO"))</f>
        <v/>
      </c>
      <c r="L28" s="29"/>
      <c r="M28" s="33"/>
      <c r="N28" s="29"/>
      <c r="O28" s="30"/>
    </row>
    <row r="29" customFormat="false" ht="15" hidden="false" customHeight="false" outlineLevel="0" collapsed="false">
      <c r="A29" s="28"/>
      <c r="B29" s="29"/>
      <c r="C29" s="28"/>
      <c r="D29" s="28"/>
      <c r="E29" s="29"/>
      <c r="F29" s="28"/>
      <c r="G29" s="30"/>
      <c r="H29" s="28"/>
      <c r="I29" s="31" t="str">
        <f aca="false">IFERROR(F29/H29,"")</f>
        <v/>
      </c>
      <c r="J29" s="28"/>
      <c r="K29" s="32" t="str">
        <f aca="false">IF(OR(F29="",J29=""),"",IF(F29&lt;=J29,"YES","NO"))</f>
        <v/>
      </c>
      <c r="L29" s="29"/>
      <c r="M29" s="33"/>
      <c r="N29" s="29"/>
      <c r="O29" s="30"/>
    </row>
    <row r="30" customFormat="false" ht="15" hidden="false" customHeight="false" outlineLevel="0" collapsed="false">
      <c r="A30" s="28"/>
      <c r="B30" s="29"/>
      <c r="C30" s="28"/>
      <c r="D30" s="28"/>
      <c r="E30" s="29"/>
      <c r="F30" s="28"/>
      <c r="G30" s="30"/>
      <c r="H30" s="28"/>
      <c r="I30" s="31" t="str">
        <f aca="false">IFERROR(F30/H30,"")</f>
        <v/>
      </c>
      <c r="J30" s="28"/>
      <c r="K30" s="32" t="str">
        <f aca="false">IF(OR(F30="",J30=""),"",IF(F30&lt;=J30,"YES","NO"))</f>
        <v/>
      </c>
      <c r="L30" s="29"/>
      <c r="M30" s="33"/>
      <c r="N30" s="29"/>
      <c r="O30" s="30"/>
    </row>
    <row r="31" customFormat="false" ht="15" hidden="false" customHeight="false" outlineLevel="0" collapsed="false">
      <c r="A31" s="28"/>
      <c r="B31" s="29"/>
      <c r="C31" s="28"/>
      <c r="D31" s="28"/>
      <c r="E31" s="29"/>
      <c r="F31" s="28"/>
      <c r="G31" s="30"/>
      <c r="H31" s="28"/>
      <c r="I31" s="31" t="str">
        <f aca="false">IFERROR(F31/H31,"")</f>
        <v/>
      </c>
      <c r="J31" s="28"/>
      <c r="K31" s="32" t="str">
        <f aca="false">IF(OR(F31="",J31=""),"",IF(F31&lt;=J31,"YES","NO"))</f>
        <v/>
      </c>
      <c r="L31" s="29"/>
      <c r="M31" s="33"/>
      <c r="N31" s="29"/>
      <c r="O31" s="30"/>
    </row>
    <row r="32" customFormat="false" ht="15" hidden="false" customHeight="false" outlineLevel="0" collapsed="false">
      <c r="A32" s="28"/>
      <c r="B32" s="29"/>
      <c r="C32" s="28"/>
      <c r="D32" s="28"/>
      <c r="E32" s="29"/>
      <c r="F32" s="28"/>
      <c r="G32" s="30"/>
      <c r="H32" s="28"/>
      <c r="I32" s="31" t="str">
        <f aca="false">IFERROR(F32/H32,"")</f>
        <v/>
      </c>
      <c r="J32" s="28"/>
      <c r="K32" s="32" t="str">
        <f aca="false">IF(OR(F32="",J32=""),"",IF(F32&lt;=J32,"YES","NO"))</f>
        <v/>
      </c>
      <c r="L32" s="29"/>
      <c r="M32" s="33"/>
      <c r="N32" s="29"/>
      <c r="O32" s="30"/>
    </row>
    <row r="33" customFormat="false" ht="15" hidden="false" customHeight="false" outlineLevel="0" collapsed="false">
      <c r="A33" s="28"/>
      <c r="B33" s="29"/>
      <c r="C33" s="28"/>
      <c r="D33" s="28"/>
      <c r="E33" s="29"/>
      <c r="F33" s="28"/>
      <c r="G33" s="30"/>
      <c r="H33" s="28"/>
      <c r="I33" s="31" t="str">
        <f aca="false">IFERROR(F33/H33,"")</f>
        <v/>
      </c>
      <c r="J33" s="28"/>
      <c r="K33" s="32" t="str">
        <f aca="false">IF(OR(F33="",J33=""),"",IF(F33&lt;=J33,"YES","NO"))</f>
        <v/>
      </c>
      <c r="L33" s="29"/>
      <c r="M33" s="33"/>
      <c r="N33" s="29"/>
      <c r="O33" s="30"/>
    </row>
    <row r="34" customFormat="false" ht="15" hidden="false" customHeight="false" outlineLevel="0" collapsed="false">
      <c r="A34" s="28"/>
      <c r="B34" s="29"/>
      <c r="C34" s="28"/>
      <c r="D34" s="28"/>
      <c r="E34" s="29"/>
      <c r="F34" s="28"/>
      <c r="G34" s="30"/>
      <c r="H34" s="28"/>
      <c r="I34" s="31" t="str">
        <f aca="false">IFERROR(F34/H34,"")</f>
        <v/>
      </c>
      <c r="J34" s="28"/>
      <c r="K34" s="32" t="str">
        <f aca="false">IF(OR(F34="",J34=""),"",IF(F34&lt;=J34,"YES","NO"))</f>
        <v/>
      </c>
      <c r="L34" s="29"/>
      <c r="M34" s="33"/>
      <c r="N34" s="29"/>
      <c r="O34" s="30"/>
    </row>
    <row r="35" customFormat="false" ht="15" hidden="false" customHeight="false" outlineLevel="0" collapsed="false">
      <c r="A35" s="28"/>
      <c r="B35" s="29"/>
      <c r="C35" s="28"/>
      <c r="D35" s="28"/>
      <c r="E35" s="29"/>
      <c r="F35" s="28"/>
      <c r="G35" s="30"/>
      <c r="H35" s="28"/>
      <c r="I35" s="31" t="str">
        <f aca="false">IFERROR(F35/H35,"")</f>
        <v/>
      </c>
      <c r="J35" s="28"/>
      <c r="K35" s="32" t="str">
        <f aca="false">IF(OR(F35="",J35=""),"",IF(F35&lt;=J35,"YES","NO"))</f>
        <v/>
      </c>
      <c r="L35" s="29"/>
      <c r="M35" s="33"/>
      <c r="N35" s="29"/>
      <c r="O35" s="30"/>
    </row>
    <row r="36" customFormat="false" ht="15" hidden="false" customHeight="false" outlineLevel="0" collapsed="false">
      <c r="A36" s="28"/>
      <c r="B36" s="29"/>
      <c r="C36" s="28"/>
      <c r="D36" s="28"/>
      <c r="E36" s="29"/>
      <c r="F36" s="28"/>
      <c r="G36" s="30"/>
      <c r="H36" s="28"/>
      <c r="I36" s="31" t="str">
        <f aca="false">IFERROR(F36/H36,"")</f>
        <v/>
      </c>
      <c r="J36" s="28"/>
      <c r="K36" s="32" t="str">
        <f aca="false">IF(OR(F36="",J36=""),"",IF(F36&lt;=J36,"YES","NO"))</f>
        <v/>
      </c>
      <c r="L36" s="29"/>
      <c r="M36" s="33"/>
      <c r="N36" s="29"/>
      <c r="O36" s="30"/>
    </row>
    <row r="37" customFormat="false" ht="15" hidden="false" customHeight="false" outlineLevel="0" collapsed="false">
      <c r="A37" s="28"/>
      <c r="B37" s="29"/>
      <c r="C37" s="28"/>
      <c r="D37" s="28"/>
      <c r="E37" s="29"/>
      <c r="F37" s="28"/>
      <c r="G37" s="30"/>
      <c r="H37" s="28"/>
      <c r="I37" s="31" t="str">
        <f aca="false">IFERROR(F37/H37,"")</f>
        <v/>
      </c>
      <c r="J37" s="28"/>
      <c r="K37" s="32" t="str">
        <f aca="false">IF(OR(F37="",J37=""),"",IF(F37&lt;=J37,"YES","NO"))</f>
        <v/>
      </c>
      <c r="L37" s="29"/>
      <c r="M37" s="33"/>
      <c r="N37" s="29"/>
      <c r="O37" s="30"/>
    </row>
    <row r="38" customFormat="false" ht="15" hidden="false" customHeight="false" outlineLevel="0" collapsed="false">
      <c r="A38" s="28"/>
      <c r="B38" s="29"/>
      <c r="C38" s="28"/>
      <c r="D38" s="28"/>
      <c r="E38" s="29"/>
      <c r="F38" s="28"/>
      <c r="G38" s="30"/>
      <c r="H38" s="28"/>
      <c r="I38" s="31" t="str">
        <f aca="false">IFERROR(F38/H38,"")</f>
        <v/>
      </c>
      <c r="J38" s="28"/>
      <c r="K38" s="32" t="str">
        <f aca="false">IF(OR(F38="",J38=""),"",IF(F38&lt;=J38,"YES","NO"))</f>
        <v/>
      </c>
      <c r="L38" s="29"/>
      <c r="M38" s="33"/>
      <c r="N38" s="29"/>
      <c r="O38" s="30"/>
    </row>
    <row r="39" customFormat="false" ht="15" hidden="false" customHeight="false" outlineLevel="0" collapsed="false">
      <c r="A39" s="28"/>
      <c r="B39" s="29"/>
      <c r="C39" s="28"/>
      <c r="D39" s="28"/>
      <c r="E39" s="29"/>
      <c r="F39" s="28"/>
      <c r="G39" s="30"/>
      <c r="H39" s="28"/>
      <c r="I39" s="31" t="str">
        <f aca="false">IFERROR(F39/H39,"")</f>
        <v/>
      </c>
      <c r="J39" s="28"/>
      <c r="K39" s="32" t="str">
        <f aca="false">IF(OR(F39="",J39=""),"",IF(F39&lt;=J39,"YES","NO"))</f>
        <v/>
      </c>
      <c r="L39" s="29"/>
      <c r="M39" s="33"/>
      <c r="N39" s="29"/>
      <c r="O39" s="30"/>
    </row>
    <row r="40" customFormat="false" ht="15" hidden="false" customHeight="false" outlineLevel="0" collapsed="false">
      <c r="A40" s="28"/>
      <c r="B40" s="29"/>
      <c r="C40" s="28"/>
      <c r="D40" s="28"/>
      <c r="E40" s="29"/>
      <c r="F40" s="28"/>
      <c r="G40" s="30"/>
      <c r="H40" s="28"/>
      <c r="I40" s="31" t="str">
        <f aca="false">IFERROR(F40/H40,"")</f>
        <v/>
      </c>
      <c r="J40" s="28"/>
      <c r="K40" s="32" t="str">
        <f aca="false">IF(OR(F40="",J40=""),"",IF(F40&lt;=J40,"YES","NO"))</f>
        <v/>
      </c>
      <c r="L40" s="29"/>
      <c r="M40" s="33"/>
      <c r="N40" s="29"/>
      <c r="O40" s="30"/>
    </row>
    <row r="41" customFormat="false" ht="15" hidden="false" customHeight="false" outlineLevel="0" collapsed="false">
      <c r="A41" s="28"/>
      <c r="B41" s="29"/>
      <c r="C41" s="28"/>
      <c r="D41" s="28"/>
      <c r="E41" s="29"/>
      <c r="F41" s="28"/>
      <c r="G41" s="30"/>
      <c r="H41" s="28"/>
      <c r="I41" s="31" t="str">
        <f aca="false">IFERROR(F41/H41,"")</f>
        <v/>
      </c>
      <c r="J41" s="28"/>
      <c r="K41" s="32" t="str">
        <f aca="false">IF(OR(F41="",J41=""),"",IF(F41&lt;=J41,"YES","NO"))</f>
        <v/>
      </c>
      <c r="L41" s="29"/>
      <c r="M41" s="33"/>
      <c r="N41" s="29"/>
      <c r="O41" s="30"/>
    </row>
    <row r="42" customFormat="false" ht="15" hidden="false" customHeight="false" outlineLevel="0" collapsed="false">
      <c r="A42" s="28"/>
      <c r="B42" s="29"/>
      <c r="C42" s="28"/>
      <c r="D42" s="28"/>
      <c r="E42" s="29"/>
      <c r="F42" s="28"/>
      <c r="G42" s="30"/>
      <c r="H42" s="28"/>
      <c r="I42" s="31" t="str">
        <f aca="false">IFERROR(F42/H42,"")</f>
        <v/>
      </c>
      <c r="J42" s="28"/>
      <c r="K42" s="32" t="str">
        <f aca="false">IF(OR(F42="",J42=""),"",IF(F42&lt;=J42,"YES","NO"))</f>
        <v/>
      </c>
      <c r="L42" s="29"/>
      <c r="M42" s="33"/>
      <c r="N42" s="29"/>
      <c r="O42" s="30"/>
    </row>
    <row r="43" customFormat="false" ht="15" hidden="false" customHeight="false" outlineLevel="0" collapsed="false">
      <c r="A43" s="28"/>
      <c r="B43" s="29"/>
      <c r="C43" s="28"/>
      <c r="D43" s="28"/>
      <c r="E43" s="29"/>
      <c r="F43" s="28"/>
      <c r="G43" s="30"/>
      <c r="H43" s="28"/>
      <c r="I43" s="31" t="str">
        <f aca="false">IFERROR(F43/H43,"")</f>
        <v/>
      </c>
      <c r="J43" s="28"/>
      <c r="K43" s="32" t="str">
        <f aca="false">IF(OR(F43="",J43=""),"",IF(F43&lt;=J43,"YES","NO"))</f>
        <v/>
      </c>
      <c r="L43" s="29"/>
      <c r="M43" s="33"/>
      <c r="N43" s="29"/>
      <c r="O43" s="30"/>
    </row>
    <row r="44" customFormat="false" ht="15" hidden="false" customHeight="false" outlineLevel="0" collapsed="false">
      <c r="A44" s="28"/>
      <c r="B44" s="29"/>
      <c r="C44" s="28"/>
      <c r="D44" s="28"/>
      <c r="E44" s="29"/>
      <c r="F44" s="28"/>
      <c r="G44" s="30"/>
      <c r="H44" s="28"/>
      <c r="I44" s="31" t="str">
        <f aca="false">IFERROR(F44/H44,"")</f>
        <v/>
      </c>
      <c r="J44" s="28"/>
      <c r="K44" s="32" t="str">
        <f aca="false">IF(OR(F44="",J44=""),"",IF(F44&lt;=J44,"YES","NO"))</f>
        <v/>
      </c>
      <c r="L44" s="29"/>
      <c r="M44" s="33"/>
      <c r="N44" s="29"/>
      <c r="O44" s="30"/>
    </row>
    <row r="45" customFormat="false" ht="15" hidden="false" customHeight="false" outlineLevel="0" collapsed="false">
      <c r="A45" s="28"/>
      <c r="B45" s="29"/>
      <c r="C45" s="28"/>
      <c r="D45" s="28"/>
      <c r="E45" s="29"/>
      <c r="F45" s="28"/>
      <c r="G45" s="30"/>
      <c r="H45" s="28"/>
      <c r="I45" s="31" t="str">
        <f aca="false">IFERROR(F45/H45,"")</f>
        <v/>
      </c>
      <c r="J45" s="28"/>
      <c r="K45" s="32" t="str">
        <f aca="false">IF(OR(F45="",J45=""),"",IF(F45&lt;=J45,"YES","NO"))</f>
        <v/>
      </c>
      <c r="L45" s="29"/>
      <c r="M45" s="33"/>
      <c r="N45" s="29"/>
      <c r="O45" s="30"/>
    </row>
    <row r="46" customFormat="false" ht="15" hidden="false" customHeight="false" outlineLevel="0" collapsed="false">
      <c r="A46" s="28"/>
      <c r="B46" s="29"/>
      <c r="C46" s="28"/>
      <c r="D46" s="28"/>
      <c r="E46" s="29"/>
      <c r="F46" s="28"/>
      <c r="G46" s="30"/>
      <c r="H46" s="28"/>
      <c r="I46" s="31" t="str">
        <f aca="false">IFERROR(F46/H46,"")</f>
        <v/>
      </c>
      <c r="J46" s="28"/>
      <c r="K46" s="32" t="str">
        <f aca="false">IF(OR(F46="",J46=""),"",IF(F46&lt;=J46,"YES","NO"))</f>
        <v/>
      </c>
      <c r="L46" s="29"/>
      <c r="M46" s="33"/>
      <c r="N46" s="29"/>
      <c r="O46" s="30"/>
    </row>
    <row r="47" customFormat="false" ht="15" hidden="false" customHeight="false" outlineLevel="0" collapsed="false">
      <c r="A47" s="28"/>
      <c r="B47" s="29"/>
      <c r="C47" s="28"/>
      <c r="D47" s="28"/>
      <c r="E47" s="29"/>
      <c r="F47" s="28"/>
      <c r="G47" s="30"/>
      <c r="H47" s="28"/>
      <c r="I47" s="31" t="str">
        <f aca="false">IFERROR(F47/H47,"")</f>
        <v/>
      </c>
      <c r="J47" s="28"/>
      <c r="K47" s="32" t="str">
        <f aca="false">IF(OR(F47="",J47=""),"",IF(F47&lt;=J47,"YES","NO"))</f>
        <v/>
      </c>
      <c r="L47" s="29"/>
      <c r="M47" s="33"/>
      <c r="N47" s="29"/>
      <c r="O47" s="30"/>
    </row>
    <row r="48" customFormat="false" ht="15" hidden="false" customHeight="false" outlineLevel="0" collapsed="false">
      <c r="A48" s="28"/>
      <c r="B48" s="29"/>
      <c r="C48" s="28"/>
      <c r="D48" s="28"/>
      <c r="E48" s="29"/>
      <c r="F48" s="28"/>
      <c r="G48" s="30"/>
      <c r="H48" s="28"/>
      <c r="I48" s="31" t="str">
        <f aca="false">IFERROR(F48/H48,"")</f>
        <v/>
      </c>
      <c r="J48" s="28"/>
      <c r="K48" s="32" t="str">
        <f aca="false">IF(OR(F48="",J48=""),"",IF(F48&lt;=J48,"YES","NO"))</f>
        <v/>
      </c>
      <c r="L48" s="29"/>
      <c r="M48" s="33"/>
      <c r="N48" s="29"/>
      <c r="O48" s="30"/>
    </row>
  </sheetData>
  <autoFilter ref="A7:O48"/>
  <mergeCells count="2">
    <mergeCell ref="A1:K1"/>
    <mergeCell ref="L6:O6"/>
  </mergeCells>
  <conditionalFormatting sqref="K8:K48">
    <cfRule type="cellIs" priority="2" operator="equal" aboveAverage="0" equalAverage="0" bottom="0" percent="0" rank="0" text="" dxfId="8">
      <formula>"YES"</formula>
    </cfRule>
    <cfRule type="cellIs" priority="3" operator="equal" aboveAverage="0" equalAverage="0" bottom="0" percent="0" rank="0" text="" dxfId="9">
      <formula>"NO"</formula>
    </cfRule>
  </conditionalFormatting>
  <conditionalFormatting sqref="I8:I48">
    <cfRule type="expression" priority="4" aboveAverage="0" equalAverage="0" bottom="0" percent="0" rank="0" text="" dxfId="8">
      <formula>AND(I8&lt;&gt;"",I8&lt;=3)</formula>
    </cfRule>
    <cfRule type="expression" priority="5" aboveAverage="0" equalAverage="0" bottom="0" percent="0" rank="0" text="" dxfId="10">
      <formula>AND(I8&lt;&gt;"",I8&gt;3,I8&lt;=7)</formula>
    </cfRule>
    <cfRule type="expression" priority="6" aboveAverage="0" equalAverage="0" bottom="0" percent="0" rank="0" text="" dxfId="11">
      <formula>AND(I8&lt;&gt;"",I8&gt;7)</formula>
    </cfRule>
  </conditionalFormatting>
  <conditionalFormatting sqref="F8:F48">
    <cfRule type="expression" priority="7" aboveAverage="0" equalAverage="0" bottom="0" percent="0" rank="0" text="" dxfId="8">
      <formula>AND(F8&lt;&gt;"",F8=0)</formula>
    </cfRule>
  </conditionalFormatting>
  <dataValidations count="2">
    <dataValidation allowBlank="true" errorStyle="stop" operator="between" showDropDown="false" showErrorMessage="false" showInputMessage="false" sqref="C8:C48" type="list">
      <formula1>"Fixings,PPE,Abrasives,Welding,Sealants &amp; Adhesives,Electrical,Cleaning,Stationery,Fuel &amp; Lubricants,Other"</formula1>
      <formula2>0</formula2>
    </dataValidation>
    <dataValidation allowBlank="true" errorStyle="stop" operator="between" showDropDown="false" showErrorMessage="false" showInputMessage="false" sqref="D8:D48" type="list">
      <formula1>"Box,Pack,Each,Pair,Bag,Roll,Litre,Kg,Tube,Set"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&amp;CConsumables Stock Check Sheet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5" hidden="false" customHeight="false" outlineLevel="0" collapsed="false">
      <c r="A1" s="34" t="s">
        <v>98</v>
      </c>
    </row>
    <row r="2" customFormat="false" ht="15" hidden="false" customHeight="false" outlineLevel="0" collapsed="false">
      <c r="A2" s="34"/>
    </row>
    <row r="3" customFormat="false" ht="15" hidden="false" customHeight="false" outlineLevel="0" collapsed="false">
      <c r="A3" s="34" t="s">
        <v>99</v>
      </c>
    </row>
    <row r="4" customFormat="false" ht="15" hidden="false" customHeight="false" outlineLevel="0" collapsed="false">
      <c r="A4" s="34"/>
    </row>
    <row r="5" customFormat="false" ht="15" hidden="false" customHeight="false" outlineLevel="0" collapsed="false">
      <c r="A5" s="34" t="s">
        <v>100</v>
      </c>
    </row>
    <row r="6" customFormat="false" ht="15" hidden="false" customHeight="false" outlineLevel="0" collapsed="false">
      <c r="A6" s="34"/>
    </row>
    <row r="7" customFormat="false" ht="15" hidden="false" customHeight="false" outlineLevel="0" collapsed="false">
      <c r="A7" s="34" t="s">
        <v>101</v>
      </c>
    </row>
    <row r="8" customFormat="false" ht="15" hidden="false" customHeight="false" outlineLevel="0" collapsed="false">
      <c r="A8" s="34"/>
    </row>
    <row r="9" customFormat="false" ht="15" hidden="false" customHeight="false" outlineLevel="0" collapsed="false">
      <c r="A9" s="34" t="s">
        <v>102</v>
      </c>
    </row>
    <row r="10" customFormat="false" ht="15" hidden="false" customHeight="false" outlineLevel="0" collapsed="false">
      <c r="A10" s="34"/>
    </row>
    <row r="11" customFormat="false" ht="15" hidden="false" customHeight="false" outlineLevel="0" collapsed="false">
      <c r="A11" s="34" t="s">
        <v>103</v>
      </c>
    </row>
    <row r="12" customFormat="false" ht="15" hidden="false" customHeight="false" outlineLevel="0" collapsed="false">
      <c r="A12" s="34"/>
    </row>
    <row r="13" customFormat="false" ht="15" hidden="false" customHeight="false" outlineLevel="0" collapsed="false">
      <c r="A13" s="34" t="s">
        <v>104</v>
      </c>
    </row>
    <row r="14" customFormat="false" ht="15" hidden="false" customHeight="false" outlineLevel="0" collapsed="false">
      <c r="A14" s="34"/>
    </row>
    <row r="15" customFormat="false" ht="15" hidden="false" customHeight="false" outlineLevel="0" collapsed="false">
      <c r="A15" s="34" t="s">
        <v>105</v>
      </c>
    </row>
    <row r="16" customFormat="false" ht="15" hidden="false" customHeight="false" outlineLevel="0" collapsed="false">
      <c r="A16" s="34"/>
    </row>
    <row r="17" customFormat="false" ht="15" hidden="false" customHeight="false" outlineLevel="0" collapsed="false">
      <c r="A17" s="34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Logistics, Plant &amp; Procurement</cp:category>
  <dcterms:created xsi:type="dcterms:W3CDTF">2026-03-23T17:26:55Z</dcterms:created>
  <dc:creator>Ebrora Ltd</dc:creator>
  <dc:description>Monitor consumable stock levels with reorder alerts, average daily usage rates, and days-of-stock-remaining calculations.
Free professional construction management template from Ebrora Ltd. Visit ebrora.com for our full range of tools and templates.</dc:description>
  <cp:keywords>Ebrora construction logistics consumables stock inventory reorder stores</cp:keywords>
  <dc:language>en-US</dc:language>
  <cp:lastModifiedBy>Ebrora Ltd</cp:lastModifiedBy>
  <dcterms:modified xsi:type="dcterms:W3CDTF">2026-03-23T17:26:55Z</dcterms:modified>
  <cp:revision>0</cp:revision>
  <dc:subject>Monitor consumable stock levels with reorder alerts, usage rates, and days-of-stock-remaining calculations.</dc:subject>
  <dc:title>Consumables Stock Check 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