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urvey Control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'Survey Control Register'!$A$1:$P$82</definedName>
    <definedName function="false" hidden="false" localSheetId="2" name="_xlnm.Print_Titles" vbProcedure="false">'Survey Control Register'!$1:$2</definedName>
    <definedName function="false" hidden="true" localSheetId="2" name="_xlnm._FilterDatabase" vbProcedure="false">'Survey Control Register'!$A$2:$P$2</definedName>
    <definedName function="false" hidden="false" name="SurveyControl_Data" vbProcedure="false">'Survey Control Register'!$A$3:$L$81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<sst xmlns="http://schemas.openxmlformats.org/spreadsheetml/2006/main" count="139" uniqueCount="111">
  <si>
    <t xml:space="preserve">EBRORA</t>
  </si>
  <si>
    <t xml:space="preserve">ebrora.com</t>
  </si>
  <si>
    <t xml:space="preserve">Survey Control &amp; TBM Register</t>
  </si>
  <si>
    <t xml:space="preserve">Record all survey control points, Temporary Bench Marks and check surveys — coordinates, reduced levels, check dates and calibration status in one register.</t>
  </si>
  <si>
    <t xml:space="preserve">This is a free template from Ebrora.
For our full range of professional-grade construction management tools, visit ebrora.com</t>
  </si>
  <si>
    <t xml:space="preserve">© Ebrora 2026 — All rights reserved</t>
  </si>
  <si>
    <t xml:space="preserve">How to Use This Template — Survey Control &amp; TBM Register</t>
  </si>
  <si>
    <t xml:space="preserve">Step-by-Step Instructions</t>
  </si>
  <si>
    <t xml:space="preserve">1.</t>
  </si>
  <si>
    <t xml:space="preserve">Go to the 'Survey Control Register' sheet. Enter the Project Name, Contract Number and coordinate system (e.g. OSGB36 / OS National Grid) in the info strip at the top.</t>
  </si>
  <si>
    <t xml:space="preserve">2.</t>
  </si>
  <si>
    <t xml:space="preserve">Each control point is assigned a sequential reference (SCP-001, SCP-002, etc.) or use your project-specific point numbering in column A.</t>
  </si>
  <si>
    <t xml:space="preserve">3.</t>
  </si>
  <si>
    <t xml:space="preserve">Select the Point Type in column B: Primary Control (established by licensed surveyor), Secondary Control (site-derived), TBM (Temporary Bench Mark), or Check Point.</t>
  </si>
  <si>
    <t xml:space="preserve">4.</t>
  </si>
  <si>
    <t xml:space="preserve">Enter the Easting (column C), Northing (column D) and Reduced Level (column E) in the coordinate system stated in the header. All values to 3 decimal places minimum.</t>
  </si>
  <si>
    <t xml:space="preserve">5.</t>
  </si>
  <si>
    <t xml:space="preserve">Record the Source of the coordinates in column F — e.g. OS OS.Net download, Client-supplied, or Derived from primary control. Always state the parent point.</t>
  </si>
  <si>
    <t xml:space="preserve">6.</t>
  </si>
  <si>
    <t xml:space="preserve">Enter the Date Established in column G and the name of the Surveyor who set or checked the point in column H.</t>
  </si>
  <si>
    <t xml:space="preserve">7.</t>
  </si>
  <si>
    <t xml:space="preserve">Use the Status dropdown in column I: Active, Superseded, Disturbed, or Destroyed. Any point that is not Active must be clearly flagged — do not use coordinates from a disturbed mark.</t>
  </si>
  <si>
    <t xml:space="preserve">8.</t>
  </si>
  <si>
    <t xml:space="preserve">Column J calculates the number of days since the last check survey — primary control points should be checked at least every 28 days, or after any earthworks or plant movement nearby.</t>
  </si>
  <si>
    <t xml:space="preserve">9.</t>
  </si>
  <si>
    <t xml:space="preserve">Enter the Last Check Date in column K and the Check Survey result in column L (Pass / Fail / Not Yet Checked). A Fail means the mark has moved and coordinates must be re-established.</t>
  </si>
  <si>
    <t xml:space="preserve">10.</t>
  </si>
  <si>
    <t xml:space="preserve">Use Optional Columns M–P for the calibration certificate reference, instrument used, file path to the survey report, and any site notes.</t>
  </si>
  <si>
    <t xml:space="preserve">Colour Key</t>
  </si>
  <si>
    <t xml:space="preserve">  </t>
  </si>
  <si>
    <t xml:space="preserve">Active — Point is in good condition and coordinates are current and verified.</t>
  </si>
  <si>
    <t xml:space="preserve">Check Due — Active point has not been checked in the last 28 days.</t>
  </si>
  <si>
    <t xml:space="preserve">Disturbed or Destroyed — Point may have moved. Do not use until re-established and re-checked.</t>
  </si>
  <si>
    <t xml:space="preserve">Superseded — Point has been replaced by a newer mark. Retained for audit record.</t>
  </si>
  <si>
    <t xml:space="preserve">Check Overdue — Active point has not been checked in over 28 days. Urgent review required.</t>
  </si>
  <si>
    <t xml:space="preserve">Light teal cells — User input / editable fields.</t>
  </si>
  <si>
    <t xml:space="preserve">Tips</t>
  </si>
  <si>
    <t xml:space="preserve">*</t>
  </si>
  <si>
    <t xml:space="preserve">Always work from the highest-order control points down. Never use a secondary control point without first verifying it back to primary control. A single disturbed TBM can propagate errors across an entire structure.</t>
  </si>
  <si>
    <t xml:space="preserve">Primary control points should be established by a licensed land surveyor with a calibrated total station and submitted to the Employer's Representative for approval before any setting-out work begins.</t>
  </si>
  <si>
    <t xml:space="preserve">After any heavy plant movement, earthworks, or ground freezing/thawing cycles near a control point — check it. It takes 10 minutes. A missed shift of 5mm in a TBM can translate to serious level errors in concrete works.</t>
  </si>
  <si>
    <t xml:space="preserve">Project Name:</t>
  </si>
  <si>
    <t xml:space="preserve">[Enter Project Name]</t>
  </si>
  <si>
    <t xml:space="preserve">Coord. System:</t>
  </si>
  <si>
    <t xml:space="preserve">OSGB36 / OS National Grid</t>
  </si>
  <si>
    <t xml:space="preserve">Contract No:</t>
  </si>
  <si>
    <t xml:space="preserve">[Contract No]</t>
  </si>
  <si>
    <t xml:space="preserve">Point Ref</t>
  </si>
  <si>
    <t xml:space="preserve">Point Type</t>
  </si>
  <si>
    <t xml:space="preserve">Easting (m)</t>
  </si>
  <si>
    <t xml:space="preserve">Northing (m)</t>
  </si>
  <si>
    <t xml:space="preserve">Reduced Level (mAOD)</t>
  </si>
  <si>
    <t xml:space="preserve">Source / Parent Point</t>
  </si>
  <si>
    <t xml:space="preserve">Date Established</t>
  </si>
  <si>
    <t xml:space="preserve">Surveyor</t>
  </si>
  <si>
    <t xml:space="preserve">Status</t>
  </si>
  <si>
    <t xml:space="preserve">Days Since Last Check</t>
  </si>
  <si>
    <t xml:space="preserve">Last Check Date</t>
  </si>
  <si>
    <t xml:space="preserve">Check Result</t>
  </si>
  <si>
    <t xml:space="preserve">Cal. Cert. Ref</t>
  </si>
  <si>
    <t xml:space="preserve">Instrument Used</t>
  </si>
  <si>
    <t xml:space="preserve">Survey Report Ref</t>
  </si>
  <si>
    <t xml:space="preserve">Notes</t>
  </si>
  <si>
    <t xml:space="preserve">SCP-001</t>
  </si>
  <si>
    <t xml:space="preserve">Primary Control</t>
  </si>
  <si>
    <t xml:space="preserve">OS OS.Net — SP-WRC-001 (client-supplied)</t>
  </si>
  <si>
    <t xml:space="preserve">A. Nkosi (Licensed Surveyor)</t>
  </si>
  <si>
    <t xml:space="preserve">Active</t>
  </si>
  <si>
    <t xml:space="preserve">Pass</t>
  </si>
  <si>
    <t xml:space="preserve">CAL-TS-2024-11</t>
  </si>
  <si>
    <t xml:space="preserve">Leica TS16</t>
  </si>
  <si>
    <t xml:space="preserve">SRV-001.pdf</t>
  </si>
  <si>
    <t xml:space="preserve">Verified vs OS Passive Network. Within 3mm.</t>
  </si>
  <si>
    <t xml:space="preserve">SCP-002</t>
  </si>
  <si>
    <t xml:space="preserve">OS OS.Net — SP-WRC-002 (client-supplied)</t>
  </si>
  <si>
    <t xml:space="preserve">Monument in south compound. Within 4mm tolerance.</t>
  </si>
  <si>
    <t xml:space="preserve">TBM-001</t>
  </si>
  <si>
    <t xml:space="preserve">TBM</t>
  </si>
  <si>
    <t xml:space="preserve">Derived — SCP-001 to SCP-002 traverse</t>
  </si>
  <si>
    <t xml:space="preserve">T. Walsh</t>
  </si>
  <si>
    <t xml:space="preserve">SRV-TBM-001.pdf</t>
  </si>
  <si>
    <t xml:space="preserve">Bolt in concrete plinth at site entrance. Check monthly.</t>
  </si>
  <si>
    <t xml:space="preserve">TBM-002</t>
  </si>
  <si>
    <t xml:space="preserve">Derived — TBM-001 check traverse</t>
  </si>
  <si>
    <t xml:space="preserve">Paint mark on inlet chamber kerb. Monitor — earthworks nearby.</t>
  </si>
  <si>
    <t xml:space="preserve">TBM-003</t>
  </si>
  <si>
    <t xml:space="preserve">Derived — SCP-001 direct</t>
  </si>
  <si>
    <t xml:space="preserve">Disturbed</t>
  </si>
  <si>
    <t xml:space="preserve">Fail</t>
  </si>
  <si>
    <t xml:space="preserve">Adjacent groundworks disturbed plinth. Re-establish required. DO NOT USE.</t>
  </si>
  <si>
    <t xml:space="preserve">CHK-001</t>
  </si>
  <si>
    <t xml:space="preserve">Check Point</t>
  </si>
  <si>
    <t xml:space="preserve">Setting-out check — Inlet Chamber N/E corner</t>
  </si>
  <si>
    <t xml:space="preserve">S. Patel</t>
  </si>
  <si>
    <t xml:space="preserve">Trimble S7</t>
  </si>
  <si>
    <t xml:space="preserve">Corner pin. Checked after concrete pour — within 5mm.</t>
  </si>
  <si>
    <t xml:space="preserve">TOTAL POINTS</t>
  </si>
  <si>
    <t xml:space="preserve">ACTIVE</t>
  </si>
  <si>
    <t xml:space="preserve">DISTURBED</t>
  </si>
  <si>
    <t xml:space="preserve">CHECKS PASSED</t>
  </si>
  <si>
    <t xml:space="preserve">CHECKS FAILED</t>
  </si>
  <si>
    <t xml:space="preserve">CHECKS OVERDUE (&gt;28 DAYS)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</si>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</sst>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0.000"/>
    <numFmt numFmtId="166" formatCode="dd/mm/yyyy"/>
    <numFmt numFmtId="167"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11"/>
      <color rgb="FFFFFFFF"/>
      <name val="Calibri"/>
      <family val="0"/>
      <charset val="1"/>
    </font>
    <font>
      <b val="true"/>
      <sz val="9"/>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
      <patternFill patternType="solid">
        <fgColor rgb="FFFFB347"/>
        <bgColor rgb="FFFF9900"/>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6" fontId="13" fillId="4" borderId="0" xfId="0" applyFont="true" applyBorder="false" applyAlignment="true" applyProtection="false">
      <alignment horizontal="left" vertical="center" textRotation="0" wrapText="true" indent="0" shrinkToFit="false"/>
      <protection locked="true" hidden="false"/>
    </xf>
    <xf numFmtId="167" fontId="13"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7" fillId="2" borderId="0" xfId="0" applyFont="true" applyBorder="false" applyAlignment="true" applyProtection="false">
      <alignment horizontal="right" vertical="center" textRotation="0" wrapText="false" indent="0" shrinkToFit="false"/>
      <protection locked="true" hidden="false"/>
    </xf>
    <xf numFmtId="167"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595959"/>
      </font>
      <fill>
        <patternFill>
          <bgColor rgb="FFD9D9D9"/>
        </patternFill>
      </fill>
    </dxf>
    <dxf>
      <font>
        <name val="Calibri"/>
        <charset val="1"/>
        <family val="0"/>
        <b val="1"/>
        <color rgb="FF1B2A4A"/>
      </font>
      <fill>
        <patternFill>
          <bgColor rgb="FFFFB347"/>
        </patternFill>
      </fill>
    </dxf>
    <dxf>
      <font>
        <name val="Calibri"/>
        <charset val="1"/>
        <family val="0"/>
        <color rgb="FF7D6608"/>
      </font>
      <fill>
        <patternFill>
          <bgColor rgb="FFFFEB9C"/>
        </patternFill>
      </fill>
    </dxf>
    <dxf>
      <font>
        <name val="Calibri"/>
        <charset val="1"/>
        <family val="0"/>
        <i val="1"/>
        <color rgb="FF8C8C8C"/>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B347"/>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8"/>
    <col collapsed="false" customWidth="true" hidden="false" outlineLevel="0" max="4" min="3" style="0" width="14"/>
    <col collapsed="false" customWidth="true" hidden="false" outlineLevel="0" max="5" min="5" style="0" width="16"/>
    <col collapsed="false" customWidth="true" hidden="false" outlineLevel="0" max="6" min="6" style="0" width="22"/>
    <col collapsed="false" customWidth="true" hidden="false" outlineLevel="0" max="7" min="7" style="0" width="15"/>
    <col collapsed="false" customWidth="true" hidden="false" outlineLevel="0" max="8" min="8" style="0" width="16"/>
    <col collapsed="false" customWidth="true" hidden="false" outlineLevel="0" max="10" min="9" style="0" width="14"/>
    <col collapsed="false" customWidth="true" hidden="false" outlineLevel="0" max="11" min="11" style="0" width="15"/>
    <col collapsed="false" customWidth="true" hidden="false" outlineLevel="0" max="12" min="12" style="0" width="14"/>
    <col collapsed="false" customWidth="true" hidden="true" outlineLevel="1" max="16" min="13" style="0" width="16"/>
  </cols>
  <sheetData>
    <row r="1" customFormat="false" ht="21.75" hidden="false" customHeight="true" outlineLevel="0" collapsed="false">
      <c r="A1" s="20" t="s">
        <v>41</v>
      </c>
      <c r="B1" s="20"/>
      <c r="C1" s="21" t="s">
        <v>42</v>
      </c>
      <c r="D1" s="21"/>
      <c r="E1" s="21"/>
      <c r="F1" s="21"/>
      <c r="G1" s="20" t="s">
        <v>43</v>
      </c>
      <c r="H1" s="20"/>
      <c r="I1" s="21" t="s">
        <v>44</v>
      </c>
      <c r="J1" s="21"/>
      <c r="K1" s="20" t="s">
        <v>45</v>
      </c>
      <c r="L1" s="20"/>
      <c r="M1" s="21" t="s">
        <v>46</v>
      </c>
      <c r="N1" s="21"/>
      <c r="O1" s="21"/>
      <c r="P1" s="21"/>
    </row>
    <row r="2" customFormat="false" ht="31.5" hidden="false" customHeight="true" outlineLevel="0" collapsed="false">
      <c r="A2" s="22" t="s">
        <v>47</v>
      </c>
      <c r="B2" s="22" t="s">
        <v>48</v>
      </c>
      <c r="C2" s="22" t="s">
        <v>49</v>
      </c>
      <c r="D2" s="22" t="s">
        <v>50</v>
      </c>
      <c r="E2" s="22" t="s">
        <v>51</v>
      </c>
      <c r="F2" s="22" t="s">
        <v>52</v>
      </c>
      <c r="G2" s="22" t="s">
        <v>53</v>
      </c>
      <c r="H2" s="22" t="s">
        <v>54</v>
      </c>
      <c r="I2" s="22" t="s">
        <v>55</v>
      </c>
      <c r="J2" s="22" t="s">
        <v>56</v>
      </c>
      <c r="K2" s="22" t="s">
        <v>57</v>
      </c>
      <c r="L2" s="22" t="s">
        <v>58</v>
      </c>
      <c r="M2" s="22" t="s">
        <v>59</v>
      </c>
      <c r="N2" s="22" t="s">
        <v>60</v>
      </c>
      <c r="O2" s="22" t="s">
        <v>61</v>
      </c>
      <c r="P2" s="22" t="s">
        <v>62</v>
      </c>
    </row>
    <row r="3" customFormat="false" ht="21.75" hidden="false" customHeight="true" outlineLevel="0" collapsed="false">
      <c r="A3" s="23" t="s">
        <v>63</v>
      </c>
      <c r="B3" s="23" t="s">
        <v>64</v>
      </c>
      <c r="C3" s="24" t="n">
        <v>381452.341</v>
      </c>
      <c r="D3" s="24" t="n">
        <v>432187.562</v>
      </c>
      <c r="E3" s="24" t="n">
        <v>47.832</v>
      </c>
      <c r="F3" s="25" t="s">
        <v>65</v>
      </c>
      <c r="G3" s="26" t="n">
        <v>45611</v>
      </c>
      <c r="H3" s="25" t="s">
        <v>66</v>
      </c>
      <c r="I3" s="23" t="s">
        <v>67</v>
      </c>
      <c r="J3" s="27" t="n">
        <f aca="true">IF(AND(K3&lt;&gt;"",I3="Active"),TODAY()-K3,"")</f>
        <v>379</v>
      </c>
      <c r="K3" s="26" t="n">
        <v>45726</v>
      </c>
      <c r="L3" s="23" t="s">
        <v>68</v>
      </c>
      <c r="M3" s="28" t="s">
        <v>69</v>
      </c>
      <c r="N3" s="28" t="s">
        <v>70</v>
      </c>
      <c r="O3" s="28" t="s">
        <v>71</v>
      </c>
      <c r="P3" s="28" t="s">
        <v>72</v>
      </c>
    </row>
    <row r="4" customFormat="false" ht="21.75" hidden="false" customHeight="true" outlineLevel="0" collapsed="false">
      <c r="A4" s="23" t="s">
        <v>73</v>
      </c>
      <c r="B4" s="23" t="s">
        <v>64</v>
      </c>
      <c r="C4" s="24" t="n">
        <v>381687.124</v>
      </c>
      <c r="D4" s="24" t="n">
        <v>432044.891</v>
      </c>
      <c r="E4" s="24" t="n">
        <v>46.215</v>
      </c>
      <c r="F4" s="25" t="s">
        <v>74</v>
      </c>
      <c r="G4" s="26" t="n">
        <v>45611</v>
      </c>
      <c r="H4" s="25" t="s">
        <v>66</v>
      </c>
      <c r="I4" s="23" t="s">
        <v>67</v>
      </c>
      <c r="J4" s="27" t="n">
        <f aca="true">IF(AND(K4&lt;&gt;"",I4="Active"),TODAY()-K4,"")</f>
        <v>379</v>
      </c>
      <c r="K4" s="26" t="n">
        <v>45726</v>
      </c>
      <c r="L4" s="23" t="s">
        <v>68</v>
      </c>
      <c r="M4" s="28" t="s">
        <v>69</v>
      </c>
      <c r="N4" s="28" t="s">
        <v>70</v>
      </c>
      <c r="O4" s="28" t="s">
        <v>71</v>
      </c>
      <c r="P4" s="28" t="s">
        <v>75</v>
      </c>
    </row>
    <row r="5" customFormat="false" ht="21.75" hidden="false" customHeight="true" outlineLevel="0" collapsed="false">
      <c r="A5" s="23" t="s">
        <v>76</v>
      </c>
      <c r="B5" s="23" t="s">
        <v>77</v>
      </c>
      <c r="C5" s="24" t="n">
        <v>381523.788</v>
      </c>
      <c r="D5" s="24" t="n">
        <v>432210.445</v>
      </c>
      <c r="E5" s="24" t="n">
        <v>47.124</v>
      </c>
      <c r="F5" s="25" t="s">
        <v>78</v>
      </c>
      <c r="G5" s="26" t="n">
        <v>45665</v>
      </c>
      <c r="H5" s="25" t="s">
        <v>79</v>
      </c>
      <c r="I5" s="23" t="s">
        <v>67</v>
      </c>
      <c r="J5" s="27" t="n">
        <f aca="true">IF(AND(K5&lt;&gt;"",I5="Active"),TODAY()-K5,"")</f>
        <v>384</v>
      </c>
      <c r="K5" s="26" t="n">
        <v>45721</v>
      </c>
      <c r="L5" s="23" t="s">
        <v>68</v>
      </c>
      <c r="M5" s="28" t="s">
        <v>69</v>
      </c>
      <c r="N5" s="28" t="s">
        <v>70</v>
      </c>
      <c r="O5" s="28" t="s">
        <v>80</v>
      </c>
      <c r="P5" s="28" t="s">
        <v>81</v>
      </c>
    </row>
    <row r="6" customFormat="false" ht="21.75" hidden="false" customHeight="true" outlineLevel="0" collapsed="false">
      <c r="A6" s="23" t="s">
        <v>82</v>
      </c>
      <c r="B6" s="23" t="s">
        <v>77</v>
      </c>
      <c r="C6" s="24" t="n">
        <v>381598.331</v>
      </c>
      <c r="D6" s="24" t="n">
        <v>432308.772</v>
      </c>
      <c r="E6" s="24" t="n">
        <v>45.987</v>
      </c>
      <c r="F6" s="25" t="s">
        <v>83</v>
      </c>
      <c r="G6" s="26" t="n">
        <v>45679</v>
      </c>
      <c r="H6" s="25" t="s">
        <v>79</v>
      </c>
      <c r="I6" s="23" t="s">
        <v>67</v>
      </c>
      <c r="J6" s="27" t="n">
        <f aca="true">IF(AND(K6&lt;&gt;"",I6="Active"),TODAY()-K6,"")</f>
        <v>405</v>
      </c>
      <c r="K6" s="26" t="n">
        <v>45700</v>
      </c>
      <c r="L6" s="23" t="s">
        <v>68</v>
      </c>
      <c r="M6" s="28" t="s">
        <v>69</v>
      </c>
      <c r="N6" s="28" t="s">
        <v>70</v>
      </c>
      <c r="O6" s="28"/>
      <c r="P6" s="28" t="s">
        <v>84</v>
      </c>
    </row>
    <row r="7" customFormat="false" ht="21.75" hidden="false" customHeight="true" outlineLevel="0" collapsed="false">
      <c r="A7" s="23" t="s">
        <v>85</v>
      </c>
      <c r="B7" s="23" t="s">
        <v>77</v>
      </c>
      <c r="C7" s="24" t="n">
        <v>381444.211</v>
      </c>
      <c r="D7" s="24" t="n">
        <v>432156.087</v>
      </c>
      <c r="E7" s="24" t="n">
        <v>48.112</v>
      </c>
      <c r="F7" s="25" t="s">
        <v>86</v>
      </c>
      <c r="G7" s="26" t="n">
        <v>45693</v>
      </c>
      <c r="H7" s="25" t="s">
        <v>79</v>
      </c>
      <c r="I7" s="23" t="s">
        <v>87</v>
      </c>
      <c r="J7" s="27" t="str">
        <f aca="true">IF(AND(K7&lt;&gt;"",I7="Active"),TODAY()-K7,"")</f>
        <v/>
      </c>
      <c r="K7" s="26" t="n">
        <v>45717</v>
      </c>
      <c r="L7" s="23" t="s">
        <v>88</v>
      </c>
      <c r="M7" s="28"/>
      <c r="N7" s="28"/>
      <c r="O7" s="28"/>
      <c r="P7" s="28" t="s">
        <v>89</v>
      </c>
    </row>
    <row r="8" customFormat="false" ht="21.75" hidden="false" customHeight="true" outlineLevel="0" collapsed="false">
      <c r="A8" s="23" t="s">
        <v>90</v>
      </c>
      <c r="B8" s="23" t="s">
        <v>91</v>
      </c>
      <c r="C8" s="24" t="n">
        <v>381520</v>
      </c>
      <c r="D8" s="24" t="n">
        <v>432200</v>
      </c>
      <c r="E8" s="24" t="n">
        <v>47.05</v>
      </c>
      <c r="F8" s="25" t="s">
        <v>92</v>
      </c>
      <c r="G8" s="26" t="n">
        <v>45698</v>
      </c>
      <c r="H8" s="25" t="s">
        <v>93</v>
      </c>
      <c r="I8" s="23" t="s">
        <v>67</v>
      </c>
      <c r="J8" s="27" t="n">
        <f aca="true">IF(AND(K8&lt;&gt;"",I8="Active"),TODAY()-K8,"")</f>
        <v>374</v>
      </c>
      <c r="K8" s="26" t="n">
        <v>45731</v>
      </c>
      <c r="L8" s="23" t="s">
        <v>68</v>
      </c>
      <c r="M8" s="28"/>
      <c r="N8" s="28" t="s">
        <v>94</v>
      </c>
      <c r="O8" s="28"/>
      <c r="P8" s="28" t="s">
        <v>95</v>
      </c>
    </row>
    <row r="9" customFormat="false" ht="19.5" hidden="false" customHeight="true" outlineLevel="0" collapsed="false">
      <c r="A9" s="25"/>
      <c r="B9" s="23"/>
      <c r="C9" s="29"/>
      <c r="D9" s="29"/>
      <c r="E9" s="29"/>
      <c r="F9" s="25"/>
      <c r="G9" s="26"/>
      <c r="H9" s="25"/>
      <c r="I9" s="23"/>
      <c r="J9" s="27" t="str">
        <f aca="true">IF(AND(K9&lt;&gt;"",I9="Active"),TODAY()-K9,"")</f>
        <v/>
      </c>
      <c r="K9" s="26"/>
      <c r="L9" s="23"/>
    </row>
    <row r="10" customFormat="false" ht="19.5" hidden="false" customHeight="true" outlineLevel="0" collapsed="false">
      <c r="A10" s="25"/>
      <c r="B10" s="23"/>
      <c r="C10" s="29"/>
      <c r="D10" s="29"/>
      <c r="E10" s="29"/>
      <c r="F10" s="25"/>
      <c r="G10" s="26"/>
      <c r="H10" s="25"/>
      <c r="I10" s="23"/>
      <c r="J10" s="27" t="str">
        <f aca="true">IF(AND(K10&lt;&gt;"",I10="Active"),TODAY()-K10,"")</f>
        <v/>
      </c>
      <c r="K10" s="26"/>
      <c r="L10" s="23"/>
    </row>
    <row r="11" customFormat="false" ht="19.5" hidden="false" customHeight="true" outlineLevel="0" collapsed="false">
      <c r="A11" s="25"/>
      <c r="B11" s="23"/>
      <c r="C11" s="29"/>
      <c r="D11" s="29"/>
      <c r="E11" s="29"/>
      <c r="F11" s="25"/>
      <c r="G11" s="26"/>
      <c r="H11" s="25"/>
      <c r="I11" s="23"/>
      <c r="J11" s="27" t="str">
        <f aca="true">IF(AND(K11&lt;&gt;"",I11="Active"),TODAY()-K11,"")</f>
        <v/>
      </c>
      <c r="K11" s="26"/>
      <c r="L11" s="23"/>
    </row>
    <row r="12" customFormat="false" ht="19.5" hidden="false" customHeight="true" outlineLevel="0" collapsed="false">
      <c r="A12" s="25"/>
      <c r="B12" s="23"/>
      <c r="C12" s="29"/>
      <c r="D12" s="29"/>
      <c r="E12" s="29"/>
      <c r="F12" s="25"/>
      <c r="G12" s="26"/>
      <c r="H12" s="25"/>
      <c r="I12" s="23"/>
      <c r="J12" s="27" t="str">
        <f aca="true">IF(AND(K12&lt;&gt;"",I12="Active"),TODAY()-K12,"")</f>
        <v/>
      </c>
      <c r="K12" s="26"/>
      <c r="L12" s="23"/>
    </row>
    <row r="13" customFormat="false" ht="19.5" hidden="false" customHeight="true" outlineLevel="0" collapsed="false">
      <c r="A13" s="25"/>
      <c r="B13" s="23"/>
      <c r="C13" s="29"/>
      <c r="D13" s="29"/>
      <c r="E13" s="29"/>
      <c r="F13" s="25"/>
      <c r="G13" s="26"/>
      <c r="H13" s="25"/>
      <c r="I13" s="23"/>
      <c r="J13" s="27" t="str">
        <f aca="true">IF(AND(K13&lt;&gt;"",I13="Active"),TODAY()-K13,"")</f>
        <v/>
      </c>
      <c r="K13" s="26"/>
      <c r="L13" s="23"/>
    </row>
    <row r="14" customFormat="false" ht="19.5" hidden="false" customHeight="true" outlineLevel="0" collapsed="false">
      <c r="A14" s="25"/>
      <c r="B14" s="23"/>
      <c r="C14" s="29"/>
      <c r="D14" s="29"/>
      <c r="E14" s="29"/>
      <c r="F14" s="25"/>
      <c r="G14" s="26"/>
      <c r="H14" s="25"/>
      <c r="I14" s="23"/>
      <c r="J14" s="27" t="str">
        <f aca="true">IF(AND(K14&lt;&gt;"",I14="Active"),TODAY()-K14,"")</f>
        <v/>
      </c>
      <c r="K14" s="26"/>
      <c r="L14" s="23"/>
    </row>
    <row r="15" customFormat="false" ht="19.5" hidden="false" customHeight="true" outlineLevel="0" collapsed="false">
      <c r="A15" s="25"/>
      <c r="B15" s="23"/>
      <c r="C15" s="29"/>
      <c r="D15" s="29"/>
      <c r="E15" s="29"/>
      <c r="F15" s="25"/>
      <c r="G15" s="26"/>
      <c r="H15" s="25"/>
      <c r="I15" s="23"/>
      <c r="J15" s="27" t="str">
        <f aca="true">IF(AND(K15&lt;&gt;"",I15="Active"),TODAY()-K15,"")</f>
        <v/>
      </c>
      <c r="K15" s="26"/>
      <c r="L15" s="23"/>
    </row>
    <row r="16" customFormat="false" ht="19.5" hidden="false" customHeight="true" outlineLevel="0" collapsed="false">
      <c r="A16" s="25"/>
      <c r="B16" s="23"/>
      <c r="C16" s="29"/>
      <c r="D16" s="29"/>
      <c r="E16" s="29"/>
      <c r="F16" s="25"/>
      <c r="G16" s="26"/>
      <c r="H16" s="25"/>
      <c r="I16" s="23"/>
      <c r="J16" s="27" t="str">
        <f aca="true">IF(AND(K16&lt;&gt;"",I16="Active"),TODAY()-K16,"")</f>
        <v/>
      </c>
      <c r="K16" s="26"/>
      <c r="L16" s="23"/>
    </row>
    <row r="17" customFormat="false" ht="19.5" hidden="false" customHeight="true" outlineLevel="0" collapsed="false">
      <c r="A17" s="25"/>
      <c r="B17" s="23"/>
      <c r="C17" s="29"/>
      <c r="D17" s="29"/>
      <c r="E17" s="29"/>
      <c r="F17" s="25"/>
      <c r="G17" s="26"/>
      <c r="H17" s="25"/>
      <c r="I17" s="23"/>
      <c r="J17" s="27" t="str">
        <f aca="true">IF(AND(K17&lt;&gt;"",I17="Active"),TODAY()-K17,"")</f>
        <v/>
      </c>
      <c r="K17" s="26"/>
      <c r="L17" s="23"/>
    </row>
    <row r="18" customFormat="false" ht="19.5" hidden="false" customHeight="true" outlineLevel="0" collapsed="false">
      <c r="A18" s="25"/>
      <c r="B18" s="23"/>
      <c r="C18" s="29"/>
      <c r="D18" s="29"/>
      <c r="E18" s="29"/>
      <c r="F18" s="25"/>
      <c r="G18" s="26"/>
      <c r="H18" s="25"/>
      <c r="I18" s="23"/>
      <c r="J18" s="27" t="str">
        <f aca="true">IF(AND(K18&lt;&gt;"",I18="Active"),TODAY()-K18,"")</f>
        <v/>
      </c>
      <c r="K18" s="26"/>
      <c r="L18" s="23"/>
    </row>
    <row r="19" customFormat="false" ht="19.5" hidden="false" customHeight="true" outlineLevel="0" collapsed="false">
      <c r="A19" s="25"/>
      <c r="B19" s="23"/>
      <c r="C19" s="29"/>
      <c r="D19" s="29"/>
      <c r="E19" s="29"/>
      <c r="F19" s="25"/>
      <c r="G19" s="26"/>
      <c r="H19" s="25"/>
      <c r="I19" s="23"/>
      <c r="J19" s="27" t="str">
        <f aca="true">IF(AND(K19&lt;&gt;"",I19="Active"),TODAY()-K19,"")</f>
        <v/>
      </c>
      <c r="K19" s="26"/>
      <c r="L19" s="23"/>
    </row>
    <row r="20" customFormat="false" ht="19.5" hidden="false" customHeight="true" outlineLevel="0" collapsed="false">
      <c r="A20" s="25"/>
      <c r="B20" s="23"/>
      <c r="C20" s="29"/>
      <c r="D20" s="29"/>
      <c r="E20" s="29"/>
      <c r="F20" s="25"/>
      <c r="G20" s="26"/>
      <c r="H20" s="25"/>
      <c r="I20" s="23"/>
      <c r="J20" s="27" t="str">
        <f aca="true">IF(AND(K20&lt;&gt;"",I20="Active"),TODAY()-K20,"")</f>
        <v/>
      </c>
      <c r="K20" s="26"/>
      <c r="L20" s="23"/>
    </row>
    <row r="21" customFormat="false" ht="19.5" hidden="false" customHeight="true" outlineLevel="0" collapsed="false">
      <c r="A21" s="25"/>
      <c r="B21" s="23"/>
      <c r="C21" s="29"/>
      <c r="D21" s="29"/>
      <c r="E21" s="29"/>
      <c r="F21" s="25"/>
      <c r="G21" s="26"/>
      <c r="H21" s="25"/>
      <c r="I21" s="23"/>
      <c r="J21" s="27" t="str">
        <f aca="true">IF(AND(K21&lt;&gt;"",I21="Active"),TODAY()-K21,"")</f>
        <v/>
      </c>
      <c r="K21" s="26"/>
      <c r="L21" s="23"/>
    </row>
    <row r="22" customFormat="false" ht="19.5" hidden="false" customHeight="true" outlineLevel="0" collapsed="false">
      <c r="A22" s="25"/>
      <c r="B22" s="23"/>
      <c r="C22" s="29"/>
      <c r="D22" s="29"/>
      <c r="E22" s="29"/>
      <c r="F22" s="25"/>
      <c r="G22" s="26"/>
      <c r="H22" s="25"/>
      <c r="I22" s="23"/>
      <c r="J22" s="27" t="str">
        <f aca="true">IF(AND(K22&lt;&gt;"",I22="Active"),TODAY()-K22,"")</f>
        <v/>
      </c>
      <c r="K22" s="26"/>
      <c r="L22" s="23"/>
    </row>
    <row r="23" customFormat="false" ht="19.5" hidden="false" customHeight="true" outlineLevel="0" collapsed="false">
      <c r="A23" s="25"/>
      <c r="B23" s="23"/>
      <c r="C23" s="29"/>
      <c r="D23" s="29"/>
      <c r="E23" s="29"/>
      <c r="F23" s="25"/>
      <c r="G23" s="26"/>
      <c r="H23" s="25"/>
      <c r="I23" s="23"/>
      <c r="J23" s="27" t="str">
        <f aca="true">IF(AND(K23&lt;&gt;"",I23="Active"),TODAY()-K23,"")</f>
        <v/>
      </c>
      <c r="K23" s="26"/>
      <c r="L23" s="23"/>
    </row>
    <row r="24" customFormat="false" ht="19.5" hidden="false" customHeight="true" outlineLevel="0" collapsed="false">
      <c r="A24" s="25"/>
      <c r="B24" s="23"/>
      <c r="C24" s="29"/>
      <c r="D24" s="29"/>
      <c r="E24" s="29"/>
      <c r="F24" s="25"/>
      <c r="G24" s="26"/>
      <c r="H24" s="25"/>
      <c r="I24" s="23"/>
      <c r="J24" s="27" t="str">
        <f aca="true">IF(AND(K24&lt;&gt;"",I24="Active"),TODAY()-K24,"")</f>
        <v/>
      </c>
      <c r="K24" s="26"/>
      <c r="L24" s="23"/>
    </row>
    <row r="25" customFormat="false" ht="19.5" hidden="false" customHeight="true" outlineLevel="0" collapsed="false">
      <c r="A25" s="25"/>
      <c r="B25" s="23"/>
      <c r="C25" s="29"/>
      <c r="D25" s="29"/>
      <c r="E25" s="29"/>
      <c r="F25" s="25"/>
      <c r="G25" s="26"/>
      <c r="H25" s="25"/>
      <c r="I25" s="23"/>
      <c r="J25" s="27" t="str">
        <f aca="true">IF(AND(K25&lt;&gt;"",I25="Active"),TODAY()-K25,"")</f>
        <v/>
      </c>
      <c r="K25" s="26"/>
      <c r="L25" s="23"/>
    </row>
    <row r="26" customFormat="false" ht="19.5" hidden="false" customHeight="true" outlineLevel="0" collapsed="false">
      <c r="A26" s="25"/>
      <c r="B26" s="23"/>
      <c r="C26" s="29"/>
      <c r="D26" s="29"/>
      <c r="E26" s="29"/>
      <c r="F26" s="25"/>
      <c r="G26" s="26"/>
      <c r="H26" s="25"/>
      <c r="I26" s="23"/>
      <c r="J26" s="27" t="str">
        <f aca="true">IF(AND(K26&lt;&gt;"",I26="Active"),TODAY()-K26,"")</f>
        <v/>
      </c>
      <c r="K26" s="26"/>
      <c r="L26" s="23"/>
    </row>
    <row r="27" customFormat="false" ht="19.5" hidden="false" customHeight="true" outlineLevel="0" collapsed="false">
      <c r="A27" s="25"/>
      <c r="B27" s="23"/>
      <c r="C27" s="29"/>
      <c r="D27" s="29"/>
      <c r="E27" s="29"/>
      <c r="F27" s="25"/>
      <c r="G27" s="26"/>
      <c r="H27" s="25"/>
      <c r="I27" s="23"/>
      <c r="J27" s="27" t="str">
        <f aca="true">IF(AND(K27&lt;&gt;"",I27="Active"),TODAY()-K27,"")</f>
        <v/>
      </c>
      <c r="K27" s="26"/>
      <c r="L27" s="23"/>
    </row>
    <row r="28" customFormat="false" ht="19.5" hidden="false" customHeight="true" outlineLevel="0" collapsed="false">
      <c r="A28" s="25"/>
      <c r="B28" s="23"/>
      <c r="C28" s="29"/>
      <c r="D28" s="29"/>
      <c r="E28" s="29"/>
      <c r="F28" s="25"/>
      <c r="G28" s="26"/>
      <c r="H28" s="25"/>
      <c r="I28" s="23"/>
      <c r="J28" s="27" t="str">
        <f aca="true">IF(AND(K28&lt;&gt;"",I28="Active"),TODAY()-K28,"")</f>
        <v/>
      </c>
      <c r="K28" s="26"/>
      <c r="L28" s="23"/>
    </row>
    <row r="29" customFormat="false" ht="19.5" hidden="false" customHeight="true" outlineLevel="0" collapsed="false">
      <c r="A29" s="25"/>
      <c r="B29" s="23"/>
      <c r="C29" s="29"/>
      <c r="D29" s="29"/>
      <c r="E29" s="29"/>
      <c r="F29" s="25"/>
      <c r="G29" s="26"/>
      <c r="H29" s="25"/>
      <c r="I29" s="23"/>
      <c r="J29" s="27" t="str">
        <f aca="true">IF(AND(K29&lt;&gt;"",I29="Active"),TODAY()-K29,"")</f>
        <v/>
      </c>
      <c r="K29" s="26"/>
      <c r="L29" s="23"/>
    </row>
    <row r="30" customFormat="false" ht="19.5" hidden="false" customHeight="true" outlineLevel="0" collapsed="false">
      <c r="A30" s="25"/>
      <c r="B30" s="23"/>
      <c r="C30" s="29"/>
      <c r="D30" s="29"/>
      <c r="E30" s="29"/>
      <c r="F30" s="25"/>
      <c r="G30" s="26"/>
      <c r="H30" s="25"/>
      <c r="I30" s="23"/>
      <c r="J30" s="27" t="str">
        <f aca="true">IF(AND(K30&lt;&gt;"",I30="Active"),TODAY()-K30,"")</f>
        <v/>
      </c>
      <c r="K30" s="26"/>
      <c r="L30" s="23"/>
    </row>
    <row r="31" customFormat="false" ht="19.5" hidden="false" customHeight="true" outlineLevel="0" collapsed="false">
      <c r="A31" s="25"/>
      <c r="B31" s="23"/>
      <c r="C31" s="29"/>
      <c r="D31" s="29"/>
      <c r="E31" s="29"/>
      <c r="F31" s="25"/>
      <c r="G31" s="26"/>
      <c r="H31" s="25"/>
      <c r="I31" s="23"/>
      <c r="J31" s="27" t="str">
        <f aca="true">IF(AND(K31&lt;&gt;"",I31="Active"),TODAY()-K31,"")</f>
        <v/>
      </c>
      <c r="K31" s="26"/>
      <c r="L31" s="23"/>
    </row>
    <row r="32" customFormat="false" ht="19.5" hidden="false" customHeight="true" outlineLevel="0" collapsed="false">
      <c r="A32" s="25"/>
      <c r="B32" s="23"/>
      <c r="C32" s="29"/>
      <c r="D32" s="29"/>
      <c r="E32" s="29"/>
      <c r="F32" s="25"/>
      <c r="G32" s="26"/>
      <c r="H32" s="25"/>
      <c r="I32" s="23"/>
      <c r="J32" s="27" t="str">
        <f aca="true">IF(AND(K32&lt;&gt;"",I32="Active"),TODAY()-K32,"")</f>
        <v/>
      </c>
      <c r="K32" s="26"/>
      <c r="L32" s="23"/>
    </row>
    <row r="33" customFormat="false" ht="19.5" hidden="false" customHeight="true" outlineLevel="0" collapsed="false">
      <c r="A33" s="25"/>
      <c r="B33" s="23"/>
      <c r="C33" s="29"/>
      <c r="D33" s="29"/>
      <c r="E33" s="29"/>
      <c r="F33" s="25"/>
      <c r="G33" s="26"/>
      <c r="H33" s="25"/>
      <c r="I33" s="23"/>
      <c r="J33" s="27" t="str">
        <f aca="true">IF(AND(K33&lt;&gt;"",I33="Active"),TODAY()-K33,"")</f>
        <v/>
      </c>
      <c r="K33" s="26"/>
      <c r="L33" s="23"/>
    </row>
    <row r="34" customFormat="false" ht="19.5" hidden="false" customHeight="true" outlineLevel="0" collapsed="false">
      <c r="A34" s="25"/>
      <c r="B34" s="23"/>
      <c r="C34" s="29"/>
      <c r="D34" s="29"/>
      <c r="E34" s="29"/>
      <c r="F34" s="25"/>
      <c r="G34" s="26"/>
      <c r="H34" s="25"/>
      <c r="I34" s="23"/>
      <c r="J34" s="27" t="str">
        <f aca="true">IF(AND(K34&lt;&gt;"",I34="Active"),TODAY()-K34,"")</f>
        <v/>
      </c>
      <c r="K34" s="26"/>
      <c r="L34" s="23"/>
    </row>
    <row r="35" customFormat="false" ht="19.5" hidden="false" customHeight="true" outlineLevel="0" collapsed="false">
      <c r="A35" s="25"/>
      <c r="B35" s="23"/>
      <c r="C35" s="29"/>
      <c r="D35" s="29"/>
      <c r="E35" s="29"/>
      <c r="F35" s="25"/>
      <c r="G35" s="26"/>
      <c r="H35" s="25"/>
      <c r="I35" s="23"/>
      <c r="J35" s="27" t="str">
        <f aca="true">IF(AND(K35&lt;&gt;"",I35="Active"),TODAY()-K35,"")</f>
        <v/>
      </c>
      <c r="K35" s="26"/>
      <c r="L35" s="23"/>
    </row>
    <row r="36" customFormat="false" ht="19.5" hidden="false" customHeight="true" outlineLevel="0" collapsed="false">
      <c r="A36" s="25"/>
      <c r="B36" s="23"/>
      <c r="C36" s="29"/>
      <c r="D36" s="29"/>
      <c r="E36" s="29"/>
      <c r="F36" s="25"/>
      <c r="G36" s="26"/>
      <c r="H36" s="25"/>
      <c r="I36" s="23"/>
      <c r="J36" s="27" t="str">
        <f aca="true">IF(AND(K36&lt;&gt;"",I36="Active"),TODAY()-K36,"")</f>
        <v/>
      </c>
      <c r="K36" s="26"/>
      <c r="L36" s="23"/>
    </row>
    <row r="37" customFormat="false" ht="19.5" hidden="false" customHeight="true" outlineLevel="0" collapsed="false">
      <c r="A37" s="25"/>
      <c r="B37" s="23"/>
      <c r="C37" s="29"/>
      <c r="D37" s="29"/>
      <c r="E37" s="29"/>
      <c r="F37" s="25"/>
      <c r="G37" s="26"/>
      <c r="H37" s="25"/>
      <c r="I37" s="23"/>
      <c r="J37" s="27" t="str">
        <f aca="true">IF(AND(K37&lt;&gt;"",I37="Active"),TODAY()-K37,"")</f>
        <v/>
      </c>
      <c r="K37" s="26"/>
      <c r="L37" s="23"/>
    </row>
    <row r="38" customFormat="false" ht="19.5" hidden="false" customHeight="true" outlineLevel="0" collapsed="false">
      <c r="A38" s="25"/>
      <c r="B38" s="23"/>
      <c r="C38" s="29"/>
      <c r="D38" s="29"/>
      <c r="E38" s="29"/>
      <c r="F38" s="25"/>
      <c r="G38" s="26"/>
      <c r="H38" s="25"/>
      <c r="I38" s="23"/>
      <c r="J38" s="27" t="str">
        <f aca="true">IF(AND(K38&lt;&gt;"",I38="Active"),TODAY()-K38,"")</f>
        <v/>
      </c>
      <c r="K38" s="26"/>
      <c r="L38" s="23"/>
    </row>
    <row r="39" customFormat="false" ht="19.5" hidden="false" customHeight="true" outlineLevel="0" collapsed="false">
      <c r="A39" s="25"/>
      <c r="B39" s="23"/>
      <c r="C39" s="29"/>
      <c r="D39" s="29"/>
      <c r="E39" s="29"/>
      <c r="F39" s="25"/>
      <c r="G39" s="26"/>
      <c r="H39" s="25"/>
      <c r="I39" s="23"/>
      <c r="J39" s="27" t="str">
        <f aca="true">IF(AND(K39&lt;&gt;"",I39="Active"),TODAY()-K39,"")</f>
        <v/>
      </c>
      <c r="K39" s="26"/>
      <c r="L39" s="23"/>
    </row>
    <row r="40" customFormat="false" ht="19.5" hidden="false" customHeight="true" outlineLevel="0" collapsed="false">
      <c r="A40" s="25"/>
      <c r="B40" s="23"/>
      <c r="C40" s="29"/>
      <c r="D40" s="29"/>
      <c r="E40" s="29"/>
      <c r="F40" s="25"/>
      <c r="G40" s="26"/>
      <c r="H40" s="25"/>
      <c r="I40" s="23"/>
      <c r="J40" s="27" t="str">
        <f aca="true">IF(AND(K40&lt;&gt;"",I40="Active"),TODAY()-K40,"")</f>
        <v/>
      </c>
      <c r="K40" s="26"/>
      <c r="L40" s="23"/>
    </row>
    <row r="41" customFormat="false" ht="19.5" hidden="false" customHeight="true" outlineLevel="0" collapsed="false">
      <c r="A41" s="25"/>
      <c r="B41" s="23"/>
      <c r="C41" s="29"/>
      <c r="D41" s="29"/>
      <c r="E41" s="29"/>
      <c r="F41" s="25"/>
      <c r="G41" s="26"/>
      <c r="H41" s="25"/>
      <c r="I41" s="23"/>
      <c r="J41" s="27" t="str">
        <f aca="true">IF(AND(K41&lt;&gt;"",I41="Active"),TODAY()-K41,"")</f>
        <v/>
      </c>
      <c r="K41" s="26"/>
      <c r="L41" s="23"/>
    </row>
    <row r="42" customFormat="false" ht="19.5" hidden="false" customHeight="true" outlineLevel="0" collapsed="false">
      <c r="A42" s="25"/>
      <c r="B42" s="23"/>
      <c r="C42" s="29"/>
      <c r="D42" s="29"/>
      <c r="E42" s="29"/>
      <c r="F42" s="25"/>
      <c r="G42" s="26"/>
      <c r="H42" s="25"/>
      <c r="I42" s="23"/>
      <c r="J42" s="27" t="str">
        <f aca="true">IF(AND(K42&lt;&gt;"",I42="Active"),TODAY()-K42,"")</f>
        <v/>
      </c>
      <c r="K42" s="26"/>
      <c r="L42" s="23"/>
    </row>
    <row r="43" customFormat="false" ht="19.5" hidden="false" customHeight="true" outlineLevel="0" collapsed="false">
      <c r="A43" s="25"/>
      <c r="B43" s="23"/>
      <c r="C43" s="29"/>
      <c r="D43" s="29"/>
      <c r="E43" s="29"/>
      <c r="F43" s="25"/>
      <c r="G43" s="26"/>
      <c r="H43" s="25"/>
      <c r="I43" s="23"/>
      <c r="J43" s="27" t="str">
        <f aca="true">IF(AND(K43&lt;&gt;"",I43="Active"),TODAY()-K43,"")</f>
        <v/>
      </c>
      <c r="K43" s="26"/>
      <c r="L43" s="23"/>
    </row>
    <row r="44" customFormat="false" ht="19.5" hidden="false" customHeight="true" outlineLevel="0" collapsed="false">
      <c r="A44" s="25"/>
      <c r="B44" s="23"/>
      <c r="C44" s="29"/>
      <c r="D44" s="29"/>
      <c r="E44" s="29"/>
      <c r="F44" s="25"/>
      <c r="G44" s="26"/>
      <c r="H44" s="25"/>
      <c r="I44" s="23"/>
      <c r="J44" s="27" t="str">
        <f aca="true">IF(AND(K44&lt;&gt;"",I44="Active"),TODAY()-K44,"")</f>
        <v/>
      </c>
      <c r="K44" s="26"/>
      <c r="L44" s="23"/>
    </row>
    <row r="45" customFormat="false" ht="19.5" hidden="false" customHeight="true" outlineLevel="0" collapsed="false">
      <c r="A45" s="25"/>
      <c r="B45" s="23"/>
      <c r="C45" s="29"/>
      <c r="D45" s="29"/>
      <c r="E45" s="29"/>
      <c r="F45" s="25"/>
      <c r="G45" s="26"/>
      <c r="H45" s="25"/>
      <c r="I45" s="23"/>
      <c r="J45" s="27" t="str">
        <f aca="true">IF(AND(K45&lt;&gt;"",I45="Active"),TODAY()-K45,"")</f>
        <v/>
      </c>
      <c r="K45" s="26"/>
      <c r="L45" s="23"/>
    </row>
    <row r="46" customFormat="false" ht="19.5" hidden="false" customHeight="true" outlineLevel="0" collapsed="false">
      <c r="A46" s="25"/>
      <c r="B46" s="23"/>
      <c r="C46" s="29"/>
      <c r="D46" s="29"/>
      <c r="E46" s="29"/>
      <c r="F46" s="25"/>
      <c r="G46" s="26"/>
      <c r="H46" s="25"/>
      <c r="I46" s="23"/>
      <c r="J46" s="27" t="str">
        <f aca="true">IF(AND(K46&lt;&gt;"",I46="Active"),TODAY()-K46,"")</f>
        <v/>
      </c>
      <c r="K46" s="26"/>
      <c r="L46" s="23"/>
    </row>
    <row r="47" customFormat="false" ht="19.5" hidden="false" customHeight="true" outlineLevel="0" collapsed="false">
      <c r="A47" s="25"/>
      <c r="B47" s="23"/>
      <c r="C47" s="29"/>
      <c r="D47" s="29"/>
      <c r="E47" s="29"/>
      <c r="F47" s="25"/>
      <c r="G47" s="26"/>
      <c r="H47" s="25"/>
      <c r="I47" s="23"/>
      <c r="J47" s="27" t="str">
        <f aca="true">IF(AND(K47&lt;&gt;"",I47="Active"),TODAY()-K47,"")</f>
        <v/>
      </c>
      <c r="K47" s="26"/>
      <c r="L47" s="23"/>
    </row>
    <row r="48" customFormat="false" ht="19.5" hidden="false" customHeight="true" outlineLevel="0" collapsed="false">
      <c r="A48" s="25"/>
      <c r="B48" s="23"/>
      <c r="C48" s="29"/>
      <c r="D48" s="29"/>
      <c r="E48" s="29"/>
      <c r="F48" s="25"/>
      <c r="G48" s="26"/>
      <c r="H48" s="25"/>
      <c r="I48" s="23"/>
      <c r="J48" s="27" t="str">
        <f aca="true">IF(AND(K48&lt;&gt;"",I48="Active"),TODAY()-K48,"")</f>
        <v/>
      </c>
      <c r="K48" s="26"/>
      <c r="L48" s="23"/>
    </row>
    <row r="49" customFormat="false" ht="19.5" hidden="false" customHeight="true" outlineLevel="0" collapsed="false">
      <c r="A49" s="25"/>
      <c r="B49" s="23"/>
      <c r="C49" s="29"/>
      <c r="D49" s="29"/>
      <c r="E49" s="29"/>
      <c r="F49" s="25"/>
      <c r="G49" s="26"/>
      <c r="H49" s="25"/>
      <c r="I49" s="23"/>
      <c r="J49" s="27" t="str">
        <f aca="true">IF(AND(K49&lt;&gt;"",I49="Active"),TODAY()-K49,"")</f>
        <v/>
      </c>
      <c r="K49" s="26"/>
      <c r="L49" s="23"/>
    </row>
    <row r="50" customFormat="false" ht="19.5" hidden="false" customHeight="true" outlineLevel="0" collapsed="false">
      <c r="A50" s="25"/>
      <c r="B50" s="23"/>
      <c r="C50" s="29"/>
      <c r="D50" s="29"/>
      <c r="E50" s="29"/>
      <c r="F50" s="25"/>
      <c r="G50" s="26"/>
      <c r="H50" s="25"/>
      <c r="I50" s="23"/>
      <c r="J50" s="27" t="str">
        <f aca="true">IF(AND(K50&lt;&gt;"",I50="Active"),TODAY()-K50,"")</f>
        <v/>
      </c>
      <c r="K50" s="26"/>
      <c r="L50" s="23"/>
    </row>
    <row r="51" customFormat="false" ht="19.5" hidden="false" customHeight="true" outlineLevel="0" collapsed="false">
      <c r="A51" s="25"/>
      <c r="B51" s="23"/>
      <c r="C51" s="29"/>
      <c r="D51" s="29"/>
      <c r="E51" s="29"/>
      <c r="F51" s="25"/>
      <c r="G51" s="26"/>
      <c r="H51" s="25"/>
      <c r="I51" s="23"/>
      <c r="J51" s="27" t="str">
        <f aca="true">IF(AND(K51&lt;&gt;"",I51="Active"),TODAY()-K51,"")</f>
        <v/>
      </c>
      <c r="K51" s="26"/>
      <c r="L51" s="23"/>
    </row>
    <row r="52" customFormat="false" ht="19.5" hidden="false" customHeight="true" outlineLevel="0" collapsed="false">
      <c r="A52" s="25"/>
      <c r="B52" s="23"/>
      <c r="C52" s="29"/>
      <c r="D52" s="29"/>
      <c r="E52" s="29"/>
      <c r="F52" s="25"/>
      <c r="G52" s="26"/>
      <c r="H52" s="25"/>
      <c r="I52" s="23"/>
      <c r="J52" s="27" t="str">
        <f aca="true">IF(AND(K52&lt;&gt;"",I52="Active"),TODAY()-K52,"")</f>
        <v/>
      </c>
      <c r="K52" s="26"/>
      <c r="L52" s="23"/>
    </row>
    <row r="53" customFormat="false" ht="19.5" hidden="false" customHeight="true" outlineLevel="0" collapsed="false">
      <c r="A53" s="25"/>
      <c r="B53" s="23"/>
      <c r="C53" s="29"/>
      <c r="D53" s="29"/>
      <c r="E53" s="29"/>
      <c r="F53" s="25"/>
      <c r="G53" s="26"/>
      <c r="H53" s="25"/>
      <c r="I53" s="23"/>
      <c r="J53" s="27" t="str">
        <f aca="true">IF(AND(K53&lt;&gt;"",I53="Active"),TODAY()-K53,"")</f>
        <v/>
      </c>
      <c r="K53" s="26"/>
      <c r="L53" s="23"/>
    </row>
    <row r="54" customFormat="false" ht="19.5" hidden="false" customHeight="true" outlineLevel="0" collapsed="false">
      <c r="A54" s="25"/>
      <c r="B54" s="23"/>
      <c r="C54" s="29"/>
      <c r="D54" s="29"/>
      <c r="E54" s="29"/>
      <c r="F54" s="25"/>
      <c r="G54" s="26"/>
      <c r="H54" s="25"/>
      <c r="I54" s="23"/>
      <c r="J54" s="27" t="str">
        <f aca="true">IF(AND(K54&lt;&gt;"",I54="Active"),TODAY()-K54,"")</f>
        <v/>
      </c>
      <c r="K54" s="26"/>
      <c r="L54" s="23"/>
    </row>
    <row r="55" customFormat="false" ht="19.5" hidden="false" customHeight="true" outlineLevel="0" collapsed="false">
      <c r="A55" s="25"/>
      <c r="B55" s="23"/>
      <c r="C55" s="29"/>
      <c r="D55" s="29"/>
      <c r="E55" s="29"/>
      <c r="F55" s="25"/>
      <c r="G55" s="26"/>
      <c r="H55" s="25"/>
      <c r="I55" s="23"/>
      <c r="J55" s="27" t="str">
        <f aca="true">IF(AND(K55&lt;&gt;"",I55="Active"),TODAY()-K55,"")</f>
        <v/>
      </c>
      <c r="K55" s="26"/>
      <c r="L55" s="23"/>
    </row>
    <row r="56" customFormat="false" ht="19.5" hidden="false" customHeight="true" outlineLevel="0" collapsed="false">
      <c r="A56" s="25"/>
      <c r="B56" s="23"/>
      <c r="C56" s="29"/>
      <c r="D56" s="29"/>
      <c r="E56" s="29"/>
      <c r="F56" s="25"/>
      <c r="G56" s="26"/>
      <c r="H56" s="25"/>
      <c r="I56" s="23"/>
      <c r="J56" s="27" t="str">
        <f aca="true">IF(AND(K56&lt;&gt;"",I56="Active"),TODAY()-K56,"")</f>
        <v/>
      </c>
      <c r="K56" s="26"/>
      <c r="L56" s="23"/>
    </row>
    <row r="57" customFormat="false" ht="19.5" hidden="false" customHeight="true" outlineLevel="0" collapsed="false">
      <c r="A57" s="25"/>
      <c r="B57" s="23"/>
      <c r="C57" s="29"/>
      <c r="D57" s="29"/>
      <c r="E57" s="29"/>
      <c r="F57" s="25"/>
      <c r="G57" s="26"/>
      <c r="H57" s="25"/>
      <c r="I57" s="23"/>
      <c r="J57" s="27" t="str">
        <f aca="true">IF(AND(K57&lt;&gt;"",I57="Active"),TODAY()-K57,"")</f>
        <v/>
      </c>
      <c r="K57" s="26"/>
      <c r="L57" s="23"/>
    </row>
    <row r="58" customFormat="false" ht="19.5" hidden="false" customHeight="true" outlineLevel="0" collapsed="false">
      <c r="A58" s="25"/>
      <c r="B58" s="23"/>
      <c r="C58" s="29"/>
      <c r="D58" s="29"/>
      <c r="E58" s="29"/>
      <c r="F58" s="25"/>
      <c r="G58" s="26"/>
      <c r="H58" s="25"/>
      <c r="I58" s="23"/>
      <c r="J58" s="27" t="str">
        <f aca="true">IF(AND(K58&lt;&gt;"",I58="Active"),TODAY()-K58,"")</f>
        <v/>
      </c>
      <c r="K58" s="26"/>
      <c r="L58" s="23"/>
    </row>
    <row r="59" customFormat="false" ht="19.5" hidden="false" customHeight="true" outlineLevel="0" collapsed="false">
      <c r="A59" s="25"/>
      <c r="B59" s="23"/>
      <c r="C59" s="29"/>
      <c r="D59" s="29"/>
      <c r="E59" s="29"/>
      <c r="F59" s="25"/>
      <c r="G59" s="26"/>
      <c r="H59" s="25"/>
      <c r="I59" s="23"/>
      <c r="J59" s="27" t="str">
        <f aca="true">IF(AND(K59&lt;&gt;"",I59="Active"),TODAY()-K59,"")</f>
        <v/>
      </c>
      <c r="K59" s="26"/>
      <c r="L59" s="23"/>
    </row>
    <row r="60" customFormat="false" ht="19.5" hidden="false" customHeight="true" outlineLevel="0" collapsed="false">
      <c r="A60" s="25"/>
      <c r="B60" s="23"/>
      <c r="C60" s="29"/>
      <c r="D60" s="29"/>
      <c r="E60" s="29"/>
      <c r="F60" s="25"/>
      <c r="G60" s="26"/>
      <c r="H60" s="25"/>
      <c r="I60" s="23"/>
      <c r="J60" s="27" t="str">
        <f aca="true">IF(AND(K60&lt;&gt;"",I60="Active"),TODAY()-K60,"")</f>
        <v/>
      </c>
      <c r="K60" s="26"/>
      <c r="L60" s="23"/>
    </row>
    <row r="61" customFormat="false" ht="19.5" hidden="false" customHeight="true" outlineLevel="0" collapsed="false">
      <c r="A61" s="25"/>
      <c r="B61" s="23"/>
      <c r="C61" s="29"/>
      <c r="D61" s="29"/>
      <c r="E61" s="29"/>
      <c r="F61" s="25"/>
      <c r="G61" s="26"/>
      <c r="H61" s="25"/>
      <c r="I61" s="23"/>
      <c r="J61" s="27" t="str">
        <f aca="true">IF(AND(K61&lt;&gt;"",I61="Active"),TODAY()-K61,"")</f>
        <v/>
      </c>
      <c r="K61" s="26"/>
      <c r="L61" s="23"/>
    </row>
    <row r="62" customFormat="false" ht="19.5" hidden="false" customHeight="true" outlineLevel="0" collapsed="false">
      <c r="A62" s="25"/>
      <c r="B62" s="23"/>
      <c r="C62" s="29"/>
      <c r="D62" s="29"/>
      <c r="E62" s="29"/>
      <c r="F62" s="25"/>
      <c r="G62" s="26"/>
      <c r="H62" s="25"/>
      <c r="I62" s="23"/>
      <c r="J62" s="27" t="str">
        <f aca="true">IF(AND(K62&lt;&gt;"",I62="Active"),TODAY()-K62,"")</f>
        <v/>
      </c>
      <c r="K62" s="26"/>
      <c r="L62" s="23"/>
    </row>
    <row r="63" customFormat="false" ht="19.5" hidden="false" customHeight="true" outlineLevel="0" collapsed="false">
      <c r="A63" s="25"/>
      <c r="B63" s="23"/>
      <c r="C63" s="29"/>
      <c r="D63" s="29"/>
      <c r="E63" s="29"/>
      <c r="F63" s="25"/>
      <c r="G63" s="26"/>
      <c r="H63" s="25"/>
      <c r="I63" s="23"/>
      <c r="J63" s="27" t="str">
        <f aca="true">IF(AND(K63&lt;&gt;"",I63="Active"),TODAY()-K63,"")</f>
        <v/>
      </c>
      <c r="K63" s="26"/>
      <c r="L63" s="23"/>
    </row>
    <row r="64" customFormat="false" ht="19.5" hidden="false" customHeight="true" outlineLevel="0" collapsed="false">
      <c r="A64" s="25"/>
      <c r="B64" s="23"/>
      <c r="C64" s="29"/>
      <c r="D64" s="29"/>
      <c r="E64" s="29"/>
      <c r="F64" s="25"/>
      <c r="G64" s="26"/>
      <c r="H64" s="25"/>
      <c r="I64" s="23"/>
      <c r="J64" s="27" t="str">
        <f aca="true">IF(AND(K64&lt;&gt;"",I64="Active"),TODAY()-K64,"")</f>
        <v/>
      </c>
      <c r="K64" s="26"/>
      <c r="L64" s="23"/>
    </row>
    <row r="65" customFormat="false" ht="19.5" hidden="false" customHeight="true" outlineLevel="0" collapsed="false">
      <c r="A65" s="25"/>
      <c r="B65" s="23"/>
      <c r="C65" s="29"/>
      <c r="D65" s="29"/>
      <c r="E65" s="29"/>
      <c r="F65" s="25"/>
      <c r="G65" s="26"/>
      <c r="H65" s="25"/>
      <c r="I65" s="23"/>
      <c r="J65" s="27" t="str">
        <f aca="true">IF(AND(K65&lt;&gt;"",I65="Active"),TODAY()-K65,"")</f>
        <v/>
      </c>
      <c r="K65" s="26"/>
      <c r="L65" s="23"/>
    </row>
    <row r="66" customFormat="false" ht="19.5" hidden="false" customHeight="true" outlineLevel="0" collapsed="false">
      <c r="A66" s="25"/>
      <c r="B66" s="23"/>
      <c r="C66" s="29"/>
      <c r="D66" s="29"/>
      <c r="E66" s="29"/>
      <c r="F66" s="25"/>
      <c r="G66" s="26"/>
      <c r="H66" s="25"/>
      <c r="I66" s="23"/>
      <c r="J66" s="27" t="str">
        <f aca="true">IF(AND(K66&lt;&gt;"",I66="Active"),TODAY()-K66,"")</f>
        <v/>
      </c>
      <c r="K66" s="26"/>
      <c r="L66" s="23"/>
    </row>
    <row r="67" customFormat="false" ht="19.5" hidden="false" customHeight="true" outlineLevel="0" collapsed="false">
      <c r="A67" s="25"/>
      <c r="B67" s="23"/>
      <c r="C67" s="29"/>
      <c r="D67" s="29"/>
      <c r="E67" s="29"/>
      <c r="F67" s="25"/>
      <c r="G67" s="26"/>
      <c r="H67" s="25"/>
      <c r="I67" s="23"/>
      <c r="J67" s="27" t="str">
        <f aca="true">IF(AND(K67&lt;&gt;"",I67="Active"),TODAY()-K67,"")</f>
        <v/>
      </c>
      <c r="K67" s="26"/>
      <c r="L67" s="23"/>
    </row>
    <row r="68" customFormat="false" ht="19.5" hidden="false" customHeight="true" outlineLevel="0" collapsed="false">
      <c r="A68" s="25"/>
      <c r="B68" s="23"/>
      <c r="C68" s="29"/>
      <c r="D68" s="29"/>
      <c r="E68" s="29"/>
      <c r="F68" s="25"/>
      <c r="G68" s="26"/>
      <c r="H68" s="25"/>
      <c r="I68" s="23"/>
      <c r="J68" s="27" t="str">
        <f aca="true">IF(AND(K68&lt;&gt;"",I68="Active"),TODAY()-K68,"")</f>
        <v/>
      </c>
      <c r="K68" s="26"/>
      <c r="L68" s="23"/>
    </row>
    <row r="69" customFormat="false" ht="19.5" hidden="false" customHeight="true" outlineLevel="0" collapsed="false">
      <c r="A69" s="25"/>
      <c r="B69" s="23"/>
      <c r="C69" s="29"/>
      <c r="D69" s="29"/>
      <c r="E69" s="29"/>
      <c r="F69" s="25"/>
      <c r="G69" s="26"/>
      <c r="H69" s="25"/>
      <c r="I69" s="23"/>
      <c r="J69" s="27" t="str">
        <f aca="true">IF(AND(K69&lt;&gt;"",I69="Active"),TODAY()-K69,"")</f>
        <v/>
      </c>
      <c r="K69" s="26"/>
      <c r="L69" s="23"/>
    </row>
    <row r="70" customFormat="false" ht="19.5" hidden="false" customHeight="true" outlineLevel="0" collapsed="false">
      <c r="A70" s="25"/>
      <c r="B70" s="23"/>
      <c r="C70" s="29"/>
      <c r="D70" s="29"/>
      <c r="E70" s="29"/>
      <c r="F70" s="25"/>
      <c r="G70" s="26"/>
      <c r="H70" s="25"/>
      <c r="I70" s="23"/>
      <c r="J70" s="27" t="str">
        <f aca="true">IF(AND(K70&lt;&gt;"",I70="Active"),TODAY()-K70,"")</f>
        <v/>
      </c>
      <c r="K70" s="26"/>
      <c r="L70" s="23"/>
    </row>
    <row r="71" customFormat="false" ht="19.5" hidden="false" customHeight="true" outlineLevel="0" collapsed="false">
      <c r="A71" s="25"/>
      <c r="B71" s="23"/>
      <c r="C71" s="29"/>
      <c r="D71" s="29"/>
      <c r="E71" s="29"/>
      <c r="F71" s="25"/>
      <c r="G71" s="26"/>
      <c r="H71" s="25"/>
      <c r="I71" s="23"/>
      <c r="J71" s="27" t="str">
        <f aca="true">IF(AND(K71&lt;&gt;"",I71="Active"),TODAY()-K71,"")</f>
        <v/>
      </c>
      <c r="K71" s="26"/>
      <c r="L71" s="23"/>
    </row>
    <row r="72" customFormat="false" ht="19.5" hidden="false" customHeight="true" outlineLevel="0" collapsed="false">
      <c r="A72" s="25"/>
      <c r="B72" s="23"/>
      <c r="C72" s="29"/>
      <c r="D72" s="29"/>
      <c r="E72" s="29"/>
      <c r="F72" s="25"/>
      <c r="G72" s="26"/>
      <c r="H72" s="25"/>
      <c r="I72" s="23"/>
      <c r="J72" s="27" t="str">
        <f aca="true">IF(AND(K72&lt;&gt;"",I72="Active"),TODAY()-K72,"")</f>
        <v/>
      </c>
      <c r="K72" s="26"/>
      <c r="L72" s="23"/>
    </row>
    <row r="73" customFormat="false" ht="19.5" hidden="false" customHeight="true" outlineLevel="0" collapsed="false">
      <c r="A73" s="25"/>
      <c r="B73" s="23"/>
      <c r="C73" s="29"/>
      <c r="D73" s="29"/>
      <c r="E73" s="29"/>
      <c r="F73" s="25"/>
      <c r="G73" s="26"/>
      <c r="H73" s="25"/>
      <c r="I73" s="23"/>
      <c r="J73" s="27" t="str">
        <f aca="true">IF(AND(K73&lt;&gt;"",I73="Active"),TODAY()-K73,"")</f>
        <v/>
      </c>
      <c r="K73" s="26"/>
      <c r="L73" s="23"/>
    </row>
    <row r="74" customFormat="false" ht="19.5" hidden="false" customHeight="true" outlineLevel="0" collapsed="false">
      <c r="A74" s="25"/>
      <c r="B74" s="23"/>
      <c r="C74" s="29"/>
      <c r="D74" s="29"/>
      <c r="E74" s="29"/>
      <c r="F74" s="25"/>
      <c r="G74" s="26"/>
      <c r="H74" s="25"/>
      <c r="I74" s="23"/>
      <c r="J74" s="27" t="str">
        <f aca="true">IF(AND(K74&lt;&gt;"",I74="Active"),TODAY()-K74,"")</f>
        <v/>
      </c>
      <c r="K74" s="26"/>
      <c r="L74" s="23"/>
    </row>
    <row r="75" customFormat="false" ht="19.5" hidden="false" customHeight="true" outlineLevel="0" collapsed="false">
      <c r="A75" s="25"/>
      <c r="B75" s="23"/>
      <c r="C75" s="29"/>
      <c r="D75" s="29"/>
      <c r="E75" s="29"/>
      <c r="F75" s="25"/>
      <c r="G75" s="26"/>
      <c r="H75" s="25"/>
      <c r="I75" s="23"/>
      <c r="J75" s="27" t="str">
        <f aca="true">IF(AND(K75&lt;&gt;"",I75="Active"),TODAY()-K75,"")</f>
        <v/>
      </c>
      <c r="K75" s="26"/>
      <c r="L75" s="23"/>
    </row>
    <row r="76" customFormat="false" ht="19.5" hidden="false" customHeight="true" outlineLevel="0" collapsed="false">
      <c r="A76" s="25"/>
      <c r="B76" s="23"/>
      <c r="C76" s="29"/>
      <c r="D76" s="29"/>
      <c r="E76" s="29"/>
      <c r="F76" s="25"/>
      <c r="G76" s="26"/>
      <c r="H76" s="25"/>
      <c r="I76" s="23"/>
      <c r="J76" s="27" t="str">
        <f aca="true">IF(AND(K76&lt;&gt;"",I76="Active"),TODAY()-K76,"")</f>
        <v/>
      </c>
      <c r="K76" s="26"/>
      <c r="L76" s="23"/>
    </row>
    <row r="77" customFormat="false" ht="19.5" hidden="false" customHeight="true" outlineLevel="0" collapsed="false">
      <c r="A77" s="25"/>
      <c r="B77" s="23"/>
      <c r="C77" s="29"/>
      <c r="D77" s="29"/>
      <c r="E77" s="29"/>
      <c r="F77" s="25"/>
      <c r="G77" s="26"/>
      <c r="H77" s="25"/>
      <c r="I77" s="23"/>
      <c r="J77" s="27" t="str">
        <f aca="true">IF(AND(K77&lt;&gt;"",I77="Active"),TODAY()-K77,"")</f>
        <v/>
      </c>
      <c r="K77" s="26"/>
      <c r="L77" s="23"/>
    </row>
    <row r="78" customFormat="false" ht="19.5" hidden="false" customHeight="true" outlineLevel="0" collapsed="false">
      <c r="A78" s="25"/>
      <c r="B78" s="23"/>
      <c r="C78" s="29"/>
      <c r="D78" s="29"/>
      <c r="E78" s="29"/>
      <c r="F78" s="25"/>
      <c r="G78" s="26"/>
      <c r="H78" s="25"/>
      <c r="I78" s="23"/>
      <c r="J78" s="27" t="str">
        <f aca="true">IF(AND(K78&lt;&gt;"",I78="Active"),TODAY()-K78,"")</f>
        <v/>
      </c>
      <c r="K78" s="26"/>
      <c r="L78" s="23"/>
    </row>
    <row r="79" customFormat="false" ht="19.5" hidden="false" customHeight="true" outlineLevel="0" collapsed="false">
      <c r="A79" s="25"/>
      <c r="B79" s="23"/>
      <c r="C79" s="29"/>
      <c r="D79" s="29"/>
      <c r="E79" s="29"/>
      <c r="F79" s="25"/>
      <c r="G79" s="26"/>
      <c r="H79" s="25"/>
      <c r="I79" s="23"/>
      <c r="J79" s="27" t="str">
        <f aca="true">IF(AND(K79&lt;&gt;"",I79="Active"),TODAY()-K79,"")</f>
        <v/>
      </c>
      <c r="K79" s="26"/>
      <c r="L79" s="23"/>
    </row>
    <row r="80" customFormat="false" ht="19.5" hidden="false" customHeight="true" outlineLevel="0" collapsed="false">
      <c r="A80" s="25"/>
      <c r="B80" s="23"/>
      <c r="C80" s="29"/>
      <c r="D80" s="29"/>
      <c r="E80" s="29"/>
      <c r="F80" s="25"/>
      <c r="G80" s="26"/>
      <c r="H80" s="25"/>
      <c r="I80" s="23"/>
      <c r="J80" s="27" t="str">
        <f aca="true">IF(AND(K80&lt;&gt;"",I80="Active"),TODAY()-K80,"")</f>
        <v/>
      </c>
      <c r="K80" s="26"/>
      <c r="L80" s="23"/>
    </row>
    <row r="82" customFormat="false" ht="24" hidden="false" customHeight="true" outlineLevel="0" collapsed="false">
      <c r="A82" s="30" t="s">
        <v>96</v>
      </c>
      <c r="B82" s="31" t="n">
        <f aca="false">COUNTA(A3:A81)</f>
        <v>6</v>
      </c>
      <c r="C82" s="30" t="s">
        <v>97</v>
      </c>
      <c r="D82" s="31" t="n">
        <f aca="false">COUNTIF(I3:I81,"Active")</f>
        <v>5</v>
      </c>
      <c r="E82" s="30" t="s">
        <v>98</v>
      </c>
      <c r="F82" s="31" t="n">
        <f aca="false">COUNTIF(I3:I81,"Disturbed")+COUNTIF(I3:I81,"Destroyed")</f>
        <v>1</v>
      </c>
      <c r="G82" s="30" t="s">
        <v>99</v>
      </c>
      <c r="H82" s="31" t="n">
        <f aca="false">COUNTIF(L3:L81,"Pass")</f>
        <v>5</v>
      </c>
      <c r="I82" s="30" t="s">
        <v>100</v>
      </c>
      <c r="J82" s="31" t="n">
        <f aca="false">COUNTIF(L3:L81,"Fail")</f>
        <v>1</v>
      </c>
      <c r="K82" s="30" t="s">
        <v>101</v>
      </c>
      <c r="L82" s="31" t="n">
        <f aca="false">COUNTIFS(I3:I81,"Active",J3:J81,"&gt;"&amp;28)</f>
        <v>5</v>
      </c>
      <c r="M82" s="32"/>
      <c r="N82" s="32"/>
      <c r="O82" s="32"/>
      <c r="P82" s="32"/>
    </row>
  </sheetData>
  <autoFilter ref="A2:P2"/>
  <mergeCells count="6">
    <mergeCell ref="A1:B1"/>
    <mergeCell ref="C1:F1"/>
    <mergeCell ref="G1:H1"/>
    <mergeCell ref="I1:J1"/>
    <mergeCell ref="K1:L1"/>
    <mergeCell ref="M1:P1"/>
  </mergeCells>
  <conditionalFormatting sqref="I3:I81">
    <cfRule type="cellIs" priority="2" operator="equal" aboveAverage="0" equalAverage="0" bottom="0" percent="0" rank="0" text="" dxfId="3">
      <formula>"Active"</formula>
    </cfRule>
    <cfRule type="cellIs" priority="3" operator="equal" aboveAverage="0" equalAverage="0" bottom="0" percent="0" rank="0" text="" dxfId="4">
      <formula>"Disturbed"</formula>
    </cfRule>
    <cfRule type="cellIs" priority="4" operator="equal" aboveAverage="0" equalAverage="0" bottom="0" percent="0" rank="0" text="" dxfId="4">
      <formula>"Destroyed"</formula>
    </cfRule>
    <cfRule type="cellIs" priority="5" operator="equal" aboveAverage="0" equalAverage="0" bottom="0" percent="0" rank="0" text="" dxfId="5">
      <formula>"Superseded"</formula>
    </cfRule>
  </conditionalFormatting>
  <conditionalFormatting sqref="L3:L81">
    <cfRule type="cellIs" priority="6" operator="equal" aboveAverage="0" equalAverage="0" bottom="0" percent="0" rank="0" text="" dxfId="3">
      <formula>"Pass"</formula>
    </cfRule>
    <cfRule type="cellIs" priority="7" operator="equal" aboveAverage="0" equalAverage="0" bottom="0" percent="0" rank="0" text="" dxfId="4">
      <formula>"Fail"</formula>
    </cfRule>
  </conditionalFormatting>
  <conditionalFormatting sqref="A3:P81">
    <cfRule type="expression" priority="8" aboveAverage="0" equalAverage="0" bottom="0" percent="0" rank="0" text="" dxfId="4">
      <formula>OR($I3="Disturbed",$I3="Destroyed")</formula>
    </cfRule>
    <cfRule type="expression" priority="9" aboveAverage="0" equalAverage="0" bottom="0" percent="0" rank="0" text="" dxfId="6">
      <formula>AND($I3="Active",$J3&gt;28,$J3&lt;&gt;"")</formula>
    </cfRule>
    <cfRule type="expression" priority="10" aboveAverage="0" equalAverage="0" bottom="0" percent="0" rank="0" text="" dxfId="7">
      <formula>AND($I3="Active",$J3&gt;=15,$J3&lt;=28,$J3&lt;&gt;"")</formula>
    </cfRule>
    <cfRule type="expression" priority="11" aboveAverage="0" equalAverage="0" bottom="0" percent="0" rank="0" text="" dxfId="8">
      <formula>$I3="Superseded"</formula>
    </cfRule>
  </conditionalFormatting>
  <dataValidations count="3">
    <dataValidation allowBlank="true" errorStyle="stop" operator="between" showDropDown="false" showErrorMessage="false" showInputMessage="false" sqref="B3:B500" type="list">
      <formula1>"Primary Control,Secondary Control,TBM,Check Point,Benchmark"</formula1>
      <formula2>0</formula2>
    </dataValidation>
    <dataValidation allowBlank="true" errorStyle="stop" operator="between" showDropDown="false" showErrorMessage="false" showInputMessage="false" sqref="I3:I500" type="list">
      <formula1>"Active,Superseded,Disturbed,Destroyed"</formula1>
      <formula2>0</formula2>
    </dataValidation>
    <dataValidation allowBlank="true" errorStyle="stop" operator="between" showDropDown="false" showErrorMessage="false" showInputMessage="false" sqref="L3:L500" type="list">
      <formula1>"Pass,Fail,Not Yet Checked"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&amp;CSurvey Control TBM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102</v>
      </c>
    </row>
    <row r="2" customFormat="false" ht="21.75" hidden="false" customHeight="true" outlineLevel="0" collapsed="false">
      <c r="A2" s="34"/>
    </row>
    <row r="3" customFormat="false" ht="21.75" hidden="false" customHeight="true" outlineLevel="0" collapsed="false">
      <c r="A3" s="34" t="s">
        <v>103</v>
      </c>
    </row>
    <row r="4" customFormat="false" ht="21.75" hidden="false" customHeight="true" outlineLevel="0" collapsed="false">
      <c r="A4" s="34"/>
    </row>
    <row r="5" customFormat="false" ht="21.75" hidden="false" customHeight="true" outlineLevel="0" collapsed="false">
      <c r="A5" s="34" t="s">
        <v>104</v>
      </c>
    </row>
    <row r="6" customFormat="false" ht="21.75" hidden="false" customHeight="true" outlineLevel="0" collapsed="false">
      <c r="A6" s="34" t="s">
        <v>105</v>
      </c>
    </row>
    <row r="7" customFormat="false" ht="21.75" hidden="false" customHeight="true" outlineLevel="0" collapsed="false">
      <c r="A7" s="34" t="s">
        <v>106</v>
      </c>
    </row>
    <row r="8" customFormat="false" ht="21.75" hidden="false" customHeight="true" outlineLevel="0" collapsed="false">
      <c r="A8" s="34" t="s">
        <v>107</v>
      </c>
    </row>
    <row r="9" customFormat="false" ht="21.75" hidden="false" customHeight="true" outlineLevel="0" collapsed="false">
      <c r="A9" s="34" t="s">
        <v>108</v>
      </c>
    </row>
    <row r="10" customFormat="false" ht="21.75" hidden="false" customHeight="true" outlineLevel="0" collapsed="false">
      <c r="A10" s="34" t="s">
        <v>109</v>
      </c>
    </row>
    <row r="11" customFormat="false" ht="21.75" hidden="false" customHeight="true" outlineLevel="0" collapsed="false">
      <c r="A11" s="34"/>
    </row>
    <row r="12" customFormat="false" ht="21.75" hidden="false" customHeight="true" outlineLevel="0" collapsed="false">
      <c r="A12" s="34"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2026-03-24T13:29:58Z</dcterms:created>
  <dc:creator>Ebrora Ltd</dc:creator>
  <dc:description>Survey control and TBM register recording coordinates, reduced levels, check dates and calibration status on UK construction projects.
Free professional construction management template from Ebrora Ltd. Visit ebrora.com for our full range of tools and templates.</dc:description>
  <cp:keywords>Ebrora construction survey control TBM benchmark coordinates setting out UK construction</cp:keywords>
  <dc:language>en-US</dc:language>
  <cp:lastModifiedBy>Ebrora Ltd</cp:lastModifiedBy>
  <dcterms:modified xsi:type="dcterms:W3CDTF">2026-03-24T13:29:58Z</dcterms:modified>
  <cp:revision>0</cp:revision>
  <dc:subject>Survey control and TBM register recording all survey control points, coordinates, reduced levels, check dates and calibration status on construction projects.</dc:subject>
  <dc:title>Survey Control &amp; TBM Register</dc:title>
</cp:coreProperties>
</file>

<file path=docProps/custom.xml><?xml version="1.0" encoding="utf-8"?>
<Properties xmlns="http://schemas.openxmlformats.org/officeDocument/2006/custom-properties" xmlns:vt="http://schemas.openxmlformats.org/officeDocument/2006/docPropsVTypes"/>
</file>