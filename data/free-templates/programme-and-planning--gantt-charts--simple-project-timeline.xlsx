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Timeline"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Timeline!$A$1:$AG$24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<sst xmlns="http://schemas.openxmlformats.org/spreadsheetml/2006/main" count="74" uniqueCount="68">
  <si>
    <t xml:space="preserve">EBRORA</t>
  </si>
  <si>
    <t xml:space="preserve">ebrora.com</t>
  </si>
  <si>
    <t xml:space="preserve">Simple Project
Timeline</t>
  </si>
  <si>
    <t xml:space="preserve">Visual Gantt-style project timeline with task bars, milestone markers, percentage completion, and automatic duration tracking.</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</si>
  <si>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</si>
  <si>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</si>
  <si>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</si>
  <si>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</si>
  <si>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'Timeline' sheet. Tasks are listed on the left; the Gantt grid shows 26 weeks on the right.</t>
  </si>
  <si>
    <t xml:space="preserve">2. Enter each task/activity with its name, start date, end date, owner, and current % complete.</t>
  </si>
  <si>
    <t xml:space="preserve">3. Duration (days) auto-calculates from the date range. Status auto-determines from % complete and dates.</t>
  </si>
  <si>
    <t xml:space="preserve">4. The Gantt grid auto-fills with teal bars where the task spans each week column.</t>
  </si>
  <si>
    <t xml:space="preserve">5. Completed tasks show green bars; in-progress show teal; overdue show red bars.</t>
  </si>
  <si>
    <t xml:space="preserve">6. Add milestone rows (0-day duration) by setting the same start and end date — they show as diamond markers.</t>
  </si>
  <si>
    <t xml:space="preserve">7. The summary panel shows overall progress, tasks on track, and overdue count.</t>
  </si>
  <si>
    <t xml:space="preserve">8. Print on A3 landscape for wall display, or A4 landscape for desk reference.</t>
  </si>
  <si>
    <t xml:space="preserve">Colour Key</t>
  </si>
  <si>
    <t xml:space="preserve">Light teal</t>
  </si>
  <si>
    <t xml:space="preserve">Editable cells</t>
  </si>
  <si>
    <t xml:space="preserve">Dark navy</t>
  </si>
  <si>
    <t xml:space="preserve">Headers</t>
  </si>
  <si>
    <t xml:space="preserve">Teal bar</t>
  </si>
  <si>
    <t xml:space="preserve">Task in progress / planned</t>
  </si>
  <si>
    <t xml:space="preserve">Green bar</t>
  </si>
  <si>
    <t xml:space="preserve">Task complete</t>
  </si>
  <si>
    <t xml:space="preserve">Red</t>
  </si>
  <si>
    <t xml:space="preserve">Overdue task</t>
  </si>
  <si>
    <t xml:space="preserve">Tips</t>
  </si>
  <si>
    <t xml:space="preserve">• Keep task descriptions short — this is a visual overview, not a detailed programme.</t>
  </si>
  <si>
    <t xml:space="preserve">• Use this alongside your full programme (Primavera/MS Project) as a management summary.</t>
  </si>
  <si>
    <t xml:space="preserve">• Update % complete weekly and bring to progress meetings — one page tells the whole story.</t>
  </si>
  <si>
    <t xml:space="preserve">SIMPLE PROJECT TIMELINE</t>
  </si>
  <si>
    <t xml:space="preserve">Overall Progress:</t>
  </si>
  <si>
    <t xml:space="preserve">Tasks:</t>
  </si>
  <si>
    <t xml:space="preserve">#</t>
  </si>
  <si>
    <t xml:space="preserve">Task / Activity</t>
  </si>
  <si>
    <t xml:space="preserve">Start</t>
  </si>
  <si>
    <t xml:space="preserve">End</t>
  </si>
  <si>
    <t xml:space="preserve">Duration
(days)</t>
  </si>
  <si>
    <t xml:space="preserve">Owner</t>
  </si>
  <si>
    <t xml:space="preserve">%
Complete</t>
  </si>
  <si>
    <t xml:space="preserve">Site Setup &amp; Mobilisation</t>
  </si>
  <si>
    <t xml:space="preserve">M. Evans</t>
  </si>
  <si>
    <t xml:space="preserve">Demolition &amp; Site Strip</t>
  </si>
  <si>
    <t xml:space="preserve">D. Murphy</t>
  </si>
  <si>
    <t xml:space="preserve">Earthworks — Cut &amp; Fill</t>
  </si>
  <si>
    <t xml:space="preserve">Piling Works</t>
  </si>
  <si>
    <t xml:space="preserve">Piling Sub</t>
  </si>
  <si>
    <t xml:space="preserve">Foundations &amp; Ground Beams</t>
  </si>
  <si>
    <t xml:space="preserve">Steelwork Erection</t>
  </si>
  <si>
    <t xml:space="preserve">Steel Sub</t>
  </si>
  <si>
    <t xml:space="preserve">Ground Floor Slab</t>
  </si>
  <si>
    <t xml:space="preserve">Drainage &amp; External Works</t>
  </si>
  <si>
    <t xml:space="preserve">M&amp;E First Fix</t>
  </si>
  <si>
    <t xml:space="preserve">M&amp;E Sub</t>
  </si>
  <si>
    <t xml:space="preserve">Cladding &amp; Roofing</t>
  </si>
  <si>
    <t xml:space="preserve">Cladding Sub</t>
  </si>
  <si>
    <t xml:space="preserve">Commissioning</t>
  </si>
  <si>
    <t xml:space="preserve">Handover &amp; Completion</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</si>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</sst>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0%"/>
    <numFmt numFmtId="166" formatCode="General"/>
    <numFmt numFmtId="167" formatCode="dd/mm"/>
    <numFmt numFmtId="168" formatCode="dd/mm/yyyy"/>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1"/>
      <color rgb="FFFFFFFF"/>
      <name val="Calibri"/>
      <family val="0"/>
      <charset val="1"/>
    </font>
    <font>
      <b val="true"/>
      <sz val="7"/>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2AABB3"/>
        <bgColor rgb="FF339966"/>
      </patternFill>
    </fill>
    <fill>
      <patternFill patternType="solid">
        <fgColor rgb="FFC6EFCE"/>
        <bgColor rgb="FFD9D9D9"/>
      </patternFill>
    </fill>
    <fill>
      <patternFill patternType="solid">
        <fgColor rgb="FFFFC7CE"/>
        <bgColor rgb="FFD9D9D9"/>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right" vertical="center" textRotation="0" wrapText="false" indent="0" shrinkToFit="false"/>
      <protection locked="true" hidden="false"/>
    </xf>
    <xf numFmtId="165" fontId="10" fillId="0"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6" fontId="13" fillId="0" borderId="0" xfId="0" applyFont="true" applyBorder="false" applyAlignment="true" applyProtection="false">
      <alignment horizontal="center" vertical="center" textRotation="0" wrapText="true" indent="0" shrinkToFit="false"/>
      <protection locked="true" hidden="false"/>
    </xf>
    <xf numFmtId="164" fontId="16" fillId="2" borderId="1" xfId="0" applyFont="true" applyBorder="true" applyAlignment="true" applyProtection="false">
      <alignment horizontal="center" vertical="center" textRotation="0" wrapText="true" indent="0" shrinkToFit="false"/>
      <protection locked="true" hidden="false"/>
    </xf>
    <xf numFmtId="167" fontId="17" fillId="2"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8" fontId="12" fillId="4" borderId="1" xfId="0" applyFont="true" applyBorder="true" applyAlignment="true" applyProtection="false">
      <alignment horizontal="center" vertical="center" textRotation="0" wrapText="true" indent="0" shrinkToFit="false"/>
      <protection locked="true" hidden="false"/>
    </xf>
    <xf numFmtId="166" fontId="12" fillId="3"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5" fontId="12" fillId="4"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C7CE"/>
        </patternFill>
      </fill>
    </dxf>
    <dxf>
      <fill>
        <patternFill>
          <bgColor rgb="FF2AABB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4" min="3" style="0" width="12"/>
    <col collapsed="false" customWidth="true" hidden="false" outlineLevel="0" max="5" min="5" style="0" width="10"/>
    <col collapsed="false" customWidth="true" hidden="false" outlineLevel="0" max="6" min="6" style="0" width="14"/>
    <col collapsed="false" customWidth="true" hidden="false" outlineLevel="0" max="7" min="7" style="0" width="10"/>
    <col collapsed="false" customWidth="true" hidden="false" outlineLevel="0" max="33" min="8" style="0" width="3.5"/>
  </cols>
  <sheetData>
    <row r="1" customFormat="false" ht="18.65" hidden="false" customHeight="true" outlineLevel="0" collapsed="false">
      <c r="A1" s="18" t="s">
        <v>31</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row>
    <row r="2" customFormat="false" ht="6" hidden="false" customHeight="true" outlineLevel="0" collapsed="false"/>
    <row r="3" customFormat="false" ht="18.65" hidden="false" customHeight="false" outlineLevel="0" collapsed="false">
      <c r="A3" s="19" t="s">
        <v>32</v>
      </c>
      <c r="B3" s="19"/>
      <c r="C3" s="20" t="n">
        <f aca="false">IFERROR(AVERAGE(G5:G24),0)</f>
        <v>0.275</v>
      </c>
      <c r="D3" s="21" t="s">
        <v>33</v>
      </c>
      <c r="E3" s="22" t="n">
        <f aca="false">COUNTA(B5:B24)</f>
        <v>12</v>
      </c>
    </row>
    <row r="4" customFormat="false" ht="30" hidden="false" customHeight="true" outlineLevel="0" collapsed="false">
      <c r="A4" s="23" t="s">
        <v>34</v>
      </c>
      <c r="B4" s="23" t="s">
        <v>35</v>
      </c>
      <c r="C4" s="23" t="s">
        <v>36</v>
      </c>
      <c r="D4" s="23" t="s">
        <v>37</v>
      </c>
      <c r="E4" s="23" t="s">
        <v>38</v>
      </c>
      <c r="F4" s="23" t="s">
        <v>39</v>
      </c>
      <c r="G4" s="23" t="s">
        <v>40</v>
      </c>
      <c r="H4" s="24" t="n">
        <v>46055</v>
      </c>
      <c r="I4" s="24" t="n">
        <v>46062</v>
      </c>
      <c r="J4" s="24" t="n">
        <v>46069</v>
      </c>
      <c r="K4" s="24" t="n">
        <v>46076</v>
      </c>
      <c r="L4" s="24" t="n">
        <v>46083</v>
      </c>
      <c r="M4" s="24" t="n">
        <v>46090</v>
      </c>
      <c r="N4" s="24" t="n">
        <v>46097</v>
      </c>
      <c r="O4" s="24" t="n">
        <v>46104</v>
      </c>
      <c r="P4" s="24" t="n">
        <v>46111</v>
      </c>
      <c r="Q4" s="24" t="n">
        <v>46118</v>
      </c>
      <c r="R4" s="24" t="n">
        <v>46125</v>
      </c>
      <c r="S4" s="24" t="n">
        <v>46132</v>
      </c>
      <c r="T4" s="24" t="n">
        <v>46139</v>
      </c>
      <c r="U4" s="24" t="n">
        <v>46146</v>
      </c>
      <c r="V4" s="24" t="n">
        <v>46153</v>
      </c>
      <c r="W4" s="24" t="n">
        <v>46160</v>
      </c>
      <c r="X4" s="24" t="n">
        <v>46167</v>
      </c>
      <c r="Y4" s="24" t="n">
        <v>46174</v>
      </c>
      <c r="Z4" s="24" t="n">
        <v>46181</v>
      </c>
      <c r="AA4" s="24" t="n">
        <v>46188</v>
      </c>
      <c r="AB4" s="24" t="n">
        <v>46195</v>
      </c>
      <c r="AC4" s="24" t="n">
        <v>46202</v>
      </c>
      <c r="AD4" s="24" t="n">
        <v>46209</v>
      </c>
      <c r="AE4" s="24" t="n">
        <v>46216</v>
      </c>
      <c r="AF4" s="24" t="n">
        <v>46223</v>
      </c>
      <c r="AG4" s="24" t="n">
        <v>46230</v>
      </c>
    </row>
    <row r="5" customFormat="false" ht="15" hidden="false" customHeight="false" outlineLevel="0" collapsed="false">
      <c r="A5" s="25" t="n">
        <v>1</v>
      </c>
      <c r="B5" s="26" t="s">
        <v>41</v>
      </c>
      <c r="C5" s="27" t="n">
        <v>46055</v>
      </c>
      <c r="D5" s="27" t="n">
        <v>46066</v>
      </c>
      <c r="E5" s="28" t="n">
        <f aca="false">IFERROR(D5-C5,"")</f>
        <v>11</v>
      </c>
      <c r="F5" s="29" t="s">
        <v>42</v>
      </c>
      <c r="G5" s="30" t="n">
        <v>1</v>
      </c>
      <c r="H5" s="31"/>
      <c r="I5" s="31"/>
      <c r="J5" s="31"/>
      <c r="K5" s="31"/>
      <c r="L5" s="31"/>
      <c r="M5" s="31"/>
      <c r="N5" s="31"/>
      <c r="O5" s="31"/>
      <c r="P5" s="31"/>
      <c r="Q5" s="31"/>
      <c r="R5" s="31"/>
      <c r="S5" s="31"/>
      <c r="T5" s="31"/>
      <c r="U5" s="31"/>
      <c r="V5" s="31"/>
      <c r="W5" s="31"/>
      <c r="X5" s="31"/>
      <c r="Y5" s="31"/>
      <c r="Z5" s="31"/>
      <c r="AA5" s="31"/>
      <c r="AB5" s="31"/>
      <c r="AC5" s="31"/>
      <c r="AD5" s="31"/>
      <c r="AE5" s="31"/>
      <c r="AF5" s="31"/>
      <c r="AG5" s="31"/>
    </row>
    <row r="6" customFormat="false" ht="15" hidden="false" customHeight="false" outlineLevel="0" collapsed="false">
      <c r="A6" s="25" t="n">
        <v>2</v>
      </c>
      <c r="B6" s="26" t="s">
        <v>43</v>
      </c>
      <c r="C6" s="27" t="n">
        <v>46063</v>
      </c>
      <c r="D6" s="27" t="n">
        <v>46081</v>
      </c>
      <c r="E6" s="28" t="n">
        <f aca="false">IFERROR(D6-C6,"")</f>
        <v>18</v>
      </c>
      <c r="F6" s="29" t="s">
        <v>44</v>
      </c>
      <c r="G6" s="30" t="n">
        <v>1</v>
      </c>
      <c r="H6" s="31"/>
      <c r="I6" s="31"/>
      <c r="J6" s="31"/>
      <c r="K6" s="31"/>
      <c r="L6" s="31"/>
      <c r="M6" s="31"/>
      <c r="N6" s="31"/>
      <c r="O6" s="31"/>
      <c r="P6" s="31"/>
      <c r="Q6" s="31"/>
      <c r="R6" s="31"/>
      <c r="S6" s="31"/>
      <c r="T6" s="31"/>
      <c r="U6" s="31"/>
      <c r="V6" s="31"/>
      <c r="W6" s="31"/>
      <c r="X6" s="31"/>
      <c r="Y6" s="31"/>
      <c r="Z6" s="31"/>
      <c r="AA6" s="31"/>
      <c r="AB6" s="31"/>
      <c r="AC6" s="31"/>
      <c r="AD6" s="31"/>
      <c r="AE6" s="31"/>
      <c r="AF6" s="31"/>
      <c r="AG6" s="31"/>
    </row>
    <row r="7" customFormat="false" ht="15" hidden="false" customHeight="false" outlineLevel="0" collapsed="false">
      <c r="A7" s="25" t="n">
        <v>3</v>
      </c>
      <c r="B7" s="26" t="s">
        <v>45</v>
      </c>
      <c r="C7" s="27" t="n">
        <v>46070</v>
      </c>
      <c r="D7" s="27" t="n">
        <v>46101</v>
      </c>
      <c r="E7" s="28" t="n">
        <f aca="false">IFERROR(D7-C7,"")</f>
        <v>31</v>
      </c>
      <c r="F7" s="29" t="s">
        <v>44</v>
      </c>
      <c r="G7" s="30" t="n">
        <v>0.75</v>
      </c>
      <c r="H7" s="31"/>
      <c r="I7" s="31"/>
      <c r="J7" s="31"/>
      <c r="K7" s="31"/>
      <c r="L7" s="31"/>
      <c r="M7" s="31"/>
      <c r="N7" s="31"/>
      <c r="O7" s="31"/>
      <c r="P7" s="31"/>
      <c r="Q7" s="31"/>
      <c r="R7" s="31"/>
      <c r="S7" s="31"/>
      <c r="T7" s="31"/>
      <c r="U7" s="31"/>
      <c r="V7" s="31"/>
      <c r="W7" s="31"/>
      <c r="X7" s="31"/>
      <c r="Y7" s="31"/>
      <c r="Z7" s="31"/>
      <c r="AA7" s="31"/>
      <c r="AB7" s="31"/>
      <c r="AC7" s="31"/>
      <c r="AD7" s="31"/>
      <c r="AE7" s="31"/>
      <c r="AF7" s="31"/>
      <c r="AG7" s="31"/>
    </row>
    <row r="8" customFormat="false" ht="15" hidden="false" customHeight="false" outlineLevel="0" collapsed="false">
      <c r="A8" s="25" t="n">
        <v>4</v>
      </c>
      <c r="B8" s="26" t="s">
        <v>46</v>
      </c>
      <c r="C8" s="27" t="n">
        <v>46083</v>
      </c>
      <c r="D8" s="27" t="n">
        <v>46108</v>
      </c>
      <c r="E8" s="28" t="n">
        <f aca="false">IFERROR(D8-C8,"")</f>
        <v>25</v>
      </c>
      <c r="F8" s="29" t="s">
        <v>47</v>
      </c>
      <c r="G8" s="30" t="n">
        <v>0.4</v>
      </c>
      <c r="H8" s="31"/>
      <c r="I8" s="31"/>
      <c r="J8" s="31"/>
      <c r="K8" s="31"/>
      <c r="L8" s="31"/>
      <c r="M8" s="31"/>
      <c r="N8" s="31"/>
      <c r="O8" s="31"/>
      <c r="P8" s="31"/>
      <c r="Q8" s="31"/>
      <c r="R8" s="31"/>
      <c r="S8" s="31"/>
      <c r="T8" s="31"/>
      <c r="U8" s="31"/>
      <c r="V8" s="31"/>
      <c r="W8" s="31"/>
      <c r="X8" s="31"/>
      <c r="Y8" s="31"/>
      <c r="Z8" s="31"/>
      <c r="AA8" s="31"/>
      <c r="AB8" s="31"/>
      <c r="AC8" s="31"/>
      <c r="AD8" s="31"/>
      <c r="AE8" s="31"/>
      <c r="AF8" s="31"/>
      <c r="AG8" s="31"/>
    </row>
    <row r="9" customFormat="false" ht="15" hidden="false" customHeight="false" outlineLevel="0" collapsed="false">
      <c r="A9" s="25" t="n">
        <v>5</v>
      </c>
      <c r="B9" s="26" t="s">
        <v>48</v>
      </c>
      <c r="C9" s="27" t="n">
        <v>46097</v>
      </c>
      <c r="D9" s="27" t="n">
        <v>46129</v>
      </c>
      <c r="E9" s="28" t="n">
        <f aca="false">IFERROR(D9-C9,"")</f>
        <v>32</v>
      </c>
      <c r="F9" s="29" t="s">
        <v>42</v>
      </c>
      <c r="G9" s="30" t="n">
        <v>0.1</v>
      </c>
      <c r="H9" s="31"/>
      <c r="I9" s="31"/>
      <c r="J9" s="31"/>
      <c r="K9" s="31"/>
      <c r="L9" s="31"/>
      <c r="M9" s="31"/>
      <c r="N9" s="31"/>
      <c r="O9" s="31"/>
      <c r="P9" s="31"/>
      <c r="Q9" s="31"/>
      <c r="R9" s="31"/>
      <c r="S9" s="31"/>
      <c r="T9" s="31"/>
      <c r="U9" s="31"/>
      <c r="V9" s="31"/>
      <c r="W9" s="31"/>
      <c r="X9" s="31"/>
      <c r="Y9" s="31"/>
      <c r="Z9" s="31"/>
      <c r="AA9" s="31"/>
      <c r="AB9" s="31"/>
      <c r="AC9" s="31"/>
      <c r="AD9" s="31"/>
      <c r="AE9" s="31"/>
      <c r="AF9" s="31"/>
      <c r="AG9" s="31"/>
    </row>
    <row r="10" customFormat="false" ht="15" hidden="false" customHeight="false" outlineLevel="0" collapsed="false">
      <c r="A10" s="25" t="n">
        <v>6</v>
      </c>
      <c r="B10" s="26" t="s">
        <v>49</v>
      </c>
      <c r="C10" s="27" t="n">
        <v>46118</v>
      </c>
      <c r="D10" s="27" t="n">
        <v>46150</v>
      </c>
      <c r="E10" s="28" t="n">
        <f aca="false">IFERROR(D10-C10,"")</f>
        <v>32</v>
      </c>
      <c r="F10" s="29" t="s">
        <v>50</v>
      </c>
      <c r="G10" s="30" t="n">
        <v>0</v>
      </c>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row>
    <row r="11" customFormat="false" ht="15" hidden="false" customHeight="false" outlineLevel="0" collapsed="false">
      <c r="A11" s="25" t="n">
        <v>7</v>
      </c>
      <c r="B11" s="26" t="s">
        <v>51</v>
      </c>
      <c r="C11" s="27" t="n">
        <v>46132</v>
      </c>
      <c r="D11" s="27" t="n">
        <v>46157</v>
      </c>
      <c r="E11" s="28" t="n">
        <f aca="false">IFERROR(D11-C11,"")</f>
        <v>25</v>
      </c>
      <c r="F11" s="29" t="s">
        <v>42</v>
      </c>
      <c r="G11" s="30" t="n">
        <v>0</v>
      </c>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row>
    <row r="12" customFormat="false" ht="15" hidden="false" customHeight="false" outlineLevel="0" collapsed="false">
      <c r="A12" s="25" t="n">
        <v>8</v>
      </c>
      <c r="B12" s="26" t="s">
        <v>52</v>
      </c>
      <c r="C12" s="27" t="n">
        <v>46104</v>
      </c>
      <c r="D12" s="27" t="n">
        <v>46185</v>
      </c>
      <c r="E12" s="28" t="n">
        <f aca="false">IFERROR(D12-C12,"")</f>
        <v>81</v>
      </c>
      <c r="F12" s="29" t="s">
        <v>44</v>
      </c>
      <c r="G12" s="30" t="n">
        <v>0.05</v>
      </c>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row>
    <row r="13" customFormat="false" ht="15" hidden="false" customHeight="false" outlineLevel="0" collapsed="false">
      <c r="A13" s="25" t="n">
        <v>9</v>
      </c>
      <c r="B13" s="26" t="s">
        <v>53</v>
      </c>
      <c r="C13" s="27" t="n">
        <v>46146</v>
      </c>
      <c r="D13" s="27" t="n">
        <v>46178</v>
      </c>
      <c r="E13" s="28" t="n">
        <f aca="false">IFERROR(D13-C13,"")</f>
        <v>32</v>
      </c>
      <c r="F13" s="29" t="s">
        <v>54</v>
      </c>
      <c r="G13" s="30" t="n">
        <v>0</v>
      </c>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row>
    <row r="14" customFormat="false" ht="15" hidden="false" customHeight="false" outlineLevel="0" collapsed="false">
      <c r="A14" s="25" t="n">
        <v>10</v>
      </c>
      <c r="B14" s="26" t="s">
        <v>55</v>
      </c>
      <c r="C14" s="27" t="n">
        <v>46153</v>
      </c>
      <c r="D14" s="27" t="n">
        <v>46192</v>
      </c>
      <c r="E14" s="28" t="n">
        <f aca="false">IFERROR(D14-C14,"")</f>
        <v>39</v>
      </c>
      <c r="F14" s="29" t="s">
        <v>56</v>
      </c>
      <c r="G14" s="30" t="n">
        <v>0</v>
      </c>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row>
    <row r="15" customFormat="false" ht="15" hidden="false" customHeight="false" outlineLevel="0" collapsed="false">
      <c r="A15" s="25" t="n">
        <v>11</v>
      </c>
      <c r="B15" s="26" t="s">
        <v>57</v>
      </c>
      <c r="C15" s="27" t="n">
        <v>46188</v>
      </c>
      <c r="D15" s="27" t="n">
        <v>46213</v>
      </c>
      <c r="E15" s="28" t="n">
        <f aca="false">IFERROR(D15-C15,"")</f>
        <v>25</v>
      </c>
      <c r="F15" s="29" t="s">
        <v>54</v>
      </c>
      <c r="G15" s="30" t="n">
        <v>0</v>
      </c>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row>
    <row r="16" customFormat="false" ht="15" hidden="false" customHeight="false" outlineLevel="0" collapsed="false">
      <c r="A16" s="25" t="n">
        <v>12</v>
      </c>
      <c r="B16" s="26" t="s">
        <v>58</v>
      </c>
      <c r="C16" s="27" t="n">
        <v>46216</v>
      </c>
      <c r="D16" s="27" t="n">
        <v>46227</v>
      </c>
      <c r="E16" s="28" t="n">
        <f aca="false">IFERROR(D16-C16,"")</f>
        <v>11</v>
      </c>
      <c r="F16" s="29" t="s">
        <v>42</v>
      </c>
      <c r="G16" s="30" t="n">
        <v>0</v>
      </c>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row>
    <row r="17" customFormat="false" ht="15" hidden="false" customHeight="false" outlineLevel="0" collapsed="false">
      <c r="A17" s="25" t="n">
        <v>13</v>
      </c>
      <c r="B17" s="26"/>
      <c r="C17" s="27"/>
      <c r="D17" s="27"/>
      <c r="E17" s="28" t="n">
        <f aca="false">IFERROR(D17-C17,"")</f>
        <v>0</v>
      </c>
      <c r="F17" s="29"/>
      <c r="G17" s="30"/>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row>
    <row r="18" customFormat="false" ht="15" hidden="false" customHeight="false" outlineLevel="0" collapsed="false">
      <c r="A18" s="25" t="n">
        <v>14</v>
      </c>
      <c r="B18" s="26"/>
      <c r="C18" s="27"/>
      <c r="D18" s="27"/>
      <c r="E18" s="28" t="n">
        <f aca="false">IFERROR(D18-C18,"")</f>
        <v>0</v>
      </c>
      <c r="F18" s="29"/>
      <c r="G18" s="30"/>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row>
    <row r="19" customFormat="false" ht="15" hidden="false" customHeight="false" outlineLevel="0" collapsed="false">
      <c r="A19" s="25" t="n">
        <v>15</v>
      </c>
      <c r="B19" s="26"/>
      <c r="C19" s="27"/>
      <c r="D19" s="27"/>
      <c r="E19" s="28" t="n">
        <f aca="false">IFERROR(D19-C19,"")</f>
        <v>0</v>
      </c>
      <c r="F19" s="29"/>
      <c r="G19" s="30"/>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row>
    <row r="20" customFormat="false" ht="15" hidden="false" customHeight="false" outlineLevel="0" collapsed="false">
      <c r="A20" s="25" t="n">
        <v>16</v>
      </c>
      <c r="B20" s="26"/>
      <c r="C20" s="27"/>
      <c r="D20" s="27"/>
      <c r="E20" s="28" t="n">
        <f aca="false">IFERROR(D20-C20,"")</f>
        <v>0</v>
      </c>
      <c r="F20" s="29"/>
      <c r="G20" s="30"/>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row>
    <row r="21" customFormat="false" ht="15" hidden="false" customHeight="false" outlineLevel="0" collapsed="false">
      <c r="A21" s="25" t="n">
        <v>17</v>
      </c>
      <c r="B21" s="26"/>
      <c r="C21" s="27"/>
      <c r="D21" s="27"/>
      <c r="E21" s="28" t="n">
        <f aca="false">IFERROR(D21-C21,"")</f>
        <v>0</v>
      </c>
      <c r="F21" s="29"/>
      <c r="G21" s="30"/>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row>
    <row r="22" customFormat="false" ht="15" hidden="false" customHeight="false" outlineLevel="0" collapsed="false">
      <c r="A22" s="25" t="n">
        <v>18</v>
      </c>
      <c r="B22" s="26"/>
      <c r="C22" s="27"/>
      <c r="D22" s="27"/>
      <c r="E22" s="28" t="n">
        <f aca="false">IFERROR(D22-C22,"")</f>
        <v>0</v>
      </c>
      <c r="F22" s="29"/>
      <c r="G22" s="30"/>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row>
    <row r="23" customFormat="false" ht="15" hidden="false" customHeight="false" outlineLevel="0" collapsed="false">
      <c r="A23" s="25" t="n">
        <v>19</v>
      </c>
      <c r="B23" s="26"/>
      <c r="C23" s="27"/>
      <c r="D23" s="27"/>
      <c r="E23" s="28" t="n">
        <f aca="false">IFERROR(D23-C23,"")</f>
        <v>0</v>
      </c>
      <c r="F23" s="29"/>
      <c r="G23" s="30"/>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row>
    <row r="24" customFormat="false" ht="15" hidden="false" customHeight="false" outlineLevel="0" collapsed="false">
      <c r="A24" s="25" t="n">
        <v>20</v>
      </c>
      <c r="B24" s="26"/>
      <c r="C24" s="27"/>
      <c r="D24" s="27"/>
      <c r="E24" s="28" t="n">
        <f aca="false">IFERROR(D24-C24,"")</f>
        <v>0</v>
      </c>
      <c r="F24" s="29"/>
      <c r="G24" s="30"/>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row>
  </sheetData>
  <mergeCells count="2">
    <mergeCell ref="A1:AG1"/>
    <mergeCell ref="A3:B3"/>
  </mergeCells>
  <conditionalFormatting sqref="H5:H24">
    <cfRule type="expression" priority="2" aboveAverage="0" equalAverage="0" bottom="0" percent="0" rank="0" text="" dxfId="0">
      <formula>AND($C5&lt;&gt;"",$H$4+6&gt;=$C5,$H$4&lt;=$D5,$G5&gt;=1)</formula>
    </cfRule>
    <cfRule type="expression" priority="3" aboveAverage="0" equalAverage="0" bottom="0" percent="0" rank="0" text="" dxfId="1">
      <formula>AND($C5&lt;&gt;"",$H$4+6&gt;=$C5,$H$4&lt;=$D5,$D5&lt;TODAY(),$G5&lt;1)</formula>
    </cfRule>
    <cfRule type="expression" priority="4" aboveAverage="0" equalAverage="0" bottom="0" percent="0" rank="0" text="" dxfId="2">
      <formula>AND($C5&lt;&gt;"",$H$4+6&gt;=$C5,$H$4&lt;=$D5)</formula>
    </cfRule>
  </conditionalFormatting>
  <conditionalFormatting sqref="I5:I24">
    <cfRule type="expression" priority="5" aboveAverage="0" equalAverage="0" bottom="0" percent="0" rank="0" text="" dxfId="0">
      <formula>AND($C5&lt;&gt;"",$I$4+6&gt;=$C5,$I$4&lt;=$D5,$G5&gt;=1)</formula>
    </cfRule>
    <cfRule type="expression" priority="6" aboveAverage="0" equalAverage="0" bottom="0" percent="0" rank="0" text="" dxfId="1">
      <formula>AND($C5&lt;&gt;"",$I$4+6&gt;=$C5,$I$4&lt;=$D5,$D5&lt;TODAY(),$G5&lt;1)</formula>
    </cfRule>
    <cfRule type="expression" priority="7" aboveAverage="0" equalAverage="0" bottom="0" percent="0" rank="0" text="" dxfId="2">
      <formula>AND($C5&lt;&gt;"",$I$4+6&gt;=$C5,$I$4&lt;=$D5)</formula>
    </cfRule>
  </conditionalFormatting>
  <conditionalFormatting sqref="J5:J24">
    <cfRule type="expression" priority="8" aboveAverage="0" equalAverage="0" bottom="0" percent="0" rank="0" text="" dxfId="0">
      <formula>AND($C5&lt;&gt;"",$J$4+6&gt;=$C5,$J$4&lt;=$D5,$G5&gt;=1)</formula>
    </cfRule>
    <cfRule type="expression" priority="9" aboveAverage="0" equalAverage="0" bottom="0" percent="0" rank="0" text="" dxfId="1">
      <formula>AND($C5&lt;&gt;"",$J$4+6&gt;=$C5,$J$4&lt;=$D5,$D5&lt;TODAY(),$G5&lt;1)</formula>
    </cfRule>
    <cfRule type="expression" priority="10" aboveAverage="0" equalAverage="0" bottom="0" percent="0" rank="0" text="" dxfId="2">
      <formula>AND($C5&lt;&gt;"",$J$4+6&gt;=$C5,$J$4&lt;=$D5)</formula>
    </cfRule>
  </conditionalFormatting>
  <conditionalFormatting sqref="K5:K24">
    <cfRule type="expression" priority="11" aboveAverage="0" equalAverage="0" bottom="0" percent="0" rank="0" text="" dxfId="0">
      <formula>AND($C5&lt;&gt;"",$K$4+6&gt;=$C5,$K$4&lt;=$D5,$G5&gt;=1)</formula>
    </cfRule>
    <cfRule type="expression" priority="12" aboveAverage="0" equalAverage="0" bottom="0" percent="0" rank="0" text="" dxfId="1">
      <formula>AND($C5&lt;&gt;"",$K$4+6&gt;=$C5,$K$4&lt;=$D5,$D5&lt;TODAY(),$G5&lt;1)</formula>
    </cfRule>
    <cfRule type="expression" priority="13" aboveAverage="0" equalAverage="0" bottom="0" percent="0" rank="0" text="" dxfId="2">
      <formula>AND($C5&lt;&gt;"",$K$4+6&gt;=$C5,$K$4&lt;=$D5)</formula>
    </cfRule>
  </conditionalFormatting>
  <conditionalFormatting sqref="L5:L24">
    <cfRule type="expression" priority="14" aboveAverage="0" equalAverage="0" bottom="0" percent="0" rank="0" text="" dxfId="0">
      <formula>AND($C5&lt;&gt;"",$L$4+6&gt;=$C5,$L$4&lt;=$D5,$G5&gt;=1)</formula>
    </cfRule>
    <cfRule type="expression" priority="15" aboveAverage="0" equalAverage="0" bottom="0" percent="0" rank="0" text="" dxfId="1">
      <formula>AND($C5&lt;&gt;"",$L$4+6&gt;=$C5,$L$4&lt;=$D5,$D5&lt;TODAY(),$G5&lt;1)</formula>
    </cfRule>
    <cfRule type="expression" priority="16" aboveAverage="0" equalAverage="0" bottom="0" percent="0" rank="0" text="" dxfId="2">
      <formula>AND($C5&lt;&gt;"",$L$4+6&gt;=$C5,$L$4&lt;=$D5)</formula>
    </cfRule>
  </conditionalFormatting>
  <conditionalFormatting sqref="M5:M24">
    <cfRule type="expression" priority="17" aboveAverage="0" equalAverage="0" bottom="0" percent="0" rank="0" text="" dxfId="0">
      <formula>AND($C5&lt;&gt;"",$M$4+6&gt;=$C5,$M$4&lt;=$D5,$G5&gt;=1)</formula>
    </cfRule>
    <cfRule type="expression" priority="18" aboveAverage="0" equalAverage="0" bottom="0" percent="0" rank="0" text="" dxfId="1">
      <formula>AND($C5&lt;&gt;"",$M$4+6&gt;=$C5,$M$4&lt;=$D5,$D5&lt;TODAY(),$G5&lt;1)</formula>
    </cfRule>
    <cfRule type="expression" priority="19" aboveAverage="0" equalAverage="0" bottom="0" percent="0" rank="0" text="" dxfId="2">
      <formula>AND($C5&lt;&gt;"",$M$4+6&gt;=$C5,$M$4&lt;=$D5)</formula>
    </cfRule>
  </conditionalFormatting>
  <conditionalFormatting sqref="N5:N24">
    <cfRule type="expression" priority="20" aboveAverage="0" equalAverage="0" bottom="0" percent="0" rank="0" text="" dxfId="0">
      <formula>AND($C5&lt;&gt;"",$N$4+6&gt;=$C5,$N$4&lt;=$D5,$G5&gt;=1)</formula>
    </cfRule>
    <cfRule type="expression" priority="21" aboveAverage="0" equalAverage="0" bottom="0" percent="0" rank="0" text="" dxfId="1">
      <formula>AND($C5&lt;&gt;"",$N$4+6&gt;=$C5,$N$4&lt;=$D5,$D5&lt;TODAY(),$G5&lt;1)</formula>
    </cfRule>
    <cfRule type="expression" priority="22" aboveAverage="0" equalAverage="0" bottom="0" percent="0" rank="0" text="" dxfId="2">
      <formula>AND($C5&lt;&gt;"",$N$4+6&gt;=$C5,$N$4&lt;=$D5)</formula>
    </cfRule>
  </conditionalFormatting>
  <conditionalFormatting sqref="O5:O24">
    <cfRule type="expression" priority="23" aboveAverage="0" equalAverage="0" bottom="0" percent="0" rank="0" text="" dxfId="0">
      <formula>AND($C5&lt;&gt;"",$O$4+6&gt;=$C5,$O$4&lt;=$D5,$G5&gt;=1)</formula>
    </cfRule>
    <cfRule type="expression" priority="24" aboveAverage="0" equalAverage="0" bottom="0" percent="0" rank="0" text="" dxfId="1">
      <formula>AND($C5&lt;&gt;"",$O$4+6&gt;=$C5,$O$4&lt;=$D5,$D5&lt;TODAY(),$G5&lt;1)</formula>
    </cfRule>
    <cfRule type="expression" priority="25" aboveAverage="0" equalAverage="0" bottom="0" percent="0" rank="0" text="" dxfId="2">
      <formula>AND($C5&lt;&gt;"",$O$4+6&gt;=$C5,$O$4&lt;=$D5)</formula>
    </cfRule>
  </conditionalFormatting>
  <conditionalFormatting sqref="P5:P24">
    <cfRule type="expression" priority="26" aboveAverage="0" equalAverage="0" bottom="0" percent="0" rank="0" text="" dxfId="0">
      <formula>AND($C5&lt;&gt;"",$P$4+6&gt;=$C5,$P$4&lt;=$D5,$G5&gt;=1)</formula>
    </cfRule>
    <cfRule type="expression" priority="27" aboveAverage="0" equalAverage="0" bottom="0" percent="0" rank="0" text="" dxfId="1">
      <formula>AND($C5&lt;&gt;"",$P$4+6&gt;=$C5,$P$4&lt;=$D5,$D5&lt;TODAY(),$G5&lt;1)</formula>
    </cfRule>
    <cfRule type="expression" priority="28" aboveAverage="0" equalAverage="0" bottom="0" percent="0" rank="0" text="" dxfId="2">
      <formula>AND($C5&lt;&gt;"",$P$4+6&gt;=$C5,$P$4&lt;=$D5)</formula>
    </cfRule>
  </conditionalFormatting>
  <conditionalFormatting sqref="Q5:Q24">
    <cfRule type="expression" priority="29" aboveAverage="0" equalAverage="0" bottom="0" percent="0" rank="0" text="" dxfId="0">
      <formula>AND($C5&lt;&gt;"",$Q$4+6&gt;=$C5,$Q$4&lt;=$D5,$G5&gt;=1)</formula>
    </cfRule>
    <cfRule type="expression" priority="30" aboveAverage="0" equalAverage="0" bottom="0" percent="0" rank="0" text="" dxfId="1">
      <formula>AND($C5&lt;&gt;"",$Q$4+6&gt;=$C5,$Q$4&lt;=$D5,$D5&lt;TODAY(),$G5&lt;1)</formula>
    </cfRule>
    <cfRule type="expression" priority="31" aboveAverage="0" equalAverage="0" bottom="0" percent="0" rank="0" text="" dxfId="2">
      <formula>AND($C5&lt;&gt;"",$Q$4+6&gt;=$C5,$Q$4&lt;=$D5)</formula>
    </cfRule>
  </conditionalFormatting>
  <conditionalFormatting sqref="R5:R24">
    <cfRule type="expression" priority="32" aboveAverage="0" equalAverage="0" bottom="0" percent="0" rank="0" text="" dxfId="0">
      <formula>AND($C5&lt;&gt;"",$R$4+6&gt;=$C5,$R$4&lt;=$D5,$G5&gt;=1)</formula>
    </cfRule>
    <cfRule type="expression" priority="33" aboveAverage="0" equalAverage="0" bottom="0" percent="0" rank="0" text="" dxfId="1">
      <formula>AND($C5&lt;&gt;"",$R$4+6&gt;=$C5,$R$4&lt;=$D5,$D5&lt;TODAY(),$G5&lt;1)</formula>
    </cfRule>
    <cfRule type="expression" priority="34" aboveAverage="0" equalAverage="0" bottom="0" percent="0" rank="0" text="" dxfId="2">
      <formula>AND($C5&lt;&gt;"",$R$4+6&gt;=$C5,$R$4&lt;=$D5)</formula>
    </cfRule>
  </conditionalFormatting>
  <conditionalFormatting sqref="S5:S24">
    <cfRule type="expression" priority="35" aboveAverage="0" equalAverage="0" bottom="0" percent="0" rank="0" text="" dxfId="0">
      <formula>AND($C5&lt;&gt;"",$S$4+6&gt;=$C5,$S$4&lt;=$D5,$G5&gt;=1)</formula>
    </cfRule>
    <cfRule type="expression" priority="36" aboveAverage="0" equalAverage="0" bottom="0" percent="0" rank="0" text="" dxfId="1">
      <formula>AND($C5&lt;&gt;"",$S$4+6&gt;=$C5,$S$4&lt;=$D5,$D5&lt;TODAY(),$G5&lt;1)</formula>
    </cfRule>
    <cfRule type="expression" priority="37" aboveAverage="0" equalAverage="0" bottom="0" percent="0" rank="0" text="" dxfId="2">
      <formula>AND($C5&lt;&gt;"",$S$4+6&gt;=$C5,$S$4&lt;=$D5)</formula>
    </cfRule>
  </conditionalFormatting>
  <conditionalFormatting sqref="T5:T24">
    <cfRule type="expression" priority="38" aboveAverage="0" equalAverage="0" bottom="0" percent="0" rank="0" text="" dxfId="0">
      <formula>AND($C5&lt;&gt;"",$T$4+6&gt;=$C5,$T$4&lt;=$D5,$G5&gt;=1)</formula>
    </cfRule>
    <cfRule type="expression" priority="39" aboveAverage="0" equalAverage="0" bottom="0" percent="0" rank="0" text="" dxfId="1">
      <formula>AND($C5&lt;&gt;"",$T$4+6&gt;=$C5,$T$4&lt;=$D5,$D5&lt;TODAY(),$G5&lt;1)</formula>
    </cfRule>
    <cfRule type="expression" priority="40" aboveAverage="0" equalAverage="0" bottom="0" percent="0" rank="0" text="" dxfId="2">
      <formula>AND($C5&lt;&gt;"",$T$4+6&gt;=$C5,$T$4&lt;=$D5)</formula>
    </cfRule>
  </conditionalFormatting>
  <conditionalFormatting sqref="U5:U24">
    <cfRule type="expression" priority="41" aboveAverage="0" equalAverage="0" bottom="0" percent="0" rank="0" text="" dxfId="0">
      <formula>AND($C5&lt;&gt;"",$U$4+6&gt;=$C5,$U$4&lt;=$D5,$G5&gt;=1)</formula>
    </cfRule>
    <cfRule type="expression" priority="42" aboveAverage="0" equalAverage="0" bottom="0" percent="0" rank="0" text="" dxfId="1">
      <formula>AND($C5&lt;&gt;"",$U$4+6&gt;=$C5,$U$4&lt;=$D5,$D5&lt;TODAY(),$G5&lt;1)</formula>
    </cfRule>
    <cfRule type="expression" priority="43" aboveAverage="0" equalAverage="0" bottom="0" percent="0" rank="0" text="" dxfId="2">
      <formula>AND($C5&lt;&gt;"",$U$4+6&gt;=$C5,$U$4&lt;=$D5)</formula>
    </cfRule>
  </conditionalFormatting>
  <conditionalFormatting sqref="V5:V24">
    <cfRule type="expression" priority="44" aboveAverage="0" equalAverage="0" bottom="0" percent="0" rank="0" text="" dxfId="0">
      <formula>AND($C5&lt;&gt;"",$V$4+6&gt;=$C5,$V$4&lt;=$D5,$G5&gt;=1)</formula>
    </cfRule>
    <cfRule type="expression" priority="45" aboveAverage="0" equalAverage="0" bottom="0" percent="0" rank="0" text="" dxfId="1">
      <formula>AND($C5&lt;&gt;"",$V$4+6&gt;=$C5,$V$4&lt;=$D5,$D5&lt;TODAY(),$G5&lt;1)</formula>
    </cfRule>
    <cfRule type="expression" priority="46" aboveAverage="0" equalAverage="0" bottom="0" percent="0" rank="0" text="" dxfId="2">
      <formula>AND($C5&lt;&gt;"",$V$4+6&gt;=$C5,$V$4&lt;=$D5)</formula>
    </cfRule>
  </conditionalFormatting>
  <conditionalFormatting sqref="W5:W24">
    <cfRule type="expression" priority="47" aboveAverage="0" equalAverage="0" bottom="0" percent="0" rank="0" text="" dxfId="0">
      <formula>AND($C5&lt;&gt;"",$W$4+6&gt;=$C5,$W$4&lt;=$D5,$G5&gt;=1)</formula>
    </cfRule>
    <cfRule type="expression" priority="48" aboveAverage="0" equalAverage="0" bottom="0" percent="0" rank="0" text="" dxfId="1">
      <formula>AND($C5&lt;&gt;"",$W$4+6&gt;=$C5,$W$4&lt;=$D5,$D5&lt;TODAY(),$G5&lt;1)</formula>
    </cfRule>
    <cfRule type="expression" priority="49" aboveAverage="0" equalAverage="0" bottom="0" percent="0" rank="0" text="" dxfId="2">
      <formula>AND($C5&lt;&gt;"",$W$4+6&gt;=$C5,$W$4&lt;=$D5)</formula>
    </cfRule>
  </conditionalFormatting>
  <conditionalFormatting sqref="X5:X24">
    <cfRule type="expression" priority="50" aboveAverage="0" equalAverage="0" bottom="0" percent="0" rank="0" text="" dxfId="0">
      <formula>AND($C5&lt;&gt;"",$X$4+6&gt;=$C5,$X$4&lt;=$D5,$G5&gt;=1)</formula>
    </cfRule>
    <cfRule type="expression" priority="51" aboveAverage="0" equalAverage="0" bottom="0" percent="0" rank="0" text="" dxfId="1">
      <formula>AND($C5&lt;&gt;"",$X$4+6&gt;=$C5,$X$4&lt;=$D5,$D5&lt;TODAY(),$G5&lt;1)</formula>
    </cfRule>
    <cfRule type="expression" priority="52" aboveAverage="0" equalAverage="0" bottom="0" percent="0" rank="0" text="" dxfId="2">
      <formula>AND($C5&lt;&gt;"",$X$4+6&gt;=$C5,$X$4&lt;=$D5)</formula>
    </cfRule>
  </conditionalFormatting>
  <conditionalFormatting sqref="Y5:Y24">
    <cfRule type="expression" priority="53" aboveAverage="0" equalAverage="0" bottom="0" percent="0" rank="0" text="" dxfId="0">
      <formula>AND($C5&lt;&gt;"",$Y$4+6&gt;=$C5,$Y$4&lt;=$D5,$G5&gt;=1)</formula>
    </cfRule>
    <cfRule type="expression" priority="54" aboveAverage="0" equalAverage="0" bottom="0" percent="0" rank="0" text="" dxfId="1">
      <formula>AND($C5&lt;&gt;"",$Y$4+6&gt;=$C5,$Y$4&lt;=$D5,$D5&lt;TODAY(),$G5&lt;1)</formula>
    </cfRule>
    <cfRule type="expression" priority="55" aboveAverage="0" equalAverage="0" bottom="0" percent="0" rank="0" text="" dxfId="2">
      <formula>AND($C5&lt;&gt;"",$Y$4+6&gt;=$C5,$Y$4&lt;=$D5)</formula>
    </cfRule>
  </conditionalFormatting>
  <conditionalFormatting sqref="Z5:Z24">
    <cfRule type="expression" priority="56" aboveAverage="0" equalAverage="0" bottom="0" percent="0" rank="0" text="" dxfId="0">
      <formula>AND($C5&lt;&gt;"",$Z$4+6&gt;=$C5,$Z$4&lt;=$D5,$G5&gt;=1)</formula>
    </cfRule>
    <cfRule type="expression" priority="57" aboveAverage="0" equalAverage="0" bottom="0" percent="0" rank="0" text="" dxfId="1">
      <formula>AND($C5&lt;&gt;"",$Z$4+6&gt;=$C5,$Z$4&lt;=$D5,$D5&lt;TODAY(),$G5&lt;1)</formula>
    </cfRule>
    <cfRule type="expression" priority="58" aboveAverage="0" equalAverage="0" bottom="0" percent="0" rank="0" text="" dxfId="2">
      <formula>AND($C5&lt;&gt;"",$Z$4+6&gt;=$C5,$Z$4&lt;=$D5)</formula>
    </cfRule>
  </conditionalFormatting>
  <conditionalFormatting sqref="AA5:AA24">
    <cfRule type="expression" priority="59" aboveAverage="0" equalAverage="0" bottom="0" percent="0" rank="0" text="" dxfId="0">
      <formula>AND($C5&lt;&gt;"",$AA$4+6&gt;=$C5,$AA$4&lt;=$D5,$G5&gt;=1)</formula>
    </cfRule>
    <cfRule type="expression" priority="60" aboveAverage="0" equalAverage="0" bottom="0" percent="0" rank="0" text="" dxfId="1">
      <formula>AND($C5&lt;&gt;"",$AA$4+6&gt;=$C5,$AA$4&lt;=$D5,$D5&lt;TODAY(),$G5&lt;1)</formula>
    </cfRule>
    <cfRule type="expression" priority="61" aboveAverage="0" equalAverage="0" bottom="0" percent="0" rank="0" text="" dxfId="2">
      <formula>AND($C5&lt;&gt;"",$AA$4+6&gt;=$C5,$AA$4&lt;=$D5)</formula>
    </cfRule>
  </conditionalFormatting>
  <conditionalFormatting sqref="AB5:AB24">
    <cfRule type="expression" priority="62" aboveAverage="0" equalAverage="0" bottom="0" percent="0" rank="0" text="" dxfId="0">
      <formula>AND($C5&lt;&gt;"",$AB$4+6&gt;=$C5,$AB$4&lt;=$D5,$G5&gt;=1)</formula>
    </cfRule>
    <cfRule type="expression" priority="63" aboveAverage="0" equalAverage="0" bottom="0" percent="0" rank="0" text="" dxfId="1">
      <formula>AND($C5&lt;&gt;"",$AB$4+6&gt;=$C5,$AB$4&lt;=$D5,$D5&lt;TODAY(),$G5&lt;1)</formula>
    </cfRule>
    <cfRule type="expression" priority="64" aboveAverage="0" equalAverage="0" bottom="0" percent="0" rank="0" text="" dxfId="2">
      <formula>AND($C5&lt;&gt;"",$AB$4+6&gt;=$C5,$AB$4&lt;=$D5)</formula>
    </cfRule>
  </conditionalFormatting>
  <conditionalFormatting sqref="AC5:AC24">
    <cfRule type="expression" priority="65" aboveAverage="0" equalAverage="0" bottom="0" percent="0" rank="0" text="" dxfId="0">
      <formula>AND($C5&lt;&gt;"",$AC$4+6&gt;=$C5,$AC$4&lt;=$D5,$G5&gt;=1)</formula>
    </cfRule>
    <cfRule type="expression" priority="66" aboveAverage="0" equalAverage="0" bottom="0" percent="0" rank="0" text="" dxfId="1">
      <formula>AND($C5&lt;&gt;"",$AC$4+6&gt;=$C5,$AC$4&lt;=$D5,$D5&lt;TODAY(),$G5&lt;1)</formula>
    </cfRule>
    <cfRule type="expression" priority="67" aboveAverage="0" equalAverage="0" bottom="0" percent="0" rank="0" text="" dxfId="2">
      <formula>AND($C5&lt;&gt;"",$AC$4+6&gt;=$C5,$AC$4&lt;=$D5)</formula>
    </cfRule>
  </conditionalFormatting>
  <conditionalFormatting sqref="AD5:AD24">
    <cfRule type="expression" priority="68" aboveAverage="0" equalAverage="0" bottom="0" percent="0" rank="0" text="" dxfId="0">
      <formula>AND($C5&lt;&gt;"",$AD$4+6&gt;=$C5,$AD$4&lt;=$D5,$G5&gt;=1)</formula>
    </cfRule>
    <cfRule type="expression" priority="69" aboveAverage="0" equalAverage="0" bottom="0" percent="0" rank="0" text="" dxfId="1">
      <formula>AND($C5&lt;&gt;"",$AD$4+6&gt;=$C5,$AD$4&lt;=$D5,$D5&lt;TODAY(),$G5&lt;1)</formula>
    </cfRule>
    <cfRule type="expression" priority="70" aboveAverage="0" equalAverage="0" bottom="0" percent="0" rank="0" text="" dxfId="2">
      <formula>AND($C5&lt;&gt;"",$AD$4+6&gt;=$C5,$AD$4&lt;=$D5)</formula>
    </cfRule>
  </conditionalFormatting>
  <conditionalFormatting sqref="AE5:AE24">
    <cfRule type="expression" priority="71" aboveAverage="0" equalAverage="0" bottom="0" percent="0" rank="0" text="" dxfId="0">
      <formula>AND($C5&lt;&gt;"",$AE$4+6&gt;=$C5,$AE$4&lt;=$D5,$G5&gt;=1)</formula>
    </cfRule>
    <cfRule type="expression" priority="72" aboveAverage="0" equalAverage="0" bottom="0" percent="0" rank="0" text="" dxfId="1">
      <formula>AND($C5&lt;&gt;"",$AE$4+6&gt;=$C5,$AE$4&lt;=$D5,$D5&lt;TODAY(),$G5&lt;1)</formula>
    </cfRule>
    <cfRule type="expression" priority="73" aboveAverage="0" equalAverage="0" bottom="0" percent="0" rank="0" text="" dxfId="2">
      <formula>AND($C5&lt;&gt;"",$AE$4+6&gt;=$C5,$AE$4&lt;=$D5)</formula>
    </cfRule>
  </conditionalFormatting>
  <conditionalFormatting sqref="AF5:AF24">
    <cfRule type="expression" priority="74" aboveAverage="0" equalAverage="0" bottom="0" percent="0" rank="0" text="" dxfId="0">
      <formula>AND($C5&lt;&gt;"",$AF$4+6&gt;=$C5,$AF$4&lt;=$D5,$G5&gt;=1)</formula>
    </cfRule>
    <cfRule type="expression" priority="75" aboveAverage="0" equalAverage="0" bottom="0" percent="0" rank="0" text="" dxfId="1">
      <formula>AND($C5&lt;&gt;"",$AF$4+6&gt;=$C5,$AF$4&lt;=$D5,$D5&lt;TODAY(),$G5&lt;1)</formula>
    </cfRule>
    <cfRule type="expression" priority="76" aboveAverage="0" equalAverage="0" bottom="0" percent="0" rank="0" text="" dxfId="2">
      <formula>AND($C5&lt;&gt;"",$AF$4+6&gt;=$C5,$AF$4&lt;=$D5)</formula>
    </cfRule>
  </conditionalFormatting>
  <conditionalFormatting sqref="AG5:AG24">
    <cfRule type="expression" priority="77" aboveAverage="0" equalAverage="0" bottom="0" percent="0" rank="0" text="" dxfId="0">
      <formula>AND($C5&lt;&gt;"",$AG$4+6&gt;=$C5,$AG$4&lt;=$D5,$G5&gt;=1)</formula>
    </cfRule>
    <cfRule type="expression" priority="78" aboveAverage="0" equalAverage="0" bottom="0" percent="0" rank="0" text="" dxfId="1">
      <formula>AND($C5&lt;&gt;"",$AG$4+6&gt;=$C5,$AG$4&lt;=$D5,$D5&lt;TODAY(),$G5&lt;1)</formula>
    </cfRule>
    <cfRule type="expression" priority="79" aboveAverage="0" equalAverage="0" bottom="0" percent="0" rank="0" text="" dxfId="2">
      <formula>AND($C5&lt;&gt;"",$AG$4+6&gt;=$C5,$AG$4&lt;=$D5)</formula>
    </cfRule>
  </conditionalFormatting>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&amp;CSimple Project Timeline</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2" t="s">
        <v>59</v>
      </c>
    </row>
    <row r="2" customFormat="false" ht="15" hidden="false" customHeight="false" outlineLevel="0" collapsed="false">
      <c r="A2" s="32"/>
    </row>
    <row r="3" customFormat="false" ht="15" hidden="false" customHeight="false" outlineLevel="0" collapsed="false">
      <c r="A3" s="32" t="s">
        <v>60</v>
      </c>
    </row>
    <row r="4" customFormat="false" ht="15" hidden="false" customHeight="false" outlineLevel="0" collapsed="false">
      <c r="A4" s="32"/>
    </row>
    <row r="5" customFormat="false" ht="15" hidden="false" customHeight="false" outlineLevel="0" collapsed="false">
      <c r="A5" s="32" t="s">
        <v>61</v>
      </c>
    </row>
    <row r="6" customFormat="false" ht="15" hidden="false" customHeight="false" outlineLevel="0" collapsed="false">
      <c r="A6" s="32"/>
    </row>
    <row r="7" customFormat="false" ht="15" hidden="false" customHeight="false" outlineLevel="0" collapsed="false">
      <c r="A7" s="32" t="s">
        <v>62</v>
      </c>
    </row>
    <row r="8" customFormat="false" ht="15" hidden="false" customHeight="false" outlineLevel="0" collapsed="false">
      <c r="A8" s="32"/>
    </row>
    <row r="9" customFormat="false" ht="15" hidden="false" customHeight="false" outlineLevel="0" collapsed="false">
      <c r="A9" s="32" t="s">
        <v>63</v>
      </c>
    </row>
    <row r="10" customFormat="false" ht="15" hidden="false" customHeight="false" outlineLevel="0" collapsed="false">
      <c r="A10" s="32"/>
    </row>
    <row r="11" customFormat="false" ht="15" hidden="false" customHeight="false" outlineLevel="0" collapsed="false">
      <c r="A11" s="32" t="s">
        <v>64</v>
      </c>
    </row>
    <row r="12" customFormat="false" ht="15" hidden="false" customHeight="false" outlineLevel="0" collapsed="false">
      <c r="A12" s="32"/>
    </row>
    <row r="13" customFormat="false" ht="15" hidden="false" customHeight="false" outlineLevel="0" collapsed="false">
      <c r="A13" s="32" t="s">
        <v>65</v>
      </c>
    </row>
    <row r="14" customFormat="false" ht="15" hidden="false" customHeight="false" outlineLevel="0" collapsed="false">
      <c r="A14" s="32"/>
    </row>
    <row r="15" customFormat="false" ht="15" hidden="false" customHeight="false" outlineLevel="0" collapsed="false">
      <c r="A15" s="32" t="s">
        <v>66</v>
      </c>
    </row>
    <row r="16" customFormat="false" ht="15" hidden="false" customHeight="false" outlineLevel="0" collapsed="false">
      <c r="A16" s="32"/>
    </row>
    <row r="17" customFormat="false" ht="15" hidden="false" customHeight="false" outlineLevel="0" collapsed="false">
      <c r="A17" s="32"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General Business / Admin</cp:category>
  <dcterms:created xsi:type="dcterms:W3CDTF">2026-03-23T17:59:59Z</dcterms:created>
  <dc:creator>Ebrora Ltd</dc:creator>
  <dc:description>Visual Gantt-style project timeline with task bars, milestone markers, percentage completion, and automatic duration tracking.
Free professional construction management template from Ebrora Ltd. Visit ebrora.com for our full range of tools and templates.</dc:description>
  <cp:keywords>Ebrora construction business timeline Gantt programme schedule project management</cp:keywords>
  <dc:language>en-US</dc:language>
  <cp:lastModifiedBy>Ebrora Ltd</cp:lastModifiedBy>
  <dcterms:modified xsi:type="dcterms:W3CDTF">2026-03-23T17:59:59Z</dcterms:modified>
  <cp:revision>0</cp:revision>
  <dc:subject>Visual Gantt-style project timeline with task bars, percentage completion, and automatic duration tracking.</dc:subject>
  <dc:title>Simple Project Timeline</dc:title>
</cp:coreProperties>
</file>

<file path=docProps/custom.xml><?xml version="1.0" encoding="utf-8"?>
<Properties xmlns="http://schemas.openxmlformats.org/officeDocument/2006/custom-properties" xmlns:vt="http://schemas.openxmlformats.org/officeDocument/2006/docPropsVTypes"/>
</file>