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O&amp;M Tracker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'O&amp;M Tracker'!$A$1:$M$50</definedName>
    <definedName function="false" hidden="false" localSheetId="2" name="_xlnm.Print_Titles" vbProcedure="false">'O&amp;M Tracker'!$1:$1</definedName>
    <definedName function="false" hidden="true" localSheetId="2" name="_xlnm._FilterDatabase" vbProcedure="false">'O&amp;M Tracker'!$A$1:$R$1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<sst xmlns="http://schemas.openxmlformats.org/spreadsheetml/2006/main" count="121" uniqueCount="111">
  <si>
    <t xml:space="preserve">EBRORA</t>
  </si>
  <si>
    <t xml:space="preserve">ebrora.com</t>
  </si>
  <si>
    <t xml:space="preserve">O&amp;M Submission</t>
  </si>
  <si>
    <t xml:space="preserve">Tracker</t>
  </si>
  <si>
    <t xml:space="preserve">Track O&amp;M manual submissions by system and supplier</t>
  </si>
  <si>
    <t xml:space="preserve">through review, resubmission, and final acceptance for handover.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</si>
  <si>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</si>
  <si>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</si>
  <si>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</si>
  <si>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</si>
  <si>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</si>
  <si>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</si>
  <si>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'O&amp;M Tracker' sheet. Each row tracks one O&amp;M document submission.</t>
  </si>
  <si>
    <t xml:space="preserve">2.</t>
  </si>
  <si>
    <t xml:space="preserve">Fill in the light teal cells. Enter O&amp;M Ref, System, Supplier, Document Title, and Revision.</t>
  </si>
  <si>
    <t xml:space="preserve">3.</t>
  </si>
  <si>
    <t xml:space="preserve">Record Date Submitted and track through Review Status (Pending / Under Review / Accepted / Rejected / Resubmit Required).</t>
  </si>
  <si>
    <t xml:space="preserve">4.</t>
  </si>
  <si>
    <t xml:space="preserve">The Days Since Submission column auto-calculates to help chase overdue reviews.</t>
  </si>
  <si>
    <t xml:space="preserve">5.</t>
  </si>
  <si>
    <t xml:space="preserve">Expand optional columns (click [+]) for linked asset tags, format, copies, final acceptance date, and filing location.</t>
  </si>
  <si>
    <t xml:space="preserve">Colour Key</t>
  </si>
  <si>
    <t xml:space="preserve">Light teal cells = User input / editable</t>
  </si>
  <si>
    <t xml:space="preserve">Dark navy headers = Do not edit</t>
  </si>
  <si>
    <t xml:space="preserve">Green = Accepted</t>
  </si>
  <si>
    <t xml:space="preserve">Amber = Pending or Under Review</t>
  </si>
  <si>
    <t xml:space="preserve">Red = Rejected / Resubmit Required, or &gt;14 days without review</t>
  </si>
  <si>
    <t xml:space="preserve">Tips</t>
  </si>
  <si>
    <t xml:space="preserve">Tip 1:</t>
  </si>
  <si>
    <t xml:space="preserve">Issue this tracker to suppliers at contract award with clear O&amp;M submission deadlines.</t>
  </si>
  <si>
    <t xml:space="preserve">Tip 2:</t>
  </si>
  <si>
    <t xml:space="preserve">Filter by 'Rejected' or 'Resubmit Required' to generate chase lists for subcontractor meetings.</t>
  </si>
  <si>
    <t xml:space="preserve">Tip 3:</t>
  </si>
  <si>
    <t xml:space="preserve">Cross-reference O&amp;M Refs to your Asset Tag Register to ensure every asset has O&amp;M coverage.</t>
  </si>
  <si>
    <t xml:space="preserve">O&amp;M Ref</t>
  </si>
  <si>
    <t xml:space="preserve">System / Process Area</t>
  </si>
  <si>
    <t xml:space="preserve">Supplier</t>
  </si>
  <si>
    <t xml:space="preserve">Document Title</t>
  </si>
  <si>
    <t xml:space="preserve">Rev</t>
  </si>
  <si>
    <t xml:space="preserve">Date Submitted</t>
  </si>
  <si>
    <t xml:space="preserve">Date Reviewed</t>
  </si>
  <si>
    <t xml:space="preserve">Review Status</t>
  </si>
  <si>
    <t xml:space="preserve">Reviewer</t>
  </si>
  <si>
    <t xml:space="preserve">Review Comments</t>
  </si>
  <si>
    <t xml:space="preserve">Resubmission Req'd</t>
  </si>
  <si>
    <t xml:space="preserve">Days Since Sub.</t>
  </si>
  <si>
    <t xml:space="preserve">Notes</t>
  </si>
  <si>
    <t xml:space="preserve">Linked Asset Tags</t>
  </si>
  <si>
    <t xml:space="preserve">Format</t>
  </si>
  <si>
    <t xml:space="preserve">Copies Req'd</t>
  </si>
  <si>
    <t xml:space="preserve">Final Accepted Date</t>
  </si>
  <si>
    <t xml:space="preserve">Filed Location</t>
  </si>
  <si>
    <t xml:space="preserve">OM-INL-001</t>
  </si>
  <si>
    <t xml:space="preserve">Inlet Works</t>
  </si>
  <si>
    <t xml:space="preserve">Xylem Water Solutions</t>
  </si>
  <si>
    <t xml:space="preserve">Inlet Pump Station — Submersible Pumps O&amp;M Manual</t>
  </si>
  <si>
    <t xml:space="preserve">B</t>
  </si>
  <si>
    <t xml:space="preserve">Accepted</t>
  </si>
  <si>
    <t xml:space="preserve">S. Patel</t>
  </si>
  <si>
    <t xml:space="preserve">Comprehensive and well-structured. Minor formatting corrections made.</t>
  </si>
  <si>
    <t xml:space="preserve">No</t>
  </si>
  <si>
    <t xml:space="preserve">PMP-INL-001, PMP-INL-002</t>
  </si>
  <si>
    <t xml:space="preserve">Both</t>
  </si>
  <si>
    <t xml:space="preserve">H&amp;S File Box 3</t>
  </si>
  <si>
    <t xml:space="preserve">OM-SPS-003</t>
  </si>
  <si>
    <t xml:space="preserve">Storm Water</t>
  </si>
  <si>
    <t xml:space="preserve">AVK UK Ltd</t>
  </si>
  <si>
    <t xml:space="preserve">Storm Tank Penstock Valves — Installation &amp; Maintenance Guide</t>
  </si>
  <si>
    <t xml:space="preserve">A</t>
  </si>
  <si>
    <t xml:space="preserve">Resubmit Required</t>
  </si>
  <si>
    <t xml:space="preserve">M. Thompson</t>
  </si>
  <si>
    <t xml:space="preserve">Missing torque settings for actuator. Lubrication schedule incomplete.</t>
  </si>
  <si>
    <t xml:space="preserve">Yes</t>
  </si>
  <si>
    <t xml:space="preserve">VLV-SPS-014</t>
  </si>
  <si>
    <t xml:space="preserve">Soft Copy</t>
  </si>
  <si>
    <t xml:space="preserve">OM-FST-002</t>
  </si>
  <si>
    <t xml:space="preserve">Secondary Treatment</t>
  </si>
  <si>
    <t xml:space="preserve">Cerlic AB</t>
  </si>
  <si>
    <t xml:space="preserve">Sludge Blanket Analyser SBM-500 — Technical Manual</t>
  </si>
  <si>
    <t xml:space="preserve">Under Review</t>
  </si>
  <si>
    <t xml:space="preserve">Reviewer assigned — awaiting feedback</t>
  </si>
  <si>
    <t xml:space="preserve">INS-FST-007</t>
  </si>
  <si>
    <t xml:space="preserve">OM-EL-003</t>
  </si>
  <si>
    <t xml:space="preserve">Electrical Distribution</t>
  </si>
  <si>
    <t xml:space="preserve">Schneider Electric</t>
  </si>
  <si>
    <t xml:space="preserve">MCC Panel 3 — Prisma iPM Operation &amp; Maintenance</t>
  </si>
  <si>
    <t xml:space="preserve">C</t>
  </si>
  <si>
    <t xml:space="preserve">R. Evans</t>
  </si>
  <si>
    <t xml:space="preserve">Well detailed. Includes updated SLDs and protection settings.</t>
  </si>
  <si>
    <t xml:space="preserve">MCC-EL-003</t>
  </si>
  <si>
    <t xml:space="preserve">H&amp;S File Box 5</t>
  </si>
  <si>
    <t xml:space="preserve">OM-RAS-001</t>
  </si>
  <si>
    <t xml:space="preserve">Grundfos</t>
  </si>
  <si>
    <t xml:space="preserve">RAS Pumps SE Series — Service &amp; Maintenance Manual</t>
  </si>
  <si>
    <t xml:space="preserve">Pending</t>
  </si>
  <si>
    <t xml:space="preserve">Submitted via portal, hard copy to follow</t>
  </si>
  <si>
    <t xml:space="preserve">PMP-RAS-002</t>
  </si>
  <si>
    <t xml:space="preserve">SUMMARY</t>
  </si>
  <si>
    <t xml:space="preserve">Total:</t>
  </si>
  <si>
    <t xml:space="preserve">Accepted:</t>
  </si>
  <si>
    <t xml:space="preserve">Awaiting:</t>
  </si>
  <si>
    <t xml:space="preserve">Resubmit/Rejected:</t>
  </si>
  <si>
    <t xml:space="preserve">EBRORA — TERMS OF USE</t>
  </si>
  <si>
    <t xml:space="preserve">This template is provided free of charge by Ebrora (ebrora.com) for personal and professional use.</t>
  </si>
  <si>
    <t xml:space="preserve">LICENCE: You may use this template for your own projects. You may not resell, redistribute, or claim authorship of this template.</t>
  </si>
  <si>
    <t xml:space="preserve">NO WARRANTY: This template is provided "as is" without warranty of any kind. Ebrora accepts no liability for errors, omissions, or losses arising from use of this template.</t>
  </si>
  <si>
    <t xml:space="preserve">INTELLECTUAL PROPERTY: All design, layout, branding, and content remain the intellectual property of Ebrora.</t>
  </si>
  <si>
    <t xml:space="preserve">MODIFICATIONS: You may modify this template for your own use. Modified versions may not be distributed or sold.</t>
  </si>
  <si>
    <t xml:space="preserve">ATTRIBUTION: If you share outputs generated using this template, attribution to Ebrora (ebrora.com) is appreciated but not required.</t>
  </si>
  <si>
    <t xml:space="preserve">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</si>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</sst>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1B2A4A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2AABB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4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35.05" hidden="false" customHeight="true" outlineLevel="0" collapsed="false">
      <c r="A6" s="5" t="s">
        <v>2</v>
      </c>
      <c r="B6" s="5"/>
      <c r="C6" s="5"/>
      <c r="D6" s="5"/>
      <c r="E6" s="5"/>
      <c r="F6" s="5"/>
      <c r="G6" s="5"/>
      <c r="H6" s="5"/>
    </row>
    <row r="7" customFormat="false" ht="35.05" hidden="false" customHeight="true" outlineLevel="0" collapsed="false">
      <c r="A7" s="5" t="s">
        <v>3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4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5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6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7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8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0" t="s">
        <v>9</v>
      </c>
      <c r="B1" s="10"/>
      <c r="C1" s="10"/>
      <c r="D1" s="10"/>
      <c r="E1" s="10"/>
      <c r="F1" s="10"/>
    </row>
    <row r="3" customFormat="false" ht="15" hidden="false" customHeight="false" outlineLevel="0" collapsed="false">
      <c r="A3" s="11"/>
      <c r="B3" s="12"/>
    </row>
    <row r="4" customFormat="false" ht="15" hidden="false" customHeight="false" outlineLevel="0" collapsed="false">
      <c r="A4" s="13" t="s">
        <v>10</v>
      </c>
      <c r="B4" s="12"/>
    </row>
    <row r="5" customFormat="false" ht="15" hidden="false" customHeight="false" outlineLevel="0" collapsed="false">
      <c r="A5" s="11" t="s">
        <v>11</v>
      </c>
      <c r="B5" s="12" t="s">
        <v>12</v>
      </c>
    </row>
    <row r="6" customFormat="false" ht="15" hidden="false" customHeight="false" outlineLevel="0" collapsed="false">
      <c r="A6" s="11" t="s">
        <v>13</v>
      </c>
      <c r="B6" s="12" t="s">
        <v>14</v>
      </c>
    </row>
    <row r="7" customFormat="false" ht="23.85" hidden="false" customHeight="false" outlineLevel="0" collapsed="false">
      <c r="A7" s="11" t="s">
        <v>15</v>
      </c>
      <c r="B7" s="12" t="s">
        <v>16</v>
      </c>
    </row>
    <row r="8" customFormat="false" ht="15" hidden="false" customHeight="false" outlineLevel="0" collapsed="false">
      <c r="A8" s="11" t="s">
        <v>17</v>
      </c>
      <c r="B8" s="12" t="s">
        <v>18</v>
      </c>
    </row>
    <row r="9" customFormat="false" ht="15" hidden="false" customHeight="false" outlineLevel="0" collapsed="false">
      <c r="A9" s="11" t="s">
        <v>19</v>
      </c>
      <c r="B9" s="12" t="s">
        <v>20</v>
      </c>
    </row>
    <row r="10" customFormat="false" ht="15" hidden="false" customHeight="false" outlineLevel="0" collapsed="false">
      <c r="A10" s="11"/>
      <c r="B10" s="12"/>
    </row>
    <row r="11" customFormat="false" ht="15" hidden="false" customHeight="false" outlineLevel="0" collapsed="false">
      <c r="A11" s="13" t="s">
        <v>21</v>
      </c>
      <c r="B11" s="12"/>
    </row>
    <row r="12" customFormat="false" ht="15" hidden="false" customHeight="false" outlineLevel="0" collapsed="false">
      <c r="A12" s="11"/>
      <c r="B12" s="12" t="s">
        <v>22</v>
      </c>
    </row>
    <row r="13" customFormat="false" ht="15" hidden="false" customHeight="false" outlineLevel="0" collapsed="false">
      <c r="A13" s="11"/>
      <c r="B13" s="12" t="s">
        <v>23</v>
      </c>
    </row>
    <row r="14" customFormat="false" ht="15" hidden="false" customHeight="false" outlineLevel="0" collapsed="false">
      <c r="A14" s="11"/>
      <c r="B14" s="12" t="s">
        <v>24</v>
      </c>
    </row>
    <row r="15" customFormat="false" ht="15" hidden="false" customHeight="false" outlineLevel="0" collapsed="false">
      <c r="A15" s="11"/>
      <c r="B15" s="12" t="s">
        <v>25</v>
      </c>
    </row>
    <row r="16" customFormat="false" ht="15" hidden="false" customHeight="false" outlineLevel="0" collapsed="false">
      <c r="A16" s="11"/>
      <c r="B16" s="12" t="s">
        <v>26</v>
      </c>
    </row>
    <row r="17" customFormat="false" ht="15" hidden="false" customHeight="false" outlineLevel="0" collapsed="false">
      <c r="A17" s="11"/>
      <c r="B17" s="12"/>
    </row>
    <row r="18" customFormat="false" ht="15" hidden="false" customHeight="false" outlineLevel="0" collapsed="false">
      <c r="A18" s="13" t="s">
        <v>27</v>
      </c>
      <c r="B18" s="12"/>
    </row>
    <row r="19" customFormat="false" ht="15" hidden="false" customHeight="false" outlineLevel="0" collapsed="false">
      <c r="A19" s="14" t="s">
        <v>28</v>
      </c>
      <c r="B19" s="12" t="s">
        <v>29</v>
      </c>
    </row>
    <row r="20" customFormat="false" ht="15" hidden="false" customHeight="false" outlineLevel="0" collapsed="false">
      <c r="A20" s="14" t="s">
        <v>30</v>
      </c>
      <c r="B20" s="12" t="s">
        <v>31</v>
      </c>
    </row>
    <row r="21" customFormat="false" ht="15" hidden="false" customHeight="false" outlineLevel="0" collapsed="false">
      <c r="A21" s="14" t="s">
        <v>32</v>
      </c>
      <c r="B21" s="12" t="s">
        <v>33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35"/>
    <col collapsed="false" customWidth="true" hidden="false" outlineLevel="0" max="5" min="5" style="0" width="8"/>
    <col collapsed="false" customWidth="true" hidden="false" outlineLevel="0" max="7" min="6" style="0" width="14"/>
    <col collapsed="false" customWidth="true" hidden="false" outlineLevel="0" max="9" min="8" style="0" width="16"/>
    <col collapsed="false" customWidth="true" hidden="false" outlineLevel="0" max="10" min="10" style="0" width="35"/>
    <col collapsed="false" customWidth="true" hidden="false" outlineLevel="0" max="12" min="11" style="0" width="14"/>
    <col collapsed="false" customWidth="true" hidden="false" outlineLevel="0" max="13" min="13" style="0" width="30"/>
    <col collapsed="false" customWidth="true" hidden="true" outlineLevel="1" max="18" min="14" style="0" width="20"/>
  </cols>
  <sheetData>
    <row r="1" customFormat="false" ht="28.35" hidden="false" customHeight="false" outlineLevel="0" collapsed="false">
      <c r="A1" s="15" t="s">
        <v>34</v>
      </c>
      <c r="B1" s="15" t="s">
        <v>35</v>
      </c>
      <c r="C1" s="15" t="s">
        <v>36</v>
      </c>
      <c r="D1" s="15" t="s">
        <v>37</v>
      </c>
      <c r="E1" s="15" t="s">
        <v>38</v>
      </c>
      <c r="F1" s="15" t="s">
        <v>39</v>
      </c>
      <c r="G1" s="15" t="s">
        <v>40</v>
      </c>
      <c r="H1" s="15" t="s">
        <v>41</v>
      </c>
      <c r="I1" s="15" t="s">
        <v>42</v>
      </c>
      <c r="J1" s="15" t="s">
        <v>43</v>
      </c>
      <c r="K1" s="15" t="s">
        <v>44</v>
      </c>
      <c r="L1" s="15" t="s">
        <v>45</v>
      </c>
      <c r="M1" s="15" t="s">
        <v>46</v>
      </c>
      <c r="N1" s="15" t="s">
        <v>47</v>
      </c>
      <c r="O1" s="15" t="s">
        <v>48</v>
      </c>
      <c r="P1" s="15" t="s">
        <v>49</v>
      </c>
      <c r="Q1" s="15" t="s">
        <v>50</v>
      </c>
      <c r="R1" s="15" t="s">
        <v>51</v>
      </c>
    </row>
    <row r="2" customFormat="false" ht="23.85" hidden="false" customHeight="false" outlineLevel="0" collapsed="false">
      <c r="A2" s="16" t="s">
        <v>52</v>
      </c>
      <c r="B2" s="16" t="s">
        <v>53</v>
      </c>
      <c r="C2" s="16" t="s">
        <v>54</v>
      </c>
      <c r="D2" s="16" t="s">
        <v>55</v>
      </c>
      <c r="E2" s="16" t="s">
        <v>56</v>
      </c>
      <c r="F2" s="17" t="n">
        <v>46075</v>
      </c>
      <c r="G2" s="17" t="n">
        <v>46087</v>
      </c>
      <c r="H2" s="16" t="s">
        <v>57</v>
      </c>
      <c r="I2" s="16" t="s">
        <v>58</v>
      </c>
      <c r="J2" s="16" t="s">
        <v>59</v>
      </c>
      <c r="K2" s="16" t="s">
        <v>60</v>
      </c>
      <c r="L2" s="18" t="n">
        <f aca="true">IF(F2="","",IF(G2&lt;&gt;"",G2-F2,TODAY()-F2))</f>
        <v>12</v>
      </c>
      <c r="M2" s="16"/>
      <c r="N2" s="16" t="s">
        <v>61</v>
      </c>
      <c r="O2" s="16" t="s">
        <v>62</v>
      </c>
      <c r="P2" s="16" t="n">
        <v>3</v>
      </c>
      <c r="Q2" s="17" t="n">
        <v>46087</v>
      </c>
      <c r="R2" s="16" t="s">
        <v>63</v>
      </c>
    </row>
    <row r="3" customFormat="false" ht="23.85" hidden="false" customHeight="false" outlineLevel="0" collapsed="false">
      <c r="A3" s="16" t="s">
        <v>64</v>
      </c>
      <c r="B3" s="16" t="s">
        <v>65</v>
      </c>
      <c r="C3" s="16" t="s">
        <v>66</v>
      </c>
      <c r="D3" s="16" t="s">
        <v>67</v>
      </c>
      <c r="E3" s="16" t="s">
        <v>68</v>
      </c>
      <c r="F3" s="17" t="n">
        <v>46080</v>
      </c>
      <c r="G3" s="17" t="n">
        <v>46093</v>
      </c>
      <c r="H3" s="16" t="s">
        <v>69</v>
      </c>
      <c r="I3" s="16" t="s">
        <v>70</v>
      </c>
      <c r="J3" s="16" t="s">
        <v>71</v>
      </c>
      <c r="K3" s="16" t="s">
        <v>72</v>
      </c>
      <c r="L3" s="18" t="n">
        <f aca="true">IF(F3="","",IF(G3&lt;&gt;"",G3-F3,TODAY()-F3))</f>
        <v>13</v>
      </c>
      <c r="M3" s="16"/>
      <c r="N3" s="16" t="s">
        <v>73</v>
      </c>
      <c r="O3" s="16" t="s">
        <v>74</v>
      </c>
      <c r="P3" s="16" t="n">
        <v>2</v>
      </c>
      <c r="Q3" s="17"/>
      <c r="R3" s="16"/>
    </row>
    <row r="4" customFormat="false" ht="23.85" hidden="false" customHeight="false" outlineLevel="0" collapsed="false">
      <c r="A4" s="16" t="s">
        <v>75</v>
      </c>
      <c r="B4" s="16" t="s">
        <v>76</v>
      </c>
      <c r="C4" s="16" t="s">
        <v>77</v>
      </c>
      <c r="D4" s="16" t="s">
        <v>78</v>
      </c>
      <c r="E4" s="16" t="s">
        <v>68</v>
      </c>
      <c r="F4" s="17" t="n">
        <v>46085</v>
      </c>
      <c r="G4" s="17"/>
      <c r="H4" s="16" t="s">
        <v>79</v>
      </c>
      <c r="I4" s="16"/>
      <c r="J4" s="16"/>
      <c r="K4" s="16" t="s">
        <v>60</v>
      </c>
      <c r="L4" s="18" t="n">
        <f aca="true">IF(F4="","",IF(G4&lt;&gt;"",G4-F4,TODAY()-F4))</f>
        <v>20</v>
      </c>
      <c r="M4" s="16" t="s">
        <v>80</v>
      </c>
      <c r="N4" s="16" t="s">
        <v>81</v>
      </c>
      <c r="O4" s="16" t="s">
        <v>74</v>
      </c>
      <c r="P4" s="16" t="n">
        <v>2</v>
      </c>
      <c r="Q4" s="17"/>
      <c r="R4" s="16"/>
    </row>
    <row r="5" customFormat="false" ht="23.85" hidden="false" customHeight="false" outlineLevel="0" collapsed="false">
      <c r="A5" s="16" t="s">
        <v>82</v>
      </c>
      <c r="B5" s="16" t="s">
        <v>83</v>
      </c>
      <c r="C5" s="16" t="s">
        <v>84</v>
      </c>
      <c r="D5" s="16" t="s">
        <v>85</v>
      </c>
      <c r="E5" s="16" t="s">
        <v>86</v>
      </c>
      <c r="F5" s="17" t="n">
        <v>46095</v>
      </c>
      <c r="G5" s="17" t="n">
        <v>46102</v>
      </c>
      <c r="H5" s="16" t="s">
        <v>57</v>
      </c>
      <c r="I5" s="16" t="s">
        <v>87</v>
      </c>
      <c r="J5" s="16" t="s">
        <v>88</v>
      </c>
      <c r="K5" s="16" t="s">
        <v>60</v>
      </c>
      <c r="L5" s="18" t="n">
        <f aca="true">IF(F5="","",IF(G5&lt;&gt;"",G5-F5,TODAY()-F5))</f>
        <v>7</v>
      </c>
      <c r="M5" s="16"/>
      <c r="N5" s="16" t="s">
        <v>89</v>
      </c>
      <c r="O5" s="16" t="s">
        <v>62</v>
      </c>
      <c r="P5" s="16" t="n">
        <v>3</v>
      </c>
      <c r="Q5" s="17" t="n">
        <v>46102</v>
      </c>
      <c r="R5" s="16" t="s">
        <v>90</v>
      </c>
    </row>
    <row r="6" customFormat="false" ht="23.85" hidden="false" customHeight="false" outlineLevel="0" collapsed="false">
      <c r="A6" s="16" t="s">
        <v>91</v>
      </c>
      <c r="B6" s="16" t="s">
        <v>76</v>
      </c>
      <c r="C6" s="16" t="s">
        <v>92</v>
      </c>
      <c r="D6" s="16" t="s">
        <v>93</v>
      </c>
      <c r="E6" s="16" t="s">
        <v>68</v>
      </c>
      <c r="F6" s="17" t="n">
        <v>46100</v>
      </c>
      <c r="G6" s="17"/>
      <c r="H6" s="16" t="s">
        <v>94</v>
      </c>
      <c r="I6" s="16"/>
      <c r="J6" s="16"/>
      <c r="K6" s="16" t="s">
        <v>60</v>
      </c>
      <c r="L6" s="18" t="n">
        <f aca="true">IF(F6="","",IF(G6&lt;&gt;"",G6-F6,TODAY()-F6))</f>
        <v>5</v>
      </c>
      <c r="M6" s="16" t="s">
        <v>95</v>
      </c>
      <c r="N6" s="16" t="s">
        <v>96</v>
      </c>
      <c r="O6" s="16" t="s">
        <v>74</v>
      </c>
      <c r="P6" s="16" t="n">
        <v>2</v>
      </c>
      <c r="Q6" s="17"/>
      <c r="R6" s="16"/>
    </row>
    <row r="7" customFormat="false" ht="15" hidden="false" customHeight="false" outlineLevel="0" collapsed="false">
      <c r="A7" s="16"/>
      <c r="B7" s="16"/>
      <c r="C7" s="16"/>
      <c r="D7" s="16"/>
      <c r="E7" s="16"/>
      <c r="F7" s="17"/>
      <c r="G7" s="17"/>
      <c r="H7" s="16"/>
      <c r="I7" s="16"/>
      <c r="J7" s="16"/>
      <c r="K7" s="16"/>
      <c r="L7" s="18" t="str">
        <f aca="true">IF(F7="","",IF(G7&lt;&gt;"",G7-F7,TODAY()-F7))</f>
        <v/>
      </c>
      <c r="M7" s="16"/>
      <c r="N7" s="16"/>
      <c r="O7" s="16"/>
      <c r="P7" s="16"/>
      <c r="Q7" s="17"/>
      <c r="R7" s="16"/>
    </row>
    <row r="8" customFormat="false" ht="15" hidden="false" customHeight="false" outlineLevel="0" collapsed="false">
      <c r="A8" s="16"/>
      <c r="B8" s="16"/>
      <c r="C8" s="16"/>
      <c r="D8" s="16"/>
      <c r="E8" s="16"/>
      <c r="F8" s="17"/>
      <c r="G8" s="17"/>
      <c r="H8" s="16"/>
      <c r="I8" s="16"/>
      <c r="J8" s="16"/>
      <c r="K8" s="16"/>
      <c r="L8" s="18" t="str">
        <f aca="true">IF(F8="","",IF(G8&lt;&gt;"",G8-F8,TODAY()-F8))</f>
        <v/>
      </c>
      <c r="M8" s="16"/>
      <c r="N8" s="16"/>
      <c r="O8" s="16"/>
      <c r="P8" s="16"/>
      <c r="Q8" s="17"/>
      <c r="R8" s="16"/>
    </row>
    <row r="9" customFormat="false" ht="15" hidden="false" customHeight="false" outlineLevel="0" collapsed="false">
      <c r="A9" s="16"/>
      <c r="B9" s="16"/>
      <c r="C9" s="16"/>
      <c r="D9" s="16"/>
      <c r="E9" s="16"/>
      <c r="F9" s="17"/>
      <c r="G9" s="17"/>
      <c r="H9" s="16"/>
      <c r="I9" s="16"/>
      <c r="J9" s="16"/>
      <c r="K9" s="16"/>
      <c r="L9" s="18" t="str">
        <f aca="true">IF(F9="","",IF(G9&lt;&gt;"",G9-F9,TODAY()-F9))</f>
        <v/>
      </c>
      <c r="M9" s="16"/>
      <c r="N9" s="16"/>
      <c r="O9" s="16"/>
      <c r="P9" s="16"/>
      <c r="Q9" s="17"/>
      <c r="R9" s="16"/>
    </row>
    <row r="10" customFormat="false" ht="15" hidden="false" customHeight="false" outlineLevel="0" collapsed="false">
      <c r="A10" s="16"/>
      <c r="B10" s="16"/>
      <c r="C10" s="16"/>
      <c r="D10" s="16"/>
      <c r="E10" s="16"/>
      <c r="F10" s="17"/>
      <c r="G10" s="17"/>
      <c r="H10" s="16"/>
      <c r="I10" s="16"/>
      <c r="J10" s="16"/>
      <c r="K10" s="16"/>
      <c r="L10" s="18" t="str">
        <f aca="true">IF(F10="","",IF(G10&lt;&gt;"",G10-F10,TODAY()-F10))</f>
        <v/>
      </c>
      <c r="M10" s="16"/>
      <c r="N10" s="16"/>
      <c r="O10" s="16"/>
      <c r="P10" s="16"/>
      <c r="Q10" s="17"/>
      <c r="R10" s="16"/>
    </row>
    <row r="11" customFormat="false" ht="15" hidden="false" customHeight="false" outlineLevel="0" collapsed="false">
      <c r="A11" s="16"/>
      <c r="B11" s="16"/>
      <c r="C11" s="16"/>
      <c r="D11" s="16"/>
      <c r="E11" s="16"/>
      <c r="F11" s="17"/>
      <c r="G11" s="17"/>
      <c r="H11" s="16"/>
      <c r="I11" s="16"/>
      <c r="J11" s="16"/>
      <c r="K11" s="16"/>
      <c r="L11" s="18" t="str">
        <f aca="true">IF(F11="","",IF(G11&lt;&gt;"",G11-F11,TODAY()-F11))</f>
        <v/>
      </c>
      <c r="M11" s="16"/>
      <c r="N11" s="16"/>
      <c r="O11" s="16"/>
      <c r="P11" s="16"/>
      <c r="Q11" s="17"/>
      <c r="R11" s="16"/>
    </row>
    <row r="12" customFormat="false" ht="15" hidden="false" customHeight="false" outlineLevel="0" collapsed="false">
      <c r="A12" s="16"/>
      <c r="B12" s="16"/>
      <c r="C12" s="16"/>
      <c r="D12" s="16"/>
      <c r="E12" s="16"/>
      <c r="F12" s="17"/>
      <c r="G12" s="17"/>
      <c r="H12" s="16"/>
      <c r="I12" s="16"/>
      <c r="J12" s="16"/>
      <c r="K12" s="16"/>
      <c r="L12" s="18" t="str">
        <f aca="true">IF(F12="","",IF(G12&lt;&gt;"",G12-F12,TODAY()-F12))</f>
        <v/>
      </c>
      <c r="M12" s="16"/>
      <c r="N12" s="16"/>
      <c r="O12" s="16"/>
      <c r="P12" s="16"/>
      <c r="Q12" s="17"/>
      <c r="R12" s="16"/>
    </row>
    <row r="13" customFormat="false" ht="15" hidden="false" customHeight="false" outlineLevel="0" collapsed="false">
      <c r="A13" s="16"/>
      <c r="B13" s="16"/>
      <c r="C13" s="16"/>
      <c r="D13" s="16"/>
      <c r="E13" s="16"/>
      <c r="F13" s="17"/>
      <c r="G13" s="17"/>
      <c r="H13" s="16"/>
      <c r="I13" s="16"/>
      <c r="J13" s="16"/>
      <c r="K13" s="16"/>
      <c r="L13" s="18" t="str">
        <f aca="true">IF(F13="","",IF(G13&lt;&gt;"",G13-F13,TODAY()-F13))</f>
        <v/>
      </c>
      <c r="M13" s="16"/>
      <c r="N13" s="16"/>
      <c r="O13" s="16"/>
      <c r="P13" s="16"/>
      <c r="Q13" s="17"/>
      <c r="R13" s="16"/>
    </row>
    <row r="14" customFormat="false" ht="15" hidden="false" customHeight="false" outlineLevel="0" collapsed="false">
      <c r="A14" s="16"/>
      <c r="B14" s="16"/>
      <c r="C14" s="16"/>
      <c r="D14" s="16"/>
      <c r="E14" s="16"/>
      <c r="F14" s="17"/>
      <c r="G14" s="17"/>
      <c r="H14" s="16"/>
      <c r="I14" s="16"/>
      <c r="J14" s="16"/>
      <c r="K14" s="16"/>
      <c r="L14" s="18" t="str">
        <f aca="true">IF(F14="","",IF(G14&lt;&gt;"",G14-F14,TODAY()-F14))</f>
        <v/>
      </c>
      <c r="M14" s="16"/>
      <c r="N14" s="16"/>
      <c r="O14" s="16"/>
      <c r="P14" s="16"/>
      <c r="Q14" s="17"/>
      <c r="R14" s="16"/>
    </row>
    <row r="15" customFormat="false" ht="15" hidden="false" customHeight="false" outlineLevel="0" collapsed="false">
      <c r="A15" s="16"/>
      <c r="B15" s="16"/>
      <c r="C15" s="16"/>
      <c r="D15" s="16"/>
      <c r="E15" s="16"/>
      <c r="F15" s="17"/>
      <c r="G15" s="17"/>
      <c r="H15" s="16"/>
      <c r="I15" s="16"/>
      <c r="J15" s="16"/>
      <c r="K15" s="16"/>
      <c r="L15" s="18" t="str">
        <f aca="true">IF(F15="","",IF(G15&lt;&gt;"",G15-F15,TODAY()-F15))</f>
        <v/>
      </c>
      <c r="M15" s="16"/>
      <c r="N15" s="16"/>
      <c r="O15" s="16"/>
      <c r="P15" s="16"/>
      <c r="Q15" s="17"/>
      <c r="R15" s="16"/>
    </row>
    <row r="16" customFormat="false" ht="15" hidden="false" customHeight="false" outlineLevel="0" collapsed="false">
      <c r="A16" s="16"/>
      <c r="B16" s="16"/>
      <c r="C16" s="16"/>
      <c r="D16" s="16"/>
      <c r="E16" s="16"/>
      <c r="F16" s="17"/>
      <c r="G16" s="17"/>
      <c r="H16" s="16"/>
      <c r="I16" s="16"/>
      <c r="J16" s="16"/>
      <c r="K16" s="16"/>
      <c r="L16" s="18" t="str">
        <f aca="true">IF(F16="","",IF(G16&lt;&gt;"",G16-F16,TODAY()-F16))</f>
        <v/>
      </c>
      <c r="M16" s="16"/>
      <c r="N16" s="16"/>
      <c r="O16" s="16"/>
      <c r="P16" s="16"/>
      <c r="Q16" s="17"/>
      <c r="R16" s="16"/>
    </row>
    <row r="17" customFormat="false" ht="15" hidden="false" customHeight="false" outlineLevel="0" collapsed="false">
      <c r="A17" s="16"/>
      <c r="B17" s="16"/>
      <c r="C17" s="16"/>
      <c r="D17" s="16"/>
      <c r="E17" s="16"/>
      <c r="F17" s="17"/>
      <c r="G17" s="17"/>
      <c r="H17" s="16"/>
      <c r="I17" s="16"/>
      <c r="J17" s="16"/>
      <c r="K17" s="16"/>
      <c r="L17" s="18" t="str">
        <f aca="true">IF(F17="","",IF(G17&lt;&gt;"",G17-F17,TODAY()-F17))</f>
        <v/>
      </c>
      <c r="M17" s="16"/>
      <c r="N17" s="16"/>
      <c r="O17" s="16"/>
      <c r="P17" s="16"/>
      <c r="Q17" s="17"/>
      <c r="R17" s="16"/>
    </row>
    <row r="18" customFormat="false" ht="15" hidden="false" customHeight="false" outlineLevel="0" collapsed="false">
      <c r="A18" s="16"/>
      <c r="B18" s="16"/>
      <c r="C18" s="16"/>
      <c r="D18" s="16"/>
      <c r="E18" s="16"/>
      <c r="F18" s="17"/>
      <c r="G18" s="17"/>
      <c r="H18" s="16"/>
      <c r="I18" s="16"/>
      <c r="J18" s="16"/>
      <c r="K18" s="16"/>
      <c r="L18" s="18" t="str">
        <f aca="true">IF(F18="","",IF(G18&lt;&gt;"",G18-F18,TODAY()-F18))</f>
        <v/>
      </c>
      <c r="M18" s="16"/>
      <c r="N18" s="16"/>
      <c r="O18" s="16"/>
      <c r="P18" s="16"/>
      <c r="Q18" s="17"/>
      <c r="R18" s="16"/>
    </row>
    <row r="19" customFormat="false" ht="15" hidden="false" customHeight="false" outlineLevel="0" collapsed="false">
      <c r="A19" s="16"/>
      <c r="B19" s="16"/>
      <c r="C19" s="16"/>
      <c r="D19" s="16"/>
      <c r="E19" s="16"/>
      <c r="F19" s="17"/>
      <c r="G19" s="17"/>
      <c r="H19" s="16"/>
      <c r="I19" s="16"/>
      <c r="J19" s="16"/>
      <c r="K19" s="16"/>
      <c r="L19" s="18" t="str">
        <f aca="true">IF(F19="","",IF(G19&lt;&gt;"",G19-F19,TODAY()-F19))</f>
        <v/>
      </c>
      <c r="M19" s="16"/>
      <c r="N19" s="16"/>
      <c r="O19" s="16"/>
      <c r="P19" s="16"/>
      <c r="Q19" s="17"/>
      <c r="R19" s="16"/>
    </row>
    <row r="20" customFormat="false" ht="15" hidden="false" customHeight="false" outlineLevel="0" collapsed="false">
      <c r="A20" s="16"/>
      <c r="B20" s="16"/>
      <c r="C20" s="16"/>
      <c r="D20" s="16"/>
      <c r="E20" s="16"/>
      <c r="F20" s="17"/>
      <c r="G20" s="17"/>
      <c r="H20" s="16"/>
      <c r="I20" s="16"/>
      <c r="J20" s="16"/>
      <c r="K20" s="16"/>
      <c r="L20" s="18" t="str">
        <f aca="true">IF(F20="","",IF(G20&lt;&gt;"",G20-F20,TODAY()-F20))</f>
        <v/>
      </c>
      <c r="M20" s="16"/>
      <c r="N20" s="16"/>
      <c r="O20" s="16"/>
      <c r="P20" s="16"/>
      <c r="Q20" s="17"/>
      <c r="R20" s="16"/>
    </row>
    <row r="21" customFormat="false" ht="15" hidden="false" customHeight="false" outlineLevel="0" collapsed="false">
      <c r="A21" s="16"/>
      <c r="B21" s="16"/>
      <c r="C21" s="16"/>
      <c r="D21" s="16"/>
      <c r="E21" s="16"/>
      <c r="F21" s="17"/>
      <c r="G21" s="17"/>
      <c r="H21" s="16"/>
      <c r="I21" s="16"/>
      <c r="J21" s="16"/>
      <c r="K21" s="16"/>
      <c r="L21" s="18" t="str">
        <f aca="true">IF(F21="","",IF(G21&lt;&gt;"",G21-F21,TODAY()-F21))</f>
        <v/>
      </c>
      <c r="M21" s="16"/>
      <c r="N21" s="16"/>
      <c r="O21" s="16"/>
      <c r="P21" s="16"/>
      <c r="Q21" s="17"/>
      <c r="R21" s="16"/>
    </row>
    <row r="22" customFormat="false" ht="15" hidden="false" customHeight="false" outlineLevel="0" collapsed="false">
      <c r="A22" s="16"/>
      <c r="B22" s="16"/>
      <c r="C22" s="16"/>
      <c r="D22" s="16"/>
      <c r="E22" s="16"/>
      <c r="F22" s="17"/>
      <c r="G22" s="17"/>
      <c r="H22" s="16"/>
      <c r="I22" s="16"/>
      <c r="J22" s="16"/>
      <c r="K22" s="16"/>
      <c r="L22" s="18" t="str">
        <f aca="true">IF(F22="","",IF(G22&lt;&gt;"",G22-F22,TODAY()-F22))</f>
        <v/>
      </c>
      <c r="M22" s="16"/>
      <c r="N22" s="16"/>
      <c r="O22" s="16"/>
      <c r="P22" s="16"/>
      <c r="Q22" s="17"/>
      <c r="R22" s="16"/>
    </row>
    <row r="23" customFormat="false" ht="15" hidden="false" customHeight="false" outlineLevel="0" collapsed="false">
      <c r="A23" s="16"/>
      <c r="B23" s="16"/>
      <c r="C23" s="16"/>
      <c r="D23" s="16"/>
      <c r="E23" s="16"/>
      <c r="F23" s="17"/>
      <c r="G23" s="17"/>
      <c r="H23" s="16"/>
      <c r="I23" s="16"/>
      <c r="J23" s="16"/>
      <c r="K23" s="16"/>
      <c r="L23" s="18" t="str">
        <f aca="true">IF(F23="","",IF(G23&lt;&gt;"",G23-F23,TODAY()-F23))</f>
        <v/>
      </c>
      <c r="M23" s="16"/>
      <c r="N23" s="16"/>
      <c r="O23" s="16"/>
      <c r="P23" s="16"/>
      <c r="Q23" s="17"/>
      <c r="R23" s="16"/>
    </row>
    <row r="24" customFormat="false" ht="15" hidden="false" customHeight="false" outlineLevel="0" collapsed="false">
      <c r="A24" s="16"/>
      <c r="B24" s="16"/>
      <c r="C24" s="16"/>
      <c r="D24" s="16"/>
      <c r="E24" s="16"/>
      <c r="F24" s="17"/>
      <c r="G24" s="17"/>
      <c r="H24" s="16"/>
      <c r="I24" s="16"/>
      <c r="J24" s="16"/>
      <c r="K24" s="16"/>
      <c r="L24" s="18" t="str">
        <f aca="true">IF(F24="","",IF(G24&lt;&gt;"",G24-F24,TODAY()-F24))</f>
        <v/>
      </c>
      <c r="M24" s="16"/>
      <c r="N24" s="16"/>
      <c r="O24" s="16"/>
      <c r="P24" s="16"/>
      <c r="Q24" s="17"/>
      <c r="R24" s="16"/>
    </row>
    <row r="25" customFormat="false" ht="15" hidden="false" customHeight="false" outlineLevel="0" collapsed="false">
      <c r="A25" s="16"/>
      <c r="B25" s="16"/>
      <c r="C25" s="16"/>
      <c r="D25" s="16"/>
      <c r="E25" s="16"/>
      <c r="F25" s="17"/>
      <c r="G25" s="17"/>
      <c r="H25" s="16"/>
      <c r="I25" s="16"/>
      <c r="J25" s="16"/>
      <c r="K25" s="16"/>
      <c r="L25" s="18" t="str">
        <f aca="true">IF(F25="","",IF(G25&lt;&gt;"",G25-F25,TODAY()-F25))</f>
        <v/>
      </c>
      <c r="M25" s="16"/>
      <c r="N25" s="16"/>
      <c r="O25" s="16"/>
      <c r="P25" s="16"/>
      <c r="Q25" s="17"/>
      <c r="R25" s="16"/>
    </row>
    <row r="26" customFormat="false" ht="15" hidden="false" customHeight="false" outlineLevel="0" collapsed="false">
      <c r="A26" s="16"/>
      <c r="B26" s="16"/>
      <c r="C26" s="16"/>
      <c r="D26" s="16"/>
      <c r="E26" s="16"/>
      <c r="F26" s="17"/>
      <c r="G26" s="17"/>
      <c r="H26" s="16"/>
      <c r="I26" s="16"/>
      <c r="J26" s="16"/>
      <c r="K26" s="16"/>
      <c r="L26" s="18" t="str">
        <f aca="true">IF(F26="","",IF(G26&lt;&gt;"",G26-F26,TODAY()-F26))</f>
        <v/>
      </c>
      <c r="M26" s="16"/>
      <c r="N26" s="16"/>
      <c r="O26" s="16"/>
      <c r="P26" s="16"/>
      <c r="Q26" s="17"/>
      <c r="R26" s="16"/>
    </row>
    <row r="27" customFormat="false" ht="15" hidden="false" customHeight="false" outlineLevel="0" collapsed="false">
      <c r="A27" s="16"/>
      <c r="B27" s="16"/>
      <c r="C27" s="16"/>
      <c r="D27" s="16"/>
      <c r="E27" s="16"/>
      <c r="F27" s="17"/>
      <c r="G27" s="17"/>
      <c r="H27" s="16"/>
      <c r="I27" s="16"/>
      <c r="J27" s="16"/>
      <c r="K27" s="16"/>
      <c r="L27" s="18" t="str">
        <f aca="true">IF(F27="","",IF(G27&lt;&gt;"",G27-F27,TODAY()-F27))</f>
        <v/>
      </c>
      <c r="M27" s="16"/>
      <c r="N27" s="16"/>
      <c r="O27" s="16"/>
      <c r="P27" s="16"/>
      <c r="Q27" s="17"/>
      <c r="R27" s="16"/>
    </row>
    <row r="28" customFormat="false" ht="15" hidden="false" customHeight="false" outlineLevel="0" collapsed="false">
      <c r="A28" s="16"/>
      <c r="B28" s="16"/>
      <c r="C28" s="16"/>
      <c r="D28" s="16"/>
      <c r="E28" s="16"/>
      <c r="F28" s="17"/>
      <c r="G28" s="17"/>
      <c r="H28" s="16"/>
      <c r="I28" s="16"/>
      <c r="J28" s="16"/>
      <c r="K28" s="16"/>
      <c r="L28" s="18" t="str">
        <f aca="true">IF(F28="","",IF(G28&lt;&gt;"",G28-F28,TODAY()-F28))</f>
        <v/>
      </c>
      <c r="M28" s="16"/>
      <c r="N28" s="16"/>
      <c r="O28" s="16"/>
      <c r="P28" s="16"/>
      <c r="Q28" s="17"/>
      <c r="R28" s="16"/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7"/>
      <c r="G29" s="17"/>
      <c r="H29" s="16"/>
      <c r="I29" s="16"/>
      <c r="J29" s="16"/>
      <c r="K29" s="16"/>
      <c r="L29" s="18" t="str">
        <f aca="true">IF(F29="","",IF(G29&lt;&gt;"",G29-F29,TODAY()-F29))</f>
        <v/>
      </c>
      <c r="M29" s="16"/>
      <c r="N29" s="16"/>
      <c r="O29" s="16"/>
      <c r="P29" s="16"/>
      <c r="Q29" s="17"/>
      <c r="R29" s="16"/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7"/>
      <c r="G30" s="17"/>
      <c r="H30" s="16"/>
      <c r="I30" s="16"/>
      <c r="J30" s="16"/>
      <c r="K30" s="16"/>
      <c r="L30" s="18" t="str">
        <f aca="true">IF(F30="","",IF(G30&lt;&gt;"",G30-F30,TODAY()-F30))</f>
        <v/>
      </c>
      <c r="M30" s="16"/>
      <c r="N30" s="16"/>
      <c r="O30" s="16"/>
      <c r="P30" s="16"/>
      <c r="Q30" s="17"/>
      <c r="R30" s="16"/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7"/>
      <c r="G31" s="17"/>
      <c r="H31" s="16"/>
      <c r="I31" s="16"/>
      <c r="J31" s="16"/>
      <c r="K31" s="16"/>
      <c r="L31" s="18" t="str">
        <f aca="true">IF(F31="","",IF(G31&lt;&gt;"",G31-F31,TODAY()-F31))</f>
        <v/>
      </c>
      <c r="M31" s="16"/>
      <c r="N31" s="16"/>
      <c r="O31" s="16"/>
      <c r="P31" s="16"/>
      <c r="Q31" s="17"/>
      <c r="R31" s="16"/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7"/>
      <c r="G32" s="17"/>
      <c r="H32" s="16"/>
      <c r="I32" s="16"/>
      <c r="J32" s="16"/>
      <c r="K32" s="16"/>
      <c r="L32" s="18" t="str">
        <f aca="true">IF(F32="","",IF(G32&lt;&gt;"",G32-F32,TODAY()-F32))</f>
        <v/>
      </c>
      <c r="M32" s="16"/>
      <c r="N32" s="16"/>
      <c r="O32" s="16"/>
      <c r="P32" s="16"/>
      <c r="Q32" s="17"/>
      <c r="R32" s="16"/>
    </row>
    <row r="33" customFormat="false" ht="15" hidden="false" customHeight="false" outlineLevel="0" collapsed="false">
      <c r="A33" s="16"/>
      <c r="B33" s="16"/>
      <c r="C33" s="16"/>
      <c r="D33" s="16"/>
      <c r="E33" s="16"/>
      <c r="F33" s="17"/>
      <c r="G33" s="17"/>
      <c r="H33" s="16"/>
      <c r="I33" s="16"/>
      <c r="J33" s="16"/>
      <c r="K33" s="16"/>
      <c r="L33" s="18" t="str">
        <f aca="true">IF(F33="","",IF(G33&lt;&gt;"",G33-F33,TODAY()-F33))</f>
        <v/>
      </c>
      <c r="M33" s="16"/>
      <c r="N33" s="16"/>
      <c r="O33" s="16"/>
      <c r="P33" s="16"/>
      <c r="Q33" s="17"/>
      <c r="R33" s="16"/>
    </row>
    <row r="34" customFormat="false" ht="15" hidden="false" customHeight="false" outlineLevel="0" collapsed="false">
      <c r="A34" s="16"/>
      <c r="B34" s="16"/>
      <c r="C34" s="16"/>
      <c r="D34" s="16"/>
      <c r="E34" s="16"/>
      <c r="F34" s="17"/>
      <c r="G34" s="17"/>
      <c r="H34" s="16"/>
      <c r="I34" s="16"/>
      <c r="J34" s="16"/>
      <c r="K34" s="16"/>
      <c r="L34" s="18" t="str">
        <f aca="true">IF(F34="","",IF(G34&lt;&gt;"",G34-F34,TODAY()-F34))</f>
        <v/>
      </c>
      <c r="M34" s="16"/>
      <c r="N34" s="16"/>
      <c r="O34" s="16"/>
      <c r="P34" s="16"/>
      <c r="Q34" s="17"/>
      <c r="R34" s="16"/>
    </row>
    <row r="35" customFormat="false" ht="15" hidden="false" customHeight="false" outlineLevel="0" collapsed="false">
      <c r="A35" s="16"/>
      <c r="B35" s="16"/>
      <c r="C35" s="16"/>
      <c r="D35" s="16"/>
      <c r="E35" s="16"/>
      <c r="F35" s="17"/>
      <c r="G35" s="17"/>
      <c r="H35" s="16"/>
      <c r="I35" s="16"/>
      <c r="J35" s="16"/>
      <c r="K35" s="16"/>
      <c r="L35" s="18" t="str">
        <f aca="true">IF(F35="","",IF(G35&lt;&gt;"",G35-F35,TODAY()-F35))</f>
        <v/>
      </c>
      <c r="M35" s="16"/>
      <c r="N35" s="16"/>
      <c r="O35" s="16"/>
      <c r="P35" s="16"/>
      <c r="Q35" s="17"/>
      <c r="R35" s="16"/>
    </row>
    <row r="36" customFormat="false" ht="15" hidden="false" customHeight="false" outlineLevel="0" collapsed="false">
      <c r="A36" s="16"/>
      <c r="B36" s="16"/>
      <c r="C36" s="16"/>
      <c r="D36" s="16"/>
      <c r="E36" s="16"/>
      <c r="F36" s="17"/>
      <c r="G36" s="17"/>
      <c r="H36" s="16"/>
      <c r="I36" s="16"/>
      <c r="J36" s="16"/>
      <c r="K36" s="16"/>
      <c r="L36" s="18" t="str">
        <f aca="true">IF(F36="","",IF(G36&lt;&gt;"",G36-F36,TODAY()-F36))</f>
        <v/>
      </c>
      <c r="M36" s="16"/>
      <c r="N36" s="16"/>
      <c r="O36" s="16"/>
      <c r="P36" s="16"/>
      <c r="Q36" s="17"/>
      <c r="R36" s="16"/>
    </row>
    <row r="37" customFormat="false" ht="15" hidden="false" customHeight="false" outlineLevel="0" collapsed="false">
      <c r="A37" s="16"/>
      <c r="B37" s="16"/>
      <c r="C37" s="16"/>
      <c r="D37" s="16"/>
      <c r="E37" s="16"/>
      <c r="F37" s="17"/>
      <c r="G37" s="17"/>
      <c r="H37" s="16"/>
      <c r="I37" s="16"/>
      <c r="J37" s="16"/>
      <c r="K37" s="16"/>
      <c r="L37" s="18" t="str">
        <f aca="true">IF(F37="","",IF(G37&lt;&gt;"",G37-F37,TODAY()-F37))</f>
        <v/>
      </c>
      <c r="M37" s="16"/>
      <c r="N37" s="16"/>
      <c r="O37" s="16"/>
      <c r="P37" s="16"/>
      <c r="Q37" s="17"/>
      <c r="R37" s="16"/>
    </row>
    <row r="38" customFormat="false" ht="15" hidden="false" customHeight="false" outlineLevel="0" collapsed="false">
      <c r="A38" s="16"/>
      <c r="B38" s="16"/>
      <c r="C38" s="16"/>
      <c r="D38" s="16"/>
      <c r="E38" s="16"/>
      <c r="F38" s="17"/>
      <c r="G38" s="17"/>
      <c r="H38" s="16"/>
      <c r="I38" s="16"/>
      <c r="J38" s="16"/>
      <c r="K38" s="16"/>
      <c r="L38" s="18" t="str">
        <f aca="true">IF(F38="","",IF(G38&lt;&gt;"",G38-F38,TODAY()-F38))</f>
        <v/>
      </c>
      <c r="M38" s="16"/>
      <c r="N38" s="16"/>
      <c r="O38" s="16"/>
      <c r="P38" s="16"/>
      <c r="Q38" s="17"/>
      <c r="R38" s="16"/>
    </row>
    <row r="39" customFormat="false" ht="15" hidden="false" customHeight="false" outlineLevel="0" collapsed="false">
      <c r="A39" s="16"/>
      <c r="B39" s="16"/>
      <c r="C39" s="16"/>
      <c r="D39" s="16"/>
      <c r="E39" s="16"/>
      <c r="F39" s="17"/>
      <c r="G39" s="17"/>
      <c r="H39" s="16"/>
      <c r="I39" s="16"/>
      <c r="J39" s="16"/>
      <c r="K39" s="16"/>
      <c r="L39" s="18" t="str">
        <f aca="true">IF(F39="","",IF(G39&lt;&gt;"",G39-F39,TODAY()-F39))</f>
        <v/>
      </c>
      <c r="M39" s="16"/>
      <c r="N39" s="16"/>
      <c r="O39" s="16"/>
      <c r="P39" s="16"/>
      <c r="Q39" s="17"/>
      <c r="R39" s="16"/>
    </row>
    <row r="40" customFormat="false" ht="15" hidden="false" customHeight="false" outlineLevel="0" collapsed="false">
      <c r="A40" s="16"/>
      <c r="B40" s="16"/>
      <c r="C40" s="16"/>
      <c r="D40" s="16"/>
      <c r="E40" s="16"/>
      <c r="F40" s="17"/>
      <c r="G40" s="17"/>
      <c r="H40" s="16"/>
      <c r="I40" s="16"/>
      <c r="J40" s="16"/>
      <c r="K40" s="16"/>
      <c r="L40" s="18" t="str">
        <f aca="true">IF(F40="","",IF(G40&lt;&gt;"",G40-F40,TODAY()-F40))</f>
        <v/>
      </c>
      <c r="M40" s="16"/>
      <c r="N40" s="16"/>
      <c r="O40" s="16"/>
      <c r="P40" s="16"/>
      <c r="Q40" s="17"/>
      <c r="R40" s="16"/>
    </row>
    <row r="41" customFormat="false" ht="15" hidden="false" customHeight="false" outlineLevel="0" collapsed="false">
      <c r="A41" s="16"/>
      <c r="B41" s="16"/>
      <c r="C41" s="16"/>
      <c r="D41" s="16"/>
      <c r="E41" s="16"/>
      <c r="F41" s="17"/>
      <c r="G41" s="17"/>
      <c r="H41" s="16"/>
      <c r="I41" s="16"/>
      <c r="J41" s="16"/>
      <c r="K41" s="16"/>
      <c r="L41" s="18" t="str">
        <f aca="true">IF(F41="","",IF(G41&lt;&gt;"",G41-F41,TODAY()-F41))</f>
        <v/>
      </c>
      <c r="M41" s="16"/>
      <c r="N41" s="16"/>
      <c r="O41" s="16"/>
      <c r="P41" s="16"/>
      <c r="Q41" s="17"/>
      <c r="R41" s="16"/>
    </row>
    <row r="42" customFormat="false" ht="15" hidden="false" customHeight="false" outlineLevel="0" collapsed="false">
      <c r="A42" s="16"/>
      <c r="B42" s="16"/>
      <c r="C42" s="16"/>
      <c r="D42" s="16"/>
      <c r="E42" s="16"/>
      <c r="F42" s="17"/>
      <c r="G42" s="17"/>
      <c r="H42" s="16"/>
      <c r="I42" s="16"/>
      <c r="J42" s="16"/>
      <c r="K42" s="16"/>
      <c r="L42" s="18" t="str">
        <f aca="true">IF(F42="","",IF(G42&lt;&gt;"",G42-F42,TODAY()-F42))</f>
        <v/>
      </c>
      <c r="M42" s="16"/>
      <c r="N42" s="16"/>
      <c r="O42" s="16"/>
      <c r="P42" s="16"/>
      <c r="Q42" s="17"/>
      <c r="R42" s="16"/>
    </row>
    <row r="43" customFormat="false" ht="15" hidden="false" customHeight="false" outlineLevel="0" collapsed="false">
      <c r="A43" s="16"/>
      <c r="B43" s="16"/>
      <c r="C43" s="16"/>
      <c r="D43" s="16"/>
      <c r="E43" s="16"/>
      <c r="F43" s="17"/>
      <c r="G43" s="17"/>
      <c r="H43" s="16"/>
      <c r="I43" s="16"/>
      <c r="J43" s="16"/>
      <c r="K43" s="16"/>
      <c r="L43" s="18" t="str">
        <f aca="true">IF(F43="","",IF(G43&lt;&gt;"",G43-F43,TODAY()-F43))</f>
        <v/>
      </c>
      <c r="M43" s="16"/>
      <c r="N43" s="16"/>
      <c r="O43" s="16"/>
      <c r="P43" s="16"/>
      <c r="Q43" s="17"/>
      <c r="R43" s="16"/>
    </row>
    <row r="44" customFormat="false" ht="15" hidden="false" customHeight="false" outlineLevel="0" collapsed="false">
      <c r="A44" s="16"/>
      <c r="B44" s="16"/>
      <c r="C44" s="16"/>
      <c r="D44" s="16"/>
      <c r="E44" s="16"/>
      <c r="F44" s="17"/>
      <c r="G44" s="17"/>
      <c r="H44" s="16"/>
      <c r="I44" s="16"/>
      <c r="J44" s="16"/>
      <c r="K44" s="16"/>
      <c r="L44" s="18" t="str">
        <f aca="true">IF(F44="","",IF(G44&lt;&gt;"",G44-F44,TODAY()-F44))</f>
        <v/>
      </c>
      <c r="M44" s="16"/>
      <c r="N44" s="16"/>
      <c r="O44" s="16"/>
      <c r="P44" s="16"/>
      <c r="Q44" s="17"/>
      <c r="R44" s="16"/>
    </row>
    <row r="45" customFormat="false" ht="15" hidden="false" customHeight="false" outlineLevel="0" collapsed="false">
      <c r="A45" s="16"/>
      <c r="B45" s="16"/>
      <c r="C45" s="16"/>
      <c r="D45" s="16"/>
      <c r="E45" s="16"/>
      <c r="F45" s="17"/>
      <c r="G45" s="17"/>
      <c r="H45" s="16"/>
      <c r="I45" s="16"/>
      <c r="J45" s="16"/>
      <c r="K45" s="16"/>
      <c r="L45" s="18" t="str">
        <f aca="true">IF(F45="","",IF(G45&lt;&gt;"",G45-F45,TODAY()-F45))</f>
        <v/>
      </c>
      <c r="M45" s="16"/>
      <c r="N45" s="16"/>
      <c r="O45" s="16"/>
      <c r="P45" s="16"/>
      <c r="Q45" s="17"/>
      <c r="R45" s="16"/>
    </row>
    <row r="46" customFormat="false" ht="15" hidden="false" customHeight="false" outlineLevel="0" collapsed="false">
      <c r="A46" s="16"/>
      <c r="B46" s="16"/>
      <c r="C46" s="16"/>
      <c r="D46" s="16"/>
      <c r="E46" s="16"/>
      <c r="F46" s="17"/>
      <c r="G46" s="17"/>
      <c r="H46" s="16"/>
      <c r="I46" s="16"/>
      <c r="J46" s="16"/>
      <c r="K46" s="16"/>
      <c r="L46" s="18" t="str">
        <f aca="true">IF(F46="","",IF(G46&lt;&gt;"",G46-F46,TODAY()-F46))</f>
        <v/>
      </c>
      <c r="M46" s="16"/>
      <c r="N46" s="16"/>
      <c r="O46" s="16"/>
      <c r="P46" s="16"/>
      <c r="Q46" s="17"/>
      <c r="R46" s="16"/>
    </row>
    <row r="47" customFormat="false" ht="15" hidden="false" customHeight="false" outlineLevel="0" collapsed="false">
      <c r="A47" s="16"/>
      <c r="B47" s="16"/>
      <c r="C47" s="16"/>
      <c r="D47" s="16"/>
      <c r="E47" s="16"/>
      <c r="F47" s="17"/>
      <c r="G47" s="17"/>
      <c r="H47" s="16"/>
      <c r="I47" s="16"/>
      <c r="J47" s="16"/>
      <c r="K47" s="16"/>
      <c r="L47" s="18" t="str">
        <f aca="true">IF(F47="","",IF(G47&lt;&gt;"",G47-F47,TODAY()-F47))</f>
        <v/>
      </c>
      <c r="M47" s="16"/>
      <c r="N47" s="16"/>
      <c r="O47" s="16"/>
      <c r="P47" s="16"/>
      <c r="Q47" s="17"/>
      <c r="R47" s="16"/>
    </row>
    <row r="48" customFormat="false" ht="15" hidden="false" customHeight="false" outlineLevel="0" collapsed="false">
      <c r="A48" s="16"/>
      <c r="B48" s="16"/>
      <c r="C48" s="16"/>
      <c r="D48" s="16"/>
      <c r="E48" s="16"/>
      <c r="F48" s="17"/>
      <c r="G48" s="17"/>
      <c r="H48" s="16"/>
      <c r="I48" s="16"/>
      <c r="J48" s="16"/>
      <c r="K48" s="16"/>
      <c r="L48" s="18" t="str">
        <f aca="true">IF(F48="","",IF(G48&lt;&gt;"",G48-F48,TODAY()-F48))</f>
        <v/>
      </c>
      <c r="M48" s="16"/>
      <c r="N48" s="16"/>
      <c r="O48" s="16"/>
      <c r="P48" s="16"/>
      <c r="Q48" s="17"/>
      <c r="R48" s="16"/>
    </row>
    <row r="49" customFormat="false" ht="15" hidden="false" customHeight="false" outlineLevel="0" collapsed="false">
      <c r="A49" s="16"/>
      <c r="B49" s="16"/>
      <c r="C49" s="16"/>
      <c r="D49" s="16"/>
      <c r="E49" s="16"/>
      <c r="F49" s="17"/>
      <c r="G49" s="17"/>
      <c r="H49" s="16"/>
      <c r="I49" s="16"/>
      <c r="J49" s="16"/>
      <c r="K49" s="16"/>
      <c r="L49" s="18" t="str">
        <f aca="true">IF(F49="","",IF(G49&lt;&gt;"",G49-F49,TODAY()-F49))</f>
        <v/>
      </c>
      <c r="M49" s="16"/>
      <c r="N49" s="16"/>
      <c r="O49" s="16"/>
      <c r="P49" s="16"/>
      <c r="Q49" s="17"/>
      <c r="R49" s="16"/>
    </row>
    <row r="50" customFormat="false" ht="15" hidden="false" customHeight="false" outlineLevel="0" collapsed="false">
      <c r="A50" s="16"/>
      <c r="B50" s="16"/>
      <c r="C50" s="16"/>
      <c r="D50" s="16"/>
      <c r="E50" s="16"/>
      <c r="F50" s="17"/>
      <c r="G50" s="17"/>
      <c r="H50" s="16"/>
      <c r="I50" s="16"/>
      <c r="J50" s="16"/>
      <c r="K50" s="16"/>
      <c r="L50" s="18" t="str">
        <f aca="true">IF(F50="","",IF(G50&lt;&gt;"",G50-F50,TODAY()-F50))</f>
        <v/>
      </c>
      <c r="M50" s="16"/>
      <c r="N50" s="16"/>
      <c r="O50" s="16"/>
      <c r="P50" s="16"/>
      <c r="Q50" s="17"/>
      <c r="R50" s="16"/>
    </row>
    <row r="51" customFormat="false" ht="15" hidden="false" customHeight="false" outlineLevel="0" collapsed="false">
      <c r="A51" s="16"/>
      <c r="B51" s="16"/>
      <c r="C51" s="16"/>
      <c r="D51" s="16"/>
      <c r="E51" s="16"/>
      <c r="F51" s="17"/>
      <c r="G51" s="17"/>
      <c r="H51" s="16"/>
      <c r="I51" s="16"/>
      <c r="J51" s="16"/>
      <c r="K51" s="16"/>
      <c r="L51" s="18" t="str">
        <f aca="true">IF(F51="","",IF(G51&lt;&gt;"",G51-F51,TODAY()-F51))</f>
        <v/>
      </c>
      <c r="M51" s="16"/>
      <c r="N51" s="16"/>
      <c r="O51" s="16"/>
      <c r="P51" s="16"/>
      <c r="Q51" s="17"/>
      <c r="R51" s="16"/>
    </row>
    <row r="52" customFormat="false" ht="15" hidden="false" customHeight="false" outlineLevel="0" collapsed="false">
      <c r="A52" s="16"/>
      <c r="B52" s="16"/>
      <c r="C52" s="16"/>
      <c r="D52" s="16"/>
      <c r="E52" s="16"/>
      <c r="F52" s="17"/>
      <c r="G52" s="17"/>
      <c r="H52" s="16"/>
      <c r="I52" s="16"/>
      <c r="J52" s="16"/>
      <c r="K52" s="16"/>
      <c r="L52" s="18" t="str">
        <f aca="true">IF(F52="","",IF(G52&lt;&gt;"",G52-F52,TODAY()-F52))</f>
        <v/>
      </c>
      <c r="M52" s="16"/>
      <c r="N52" s="16"/>
      <c r="O52" s="16"/>
      <c r="P52" s="16"/>
      <c r="Q52" s="17"/>
      <c r="R52" s="16"/>
    </row>
    <row r="53" customFormat="false" ht="15" hidden="false" customHeight="false" outlineLevel="0" collapsed="false">
      <c r="A53" s="16"/>
      <c r="B53" s="16"/>
      <c r="C53" s="16"/>
      <c r="D53" s="16"/>
      <c r="E53" s="16"/>
      <c r="F53" s="17"/>
      <c r="G53" s="17"/>
      <c r="H53" s="16"/>
      <c r="I53" s="16"/>
      <c r="J53" s="16"/>
      <c r="K53" s="16"/>
      <c r="L53" s="18" t="str">
        <f aca="true">IF(F53="","",IF(G53&lt;&gt;"",G53-F53,TODAY()-F53))</f>
        <v/>
      </c>
      <c r="M53" s="16"/>
      <c r="N53" s="16"/>
      <c r="O53" s="16"/>
      <c r="P53" s="16"/>
      <c r="Q53" s="17"/>
      <c r="R53" s="16"/>
    </row>
    <row r="54" customFormat="false" ht="15" hidden="false" customHeight="false" outlineLevel="0" collapsed="false">
      <c r="A54" s="16"/>
      <c r="B54" s="16"/>
      <c r="C54" s="16"/>
      <c r="D54" s="16"/>
      <c r="E54" s="16"/>
      <c r="F54" s="17"/>
      <c r="G54" s="17"/>
      <c r="H54" s="16"/>
      <c r="I54" s="16"/>
      <c r="J54" s="16"/>
      <c r="K54" s="16"/>
      <c r="L54" s="18" t="str">
        <f aca="true">IF(F54="","",IF(G54&lt;&gt;"",G54-F54,TODAY()-F54))</f>
        <v/>
      </c>
      <c r="M54" s="16"/>
      <c r="N54" s="16"/>
      <c r="O54" s="16"/>
      <c r="P54" s="16"/>
      <c r="Q54" s="17"/>
      <c r="R54" s="16"/>
    </row>
    <row r="55" customFormat="false" ht="15" hidden="false" customHeight="false" outlineLevel="0" collapsed="false">
      <c r="A55" s="16"/>
      <c r="B55" s="16"/>
      <c r="C55" s="16"/>
      <c r="D55" s="16"/>
      <c r="E55" s="16"/>
      <c r="F55" s="17"/>
      <c r="G55" s="17"/>
      <c r="H55" s="16"/>
      <c r="I55" s="16"/>
      <c r="J55" s="16"/>
      <c r="K55" s="16"/>
      <c r="L55" s="18" t="str">
        <f aca="true">IF(F55="","",IF(G55&lt;&gt;"",G55-F55,TODAY()-F55))</f>
        <v/>
      </c>
      <c r="M55" s="16"/>
      <c r="N55" s="16"/>
      <c r="O55" s="16"/>
      <c r="P55" s="16"/>
      <c r="Q55" s="17"/>
      <c r="R55" s="16"/>
    </row>
    <row r="56" customFormat="false" ht="15" hidden="false" customHeight="false" outlineLevel="0" collapsed="false">
      <c r="A56" s="16"/>
      <c r="B56" s="16"/>
      <c r="C56" s="16"/>
      <c r="D56" s="16"/>
      <c r="E56" s="16"/>
      <c r="F56" s="17"/>
      <c r="G56" s="17"/>
      <c r="H56" s="16"/>
      <c r="I56" s="16"/>
      <c r="J56" s="16"/>
      <c r="K56" s="16"/>
      <c r="L56" s="18" t="str">
        <f aca="true">IF(F56="","",IF(G56&lt;&gt;"",G56-F56,TODAY()-F56))</f>
        <v/>
      </c>
      <c r="M56" s="16"/>
      <c r="N56" s="16"/>
      <c r="O56" s="16"/>
      <c r="P56" s="16"/>
      <c r="Q56" s="17"/>
      <c r="R56" s="16"/>
    </row>
    <row r="57" customFormat="false" ht="15" hidden="false" customHeight="false" outlineLevel="0" collapsed="false">
      <c r="A57" s="16"/>
      <c r="B57" s="16"/>
      <c r="C57" s="16"/>
      <c r="D57" s="16"/>
      <c r="E57" s="16"/>
      <c r="F57" s="17"/>
      <c r="G57" s="17"/>
      <c r="H57" s="16"/>
      <c r="I57" s="16"/>
      <c r="J57" s="16"/>
      <c r="K57" s="16"/>
      <c r="L57" s="18" t="str">
        <f aca="true">IF(F57="","",IF(G57&lt;&gt;"",G57-F57,TODAY()-F57))</f>
        <v/>
      </c>
      <c r="M57" s="16"/>
      <c r="N57" s="16"/>
      <c r="O57" s="16"/>
      <c r="P57" s="16"/>
      <c r="Q57" s="17"/>
      <c r="R57" s="16"/>
    </row>
    <row r="58" customFormat="false" ht="15" hidden="false" customHeight="false" outlineLevel="0" collapsed="false">
      <c r="A58" s="16"/>
      <c r="B58" s="16"/>
      <c r="C58" s="16"/>
      <c r="D58" s="16"/>
      <c r="E58" s="16"/>
      <c r="F58" s="17"/>
      <c r="G58" s="17"/>
      <c r="H58" s="16"/>
      <c r="I58" s="16"/>
      <c r="J58" s="16"/>
      <c r="K58" s="16"/>
      <c r="L58" s="18" t="str">
        <f aca="true">IF(F58="","",IF(G58&lt;&gt;"",G58-F58,TODAY()-F58))</f>
        <v/>
      </c>
      <c r="M58" s="16"/>
      <c r="N58" s="16"/>
      <c r="O58" s="16"/>
      <c r="P58" s="16"/>
      <c r="Q58" s="17"/>
      <c r="R58" s="16"/>
    </row>
    <row r="59" customFormat="false" ht="15" hidden="false" customHeight="false" outlineLevel="0" collapsed="false">
      <c r="A59" s="16"/>
      <c r="B59" s="16"/>
      <c r="C59" s="16"/>
      <c r="D59" s="16"/>
      <c r="E59" s="16"/>
      <c r="F59" s="17"/>
      <c r="G59" s="17"/>
      <c r="H59" s="16"/>
      <c r="I59" s="16"/>
      <c r="J59" s="16"/>
      <c r="K59" s="16"/>
      <c r="L59" s="18" t="str">
        <f aca="true">IF(F59="","",IF(G59&lt;&gt;"",G59-F59,TODAY()-F59))</f>
        <v/>
      </c>
      <c r="M59" s="16"/>
      <c r="N59" s="16"/>
      <c r="O59" s="16"/>
      <c r="P59" s="16"/>
      <c r="Q59" s="17"/>
      <c r="R59" s="16"/>
    </row>
    <row r="60" customFormat="false" ht="15" hidden="false" customHeight="false" outlineLevel="0" collapsed="false">
      <c r="A60" s="16"/>
      <c r="B60" s="16"/>
      <c r="C60" s="16"/>
      <c r="D60" s="16"/>
      <c r="E60" s="16"/>
      <c r="F60" s="17"/>
      <c r="G60" s="17"/>
      <c r="H60" s="16"/>
      <c r="I60" s="16"/>
      <c r="J60" s="16"/>
      <c r="K60" s="16"/>
      <c r="L60" s="18" t="str">
        <f aca="true">IF(F60="","",IF(G60&lt;&gt;"",G60-F60,TODAY()-F60))</f>
        <v/>
      </c>
      <c r="M60" s="16"/>
      <c r="N60" s="16"/>
      <c r="O60" s="16"/>
      <c r="P60" s="16"/>
      <c r="Q60" s="17"/>
      <c r="R60" s="16"/>
    </row>
    <row r="61" customFormat="false" ht="15" hidden="false" customHeight="false" outlineLevel="0" collapsed="false">
      <c r="A61" s="16"/>
      <c r="B61" s="16"/>
      <c r="C61" s="16"/>
      <c r="D61" s="16"/>
      <c r="E61" s="16"/>
      <c r="F61" s="17"/>
      <c r="G61" s="17"/>
      <c r="H61" s="16"/>
      <c r="I61" s="16"/>
      <c r="J61" s="16"/>
      <c r="K61" s="16"/>
      <c r="L61" s="18" t="str">
        <f aca="true">IF(F61="","",IF(G61&lt;&gt;"",G61-F61,TODAY()-F61))</f>
        <v/>
      </c>
      <c r="M61" s="16"/>
      <c r="N61" s="16"/>
      <c r="O61" s="16"/>
      <c r="P61" s="16"/>
      <c r="Q61" s="17"/>
      <c r="R61" s="16"/>
    </row>
    <row r="62" customFormat="false" ht="15" hidden="false" customHeight="false" outlineLevel="0" collapsed="false">
      <c r="A62" s="16"/>
      <c r="B62" s="16"/>
      <c r="C62" s="16"/>
      <c r="D62" s="16"/>
      <c r="E62" s="16"/>
      <c r="F62" s="17"/>
      <c r="G62" s="17"/>
      <c r="H62" s="16"/>
      <c r="I62" s="16"/>
      <c r="J62" s="16"/>
      <c r="K62" s="16"/>
      <c r="L62" s="18" t="str">
        <f aca="true">IF(F62="","",IF(G62&lt;&gt;"",G62-F62,TODAY()-F62))</f>
        <v/>
      </c>
      <c r="M62" s="16"/>
      <c r="N62" s="16"/>
      <c r="O62" s="16"/>
      <c r="P62" s="16"/>
      <c r="Q62" s="17"/>
      <c r="R62" s="16"/>
    </row>
    <row r="63" customFormat="false" ht="15" hidden="false" customHeight="false" outlineLevel="0" collapsed="false">
      <c r="A63" s="16"/>
      <c r="B63" s="16"/>
      <c r="C63" s="16"/>
      <c r="D63" s="16"/>
      <c r="E63" s="16"/>
      <c r="F63" s="17"/>
      <c r="G63" s="17"/>
      <c r="H63" s="16"/>
      <c r="I63" s="16"/>
      <c r="J63" s="16"/>
      <c r="K63" s="16"/>
      <c r="L63" s="18" t="str">
        <f aca="true">IF(F63="","",IF(G63&lt;&gt;"",G63-F63,TODAY()-F63))</f>
        <v/>
      </c>
      <c r="M63" s="16"/>
      <c r="N63" s="16"/>
      <c r="O63" s="16"/>
      <c r="P63" s="16"/>
      <c r="Q63" s="17"/>
      <c r="R63" s="16"/>
    </row>
    <row r="64" customFormat="false" ht="15" hidden="false" customHeight="false" outlineLevel="0" collapsed="false">
      <c r="A64" s="16"/>
      <c r="B64" s="16"/>
      <c r="C64" s="16"/>
      <c r="D64" s="16"/>
      <c r="E64" s="16"/>
      <c r="F64" s="17"/>
      <c r="G64" s="17"/>
      <c r="H64" s="16"/>
      <c r="I64" s="16"/>
      <c r="J64" s="16"/>
      <c r="K64" s="16"/>
      <c r="L64" s="18" t="str">
        <f aca="true">IF(F64="","",IF(G64&lt;&gt;"",G64-F64,TODAY()-F64))</f>
        <v/>
      </c>
      <c r="M64" s="16"/>
      <c r="N64" s="16"/>
      <c r="O64" s="16"/>
      <c r="P64" s="16"/>
      <c r="Q64" s="17"/>
      <c r="R64" s="16"/>
    </row>
    <row r="65" customFormat="false" ht="15" hidden="false" customHeight="false" outlineLevel="0" collapsed="false">
      <c r="A65" s="16"/>
      <c r="B65" s="16"/>
      <c r="C65" s="16"/>
      <c r="D65" s="16"/>
      <c r="E65" s="16"/>
      <c r="F65" s="17"/>
      <c r="G65" s="17"/>
      <c r="H65" s="16"/>
      <c r="I65" s="16"/>
      <c r="J65" s="16"/>
      <c r="K65" s="16"/>
      <c r="L65" s="18" t="str">
        <f aca="true">IF(F65="","",IF(G65&lt;&gt;"",G65-F65,TODAY()-F65))</f>
        <v/>
      </c>
      <c r="M65" s="16"/>
      <c r="N65" s="16"/>
      <c r="O65" s="16"/>
      <c r="P65" s="16"/>
      <c r="Q65" s="17"/>
      <c r="R65" s="16"/>
    </row>
    <row r="66" customFormat="false" ht="15" hidden="false" customHeight="false" outlineLevel="0" collapsed="false">
      <c r="A66" s="16"/>
      <c r="B66" s="16"/>
      <c r="C66" s="16"/>
      <c r="D66" s="16"/>
      <c r="E66" s="16"/>
      <c r="F66" s="17"/>
      <c r="G66" s="17"/>
      <c r="H66" s="16"/>
      <c r="I66" s="16"/>
      <c r="J66" s="16"/>
      <c r="K66" s="16"/>
      <c r="L66" s="18" t="str">
        <f aca="true">IF(F66="","",IF(G66&lt;&gt;"",G66-F66,TODAY()-F66))</f>
        <v/>
      </c>
      <c r="M66" s="16"/>
      <c r="N66" s="16"/>
      <c r="O66" s="16"/>
      <c r="P66" s="16"/>
      <c r="Q66" s="17"/>
      <c r="R66" s="16"/>
    </row>
    <row r="67" customFormat="false" ht="15" hidden="false" customHeight="false" outlineLevel="0" collapsed="false">
      <c r="A67" s="16"/>
      <c r="B67" s="16"/>
      <c r="C67" s="16"/>
      <c r="D67" s="16"/>
      <c r="E67" s="16"/>
      <c r="F67" s="17"/>
      <c r="G67" s="17"/>
      <c r="H67" s="16"/>
      <c r="I67" s="16"/>
      <c r="J67" s="16"/>
      <c r="K67" s="16"/>
      <c r="L67" s="18" t="str">
        <f aca="true">IF(F67="","",IF(G67&lt;&gt;"",G67-F67,TODAY()-F67))</f>
        <v/>
      </c>
      <c r="M67" s="16"/>
      <c r="N67" s="16"/>
      <c r="O67" s="16"/>
      <c r="P67" s="16"/>
      <c r="Q67" s="17"/>
      <c r="R67" s="16"/>
    </row>
    <row r="68" customFormat="false" ht="15" hidden="false" customHeight="false" outlineLevel="0" collapsed="false">
      <c r="A68" s="16"/>
      <c r="B68" s="16"/>
      <c r="C68" s="16"/>
      <c r="D68" s="16"/>
      <c r="E68" s="16"/>
      <c r="F68" s="17"/>
      <c r="G68" s="17"/>
      <c r="H68" s="16"/>
      <c r="I68" s="16"/>
      <c r="J68" s="16"/>
      <c r="K68" s="16"/>
      <c r="L68" s="18" t="str">
        <f aca="true">IF(F68="","",IF(G68&lt;&gt;"",G68-F68,TODAY()-F68))</f>
        <v/>
      </c>
      <c r="M68" s="16"/>
      <c r="N68" s="16"/>
      <c r="O68" s="16"/>
      <c r="P68" s="16"/>
      <c r="Q68" s="17"/>
      <c r="R68" s="16"/>
    </row>
    <row r="69" customFormat="false" ht="15" hidden="false" customHeight="false" outlineLevel="0" collapsed="false">
      <c r="A69" s="16"/>
      <c r="B69" s="16"/>
      <c r="C69" s="16"/>
      <c r="D69" s="16"/>
      <c r="E69" s="16"/>
      <c r="F69" s="17"/>
      <c r="G69" s="17"/>
      <c r="H69" s="16"/>
      <c r="I69" s="16"/>
      <c r="J69" s="16"/>
      <c r="K69" s="16"/>
      <c r="L69" s="18" t="str">
        <f aca="true">IF(F69="","",IF(G69&lt;&gt;"",G69-F69,TODAY()-F69))</f>
        <v/>
      </c>
      <c r="M69" s="16"/>
      <c r="N69" s="16"/>
      <c r="O69" s="16"/>
      <c r="P69" s="16"/>
      <c r="Q69" s="17"/>
      <c r="R69" s="16"/>
    </row>
    <row r="70" customFormat="false" ht="15" hidden="false" customHeight="false" outlineLevel="0" collapsed="false">
      <c r="A70" s="16"/>
      <c r="B70" s="16"/>
      <c r="C70" s="16"/>
      <c r="D70" s="16"/>
      <c r="E70" s="16"/>
      <c r="F70" s="17"/>
      <c r="G70" s="17"/>
      <c r="H70" s="16"/>
      <c r="I70" s="16"/>
      <c r="J70" s="16"/>
      <c r="K70" s="16"/>
      <c r="L70" s="18" t="str">
        <f aca="true">IF(F70="","",IF(G70&lt;&gt;"",G70-F70,TODAY()-F70))</f>
        <v/>
      </c>
      <c r="M70" s="16"/>
      <c r="N70" s="16"/>
      <c r="O70" s="16"/>
      <c r="P70" s="16"/>
      <c r="Q70" s="17"/>
      <c r="R70" s="16"/>
    </row>
    <row r="71" customFormat="false" ht="15" hidden="false" customHeight="false" outlineLevel="0" collapsed="false">
      <c r="A71" s="16"/>
      <c r="B71" s="16"/>
      <c r="C71" s="16"/>
      <c r="D71" s="16"/>
      <c r="E71" s="16"/>
      <c r="F71" s="17"/>
      <c r="G71" s="17"/>
      <c r="H71" s="16"/>
      <c r="I71" s="16"/>
      <c r="J71" s="16"/>
      <c r="K71" s="16"/>
      <c r="L71" s="18" t="str">
        <f aca="true">IF(F71="","",IF(G71&lt;&gt;"",G71-F71,TODAY()-F71))</f>
        <v/>
      </c>
      <c r="M71" s="16"/>
      <c r="N71" s="16"/>
      <c r="O71" s="16"/>
      <c r="P71" s="16"/>
      <c r="Q71" s="17"/>
      <c r="R71" s="16"/>
    </row>
    <row r="72" customFormat="false" ht="15" hidden="false" customHeight="false" outlineLevel="0" collapsed="false">
      <c r="A72" s="16"/>
      <c r="B72" s="16"/>
      <c r="C72" s="16"/>
      <c r="D72" s="16"/>
      <c r="E72" s="16"/>
      <c r="F72" s="17"/>
      <c r="G72" s="17"/>
      <c r="H72" s="16"/>
      <c r="I72" s="16"/>
      <c r="J72" s="16"/>
      <c r="K72" s="16"/>
      <c r="L72" s="18" t="str">
        <f aca="true">IF(F72="","",IF(G72&lt;&gt;"",G72-F72,TODAY()-F72))</f>
        <v/>
      </c>
      <c r="M72" s="16"/>
      <c r="N72" s="16"/>
      <c r="O72" s="16"/>
      <c r="P72" s="16"/>
      <c r="Q72" s="17"/>
      <c r="R72" s="16"/>
    </row>
    <row r="73" customFormat="false" ht="15" hidden="false" customHeight="false" outlineLevel="0" collapsed="false">
      <c r="A73" s="16"/>
      <c r="B73" s="16"/>
      <c r="C73" s="16"/>
      <c r="D73" s="16"/>
      <c r="E73" s="16"/>
      <c r="F73" s="17"/>
      <c r="G73" s="17"/>
      <c r="H73" s="16"/>
      <c r="I73" s="16"/>
      <c r="J73" s="16"/>
      <c r="K73" s="16"/>
      <c r="L73" s="18" t="str">
        <f aca="true">IF(F73="","",IF(G73&lt;&gt;"",G73-F73,TODAY()-F73))</f>
        <v/>
      </c>
      <c r="M73" s="16"/>
      <c r="N73" s="16"/>
      <c r="O73" s="16"/>
      <c r="P73" s="16"/>
      <c r="Q73" s="17"/>
      <c r="R73" s="16"/>
    </row>
    <row r="74" customFormat="false" ht="15" hidden="false" customHeight="false" outlineLevel="0" collapsed="false">
      <c r="A74" s="16"/>
      <c r="B74" s="16"/>
      <c r="C74" s="16"/>
      <c r="D74" s="16"/>
      <c r="E74" s="16"/>
      <c r="F74" s="17"/>
      <c r="G74" s="17"/>
      <c r="H74" s="16"/>
      <c r="I74" s="16"/>
      <c r="J74" s="16"/>
      <c r="K74" s="16"/>
      <c r="L74" s="18" t="str">
        <f aca="true">IF(F74="","",IF(G74&lt;&gt;"",G74-F74,TODAY()-F74))</f>
        <v/>
      </c>
      <c r="M74" s="16"/>
      <c r="N74" s="16"/>
      <c r="O74" s="16"/>
      <c r="P74" s="16"/>
      <c r="Q74" s="17"/>
      <c r="R74" s="16"/>
    </row>
    <row r="75" customFormat="false" ht="15" hidden="false" customHeight="false" outlineLevel="0" collapsed="false">
      <c r="A75" s="16"/>
      <c r="B75" s="16"/>
      <c r="C75" s="16"/>
      <c r="D75" s="16"/>
      <c r="E75" s="16"/>
      <c r="F75" s="17"/>
      <c r="G75" s="17"/>
      <c r="H75" s="16"/>
      <c r="I75" s="16"/>
      <c r="J75" s="16"/>
      <c r="K75" s="16"/>
      <c r="L75" s="18" t="str">
        <f aca="true">IF(F75="","",IF(G75&lt;&gt;"",G75-F75,TODAY()-F75))</f>
        <v/>
      </c>
      <c r="M75" s="16"/>
      <c r="N75" s="16"/>
      <c r="O75" s="16"/>
      <c r="P75" s="16"/>
      <c r="Q75" s="17"/>
      <c r="R75" s="16"/>
    </row>
    <row r="76" customFormat="false" ht="15" hidden="false" customHeight="false" outlineLevel="0" collapsed="false">
      <c r="A76" s="16"/>
      <c r="B76" s="16"/>
      <c r="C76" s="16"/>
      <c r="D76" s="16"/>
      <c r="E76" s="16"/>
      <c r="F76" s="17"/>
      <c r="G76" s="17"/>
      <c r="H76" s="16"/>
      <c r="I76" s="16"/>
      <c r="J76" s="16"/>
      <c r="K76" s="16"/>
      <c r="L76" s="18" t="str">
        <f aca="true">IF(F76="","",IF(G76&lt;&gt;"",G76-F76,TODAY()-F76))</f>
        <v/>
      </c>
      <c r="M76" s="16"/>
      <c r="N76" s="16"/>
      <c r="O76" s="16"/>
      <c r="P76" s="16"/>
      <c r="Q76" s="17"/>
      <c r="R76" s="16"/>
    </row>
    <row r="77" customFormat="false" ht="15" hidden="false" customHeight="false" outlineLevel="0" collapsed="false">
      <c r="A77" s="16"/>
      <c r="B77" s="16"/>
      <c r="C77" s="16"/>
      <c r="D77" s="16"/>
      <c r="E77" s="16"/>
      <c r="F77" s="17"/>
      <c r="G77" s="17"/>
      <c r="H77" s="16"/>
      <c r="I77" s="16"/>
      <c r="J77" s="16"/>
      <c r="K77" s="16"/>
      <c r="L77" s="18" t="str">
        <f aca="true">IF(F77="","",IF(G77&lt;&gt;"",G77-F77,TODAY()-F77))</f>
        <v/>
      </c>
      <c r="M77" s="16"/>
      <c r="N77" s="16"/>
      <c r="O77" s="16"/>
      <c r="P77" s="16"/>
      <c r="Q77" s="17"/>
      <c r="R77" s="16"/>
    </row>
    <row r="78" customFormat="false" ht="15" hidden="false" customHeight="false" outlineLevel="0" collapsed="false">
      <c r="A78" s="16"/>
      <c r="B78" s="16"/>
      <c r="C78" s="16"/>
      <c r="D78" s="16"/>
      <c r="E78" s="16"/>
      <c r="F78" s="17"/>
      <c r="G78" s="17"/>
      <c r="H78" s="16"/>
      <c r="I78" s="16"/>
      <c r="J78" s="16"/>
      <c r="K78" s="16"/>
      <c r="L78" s="18" t="str">
        <f aca="true">IF(F78="","",IF(G78&lt;&gt;"",G78-F78,TODAY()-F78))</f>
        <v/>
      </c>
      <c r="M78" s="16"/>
      <c r="N78" s="16"/>
      <c r="O78" s="16"/>
      <c r="P78" s="16"/>
      <c r="Q78" s="17"/>
      <c r="R78" s="16"/>
    </row>
    <row r="79" customFormat="false" ht="15" hidden="false" customHeight="false" outlineLevel="0" collapsed="false">
      <c r="A79" s="16"/>
      <c r="B79" s="16"/>
      <c r="C79" s="16"/>
      <c r="D79" s="16"/>
      <c r="E79" s="16"/>
      <c r="F79" s="17"/>
      <c r="G79" s="17"/>
      <c r="H79" s="16"/>
      <c r="I79" s="16"/>
      <c r="J79" s="16"/>
      <c r="K79" s="16"/>
      <c r="L79" s="18" t="str">
        <f aca="true">IF(F79="","",IF(G79&lt;&gt;"",G79-F79,TODAY()-F79))</f>
        <v/>
      </c>
      <c r="M79" s="16"/>
      <c r="N79" s="16"/>
      <c r="O79" s="16"/>
      <c r="P79" s="16"/>
      <c r="Q79" s="17"/>
      <c r="R79" s="16"/>
    </row>
    <row r="80" customFormat="false" ht="15" hidden="false" customHeight="false" outlineLevel="0" collapsed="false">
      <c r="A80" s="16"/>
      <c r="B80" s="16"/>
      <c r="C80" s="16"/>
      <c r="D80" s="16"/>
      <c r="E80" s="16"/>
      <c r="F80" s="17"/>
      <c r="G80" s="17"/>
      <c r="H80" s="16"/>
      <c r="I80" s="16"/>
      <c r="J80" s="16"/>
      <c r="K80" s="16"/>
      <c r="L80" s="18" t="str">
        <f aca="true">IF(F80="","",IF(G80&lt;&gt;"",G80-F80,TODAY()-F80))</f>
        <v/>
      </c>
      <c r="M80" s="16"/>
      <c r="N80" s="16"/>
      <c r="O80" s="16"/>
      <c r="P80" s="16"/>
      <c r="Q80" s="17"/>
      <c r="R80" s="16"/>
    </row>
    <row r="81" customFormat="false" ht="15" hidden="false" customHeight="false" outlineLevel="0" collapsed="false">
      <c r="A81" s="16"/>
      <c r="B81" s="16"/>
      <c r="C81" s="16"/>
      <c r="D81" s="16"/>
      <c r="E81" s="16"/>
      <c r="F81" s="17"/>
      <c r="G81" s="17"/>
      <c r="H81" s="16"/>
      <c r="I81" s="16"/>
      <c r="J81" s="16"/>
      <c r="K81" s="16"/>
      <c r="L81" s="18" t="str">
        <f aca="true">IF(F81="","",IF(G81&lt;&gt;"",G81-F81,TODAY()-F81))</f>
        <v/>
      </c>
      <c r="M81" s="16"/>
      <c r="N81" s="16"/>
      <c r="O81" s="16"/>
      <c r="P81" s="16"/>
      <c r="Q81" s="17"/>
      <c r="R81" s="16"/>
    </row>
    <row r="82" customFormat="false" ht="15" hidden="false" customHeight="false" outlineLevel="0" collapsed="false">
      <c r="A82" s="16"/>
      <c r="B82" s="16"/>
      <c r="C82" s="16"/>
      <c r="D82" s="16"/>
      <c r="E82" s="16"/>
      <c r="F82" s="17"/>
      <c r="G82" s="17"/>
      <c r="H82" s="16"/>
      <c r="I82" s="16"/>
      <c r="J82" s="16"/>
      <c r="K82" s="16"/>
      <c r="L82" s="18" t="str">
        <f aca="true">IF(F82="","",IF(G82&lt;&gt;"",G82-F82,TODAY()-F82))</f>
        <v/>
      </c>
      <c r="M82" s="16"/>
      <c r="N82" s="16"/>
      <c r="O82" s="16"/>
      <c r="P82" s="16"/>
      <c r="Q82" s="17"/>
      <c r="R82" s="16"/>
    </row>
    <row r="83" customFormat="false" ht="15" hidden="false" customHeight="false" outlineLevel="0" collapsed="false">
      <c r="A83" s="16"/>
      <c r="B83" s="16"/>
      <c r="C83" s="16"/>
      <c r="D83" s="16"/>
      <c r="E83" s="16"/>
      <c r="F83" s="17"/>
      <c r="G83" s="17"/>
      <c r="H83" s="16"/>
      <c r="I83" s="16"/>
      <c r="J83" s="16"/>
      <c r="K83" s="16"/>
      <c r="L83" s="18" t="str">
        <f aca="true">IF(F83="","",IF(G83&lt;&gt;"",G83-F83,TODAY()-F83))</f>
        <v/>
      </c>
      <c r="M83" s="16"/>
      <c r="N83" s="16"/>
      <c r="O83" s="16"/>
      <c r="P83" s="16"/>
      <c r="Q83" s="17"/>
      <c r="R83" s="16"/>
    </row>
    <row r="84" customFormat="false" ht="15" hidden="false" customHeight="false" outlineLevel="0" collapsed="false">
      <c r="A84" s="16"/>
      <c r="B84" s="16"/>
      <c r="C84" s="16"/>
      <c r="D84" s="16"/>
      <c r="E84" s="16"/>
      <c r="F84" s="17"/>
      <c r="G84" s="17"/>
      <c r="H84" s="16"/>
      <c r="I84" s="16"/>
      <c r="J84" s="16"/>
      <c r="K84" s="16"/>
      <c r="L84" s="18" t="str">
        <f aca="true">IF(F84="","",IF(G84&lt;&gt;"",G84-F84,TODAY()-F84))</f>
        <v/>
      </c>
      <c r="M84" s="16"/>
      <c r="N84" s="16"/>
      <c r="O84" s="16"/>
      <c r="P84" s="16"/>
      <c r="Q84" s="17"/>
      <c r="R84" s="16"/>
    </row>
    <row r="85" customFormat="false" ht="15" hidden="false" customHeight="false" outlineLevel="0" collapsed="false">
      <c r="A85" s="16"/>
      <c r="B85" s="16"/>
      <c r="C85" s="16"/>
      <c r="D85" s="16"/>
      <c r="E85" s="16"/>
      <c r="F85" s="17"/>
      <c r="G85" s="17"/>
      <c r="H85" s="16"/>
      <c r="I85" s="16"/>
      <c r="J85" s="16"/>
      <c r="K85" s="16"/>
      <c r="L85" s="18" t="str">
        <f aca="true">IF(F85="","",IF(G85&lt;&gt;"",G85-F85,TODAY()-F85))</f>
        <v/>
      </c>
      <c r="M85" s="16"/>
      <c r="N85" s="16"/>
      <c r="O85" s="16"/>
      <c r="P85" s="16"/>
      <c r="Q85" s="17"/>
      <c r="R85" s="16"/>
    </row>
    <row r="86" customFormat="false" ht="15" hidden="false" customHeight="false" outlineLevel="0" collapsed="false">
      <c r="A86" s="16"/>
      <c r="B86" s="16"/>
      <c r="C86" s="16"/>
      <c r="D86" s="16"/>
      <c r="E86" s="16"/>
      <c r="F86" s="17"/>
      <c r="G86" s="17"/>
      <c r="H86" s="16"/>
      <c r="I86" s="16"/>
      <c r="J86" s="16"/>
      <c r="K86" s="16"/>
      <c r="L86" s="18" t="str">
        <f aca="true">IF(F86="","",IF(G86&lt;&gt;"",G86-F86,TODAY()-F86))</f>
        <v/>
      </c>
      <c r="M86" s="16"/>
      <c r="N86" s="16"/>
      <c r="O86" s="16"/>
      <c r="P86" s="16"/>
      <c r="Q86" s="17"/>
      <c r="R86" s="16"/>
    </row>
    <row r="87" customFormat="false" ht="15" hidden="false" customHeight="false" outlineLevel="0" collapsed="false">
      <c r="A87" s="16"/>
      <c r="B87" s="16"/>
      <c r="C87" s="16"/>
      <c r="D87" s="16"/>
      <c r="E87" s="16"/>
      <c r="F87" s="17"/>
      <c r="G87" s="17"/>
      <c r="H87" s="16"/>
      <c r="I87" s="16"/>
      <c r="J87" s="16"/>
      <c r="K87" s="16"/>
      <c r="L87" s="18" t="str">
        <f aca="true">IF(F87="","",IF(G87&lt;&gt;"",G87-F87,TODAY()-F87))</f>
        <v/>
      </c>
      <c r="M87" s="16"/>
      <c r="N87" s="16"/>
      <c r="O87" s="16"/>
      <c r="P87" s="16"/>
      <c r="Q87" s="17"/>
      <c r="R87" s="16"/>
    </row>
    <row r="88" customFormat="false" ht="15" hidden="false" customHeight="false" outlineLevel="0" collapsed="false">
      <c r="A88" s="16"/>
      <c r="B88" s="16"/>
      <c r="C88" s="16"/>
      <c r="D88" s="16"/>
      <c r="E88" s="16"/>
      <c r="F88" s="17"/>
      <c r="G88" s="17"/>
      <c r="H88" s="16"/>
      <c r="I88" s="16"/>
      <c r="J88" s="16"/>
      <c r="K88" s="16"/>
      <c r="L88" s="18" t="str">
        <f aca="true">IF(F88="","",IF(G88&lt;&gt;"",G88-F88,TODAY()-F88))</f>
        <v/>
      </c>
      <c r="M88" s="16"/>
      <c r="N88" s="16"/>
      <c r="O88" s="16"/>
      <c r="P88" s="16"/>
      <c r="Q88" s="17"/>
      <c r="R88" s="16"/>
    </row>
    <row r="89" customFormat="false" ht="15" hidden="false" customHeight="false" outlineLevel="0" collapsed="false">
      <c r="A89" s="16"/>
      <c r="B89" s="16"/>
      <c r="C89" s="16"/>
      <c r="D89" s="16"/>
      <c r="E89" s="16"/>
      <c r="F89" s="17"/>
      <c r="G89" s="17"/>
      <c r="H89" s="16"/>
      <c r="I89" s="16"/>
      <c r="J89" s="16"/>
      <c r="K89" s="16"/>
      <c r="L89" s="18" t="str">
        <f aca="true">IF(F89="","",IF(G89&lt;&gt;"",G89-F89,TODAY()-F89))</f>
        <v/>
      </c>
      <c r="M89" s="16"/>
      <c r="N89" s="16"/>
      <c r="O89" s="16"/>
      <c r="P89" s="16"/>
      <c r="Q89" s="17"/>
      <c r="R89" s="16"/>
    </row>
    <row r="90" customFormat="false" ht="15" hidden="false" customHeight="false" outlineLevel="0" collapsed="false">
      <c r="A90" s="16"/>
      <c r="B90" s="16"/>
      <c r="C90" s="16"/>
      <c r="D90" s="16"/>
      <c r="E90" s="16"/>
      <c r="F90" s="17"/>
      <c r="G90" s="17"/>
      <c r="H90" s="16"/>
      <c r="I90" s="16"/>
      <c r="J90" s="16"/>
      <c r="K90" s="16"/>
      <c r="L90" s="18" t="str">
        <f aca="true">IF(F90="","",IF(G90&lt;&gt;"",G90-F90,TODAY()-F90))</f>
        <v/>
      </c>
      <c r="M90" s="16"/>
      <c r="N90" s="16"/>
      <c r="O90" s="16"/>
      <c r="P90" s="16"/>
      <c r="Q90" s="17"/>
      <c r="R90" s="16"/>
    </row>
    <row r="91" customFormat="false" ht="15" hidden="false" customHeight="false" outlineLevel="0" collapsed="false">
      <c r="A91" s="16"/>
      <c r="B91" s="16"/>
      <c r="C91" s="16"/>
      <c r="D91" s="16"/>
      <c r="E91" s="16"/>
      <c r="F91" s="17"/>
      <c r="G91" s="17"/>
      <c r="H91" s="16"/>
      <c r="I91" s="16"/>
      <c r="J91" s="16"/>
      <c r="K91" s="16"/>
      <c r="L91" s="18" t="str">
        <f aca="true">IF(F91="","",IF(G91&lt;&gt;"",G91-F91,TODAY()-F91))</f>
        <v/>
      </c>
      <c r="M91" s="16"/>
      <c r="N91" s="16"/>
      <c r="O91" s="16"/>
      <c r="P91" s="16"/>
      <c r="Q91" s="17"/>
      <c r="R91" s="16"/>
    </row>
    <row r="92" customFormat="false" ht="15" hidden="false" customHeight="false" outlineLevel="0" collapsed="false">
      <c r="A92" s="16"/>
      <c r="B92" s="16"/>
      <c r="C92" s="16"/>
      <c r="D92" s="16"/>
      <c r="E92" s="16"/>
      <c r="F92" s="17"/>
      <c r="G92" s="17"/>
      <c r="H92" s="16"/>
      <c r="I92" s="16"/>
      <c r="J92" s="16"/>
      <c r="K92" s="16"/>
      <c r="L92" s="18" t="str">
        <f aca="true">IF(F92="","",IF(G92&lt;&gt;"",G92-F92,TODAY()-F92))</f>
        <v/>
      </c>
      <c r="M92" s="16"/>
      <c r="N92" s="16"/>
      <c r="O92" s="16"/>
      <c r="P92" s="16"/>
      <c r="Q92" s="17"/>
      <c r="R92" s="16"/>
    </row>
    <row r="93" customFormat="false" ht="15" hidden="false" customHeight="false" outlineLevel="0" collapsed="false">
      <c r="A93" s="16"/>
      <c r="B93" s="16"/>
      <c r="C93" s="16"/>
      <c r="D93" s="16"/>
      <c r="E93" s="16"/>
      <c r="F93" s="17"/>
      <c r="G93" s="17"/>
      <c r="H93" s="16"/>
      <c r="I93" s="16"/>
      <c r="J93" s="16"/>
      <c r="K93" s="16"/>
      <c r="L93" s="18" t="str">
        <f aca="true">IF(F93="","",IF(G93&lt;&gt;"",G93-F93,TODAY()-F93))</f>
        <v/>
      </c>
      <c r="M93" s="16"/>
      <c r="N93" s="16"/>
      <c r="O93" s="16"/>
      <c r="P93" s="16"/>
      <c r="Q93" s="17"/>
      <c r="R93" s="16"/>
    </row>
    <row r="94" customFormat="false" ht="15" hidden="false" customHeight="false" outlineLevel="0" collapsed="false">
      <c r="A94" s="16"/>
      <c r="B94" s="16"/>
      <c r="C94" s="16"/>
      <c r="D94" s="16"/>
      <c r="E94" s="16"/>
      <c r="F94" s="17"/>
      <c r="G94" s="17"/>
      <c r="H94" s="16"/>
      <c r="I94" s="16"/>
      <c r="J94" s="16"/>
      <c r="K94" s="16"/>
      <c r="L94" s="18" t="str">
        <f aca="true">IF(F94="","",IF(G94&lt;&gt;"",G94-F94,TODAY()-F94))</f>
        <v/>
      </c>
      <c r="M94" s="16"/>
      <c r="N94" s="16"/>
      <c r="O94" s="16"/>
      <c r="P94" s="16"/>
      <c r="Q94" s="17"/>
      <c r="R94" s="16"/>
    </row>
    <row r="95" customFormat="false" ht="15" hidden="false" customHeight="false" outlineLevel="0" collapsed="false">
      <c r="A95" s="16"/>
      <c r="B95" s="16"/>
      <c r="C95" s="16"/>
      <c r="D95" s="16"/>
      <c r="E95" s="16"/>
      <c r="F95" s="17"/>
      <c r="G95" s="17"/>
      <c r="H95" s="16"/>
      <c r="I95" s="16"/>
      <c r="J95" s="16"/>
      <c r="K95" s="16"/>
      <c r="L95" s="18" t="str">
        <f aca="true">IF(F95="","",IF(G95&lt;&gt;"",G95-F95,TODAY()-F95))</f>
        <v/>
      </c>
      <c r="M95" s="16"/>
      <c r="N95" s="16"/>
      <c r="O95" s="16"/>
      <c r="P95" s="16"/>
      <c r="Q95" s="17"/>
      <c r="R95" s="16"/>
    </row>
    <row r="96" customFormat="false" ht="15" hidden="false" customHeight="false" outlineLevel="0" collapsed="false">
      <c r="A96" s="16"/>
      <c r="B96" s="16"/>
      <c r="C96" s="16"/>
      <c r="D96" s="16"/>
      <c r="E96" s="16"/>
      <c r="F96" s="17"/>
      <c r="G96" s="17"/>
      <c r="H96" s="16"/>
      <c r="I96" s="16"/>
      <c r="J96" s="16"/>
      <c r="K96" s="16"/>
      <c r="L96" s="18" t="str">
        <f aca="true">IF(F96="","",IF(G96&lt;&gt;"",G96-F96,TODAY()-F96))</f>
        <v/>
      </c>
      <c r="M96" s="16"/>
      <c r="N96" s="16"/>
      <c r="O96" s="16"/>
      <c r="P96" s="16"/>
      <c r="Q96" s="17"/>
      <c r="R96" s="16"/>
    </row>
    <row r="97" customFormat="false" ht="15" hidden="false" customHeight="false" outlineLevel="0" collapsed="false">
      <c r="A97" s="16"/>
      <c r="B97" s="16"/>
      <c r="C97" s="16"/>
      <c r="D97" s="16"/>
      <c r="E97" s="16"/>
      <c r="F97" s="17"/>
      <c r="G97" s="17"/>
      <c r="H97" s="16"/>
      <c r="I97" s="16"/>
      <c r="J97" s="16"/>
      <c r="K97" s="16"/>
      <c r="L97" s="18" t="str">
        <f aca="true">IF(F97="","",IF(G97&lt;&gt;"",G97-F97,TODAY()-F97))</f>
        <v/>
      </c>
      <c r="M97" s="16"/>
      <c r="N97" s="16"/>
      <c r="O97" s="16"/>
      <c r="P97" s="16"/>
      <c r="Q97" s="17"/>
      <c r="R97" s="16"/>
    </row>
    <row r="98" customFormat="false" ht="15" hidden="false" customHeight="false" outlineLevel="0" collapsed="false">
      <c r="A98" s="16"/>
      <c r="B98" s="16"/>
      <c r="C98" s="16"/>
      <c r="D98" s="16"/>
      <c r="E98" s="16"/>
      <c r="F98" s="17"/>
      <c r="G98" s="17"/>
      <c r="H98" s="16"/>
      <c r="I98" s="16"/>
      <c r="J98" s="16"/>
      <c r="K98" s="16"/>
      <c r="L98" s="18" t="str">
        <f aca="true">IF(F98="","",IF(G98&lt;&gt;"",G98-F98,TODAY()-F98))</f>
        <v/>
      </c>
      <c r="M98" s="16"/>
      <c r="N98" s="16"/>
      <c r="O98" s="16"/>
      <c r="P98" s="16"/>
      <c r="Q98" s="17"/>
      <c r="R98" s="16"/>
    </row>
    <row r="99" customFormat="false" ht="15" hidden="false" customHeight="false" outlineLevel="0" collapsed="false">
      <c r="A99" s="16"/>
      <c r="B99" s="16"/>
      <c r="C99" s="16"/>
      <c r="D99" s="16"/>
      <c r="E99" s="16"/>
      <c r="F99" s="17"/>
      <c r="G99" s="17"/>
      <c r="H99" s="16"/>
      <c r="I99" s="16"/>
      <c r="J99" s="16"/>
      <c r="K99" s="16"/>
      <c r="L99" s="18" t="str">
        <f aca="true">IF(F99="","",IF(G99&lt;&gt;"",G99-F99,TODAY()-F99))</f>
        <v/>
      </c>
      <c r="M99" s="16"/>
      <c r="N99" s="16"/>
      <c r="O99" s="16"/>
      <c r="P99" s="16"/>
      <c r="Q99" s="17"/>
      <c r="R99" s="16"/>
    </row>
    <row r="100" customFormat="false" ht="15" hidden="false" customHeight="false" outlineLevel="0" collapsed="false">
      <c r="A100" s="16"/>
      <c r="B100" s="16"/>
      <c r="C100" s="16"/>
      <c r="D100" s="16"/>
      <c r="E100" s="16"/>
      <c r="F100" s="17"/>
      <c r="G100" s="17"/>
      <c r="H100" s="16"/>
      <c r="I100" s="16"/>
      <c r="J100" s="16"/>
      <c r="K100" s="16"/>
      <c r="L100" s="18" t="str">
        <f aca="true">IF(F100="","",IF(G100&lt;&gt;"",G100-F100,TODAY()-F100))</f>
        <v/>
      </c>
      <c r="M100" s="16"/>
      <c r="N100" s="16"/>
      <c r="O100" s="16"/>
      <c r="P100" s="16"/>
      <c r="Q100" s="17"/>
      <c r="R100" s="16"/>
    </row>
    <row r="102" customFormat="false" ht="15" hidden="false" customHeight="false" outlineLevel="0" collapsed="false">
      <c r="A102" s="19" t="s">
        <v>97</v>
      </c>
      <c r="B102" s="14" t="s">
        <v>98</v>
      </c>
      <c r="C102" s="14" t="n">
        <f aca="false">COUNTA(A2:A100)</f>
        <v>5</v>
      </c>
      <c r="D102" s="14" t="s">
        <v>99</v>
      </c>
      <c r="E102" s="14" t="n">
        <f aca="false">COUNTIF(H2:H100,"Accepted")</f>
        <v>2</v>
      </c>
      <c r="F102" s="14" t="s">
        <v>100</v>
      </c>
      <c r="G102" s="14" t="n">
        <f aca="false">COUNTIF(H2:H100,"Pending")+COUNTIF(H2:H100,"Under Review")</f>
        <v>2</v>
      </c>
      <c r="H102" s="14" t="s">
        <v>101</v>
      </c>
      <c r="I102" s="14" t="n">
        <f aca="false">COUNTIF(H2:H100,"Resubmit Required")+COUNTIF(H2:H100,"Rejected")</f>
        <v>1</v>
      </c>
    </row>
  </sheetData>
  <autoFilter ref="A1:R1"/>
  <conditionalFormatting sqref="H2:H100">
    <cfRule type="cellIs" priority="2" operator="equal" aboveAverage="0" equalAverage="0" bottom="0" percent="0" rank="0" text="" dxfId="2">
      <formula>"Accepted"</formula>
    </cfRule>
    <cfRule type="cellIs" priority="3" operator="equal" aboveAverage="0" equalAverage="0" bottom="0" percent="0" rank="0" text="" dxfId="3">
      <formula>"Under Review"</formula>
    </cfRule>
    <cfRule type="cellIs" priority="4" operator="equal" aboveAverage="0" equalAverage="0" bottom="0" percent="0" rank="0" text="" dxfId="3">
      <formula>"Pending"</formula>
    </cfRule>
    <cfRule type="cellIs" priority="5" operator="equal" aboveAverage="0" equalAverage="0" bottom="0" percent="0" rank="0" text="" dxfId="4">
      <formula>"Rejected"</formula>
    </cfRule>
    <cfRule type="cellIs" priority="6" operator="equal" aboveAverage="0" equalAverage="0" bottom="0" percent="0" rank="0" text="" dxfId="4">
      <formula>"Resubmit Required"</formula>
    </cfRule>
  </conditionalFormatting>
  <conditionalFormatting sqref="L2:L100">
    <cfRule type="expression" priority="7" aboveAverage="0" equalAverage="0" bottom="0" percent="0" rank="0" text="" dxfId="4">
      <formula>AND(L2&gt;14,OR($H2="Pending",$H2="Under Review"))</formula>
    </cfRule>
    <cfRule type="expression" priority="8" aboveAverage="0" equalAverage="0" bottom="0" percent="0" rank="0" text="" dxfId="3">
      <formula>AND(L2&gt;7,L2&lt;=14,OR($H2="Pending",$H2="Under Review"))</formula>
    </cfRule>
  </conditionalFormatting>
  <conditionalFormatting sqref="K2:K100">
    <cfRule type="cellIs" priority="9" operator="equal" aboveAverage="0" equalAverage="0" bottom="0" percent="0" rank="0" text="" dxfId="4">
      <formula>"Yes"</formula>
    </cfRule>
  </conditionalFormatting>
  <dataValidations count="4">
    <dataValidation allowBlank="true" errorStyle="stop" operator="between" showDropDown="false" showErrorMessage="false" showInputMessage="false" sqref="H2:H100" type="list">
      <formula1>"Pending,Under Review,Accepted,Rejected,Resubmit Required"</formula1>
      <formula2>0</formula2>
    </dataValidation>
    <dataValidation allowBlank="true" errorStyle="stop" operator="between" showDropDown="false" showErrorMessage="false" showInputMessage="false" sqref="K2:K100" type="list">
      <formula1>"Yes,No"</formula1>
      <formula2>0</formula2>
    </dataValidation>
    <dataValidation allowBlank="true" errorStyle="stop" operator="between" showDropDown="false" showErrorMessage="false" showInputMessage="false" sqref="O2:O100" type="list">
      <formula1>"Hard Copy,Soft Copy,Both"</formula1>
      <formula2>0</formula2>
    </dataValidation>
    <dataValidation allowBlank="true" errorStyle="stop" operator="between" showDropDown="false" showErrorMessage="false" showInputMessage="false" sqref="F2:G100 Q2:Q100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&amp;CO Submission Tracker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.65" hidden="false" customHeight="false" outlineLevel="0" collapsed="false">
      <c r="A1" s="20" t="s">
        <v>102</v>
      </c>
    </row>
    <row r="2" customFormat="false" ht="15" hidden="false" customHeight="false" outlineLevel="0" collapsed="false">
      <c r="A2" s="21"/>
    </row>
    <row r="3" customFormat="false" ht="15" hidden="false" customHeight="false" outlineLevel="0" collapsed="false">
      <c r="A3" s="21" t="s">
        <v>103</v>
      </c>
    </row>
    <row r="4" customFormat="false" ht="15" hidden="false" customHeight="false" outlineLevel="0" collapsed="false">
      <c r="A4" s="21"/>
    </row>
    <row r="5" customFormat="false" ht="15" hidden="false" customHeight="false" outlineLevel="0" collapsed="false">
      <c r="A5" s="22" t="s">
        <v>104</v>
      </c>
    </row>
    <row r="6" customFormat="false" ht="23.85" hidden="false" customHeight="false" outlineLevel="0" collapsed="false">
      <c r="A6" s="22" t="s">
        <v>105</v>
      </c>
    </row>
    <row r="7" customFormat="false" ht="15" hidden="false" customHeight="false" outlineLevel="0" collapsed="false">
      <c r="A7" s="22" t="s">
        <v>106</v>
      </c>
    </row>
    <row r="8" customFormat="false" ht="15" hidden="false" customHeight="false" outlineLevel="0" collapsed="false">
      <c r="A8" s="22" t="s">
        <v>107</v>
      </c>
    </row>
    <row r="9" customFormat="false" ht="23.85" hidden="false" customHeight="false" outlineLevel="0" collapsed="false">
      <c r="A9" s="22" t="s">
        <v>108</v>
      </c>
    </row>
    <row r="10" customFormat="false" ht="15" hidden="false" customHeight="false" outlineLevel="0" collapsed="false">
      <c r="A10" s="22" t="s">
        <v>109</v>
      </c>
    </row>
    <row r="11" customFormat="false" ht="15" hidden="false" customHeight="false" outlineLevel="0" collapsed="false">
      <c r="A11" s="21"/>
    </row>
    <row r="12" customFormat="false" ht="15" hidden="false" customHeight="false" outlineLevel="0" collapsed="false">
      <c r="A12" s="21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MEICA &amp; Commissioning</cp:category>
  <dcterms:created xsi:type="dcterms:W3CDTF">2026-03-24T14:19:18Z</dcterms:created>
  <dc:creator>Ebrora Ltd</dc:creator>
  <dc:description>Track O&amp;M manual submissions by system and supplier through the review cycle, with automated days-since-submission calculations and overdue highlighting.
Free professional construction management template from Ebrora Ltd. Visit ebrora.com for our full range of tools and templates.</dc:description>
  <cp:keywords>Ebrora construction O&amp;M operations maintenance submission tracker handover commissioning</cp:keywords>
  <dc:language>en-US</dc:language>
  <cp:lastModifiedBy>Ebrora Ltd</cp:lastModifiedBy>
  <dcterms:modified xsi:type="dcterms:W3CDTF">2026-03-24T14:19:18Z</dcterms:modified>
  <cp:revision>0</cp:revision>
  <dc:subject>Track O&amp;M manual submissions from suppliers through review, resubmission, and final acceptance for handover.</dc:subject>
  <dc:title>O&amp;M Submission Tracker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