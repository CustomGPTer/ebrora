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ompliance Matrix" sheetId="3" state="visible" r:id="rId5"/>
    <sheet name="Terms of Use" sheetId="4" state="hidden" r:id="rId6"/>
  </sheets>
  <definedNames>
    <definedName function="false" hidden="false" localSheetId="2" name="_xlnm.Print_Area" vbProcedure="false">'Compliance Matrix'!$A$1:$O$24</definedName>
    <definedName function="false" hidden="false" localSheetId="2" name="_xlnm.Print_Titles" vbProcedure="false">'Compliance Matrix'!$1:$3</definedName>
    <definedName function="false" hidden="false" localSheetId="0" name="_xlnm.Print_Area" vbProcedure="false">Cover!$A$1:$H$20</definedName>
    <definedName function="false" hidden="false" localSheetId="1" name="_xlnm.Print_Area" vbProcedure="false">Instructions!$A$1:$F$27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<sst xmlns="http://schemas.openxmlformats.org/spreadsheetml/2006/main" count="200" uniqueCount="137">
  <si>
    <t xml:space="preserve">EBRORA</t>
  </si>
  <si>
    <t xml:space="preserve">ebrora.com</t>
  </si>
  <si>
    <t xml:space="preserve">Specifications Compliance Matrix</t>
  </si>
  <si>
    <t xml:space="preserve">Cross-reference CESWI / UUCESWI specification clauses against project deliverables — demonstrate clause-by-clause compliance at handover.</t>
  </si>
  <si>
    <t xml:space="preserve">This is a free template from Ebrora.
For our full range of professional-grade construction management tools, visit ebrora.com</t>
  </si>
  <si>
    <t xml:space="preserve">© Ebrora 2026 — All rights reserved</t>
  </si>
  <si>
    <t xml:space="preserve">How to Use This Template — Specifications Compliance Matrix</t>
  </si>
  <si>
    <t xml:space="preserve">Step-by-Step Instructions</t>
  </si>
  <si>
    <t xml:space="preserve">1.</t>
  </si>
  <si>
    <t xml:space="preserve">Go to the 'Compliance Matrix' sheet. Enter the Project Name, Contract Number and Specification Document reference in the info strip.</t>
  </si>
  <si>
    <t xml:space="preserve">2.</t>
  </si>
  <si>
    <t xml:space="preserve">The matrix rows list Specification Clauses (column A = Clause Ref, column B = Clause Title, column C = brief Description). Pre-populated with common CESWI 6th Edition sections — update to match your project specification.</t>
  </si>
  <si>
    <t xml:space="preserve">3.</t>
  </si>
  <si>
    <t xml:space="preserve">The matrix columns (D onwards) represent Project Deliverables or compliance evidence types: Drawing Issue, Method Statement, Material Approval, ITP Closed, Test Result, O&amp;M Submitted, and more.</t>
  </si>
  <si>
    <t xml:space="preserve">4.</t>
  </si>
  <si>
    <t xml:space="preserve">In each intersection cell, enter the compliance status using the dropdown: ✓ Compliant, ⚠ Partial, ✗ Non-Compliant, or N/A.</t>
  </si>
  <si>
    <t xml:space="preserve">5.</t>
  </si>
  <si>
    <t xml:space="preserve">The cell colour updates automatically: green for Compliant, amber for Partial, red for Non-Compliant, grey for N/A.</t>
  </si>
  <si>
    <t xml:space="preserve">6.</t>
  </si>
  <si>
    <t xml:space="preserve">Column D shows the overall % compliance per clause row — how many applicable evidence columns are marked Compliant.</t>
  </si>
  <si>
    <t xml:space="preserve">7.</t>
  </si>
  <si>
    <t xml:space="preserve">The completion row at the bottom shows % compliance per evidence column across all applicable clauses.</t>
  </si>
  <si>
    <t xml:space="preserve">8.</t>
  </si>
  <si>
    <t xml:space="preserve">For any ⚠ Partial or ✗ Non-Compliant cells, record the action required in the Notes column (last column).</t>
  </si>
  <si>
    <t xml:space="preserve">9.</t>
  </si>
  <si>
    <t xml:space="preserve">Review this matrix at each progress meeting and at pre-handover review. Every row must show 100% before the O&amp;M pack is submitted.</t>
  </si>
  <si>
    <t xml:space="preserve">10.</t>
  </si>
  <si>
    <t xml:space="preserve">Print landscape for inclusion in Quality Plans, Handover Submissions, or Pre-Completion Inspection packs.</t>
  </si>
  <si>
    <t xml:space="preserve">Colour Key</t>
  </si>
  <si>
    <t xml:space="preserve">  </t>
  </si>
  <si>
    <t xml:space="preserve">✓ Compliant — Clause requirement is fully satisfied by the referenced deliverable.</t>
  </si>
  <si>
    <t xml:space="preserve">⚠ Partial — Clause is partially addressed. Further evidence or action required.</t>
  </si>
  <si>
    <t xml:space="preserve">✗ Non-Compliant — Requirement not met. Immediate action required.</t>
  </si>
  <si>
    <t xml:space="preserve">N/A — This clause does not apply to the project scope. Document the reason.</t>
  </si>
  <si>
    <t xml:space="preserve">Light teal % complete column and cells — Auto-calculated. Do not edit.</t>
  </si>
  <si>
    <t xml:space="preserve">Dark navy headers — Do not edit.</t>
  </si>
  <si>
    <t xml:space="preserve">Tips</t>
  </si>
  <si>
    <t xml:space="preserve">*</t>
  </si>
  <si>
    <t xml:space="preserve">Populate this matrix at tender or contract award, not at handover. A compliance matrix completed retrospectively is an audit risk; one built progressively demonstrates genuine QMS compliance.</t>
  </si>
  <si>
    <t xml:space="preserve">Where UUCESWI departs from CESWI, update the clause reference and description to reflect the project-specific requirement. The matrix is only as useful as it is accurate.</t>
  </si>
  <si>
    <t xml:space="preserve">For every N/A cell, make sure there is a documented rationale — a written statement from the designer or PM confirming the clause is not applicable. Reviewers will challenge unexplained N/A entries.</t>
  </si>
  <si>
    <t xml:space="preserve">Project Name:</t>
  </si>
  <si>
    <t xml:space="preserve">[Enter Project Name]</t>
  </si>
  <si>
    <t xml:space="preserve">Spec Document:</t>
  </si>
  <si>
    <t xml:space="preserve">CESWI 6th Edition / UUCESWI</t>
  </si>
  <si>
    <t xml:space="preserve">Specification Clauses</t>
  </si>
  <si>
    <t xml:space="preserve">Project Deliverables / Compliance Evidence  |  ✓ = Compliant   ⚠ = Partial   ✗ = Non-Compliant   N/A = Not Applicable</t>
  </si>
  <si>
    <t xml:space="preserve">Clause Ref</t>
  </si>
  <si>
    <t xml:space="preserve">Clause Title</t>
  </si>
  <si>
    <t xml:space="preserve">Requirement Summary</t>
  </si>
  <si>
    <t xml:space="preserve">% Compliant</t>
  </si>
  <si>
    <t xml:space="preserve">IFC Drawing
Issued</t>
  </si>
  <si>
    <t xml:space="preserve">Method
Statement</t>
  </si>
  <si>
    <t xml:space="preserve">Material
Approval</t>
  </si>
  <si>
    <t xml:space="preserve">ITP Hold Pt
Closed</t>
  </si>
  <si>
    <t xml:space="preserve">Test /
Inspection</t>
  </si>
  <si>
    <t xml:space="preserve">Pressure
Test</t>
  </si>
  <si>
    <t xml:space="preserve">Survey
Record</t>
  </si>
  <si>
    <t xml:space="preserve">O&amp;M
Submitted</t>
  </si>
  <si>
    <t xml:space="preserve">O&amp;M
Approved</t>
  </si>
  <si>
    <t xml:space="preserve">As-Built
Drawing</t>
  </si>
  <si>
    <t xml:space="preserve">Notes / Action Required</t>
  </si>
  <si>
    <t xml:space="preserve">CESWI 1.1</t>
  </si>
  <si>
    <t xml:space="preserve">General Requirements</t>
  </si>
  <si>
    <t xml:space="preserve">Contractor to comply with all CESWI clauses unless project-specific amendments apply.</t>
  </si>
  <si>
    <t xml:space="preserve">✓ Compliant</t>
  </si>
  <si>
    <t xml:space="preserve">N/A</t>
  </si>
  <si>
    <t xml:space="preserve">⚠ Partial</t>
  </si>
  <si>
    <t xml:space="preserve">CESWI 2.1</t>
  </si>
  <si>
    <t xml:space="preserve">Materials — General</t>
  </si>
  <si>
    <t xml:space="preserve">All materials to be new, fit for purpose, and to relevant BS/EN standards. Test certs required.</t>
  </si>
  <si>
    <t xml:space="preserve">CESWI 2.4</t>
  </si>
  <si>
    <t xml:space="preserve">Aggregates</t>
  </si>
  <si>
    <t xml:space="preserve">Aggregates to BS EN 12620. Source approval required. Alkali-silica reactivity assessment.</t>
  </si>
  <si>
    <t xml:space="preserve">CESWI 2.7</t>
  </si>
  <si>
    <t xml:space="preserve">Concrete</t>
  </si>
  <si>
    <t xml:space="preserve">Concrete mix design to BS 8500-1. Designed mixes. Cube test regime. Durability class specified.</t>
  </si>
  <si>
    <t xml:space="preserve">CESWI 2.9</t>
  </si>
  <si>
    <t xml:space="preserve">Reinforcement</t>
  </si>
  <si>
    <t xml:space="preserve">Reinforcement to BS 4449 Grade B500B. Bending schedules to BS 8666. Cover per drawing.</t>
  </si>
  <si>
    <t xml:space="preserve">CESWI 3.1</t>
  </si>
  <si>
    <t xml:space="preserve">Earthworks — General</t>
  </si>
  <si>
    <t xml:space="preserve">Formation levels, compaction testing (CBR/plate), and dewatering per specification.</t>
  </si>
  <si>
    <t xml:space="preserve">CESWI 3.4</t>
  </si>
  <si>
    <t xml:space="preserve">Pipes — Laying &amp; Jointing</t>
  </si>
  <si>
    <t xml:space="preserve">Bedding, pipe laying, jointing and backfill per CESWI / WRc Sewers for Adoption.</t>
  </si>
  <si>
    <t xml:space="preserve">CESWI 4.1</t>
  </si>
  <si>
    <t xml:space="preserve">Pipelaying — General</t>
  </si>
  <si>
    <t xml:space="preserve">Pipe materials to specified standards. Cleaning and CCTV before acceptance.</t>
  </si>
  <si>
    <t xml:space="preserve">CESWI 4.3</t>
  </si>
  <si>
    <t xml:space="preserve">Pressure Pipelines</t>
  </si>
  <si>
    <t xml:space="preserve">Hydrostatic test 1.5× WP for 1 hour. ER to witness. Witnessed test record required.</t>
  </si>
  <si>
    <t xml:space="preserve">CESWI 5.1</t>
  </si>
  <si>
    <t xml:space="preserve">Structural Concrete</t>
  </si>
  <si>
    <t xml:space="preserve">Formwork, reinforcement, pour sequence, curing, and post-pour inspection per spec.</t>
  </si>
  <si>
    <t xml:space="preserve">CESWI 5.6</t>
  </si>
  <si>
    <t xml:space="preserve">Waterproofing</t>
  </si>
  <si>
    <t xml:space="preserve">Tank lining and waterproofing per approved system. DFT checks, holiday test, WRAS compliance.</t>
  </si>
  <si>
    <t xml:space="preserve">CESWI 6.1</t>
  </si>
  <si>
    <t xml:space="preserve">Mechanical — General</t>
  </si>
  <si>
    <t xml:space="preserve">Equipment selection, installation, and commissioning per approved O&amp;M and FAT/SAT records.</t>
  </si>
  <si>
    <t xml:space="preserve">✗ Non-Compliant</t>
  </si>
  <si>
    <t xml:space="preserve">O&amp;M not yet approved — target approval 30/04/25. As-built drawing pending designer issue.</t>
  </si>
  <si>
    <t xml:space="preserve">CESWI 6.4</t>
  </si>
  <si>
    <t xml:space="preserve">Coatings</t>
  </si>
  <si>
    <t xml:space="preserve">Internal coatings to specified DFT, holiday test voltage, and potable water approval.</t>
  </si>
  <si>
    <t xml:space="preserve">CESWI 7.1</t>
  </si>
  <si>
    <t xml:space="preserve">Electrical — General</t>
  </si>
  <si>
    <t xml:space="preserve">All electrical works to BS 7671:2018. EICR on completion. Safe isolation procedures.</t>
  </si>
  <si>
    <t xml:space="preserve">CESWI 7.3</t>
  </si>
  <si>
    <t xml:space="preserve">Instrumentation</t>
  </si>
  <si>
    <t xml:space="preserve">Loop testing, calibration records, and SCADA/PLC SAT per approved test procedures.</t>
  </si>
  <si>
    <t xml:space="preserve">CESWI 8.1</t>
  </si>
  <si>
    <t xml:space="preserve">Commissioning — General</t>
  </si>
  <si>
    <t xml:space="preserve">Dry and wet commissioning records. Process proving to consent limits.</t>
  </si>
  <si>
    <t xml:space="preserve">CESWI 9.1</t>
  </si>
  <si>
    <t xml:space="preserve">Environmental</t>
  </si>
  <si>
    <t xml:space="preserve">COSHH, waste management, and environmental monitoring per EMP. EA consent conditions.</t>
  </si>
  <si>
    <t xml:space="preserve">CESWI 10.1</t>
  </si>
  <si>
    <t xml:space="preserve">Survey &amp; Setting Out</t>
  </si>
  <si>
    <t xml:space="preserve">Control network established by licensed surveyor. Check surveys every 28 days.</t>
  </si>
  <si>
    <t xml:space="preserve">CESWI 11.1</t>
  </si>
  <si>
    <t xml:space="preserve">Health &amp; Safety</t>
  </si>
  <si>
    <t xml:space="preserve">CDM 2015 compliance. RAMS, LOTO, and LOLER records maintained and current.</t>
  </si>
  <si>
    <t xml:space="preserve">CESWI 12.1</t>
  </si>
  <si>
    <t xml:space="preserve">Quality Management</t>
  </si>
  <si>
    <t xml:space="preserve">ITP in place and maintained. NCR system active. WIS log current. QMS audit trail.</t>
  </si>
  <si>
    <t xml:space="preserve">COLUMN COMPLIANCE %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</si>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</sst>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2F2F2"/>
        <bgColor rgb="FFE8F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color rgb="FF7D6608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i val="1"/>
        <color rgb="FF8C8C8C"/>
      </font>
      <fill>
        <patternFill>
          <bgColor rgb="FFD9D9D9"/>
        </patternFill>
      </fill>
    </dxf>
    <dxf>
      <font>
        <name val="Calibri"/>
        <charset val="1"/>
        <family val="0"/>
        <b val="1"/>
        <color rgb="FF7D6608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75623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6.7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7.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48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9.7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9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9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9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8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</sheetData>
  <mergeCells count="11">
    <mergeCell ref="A1:H3"/>
    <mergeCell ref="A4:H4"/>
    <mergeCell ref="A5:H5"/>
    <mergeCell ref="A6:H8"/>
    <mergeCell ref="A9:H9"/>
    <mergeCell ref="A10:H11"/>
    <mergeCell ref="A12:H12"/>
    <mergeCell ref="A13:H13"/>
    <mergeCell ref="A14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7" min="3" style="0" width="8"/>
  </cols>
  <sheetData>
    <row r="1" customFormat="false" ht="30" hidden="false" customHeight="true" outlineLevel="0" collapsed="false">
      <c r="A1" s="9" t="s">
        <v>6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10" t="s">
        <v>7</v>
      </c>
      <c r="B3" s="10"/>
      <c r="C3" s="10"/>
      <c r="D3" s="10"/>
      <c r="E3" s="10"/>
      <c r="F3" s="10"/>
    </row>
    <row r="4" customFormat="false" ht="37.5" hidden="false" customHeight="true" outlineLevel="0" collapsed="false">
      <c r="A4" s="11" t="s">
        <v>8</v>
      </c>
      <c r="B4" s="12" t="s">
        <v>9</v>
      </c>
      <c r="C4" s="12"/>
      <c r="D4" s="12"/>
      <c r="E4" s="12"/>
      <c r="F4" s="12"/>
    </row>
    <row r="5" customFormat="false" ht="37.5" hidden="false" customHeight="true" outlineLevel="0" collapsed="false">
      <c r="A5" s="11" t="s">
        <v>10</v>
      </c>
      <c r="B5" s="12" t="s">
        <v>11</v>
      </c>
      <c r="C5" s="12"/>
      <c r="D5" s="12"/>
      <c r="E5" s="12"/>
      <c r="F5" s="12"/>
    </row>
    <row r="6" customFormat="false" ht="37.5" hidden="false" customHeight="true" outlineLevel="0" collapsed="false">
      <c r="A6" s="11" t="s">
        <v>12</v>
      </c>
      <c r="B6" s="12" t="s">
        <v>13</v>
      </c>
      <c r="C6" s="12"/>
      <c r="D6" s="12"/>
      <c r="E6" s="12"/>
      <c r="F6" s="12"/>
    </row>
    <row r="7" customFormat="false" ht="37.5" hidden="false" customHeight="true" outlineLevel="0" collapsed="false">
      <c r="A7" s="11" t="s">
        <v>14</v>
      </c>
      <c r="B7" s="12" t="s">
        <v>15</v>
      </c>
      <c r="C7" s="12"/>
      <c r="D7" s="12"/>
      <c r="E7" s="12"/>
      <c r="F7" s="12"/>
    </row>
    <row r="8" customFormat="false" ht="37.5" hidden="false" customHeight="true" outlineLevel="0" collapsed="false">
      <c r="A8" s="11" t="s">
        <v>16</v>
      </c>
      <c r="B8" s="12" t="s">
        <v>17</v>
      </c>
      <c r="C8" s="12"/>
      <c r="D8" s="12"/>
      <c r="E8" s="12"/>
      <c r="F8" s="12"/>
    </row>
    <row r="9" customFormat="false" ht="37.5" hidden="false" customHeight="true" outlineLevel="0" collapsed="false">
      <c r="A9" s="11" t="s">
        <v>18</v>
      </c>
      <c r="B9" s="12" t="s">
        <v>19</v>
      </c>
      <c r="C9" s="12"/>
      <c r="D9" s="12"/>
      <c r="E9" s="12"/>
      <c r="F9" s="12"/>
    </row>
    <row r="10" customFormat="false" ht="37.5" hidden="false" customHeight="true" outlineLevel="0" collapsed="false">
      <c r="A10" s="11" t="s">
        <v>20</v>
      </c>
      <c r="B10" s="12" t="s">
        <v>21</v>
      </c>
      <c r="C10" s="12"/>
      <c r="D10" s="12"/>
      <c r="E10" s="12"/>
      <c r="F10" s="12"/>
    </row>
    <row r="11" customFormat="false" ht="37.5" hidden="false" customHeight="true" outlineLevel="0" collapsed="false">
      <c r="A11" s="11" t="s">
        <v>22</v>
      </c>
      <c r="B11" s="12" t="s">
        <v>23</v>
      </c>
      <c r="C11" s="12"/>
      <c r="D11" s="12"/>
      <c r="E11" s="12"/>
      <c r="F11" s="12"/>
    </row>
    <row r="12" customFormat="false" ht="37.5" hidden="false" customHeight="true" outlineLevel="0" collapsed="false">
      <c r="A12" s="11" t="s">
        <v>24</v>
      </c>
      <c r="B12" s="12" t="s">
        <v>25</v>
      </c>
      <c r="C12" s="12"/>
      <c r="D12" s="12"/>
      <c r="E12" s="12"/>
      <c r="F12" s="12"/>
    </row>
    <row r="13" customFormat="false" ht="37.5" hidden="false" customHeight="true" outlineLevel="0" collapsed="false">
      <c r="A13" s="11" t="s">
        <v>26</v>
      </c>
      <c r="B13" s="12" t="s">
        <v>27</v>
      </c>
      <c r="C13" s="12"/>
      <c r="D13" s="12"/>
      <c r="E13" s="12"/>
      <c r="F13" s="12"/>
    </row>
    <row r="15" customFormat="false" ht="21.75" hidden="false" customHeight="true" outlineLevel="0" collapsed="false">
      <c r="A15" s="10" t="s">
        <v>28</v>
      </c>
      <c r="B15" s="10"/>
      <c r="C15" s="10"/>
      <c r="D15" s="10"/>
      <c r="E15" s="10"/>
      <c r="F15" s="10"/>
    </row>
    <row r="16" customFormat="false" ht="24.75" hidden="false" customHeight="true" outlineLevel="0" collapsed="false">
      <c r="A16" s="13" t="s">
        <v>29</v>
      </c>
      <c r="B16" s="12" t="s">
        <v>30</v>
      </c>
      <c r="C16" s="12"/>
      <c r="D16" s="12"/>
      <c r="E16" s="12"/>
      <c r="F16" s="12"/>
    </row>
    <row r="17" customFormat="false" ht="24.75" hidden="false" customHeight="true" outlineLevel="0" collapsed="false">
      <c r="A17" s="14" t="s">
        <v>29</v>
      </c>
      <c r="B17" s="12" t="s">
        <v>31</v>
      </c>
      <c r="C17" s="12"/>
      <c r="D17" s="12"/>
      <c r="E17" s="12"/>
      <c r="F17" s="12"/>
    </row>
    <row r="18" customFormat="false" ht="24.75" hidden="false" customHeight="true" outlineLevel="0" collapsed="false">
      <c r="A18" s="15" t="s">
        <v>29</v>
      </c>
      <c r="B18" s="12" t="s">
        <v>32</v>
      </c>
      <c r="C18" s="12"/>
      <c r="D18" s="12"/>
      <c r="E18" s="12"/>
      <c r="F18" s="12"/>
    </row>
    <row r="19" customFormat="false" ht="24.75" hidden="false" customHeight="true" outlineLevel="0" collapsed="false">
      <c r="A19" s="16" t="s">
        <v>29</v>
      </c>
      <c r="B19" s="12" t="s">
        <v>33</v>
      </c>
      <c r="C19" s="12"/>
      <c r="D19" s="12"/>
      <c r="E19" s="12"/>
      <c r="F19" s="12"/>
    </row>
    <row r="20" customFormat="false" ht="24.75" hidden="false" customHeight="true" outlineLevel="0" collapsed="false">
      <c r="A20" s="17" t="s">
        <v>29</v>
      </c>
      <c r="B20" s="12" t="s">
        <v>34</v>
      </c>
      <c r="C20" s="12"/>
      <c r="D20" s="12"/>
      <c r="E20" s="12"/>
      <c r="F20" s="12"/>
    </row>
    <row r="21" customFormat="false" ht="24.75" hidden="false" customHeight="true" outlineLevel="0" collapsed="false">
      <c r="A21" s="18" t="s">
        <v>29</v>
      </c>
      <c r="B21" s="12" t="s">
        <v>35</v>
      </c>
      <c r="C21" s="12"/>
      <c r="D21" s="12"/>
      <c r="E21" s="12"/>
      <c r="F21" s="12"/>
    </row>
    <row r="23" customFormat="false" ht="21.75" hidden="false" customHeight="true" outlineLevel="0" collapsed="false">
      <c r="A23" s="10" t="s">
        <v>36</v>
      </c>
      <c r="B23" s="10"/>
      <c r="C23" s="10"/>
      <c r="D23" s="10"/>
      <c r="E23" s="10"/>
      <c r="F23" s="10"/>
    </row>
    <row r="24" customFormat="false" ht="37.5" hidden="false" customHeight="true" outlineLevel="0" collapsed="false">
      <c r="A24" s="19" t="s">
        <v>37</v>
      </c>
      <c r="B24" s="12" t="s">
        <v>38</v>
      </c>
      <c r="C24" s="12"/>
      <c r="D24" s="12"/>
      <c r="E24" s="12"/>
      <c r="F24" s="12"/>
    </row>
    <row r="25" customFormat="false" ht="37.5" hidden="false" customHeight="true" outlineLevel="0" collapsed="false">
      <c r="A25" s="19" t="s">
        <v>37</v>
      </c>
      <c r="B25" s="12" t="s">
        <v>39</v>
      </c>
      <c r="C25" s="12"/>
      <c r="D25" s="12"/>
      <c r="E25" s="12"/>
      <c r="F25" s="12"/>
    </row>
    <row r="26" customFormat="false" ht="37.5" hidden="false" customHeight="true" outlineLevel="0" collapsed="false">
      <c r="A26" s="19" t="s">
        <v>37</v>
      </c>
      <c r="B26" s="12" t="s">
        <v>40</v>
      </c>
      <c r="C26" s="12"/>
      <c r="D26" s="12"/>
      <c r="E26" s="12"/>
      <c r="F26" s="12"/>
    </row>
  </sheetData>
  <mergeCells count="23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14" min="5" style="0" width="11"/>
    <col collapsed="false" customWidth="true" hidden="false" outlineLevel="0" max="15" min="15" style="0" width="30"/>
  </cols>
  <sheetData>
    <row r="1" customFormat="false" ht="21.75" hidden="false" customHeight="true" outlineLevel="0" collapsed="false">
      <c r="A1" s="20" t="s">
        <v>41</v>
      </c>
      <c r="B1" s="20"/>
      <c r="C1" s="21" t="s">
        <v>42</v>
      </c>
      <c r="D1" s="21"/>
      <c r="E1" s="21"/>
      <c r="F1" s="21"/>
      <c r="G1" s="20" t="s">
        <v>43</v>
      </c>
      <c r="H1" s="20"/>
      <c r="I1" s="21" t="s">
        <v>44</v>
      </c>
      <c r="J1" s="21"/>
      <c r="K1" s="21"/>
      <c r="L1" s="21"/>
      <c r="M1" s="21"/>
      <c r="N1" s="21"/>
      <c r="O1" s="21"/>
    </row>
    <row r="2" customFormat="false" ht="19.5" hidden="false" customHeight="true" outlineLevel="0" collapsed="false">
      <c r="A2" s="22" t="s">
        <v>45</v>
      </c>
      <c r="B2" s="22"/>
      <c r="C2" s="22"/>
      <c r="D2" s="22"/>
      <c r="E2" s="23" t="s">
        <v>46</v>
      </c>
      <c r="F2" s="23"/>
      <c r="G2" s="23"/>
      <c r="H2" s="23"/>
      <c r="I2" s="23"/>
      <c r="J2" s="23"/>
      <c r="K2" s="23"/>
      <c r="L2" s="23"/>
      <c r="M2" s="23"/>
      <c r="N2" s="23"/>
      <c r="O2" s="24"/>
    </row>
    <row r="3" customFormat="false" ht="51.75" hidden="false" customHeight="true" outlineLevel="0" collapsed="false">
      <c r="A3" s="25" t="s">
        <v>47</v>
      </c>
      <c r="B3" s="25" t="s">
        <v>48</v>
      </c>
      <c r="C3" s="25" t="s">
        <v>49</v>
      </c>
      <c r="D3" s="25" t="s">
        <v>50</v>
      </c>
      <c r="E3" s="25" t="s">
        <v>51</v>
      </c>
      <c r="F3" s="25" t="s">
        <v>52</v>
      </c>
      <c r="G3" s="25" t="s">
        <v>53</v>
      </c>
      <c r="H3" s="25" t="s">
        <v>54</v>
      </c>
      <c r="I3" s="25" t="s">
        <v>55</v>
      </c>
      <c r="J3" s="25" t="s">
        <v>56</v>
      </c>
      <c r="K3" s="25" t="s">
        <v>57</v>
      </c>
      <c r="L3" s="25" t="s">
        <v>58</v>
      </c>
      <c r="M3" s="25" t="s">
        <v>59</v>
      </c>
      <c r="N3" s="25" t="s">
        <v>60</v>
      </c>
      <c r="O3" s="25" t="s">
        <v>61</v>
      </c>
    </row>
    <row r="4" customFormat="false" ht="21.75" hidden="false" customHeight="true" outlineLevel="0" collapsed="false">
      <c r="A4" s="26" t="s">
        <v>62</v>
      </c>
      <c r="B4" s="27" t="s">
        <v>63</v>
      </c>
      <c r="C4" s="28" t="s">
        <v>64</v>
      </c>
      <c r="D4" s="29" t="n">
        <f aca="false">IF(COUNTA(E4:N4)-COUNTIF(E4:N4,"N/A")&gt;0,COUNTIF(E4:N4,"✓ Compliant")/(COUNTA(E4:N4)-COUNTIF(E4:N4,"N/A")),"—")</f>
        <v>0.666666666666667</v>
      </c>
      <c r="E4" s="30" t="s">
        <v>65</v>
      </c>
      <c r="F4" s="30" t="s">
        <v>65</v>
      </c>
      <c r="G4" s="30" t="s">
        <v>66</v>
      </c>
      <c r="H4" s="30" t="s">
        <v>65</v>
      </c>
      <c r="I4" s="30" t="s">
        <v>66</v>
      </c>
      <c r="J4" s="30" t="s">
        <v>66</v>
      </c>
      <c r="K4" s="30" t="s">
        <v>66</v>
      </c>
      <c r="L4" s="30" t="s">
        <v>65</v>
      </c>
      <c r="M4" s="30" t="s">
        <v>67</v>
      </c>
      <c r="N4" s="30" t="s">
        <v>67</v>
      </c>
      <c r="O4" s="31"/>
    </row>
    <row r="5" customFormat="false" ht="21.75" hidden="false" customHeight="true" outlineLevel="0" collapsed="false">
      <c r="A5" s="26" t="s">
        <v>68</v>
      </c>
      <c r="B5" s="27" t="s">
        <v>69</v>
      </c>
      <c r="C5" s="28" t="s">
        <v>70</v>
      </c>
      <c r="D5" s="29" t="n">
        <f aca="false">IF(COUNTA(E5:N5)-COUNTIF(E5:N5,"N/A")&gt;0,COUNTIF(E5:N5,"✓ Compliant")/(COUNTA(E5:N5)-COUNTIF(E5:N5,"N/A")),"—")</f>
        <v>0.833333333333333</v>
      </c>
      <c r="E5" s="30" t="s">
        <v>65</v>
      </c>
      <c r="F5" s="30" t="s">
        <v>65</v>
      </c>
      <c r="G5" s="30" t="s">
        <v>65</v>
      </c>
      <c r="H5" s="30" t="s">
        <v>65</v>
      </c>
      <c r="I5" s="30" t="s">
        <v>65</v>
      </c>
      <c r="J5" s="30" t="s">
        <v>66</v>
      </c>
      <c r="K5" s="30" t="s">
        <v>66</v>
      </c>
      <c r="L5" s="30" t="s">
        <v>66</v>
      </c>
      <c r="M5" s="30" t="s">
        <v>66</v>
      </c>
      <c r="N5" s="30" t="s">
        <v>67</v>
      </c>
      <c r="O5" s="31"/>
    </row>
    <row r="6" customFormat="false" ht="21.75" hidden="false" customHeight="true" outlineLevel="0" collapsed="false">
      <c r="A6" s="26" t="s">
        <v>71</v>
      </c>
      <c r="B6" s="27" t="s">
        <v>72</v>
      </c>
      <c r="C6" s="28" t="s">
        <v>73</v>
      </c>
      <c r="D6" s="29" t="str">
        <f aca="false">IF(COUNTA(E6:N6)-COUNTIF(E6:N6,"N/A")&gt;0,COUNTIF(E6:N6,"✓ Compliant")/(COUNTA(E6:N6)-COUNTIF(E6:N6,"N/A")),"—")</f>
        <v>—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1"/>
    </row>
    <row r="7" customFormat="false" ht="21.75" hidden="false" customHeight="true" outlineLevel="0" collapsed="false">
      <c r="A7" s="26" t="s">
        <v>74</v>
      </c>
      <c r="B7" s="27" t="s">
        <v>75</v>
      </c>
      <c r="C7" s="28" t="s">
        <v>76</v>
      </c>
      <c r="D7" s="29" t="n">
        <f aca="false">IF(COUNTA(E7:N7)-COUNTIF(E7:N7,"N/A")&gt;0,COUNTIF(E7:N7,"✓ Compliant")/(COUNTA(E7:N7)-COUNTIF(E7:N7,"N/A")),"—")</f>
        <v>0.857142857142857</v>
      </c>
      <c r="E7" s="30" t="s">
        <v>65</v>
      </c>
      <c r="F7" s="30" t="s">
        <v>65</v>
      </c>
      <c r="G7" s="30" t="s">
        <v>65</v>
      </c>
      <c r="H7" s="30" t="s">
        <v>65</v>
      </c>
      <c r="I7" s="30" t="s">
        <v>65</v>
      </c>
      <c r="J7" s="30" t="s">
        <v>66</v>
      </c>
      <c r="K7" s="30" t="s">
        <v>65</v>
      </c>
      <c r="L7" s="30" t="s">
        <v>66</v>
      </c>
      <c r="M7" s="30" t="s">
        <v>66</v>
      </c>
      <c r="N7" s="30" t="s">
        <v>67</v>
      </c>
      <c r="O7" s="31"/>
    </row>
    <row r="8" customFormat="false" ht="21.75" hidden="false" customHeight="true" outlineLevel="0" collapsed="false">
      <c r="A8" s="26" t="s">
        <v>77</v>
      </c>
      <c r="B8" s="27" t="s">
        <v>78</v>
      </c>
      <c r="C8" s="28" t="s">
        <v>79</v>
      </c>
      <c r="D8" s="29" t="str">
        <f aca="false">IF(COUNTA(E8:N8)-COUNTIF(E8:N8,"N/A")&gt;0,COUNTIF(E8:N8,"✓ Compliant")/(COUNTA(E8:N8)-COUNTIF(E8:N8,"N/A")),"—")</f>
        <v>—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</row>
    <row r="9" customFormat="false" ht="21.75" hidden="false" customHeight="true" outlineLevel="0" collapsed="false">
      <c r="A9" s="26" t="s">
        <v>80</v>
      </c>
      <c r="B9" s="27" t="s">
        <v>81</v>
      </c>
      <c r="C9" s="28" t="s">
        <v>82</v>
      </c>
      <c r="D9" s="29" t="str">
        <f aca="false">IF(COUNTA(E9:N9)-COUNTIF(E9:N9,"N/A")&gt;0,COUNTIF(E9:N9,"✓ Compliant")/(COUNTA(E9:N9)-COUNTIF(E9:N9,"N/A")),"—")</f>
        <v>—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1"/>
    </row>
    <row r="10" customFormat="false" ht="21.75" hidden="false" customHeight="true" outlineLevel="0" collapsed="false">
      <c r="A10" s="26" t="s">
        <v>83</v>
      </c>
      <c r="B10" s="27" t="s">
        <v>84</v>
      </c>
      <c r="C10" s="28" t="s">
        <v>85</v>
      </c>
      <c r="D10" s="29" t="n">
        <f aca="false">IF(COUNTA(E10:N10)-COUNTIF(E10:N10,"N/A")&gt;0,COUNTIF(E10:N10,"✓ Compliant")/(COUNTA(E10:N10)-COUNTIF(E10:N10,"N/A")),"—")</f>
        <v>1</v>
      </c>
      <c r="E10" s="30" t="s">
        <v>65</v>
      </c>
      <c r="F10" s="30" t="s">
        <v>65</v>
      </c>
      <c r="G10" s="30" t="s">
        <v>65</v>
      </c>
      <c r="H10" s="30" t="s">
        <v>65</v>
      </c>
      <c r="I10" s="30" t="s">
        <v>65</v>
      </c>
      <c r="J10" s="30" t="s">
        <v>65</v>
      </c>
      <c r="K10" s="30" t="s">
        <v>65</v>
      </c>
      <c r="L10" s="30" t="s">
        <v>66</v>
      </c>
      <c r="M10" s="30" t="s">
        <v>66</v>
      </c>
      <c r="N10" s="30" t="s">
        <v>65</v>
      </c>
      <c r="O10" s="31"/>
    </row>
    <row r="11" customFormat="false" ht="21.75" hidden="false" customHeight="true" outlineLevel="0" collapsed="false">
      <c r="A11" s="26" t="s">
        <v>86</v>
      </c>
      <c r="B11" s="27" t="s">
        <v>87</v>
      </c>
      <c r="C11" s="28" t="s">
        <v>88</v>
      </c>
      <c r="D11" s="29" t="str">
        <f aca="false">IF(COUNTA(E11:N11)-COUNTIF(E11:N11,"N/A")&gt;0,COUNTIF(E11:N11,"✓ Compliant")/(COUNTA(E11:N11)-COUNTIF(E11:N11,"N/A")),"—")</f>
        <v>—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</row>
    <row r="12" customFormat="false" ht="21.75" hidden="false" customHeight="true" outlineLevel="0" collapsed="false">
      <c r="A12" s="26" t="s">
        <v>89</v>
      </c>
      <c r="B12" s="27" t="s">
        <v>90</v>
      </c>
      <c r="C12" s="28" t="s">
        <v>91</v>
      </c>
      <c r="D12" s="29" t="n">
        <f aca="false">IF(COUNTA(E12:N12)-COUNTIF(E12:N12,"N/A")&gt;0,COUNTIF(E12:N12,"✓ Compliant")/(COUNTA(E12:N12)-COUNTIF(E12:N12,"N/A")),"—")</f>
        <v>1</v>
      </c>
      <c r="E12" s="30" t="s">
        <v>65</v>
      </c>
      <c r="F12" s="30" t="s">
        <v>65</v>
      </c>
      <c r="G12" s="30" t="s">
        <v>65</v>
      </c>
      <c r="H12" s="30" t="s">
        <v>65</v>
      </c>
      <c r="I12" s="30" t="s">
        <v>65</v>
      </c>
      <c r="J12" s="30" t="s">
        <v>65</v>
      </c>
      <c r="K12" s="30" t="s">
        <v>66</v>
      </c>
      <c r="L12" s="30" t="s">
        <v>66</v>
      </c>
      <c r="M12" s="30" t="s">
        <v>66</v>
      </c>
      <c r="N12" s="30" t="s">
        <v>65</v>
      </c>
      <c r="O12" s="31"/>
    </row>
    <row r="13" customFormat="false" ht="21.75" hidden="false" customHeight="true" outlineLevel="0" collapsed="false">
      <c r="A13" s="26" t="s">
        <v>92</v>
      </c>
      <c r="B13" s="27" t="s">
        <v>93</v>
      </c>
      <c r="C13" s="28" t="s">
        <v>94</v>
      </c>
      <c r="D13" s="29" t="str">
        <f aca="false">IF(COUNTA(E13:N13)-COUNTIF(E13:N13,"N/A")&gt;0,COUNTIF(E13:N13,"✓ Compliant")/(COUNTA(E13:N13)-COUNTIF(E13:N13,"N/A")),"—")</f>
        <v>—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1"/>
    </row>
    <row r="14" customFormat="false" ht="21.75" hidden="false" customHeight="true" outlineLevel="0" collapsed="false">
      <c r="A14" s="26" t="s">
        <v>95</v>
      </c>
      <c r="B14" s="27" t="s">
        <v>96</v>
      </c>
      <c r="C14" s="28" t="s">
        <v>97</v>
      </c>
      <c r="D14" s="29" t="str">
        <f aca="false">IF(COUNTA(E14:N14)-COUNTIF(E14:N14,"N/A")&gt;0,COUNTIF(E14:N14,"✓ Compliant")/(COUNTA(E14:N14)-COUNTIF(E14:N14,"N/A")),"—")</f>
        <v>—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1"/>
    </row>
    <row r="15" customFormat="false" ht="21.75" hidden="false" customHeight="true" outlineLevel="0" collapsed="false">
      <c r="A15" s="26" t="s">
        <v>98</v>
      </c>
      <c r="B15" s="27" t="s">
        <v>99</v>
      </c>
      <c r="C15" s="28" t="s">
        <v>100</v>
      </c>
      <c r="D15" s="29" t="n">
        <f aca="false">IF(COUNTA(E15:N15)-COUNTIF(E15:N15,"N/A")&gt;0,COUNTIF(E15:N15,"✓ Compliant")/(COUNTA(E15:N15)-COUNTIF(E15:N15,"N/A")),"—")</f>
        <v>0.375</v>
      </c>
      <c r="E15" s="30" t="s">
        <v>65</v>
      </c>
      <c r="F15" s="30" t="s">
        <v>65</v>
      </c>
      <c r="G15" s="30" t="s">
        <v>65</v>
      </c>
      <c r="H15" s="30" t="s">
        <v>67</v>
      </c>
      <c r="I15" s="30" t="s">
        <v>67</v>
      </c>
      <c r="J15" s="30" t="s">
        <v>66</v>
      </c>
      <c r="K15" s="30" t="s">
        <v>66</v>
      </c>
      <c r="L15" s="30" t="s">
        <v>67</v>
      </c>
      <c r="M15" s="30" t="s">
        <v>101</v>
      </c>
      <c r="N15" s="30" t="s">
        <v>101</v>
      </c>
      <c r="O15" s="31" t="s">
        <v>102</v>
      </c>
    </row>
    <row r="16" customFormat="false" ht="21.75" hidden="false" customHeight="true" outlineLevel="0" collapsed="false">
      <c r="A16" s="26" t="s">
        <v>103</v>
      </c>
      <c r="B16" s="27" t="s">
        <v>104</v>
      </c>
      <c r="C16" s="28" t="s">
        <v>105</v>
      </c>
      <c r="D16" s="29" t="str">
        <f aca="false">IF(COUNTA(E16:N16)-COUNTIF(E16:N16,"N/A")&gt;0,COUNTIF(E16:N16,"✓ Compliant")/(COUNTA(E16:N16)-COUNTIF(E16:N16,"N/A")),"—")</f>
        <v>—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</row>
    <row r="17" customFormat="false" ht="21.75" hidden="false" customHeight="true" outlineLevel="0" collapsed="false">
      <c r="A17" s="26" t="s">
        <v>106</v>
      </c>
      <c r="B17" s="27" t="s">
        <v>107</v>
      </c>
      <c r="C17" s="28" t="s">
        <v>108</v>
      </c>
      <c r="D17" s="29" t="str">
        <f aca="false">IF(COUNTA(E17:N17)-COUNTIF(E17:N17,"N/A")&gt;0,COUNTIF(E17:N17,"✓ Compliant")/(COUNTA(E17:N17)-COUNTIF(E17:N17,"N/A")),"—")</f>
        <v>—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</row>
    <row r="18" customFormat="false" ht="21.75" hidden="false" customHeight="true" outlineLevel="0" collapsed="false">
      <c r="A18" s="26" t="s">
        <v>109</v>
      </c>
      <c r="B18" s="27" t="s">
        <v>110</v>
      </c>
      <c r="C18" s="28" t="s">
        <v>111</v>
      </c>
      <c r="D18" s="29" t="str">
        <f aca="false">IF(COUNTA(E18:N18)-COUNTIF(E18:N18,"N/A")&gt;0,COUNTIF(E18:N18,"✓ Compliant")/(COUNTA(E18:N18)-COUNTIF(E18:N18,"N/A")),"—")</f>
        <v>—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</row>
    <row r="19" customFormat="false" ht="21.75" hidden="false" customHeight="true" outlineLevel="0" collapsed="false">
      <c r="A19" s="26" t="s">
        <v>112</v>
      </c>
      <c r="B19" s="27" t="s">
        <v>113</v>
      </c>
      <c r="C19" s="28" t="s">
        <v>114</v>
      </c>
      <c r="D19" s="29" t="str">
        <f aca="false">IF(COUNTA(E19:N19)-COUNTIF(E19:N19,"N/A")&gt;0,COUNTIF(E19:N19,"✓ Compliant")/(COUNTA(E19:N19)-COUNTIF(E19:N19,"N/A")),"—")</f>
        <v>—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1"/>
    </row>
    <row r="20" customFormat="false" ht="21.75" hidden="false" customHeight="true" outlineLevel="0" collapsed="false">
      <c r="A20" s="26" t="s">
        <v>115</v>
      </c>
      <c r="B20" s="27" t="s">
        <v>116</v>
      </c>
      <c r="C20" s="28" t="s">
        <v>117</v>
      </c>
      <c r="D20" s="29" t="str">
        <f aca="false">IF(COUNTA(E20:N20)-COUNTIF(E20:N20,"N/A")&gt;0,COUNTIF(E20:N20,"✓ Compliant")/(COUNTA(E20:N20)-COUNTIF(E20:N20,"N/A")),"—")</f>
        <v>—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</row>
    <row r="21" customFormat="false" ht="21.75" hidden="false" customHeight="true" outlineLevel="0" collapsed="false">
      <c r="A21" s="26" t="s">
        <v>118</v>
      </c>
      <c r="B21" s="27" t="s">
        <v>119</v>
      </c>
      <c r="C21" s="28" t="s">
        <v>120</v>
      </c>
      <c r="D21" s="29" t="str">
        <f aca="false">IF(COUNTA(E21:N21)-COUNTIF(E21:N21,"N/A")&gt;0,COUNTIF(E21:N21,"✓ Compliant")/(COUNTA(E21:N21)-COUNTIF(E21:N21,"N/A")),"—")</f>
        <v>—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</row>
    <row r="22" customFormat="false" ht="21.75" hidden="false" customHeight="true" outlineLevel="0" collapsed="false">
      <c r="A22" s="26" t="s">
        <v>121</v>
      </c>
      <c r="B22" s="27" t="s">
        <v>122</v>
      </c>
      <c r="C22" s="28" t="s">
        <v>123</v>
      </c>
      <c r="D22" s="29" t="str">
        <f aca="false">IF(COUNTA(E22:N22)-COUNTIF(E22:N22,"N/A")&gt;0,COUNTIF(E22:N22,"✓ Compliant")/(COUNTA(E22:N22)-COUNTIF(E22:N22,"N/A")),"—")</f>
        <v>—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</row>
    <row r="23" customFormat="false" ht="21.75" hidden="false" customHeight="true" outlineLevel="0" collapsed="false">
      <c r="A23" s="26" t="s">
        <v>124</v>
      </c>
      <c r="B23" s="27" t="s">
        <v>125</v>
      </c>
      <c r="C23" s="28" t="s">
        <v>126</v>
      </c>
      <c r="D23" s="29" t="str">
        <f aca="false">IF(COUNTA(E23:N23)-COUNTIF(E23:N23,"N/A")&gt;0,COUNTIF(E23:N23,"✓ Compliant")/(COUNTA(E23:N23)-COUNTIF(E23:N23,"N/A")),"—")</f>
        <v>—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</row>
    <row r="24" customFormat="false" ht="21.75" hidden="false" customHeight="true" outlineLevel="0" collapsed="false">
      <c r="A24" s="20" t="s">
        <v>127</v>
      </c>
      <c r="B24" s="20"/>
      <c r="C24" s="20"/>
      <c r="D24" s="20"/>
      <c r="E24" s="32" t="n">
        <f aca="false">IF(COUNTA(E4:E23)-COUNTIF(E4:E23,"N/A")&gt;0,COUNTIF(E4:E23,"✓ Compliant")/(COUNTA(E4:E23)-COUNTIF(E4:E23,"N/A")),"—")</f>
        <v>1</v>
      </c>
      <c r="F24" s="32" t="n">
        <f aca="false">IF(COUNTA(F4:F23)-COUNTIF(F4:F23,"N/A")&gt;0,COUNTIF(F4:F23,"✓ Compliant")/(COUNTA(F4:F23)-COUNTIF(F4:F23,"N/A")),"—")</f>
        <v>1</v>
      </c>
      <c r="G24" s="32" t="n">
        <f aca="false">IF(COUNTA(G4:G23)-COUNTIF(G4:G23,"N/A")&gt;0,COUNTIF(G4:G23,"✓ Compliant")/(COUNTA(G4:G23)-COUNTIF(G4:G23,"N/A")),"—")</f>
        <v>1</v>
      </c>
      <c r="H24" s="32" t="n">
        <f aca="false">IF(COUNTA(H4:H23)-COUNTIF(H4:H23,"N/A")&gt;0,COUNTIF(H4:H23,"✓ Compliant")/(COUNTA(H4:H23)-COUNTIF(H4:H23,"N/A")),"—")</f>
        <v>0.833333333333333</v>
      </c>
      <c r="I24" s="32" t="n">
        <f aca="false">IF(COUNTA(I4:I23)-COUNTIF(I4:I23,"N/A")&gt;0,COUNTIF(I4:I23,"✓ Compliant")/(COUNTA(I4:I23)-COUNTIF(I4:I23,"N/A")),"—")</f>
        <v>0.8</v>
      </c>
      <c r="J24" s="32" t="n">
        <f aca="false">IF(COUNTA(J4:J23)-COUNTIF(J4:J23,"N/A")&gt;0,COUNTIF(J4:J23,"✓ Compliant")/(COUNTA(J4:J23)-COUNTIF(J4:J23,"N/A")),"—")</f>
        <v>1</v>
      </c>
      <c r="K24" s="32" t="n">
        <f aca="false">IF(COUNTA(K4:K23)-COUNTIF(K4:K23,"N/A")&gt;0,COUNTIF(K4:K23,"✓ Compliant")/(COUNTA(K4:K23)-COUNTIF(K4:K23,"N/A")),"—")</f>
        <v>1</v>
      </c>
      <c r="L24" s="32" t="n">
        <f aca="false">IF(COUNTA(L4:L23)-COUNTIF(L4:L23,"N/A")&gt;0,COUNTIF(L4:L23,"✓ Compliant")/(COUNTA(L4:L23)-COUNTIF(L4:L23,"N/A")),"—")</f>
        <v>0.5</v>
      </c>
      <c r="M24" s="32" t="n">
        <f aca="false">IF(COUNTA(M4:M23)-COUNTIF(M4:M23,"N/A")&gt;0,COUNTIF(M4:M23,"✓ Compliant")/(COUNTA(M4:M23)-COUNTIF(M4:M23,"N/A")),"—")</f>
        <v>0</v>
      </c>
      <c r="N24" s="32" t="n">
        <f aca="false">IF(COUNTA(N4:N23)-COUNTIF(N4:N23,"N/A")&gt;0,COUNTIF(N4:N23,"✓ Compliant")/(COUNTA(N4:N23)-COUNTIF(N4:N23,"N/A")),"—")</f>
        <v>0.333333333333333</v>
      </c>
      <c r="O24" s="24"/>
    </row>
  </sheetData>
  <mergeCells count="7">
    <mergeCell ref="A1:B1"/>
    <mergeCell ref="C1:F1"/>
    <mergeCell ref="G1:H1"/>
    <mergeCell ref="I1:O1"/>
    <mergeCell ref="A2:D2"/>
    <mergeCell ref="E2:N2"/>
    <mergeCell ref="A24:D24"/>
  </mergeCells>
  <conditionalFormatting sqref="E4:N23">
    <cfRule type="cellIs" priority="2" operator="equal" aboveAverage="0" equalAverage="0" bottom="0" percent="0" rank="0" text="" dxfId="0">
      <formula>"✓ Compliant"</formula>
    </cfRule>
    <cfRule type="cellIs" priority="3" operator="equal" aboveAverage="0" equalAverage="0" bottom="0" percent="0" rank="0" text="" dxfId="1">
      <formula>"⚠ Partial"</formula>
    </cfRule>
    <cfRule type="cellIs" priority="4" operator="equal" aboveAverage="0" equalAverage="0" bottom="0" percent="0" rank="0" text="" dxfId="2">
      <formula>"✗ Non-Compliant"</formula>
    </cfRule>
    <cfRule type="cellIs" priority="5" operator="equal" aboveAverage="0" equalAverage="0" bottom="0" percent="0" rank="0" text="" dxfId="3">
      <formula>"N/A"</formula>
    </cfRule>
  </conditionalFormatting>
  <conditionalFormatting sqref="D4:D23">
    <cfRule type="expression" priority="6" aboveAverage="0" equalAverage="0" bottom="0" percent="0" rank="0" text="" dxfId="0">
      <formula>AND(ISNUMBER(D4),D4&gt;=0.8)</formula>
    </cfRule>
    <cfRule type="expression" priority="7" aboveAverage="0" equalAverage="0" bottom="0" percent="0" rank="0" text="" dxfId="4">
      <formula>AND(ISNUMBER(D4),D4&gt;=0.5,D4&lt;0.8)</formula>
    </cfRule>
    <cfRule type="expression" priority="8" aboveAverage="0" equalAverage="0" bottom="0" percent="0" rank="0" text="" dxfId="2">
      <formula>AND(ISNUMBER(D4),D4&lt;0.5)</formula>
    </cfRule>
  </conditionalFormatting>
  <dataValidations count="1">
    <dataValidation allowBlank="true" errorStyle="stop" operator="between" showDropDown="false" showErrorMessage="false" showInputMessage="false" sqref="E4:N60" type="list">
      <formula1>"✓ Compliant,⚠ Partial,✗ 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&amp;CSpecifications Compliance Matrix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33" t="s">
        <v>128</v>
      </c>
    </row>
    <row r="2" customFormat="false" ht="21.75" hidden="false" customHeight="true" outlineLevel="0" collapsed="false">
      <c r="A2" s="34"/>
    </row>
    <row r="3" customFormat="false" ht="21.75" hidden="false" customHeight="true" outlineLevel="0" collapsed="false">
      <c r="A3" s="34" t="s">
        <v>129</v>
      </c>
    </row>
    <row r="4" customFormat="false" ht="21.75" hidden="false" customHeight="true" outlineLevel="0" collapsed="false">
      <c r="A4" s="34"/>
    </row>
    <row r="5" customFormat="false" ht="21.75" hidden="false" customHeight="true" outlineLevel="0" collapsed="false">
      <c r="A5" s="34" t="s">
        <v>130</v>
      </c>
    </row>
    <row r="6" customFormat="false" ht="21.75" hidden="false" customHeight="true" outlineLevel="0" collapsed="false">
      <c r="A6" s="34" t="s">
        <v>131</v>
      </c>
    </row>
    <row r="7" customFormat="false" ht="21.75" hidden="false" customHeight="true" outlineLevel="0" collapsed="false">
      <c r="A7" s="34" t="s">
        <v>132</v>
      </c>
    </row>
    <row r="8" customFormat="false" ht="21.75" hidden="false" customHeight="true" outlineLevel="0" collapsed="false">
      <c r="A8" s="34" t="s">
        <v>133</v>
      </c>
    </row>
    <row r="9" customFormat="false" ht="21.75" hidden="false" customHeight="true" outlineLevel="0" collapsed="false">
      <c r="A9" s="34" t="s">
        <v>134</v>
      </c>
    </row>
    <row r="10" customFormat="false" ht="21.75" hidden="false" customHeight="true" outlineLevel="0" collapsed="false">
      <c r="A10" s="34" t="s">
        <v>135</v>
      </c>
    </row>
    <row r="11" customFormat="false" ht="21.75" hidden="false" customHeight="true" outlineLevel="0" collapsed="false">
      <c r="A11" s="34"/>
    </row>
    <row r="12" customFormat="false" ht="21.75" hidden="false" customHeight="true" outlineLevel="0" collapsed="false">
      <c r="A12" s="34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 &amp; Inspection</cp:category>
  <dcterms:created xsi:type="dcterms:W3CDTF">2026-03-24T13:35:12Z</dcterms:created>
  <dc:creator>Ebrora Ltd</dc:creator>
  <dc:description>Specifications compliance matrix cross-referencing CESWI/UUCESWI clauses against project deliverables on UK construction projects.
Free professional construction management template from Ebrora Ltd. Visit ebrora.com for our full range of tools and templates.</dc:description>
  <cp:keywords>Ebrora construction compliance matrix CESWI UUCESWI specification quality handover UK construction</cp:keywords>
  <dc:language>en-US</dc:language>
  <cp:lastModifiedBy>Ebrora Ltd</cp:lastModifiedBy>
  <dcterms:modified xsi:type="dcterms:W3CDTF">2026-03-24T13:35:12Z</dcterms:modified>
  <cp:revision>0</cp:revision>
  <dc:subject>Specifications compliance matrix cross-referencing CESWI/UUCESWI clauses against project deliverables for clause-by-clause compliance demonstration at handover.</dc:subject>
  <dc:title>Specifications Compliance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