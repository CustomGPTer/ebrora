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otor Drive Schedule"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'Motor Drive Schedule'!$A$1:$R$58</definedName>
    <definedName function="false" hidden="true" localSheetId="2" name="_xlnm._FilterDatabase" vbProcedure="false">'Motor Drive Schedule'!$A$8:$R$8</definedName>
    <definedName function="false" hidden="false" name="DataTable" vbProcedure="false">'Motor Drive Schedule'!$A$8:$R$58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<sst xmlns="http://schemas.openxmlformats.org/spreadsheetml/2006/main" count="154" uniqueCount="137">
  <si>
    <t xml:space="preserve">EBRORA</t>
  </si>
  <si>
    <t xml:space="preserve">ebrora.com</t>
  </si>
  <si>
    <t xml:space="preserve">Motor / Drive Schedule</t>
  </si>
  <si>
    <t xml:space="preserve">Pair every motor with its starter or drive — capture ratings, locations, rotation checks, and commissioning status in one master schedule.</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</si>
  <si>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</si>
  <si>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</si>
  <si>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</si>
  <si>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Template Layout</t>
  </si>
  <si>
    <t xml:space="preserve">This schedule uses a two-panel design. The LEFT panel covers motor details (tag, rating, speed, location). The RIGHT panel covers the paired starter or drive (type, tag, fed from). An overall commissioning status ties both together.</t>
  </si>
  <si>
    <t xml:space="preserve">Getting Started</t>
  </si>
  <si>
    <t xml:space="preserve">1.</t>
  </si>
  <si>
    <t xml:space="preserve">Go to the 'Motor Drive Schedule' sheet. Each row represents one motor and its associated starter/drive.</t>
  </si>
  <si>
    <t xml:space="preserve">2.</t>
  </si>
  <si>
    <t xml:space="preserve">Enter the Motor Tag (e.g., M-101, M-201) and a brief description of the driven equipment (e.g., Raw Water Pump P1).</t>
  </si>
  <si>
    <t xml:space="preserve">3.</t>
  </si>
  <si>
    <t xml:space="preserve">Fill in the motor rating (kW), voltage, speed (RPM), and location from the light teal input cells.</t>
  </si>
  <si>
    <t xml:space="preserve">4.</t>
  </si>
  <si>
    <t xml:space="preserve">In the Drive/Starter panel, select the start method (DOL, Star-Delta, VSD, Soft Start) and enter the drive/starter tag and supply source.</t>
  </si>
  <si>
    <t xml:space="preserve">5.</t>
  </si>
  <si>
    <t xml:space="preserve">Track rotation check (Correct/Incorrect/Not Checked) and overall commissioning status (Not Started → In Progress → Complete).</t>
  </si>
  <si>
    <t xml:space="preserve">6.</t>
  </si>
  <si>
    <t xml:space="preserve">The dashboard auto-calculates totals, commissioning %, and a breakdown by drive type.</t>
  </si>
  <si>
    <t xml:space="preserve">Optional Fields</t>
  </si>
  <si>
    <t xml:space="preserve">7.</t>
  </si>
  <si>
    <t xml:space="preserve">Click [+] to expand: Motor Frame Size, Manufacturer, FLC (A), and Insulation Class — useful for detailed motor data sheets and procurement.</t>
  </si>
  <si>
    <t xml:space="preserve">Colour Key</t>
  </si>
  <si>
    <t xml:space="preserve">Light Teal cells</t>
  </si>
  <si>
    <t xml:space="preserve">Editable — enter your data here</t>
  </si>
  <si>
    <t xml:space="preserve">Dark Navy headers</t>
  </si>
  <si>
    <t xml:space="preserve">Do not edit — column headings</t>
  </si>
  <si>
    <t xml:space="preserve">Teal band</t>
  </si>
  <si>
    <t xml:space="preserve">Panel separator — Motor Details vs Drive/Starter Details</t>
  </si>
  <si>
    <t xml:space="preserve">Green</t>
  </si>
  <si>
    <t xml:space="preserve">Commissioned / Rotation Correct</t>
  </si>
  <si>
    <t xml:space="preserve">Amber</t>
  </si>
  <si>
    <t xml:space="preserve">In Progress / Not Checked</t>
  </si>
  <si>
    <t xml:space="preserve">Red</t>
  </si>
  <si>
    <t xml:space="preserve">Not Started / Rotation Incorrect</t>
  </si>
  <si>
    <t xml:space="preserve">Tips</t>
  </si>
  <si>
    <t xml:space="preserve">•</t>
  </si>
  <si>
    <t xml:space="preserve">Filter by Start Method to generate VSD-specific commissioning lists — VSDs usually need separate parameter setting and tuning.</t>
  </si>
  <si>
    <t xml:space="preserve">Use the Rotation Check column to ensure every motor has been bump-tested before sustained running. Flag 'Incorrect' items for immediate attention.</t>
  </si>
  <si>
    <t xml:space="preserve">Cross-reference Motor Tags with your Cable Pulling Schedule (Template 41) and Termination Register (Template 46) for full traceability.</t>
  </si>
  <si>
    <t xml:space="preserve">MOTOR / DRIVE SCHEDULE — COMMISSIONING DASHBOARD</t>
  </si>
  <si>
    <t xml:space="preserve">Total Motors:</t>
  </si>
  <si>
    <t xml:space="preserve">Commissioned:</t>
  </si>
  <si>
    <t xml:space="preserve">In Progress:</t>
  </si>
  <si>
    <t xml:space="preserve">Not Started:</t>
  </si>
  <si>
    <t xml:space="preserve">Comm. %:</t>
  </si>
  <si>
    <t xml:space="preserve">DOL:</t>
  </si>
  <si>
    <t xml:space="preserve">Star-Delta:</t>
  </si>
  <si>
    <t xml:space="preserve">VSD:</t>
  </si>
  <si>
    <t xml:space="preserve">Soft Start:</t>
  </si>
  <si>
    <t xml:space="preserve">Total kW:</t>
  </si>
  <si>
    <t xml:space="preserve">MOTOR DETAILS</t>
  </si>
  <si>
    <t xml:space="preserve">DRIVE / STARTER DETAILS</t>
  </si>
  <si>
    <t xml:space="preserve">COMMISSIONING</t>
  </si>
  <si>
    <t xml:space="preserve">▸ Optional [+]</t>
  </si>
  <si>
    <t xml:space="preserve">Motor Tag</t>
  </si>
  <si>
    <t xml:space="preserve">Description</t>
  </si>
  <si>
    <t xml:space="preserve">Rating (kW)</t>
  </si>
  <si>
    <t xml:space="preserve">Voltage (V)</t>
  </si>
  <si>
    <t xml:space="preserve">Speed (RPM)</t>
  </si>
  <si>
    <t xml:space="preserve">Location / Area</t>
  </si>
  <si>
    <t xml:space="preserve">Duty</t>
  </si>
  <si>
    <t xml:space="preserve">Drive/Starter Tag</t>
  </si>
  <si>
    <t xml:space="preserve">Start Method</t>
  </si>
  <si>
    <t xml:space="preserve">Fed From</t>
  </si>
  <si>
    <t xml:space="preserve">Cable Tag</t>
  </si>
  <si>
    <t xml:space="preserve">Rotation Check</t>
  </si>
  <si>
    <t xml:space="preserve">Comm. Status</t>
  </si>
  <si>
    <t xml:space="preserve">Notes</t>
  </si>
  <si>
    <t xml:space="preserve">Frame Size</t>
  </si>
  <si>
    <t xml:space="preserve">Manufacturer</t>
  </si>
  <si>
    <t xml:space="preserve">FLC (A)</t>
  </si>
  <si>
    <t xml:space="preserve">Insulation Class</t>
  </si>
  <si>
    <t xml:space="preserve">M-101</t>
  </si>
  <si>
    <t xml:space="preserve">Raw Water Pump P1</t>
  </si>
  <si>
    <t xml:space="preserve">Pump House PH-01</t>
  </si>
  <si>
    <t xml:space="preserve">VSD-101</t>
  </si>
  <si>
    <t xml:space="preserve">VSD</t>
  </si>
  <si>
    <t xml:space="preserve">MCC-01 Way 3</t>
  </si>
  <si>
    <t xml:space="preserve">CB-001</t>
  </si>
  <si>
    <t xml:space="preserve">Correct</t>
  </si>
  <si>
    <t xml:space="preserve">Complete</t>
  </si>
  <si>
    <t xml:space="preserve">D200L</t>
  </si>
  <si>
    <t xml:space="preserve">ABB</t>
  </si>
  <si>
    <t xml:space="preserve">Class F</t>
  </si>
  <si>
    <t xml:space="preserve">M-102</t>
  </si>
  <si>
    <t xml:space="preserve">Raw Water Pump P2</t>
  </si>
  <si>
    <t xml:space="preserve">Standby</t>
  </si>
  <si>
    <t xml:space="preserve">VSD-102</t>
  </si>
  <si>
    <t xml:space="preserve">MCC-01 Way 4</t>
  </si>
  <si>
    <t xml:space="preserve">CB-006</t>
  </si>
  <si>
    <t xml:space="preserve">M-201</t>
  </si>
  <si>
    <t xml:space="preserve">Sludge Transfer Pump SP1</t>
  </si>
  <si>
    <t xml:space="preserve">Sludge Building</t>
  </si>
  <si>
    <t xml:space="preserve">SS-201</t>
  </si>
  <si>
    <t xml:space="preserve">Soft Start</t>
  </si>
  <si>
    <t xml:space="preserve">MCC-02 Way 1</t>
  </si>
  <si>
    <t xml:space="preserve">CB-010</t>
  </si>
  <si>
    <t xml:space="preserve">Not Checked</t>
  </si>
  <si>
    <t xml:space="preserve">In Progress</t>
  </si>
  <si>
    <t xml:space="preserve">Awaiting VSD parameter setup</t>
  </si>
  <si>
    <t xml:space="preserve">D160M</t>
  </si>
  <si>
    <t xml:space="preserve">WEG</t>
  </si>
  <si>
    <t xml:space="preserve">M-301</t>
  </si>
  <si>
    <t xml:space="preserve">AHU-01 Supply Fan</t>
  </si>
  <si>
    <t xml:space="preserve">Plant Room</t>
  </si>
  <si>
    <t xml:space="preserve">Continuous</t>
  </si>
  <si>
    <t xml:space="preserve">DS-301</t>
  </si>
  <si>
    <t xml:space="preserve">Star-Delta</t>
  </si>
  <si>
    <t xml:space="preserve">DB-03A Way 5</t>
  </si>
  <si>
    <t xml:space="preserve">CB-003</t>
  </si>
  <si>
    <t xml:space="preserve">Running on timer — BMS link pending</t>
  </si>
  <si>
    <t xml:space="preserve">D132M</t>
  </si>
  <si>
    <t xml:space="preserve">Siemens</t>
  </si>
  <si>
    <t xml:space="preserve">M-401</t>
  </si>
  <si>
    <t xml:space="preserve">Chemical Dosing Pump DP-201</t>
  </si>
  <si>
    <t xml:space="preserve">Chemical Dosing Room</t>
  </si>
  <si>
    <t xml:space="preserve">CT-401</t>
  </si>
  <si>
    <t xml:space="preserve">DOL</t>
  </si>
  <si>
    <t xml:space="preserve">DB-05 Way 2</t>
  </si>
  <si>
    <t xml:space="preserve">CB-015</t>
  </si>
  <si>
    <t xml:space="preserve">Not Started</t>
  </si>
  <si>
    <t xml:space="preserve">D80</t>
  </si>
  <si>
    <t xml:space="preserve">Grundfos</t>
  </si>
  <si>
    <t xml:space="preserve">Class B</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</si>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</sst>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3"/>
      <color rgb="FFFFFFFF"/>
      <name val="Calibri"/>
      <family val="0"/>
      <charset val="1"/>
    </font>
    <font>
      <b val="true"/>
      <sz val="9"/>
      <color rgb="FF1B2A4A"/>
      <name val="Calibri"/>
      <family val="0"/>
      <charset val="1"/>
    </font>
    <font>
      <b val="true"/>
      <sz val="12"/>
      <color rgb="FF1B2A4A"/>
      <name val="Calibri"/>
      <family val="0"/>
      <charset val="1"/>
    </font>
    <font>
      <b val="true"/>
      <sz val="11"/>
      <color rgb="FF1B2A4A"/>
      <name val="Calibri"/>
      <family val="0"/>
      <charset val="1"/>
    </font>
    <font>
      <b val="true"/>
      <sz val="10"/>
      <color rgb="FFFFFFFF"/>
      <name val="Calibri"/>
      <family val="0"/>
      <charset val="1"/>
    </font>
    <font>
      <b val="true"/>
      <i val="true"/>
      <sz val="9"/>
      <color rgb="FF2AABB3"/>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2AABB3"/>
        <bgColor rgb="FF339966"/>
      </patternFill>
    </fill>
    <fill>
      <patternFill patternType="solid">
        <fgColor rgb="FFC6EFCE"/>
        <bgColor rgb="FFCCFFFF"/>
      </patternFill>
    </fill>
    <fill>
      <patternFill patternType="solid">
        <fgColor rgb="FFFFEB9C"/>
        <bgColor rgb="FFF2F2F2"/>
      </patternFill>
    </fill>
    <fill>
      <patternFill patternType="solid">
        <fgColor rgb="FFFFC7CE"/>
        <bgColor rgb="FFFFEB9C"/>
      </patternFill>
    </fill>
  </fills>
  <borders count="6">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0" fillId="8" borderId="3"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4" borderId="4" xfId="0" applyFont="true" applyBorder="true" applyAlignment="true" applyProtection="false">
      <alignment horizontal="right" vertical="center" textRotation="0" wrapText="false" indent="0" shrinkToFit="false"/>
      <protection locked="true" hidden="false"/>
    </xf>
    <xf numFmtId="165" fontId="16" fillId="4" borderId="4" xfId="0" applyFont="true" applyBorder="true" applyAlignment="true" applyProtection="false">
      <alignment horizontal="center" vertical="center" textRotation="0" wrapText="true" indent="0" shrinkToFit="false"/>
      <protection locked="true" hidden="false"/>
    </xf>
    <xf numFmtId="166" fontId="16" fillId="4" borderId="4" xfId="0" applyFont="true" applyBorder="true" applyAlignment="true" applyProtection="false">
      <alignment horizontal="center" vertical="center" textRotation="0" wrapText="true" indent="0" shrinkToFit="false"/>
      <protection locked="true" hidden="false"/>
    </xf>
    <xf numFmtId="164" fontId="15" fillId="3" borderId="5" xfId="0" applyFont="true" applyBorder="true" applyAlignment="true" applyProtection="false">
      <alignment horizontal="right" vertical="center" textRotation="0" wrapText="false" indent="0" shrinkToFit="false"/>
      <protection locked="true" hidden="false"/>
    </xf>
    <xf numFmtId="165" fontId="17" fillId="3" borderId="5" xfId="0" applyFont="true" applyBorder="true" applyAlignment="true" applyProtection="false">
      <alignment horizontal="center" vertical="center" textRotation="0" wrapText="true" indent="0" shrinkToFit="false"/>
      <protection locked="true" hidden="false"/>
    </xf>
    <xf numFmtId="167" fontId="17" fillId="3" borderId="5"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8" fillId="5"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2A4A"/>
          <bgColor rgb="FF000000"/>
        </patternFill>
      </fill>
    </dxf>
    <dxf>
      <fill>
        <patternFill patternType="solid">
          <fgColor rgb="FFFFFFFF"/>
          <bgColor rgb="FF000000"/>
        </patternFill>
      </fill>
    </dxf>
    <dxf>
      <fill>
        <patternFill patternType="solid">
          <fgColor rgb="FF2AABB3"/>
          <bgColor rgb="FF000000"/>
        </patternFill>
      </fill>
    </dxf>
    <dxf>
      <fill>
        <patternFill patternType="solid">
          <bgColor rgb="FF000000"/>
        </patternFill>
      </fill>
    </dxf>
    <dxf>
      <font>
        <name val="Calibri"/>
        <charset val="1"/>
        <family val="0"/>
        <b val="1"/>
        <color rgb="FF006100"/>
        <sz val="10"/>
      </font>
      <fill>
        <patternFill>
          <bgColor rgb="FFC6EFCE"/>
        </patternFill>
      </fill>
    </dxf>
    <dxf>
      <fill>
        <patternFill>
          <bgColor rgb="FFFFEB9C"/>
        </patternFill>
      </fill>
    </dxf>
    <dxf>
      <fill>
        <patternFill>
          <bgColor rgb="FFFFC7CE"/>
        </patternFill>
      </fill>
    </dxf>
    <dxf>
      <fill>
        <patternFill>
          <bgColor rgb="FFC6EFCE"/>
        </patternFill>
      </fill>
    </dxf>
    <dxf>
      <font>
        <name val="Calibri"/>
        <charset val="1"/>
        <family val="0"/>
        <b val="1"/>
        <color rgb="FF9C0006"/>
        <sz val="10"/>
      </font>
      <fill>
        <patternFill>
          <bgColor rgb="FFFFC7CE"/>
        </patternFill>
      </fill>
    </dxf>
    <dxf>
      <font>
        <name val="Calibri"/>
        <charset val="1"/>
        <family val="0"/>
        <b val="1"/>
        <color rgb="FF2AABB3"/>
        <sz val="10"/>
      </font>
      <fill>
        <patternFill>
          <bgColor rgb="FFE8F6F7"/>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fals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fals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0"/>
    <col collapsed="false" customWidth="true" hidden="false" outlineLevel="0" max="6" min="3" style="0" width="18"/>
  </cols>
  <sheetData>
    <row r="1" customFormat="false" ht="18.65" hidden="false" customHeight="true" outlineLevel="0" collapsed="false">
      <c r="A1" s="8" t="s">
        <v>6</v>
      </c>
      <c r="B1" s="8"/>
      <c r="C1" s="8"/>
      <c r="D1" s="8"/>
      <c r="E1" s="8"/>
      <c r="F1" s="8"/>
    </row>
    <row r="3" customFormat="false" ht="15" hidden="false" customHeight="true" outlineLevel="0" collapsed="false">
      <c r="A3" s="9" t="s">
        <v>7</v>
      </c>
      <c r="B3" s="9"/>
      <c r="C3" s="9"/>
      <c r="D3" s="9"/>
      <c r="E3" s="9"/>
      <c r="F3" s="9"/>
    </row>
    <row r="4" customFormat="false" ht="23.85" hidden="false" customHeight="true" outlineLevel="0" collapsed="false">
      <c r="A4" s="10"/>
      <c r="B4" s="11" t="s">
        <v>8</v>
      </c>
      <c r="C4" s="11"/>
      <c r="D4" s="11"/>
      <c r="E4" s="11"/>
      <c r="F4" s="11"/>
    </row>
    <row r="6" customFormat="false" ht="15" hidden="false" customHeight="true" outlineLevel="0" collapsed="false">
      <c r="A6" s="9" t="s">
        <v>9</v>
      </c>
      <c r="B6" s="9"/>
      <c r="C6" s="9"/>
      <c r="D6" s="9"/>
      <c r="E6" s="9"/>
      <c r="F6" s="9"/>
    </row>
    <row r="7" customFormat="false" ht="15" hidden="false" customHeight="true" outlineLevel="0" collapsed="false">
      <c r="A7" s="10" t="s">
        <v>10</v>
      </c>
      <c r="B7" s="11" t="s">
        <v>11</v>
      </c>
      <c r="C7" s="11"/>
      <c r="D7" s="11"/>
      <c r="E7" s="11"/>
      <c r="F7" s="11"/>
    </row>
    <row r="8" customFormat="false" ht="15" hidden="false" customHeight="true" outlineLevel="0" collapsed="false">
      <c r="A8" s="10" t="s">
        <v>12</v>
      </c>
      <c r="B8" s="11" t="s">
        <v>13</v>
      </c>
      <c r="C8" s="11"/>
      <c r="D8" s="11"/>
      <c r="E8" s="11"/>
      <c r="F8" s="11"/>
    </row>
    <row r="9" customFormat="false" ht="15" hidden="false" customHeight="true" outlineLevel="0" collapsed="false">
      <c r="A9" s="10" t="s">
        <v>14</v>
      </c>
      <c r="B9" s="11" t="s">
        <v>15</v>
      </c>
      <c r="C9" s="11"/>
      <c r="D9" s="11"/>
      <c r="E9" s="11"/>
      <c r="F9" s="11"/>
    </row>
    <row r="10" customFormat="false" ht="15" hidden="false" customHeight="true" outlineLevel="0" collapsed="false">
      <c r="A10" s="10" t="s">
        <v>16</v>
      </c>
      <c r="B10" s="11" t="s">
        <v>17</v>
      </c>
      <c r="C10" s="11"/>
      <c r="D10" s="11"/>
      <c r="E10" s="11"/>
      <c r="F10" s="11"/>
    </row>
    <row r="11" customFormat="false" ht="15" hidden="false" customHeight="true" outlineLevel="0" collapsed="false">
      <c r="A11" s="10" t="s">
        <v>18</v>
      </c>
      <c r="B11" s="11" t="s">
        <v>19</v>
      </c>
      <c r="C11" s="11"/>
      <c r="D11" s="11"/>
      <c r="E11" s="11"/>
      <c r="F11" s="11"/>
    </row>
    <row r="12" customFormat="false" ht="15" hidden="false" customHeight="true" outlineLevel="0" collapsed="false">
      <c r="A12" s="10" t="s">
        <v>20</v>
      </c>
      <c r="B12" s="11" t="s">
        <v>21</v>
      </c>
      <c r="C12" s="11"/>
      <c r="D12" s="11"/>
      <c r="E12" s="11"/>
      <c r="F12" s="11"/>
    </row>
    <row r="14" customFormat="false" ht="15" hidden="false" customHeight="true" outlineLevel="0" collapsed="false">
      <c r="A14" s="9" t="s">
        <v>22</v>
      </c>
      <c r="B14" s="9"/>
      <c r="C14" s="9"/>
      <c r="D14" s="9"/>
      <c r="E14" s="9"/>
      <c r="F14" s="9"/>
    </row>
    <row r="15" customFormat="false" ht="15" hidden="false" customHeight="true" outlineLevel="0" collapsed="false">
      <c r="A15" s="10" t="s">
        <v>23</v>
      </c>
      <c r="B15" s="11" t="s">
        <v>24</v>
      </c>
      <c r="C15" s="11"/>
      <c r="D15" s="11"/>
      <c r="E15" s="11"/>
      <c r="F15" s="11"/>
    </row>
    <row r="17" customFormat="false" ht="18.65" hidden="false" customHeight="true" outlineLevel="0" collapsed="false">
      <c r="A17" s="8" t="s">
        <v>25</v>
      </c>
      <c r="B17" s="8"/>
      <c r="C17" s="8"/>
      <c r="D17" s="8"/>
      <c r="E17" s="8"/>
      <c r="F17" s="8"/>
    </row>
    <row r="19" customFormat="false" ht="15" hidden="false" customHeight="false" outlineLevel="0" collapsed="false">
      <c r="A19" s="12"/>
      <c r="B19" s="13" t="s">
        <v>26</v>
      </c>
      <c r="C19" s="13"/>
      <c r="D19" s="14" t="s">
        <v>27</v>
      </c>
      <c r="E19" s="14"/>
      <c r="F19" s="14"/>
    </row>
    <row r="20" customFormat="false" ht="15" hidden="false" customHeight="false" outlineLevel="0" collapsed="false">
      <c r="A20" s="15"/>
      <c r="B20" s="13" t="s">
        <v>28</v>
      </c>
      <c r="C20" s="13"/>
      <c r="D20" s="14" t="s">
        <v>29</v>
      </c>
      <c r="E20" s="14"/>
      <c r="F20" s="14"/>
    </row>
    <row r="21" customFormat="false" ht="15" hidden="false" customHeight="false" outlineLevel="0" collapsed="false">
      <c r="A21" s="16"/>
      <c r="B21" s="13" t="s">
        <v>30</v>
      </c>
      <c r="C21" s="13"/>
      <c r="D21" s="14" t="s">
        <v>31</v>
      </c>
      <c r="E21" s="14"/>
      <c r="F21" s="14"/>
    </row>
    <row r="22" customFormat="false" ht="15" hidden="false" customHeight="false" outlineLevel="0" collapsed="false">
      <c r="A22" s="17"/>
      <c r="B22" s="13" t="s">
        <v>32</v>
      </c>
      <c r="C22" s="13"/>
      <c r="D22" s="14" t="s">
        <v>33</v>
      </c>
      <c r="E22" s="14"/>
      <c r="F22" s="14"/>
    </row>
    <row r="23" customFormat="false" ht="15" hidden="false" customHeight="false" outlineLevel="0" collapsed="false">
      <c r="A23" s="18"/>
      <c r="B23" s="13" t="s">
        <v>34</v>
      </c>
      <c r="C23" s="13"/>
      <c r="D23" s="14" t="s">
        <v>35</v>
      </c>
      <c r="E23" s="14"/>
      <c r="F23" s="14"/>
    </row>
    <row r="24" customFormat="false" ht="15" hidden="false" customHeight="false" outlineLevel="0" collapsed="false">
      <c r="A24" s="19"/>
      <c r="B24" s="13" t="s">
        <v>36</v>
      </c>
      <c r="C24" s="13"/>
      <c r="D24" s="14" t="s">
        <v>37</v>
      </c>
      <c r="E24" s="14"/>
      <c r="F24" s="14"/>
    </row>
    <row r="26" customFormat="false" ht="18.65" hidden="false" customHeight="true" outlineLevel="0" collapsed="false">
      <c r="A26" s="8" t="s">
        <v>38</v>
      </c>
      <c r="B26" s="8"/>
      <c r="C26" s="8"/>
      <c r="D26" s="8"/>
      <c r="E26" s="8"/>
      <c r="F26" s="8"/>
    </row>
    <row r="28" customFormat="false" ht="15" hidden="false" customHeight="true" outlineLevel="0" collapsed="false">
      <c r="A28" s="10" t="s">
        <v>39</v>
      </c>
      <c r="B28" s="11" t="s">
        <v>40</v>
      </c>
      <c r="C28" s="11"/>
      <c r="D28" s="11"/>
      <c r="E28" s="11"/>
      <c r="F28" s="11"/>
    </row>
    <row r="29" customFormat="false" ht="15" hidden="false" customHeight="true" outlineLevel="0" collapsed="false">
      <c r="A29" s="10" t="s">
        <v>39</v>
      </c>
      <c r="B29" s="11" t="s">
        <v>41</v>
      </c>
      <c r="C29" s="11"/>
      <c r="D29" s="11"/>
      <c r="E29" s="11"/>
      <c r="F29" s="11"/>
    </row>
    <row r="30" customFormat="false" ht="15" hidden="false" customHeight="true" outlineLevel="0" collapsed="false">
      <c r="A30" s="10" t="s">
        <v>39</v>
      </c>
      <c r="B30" s="11" t="s">
        <v>42</v>
      </c>
      <c r="C30" s="11"/>
      <c r="D30" s="11"/>
      <c r="E30" s="11"/>
      <c r="F30" s="11"/>
    </row>
  </sheetData>
  <mergeCells count="29">
    <mergeCell ref="A1:F1"/>
    <mergeCell ref="A3:F3"/>
    <mergeCell ref="B4:F4"/>
    <mergeCell ref="A6:F6"/>
    <mergeCell ref="B7:F7"/>
    <mergeCell ref="B8:F8"/>
    <mergeCell ref="B9:F9"/>
    <mergeCell ref="B10:F10"/>
    <mergeCell ref="B11:F11"/>
    <mergeCell ref="B12:F12"/>
    <mergeCell ref="A14:F14"/>
    <mergeCell ref="B15:F15"/>
    <mergeCell ref="A17:F17"/>
    <mergeCell ref="B19:C19"/>
    <mergeCell ref="D19:F19"/>
    <mergeCell ref="B20:C20"/>
    <mergeCell ref="D20:F20"/>
    <mergeCell ref="B21:C21"/>
    <mergeCell ref="D21:F21"/>
    <mergeCell ref="B22:C22"/>
    <mergeCell ref="D22:F22"/>
    <mergeCell ref="B23:C23"/>
    <mergeCell ref="D23:F23"/>
    <mergeCell ref="B24:C24"/>
    <mergeCell ref="D24:F24"/>
    <mergeCell ref="A26:F26"/>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4"/>
    <col collapsed="false" customWidth="true" hidden="false" outlineLevel="0" max="2" min="2" style="0" width="28"/>
    <col collapsed="false" customWidth="true" hidden="false" outlineLevel="0" max="5" min="3" style="0" width="12"/>
    <col collapsed="false" customWidth="true" hidden="false" outlineLevel="0" max="6" min="6" style="0" width="22"/>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18"/>
    <col collapsed="false" customWidth="true" hidden="false" outlineLevel="0" max="11" min="11" style="0" width="14"/>
    <col collapsed="false" customWidth="true" hidden="false" outlineLevel="0" max="13" min="12" style="0" width="16"/>
    <col collapsed="false" customWidth="true" hidden="false" outlineLevel="0" max="14" min="14" style="0" width="30"/>
    <col collapsed="false" customWidth="true" hidden="true" outlineLevel="1" max="18" min="15" style="0" width="12"/>
  </cols>
  <sheetData>
    <row r="1" customFormat="false" ht="17.15" hidden="false" customHeight="true" outlineLevel="0" collapsed="false">
      <c r="A1" s="20" t="s">
        <v>43</v>
      </c>
      <c r="B1" s="20"/>
      <c r="C1" s="20"/>
      <c r="D1" s="20"/>
      <c r="E1" s="20"/>
      <c r="F1" s="20"/>
      <c r="G1" s="20"/>
      <c r="H1" s="20"/>
      <c r="I1" s="20"/>
      <c r="J1" s="20"/>
      <c r="K1" s="20"/>
      <c r="L1" s="20"/>
      <c r="M1" s="20"/>
      <c r="N1" s="20"/>
      <c r="O1" s="20"/>
      <c r="P1" s="20"/>
      <c r="Q1" s="20"/>
      <c r="R1" s="20"/>
    </row>
    <row r="3" customFormat="false" ht="15" hidden="false" customHeight="false" outlineLevel="0" collapsed="false">
      <c r="A3" s="21" t="s">
        <v>44</v>
      </c>
      <c r="B3" s="22" t="n">
        <f aca="false">COUNTA(A10:A509)-COUNTBLANK(A10:A509)</f>
        <v>-492</v>
      </c>
      <c r="C3" s="21" t="s">
        <v>45</v>
      </c>
      <c r="D3" s="22" t="n">
        <f aca="false">COUNTIF(M10:M509,"Complete")</f>
        <v>1</v>
      </c>
      <c r="E3" s="21" t="s">
        <v>46</v>
      </c>
      <c r="F3" s="22" t="n">
        <f aca="false">COUNTIF(M10:M509,"In Progress")</f>
        <v>2</v>
      </c>
      <c r="G3" s="21" t="s">
        <v>47</v>
      </c>
      <c r="H3" s="22" t="n">
        <f aca="false">COUNTIF(M10:M509,"Not Started")</f>
        <v>1</v>
      </c>
      <c r="I3" s="21" t="s">
        <v>48</v>
      </c>
      <c r="J3" s="23" t="n">
        <f aca="false">IF(B3&gt;0,D3/B3,0)</f>
        <v>0</v>
      </c>
      <c r="K3" s="3"/>
      <c r="L3" s="3"/>
      <c r="M3" s="3"/>
      <c r="N3" s="3"/>
      <c r="O3" s="3"/>
      <c r="P3" s="3"/>
      <c r="Q3" s="3"/>
      <c r="R3" s="3"/>
    </row>
    <row r="4" customFormat="false" ht="15" hidden="false" customHeight="false" outlineLevel="0" collapsed="false">
      <c r="A4" s="24" t="s">
        <v>49</v>
      </c>
      <c r="B4" s="25" t="n">
        <f aca="false">COUNTIF(I10:I509,"DOL")</f>
        <v>1</v>
      </c>
      <c r="C4" s="24" t="s">
        <v>50</v>
      </c>
      <c r="D4" s="25" t="n">
        <f aca="false">COUNTIF(I10:I509,"Star-Delta")</f>
        <v>1</v>
      </c>
      <c r="E4" s="24" t="s">
        <v>51</v>
      </c>
      <c r="F4" s="25" t="n">
        <f aca="false">COUNTIF(I10:I509,"VSD")</f>
        <v>1</v>
      </c>
      <c r="G4" s="24" t="s">
        <v>52</v>
      </c>
      <c r="H4" s="25" t="n">
        <f aca="false">COUNTIF(I10:I509,"Soft Start")</f>
        <v>1</v>
      </c>
      <c r="I4" s="24" t="s">
        <v>53</v>
      </c>
      <c r="J4" s="26" t="n">
        <f aca="false">SUM(C10:C509)</f>
        <v>60.25</v>
      </c>
      <c r="K4" s="3"/>
      <c r="L4" s="3"/>
      <c r="M4" s="3"/>
      <c r="N4" s="3"/>
      <c r="O4" s="3"/>
      <c r="P4" s="3"/>
      <c r="Q4" s="3"/>
      <c r="R4" s="3"/>
    </row>
    <row r="5" customFormat="false" ht="15" hidden="false" customHeight="false" outlineLevel="0" collapsed="false">
      <c r="A5" s="27"/>
      <c r="B5" s="27"/>
      <c r="C5" s="27"/>
      <c r="D5" s="27"/>
      <c r="E5" s="27"/>
      <c r="F5" s="27"/>
      <c r="G5" s="27"/>
      <c r="H5" s="27"/>
      <c r="I5" s="27"/>
      <c r="J5" s="27"/>
      <c r="K5" s="27"/>
      <c r="L5" s="27"/>
      <c r="M5" s="27"/>
      <c r="N5" s="27"/>
      <c r="O5" s="27"/>
      <c r="P5" s="27"/>
      <c r="Q5" s="27"/>
      <c r="R5" s="27"/>
    </row>
    <row r="7" customFormat="false" ht="15" hidden="false" customHeight="true" outlineLevel="0" collapsed="false">
      <c r="A7" s="28" t="s">
        <v>54</v>
      </c>
      <c r="B7" s="28"/>
      <c r="C7" s="28"/>
      <c r="D7" s="28"/>
      <c r="E7" s="28"/>
      <c r="F7" s="28"/>
      <c r="G7" s="28"/>
      <c r="H7" s="29" t="s">
        <v>55</v>
      </c>
      <c r="I7" s="29"/>
      <c r="J7" s="29"/>
      <c r="K7" s="29"/>
      <c r="L7" s="28" t="s">
        <v>56</v>
      </c>
      <c r="M7" s="28"/>
      <c r="N7" s="28"/>
      <c r="O7" s="30" t="s">
        <v>57</v>
      </c>
      <c r="P7" s="30"/>
      <c r="Q7" s="30"/>
      <c r="R7" s="30"/>
    </row>
    <row r="8" customFormat="false" ht="28.35" hidden="false" customHeight="false" outlineLevel="0" collapsed="false">
      <c r="A8" s="31" t="s">
        <v>58</v>
      </c>
      <c r="B8" s="31" t="s">
        <v>59</v>
      </c>
      <c r="C8" s="31" t="s">
        <v>60</v>
      </c>
      <c r="D8" s="31" t="s">
        <v>61</v>
      </c>
      <c r="E8" s="31" t="s">
        <v>62</v>
      </c>
      <c r="F8" s="31" t="s">
        <v>63</v>
      </c>
      <c r="G8" s="31" t="s">
        <v>64</v>
      </c>
      <c r="H8" s="31" t="s">
        <v>65</v>
      </c>
      <c r="I8" s="31" t="s">
        <v>66</v>
      </c>
      <c r="J8" s="31" t="s">
        <v>67</v>
      </c>
      <c r="K8" s="31" t="s">
        <v>68</v>
      </c>
      <c r="L8" s="31" t="s">
        <v>69</v>
      </c>
      <c r="M8" s="31" t="s">
        <v>70</v>
      </c>
      <c r="N8" s="31" t="s">
        <v>71</v>
      </c>
      <c r="O8" s="31" t="s">
        <v>72</v>
      </c>
      <c r="P8" s="31" t="s">
        <v>73</v>
      </c>
      <c r="Q8" s="31" t="s">
        <v>74</v>
      </c>
      <c r="R8" s="31" t="s">
        <v>75</v>
      </c>
    </row>
    <row r="9" customFormat="false" ht="15" hidden="false" customHeight="false" outlineLevel="0" collapsed="false">
      <c r="A9" s="32" t="s">
        <v>76</v>
      </c>
      <c r="B9" s="33" t="s">
        <v>77</v>
      </c>
      <c r="C9" s="32" t="n">
        <v>37</v>
      </c>
      <c r="D9" s="32" t="n">
        <v>415</v>
      </c>
      <c r="E9" s="32" t="n">
        <v>1475</v>
      </c>
      <c r="F9" s="33" t="s">
        <v>78</v>
      </c>
      <c r="G9" s="32" t="s">
        <v>64</v>
      </c>
      <c r="H9" s="32" t="s">
        <v>79</v>
      </c>
      <c r="I9" s="32" t="s">
        <v>80</v>
      </c>
      <c r="J9" s="32" t="s">
        <v>81</v>
      </c>
      <c r="K9" s="32" t="s">
        <v>82</v>
      </c>
      <c r="L9" s="32" t="s">
        <v>83</v>
      </c>
      <c r="M9" s="32" t="s">
        <v>84</v>
      </c>
      <c r="N9" s="33"/>
      <c r="O9" s="32" t="s">
        <v>85</v>
      </c>
      <c r="P9" s="32" t="s">
        <v>86</v>
      </c>
      <c r="Q9" s="32" t="n">
        <v>68</v>
      </c>
      <c r="R9" s="32" t="s">
        <v>87</v>
      </c>
    </row>
    <row r="10" customFormat="false" ht="15" hidden="false" customHeight="false" outlineLevel="0" collapsed="false">
      <c r="A10" s="32" t="s">
        <v>88</v>
      </c>
      <c r="B10" s="33" t="s">
        <v>89</v>
      </c>
      <c r="C10" s="32" t="n">
        <v>37</v>
      </c>
      <c r="D10" s="32" t="n">
        <v>415</v>
      </c>
      <c r="E10" s="32" t="n">
        <v>1475</v>
      </c>
      <c r="F10" s="33" t="s">
        <v>78</v>
      </c>
      <c r="G10" s="32" t="s">
        <v>90</v>
      </c>
      <c r="H10" s="32" t="s">
        <v>91</v>
      </c>
      <c r="I10" s="32" t="s">
        <v>80</v>
      </c>
      <c r="J10" s="32" t="s">
        <v>92</v>
      </c>
      <c r="K10" s="32" t="s">
        <v>93</v>
      </c>
      <c r="L10" s="32" t="s">
        <v>83</v>
      </c>
      <c r="M10" s="32" t="s">
        <v>84</v>
      </c>
      <c r="N10" s="33"/>
      <c r="O10" s="32" t="s">
        <v>85</v>
      </c>
      <c r="P10" s="32" t="s">
        <v>86</v>
      </c>
      <c r="Q10" s="32" t="n">
        <v>68</v>
      </c>
      <c r="R10" s="32" t="s">
        <v>87</v>
      </c>
    </row>
    <row r="11" customFormat="false" ht="15" hidden="false" customHeight="false" outlineLevel="0" collapsed="false">
      <c r="A11" s="32" t="s">
        <v>94</v>
      </c>
      <c r="B11" s="33" t="s">
        <v>95</v>
      </c>
      <c r="C11" s="32" t="n">
        <v>15</v>
      </c>
      <c r="D11" s="32" t="n">
        <v>415</v>
      </c>
      <c r="E11" s="32" t="n">
        <v>1460</v>
      </c>
      <c r="F11" s="33" t="s">
        <v>96</v>
      </c>
      <c r="G11" s="32" t="s">
        <v>64</v>
      </c>
      <c r="H11" s="32" t="s">
        <v>97</v>
      </c>
      <c r="I11" s="32" t="s">
        <v>98</v>
      </c>
      <c r="J11" s="32" t="s">
        <v>99</v>
      </c>
      <c r="K11" s="32" t="s">
        <v>100</v>
      </c>
      <c r="L11" s="32" t="s">
        <v>101</v>
      </c>
      <c r="M11" s="32" t="s">
        <v>102</v>
      </c>
      <c r="N11" s="33" t="s">
        <v>103</v>
      </c>
      <c r="O11" s="32" t="s">
        <v>104</v>
      </c>
      <c r="P11" s="32" t="s">
        <v>105</v>
      </c>
      <c r="Q11" s="32" t="n">
        <v>28.5</v>
      </c>
      <c r="R11" s="32" t="s">
        <v>87</v>
      </c>
    </row>
    <row r="12" customFormat="false" ht="15" hidden="false" customHeight="false" outlineLevel="0" collapsed="false">
      <c r="A12" s="32" t="s">
        <v>106</v>
      </c>
      <c r="B12" s="33" t="s">
        <v>107</v>
      </c>
      <c r="C12" s="32" t="n">
        <v>7.5</v>
      </c>
      <c r="D12" s="32" t="n">
        <v>415</v>
      </c>
      <c r="E12" s="32" t="n">
        <v>1440</v>
      </c>
      <c r="F12" s="33" t="s">
        <v>108</v>
      </c>
      <c r="G12" s="32" t="s">
        <v>109</v>
      </c>
      <c r="H12" s="32" t="s">
        <v>110</v>
      </c>
      <c r="I12" s="32" t="s">
        <v>111</v>
      </c>
      <c r="J12" s="32" t="s">
        <v>112</v>
      </c>
      <c r="K12" s="32" t="s">
        <v>113</v>
      </c>
      <c r="L12" s="32" t="s">
        <v>83</v>
      </c>
      <c r="M12" s="32" t="s">
        <v>102</v>
      </c>
      <c r="N12" s="33" t="s">
        <v>114</v>
      </c>
      <c r="O12" s="32" t="s">
        <v>115</v>
      </c>
      <c r="P12" s="32" t="s">
        <v>116</v>
      </c>
      <c r="Q12" s="32" t="n">
        <v>14.8</v>
      </c>
      <c r="R12" s="32" t="s">
        <v>87</v>
      </c>
    </row>
    <row r="13" customFormat="false" ht="15" hidden="false" customHeight="false" outlineLevel="0" collapsed="false">
      <c r="A13" s="32" t="s">
        <v>117</v>
      </c>
      <c r="B13" s="33" t="s">
        <v>118</v>
      </c>
      <c r="C13" s="32" t="n">
        <v>0.75</v>
      </c>
      <c r="D13" s="32" t="n">
        <v>415</v>
      </c>
      <c r="E13" s="32" t="n">
        <v>2880</v>
      </c>
      <c r="F13" s="33" t="s">
        <v>119</v>
      </c>
      <c r="G13" s="32" t="s">
        <v>64</v>
      </c>
      <c r="H13" s="32" t="s">
        <v>120</v>
      </c>
      <c r="I13" s="32" t="s">
        <v>121</v>
      </c>
      <c r="J13" s="32" t="s">
        <v>122</v>
      </c>
      <c r="K13" s="32" t="s">
        <v>123</v>
      </c>
      <c r="L13" s="32" t="s">
        <v>101</v>
      </c>
      <c r="M13" s="32" t="s">
        <v>124</v>
      </c>
      <c r="N13" s="33"/>
      <c r="O13" s="32" t="s">
        <v>125</v>
      </c>
      <c r="P13" s="32" t="s">
        <v>126</v>
      </c>
      <c r="Q13" s="32" t="n">
        <v>1.7</v>
      </c>
      <c r="R13" s="32" t="s">
        <v>127</v>
      </c>
    </row>
    <row r="14" customFormat="false" ht="15" hidden="false" customHeight="false" outlineLevel="0" collapsed="false">
      <c r="A14" s="32"/>
      <c r="B14" s="33"/>
      <c r="C14" s="32"/>
      <c r="D14" s="32"/>
      <c r="E14" s="32"/>
      <c r="F14" s="33"/>
      <c r="G14" s="32"/>
      <c r="H14" s="32"/>
      <c r="I14" s="32"/>
      <c r="J14" s="32"/>
      <c r="K14" s="32"/>
      <c r="L14" s="32"/>
      <c r="M14" s="32"/>
      <c r="N14" s="33"/>
      <c r="O14" s="32"/>
      <c r="P14" s="32"/>
      <c r="Q14" s="32"/>
      <c r="R14" s="32"/>
    </row>
    <row r="15" customFormat="false" ht="15" hidden="false" customHeight="false" outlineLevel="0" collapsed="false">
      <c r="A15" s="32"/>
      <c r="B15" s="33"/>
      <c r="C15" s="32"/>
      <c r="D15" s="32"/>
      <c r="E15" s="32"/>
      <c r="F15" s="33"/>
      <c r="G15" s="32"/>
      <c r="H15" s="32"/>
      <c r="I15" s="32"/>
      <c r="J15" s="32"/>
      <c r="K15" s="32"/>
      <c r="L15" s="32"/>
      <c r="M15" s="32"/>
      <c r="N15" s="33"/>
      <c r="O15" s="32"/>
      <c r="P15" s="32"/>
      <c r="Q15" s="32"/>
      <c r="R15" s="32"/>
    </row>
    <row r="16" customFormat="false" ht="15" hidden="false" customHeight="false" outlineLevel="0" collapsed="false">
      <c r="A16" s="32"/>
      <c r="B16" s="33"/>
      <c r="C16" s="32"/>
      <c r="D16" s="32"/>
      <c r="E16" s="32"/>
      <c r="F16" s="33"/>
      <c r="G16" s="32"/>
      <c r="H16" s="32"/>
      <c r="I16" s="32"/>
      <c r="J16" s="32"/>
      <c r="K16" s="32"/>
      <c r="L16" s="32"/>
      <c r="M16" s="32"/>
      <c r="N16" s="33"/>
      <c r="O16" s="32"/>
      <c r="P16" s="32"/>
      <c r="Q16" s="32"/>
      <c r="R16" s="32"/>
    </row>
    <row r="17" customFormat="false" ht="15" hidden="false" customHeight="false" outlineLevel="0" collapsed="false">
      <c r="A17" s="32"/>
      <c r="B17" s="33"/>
      <c r="C17" s="32"/>
      <c r="D17" s="32"/>
      <c r="E17" s="32"/>
      <c r="F17" s="33"/>
      <c r="G17" s="32"/>
      <c r="H17" s="32"/>
      <c r="I17" s="32"/>
      <c r="J17" s="32"/>
      <c r="K17" s="32"/>
      <c r="L17" s="32"/>
      <c r="M17" s="32"/>
      <c r="N17" s="33"/>
      <c r="O17" s="32"/>
      <c r="P17" s="32"/>
      <c r="Q17" s="32"/>
      <c r="R17" s="32"/>
    </row>
    <row r="18" customFormat="false" ht="15" hidden="false" customHeight="false" outlineLevel="0" collapsed="false">
      <c r="A18" s="32"/>
      <c r="B18" s="33"/>
      <c r="C18" s="32"/>
      <c r="D18" s="32"/>
      <c r="E18" s="32"/>
      <c r="F18" s="33"/>
      <c r="G18" s="32"/>
      <c r="H18" s="32"/>
      <c r="I18" s="32"/>
      <c r="J18" s="32"/>
      <c r="K18" s="32"/>
      <c r="L18" s="32"/>
      <c r="M18" s="32"/>
      <c r="N18" s="33"/>
      <c r="O18" s="32"/>
      <c r="P18" s="32"/>
      <c r="Q18" s="32"/>
      <c r="R18" s="32"/>
    </row>
    <row r="19" customFormat="false" ht="15" hidden="false" customHeight="false" outlineLevel="0" collapsed="false">
      <c r="A19" s="32"/>
      <c r="B19" s="33"/>
      <c r="C19" s="32"/>
      <c r="D19" s="32"/>
      <c r="E19" s="32"/>
      <c r="F19" s="33"/>
      <c r="G19" s="32"/>
      <c r="H19" s="32"/>
      <c r="I19" s="32"/>
      <c r="J19" s="32"/>
      <c r="K19" s="32"/>
      <c r="L19" s="32"/>
      <c r="M19" s="32"/>
      <c r="N19" s="33"/>
      <c r="O19" s="32"/>
      <c r="P19" s="32"/>
      <c r="Q19" s="32"/>
      <c r="R19" s="32"/>
    </row>
    <row r="20" customFormat="false" ht="15" hidden="false" customHeight="false" outlineLevel="0" collapsed="false">
      <c r="A20" s="32"/>
      <c r="B20" s="33"/>
      <c r="C20" s="32"/>
      <c r="D20" s="32"/>
      <c r="E20" s="32"/>
      <c r="F20" s="33"/>
      <c r="G20" s="32"/>
      <c r="H20" s="32"/>
      <c r="I20" s="32"/>
      <c r="J20" s="32"/>
      <c r="K20" s="32"/>
      <c r="L20" s="32"/>
      <c r="M20" s="32"/>
      <c r="N20" s="33"/>
      <c r="O20" s="32"/>
      <c r="P20" s="32"/>
      <c r="Q20" s="32"/>
      <c r="R20" s="32"/>
    </row>
    <row r="21" customFormat="false" ht="15" hidden="false" customHeight="false" outlineLevel="0" collapsed="false">
      <c r="A21" s="32"/>
      <c r="B21" s="33"/>
      <c r="C21" s="32"/>
      <c r="D21" s="32"/>
      <c r="E21" s="32"/>
      <c r="F21" s="33"/>
      <c r="G21" s="32"/>
      <c r="H21" s="32"/>
      <c r="I21" s="32"/>
      <c r="J21" s="32"/>
      <c r="K21" s="32"/>
      <c r="L21" s="32"/>
      <c r="M21" s="32"/>
      <c r="N21" s="33"/>
      <c r="O21" s="32"/>
      <c r="P21" s="32"/>
      <c r="Q21" s="32"/>
      <c r="R21" s="32"/>
    </row>
    <row r="22" customFormat="false" ht="15" hidden="false" customHeight="false" outlineLevel="0" collapsed="false">
      <c r="A22" s="32"/>
      <c r="B22" s="33"/>
      <c r="C22" s="32"/>
      <c r="D22" s="32"/>
      <c r="E22" s="32"/>
      <c r="F22" s="33"/>
      <c r="G22" s="32"/>
      <c r="H22" s="32"/>
      <c r="I22" s="32"/>
      <c r="J22" s="32"/>
      <c r="K22" s="32"/>
      <c r="L22" s="32"/>
      <c r="M22" s="32"/>
      <c r="N22" s="33"/>
      <c r="O22" s="32"/>
      <c r="P22" s="32"/>
      <c r="Q22" s="32"/>
      <c r="R22" s="32"/>
    </row>
    <row r="23" customFormat="false" ht="15" hidden="false" customHeight="false" outlineLevel="0" collapsed="false">
      <c r="A23" s="32"/>
      <c r="B23" s="33"/>
      <c r="C23" s="32"/>
      <c r="D23" s="32"/>
      <c r="E23" s="32"/>
      <c r="F23" s="33"/>
      <c r="G23" s="32"/>
      <c r="H23" s="32"/>
      <c r="I23" s="32"/>
      <c r="J23" s="32"/>
      <c r="K23" s="32"/>
      <c r="L23" s="32"/>
      <c r="M23" s="32"/>
      <c r="N23" s="33"/>
      <c r="O23" s="32"/>
      <c r="P23" s="32"/>
      <c r="Q23" s="32"/>
      <c r="R23" s="32"/>
    </row>
    <row r="24" customFormat="false" ht="15" hidden="false" customHeight="false" outlineLevel="0" collapsed="false">
      <c r="A24" s="32"/>
      <c r="B24" s="33"/>
      <c r="C24" s="32"/>
      <c r="D24" s="32"/>
      <c r="E24" s="32"/>
      <c r="F24" s="33"/>
      <c r="G24" s="32"/>
      <c r="H24" s="32"/>
      <c r="I24" s="32"/>
      <c r="J24" s="32"/>
      <c r="K24" s="32"/>
      <c r="L24" s="32"/>
      <c r="M24" s="32"/>
      <c r="N24" s="33"/>
      <c r="O24" s="32"/>
      <c r="P24" s="32"/>
      <c r="Q24" s="32"/>
      <c r="R24" s="32"/>
    </row>
    <row r="25" customFormat="false" ht="15" hidden="false" customHeight="false" outlineLevel="0" collapsed="false">
      <c r="A25" s="32"/>
      <c r="B25" s="33"/>
      <c r="C25" s="32"/>
      <c r="D25" s="32"/>
      <c r="E25" s="32"/>
      <c r="F25" s="33"/>
      <c r="G25" s="32"/>
      <c r="H25" s="32"/>
      <c r="I25" s="32"/>
      <c r="J25" s="32"/>
      <c r="K25" s="32"/>
      <c r="L25" s="32"/>
      <c r="M25" s="32"/>
      <c r="N25" s="33"/>
      <c r="O25" s="32"/>
      <c r="P25" s="32"/>
      <c r="Q25" s="32"/>
      <c r="R25" s="32"/>
    </row>
    <row r="26" customFormat="false" ht="15" hidden="false" customHeight="false" outlineLevel="0" collapsed="false">
      <c r="A26" s="32"/>
      <c r="B26" s="33"/>
      <c r="C26" s="32"/>
      <c r="D26" s="32"/>
      <c r="E26" s="32"/>
      <c r="F26" s="33"/>
      <c r="G26" s="32"/>
      <c r="H26" s="32"/>
      <c r="I26" s="32"/>
      <c r="J26" s="32"/>
      <c r="K26" s="32"/>
      <c r="L26" s="32"/>
      <c r="M26" s="32"/>
      <c r="N26" s="33"/>
      <c r="O26" s="32"/>
      <c r="P26" s="32"/>
      <c r="Q26" s="32"/>
      <c r="R26" s="32"/>
    </row>
    <row r="27" customFormat="false" ht="15" hidden="false" customHeight="false" outlineLevel="0" collapsed="false">
      <c r="A27" s="32"/>
      <c r="B27" s="33"/>
      <c r="C27" s="32"/>
      <c r="D27" s="32"/>
      <c r="E27" s="32"/>
      <c r="F27" s="33"/>
      <c r="G27" s="32"/>
      <c r="H27" s="32"/>
      <c r="I27" s="32"/>
      <c r="J27" s="32"/>
      <c r="K27" s="32"/>
      <c r="L27" s="32"/>
      <c r="M27" s="32"/>
      <c r="N27" s="33"/>
      <c r="O27" s="32"/>
      <c r="P27" s="32"/>
      <c r="Q27" s="32"/>
      <c r="R27" s="32"/>
    </row>
    <row r="28" customFormat="false" ht="15" hidden="false" customHeight="false" outlineLevel="0" collapsed="false">
      <c r="A28" s="32"/>
      <c r="B28" s="33"/>
      <c r="C28" s="32"/>
      <c r="D28" s="32"/>
      <c r="E28" s="32"/>
      <c r="F28" s="33"/>
      <c r="G28" s="32"/>
      <c r="H28" s="32"/>
      <c r="I28" s="32"/>
      <c r="J28" s="32"/>
      <c r="K28" s="32"/>
      <c r="L28" s="32"/>
      <c r="M28" s="32"/>
      <c r="N28" s="33"/>
      <c r="O28" s="32"/>
      <c r="P28" s="32"/>
      <c r="Q28" s="32"/>
      <c r="R28" s="32"/>
    </row>
    <row r="29" customFormat="false" ht="15" hidden="false" customHeight="false" outlineLevel="0" collapsed="false">
      <c r="A29" s="32"/>
      <c r="B29" s="33"/>
      <c r="C29" s="32"/>
      <c r="D29" s="32"/>
      <c r="E29" s="32"/>
      <c r="F29" s="33"/>
      <c r="G29" s="32"/>
      <c r="H29" s="32"/>
      <c r="I29" s="32"/>
      <c r="J29" s="32"/>
      <c r="K29" s="32"/>
      <c r="L29" s="32"/>
      <c r="M29" s="32"/>
      <c r="N29" s="33"/>
      <c r="O29" s="32"/>
      <c r="P29" s="32"/>
      <c r="Q29" s="32"/>
      <c r="R29" s="32"/>
    </row>
    <row r="30" customFormat="false" ht="15" hidden="false" customHeight="false" outlineLevel="0" collapsed="false">
      <c r="A30" s="32"/>
      <c r="B30" s="33"/>
      <c r="C30" s="32"/>
      <c r="D30" s="32"/>
      <c r="E30" s="32"/>
      <c r="F30" s="33"/>
      <c r="G30" s="32"/>
      <c r="H30" s="32"/>
      <c r="I30" s="32"/>
      <c r="J30" s="32"/>
      <c r="K30" s="32"/>
      <c r="L30" s="32"/>
      <c r="M30" s="32"/>
      <c r="N30" s="33"/>
      <c r="O30" s="32"/>
      <c r="P30" s="32"/>
      <c r="Q30" s="32"/>
      <c r="R30" s="32"/>
    </row>
    <row r="31" customFormat="false" ht="15" hidden="false" customHeight="false" outlineLevel="0" collapsed="false">
      <c r="A31" s="32"/>
      <c r="B31" s="33"/>
      <c r="C31" s="32"/>
      <c r="D31" s="32"/>
      <c r="E31" s="32"/>
      <c r="F31" s="33"/>
      <c r="G31" s="32"/>
      <c r="H31" s="32"/>
      <c r="I31" s="32"/>
      <c r="J31" s="32"/>
      <c r="K31" s="32"/>
      <c r="L31" s="32"/>
      <c r="M31" s="32"/>
      <c r="N31" s="33"/>
      <c r="O31" s="32"/>
      <c r="P31" s="32"/>
      <c r="Q31" s="32"/>
      <c r="R31" s="32"/>
    </row>
    <row r="32" customFormat="false" ht="15" hidden="false" customHeight="false" outlineLevel="0" collapsed="false">
      <c r="A32" s="32"/>
      <c r="B32" s="33"/>
      <c r="C32" s="32"/>
      <c r="D32" s="32"/>
      <c r="E32" s="32"/>
      <c r="F32" s="33"/>
      <c r="G32" s="32"/>
      <c r="H32" s="32"/>
      <c r="I32" s="32"/>
      <c r="J32" s="32"/>
      <c r="K32" s="32"/>
      <c r="L32" s="32"/>
      <c r="M32" s="32"/>
      <c r="N32" s="33"/>
      <c r="O32" s="32"/>
      <c r="P32" s="32"/>
      <c r="Q32" s="32"/>
      <c r="R32" s="32"/>
    </row>
    <row r="33" customFormat="false" ht="15" hidden="false" customHeight="false" outlineLevel="0" collapsed="false">
      <c r="A33" s="32"/>
      <c r="B33" s="33"/>
      <c r="C33" s="32"/>
      <c r="D33" s="32"/>
      <c r="E33" s="32"/>
      <c r="F33" s="33"/>
      <c r="G33" s="32"/>
      <c r="H33" s="32"/>
      <c r="I33" s="32"/>
      <c r="J33" s="32"/>
      <c r="K33" s="32"/>
      <c r="L33" s="32"/>
      <c r="M33" s="32"/>
      <c r="N33" s="33"/>
      <c r="O33" s="32"/>
      <c r="P33" s="32"/>
      <c r="Q33" s="32"/>
      <c r="R33" s="32"/>
    </row>
    <row r="34" customFormat="false" ht="15" hidden="false" customHeight="false" outlineLevel="0" collapsed="false">
      <c r="A34" s="32"/>
      <c r="B34" s="33"/>
      <c r="C34" s="32"/>
      <c r="D34" s="32"/>
      <c r="E34" s="32"/>
      <c r="F34" s="33"/>
      <c r="G34" s="32"/>
      <c r="H34" s="32"/>
      <c r="I34" s="32"/>
      <c r="J34" s="32"/>
      <c r="K34" s="32"/>
      <c r="L34" s="32"/>
      <c r="M34" s="32"/>
      <c r="N34" s="33"/>
      <c r="O34" s="32"/>
      <c r="P34" s="32"/>
      <c r="Q34" s="32"/>
      <c r="R34" s="32"/>
    </row>
    <row r="35" customFormat="false" ht="15" hidden="false" customHeight="false" outlineLevel="0" collapsed="false">
      <c r="A35" s="32"/>
      <c r="B35" s="33"/>
      <c r="C35" s="32"/>
      <c r="D35" s="32"/>
      <c r="E35" s="32"/>
      <c r="F35" s="33"/>
      <c r="G35" s="32"/>
      <c r="H35" s="32"/>
      <c r="I35" s="32"/>
      <c r="J35" s="32"/>
      <c r="K35" s="32"/>
      <c r="L35" s="32"/>
      <c r="M35" s="32"/>
      <c r="N35" s="33"/>
      <c r="O35" s="32"/>
      <c r="P35" s="32"/>
      <c r="Q35" s="32"/>
      <c r="R35" s="32"/>
    </row>
    <row r="36" customFormat="false" ht="15" hidden="false" customHeight="false" outlineLevel="0" collapsed="false">
      <c r="A36" s="32"/>
      <c r="B36" s="33"/>
      <c r="C36" s="32"/>
      <c r="D36" s="32"/>
      <c r="E36" s="32"/>
      <c r="F36" s="33"/>
      <c r="G36" s="32"/>
      <c r="H36" s="32"/>
      <c r="I36" s="32"/>
      <c r="J36" s="32"/>
      <c r="K36" s="32"/>
      <c r="L36" s="32"/>
      <c r="M36" s="32"/>
      <c r="N36" s="33"/>
      <c r="O36" s="32"/>
      <c r="P36" s="32"/>
      <c r="Q36" s="32"/>
      <c r="R36" s="32"/>
    </row>
    <row r="37" customFormat="false" ht="15" hidden="false" customHeight="false" outlineLevel="0" collapsed="false">
      <c r="A37" s="32"/>
      <c r="B37" s="33"/>
      <c r="C37" s="32"/>
      <c r="D37" s="32"/>
      <c r="E37" s="32"/>
      <c r="F37" s="33"/>
      <c r="G37" s="32"/>
      <c r="H37" s="32"/>
      <c r="I37" s="32"/>
      <c r="J37" s="32"/>
      <c r="K37" s="32"/>
      <c r="L37" s="32"/>
      <c r="M37" s="32"/>
      <c r="N37" s="33"/>
      <c r="O37" s="32"/>
      <c r="P37" s="32"/>
      <c r="Q37" s="32"/>
      <c r="R37" s="32"/>
    </row>
    <row r="38" customFormat="false" ht="15" hidden="false" customHeight="false" outlineLevel="0" collapsed="false">
      <c r="A38" s="32"/>
      <c r="B38" s="33"/>
      <c r="C38" s="32"/>
      <c r="D38" s="32"/>
      <c r="E38" s="32"/>
      <c r="F38" s="33"/>
      <c r="G38" s="32"/>
      <c r="H38" s="32"/>
      <c r="I38" s="32"/>
      <c r="J38" s="32"/>
      <c r="K38" s="32"/>
      <c r="L38" s="32"/>
      <c r="M38" s="32"/>
      <c r="N38" s="33"/>
      <c r="O38" s="32"/>
      <c r="P38" s="32"/>
      <c r="Q38" s="32"/>
      <c r="R38" s="32"/>
    </row>
    <row r="39" customFormat="false" ht="15" hidden="false" customHeight="false" outlineLevel="0" collapsed="false">
      <c r="A39" s="32"/>
      <c r="B39" s="33"/>
      <c r="C39" s="32"/>
      <c r="D39" s="32"/>
      <c r="E39" s="32"/>
      <c r="F39" s="33"/>
      <c r="G39" s="32"/>
      <c r="H39" s="32"/>
      <c r="I39" s="32"/>
      <c r="J39" s="32"/>
      <c r="K39" s="32"/>
      <c r="L39" s="32"/>
      <c r="M39" s="32"/>
      <c r="N39" s="33"/>
      <c r="O39" s="32"/>
      <c r="P39" s="32"/>
      <c r="Q39" s="32"/>
      <c r="R39" s="32"/>
    </row>
    <row r="40" customFormat="false" ht="15" hidden="false" customHeight="false" outlineLevel="0" collapsed="false">
      <c r="A40" s="32"/>
      <c r="B40" s="33"/>
      <c r="C40" s="32"/>
      <c r="D40" s="32"/>
      <c r="E40" s="32"/>
      <c r="F40" s="33"/>
      <c r="G40" s="32"/>
      <c r="H40" s="32"/>
      <c r="I40" s="32"/>
      <c r="J40" s="32"/>
      <c r="K40" s="32"/>
      <c r="L40" s="32"/>
      <c r="M40" s="32"/>
      <c r="N40" s="33"/>
      <c r="O40" s="32"/>
      <c r="P40" s="32"/>
      <c r="Q40" s="32"/>
      <c r="R40" s="32"/>
    </row>
    <row r="41" customFormat="false" ht="15" hidden="false" customHeight="false" outlineLevel="0" collapsed="false">
      <c r="A41" s="32"/>
      <c r="B41" s="33"/>
      <c r="C41" s="32"/>
      <c r="D41" s="32"/>
      <c r="E41" s="32"/>
      <c r="F41" s="33"/>
      <c r="G41" s="32"/>
      <c r="H41" s="32"/>
      <c r="I41" s="32"/>
      <c r="J41" s="32"/>
      <c r="K41" s="32"/>
      <c r="L41" s="32"/>
      <c r="M41" s="32"/>
      <c r="N41" s="33"/>
      <c r="O41" s="32"/>
      <c r="P41" s="32"/>
      <c r="Q41" s="32"/>
      <c r="R41" s="32"/>
    </row>
    <row r="42" customFormat="false" ht="15" hidden="false" customHeight="false" outlineLevel="0" collapsed="false">
      <c r="A42" s="32"/>
      <c r="B42" s="33"/>
      <c r="C42" s="32"/>
      <c r="D42" s="32"/>
      <c r="E42" s="32"/>
      <c r="F42" s="33"/>
      <c r="G42" s="32"/>
      <c r="H42" s="32"/>
      <c r="I42" s="32"/>
      <c r="J42" s="32"/>
      <c r="K42" s="32"/>
      <c r="L42" s="32"/>
      <c r="M42" s="32"/>
      <c r="N42" s="33"/>
      <c r="O42" s="32"/>
      <c r="P42" s="32"/>
      <c r="Q42" s="32"/>
      <c r="R42" s="32"/>
    </row>
    <row r="43" customFormat="false" ht="15" hidden="false" customHeight="false" outlineLevel="0" collapsed="false">
      <c r="A43" s="32"/>
      <c r="B43" s="33"/>
      <c r="C43" s="32"/>
      <c r="D43" s="32"/>
      <c r="E43" s="32"/>
      <c r="F43" s="33"/>
      <c r="G43" s="32"/>
      <c r="H43" s="32"/>
      <c r="I43" s="32"/>
      <c r="J43" s="32"/>
      <c r="K43" s="32"/>
      <c r="L43" s="32"/>
      <c r="M43" s="32"/>
      <c r="N43" s="33"/>
      <c r="O43" s="32"/>
      <c r="P43" s="32"/>
      <c r="Q43" s="32"/>
      <c r="R43" s="32"/>
    </row>
    <row r="44" customFormat="false" ht="15" hidden="false" customHeight="false" outlineLevel="0" collapsed="false">
      <c r="A44" s="32"/>
      <c r="B44" s="33"/>
      <c r="C44" s="32"/>
      <c r="D44" s="32"/>
      <c r="E44" s="32"/>
      <c r="F44" s="33"/>
      <c r="G44" s="32"/>
      <c r="H44" s="32"/>
      <c r="I44" s="32"/>
      <c r="J44" s="32"/>
      <c r="K44" s="32"/>
      <c r="L44" s="32"/>
      <c r="M44" s="32"/>
      <c r="N44" s="33"/>
      <c r="O44" s="32"/>
      <c r="P44" s="32"/>
      <c r="Q44" s="32"/>
      <c r="R44" s="32"/>
    </row>
    <row r="45" customFormat="false" ht="15" hidden="false" customHeight="false" outlineLevel="0" collapsed="false">
      <c r="A45" s="32"/>
      <c r="B45" s="33"/>
      <c r="C45" s="32"/>
      <c r="D45" s="32"/>
      <c r="E45" s="32"/>
      <c r="F45" s="33"/>
      <c r="G45" s="32"/>
      <c r="H45" s="32"/>
      <c r="I45" s="32"/>
      <c r="J45" s="32"/>
      <c r="K45" s="32"/>
      <c r="L45" s="32"/>
      <c r="M45" s="32"/>
      <c r="N45" s="33"/>
      <c r="O45" s="32"/>
      <c r="P45" s="32"/>
      <c r="Q45" s="32"/>
      <c r="R45" s="32"/>
    </row>
    <row r="46" customFormat="false" ht="15" hidden="false" customHeight="false" outlineLevel="0" collapsed="false">
      <c r="A46" s="32"/>
      <c r="B46" s="33"/>
      <c r="C46" s="32"/>
      <c r="D46" s="32"/>
      <c r="E46" s="32"/>
      <c r="F46" s="33"/>
      <c r="G46" s="32"/>
      <c r="H46" s="32"/>
      <c r="I46" s="32"/>
      <c r="J46" s="32"/>
      <c r="K46" s="32"/>
      <c r="L46" s="32"/>
      <c r="M46" s="32"/>
      <c r="N46" s="33"/>
      <c r="O46" s="32"/>
      <c r="P46" s="32"/>
      <c r="Q46" s="32"/>
      <c r="R46" s="32"/>
    </row>
    <row r="47" customFormat="false" ht="15" hidden="false" customHeight="false" outlineLevel="0" collapsed="false">
      <c r="A47" s="32"/>
      <c r="B47" s="33"/>
      <c r="C47" s="32"/>
      <c r="D47" s="32"/>
      <c r="E47" s="32"/>
      <c r="F47" s="33"/>
      <c r="G47" s="32"/>
      <c r="H47" s="32"/>
      <c r="I47" s="32"/>
      <c r="J47" s="32"/>
      <c r="K47" s="32"/>
      <c r="L47" s="32"/>
      <c r="M47" s="32"/>
      <c r="N47" s="33"/>
      <c r="O47" s="32"/>
      <c r="P47" s="32"/>
      <c r="Q47" s="32"/>
      <c r="R47" s="32"/>
    </row>
    <row r="48" customFormat="false" ht="15" hidden="false" customHeight="false" outlineLevel="0" collapsed="false">
      <c r="A48" s="32"/>
      <c r="B48" s="33"/>
      <c r="C48" s="32"/>
      <c r="D48" s="32"/>
      <c r="E48" s="32"/>
      <c r="F48" s="33"/>
      <c r="G48" s="32"/>
      <c r="H48" s="32"/>
      <c r="I48" s="32"/>
      <c r="J48" s="32"/>
      <c r="K48" s="32"/>
      <c r="L48" s="32"/>
      <c r="M48" s="32"/>
      <c r="N48" s="33"/>
      <c r="O48" s="32"/>
      <c r="P48" s="32"/>
      <c r="Q48" s="32"/>
      <c r="R48" s="32"/>
    </row>
    <row r="49" customFormat="false" ht="15" hidden="false" customHeight="false" outlineLevel="0" collapsed="false">
      <c r="A49" s="32"/>
      <c r="B49" s="33"/>
      <c r="C49" s="32"/>
      <c r="D49" s="32"/>
      <c r="E49" s="32"/>
      <c r="F49" s="33"/>
      <c r="G49" s="32"/>
      <c r="H49" s="32"/>
      <c r="I49" s="32"/>
      <c r="J49" s="32"/>
      <c r="K49" s="32"/>
      <c r="L49" s="32"/>
      <c r="M49" s="32"/>
      <c r="N49" s="33"/>
      <c r="O49" s="32"/>
      <c r="P49" s="32"/>
      <c r="Q49" s="32"/>
      <c r="R49" s="32"/>
    </row>
    <row r="50" customFormat="false" ht="15" hidden="false" customHeight="false" outlineLevel="0" collapsed="false">
      <c r="A50" s="32"/>
      <c r="B50" s="33"/>
      <c r="C50" s="32"/>
      <c r="D50" s="32"/>
      <c r="E50" s="32"/>
      <c r="F50" s="33"/>
      <c r="G50" s="32"/>
      <c r="H50" s="32"/>
      <c r="I50" s="32"/>
      <c r="J50" s="32"/>
      <c r="K50" s="32"/>
      <c r="L50" s="32"/>
      <c r="M50" s="32"/>
      <c r="N50" s="33"/>
      <c r="O50" s="32"/>
      <c r="P50" s="32"/>
      <c r="Q50" s="32"/>
      <c r="R50" s="32"/>
    </row>
    <row r="51" customFormat="false" ht="15" hidden="false" customHeight="false" outlineLevel="0" collapsed="false">
      <c r="A51" s="32"/>
      <c r="B51" s="33"/>
      <c r="C51" s="32"/>
      <c r="D51" s="32"/>
      <c r="E51" s="32"/>
      <c r="F51" s="33"/>
      <c r="G51" s="32"/>
      <c r="H51" s="32"/>
      <c r="I51" s="32"/>
      <c r="J51" s="32"/>
      <c r="K51" s="32"/>
      <c r="L51" s="32"/>
      <c r="M51" s="32"/>
      <c r="N51" s="33"/>
      <c r="O51" s="32"/>
      <c r="P51" s="32"/>
      <c r="Q51" s="32"/>
      <c r="R51" s="32"/>
    </row>
    <row r="52" customFormat="false" ht="15" hidden="false" customHeight="false" outlineLevel="0" collapsed="false">
      <c r="A52" s="32"/>
      <c r="B52" s="33"/>
      <c r="C52" s="32"/>
      <c r="D52" s="32"/>
      <c r="E52" s="32"/>
      <c r="F52" s="33"/>
      <c r="G52" s="32"/>
      <c r="H52" s="32"/>
      <c r="I52" s="32"/>
      <c r="J52" s="32"/>
      <c r="K52" s="32"/>
      <c r="L52" s="32"/>
      <c r="M52" s="32"/>
      <c r="N52" s="33"/>
      <c r="O52" s="32"/>
      <c r="P52" s="32"/>
      <c r="Q52" s="32"/>
      <c r="R52" s="32"/>
    </row>
    <row r="53" customFormat="false" ht="15" hidden="false" customHeight="false" outlineLevel="0" collapsed="false">
      <c r="A53" s="32"/>
      <c r="B53" s="33"/>
      <c r="C53" s="32"/>
      <c r="D53" s="32"/>
      <c r="E53" s="32"/>
      <c r="F53" s="33"/>
      <c r="G53" s="32"/>
      <c r="H53" s="32"/>
      <c r="I53" s="32"/>
      <c r="J53" s="32"/>
      <c r="K53" s="32"/>
      <c r="L53" s="32"/>
      <c r="M53" s="32"/>
      <c r="N53" s="33"/>
      <c r="O53" s="32"/>
      <c r="P53" s="32"/>
      <c r="Q53" s="32"/>
      <c r="R53" s="32"/>
    </row>
    <row r="54" customFormat="false" ht="15" hidden="false" customHeight="false" outlineLevel="0" collapsed="false">
      <c r="A54" s="32"/>
      <c r="B54" s="33"/>
      <c r="C54" s="32"/>
      <c r="D54" s="32"/>
      <c r="E54" s="32"/>
      <c r="F54" s="33"/>
      <c r="G54" s="32"/>
      <c r="H54" s="32"/>
      <c r="I54" s="32"/>
      <c r="J54" s="32"/>
      <c r="K54" s="32"/>
      <c r="L54" s="32"/>
      <c r="M54" s="32"/>
      <c r="N54" s="33"/>
      <c r="O54" s="32"/>
      <c r="P54" s="32"/>
      <c r="Q54" s="32"/>
      <c r="R54" s="32"/>
    </row>
    <row r="55" customFormat="false" ht="15" hidden="false" customHeight="false" outlineLevel="0" collapsed="false">
      <c r="A55" s="32"/>
      <c r="B55" s="33"/>
      <c r="C55" s="32"/>
      <c r="D55" s="32"/>
      <c r="E55" s="32"/>
      <c r="F55" s="33"/>
      <c r="G55" s="32"/>
      <c r="H55" s="32"/>
      <c r="I55" s="32"/>
      <c r="J55" s="32"/>
      <c r="K55" s="32"/>
      <c r="L55" s="32"/>
      <c r="M55" s="32"/>
      <c r="N55" s="33"/>
      <c r="O55" s="32"/>
      <c r="P55" s="32"/>
      <c r="Q55" s="32"/>
      <c r="R55" s="32"/>
    </row>
    <row r="56" customFormat="false" ht="15" hidden="false" customHeight="false" outlineLevel="0" collapsed="false">
      <c r="A56" s="32"/>
      <c r="B56" s="33"/>
      <c r="C56" s="32"/>
      <c r="D56" s="32"/>
      <c r="E56" s="32"/>
      <c r="F56" s="33"/>
      <c r="G56" s="32"/>
      <c r="H56" s="32"/>
      <c r="I56" s="32"/>
      <c r="J56" s="32"/>
      <c r="K56" s="32"/>
      <c r="L56" s="32"/>
      <c r="M56" s="32"/>
      <c r="N56" s="33"/>
      <c r="O56" s="32"/>
      <c r="P56" s="32"/>
      <c r="Q56" s="32"/>
      <c r="R56" s="32"/>
    </row>
    <row r="57" customFormat="false" ht="15" hidden="false" customHeight="false" outlineLevel="0" collapsed="false">
      <c r="A57" s="32"/>
      <c r="B57" s="33"/>
      <c r="C57" s="32"/>
      <c r="D57" s="32"/>
      <c r="E57" s="32"/>
      <c r="F57" s="33"/>
      <c r="G57" s="32"/>
      <c r="H57" s="32"/>
      <c r="I57" s="32"/>
      <c r="J57" s="32"/>
      <c r="K57" s="32"/>
      <c r="L57" s="32"/>
      <c r="M57" s="32"/>
      <c r="N57" s="33"/>
      <c r="O57" s="32"/>
      <c r="P57" s="32"/>
      <c r="Q57" s="32"/>
      <c r="R57" s="32"/>
    </row>
    <row r="58" customFormat="false" ht="15" hidden="false" customHeight="false" outlineLevel="0" collapsed="false">
      <c r="A58" s="32"/>
      <c r="B58" s="33"/>
      <c r="C58" s="32"/>
      <c r="D58" s="32"/>
      <c r="E58" s="32"/>
      <c r="F58" s="33"/>
      <c r="G58" s="32"/>
      <c r="H58" s="32"/>
      <c r="I58" s="32"/>
      <c r="J58" s="32"/>
      <c r="K58" s="32"/>
      <c r="L58" s="32"/>
      <c r="M58" s="32"/>
      <c r="N58" s="33"/>
      <c r="O58" s="32"/>
      <c r="P58" s="32"/>
      <c r="Q58" s="32"/>
      <c r="R58" s="32"/>
    </row>
  </sheetData>
  <autoFilter ref="A8:R8"/>
  <mergeCells count="5">
    <mergeCell ref="A1:R1"/>
    <mergeCell ref="A7:G7"/>
    <mergeCell ref="H7:K7"/>
    <mergeCell ref="L7:N7"/>
    <mergeCell ref="O7:R7"/>
  </mergeCells>
  <conditionalFormatting sqref="M9:M509">
    <cfRule type="cellIs" priority="2" operator="equal" aboveAverage="0" equalAverage="0" bottom="0" percent="0" rank="0" text="" dxfId="4">
      <formula>"Complete"</formula>
    </cfRule>
    <cfRule type="cellIs" priority="3" operator="equal" aboveAverage="0" equalAverage="0" bottom="0" percent="0" rank="0" text="" dxfId="5">
      <formula>"In Progress"</formula>
    </cfRule>
    <cfRule type="cellIs" priority="4" operator="equal" aboveAverage="0" equalAverage="0" bottom="0" percent="0" rank="0" text="" dxfId="6">
      <formula>"Not Started"</formula>
    </cfRule>
  </conditionalFormatting>
  <conditionalFormatting sqref="L9:L509">
    <cfRule type="cellIs" priority="5" operator="equal" aboveAverage="0" equalAverage="0" bottom="0" percent="0" rank="0" text="" dxfId="7">
      <formula>"Correct"</formula>
    </cfRule>
    <cfRule type="cellIs" priority="6" operator="equal" aboveAverage="0" equalAverage="0" bottom="0" percent="0" rank="0" text="" dxfId="8">
      <formula>"Incorrect"</formula>
    </cfRule>
    <cfRule type="cellIs" priority="7" operator="equal" aboveAverage="0" equalAverage="0" bottom="0" percent="0" rank="0" text="" dxfId="5">
      <formula>"Not Checked"</formula>
    </cfRule>
  </conditionalFormatting>
  <conditionalFormatting sqref="I9:I509">
    <cfRule type="cellIs" priority="8" operator="equal" aboveAverage="0" equalAverage="0" bottom="0" percent="0" rank="0" text="" dxfId="9">
      <formula>"VSD"</formula>
    </cfRule>
  </conditionalFormatting>
  <dataValidations count="6">
    <dataValidation allowBlank="true" errorStyle="stop" operator="between" showDropDown="false" showErrorMessage="false" showInputMessage="false" sqref="I9:I509" type="list">
      <formula1>"DOL,Star-Delta,VSD,Soft Start,Inverter,Contactor"</formula1>
      <formula2>0</formula2>
    </dataValidation>
    <dataValidation allowBlank="true" errorStyle="stop" operator="between" showDropDown="false" showErrorMessage="false" showInputMessage="false" sqref="L9:L509" type="list">
      <formula1>"Correct,Incorrect,Not Checked"</formula1>
      <formula2>0</formula2>
    </dataValidation>
    <dataValidation allowBlank="true" errorStyle="stop" operator="between" showDropDown="false" showErrorMessage="false" showInputMessage="false" sqref="M9:M509" type="list">
      <formula1>"Not Started,In Progress,Complete"</formula1>
      <formula2>0</formula2>
    </dataValidation>
    <dataValidation allowBlank="true" errorStyle="stop" operator="between" showDropDown="false" showErrorMessage="false" showInputMessage="false" sqref="G9:G509" type="list">
      <formula1>"Duty,Standby,Duty/Standby,Intermittent,Continuous"</formula1>
      <formula2>0</formula2>
    </dataValidation>
    <dataValidation allowBlank="true" errorStyle="stop" operator="between" showDropDown="false" showErrorMessage="false" showInputMessage="false" sqref="D9:D509" type="list">
      <formula1>"230,400,415,690,3300,6600,11000"</formula1>
      <formula2>0</formula2>
    </dataValidation>
    <dataValidation allowBlank="true" errorStyle="stop" operator="between" showDropDown="false" showErrorMessage="false" showInputMessage="false" sqref="R9:R509" type="list">
      <formula1>"Class B,Class F,Class H"</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&amp;CMotor / Drive Schedule</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4" t="s">
        <v>128</v>
      </c>
    </row>
    <row r="2" customFormat="false" ht="15" hidden="false" customHeight="false" outlineLevel="0" collapsed="false">
      <c r="A2" s="35"/>
    </row>
    <row r="3" customFormat="false" ht="15" hidden="false" customHeight="false" outlineLevel="0" collapsed="false">
      <c r="A3" s="35" t="s">
        <v>129</v>
      </c>
    </row>
    <row r="4" customFormat="false" ht="15" hidden="false" customHeight="false" outlineLevel="0" collapsed="false">
      <c r="A4" s="35"/>
    </row>
    <row r="5" customFormat="false" ht="15" hidden="false" customHeight="false" outlineLevel="0" collapsed="false">
      <c r="A5" s="35" t="s">
        <v>130</v>
      </c>
    </row>
    <row r="6" customFormat="false" ht="15" hidden="false" customHeight="false" outlineLevel="0" collapsed="false">
      <c r="A6" s="35"/>
    </row>
    <row r="7" customFormat="false" ht="23.85" hidden="false" customHeight="false" outlineLevel="0" collapsed="false">
      <c r="A7" s="35" t="s">
        <v>131</v>
      </c>
    </row>
    <row r="8" customFormat="false" ht="15" hidden="false" customHeight="false" outlineLevel="0" collapsed="false">
      <c r="A8" s="35"/>
    </row>
    <row r="9" customFormat="false" ht="15" hidden="false" customHeight="false" outlineLevel="0" collapsed="false">
      <c r="A9" s="35" t="s">
        <v>132</v>
      </c>
    </row>
    <row r="10" customFormat="false" ht="15" hidden="false" customHeight="false" outlineLevel="0" collapsed="false">
      <c r="A10" s="35"/>
    </row>
    <row r="11" customFormat="false" ht="15" hidden="false" customHeight="false" outlineLevel="0" collapsed="false">
      <c r="A11" s="35" t="s">
        <v>133</v>
      </c>
    </row>
    <row r="12" customFormat="false" ht="15" hidden="false" customHeight="false" outlineLevel="0" collapsed="false">
      <c r="A12" s="35"/>
    </row>
    <row r="13" customFormat="false" ht="23.85" hidden="false" customHeight="false" outlineLevel="0" collapsed="false">
      <c r="A13" s="35" t="s">
        <v>134</v>
      </c>
    </row>
    <row r="14" customFormat="false" ht="15" hidden="false" customHeight="false" outlineLevel="0" collapsed="false">
      <c r="A14" s="35"/>
    </row>
    <row r="15" customFormat="false" ht="15" hidden="false" customHeight="false" outlineLevel="0" collapsed="false">
      <c r="A15" s="35" t="s">
        <v>135</v>
      </c>
    </row>
    <row r="16" customFormat="false" ht="15" hidden="false" customHeight="false" outlineLevel="0" collapsed="false">
      <c r="A16" s="35"/>
    </row>
    <row r="17" customFormat="false" ht="15" hidden="false" customHeight="false" outlineLevel="0" collapsed="false">
      <c r="A17" s="35"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 Commissioning</cp:category>
  <dcterms:created xsi:type="dcterms:W3CDTF">2026-03-22T20:20:19Z</dcterms:created>
  <dc:creator>Ebrora Ltd</dc:creator>
  <dc:description>Pair every motor with its starter or drive — capture kW ratings, voltages, start methods, rotation checks, and commissioning status — designed for MEICA engineers and electrical supervisors on UK construction projects.
Free professional construction management template from Ebrora Ltd. Visit ebrora.com for our full range of tools and templates.</dc:description>
  <cp:keywords>Ebrora construction MEICA commissioning motor schedule drive schedule VSD electrical mechanical</cp:keywords>
  <dc:language>en-US</dc:language>
  <cp:lastModifiedBy>Ebrora Ltd</cp:lastModifiedBy>
  <dcterms:modified xsi:type="dcterms:W3CDTF">2026-03-22T20:20:20Z</dcterms:modified>
  <cp:revision>0</cp:revision>
  <dc:subject>Pair every motor with its starter or drive and track ratings, rotation checks, and commissioning status in one master schedule.</dc:subject>
  <dc:title>Motor / Drive Schedule</dc:title>
</cp:coreProperties>
</file>

<file path=docProps/custom.xml><?xml version="1.0" encoding="utf-8"?>
<Properties xmlns="http://schemas.openxmlformats.org/officeDocument/2006/custom-properties" xmlns:vt="http://schemas.openxmlformats.org/officeDocument/2006/docPropsVTypes"/>
</file>