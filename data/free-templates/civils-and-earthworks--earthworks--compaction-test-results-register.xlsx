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Compaction Tests" sheetId="3" state="visible" r:id="rId5"/>
    <sheet name="Terms of Use" sheetId="4" state="hidden" r:id="rId6"/>
  </sheets>
  <definedNames>
    <definedName function="false" hidden="false" localSheetId="2" name="_xlnm.Print_Area" vbProcedure="false">'Compaction Tests'!$A$1:$L$58</definedName>
    <definedName function="false" hidden="true" localSheetId="2" name="_xlnm._FilterDatabase" vbProcedure="false">'Compaction Tests'!$A$7:$P$58</definedName>
    <definedName function="false" hidden="false" localSheetId="0" name="_xlnm.Print_Area" vbProcedure="false">Cover!$A$1:$H$20</definedName>
    <definedName function="false" hidden="false" name="DataTable" vbProcedure="false">'Compaction Tests'!$A$7:$P$58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<sst xmlns="http://schemas.openxmlformats.org/spreadsheetml/2006/main" count="99" uniqueCount="85">
  <si>
    <t xml:space="preserve">EBRORA</t>
  </si>
  <si>
    <t xml:space="preserve">ebrora.com</t>
  </si>
  <si>
    <t xml:space="preserve">Compaction Test
Results Register</t>
  </si>
  <si>
    <t xml:space="preserve">Log field compaction test results against specification requirements with automatic compliance checking and pass rate tracking.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</si>
  <si>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</si>
  <si>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</si>
  <si>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</si>
  <si>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</si>
  <si>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'Compaction Tests' sheet. The summary panel shows total tests, pass/fail counts, and average % MDD achieved.</t>
  </si>
  <si>
    <t xml:space="preserve">2. Enter each test with its reference, date, location, material type, and layer number/thickness.</t>
  </si>
  <si>
    <t xml:space="preserve">3. Enter the MDD (Maximum Dry Density) from the lab Proctor test and the required % MDD from your specification.</t>
  </si>
  <si>
    <t xml:space="preserve">4. Enter the field dry density result from the nuclear gauge or sand replacement test.</t>
  </si>
  <si>
    <t xml:space="preserve">5. The '% MDD Achieved' and 'Pass/Fail' columns auto-calculate — PASS if achieved ≥ required %.</t>
  </si>
  <si>
    <t xml:space="preserve">6. Tests achieving 95–99% of the required value flag as MARGINAL in amber for engineering review.</t>
  </si>
  <si>
    <t xml:space="preserve">7. Expand optional columns [+] for moisture content, test method, operator name, and equipment calibration ref.</t>
  </si>
  <si>
    <t xml:space="preserve">8. Filter by result to quickly identify areas needing re-compaction.</t>
  </si>
  <si>
    <t xml:space="preserve">Colour Key</t>
  </si>
  <si>
    <t xml:space="preserve">Light teal</t>
  </si>
  <si>
    <t xml:space="preserve">Editable cells</t>
  </si>
  <si>
    <t xml:space="preserve">Dark navy</t>
  </si>
  <si>
    <t xml:space="preserve">Headers</t>
  </si>
  <si>
    <t xml:space="preserve">Green</t>
  </si>
  <si>
    <t xml:space="preserve">PASS — meets or exceeds required % MDD</t>
  </si>
  <si>
    <t xml:space="preserve">Amber</t>
  </si>
  <si>
    <t xml:space="preserve">MARGINAL — within 95–99% of requirement</t>
  </si>
  <si>
    <t xml:space="preserve">Red</t>
  </si>
  <si>
    <t xml:space="preserve">FAIL — below required compaction</t>
  </si>
  <si>
    <t xml:space="preserve">Tips</t>
  </si>
  <si>
    <t xml:space="preserve">• Typical requirements: Class 1 general fill 95% MDD, Class 6 capping 95% MDD, road sub-base 95% MDD — always check SHW Series 600.</t>
  </si>
  <si>
    <t xml:space="preserve">• Test frequency: minimum 1 test per 500m² per layer, or as specified in the earthworks specification.</t>
  </si>
  <si>
    <t xml:space="preserve">• If a test fails, the affected area must be re-compacted and re-tested — don't just test an adjacent point.</t>
  </si>
  <si>
    <t xml:space="preserve">COMPACTION TEST RESULTS REGISTER</t>
  </si>
  <si>
    <t xml:space="preserve">Total Tests</t>
  </si>
  <si>
    <t xml:space="preserve">Pass</t>
  </si>
  <si>
    <t xml:space="preserve">Marginal</t>
  </si>
  <si>
    <t xml:space="preserve">Fail</t>
  </si>
  <si>
    <t xml:space="preserve">Pass Rate</t>
  </si>
  <si>
    <t xml:space="preserve">Avg % MDD</t>
  </si>
  <si>
    <t xml:space="preserve">▸ Optional Fields — Click [+] to expand</t>
  </si>
  <si>
    <t xml:space="preserve">Test
Ref</t>
  </si>
  <si>
    <t xml:space="preserve">Date</t>
  </si>
  <si>
    <t xml:space="preserve">Location / Zone</t>
  </si>
  <si>
    <t xml:space="preserve">Material
Type</t>
  </si>
  <si>
    <t xml:space="preserve">Layer
No.</t>
  </si>
  <si>
    <t xml:space="preserve">Layer
Thickness
(mm)</t>
  </si>
  <si>
    <t xml:space="preserve">MDD
(kg/m³)</t>
  </si>
  <si>
    <t xml:space="preserve">Required
% MDD</t>
  </si>
  <si>
    <t xml:space="preserve">Field Density
(kg/m³)</t>
  </si>
  <si>
    <t xml:space="preserve">% MDD
Achieved</t>
  </si>
  <si>
    <t xml:space="preserve">Result</t>
  </si>
  <si>
    <t xml:space="preserve">Notes</t>
  </si>
  <si>
    <t xml:space="preserve">Moisture
(%)</t>
  </si>
  <si>
    <t xml:space="preserve">Test
Method</t>
  </si>
  <si>
    <t xml:space="preserve">Operator</t>
  </si>
  <si>
    <t xml:space="preserve">Equip Cal
Ref</t>
  </si>
  <si>
    <t xml:space="preserve">CT-001</t>
  </si>
  <si>
    <t xml:space="preserve">Zone A — Building Footprint Layer 1</t>
  </si>
  <si>
    <t xml:space="preserve">Class 1 General Fill</t>
  </si>
  <si>
    <t xml:space="preserve">Slightly below — re-compact NE quadrant</t>
  </si>
  <si>
    <t xml:space="preserve">Nuclear Gauge</t>
  </si>
  <si>
    <t xml:space="preserve">D. Williams</t>
  </si>
  <si>
    <t xml:space="preserve">NG-CAL-2026-01</t>
  </si>
  <si>
    <t xml:space="preserve">CT-002</t>
  </si>
  <si>
    <t xml:space="preserve">Pass — good compaction</t>
  </si>
  <si>
    <t xml:space="preserve">CT-003</t>
  </si>
  <si>
    <t xml:space="preserve">Zone B — Access Road Sub-base</t>
  </si>
  <si>
    <t xml:space="preserve">Sub-base Type 1</t>
  </si>
  <si>
    <t xml:space="preserve">CT-004</t>
  </si>
  <si>
    <t xml:space="preserve">Zone A — Building Footprint Layer 2</t>
  </si>
  <si>
    <t xml:space="preserve">FAIL — excessive moisture, dry out and re-compact</t>
  </si>
  <si>
    <t xml:space="preserve">CT-005</t>
  </si>
  <si>
    <t xml:space="preserve">Zone C — Car Park Capping</t>
  </si>
  <si>
    <t xml:space="preserve">Class 6 Capping</t>
  </si>
  <si>
    <t xml:space="preserve">Sand Replacement</t>
  </si>
  <si>
    <t xml:space="preserve">J. Moss</t>
  </si>
  <si>
    <t xml:space="preserve">SR-CAL-2026-02</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</si>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</sst>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0.0%"/>
    <numFmt numFmtId="168"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7"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6" fontId="12" fillId="4" borderId="1" xfId="0" applyFont="true" applyBorder="true" applyAlignment="true" applyProtection="false">
      <alignment horizontal="center" vertical="center" textRotation="0" wrapText="true" indent="0" shrinkToFit="false"/>
      <protection locked="true" hidden="false"/>
    </xf>
    <xf numFmtId="167" fontId="12" fillId="3"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ill>
        <patternFill>
          <bgColor rgb="FFC6EFCE"/>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24"/>
    <col collapsed="false" customWidth="true" hidden="false" outlineLevel="0" max="4" min="4" style="0" width="18"/>
    <col collapsed="false" customWidth="true" hidden="false" outlineLevel="0" max="5" min="5" style="0" width="10"/>
    <col collapsed="false" customWidth="true" hidden="false" outlineLevel="0" max="6" min="6" style="0" width="13"/>
    <col collapsed="false" customWidth="true" hidden="false" outlineLevel="0" max="8" min="7" style="0" width="12"/>
    <col collapsed="false" customWidth="true" hidden="false" outlineLevel="0" max="9" min="9" style="0" width="14"/>
    <col collapsed="false" customWidth="true" hidden="false" outlineLevel="0" max="10" min="10" style="0" width="13"/>
    <col collapsed="false" customWidth="true" hidden="false" outlineLevel="0" max="11" min="11" style="0" width="12"/>
    <col collapsed="false" customWidth="true" hidden="false" outlineLevel="0" max="12" min="12" style="0" width="28"/>
    <col collapsed="false" customWidth="true" hidden="true" outlineLevel="1" max="16" min="13" style="0" width="13"/>
  </cols>
  <sheetData>
    <row r="1" customFormat="false" ht="18.65" hidden="false" customHeight="true" outlineLevel="0" collapsed="false">
      <c r="A1" s="18" t="s">
        <v>31</v>
      </c>
      <c r="B1" s="18"/>
      <c r="C1" s="18"/>
      <c r="D1" s="18"/>
      <c r="E1" s="18"/>
      <c r="F1" s="18"/>
      <c r="G1" s="18"/>
      <c r="H1" s="18"/>
      <c r="I1" s="18"/>
      <c r="J1" s="18"/>
      <c r="K1" s="18"/>
      <c r="L1" s="18"/>
      <c r="M1" s="19"/>
      <c r="N1" s="19"/>
      <c r="O1" s="19"/>
      <c r="P1" s="19"/>
    </row>
    <row r="2" customFormat="false" ht="6" hidden="false" customHeight="true" outlineLevel="0" collapsed="false"/>
    <row r="3" customFormat="false" ht="1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COUNTA(A8:A58)</f>
        <v>5</v>
      </c>
      <c r="C4" s="22" t="n">
        <f aca="false">COUNTIF(K8:K58,"PASS")</f>
        <v>4</v>
      </c>
      <c r="E4" s="21" t="n">
        <f aca="false">COUNTIF(K8:K58,"MARGINAL")</f>
        <v>1</v>
      </c>
      <c r="G4" s="23" t="n">
        <f aca="false">COUNTIF(K8:K58,"FAIL")</f>
        <v>0</v>
      </c>
      <c r="I4" s="24" t="n">
        <f aca="false">IFERROR(C4/A4,0)</f>
        <v>0.8</v>
      </c>
      <c r="K4" s="25" t="n">
        <f aca="false">IFERROR(AVERAGE(J8:J58),0)</f>
        <v>0.956827141236529</v>
      </c>
    </row>
    <row r="5" customFormat="false" ht="15" hidden="false" customHeight="false" outlineLevel="0" collapsed="false">
      <c r="A5" s="26"/>
      <c r="B5" s="26"/>
      <c r="C5" s="26"/>
      <c r="D5" s="26"/>
      <c r="E5" s="26"/>
      <c r="F5" s="26"/>
      <c r="G5" s="26"/>
      <c r="H5" s="26"/>
      <c r="I5" s="26"/>
      <c r="J5" s="26"/>
      <c r="K5" s="26"/>
      <c r="L5" s="26"/>
      <c r="M5" s="26"/>
      <c r="N5" s="26"/>
      <c r="O5" s="26"/>
      <c r="P5" s="26"/>
    </row>
    <row r="6" customFormat="false" ht="3.75" hidden="false" customHeight="true" outlineLevel="0" collapsed="false">
      <c r="M6" s="27" t="s">
        <v>38</v>
      </c>
      <c r="N6" s="27"/>
      <c r="O6" s="27"/>
      <c r="P6" s="27"/>
    </row>
    <row r="7" customFormat="false" ht="39.75" hidden="false" customHeight="true" outlineLevel="0" collapsed="false">
      <c r="A7" s="28" t="s">
        <v>39</v>
      </c>
      <c r="B7" s="28" t="s">
        <v>40</v>
      </c>
      <c r="C7" s="28" t="s">
        <v>41</v>
      </c>
      <c r="D7" s="28" t="s">
        <v>42</v>
      </c>
      <c r="E7" s="28" t="s">
        <v>43</v>
      </c>
      <c r="F7" s="28" t="s">
        <v>44</v>
      </c>
      <c r="G7" s="28" t="s">
        <v>45</v>
      </c>
      <c r="H7" s="28" t="s">
        <v>46</v>
      </c>
      <c r="I7" s="28" t="s">
        <v>47</v>
      </c>
      <c r="J7" s="28" t="s">
        <v>48</v>
      </c>
      <c r="K7" s="28" t="s">
        <v>49</v>
      </c>
      <c r="L7" s="28" t="s">
        <v>50</v>
      </c>
      <c r="M7" s="28" t="s">
        <v>51</v>
      </c>
      <c r="N7" s="28" t="s">
        <v>52</v>
      </c>
      <c r="O7" s="28" t="s">
        <v>53</v>
      </c>
      <c r="P7" s="28" t="s">
        <v>54</v>
      </c>
    </row>
    <row r="8" customFormat="false" ht="23.85" hidden="false" customHeight="false" outlineLevel="0" collapsed="false">
      <c r="A8" s="29" t="s">
        <v>55</v>
      </c>
      <c r="B8" s="30" t="n">
        <v>46063</v>
      </c>
      <c r="C8" s="31" t="s">
        <v>56</v>
      </c>
      <c r="D8" s="29" t="s">
        <v>57</v>
      </c>
      <c r="E8" s="29" t="n">
        <v>1</v>
      </c>
      <c r="F8" s="29" t="n">
        <v>250</v>
      </c>
      <c r="G8" s="29" t="n">
        <v>1920</v>
      </c>
      <c r="H8" s="32" t="n">
        <v>0.95</v>
      </c>
      <c r="I8" s="29" t="n">
        <v>1870</v>
      </c>
      <c r="J8" s="33" t="n">
        <f aca="false">IFERROR(I8/G8,"")</f>
        <v>0.973958333333333</v>
      </c>
      <c r="K8" s="34" t="str">
        <f aca="false">IF(J8="","",IF(J8&gt;=H8,"PASS",IF(J8&gt;=H8*0.95,"MARGINAL","FAIL")))</f>
        <v>PASS</v>
      </c>
      <c r="L8" s="31" t="s">
        <v>58</v>
      </c>
      <c r="M8" s="29" t="n">
        <v>12.5</v>
      </c>
      <c r="N8" s="29" t="s">
        <v>59</v>
      </c>
      <c r="O8" s="29" t="s">
        <v>60</v>
      </c>
      <c r="P8" s="29" t="s">
        <v>61</v>
      </c>
    </row>
    <row r="9" customFormat="false" ht="23.85" hidden="false" customHeight="false" outlineLevel="0" collapsed="false">
      <c r="A9" s="29" t="s">
        <v>62</v>
      </c>
      <c r="B9" s="30" t="n">
        <v>46063</v>
      </c>
      <c r="C9" s="31" t="s">
        <v>56</v>
      </c>
      <c r="D9" s="29" t="s">
        <v>57</v>
      </c>
      <c r="E9" s="29" t="n">
        <v>1</v>
      </c>
      <c r="F9" s="29" t="n">
        <v>250</v>
      </c>
      <c r="G9" s="29" t="n">
        <v>1920</v>
      </c>
      <c r="H9" s="32" t="n">
        <v>0.95</v>
      </c>
      <c r="I9" s="29" t="n">
        <v>1840</v>
      </c>
      <c r="J9" s="33" t="n">
        <f aca="false">IFERROR(I9/G9,"")</f>
        <v>0.958333333333333</v>
      </c>
      <c r="K9" s="34" t="str">
        <f aca="false">IF(J9="","",IF(J9&gt;=H9,"PASS",IF(J9&gt;=H9*0.95,"MARGINAL","FAIL")))</f>
        <v>PASS</v>
      </c>
      <c r="L9" s="31" t="s">
        <v>63</v>
      </c>
      <c r="M9" s="29" t="n">
        <v>11.8</v>
      </c>
      <c r="N9" s="29" t="s">
        <v>59</v>
      </c>
      <c r="O9" s="29" t="s">
        <v>60</v>
      </c>
      <c r="P9" s="29" t="s">
        <v>61</v>
      </c>
    </row>
    <row r="10" customFormat="false" ht="23.85" hidden="false" customHeight="false" outlineLevel="0" collapsed="false">
      <c r="A10" s="29" t="s">
        <v>64</v>
      </c>
      <c r="B10" s="30" t="n">
        <v>46065</v>
      </c>
      <c r="C10" s="31" t="s">
        <v>65</v>
      </c>
      <c r="D10" s="29" t="s">
        <v>66</v>
      </c>
      <c r="E10" s="29" t="n">
        <v>1</v>
      </c>
      <c r="F10" s="29" t="n">
        <v>225</v>
      </c>
      <c r="G10" s="29" t="n">
        <v>2150</v>
      </c>
      <c r="H10" s="32" t="n">
        <v>0.95</v>
      </c>
      <c r="I10" s="29" t="n">
        <v>2090</v>
      </c>
      <c r="J10" s="33" t="n">
        <f aca="false">IFERROR(I10/G10,"")</f>
        <v>0.972093023255814</v>
      </c>
      <c r="K10" s="34" t="str">
        <f aca="false">IF(J10="","",IF(J10&gt;=H10,"PASS",IF(J10&gt;=H10*0.95,"MARGINAL","FAIL")))</f>
        <v>PASS</v>
      </c>
      <c r="L10" s="31" t="s">
        <v>33</v>
      </c>
      <c r="M10" s="29" t="n">
        <v>5.2</v>
      </c>
      <c r="N10" s="29" t="s">
        <v>59</v>
      </c>
      <c r="O10" s="29" t="s">
        <v>60</v>
      </c>
      <c r="P10" s="29" t="s">
        <v>61</v>
      </c>
    </row>
    <row r="11" customFormat="false" ht="23.85" hidden="false" customHeight="false" outlineLevel="0" collapsed="false">
      <c r="A11" s="29" t="s">
        <v>67</v>
      </c>
      <c r="B11" s="30" t="n">
        <v>46066</v>
      </c>
      <c r="C11" s="31" t="s">
        <v>68</v>
      </c>
      <c r="D11" s="29" t="s">
        <v>57</v>
      </c>
      <c r="E11" s="29" t="n">
        <v>2</v>
      </c>
      <c r="F11" s="29" t="n">
        <v>250</v>
      </c>
      <c r="G11" s="29" t="n">
        <v>1920</v>
      </c>
      <c r="H11" s="32" t="n">
        <v>0.95</v>
      </c>
      <c r="I11" s="29" t="n">
        <v>1750</v>
      </c>
      <c r="J11" s="33" t="n">
        <f aca="false">IFERROR(I11/G11,"")</f>
        <v>0.911458333333333</v>
      </c>
      <c r="K11" s="34" t="str">
        <f aca="false">IF(J11="","",IF(J11&gt;=H11,"PASS",IF(J11&gt;=H11*0.95,"MARGINAL","FAIL")))</f>
        <v>MARGINAL</v>
      </c>
      <c r="L11" s="31" t="s">
        <v>69</v>
      </c>
      <c r="M11" s="29" t="n">
        <v>16.4</v>
      </c>
      <c r="N11" s="29" t="s">
        <v>59</v>
      </c>
      <c r="O11" s="29" t="s">
        <v>60</v>
      </c>
      <c r="P11" s="29" t="s">
        <v>61</v>
      </c>
    </row>
    <row r="12" customFormat="false" ht="23.85" hidden="false" customHeight="false" outlineLevel="0" collapsed="false">
      <c r="A12" s="29" t="s">
        <v>70</v>
      </c>
      <c r="B12" s="30" t="n">
        <v>46067</v>
      </c>
      <c r="C12" s="31" t="s">
        <v>71</v>
      </c>
      <c r="D12" s="29" t="s">
        <v>72</v>
      </c>
      <c r="E12" s="29" t="n">
        <v>1</v>
      </c>
      <c r="F12" s="29" t="n">
        <v>300</v>
      </c>
      <c r="G12" s="29" t="n">
        <v>2050</v>
      </c>
      <c r="H12" s="32" t="n">
        <v>0.95</v>
      </c>
      <c r="I12" s="29" t="n">
        <v>1985</v>
      </c>
      <c r="J12" s="33" t="n">
        <f aca="false">IFERROR(I12/G12,"")</f>
        <v>0.968292682926829</v>
      </c>
      <c r="K12" s="34" t="str">
        <f aca="false">IF(J12="","",IF(J12&gt;=H12,"PASS",IF(J12&gt;=H12*0.95,"MARGINAL","FAIL")))</f>
        <v>PASS</v>
      </c>
      <c r="L12" s="31" t="s">
        <v>33</v>
      </c>
      <c r="M12" s="29" t="n">
        <v>8.1</v>
      </c>
      <c r="N12" s="29" t="s">
        <v>73</v>
      </c>
      <c r="O12" s="29" t="s">
        <v>74</v>
      </c>
      <c r="P12" s="29" t="s">
        <v>75</v>
      </c>
    </row>
    <row r="13" customFormat="false" ht="15" hidden="false" customHeight="false" outlineLevel="0" collapsed="false">
      <c r="A13" s="29"/>
      <c r="B13" s="30"/>
      <c r="C13" s="31"/>
      <c r="D13" s="29"/>
      <c r="E13" s="29"/>
      <c r="F13" s="29"/>
      <c r="G13" s="29"/>
      <c r="H13" s="32"/>
      <c r="I13" s="29"/>
      <c r="J13" s="33" t="str">
        <f aca="false">IFERROR(I13/G13,"")</f>
        <v/>
      </c>
      <c r="K13" s="34" t="str">
        <f aca="false">IF(J13="","",IF(J13&gt;=H13,"PASS",IF(J13&gt;=H13*0.95,"MARGINAL","FAIL")))</f>
        <v/>
      </c>
      <c r="L13" s="31"/>
      <c r="M13" s="29"/>
      <c r="N13" s="29"/>
      <c r="O13" s="29"/>
      <c r="P13" s="29"/>
    </row>
    <row r="14" customFormat="false" ht="15" hidden="false" customHeight="false" outlineLevel="0" collapsed="false">
      <c r="A14" s="29"/>
      <c r="B14" s="30"/>
      <c r="C14" s="31"/>
      <c r="D14" s="29"/>
      <c r="E14" s="29"/>
      <c r="F14" s="29"/>
      <c r="G14" s="29"/>
      <c r="H14" s="32"/>
      <c r="I14" s="29"/>
      <c r="J14" s="33" t="str">
        <f aca="false">IFERROR(I14/G14,"")</f>
        <v/>
      </c>
      <c r="K14" s="34" t="str">
        <f aca="false">IF(J14="","",IF(J14&gt;=H14,"PASS",IF(J14&gt;=H14*0.95,"MARGINAL","FAIL")))</f>
        <v/>
      </c>
      <c r="L14" s="31"/>
      <c r="M14" s="29"/>
      <c r="N14" s="29"/>
      <c r="O14" s="29"/>
      <c r="P14" s="29"/>
    </row>
    <row r="15" customFormat="false" ht="15" hidden="false" customHeight="false" outlineLevel="0" collapsed="false">
      <c r="A15" s="29"/>
      <c r="B15" s="30"/>
      <c r="C15" s="31"/>
      <c r="D15" s="29"/>
      <c r="E15" s="29"/>
      <c r="F15" s="29"/>
      <c r="G15" s="29"/>
      <c r="H15" s="32"/>
      <c r="I15" s="29"/>
      <c r="J15" s="33" t="str">
        <f aca="false">IFERROR(I15/G15,"")</f>
        <v/>
      </c>
      <c r="K15" s="34" t="str">
        <f aca="false">IF(J15="","",IF(J15&gt;=H15,"PASS",IF(J15&gt;=H15*0.95,"MARGINAL","FAIL")))</f>
        <v/>
      </c>
      <c r="L15" s="31"/>
      <c r="M15" s="29"/>
      <c r="N15" s="29"/>
      <c r="O15" s="29"/>
      <c r="P15" s="29"/>
    </row>
    <row r="16" customFormat="false" ht="15" hidden="false" customHeight="false" outlineLevel="0" collapsed="false">
      <c r="A16" s="29"/>
      <c r="B16" s="30"/>
      <c r="C16" s="31"/>
      <c r="D16" s="29"/>
      <c r="E16" s="29"/>
      <c r="F16" s="29"/>
      <c r="G16" s="29"/>
      <c r="H16" s="32"/>
      <c r="I16" s="29"/>
      <c r="J16" s="33" t="str">
        <f aca="false">IFERROR(I16/G16,"")</f>
        <v/>
      </c>
      <c r="K16" s="34" t="str">
        <f aca="false">IF(J16="","",IF(J16&gt;=H16,"PASS",IF(J16&gt;=H16*0.95,"MARGINAL","FAIL")))</f>
        <v/>
      </c>
      <c r="L16" s="31"/>
      <c r="M16" s="29"/>
      <c r="N16" s="29"/>
      <c r="O16" s="29"/>
      <c r="P16" s="29"/>
    </row>
    <row r="17" customFormat="false" ht="15" hidden="false" customHeight="false" outlineLevel="0" collapsed="false">
      <c r="A17" s="29"/>
      <c r="B17" s="30"/>
      <c r="C17" s="31"/>
      <c r="D17" s="29"/>
      <c r="E17" s="29"/>
      <c r="F17" s="29"/>
      <c r="G17" s="29"/>
      <c r="H17" s="32"/>
      <c r="I17" s="29"/>
      <c r="J17" s="33" t="str">
        <f aca="false">IFERROR(I17/G17,"")</f>
        <v/>
      </c>
      <c r="K17" s="34" t="str">
        <f aca="false">IF(J17="","",IF(J17&gt;=H17,"PASS",IF(J17&gt;=H17*0.95,"MARGINAL","FAIL")))</f>
        <v/>
      </c>
      <c r="L17" s="31"/>
      <c r="M17" s="29"/>
      <c r="N17" s="29"/>
      <c r="O17" s="29"/>
      <c r="P17" s="29"/>
    </row>
    <row r="18" customFormat="false" ht="15" hidden="false" customHeight="false" outlineLevel="0" collapsed="false">
      <c r="A18" s="29"/>
      <c r="B18" s="30"/>
      <c r="C18" s="31"/>
      <c r="D18" s="29"/>
      <c r="E18" s="29"/>
      <c r="F18" s="29"/>
      <c r="G18" s="29"/>
      <c r="H18" s="32"/>
      <c r="I18" s="29"/>
      <c r="J18" s="33" t="str">
        <f aca="false">IFERROR(I18/G18,"")</f>
        <v/>
      </c>
      <c r="K18" s="34" t="str">
        <f aca="false">IF(J18="","",IF(J18&gt;=H18,"PASS",IF(J18&gt;=H18*0.95,"MARGINAL","FAIL")))</f>
        <v/>
      </c>
      <c r="L18" s="31"/>
      <c r="M18" s="29"/>
      <c r="N18" s="29"/>
      <c r="O18" s="29"/>
      <c r="P18" s="29"/>
    </row>
    <row r="19" customFormat="false" ht="15" hidden="false" customHeight="false" outlineLevel="0" collapsed="false">
      <c r="A19" s="29"/>
      <c r="B19" s="30"/>
      <c r="C19" s="31"/>
      <c r="D19" s="29"/>
      <c r="E19" s="29"/>
      <c r="F19" s="29"/>
      <c r="G19" s="29"/>
      <c r="H19" s="32"/>
      <c r="I19" s="29"/>
      <c r="J19" s="33" t="str">
        <f aca="false">IFERROR(I19/G19,"")</f>
        <v/>
      </c>
      <c r="K19" s="34" t="str">
        <f aca="false">IF(J19="","",IF(J19&gt;=H19,"PASS",IF(J19&gt;=H19*0.95,"MARGINAL","FAIL")))</f>
        <v/>
      </c>
      <c r="L19" s="31"/>
      <c r="M19" s="29"/>
      <c r="N19" s="29"/>
      <c r="O19" s="29"/>
      <c r="P19" s="29"/>
    </row>
    <row r="20" customFormat="false" ht="15" hidden="false" customHeight="false" outlineLevel="0" collapsed="false">
      <c r="A20" s="29"/>
      <c r="B20" s="30"/>
      <c r="C20" s="31"/>
      <c r="D20" s="29"/>
      <c r="E20" s="29"/>
      <c r="F20" s="29"/>
      <c r="G20" s="29"/>
      <c r="H20" s="32"/>
      <c r="I20" s="29"/>
      <c r="J20" s="33" t="str">
        <f aca="false">IFERROR(I20/G20,"")</f>
        <v/>
      </c>
      <c r="K20" s="34" t="str">
        <f aca="false">IF(J20="","",IF(J20&gt;=H20,"PASS",IF(J20&gt;=H20*0.95,"MARGINAL","FAIL")))</f>
        <v/>
      </c>
      <c r="L20" s="31"/>
      <c r="M20" s="29"/>
      <c r="N20" s="29"/>
      <c r="O20" s="29"/>
      <c r="P20" s="29"/>
    </row>
    <row r="21" customFormat="false" ht="15" hidden="false" customHeight="false" outlineLevel="0" collapsed="false">
      <c r="A21" s="29"/>
      <c r="B21" s="30"/>
      <c r="C21" s="31"/>
      <c r="D21" s="29"/>
      <c r="E21" s="29"/>
      <c r="F21" s="29"/>
      <c r="G21" s="29"/>
      <c r="H21" s="32"/>
      <c r="I21" s="29"/>
      <c r="J21" s="33" t="str">
        <f aca="false">IFERROR(I21/G21,"")</f>
        <v/>
      </c>
      <c r="K21" s="34" t="str">
        <f aca="false">IF(J21="","",IF(J21&gt;=H21,"PASS",IF(J21&gt;=H21*0.95,"MARGINAL","FAIL")))</f>
        <v/>
      </c>
      <c r="L21" s="31"/>
      <c r="M21" s="29"/>
      <c r="N21" s="29"/>
      <c r="O21" s="29"/>
      <c r="P21" s="29"/>
    </row>
    <row r="22" customFormat="false" ht="15" hidden="false" customHeight="false" outlineLevel="0" collapsed="false">
      <c r="A22" s="29"/>
      <c r="B22" s="30"/>
      <c r="C22" s="31"/>
      <c r="D22" s="29"/>
      <c r="E22" s="29"/>
      <c r="F22" s="29"/>
      <c r="G22" s="29"/>
      <c r="H22" s="32"/>
      <c r="I22" s="29"/>
      <c r="J22" s="33" t="str">
        <f aca="false">IFERROR(I22/G22,"")</f>
        <v/>
      </c>
      <c r="K22" s="34" t="str">
        <f aca="false">IF(J22="","",IF(J22&gt;=H22,"PASS",IF(J22&gt;=H22*0.95,"MARGINAL","FAIL")))</f>
        <v/>
      </c>
      <c r="L22" s="31"/>
      <c r="M22" s="29"/>
      <c r="N22" s="29"/>
      <c r="O22" s="29"/>
      <c r="P22" s="29"/>
    </row>
    <row r="23" customFormat="false" ht="15" hidden="false" customHeight="false" outlineLevel="0" collapsed="false">
      <c r="A23" s="29"/>
      <c r="B23" s="30"/>
      <c r="C23" s="31"/>
      <c r="D23" s="29"/>
      <c r="E23" s="29"/>
      <c r="F23" s="29"/>
      <c r="G23" s="29"/>
      <c r="H23" s="32"/>
      <c r="I23" s="29"/>
      <c r="J23" s="33" t="str">
        <f aca="false">IFERROR(I23/G23,"")</f>
        <v/>
      </c>
      <c r="K23" s="34" t="str">
        <f aca="false">IF(J23="","",IF(J23&gt;=H23,"PASS",IF(J23&gt;=H23*0.95,"MARGINAL","FAIL")))</f>
        <v/>
      </c>
      <c r="L23" s="31"/>
      <c r="M23" s="29"/>
      <c r="N23" s="29"/>
      <c r="O23" s="29"/>
      <c r="P23" s="29"/>
    </row>
    <row r="24" customFormat="false" ht="15" hidden="false" customHeight="false" outlineLevel="0" collapsed="false">
      <c r="A24" s="29"/>
      <c r="B24" s="30"/>
      <c r="C24" s="31"/>
      <c r="D24" s="29"/>
      <c r="E24" s="29"/>
      <c r="F24" s="29"/>
      <c r="G24" s="29"/>
      <c r="H24" s="32"/>
      <c r="I24" s="29"/>
      <c r="J24" s="33" t="str">
        <f aca="false">IFERROR(I24/G24,"")</f>
        <v/>
      </c>
      <c r="K24" s="34" t="str">
        <f aca="false">IF(J24="","",IF(J24&gt;=H24,"PASS",IF(J24&gt;=H24*0.95,"MARGINAL","FAIL")))</f>
        <v/>
      </c>
      <c r="L24" s="31"/>
      <c r="M24" s="29"/>
      <c r="N24" s="29"/>
      <c r="O24" s="29"/>
      <c r="P24" s="29"/>
    </row>
    <row r="25" customFormat="false" ht="15" hidden="false" customHeight="false" outlineLevel="0" collapsed="false">
      <c r="A25" s="29"/>
      <c r="B25" s="30"/>
      <c r="C25" s="31"/>
      <c r="D25" s="29"/>
      <c r="E25" s="29"/>
      <c r="F25" s="29"/>
      <c r="G25" s="29"/>
      <c r="H25" s="32"/>
      <c r="I25" s="29"/>
      <c r="J25" s="33" t="str">
        <f aca="false">IFERROR(I25/G25,"")</f>
        <v/>
      </c>
      <c r="K25" s="34" t="str">
        <f aca="false">IF(J25="","",IF(J25&gt;=H25,"PASS",IF(J25&gt;=H25*0.95,"MARGINAL","FAIL")))</f>
        <v/>
      </c>
      <c r="L25" s="31"/>
      <c r="M25" s="29"/>
      <c r="N25" s="29"/>
      <c r="O25" s="29"/>
      <c r="P25" s="29"/>
    </row>
    <row r="26" customFormat="false" ht="15" hidden="false" customHeight="false" outlineLevel="0" collapsed="false">
      <c r="A26" s="29"/>
      <c r="B26" s="30"/>
      <c r="C26" s="31"/>
      <c r="D26" s="29"/>
      <c r="E26" s="29"/>
      <c r="F26" s="29"/>
      <c r="G26" s="29"/>
      <c r="H26" s="32"/>
      <c r="I26" s="29"/>
      <c r="J26" s="33" t="str">
        <f aca="false">IFERROR(I26/G26,"")</f>
        <v/>
      </c>
      <c r="K26" s="34" t="str">
        <f aca="false">IF(J26="","",IF(J26&gt;=H26,"PASS",IF(J26&gt;=H26*0.95,"MARGINAL","FAIL")))</f>
        <v/>
      </c>
      <c r="L26" s="31"/>
      <c r="M26" s="29"/>
      <c r="N26" s="29"/>
      <c r="O26" s="29"/>
      <c r="P26" s="29"/>
    </row>
    <row r="27" customFormat="false" ht="15" hidden="false" customHeight="false" outlineLevel="0" collapsed="false">
      <c r="A27" s="29"/>
      <c r="B27" s="30"/>
      <c r="C27" s="31"/>
      <c r="D27" s="29"/>
      <c r="E27" s="29"/>
      <c r="F27" s="29"/>
      <c r="G27" s="29"/>
      <c r="H27" s="32"/>
      <c r="I27" s="29"/>
      <c r="J27" s="33" t="str">
        <f aca="false">IFERROR(I27/G27,"")</f>
        <v/>
      </c>
      <c r="K27" s="34" t="str">
        <f aca="false">IF(J27="","",IF(J27&gt;=H27,"PASS",IF(J27&gt;=H27*0.95,"MARGINAL","FAIL")))</f>
        <v/>
      </c>
      <c r="L27" s="31"/>
      <c r="M27" s="29"/>
      <c r="N27" s="29"/>
      <c r="O27" s="29"/>
      <c r="P27" s="29"/>
    </row>
    <row r="28" customFormat="false" ht="15" hidden="false" customHeight="false" outlineLevel="0" collapsed="false">
      <c r="A28" s="29"/>
      <c r="B28" s="30"/>
      <c r="C28" s="31"/>
      <c r="D28" s="29"/>
      <c r="E28" s="29"/>
      <c r="F28" s="29"/>
      <c r="G28" s="29"/>
      <c r="H28" s="32"/>
      <c r="I28" s="29"/>
      <c r="J28" s="33" t="str">
        <f aca="false">IFERROR(I28/G28,"")</f>
        <v/>
      </c>
      <c r="K28" s="34" t="str">
        <f aca="false">IF(J28="","",IF(J28&gt;=H28,"PASS",IF(J28&gt;=H28*0.95,"MARGINAL","FAIL")))</f>
        <v/>
      </c>
      <c r="L28" s="31"/>
      <c r="M28" s="29"/>
      <c r="N28" s="29"/>
      <c r="O28" s="29"/>
      <c r="P28" s="29"/>
    </row>
    <row r="29" customFormat="false" ht="15" hidden="false" customHeight="false" outlineLevel="0" collapsed="false">
      <c r="A29" s="29"/>
      <c r="B29" s="30"/>
      <c r="C29" s="31"/>
      <c r="D29" s="29"/>
      <c r="E29" s="29"/>
      <c r="F29" s="29"/>
      <c r="G29" s="29"/>
      <c r="H29" s="32"/>
      <c r="I29" s="29"/>
      <c r="J29" s="33" t="str">
        <f aca="false">IFERROR(I29/G29,"")</f>
        <v/>
      </c>
      <c r="K29" s="34" t="str">
        <f aca="false">IF(J29="","",IF(J29&gt;=H29,"PASS",IF(J29&gt;=H29*0.95,"MARGINAL","FAIL")))</f>
        <v/>
      </c>
      <c r="L29" s="31"/>
      <c r="M29" s="29"/>
      <c r="N29" s="29"/>
      <c r="O29" s="29"/>
      <c r="P29" s="29"/>
    </row>
    <row r="30" customFormat="false" ht="15" hidden="false" customHeight="false" outlineLevel="0" collapsed="false">
      <c r="A30" s="29"/>
      <c r="B30" s="30"/>
      <c r="C30" s="31"/>
      <c r="D30" s="29"/>
      <c r="E30" s="29"/>
      <c r="F30" s="29"/>
      <c r="G30" s="29"/>
      <c r="H30" s="32"/>
      <c r="I30" s="29"/>
      <c r="J30" s="33" t="str">
        <f aca="false">IFERROR(I30/G30,"")</f>
        <v/>
      </c>
      <c r="K30" s="34" t="str">
        <f aca="false">IF(J30="","",IF(J30&gt;=H30,"PASS",IF(J30&gt;=H30*0.95,"MARGINAL","FAIL")))</f>
        <v/>
      </c>
      <c r="L30" s="31"/>
      <c r="M30" s="29"/>
      <c r="N30" s="29"/>
      <c r="O30" s="29"/>
      <c r="P30" s="29"/>
    </row>
    <row r="31" customFormat="false" ht="15" hidden="false" customHeight="false" outlineLevel="0" collapsed="false">
      <c r="A31" s="29"/>
      <c r="B31" s="30"/>
      <c r="C31" s="31"/>
      <c r="D31" s="29"/>
      <c r="E31" s="29"/>
      <c r="F31" s="29"/>
      <c r="G31" s="29"/>
      <c r="H31" s="32"/>
      <c r="I31" s="29"/>
      <c r="J31" s="33" t="str">
        <f aca="false">IFERROR(I31/G31,"")</f>
        <v/>
      </c>
      <c r="K31" s="34" t="str">
        <f aca="false">IF(J31="","",IF(J31&gt;=H31,"PASS",IF(J31&gt;=H31*0.95,"MARGINAL","FAIL")))</f>
        <v/>
      </c>
      <c r="L31" s="31"/>
      <c r="M31" s="29"/>
      <c r="N31" s="29"/>
      <c r="O31" s="29"/>
      <c r="P31" s="29"/>
    </row>
    <row r="32" customFormat="false" ht="15" hidden="false" customHeight="false" outlineLevel="0" collapsed="false">
      <c r="A32" s="29"/>
      <c r="B32" s="30"/>
      <c r="C32" s="31"/>
      <c r="D32" s="29"/>
      <c r="E32" s="29"/>
      <c r="F32" s="29"/>
      <c r="G32" s="29"/>
      <c r="H32" s="32"/>
      <c r="I32" s="29"/>
      <c r="J32" s="33" t="str">
        <f aca="false">IFERROR(I32/G32,"")</f>
        <v/>
      </c>
      <c r="K32" s="34" t="str">
        <f aca="false">IF(J32="","",IF(J32&gt;=H32,"PASS",IF(J32&gt;=H32*0.95,"MARGINAL","FAIL")))</f>
        <v/>
      </c>
      <c r="L32" s="31"/>
      <c r="M32" s="29"/>
      <c r="N32" s="29"/>
      <c r="O32" s="29"/>
      <c r="P32" s="29"/>
    </row>
    <row r="33" customFormat="false" ht="15" hidden="false" customHeight="false" outlineLevel="0" collapsed="false">
      <c r="A33" s="29"/>
      <c r="B33" s="30"/>
      <c r="C33" s="31"/>
      <c r="D33" s="29"/>
      <c r="E33" s="29"/>
      <c r="F33" s="29"/>
      <c r="G33" s="29"/>
      <c r="H33" s="32"/>
      <c r="I33" s="29"/>
      <c r="J33" s="33" t="str">
        <f aca="false">IFERROR(I33/G33,"")</f>
        <v/>
      </c>
      <c r="K33" s="34" t="str">
        <f aca="false">IF(J33="","",IF(J33&gt;=H33,"PASS",IF(J33&gt;=H33*0.95,"MARGINAL","FAIL")))</f>
        <v/>
      </c>
      <c r="L33" s="31"/>
      <c r="M33" s="29"/>
      <c r="N33" s="29"/>
      <c r="O33" s="29"/>
      <c r="P33" s="29"/>
    </row>
    <row r="34" customFormat="false" ht="15" hidden="false" customHeight="false" outlineLevel="0" collapsed="false">
      <c r="A34" s="29"/>
      <c r="B34" s="30"/>
      <c r="C34" s="31"/>
      <c r="D34" s="29"/>
      <c r="E34" s="29"/>
      <c r="F34" s="29"/>
      <c r="G34" s="29"/>
      <c r="H34" s="32"/>
      <c r="I34" s="29"/>
      <c r="J34" s="33" t="str">
        <f aca="false">IFERROR(I34/G34,"")</f>
        <v/>
      </c>
      <c r="K34" s="34" t="str">
        <f aca="false">IF(J34="","",IF(J34&gt;=H34,"PASS",IF(J34&gt;=H34*0.95,"MARGINAL","FAIL")))</f>
        <v/>
      </c>
      <c r="L34" s="31"/>
      <c r="M34" s="29"/>
      <c r="N34" s="29"/>
      <c r="O34" s="29"/>
      <c r="P34" s="29"/>
    </row>
    <row r="35" customFormat="false" ht="15" hidden="false" customHeight="false" outlineLevel="0" collapsed="false">
      <c r="A35" s="29"/>
      <c r="B35" s="30"/>
      <c r="C35" s="31"/>
      <c r="D35" s="29"/>
      <c r="E35" s="29"/>
      <c r="F35" s="29"/>
      <c r="G35" s="29"/>
      <c r="H35" s="32"/>
      <c r="I35" s="29"/>
      <c r="J35" s="33" t="str">
        <f aca="false">IFERROR(I35/G35,"")</f>
        <v/>
      </c>
      <c r="K35" s="34" t="str">
        <f aca="false">IF(J35="","",IF(J35&gt;=H35,"PASS",IF(J35&gt;=H35*0.95,"MARGINAL","FAIL")))</f>
        <v/>
      </c>
      <c r="L35" s="31"/>
      <c r="M35" s="29"/>
      <c r="N35" s="29"/>
      <c r="O35" s="29"/>
      <c r="P35" s="29"/>
    </row>
    <row r="36" customFormat="false" ht="15" hidden="false" customHeight="false" outlineLevel="0" collapsed="false">
      <c r="A36" s="29"/>
      <c r="B36" s="30"/>
      <c r="C36" s="31"/>
      <c r="D36" s="29"/>
      <c r="E36" s="29"/>
      <c r="F36" s="29"/>
      <c r="G36" s="29"/>
      <c r="H36" s="32"/>
      <c r="I36" s="29"/>
      <c r="J36" s="33" t="str">
        <f aca="false">IFERROR(I36/G36,"")</f>
        <v/>
      </c>
      <c r="K36" s="34" t="str">
        <f aca="false">IF(J36="","",IF(J36&gt;=H36,"PASS",IF(J36&gt;=H36*0.95,"MARGINAL","FAIL")))</f>
        <v/>
      </c>
      <c r="L36" s="31"/>
      <c r="M36" s="29"/>
      <c r="N36" s="29"/>
      <c r="O36" s="29"/>
      <c r="P36" s="29"/>
    </row>
    <row r="37" customFormat="false" ht="15" hidden="false" customHeight="false" outlineLevel="0" collapsed="false">
      <c r="A37" s="29"/>
      <c r="B37" s="30"/>
      <c r="C37" s="31"/>
      <c r="D37" s="29"/>
      <c r="E37" s="29"/>
      <c r="F37" s="29"/>
      <c r="G37" s="29"/>
      <c r="H37" s="32"/>
      <c r="I37" s="29"/>
      <c r="J37" s="33" t="str">
        <f aca="false">IFERROR(I37/G37,"")</f>
        <v/>
      </c>
      <c r="K37" s="34" t="str">
        <f aca="false">IF(J37="","",IF(J37&gt;=H37,"PASS",IF(J37&gt;=H37*0.95,"MARGINAL","FAIL")))</f>
        <v/>
      </c>
      <c r="L37" s="31"/>
      <c r="M37" s="29"/>
      <c r="N37" s="29"/>
      <c r="O37" s="29"/>
      <c r="P37" s="29"/>
    </row>
    <row r="38" customFormat="false" ht="15" hidden="false" customHeight="false" outlineLevel="0" collapsed="false">
      <c r="A38" s="29"/>
      <c r="B38" s="30"/>
      <c r="C38" s="31"/>
      <c r="D38" s="29"/>
      <c r="E38" s="29"/>
      <c r="F38" s="29"/>
      <c r="G38" s="29"/>
      <c r="H38" s="32"/>
      <c r="I38" s="29"/>
      <c r="J38" s="33" t="str">
        <f aca="false">IFERROR(I38/G38,"")</f>
        <v/>
      </c>
      <c r="K38" s="34" t="str">
        <f aca="false">IF(J38="","",IF(J38&gt;=H38,"PASS",IF(J38&gt;=H38*0.95,"MARGINAL","FAIL")))</f>
        <v/>
      </c>
      <c r="L38" s="31"/>
      <c r="M38" s="29"/>
      <c r="N38" s="29"/>
      <c r="O38" s="29"/>
      <c r="P38" s="29"/>
    </row>
    <row r="39" customFormat="false" ht="15" hidden="false" customHeight="false" outlineLevel="0" collapsed="false">
      <c r="A39" s="29"/>
      <c r="B39" s="30"/>
      <c r="C39" s="31"/>
      <c r="D39" s="29"/>
      <c r="E39" s="29"/>
      <c r="F39" s="29"/>
      <c r="G39" s="29"/>
      <c r="H39" s="32"/>
      <c r="I39" s="29"/>
      <c r="J39" s="33" t="str">
        <f aca="false">IFERROR(I39/G39,"")</f>
        <v/>
      </c>
      <c r="K39" s="34" t="str">
        <f aca="false">IF(J39="","",IF(J39&gt;=H39,"PASS",IF(J39&gt;=H39*0.95,"MARGINAL","FAIL")))</f>
        <v/>
      </c>
      <c r="L39" s="31"/>
      <c r="M39" s="29"/>
      <c r="N39" s="29"/>
      <c r="O39" s="29"/>
      <c r="P39" s="29"/>
    </row>
    <row r="40" customFormat="false" ht="15" hidden="false" customHeight="false" outlineLevel="0" collapsed="false">
      <c r="A40" s="29"/>
      <c r="B40" s="30"/>
      <c r="C40" s="31"/>
      <c r="D40" s="29"/>
      <c r="E40" s="29"/>
      <c r="F40" s="29"/>
      <c r="G40" s="29"/>
      <c r="H40" s="32"/>
      <c r="I40" s="29"/>
      <c r="J40" s="33" t="str">
        <f aca="false">IFERROR(I40/G40,"")</f>
        <v/>
      </c>
      <c r="K40" s="34" t="str">
        <f aca="false">IF(J40="","",IF(J40&gt;=H40,"PASS",IF(J40&gt;=H40*0.95,"MARGINAL","FAIL")))</f>
        <v/>
      </c>
      <c r="L40" s="31"/>
      <c r="M40" s="29"/>
      <c r="N40" s="29"/>
      <c r="O40" s="29"/>
      <c r="P40" s="29"/>
    </row>
    <row r="41" customFormat="false" ht="15" hidden="false" customHeight="false" outlineLevel="0" collapsed="false">
      <c r="A41" s="29"/>
      <c r="B41" s="30"/>
      <c r="C41" s="31"/>
      <c r="D41" s="29"/>
      <c r="E41" s="29"/>
      <c r="F41" s="29"/>
      <c r="G41" s="29"/>
      <c r="H41" s="32"/>
      <c r="I41" s="29"/>
      <c r="J41" s="33" t="str">
        <f aca="false">IFERROR(I41/G41,"")</f>
        <v/>
      </c>
      <c r="K41" s="34" t="str">
        <f aca="false">IF(J41="","",IF(J41&gt;=H41,"PASS",IF(J41&gt;=H41*0.95,"MARGINAL","FAIL")))</f>
        <v/>
      </c>
      <c r="L41" s="31"/>
      <c r="M41" s="29"/>
      <c r="N41" s="29"/>
      <c r="O41" s="29"/>
      <c r="P41" s="29"/>
    </row>
    <row r="42" customFormat="false" ht="15" hidden="false" customHeight="false" outlineLevel="0" collapsed="false">
      <c r="A42" s="29"/>
      <c r="B42" s="30"/>
      <c r="C42" s="31"/>
      <c r="D42" s="29"/>
      <c r="E42" s="29"/>
      <c r="F42" s="29"/>
      <c r="G42" s="29"/>
      <c r="H42" s="32"/>
      <c r="I42" s="29"/>
      <c r="J42" s="33" t="str">
        <f aca="false">IFERROR(I42/G42,"")</f>
        <v/>
      </c>
      <c r="K42" s="34" t="str">
        <f aca="false">IF(J42="","",IF(J42&gt;=H42,"PASS",IF(J42&gt;=H42*0.95,"MARGINAL","FAIL")))</f>
        <v/>
      </c>
      <c r="L42" s="31"/>
      <c r="M42" s="29"/>
      <c r="N42" s="29"/>
      <c r="O42" s="29"/>
      <c r="P42" s="29"/>
    </row>
    <row r="43" customFormat="false" ht="15" hidden="false" customHeight="false" outlineLevel="0" collapsed="false">
      <c r="A43" s="29"/>
      <c r="B43" s="30"/>
      <c r="C43" s="31"/>
      <c r="D43" s="29"/>
      <c r="E43" s="29"/>
      <c r="F43" s="29"/>
      <c r="G43" s="29"/>
      <c r="H43" s="32"/>
      <c r="I43" s="29"/>
      <c r="J43" s="33" t="str">
        <f aca="false">IFERROR(I43/G43,"")</f>
        <v/>
      </c>
      <c r="K43" s="34" t="str">
        <f aca="false">IF(J43="","",IF(J43&gt;=H43,"PASS",IF(J43&gt;=H43*0.95,"MARGINAL","FAIL")))</f>
        <v/>
      </c>
      <c r="L43" s="31"/>
      <c r="M43" s="29"/>
      <c r="N43" s="29"/>
      <c r="O43" s="29"/>
      <c r="P43" s="29"/>
    </row>
    <row r="44" customFormat="false" ht="15" hidden="false" customHeight="false" outlineLevel="0" collapsed="false">
      <c r="A44" s="29"/>
      <c r="B44" s="30"/>
      <c r="C44" s="31"/>
      <c r="D44" s="29"/>
      <c r="E44" s="29"/>
      <c r="F44" s="29"/>
      <c r="G44" s="29"/>
      <c r="H44" s="32"/>
      <c r="I44" s="29"/>
      <c r="J44" s="33" t="str">
        <f aca="false">IFERROR(I44/G44,"")</f>
        <v/>
      </c>
      <c r="K44" s="34" t="str">
        <f aca="false">IF(J44="","",IF(J44&gt;=H44,"PASS",IF(J44&gt;=H44*0.95,"MARGINAL","FAIL")))</f>
        <v/>
      </c>
      <c r="L44" s="31"/>
      <c r="M44" s="29"/>
      <c r="N44" s="29"/>
      <c r="O44" s="29"/>
      <c r="P44" s="29"/>
    </row>
    <row r="45" customFormat="false" ht="15" hidden="false" customHeight="false" outlineLevel="0" collapsed="false">
      <c r="A45" s="29"/>
      <c r="B45" s="30"/>
      <c r="C45" s="31"/>
      <c r="D45" s="29"/>
      <c r="E45" s="29"/>
      <c r="F45" s="29"/>
      <c r="G45" s="29"/>
      <c r="H45" s="32"/>
      <c r="I45" s="29"/>
      <c r="J45" s="33" t="str">
        <f aca="false">IFERROR(I45/G45,"")</f>
        <v/>
      </c>
      <c r="K45" s="34" t="str">
        <f aca="false">IF(J45="","",IF(J45&gt;=H45,"PASS",IF(J45&gt;=H45*0.95,"MARGINAL","FAIL")))</f>
        <v/>
      </c>
      <c r="L45" s="31"/>
      <c r="M45" s="29"/>
      <c r="N45" s="29"/>
      <c r="O45" s="29"/>
      <c r="P45" s="29"/>
    </row>
    <row r="46" customFormat="false" ht="15" hidden="false" customHeight="false" outlineLevel="0" collapsed="false">
      <c r="A46" s="29"/>
      <c r="B46" s="30"/>
      <c r="C46" s="31"/>
      <c r="D46" s="29"/>
      <c r="E46" s="29"/>
      <c r="F46" s="29"/>
      <c r="G46" s="29"/>
      <c r="H46" s="32"/>
      <c r="I46" s="29"/>
      <c r="J46" s="33" t="str">
        <f aca="false">IFERROR(I46/G46,"")</f>
        <v/>
      </c>
      <c r="K46" s="34" t="str">
        <f aca="false">IF(J46="","",IF(J46&gt;=H46,"PASS",IF(J46&gt;=H46*0.95,"MARGINAL","FAIL")))</f>
        <v/>
      </c>
      <c r="L46" s="31"/>
      <c r="M46" s="29"/>
      <c r="N46" s="29"/>
      <c r="O46" s="29"/>
      <c r="P46" s="29"/>
    </row>
    <row r="47" customFormat="false" ht="15" hidden="false" customHeight="false" outlineLevel="0" collapsed="false">
      <c r="A47" s="29"/>
      <c r="B47" s="30"/>
      <c r="C47" s="31"/>
      <c r="D47" s="29"/>
      <c r="E47" s="29"/>
      <c r="F47" s="29"/>
      <c r="G47" s="29"/>
      <c r="H47" s="32"/>
      <c r="I47" s="29"/>
      <c r="J47" s="33" t="str">
        <f aca="false">IFERROR(I47/G47,"")</f>
        <v/>
      </c>
      <c r="K47" s="34" t="str">
        <f aca="false">IF(J47="","",IF(J47&gt;=H47,"PASS",IF(J47&gt;=H47*0.95,"MARGINAL","FAIL")))</f>
        <v/>
      </c>
      <c r="L47" s="31"/>
      <c r="M47" s="29"/>
      <c r="N47" s="29"/>
      <c r="O47" s="29"/>
      <c r="P47" s="29"/>
    </row>
    <row r="48" customFormat="false" ht="15" hidden="false" customHeight="false" outlineLevel="0" collapsed="false">
      <c r="A48" s="29"/>
      <c r="B48" s="30"/>
      <c r="C48" s="31"/>
      <c r="D48" s="29"/>
      <c r="E48" s="29"/>
      <c r="F48" s="29"/>
      <c r="G48" s="29"/>
      <c r="H48" s="32"/>
      <c r="I48" s="29"/>
      <c r="J48" s="33" t="str">
        <f aca="false">IFERROR(I48/G48,"")</f>
        <v/>
      </c>
      <c r="K48" s="34" t="str">
        <f aca="false">IF(J48="","",IF(J48&gt;=H48,"PASS",IF(J48&gt;=H48*0.95,"MARGINAL","FAIL")))</f>
        <v/>
      </c>
      <c r="L48" s="31"/>
      <c r="M48" s="29"/>
      <c r="N48" s="29"/>
      <c r="O48" s="29"/>
      <c r="P48" s="29"/>
    </row>
    <row r="49" customFormat="false" ht="15" hidden="false" customHeight="false" outlineLevel="0" collapsed="false">
      <c r="A49" s="29"/>
      <c r="B49" s="30"/>
      <c r="C49" s="31"/>
      <c r="D49" s="29"/>
      <c r="E49" s="29"/>
      <c r="F49" s="29"/>
      <c r="G49" s="29"/>
      <c r="H49" s="32"/>
      <c r="I49" s="29"/>
      <c r="J49" s="33" t="str">
        <f aca="false">IFERROR(I49/G49,"")</f>
        <v/>
      </c>
      <c r="K49" s="34" t="str">
        <f aca="false">IF(J49="","",IF(J49&gt;=H49,"PASS",IF(J49&gt;=H49*0.95,"MARGINAL","FAIL")))</f>
        <v/>
      </c>
      <c r="L49" s="31"/>
      <c r="M49" s="29"/>
      <c r="N49" s="29"/>
      <c r="O49" s="29"/>
      <c r="P49" s="29"/>
    </row>
    <row r="50" customFormat="false" ht="15" hidden="false" customHeight="false" outlineLevel="0" collapsed="false">
      <c r="A50" s="29"/>
      <c r="B50" s="30"/>
      <c r="C50" s="31"/>
      <c r="D50" s="29"/>
      <c r="E50" s="29"/>
      <c r="F50" s="29"/>
      <c r="G50" s="29"/>
      <c r="H50" s="32"/>
      <c r="I50" s="29"/>
      <c r="J50" s="33" t="str">
        <f aca="false">IFERROR(I50/G50,"")</f>
        <v/>
      </c>
      <c r="K50" s="34" t="str">
        <f aca="false">IF(J50="","",IF(J50&gt;=H50,"PASS",IF(J50&gt;=H50*0.95,"MARGINAL","FAIL")))</f>
        <v/>
      </c>
      <c r="L50" s="31"/>
      <c r="M50" s="29"/>
      <c r="N50" s="29"/>
      <c r="O50" s="29"/>
      <c r="P50" s="29"/>
    </row>
    <row r="51" customFormat="false" ht="15" hidden="false" customHeight="false" outlineLevel="0" collapsed="false">
      <c r="A51" s="29"/>
      <c r="B51" s="30"/>
      <c r="C51" s="31"/>
      <c r="D51" s="29"/>
      <c r="E51" s="29"/>
      <c r="F51" s="29"/>
      <c r="G51" s="29"/>
      <c r="H51" s="32"/>
      <c r="I51" s="29"/>
      <c r="J51" s="33" t="str">
        <f aca="false">IFERROR(I51/G51,"")</f>
        <v/>
      </c>
      <c r="K51" s="34" t="str">
        <f aca="false">IF(J51="","",IF(J51&gt;=H51,"PASS",IF(J51&gt;=H51*0.95,"MARGINAL","FAIL")))</f>
        <v/>
      </c>
      <c r="L51" s="31"/>
      <c r="M51" s="29"/>
      <c r="N51" s="29"/>
      <c r="O51" s="29"/>
      <c r="P51" s="29"/>
    </row>
    <row r="52" customFormat="false" ht="15" hidden="false" customHeight="false" outlineLevel="0" collapsed="false">
      <c r="A52" s="29"/>
      <c r="B52" s="30"/>
      <c r="C52" s="31"/>
      <c r="D52" s="29"/>
      <c r="E52" s="29"/>
      <c r="F52" s="29"/>
      <c r="G52" s="29"/>
      <c r="H52" s="32"/>
      <c r="I52" s="29"/>
      <c r="J52" s="33" t="str">
        <f aca="false">IFERROR(I52/G52,"")</f>
        <v/>
      </c>
      <c r="K52" s="34" t="str">
        <f aca="false">IF(J52="","",IF(J52&gt;=H52,"PASS",IF(J52&gt;=H52*0.95,"MARGINAL","FAIL")))</f>
        <v/>
      </c>
      <c r="L52" s="31"/>
      <c r="M52" s="29"/>
      <c r="N52" s="29"/>
      <c r="O52" s="29"/>
      <c r="P52" s="29"/>
    </row>
    <row r="53" customFormat="false" ht="15" hidden="false" customHeight="false" outlineLevel="0" collapsed="false">
      <c r="A53" s="29"/>
      <c r="B53" s="30"/>
      <c r="C53" s="31"/>
      <c r="D53" s="29"/>
      <c r="E53" s="29"/>
      <c r="F53" s="29"/>
      <c r="G53" s="29"/>
      <c r="H53" s="32"/>
      <c r="I53" s="29"/>
      <c r="J53" s="33" t="str">
        <f aca="false">IFERROR(I53/G53,"")</f>
        <v/>
      </c>
      <c r="K53" s="34" t="str">
        <f aca="false">IF(J53="","",IF(J53&gt;=H53,"PASS",IF(J53&gt;=H53*0.95,"MARGINAL","FAIL")))</f>
        <v/>
      </c>
      <c r="L53" s="31"/>
      <c r="M53" s="29"/>
      <c r="N53" s="29"/>
      <c r="O53" s="29"/>
      <c r="P53" s="29"/>
    </row>
    <row r="54" customFormat="false" ht="15" hidden="false" customHeight="false" outlineLevel="0" collapsed="false">
      <c r="A54" s="29"/>
      <c r="B54" s="30"/>
      <c r="C54" s="31"/>
      <c r="D54" s="29"/>
      <c r="E54" s="29"/>
      <c r="F54" s="29"/>
      <c r="G54" s="29"/>
      <c r="H54" s="32"/>
      <c r="I54" s="29"/>
      <c r="J54" s="33" t="str">
        <f aca="false">IFERROR(I54/G54,"")</f>
        <v/>
      </c>
      <c r="K54" s="34" t="str">
        <f aca="false">IF(J54="","",IF(J54&gt;=H54,"PASS",IF(J54&gt;=H54*0.95,"MARGINAL","FAIL")))</f>
        <v/>
      </c>
      <c r="L54" s="31"/>
      <c r="M54" s="29"/>
      <c r="N54" s="29"/>
      <c r="O54" s="29"/>
      <c r="P54" s="29"/>
    </row>
    <row r="55" customFormat="false" ht="15" hidden="false" customHeight="false" outlineLevel="0" collapsed="false">
      <c r="A55" s="29"/>
      <c r="B55" s="30"/>
      <c r="C55" s="31"/>
      <c r="D55" s="29"/>
      <c r="E55" s="29"/>
      <c r="F55" s="29"/>
      <c r="G55" s="29"/>
      <c r="H55" s="32"/>
      <c r="I55" s="29"/>
      <c r="J55" s="33" t="str">
        <f aca="false">IFERROR(I55/G55,"")</f>
        <v/>
      </c>
      <c r="K55" s="34" t="str">
        <f aca="false">IF(J55="","",IF(J55&gt;=H55,"PASS",IF(J55&gt;=H55*0.95,"MARGINAL","FAIL")))</f>
        <v/>
      </c>
      <c r="L55" s="31"/>
      <c r="M55" s="29"/>
      <c r="N55" s="29"/>
      <c r="O55" s="29"/>
      <c r="P55" s="29"/>
    </row>
    <row r="56" customFormat="false" ht="15" hidden="false" customHeight="false" outlineLevel="0" collapsed="false">
      <c r="A56" s="29"/>
      <c r="B56" s="30"/>
      <c r="C56" s="31"/>
      <c r="D56" s="29"/>
      <c r="E56" s="29"/>
      <c r="F56" s="29"/>
      <c r="G56" s="29"/>
      <c r="H56" s="32"/>
      <c r="I56" s="29"/>
      <c r="J56" s="33" t="str">
        <f aca="false">IFERROR(I56/G56,"")</f>
        <v/>
      </c>
      <c r="K56" s="34" t="str">
        <f aca="false">IF(J56="","",IF(J56&gt;=H56,"PASS",IF(J56&gt;=H56*0.95,"MARGINAL","FAIL")))</f>
        <v/>
      </c>
      <c r="L56" s="31"/>
      <c r="M56" s="29"/>
      <c r="N56" s="29"/>
      <c r="O56" s="29"/>
      <c r="P56" s="29"/>
    </row>
    <row r="57" customFormat="false" ht="15" hidden="false" customHeight="false" outlineLevel="0" collapsed="false">
      <c r="A57" s="29"/>
      <c r="B57" s="30"/>
      <c r="C57" s="31"/>
      <c r="D57" s="29"/>
      <c r="E57" s="29"/>
      <c r="F57" s="29"/>
      <c r="G57" s="29"/>
      <c r="H57" s="32"/>
      <c r="I57" s="29"/>
      <c r="J57" s="33" t="str">
        <f aca="false">IFERROR(I57/G57,"")</f>
        <v/>
      </c>
      <c r="K57" s="34" t="str">
        <f aca="false">IF(J57="","",IF(J57&gt;=H57,"PASS",IF(J57&gt;=H57*0.95,"MARGINAL","FAIL")))</f>
        <v/>
      </c>
      <c r="L57" s="31"/>
      <c r="M57" s="29"/>
      <c r="N57" s="29"/>
      <c r="O57" s="29"/>
      <c r="P57" s="29"/>
    </row>
    <row r="58" customFormat="false" ht="15" hidden="false" customHeight="false" outlineLevel="0" collapsed="false">
      <c r="A58" s="29"/>
      <c r="B58" s="30"/>
      <c r="C58" s="31"/>
      <c r="D58" s="29"/>
      <c r="E58" s="29"/>
      <c r="F58" s="29"/>
      <c r="G58" s="29"/>
      <c r="H58" s="32"/>
      <c r="I58" s="29"/>
      <c r="J58" s="33" t="str">
        <f aca="false">IFERROR(I58/G58,"")</f>
        <v/>
      </c>
      <c r="K58" s="34" t="str">
        <f aca="false">IF(J58="","",IF(J58&gt;=H58,"PASS",IF(J58&gt;=H58*0.95,"MARGINAL","FAIL")))</f>
        <v/>
      </c>
      <c r="L58" s="31"/>
      <c r="M58" s="29"/>
      <c r="N58" s="29"/>
      <c r="O58" s="29"/>
      <c r="P58" s="29"/>
    </row>
  </sheetData>
  <autoFilter ref="A7:P58"/>
  <mergeCells count="2">
    <mergeCell ref="A1:L1"/>
    <mergeCell ref="M6:P6"/>
  </mergeCells>
  <conditionalFormatting sqref="K8:K58">
    <cfRule type="cellIs" priority="2" operator="equal" aboveAverage="0" equalAverage="0" bottom="0" percent="0" rank="0" text="" dxfId="7">
      <formula>"PASS"</formula>
    </cfRule>
    <cfRule type="cellIs" priority="3" operator="equal" aboveAverage="0" equalAverage="0" bottom="0" percent="0" rank="0" text="" dxfId="8">
      <formula>"MARGINAL"</formula>
    </cfRule>
    <cfRule type="cellIs" priority="4" operator="equal" aboveAverage="0" equalAverage="0" bottom="0" percent="0" rank="0" text="" dxfId="9">
      <formula>"FAIL"</formula>
    </cfRule>
  </conditionalFormatting>
  <conditionalFormatting sqref="J8:J58">
    <cfRule type="expression" priority="5" aboveAverage="0" equalAverage="0" bottom="0" percent="0" rank="0" text="" dxfId="10">
      <formula>AND(J8&lt;&gt;"",J8&gt;=H8)</formula>
    </cfRule>
    <cfRule type="expression" priority="6" aboveAverage="0" equalAverage="0" bottom="0" percent="0" rank="0" text="" dxfId="11">
      <formula>AND(J8&lt;&gt;"",J8&lt;H8*0.95)</formula>
    </cfRule>
  </conditionalFormatting>
  <dataValidations count="2">
    <dataValidation allowBlank="true" errorStyle="stop" operator="between" showDropDown="false" showErrorMessage="false" showInputMessage="false" sqref="D8:D58" type="list">
      <formula1>"Class 1 General Fill,Class 2 Cohesive,Class 6 Capping,Sub-base Type 1,Sub-base Type 2,Topsoil,Other"</formula1>
      <formula2>0</formula2>
    </dataValidation>
    <dataValidation allowBlank="true" errorStyle="stop" operator="between" showDropDown="false" showErrorMessage="false" showInputMessage="false" sqref="N8:N58" type="list">
      <formula1>"Nuclear Gauge,Sand Replacement,Core Cutter,Dynamic Plate,Other"</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&amp;CCompaction Test Results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5" t="s">
        <v>76</v>
      </c>
    </row>
    <row r="2" customFormat="false" ht="15" hidden="false" customHeight="false" outlineLevel="0" collapsed="false">
      <c r="A2" s="35"/>
    </row>
    <row r="3" customFormat="false" ht="15" hidden="false" customHeight="false" outlineLevel="0" collapsed="false">
      <c r="A3" s="35" t="s">
        <v>77</v>
      </c>
    </row>
    <row r="4" customFormat="false" ht="15" hidden="false" customHeight="false" outlineLevel="0" collapsed="false">
      <c r="A4" s="35"/>
    </row>
    <row r="5" customFormat="false" ht="15" hidden="false" customHeight="false" outlineLevel="0" collapsed="false">
      <c r="A5" s="35" t="s">
        <v>78</v>
      </c>
    </row>
    <row r="6" customFormat="false" ht="15" hidden="false" customHeight="false" outlineLevel="0" collapsed="false">
      <c r="A6" s="35"/>
    </row>
    <row r="7" customFormat="false" ht="15" hidden="false" customHeight="false" outlineLevel="0" collapsed="false">
      <c r="A7" s="35" t="s">
        <v>79</v>
      </c>
    </row>
    <row r="8" customFormat="false" ht="15" hidden="false" customHeight="false" outlineLevel="0" collapsed="false">
      <c r="A8" s="35"/>
    </row>
    <row r="9" customFormat="false" ht="15" hidden="false" customHeight="false" outlineLevel="0" collapsed="false">
      <c r="A9" s="35" t="s">
        <v>80</v>
      </c>
    </row>
    <row r="10" customFormat="false" ht="15" hidden="false" customHeight="false" outlineLevel="0" collapsed="false">
      <c r="A10" s="35"/>
    </row>
    <row r="11" customFormat="false" ht="15" hidden="false" customHeight="false" outlineLevel="0" collapsed="false">
      <c r="A11" s="35" t="s">
        <v>81</v>
      </c>
    </row>
    <row r="12" customFormat="false" ht="15" hidden="false" customHeight="false" outlineLevel="0" collapsed="false">
      <c r="A12" s="35"/>
    </row>
    <row r="13" customFormat="false" ht="15" hidden="false" customHeight="false" outlineLevel="0" collapsed="false">
      <c r="A13" s="35" t="s">
        <v>82</v>
      </c>
    </row>
    <row r="14" customFormat="false" ht="15" hidden="false" customHeight="false" outlineLevel="0" collapsed="false">
      <c r="A14" s="35"/>
    </row>
    <row r="15" customFormat="false" ht="15" hidden="false" customHeight="false" outlineLevel="0" collapsed="false">
      <c r="A15" s="35" t="s">
        <v>83</v>
      </c>
    </row>
    <row r="16" customFormat="false" ht="15" hidden="false" customHeight="false" outlineLevel="0" collapsed="false">
      <c r="A16" s="35"/>
    </row>
    <row r="17" customFormat="false" ht="15" hidden="false" customHeight="false" outlineLevel="0" collapsed="false">
      <c r="A17" s="35"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Civils &amp; Groundworks</cp:category>
  <dcterms:created xsi:type="dcterms:W3CDTF">2026-03-23T13:32:31Z</dcterms:created>
  <dc:creator>Ebrora Ltd</dc:creator>
  <dc:description>Log field compaction test results against specification requirements with automatic compliance checking and pass rate tracking.
Free professional construction management template from Ebrora Ltd. Visit ebrora.com for our full range of tools and templates.</dc:description>
  <cp:keywords>Ebrora construction civils compaction MDD density earthworks testing groundworks</cp:keywords>
  <dc:language>en-US</dc:language>
  <cp:lastModifiedBy>Ebrora Ltd</cp:lastModifiedBy>
  <dcterms:modified xsi:type="dcterms:W3CDTF">2026-03-23T13:32:31Z</dcterms:modified>
  <cp:revision>0</cp:revision>
  <dc:subject>Log field compaction test results against specification requirements with automatic compliance checking.</dc:subject>
  <dc:title>Compaction Test Results Register</dc:title>
</cp:coreProperties>
</file>

<file path=docProps/custom.xml><?xml version="1.0" encoding="utf-8"?>
<Properties xmlns="http://schemas.openxmlformats.org/officeDocument/2006/custom-properties" xmlns:vt="http://schemas.openxmlformats.org/officeDocument/2006/docPropsVTypes"/>
</file>