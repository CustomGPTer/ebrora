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Vendor Document Regist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1" name="_xlnm.Print_Area" vbProcedure="false">Instructions!$A$1:$F$27</definedName>
    <definedName function="false" hidden="false" localSheetId="2" name="_xlnm.Print_Area" vbProcedure="false">'Vendor Document Register'!$A$1:$N$25</definedName>
    <definedName function="false" hidden="false" localSheetId="2" name="_xlnm.Print_Titles" vbProcedure="false">'Vendor Document Register'!$1:$3</definedName>
    <definedName function="false" hidden="true" localSheetId="2" name="_xlnm._FilterDatabase" vbProcedure="false">'Vendor Document Register'!$A$3:$N$3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<sst xmlns="http://schemas.openxmlformats.org/spreadsheetml/2006/main" count="192" uniqueCount="150">
  <si>
    <t xml:space="preserve">EBRORA</t>
  </si>
  <si>
    <t xml:space="preserve">ebrora.com</t>
  </si>
  <si>
    <t xml:space="preserve">Vendor Document Register</t>
  </si>
  <si>
    <t xml:space="preserve">Index every vendor-supplied datasheet, O&amp;M manual, FAT/SAT procedure and certificate — organised by supplier, with submission and approval status tracked.</t>
  </si>
  <si>
    <t xml:space="preserve">This is a free template from Ebrora.
For our full range of professional-grade construction management tools, visit ebrora.com</t>
  </si>
  <si>
    <t xml:space="preserve">© Ebrora 2026 — All rights reserved</t>
  </si>
  <si>
    <t xml:space="preserve">How to Use This Template — Vendor Document Register</t>
  </si>
  <si>
    <t xml:space="preserve">Step-by-Step Instructions</t>
  </si>
  <si>
    <t xml:space="preserve">1.</t>
  </si>
  <si>
    <t xml:space="preserve">Go to the 'Vendor Document Register' sheet. Enter the Project Name and Contract Number in the info strip.</t>
  </si>
  <si>
    <t xml:space="preserve">2.</t>
  </si>
  <si>
    <t xml:space="preserve">The register is organised into supplier sections, each introduced by a teal section header. Add new rows within the relevant supplier section.</t>
  </si>
  <si>
    <t xml:space="preserve">3.</t>
  </si>
  <si>
    <t xml:space="preserve">Enter the Document Reference in column A — this should be the vendor's own document number, prefixed with the supplier code if helpful (e.g. WAL-OM-001).</t>
  </si>
  <si>
    <t xml:space="preserve">4.</t>
  </si>
  <si>
    <t xml:space="preserve">Enter the Document Title in column B. Be specific: include the equipment tag, system, and document type.</t>
  </si>
  <si>
    <t xml:space="preserve">5.</t>
  </si>
  <si>
    <t xml:space="preserve">Select the Document Type in column C from the dropdown: Datasheet, O&amp;M Manual, FAT Procedure, SAT Procedure, GA Drawing, Wiring Diagram, Test Certificate, IOM, Spare Parts List, or Warranty Certificate.</t>
  </si>
  <si>
    <t xml:space="preserve">6.</t>
  </si>
  <si>
    <t xml:space="preserve">Enter the Supplier name in column D and the document Revision in column E.</t>
  </si>
  <si>
    <t xml:space="preserve">7.</t>
  </si>
  <si>
    <t xml:space="preserve">Set the Required By date in column F — when the document must be received to avoid impacting commissioning or handover.</t>
  </si>
  <si>
    <t xml:space="preserve">8.</t>
  </si>
  <si>
    <t xml:space="preserve">Update the Status in column G as documents are received and reviewed. The row colour updates automatically.</t>
  </si>
  <si>
    <t xml:space="preserve">9.</t>
  </si>
  <si>
    <t xml:space="preserve">Enter the Received Date (column H) and Approved Date (column I) as these milestones are reached.</t>
  </si>
  <si>
    <t xml:space="preserve">10.</t>
  </si>
  <si>
    <t xml:space="preserve">Section subtotals calculate approved/accepted counts and percentage completion per supplier. Use this to chase outstanding documents ahead of handover.</t>
  </si>
  <si>
    <t xml:space="preserve">Colour Key</t>
  </si>
  <si>
    <t xml:space="preserve">  </t>
  </si>
  <si>
    <t xml:space="preserve">Approved / Received &amp; Accepted — Document formally reviewed and accepted for the O&amp;M file.</t>
  </si>
  <si>
    <t xml:space="preserve">Under Review — Document received and being reviewed. Awaiting approval.</t>
  </si>
  <si>
    <t xml:space="preserve">Submitted — Document received but review not yet started.</t>
  </si>
  <si>
    <t xml:space="preserve">Outstanding — Document not yet received. Required By date may be at risk.</t>
  </si>
  <si>
    <t xml:space="preserve">Superseded — Replaced by a later revision. Retained for audit record.</t>
  </si>
  <si>
    <t xml:space="preserve">Light teal subtotal rows — Auto-calculated section completions.</t>
  </si>
  <si>
    <t xml:space="preserve">Tips</t>
  </si>
  <si>
    <t xml:space="preserve">*</t>
  </si>
  <si>
    <t xml:space="preserve">Chase vendor documents at least 8 weeks before practical completion. O&amp;M manuals in particular require review time — a 500-page manual cannot be reviewed the week before handover.</t>
  </si>
  <si>
    <t xml:space="preserve">FAT and SAT procedures must be submitted and approved before the test takes place, not after. Approving a procedure post-FAT is meaningless and will be challenged during the handover audit.</t>
  </si>
  <si>
    <t xml:space="preserve">Set up a transmittal system — every document submission should come with a transmittal record. Log the transmittal reference in column M so you have proof of when the document was formally received.</t>
  </si>
  <si>
    <t xml:space="preserve">Project Name:</t>
  </si>
  <si>
    <t xml:space="preserve">[Enter Project Name]</t>
  </si>
  <si>
    <t xml:space="preserve">Contract No:</t>
  </si>
  <si>
    <t xml:space="preserve">[Contract No]</t>
  </si>
  <si>
    <t xml:space="preserve">VENDOR DOCUMENT REGISTER SUMMARY</t>
  </si>
  <si>
    <t xml:space="preserve">TOTAL</t>
  </si>
  <si>
    <t xml:space="preserve">APPROVED</t>
  </si>
  <si>
    <t xml:space="preserve">OUTSTANDING</t>
  </si>
  <si>
    <t xml:space="preserve">% COMPLETE</t>
  </si>
  <si>
    <t xml:space="preserve">Doc Ref</t>
  </si>
  <si>
    <t xml:space="preserve">Document Title</t>
  </si>
  <si>
    <t xml:space="preserve">Document Type</t>
  </si>
  <si>
    <t xml:space="preserve">Supplier</t>
  </si>
  <si>
    <t xml:space="preserve">Rev</t>
  </si>
  <si>
    <t xml:space="preserve">Required By</t>
  </si>
  <si>
    <t xml:space="preserve">Status</t>
  </si>
  <si>
    <t xml:space="preserve">Date Received</t>
  </si>
  <si>
    <t xml:space="preserve">Date Approved</t>
  </si>
  <si>
    <t xml:space="preserve">Reviewed By</t>
  </si>
  <si>
    <t xml:space="preserve">Notes</t>
  </si>
  <si>
    <t xml:space="preserve">File Ref / Path</t>
  </si>
  <si>
    <t xml:space="preserve">Transmittal Ref</t>
  </si>
  <si>
    <t xml:space="preserve">Tag / System Ref</t>
  </si>
  <si>
    <t xml:space="preserve">Supplier 1 — Walsh MEP Ltd  |  Pumps, Valves &amp; Mechanical Equipment</t>
  </si>
  <si>
    <t xml:space="preserve">WAL-DS-001</t>
  </si>
  <si>
    <t xml:space="preserve">Centrifugal Pump PST-01 — Product Datasheet</t>
  </si>
  <si>
    <t xml:space="preserve">Datasheet</t>
  </si>
  <si>
    <t xml:space="preserve">Walsh MEP Ltd</t>
  </si>
  <si>
    <t xml:space="preserve">2</t>
  </si>
  <si>
    <t xml:space="preserve">Approved</t>
  </si>
  <si>
    <t xml:space="preserve">T. Walsh</t>
  </si>
  <si>
    <t xml:space="preserve">Approved Rev 2. Performance curve confirmed.</t>
  </si>
  <si>
    <t xml:space="preserve">/docs/WAL-DS-001-Rev2.pdf</t>
  </si>
  <si>
    <t xml:space="preserve">TR-001</t>
  </si>
  <si>
    <t xml:space="preserve">WAL-OM-001</t>
  </si>
  <si>
    <t xml:space="preserve">Pump PST-01 / PST-02 — O&amp;M Manual</t>
  </si>
  <si>
    <t xml:space="preserve">O&amp;M Manual</t>
  </si>
  <si>
    <t xml:space="preserve">1</t>
  </si>
  <si>
    <t xml:space="preserve">Under Review</t>
  </si>
  <si>
    <t xml:space="preserve">Rev 1 received 05/03. Review in progress — target approval 25/03.</t>
  </si>
  <si>
    <t xml:space="preserve">/docs/WAL-OM-001-Rev1.pdf</t>
  </si>
  <si>
    <t xml:space="preserve">TR-012</t>
  </si>
  <si>
    <t xml:space="preserve">WAL-FAT-001</t>
  </si>
  <si>
    <t xml:space="preserve">Pump Station PST-01 — FAT Test Procedure</t>
  </si>
  <si>
    <t xml:space="preserve">FAT Procedure</t>
  </si>
  <si>
    <t xml:space="preserve">Approved. FAT conducted 18/02/25. Report WAL-FAT-RPT-001.</t>
  </si>
  <si>
    <t xml:space="preserve">/docs/WAL-FAT-001-Rev1.pdf</t>
  </si>
  <si>
    <t xml:space="preserve">TR-007</t>
  </si>
  <si>
    <t xml:space="preserve">WAL-DS-002</t>
  </si>
  <si>
    <t xml:space="preserve">FCV-101 / FCV-201 — Flow Control Valve Datasheet</t>
  </si>
  <si>
    <t xml:space="preserve">TR-003</t>
  </si>
  <si>
    <t xml:space="preserve">WAL-SP-001</t>
  </si>
  <si>
    <t xml:space="preserve">PST-01 / PST-02 — Spare Parts List</t>
  </si>
  <si>
    <t xml:space="preserve">Spare Parts List</t>
  </si>
  <si>
    <t xml:space="preserve">Outstanding</t>
  </si>
  <si>
    <t xml:space="preserve">Required for O&amp;M file. Chase with supplier.</t>
  </si>
  <si>
    <t xml:space="preserve">Section totals —</t>
  </si>
  <si>
    <t xml:space="preserve">Supplier 2 — Roberts Electrical Ltd  |  MCC, Switchgear &amp; Electrical Equipment</t>
  </si>
  <si>
    <t xml:space="preserve">ROB-DS-001</t>
  </si>
  <si>
    <t xml:space="preserve">MCC-01 Panel Schedule &amp; General Arrangement</t>
  </si>
  <si>
    <t xml:space="preserve">GA Drawing</t>
  </si>
  <si>
    <t xml:space="preserve">Roberts Electrical</t>
  </si>
  <si>
    <t xml:space="preserve">B</t>
  </si>
  <si>
    <t xml:space="preserve">C. Roberts</t>
  </si>
  <si>
    <t xml:space="preserve">Rev B approved. Includes updated trip curves.</t>
  </si>
  <si>
    <t xml:space="preserve">/docs/ROB-DS-001-RevB.pdf</t>
  </si>
  <si>
    <t xml:space="preserve">TR-009</t>
  </si>
  <si>
    <t xml:space="preserve">ROB-WD-001</t>
  </si>
  <si>
    <t xml:space="preserve">MCC-01 Wiring Diagram — Full Set</t>
  </si>
  <si>
    <t xml:space="preserve">Wiring Diagram</t>
  </si>
  <si>
    <t xml:space="preserve">ROB-OM-001</t>
  </si>
  <si>
    <t xml:space="preserve">MCC-01 — O&amp;M Manual inc. Protection Settings</t>
  </si>
  <si>
    <t xml:space="preserve">Submitted</t>
  </si>
  <si>
    <t xml:space="preserve">Received 10/03. Review not yet started.</t>
  </si>
  <si>
    <t xml:space="preserve">/docs/ROB-OM-001-Rev1.pdf</t>
  </si>
  <si>
    <t xml:space="preserve">TR-015</t>
  </si>
  <si>
    <t xml:space="preserve">ROB-CERT-001</t>
  </si>
  <si>
    <t xml:space="preserve">MCC-01 — Factory Test Certificate</t>
  </si>
  <si>
    <t xml:space="preserve">Test Certificate</t>
  </si>
  <si>
    <t xml:space="preserve">Received &amp; Accepted</t>
  </si>
  <si>
    <t xml:space="preserve">Signed test cert from manufacturer. Filed.</t>
  </si>
  <si>
    <t xml:space="preserve">/docs/ROB-CERT-001.pdf</t>
  </si>
  <si>
    <t xml:space="preserve">TR-010</t>
  </si>
  <si>
    <t xml:space="preserve">Supplier 3 — InControl Systems Ltd  |  SCADA, PLC &amp; Instrumentation</t>
  </si>
  <si>
    <t xml:space="preserve">ICS-SAT-001</t>
  </si>
  <si>
    <t xml:space="preserve">SCADA / PLC System — SAT Test Procedure</t>
  </si>
  <si>
    <t xml:space="preserve">SAT Procedure</t>
  </si>
  <si>
    <t xml:space="preserve">InControl Systems</t>
  </si>
  <si>
    <t xml:space="preserve">SAT procedure required 4 weeks before commissioning date.</t>
  </si>
  <si>
    <t xml:space="preserve">ICS-OM-001</t>
  </si>
  <si>
    <t xml:space="preserve">SCADA System — O&amp;M Manual</t>
  </si>
  <si>
    <t xml:space="preserve">0</t>
  </si>
  <si>
    <t xml:space="preserve">Not Yet Required</t>
  </si>
  <si>
    <t xml:space="preserve">Due with final software. Earliest issue May 2025.</t>
  </si>
  <si>
    <t xml:space="preserve">ICS-DS-001</t>
  </si>
  <si>
    <t xml:space="preserve">Flow Transmitter FT-301 — Datasheet &amp; Calibration Cert</t>
  </si>
  <si>
    <t xml:space="preserve">A. Nkosi</t>
  </si>
  <si>
    <t xml:space="preserve">HART calibration cert included.</t>
  </si>
  <si>
    <t xml:space="preserve">/docs/ICS-DS-001.pdf</t>
  </si>
  <si>
    <t xml:space="preserve">TR-014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</si>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</sst>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1B2A4A"/>
      <name val="Calibri"/>
      <family val="0"/>
      <charset val="1"/>
    </font>
    <font>
      <b val="true"/>
      <sz val="9"/>
      <color rgb="FF2AABB3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DDEEFF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EFF"/>
        <bgColor rgb="FFE8F6F7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2AABB3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3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Calibri"/>
        <charset val="1"/>
        <family val="0"/>
        <b val="1"/>
        <color rgb="FF375623"/>
      </font>
      <fill>
        <patternFill>
          <bgColor rgb="FFC6EFCE"/>
        </patternFill>
      </fill>
    </dxf>
    <dxf>
      <font>
        <name val="Calibri"/>
        <charset val="1"/>
        <family val="0"/>
        <color rgb="FF7D6608"/>
      </font>
      <fill>
        <patternFill>
          <bgColor rgb="FFFFEB9C"/>
        </patternFill>
      </fill>
    </dxf>
    <dxf>
      <font>
        <name val="Calibri"/>
        <charset val="1"/>
        <family val="0"/>
        <color rgb="FF1B2A4A"/>
      </font>
      <fill>
        <patternFill>
          <bgColor rgb="FFDDEEFF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color rgb="FF595959"/>
      </font>
      <fill>
        <patternFill>
          <bgColor rgb="FFD9D9D9"/>
        </patternFill>
      </fill>
    </dxf>
    <dxf>
      <font>
        <name val="Calibri"/>
        <charset val="1"/>
        <family val="0"/>
        <color rgb="FF375623"/>
      </font>
      <fill>
        <patternFill>
          <bgColor rgb="FFC6EFCE"/>
        </patternFill>
      </fill>
    </dxf>
    <dxf>
      <font>
        <name val="Calibri"/>
        <charset val="1"/>
        <family val="0"/>
        <i val="1"/>
        <color rgb="FF8C8C8C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6F7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595959"/>
      <rgbColor rgb="FF8C8C8C"/>
      <rgbColor rgb="FF003366"/>
      <rgbColor rgb="FF339966"/>
      <rgbColor rgb="FF003300"/>
      <rgbColor rgb="FF375623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9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6.7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7.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48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7.5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9.75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21.7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9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9.75" hidden="false" customHeight="tru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7" t="s">
        <v>4</v>
      </c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9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8" hidden="false" customHeight="true" outlineLevel="0" collapsed="false">
      <c r="A19" s="8" t="s">
        <v>5</v>
      </c>
      <c r="B19" s="8"/>
      <c r="C19" s="8"/>
      <c r="D19" s="8"/>
      <c r="E19" s="8"/>
      <c r="F19" s="8"/>
      <c r="G19" s="8"/>
      <c r="H19" s="8"/>
    </row>
  </sheetData>
  <mergeCells count="11">
    <mergeCell ref="A1:H3"/>
    <mergeCell ref="A4:H4"/>
    <mergeCell ref="A5:H5"/>
    <mergeCell ref="A6:H8"/>
    <mergeCell ref="A9:H9"/>
    <mergeCell ref="A10:H11"/>
    <mergeCell ref="A12:H12"/>
    <mergeCell ref="A13:H13"/>
    <mergeCell ref="A14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5"/>
    <col collapsed="false" customWidth="true" hidden="false" outlineLevel="0" max="7" min="3" style="0" width="8"/>
  </cols>
  <sheetData>
    <row r="1" customFormat="false" ht="30" hidden="false" customHeight="true" outlineLevel="0" collapsed="false">
      <c r="A1" s="9" t="s">
        <v>6</v>
      </c>
      <c r="B1" s="9"/>
      <c r="C1" s="9"/>
      <c r="D1" s="9"/>
      <c r="E1" s="9"/>
      <c r="F1" s="9"/>
    </row>
    <row r="3" customFormat="false" ht="21.75" hidden="false" customHeight="true" outlineLevel="0" collapsed="false">
      <c r="A3" s="10" t="s">
        <v>7</v>
      </c>
      <c r="B3" s="10"/>
      <c r="C3" s="10"/>
      <c r="D3" s="10"/>
      <c r="E3" s="10"/>
      <c r="F3" s="10"/>
    </row>
    <row r="4" customFormat="false" ht="37.5" hidden="false" customHeight="true" outlineLevel="0" collapsed="false">
      <c r="A4" s="11" t="s">
        <v>8</v>
      </c>
      <c r="B4" s="12" t="s">
        <v>9</v>
      </c>
      <c r="C4" s="12"/>
      <c r="D4" s="12"/>
      <c r="E4" s="12"/>
      <c r="F4" s="12"/>
    </row>
    <row r="5" customFormat="false" ht="37.5" hidden="false" customHeight="true" outlineLevel="0" collapsed="false">
      <c r="A5" s="11" t="s">
        <v>10</v>
      </c>
      <c r="B5" s="12" t="s">
        <v>11</v>
      </c>
      <c r="C5" s="12"/>
      <c r="D5" s="12"/>
      <c r="E5" s="12"/>
      <c r="F5" s="12"/>
    </row>
    <row r="6" customFormat="false" ht="37.5" hidden="false" customHeight="true" outlineLevel="0" collapsed="false">
      <c r="A6" s="11" t="s">
        <v>12</v>
      </c>
      <c r="B6" s="12" t="s">
        <v>13</v>
      </c>
      <c r="C6" s="12"/>
      <c r="D6" s="12"/>
      <c r="E6" s="12"/>
      <c r="F6" s="12"/>
    </row>
    <row r="7" customFormat="false" ht="37.5" hidden="false" customHeight="true" outlineLevel="0" collapsed="false">
      <c r="A7" s="11" t="s">
        <v>14</v>
      </c>
      <c r="B7" s="12" t="s">
        <v>15</v>
      </c>
      <c r="C7" s="12"/>
      <c r="D7" s="12"/>
      <c r="E7" s="12"/>
      <c r="F7" s="12"/>
    </row>
    <row r="8" customFormat="false" ht="37.5" hidden="false" customHeight="true" outlineLevel="0" collapsed="false">
      <c r="A8" s="11" t="s">
        <v>16</v>
      </c>
      <c r="B8" s="12" t="s">
        <v>17</v>
      </c>
      <c r="C8" s="12"/>
      <c r="D8" s="12"/>
      <c r="E8" s="12"/>
      <c r="F8" s="12"/>
    </row>
    <row r="9" customFormat="false" ht="37.5" hidden="false" customHeight="true" outlineLevel="0" collapsed="false">
      <c r="A9" s="11" t="s">
        <v>18</v>
      </c>
      <c r="B9" s="12" t="s">
        <v>19</v>
      </c>
      <c r="C9" s="12"/>
      <c r="D9" s="12"/>
      <c r="E9" s="12"/>
      <c r="F9" s="12"/>
    </row>
    <row r="10" customFormat="false" ht="37.5" hidden="false" customHeight="true" outlineLevel="0" collapsed="false">
      <c r="A10" s="11" t="s">
        <v>20</v>
      </c>
      <c r="B10" s="12" t="s">
        <v>21</v>
      </c>
      <c r="C10" s="12"/>
      <c r="D10" s="12"/>
      <c r="E10" s="12"/>
      <c r="F10" s="12"/>
    </row>
    <row r="11" customFormat="false" ht="37.5" hidden="false" customHeight="true" outlineLevel="0" collapsed="false">
      <c r="A11" s="11" t="s">
        <v>22</v>
      </c>
      <c r="B11" s="12" t="s">
        <v>23</v>
      </c>
      <c r="C11" s="12"/>
      <c r="D11" s="12"/>
      <c r="E11" s="12"/>
      <c r="F11" s="12"/>
    </row>
    <row r="12" customFormat="false" ht="37.5" hidden="false" customHeight="true" outlineLevel="0" collapsed="false">
      <c r="A12" s="11" t="s">
        <v>24</v>
      </c>
      <c r="B12" s="12" t="s">
        <v>25</v>
      </c>
      <c r="C12" s="12"/>
      <c r="D12" s="12"/>
      <c r="E12" s="12"/>
      <c r="F12" s="12"/>
    </row>
    <row r="13" customFormat="false" ht="37.5" hidden="false" customHeight="true" outlineLevel="0" collapsed="false">
      <c r="A13" s="11" t="s">
        <v>26</v>
      </c>
      <c r="B13" s="12" t="s">
        <v>27</v>
      </c>
      <c r="C13" s="12"/>
      <c r="D13" s="12"/>
      <c r="E13" s="12"/>
      <c r="F13" s="12"/>
    </row>
    <row r="15" customFormat="false" ht="21.75" hidden="false" customHeight="true" outlineLevel="0" collapsed="false">
      <c r="A15" s="10" t="s">
        <v>28</v>
      </c>
      <c r="B15" s="10"/>
      <c r="C15" s="10"/>
      <c r="D15" s="10"/>
      <c r="E15" s="10"/>
      <c r="F15" s="10"/>
    </row>
    <row r="16" customFormat="false" ht="24.75" hidden="false" customHeight="true" outlineLevel="0" collapsed="false">
      <c r="A16" s="13" t="s">
        <v>29</v>
      </c>
      <c r="B16" s="12" t="s">
        <v>30</v>
      </c>
      <c r="C16" s="12"/>
      <c r="D16" s="12"/>
      <c r="E16" s="12"/>
      <c r="F16" s="12"/>
    </row>
    <row r="17" customFormat="false" ht="24.75" hidden="false" customHeight="true" outlineLevel="0" collapsed="false">
      <c r="A17" s="14" t="s">
        <v>29</v>
      </c>
      <c r="B17" s="12" t="s">
        <v>31</v>
      </c>
      <c r="C17" s="12"/>
      <c r="D17" s="12"/>
      <c r="E17" s="12"/>
      <c r="F17" s="12"/>
    </row>
    <row r="18" customFormat="false" ht="24.75" hidden="false" customHeight="true" outlineLevel="0" collapsed="false">
      <c r="A18" s="15" t="s">
        <v>29</v>
      </c>
      <c r="B18" s="12" t="s">
        <v>32</v>
      </c>
      <c r="C18" s="12"/>
      <c r="D18" s="12"/>
      <c r="E18" s="12"/>
      <c r="F18" s="12"/>
    </row>
    <row r="19" customFormat="false" ht="24.75" hidden="false" customHeight="true" outlineLevel="0" collapsed="false">
      <c r="A19" s="16" t="s">
        <v>29</v>
      </c>
      <c r="B19" s="12" t="s">
        <v>33</v>
      </c>
      <c r="C19" s="12"/>
      <c r="D19" s="12"/>
      <c r="E19" s="12"/>
      <c r="F19" s="12"/>
    </row>
    <row r="20" customFormat="false" ht="24.75" hidden="false" customHeight="true" outlineLevel="0" collapsed="false">
      <c r="A20" s="17" t="s">
        <v>29</v>
      </c>
      <c r="B20" s="12" t="s">
        <v>34</v>
      </c>
      <c r="C20" s="12"/>
      <c r="D20" s="12"/>
      <c r="E20" s="12"/>
      <c r="F20" s="12"/>
    </row>
    <row r="21" customFormat="false" ht="24.75" hidden="false" customHeight="true" outlineLevel="0" collapsed="false">
      <c r="A21" s="18" t="s">
        <v>29</v>
      </c>
      <c r="B21" s="12" t="s">
        <v>35</v>
      </c>
      <c r="C21" s="12"/>
      <c r="D21" s="12"/>
      <c r="E21" s="12"/>
      <c r="F21" s="12"/>
    </row>
    <row r="23" customFormat="false" ht="21.75" hidden="false" customHeight="true" outlineLevel="0" collapsed="false">
      <c r="A23" s="10" t="s">
        <v>36</v>
      </c>
      <c r="B23" s="10"/>
      <c r="C23" s="10"/>
      <c r="D23" s="10"/>
      <c r="E23" s="10"/>
      <c r="F23" s="10"/>
    </row>
    <row r="24" customFormat="false" ht="37.5" hidden="false" customHeight="true" outlineLevel="0" collapsed="false">
      <c r="A24" s="19" t="s">
        <v>37</v>
      </c>
      <c r="B24" s="12" t="s">
        <v>38</v>
      </c>
      <c r="C24" s="12"/>
      <c r="D24" s="12"/>
      <c r="E24" s="12"/>
      <c r="F24" s="12"/>
    </row>
    <row r="25" customFormat="false" ht="37.5" hidden="false" customHeight="true" outlineLevel="0" collapsed="false">
      <c r="A25" s="19" t="s">
        <v>37</v>
      </c>
      <c r="B25" s="12" t="s">
        <v>39</v>
      </c>
      <c r="C25" s="12"/>
      <c r="D25" s="12"/>
      <c r="E25" s="12"/>
      <c r="F25" s="12"/>
    </row>
    <row r="26" customFormat="false" ht="37.5" hidden="false" customHeight="true" outlineLevel="0" collapsed="false">
      <c r="A26" s="19" t="s">
        <v>37</v>
      </c>
      <c r="B26" s="12" t="s">
        <v>40</v>
      </c>
      <c r="C26" s="12"/>
      <c r="D26" s="12"/>
      <c r="E26" s="12"/>
      <c r="F26" s="12"/>
    </row>
  </sheetData>
  <mergeCells count="23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B16:F16"/>
    <mergeCell ref="B17:F17"/>
    <mergeCell ref="B18:F18"/>
    <mergeCell ref="B19:F19"/>
    <mergeCell ref="B20:F20"/>
    <mergeCell ref="B21:F21"/>
    <mergeCell ref="A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30"/>
    <col collapsed="false" customWidth="true" hidden="false" outlineLevel="0" max="13" min="12" style="0" width="18"/>
    <col collapsed="false" customWidth="true" hidden="false" outlineLevel="0" max="14" min="14" style="0" width="16"/>
  </cols>
  <sheetData>
    <row r="1" customFormat="false" ht="21.75" hidden="false" customHeight="true" outlineLevel="0" collapsed="false">
      <c r="A1" s="20" t="s">
        <v>41</v>
      </c>
      <c r="B1" s="20"/>
      <c r="C1" s="21" t="s">
        <v>42</v>
      </c>
      <c r="D1" s="21"/>
      <c r="E1" s="21"/>
      <c r="F1" s="21"/>
      <c r="G1" s="20" t="s">
        <v>43</v>
      </c>
      <c r="H1" s="20"/>
      <c r="I1" s="21" t="s">
        <v>44</v>
      </c>
      <c r="J1" s="21"/>
      <c r="K1" s="21"/>
      <c r="L1" s="21"/>
      <c r="M1" s="21"/>
      <c r="N1" s="21"/>
    </row>
    <row r="2" customFormat="false" ht="21.75" hidden="false" customHeight="true" outlineLevel="0" collapsed="false">
      <c r="A2" s="22" t="s">
        <v>45</v>
      </c>
      <c r="B2" s="22"/>
      <c r="C2" s="22"/>
      <c r="D2" s="22"/>
      <c r="E2" s="23" t="s">
        <v>46</v>
      </c>
      <c r="F2" s="24" t="n">
        <f aca="false">COUNTA(A4:A300)-COUNTBLANK(A4:A300)</f>
        <v>-261</v>
      </c>
      <c r="G2" s="23" t="s">
        <v>47</v>
      </c>
      <c r="H2" s="24" t="n">
        <f aca="false">COUNTIF(G4:G300,"Approved")+COUNTIF(G4:G300,"Received &amp; Accepted")</f>
        <v>7</v>
      </c>
      <c r="I2" s="23" t="s">
        <v>48</v>
      </c>
      <c r="J2" s="24" t="n">
        <f aca="false">COUNTIF(G4:G300,"Outstanding")+COUNTIF(G4:G300,"Not Yet Required")</f>
        <v>3</v>
      </c>
      <c r="K2" s="23" t="s">
        <v>49</v>
      </c>
      <c r="L2" s="25" t="n">
        <f aca="false">IF(COUNTA(G4:G300)&gt;0,(COUNTIF(G4:G300,"Approved")+COUNTIF(G4:G300,"Received &amp; Accepted"))/COUNTA(G4:G300),"—")</f>
        <v>0.466666666666667</v>
      </c>
      <c r="M2" s="26"/>
      <c r="N2" s="26"/>
    </row>
    <row r="3" customFormat="false" ht="36" hidden="false" customHeight="true" outlineLevel="0" collapsed="false">
      <c r="A3" s="27" t="s">
        <v>50</v>
      </c>
      <c r="B3" s="27" t="s">
        <v>51</v>
      </c>
      <c r="C3" s="27" t="s">
        <v>52</v>
      </c>
      <c r="D3" s="27" t="s">
        <v>53</v>
      </c>
      <c r="E3" s="27" t="s">
        <v>54</v>
      </c>
      <c r="F3" s="27" t="s">
        <v>55</v>
      </c>
      <c r="G3" s="27" t="s">
        <v>56</v>
      </c>
      <c r="H3" s="27" t="s">
        <v>57</v>
      </c>
      <c r="I3" s="27" t="s">
        <v>58</v>
      </c>
      <c r="J3" s="27" t="s">
        <v>59</v>
      </c>
      <c r="K3" s="27" t="s">
        <v>60</v>
      </c>
      <c r="L3" s="27" t="s">
        <v>61</v>
      </c>
      <c r="M3" s="27" t="s">
        <v>62</v>
      </c>
      <c r="N3" s="27" t="s">
        <v>63</v>
      </c>
    </row>
    <row r="4" customFormat="false" ht="21.75" hidden="false" customHeight="true" outlineLevel="0" collapsed="false">
      <c r="A4" s="28" t="s">
        <v>64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customFormat="false" ht="21.75" hidden="false" customHeight="true" outlineLevel="0" collapsed="false">
      <c r="A5" s="29" t="s">
        <v>65</v>
      </c>
      <c r="B5" s="30" t="s">
        <v>66</v>
      </c>
      <c r="C5" s="29" t="s">
        <v>67</v>
      </c>
      <c r="D5" s="30" t="s">
        <v>68</v>
      </c>
      <c r="E5" s="29" t="s">
        <v>69</v>
      </c>
      <c r="F5" s="31" t="n">
        <v>45672</v>
      </c>
      <c r="G5" s="29" t="s">
        <v>70</v>
      </c>
      <c r="H5" s="31" t="n">
        <v>45667</v>
      </c>
      <c r="I5" s="31" t="n">
        <v>45679</v>
      </c>
      <c r="J5" s="30" t="s">
        <v>71</v>
      </c>
      <c r="K5" s="30" t="s">
        <v>72</v>
      </c>
      <c r="L5" s="32" t="s">
        <v>73</v>
      </c>
      <c r="M5" s="32" t="s">
        <v>74</v>
      </c>
    </row>
    <row r="6" customFormat="false" ht="21.75" hidden="false" customHeight="true" outlineLevel="0" collapsed="false">
      <c r="A6" s="29" t="s">
        <v>75</v>
      </c>
      <c r="B6" s="30" t="s">
        <v>76</v>
      </c>
      <c r="C6" s="29" t="s">
        <v>77</v>
      </c>
      <c r="D6" s="30" t="s">
        <v>68</v>
      </c>
      <c r="E6" s="29" t="s">
        <v>78</v>
      </c>
      <c r="F6" s="31" t="n">
        <v>45747</v>
      </c>
      <c r="G6" s="29" t="s">
        <v>79</v>
      </c>
      <c r="H6" s="31" t="n">
        <v>45721</v>
      </c>
      <c r="I6" s="30"/>
      <c r="J6" s="30" t="s">
        <v>71</v>
      </c>
      <c r="K6" s="30" t="s">
        <v>80</v>
      </c>
      <c r="L6" s="32" t="s">
        <v>81</v>
      </c>
      <c r="M6" s="32" t="s">
        <v>82</v>
      </c>
    </row>
    <row r="7" customFormat="false" ht="21.75" hidden="false" customHeight="true" outlineLevel="0" collapsed="false">
      <c r="A7" s="29" t="s">
        <v>83</v>
      </c>
      <c r="B7" s="30" t="s">
        <v>84</v>
      </c>
      <c r="C7" s="29" t="s">
        <v>85</v>
      </c>
      <c r="D7" s="30" t="s">
        <v>68</v>
      </c>
      <c r="E7" s="29" t="s">
        <v>78</v>
      </c>
      <c r="F7" s="31" t="n">
        <v>45702</v>
      </c>
      <c r="G7" s="29" t="s">
        <v>70</v>
      </c>
      <c r="H7" s="31" t="n">
        <v>45693</v>
      </c>
      <c r="I7" s="31" t="n">
        <v>45700</v>
      </c>
      <c r="J7" s="30" t="s">
        <v>71</v>
      </c>
      <c r="K7" s="30" t="s">
        <v>86</v>
      </c>
      <c r="L7" s="32" t="s">
        <v>87</v>
      </c>
      <c r="M7" s="32" t="s">
        <v>88</v>
      </c>
    </row>
    <row r="8" customFormat="false" ht="21.75" hidden="false" customHeight="true" outlineLevel="0" collapsed="false">
      <c r="A8" s="29" t="s">
        <v>89</v>
      </c>
      <c r="B8" s="30" t="s">
        <v>90</v>
      </c>
      <c r="C8" s="29" t="s">
        <v>67</v>
      </c>
      <c r="D8" s="30" t="s">
        <v>68</v>
      </c>
      <c r="E8" s="29" t="s">
        <v>78</v>
      </c>
      <c r="F8" s="31" t="n">
        <v>45688</v>
      </c>
      <c r="G8" s="29" t="s">
        <v>70</v>
      </c>
      <c r="H8" s="31" t="n">
        <v>45685</v>
      </c>
      <c r="I8" s="31" t="n">
        <v>45691</v>
      </c>
      <c r="J8" s="30" t="s">
        <v>71</v>
      </c>
      <c r="K8" s="30"/>
      <c r="L8" s="32"/>
      <c r="M8" s="32" t="s">
        <v>91</v>
      </c>
    </row>
    <row r="9" customFormat="false" ht="21.75" hidden="false" customHeight="true" outlineLevel="0" collapsed="false">
      <c r="A9" s="29" t="s">
        <v>92</v>
      </c>
      <c r="B9" s="30" t="s">
        <v>93</v>
      </c>
      <c r="C9" s="29" t="s">
        <v>94</v>
      </c>
      <c r="D9" s="30" t="s">
        <v>68</v>
      </c>
      <c r="E9" s="29" t="s">
        <v>78</v>
      </c>
      <c r="F9" s="31" t="n">
        <v>45777</v>
      </c>
      <c r="G9" s="29" t="s">
        <v>95</v>
      </c>
      <c r="H9" s="30"/>
      <c r="I9" s="30"/>
      <c r="J9" s="30"/>
      <c r="K9" s="30" t="s">
        <v>96</v>
      </c>
      <c r="L9" s="32"/>
      <c r="M9" s="32"/>
    </row>
    <row r="10" customFormat="false" ht="18" hidden="false" customHeight="true" outlineLevel="0" collapsed="false">
      <c r="A10" s="33" t="s">
        <v>97</v>
      </c>
      <c r="B10" s="33"/>
      <c r="C10" s="33"/>
      <c r="D10" s="33"/>
      <c r="E10" s="33"/>
      <c r="F10" s="33"/>
      <c r="G10" s="34" t="n">
        <f aca="false">COUNTIF(G5:G9,"Approved")+COUNTIF(G5:G9,"Received &amp; Accepted")</f>
        <v>3</v>
      </c>
      <c r="H10" s="34" t="n">
        <f aca="false">COUNTA(A5:A9)</f>
        <v>5</v>
      </c>
      <c r="I10" s="35" t="n">
        <f aca="false">IF(COUNTA(A5:A9)&gt;0,(COUNTIF(G5:G9,"Approved")+COUNTIF(G5:G9,"Received &amp; Accepted"))/COUNTA(A5:A9),"—")</f>
        <v>0.6</v>
      </c>
      <c r="J10" s="36"/>
      <c r="K10" s="36"/>
      <c r="L10" s="36"/>
      <c r="M10" s="36"/>
      <c r="N10" s="36"/>
    </row>
    <row r="12" customFormat="false" ht="21.75" hidden="false" customHeight="true" outlineLevel="0" collapsed="false">
      <c r="A12" s="28" t="s">
        <v>98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customFormat="false" ht="21.75" hidden="false" customHeight="true" outlineLevel="0" collapsed="false">
      <c r="A13" s="29" t="s">
        <v>99</v>
      </c>
      <c r="B13" s="30" t="s">
        <v>100</v>
      </c>
      <c r="C13" s="29" t="s">
        <v>101</v>
      </c>
      <c r="D13" s="30" t="s">
        <v>102</v>
      </c>
      <c r="E13" s="29" t="s">
        <v>103</v>
      </c>
      <c r="F13" s="31" t="n">
        <v>45716</v>
      </c>
      <c r="G13" s="29" t="s">
        <v>70</v>
      </c>
      <c r="H13" s="31" t="n">
        <v>45708</v>
      </c>
      <c r="I13" s="31" t="n">
        <v>45719</v>
      </c>
      <c r="J13" s="30" t="s">
        <v>104</v>
      </c>
      <c r="K13" s="30" t="s">
        <v>105</v>
      </c>
      <c r="L13" s="32" t="s">
        <v>106</v>
      </c>
      <c r="M13" s="32" t="s">
        <v>107</v>
      </c>
    </row>
    <row r="14" customFormat="false" ht="21.75" hidden="false" customHeight="true" outlineLevel="0" collapsed="false">
      <c r="A14" s="29" t="s">
        <v>108</v>
      </c>
      <c r="B14" s="30" t="s">
        <v>109</v>
      </c>
      <c r="C14" s="29" t="s">
        <v>110</v>
      </c>
      <c r="D14" s="30" t="s">
        <v>102</v>
      </c>
      <c r="E14" s="29" t="s">
        <v>103</v>
      </c>
      <c r="F14" s="31" t="n">
        <v>45716</v>
      </c>
      <c r="G14" s="29" t="s">
        <v>70</v>
      </c>
      <c r="H14" s="31" t="n">
        <v>45708</v>
      </c>
      <c r="I14" s="31" t="n">
        <v>45719</v>
      </c>
      <c r="J14" s="30" t="s">
        <v>104</v>
      </c>
      <c r="K14" s="30"/>
      <c r="L14" s="32"/>
      <c r="M14" s="32" t="s">
        <v>107</v>
      </c>
    </row>
    <row r="15" customFormat="false" ht="21.75" hidden="false" customHeight="true" outlineLevel="0" collapsed="false">
      <c r="A15" s="29" t="s">
        <v>111</v>
      </c>
      <c r="B15" s="30" t="s">
        <v>112</v>
      </c>
      <c r="C15" s="29" t="s">
        <v>77</v>
      </c>
      <c r="D15" s="30" t="s">
        <v>102</v>
      </c>
      <c r="E15" s="29" t="s">
        <v>78</v>
      </c>
      <c r="F15" s="31" t="n">
        <v>45761</v>
      </c>
      <c r="G15" s="29" t="s">
        <v>113</v>
      </c>
      <c r="H15" s="31" t="n">
        <v>45726</v>
      </c>
      <c r="I15" s="30"/>
      <c r="J15" s="30"/>
      <c r="K15" s="30" t="s">
        <v>114</v>
      </c>
      <c r="L15" s="32" t="s">
        <v>115</v>
      </c>
      <c r="M15" s="32" t="s">
        <v>116</v>
      </c>
    </row>
    <row r="16" customFormat="false" ht="21.75" hidden="false" customHeight="true" outlineLevel="0" collapsed="false">
      <c r="A16" s="29" t="s">
        <v>117</v>
      </c>
      <c r="B16" s="30" t="s">
        <v>118</v>
      </c>
      <c r="C16" s="29" t="s">
        <v>119</v>
      </c>
      <c r="D16" s="30" t="s">
        <v>102</v>
      </c>
      <c r="E16" s="29" t="s">
        <v>78</v>
      </c>
      <c r="F16" s="31" t="n">
        <v>45716</v>
      </c>
      <c r="G16" s="29" t="s">
        <v>120</v>
      </c>
      <c r="H16" s="31" t="n">
        <v>45719</v>
      </c>
      <c r="I16" s="31" t="n">
        <v>45721</v>
      </c>
      <c r="J16" s="30" t="s">
        <v>104</v>
      </c>
      <c r="K16" s="30" t="s">
        <v>121</v>
      </c>
      <c r="L16" s="32" t="s">
        <v>122</v>
      </c>
      <c r="M16" s="32" t="s">
        <v>123</v>
      </c>
    </row>
    <row r="17" customFormat="false" ht="18" hidden="false" customHeight="true" outlineLevel="0" collapsed="false">
      <c r="A17" s="33" t="s">
        <v>97</v>
      </c>
      <c r="B17" s="33"/>
      <c r="C17" s="33"/>
      <c r="D17" s="33"/>
      <c r="E17" s="33"/>
      <c r="F17" s="33"/>
      <c r="G17" s="34" t="n">
        <f aca="false">COUNTIF(G13:G16,"Approved")+COUNTIF(G13:G16,"Received &amp; Accepted")</f>
        <v>3</v>
      </c>
      <c r="H17" s="34" t="n">
        <f aca="false">COUNTA(A13:A16)</f>
        <v>4</v>
      </c>
      <c r="I17" s="35" t="n">
        <f aca="false">IF(COUNTA(A13:A16)&gt;0,(COUNTIF(G13:G16,"Approved")+COUNTIF(G13:G16,"Received &amp; Accepted"))/COUNTA(A13:A16),"—")</f>
        <v>0.75</v>
      </c>
      <c r="J17" s="36"/>
      <c r="K17" s="36"/>
      <c r="L17" s="36"/>
      <c r="M17" s="36"/>
      <c r="N17" s="36"/>
    </row>
    <row r="19" customFormat="false" ht="21.75" hidden="false" customHeight="true" outlineLevel="0" collapsed="false">
      <c r="A19" s="28" t="s">
        <v>124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customFormat="false" ht="21.75" hidden="false" customHeight="true" outlineLevel="0" collapsed="false">
      <c r="A20" s="29" t="s">
        <v>125</v>
      </c>
      <c r="B20" s="30" t="s">
        <v>126</v>
      </c>
      <c r="C20" s="29" t="s">
        <v>127</v>
      </c>
      <c r="D20" s="30" t="s">
        <v>128</v>
      </c>
      <c r="E20" s="29" t="s">
        <v>78</v>
      </c>
      <c r="F20" s="31" t="n">
        <v>45777</v>
      </c>
      <c r="G20" s="29" t="s">
        <v>95</v>
      </c>
      <c r="H20" s="30"/>
      <c r="I20" s="30"/>
      <c r="J20" s="30"/>
      <c r="K20" s="30" t="s">
        <v>129</v>
      </c>
      <c r="L20" s="32"/>
      <c r="M20" s="32"/>
    </row>
    <row r="21" customFormat="false" ht="21.75" hidden="false" customHeight="true" outlineLevel="0" collapsed="false">
      <c r="A21" s="29" t="s">
        <v>130</v>
      </c>
      <c r="B21" s="30" t="s">
        <v>131</v>
      </c>
      <c r="C21" s="29" t="s">
        <v>77</v>
      </c>
      <c r="D21" s="30" t="s">
        <v>128</v>
      </c>
      <c r="E21" s="29" t="s">
        <v>132</v>
      </c>
      <c r="F21" s="31" t="n">
        <v>45808</v>
      </c>
      <c r="G21" s="29" t="s">
        <v>133</v>
      </c>
      <c r="H21" s="30"/>
      <c r="I21" s="30"/>
      <c r="J21" s="30"/>
      <c r="K21" s="30" t="s">
        <v>134</v>
      </c>
      <c r="L21" s="32"/>
      <c r="M21" s="32"/>
    </row>
    <row r="22" customFormat="false" ht="21.75" hidden="false" customHeight="true" outlineLevel="0" collapsed="false">
      <c r="A22" s="29" t="s">
        <v>135</v>
      </c>
      <c r="B22" s="30" t="s">
        <v>136</v>
      </c>
      <c r="C22" s="29" t="s">
        <v>67</v>
      </c>
      <c r="D22" s="30" t="s">
        <v>128</v>
      </c>
      <c r="E22" s="29" t="s">
        <v>78</v>
      </c>
      <c r="F22" s="31" t="n">
        <v>45730</v>
      </c>
      <c r="G22" s="29" t="s">
        <v>70</v>
      </c>
      <c r="H22" s="31" t="n">
        <v>45724</v>
      </c>
      <c r="I22" s="31" t="n">
        <v>45728</v>
      </c>
      <c r="J22" s="30" t="s">
        <v>137</v>
      </c>
      <c r="K22" s="30" t="s">
        <v>138</v>
      </c>
      <c r="L22" s="32" t="s">
        <v>139</v>
      </c>
      <c r="M22" s="32" t="s">
        <v>140</v>
      </c>
    </row>
    <row r="23" customFormat="false" ht="18" hidden="false" customHeight="true" outlineLevel="0" collapsed="false">
      <c r="A23" s="33" t="s">
        <v>97</v>
      </c>
      <c r="B23" s="33"/>
      <c r="C23" s="33"/>
      <c r="D23" s="33"/>
      <c r="E23" s="33"/>
      <c r="F23" s="33"/>
      <c r="G23" s="34" t="n">
        <f aca="false">COUNTIF(G20:G22,"Approved")+COUNTIF(G20:G22,"Received &amp; Accepted")</f>
        <v>1</v>
      </c>
      <c r="H23" s="34" t="n">
        <f aca="false">COUNTA(A20:A22)</f>
        <v>3</v>
      </c>
      <c r="I23" s="35" t="n">
        <f aca="false">IF(COUNTA(A20:A22)&gt;0,(COUNTIF(G20:G22,"Approved")+COUNTIF(G20:G22,"Received &amp; Accepted"))/COUNTA(A20:A22),"—")</f>
        <v>0.333333333333333</v>
      </c>
      <c r="J23" s="36"/>
      <c r="K23" s="36"/>
      <c r="L23" s="36"/>
      <c r="M23" s="36"/>
      <c r="N23" s="36"/>
    </row>
  </sheetData>
  <autoFilter ref="A3:N3"/>
  <mergeCells count="11">
    <mergeCell ref="A1:B1"/>
    <mergeCell ref="C1:F1"/>
    <mergeCell ref="G1:H1"/>
    <mergeCell ref="I1:N1"/>
    <mergeCell ref="A2:D2"/>
    <mergeCell ref="A4:N4"/>
    <mergeCell ref="A10:F10"/>
    <mergeCell ref="A12:N12"/>
    <mergeCell ref="A17:F17"/>
    <mergeCell ref="A19:N19"/>
    <mergeCell ref="A23:F23"/>
  </mergeCells>
  <conditionalFormatting sqref="G4:G25">
    <cfRule type="cellIs" priority="2" operator="equal" aboveAverage="0" equalAverage="0" bottom="0" percent="0" rank="0" text="" dxfId="2">
      <formula>"Approved"</formula>
    </cfRule>
    <cfRule type="cellIs" priority="3" operator="equal" aboveAverage="0" equalAverage="0" bottom="0" percent="0" rank="0" text="" dxfId="2">
      <formula>"Received &amp; Accepted"</formula>
    </cfRule>
    <cfRule type="cellIs" priority="4" operator="equal" aboveAverage="0" equalAverage="0" bottom="0" percent="0" rank="0" text="" dxfId="3">
      <formula>"Under Review"</formula>
    </cfRule>
    <cfRule type="cellIs" priority="5" operator="equal" aboveAverage="0" equalAverage="0" bottom="0" percent="0" rank="0" text="" dxfId="4">
      <formula>"Submitted"</formula>
    </cfRule>
    <cfRule type="cellIs" priority="6" operator="equal" aboveAverage="0" equalAverage="0" bottom="0" percent="0" rank="0" text="" dxfId="5">
      <formula>"Outstanding"</formula>
    </cfRule>
    <cfRule type="cellIs" priority="7" operator="equal" aboveAverage="0" equalAverage="0" bottom="0" percent="0" rank="0" text="" dxfId="6">
      <formula>"Superseded"</formula>
    </cfRule>
  </conditionalFormatting>
  <conditionalFormatting sqref="A4:N25">
    <cfRule type="expression" priority="8" aboveAverage="0" equalAverage="0" bottom="0" percent="0" rank="0" text="" dxfId="7">
      <formula>OR($G4="Approved",$G4="Received &amp; Accepted")</formula>
    </cfRule>
    <cfRule type="expression" priority="9" aboveAverage="0" equalAverage="0" bottom="0" percent="0" rank="0" text="" dxfId="5">
      <formula>$G4="Outstanding"</formula>
    </cfRule>
    <cfRule type="expression" priority="10" aboveAverage="0" equalAverage="0" bottom="0" percent="0" rank="0" text="" dxfId="3">
      <formula>OR($G4="Under Review",$G4="Submitted")</formula>
    </cfRule>
    <cfRule type="expression" priority="11" aboveAverage="0" equalAverage="0" bottom="0" percent="0" rank="0" text="" dxfId="8">
      <formula>$G4="Superseded"</formula>
    </cfRule>
  </conditionalFormatting>
  <conditionalFormatting sqref="F4:F25">
    <cfRule type="expression" priority="12" aboveAverage="0" equalAverage="0" bottom="0" percent="0" rank="0" text="" dxfId="5">
      <formula>AND($F4&lt;TODAY(),$G4="Outstanding",$F4&lt;&gt;"")</formula>
    </cfRule>
  </conditionalFormatting>
  <dataValidations count="2">
    <dataValidation allowBlank="true" errorStyle="stop" operator="between" showDropDown="false" showErrorMessage="false" showInputMessage="false" sqref="C4:C300" type="list">
      <formula1>"Datasheet,O&amp;M Manual,FAT Procedure,SAT Procedure,GA Drawing,Wiring Diagram,Test Certificate,IOM,Spare Parts List,Warranty Certificate,COSHH Sheet,Other"</formula1>
      <formula2>0</formula2>
    </dataValidation>
    <dataValidation allowBlank="true" errorStyle="stop" operator="between" showDropDown="false" showErrorMessage="false" showInputMessage="false" sqref="G4:G300" type="list">
      <formula1>"Outstanding,Not Yet Required,Submitted,Under Review,Approved,Received &amp; Accepted,Superseded"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&amp;CVendor Document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37" t="s">
        <v>141</v>
      </c>
    </row>
    <row r="2" customFormat="false" ht="21.75" hidden="false" customHeight="true" outlineLevel="0" collapsed="false">
      <c r="A2" s="38"/>
    </row>
    <row r="3" customFormat="false" ht="21.75" hidden="false" customHeight="true" outlineLevel="0" collapsed="false">
      <c r="A3" s="38" t="s">
        <v>142</v>
      </c>
    </row>
    <row r="4" customFormat="false" ht="21.75" hidden="false" customHeight="true" outlineLevel="0" collapsed="false">
      <c r="A4" s="38"/>
    </row>
    <row r="5" customFormat="false" ht="21.75" hidden="false" customHeight="true" outlineLevel="0" collapsed="false">
      <c r="A5" s="38" t="s">
        <v>143</v>
      </c>
    </row>
    <row r="6" customFormat="false" ht="21.75" hidden="false" customHeight="true" outlineLevel="0" collapsed="false">
      <c r="A6" s="38" t="s">
        <v>144</v>
      </c>
    </row>
    <row r="7" customFormat="false" ht="21.75" hidden="false" customHeight="true" outlineLevel="0" collapsed="false">
      <c r="A7" s="38" t="s">
        <v>145</v>
      </c>
    </row>
    <row r="8" customFormat="false" ht="21.75" hidden="false" customHeight="true" outlineLevel="0" collapsed="false">
      <c r="A8" s="38" t="s">
        <v>146</v>
      </c>
    </row>
    <row r="9" customFormat="false" ht="21.75" hidden="false" customHeight="true" outlineLevel="0" collapsed="false">
      <c r="A9" s="38" t="s">
        <v>147</v>
      </c>
    </row>
    <row r="10" customFormat="false" ht="21.75" hidden="false" customHeight="true" outlineLevel="0" collapsed="false">
      <c r="A10" s="38" t="s">
        <v>148</v>
      </c>
    </row>
    <row r="11" customFormat="false" ht="21.75" hidden="false" customHeight="true" outlineLevel="0" collapsed="false">
      <c r="A11" s="38"/>
    </row>
    <row r="12" customFormat="false" ht="21.75" hidden="false" customHeight="true" outlineLevel="0" collapsed="false">
      <c r="A12" s="38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Quality &amp; Inspection</cp:category>
  <dcterms:created xsi:type="dcterms:W3CDTF">2026-03-24T13:37:55Z</dcterms:created>
  <dc:creator>Ebrora Ltd</dc:creator>
  <dc:description>Vendor document register tracking all supplier datasheets, O&amp;M manuals, FAT/SAT procedures and certificates on UK construction projects.
Free professional construction management template from Ebrora Ltd. Visit ebrora.com for our full range of tools and templates.</dc:description>
  <cp:keywords>Ebrora construction vendor documents O&amp;M FAT SAT datasheet handover UK construction</cp:keywords>
  <dc:language>en-US</dc:language>
  <cp:lastModifiedBy>Ebrora Ltd</cp:lastModifiedBy>
  <dcterms:modified xsi:type="dcterms:W3CDTF">2026-03-24T13:37:55Z</dcterms:modified>
  <cp:revision>0</cp:revision>
  <dc:subject>Vendor document register indexing all supplier-provided datasheets, O&amp;M manuals, FAT/SAT procedures and certificates by supplier with submission and approval status.</dc:subject>
  <dc:title>Vendor Document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