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SURE TEST RESULTS LOG" sheetId="1" state="visible" r:id="rId3"/>
    <sheet name="Instructions" sheetId="2" state="visible" r:id="rId4"/>
  </sheets>
  <definedNames>
    <definedName function="false" hidden="false" localSheetId="0" name="_xlnm.Print_Area" vbProcedure="false">'PRESSURE TEST RESULTS LOG'!$A$1:$P$37</definedName>
    <definedName function="false" hidden="false" localSheetId="0" name="_xlnm.Print_Titles" vbProcedure="false">'PRESSURE TEST RESULTS LOG'!$1:$6</definedName>
    <definedName function="false" hidden="true" localSheetId="0" name="_xlnm._FilterDatabase" vbProcedure="false">'PRESSURE TEST RESULTS LOG'!$A$6:$P$31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<sst xmlns="http://schemas.openxmlformats.org/spreadsheetml/2006/main" count="35" uniqueCount="34">
  <si>
    <t xml:space="preserve">ebrora.com</t>
  </si>
  <si>
    <t xml:space="preserve">PRESSURE TEST RESULTS LOG</t>
  </si>
  <si>
    <t xml:space="preserve">Ref: BS EN 805; IGN 4-01-03; WIS 4-01-01; Specification requirements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</si>
  <si>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</si>
  <si>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</si>
  <si>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</si>
  <si>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</si>
  <si>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</si>
  <si>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Test
Section
Ref</t>
  </si>
  <si>
    <t xml:space="preserve">Chainage
From–To</t>
  </si>
  <si>
    <t xml:space="preserve">Pipe
Material</t>
  </si>
  <si>
    <t xml:space="preserve">Diameter
(mm)</t>
  </si>
  <si>
    <t xml:space="preserve">Test
Pressure
(bar)</t>
  </si>
  <si>
    <t xml:space="preserve">System Test
Pressure
(STP bar)</t>
  </si>
  <si>
    <t xml:space="preserve">Duration
(mins)</t>
  </si>
  <si>
    <t xml:space="preserve">Pressure at
Start (bar)</t>
  </si>
  <si>
    <t xml:space="preserve">Pressure at
End (bar)</t>
  </si>
  <si>
    <t xml:space="preserve">Pressure
Loss
(bar)</t>
  </si>
  <si>
    <t xml:space="preserve">Allowable
Loss (bar)</t>
  </si>
  <si>
    <t xml:space="preserve">Result
(Pass/Fail)</t>
  </si>
  <si>
    <t xml:space="preserve">Witnessed By</t>
  </si>
  <si>
    <t xml:space="preserve">Comments</t>
  </si>
  <si>
    <t xml:space="preserve">SUMMARY</t>
  </si>
  <si>
    <t xml:space="preserve">Total Tests:</t>
  </si>
  <si>
    <t xml:space="preserve">Pass:</t>
  </si>
  <si>
    <t xml:space="preserve">Fail:</t>
  </si>
  <si>
    <t xml:space="preserve">INSTRUCTIONS — PRESSURE TEST RESULTS LOG</t>
  </si>
  <si>
    <t xml:space="preserve">How to Use</t>
  </si>
  <si>
    <t xml:space="preserve">1. Record all pressure test results for pipeline sections.</t>
  </si>
  <si>
    <t xml:space="preserve">2. Enter test pressure, duration, and start/end pressures.</t>
  </si>
  <si>
    <t xml:space="preserve">3. Pressure loss auto-calculates. Compare against allowable loss.</t>
  </si>
  <si>
    <t xml:space="preserve">References:</t>
  </si>
  <si>
    <t xml:space="preserve">  BS EN 805 — Water Supply Requirements</t>
  </si>
  <si>
    <t xml:space="preserve">  IGN 4-01-03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</si>
</sst>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0"/>
    <col collapsed="false" customWidth="true" hidden="false" outlineLevel="0" max="5" min="4" style="0" width="12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9" min="9" style="0" width="9"/>
    <col collapsed="false" customWidth="true" hidden="false" outlineLevel="0" max="13" min="10" style="0" width="10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  <c r="P6" s="6" t="s">
        <v>21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9" t="str">
        <f aca="false">IF(OR(J7="",K7=""),"",J7-K7)</f>
        <v/>
      </c>
      <c r="M7" s="8"/>
      <c r="N7" s="8"/>
      <c r="O7" s="8"/>
      <c r="P7" s="8"/>
    </row>
    <row r="8" customFormat="false" ht="21.75" hidden="false" customHeight="true" outlineLevel="0" collapsed="false">
      <c r="A8" s="10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11" t="str">
        <f aca="false">IF(OR(J8="",K8=""),"",J8-K8)</f>
        <v/>
      </c>
      <c r="M8" s="8"/>
      <c r="N8" s="8"/>
      <c r="O8" s="8"/>
      <c r="P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9" t="str">
        <f aca="false">IF(OR(J9="",K9=""),"",J9-K9)</f>
        <v/>
      </c>
      <c r="M9" s="8"/>
      <c r="N9" s="8"/>
      <c r="O9" s="8"/>
      <c r="P9" s="8"/>
    </row>
    <row r="10" customFormat="false" ht="21.75" hidden="false" customHeight="true" outlineLevel="0" collapsed="false">
      <c r="A10" s="10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11" t="str">
        <f aca="false">IF(OR(J10="",K10=""),"",J10-K10)</f>
        <v/>
      </c>
      <c r="M10" s="8"/>
      <c r="N10" s="8"/>
      <c r="O10" s="8"/>
      <c r="P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9" t="str">
        <f aca="false">IF(OR(J11="",K11=""),"",J11-K11)</f>
        <v/>
      </c>
      <c r="M11" s="8"/>
      <c r="N11" s="8"/>
      <c r="O11" s="8"/>
      <c r="P11" s="8"/>
    </row>
    <row r="12" customFormat="false" ht="21.75" hidden="false" customHeight="true" outlineLevel="0" collapsed="false">
      <c r="A12" s="10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11" t="str">
        <f aca="false">IF(OR(J12="",K12=""),"",J12-K12)</f>
        <v/>
      </c>
      <c r="M12" s="8"/>
      <c r="N12" s="8"/>
      <c r="O12" s="8"/>
      <c r="P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9" t="str">
        <f aca="false">IF(OR(J13="",K13=""),"",J13-K13)</f>
        <v/>
      </c>
      <c r="M13" s="8"/>
      <c r="N13" s="8"/>
      <c r="O13" s="8"/>
      <c r="P13" s="8"/>
    </row>
    <row r="14" customFormat="false" ht="21.75" hidden="false" customHeight="true" outlineLevel="0" collapsed="false">
      <c r="A14" s="10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11" t="str">
        <f aca="false">IF(OR(J14="",K14=""),"",J14-K14)</f>
        <v/>
      </c>
      <c r="M14" s="8"/>
      <c r="N14" s="8"/>
      <c r="O14" s="8"/>
      <c r="P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9" t="str">
        <f aca="false">IF(OR(J15="",K15=""),"",J15-K15)</f>
        <v/>
      </c>
      <c r="M15" s="8"/>
      <c r="N15" s="8"/>
      <c r="O15" s="8"/>
      <c r="P15" s="8"/>
    </row>
    <row r="16" customFormat="false" ht="21.75" hidden="false" customHeight="true" outlineLevel="0" collapsed="false">
      <c r="A16" s="10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11" t="str">
        <f aca="false">IF(OR(J16="",K16=""),"",J16-K16)</f>
        <v/>
      </c>
      <c r="M16" s="8"/>
      <c r="N16" s="8"/>
      <c r="O16" s="8"/>
      <c r="P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9" t="str">
        <f aca="false">IF(OR(J17="",K17=""),"",J17-K17)</f>
        <v/>
      </c>
      <c r="M17" s="8"/>
      <c r="N17" s="8"/>
      <c r="O17" s="8"/>
      <c r="P17" s="8"/>
    </row>
    <row r="18" customFormat="false" ht="21.75" hidden="false" customHeight="true" outlineLevel="0" collapsed="false">
      <c r="A18" s="10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11" t="str">
        <f aca="false">IF(OR(J18="",K18=""),"",J18-K18)</f>
        <v/>
      </c>
      <c r="M18" s="8"/>
      <c r="N18" s="8"/>
      <c r="O18" s="8"/>
      <c r="P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9" t="str">
        <f aca="false">IF(OR(J19="",K19=""),"",J19-K19)</f>
        <v/>
      </c>
      <c r="M19" s="8"/>
      <c r="N19" s="8"/>
      <c r="O19" s="8"/>
      <c r="P19" s="8"/>
    </row>
    <row r="20" customFormat="false" ht="21.75" hidden="false" customHeight="true" outlineLevel="0" collapsed="false">
      <c r="A20" s="10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11" t="str">
        <f aca="false">IF(OR(J20="",K20=""),"",J20-K20)</f>
        <v/>
      </c>
      <c r="M20" s="8"/>
      <c r="N20" s="8"/>
      <c r="O20" s="8"/>
      <c r="P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9" t="str">
        <f aca="false">IF(OR(J21="",K21=""),"",J21-K21)</f>
        <v/>
      </c>
      <c r="M21" s="8"/>
      <c r="N21" s="8"/>
      <c r="O21" s="8"/>
      <c r="P21" s="8"/>
    </row>
    <row r="22" customFormat="false" ht="21.75" hidden="false" customHeight="true" outlineLevel="0" collapsed="false">
      <c r="A22" s="10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11" t="str">
        <f aca="false">IF(OR(J22="",K22=""),"",J22-K22)</f>
        <v/>
      </c>
      <c r="M22" s="8"/>
      <c r="N22" s="8"/>
      <c r="O22" s="8"/>
      <c r="P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9" t="str">
        <f aca="false">IF(OR(J23="",K23=""),"",J23-K23)</f>
        <v/>
      </c>
      <c r="M23" s="8"/>
      <c r="N23" s="8"/>
      <c r="O23" s="8"/>
      <c r="P23" s="8"/>
    </row>
    <row r="24" customFormat="false" ht="21.75" hidden="false" customHeight="true" outlineLevel="0" collapsed="false">
      <c r="A24" s="10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11" t="str">
        <f aca="false">IF(OR(J24="",K24=""),"",J24-K24)</f>
        <v/>
      </c>
      <c r="M24" s="8"/>
      <c r="N24" s="8"/>
      <c r="O24" s="8"/>
      <c r="P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9" t="str">
        <f aca="false">IF(OR(J25="",K25=""),"",J25-K25)</f>
        <v/>
      </c>
      <c r="M25" s="8"/>
      <c r="N25" s="8"/>
      <c r="O25" s="8"/>
      <c r="P25" s="8"/>
    </row>
    <row r="26" customFormat="false" ht="21.75" hidden="false" customHeight="true" outlineLevel="0" collapsed="false">
      <c r="A26" s="10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11" t="str">
        <f aca="false">IF(OR(J26="",K26=""),"",J26-K26)</f>
        <v/>
      </c>
      <c r="M26" s="8"/>
      <c r="N26" s="8"/>
      <c r="O26" s="8"/>
      <c r="P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9" t="str">
        <f aca="false">IF(OR(J27="",K27=""),"",J27-K27)</f>
        <v/>
      </c>
      <c r="M27" s="8"/>
      <c r="N27" s="8"/>
      <c r="O27" s="8"/>
      <c r="P27" s="8"/>
    </row>
    <row r="28" customFormat="false" ht="21.75" hidden="false" customHeight="true" outlineLevel="0" collapsed="false">
      <c r="A28" s="10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11" t="str">
        <f aca="false">IF(OR(J28="",K28=""),"",J28-K28)</f>
        <v/>
      </c>
      <c r="M28" s="8"/>
      <c r="N28" s="8"/>
      <c r="O28" s="8"/>
      <c r="P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9" t="str">
        <f aca="false">IF(OR(J29="",K29=""),"",J29-K29)</f>
        <v/>
      </c>
      <c r="M29" s="8"/>
      <c r="N29" s="8"/>
      <c r="O29" s="8"/>
      <c r="P29" s="8"/>
    </row>
    <row r="30" customFormat="false" ht="21.75" hidden="false" customHeight="true" outlineLevel="0" collapsed="false">
      <c r="A30" s="10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11" t="str">
        <f aca="false">IF(OR(J30="",K30=""),"",J30-K30)</f>
        <v/>
      </c>
      <c r="M30" s="8"/>
      <c r="N30" s="8"/>
      <c r="O30" s="8"/>
      <c r="P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9" t="str">
        <f aca="false">IF(OR(J31="",K31=""),"",J31-K31)</f>
        <v/>
      </c>
      <c r="M31" s="8"/>
      <c r="N31" s="8"/>
      <c r="O31" s="8"/>
      <c r="P31" s="8"/>
    </row>
    <row r="33" customFormat="false" ht="15" hidden="false" customHeight="true" outlineLevel="0" collapsed="false">
      <c r="A33" s="12" t="s">
        <v>22</v>
      </c>
      <c r="B33" s="12"/>
      <c r="C33" s="12"/>
    </row>
    <row r="34" customFormat="false" ht="15" hidden="false" customHeight="true" outlineLevel="0" collapsed="false">
      <c r="A34" s="4" t="s">
        <v>23</v>
      </c>
      <c r="B34" s="4"/>
      <c r="C34" s="13" t="n">
        <f aca="false">COUNTA(C7:C31)</f>
        <v>0</v>
      </c>
    </row>
    <row r="35" customFormat="false" ht="15" hidden="false" customHeight="true" outlineLevel="0" collapsed="false">
      <c r="A35" s="4" t="s">
        <v>24</v>
      </c>
      <c r="B35" s="4"/>
      <c r="C35" s="13" t="n">
        <f aca="false">COUNTIF(N7:N31,"Pass")</f>
        <v>0</v>
      </c>
    </row>
    <row r="36" customFormat="false" ht="15" hidden="false" customHeight="true" outlineLevel="0" collapsed="false">
      <c r="A36" s="4" t="s">
        <v>25</v>
      </c>
      <c r="B36" s="4"/>
      <c r="C36" s="13" t="n">
        <f aca="false">COUNTIF(N7:N31,"Fail")</f>
        <v>0</v>
      </c>
    </row>
  </sheetData>
  <autoFilter ref="A6:P31"/>
  <mergeCells count="9">
    <mergeCell ref="A1:P1"/>
    <mergeCell ref="A2:P2"/>
    <mergeCell ref="A3:P3"/>
    <mergeCell ref="B4:D4"/>
    <mergeCell ref="F4:H4"/>
    <mergeCell ref="A33:C33"/>
    <mergeCell ref="A34:B34"/>
    <mergeCell ref="A35:B35"/>
    <mergeCell ref="A36:B36"/>
  </mergeCells>
  <conditionalFormatting sqref="N7:N31">
    <cfRule type="cellIs" priority="2" operator="equal" aboveAverage="0" equalAverage="0" bottom="0" percent="0" rank="0" text="" dxfId="6">
      <formula>"Pass"</formula>
    </cfRule>
    <cfRule type="cellIs" priority="3" operator="equal" aboveAverage="0" equalAverage="0" bottom="0" percent="0" rank="0" text="" dxfId="7">
      <formula>"Fail"</formula>
    </cfRule>
  </conditionalFormatting>
  <dataValidations count="2">
    <dataValidation allowBlank="true" errorStyle="stop" operator="between" showDropDown="false" showErrorMessage="false" showInputMessage="false" sqref="E7:E31" type="list">
      <formula1>"Ductile Iron,HDPE,PVC-U,GRP,Steel,Concrete,Other"</formula1>
      <formula2>0</formula2>
    </dataValidation>
    <dataValidation allowBlank="true" errorStyle="stop" operator="between" showDropDown="false" showErrorMessage="false" showInputMessage="false" sqref="N7:N31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26</v>
      </c>
      <c r="B2" s="2"/>
    </row>
    <row r="4" customFormat="false" ht="15" hidden="false" customHeight="false" outlineLevel="0" collapsed="false">
      <c r="B4" s="12" t="s">
        <v>27</v>
      </c>
    </row>
    <row r="5" customFormat="false" ht="15" hidden="false" customHeight="false" outlineLevel="0" collapsed="false">
      <c r="B5" s="14"/>
    </row>
    <row r="6" customFormat="false" ht="15" hidden="false" customHeight="false" outlineLevel="0" collapsed="false">
      <c r="B6" s="14" t="s">
        <v>28</v>
      </c>
    </row>
    <row r="7" customFormat="false" ht="15" hidden="false" customHeight="false" outlineLevel="0" collapsed="false">
      <c r="B7" s="14" t="s">
        <v>29</v>
      </c>
    </row>
    <row r="8" customFormat="false" ht="15" hidden="false" customHeight="false" outlineLevel="0" collapsed="false">
      <c r="B8" s="14" t="s">
        <v>30</v>
      </c>
    </row>
    <row r="9" customFormat="false" ht="15" hidden="false" customHeight="false" outlineLevel="0" collapsed="false">
      <c r="B9" s="14"/>
    </row>
    <row r="10" customFormat="false" ht="15" hidden="false" customHeight="false" outlineLevel="0" collapsed="false">
      <c r="B10" s="12" t="s">
        <v>31</v>
      </c>
    </row>
    <row r="11" customFormat="false" ht="15" hidden="false" customHeight="false" outlineLevel="0" collapsed="false">
      <c r="B11" s="3" t="s">
        <v>32</v>
      </c>
    </row>
    <row r="12" customFormat="false" ht="15" hidden="false" customHeight="false" outlineLevel="0" collapsed="false">
      <c r="B12" s="3" t="s">
        <v>33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2026-03-27T17:37:39Z</dcterms:created>
  <dc:creator>openpyxl</dc:creator>
  <dc:description/>
  <dc:language>en-US</dc:language>
  <cp:lastModifiedBy/>
  <dcterms:modified xsi:type="dcterms:W3CDTF">2026-03-27T17:37:39Z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