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Setting Out Checks" sheetId="3" state="visible" r:id="rId5"/>
    <sheet name="Terms of Use" sheetId="4" state="hidden" r:id="rId6"/>
  </sheets>
  <definedNames>
    <definedName function="false" hidden="false" localSheetId="0" name="_xlnm.Print_Area" vbProcedure="false">Cover!$A$1:$H$20</definedName>
    <definedName function="false" hidden="false" localSheetId="2" name="_xlnm.Print_Area" vbProcedure="false">'Setting Out Checks'!$A$1:$O$60</definedName>
    <definedName function="false" hidden="true" localSheetId="2" name="_xlnm._FilterDatabase" vbProcedure="false">'Setting Out Checks'!$A$9:$R$60</definedName>
    <definedName function="false" hidden="false" name="DataTable" vbProcedure="false">'Setting Out Checks'!$A$9:$R$60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<sst xmlns="http://schemas.openxmlformats.org/spreadsheetml/2006/main" count="107" uniqueCount="96">
  <si>
    <t xml:space="preserve">EBRORA</t>
  </si>
  <si>
    <t xml:space="preserve">ebrora.com</t>
  </si>
  <si>
    <t xml:space="preserve">Survey / Setting Out
Check Register</t>
  </si>
  <si>
    <t xml:space="preserve">Verify as-built positions against design coordinates with automatic deviation calculation and tolerance checking.</t>
  </si>
  <si>
    <t xml:space="preserve">This is a free template from Ebrora.
For our full range of professional-grade construction management tools,
visit ebrora.com</t>
  </si>
  <si>
    <t xml:space="preserve">© Ebrora 2026 — All rights reserved</t>
  </si>
  <si>
    <t xml:space="preserve">How to Use This Template</t>
  </si>
  <si>
    <t xml:space="preserve">Step-by-Step Instructions</t>
  </si>
  <si>
    <t xml:space="preserve">1. Go to the 'Setting Out Checks' sheet. The summary panel shows live accuracy statistics.</t>
  </si>
  <si>
    <t xml:space="preserve">2. The column layout splits into three banded sections: Design Coordinates, As-Built Coordinates, and Deviation Analysis.</t>
  </si>
  <si>
    <t xml:space="preserve">3. Enter each survey point with its reference, description, and the design Easting, Northing, and Level from your drawings.</t>
  </si>
  <si>
    <t xml:space="preserve">4. After the setting out check, enter the as-built Easting, Northing, and Level from the total station / GPS readout.</t>
  </si>
  <si>
    <t xml:space="preserve">5. Plan Deviation (mm) auto-calculates using Pythagoras — the horizontal distance between design and as-built positions.</t>
  </si>
  <si>
    <t xml:space="preserve">6. Level Deviation (mm) auto-calculates as the absolute vertical difference × 1000.</t>
  </si>
  <si>
    <t xml:space="preserve">7. Enter the tolerance (mm) for the element — this varies by element type (foundations ±25mm, steelwork ±5mm, etc.).</t>
  </si>
  <si>
    <t xml:space="preserve">8. The 'Within Tolerance' column flags OK (both deviations within limit) or OVER (either exceeds tolerance).</t>
  </si>
  <si>
    <t xml:space="preserve">Colour Key</t>
  </si>
  <si>
    <t xml:space="preserve">Light teal cells</t>
  </si>
  <si>
    <t xml:space="preserve">Editable — enter your data</t>
  </si>
  <si>
    <t xml:space="preserve">Dark navy headers</t>
  </si>
  <si>
    <t xml:space="preserve">Do not edit</t>
  </si>
  <si>
    <t xml:space="preserve">Teal band</t>
  </si>
  <si>
    <t xml:space="preserve">Section group header</t>
  </si>
  <si>
    <t xml:space="preserve">Green fill</t>
  </si>
  <si>
    <t xml:space="preserve">OK — within tolerance</t>
  </si>
  <si>
    <t xml:space="preserve">Red fill</t>
  </si>
  <si>
    <t xml:space="preserve">OVER — exceeds tolerance</t>
  </si>
  <si>
    <t xml:space="preserve">Tips</t>
  </si>
  <si>
    <t xml:space="preserve">• Always verify the instrument calibration certificate is current before taking measurements.</t>
  </si>
  <si>
    <t xml:space="preserve">• Record the total station / GPS setup position and backsight reference for traceability.</t>
  </si>
  <si>
    <t xml:space="preserve">• Typical tolerances: foundations ±25mm plan / ±15mm level; steelwork ±5mm; RC walls ±15mm — always check your project spec.</t>
  </si>
  <si>
    <t xml:space="preserve">SURVEY / SETTING OUT CHECK REGISTER</t>
  </si>
  <si>
    <t xml:space="preserve">Total Points</t>
  </si>
  <si>
    <t xml:space="preserve">Checked</t>
  </si>
  <si>
    <t xml:space="preserve">Within Tol.</t>
  </si>
  <si>
    <t xml:space="preserve">Over Tol.</t>
  </si>
  <si>
    <t xml:space="preserve">Compliance</t>
  </si>
  <si>
    <t xml:space="preserve">Max Plan Dev</t>
  </si>
  <si>
    <t xml:space="preserve">Max Level Dev</t>
  </si>
  <si>
    <t xml:space="preserve">mm</t>
  </si>
  <si>
    <t xml:space="preserve">IDENTIFICATION</t>
  </si>
  <si>
    <t xml:space="preserve">DESIGN COORDINATES</t>
  </si>
  <si>
    <t xml:space="preserve">AS-BUILT COORDINATES</t>
  </si>
  <si>
    <t xml:space="preserve">DEVIATION ANALYSIS</t>
  </si>
  <si>
    <t xml:space="preserve">SIGN-OFF</t>
  </si>
  <si>
    <t xml:space="preserve">▸ Optional</t>
  </si>
  <si>
    <t xml:space="preserve">Point
Ref</t>
  </si>
  <si>
    <t xml:space="preserve">Date</t>
  </si>
  <si>
    <t xml:space="preserve">Element / Description</t>
  </si>
  <si>
    <t xml:space="preserve">Design
Easting</t>
  </si>
  <si>
    <t xml:space="preserve">Design
Northing</t>
  </si>
  <si>
    <t xml:space="preserve">Design
Level (m)</t>
  </si>
  <si>
    <t xml:space="preserve">As-Built
Easting</t>
  </si>
  <si>
    <t xml:space="preserve">As-Built
Northing</t>
  </si>
  <si>
    <t xml:space="preserve">As-Built
Level (m)</t>
  </si>
  <si>
    <t xml:space="preserve">Plan Dev
(mm)</t>
  </si>
  <si>
    <t xml:space="preserve">Level Dev
(mm)</t>
  </si>
  <si>
    <t xml:space="preserve">Tolerance
(mm)</t>
  </si>
  <si>
    <t xml:space="preserve">Within
Tolerance</t>
  </si>
  <si>
    <t xml:space="preserve">Checked By</t>
  </si>
  <si>
    <t xml:space="preserve">Notes</t>
  </si>
  <si>
    <t xml:space="preserve">Instrument</t>
  </si>
  <si>
    <t xml:space="preserve">Setup
Ref</t>
  </si>
  <si>
    <t xml:space="preserve">Weather</t>
  </si>
  <si>
    <t xml:space="preserve">SP-001</t>
  </si>
  <si>
    <t xml:space="preserve">Pad Foundation PF-01 (NE Corner)</t>
  </si>
  <si>
    <t xml:space="preserve">R. Khan</t>
  </si>
  <si>
    <t xml:space="preserve">Within spec</t>
  </si>
  <si>
    <t xml:space="preserve">Leica TS16</t>
  </si>
  <si>
    <t xml:space="preserve">STN-A01</t>
  </si>
  <si>
    <t xml:space="preserve">Clear</t>
  </si>
  <si>
    <t xml:space="preserve">SP-002</t>
  </si>
  <si>
    <t xml:space="preserve">Column C3 Base Plate (Centre)</t>
  </si>
  <si>
    <t xml:space="preserve">SP-003</t>
  </si>
  <si>
    <t xml:space="preserve">RC Wall W2 (Top of Kicker)</t>
  </si>
  <si>
    <t xml:space="preserve">S. Okonkwo</t>
  </si>
  <si>
    <t xml:space="preserve">Check formwork alignment</t>
  </si>
  <si>
    <t xml:space="preserve">STN-A02</t>
  </si>
  <si>
    <t xml:space="preserve">Overcast</t>
  </si>
  <si>
    <t xml:space="preserve">SP-004</t>
  </si>
  <si>
    <t xml:space="preserve">Manhole MH-04 (Invert)</t>
  </si>
  <si>
    <t xml:space="preserve">Trimble R12</t>
  </si>
  <si>
    <t xml:space="preserve">GPS-01</t>
  </si>
  <si>
    <t xml:space="preserve">Light rain</t>
  </si>
  <si>
    <t xml:space="preserve">SP-005</t>
  </si>
  <si>
    <t xml:space="preserve">Steel Base Plate BP-07 (Centre)</t>
  </si>
  <si>
    <t xml:space="preserve">Over tolerance — reposition required</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</si>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</sst>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6">
    <numFmt numFmtId="164" formatCode="General"/>
    <numFmt numFmtId="165" formatCode="General"/>
    <numFmt numFmtId="166" formatCode="0%"/>
    <numFmt numFmtId="167" formatCode="0.0"/>
    <numFmt numFmtId="168" formatCode="dd/mm/yyyy"/>
    <numFmt numFmtId="169" formatCode="0.000"/>
  </numFmts>
  <fonts count="23">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2AABB3"/>
      <name val="Calibri"/>
      <family val="0"/>
      <charset val="1"/>
    </font>
    <font>
      <sz val="10"/>
      <color rgb="FF1B2A4A"/>
      <name val="Calibri"/>
      <family val="0"/>
      <charset val="1"/>
    </font>
    <font>
      <b val="true"/>
      <sz val="10"/>
      <color rgb="FF1B2A4A"/>
      <name val="Calibri"/>
      <family val="0"/>
      <charset val="1"/>
    </font>
    <font>
      <b val="true"/>
      <sz val="14"/>
      <color rgb="FFFFFFFF"/>
      <name val="Calibri"/>
      <family val="0"/>
      <charset val="1"/>
    </font>
    <font>
      <b val="true"/>
      <sz val="10"/>
      <color rgb="FF2AABB3"/>
      <name val="Calibri"/>
      <family val="0"/>
      <charset val="1"/>
    </font>
    <font>
      <b val="true"/>
      <sz val="16"/>
      <color rgb="FF1B2A4A"/>
      <name val="Calibri"/>
      <family val="0"/>
      <charset val="1"/>
    </font>
    <font>
      <b val="true"/>
      <sz val="16"/>
      <color rgb="FF006100"/>
      <name val="Calibri"/>
      <family val="0"/>
      <charset val="1"/>
    </font>
    <font>
      <b val="true"/>
      <sz val="16"/>
      <color rgb="FF9C0006"/>
      <name val="Calibri"/>
      <family val="0"/>
      <charset val="1"/>
    </font>
    <font>
      <sz val="9"/>
      <color rgb="FF8C8C8C"/>
      <name val="Calibri"/>
      <family val="0"/>
      <charset val="1"/>
    </font>
    <font>
      <b val="true"/>
      <sz val="10"/>
      <color rgb="FFFFFFFF"/>
      <name val="Calibri"/>
      <family val="0"/>
      <charset val="1"/>
    </font>
    <font>
      <i val="true"/>
      <sz val="9"/>
      <color rgb="FFFFFFFF"/>
      <name val="Calibri"/>
      <family val="0"/>
      <charset val="1"/>
    </font>
    <font>
      <b val="true"/>
      <sz val="11"/>
      <color rgb="FFFFFFFF"/>
      <name val="Calibri"/>
      <family val="0"/>
      <charset val="1"/>
    </font>
  </fonts>
  <fills count="8">
    <fill>
      <patternFill patternType="none"/>
    </fill>
    <fill>
      <patternFill patternType="gray125"/>
    </fill>
    <fill>
      <patternFill patternType="solid">
        <fgColor rgb="FF1B2A4A"/>
        <bgColor rgb="FF003366"/>
      </patternFill>
    </fill>
    <fill>
      <patternFill patternType="solid">
        <fgColor rgb="FFFFFFFF"/>
        <bgColor rgb="FFE8F6F7"/>
      </patternFill>
    </fill>
    <fill>
      <patternFill patternType="solid">
        <fgColor rgb="FFE8F6F7"/>
        <bgColor rgb="FFFFFFFF"/>
      </patternFill>
    </fill>
    <fill>
      <patternFill patternType="solid">
        <fgColor rgb="FF2AABB3"/>
        <bgColor rgb="FF339966"/>
      </patternFill>
    </fill>
    <fill>
      <patternFill patternType="solid">
        <fgColor rgb="FFC6EFCE"/>
        <bgColor rgb="FFCCFFFF"/>
      </patternFill>
    </fill>
    <fill>
      <patternFill patternType="solid">
        <fgColor rgb="FFFFC7CE"/>
        <bgColor rgb="FFCCCCFF"/>
      </patternFill>
    </fill>
  </fills>
  <borders count="3">
    <border diagonalUp="false" diagonalDown="false">
      <left/>
      <right/>
      <top/>
      <bottom/>
      <diagonal/>
    </border>
    <border diagonalUp="false" diagonalDown="false">
      <left style="thin">
        <color rgb="FF1B2A4A"/>
      </left>
      <right style="thin">
        <color rgb="FF1B2A4A"/>
      </right>
      <top style="thin">
        <color rgb="FF1B2A4A"/>
      </top>
      <bottom style="thin">
        <color rgb="FF1B2A4A"/>
      </bottom>
      <diagonal/>
    </border>
    <border diagonalUp="false" diagonalDown="false">
      <left/>
      <right/>
      <top/>
      <bottom style="medium">
        <color rgb="FF2AABB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8" fillId="4" borderId="0"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0" fillId="7" borderId="1" xfId="0" applyFont="false" applyBorder="true" applyAlignment="false" applyProtection="false">
      <alignment horizontal="general" vertical="bottom" textRotation="0" wrapText="false" indent="0" shrinkToFit="false"/>
      <protection locked="true" hidden="false"/>
    </xf>
    <xf numFmtId="164" fontId="14" fillId="2" borderId="0" xfId="0" applyFont="true" applyBorder="true" applyAlignment="true" applyProtection="false">
      <alignment horizontal="center" vertical="center"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center" vertical="center" textRotation="0" wrapText="true" indent="0" shrinkToFit="false"/>
      <protection locked="true" hidden="false"/>
    </xf>
    <xf numFmtId="165" fontId="16" fillId="0" borderId="0" xfId="0" applyFont="true" applyBorder="false" applyAlignment="true" applyProtection="false">
      <alignment horizontal="center" vertical="center" textRotation="0" wrapText="true" indent="0" shrinkToFit="false"/>
      <protection locked="true" hidden="false"/>
    </xf>
    <xf numFmtId="165" fontId="17" fillId="0" borderId="0" xfId="0" applyFont="true" applyBorder="false" applyAlignment="true" applyProtection="false">
      <alignment horizontal="center" vertical="center" textRotation="0" wrapText="true" indent="0" shrinkToFit="false"/>
      <protection locked="true" hidden="false"/>
    </xf>
    <xf numFmtId="165" fontId="18" fillId="0" borderId="0" xfId="0" applyFont="true" applyBorder="false" applyAlignment="true" applyProtection="false">
      <alignment horizontal="center" vertical="center" textRotation="0" wrapText="true" indent="0" shrinkToFit="false"/>
      <protection locked="true" hidden="false"/>
    </xf>
    <xf numFmtId="166" fontId="16" fillId="0" borderId="0" xfId="0" applyFont="true" applyBorder="false" applyAlignment="true" applyProtection="false">
      <alignment horizontal="center" vertical="center" textRotation="0" wrapText="true" indent="0" shrinkToFit="false"/>
      <protection locked="true" hidden="false"/>
    </xf>
    <xf numFmtId="167" fontId="16" fillId="0" borderId="0" xfId="0" applyFont="true" applyBorder="false" applyAlignment="true" applyProtection="false">
      <alignment horizontal="center" vertical="center" textRotation="0" wrapText="tru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20" fillId="5" borderId="0" xfId="0" applyFont="true" applyBorder="true" applyAlignment="true" applyProtection="false">
      <alignment horizontal="center" vertical="center" textRotation="0" wrapText="true" indent="0" shrinkToFit="false"/>
      <protection locked="true" hidden="false"/>
    </xf>
    <xf numFmtId="164" fontId="21" fillId="5" borderId="0" xfId="0" applyFont="true" applyBorder="true" applyAlignment="true" applyProtection="false">
      <alignment horizontal="center" vertical="center" textRotation="0" wrapText="true" indent="0" shrinkToFit="false"/>
      <protection locked="true" hidden="false"/>
    </xf>
    <xf numFmtId="164" fontId="22" fillId="2"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center" vertical="center" textRotation="0" wrapText="true" indent="0" shrinkToFit="false"/>
      <protection locked="true" hidden="false"/>
    </xf>
    <xf numFmtId="168" fontId="12" fillId="4"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left" vertical="center" textRotation="0" wrapText="true" indent="0" shrinkToFit="false"/>
      <protection locked="true" hidden="false"/>
    </xf>
    <xf numFmtId="169" fontId="12" fillId="4" borderId="1" xfId="0" applyFont="true" applyBorder="true" applyAlignment="true" applyProtection="false">
      <alignment horizontal="center" vertical="center" textRotation="0" wrapText="true" indent="0" shrinkToFit="false"/>
      <protection locked="true" hidden="false"/>
    </xf>
    <xf numFmtId="167" fontId="12" fillId="3" borderId="1" xfId="0" applyFont="true" applyBorder="true" applyAlignment="true" applyProtection="false">
      <alignment horizontal="center" vertical="center" textRotation="0" wrapText="true" indent="0" shrinkToFit="false"/>
      <protection locked="true" hidden="false"/>
    </xf>
    <xf numFmtId="164" fontId="12" fillId="3" borderId="1"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B2A4A"/>
          <bgColor rgb="FF000000"/>
        </patternFill>
      </fill>
    </dxf>
    <dxf>
      <fill>
        <patternFill patternType="solid">
          <fgColor rgb="FFE8F6F7"/>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9C0006"/>
          <bgColor rgb="FF000000"/>
        </patternFill>
      </fill>
    </dxf>
    <dxf>
      <fill>
        <patternFill patternType="solid">
          <fgColor rgb="FF006100"/>
          <bgColor rgb="FF000000"/>
        </patternFill>
      </fill>
    </dxf>
    <dxf>
      <font>
        <name val="Calibri"/>
        <charset val="1"/>
        <family val="0"/>
        <b val="1"/>
        <color rgb="FF006100"/>
      </font>
      <fill>
        <patternFill>
          <bgColor rgb="FFC6EFCE"/>
        </patternFill>
      </fill>
    </dxf>
    <dxf>
      <font>
        <name val="Calibri"/>
        <charset val="1"/>
        <family val="0"/>
        <b val="1"/>
        <color rgb="FF9C0006"/>
      </font>
      <fill>
        <patternFill>
          <bgColor rgb="FFFFC7CE"/>
        </patternFill>
      </fill>
    </dxf>
    <dxf>
      <fill>
        <patternFill>
          <bgColor rgb="FFC6EF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C0C0C0"/>
      <rgbColor rgb="FF808080"/>
      <rgbColor rgb="FF9999FF"/>
      <rgbColor rgb="FF993366"/>
      <rgbColor rgb="FFFFFFCC"/>
      <rgbColor rgb="FFE8F6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H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15" hidden="false" customHeight="true" outlineLevel="0" collapsed="false">
      <c r="A1" s="1" t="s">
        <v>0</v>
      </c>
      <c r="B1" s="1"/>
      <c r="C1" s="1"/>
      <c r="D1" s="1"/>
      <c r="E1" s="1"/>
      <c r="F1" s="1"/>
      <c r="G1" s="1"/>
      <c r="H1" s="1"/>
    </row>
    <row r="2" customFormat="false" ht="15" hidden="false" customHeight="false" outlineLevel="0" collapsed="false">
      <c r="A2" s="1"/>
      <c r="B2" s="1"/>
      <c r="C2" s="1"/>
      <c r="D2" s="1"/>
      <c r="E2" s="1"/>
      <c r="F2" s="1"/>
      <c r="G2" s="1"/>
      <c r="H2" s="1"/>
    </row>
    <row r="3" customFormat="false" ht="15" hidden="false" customHeight="false" outlineLevel="0" collapsed="false">
      <c r="A3" s="1"/>
      <c r="B3" s="1"/>
      <c r="C3" s="1"/>
      <c r="D3" s="1"/>
      <c r="E3" s="1"/>
      <c r="F3" s="1"/>
      <c r="G3" s="1"/>
      <c r="H3" s="1"/>
    </row>
    <row r="4" customFormat="false" ht="15" hidden="false" customHeight="true" outlineLevel="0" collapsed="false">
      <c r="A4" s="2" t="s">
        <v>1</v>
      </c>
      <c r="B4" s="2"/>
      <c r="C4" s="2"/>
      <c r="D4" s="2"/>
      <c r="E4" s="2"/>
      <c r="F4" s="2"/>
      <c r="G4" s="2"/>
      <c r="H4" s="2"/>
    </row>
    <row r="5" customFormat="false" ht="15" hidden="false" customHeight="false" outlineLevel="0" collapsed="false">
      <c r="A5" s="3"/>
      <c r="B5" s="3"/>
      <c r="C5" s="3"/>
      <c r="D5" s="3"/>
      <c r="E5" s="3"/>
      <c r="F5" s="3"/>
      <c r="G5" s="3"/>
      <c r="H5" s="3"/>
    </row>
    <row r="6" customFormat="false" ht="15" hidden="false" customHeight="true" outlineLevel="0" collapsed="false">
      <c r="A6" s="4" t="s">
        <v>2</v>
      </c>
      <c r="B6" s="4"/>
      <c r="C6" s="4"/>
      <c r="D6" s="4"/>
      <c r="E6" s="4"/>
      <c r="F6" s="4"/>
      <c r="G6" s="4"/>
      <c r="H6" s="4"/>
    </row>
    <row r="7" customFormat="false" ht="15" hidden="false" customHeight="false" outlineLevel="0" collapsed="false">
      <c r="A7" s="4"/>
      <c r="B7" s="4"/>
      <c r="C7" s="4"/>
      <c r="D7" s="4"/>
      <c r="E7" s="4"/>
      <c r="F7" s="4"/>
      <c r="G7" s="4"/>
      <c r="H7" s="4"/>
    </row>
    <row r="8" customFormat="false" ht="15" hidden="false" customHeight="false" outlineLevel="0" collapsed="false">
      <c r="A8" s="4"/>
      <c r="B8" s="4"/>
      <c r="C8" s="4"/>
      <c r="D8" s="4"/>
      <c r="E8" s="4"/>
      <c r="F8" s="4"/>
      <c r="G8" s="4"/>
      <c r="H8" s="4"/>
    </row>
    <row r="9" customFormat="false" ht="15" hidden="false" customHeight="false" outlineLevel="0" collapsed="false">
      <c r="A9" s="3"/>
      <c r="B9" s="3"/>
      <c r="C9" s="3"/>
      <c r="D9" s="3"/>
      <c r="E9" s="3"/>
      <c r="F9" s="3"/>
      <c r="G9" s="3"/>
      <c r="H9" s="3"/>
    </row>
    <row r="10" customFormat="false" ht="15" hidden="false" customHeight="true" outlineLevel="0" collapsed="false">
      <c r="A10" s="5" t="s">
        <v>3</v>
      </c>
      <c r="B10" s="5"/>
      <c r="C10" s="5"/>
      <c r="D10" s="5"/>
      <c r="E10" s="5"/>
      <c r="F10" s="5"/>
      <c r="G10" s="5"/>
      <c r="H10" s="5"/>
    </row>
    <row r="11" customFormat="false" ht="15" hidden="false" customHeight="false" outlineLevel="0" collapsed="false">
      <c r="A11" s="5"/>
      <c r="B11" s="5"/>
      <c r="C11" s="5"/>
      <c r="D11" s="5"/>
      <c r="E11" s="5"/>
      <c r="F11" s="5"/>
      <c r="G11" s="5"/>
      <c r="H11" s="5"/>
    </row>
    <row r="12" customFormat="false" ht="15" hidden="false" customHeight="false" outlineLevel="0" collapsed="false">
      <c r="A12" s="3"/>
      <c r="B12" s="3"/>
      <c r="C12" s="3"/>
      <c r="D12" s="3"/>
      <c r="E12" s="3"/>
      <c r="F12" s="3"/>
      <c r="G12" s="3"/>
      <c r="H12" s="3"/>
    </row>
    <row r="13" customFormat="false" ht="15" hidden="false" customHeight="false" outlineLevel="0" collapsed="false">
      <c r="A13" s="3"/>
      <c r="B13" s="3"/>
      <c r="C13" s="3"/>
      <c r="D13" s="3"/>
      <c r="E13" s="3"/>
      <c r="F13" s="3"/>
      <c r="G13" s="3"/>
      <c r="H13" s="3"/>
    </row>
    <row r="14" customFormat="false" ht="15" hidden="false" customHeight="true" outlineLevel="0" collapsed="false">
      <c r="A14" s="6" t="s">
        <v>4</v>
      </c>
      <c r="B14" s="6"/>
      <c r="C14" s="6"/>
      <c r="D14" s="6"/>
      <c r="E14" s="6"/>
      <c r="F14" s="6"/>
      <c r="G14" s="6"/>
      <c r="H14" s="6"/>
    </row>
    <row r="15" customFormat="false" ht="15" hidden="false" customHeight="false" outlineLevel="0" collapsed="false">
      <c r="A15" s="6"/>
      <c r="B15" s="6"/>
      <c r="C15" s="6"/>
      <c r="D15" s="6"/>
      <c r="E15" s="6"/>
      <c r="F15" s="6"/>
      <c r="G15" s="6"/>
      <c r="H15" s="6"/>
    </row>
    <row r="16" customFormat="false" ht="15" hidden="false" customHeight="false" outlineLevel="0" collapsed="false">
      <c r="A16" s="6"/>
      <c r="B16" s="6"/>
      <c r="C16" s="6"/>
      <c r="D16" s="6"/>
      <c r="E16" s="6"/>
      <c r="F16" s="6"/>
      <c r="G16" s="6"/>
      <c r="H16" s="6"/>
    </row>
    <row r="17" customFormat="false" ht="15" hidden="false" customHeight="false" outlineLevel="0" collapsed="false">
      <c r="A17" s="6"/>
      <c r="B17" s="6"/>
      <c r="C17" s="6"/>
      <c r="D17" s="6"/>
      <c r="E17" s="6"/>
      <c r="F17" s="6"/>
      <c r="G17" s="6"/>
      <c r="H17" s="6"/>
    </row>
    <row r="18" customFormat="false" ht="15" hidden="false" customHeight="false" outlineLevel="0" collapsed="false">
      <c r="A18" s="3"/>
      <c r="B18" s="3"/>
      <c r="C18" s="3"/>
      <c r="D18" s="3"/>
      <c r="E18" s="3"/>
      <c r="F18" s="3"/>
      <c r="G18" s="3"/>
      <c r="H18" s="3"/>
    </row>
    <row r="19" customFormat="false" ht="15" hidden="false" customHeight="true" outlineLevel="0" collapsed="false">
      <c r="A19" s="7" t="s">
        <v>5</v>
      </c>
      <c r="B19" s="7"/>
      <c r="C19" s="7"/>
      <c r="D19" s="7"/>
      <c r="E19" s="7"/>
      <c r="F19" s="7"/>
      <c r="G19" s="7"/>
      <c r="H19" s="7"/>
    </row>
    <row r="20" customFormat="false" ht="15" hidden="false" customHeight="false" outlineLevel="0" collapsed="false">
      <c r="A20" s="3"/>
      <c r="B20" s="3"/>
      <c r="C20" s="3"/>
      <c r="D20" s="3"/>
      <c r="E20" s="3"/>
      <c r="F20" s="3"/>
      <c r="G20" s="3"/>
      <c r="H20" s="3"/>
    </row>
    <row r="21" customFormat="false" ht="15" hidden="false" customHeight="false" outlineLevel="0" collapsed="false">
      <c r="A21" s="3"/>
      <c r="B21" s="3"/>
      <c r="C21" s="3"/>
      <c r="D21" s="3"/>
      <c r="E21" s="3"/>
      <c r="F21" s="3"/>
      <c r="G21" s="3"/>
      <c r="H21" s="3"/>
    </row>
    <row r="22" customFormat="false" ht="15" hidden="false" customHeight="false" outlineLevel="0" collapsed="false">
      <c r="A22" s="3"/>
      <c r="B22" s="3"/>
      <c r="C22" s="3"/>
      <c r="D22" s="3"/>
      <c r="E22" s="3"/>
      <c r="F22" s="3"/>
      <c r="G22" s="3"/>
      <c r="H22" s="3"/>
    </row>
    <row r="23" customFormat="false" ht="15" hidden="false" customHeight="false" outlineLevel="0" collapsed="false">
      <c r="A23" s="3"/>
      <c r="B23" s="3"/>
      <c r="C23" s="3"/>
      <c r="D23" s="3"/>
      <c r="E23" s="3"/>
      <c r="F23" s="3"/>
      <c r="G23" s="3"/>
      <c r="H23" s="3"/>
    </row>
    <row r="24" customFormat="false" ht="15" hidden="false" customHeight="false" outlineLevel="0" collapsed="false">
      <c r="A24" s="3"/>
      <c r="B24" s="3"/>
      <c r="C24" s="3"/>
      <c r="D24" s="3"/>
      <c r="E24" s="3"/>
      <c r="F24" s="3"/>
      <c r="G24" s="3"/>
      <c r="H24" s="3"/>
    </row>
  </sheetData>
  <mergeCells count="6">
    <mergeCell ref="A1:H3"/>
    <mergeCell ref="A4:H4"/>
    <mergeCell ref="A6:H8"/>
    <mergeCell ref="A10:H11"/>
    <mergeCell ref="A14: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F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6" min="2" style="0" width="22"/>
  </cols>
  <sheetData>
    <row r="1" customFormat="false" ht="17.35" hidden="false" customHeight="false" outlineLevel="0" collapsed="false">
      <c r="A1" s="8" t="s">
        <v>6</v>
      </c>
      <c r="B1" s="8"/>
      <c r="C1" s="8"/>
      <c r="D1" s="8"/>
      <c r="E1" s="8"/>
      <c r="F1" s="8"/>
    </row>
    <row r="3" customFormat="false" ht="15" hidden="false" customHeight="false" outlineLevel="0" collapsed="false">
      <c r="A3" s="9" t="s">
        <v>7</v>
      </c>
      <c r="B3" s="9"/>
      <c r="C3" s="9"/>
      <c r="D3" s="9"/>
      <c r="E3" s="9"/>
      <c r="F3" s="9"/>
    </row>
    <row r="4" customFormat="false" ht="30" hidden="false" customHeight="true" outlineLevel="0" collapsed="false">
      <c r="A4" s="10" t="s">
        <v>8</v>
      </c>
      <c r="B4" s="10"/>
      <c r="C4" s="10"/>
      <c r="D4" s="10"/>
      <c r="E4" s="10"/>
      <c r="F4" s="10"/>
    </row>
    <row r="5" customFormat="false" ht="30" hidden="false" customHeight="true" outlineLevel="0" collapsed="false">
      <c r="A5" s="10" t="s">
        <v>9</v>
      </c>
      <c r="B5" s="10"/>
      <c r="C5" s="10"/>
      <c r="D5" s="10"/>
      <c r="E5" s="10"/>
      <c r="F5" s="10"/>
    </row>
    <row r="6" customFormat="false" ht="30" hidden="false" customHeight="true" outlineLevel="0" collapsed="false">
      <c r="A6" s="10" t="s">
        <v>10</v>
      </c>
      <c r="B6" s="10"/>
      <c r="C6" s="10"/>
      <c r="D6" s="10"/>
      <c r="E6" s="10"/>
      <c r="F6" s="10"/>
    </row>
    <row r="7" customFormat="false" ht="30" hidden="false" customHeight="true" outlineLevel="0" collapsed="false">
      <c r="A7" s="10" t="s">
        <v>11</v>
      </c>
      <c r="B7" s="10"/>
      <c r="C7" s="10"/>
      <c r="D7" s="10"/>
      <c r="E7" s="10"/>
      <c r="F7" s="10"/>
    </row>
    <row r="8" customFormat="false" ht="30" hidden="false" customHeight="true" outlineLevel="0" collapsed="false">
      <c r="A8" s="10" t="s">
        <v>12</v>
      </c>
      <c r="B8" s="10"/>
      <c r="C8" s="10"/>
      <c r="D8" s="10"/>
      <c r="E8" s="10"/>
      <c r="F8" s="10"/>
    </row>
    <row r="9" customFormat="false" ht="30" hidden="false" customHeight="true" outlineLevel="0" collapsed="false">
      <c r="A9" s="10" t="s">
        <v>13</v>
      </c>
      <c r="B9" s="10"/>
      <c r="C9" s="10"/>
      <c r="D9" s="10"/>
      <c r="E9" s="10"/>
      <c r="F9" s="10"/>
    </row>
    <row r="10" customFormat="false" ht="30" hidden="false" customHeight="true" outlineLevel="0" collapsed="false">
      <c r="A10" s="10" t="s">
        <v>14</v>
      </c>
      <c r="B10" s="10"/>
      <c r="C10" s="10"/>
      <c r="D10" s="10"/>
      <c r="E10" s="10"/>
      <c r="F10" s="10"/>
    </row>
    <row r="11" customFormat="false" ht="30" hidden="false" customHeight="true" outlineLevel="0" collapsed="false">
      <c r="A11" s="10" t="s">
        <v>15</v>
      </c>
      <c r="B11" s="10"/>
      <c r="C11" s="10"/>
      <c r="D11" s="10"/>
      <c r="E11" s="10"/>
      <c r="F11" s="10"/>
    </row>
    <row r="13" customFormat="false" ht="15" hidden="false" customHeight="false" outlineLevel="0" collapsed="false">
      <c r="A13" s="9" t="s">
        <v>16</v>
      </c>
      <c r="B13" s="9"/>
      <c r="C13" s="9"/>
      <c r="D13" s="9"/>
      <c r="E13" s="9"/>
      <c r="F13" s="9"/>
    </row>
    <row r="14" customFormat="false" ht="15" hidden="false" customHeight="false" outlineLevel="0" collapsed="false">
      <c r="A14" s="11"/>
      <c r="B14" s="12" t="s">
        <v>17</v>
      </c>
      <c r="C14" s="12"/>
      <c r="D14" s="13" t="s">
        <v>18</v>
      </c>
      <c r="E14" s="13"/>
      <c r="F14" s="13"/>
    </row>
    <row r="15" customFormat="false" ht="15" hidden="false" customHeight="false" outlineLevel="0" collapsed="false">
      <c r="A15" s="14"/>
      <c r="B15" s="12" t="s">
        <v>19</v>
      </c>
      <c r="C15" s="12"/>
      <c r="D15" s="13" t="s">
        <v>20</v>
      </c>
      <c r="E15" s="13"/>
      <c r="F15" s="13"/>
    </row>
    <row r="16" customFormat="false" ht="15" hidden="false" customHeight="false" outlineLevel="0" collapsed="false">
      <c r="A16" s="15"/>
      <c r="B16" s="12" t="s">
        <v>21</v>
      </c>
      <c r="C16" s="12"/>
      <c r="D16" s="13" t="s">
        <v>22</v>
      </c>
      <c r="E16" s="13"/>
      <c r="F16" s="13"/>
    </row>
    <row r="17" customFormat="false" ht="15" hidden="false" customHeight="false" outlineLevel="0" collapsed="false">
      <c r="A17" s="16"/>
      <c r="B17" s="12" t="s">
        <v>23</v>
      </c>
      <c r="C17" s="12"/>
      <c r="D17" s="13" t="s">
        <v>24</v>
      </c>
      <c r="E17" s="13"/>
      <c r="F17" s="13"/>
    </row>
    <row r="18" customFormat="false" ht="15" hidden="false" customHeight="false" outlineLevel="0" collapsed="false">
      <c r="A18" s="17"/>
      <c r="B18" s="12" t="s">
        <v>25</v>
      </c>
      <c r="C18" s="12"/>
      <c r="D18" s="13" t="s">
        <v>26</v>
      </c>
      <c r="E18" s="13"/>
      <c r="F18" s="13"/>
    </row>
    <row r="20" customFormat="false" ht="15" hidden="false" customHeight="false" outlineLevel="0" collapsed="false">
      <c r="A20" s="9" t="s">
        <v>27</v>
      </c>
      <c r="B20" s="9"/>
      <c r="C20" s="9"/>
      <c r="D20" s="9"/>
      <c r="E20" s="9"/>
      <c r="F20" s="9"/>
    </row>
    <row r="21" customFormat="false" ht="30" hidden="false" customHeight="true" outlineLevel="0" collapsed="false">
      <c r="A21" s="10" t="s">
        <v>28</v>
      </c>
      <c r="B21" s="10"/>
      <c r="C21" s="10"/>
      <c r="D21" s="10"/>
      <c r="E21" s="10"/>
      <c r="F21" s="10"/>
    </row>
    <row r="22" customFormat="false" ht="30" hidden="false" customHeight="true" outlineLevel="0" collapsed="false">
      <c r="A22" s="10" t="s">
        <v>29</v>
      </c>
      <c r="B22" s="10"/>
      <c r="C22" s="10"/>
      <c r="D22" s="10"/>
      <c r="E22" s="10"/>
      <c r="F22" s="10"/>
    </row>
    <row r="23" customFormat="false" ht="30" hidden="false" customHeight="true" outlineLevel="0" collapsed="false">
      <c r="A23" s="10" t="s">
        <v>30</v>
      </c>
      <c r="B23" s="10"/>
      <c r="C23" s="10"/>
      <c r="D23" s="10"/>
      <c r="E23" s="10"/>
      <c r="F23" s="10"/>
    </row>
  </sheetData>
  <mergeCells count="25">
    <mergeCell ref="A1:F1"/>
    <mergeCell ref="A3:F3"/>
    <mergeCell ref="A4:F4"/>
    <mergeCell ref="A5:F5"/>
    <mergeCell ref="A6:F6"/>
    <mergeCell ref="A7:F7"/>
    <mergeCell ref="A8:F8"/>
    <mergeCell ref="A9:F9"/>
    <mergeCell ref="A10:F10"/>
    <mergeCell ref="A11:F11"/>
    <mergeCell ref="A13:F13"/>
    <mergeCell ref="B14:C14"/>
    <mergeCell ref="D14:F14"/>
    <mergeCell ref="B15:C15"/>
    <mergeCell ref="D15:F15"/>
    <mergeCell ref="B16:C16"/>
    <mergeCell ref="D16:F16"/>
    <mergeCell ref="B17:C17"/>
    <mergeCell ref="D17:F17"/>
    <mergeCell ref="B18:C18"/>
    <mergeCell ref="D18:F18"/>
    <mergeCell ref="A20:F20"/>
    <mergeCell ref="A21:F21"/>
    <mergeCell ref="A22:F22"/>
    <mergeCell ref="A23:F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2" min="1" style="0" width="12"/>
    <col collapsed="false" customWidth="true" hidden="false" outlineLevel="0" max="3" min="3" style="0" width="28"/>
    <col collapsed="false" customWidth="true" hidden="false" outlineLevel="0" max="11" min="4" style="0" width="14"/>
    <col collapsed="false" customWidth="true" hidden="false" outlineLevel="0" max="12" min="12" style="0" width="13"/>
    <col collapsed="false" customWidth="true" hidden="false" outlineLevel="0" max="13" min="13" style="0" width="14"/>
    <col collapsed="false" customWidth="true" hidden="false" outlineLevel="0" max="14" min="14" style="0" width="16"/>
    <col collapsed="false" customWidth="true" hidden="false" outlineLevel="0" max="15" min="15" style="0" width="28"/>
    <col collapsed="false" customWidth="true" hidden="true" outlineLevel="1" max="18" min="16" style="0" width="18"/>
  </cols>
  <sheetData>
    <row r="1" customFormat="false" ht="18.65" hidden="false" customHeight="true" outlineLevel="0" collapsed="false">
      <c r="A1" s="18" t="s">
        <v>31</v>
      </c>
      <c r="B1" s="18"/>
      <c r="C1" s="18"/>
      <c r="D1" s="18"/>
      <c r="E1" s="18"/>
      <c r="F1" s="18"/>
      <c r="G1" s="18"/>
      <c r="H1" s="18"/>
      <c r="I1" s="18"/>
      <c r="J1" s="18"/>
      <c r="K1" s="18"/>
      <c r="L1" s="18"/>
      <c r="M1" s="18"/>
      <c r="N1" s="18"/>
      <c r="O1" s="18"/>
      <c r="P1" s="19"/>
      <c r="Q1" s="19"/>
      <c r="R1" s="19"/>
    </row>
    <row r="2" customFormat="false" ht="6" hidden="false" customHeight="true" outlineLevel="0" collapsed="false"/>
    <row r="3" customFormat="false" ht="15" hidden="false" customHeight="false" outlineLevel="0" collapsed="false">
      <c r="A3" s="20" t="s">
        <v>32</v>
      </c>
      <c r="C3" s="20" t="s">
        <v>33</v>
      </c>
      <c r="E3" s="20" t="s">
        <v>34</v>
      </c>
      <c r="G3" s="20" t="s">
        <v>35</v>
      </c>
      <c r="I3" s="20" t="s">
        <v>36</v>
      </c>
      <c r="K3" s="20" t="s">
        <v>37</v>
      </c>
      <c r="M3" s="20" t="s">
        <v>38</v>
      </c>
    </row>
    <row r="4" customFormat="false" ht="20.85" hidden="false" customHeight="false" outlineLevel="0" collapsed="false">
      <c r="A4" s="21" t="n">
        <f aca="false">COUNTA(A10:A60)</f>
        <v>5</v>
      </c>
      <c r="C4" s="21" t="n">
        <f aca="false">COUNTA(M10:M60)-COUNTBLANK(M10:M60)</f>
        <v>5</v>
      </c>
      <c r="E4" s="22" t="n">
        <f aca="false">COUNTIF(M10:M60,"OK")</f>
        <v>3</v>
      </c>
      <c r="G4" s="23" t="n">
        <f aca="false">COUNTIF(M10:M60,"OVER")</f>
        <v>2</v>
      </c>
      <c r="I4" s="24" t="n">
        <f aca="false">IFERROR(E4/(E4+G4),0)</f>
        <v>0.6</v>
      </c>
      <c r="K4" s="25" t="n">
        <f aca="false">IFERROR(MAX(J10:J60),0)</f>
        <v>60.2079729065296</v>
      </c>
      <c r="L4" s="26" t="s">
        <v>39</v>
      </c>
      <c r="M4" s="25" t="n">
        <f aca="false">IFERROR(MAX(K10:K60),0)</f>
        <v>12.0000000000005</v>
      </c>
      <c r="N4" s="26" t="s">
        <v>39</v>
      </c>
    </row>
    <row r="5" customFormat="false" ht="15" hidden="false" customHeight="false" outlineLevel="0" collapsed="false">
      <c r="A5" s="27"/>
      <c r="B5" s="27"/>
      <c r="C5" s="27"/>
      <c r="D5" s="27"/>
      <c r="E5" s="27"/>
      <c r="F5" s="27"/>
      <c r="G5" s="27"/>
      <c r="H5" s="27"/>
      <c r="I5" s="27"/>
      <c r="J5" s="27"/>
      <c r="K5" s="27"/>
      <c r="L5" s="27"/>
      <c r="M5" s="27"/>
      <c r="N5" s="27"/>
      <c r="O5" s="27"/>
      <c r="P5" s="27"/>
      <c r="Q5" s="27"/>
      <c r="R5" s="27"/>
    </row>
    <row r="6" customFormat="false" ht="3.75" hidden="false" customHeight="true" outlineLevel="0" collapsed="false"/>
    <row r="7" customFormat="false" ht="21.75" hidden="false" customHeight="true" outlineLevel="0" collapsed="false">
      <c r="A7" s="28" t="s">
        <v>40</v>
      </c>
      <c r="B7" s="28"/>
      <c r="C7" s="28"/>
      <c r="D7" s="28" t="s">
        <v>41</v>
      </c>
      <c r="E7" s="28"/>
      <c r="F7" s="28"/>
      <c r="G7" s="28" t="s">
        <v>42</v>
      </c>
      <c r="H7" s="28"/>
      <c r="I7" s="28"/>
      <c r="J7" s="28" t="s">
        <v>43</v>
      </c>
      <c r="K7" s="28"/>
      <c r="L7" s="28"/>
      <c r="M7" s="28"/>
      <c r="N7" s="28" t="s">
        <v>44</v>
      </c>
      <c r="O7" s="28"/>
      <c r="P7" s="29" t="s">
        <v>45</v>
      </c>
      <c r="Q7" s="29"/>
      <c r="R7" s="29"/>
    </row>
    <row r="8" customFormat="false" ht="3.75" hidden="false" customHeight="true" outlineLevel="0" collapsed="false"/>
    <row r="9" customFormat="false" ht="37.5" hidden="false" customHeight="true" outlineLevel="0" collapsed="false">
      <c r="A9" s="30" t="s">
        <v>46</v>
      </c>
      <c r="B9" s="30" t="s">
        <v>47</v>
      </c>
      <c r="C9" s="30" t="s">
        <v>48</v>
      </c>
      <c r="D9" s="30" t="s">
        <v>49</v>
      </c>
      <c r="E9" s="30" t="s">
        <v>50</v>
      </c>
      <c r="F9" s="30" t="s">
        <v>51</v>
      </c>
      <c r="G9" s="30" t="s">
        <v>52</v>
      </c>
      <c r="H9" s="30" t="s">
        <v>53</v>
      </c>
      <c r="I9" s="30" t="s">
        <v>54</v>
      </c>
      <c r="J9" s="30" t="s">
        <v>55</v>
      </c>
      <c r="K9" s="30" t="s">
        <v>56</v>
      </c>
      <c r="L9" s="30" t="s">
        <v>57</v>
      </c>
      <c r="M9" s="30" t="s">
        <v>58</v>
      </c>
      <c r="N9" s="30" t="s">
        <v>59</v>
      </c>
      <c r="O9" s="30" t="s">
        <v>60</v>
      </c>
      <c r="P9" s="30" t="s">
        <v>61</v>
      </c>
      <c r="Q9" s="30" t="s">
        <v>62</v>
      </c>
      <c r="R9" s="30" t="s">
        <v>63</v>
      </c>
    </row>
    <row r="10" customFormat="false" ht="15" hidden="false" customHeight="false" outlineLevel="0" collapsed="false">
      <c r="A10" s="31" t="s">
        <v>64</v>
      </c>
      <c r="B10" s="32" t="n">
        <v>46063</v>
      </c>
      <c r="C10" s="33" t="s">
        <v>65</v>
      </c>
      <c r="D10" s="34" t="n">
        <v>463250.125</v>
      </c>
      <c r="E10" s="34" t="n">
        <v>178340.68</v>
      </c>
      <c r="F10" s="34" t="n">
        <v>42.15</v>
      </c>
      <c r="G10" s="34" t="n">
        <v>463250.132</v>
      </c>
      <c r="H10" s="34" t="n">
        <v>178340.688</v>
      </c>
      <c r="I10" s="34" t="n">
        <v>42.147</v>
      </c>
      <c r="J10" s="35" t="n">
        <f aca="false">IFERROR(SQRT((G10-D10)^2+(H10-E10)^2)*1000,"")</f>
        <v>10.6301458029222</v>
      </c>
      <c r="K10" s="35" t="n">
        <f aca="false">IFERROR(ABS(I10-F10)*1000,"")</f>
        <v>3.00000000000011</v>
      </c>
      <c r="L10" s="31" t="n">
        <v>25</v>
      </c>
      <c r="M10" s="36" t="str">
        <f aca="false">IF(OR(J10="",L10=""),"",IF(AND(J10&lt;=L10,K10&lt;=L10),"OK","OVER"))</f>
        <v>OK</v>
      </c>
      <c r="N10" s="31" t="s">
        <v>66</v>
      </c>
      <c r="O10" s="33" t="s">
        <v>67</v>
      </c>
      <c r="P10" s="31" t="s">
        <v>68</v>
      </c>
      <c r="Q10" s="31" t="s">
        <v>69</v>
      </c>
      <c r="R10" s="31" t="s">
        <v>70</v>
      </c>
    </row>
    <row r="11" customFormat="false" ht="15" hidden="false" customHeight="false" outlineLevel="0" collapsed="false">
      <c r="A11" s="31" t="s">
        <v>71</v>
      </c>
      <c r="B11" s="32" t="n">
        <v>46063</v>
      </c>
      <c r="C11" s="33" t="s">
        <v>72</v>
      </c>
      <c r="D11" s="34" t="n">
        <v>463255</v>
      </c>
      <c r="E11" s="34" t="n">
        <v>178345.2</v>
      </c>
      <c r="F11" s="34" t="n">
        <v>42.15</v>
      </c>
      <c r="G11" s="34" t="n">
        <v>463254.997</v>
      </c>
      <c r="H11" s="34" t="n">
        <v>178345.204</v>
      </c>
      <c r="I11" s="34" t="n">
        <v>42.153</v>
      </c>
      <c r="J11" s="35" t="n">
        <f aca="false">IFERROR(SQRT((G11-D11)^2+(H11-E11)^2)*1000,"")</f>
        <v>5.00000000465661</v>
      </c>
      <c r="K11" s="35" t="n">
        <f aca="false">IFERROR(ABS(I11-F11)*1000,"")</f>
        <v>3.00000000000011</v>
      </c>
      <c r="L11" s="31" t="n">
        <v>10</v>
      </c>
      <c r="M11" s="36" t="str">
        <f aca="false">IF(OR(J11="",L11=""),"",IF(AND(J11&lt;=L11,K11&lt;=L11),"OK","OVER"))</f>
        <v>OK</v>
      </c>
      <c r="N11" s="31" t="s">
        <v>66</v>
      </c>
      <c r="O11" s="33"/>
      <c r="P11" s="31" t="s">
        <v>68</v>
      </c>
      <c r="Q11" s="31" t="s">
        <v>69</v>
      </c>
      <c r="R11" s="31" t="s">
        <v>70</v>
      </c>
    </row>
    <row r="12" customFormat="false" ht="15" hidden="false" customHeight="false" outlineLevel="0" collapsed="false">
      <c r="A12" s="31" t="s">
        <v>73</v>
      </c>
      <c r="B12" s="32" t="n">
        <v>46064</v>
      </c>
      <c r="C12" s="33" t="s">
        <v>74</v>
      </c>
      <c r="D12" s="34" t="n">
        <v>463248.5</v>
      </c>
      <c r="E12" s="34" t="n">
        <v>178338.1</v>
      </c>
      <c r="F12" s="34" t="n">
        <v>42.3</v>
      </c>
      <c r="G12" s="34" t="n">
        <v>463248.518</v>
      </c>
      <c r="H12" s="34" t="n">
        <v>178338.112</v>
      </c>
      <c r="I12" s="34" t="n">
        <v>42.308</v>
      </c>
      <c r="J12" s="35" t="n">
        <f aca="false">IFERROR(SQRT((G12-D12)^2+(H12-E12)^2)*1000,"")</f>
        <v>21.6333076309574</v>
      </c>
      <c r="K12" s="35" t="n">
        <f aca="false">IFERROR(ABS(I12-F12)*1000,"")</f>
        <v>8.00000000000267</v>
      </c>
      <c r="L12" s="31" t="n">
        <v>15</v>
      </c>
      <c r="M12" s="36" t="str">
        <f aca="false">IF(OR(J12="",L12=""),"",IF(AND(J12&lt;=L12,K12&lt;=L12),"OK","OVER"))</f>
        <v>OVER</v>
      </c>
      <c r="N12" s="31" t="s">
        <v>75</v>
      </c>
      <c r="O12" s="33" t="s">
        <v>76</v>
      </c>
      <c r="P12" s="31" t="s">
        <v>68</v>
      </c>
      <c r="Q12" s="31" t="s">
        <v>77</v>
      </c>
      <c r="R12" s="31" t="s">
        <v>78</v>
      </c>
    </row>
    <row r="13" customFormat="false" ht="15" hidden="false" customHeight="false" outlineLevel="0" collapsed="false">
      <c r="A13" s="31" t="s">
        <v>79</v>
      </c>
      <c r="B13" s="32" t="n">
        <v>46065</v>
      </c>
      <c r="C13" s="33" t="s">
        <v>80</v>
      </c>
      <c r="D13" s="34" t="n">
        <v>463260.32</v>
      </c>
      <c r="E13" s="34" t="n">
        <v>178350.45</v>
      </c>
      <c r="F13" s="34" t="n">
        <v>40.875</v>
      </c>
      <c r="G13" s="34" t="n">
        <v>463260.315</v>
      </c>
      <c r="H13" s="34" t="n">
        <v>178350.448</v>
      </c>
      <c r="I13" s="34" t="n">
        <v>40.878</v>
      </c>
      <c r="J13" s="35" t="n">
        <f aca="false">IFERROR(SQRT((G13-D13)^2+(H13-E13)^2)*1000,"")</f>
        <v>5.38516481431161</v>
      </c>
      <c r="K13" s="35" t="n">
        <f aca="false">IFERROR(ABS(I13-F13)*1000,"")</f>
        <v>3.00000000000011</v>
      </c>
      <c r="L13" s="31" t="n">
        <v>25</v>
      </c>
      <c r="M13" s="36" t="str">
        <f aca="false">IF(OR(J13="",L13=""),"",IF(AND(J13&lt;=L13,K13&lt;=L13),"OK","OVER"))</f>
        <v>OK</v>
      </c>
      <c r="N13" s="31" t="s">
        <v>66</v>
      </c>
      <c r="O13" s="33"/>
      <c r="P13" s="31" t="s">
        <v>81</v>
      </c>
      <c r="Q13" s="31" t="s">
        <v>82</v>
      </c>
      <c r="R13" s="31" t="s">
        <v>83</v>
      </c>
    </row>
    <row r="14" customFormat="false" ht="23.85" hidden="false" customHeight="false" outlineLevel="0" collapsed="false">
      <c r="A14" s="31" t="s">
        <v>84</v>
      </c>
      <c r="B14" s="32" t="n">
        <v>46065</v>
      </c>
      <c r="C14" s="33" t="s">
        <v>85</v>
      </c>
      <c r="D14" s="34" t="n">
        <v>463242.1</v>
      </c>
      <c r="E14" s="34" t="n">
        <v>178336.8</v>
      </c>
      <c r="F14" s="34" t="n">
        <v>42.15</v>
      </c>
      <c r="G14" s="34" t="n">
        <v>463242.14</v>
      </c>
      <c r="H14" s="34" t="n">
        <v>178336.755</v>
      </c>
      <c r="I14" s="34" t="n">
        <v>42.162</v>
      </c>
      <c r="J14" s="35" t="n">
        <f aca="false">IFERROR(SQRT((G14-D14)^2+(H14-E14)^2)*1000,"")</f>
        <v>60.2079729065296</v>
      </c>
      <c r="K14" s="35" t="n">
        <f aca="false">IFERROR(ABS(I14-F14)*1000,"")</f>
        <v>12.0000000000005</v>
      </c>
      <c r="L14" s="31" t="n">
        <v>5</v>
      </c>
      <c r="M14" s="36" t="str">
        <f aca="false">IF(OR(J14="",L14=""),"",IF(AND(J14&lt;=L14,K14&lt;=L14),"OK","OVER"))</f>
        <v>OVER</v>
      </c>
      <c r="N14" s="31" t="s">
        <v>75</v>
      </c>
      <c r="O14" s="33" t="s">
        <v>86</v>
      </c>
      <c r="P14" s="31" t="s">
        <v>68</v>
      </c>
      <c r="Q14" s="31" t="s">
        <v>77</v>
      </c>
      <c r="R14" s="31" t="s">
        <v>70</v>
      </c>
    </row>
    <row r="15" customFormat="false" ht="15" hidden="false" customHeight="false" outlineLevel="0" collapsed="false">
      <c r="A15" s="31"/>
      <c r="B15" s="32"/>
      <c r="C15" s="33"/>
      <c r="D15" s="34"/>
      <c r="E15" s="34"/>
      <c r="F15" s="34"/>
      <c r="G15" s="34"/>
      <c r="H15" s="34"/>
      <c r="I15" s="34"/>
      <c r="J15" s="35" t="n">
        <f aca="false">IFERROR(SQRT((G15-D15)^2+(H15-E15)^2)*1000,"")</f>
        <v>0</v>
      </c>
      <c r="K15" s="35" t="n">
        <f aca="false">IFERROR(ABS(I15-F15)*1000,"")</f>
        <v>0</v>
      </c>
      <c r="L15" s="31"/>
      <c r="M15" s="36" t="str">
        <f aca="false">IF(OR(J15="",L15=""),"",IF(AND(J15&lt;=L15,K15&lt;=L15),"OK","OVER"))</f>
        <v/>
      </c>
      <c r="N15" s="31"/>
      <c r="O15" s="33"/>
      <c r="P15" s="31"/>
      <c r="Q15" s="31"/>
      <c r="R15" s="31"/>
    </row>
    <row r="16" customFormat="false" ht="15" hidden="false" customHeight="false" outlineLevel="0" collapsed="false">
      <c r="A16" s="31"/>
      <c r="B16" s="32"/>
      <c r="C16" s="33"/>
      <c r="D16" s="34"/>
      <c r="E16" s="34"/>
      <c r="F16" s="34"/>
      <c r="G16" s="34"/>
      <c r="H16" s="34"/>
      <c r="I16" s="34"/>
      <c r="J16" s="35" t="n">
        <f aca="false">IFERROR(SQRT((G16-D16)^2+(H16-E16)^2)*1000,"")</f>
        <v>0</v>
      </c>
      <c r="K16" s="35" t="n">
        <f aca="false">IFERROR(ABS(I16-F16)*1000,"")</f>
        <v>0</v>
      </c>
      <c r="L16" s="31"/>
      <c r="M16" s="36" t="str">
        <f aca="false">IF(OR(J16="",L16=""),"",IF(AND(J16&lt;=L16,K16&lt;=L16),"OK","OVER"))</f>
        <v/>
      </c>
      <c r="N16" s="31"/>
      <c r="O16" s="33"/>
      <c r="P16" s="31"/>
      <c r="Q16" s="31"/>
      <c r="R16" s="31"/>
    </row>
    <row r="17" customFormat="false" ht="15" hidden="false" customHeight="false" outlineLevel="0" collapsed="false">
      <c r="A17" s="31"/>
      <c r="B17" s="32"/>
      <c r="C17" s="33"/>
      <c r="D17" s="34"/>
      <c r="E17" s="34"/>
      <c r="F17" s="34"/>
      <c r="G17" s="34"/>
      <c r="H17" s="34"/>
      <c r="I17" s="34"/>
      <c r="J17" s="35" t="n">
        <f aca="false">IFERROR(SQRT((G17-D17)^2+(H17-E17)^2)*1000,"")</f>
        <v>0</v>
      </c>
      <c r="K17" s="35" t="n">
        <f aca="false">IFERROR(ABS(I17-F17)*1000,"")</f>
        <v>0</v>
      </c>
      <c r="L17" s="31"/>
      <c r="M17" s="36" t="str">
        <f aca="false">IF(OR(J17="",L17=""),"",IF(AND(J17&lt;=L17,K17&lt;=L17),"OK","OVER"))</f>
        <v/>
      </c>
      <c r="N17" s="31"/>
      <c r="O17" s="33"/>
      <c r="P17" s="31"/>
      <c r="Q17" s="31"/>
      <c r="R17" s="31"/>
    </row>
    <row r="18" customFormat="false" ht="15" hidden="false" customHeight="false" outlineLevel="0" collapsed="false">
      <c r="A18" s="31"/>
      <c r="B18" s="32"/>
      <c r="C18" s="33"/>
      <c r="D18" s="34"/>
      <c r="E18" s="34"/>
      <c r="F18" s="34"/>
      <c r="G18" s="34"/>
      <c r="H18" s="34"/>
      <c r="I18" s="34"/>
      <c r="J18" s="35" t="n">
        <f aca="false">IFERROR(SQRT((G18-D18)^2+(H18-E18)^2)*1000,"")</f>
        <v>0</v>
      </c>
      <c r="K18" s="35" t="n">
        <f aca="false">IFERROR(ABS(I18-F18)*1000,"")</f>
        <v>0</v>
      </c>
      <c r="L18" s="31"/>
      <c r="M18" s="36" t="str">
        <f aca="false">IF(OR(J18="",L18=""),"",IF(AND(J18&lt;=L18,K18&lt;=L18),"OK","OVER"))</f>
        <v/>
      </c>
      <c r="N18" s="31"/>
      <c r="O18" s="33"/>
      <c r="P18" s="31"/>
      <c r="Q18" s="31"/>
      <c r="R18" s="31"/>
    </row>
    <row r="19" customFormat="false" ht="15" hidden="false" customHeight="false" outlineLevel="0" collapsed="false">
      <c r="A19" s="31"/>
      <c r="B19" s="32"/>
      <c r="C19" s="33"/>
      <c r="D19" s="34"/>
      <c r="E19" s="34"/>
      <c r="F19" s="34"/>
      <c r="G19" s="34"/>
      <c r="H19" s="34"/>
      <c r="I19" s="34"/>
      <c r="J19" s="35" t="n">
        <f aca="false">IFERROR(SQRT((G19-D19)^2+(H19-E19)^2)*1000,"")</f>
        <v>0</v>
      </c>
      <c r="K19" s="35" t="n">
        <f aca="false">IFERROR(ABS(I19-F19)*1000,"")</f>
        <v>0</v>
      </c>
      <c r="L19" s="31"/>
      <c r="M19" s="36" t="str">
        <f aca="false">IF(OR(J19="",L19=""),"",IF(AND(J19&lt;=L19,K19&lt;=L19),"OK","OVER"))</f>
        <v/>
      </c>
      <c r="N19" s="31"/>
      <c r="O19" s="33"/>
      <c r="P19" s="31"/>
      <c r="Q19" s="31"/>
      <c r="R19" s="31"/>
    </row>
    <row r="20" customFormat="false" ht="15" hidden="false" customHeight="false" outlineLevel="0" collapsed="false">
      <c r="A20" s="31"/>
      <c r="B20" s="32"/>
      <c r="C20" s="33"/>
      <c r="D20" s="34"/>
      <c r="E20" s="34"/>
      <c r="F20" s="34"/>
      <c r="G20" s="34"/>
      <c r="H20" s="34"/>
      <c r="I20" s="34"/>
      <c r="J20" s="35" t="n">
        <f aca="false">IFERROR(SQRT((G20-D20)^2+(H20-E20)^2)*1000,"")</f>
        <v>0</v>
      </c>
      <c r="K20" s="35" t="n">
        <f aca="false">IFERROR(ABS(I20-F20)*1000,"")</f>
        <v>0</v>
      </c>
      <c r="L20" s="31"/>
      <c r="M20" s="36" t="str">
        <f aca="false">IF(OR(J20="",L20=""),"",IF(AND(J20&lt;=L20,K20&lt;=L20),"OK","OVER"))</f>
        <v/>
      </c>
      <c r="N20" s="31"/>
      <c r="O20" s="33"/>
      <c r="P20" s="31"/>
      <c r="Q20" s="31"/>
      <c r="R20" s="31"/>
    </row>
    <row r="21" customFormat="false" ht="15" hidden="false" customHeight="false" outlineLevel="0" collapsed="false">
      <c r="A21" s="31"/>
      <c r="B21" s="32"/>
      <c r="C21" s="33"/>
      <c r="D21" s="34"/>
      <c r="E21" s="34"/>
      <c r="F21" s="34"/>
      <c r="G21" s="34"/>
      <c r="H21" s="34"/>
      <c r="I21" s="34"/>
      <c r="J21" s="35" t="n">
        <f aca="false">IFERROR(SQRT((G21-D21)^2+(H21-E21)^2)*1000,"")</f>
        <v>0</v>
      </c>
      <c r="K21" s="35" t="n">
        <f aca="false">IFERROR(ABS(I21-F21)*1000,"")</f>
        <v>0</v>
      </c>
      <c r="L21" s="31"/>
      <c r="M21" s="36" t="str">
        <f aca="false">IF(OR(J21="",L21=""),"",IF(AND(J21&lt;=L21,K21&lt;=L21),"OK","OVER"))</f>
        <v/>
      </c>
      <c r="N21" s="31"/>
      <c r="O21" s="33"/>
      <c r="P21" s="31"/>
      <c r="Q21" s="31"/>
      <c r="R21" s="31"/>
    </row>
    <row r="22" customFormat="false" ht="15" hidden="false" customHeight="false" outlineLevel="0" collapsed="false">
      <c r="A22" s="31"/>
      <c r="B22" s="32"/>
      <c r="C22" s="33"/>
      <c r="D22" s="34"/>
      <c r="E22" s="34"/>
      <c r="F22" s="34"/>
      <c r="G22" s="34"/>
      <c r="H22" s="34"/>
      <c r="I22" s="34"/>
      <c r="J22" s="35" t="n">
        <f aca="false">IFERROR(SQRT((G22-D22)^2+(H22-E22)^2)*1000,"")</f>
        <v>0</v>
      </c>
      <c r="K22" s="35" t="n">
        <f aca="false">IFERROR(ABS(I22-F22)*1000,"")</f>
        <v>0</v>
      </c>
      <c r="L22" s="31"/>
      <c r="M22" s="36" t="str">
        <f aca="false">IF(OR(J22="",L22=""),"",IF(AND(J22&lt;=L22,K22&lt;=L22),"OK","OVER"))</f>
        <v/>
      </c>
      <c r="N22" s="31"/>
      <c r="O22" s="33"/>
      <c r="P22" s="31"/>
      <c r="Q22" s="31"/>
      <c r="R22" s="31"/>
    </row>
    <row r="23" customFormat="false" ht="15" hidden="false" customHeight="false" outlineLevel="0" collapsed="false">
      <c r="A23" s="31"/>
      <c r="B23" s="32"/>
      <c r="C23" s="33"/>
      <c r="D23" s="34"/>
      <c r="E23" s="34"/>
      <c r="F23" s="34"/>
      <c r="G23" s="34"/>
      <c r="H23" s="34"/>
      <c r="I23" s="34"/>
      <c r="J23" s="35" t="n">
        <f aca="false">IFERROR(SQRT((G23-D23)^2+(H23-E23)^2)*1000,"")</f>
        <v>0</v>
      </c>
      <c r="K23" s="35" t="n">
        <f aca="false">IFERROR(ABS(I23-F23)*1000,"")</f>
        <v>0</v>
      </c>
      <c r="L23" s="31"/>
      <c r="M23" s="36" t="str">
        <f aca="false">IF(OR(J23="",L23=""),"",IF(AND(J23&lt;=L23,K23&lt;=L23),"OK","OVER"))</f>
        <v/>
      </c>
      <c r="N23" s="31"/>
      <c r="O23" s="33"/>
      <c r="P23" s="31"/>
      <c r="Q23" s="31"/>
      <c r="R23" s="31"/>
    </row>
    <row r="24" customFormat="false" ht="15" hidden="false" customHeight="false" outlineLevel="0" collapsed="false">
      <c r="A24" s="31"/>
      <c r="B24" s="32"/>
      <c r="C24" s="33"/>
      <c r="D24" s="34"/>
      <c r="E24" s="34"/>
      <c r="F24" s="34"/>
      <c r="G24" s="34"/>
      <c r="H24" s="34"/>
      <c r="I24" s="34"/>
      <c r="J24" s="35" t="n">
        <f aca="false">IFERROR(SQRT((G24-D24)^2+(H24-E24)^2)*1000,"")</f>
        <v>0</v>
      </c>
      <c r="K24" s="35" t="n">
        <f aca="false">IFERROR(ABS(I24-F24)*1000,"")</f>
        <v>0</v>
      </c>
      <c r="L24" s="31"/>
      <c r="M24" s="36" t="str">
        <f aca="false">IF(OR(J24="",L24=""),"",IF(AND(J24&lt;=L24,K24&lt;=L24),"OK","OVER"))</f>
        <v/>
      </c>
      <c r="N24" s="31"/>
      <c r="O24" s="33"/>
      <c r="P24" s="31"/>
      <c r="Q24" s="31"/>
      <c r="R24" s="31"/>
    </row>
    <row r="25" customFormat="false" ht="15" hidden="false" customHeight="false" outlineLevel="0" collapsed="false">
      <c r="A25" s="31"/>
      <c r="B25" s="32"/>
      <c r="C25" s="33"/>
      <c r="D25" s="34"/>
      <c r="E25" s="34"/>
      <c r="F25" s="34"/>
      <c r="G25" s="34"/>
      <c r="H25" s="34"/>
      <c r="I25" s="34"/>
      <c r="J25" s="35" t="n">
        <f aca="false">IFERROR(SQRT((G25-D25)^2+(H25-E25)^2)*1000,"")</f>
        <v>0</v>
      </c>
      <c r="K25" s="35" t="n">
        <f aca="false">IFERROR(ABS(I25-F25)*1000,"")</f>
        <v>0</v>
      </c>
      <c r="L25" s="31"/>
      <c r="M25" s="36" t="str">
        <f aca="false">IF(OR(J25="",L25=""),"",IF(AND(J25&lt;=L25,K25&lt;=L25),"OK","OVER"))</f>
        <v/>
      </c>
      <c r="N25" s="31"/>
      <c r="O25" s="33"/>
      <c r="P25" s="31"/>
      <c r="Q25" s="31"/>
      <c r="R25" s="31"/>
    </row>
    <row r="26" customFormat="false" ht="15" hidden="false" customHeight="false" outlineLevel="0" collapsed="false">
      <c r="A26" s="31"/>
      <c r="B26" s="32"/>
      <c r="C26" s="33"/>
      <c r="D26" s="34"/>
      <c r="E26" s="34"/>
      <c r="F26" s="34"/>
      <c r="G26" s="34"/>
      <c r="H26" s="34"/>
      <c r="I26" s="34"/>
      <c r="J26" s="35" t="n">
        <f aca="false">IFERROR(SQRT((G26-D26)^2+(H26-E26)^2)*1000,"")</f>
        <v>0</v>
      </c>
      <c r="K26" s="35" t="n">
        <f aca="false">IFERROR(ABS(I26-F26)*1000,"")</f>
        <v>0</v>
      </c>
      <c r="L26" s="31"/>
      <c r="M26" s="36" t="str">
        <f aca="false">IF(OR(J26="",L26=""),"",IF(AND(J26&lt;=L26,K26&lt;=L26),"OK","OVER"))</f>
        <v/>
      </c>
      <c r="N26" s="31"/>
      <c r="O26" s="33"/>
      <c r="P26" s="31"/>
      <c r="Q26" s="31"/>
      <c r="R26" s="31"/>
    </row>
    <row r="27" customFormat="false" ht="15" hidden="false" customHeight="false" outlineLevel="0" collapsed="false">
      <c r="A27" s="31"/>
      <c r="B27" s="32"/>
      <c r="C27" s="33"/>
      <c r="D27" s="34"/>
      <c r="E27" s="34"/>
      <c r="F27" s="34"/>
      <c r="G27" s="34"/>
      <c r="H27" s="34"/>
      <c r="I27" s="34"/>
      <c r="J27" s="35" t="n">
        <f aca="false">IFERROR(SQRT((G27-D27)^2+(H27-E27)^2)*1000,"")</f>
        <v>0</v>
      </c>
      <c r="K27" s="35" t="n">
        <f aca="false">IFERROR(ABS(I27-F27)*1000,"")</f>
        <v>0</v>
      </c>
      <c r="L27" s="31"/>
      <c r="M27" s="36" t="str">
        <f aca="false">IF(OR(J27="",L27=""),"",IF(AND(J27&lt;=L27,K27&lt;=L27),"OK","OVER"))</f>
        <v/>
      </c>
      <c r="N27" s="31"/>
      <c r="O27" s="33"/>
      <c r="P27" s="31"/>
      <c r="Q27" s="31"/>
      <c r="R27" s="31"/>
    </row>
    <row r="28" customFormat="false" ht="15" hidden="false" customHeight="false" outlineLevel="0" collapsed="false">
      <c r="A28" s="31"/>
      <c r="B28" s="32"/>
      <c r="C28" s="33"/>
      <c r="D28" s="34"/>
      <c r="E28" s="34"/>
      <c r="F28" s="34"/>
      <c r="G28" s="34"/>
      <c r="H28" s="34"/>
      <c r="I28" s="34"/>
      <c r="J28" s="35" t="n">
        <f aca="false">IFERROR(SQRT((G28-D28)^2+(H28-E28)^2)*1000,"")</f>
        <v>0</v>
      </c>
      <c r="K28" s="35" t="n">
        <f aca="false">IFERROR(ABS(I28-F28)*1000,"")</f>
        <v>0</v>
      </c>
      <c r="L28" s="31"/>
      <c r="M28" s="36" t="str">
        <f aca="false">IF(OR(J28="",L28=""),"",IF(AND(J28&lt;=L28,K28&lt;=L28),"OK","OVER"))</f>
        <v/>
      </c>
      <c r="N28" s="31"/>
      <c r="O28" s="33"/>
      <c r="P28" s="31"/>
      <c r="Q28" s="31"/>
      <c r="R28" s="31"/>
    </row>
    <row r="29" customFormat="false" ht="15" hidden="false" customHeight="false" outlineLevel="0" collapsed="false">
      <c r="A29" s="31"/>
      <c r="B29" s="32"/>
      <c r="C29" s="33"/>
      <c r="D29" s="34"/>
      <c r="E29" s="34"/>
      <c r="F29" s="34"/>
      <c r="G29" s="34"/>
      <c r="H29" s="34"/>
      <c r="I29" s="34"/>
      <c r="J29" s="35" t="n">
        <f aca="false">IFERROR(SQRT((G29-D29)^2+(H29-E29)^2)*1000,"")</f>
        <v>0</v>
      </c>
      <c r="K29" s="35" t="n">
        <f aca="false">IFERROR(ABS(I29-F29)*1000,"")</f>
        <v>0</v>
      </c>
      <c r="L29" s="31"/>
      <c r="M29" s="36" t="str">
        <f aca="false">IF(OR(J29="",L29=""),"",IF(AND(J29&lt;=L29,K29&lt;=L29),"OK","OVER"))</f>
        <v/>
      </c>
      <c r="N29" s="31"/>
      <c r="O29" s="33"/>
      <c r="P29" s="31"/>
      <c r="Q29" s="31"/>
      <c r="R29" s="31"/>
    </row>
    <row r="30" customFormat="false" ht="15" hidden="false" customHeight="false" outlineLevel="0" collapsed="false">
      <c r="A30" s="31"/>
      <c r="B30" s="32"/>
      <c r="C30" s="33"/>
      <c r="D30" s="34"/>
      <c r="E30" s="34"/>
      <c r="F30" s="34"/>
      <c r="G30" s="34"/>
      <c r="H30" s="34"/>
      <c r="I30" s="34"/>
      <c r="J30" s="35" t="n">
        <f aca="false">IFERROR(SQRT((G30-D30)^2+(H30-E30)^2)*1000,"")</f>
        <v>0</v>
      </c>
      <c r="K30" s="35" t="n">
        <f aca="false">IFERROR(ABS(I30-F30)*1000,"")</f>
        <v>0</v>
      </c>
      <c r="L30" s="31"/>
      <c r="M30" s="36" t="str">
        <f aca="false">IF(OR(J30="",L30=""),"",IF(AND(J30&lt;=L30,K30&lt;=L30),"OK","OVER"))</f>
        <v/>
      </c>
      <c r="N30" s="31"/>
      <c r="O30" s="33"/>
      <c r="P30" s="31"/>
      <c r="Q30" s="31"/>
      <c r="R30" s="31"/>
    </row>
    <row r="31" customFormat="false" ht="15" hidden="false" customHeight="false" outlineLevel="0" collapsed="false">
      <c r="A31" s="31"/>
      <c r="B31" s="32"/>
      <c r="C31" s="33"/>
      <c r="D31" s="34"/>
      <c r="E31" s="34"/>
      <c r="F31" s="34"/>
      <c r="G31" s="34"/>
      <c r="H31" s="34"/>
      <c r="I31" s="34"/>
      <c r="J31" s="35" t="n">
        <f aca="false">IFERROR(SQRT((G31-D31)^2+(H31-E31)^2)*1000,"")</f>
        <v>0</v>
      </c>
      <c r="K31" s="35" t="n">
        <f aca="false">IFERROR(ABS(I31-F31)*1000,"")</f>
        <v>0</v>
      </c>
      <c r="L31" s="31"/>
      <c r="M31" s="36" t="str">
        <f aca="false">IF(OR(J31="",L31=""),"",IF(AND(J31&lt;=L31,K31&lt;=L31),"OK","OVER"))</f>
        <v/>
      </c>
      <c r="N31" s="31"/>
      <c r="O31" s="33"/>
      <c r="P31" s="31"/>
      <c r="Q31" s="31"/>
      <c r="R31" s="31"/>
    </row>
    <row r="32" customFormat="false" ht="15" hidden="false" customHeight="false" outlineLevel="0" collapsed="false">
      <c r="A32" s="31"/>
      <c r="B32" s="32"/>
      <c r="C32" s="33"/>
      <c r="D32" s="34"/>
      <c r="E32" s="34"/>
      <c r="F32" s="34"/>
      <c r="G32" s="34"/>
      <c r="H32" s="34"/>
      <c r="I32" s="34"/>
      <c r="J32" s="35" t="n">
        <f aca="false">IFERROR(SQRT((G32-D32)^2+(H32-E32)^2)*1000,"")</f>
        <v>0</v>
      </c>
      <c r="K32" s="35" t="n">
        <f aca="false">IFERROR(ABS(I32-F32)*1000,"")</f>
        <v>0</v>
      </c>
      <c r="L32" s="31"/>
      <c r="M32" s="36" t="str">
        <f aca="false">IF(OR(J32="",L32=""),"",IF(AND(J32&lt;=L32,K32&lt;=L32),"OK","OVER"))</f>
        <v/>
      </c>
      <c r="N32" s="31"/>
      <c r="O32" s="33"/>
      <c r="P32" s="31"/>
      <c r="Q32" s="31"/>
      <c r="R32" s="31"/>
    </row>
    <row r="33" customFormat="false" ht="15" hidden="false" customHeight="false" outlineLevel="0" collapsed="false">
      <c r="A33" s="31"/>
      <c r="B33" s="32"/>
      <c r="C33" s="33"/>
      <c r="D33" s="34"/>
      <c r="E33" s="34"/>
      <c r="F33" s="34"/>
      <c r="G33" s="34"/>
      <c r="H33" s="34"/>
      <c r="I33" s="34"/>
      <c r="J33" s="35" t="n">
        <f aca="false">IFERROR(SQRT((G33-D33)^2+(H33-E33)^2)*1000,"")</f>
        <v>0</v>
      </c>
      <c r="K33" s="35" t="n">
        <f aca="false">IFERROR(ABS(I33-F33)*1000,"")</f>
        <v>0</v>
      </c>
      <c r="L33" s="31"/>
      <c r="M33" s="36" t="str">
        <f aca="false">IF(OR(J33="",L33=""),"",IF(AND(J33&lt;=L33,K33&lt;=L33),"OK","OVER"))</f>
        <v/>
      </c>
      <c r="N33" s="31"/>
      <c r="O33" s="33"/>
      <c r="P33" s="31"/>
      <c r="Q33" s="31"/>
      <c r="R33" s="31"/>
    </row>
    <row r="34" customFormat="false" ht="15" hidden="false" customHeight="false" outlineLevel="0" collapsed="false">
      <c r="A34" s="31"/>
      <c r="B34" s="32"/>
      <c r="C34" s="33"/>
      <c r="D34" s="34"/>
      <c r="E34" s="34"/>
      <c r="F34" s="34"/>
      <c r="G34" s="34"/>
      <c r="H34" s="34"/>
      <c r="I34" s="34"/>
      <c r="J34" s="35" t="n">
        <f aca="false">IFERROR(SQRT((G34-D34)^2+(H34-E34)^2)*1000,"")</f>
        <v>0</v>
      </c>
      <c r="K34" s="35" t="n">
        <f aca="false">IFERROR(ABS(I34-F34)*1000,"")</f>
        <v>0</v>
      </c>
      <c r="L34" s="31"/>
      <c r="M34" s="36" t="str">
        <f aca="false">IF(OR(J34="",L34=""),"",IF(AND(J34&lt;=L34,K34&lt;=L34),"OK","OVER"))</f>
        <v/>
      </c>
      <c r="N34" s="31"/>
      <c r="O34" s="33"/>
      <c r="P34" s="31"/>
      <c r="Q34" s="31"/>
      <c r="R34" s="31"/>
    </row>
    <row r="35" customFormat="false" ht="15" hidden="false" customHeight="false" outlineLevel="0" collapsed="false">
      <c r="A35" s="31"/>
      <c r="B35" s="32"/>
      <c r="C35" s="33"/>
      <c r="D35" s="34"/>
      <c r="E35" s="34"/>
      <c r="F35" s="34"/>
      <c r="G35" s="34"/>
      <c r="H35" s="34"/>
      <c r="I35" s="34"/>
      <c r="J35" s="35" t="n">
        <f aca="false">IFERROR(SQRT((G35-D35)^2+(H35-E35)^2)*1000,"")</f>
        <v>0</v>
      </c>
      <c r="K35" s="35" t="n">
        <f aca="false">IFERROR(ABS(I35-F35)*1000,"")</f>
        <v>0</v>
      </c>
      <c r="L35" s="31"/>
      <c r="M35" s="36" t="str">
        <f aca="false">IF(OR(J35="",L35=""),"",IF(AND(J35&lt;=L35,K35&lt;=L35),"OK","OVER"))</f>
        <v/>
      </c>
      <c r="N35" s="31"/>
      <c r="O35" s="33"/>
      <c r="P35" s="31"/>
      <c r="Q35" s="31"/>
      <c r="R35" s="31"/>
    </row>
    <row r="36" customFormat="false" ht="15" hidden="false" customHeight="false" outlineLevel="0" collapsed="false">
      <c r="A36" s="31"/>
      <c r="B36" s="32"/>
      <c r="C36" s="33"/>
      <c r="D36" s="34"/>
      <c r="E36" s="34"/>
      <c r="F36" s="34"/>
      <c r="G36" s="34"/>
      <c r="H36" s="34"/>
      <c r="I36" s="34"/>
      <c r="J36" s="35" t="n">
        <f aca="false">IFERROR(SQRT((G36-D36)^2+(H36-E36)^2)*1000,"")</f>
        <v>0</v>
      </c>
      <c r="K36" s="35" t="n">
        <f aca="false">IFERROR(ABS(I36-F36)*1000,"")</f>
        <v>0</v>
      </c>
      <c r="L36" s="31"/>
      <c r="M36" s="36" t="str">
        <f aca="false">IF(OR(J36="",L36=""),"",IF(AND(J36&lt;=L36,K36&lt;=L36),"OK","OVER"))</f>
        <v/>
      </c>
      <c r="N36" s="31"/>
      <c r="O36" s="33"/>
      <c r="P36" s="31"/>
      <c r="Q36" s="31"/>
      <c r="R36" s="31"/>
    </row>
    <row r="37" customFormat="false" ht="15" hidden="false" customHeight="false" outlineLevel="0" collapsed="false">
      <c r="A37" s="31"/>
      <c r="B37" s="32"/>
      <c r="C37" s="33"/>
      <c r="D37" s="34"/>
      <c r="E37" s="34"/>
      <c r="F37" s="34"/>
      <c r="G37" s="34"/>
      <c r="H37" s="34"/>
      <c r="I37" s="34"/>
      <c r="J37" s="35" t="n">
        <f aca="false">IFERROR(SQRT((G37-D37)^2+(H37-E37)^2)*1000,"")</f>
        <v>0</v>
      </c>
      <c r="K37" s="35" t="n">
        <f aca="false">IFERROR(ABS(I37-F37)*1000,"")</f>
        <v>0</v>
      </c>
      <c r="L37" s="31"/>
      <c r="M37" s="36" t="str">
        <f aca="false">IF(OR(J37="",L37=""),"",IF(AND(J37&lt;=L37,K37&lt;=L37),"OK","OVER"))</f>
        <v/>
      </c>
      <c r="N37" s="31"/>
      <c r="O37" s="33"/>
      <c r="P37" s="31"/>
      <c r="Q37" s="31"/>
      <c r="R37" s="31"/>
    </row>
    <row r="38" customFormat="false" ht="15" hidden="false" customHeight="false" outlineLevel="0" collapsed="false">
      <c r="A38" s="31"/>
      <c r="B38" s="32"/>
      <c r="C38" s="33"/>
      <c r="D38" s="34"/>
      <c r="E38" s="34"/>
      <c r="F38" s="34"/>
      <c r="G38" s="34"/>
      <c r="H38" s="34"/>
      <c r="I38" s="34"/>
      <c r="J38" s="35" t="n">
        <f aca="false">IFERROR(SQRT((G38-D38)^2+(H38-E38)^2)*1000,"")</f>
        <v>0</v>
      </c>
      <c r="K38" s="35" t="n">
        <f aca="false">IFERROR(ABS(I38-F38)*1000,"")</f>
        <v>0</v>
      </c>
      <c r="L38" s="31"/>
      <c r="M38" s="36" t="str">
        <f aca="false">IF(OR(J38="",L38=""),"",IF(AND(J38&lt;=L38,K38&lt;=L38),"OK","OVER"))</f>
        <v/>
      </c>
      <c r="N38" s="31"/>
      <c r="O38" s="33"/>
      <c r="P38" s="31"/>
      <c r="Q38" s="31"/>
      <c r="R38" s="31"/>
    </row>
    <row r="39" customFormat="false" ht="15" hidden="false" customHeight="false" outlineLevel="0" collapsed="false">
      <c r="A39" s="31"/>
      <c r="B39" s="32"/>
      <c r="C39" s="33"/>
      <c r="D39" s="34"/>
      <c r="E39" s="34"/>
      <c r="F39" s="34"/>
      <c r="G39" s="34"/>
      <c r="H39" s="34"/>
      <c r="I39" s="34"/>
      <c r="J39" s="35" t="n">
        <f aca="false">IFERROR(SQRT((G39-D39)^2+(H39-E39)^2)*1000,"")</f>
        <v>0</v>
      </c>
      <c r="K39" s="35" t="n">
        <f aca="false">IFERROR(ABS(I39-F39)*1000,"")</f>
        <v>0</v>
      </c>
      <c r="L39" s="31"/>
      <c r="M39" s="36" t="str">
        <f aca="false">IF(OR(J39="",L39=""),"",IF(AND(J39&lt;=L39,K39&lt;=L39),"OK","OVER"))</f>
        <v/>
      </c>
      <c r="N39" s="31"/>
      <c r="O39" s="33"/>
      <c r="P39" s="31"/>
      <c r="Q39" s="31"/>
      <c r="R39" s="31"/>
    </row>
    <row r="40" customFormat="false" ht="15" hidden="false" customHeight="false" outlineLevel="0" collapsed="false">
      <c r="A40" s="31"/>
      <c r="B40" s="32"/>
      <c r="C40" s="33"/>
      <c r="D40" s="34"/>
      <c r="E40" s="34"/>
      <c r="F40" s="34"/>
      <c r="G40" s="34"/>
      <c r="H40" s="34"/>
      <c r="I40" s="34"/>
      <c r="J40" s="35" t="n">
        <f aca="false">IFERROR(SQRT((G40-D40)^2+(H40-E40)^2)*1000,"")</f>
        <v>0</v>
      </c>
      <c r="K40" s="35" t="n">
        <f aca="false">IFERROR(ABS(I40-F40)*1000,"")</f>
        <v>0</v>
      </c>
      <c r="L40" s="31"/>
      <c r="M40" s="36" t="str">
        <f aca="false">IF(OR(J40="",L40=""),"",IF(AND(J40&lt;=L40,K40&lt;=L40),"OK","OVER"))</f>
        <v/>
      </c>
      <c r="N40" s="31"/>
      <c r="O40" s="33"/>
      <c r="P40" s="31"/>
      <c r="Q40" s="31"/>
      <c r="R40" s="31"/>
    </row>
    <row r="41" customFormat="false" ht="15" hidden="false" customHeight="false" outlineLevel="0" collapsed="false">
      <c r="A41" s="31"/>
      <c r="B41" s="32"/>
      <c r="C41" s="33"/>
      <c r="D41" s="34"/>
      <c r="E41" s="34"/>
      <c r="F41" s="34"/>
      <c r="G41" s="34"/>
      <c r="H41" s="34"/>
      <c r="I41" s="34"/>
      <c r="J41" s="35" t="n">
        <f aca="false">IFERROR(SQRT((G41-D41)^2+(H41-E41)^2)*1000,"")</f>
        <v>0</v>
      </c>
      <c r="K41" s="35" t="n">
        <f aca="false">IFERROR(ABS(I41-F41)*1000,"")</f>
        <v>0</v>
      </c>
      <c r="L41" s="31"/>
      <c r="M41" s="36" t="str">
        <f aca="false">IF(OR(J41="",L41=""),"",IF(AND(J41&lt;=L41,K41&lt;=L41),"OK","OVER"))</f>
        <v/>
      </c>
      <c r="N41" s="31"/>
      <c r="O41" s="33"/>
      <c r="P41" s="31"/>
      <c r="Q41" s="31"/>
      <c r="R41" s="31"/>
    </row>
    <row r="42" customFormat="false" ht="15" hidden="false" customHeight="false" outlineLevel="0" collapsed="false">
      <c r="A42" s="31"/>
      <c r="B42" s="32"/>
      <c r="C42" s="33"/>
      <c r="D42" s="34"/>
      <c r="E42" s="34"/>
      <c r="F42" s="34"/>
      <c r="G42" s="34"/>
      <c r="H42" s="34"/>
      <c r="I42" s="34"/>
      <c r="J42" s="35" t="n">
        <f aca="false">IFERROR(SQRT((G42-D42)^2+(H42-E42)^2)*1000,"")</f>
        <v>0</v>
      </c>
      <c r="K42" s="35" t="n">
        <f aca="false">IFERROR(ABS(I42-F42)*1000,"")</f>
        <v>0</v>
      </c>
      <c r="L42" s="31"/>
      <c r="M42" s="36" t="str">
        <f aca="false">IF(OR(J42="",L42=""),"",IF(AND(J42&lt;=L42,K42&lt;=L42),"OK","OVER"))</f>
        <v/>
      </c>
      <c r="N42" s="31"/>
      <c r="O42" s="33"/>
      <c r="P42" s="31"/>
      <c r="Q42" s="31"/>
      <c r="R42" s="31"/>
    </row>
    <row r="43" customFormat="false" ht="15" hidden="false" customHeight="false" outlineLevel="0" collapsed="false">
      <c r="A43" s="31"/>
      <c r="B43" s="32"/>
      <c r="C43" s="33"/>
      <c r="D43" s="34"/>
      <c r="E43" s="34"/>
      <c r="F43" s="34"/>
      <c r="G43" s="34"/>
      <c r="H43" s="34"/>
      <c r="I43" s="34"/>
      <c r="J43" s="35" t="n">
        <f aca="false">IFERROR(SQRT((G43-D43)^2+(H43-E43)^2)*1000,"")</f>
        <v>0</v>
      </c>
      <c r="K43" s="35" t="n">
        <f aca="false">IFERROR(ABS(I43-F43)*1000,"")</f>
        <v>0</v>
      </c>
      <c r="L43" s="31"/>
      <c r="M43" s="36" t="str">
        <f aca="false">IF(OR(J43="",L43=""),"",IF(AND(J43&lt;=L43,K43&lt;=L43),"OK","OVER"))</f>
        <v/>
      </c>
      <c r="N43" s="31"/>
      <c r="O43" s="33"/>
      <c r="P43" s="31"/>
      <c r="Q43" s="31"/>
      <c r="R43" s="31"/>
    </row>
    <row r="44" customFormat="false" ht="15" hidden="false" customHeight="false" outlineLevel="0" collapsed="false">
      <c r="A44" s="31"/>
      <c r="B44" s="32"/>
      <c r="C44" s="33"/>
      <c r="D44" s="34"/>
      <c r="E44" s="34"/>
      <c r="F44" s="34"/>
      <c r="G44" s="34"/>
      <c r="H44" s="34"/>
      <c r="I44" s="34"/>
      <c r="J44" s="35" t="n">
        <f aca="false">IFERROR(SQRT((G44-D44)^2+(H44-E44)^2)*1000,"")</f>
        <v>0</v>
      </c>
      <c r="K44" s="35" t="n">
        <f aca="false">IFERROR(ABS(I44-F44)*1000,"")</f>
        <v>0</v>
      </c>
      <c r="L44" s="31"/>
      <c r="M44" s="36" t="str">
        <f aca="false">IF(OR(J44="",L44=""),"",IF(AND(J44&lt;=L44,K44&lt;=L44),"OK","OVER"))</f>
        <v/>
      </c>
      <c r="N44" s="31"/>
      <c r="O44" s="33"/>
      <c r="P44" s="31"/>
      <c r="Q44" s="31"/>
      <c r="R44" s="31"/>
    </row>
    <row r="45" customFormat="false" ht="15" hidden="false" customHeight="false" outlineLevel="0" collapsed="false">
      <c r="A45" s="31"/>
      <c r="B45" s="32"/>
      <c r="C45" s="33"/>
      <c r="D45" s="34"/>
      <c r="E45" s="34"/>
      <c r="F45" s="34"/>
      <c r="G45" s="34"/>
      <c r="H45" s="34"/>
      <c r="I45" s="34"/>
      <c r="J45" s="35" t="n">
        <f aca="false">IFERROR(SQRT((G45-D45)^2+(H45-E45)^2)*1000,"")</f>
        <v>0</v>
      </c>
      <c r="K45" s="35" t="n">
        <f aca="false">IFERROR(ABS(I45-F45)*1000,"")</f>
        <v>0</v>
      </c>
      <c r="L45" s="31"/>
      <c r="M45" s="36" t="str">
        <f aca="false">IF(OR(J45="",L45=""),"",IF(AND(J45&lt;=L45,K45&lt;=L45),"OK","OVER"))</f>
        <v/>
      </c>
      <c r="N45" s="31"/>
      <c r="O45" s="33"/>
      <c r="P45" s="31"/>
      <c r="Q45" s="31"/>
      <c r="R45" s="31"/>
    </row>
    <row r="46" customFormat="false" ht="15" hidden="false" customHeight="false" outlineLevel="0" collapsed="false">
      <c r="A46" s="31"/>
      <c r="B46" s="32"/>
      <c r="C46" s="33"/>
      <c r="D46" s="34"/>
      <c r="E46" s="34"/>
      <c r="F46" s="34"/>
      <c r="G46" s="34"/>
      <c r="H46" s="34"/>
      <c r="I46" s="34"/>
      <c r="J46" s="35" t="n">
        <f aca="false">IFERROR(SQRT((G46-D46)^2+(H46-E46)^2)*1000,"")</f>
        <v>0</v>
      </c>
      <c r="K46" s="35" t="n">
        <f aca="false">IFERROR(ABS(I46-F46)*1000,"")</f>
        <v>0</v>
      </c>
      <c r="L46" s="31"/>
      <c r="M46" s="36" t="str">
        <f aca="false">IF(OR(J46="",L46=""),"",IF(AND(J46&lt;=L46,K46&lt;=L46),"OK","OVER"))</f>
        <v/>
      </c>
      <c r="N46" s="31"/>
      <c r="O46" s="33"/>
      <c r="P46" s="31"/>
      <c r="Q46" s="31"/>
      <c r="R46" s="31"/>
    </row>
    <row r="47" customFormat="false" ht="15" hidden="false" customHeight="false" outlineLevel="0" collapsed="false">
      <c r="A47" s="31"/>
      <c r="B47" s="32"/>
      <c r="C47" s="33"/>
      <c r="D47" s="34"/>
      <c r="E47" s="34"/>
      <c r="F47" s="34"/>
      <c r="G47" s="34"/>
      <c r="H47" s="34"/>
      <c r="I47" s="34"/>
      <c r="J47" s="35" t="n">
        <f aca="false">IFERROR(SQRT((G47-D47)^2+(H47-E47)^2)*1000,"")</f>
        <v>0</v>
      </c>
      <c r="K47" s="35" t="n">
        <f aca="false">IFERROR(ABS(I47-F47)*1000,"")</f>
        <v>0</v>
      </c>
      <c r="L47" s="31"/>
      <c r="M47" s="36" t="str">
        <f aca="false">IF(OR(J47="",L47=""),"",IF(AND(J47&lt;=L47,K47&lt;=L47),"OK","OVER"))</f>
        <v/>
      </c>
      <c r="N47" s="31"/>
      <c r="O47" s="33"/>
      <c r="P47" s="31"/>
      <c r="Q47" s="31"/>
      <c r="R47" s="31"/>
    </row>
    <row r="48" customFormat="false" ht="15" hidden="false" customHeight="false" outlineLevel="0" collapsed="false">
      <c r="A48" s="31"/>
      <c r="B48" s="32"/>
      <c r="C48" s="33"/>
      <c r="D48" s="34"/>
      <c r="E48" s="34"/>
      <c r="F48" s="34"/>
      <c r="G48" s="34"/>
      <c r="H48" s="34"/>
      <c r="I48" s="34"/>
      <c r="J48" s="35" t="n">
        <f aca="false">IFERROR(SQRT((G48-D48)^2+(H48-E48)^2)*1000,"")</f>
        <v>0</v>
      </c>
      <c r="K48" s="35" t="n">
        <f aca="false">IFERROR(ABS(I48-F48)*1000,"")</f>
        <v>0</v>
      </c>
      <c r="L48" s="31"/>
      <c r="M48" s="36" t="str">
        <f aca="false">IF(OR(J48="",L48=""),"",IF(AND(J48&lt;=L48,K48&lt;=L48),"OK","OVER"))</f>
        <v/>
      </c>
      <c r="N48" s="31"/>
      <c r="O48" s="33"/>
      <c r="P48" s="31"/>
      <c r="Q48" s="31"/>
      <c r="R48" s="31"/>
    </row>
    <row r="49" customFormat="false" ht="15" hidden="false" customHeight="false" outlineLevel="0" collapsed="false">
      <c r="A49" s="31"/>
      <c r="B49" s="32"/>
      <c r="C49" s="33"/>
      <c r="D49" s="34"/>
      <c r="E49" s="34"/>
      <c r="F49" s="34"/>
      <c r="G49" s="34"/>
      <c r="H49" s="34"/>
      <c r="I49" s="34"/>
      <c r="J49" s="35" t="n">
        <f aca="false">IFERROR(SQRT((G49-D49)^2+(H49-E49)^2)*1000,"")</f>
        <v>0</v>
      </c>
      <c r="K49" s="35" t="n">
        <f aca="false">IFERROR(ABS(I49-F49)*1000,"")</f>
        <v>0</v>
      </c>
      <c r="L49" s="31"/>
      <c r="M49" s="36" t="str">
        <f aca="false">IF(OR(J49="",L49=""),"",IF(AND(J49&lt;=L49,K49&lt;=L49),"OK","OVER"))</f>
        <v/>
      </c>
      <c r="N49" s="31"/>
      <c r="O49" s="33"/>
      <c r="P49" s="31"/>
      <c r="Q49" s="31"/>
      <c r="R49" s="31"/>
    </row>
    <row r="50" customFormat="false" ht="15" hidden="false" customHeight="false" outlineLevel="0" collapsed="false">
      <c r="A50" s="31"/>
      <c r="B50" s="32"/>
      <c r="C50" s="33"/>
      <c r="D50" s="34"/>
      <c r="E50" s="34"/>
      <c r="F50" s="34"/>
      <c r="G50" s="34"/>
      <c r="H50" s="34"/>
      <c r="I50" s="34"/>
      <c r="J50" s="35" t="n">
        <f aca="false">IFERROR(SQRT((G50-D50)^2+(H50-E50)^2)*1000,"")</f>
        <v>0</v>
      </c>
      <c r="K50" s="35" t="n">
        <f aca="false">IFERROR(ABS(I50-F50)*1000,"")</f>
        <v>0</v>
      </c>
      <c r="L50" s="31"/>
      <c r="M50" s="36" t="str">
        <f aca="false">IF(OR(J50="",L50=""),"",IF(AND(J50&lt;=L50,K50&lt;=L50),"OK","OVER"))</f>
        <v/>
      </c>
      <c r="N50" s="31"/>
      <c r="O50" s="33"/>
      <c r="P50" s="31"/>
      <c r="Q50" s="31"/>
      <c r="R50" s="31"/>
    </row>
    <row r="51" customFormat="false" ht="15" hidden="false" customHeight="false" outlineLevel="0" collapsed="false">
      <c r="A51" s="31"/>
      <c r="B51" s="32"/>
      <c r="C51" s="33"/>
      <c r="D51" s="34"/>
      <c r="E51" s="34"/>
      <c r="F51" s="34"/>
      <c r="G51" s="34"/>
      <c r="H51" s="34"/>
      <c r="I51" s="34"/>
      <c r="J51" s="35" t="n">
        <f aca="false">IFERROR(SQRT((G51-D51)^2+(H51-E51)^2)*1000,"")</f>
        <v>0</v>
      </c>
      <c r="K51" s="35" t="n">
        <f aca="false">IFERROR(ABS(I51-F51)*1000,"")</f>
        <v>0</v>
      </c>
      <c r="L51" s="31"/>
      <c r="M51" s="36" t="str">
        <f aca="false">IF(OR(J51="",L51=""),"",IF(AND(J51&lt;=L51,K51&lt;=L51),"OK","OVER"))</f>
        <v/>
      </c>
      <c r="N51" s="31"/>
      <c r="O51" s="33"/>
      <c r="P51" s="31"/>
      <c r="Q51" s="31"/>
      <c r="R51" s="31"/>
    </row>
    <row r="52" customFormat="false" ht="15" hidden="false" customHeight="false" outlineLevel="0" collapsed="false">
      <c r="A52" s="31"/>
      <c r="B52" s="32"/>
      <c r="C52" s="33"/>
      <c r="D52" s="34"/>
      <c r="E52" s="34"/>
      <c r="F52" s="34"/>
      <c r="G52" s="34"/>
      <c r="H52" s="34"/>
      <c r="I52" s="34"/>
      <c r="J52" s="35" t="n">
        <f aca="false">IFERROR(SQRT((G52-D52)^2+(H52-E52)^2)*1000,"")</f>
        <v>0</v>
      </c>
      <c r="K52" s="35" t="n">
        <f aca="false">IFERROR(ABS(I52-F52)*1000,"")</f>
        <v>0</v>
      </c>
      <c r="L52" s="31"/>
      <c r="M52" s="36" t="str">
        <f aca="false">IF(OR(J52="",L52=""),"",IF(AND(J52&lt;=L52,K52&lt;=L52),"OK","OVER"))</f>
        <v/>
      </c>
      <c r="N52" s="31"/>
      <c r="O52" s="33"/>
      <c r="P52" s="31"/>
      <c r="Q52" s="31"/>
      <c r="R52" s="31"/>
    </row>
    <row r="53" customFormat="false" ht="15" hidden="false" customHeight="false" outlineLevel="0" collapsed="false">
      <c r="A53" s="31"/>
      <c r="B53" s="32"/>
      <c r="C53" s="33"/>
      <c r="D53" s="34"/>
      <c r="E53" s="34"/>
      <c r="F53" s="34"/>
      <c r="G53" s="34"/>
      <c r="H53" s="34"/>
      <c r="I53" s="34"/>
      <c r="J53" s="35" t="n">
        <f aca="false">IFERROR(SQRT((G53-D53)^2+(H53-E53)^2)*1000,"")</f>
        <v>0</v>
      </c>
      <c r="K53" s="35" t="n">
        <f aca="false">IFERROR(ABS(I53-F53)*1000,"")</f>
        <v>0</v>
      </c>
      <c r="L53" s="31"/>
      <c r="M53" s="36" t="str">
        <f aca="false">IF(OR(J53="",L53=""),"",IF(AND(J53&lt;=L53,K53&lt;=L53),"OK","OVER"))</f>
        <v/>
      </c>
      <c r="N53" s="31"/>
      <c r="O53" s="33"/>
      <c r="P53" s="31"/>
      <c r="Q53" s="31"/>
      <c r="R53" s="31"/>
    </row>
    <row r="54" customFormat="false" ht="15" hidden="false" customHeight="false" outlineLevel="0" collapsed="false">
      <c r="A54" s="31"/>
      <c r="B54" s="32"/>
      <c r="C54" s="33"/>
      <c r="D54" s="34"/>
      <c r="E54" s="34"/>
      <c r="F54" s="34"/>
      <c r="G54" s="34"/>
      <c r="H54" s="34"/>
      <c r="I54" s="34"/>
      <c r="J54" s="35" t="n">
        <f aca="false">IFERROR(SQRT((G54-D54)^2+(H54-E54)^2)*1000,"")</f>
        <v>0</v>
      </c>
      <c r="K54" s="35" t="n">
        <f aca="false">IFERROR(ABS(I54-F54)*1000,"")</f>
        <v>0</v>
      </c>
      <c r="L54" s="31"/>
      <c r="M54" s="36" t="str">
        <f aca="false">IF(OR(J54="",L54=""),"",IF(AND(J54&lt;=L54,K54&lt;=L54),"OK","OVER"))</f>
        <v/>
      </c>
      <c r="N54" s="31"/>
      <c r="O54" s="33"/>
      <c r="P54" s="31"/>
      <c r="Q54" s="31"/>
      <c r="R54" s="31"/>
    </row>
    <row r="55" customFormat="false" ht="15" hidden="false" customHeight="false" outlineLevel="0" collapsed="false">
      <c r="A55" s="31"/>
      <c r="B55" s="32"/>
      <c r="C55" s="33"/>
      <c r="D55" s="34"/>
      <c r="E55" s="34"/>
      <c r="F55" s="34"/>
      <c r="G55" s="34"/>
      <c r="H55" s="34"/>
      <c r="I55" s="34"/>
      <c r="J55" s="35" t="n">
        <f aca="false">IFERROR(SQRT((G55-D55)^2+(H55-E55)^2)*1000,"")</f>
        <v>0</v>
      </c>
      <c r="K55" s="35" t="n">
        <f aca="false">IFERROR(ABS(I55-F55)*1000,"")</f>
        <v>0</v>
      </c>
      <c r="L55" s="31"/>
      <c r="M55" s="36" t="str">
        <f aca="false">IF(OR(J55="",L55=""),"",IF(AND(J55&lt;=L55,K55&lt;=L55),"OK","OVER"))</f>
        <v/>
      </c>
      <c r="N55" s="31"/>
      <c r="O55" s="33"/>
      <c r="P55" s="31"/>
      <c r="Q55" s="31"/>
      <c r="R55" s="31"/>
    </row>
    <row r="56" customFormat="false" ht="15" hidden="false" customHeight="false" outlineLevel="0" collapsed="false">
      <c r="A56" s="31"/>
      <c r="B56" s="32"/>
      <c r="C56" s="33"/>
      <c r="D56" s="34"/>
      <c r="E56" s="34"/>
      <c r="F56" s="34"/>
      <c r="G56" s="34"/>
      <c r="H56" s="34"/>
      <c r="I56" s="34"/>
      <c r="J56" s="35" t="n">
        <f aca="false">IFERROR(SQRT((G56-D56)^2+(H56-E56)^2)*1000,"")</f>
        <v>0</v>
      </c>
      <c r="K56" s="35" t="n">
        <f aca="false">IFERROR(ABS(I56-F56)*1000,"")</f>
        <v>0</v>
      </c>
      <c r="L56" s="31"/>
      <c r="M56" s="36" t="str">
        <f aca="false">IF(OR(J56="",L56=""),"",IF(AND(J56&lt;=L56,K56&lt;=L56),"OK","OVER"))</f>
        <v/>
      </c>
      <c r="N56" s="31"/>
      <c r="O56" s="33"/>
      <c r="P56" s="31"/>
      <c r="Q56" s="31"/>
      <c r="R56" s="31"/>
    </row>
    <row r="57" customFormat="false" ht="15" hidden="false" customHeight="false" outlineLevel="0" collapsed="false">
      <c r="A57" s="31"/>
      <c r="B57" s="32"/>
      <c r="C57" s="33"/>
      <c r="D57" s="34"/>
      <c r="E57" s="34"/>
      <c r="F57" s="34"/>
      <c r="G57" s="34"/>
      <c r="H57" s="34"/>
      <c r="I57" s="34"/>
      <c r="J57" s="35" t="n">
        <f aca="false">IFERROR(SQRT((G57-D57)^2+(H57-E57)^2)*1000,"")</f>
        <v>0</v>
      </c>
      <c r="K57" s="35" t="n">
        <f aca="false">IFERROR(ABS(I57-F57)*1000,"")</f>
        <v>0</v>
      </c>
      <c r="L57" s="31"/>
      <c r="M57" s="36" t="str">
        <f aca="false">IF(OR(J57="",L57=""),"",IF(AND(J57&lt;=L57,K57&lt;=L57),"OK","OVER"))</f>
        <v/>
      </c>
      <c r="N57" s="31"/>
      <c r="O57" s="33"/>
      <c r="P57" s="31"/>
      <c r="Q57" s="31"/>
      <c r="R57" s="31"/>
    </row>
    <row r="58" customFormat="false" ht="15" hidden="false" customHeight="false" outlineLevel="0" collapsed="false">
      <c r="A58" s="31"/>
      <c r="B58" s="32"/>
      <c r="C58" s="33"/>
      <c r="D58" s="34"/>
      <c r="E58" s="34"/>
      <c r="F58" s="34"/>
      <c r="G58" s="34"/>
      <c r="H58" s="34"/>
      <c r="I58" s="34"/>
      <c r="J58" s="35" t="n">
        <f aca="false">IFERROR(SQRT((G58-D58)^2+(H58-E58)^2)*1000,"")</f>
        <v>0</v>
      </c>
      <c r="K58" s="35" t="n">
        <f aca="false">IFERROR(ABS(I58-F58)*1000,"")</f>
        <v>0</v>
      </c>
      <c r="L58" s="31"/>
      <c r="M58" s="36" t="str">
        <f aca="false">IF(OR(J58="",L58=""),"",IF(AND(J58&lt;=L58,K58&lt;=L58),"OK","OVER"))</f>
        <v/>
      </c>
      <c r="N58" s="31"/>
      <c r="O58" s="33"/>
      <c r="P58" s="31"/>
      <c r="Q58" s="31"/>
      <c r="R58" s="31"/>
    </row>
    <row r="59" customFormat="false" ht="15" hidden="false" customHeight="false" outlineLevel="0" collapsed="false">
      <c r="A59" s="31"/>
      <c r="B59" s="32"/>
      <c r="C59" s="33"/>
      <c r="D59" s="34"/>
      <c r="E59" s="34"/>
      <c r="F59" s="34"/>
      <c r="G59" s="34"/>
      <c r="H59" s="34"/>
      <c r="I59" s="34"/>
      <c r="J59" s="35" t="n">
        <f aca="false">IFERROR(SQRT((G59-D59)^2+(H59-E59)^2)*1000,"")</f>
        <v>0</v>
      </c>
      <c r="K59" s="35" t="n">
        <f aca="false">IFERROR(ABS(I59-F59)*1000,"")</f>
        <v>0</v>
      </c>
      <c r="L59" s="31"/>
      <c r="M59" s="36" t="str">
        <f aca="false">IF(OR(J59="",L59=""),"",IF(AND(J59&lt;=L59,K59&lt;=L59),"OK","OVER"))</f>
        <v/>
      </c>
      <c r="N59" s="31"/>
      <c r="O59" s="33"/>
      <c r="P59" s="31"/>
      <c r="Q59" s="31"/>
      <c r="R59" s="31"/>
    </row>
    <row r="60" customFormat="false" ht="15" hidden="false" customHeight="false" outlineLevel="0" collapsed="false">
      <c r="A60" s="31"/>
      <c r="B60" s="32"/>
      <c r="C60" s="33"/>
      <c r="D60" s="34"/>
      <c r="E60" s="34"/>
      <c r="F60" s="34"/>
      <c r="G60" s="34"/>
      <c r="H60" s="34"/>
      <c r="I60" s="34"/>
      <c r="J60" s="35" t="n">
        <f aca="false">IFERROR(SQRT((G60-D60)^2+(H60-E60)^2)*1000,"")</f>
        <v>0</v>
      </c>
      <c r="K60" s="35" t="n">
        <f aca="false">IFERROR(ABS(I60-F60)*1000,"")</f>
        <v>0</v>
      </c>
      <c r="L60" s="31"/>
      <c r="M60" s="36" t="str">
        <f aca="false">IF(OR(J60="",L60=""),"",IF(AND(J60&lt;=L60,K60&lt;=L60),"OK","OVER"))</f>
        <v/>
      </c>
      <c r="N60" s="31"/>
      <c r="O60" s="33"/>
      <c r="P60" s="31"/>
      <c r="Q60" s="31"/>
      <c r="R60" s="31"/>
    </row>
  </sheetData>
  <autoFilter ref="A9:R60"/>
  <mergeCells count="7">
    <mergeCell ref="A1:O1"/>
    <mergeCell ref="A7:C7"/>
    <mergeCell ref="D7:F7"/>
    <mergeCell ref="G7:I7"/>
    <mergeCell ref="J7:M7"/>
    <mergeCell ref="N7:O7"/>
    <mergeCell ref="P7:R7"/>
  </mergeCells>
  <conditionalFormatting sqref="M10:M60">
    <cfRule type="cellIs" priority="2" operator="equal" aboveAverage="0" equalAverage="0" bottom="0" percent="0" rank="0" text="" dxfId="7">
      <formula>"OK"</formula>
    </cfRule>
    <cfRule type="cellIs" priority="3" operator="equal" aboveAverage="0" equalAverage="0" bottom="0" percent="0" rank="0" text="" dxfId="8">
      <formula>"OVER"</formula>
    </cfRule>
  </conditionalFormatting>
  <conditionalFormatting sqref="J10:J60">
    <cfRule type="expression" priority="4" aboveAverage="0" equalAverage="0" bottom="0" percent="0" rank="0" text="" dxfId="8">
      <formula>AND(J10&lt;&gt;"",J10&gt;L10)</formula>
    </cfRule>
    <cfRule type="expression" priority="5" aboveAverage="0" equalAverage="0" bottom="0" percent="0" rank="0" text="" dxfId="9">
      <formula>AND(J10&lt;&gt;"",J10&lt;=L10)</formula>
    </cfRule>
  </conditionalFormatting>
  <conditionalFormatting sqref="K10:K60">
    <cfRule type="expression" priority="6" aboveAverage="0" equalAverage="0" bottom="0" percent="0" rank="0" text="" dxfId="8">
      <formula>AND(K10&lt;&gt;"",K10&gt;L10)</formula>
    </cfRule>
    <cfRule type="expression" priority="7" aboveAverage="0" equalAverage="0" bottom="0" percent="0" rank="0" text="" dxfId="9">
      <formula>AND(K10&lt;&gt;"",K10&lt;=L10)</formula>
    </cfRule>
  </conditionalFormatting>
  <printOptions headings="false" gridLines="false" gridLinesSet="true" horizontalCentered="false" verticalCentered="false"/>
  <pageMargins left="0.75" right="0.75" top="1" bottom="1" header="0.5" footer="0.5"/>
  <pageSetup paperSize="9" scale="100" fitToWidth="1" fitToHeight="1" pageOrder="downThenOver" orientation="landscape" blackAndWhite="false" draft="false" cellComments="none" horizontalDpi="300" verticalDpi="300" copies="1"/>
  <headerFooter differentFirst="false" differentOddEven="false">
    <oddHeader>&amp;CSurvey / Setting Out Check Register</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0"/>
  </cols>
  <sheetData>
    <row r="1" customFormat="false" ht="15" hidden="false" customHeight="false" outlineLevel="0" collapsed="false">
      <c r="A1" s="37" t="s">
        <v>87</v>
      </c>
    </row>
    <row r="2" customFormat="false" ht="15" hidden="false" customHeight="false" outlineLevel="0" collapsed="false">
      <c r="A2" s="37"/>
    </row>
    <row r="3" customFormat="false" ht="15" hidden="false" customHeight="false" outlineLevel="0" collapsed="false">
      <c r="A3" s="37" t="s">
        <v>88</v>
      </c>
    </row>
    <row r="4" customFormat="false" ht="15" hidden="false" customHeight="false" outlineLevel="0" collapsed="false">
      <c r="A4" s="37"/>
    </row>
    <row r="5" customFormat="false" ht="15" hidden="false" customHeight="false" outlineLevel="0" collapsed="false">
      <c r="A5" s="37" t="s">
        <v>89</v>
      </c>
    </row>
    <row r="6" customFormat="false" ht="15" hidden="false" customHeight="false" outlineLevel="0" collapsed="false">
      <c r="A6" s="37"/>
    </row>
    <row r="7" customFormat="false" ht="15" hidden="false" customHeight="false" outlineLevel="0" collapsed="false">
      <c r="A7" s="37" t="s">
        <v>90</v>
      </c>
    </row>
    <row r="8" customFormat="false" ht="15" hidden="false" customHeight="false" outlineLevel="0" collapsed="false">
      <c r="A8" s="37"/>
    </row>
    <row r="9" customFormat="false" ht="15" hidden="false" customHeight="false" outlineLevel="0" collapsed="false">
      <c r="A9" s="37" t="s">
        <v>91</v>
      </c>
    </row>
    <row r="10" customFormat="false" ht="15" hidden="false" customHeight="false" outlineLevel="0" collapsed="false">
      <c r="A10" s="37"/>
    </row>
    <row r="11" customFormat="false" ht="15" hidden="false" customHeight="false" outlineLevel="0" collapsed="false">
      <c r="A11" s="37" t="s">
        <v>92</v>
      </c>
    </row>
    <row r="12" customFormat="false" ht="15" hidden="false" customHeight="false" outlineLevel="0" collapsed="false">
      <c r="A12" s="37"/>
    </row>
    <row r="13" customFormat="false" ht="15" hidden="false" customHeight="false" outlineLevel="0" collapsed="false">
      <c r="A13" s="37" t="s">
        <v>93</v>
      </c>
    </row>
    <row r="14" customFormat="false" ht="15" hidden="false" customHeight="false" outlineLevel="0" collapsed="false">
      <c r="A14" s="37"/>
    </row>
    <row r="15" customFormat="false" ht="15" hidden="false" customHeight="false" outlineLevel="0" collapsed="false">
      <c r="A15" s="37" t="s">
        <v>94</v>
      </c>
    </row>
    <row r="16" customFormat="false" ht="15" hidden="false" customHeight="false" outlineLevel="0" collapsed="false">
      <c r="A16" s="37"/>
    </row>
    <row r="17" customFormat="false" ht="15" hidden="false" customHeight="false" outlineLevel="0" collapsed="false">
      <c r="A17" s="37" t="s">
        <v>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Quality</cp:category>
  <dcterms:created xsi:type="dcterms:W3CDTF">2026-03-23T10:00:03Z</dcterms:created>
  <dc:creator>Ebrora Ltd</dc:creator>
  <dc:description>Verify as-built positions against design coordinates with automatic plan and level deviation calculation and tolerance checking.
Free professional construction management template from Ebrora Ltd. Visit ebrora.com for our full range of tools and templates.</dc:description>
  <cp:keywords>Ebrora construction quality survey setting out coordinates deviation tolerance</cp:keywords>
  <dc:language>en-US</dc:language>
  <cp:lastModifiedBy>Ebrora Ltd</cp:lastModifiedBy>
  <dcterms:modified xsi:type="dcterms:W3CDTF">2026-03-23T10:00:03Z</dcterms:modified>
  <cp:revision>0</cp:revision>
  <dc:subject>Verify as-built positions against design coordinates with automatic deviation calculation and tolerance checking.</dc:subject>
  <dc:title>Survey / Setting Out Check Register</dc:title>
</cp:coreProperties>
</file>

<file path=docProps/custom.xml><?xml version="1.0" encoding="utf-8"?>
<Properties xmlns="http://schemas.openxmlformats.org/officeDocument/2006/custom-properties" xmlns:vt="http://schemas.openxmlformats.org/officeDocument/2006/docPropsVTypes"/>
</file>