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ilestone Matrix"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'Milestone Matrix'!$A$1:$K$17</definedName>
    <definedName function="false" hidden="false" localSheetId="2" name="_xlnm.Print_Titles" vbProcedure="false">'Milestone Matrix'!$A:$C,'Milestone Matrix'!$1:$1</definedName>
    <definedName function="false" hidden="false" localSheetId="2" name="_xlnm.Print_Titles" vbProcedure="false">'Milestone Matrix'!$1:$1,'Milestone Matrix'!$A:$C</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<sst xmlns="http://schemas.openxmlformats.org/spreadsheetml/2006/main" count="90" uniqueCount="78">
  <si>
    <t xml:space="preserve">EBRORA</t>
  </si>
  <si>
    <t xml:space="preserve">ebrora.com</t>
  </si>
  <si>
    <t xml:space="preserve">Sectional Completion &amp;</t>
  </si>
  <si>
    <t xml:space="preserve">Milestone Trigger Matrix</t>
  </si>
  <si>
    <t xml:space="preserve">Track project sections through completion milestones with trigger criteria,</t>
  </si>
  <si>
    <t xml:space="preserve">planned vs actual dates, and overall readiness assessment.</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</si>
  <si>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</si>
  <si>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</si>
  <si>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</si>
  <si>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</si>
  <si>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</si>
  <si>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</si>
  <si>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'Milestone Matrix' sheet. Rows = project sections/areas. Columns = completion milestones.</t>
  </si>
  <si>
    <t xml:space="preserve">2.</t>
  </si>
  <si>
    <t xml:space="preserve">Each section has TWO rows: 'Planned' (target date) and 'Actual' (achieved date or status).</t>
  </si>
  <si>
    <t xml:space="preserve">3.</t>
  </si>
  <si>
    <t xml:space="preserve">Milestones progress left to right: Design → Construction → Testing → Commissioning → Process Proving → Handover → Sectional Completion.</t>
  </si>
  <si>
    <t xml:space="preserve">4.</t>
  </si>
  <si>
    <t xml:space="preserve">For Planned rows, enter the target date for each milestone. For Actual rows, enter the achieved date or select a status.</t>
  </si>
  <si>
    <t xml:space="preserve">5.</t>
  </si>
  <si>
    <t xml:space="preserve">The Section Readiness % auto-calculates based on how many milestones have actual dates (i.e., are complete).</t>
  </si>
  <si>
    <t xml:space="preserve">6.</t>
  </si>
  <si>
    <t xml:space="preserve">The Milestone Completion % row at the bottom shows progress across all sections for each milestone.</t>
  </si>
  <si>
    <t xml:space="preserve">7.</t>
  </si>
  <si>
    <t xml:space="preserve">Use this matrix at programme reviews to visualise which sections are ahead/behind across all milestones.</t>
  </si>
  <si>
    <t xml:space="preserve">Colour Key</t>
  </si>
  <si>
    <t xml:space="preserve">Light teal = Input cells (dates)</t>
  </si>
  <si>
    <t xml:space="preserve">Green = Milestone achieved (actual date entered)</t>
  </si>
  <si>
    <t xml:space="preserve">Amber = In progress (planned date in future)</t>
  </si>
  <si>
    <t xml:space="preserve">Red = Overdue (planned date past, no actual date)</t>
  </si>
  <si>
    <t xml:space="preserve">Tips</t>
  </si>
  <si>
    <t xml:space="preserve">Tip 1:</t>
  </si>
  <si>
    <t xml:space="preserve">This matrix is the single best tool for sectional completion meetings. It shows the whole project on one page.</t>
  </si>
  <si>
    <t xml:space="preserve">Tip 2:</t>
  </si>
  <si>
    <t xml:space="preserve">Sectional completion triggers commercial milestones (liquidated damages, payment milestones). Get the planned dates right.</t>
  </si>
  <si>
    <t xml:space="preserve">Tip 3:</t>
  </si>
  <si>
    <t xml:space="preserve">Update actual dates the day they're achieved, not retrospectively. The audit trail matters for contractual milestone claims.</t>
  </si>
  <si>
    <t xml:space="preserve">Section Ref</t>
  </si>
  <si>
    <t xml:space="preserve">Section Name</t>
  </si>
  <si>
    <t xml:space="preserve">Plan/
Actual</t>
  </si>
  <si>
    <t xml:space="preserve">Design
Complete</t>
  </si>
  <si>
    <t xml:space="preserve">Construction
Complete</t>
  </si>
  <si>
    <t xml:space="preserve">Testing
Complete</t>
  </si>
  <si>
    <t xml:space="preserve">Commissioning
Complete</t>
  </si>
  <si>
    <t xml:space="preserve">Process
Proving</t>
  </si>
  <si>
    <t xml:space="preserve">Handover
Ready</t>
  </si>
  <si>
    <t xml:space="preserve">Sectional
Completion</t>
  </si>
  <si>
    <t xml:space="preserve">Section
Readiness %</t>
  </si>
  <si>
    <t xml:space="preserve">SC-01</t>
  </si>
  <si>
    <t xml:space="preserve">Inlet Works</t>
  </si>
  <si>
    <t xml:space="preserve">Planned</t>
  </si>
  <si>
    <t xml:space="preserve">Actual</t>
  </si>
  <si>
    <t xml:space="preserve">SC-02</t>
  </si>
  <si>
    <t xml:space="preserve">Storm Water</t>
  </si>
  <si>
    <t xml:space="preserve">SC-03</t>
  </si>
  <si>
    <t xml:space="preserve">Secondary Treatment</t>
  </si>
  <si>
    <t xml:space="preserve">SC-04</t>
  </si>
  <si>
    <t xml:space="preserve">Tertiary Treatment</t>
  </si>
  <si>
    <t xml:space="preserve">SC-05</t>
  </si>
  <si>
    <t xml:space="preserve">Sludge Treatment</t>
  </si>
  <si>
    <t xml:space="preserve">SC-06</t>
  </si>
  <si>
    <t xml:space="preserve">Electrical &amp; SCADA</t>
  </si>
  <si>
    <t xml:space="preserve">SC-07</t>
  </si>
  <si>
    <t xml:space="preserve">Site-Wide Civils</t>
  </si>
  <si>
    <t xml:space="preserve">MILESTONE COMPLETION %</t>
  </si>
  <si>
    <t xml:space="preserve">SUMMARY</t>
  </si>
  <si>
    <t xml:space="preserve">Total Sections:</t>
  </si>
  <si>
    <t xml:space="preserve">100% Complete:</t>
  </si>
  <si>
    <t xml:space="preserve">Overall Readiness: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</si>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</sst>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6"/>
      <color rgb="FFFFFFFF"/>
      <name val="Calibri"/>
      <family val="0"/>
      <charset val="1"/>
    </font>
    <font>
      <b val="true"/>
      <sz val="24"/>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1"/>
      <color rgb="FFFFFFFF"/>
      <name val="Calibri"/>
      <family val="0"/>
      <charset val="1"/>
    </font>
    <font>
      <b val="true"/>
      <sz val="10"/>
      <color rgb="FF2AABB3"/>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left"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5" fontId="12" fillId="4"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5" fontId="14" fillId="4" borderId="2" xfId="0" applyFont="true" applyBorder="true" applyAlignment="true" applyProtection="false">
      <alignment horizontal="center" vertical="center" textRotation="0" wrapText="true" indent="0" shrinkToFit="false"/>
      <protection locked="true" hidden="false"/>
    </xf>
    <xf numFmtId="166" fontId="14" fillId="3" borderId="2" xfId="0" applyFont="true" applyBorder="true" applyAlignment="true" applyProtection="false">
      <alignment horizontal="center" vertical="center" textRotation="0" wrapText="true" indent="0" shrinkToFit="false"/>
      <protection locked="true" hidden="false"/>
    </xf>
    <xf numFmtId="164" fontId="15" fillId="2" borderId="2" xfId="0" applyFont="true" applyBorder="true" applyAlignment="true" applyProtection="false">
      <alignment horizontal="right" vertical="center" textRotation="0" wrapText="false" indent="0" shrinkToFit="false"/>
      <protection locked="true" hidden="false"/>
    </xf>
    <xf numFmtId="166" fontId="15" fillId="2"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2.8" hidden="false" customHeight="true" outlineLevel="0" collapsed="false">
      <c r="A6" s="5" t="s">
        <v>2</v>
      </c>
      <c r="B6" s="5"/>
      <c r="C6" s="5"/>
      <c r="D6" s="5"/>
      <c r="E6" s="5"/>
      <c r="F6" s="5"/>
      <c r="G6" s="5"/>
      <c r="H6" s="5"/>
    </row>
    <row r="7" customFormat="false" ht="30.55" hidden="false" customHeight="true" outlineLevel="0" collapsed="false">
      <c r="A7" s="6" t="s">
        <v>3</v>
      </c>
      <c r="B7" s="6"/>
      <c r="C7" s="6"/>
      <c r="D7" s="6"/>
      <c r="E7" s="6"/>
      <c r="F7" s="6"/>
      <c r="G7" s="6"/>
      <c r="H7" s="6"/>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7" t="s">
        <v>4</v>
      </c>
      <c r="B10" s="7"/>
      <c r="C10" s="7"/>
      <c r="D10" s="7"/>
      <c r="E10" s="7"/>
      <c r="F10" s="7"/>
      <c r="G10" s="7"/>
      <c r="H10" s="7"/>
    </row>
    <row r="11" customFormat="false" ht="15" hidden="false" customHeight="true" outlineLevel="0" collapsed="false">
      <c r="A11" s="7" t="s">
        <v>5</v>
      </c>
      <c r="B11" s="7"/>
      <c r="C11" s="7"/>
      <c r="D11" s="7"/>
      <c r="E11" s="7"/>
      <c r="F11" s="7"/>
      <c r="G11" s="7"/>
      <c r="H11" s="7"/>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8"/>
      <c r="B14" s="8"/>
      <c r="C14" s="8"/>
      <c r="D14" s="8"/>
      <c r="E14" s="8"/>
      <c r="F14" s="8"/>
      <c r="G14" s="8"/>
      <c r="H14" s="8"/>
    </row>
    <row r="15" customFormat="false" ht="15" hidden="false" customHeight="true" outlineLevel="0" collapsed="false">
      <c r="A15" s="9" t="s">
        <v>6</v>
      </c>
      <c r="B15" s="9"/>
      <c r="C15" s="9"/>
      <c r="D15" s="9"/>
      <c r="E15" s="9"/>
      <c r="F15" s="9"/>
      <c r="G15" s="9"/>
      <c r="H15" s="9"/>
    </row>
    <row r="16" customFormat="false" ht="15" hidden="false" customHeight="true" outlineLevel="0" collapsed="false">
      <c r="A16" s="9" t="s">
        <v>7</v>
      </c>
      <c r="B16" s="9"/>
      <c r="C16" s="9"/>
      <c r="D16" s="9"/>
      <c r="E16" s="9"/>
      <c r="F16" s="9"/>
      <c r="G16" s="9"/>
      <c r="H16" s="9"/>
    </row>
    <row r="17" customFormat="false" ht="15" hidden="false" customHeight="false" outlineLevel="0" collapsed="false">
      <c r="A17" s="8"/>
      <c r="B17" s="8"/>
      <c r="C17" s="8"/>
      <c r="D17" s="8"/>
      <c r="E17" s="8"/>
      <c r="F17" s="8"/>
      <c r="G17" s="8"/>
      <c r="H17" s="8"/>
    </row>
    <row r="18" customFormat="false" ht="15" hidden="false" customHeight="false" outlineLevel="0" collapsed="false">
      <c r="A18" s="4"/>
      <c r="B18" s="4"/>
      <c r="C18" s="4"/>
      <c r="D18" s="4"/>
      <c r="E18" s="4"/>
      <c r="F18" s="4"/>
      <c r="G18" s="4"/>
      <c r="H18" s="4"/>
    </row>
    <row r="19" customFormat="false" ht="15" hidden="false" customHeight="true" outlineLevel="0" collapsed="false">
      <c r="A19" s="10" t="s">
        <v>8</v>
      </c>
      <c r="B19" s="10"/>
      <c r="C19" s="10"/>
      <c r="D19" s="10"/>
      <c r="E19" s="10"/>
      <c r="F19" s="10"/>
      <c r="G19" s="10"/>
      <c r="H19" s="10"/>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1" t="s">
        <v>9</v>
      </c>
      <c r="B1" s="11"/>
      <c r="C1" s="11"/>
      <c r="D1" s="11"/>
      <c r="E1" s="11"/>
      <c r="F1" s="11"/>
    </row>
    <row r="3" customFormat="false" ht="15" hidden="false" customHeight="false" outlineLevel="0" collapsed="false">
      <c r="A3" s="12"/>
      <c r="B3" s="13"/>
    </row>
    <row r="4" customFormat="false" ht="15" hidden="false" customHeight="false" outlineLevel="0" collapsed="false">
      <c r="A4" s="14" t="s">
        <v>10</v>
      </c>
      <c r="B4" s="13"/>
    </row>
    <row r="5" customFormat="false" ht="15" hidden="false" customHeight="false" outlineLevel="0" collapsed="false">
      <c r="A5" s="12" t="s">
        <v>11</v>
      </c>
      <c r="B5" s="13" t="s">
        <v>12</v>
      </c>
    </row>
    <row r="6" customFormat="false" ht="15" hidden="false" customHeight="false" outlineLevel="0" collapsed="false">
      <c r="A6" s="12" t="s">
        <v>13</v>
      </c>
      <c r="B6" s="13" t="s">
        <v>14</v>
      </c>
    </row>
    <row r="7" customFormat="false" ht="23.85" hidden="false" customHeight="false" outlineLevel="0" collapsed="false">
      <c r="A7" s="12" t="s">
        <v>15</v>
      </c>
      <c r="B7" s="13" t="s">
        <v>16</v>
      </c>
    </row>
    <row r="8" customFormat="false" ht="15" hidden="false" customHeight="false" outlineLevel="0" collapsed="false">
      <c r="A8" s="12" t="s">
        <v>17</v>
      </c>
      <c r="B8" s="13" t="s">
        <v>18</v>
      </c>
    </row>
    <row r="9" customFormat="false" ht="15" hidden="false" customHeight="false" outlineLevel="0" collapsed="false">
      <c r="A9" s="12" t="s">
        <v>19</v>
      </c>
      <c r="B9" s="13" t="s">
        <v>20</v>
      </c>
    </row>
    <row r="10" customFormat="false" ht="15" hidden="false" customHeight="false" outlineLevel="0" collapsed="false">
      <c r="A10" s="12" t="s">
        <v>21</v>
      </c>
      <c r="B10" s="13" t="s">
        <v>22</v>
      </c>
    </row>
    <row r="11" customFormat="false" ht="15" hidden="false" customHeight="false" outlineLevel="0" collapsed="false">
      <c r="A11" s="12" t="s">
        <v>23</v>
      </c>
      <c r="B11" s="13" t="s">
        <v>24</v>
      </c>
    </row>
    <row r="12" customFormat="false" ht="15" hidden="false" customHeight="false" outlineLevel="0" collapsed="false">
      <c r="A12" s="12"/>
      <c r="B12" s="13"/>
    </row>
    <row r="13" customFormat="false" ht="15" hidden="false" customHeight="false" outlineLevel="0" collapsed="false">
      <c r="A13" s="14" t="s">
        <v>25</v>
      </c>
      <c r="B13" s="13"/>
    </row>
    <row r="14" customFormat="false" ht="15" hidden="false" customHeight="false" outlineLevel="0" collapsed="false">
      <c r="A14" s="12"/>
      <c r="B14" s="13" t="s">
        <v>26</v>
      </c>
    </row>
    <row r="15" customFormat="false" ht="15" hidden="false" customHeight="false" outlineLevel="0" collapsed="false">
      <c r="A15" s="12"/>
      <c r="B15" s="13" t="s">
        <v>27</v>
      </c>
    </row>
    <row r="16" customFormat="false" ht="15" hidden="false" customHeight="false" outlineLevel="0" collapsed="false">
      <c r="A16" s="12"/>
      <c r="B16" s="13" t="s">
        <v>28</v>
      </c>
    </row>
    <row r="17" customFormat="false" ht="15" hidden="false" customHeight="false" outlineLevel="0" collapsed="false">
      <c r="A17" s="12"/>
      <c r="B17" s="13" t="s">
        <v>29</v>
      </c>
    </row>
    <row r="18" customFormat="false" ht="15" hidden="false" customHeight="false" outlineLevel="0" collapsed="false">
      <c r="A18" s="12"/>
      <c r="B18" s="13"/>
    </row>
    <row r="19" customFormat="false" ht="15" hidden="false" customHeight="false" outlineLevel="0" collapsed="false">
      <c r="A19" s="14" t="s">
        <v>30</v>
      </c>
      <c r="B19" s="13"/>
    </row>
    <row r="20" customFormat="false" ht="15" hidden="false" customHeight="false" outlineLevel="0" collapsed="false">
      <c r="A20" s="15" t="s">
        <v>31</v>
      </c>
      <c r="B20" s="13" t="s">
        <v>32</v>
      </c>
    </row>
    <row r="21" customFormat="false" ht="23.85" hidden="false" customHeight="false" outlineLevel="0" collapsed="false">
      <c r="A21" s="15" t="s">
        <v>33</v>
      </c>
      <c r="B21" s="13" t="s">
        <v>34</v>
      </c>
    </row>
    <row r="22" customFormat="false" ht="23.85" hidden="false" customHeight="false" outlineLevel="0" collapsed="false">
      <c r="A22" s="15" t="s">
        <v>35</v>
      </c>
      <c r="B22" s="13" t="s">
        <v>36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0"/>
    <col collapsed="false" customWidth="true" hidden="false" outlineLevel="0" max="10" min="4" style="0" width="16"/>
    <col collapsed="false" customWidth="true" hidden="false" outlineLevel="0" max="11" min="11" style="0" width="14"/>
  </cols>
  <sheetData>
    <row r="1" customFormat="false" ht="28.35" hidden="false" customHeight="false" outlineLevel="0" collapsed="false">
      <c r="A1" s="16" t="s">
        <v>37</v>
      </c>
      <c r="B1" s="16" t="s">
        <v>38</v>
      </c>
      <c r="C1" s="16" t="s">
        <v>39</v>
      </c>
      <c r="D1" s="16" t="s">
        <v>40</v>
      </c>
      <c r="E1" s="16" t="s">
        <v>41</v>
      </c>
      <c r="F1" s="16" t="s">
        <v>42</v>
      </c>
      <c r="G1" s="16" t="s">
        <v>43</v>
      </c>
      <c r="H1" s="16" t="s">
        <v>44</v>
      </c>
      <c r="I1" s="16" t="s">
        <v>45</v>
      </c>
      <c r="J1" s="16" t="s">
        <v>46</v>
      </c>
      <c r="K1" s="16" t="s">
        <v>47</v>
      </c>
    </row>
    <row r="2" customFormat="false" ht="15" hidden="false" customHeight="false" outlineLevel="0" collapsed="false">
      <c r="A2" s="17" t="s">
        <v>48</v>
      </c>
      <c r="B2" s="18" t="s">
        <v>49</v>
      </c>
      <c r="C2" s="19" t="s">
        <v>50</v>
      </c>
      <c r="D2" s="20" t="n">
        <v>45809</v>
      </c>
      <c r="E2" s="20" t="n">
        <v>46006</v>
      </c>
      <c r="F2" s="20" t="n">
        <v>46054</v>
      </c>
      <c r="G2" s="20" t="n">
        <v>46096</v>
      </c>
      <c r="H2" s="20" t="n">
        <v>46188</v>
      </c>
      <c r="I2" s="20" t="n">
        <v>46204</v>
      </c>
      <c r="J2" s="20" t="n">
        <v>46218</v>
      </c>
      <c r="K2" s="21"/>
    </row>
    <row r="3" customFormat="false" ht="15" hidden="false" customHeight="false" outlineLevel="0" collapsed="false">
      <c r="A3" s="21"/>
      <c r="B3" s="21"/>
      <c r="C3" s="17" t="s">
        <v>51</v>
      </c>
      <c r="D3" s="22" t="n">
        <v>45805</v>
      </c>
      <c r="E3" s="22" t="n">
        <v>46011</v>
      </c>
      <c r="F3" s="22" t="n">
        <v>46063</v>
      </c>
      <c r="G3" s="22" t="n">
        <v>46101</v>
      </c>
      <c r="H3" s="22"/>
      <c r="I3" s="22"/>
      <c r="J3" s="22"/>
      <c r="K3" s="23" t="n">
        <f aca="false">IF(COUNTA(D2:J2)=0,"",COUNTA(D3:J3)/COUNTA(D2:J2))</f>
        <v>0.571428571428571</v>
      </c>
    </row>
    <row r="4" customFormat="false" ht="15" hidden="false" customHeight="false" outlineLevel="0" collapsed="false">
      <c r="A4" s="17" t="s">
        <v>52</v>
      </c>
      <c r="B4" s="18" t="s">
        <v>53</v>
      </c>
      <c r="C4" s="19" t="s">
        <v>50</v>
      </c>
      <c r="D4" s="20" t="n">
        <v>45870</v>
      </c>
      <c r="E4" s="20" t="n">
        <v>46081</v>
      </c>
      <c r="F4" s="20" t="n">
        <v>46127</v>
      </c>
      <c r="G4" s="20" t="n">
        <v>46172</v>
      </c>
      <c r="H4" s="20" t="n">
        <v>46264</v>
      </c>
      <c r="I4" s="20" t="n">
        <v>46280</v>
      </c>
      <c r="J4" s="20" t="n">
        <v>46295</v>
      </c>
      <c r="K4" s="21"/>
    </row>
    <row r="5" customFormat="false" ht="15" hidden="false" customHeight="false" outlineLevel="0" collapsed="false">
      <c r="A5" s="21"/>
      <c r="B5" s="21"/>
      <c r="C5" s="17" t="s">
        <v>51</v>
      </c>
      <c r="D5" s="22" t="n">
        <v>45884</v>
      </c>
      <c r="E5" s="22" t="n">
        <v>46091</v>
      </c>
      <c r="F5" s="22"/>
      <c r="G5" s="22"/>
      <c r="H5" s="22"/>
      <c r="I5" s="22"/>
      <c r="J5" s="22"/>
      <c r="K5" s="23" t="n">
        <f aca="false">IF(COUNTA(D4:J4)=0,"",COUNTA(D5:J5)/COUNTA(D4:J4))</f>
        <v>0.285714285714286</v>
      </c>
    </row>
    <row r="6" customFormat="false" ht="15" hidden="false" customHeight="false" outlineLevel="0" collapsed="false">
      <c r="A6" s="17" t="s">
        <v>54</v>
      </c>
      <c r="B6" s="18" t="s">
        <v>55</v>
      </c>
      <c r="C6" s="19" t="s">
        <v>50</v>
      </c>
      <c r="D6" s="20" t="n">
        <v>45839</v>
      </c>
      <c r="E6" s="20" t="n">
        <v>46053</v>
      </c>
      <c r="F6" s="20" t="n">
        <v>46112</v>
      </c>
      <c r="G6" s="20" t="n">
        <v>46157</v>
      </c>
      <c r="H6" s="20" t="n">
        <v>46249</v>
      </c>
      <c r="I6" s="20" t="n">
        <v>46266</v>
      </c>
      <c r="J6" s="20" t="n">
        <v>46280</v>
      </c>
      <c r="K6" s="21"/>
    </row>
    <row r="7" customFormat="false" ht="15" hidden="false" customHeight="false" outlineLevel="0" collapsed="false">
      <c r="A7" s="21"/>
      <c r="B7" s="21"/>
      <c r="C7" s="17" t="s">
        <v>51</v>
      </c>
      <c r="D7" s="22" t="n">
        <v>45843</v>
      </c>
      <c r="E7" s="22" t="n">
        <v>46058</v>
      </c>
      <c r="F7" s="22" t="n">
        <v>46113</v>
      </c>
      <c r="G7" s="22"/>
      <c r="H7" s="22"/>
      <c r="I7" s="22"/>
      <c r="J7" s="22"/>
      <c r="K7" s="23" t="n">
        <f aca="false">IF(COUNTA(D6:J6)=0,"",COUNTA(D7:J7)/COUNTA(D6:J6))</f>
        <v>0.428571428571429</v>
      </c>
    </row>
    <row r="8" customFormat="false" ht="15" hidden="false" customHeight="false" outlineLevel="0" collapsed="false">
      <c r="A8" s="17" t="s">
        <v>56</v>
      </c>
      <c r="B8" s="18" t="s">
        <v>57</v>
      </c>
      <c r="C8" s="19" t="s">
        <v>50</v>
      </c>
      <c r="D8" s="20" t="n">
        <v>45901</v>
      </c>
      <c r="E8" s="20" t="n">
        <v>46112</v>
      </c>
      <c r="F8" s="20" t="n">
        <v>46157</v>
      </c>
      <c r="G8" s="20" t="n">
        <v>46203</v>
      </c>
      <c r="H8" s="20" t="n">
        <v>46295</v>
      </c>
      <c r="I8" s="20" t="n">
        <v>46310</v>
      </c>
      <c r="J8" s="20" t="n">
        <v>46325</v>
      </c>
      <c r="K8" s="21"/>
    </row>
    <row r="9" customFormat="false" ht="15" hidden="false" customHeight="false" outlineLevel="0" collapsed="false">
      <c r="A9" s="21"/>
      <c r="B9" s="21"/>
      <c r="C9" s="17" t="s">
        <v>51</v>
      </c>
      <c r="D9" s="22" t="n">
        <v>45910</v>
      </c>
      <c r="E9" s="22"/>
      <c r="F9" s="22"/>
      <c r="G9" s="22"/>
      <c r="H9" s="22"/>
      <c r="I9" s="22"/>
      <c r="J9" s="22"/>
      <c r="K9" s="23" t="n">
        <f aca="false">IF(COUNTA(D8:J8)=0,"",COUNTA(D9:J9)/COUNTA(D8:J8))</f>
        <v>0.142857142857143</v>
      </c>
    </row>
    <row r="10" customFormat="false" ht="15" hidden="false" customHeight="false" outlineLevel="0" collapsed="false">
      <c r="A10" s="17" t="s">
        <v>58</v>
      </c>
      <c r="B10" s="18" t="s">
        <v>59</v>
      </c>
      <c r="C10" s="19" t="s">
        <v>50</v>
      </c>
      <c r="D10" s="20" t="n">
        <v>45931</v>
      </c>
      <c r="E10" s="20" t="n">
        <v>46142</v>
      </c>
      <c r="F10" s="20" t="n">
        <v>46188</v>
      </c>
      <c r="G10" s="20" t="n">
        <v>46234</v>
      </c>
      <c r="H10" s="20" t="n">
        <v>46326</v>
      </c>
      <c r="I10" s="20" t="n">
        <v>46341</v>
      </c>
      <c r="J10" s="20" t="n">
        <v>46356</v>
      </c>
      <c r="K10" s="21"/>
    </row>
    <row r="11" customFormat="false" ht="15" hidden="false" customHeight="false" outlineLevel="0" collapsed="false">
      <c r="A11" s="21"/>
      <c r="B11" s="21"/>
      <c r="C11" s="17" t="s">
        <v>51</v>
      </c>
      <c r="D11" s="22" t="n">
        <v>45945</v>
      </c>
      <c r="E11" s="22"/>
      <c r="F11" s="22"/>
      <c r="G11" s="22"/>
      <c r="H11" s="22"/>
      <c r="I11" s="22"/>
      <c r="J11" s="22"/>
      <c r="K11" s="23" t="n">
        <f aca="false">IF(COUNTA(D10:J10)=0,"",COUNTA(D11:J11)/COUNTA(D10:J10))</f>
        <v>0.142857142857143</v>
      </c>
    </row>
    <row r="12" customFormat="false" ht="15" hidden="false" customHeight="false" outlineLevel="0" collapsed="false">
      <c r="A12" s="17" t="s">
        <v>60</v>
      </c>
      <c r="B12" s="18" t="s">
        <v>61</v>
      </c>
      <c r="C12" s="19" t="s">
        <v>50</v>
      </c>
      <c r="D12" s="20" t="n">
        <v>45884</v>
      </c>
      <c r="E12" s="20" t="n">
        <v>46096</v>
      </c>
      <c r="F12" s="20" t="n">
        <v>46143</v>
      </c>
      <c r="G12" s="20" t="n">
        <v>46188</v>
      </c>
      <c r="H12" s="20" t="n">
        <v>46280</v>
      </c>
      <c r="I12" s="20" t="n">
        <v>46296</v>
      </c>
      <c r="J12" s="20" t="n">
        <v>46310</v>
      </c>
      <c r="K12" s="21"/>
    </row>
    <row r="13" customFormat="false" ht="15" hidden="false" customHeight="false" outlineLevel="0" collapsed="false">
      <c r="A13" s="21"/>
      <c r="B13" s="21"/>
      <c r="C13" s="17" t="s">
        <v>51</v>
      </c>
      <c r="D13" s="22" t="n">
        <v>45889</v>
      </c>
      <c r="E13" s="22" t="n">
        <v>46101</v>
      </c>
      <c r="F13" s="22" t="n">
        <v>46147</v>
      </c>
      <c r="G13" s="22"/>
      <c r="H13" s="22"/>
      <c r="I13" s="22"/>
      <c r="J13" s="22"/>
      <c r="K13" s="23" t="n">
        <f aca="false">IF(COUNTA(D12:J12)=0,"",COUNTA(D13:J13)/COUNTA(D12:J12))</f>
        <v>0.428571428571429</v>
      </c>
    </row>
    <row r="14" customFormat="false" ht="15" hidden="false" customHeight="false" outlineLevel="0" collapsed="false">
      <c r="A14" s="17" t="s">
        <v>62</v>
      </c>
      <c r="B14" s="18" t="s">
        <v>63</v>
      </c>
      <c r="C14" s="19" t="s">
        <v>50</v>
      </c>
      <c r="D14" s="20" t="n">
        <v>45823</v>
      </c>
      <c r="E14" s="20" t="n">
        <v>46173</v>
      </c>
      <c r="F14" s="20" t="n">
        <v>46203</v>
      </c>
      <c r="G14" s="20" t="n">
        <v>46218</v>
      </c>
      <c r="H14" s="20"/>
      <c r="I14" s="20" t="n">
        <v>46235</v>
      </c>
      <c r="J14" s="20" t="n">
        <v>46249</v>
      </c>
      <c r="K14" s="21"/>
    </row>
    <row r="15" customFormat="false" ht="15" hidden="false" customHeight="false" outlineLevel="0" collapsed="false">
      <c r="A15" s="21"/>
      <c r="B15" s="21"/>
      <c r="C15" s="17" t="s">
        <v>51</v>
      </c>
      <c r="D15" s="22" t="n">
        <v>45828</v>
      </c>
      <c r="E15" s="22"/>
      <c r="F15" s="22"/>
      <c r="G15" s="22"/>
      <c r="H15" s="22"/>
      <c r="I15" s="22"/>
      <c r="J15" s="22"/>
      <c r="K15" s="23" t="n">
        <f aca="false">IF(COUNTA(D14:J14)=0,"",COUNTA(D15:J15)/COUNTA(D14:J14))</f>
        <v>0.166666666666667</v>
      </c>
    </row>
    <row r="17" customFormat="false" ht="15" hidden="false" customHeight="false" outlineLevel="0" collapsed="false">
      <c r="A17" s="24" t="s">
        <v>64</v>
      </c>
      <c r="B17" s="24"/>
      <c r="C17" s="24"/>
      <c r="D17" s="25" t="n">
        <f aca="false">COUNTA(D3,D5,D7,D9,D11,D13,D15)/7</f>
        <v>1</v>
      </c>
      <c r="E17" s="25" t="n">
        <f aca="false">COUNTA(E3,E5,E7,E9,E11,E13,E15)/7</f>
        <v>0.571428571428571</v>
      </c>
      <c r="F17" s="25" t="n">
        <f aca="false">COUNTA(F3,F5,F7,F9,F11,F13,F15)/7</f>
        <v>0.428571428571429</v>
      </c>
      <c r="G17" s="25" t="n">
        <f aca="false">COUNTA(G3,G5,G7,G9,G11,G13,G15)/7</f>
        <v>0.142857142857143</v>
      </c>
      <c r="H17" s="25" t="n">
        <f aca="false">COUNTA(H3,H5,H7,H9,H11,H13,H15)/7</f>
        <v>0</v>
      </c>
      <c r="I17" s="25" t="n">
        <f aca="false">COUNTA(I3,I5,I7,I9,I11,I13,I15)/7</f>
        <v>0</v>
      </c>
      <c r="J17" s="25" t="n">
        <f aca="false">COUNTA(J3,J5,J7,J9,J11,J13,J15)/7</f>
        <v>0</v>
      </c>
      <c r="K17" s="25" t="n">
        <f aca="false">AVERAGE(K3,K5,K7,K9,K11,K13,K15)</f>
        <v>0.30952380952381</v>
      </c>
    </row>
    <row r="19" customFormat="false" ht="15" hidden="false" customHeight="false" outlineLevel="0" collapsed="false">
      <c r="A19" s="26" t="s">
        <v>65</v>
      </c>
      <c r="B19" s="15" t="s">
        <v>66</v>
      </c>
      <c r="C19" s="15" t="n">
        <v>7</v>
      </c>
      <c r="D19" s="15" t="s">
        <v>67</v>
      </c>
      <c r="E19" s="15" t="n">
        <f aca="false">COUNTIF(K3:K15,1)</f>
        <v>0</v>
      </c>
      <c r="F19" s="15" t="s">
        <v>68</v>
      </c>
      <c r="G19" s="27" t="n">
        <f aca="false">K17</f>
        <v>0.30952380952381</v>
      </c>
    </row>
  </sheetData>
  <mergeCells count="1">
    <mergeCell ref="A17:C17"/>
  </mergeCells>
  <conditionalFormatting sqref="D3">
    <cfRule type="expression" priority="2" aboveAverage="0" equalAverage="0" bottom="0" percent="0" rank="0" text="" dxfId="0">
      <formula>D3&lt;&gt;""</formula>
    </cfRule>
  </conditionalFormatting>
  <conditionalFormatting sqref="E3">
    <cfRule type="expression" priority="3" aboveAverage="0" equalAverage="0" bottom="0" percent="0" rank="0" text="" dxfId="0">
      <formula>E3&lt;&gt;""</formula>
    </cfRule>
  </conditionalFormatting>
  <conditionalFormatting sqref="F3">
    <cfRule type="expression" priority="4" aboveAverage="0" equalAverage="0" bottom="0" percent="0" rank="0" text="" dxfId="0">
      <formula>F3&lt;&gt;""</formula>
    </cfRule>
  </conditionalFormatting>
  <conditionalFormatting sqref="G3">
    <cfRule type="expression" priority="5" aboveAverage="0" equalAverage="0" bottom="0" percent="0" rank="0" text="" dxfId="0">
      <formula>G3&lt;&gt;""</formula>
    </cfRule>
  </conditionalFormatting>
  <conditionalFormatting sqref="H3">
    <cfRule type="expression" priority="6" aboveAverage="0" equalAverage="0" bottom="0" percent="0" rank="0" text="" dxfId="0">
      <formula>H3&lt;&gt;""</formula>
    </cfRule>
  </conditionalFormatting>
  <conditionalFormatting sqref="I3">
    <cfRule type="expression" priority="7" aboveAverage="0" equalAverage="0" bottom="0" percent="0" rank="0" text="" dxfId="0">
      <formula>I3&lt;&gt;""</formula>
    </cfRule>
  </conditionalFormatting>
  <conditionalFormatting sqref="J3">
    <cfRule type="expression" priority="8" aboveAverage="0" equalAverage="0" bottom="0" percent="0" rank="0" text="" dxfId="0">
      <formula>J3&lt;&gt;""</formula>
    </cfRule>
  </conditionalFormatting>
  <conditionalFormatting sqref="D5">
    <cfRule type="expression" priority="9" aboveAverage="0" equalAverage="0" bottom="0" percent="0" rank="0" text="" dxfId="0">
      <formula>D5&lt;&gt;""</formula>
    </cfRule>
  </conditionalFormatting>
  <conditionalFormatting sqref="E5">
    <cfRule type="expression" priority="10" aboveAverage="0" equalAverage="0" bottom="0" percent="0" rank="0" text="" dxfId="0">
      <formula>E5&lt;&gt;""</formula>
    </cfRule>
  </conditionalFormatting>
  <conditionalFormatting sqref="F5">
    <cfRule type="expression" priority="11" aboveAverage="0" equalAverage="0" bottom="0" percent="0" rank="0" text="" dxfId="0">
      <formula>F5&lt;&gt;""</formula>
    </cfRule>
  </conditionalFormatting>
  <conditionalFormatting sqref="G5">
    <cfRule type="expression" priority="12" aboveAverage="0" equalAverage="0" bottom="0" percent="0" rank="0" text="" dxfId="0">
      <formula>G5&lt;&gt;""</formula>
    </cfRule>
  </conditionalFormatting>
  <conditionalFormatting sqref="H5">
    <cfRule type="expression" priority="13" aboveAverage="0" equalAverage="0" bottom="0" percent="0" rank="0" text="" dxfId="0">
      <formula>H5&lt;&gt;""</formula>
    </cfRule>
  </conditionalFormatting>
  <conditionalFormatting sqref="I5">
    <cfRule type="expression" priority="14" aboveAverage="0" equalAverage="0" bottom="0" percent="0" rank="0" text="" dxfId="0">
      <formula>I5&lt;&gt;""</formula>
    </cfRule>
  </conditionalFormatting>
  <conditionalFormatting sqref="J5">
    <cfRule type="expression" priority="15" aboveAverage="0" equalAverage="0" bottom="0" percent="0" rank="0" text="" dxfId="0">
      <formula>J5&lt;&gt;""</formula>
    </cfRule>
  </conditionalFormatting>
  <conditionalFormatting sqref="D7">
    <cfRule type="expression" priority="16" aboveAverage="0" equalAverage="0" bottom="0" percent="0" rank="0" text="" dxfId="0">
      <formula>D7&lt;&gt;""</formula>
    </cfRule>
  </conditionalFormatting>
  <conditionalFormatting sqref="E7">
    <cfRule type="expression" priority="17" aboveAverage="0" equalAverage="0" bottom="0" percent="0" rank="0" text="" dxfId="0">
      <formula>E7&lt;&gt;""</formula>
    </cfRule>
  </conditionalFormatting>
  <conditionalFormatting sqref="F7">
    <cfRule type="expression" priority="18" aboveAverage="0" equalAverage="0" bottom="0" percent="0" rank="0" text="" dxfId="0">
      <formula>F7&lt;&gt;""</formula>
    </cfRule>
  </conditionalFormatting>
  <conditionalFormatting sqref="G7">
    <cfRule type="expression" priority="19" aboveAverage="0" equalAverage="0" bottom="0" percent="0" rank="0" text="" dxfId="0">
      <formula>G7&lt;&gt;""</formula>
    </cfRule>
  </conditionalFormatting>
  <conditionalFormatting sqref="H7">
    <cfRule type="expression" priority="20" aboveAverage="0" equalAverage="0" bottom="0" percent="0" rank="0" text="" dxfId="0">
      <formula>H7&lt;&gt;""</formula>
    </cfRule>
  </conditionalFormatting>
  <conditionalFormatting sqref="I7">
    <cfRule type="expression" priority="21" aboveAverage="0" equalAverage="0" bottom="0" percent="0" rank="0" text="" dxfId="0">
      <formula>I7&lt;&gt;""</formula>
    </cfRule>
  </conditionalFormatting>
  <conditionalFormatting sqref="J7">
    <cfRule type="expression" priority="22" aboveAverage="0" equalAverage="0" bottom="0" percent="0" rank="0" text="" dxfId="0">
      <formula>J7&lt;&gt;""</formula>
    </cfRule>
  </conditionalFormatting>
  <conditionalFormatting sqref="D9">
    <cfRule type="expression" priority="23" aboveAverage="0" equalAverage="0" bottom="0" percent="0" rank="0" text="" dxfId="0">
      <formula>D9&lt;&gt;""</formula>
    </cfRule>
  </conditionalFormatting>
  <conditionalFormatting sqref="E9">
    <cfRule type="expression" priority="24" aboveAverage="0" equalAverage="0" bottom="0" percent="0" rank="0" text="" dxfId="0">
      <formula>E9&lt;&gt;""</formula>
    </cfRule>
  </conditionalFormatting>
  <conditionalFormatting sqref="F9">
    <cfRule type="expression" priority="25" aboveAverage="0" equalAverage="0" bottom="0" percent="0" rank="0" text="" dxfId="0">
      <formula>F9&lt;&gt;""</formula>
    </cfRule>
  </conditionalFormatting>
  <conditionalFormatting sqref="G9">
    <cfRule type="expression" priority="26" aboveAverage="0" equalAverage="0" bottom="0" percent="0" rank="0" text="" dxfId="0">
      <formula>G9&lt;&gt;""</formula>
    </cfRule>
  </conditionalFormatting>
  <conditionalFormatting sqref="H9">
    <cfRule type="expression" priority="27" aboveAverage="0" equalAverage="0" bottom="0" percent="0" rank="0" text="" dxfId="0">
      <formula>H9&lt;&gt;""</formula>
    </cfRule>
  </conditionalFormatting>
  <conditionalFormatting sqref="I9">
    <cfRule type="expression" priority="28" aboveAverage="0" equalAverage="0" bottom="0" percent="0" rank="0" text="" dxfId="0">
      <formula>I9&lt;&gt;""</formula>
    </cfRule>
  </conditionalFormatting>
  <conditionalFormatting sqref="J9">
    <cfRule type="expression" priority="29" aboveAverage="0" equalAverage="0" bottom="0" percent="0" rank="0" text="" dxfId="0">
      <formula>J9&lt;&gt;""</formula>
    </cfRule>
  </conditionalFormatting>
  <conditionalFormatting sqref="D11">
    <cfRule type="expression" priority="30" aboveAverage="0" equalAverage="0" bottom="0" percent="0" rank="0" text="" dxfId="0">
      <formula>D11&lt;&gt;""</formula>
    </cfRule>
  </conditionalFormatting>
  <conditionalFormatting sqref="E11">
    <cfRule type="expression" priority="31" aboveAverage="0" equalAverage="0" bottom="0" percent="0" rank="0" text="" dxfId="0">
      <formula>E11&lt;&gt;""</formula>
    </cfRule>
  </conditionalFormatting>
  <conditionalFormatting sqref="F11">
    <cfRule type="expression" priority="32" aboveAverage="0" equalAverage="0" bottom="0" percent="0" rank="0" text="" dxfId="0">
      <formula>F11&lt;&gt;""</formula>
    </cfRule>
  </conditionalFormatting>
  <conditionalFormatting sqref="G11">
    <cfRule type="expression" priority="33" aboveAverage="0" equalAverage="0" bottom="0" percent="0" rank="0" text="" dxfId="0">
      <formula>G11&lt;&gt;""</formula>
    </cfRule>
  </conditionalFormatting>
  <conditionalFormatting sqref="H11">
    <cfRule type="expression" priority="34" aboveAverage="0" equalAverage="0" bottom="0" percent="0" rank="0" text="" dxfId="0">
      <formula>H11&lt;&gt;""</formula>
    </cfRule>
  </conditionalFormatting>
  <conditionalFormatting sqref="I11">
    <cfRule type="expression" priority="35" aboveAverage="0" equalAverage="0" bottom="0" percent="0" rank="0" text="" dxfId="0">
      <formula>I11&lt;&gt;""</formula>
    </cfRule>
  </conditionalFormatting>
  <conditionalFormatting sqref="J11">
    <cfRule type="expression" priority="36" aboveAverage="0" equalAverage="0" bottom="0" percent="0" rank="0" text="" dxfId="0">
      <formula>J11&lt;&gt;""</formula>
    </cfRule>
  </conditionalFormatting>
  <conditionalFormatting sqref="D13">
    <cfRule type="expression" priority="37" aboveAverage="0" equalAverage="0" bottom="0" percent="0" rank="0" text="" dxfId="0">
      <formula>D13&lt;&gt;""</formula>
    </cfRule>
  </conditionalFormatting>
  <conditionalFormatting sqref="E13">
    <cfRule type="expression" priority="38" aboveAverage="0" equalAverage="0" bottom="0" percent="0" rank="0" text="" dxfId="0">
      <formula>E13&lt;&gt;""</formula>
    </cfRule>
  </conditionalFormatting>
  <conditionalFormatting sqref="F13">
    <cfRule type="expression" priority="39" aboveAverage="0" equalAverage="0" bottom="0" percent="0" rank="0" text="" dxfId="0">
      <formula>F13&lt;&gt;""</formula>
    </cfRule>
  </conditionalFormatting>
  <conditionalFormatting sqref="G13">
    <cfRule type="expression" priority="40" aboveAverage="0" equalAverage="0" bottom="0" percent="0" rank="0" text="" dxfId="0">
      <formula>G13&lt;&gt;""</formula>
    </cfRule>
  </conditionalFormatting>
  <conditionalFormatting sqref="H13">
    <cfRule type="expression" priority="41" aboveAverage="0" equalAverage="0" bottom="0" percent="0" rank="0" text="" dxfId="0">
      <formula>H13&lt;&gt;""</formula>
    </cfRule>
  </conditionalFormatting>
  <conditionalFormatting sqref="I13">
    <cfRule type="expression" priority="42" aboveAverage="0" equalAverage="0" bottom="0" percent="0" rank="0" text="" dxfId="0">
      <formula>I13&lt;&gt;""</formula>
    </cfRule>
  </conditionalFormatting>
  <conditionalFormatting sqref="J13">
    <cfRule type="expression" priority="43" aboveAverage="0" equalAverage="0" bottom="0" percent="0" rank="0" text="" dxfId="0">
      <formula>J13&lt;&gt;""</formula>
    </cfRule>
  </conditionalFormatting>
  <conditionalFormatting sqref="D15">
    <cfRule type="expression" priority="44" aboveAverage="0" equalAverage="0" bottom="0" percent="0" rank="0" text="" dxfId="0">
      <formula>D15&lt;&gt;""</formula>
    </cfRule>
  </conditionalFormatting>
  <conditionalFormatting sqref="E15">
    <cfRule type="expression" priority="45" aboveAverage="0" equalAverage="0" bottom="0" percent="0" rank="0" text="" dxfId="0">
      <formula>E15&lt;&gt;""</formula>
    </cfRule>
  </conditionalFormatting>
  <conditionalFormatting sqref="F15">
    <cfRule type="expression" priority="46" aboveAverage="0" equalAverage="0" bottom="0" percent="0" rank="0" text="" dxfId="0">
      <formula>F15&lt;&gt;""</formula>
    </cfRule>
  </conditionalFormatting>
  <conditionalFormatting sqref="G15">
    <cfRule type="expression" priority="47" aboveAverage="0" equalAverage="0" bottom="0" percent="0" rank="0" text="" dxfId="0">
      <formula>G15&lt;&gt;""</formula>
    </cfRule>
  </conditionalFormatting>
  <conditionalFormatting sqref="H15">
    <cfRule type="expression" priority="48" aboveAverage="0" equalAverage="0" bottom="0" percent="0" rank="0" text="" dxfId="0">
      <formula>H15&lt;&gt;""</formula>
    </cfRule>
  </conditionalFormatting>
  <conditionalFormatting sqref="I15">
    <cfRule type="expression" priority="49" aboveAverage="0" equalAverage="0" bottom="0" percent="0" rank="0" text="" dxfId="0">
      <formula>I15&lt;&gt;""</formula>
    </cfRule>
  </conditionalFormatting>
  <conditionalFormatting sqref="J15">
    <cfRule type="expression" priority="50" aboveAverage="0" equalAverage="0" bottom="0" percent="0" rank="0" text="" dxfId="0">
      <formula>J15&lt;&gt;""</formula>
    </cfRule>
  </conditionalFormatting>
  <conditionalFormatting sqref="K3:K16">
    <cfRule type="cellIs" priority="51" operator="greaterThanOrEqual" aboveAverage="0" equalAverage="0" bottom="0" percent="0" rank="0" text="" dxfId="0">
      <formula>1</formula>
    </cfRule>
    <cfRule type="cellIs" priority="52" operator="between" aboveAverage="0" equalAverage="0" bottom="0" percent="0" rank="0" text="" dxfId="1">
      <formula>0.5</formula>
      <formula>0.99</formula>
    </cfRule>
    <cfRule type="cellIs" priority="53" operator="lessThan" aboveAverage="0" equalAverage="0" bottom="0" percent="0" rank="0" text="" dxfId="2">
      <formula>0.5</formula>
    </cfRule>
  </conditionalFormatting>
  <dataValidations count="1">
    <dataValidation allowBlank="true" errorStyle="stop" operator="between" showDropDown="false" showErrorMessage="false" showInputMessage="false" sqref="D2:J15"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&amp;CSectional Completion Milestone Trigger Matrix</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28" t="s">
        <v>69</v>
      </c>
    </row>
    <row r="2" customFormat="false" ht="15" hidden="false" customHeight="false" outlineLevel="0" collapsed="false">
      <c r="A2" s="29"/>
    </row>
    <row r="3" customFormat="false" ht="15" hidden="false" customHeight="false" outlineLevel="0" collapsed="false">
      <c r="A3" s="29" t="s">
        <v>70</v>
      </c>
    </row>
    <row r="4" customFormat="false" ht="15" hidden="false" customHeight="false" outlineLevel="0" collapsed="false">
      <c r="A4" s="29"/>
    </row>
    <row r="5" customFormat="false" ht="15" hidden="false" customHeight="false" outlineLevel="0" collapsed="false">
      <c r="A5" s="30" t="s">
        <v>71</v>
      </c>
    </row>
    <row r="6" customFormat="false" ht="23.85" hidden="false" customHeight="false" outlineLevel="0" collapsed="false">
      <c r="A6" s="30" t="s">
        <v>72</v>
      </c>
    </row>
    <row r="7" customFormat="false" ht="15" hidden="false" customHeight="false" outlineLevel="0" collapsed="false">
      <c r="A7" s="30" t="s">
        <v>73</v>
      </c>
    </row>
    <row r="8" customFormat="false" ht="15" hidden="false" customHeight="false" outlineLevel="0" collapsed="false">
      <c r="A8" s="30" t="s">
        <v>74</v>
      </c>
    </row>
    <row r="9" customFormat="false" ht="23.85" hidden="false" customHeight="false" outlineLevel="0" collapsed="false">
      <c r="A9" s="30" t="s">
        <v>75</v>
      </c>
    </row>
    <row r="10" customFormat="false" ht="15" hidden="false" customHeight="false" outlineLevel="0" collapsed="false">
      <c r="A10" s="30" t="s">
        <v>76</v>
      </c>
    </row>
    <row r="11" customFormat="false" ht="15" hidden="false" customHeight="false" outlineLevel="0" collapsed="false">
      <c r="A11" s="29"/>
    </row>
    <row r="12" customFormat="false" ht="15" hidden="false" customHeight="false" outlineLevel="0" collapsed="false">
      <c r="A12" s="29"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Handover &amp; Closeout</cp:category>
  <dcterms:created xsi:type="dcterms:W3CDTF">2026-03-24T17:19:42Z</dcterms:created>
  <dc:creator>Ebrora Ltd</dc:creator>
  <dc:description>Track project sections through 7 completion milestones (Design through Sectional Completion) with planned vs actual dates, section readiness percentages, and milestone completion tracking.
Free professional construction management template from Ebrora Ltd. Visit ebrora.com for our full range of tools and templates.</dc:description>
  <cp:keywords>Ebrora construction sectional completion milestone handover closeout programme NEC</cp:keywords>
  <dc:language>en-US</dc:language>
  <cp:lastModifiedBy>Ebrora Ltd</cp:lastModifiedBy>
  <dcterms:modified xsi:type="dcterms:W3CDTF">2026-03-24T17:19:42Z</dcterms:modified>
  <cp:revision>0</cp:revision>
  <dc:subject>Track project sections through completion milestones with planned vs actual dates and readiness assessment.</dc:subject>
  <dc:title>Sectional Completion &amp; Milestone Trigger Matrix</dc:title>
</cp:coreProperties>
</file>

<file path=docProps/custom.xml><?xml version="1.0" encoding="utf-8"?>
<Properties xmlns="http://schemas.openxmlformats.org/officeDocument/2006/custom-properties" xmlns:vt="http://schemas.openxmlformats.org/officeDocument/2006/docPropsVTypes"/>
</file>