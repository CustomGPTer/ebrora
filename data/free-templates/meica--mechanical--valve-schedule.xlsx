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Valve Schedule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'Valve Schedule'!$A$1:$N$57</definedName>
    <definedName function="false" hidden="true" localSheetId="2" name="_xlnm._FilterDatabase" vbProcedure="false">'Valve Schedule'!$A$7:$N$7</definedName>
    <definedName function="false" hidden="false" name="DataTable" vbProcedure="false">'Valve Schedule'!$A$7:$N$57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<sst xmlns="http://schemas.openxmlformats.org/spreadsheetml/2006/main" count="140" uniqueCount="125">
  <si>
    <t xml:space="preserve">EBRORA</t>
  </si>
  <si>
    <t xml:space="preserve">ebrora.com</t>
  </si>
  <si>
    <t xml:space="preserve">Valve Schedule</t>
  </si>
  <si>
    <t xml:space="preserve">Register and track all valves across your project — type, location, size, status, and commissioning progress in one schedule.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</si>
  <si>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</si>
  <si>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</si>
  <si>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</si>
  <si>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</si>
  <si>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</si>
  <si>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Go to the 'Valve Schedule' sheet. Each row represents one valve in your project.</t>
  </si>
  <si>
    <t xml:space="preserve">2.</t>
  </si>
  <si>
    <t xml:space="preserve">Enter the Valve Tag (e.g., XV-101, BV-201) in column A — this is your unique identifier.</t>
  </si>
  <si>
    <t xml:space="preserve">3.</t>
  </si>
  <si>
    <t xml:space="preserve">Select the Valve Type from the dropdown (Gate, Ball, Butterfly, Check, Globe, Plug, Needle, Relief).</t>
  </si>
  <si>
    <t xml:space="preserve">4.</t>
  </si>
  <si>
    <t xml:space="preserve">Fill in Size, Pressure Rating, Material, and Location using the light teal input cells.</t>
  </si>
  <si>
    <t xml:space="preserve">5.</t>
  </si>
  <si>
    <t xml:space="preserve">Track installation and commissioning status using the 'Install Status' and 'Comm. Status' dropdowns.</t>
  </si>
  <si>
    <t xml:space="preserve">6.</t>
  </si>
  <si>
    <t xml:space="preserve">The summary dashboard at the top auto-calculates totals and completion rates.</t>
  </si>
  <si>
    <t xml:space="preserve">Optional Fields</t>
  </si>
  <si>
    <t xml:space="preserve">7.</t>
  </si>
  <si>
    <t xml:space="preserve">Click [+] above the grouped columns to expand optional detail fields: Actuator Type, Fail Position, P&amp;ID Ref, and Remarks.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</si>
  <si>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</si>
  <si>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</si>
  <si>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</si>
  <si>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</si>
  <si>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headings</t>
  </si>
  <si>
    <t xml:space="preserve">Green</t>
  </si>
  <si>
    <t xml:space="preserve">Installed / Commissioned</t>
  </si>
  <si>
    <t xml:space="preserve">Amber</t>
  </si>
  <si>
    <t xml:space="preserve">Partially installed or in progress</t>
  </si>
  <si>
    <t xml:space="preserve">Red</t>
  </si>
  <si>
    <t xml:space="preserve">Not installed / Not commissioned</t>
  </si>
  <si>
    <t xml:space="preserve">Tips</t>
  </si>
  <si>
    <t xml:space="preserve">•</t>
  </si>
  <si>
    <t xml:space="preserve">Use the AutoFilter to sort by Valve Type or Status — useful for generating commissioning punch lists by system.</t>
  </si>
  <si>
    <t xml:space="preserve">Print landscape on A4 for site walkaround valve checks. The core columns fit one page wide.</t>
  </si>
  <si>
    <t xml:space="preserve">Expand the optional columns to record actuator details and P&amp;ID references for handover documentation.</t>
  </si>
  <si>
    <t xml:space="preserve">VALVE SCHEDULE — PROJECT SUMMARY</t>
  </si>
  <si>
    <t xml:space="preserve">Total Valves:</t>
  </si>
  <si>
    <t xml:space="preserve">Installed:</t>
  </si>
  <si>
    <t xml:space="preserve">Not Installed:</t>
  </si>
  <si>
    <t xml:space="preserve">Commissioned:</t>
  </si>
  <si>
    <t xml:space="preserve">Install %:</t>
  </si>
  <si>
    <t xml:space="preserve">Comm. %:</t>
  </si>
  <si>
    <t xml:space="preserve">▸ Optional Fields — Click [+] to expand</t>
  </si>
  <si>
    <t xml:space="preserve">Valve Tag</t>
  </si>
  <si>
    <t xml:space="preserve">Valve Type</t>
  </si>
  <si>
    <t xml:space="preserve">Size (mm/in)</t>
  </si>
  <si>
    <t xml:space="preserve">Pressure Rating</t>
  </si>
  <si>
    <t xml:space="preserve">Material</t>
  </si>
  <si>
    <t xml:space="preserve">Location / System</t>
  </si>
  <si>
    <t xml:space="preserve">Line / P&amp;ID No.</t>
  </si>
  <si>
    <t xml:space="preserve">Service / Fluid</t>
  </si>
  <si>
    <t xml:space="preserve">Install Status</t>
  </si>
  <si>
    <t xml:space="preserve">Comm. Status</t>
  </si>
  <si>
    <t xml:space="preserve">Actuator Type</t>
  </si>
  <si>
    <t xml:space="preserve">Fail Position</t>
  </si>
  <si>
    <t xml:space="preserve">P&amp;ID Ref</t>
  </si>
  <si>
    <t xml:space="preserve">Remarks</t>
  </si>
  <si>
    <t xml:space="preserve">XV-101</t>
  </si>
  <si>
    <t xml:space="preserve">Ball</t>
  </si>
  <si>
    <t xml:space="preserve">DN50</t>
  </si>
  <si>
    <t xml:space="preserve">PN16</t>
  </si>
  <si>
    <t xml:space="preserve">316SS</t>
  </si>
  <si>
    <t xml:space="preserve">Inlet Header — WTP</t>
  </si>
  <si>
    <t xml:space="preserve">100-PW-001</t>
  </si>
  <si>
    <t xml:space="preserve">Potable Water</t>
  </si>
  <si>
    <t xml:space="preserve">Installed</t>
  </si>
  <si>
    <t xml:space="preserve">Complete</t>
  </si>
  <si>
    <t xml:space="preserve">Pneumatic</t>
  </si>
  <si>
    <t xml:space="preserve">Fail Closed</t>
  </si>
  <si>
    <t xml:space="preserve">P&amp;ID-001</t>
  </si>
  <si>
    <t xml:space="preserve">XV-102</t>
  </si>
  <si>
    <t xml:space="preserve">Butterfly</t>
  </si>
  <si>
    <t xml:space="preserve">DN150</t>
  </si>
  <si>
    <t xml:space="preserve">PN10</t>
  </si>
  <si>
    <t xml:space="preserve">Ductile Iron</t>
  </si>
  <si>
    <t xml:space="preserve">Main Distribution — WTP</t>
  </si>
  <si>
    <t xml:space="preserve">100-PW-003</t>
  </si>
  <si>
    <t xml:space="preserve">In Progress</t>
  </si>
  <si>
    <t xml:space="preserve">Electric</t>
  </si>
  <si>
    <t xml:space="preserve">Awaiting actuator commissioning</t>
  </si>
  <si>
    <t xml:space="preserve">BV-201</t>
  </si>
  <si>
    <t xml:space="preserve">Gate</t>
  </si>
  <si>
    <t xml:space="preserve">DN80</t>
  </si>
  <si>
    <t xml:space="preserve">Carbon Steel</t>
  </si>
  <si>
    <t xml:space="preserve">Boiler Feed — Plant Room</t>
  </si>
  <si>
    <t xml:space="preserve">200-ST-001</t>
  </si>
  <si>
    <t xml:space="preserve">Steam</t>
  </si>
  <si>
    <t xml:space="preserve">Not Installed</t>
  </si>
  <si>
    <t xml:space="preserve">Not Started</t>
  </si>
  <si>
    <t xml:space="preserve">Manual</t>
  </si>
  <si>
    <t xml:space="preserve">N/A</t>
  </si>
  <si>
    <t xml:space="preserve">P&amp;ID-005</t>
  </si>
  <si>
    <t xml:space="preserve">Delivery due next week</t>
  </si>
  <si>
    <t xml:space="preserve">CV-301</t>
  </si>
  <si>
    <t xml:space="preserve">Globe</t>
  </si>
  <si>
    <t xml:space="preserve">DN25</t>
  </si>
  <si>
    <t xml:space="preserve">PN25</t>
  </si>
  <si>
    <t xml:space="preserve">Chemical Dosing — WTP</t>
  </si>
  <si>
    <t xml:space="preserve">300-CH-002</t>
  </si>
  <si>
    <t xml:space="preserve">Sodium Hypochlorite</t>
  </si>
  <si>
    <t xml:space="preserve">Fail Open</t>
  </si>
  <si>
    <t xml:space="preserve">P&amp;ID-008</t>
  </si>
  <si>
    <t xml:space="preserve">RV-401</t>
  </si>
  <si>
    <t xml:space="preserve">Relief</t>
  </si>
  <si>
    <t xml:space="preserve">Class 150</t>
  </si>
  <si>
    <t xml:space="preserve">Compressed Air Header</t>
  </si>
  <si>
    <t xml:space="preserve">400-CA-001</t>
  </si>
  <si>
    <t xml:space="preserve">Compressed Air</t>
  </si>
  <si>
    <t xml:space="preserve">Partially Installed</t>
  </si>
  <si>
    <t xml:space="preserve">Self-Acting</t>
  </si>
  <si>
    <t xml:space="preserve">P&amp;ID-012</t>
  </si>
  <si>
    <t xml:space="preserve">Set pressure TBC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</si>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</sst>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  <col collapsed="false" customWidth="true" hidden="false" outlineLevel="0" max="6" min="3" style="0" width="18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15" hidden="false" customHeight="true" outlineLevel="0" collapsed="false">
      <c r="A4" s="10" t="s">
        <v>8</v>
      </c>
      <c r="B4" s="11" t="s">
        <v>9</v>
      </c>
      <c r="C4" s="11"/>
      <c r="D4" s="11"/>
      <c r="E4" s="11"/>
      <c r="F4" s="11"/>
    </row>
    <row r="5" customFormat="false" ht="15" hidden="false" customHeight="true" outlineLevel="0" collapsed="false">
      <c r="A5" s="10" t="s">
        <v>10</v>
      </c>
      <c r="B5" s="11" t="s">
        <v>11</v>
      </c>
      <c r="C5" s="11"/>
      <c r="D5" s="11"/>
      <c r="E5" s="11"/>
      <c r="F5" s="11"/>
    </row>
    <row r="6" customFormat="false" ht="15" hidden="false" customHeight="true" outlineLevel="0" collapsed="false">
      <c r="A6" s="10" t="s">
        <v>12</v>
      </c>
      <c r="B6" s="11" t="s">
        <v>13</v>
      </c>
      <c r="C6" s="11"/>
      <c r="D6" s="11"/>
      <c r="E6" s="11"/>
      <c r="F6" s="11"/>
    </row>
    <row r="7" customFormat="false" ht="15" hidden="false" customHeight="true" outlineLevel="0" collapsed="false">
      <c r="A7" s="10" t="s">
        <v>14</v>
      </c>
      <c r="B7" s="11" t="s">
        <v>15</v>
      </c>
      <c r="C7" s="11"/>
      <c r="D7" s="11"/>
      <c r="E7" s="11"/>
      <c r="F7" s="11"/>
    </row>
    <row r="8" customFormat="false" ht="15" hidden="false" customHeight="true" outlineLevel="0" collapsed="false">
      <c r="A8" s="10" t="s">
        <v>16</v>
      </c>
      <c r="B8" s="11" t="s">
        <v>17</v>
      </c>
      <c r="C8" s="11"/>
      <c r="D8" s="11"/>
      <c r="E8" s="11"/>
      <c r="F8" s="11"/>
    </row>
    <row r="9" customFormat="false" ht="15" hidden="false" customHeight="true" outlineLevel="0" collapsed="false">
      <c r="A9" s="10" t="s">
        <v>18</v>
      </c>
      <c r="B9" s="11" t="s">
        <v>19</v>
      </c>
      <c r="C9" s="11"/>
      <c r="D9" s="11"/>
      <c r="E9" s="11"/>
      <c r="F9" s="11"/>
    </row>
    <row r="11" customFormat="false" ht="15" hidden="false" customHeight="true" outlineLevel="0" collapsed="false">
      <c r="A11" s="9" t="s">
        <v>20</v>
      </c>
      <c r="B11" s="9"/>
      <c r="C11" s="9"/>
      <c r="D11" s="9"/>
      <c r="E11" s="9"/>
      <c r="F11" s="9"/>
    </row>
    <row r="12" customFormat="false" ht="15" hidden="false" customHeight="true" outlineLevel="0" collapsed="false">
      <c r="A12" s="10" t="s">
        <v>21</v>
      </c>
      <c r="B12" s="11" t="s">
        <v>22</v>
      </c>
      <c r="C12" s="11"/>
      <c r="D12" s="11"/>
      <c r="E12" s="11"/>
      <c r="F12" s="11"/>
    </row>
    <row r="14" customFormat="false" ht="18.65" hidden="false" customHeight="true" outlineLevel="0" collapsed="false">
      <c r="A14" s="8" t="s">
        <v>23</v>
      </c>
      <c r="B14" s="8"/>
      <c r="C14" s="8"/>
      <c r="D14" s="8"/>
      <c r="E14" s="8"/>
      <c r="F14" s="8"/>
    </row>
    <row r="16" customFormat="false" ht="15" hidden="false" customHeight="false" outlineLevel="0" collapsed="false">
      <c r="A16" s="12"/>
      <c r="B16" s="13" t="s">
        <v>24</v>
      </c>
      <c r="C16" s="13"/>
      <c r="D16" s="14" t="s">
        <v>25</v>
      </c>
      <c r="E16" s="14"/>
      <c r="F16" s="14"/>
    </row>
    <row r="17" customFormat="false" ht="15" hidden="false" customHeight="false" outlineLevel="0" collapsed="false">
      <c r="A17" s="15"/>
      <c r="B17" s="13" t="s">
        <v>26</v>
      </c>
      <c r="C17" s="13"/>
      <c r="D17" s="14" t="s">
        <v>27</v>
      </c>
      <c r="E17" s="14"/>
      <c r="F17" s="14"/>
    </row>
    <row r="18" customFormat="false" ht="15" hidden="false" customHeight="false" outlineLevel="0" collapsed="false">
      <c r="A18" s="16"/>
      <c r="B18" s="13" t="s">
        <v>28</v>
      </c>
      <c r="C18" s="13"/>
      <c r="D18" s="14" t="s">
        <v>29</v>
      </c>
      <c r="E18" s="14"/>
      <c r="F18" s="14"/>
    </row>
    <row r="19" customFormat="false" ht="15" hidden="false" customHeight="false" outlineLevel="0" collapsed="false">
      <c r="A19" s="17"/>
      <c r="B19" s="13" t="s">
        <v>30</v>
      </c>
      <c r="C19" s="13"/>
      <c r="D19" s="14" t="s">
        <v>31</v>
      </c>
      <c r="E19" s="14"/>
      <c r="F19" s="14"/>
    </row>
    <row r="20" customFormat="false" ht="15" hidden="false" customHeight="false" outlineLevel="0" collapsed="false">
      <c r="A20" s="18"/>
      <c r="B20" s="13" t="s">
        <v>32</v>
      </c>
      <c r="C20" s="13"/>
      <c r="D20" s="14" t="s">
        <v>33</v>
      </c>
      <c r="E20" s="14"/>
      <c r="F20" s="14"/>
    </row>
    <row r="22" customFormat="false" ht="18.65" hidden="false" customHeight="true" outlineLevel="0" collapsed="false">
      <c r="A22" s="8" t="s">
        <v>34</v>
      </c>
      <c r="B22" s="8"/>
      <c r="C22" s="8"/>
      <c r="D22" s="8"/>
      <c r="E22" s="8"/>
      <c r="F22" s="8"/>
    </row>
    <row r="24" customFormat="false" ht="15" hidden="false" customHeight="true" outlineLevel="0" collapsed="false">
      <c r="A24" s="10" t="s">
        <v>35</v>
      </c>
      <c r="B24" s="11" t="s">
        <v>36</v>
      </c>
      <c r="C24" s="11"/>
      <c r="D24" s="11"/>
      <c r="E24" s="11"/>
      <c r="F24" s="11"/>
    </row>
    <row r="25" customFormat="false" ht="15" hidden="false" customHeight="true" outlineLevel="0" collapsed="false">
      <c r="A25" s="10" t="s">
        <v>35</v>
      </c>
      <c r="B25" s="11" t="s">
        <v>37</v>
      </c>
      <c r="C25" s="11"/>
      <c r="D25" s="11"/>
      <c r="E25" s="11"/>
      <c r="F25" s="11"/>
    </row>
    <row r="26" customFormat="false" ht="15" hidden="false" customHeight="true" outlineLevel="0" collapsed="false">
      <c r="A26" s="10" t="s">
        <v>35</v>
      </c>
      <c r="B26" s="11" t="s">
        <v>38</v>
      </c>
      <c r="C26" s="11"/>
      <c r="D26" s="11"/>
      <c r="E26" s="11"/>
      <c r="F26" s="11"/>
    </row>
  </sheetData>
  <mergeCells count="25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A14:F14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A22:F22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10" min="7" style="0" width="16"/>
    <col collapsed="false" customWidth="true" hidden="true" outlineLevel="1" max="14" min="11" style="0" width="16"/>
  </cols>
  <sheetData>
    <row r="1" customFormat="false" ht="18.65" hidden="false" customHeight="true" outlineLevel="0" collapsed="false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customFormat="false" ht="15" hidden="false" customHeight="false" outlineLevel="0" collapsed="false">
      <c r="A3" s="20" t="s">
        <v>40</v>
      </c>
      <c r="B3" s="21" t="n">
        <f aca="false">COUNTA(A8:A507)-COUNTBLANK(A8:A507)</f>
        <v>-490</v>
      </c>
      <c r="C3" s="20" t="s">
        <v>41</v>
      </c>
      <c r="D3" s="21" t="n">
        <f aca="false">COUNTIF(I8:I507,"Installed")</f>
        <v>3</v>
      </c>
      <c r="E3" s="20" t="s">
        <v>42</v>
      </c>
      <c r="F3" s="21" t="n">
        <f aca="false">COUNTIF(I8:I507,"Not Installed")</f>
        <v>1</v>
      </c>
      <c r="G3" s="20" t="s">
        <v>43</v>
      </c>
      <c r="H3" s="21" t="n">
        <f aca="false">COUNTIF(J8:J507,"Complete")</f>
        <v>2</v>
      </c>
      <c r="I3" s="20" t="s">
        <v>44</v>
      </c>
      <c r="J3" s="22" t="n">
        <f aca="false">IF(B3&gt;0,D3/B3,0)</f>
        <v>0</v>
      </c>
      <c r="K3" s="20" t="s">
        <v>45</v>
      </c>
      <c r="L3" s="22" t="n">
        <f aca="false">IF(B3&gt;0,H3/B3,0)</f>
        <v>0</v>
      </c>
      <c r="M3" s="23"/>
      <c r="N3" s="23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6" customFormat="false" ht="22.35" hidden="false" customHeight="true" outlineLevel="0" collapsed="false">
      <c r="K6" s="25" t="s">
        <v>46</v>
      </c>
      <c r="L6" s="25"/>
      <c r="M6" s="25"/>
      <c r="N6" s="25"/>
    </row>
    <row r="7" customFormat="false" ht="15" hidden="false" customHeight="false" outlineLevel="0" collapsed="false">
      <c r="A7" s="26" t="s">
        <v>47</v>
      </c>
      <c r="B7" s="26" t="s">
        <v>48</v>
      </c>
      <c r="C7" s="26" t="s">
        <v>49</v>
      </c>
      <c r="D7" s="26" t="s">
        <v>50</v>
      </c>
      <c r="E7" s="26" t="s">
        <v>51</v>
      </c>
      <c r="F7" s="26" t="s">
        <v>52</v>
      </c>
      <c r="G7" s="26" t="s">
        <v>53</v>
      </c>
      <c r="H7" s="26" t="s">
        <v>54</v>
      </c>
      <c r="I7" s="26" t="s">
        <v>55</v>
      </c>
      <c r="J7" s="26" t="s">
        <v>56</v>
      </c>
      <c r="K7" s="26" t="s">
        <v>57</v>
      </c>
      <c r="L7" s="26" t="s">
        <v>58</v>
      </c>
      <c r="M7" s="26" t="s">
        <v>59</v>
      </c>
      <c r="N7" s="26" t="s">
        <v>60</v>
      </c>
    </row>
    <row r="8" customFormat="false" ht="15" hidden="false" customHeight="false" outlineLevel="0" collapsed="false">
      <c r="A8" s="27" t="s">
        <v>61</v>
      </c>
      <c r="B8" s="27" t="s">
        <v>62</v>
      </c>
      <c r="C8" s="27" t="s">
        <v>63</v>
      </c>
      <c r="D8" s="27" t="s">
        <v>64</v>
      </c>
      <c r="E8" s="27" t="s">
        <v>65</v>
      </c>
      <c r="F8" s="28" t="s">
        <v>66</v>
      </c>
      <c r="G8" s="27" t="s">
        <v>67</v>
      </c>
      <c r="H8" s="28" t="s">
        <v>68</v>
      </c>
      <c r="I8" s="27" t="s">
        <v>69</v>
      </c>
      <c r="J8" s="27" t="s">
        <v>70</v>
      </c>
      <c r="K8" s="27" t="s">
        <v>71</v>
      </c>
      <c r="L8" s="27" t="s">
        <v>72</v>
      </c>
      <c r="M8" s="27" t="s">
        <v>73</v>
      </c>
      <c r="N8" s="28"/>
    </row>
    <row r="9" customFormat="false" ht="23.85" hidden="false" customHeight="false" outlineLevel="0" collapsed="false">
      <c r="A9" s="27" t="s">
        <v>74</v>
      </c>
      <c r="B9" s="27" t="s">
        <v>75</v>
      </c>
      <c r="C9" s="27" t="s">
        <v>76</v>
      </c>
      <c r="D9" s="27" t="s">
        <v>77</v>
      </c>
      <c r="E9" s="27" t="s">
        <v>78</v>
      </c>
      <c r="F9" s="28" t="s">
        <v>79</v>
      </c>
      <c r="G9" s="27" t="s">
        <v>80</v>
      </c>
      <c r="H9" s="28" t="s">
        <v>68</v>
      </c>
      <c r="I9" s="27" t="s">
        <v>69</v>
      </c>
      <c r="J9" s="27" t="s">
        <v>81</v>
      </c>
      <c r="K9" s="27" t="s">
        <v>82</v>
      </c>
      <c r="L9" s="27" t="s">
        <v>72</v>
      </c>
      <c r="M9" s="27" t="s">
        <v>73</v>
      </c>
      <c r="N9" s="28" t="s">
        <v>83</v>
      </c>
    </row>
    <row r="10" customFormat="false" ht="23.85" hidden="false" customHeight="false" outlineLevel="0" collapsed="false">
      <c r="A10" s="27" t="s">
        <v>84</v>
      </c>
      <c r="B10" s="27" t="s">
        <v>85</v>
      </c>
      <c r="C10" s="27" t="s">
        <v>86</v>
      </c>
      <c r="D10" s="27" t="s">
        <v>64</v>
      </c>
      <c r="E10" s="27" t="s">
        <v>87</v>
      </c>
      <c r="F10" s="28" t="s">
        <v>88</v>
      </c>
      <c r="G10" s="27" t="s">
        <v>89</v>
      </c>
      <c r="H10" s="28" t="s">
        <v>90</v>
      </c>
      <c r="I10" s="27" t="s">
        <v>91</v>
      </c>
      <c r="J10" s="27" t="s">
        <v>92</v>
      </c>
      <c r="K10" s="27" t="s">
        <v>93</v>
      </c>
      <c r="L10" s="27" t="s">
        <v>94</v>
      </c>
      <c r="M10" s="27" t="s">
        <v>95</v>
      </c>
      <c r="N10" s="28" t="s">
        <v>96</v>
      </c>
    </row>
    <row r="11" customFormat="false" ht="15" hidden="false" customHeight="false" outlineLevel="0" collapsed="false">
      <c r="A11" s="27" t="s">
        <v>97</v>
      </c>
      <c r="B11" s="27" t="s">
        <v>98</v>
      </c>
      <c r="C11" s="27" t="s">
        <v>99</v>
      </c>
      <c r="D11" s="27" t="s">
        <v>100</v>
      </c>
      <c r="E11" s="27" t="s">
        <v>65</v>
      </c>
      <c r="F11" s="28" t="s">
        <v>101</v>
      </c>
      <c r="G11" s="27" t="s">
        <v>102</v>
      </c>
      <c r="H11" s="28" t="s">
        <v>103</v>
      </c>
      <c r="I11" s="27" t="s">
        <v>69</v>
      </c>
      <c r="J11" s="27" t="s">
        <v>70</v>
      </c>
      <c r="K11" s="27" t="s">
        <v>71</v>
      </c>
      <c r="L11" s="27" t="s">
        <v>104</v>
      </c>
      <c r="M11" s="27" t="s">
        <v>105</v>
      </c>
      <c r="N11" s="28"/>
    </row>
    <row r="12" customFormat="false" ht="15" hidden="false" customHeight="false" outlineLevel="0" collapsed="false">
      <c r="A12" s="27" t="s">
        <v>106</v>
      </c>
      <c r="B12" s="27" t="s">
        <v>107</v>
      </c>
      <c r="C12" s="27" t="s">
        <v>63</v>
      </c>
      <c r="D12" s="27" t="s">
        <v>108</v>
      </c>
      <c r="E12" s="27" t="s">
        <v>87</v>
      </c>
      <c r="F12" s="28" t="s">
        <v>109</v>
      </c>
      <c r="G12" s="27" t="s">
        <v>110</v>
      </c>
      <c r="H12" s="28" t="s">
        <v>111</v>
      </c>
      <c r="I12" s="27" t="s">
        <v>112</v>
      </c>
      <c r="J12" s="27" t="s">
        <v>92</v>
      </c>
      <c r="K12" s="27" t="s">
        <v>113</v>
      </c>
      <c r="L12" s="27" t="s">
        <v>94</v>
      </c>
      <c r="M12" s="27" t="s">
        <v>114</v>
      </c>
      <c r="N12" s="28" t="s">
        <v>115</v>
      </c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8"/>
      <c r="G13" s="27"/>
      <c r="H13" s="28"/>
      <c r="I13" s="27"/>
      <c r="J13" s="27"/>
      <c r="K13" s="27"/>
      <c r="L13" s="27"/>
      <c r="M13" s="27"/>
      <c r="N13" s="28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8"/>
      <c r="G14" s="27"/>
      <c r="H14" s="28"/>
      <c r="I14" s="27"/>
      <c r="J14" s="27"/>
      <c r="K14" s="27"/>
      <c r="L14" s="27"/>
      <c r="M14" s="27"/>
      <c r="N14" s="28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8"/>
      <c r="G15" s="27"/>
      <c r="H15" s="28"/>
      <c r="I15" s="27"/>
      <c r="J15" s="27"/>
      <c r="K15" s="27"/>
      <c r="L15" s="27"/>
      <c r="M15" s="27"/>
      <c r="N15" s="28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8"/>
      <c r="G16" s="27"/>
      <c r="H16" s="28"/>
      <c r="I16" s="27"/>
      <c r="J16" s="27"/>
      <c r="K16" s="27"/>
      <c r="L16" s="27"/>
      <c r="M16" s="27"/>
      <c r="N16" s="28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8"/>
      <c r="G17" s="27"/>
      <c r="H17" s="28"/>
      <c r="I17" s="27"/>
      <c r="J17" s="27"/>
      <c r="K17" s="27"/>
      <c r="L17" s="27"/>
      <c r="M17" s="27"/>
      <c r="N17" s="28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8"/>
      <c r="G18" s="27"/>
      <c r="H18" s="28"/>
      <c r="I18" s="27"/>
      <c r="J18" s="27"/>
      <c r="K18" s="27"/>
      <c r="L18" s="27"/>
      <c r="M18" s="27"/>
      <c r="N18" s="28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8"/>
      <c r="G19" s="27"/>
      <c r="H19" s="28"/>
      <c r="I19" s="27"/>
      <c r="J19" s="27"/>
      <c r="K19" s="27"/>
      <c r="L19" s="27"/>
      <c r="M19" s="27"/>
      <c r="N19" s="28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8"/>
      <c r="G20" s="27"/>
      <c r="H20" s="28"/>
      <c r="I20" s="27"/>
      <c r="J20" s="27"/>
      <c r="K20" s="27"/>
      <c r="L20" s="27"/>
      <c r="M20" s="27"/>
      <c r="N20" s="28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8"/>
      <c r="G21" s="27"/>
      <c r="H21" s="28"/>
      <c r="I21" s="27"/>
      <c r="J21" s="27"/>
      <c r="K21" s="27"/>
      <c r="L21" s="27"/>
      <c r="M21" s="27"/>
      <c r="N21" s="28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8"/>
      <c r="G22" s="27"/>
      <c r="H22" s="28"/>
      <c r="I22" s="27"/>
      <c r="J22" s="27"/>
      <c r="K22" s="27"/>
      <c r="L22" s="27"/>
      <c r="M22" s="27"/>
      <c r="N22" s="28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8"/>
      <c r="G23" s="27"/>
      <c r="H23" s="28"/>
      <c r="I23" s="27"/>
      <c r="J23" s="27"/>
      <c r="K23" s="27"/>
      <c r="L23" s="27"/>
      <c r="M23" s="27"/>
      <c r="N23" s="28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8"/>
      <c r="G24" s="27"/>
      <c r="H24" s="28"/>
      <c r="I24" s="27"/>
      <c r="J24" s="27"/>
      <c r="K24" s="27"/>
      <c r="L24" s="27"/>
      <c r="M24" s="27"/>
      <c r="N24" s="28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8"/>
      <c r="G25" s="27"/>
      <c r="H25" s="28"/>
      <c r="I25" s="27"/>
      <c r="J25" s="27"/>
      <c r="K25" s="27"/>
      <c r="L25" s="27"/>
      <c r="M25" s="27"/>
      <c r="N25" s="28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8"/>
      <c r="G26" s="27"/>
      <c r="H26" s="28"/>
      <c r="I26" s="27"/>
      <c r="J26" s="27"/>
      <c r="K26" s="27"/>
      <c r="L26" s="27"/>
      <c r="M26" s="27"/>
      <c r="N26" s="28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8"/>
      <c r="G27" s="27"/>
      <c r="H27" s="28"/>
      <c r="I27" s="27"/>
      <c r="J27" s="27"/>
      <c r="K27" s="27"/>
      <c r="L27" s="27"/>
      <c r="M27" s="27"/>
      <c r="N27" s="28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8"/>
      <c r="G28" s="27"/>
      <c r="H28" s="28"/>
      <c r="I28" s="27"/>
      <c r="J28" s="27"/>
      <c r="K28" s="27"/>
      <c r="L28" s="27"/>
      <c r="M28" s="27"/>
      <c r="N28" s="28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8"/>
      <c r="G29" s="27"/>
      <c r="H29" s="28"/>
      <c r="I29" s="27"/>
      <c r="J29" s="27"/>
      <c r="K29" s="27"/>
      <c r="L29" s="27"/>
      <c r="M29" s="27"/>
      <c r="N29" s="28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8"/>
      <c r="G30" s="27"/>
      <c r="H30" s="28"/>
      <c r="I30" s="27"/>
      <c r="J30" s="27"/>
      <c r="K30" s="27"/>
      <c r="L30" s="27"/>
      <c r="M30" s="27"/>
      <c r="N30" s="28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8"/>
      <c r="G31" s="27"/>
      <c r="H31" s="28"/>
      <c r="I31" s="27"/>
      <c r="J31" s="27"/>
      <c r="K31" s="27"/>
      <c r="L31" s="27"/>
      <c r="M31" s="27"/>
      <c r="N31" s="28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8"/>
      <c r="G32" s="27"/>
      <c r="H32" s="28"/>
      <c r="I32" s="27"/>
      <c r="J32" s="27"/>
      <c r="K32" s="27"/>
      <c r="L32" s="27"/>
      <c r="M32" s="27"/>
      <c r="N32" s="28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8"/>
      <c r="G33" s="27"/>
      <c r="H33" s="28"/>
      <c r="I33" s="27"/>
      <c r="J33" s="27"/>
      <c r="K33" s="27"/>
      <c r="L33" s="27"/>
      <c r="M33" s="27"/>
      <c r="N33" s="28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8"/>
      <c r="G34" s="27"/>
      <c r="H34" s="28"/>
      <c r="I34" s="27"/>
      <c r="J34" s="27"/>
      <c r="K34" s="27"/>
      <c r="L34" s="27"/>
      <c r="M34" s="27"/>
      <c r="N34" s="28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8"/>
      <c r="G35" s="27"/>
      <c r="H35" s="28"/>
      <c r="I35" s="27"/>
      <c r="J35" s="27"/>
      <c r="K35" s="27"/>
      <c r="L35" s="27"/>
      <c r="M35" s="27"/>
      <c r="N35" s="28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8"/>
      <c r="G36" s="27"/>
      <c r="H36" s="28"/>
      <c r="I36" s="27"/>
      <c r="J36" s="27"/>
      <c r="K36" s="27"/>
      <c r="L36" s="27"/>
      <c r="M36" s="27"/>
      <c r="N36" s="28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8"/>
      <c r="G37" s="27"/>
      <c r="H37" s="28"/>
      <c r="I37" s="27"/>
      <c r="J37" s="27"/>
      <c r="K37" s="27"/>
      <c r="L37" s="27"/>
      <c r="M37" s="27"/>
      <c r="N37" s="28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8"/>
      <c r="G38" s="27"/>
      <c r="H38" s="28"/>
      <c r="I38" s="27"/>
      <c r="J38" s="27"/>
      <c r="K38" s="27"/>
      <c r="L38" s="27"/>
      <c r="M38" s="27"/>
      <c r="N38" s="28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8"/>
      <c r="G39" s="27"/>
      <c r="H39" s="28"/>
      <c r="I39" s="27"/>
      <c r="J39" s="27"/>
      <c r="K39" s="27"/>
      <c r="L39" s="27"/>
      <c r="M39" s="27"/>
      <c r="N39" s="28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8"/>
      <c r="G40" s="27"/>
      <c r="H40" s="28"/>
      <c r="I40" s="27"/>
      <c r="J40" s="27"/>
      <c r="K40" s="27"/>
      <c r="L40" s="27"/>
      <c r="M40" s="27"/>
      <c r="N40" s="28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8"/>
      <c r="G41" s="27"/>
      <c r="H41" s="28"/>
      <c r="I41" s="27"/>
      <c r="J41" s="27"/>
      <c r="K41" s="27"/>
      <c r="L41" s="27"/>
      <c r="M41" s="27"/>
      <c r="N41" s="28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8"/>
      <c r="G42" s="27"/>
      <c r="H42" s="28"/>
      <c r="I42" s="27"/>
      <c r="J42" s="27"/>
      <c r="K42" s="27"/>
      <c r="L42" s="27"/>
      <c r="M42" s="27"/>
      <c r="N42" s="28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8"/>
      <c r="G43" s="27"/>
      <c r="H43" s="28"/>
      <c r="I43" s="27"/>
      <c r="J43" s="27"/>
      <c r="K43" s="27"/>
      <c r="L43" s="27"/>
      <c r="M43" s="27"/>
      <c r="N43" s="28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8"/>
      <c r="G44" s="27"/>
      <c r="H44" s="28"/>
      <c r="I44" s="27"/>
      <c r="J44" s="27"/>
      <c r="K44" s="27"/>
      <c r="L44" s="27"/>
      <c r="M44" s="27"/>
      <c r="N44" s="28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8"/>
      <c r="G45" s="27"/>
      <c r="H45" s="28"/>
      <c r="I45" s="27"/>
      <c r="J45" s="27"/>
      <c r="K45" s="27"/>
      <c r="L45" s="27"/>
      <c r="M45" s="27"/>
      <c r="N45" s="28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8"/>
      <c r="G46" s="27"/>
      <c r="H46" s="28"/>
      <c r="I46" s="27"/>
      <c r="J46" s="27"/>
      <c r="K46" s="27"/>
      <c r="L46" s="27"/>
      <c r="M46" s="27"/>
      <c r="N46" s="28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8"/>
      <c r="G47" s="27"/>
      <c r="H47" s="28"/>
      <c r="I47" s="27"/>
      <c r="J47" s="27"/>
      <c r="K47" s="27"/>
      <c r="L47" s="27"/>
      <c r="M47" s="27"/>
      <c r="N47" s="28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8"/>
      <c r="G48" s="27"/>
      <c r="H48" s="28"/>
      <c r="I48" s="27"/>
      <c r="J48" s="27"/>
      <c r="K48" s="27"/>
      <c r="L48" s="27"/>
      <c r="M48" s="27"/>
      <c r="N48" s="28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8"/>
      <c r="G49" s="27"/>
      <c r="H49" s="28"/>
      <c r="I49" s="27"/>
      <c r="J49" s="27"/>
      <c r="K49" s="27"/>
      <c r="L49" s="27"/>
      <c r="M49" s="27"/>
      <c r="N49" s="28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8"/>
      <c r="G50" s="27"/>
      <c r="H50" s="28"/>
      <c r="I50" s="27"/>
      <c r="J50" s="27"/>
      <c r="K50" s="27"/>
      <c r="L50" s="27"/>
      <c r="M50" s="27"/>
      <c r="N50" s="28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8"/>
      <c r="G51" s="27"/>
      <c r="H51" s="28"/>
      <c r="I51" s="27"/>
      <c r="J51" s="27"/>
      <c r="K51" s="27"/>
      <c r="L51" s="27"/>
      <c r="M51" s="27"/>
      <c r="N51" s="28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8"/>
      <c r="G52" s="27"/>
      <c r="H52" s="28"/>
      <c r="I52" s="27"/>
      <c r="J52" s="27"/>
      <c r="K52" s="27"/>
      <c r="L52" s="27"/>
      <c r="M52" s="27"/>
      <c r="N52" s="28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8"/>
      <c r="G53" s="27"/>
      <c r="H53" s="28"/>
      <c r="I53" s="27"/>
      <c r="J53" s="27"/>
      <c r="K53" s="27"/>
      <c r="L53" s="27"/>
      <c r="M53" s="27"/>
      <c r="N53" s="28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8"/>
      <c r="G54" s="27"/>
      <c r="H54" s="28"/>
      <c r="I54" s="27"/>
      <c r="J54" s="27"/>
      <c r="K54" s="27"/>
      <c r="L54" s="27"/>
      <c r="M54" s="27"/>
      <c r="N54" s="28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8"/>
      <c r="G55" s="27"/>
      <c r="H55" s="28"/>
      <c r="I55" s="27"/>
      <c r="J55" s="27"/>
      <c r="K55" s="27"/>
      <c r="L55" s="27"/>
      <c r="M55" s="27"/>
      <c r="N55" s="28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8"/>
      <c r="G56" s="27"/>
      <c r="H56" s="28"/>
      <c r="I56" s="27"/>
      <c r="J56" s="27"/>
      <c r="K56" s="27"/>
      <c r="L56" s="27"/>
      <c r="M56" s="27"/>
      <c r="N56" s="28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8"/>
      <c r="G57" s="27"/>
      <c r="H57" s="28"/>
      <c r="I57" s="27"/>
      <c r="J57" s="27"/>
      <c r="K57" s="27"/>
      <c r="L57" s="27"/>
      <c r="M57" s="27"/>
      <c r="N57" s="28"/>
    </row>
  </sheetData>
  <autoFilter ref="A7:N7"/>
  <mergeCells count="2">
    <mergeCell ref="A1:N1"/>
    <mergeCell ref="K6:N6"/>
  </mergeCells>
  <conditionalFormatting sqref="I8:I507">
    <cfRule type="cellIs" priority="2" operator="equal" aboveAverage="0" equalAverage="0" bottom="0" percent="0" rank="0" text="" dxfId="3">
      <formula>"Installed"</formula>
    </cfRule>
    <cfRule type="cellIs" priority="3" operator="equal" aboveAverage="0" equalAverage="0" bottom="0" percent="0" rank="0" text="" dxfId="4">
      <formula>"Partially Installed"</formula>
    </cfRule>
    <cfRule type="cellIs" priority="4" operator="equal" aboveAverage="0" equalAverage="0" bottom="0" percent="0" rank="0" text="" dxfId="5">
      <formula>"Not Installed"</formula>
    </cfRule>
  </conditionalFormatting>
  <conditionalFormatting sqref="J8:J507">
    <cfRule type="cellIs" priority="5" operator="equal" aboveAverage="0" equalAverage="0" bottom="0" percent="0" rank="0" text="" dxfId="3">
      <formula>"Complete"</formula>
    </cfRule>
    <cfRule type="cellIs" priority="6" operator="equal" aboveAverage="0" equalAverage="0" bottom="0" percent="0" rank="0" text="" dxfId="4">
      <formula>"In Progress"</formula>
    </cfRule>
    <cfRule type="cellIs" priority="7" operator="equal" aboveAverage="0" equalAverage="0" bottom="0" percent="0" rank="0" text="" dxfId="5">
      <formula>"Not Started"</formula>
    </cfRule>
  </conditionalFormatting>
  <dataValidations count="6">
    <dataValidation allowBlank="true" errorStyle="stop" operator="between" showDropDown="false" showErrorMessage="false" showInputMessage="false" sqref="B8:B507" type="list">
      <formula1>"Gate,Ball,Butterfly,Check,Globe,Plug,Needle,Relief,Control,Diaphragm"</formula1>
      <formula2>0</formula2>
    </dataValidation>
    <dataValidation allowBlank="true" errorStyle="stop" operator="between" showDropDown="false" showErrorMessage="false" showInputMessage="false" sqref="I8:I507" type="list">
      <formula1>"Installed,Not Installed,Partially Installed"</formula1>
      <formula2>0</formula2>
    </dataValidation>
    <dataValidation allowBlank="true" errorStyle="stop" operator="between" showDropDown="false" showErrorMessage="false" showInputMessage="false" sqref="J8:J507" type="list">
      <formula1>"Complete,In Progress,Not Started,N/A"</formula1>
      <formula2>0</formula2>
    </dataValidation>
    <dataValidation allowBlank="true" errorStyle="stop" operator="between" showDropDown="false" showErrorMessage="false" showInputMessage="false" sqref="K8:K507" type="list">
      <formula1>"Manual,Pneumatic,Electric,Hydraulic,Self-Acting,N/A"</formula1>
      <formula2>0</formula2>
    </dataValidation>
    <dataValidation allowBlank="true" errorStyle="stop" operator="between" showDropDown="false" showErrorMessage="false" showInputMessage="false" sqref="L8:L507" type="list">
      <formula1>"Fail Open,Fail Closed,Fail Last,N/A"</formula1>
      <formula2>0</formula2>
    </dataValidation>
    <dataValidation allowBlank="true" errorStyle="stop" operator="between" showDropDown="false" showErrorMessage="false" showInputMessage="false" sqref="D8:D507" type="list">
      <formula1>"PN6,PN10,PN16,PN25,PN40,Class 150,Class 300,Class 600"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&amp;CValve Schedule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9" t="s">
        <v>116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117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0" t="s">
        <v>118</v>
      </c>
    </row>
    <row r="6" customFormat="false" ht="15" hidden="false" customHeight="false" outlineLevel="0" collapsed="false">
      <c r="A6" s="30"/>
    </row>
    <row r="7" customFormat="false" ht="23.85" hidden="false" customHeight="false" outlineLevel="0" collapsed="false">
      <c r="A7" s="30" t="s">
        <v>119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0" t="s">
        <v>120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0" t="s">
        <v>121</v>
      </c>
    </row>
    <row r="12" customFormat="false" ht="15" hidden="false" customHeight="false" outlineLevel="0" collapsed="false">
      <c r="A12" s="30"/>
    </row>
    <row r="13" customFormat="false" ht="23.85" hidden="false" customHeight="false" outlineLevel="0" collapsed="false">
      <c r="A13" s="30" t="s">
        <v>122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 t="s">
        <v>123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2026-03-22T19:58:54Z</dcterms:created>
  <dc:creator>Ebrora Ltd</dc:creator>
  <dc:description>Register and track all project valves — type, size, pressure rating, material, installation and commissioning status — designed for MEICA engineers and mechanical supervisors on UK construction projects.
Free professional construction management template from Ebrora Ltd. Visit ebrora.com for our full range of tools and templates.</dc:description>
  <cp:keywords>Ebrora construction MEICA commissioning valve schedule piping mechanical site management</cp:keywords>
  <dc:language>en-US</dc:language>
  <cp:lastModifiedBy>Ebrora Ltd</cp:lastModifiedBy>
  <dcterms:modified xsi:type="dcterms:W3CDTF">2026-03-22T19:58:54Z</dcterms:modified>
  <cp:revision>0</cp:revision>
  <dc:subject>Register and track all valves on a construction or MEICA project including type, size, material, location, and commissioning status.</dc:subject>
  <dc:title>Valve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