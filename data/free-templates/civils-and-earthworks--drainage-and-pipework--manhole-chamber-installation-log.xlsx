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hamber Log" sheetId="3" state="visible" r:id="rId5"/>
    <sheet name="Terms of Use" sheetId="4" state="hidden" r:id="rId6"/>
  </sheets>
  <definedNames>
    <definedName function="false" hidden="false" localSheetId="2" name="_xlnm.Print_Area" vbProcedure="false">'Chamber Log'!$A$1:$N$48</definedName>
    <definedName function="false" hidden="true" localSheetId="2" name="_xlnm._FilterDatabase" vbProcedure="false">'Chamber Log'!$A$7:$R$48</definedName>
    <definedName function="false" hidden="false" localSheetId="0" name="_xlnm.Print_Area" vbProcedure="false">Cover!$A$1:$H$20</definedName>
    <definedName function="false" hidden="false" name="DataTable" vbProcedure="false">'Chamber Log'!$A$7:$R$48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<sst xmlns="http://schemas.openxmlformats.org/spreadsheetml/2006/main" count="100" uniqueCount="89">
  <si>
    <t xml:space="preserve">EBRORA</t>
  </si>
  <si>
    <t xml:space="preserve">ebrora.com</t>
  </si>
  <si>
    <t xml:space="preserve">Manhole / Chamber
Installation Log</t>
  </si>
  <si>
    <t xml:space="preserve">Track manhole and chamber installations with level verification, connection checks, and water test status for adoptable drainage works.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</si>
  <si>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</si>
  <si>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</si>
  <si>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</si>
  <si>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</si>
  <si>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'Chamber Log' sheet. The summary panel shows total chambers, installation progress, and test status.</t>
  </si>
  <si>
    <t xml:space="preserve">2. Enter each manhole/chamber with its reference, type, date installed, and the design invert and cover levels.</t>
  </si>
  <si>
    <t xml:space="preserve">3. After installation, enter the as-built invert and cover levels. Depth auto-calculates (cover minus invert).</t>
  </si>
  <si>
    <t xml:space="preserve">4. Invert Variance and Cover Variance auto-calculate — showing mm difference between design and as-built.</t>
  </si>
  <si>
    <t xml:space="preserve">5. Record the water test result and number of connections made. The Overall Status auto-assesses compliance.</t>
  </si>
  <si>
    <t xml:space="preserve">6. Items with level variances exceeding ±15mm flag amber; exceeding ±25mm flag red.</t>
  </si>
  <si>
    <t xml:space="preserve">7. Expand optional columns [+] for benching type, step irons, frame/cover type, and CCTV reference.</t>
  </si>
  <si>
    <t xml:space="preserve">8. Filter by status to find chambers needing remedial work or outstanding water tests.</t>
  </si>
  <si>
    <t xml:space="preserve">Colour Key</t>
  </si>
  <si>
    <t xml:space="preserve">Light teal</t>
  </si>
  <si>
    <t xml:space="preserve">Editable cells</t>
  </si>
  <si>
    <t xml:space="preserve">Dark navy</t>
  </si>
  <si>
    <t xml:space="preserve">Headers</t>
  </si>
  <si>
    <t xml:space="preserve">Green</t>
  </si>
  <si>
    <t xml:space="preserve">COMPLETE — installed, tested, within tolerance</t>
  </si>
  <si>
    <t xml:space="preserve">Amber</t>
  </si>
  <si>
    <t xml:space="preserve">REVIEW — minor variance or test pending</t>
  </si>
  <si>
    <t xml:space="preserve">Red</t>
  </si>
  <si>
    <t xml:space="preserve">ACTION — exceeds tolerance or test failed</t>
  </si>
  <si>
    <t xml:space="preserve">Tips</t>
  </si>
  <si>
    <t xml:space="preserve">• Check cover levels against finished surface design — a misset cover is a trip hazard and an adoption failure.</t>
  </si>
  <si>
    <t xml:space="preserve">• Water test all manholes before backfilling — Sewers for Adoption requires a drop test to specified criteria.</t>
  </si>
  <si>
    <t xml:space="preserve">• Photograph each chamber internally before and after benching for the adoption package.</t>
  </si>
  <si>
    <t xml:space="preserve">MANHOLE / CHAMBER INSTALLATION LOG</t>
  </si>
  <si>
    <t xml:space="preserve">Total Chambers</t>
  </si>
  <si>
    <t xml:space="preserve">Installed</t>
  </si>
  <si>
    <t xml:space="preserve">Water Tested</t>
  </si>
  <si>
    <t xml:space="preserve">Complete</t>
  </si>
  <si>
    <t xml:space="preserve">Action Needed</t>
  </si>
  <si>
    <t xml:space="preserve">Completion %</t>
  </si>
  <si>
    <t xml:space="preserve">▸ Optional Fields — Click [+] to expand</t>
  </si>
  <si>
    <t xml:space="preserve">MH
Ref</t>
  </si>
  <si>
    <t xml:space="preserve">Type</t>
  </si>
  <si>
    <t xml:space="preserve">Date
Installed</t>
  </si>
  <si>
    <t xml:space="preserve">Design
Invert (m)</t>
  </si>
  <si>
    <t xml:space="preserve">Design
Cover (m)</t>
  </si>
  <si>
    <t xml:space="preserve">As-Built
Invert (m)</t>
  </si>
  <si>
    <t xml:space="preserve">As-Built
Cover (m)</t>
  </si>
  <si>
    <t xml:space="preserve">Depth
(m)</t>
  </si>
  <si>
    <t xml:space="preserve">Invert
Var (mm)</t>
  </si>
  <si>
    <t xml:space="preserve">Cover
Var (mm)</t>
  </si>
  <si>
    <t xml:space="preserve">Water
Test</t>
  </si>
  <si>
    <t xml:space="preserve">No.
Conns</t>
  </si>
  <si>
    <t xml:space="preserve">Status</t>
  </si>
  <si>
    <t xml:space="preserve">Notes</t>
  </si>
  <si>
    <t xml:space="preserve">Benching
Type</t>
  </si>
  <si>
    <t xml:space="preserve">Step
Irons</t>
  </si>
  <si>
    <t xml:space="preserve">Frame / Cover
Type</t>
  </si>
  <si>
    <t xml:space="preserve">CCTV
Ref</t>
  </si>
  <si>
    <t xml:space="preserve">MH-01</t>
  </si>
  <si>
    <t xml:space="preserve">Precast Concrete</t>
  </si>
  <si>
    <t xml:space="preserve">Pass</t>
  </si>
  <si>
    <t xml:space="preserve">All connections verified</t>
  </si>
  <si>
    <t xml:space="preserve">Full</t>
  </si>
  <si>
    <t xml:space="preserve">Yes</t>
  </si>
  <si>
    <t xml:space="preserve">D400 Ductile Iron</t>
  </si>
  <si>
    <t xml:space="preserve">CCTV-001</t>
  </si>
  <si>
    <t xml:space="preserve">MH-02</t>
  </si>
  <si>
    <t xml:space="preserve">CCTV-002</t>
  </si>
  <si>
    <t xml:space="preserve">MH-03</t>
  </si>
  <si>
    <t xml:space="preserve">Pending</t>
  </si>
  <si>
    <t xml:space="preserve">Invert 20mm high — check impact on falls</t>
  </si>
  <si>
    <t xml:space="preserve">Half</t>
  </si>
  <si>
    <t xml:space="preserve">MH-04</t>
  </si>
  <si>
    <t xml:space="preserve">Plastic (PPIC)</t>
  </si>
  <si>
    <t xml:space="preserve">Fail</t>
  </si>
  <si>
    <t xml:space="preserve">Cover 30mm high — reduce riser section</t>
  </si>
  <si>
    <t xml:space="preserve">N/A</t>
  </si>
  <si>
    <t xml:space="preserve">B125 Plastic</t>
  </si>
  <si>
    <t xml:space="preserve">MH-05</t>
  </si>
  <si>
    <t xml:space="preserve">Inspection Chamber</t>
  </si>
  <si>
    <t xml:space="preserve">Not yet installed — awaiting pipe run PR-05</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</si>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</sst>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7">
    <numFmt numFmtId="164" formatCode="General"/>
    <numFmt numFmtId="165" formatCode="General"/>
    <numFmt numFmtId="166" formatCode="0%"/>
    <numFmt numFmtId="167" formatCode="dd/mm/yyyy"/>
    <numFmt numFmtId="168" formatCode="0.000"/>
    <numFmt numFmtId="169" formatCode="0.00"/>
    <numFmt numFmtId="170"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9" fontId="12" fillId="3" borderId="1" xfId="0" applyFont="true" applyBorder="true" applyAlignment="true" applyProtection="false">
      <alignment horizontal="center" vertical="center" textRotation="0" wrapText="true" indent="0" shrinkToFit="false"/>
      <protection locked="true" hidden="false"/>
    </xf>
    <xf numFmtId="170"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9C0006"/>
          <bgColor rgb="FF000000"/>
        </patternFill>
      </fill>
    </dxf>
    <dxf>
      <fill>
        <patternFill patternType="solid">
          <fgColor rgb="FF006100"/>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6"/>
    <col collapsed="false" customWidth="true" hidden="false" outlineLevel="0" max="7" min="3" style="0" width="13"/>
    <col collapsed="false" customWidth="true" hidden="false" outlineLevel="0" max="8" min="8" style="0" width="10"/>
    <col collapsed="false" customWidth="true" hidden="false" outlineLevel="0" max="12" min="9" style="0" width="12"/>
    <col collapsed="false" customWidth="true" hidden="false" outlineLevel="0" max="13" min="13" style="0" width="14"/>
    <col collapsed="false" customWidth="true" hidden="false" outlineLevel="0" max="14" min="14" style="0" width="28"/>
    <col collapsed="false" customWidth="true" hidden="true" outlineLevel="1" max="18" min="15" style="0" width="14"/>
  </cols>
  <sheetData>
    <row r="1" customFormat="false" ht="18.65" hidden="false" customHeight="true" outlineLevel="0" collapsed="false">
      <c r="A1" s="18" t="s">
        <v>31</v>
      </c>
      <c r="B1" s="18"/>
      <c r="C1" s="18"/>
      <c r="D1" s="18"/>
      <c r="E1" s="18"/>
      <c r="F1" s="18"/>
      <c r="G1" s="18"/>
      <c r="H1" s="18"/>
      <c r="I1" s="18"/>
      <c r="J1" s="18"/>
      <c r="K1" s="18"/>
      <c r="L1" s="18"/>
      <c r="M1" s="18"/>
      <c r="N1" s="18"/>
      <c r="O1" s="19"/>
      <c r="P1" s="19"/>
      <c r="Q1" s="19"/>
      <c r="R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COUNTA(A8:A48)</f>
        <v>5</v>
      </c>
      <c r="C4" s="21" t="n">
        <f aca="false">COUNTA(F8:F48)</f>
        <v>4</v>
      </c>
      <c r="E4" s="21" t="n">
        <f aca="false">COUNTIFS(K8:K48,"&lt;&gt;",K8:K48,"&lt;&gt;Pending")</f>
        <v>3</v>
      </c>
      <c r="G4" s="22" t="n">
        <f aca="false">COUNTIF(M8:M48,"COMPLETE")</f>
        <v>2</v>
      </c>
      <c r="I4" s="23" t="n">
        <f aca="false">COUNTIF(M8:M48,"ACTION")</f>
        <v>2</v>
      </c>
      <c r="K4" s="24" t="n">
        <f aca="false">IFERROR(G4/A4,0)</f>
        <v>0.4</v>
      </c>
    </row>
    <row r="5" customFormat="false" ht="15" hidden="false" customHeight="false" outlineLevel="0" collapsed="false">
      <c r="A5" s="25"/>
      <c r="B5" s="25"/>
      <c r="C5" s="25"/>
      <c r="D5" s="25"/>
      <c r="E5" s="25"/>
      <c r="F5" s="25"/>
      <c r="G5" s="25"/>
      <c r="H5" s="25"/>
      <c r="I5" s="25"/>
      <c r="J5" s="25"/>
      <c r="K5" s="25"/>
      <c r="L5" s="25"/>
      <c r="M5" s="25"/>
      <c r="N5" s="25"/>
      <c r="O5" s="25"/>
      <c r="P5" s="25"/>
      <c r="Q5" s="25"/>
      <c r="R5" s="25"/>
    </row>
    <row r="6" customFormat="false" ht="3.75" hidden="false" customHeight="true" outlineLevel="0" collapsed="false">
      <c r="O6" s="26" t="s">
        <v>38</v>
      </c>
      <c r="P6" s="26"/>
      <c r="Q6" s="26"/>
      <c r="R6" s="26"/>
    </row>
    <row r="7" customFormat="false" ht="37.5" hidden="false" customHeight="true" outlineLevel="0" collapsed="false">
      <c r="A7" s="27" t="s">
        <v>39</v>
      </c>
      <c r="B7" s="27" t="s">
        <v>40</v>
      </c>
      <c r="C7" s="27" t="s">
        <v>41</v>
      </c>
      <c r="D7" s="27" t="s">
        <v>42</v>
      </c>
      <c r="E7" s="27" t="s">
        <v>43</v>
      </c>
      <c r="F7" s="27" t="s">
        <v>44</v>
      </c>
      <c r="G7" s="27" t="s">
        <v>45</v>
      </c>
      <c r="H7" s="27" t="s">
        <v>46</v>
      </c>
      <c r="I7" s="27" t="s">
        <v>47</v>
      </c>
      <c r="J7" s="27" t="s">
        <v>48</v>
      </c>
      <c r="K7" s="27" t="s">
        <v>49</v>
      </c>
      <c r="L7" s="27" t="s">
        <v>50</v>
      </c>
      <c r="M7" s="27" t="s">
        <v>51</v>
      </c>
      <c r="N7" s="27" t="s">
        <v>52</v>
      </c>
      <c r="O7" s="27" t="s">
        <v>53</v>
      </c>
      <c r="P7" s="27" t="s">
        <v>54</v>
      </c>
      <c r="Q7" s="27" t="s">
        <v>55</v>
      </c>
      <c r="R7" s="27" t="s">
        <v>56</v>
      </c>
    </row>
    <row r="8" customFormat="false" ht="15" hidden="false" customHeight="false" outlineLevel="0" collapsed="false">
      <c r="A8" s="28" t="s">
        <v>57</v>
      </c>
      <c r="B8" s="28" t="s">
        <v>58</v>
      </c>
      <c r="C8" s="29" t="n">
        <v>46063</v>
      </c>
      <c r="D8" s="30" t="n">
        <v>39.85</v>
      </c>
      <c r="E8" s="30" t="n">
        <v>41.05</v>
      </c>
      <c r="F8" s="30" t="n">
        <v>39.855</v>
      </c>
      <c r="G8" s="30" t="n">
        <v>41.048</v>
      </c>
      <c r="H8" s="31" t="n">
        <f aca="false">IFERROR(G8-F8,"")</f>
        <v>1.19300000000001</v>
      </c>
      <c r="I8" s="32" t="n">
        <f aca="false">IFERROR((F8-D8)*1000,"")</f>
        <v>4.99999999999545</v>
      </c>
      <c r="J8" s="32" t="n">
        <f aca="false">IFERROR((G8-E8)*1000,"")</f>
        <v>-1.99999999999534</v>
      </c>
      <c r="K8" s="28" t="s">
        <v>59</v>
      </c>
      <c r="L8" s="28" t="n">
        <v>3</v>
      </c>
      <c r="M8" s="33" t="str">
        <f aca="false">IF(A8="","",IF(OR(ABS(I8)&gt;25,ABS(J8)&gt;25,K8="Fail"),"ACTION",IF(AND(F8&lt;&gt;"",K8="Pass",ABS(I8)&lt;=15,ABS(J8)&lt;=15),"COMPLETE",IF(F8&lt;&gt;"","REVIEW","NOT STARTED"))))</f>
        <v>COMPLETE</v>
      </c>
      <c r="N8" s="34" t="s">
        <v>60</v>
      </c>
      <c r="O8" s="28" t="s">
        <v>61</v>
      </c>
      <c r="P8" s="28" t="s">
        <v>62</v>
      </c>
      <c r="Q8" s="28" t="s">
        <v>63</v>
      </c>
      <c r="R8" s="28" t="s">
        <v>64</v>
      </c>
    </row>
    <row r="9" customFormat="false" ht="15" hidden="false" customHeight="false" outlineLevel="0" collapsed="false">
      <c r="A9" s="28" t="s">
        <v>65</v>
      </c>
      <c r="B9" s="28" t="s">
        <v>58</v>
      </c>
      <c r="C9" s="29" t="n">
        <v>46065</v>
      </c>
      <c r="D9" s="30" t="n">
        <v>39.45</v>
      </c>
      <c r="E9" s="30" t="n">
        <v>40.85</v>
      </c>
      <c r="F9" s="30" t="n">
        <v>39.445</v>
      </c>
      <c r="G9" s="30" t="n">
        <v>40.855</v>
      </c>
      <c r="H9" s="31" t="n">
        <f aca="false">IFERROR(G9-F9,"")</f>
        <v>1.41</v>
      </c>
      <c r="I9" s="32" t="n">
        <f aca="false">IFERROR((F9-D9)*1000,"")</f>
        <v>-5.00000000000256</v>
      </c>
      <c r="J9" s="32" t="n">
        <f aca="false">IFERROR((G9-E9)*1000,"")</f>
        <v>4.99999999999545</v>
      </c>
      <c r="K9" s="28" t="s">
        <v>59</v>
      </c>
      <c r="L9" s="28" t="n">
        <v>2</v>
      </c>
      <c r="M9" s="33" t="str">
        <f aca="false">IF(A9="","",IF(OR(ABS(I9)&gt;25,ABS(J9)&gt;25,K9="Fail"),"ACTION",IF(AND(F9&lt;&gt;"",K9="Pass",ABS(I9)&lt;=15,ABS(J9)&lt;=15),"COMPLETE",IF(F9&lt;&gt;"","REVIEW","NOT STARTED"))))</f>
        <v>COMPLETE</v>
      </c>
      <c r="N9" s="34"/>
      <c r="O9" s="28" t="s">
        <v>61</v>
      </c>
      <c r="P9" s="28" t="s">
        <v>62</v>
      </c>
      <c r="Q9" s="28" t="s">
        <v>63</v>
      </c>
      <c r="R9" s="28" t="s">
        <v>66</v>
      </c>
    </row>
    <row r="10" customFormat="false" ht="23.85" hidden="false" customHeight="false" outlineLevel="0" collapsed="false">
      <c r="A10" s="28" t="s">
        <v>67</v>
      </c>
      <c r="B10" s="28" t="s">
        <v>58</v>
      </c>
      <c r="C10" s="29" t="n">
        <v>46067</v>
      </c>
      <c r="D10" s="30" t="n">
        <v>38.92</v>
      </c>
      <c r="E10" s="30" t="n">
        <v>40.62</v>
      </c>
      <c r="F10" s="30" t="n">
        <v>38.94</v>
      </c>
      <c r="G10" s="30" t="n">
        <v>40.615</v>
      </c>
      <c r="H10" s="31" t="n">
        <f aca="false">IFERROR(G10-F10,"")</f>
        <v>1.675</v>
      </c>
      <c r="I10" s="32" t="n">
        <f aca="false">IFERROR((F10-D10)*1000,"")</f>
        <v>19.999999999996</v>
      </c>
      <c r="J10" s="32" t="n">
        <f aca="false">IFERROR((G10-E10)*1000,"")</f>
        <v>-4.99999999999545</v>
      </c>
      <c r="K10" s="28" t="s">
        <v>68</v>
      </c>
      <c r="L10" s="28"/>
      <c r="M10" s="33" t="str">
        <f aca="false">IF(A10="","",IF(OR(ABS(I10)&gt;25,ABS(J10)&gt;25,K10="Fail"),"ACTION",IF(AND(F10&lt;&gt;"",K10="Pass",ABS(I10)&lt;=15,ABS(J10)&lt;=15),"COMPLETE",IF(F10&lt;&gt;"","REVIEW","NOT STARTED"))))</f>
        <v>REVIEW</v>
      </c>
      <c r="N10" s="34" t="s">
        <v>69</v>
      </c>
      <c r="O10" s="28" t="s">
        <v>70</v>
      </c>
      <c r="P10" s="28" t="s">
        <v>62</v>
      </c>
      <c r="Q10" s="28" t="s">
        <v>63</v>
      </c>
      <c r="R10" s="28"/>
    </row>
    <row r="11" customFormat="false" ht="23.85" hidden="false" customHeight="false" outlineLevel="0" collapsed="false">
      <c r="A11" s="28" t="s">
        <v>71</v>
      </c>
      <c r="B11" s="28" t="s">
        <v>72</v>
      </c>
      <c r="C11" s="29" t="n">
        <v>46068</v>
      </c>
      <c r="D11" s="30" t="n">
        <v>40.1</v>
      </c>
      <c r="E11" s="30" t="n">
        <v>41.2</v>
      </c>
      <c r="F11" s="30" t="n">
        <v>40.098</v>
      </c>
      <c r="G11" s="30" t="n">
        <v>41.23</v>
      </c>
      <c r="H11" s="31" t="n">
        <f aca="false">IFERROR(G11-F11,"")</f>
        <v>1.132</v>
      </c>
      <c r="I11" s="32" t="n">
        <f aca="false">IFERROR((F11-D11)*1000,"")</f>
        <v>-2.00000000000244</v>
      </c>
      <c r="J11" s="32" t="n">
        <f aca="false">IFERROR((G11-E11)*1000,"")</f>
        <v>29.999999999994</v>
      </c>
      <c r="K11" s="28" t="s">
        <v>73</v>
      </c>
      <c r="L11" s="28"/>
      <c r="M11" s="33" t="str">
        <f aca="false">IF(A11="","",IF(OR(ABS(I11)&gt;25,ABS(J11)&gt;25,K11="Fail"),"ACTION",IF(AND(F11&lt;&gt;"",K11="Pass",ABS(I11)&lt;=15,ABS(J11)&lt;=15),"COMPLETE",IF(F11&lt;&gt;"","REVIEW","NOT STARTED"))))</f>
        <v>ACTION</v>
      </c>
      <c r="N11" s="34" t="s">
        <v>74</v>
      </c>
      <c r="O11" s="28" t="s">
        <v>75</v>
      </c>
      <c r="P11" s="28" t="s">
        <v>75</v>
      </c>
      <c r="Q11" s="28" t="s">
        <v>76</v>
      </c>
      <c r="R11" s="28"/>
    </row>
    <row r="12" customFormat="false" ht="23.85" hidden="false" customHeight="false" outlineLevel="0" collapsed="false">
      <c r="A12" s="28" t="s">
        <v>77</v>
      </c>
      <c r="B12" s="28" t="s">
        <v>78</v>
      </c>
      <c r="C12" s="29"/>
      <c r="D12" s="30" t="n">
        <v>40.55</v>
      </c>
      <c r="E12" s="30" t="n">
        <v>41.1</v>
      </c>
      <c r="F12" s="30"/>
      <c r="G12" s="30"/>
      <c r="H12" s="31" t="n">
        <f aca="false">IFERROR(G12-F12,"")</f>
        <v>0</v>
      </c>
      <c r="I12" s="32" t="n">
        <f aca="false">IFERROR((F12-D12)*1000,"")</f>
        <v>-40550</v>
      </c>
      <c r="J12" s="32" t="n">
        <f aca="false">IFERROR((G12-E12)*1000,"")</f>
        <v>-41100</v>
      </c>
      <c r="K12" s="28"/>
      <c r="L12" s="28"/>
      <c r="M12" s="33" t="str">
        <f aca="false">IF(A12="","",IF(OR(ABS(I12)&gt;25,ABS(J12)&gt;25,K12="Fail"),"ACTION",IF(AND(F12&lt;&gt;"",K12="Pass",ABS(I12)&lt;=15,ABS(J12)&lt;=15),"COMPLETE",IF(F12&lt;&gt;"","REVIEW","NOT STARTED"))))</f>
        <v>ACTION</v>
      </c>
      <c r="N12" s="34" t="s">
        <v>79</v>
      </c>
      <c r="O12" s="28" t="s">
        <v>75</v>
      </c>
      <c r="P12" s="28" t="s">
        <v>75</v>
      </c>
      <c r="Q12" s="28"/>
      <c r="R12" s="28"/>
    </row>
    <row r="13" customFormat="false" ht="15" hidden="false" customHeight="false" outlineLevel="0" collapsed="false">
      <c r="A13" s="28"/>
      <c r="B13" s="28"/>
      <c r="C13" s="29"/>
      <c r="D13" s="30"/>
      <c r="E13" s="30"/>
      <c r="F13" s="30"/>
      <c r="G13" s="30"/>
      <c r="H13" s="31" t="n">
        <f aca="false">IFERROR(G13-F13,"")</f>
        <v>0</v>
      </c>
      <c r="I13" s="32" t="n">
        <f aca="false">IFERROR((F13-D13)*1000,"")</f>
        <v>0</v>
      </c>
      <c r="J13" s="32" t="n">
        <f aca="false">IFERROR((G13-E13)*1000,"")</f>
        <v>0</v>
      </c>
      <c r="K13" s="28"/>
      <c r="L13" s="28"/>
      <c r="M13" s="33" t="str">
        <f aca="false">IF(A13="","",IF(OR(ABS(I13)&gt;25,ABS(J13)&gt;25,K13="Fail"),"ACTION",IF(AND(F13&lt;&gt;"",K13="Pass",ABS(I13)&lt;=15,ABS(J13)&lt;=15),"COMPLETE",IF(F13&lt;&gt;"","REVIEW","NOT STARTED"))))</f>
        <v/>
      </c>
      <c r="N13" s="34"/>
      <c r="O13" s="28"/>
      <c r="P13" s="28"/>
      <c r="Q13" s="28"/>
      <c r="R13" s="28"/>
    </row>
    <row r="14" customFormat="false" ht="15" hidden="false" customHeight="false" outlineLevel="0" collapsed="false">
      <c r="A14" s="28"/>
      <c r="B14" s="28"/>
      <c r="C14" s="29"/>
      <c r="D14" s="30"/>
      <c r="E14" s="30"/>
      <c r="F14" s="30"/>
      <c r="G14" s="30"/>
      <c r="H14" s="31" t="n">
        <f aca="false">IFERROR(G14-F14,"")</f>
        <v>0</v>
      </c>
      <c r="I14" s="32" t="n">
        <f aca="false">IFERROR((F14-D14)*1000,"")</f>
        <v>0</v>
      </c>
      <c r="J14" s="32" t="n">
        <f aca="false">IFERROR((G14-E14)*1000,"")</f>
        <v>0</v>
      </c>
      <c r="K14" s="28"/>
      <c r="L14" s="28"/>
      <c r="M14" s="33" t="str">
        <f aca="false">IF(A14="","",IF(OR(ABS(I14)&gt;25,ABS(J14)&gt;25,K14="Fail"),"ACTION",IF(AND(F14&lt;&gt;"",K14="Pass",ABS(I14)&lt;=15,ABS(J14)&lt;=15),"COMPLETE",IF(F14&lt;&gt;"","REVIEW","NOT STARTED"))))</f>
        <v/>
      </c>
      <c r="N14" s="34"/>
      <c r="O14" s="28"/>
      <c r="P14" s="28"/>
      <c r="Q14" s="28"/>
      <c r="R14" s="28"/>
    </row>
    <row r="15" customFormat="false" ht="15" hidden="false" customHeight="false" outlineLevel="0" collapsed="false">
      <c r="A15" s="28"/>
      <c r="B15" s="28"/>
      <c r="C15" s="29"/>
      <c r="D15" s="30"/>
      <c r="E15" s="30"/>
      <c r="F15" s="30"/>
      <c r="G15" s="30"/>
      <c r="H15" s="31" t="n">
        <f aca="false">IFERROR(G15-F15,"")</f>
        <v>0</v>
      </c>
      <c r="I15" s="32" t="n">
        <f aca="false">IFERROR((F15-D15)*1000,"")</f>
        <v>0</v>
      </c>
      <c r="J15" s="32" t="n">
        <f aca="false">IFERROR((G15-E15)*1000,"")</f>
        <v>0</v>
      </c>
      <c r="K15" s="28"/>
      <c r="L15" s="28"/>
      <c r="M15" s="33" t="str">
        <f aca="false">IF(A15="","",IF(OR(ABS(I15)&gt;25,ABS(J15)&gt;25,K15="Fail"),"ACTION",IF(AND(F15&lt;&gt;"",K15="Pass",ABS(I15)&lt;=15,ABS(J15)&lt;=15),"COMPLETE",IF(F15&lt;&gt;"","REVIEW","NOT STARTED"))))</f>
        <v/>
      </c>
      <c r="N15" s="34"/>
      <c r="O15" s="28"/>
      <c r="P15" s="28"/>
      <c r="Q15" s="28"/>
      <c r="R15" s="28"/>
    </row>
    <row r="16" customFormat="false" ht="15" hidden="false" customHeight="false" outlineLevel="0" collapsed="false">
      <c r="A16" s="28"/>
      <c r="B16" s="28"/>
      <c r="C16" s="29"/>
      <c r="D16" s="30"/>
      <c r="E16" s="30"/>
      <c r="F16" s="30"/>
      <c r="G16" s="30"/>
      <c r="H16" s="31" t="n">
        <f aca="false">IFERROR(G16-F16,"")</f>
        <v>0</v>
      </c>
      <c r="I16" s="32" t="n">
        <f aca="false">IFERROR((F16-D16)*1000,"")</f>
        <v>0</v>
      </c>
      <c r="J16" s="32" t="n">
        <f aca="false">IFERROR((G16-E16)*1000,"")</f>
        <v>0</v>
      </c>
      <c r="K16" s="28"/>
      <c r="L16" s="28"/>
      <c r="M16" s="33" t="str">
        <f aca="false">IF(A16="","",IF(OR(ABS(I16)&gt;25,ABS(J16)&gt;25,K16="Fail"),"ACTION",IF(AND(F16&lt;&gt;"",K16="Pass",ABS(I16)&lt;=15,ABS(J16)&lt;=15),"COMPLETE",IF(F16&lt;&gt;"","REVIEW","NOT STARTED"))))</f>
        <v/>
      </c>
      <c r="N16" s="34"/>
      <c r="O16" s="28"/>
      <c r="P16" s="28"/>
      <c r="Q16" s="28"/>
      <c r="R16" s="28"/>
    </row>
    <row r="17" customFormat="false" ht="15" hidden="false" customHeight="false" outlineLevel="0" collapsed="false">
      <c r="A17" s="28"/>
      <c r="B17" s="28"/>
      <c r="C17" s="29"/>
      <c r="D17" s="30"/>
      <c r="E17" s="30"/>
      <c r="F17" s="30"/>
      <c r="G17" s="30"/>
      <c r="H17" s="31" t="n">
        <f aca="false">IFERROR(G17-F17,"")</f>
        <v>0</v>
      </c>
      <c r="I17" s="32" t="n">
        <f aca="false">IFERROR((F17-D17)*1000,"")</f>
        <v>0</v>
      </c>
      <c r="J17" s="32" t="n">
        <f aca="false">IFERROR((G17-E17)*1000,"")</f>
        <v>0</v>
      </c>
      <c r="K17" s="28"/>
      <c r="L17" s="28"/>
      <c r="M17" s="33" t="str">
        <f aca="false">IF(A17="","",IF(OR(ABS(I17)&gt;25,ABS(J17)&gt;25,K17="Fail"),"ACTION",IF(AND(F17&lt;&gt;"",K17="Pass",ABS(I17)&lt;=15,ABS(J17)&lt;=15),"COMPLETE",IF(F17&lt;&gt;"","REVIEW","NOT STARTED"))))</f>
        <v/>
      </c>
      <c r="N17" s="34"/>
      <c r="O17" s="28"/>
      <c r="P17" s="28"/>
      <c r="Q17" s="28"/>
      <c r="R17" s="28"/>
    </row>
    <row r="18" customFormat="false" ht="15" hidden="false" customHeight="false" outlineLevel="0" collapsed="false">
      <c r="A18" s="28"/>
      <c r="B18" s="28"/>
      <c r="C18" s="29"/>
      <c r="D18" s="30"/>
      <c r="E18" s="30"/>
      <c r="F18" s="30"/>
      <c r="G18" s="30"/>
      <c r="H18" s="31" t="n">
        <f aca="false">IFERROR(G18-F18,"")</f>
        <v>0</v>
      </c>
      <c r="I18" s="32" t="n">
        <f aca="false">IFERROR((F18-D18)*1000,"")</f>
        <v>0</v>
      </c>
      <c r="J18" s="32" t="n">
        <f aca="false">IFERROR((G18-E18)*1000,"")</f>
        <v>0</v>
      </c>
      <c r="K18" s="28"/>
      <c r="L18" s="28"/>
      <c r="M18" s="33" t="str">
        <f aca="false">IF(A18="","",IF(OR(ABS(I18)&gt;25,ABS(J18)&gt;25,K18="Fail"),"ACTION",IF(AND(F18&lt;&gt;"",K18="Pass",ABS(I18)&lt;=15,ABS(J18)&lt;=15),"COMPLETE",IF(F18&lt;&gt;"","REVIEW","NOT STARTED"))))</f>
        <v/>
      </c>
      <c r="N18" s="34"/>
      <c r="O18" s="28"/>
      <c r="P18" s="28"/>
      <c r="Q18" s="28"/>
      <c r="R18" s="28"/>
    </row>
    <row r="19" customFormat="false" ht="15" hidden="false" customHeight="false" outlineLevel="0" collapsed="false">
      <c r="A19" s="28"/>
      <c r="B19" s="28"/>
      <c r="C19" s="29"/>
      <c r="D19" s="30"/>
      <c r="E19" s="30"/>
      <c r="F19" s="30"/>
      <c r="G19" s="30"/>
      <c r="H19" s="31" t="n">
        <f aca="false">IFERROR(G19-F19,"")</f>
        <v>0</v>
      </c>
      <c r="I19" s="32" t="n">
        <f aca="false">IFERROR((F19-D19)*1000,"")</f>
        <v>0</v>
      </c>
      <c r="J19" s="32" t="n">
        <f aca="false">IFERROR((G19-E19)*1000,"")</f>
        <v>0</v>
      </c>
      <c r="K19" s="28"/>
      <c r="L19" s="28"/>
      <c r="M19" s="33" t="str">
        <f aca="false">IF(A19="","",IF(OR(ABS(I19)&gt;25,ABS(J19)&gt;25,K19="Fail"),"ACTION",IF(AND(F19&lt;&gt;"",K19="Pass",ABS(I19)&lt;=15,ABS(J19)&lt;=15),"COMPLETE",IF(F19&lt;&gt;"","REVIEW","NOT STARTED"))))</f>
        <v/>
      </c>
      <c r="N19" s="34"/>
      <c r="O19" s="28"/>
      <c r="P19" s="28"/>
      <c r="Q19" s="28"/>
      <c r="R19" s="28"/>
    </row>
    <row r="20" customFormat="false" ht="15" hidden="false" customHeight="false" outlineLevel="0" collapsed="false">
      <c r="A20" s="28"/>
      <c r="B20" s="28"/>
      <c r="C20" s="29"/>
      <c r="D20" s="30"/>
      <c r="E20" s="30"/>
      <c r="F20" s="30"/>
      <c r="G20" s="30"/>
      <c r="H20" s="31" t="n">
        <f aca="false">IFERROR(G20-F20,"")</f>
        <v>0</v>
      </c>
      <c r="I20" s="32" t="n">
        <f aca="false">IFERROR((F20-D20)*1000,"")</f>
        <v>0</v>
      </c>
      <c r="J20" s="32" t="n">
        <f aca="false">IFERROR((G20-E20)*1000,"")</f>
        <v>0</v>
      </c>
      <c r="K20" s="28"/>
      <c r="L20" s="28"/>
      <c r="M20" s="33" t="str">
        <f aca="false">IF(A20="","",IF(OR(ABS(I20)&gt;25,ABS(J20)&gt;25,K20="Fail"),"ACTION",IF(AND(F20&lt;&gt;"",K20="Pass",ABS(I20)&lt;=15,ABS(J20)&lt;=15),"COMPLETE",IF(F20&lt;&gt;"","REVIEW","NOT STARTED"))))</f>
        <v/>
      </c>
      <c r="N20" s="34"/>
      <c r="O20" s="28"/>
      <c r="P20" s="28"/>
      <c r="Q20" s="28"/>
      <c r="R20" s="28"/>
    </row>
    <row r="21" customFormat="false" ht="15" hidden="false" customHeight="false" outlineLevel="0" collapsed="false">
      <c r="A21" s="28"/>
      <c r="B21" s="28"/>
      <c r="C21" s="29"/>
      <c r="D21" s="30"/>
      <c r="E21" s="30"/>
      <c r="F21" s="30"/>
      <c r="G21" s="30"/>
      <c r="H21" s="31" t="n">
        <f aca="false">IFERROR(G21-F21,"")</f>
        <v>0</v>
      </c>
      <c r="I21" s="32" t="n">
        <f aca="false">IFERROR((F21-D21)*1000,"")</f>
        <v>0</v>
      </c>
      <c r="J21" s="32" t="n">
        <f aca="false">IFERROR((G21-E21)*1000,"")</f>
        <v>0</v>
      </c>
      <c r="K21" s="28"/>
      <c r="L21" s="28"/>
      <c r="M21" s="33" t="str">
        <f aca="false">IF(A21="","",IF(OR(ABS(I21)&gt;25,ABS(J21)&gt;25,K21="Fail"),"ACTION",IF(AND(F21&lt;&gt;"",K21="Pass",ABS(I21)&lt;=15,ABS(J21)&lt;=15),"COMPLETE",IF(F21&lt;&gt;"","REVIEW","NOT STARTED"))))</f>
        <v/>
      </c>
      <c r="N21" s="34"/>
      <c r="O21" s="28"/>
      <c r="P21" s="28"/>
      <c r="Q21" s="28"/>
      <c r="R21" s="28"/>
    </row>
    <row r="22" customFormat="false" ht="15" hidden="false" customHeight="false" outlineLevel="0" collapsed="false">
      <c r="A22" s="28"/>
      <c r="B22" s="28"/>
      <c r="C22" s="29"/>
      <c r="D22" s="30"/>
      <c r="E22" s="30"/>
      <c r="F22" s="30"/>
      <c r="G22" s="30"/>
      <c r="H22" s="31" t="n">
        <f aca="false">IFERROR(G22-F22,"")</f>
        <v>0</v>
      </c>
      <c r="I22" s="32" t="n">
        <f aca="false">IFERROR((F22-D22)*1000,"")</f>
        <v>0</v>
      </c>
      <c r="J22" s="32" t="n">
        <f aca="false">IFERROR((G22-E22)*1000,"")</f>
        <v>0</v>
      </c>
      <c r="K22" s="28"/>
      <c r="L22" s="28"/>
      <c r="M22" s="33" t="str">
        <f aca="false">IF(A22="","",IF(OR(ABS(I22)&gt;25,ABS(J22)&gt;25,K22="Fail"),"ACTION",IF(AND(F22&lt;&gt;"",K22="Pass",ABS(I22)&lt;=15,ABS(J22)&lt;=15),"COMPLETE",IF(F22&lt;&gt;"","REVIEW","NOT STARTED"))))</f>
        <v/>
      </c>
      <c r="N22" s="34"/>
      <c r="O22" s="28"/>
      <c r="P22" s="28"/>
      <c r="Q22" s="28"/>
      <c r="R22" s="28"/>
    </row>
    <row r="23" customFormat="false" ht="15" hidden="false" customHeight="false" outlineLevel="0" collapsed="false">
      <c r="A23" s="28"/>
      <c r="B23" s="28"/>
      <c r="C23" s="29"/>
      <c r="D23" s="30"/>
      <c r="E23" s="30"/>
      <c r="F23" s="30"/>
      <c r="G23" s="30"/>
      <c r="H23" s="31" t="n">
        <f aca="false">IFERROR(G23-F23,"")</f>
        <v>0</v>
      </c>
      <c r="I23" s="32" t="n">
        <f aca="false">IFERROR((F23-D23)*1000,"")</f>
        <v>0</v>
      </c>
      <c r="J23" s="32" t="n">
        <f aca="false">IFERROR((G23-E23)*1000,"")</f>
        <v>0</v>
      </c>
      <c r="K23" s="28"/>
      <c r="L23" s="28"/>
      <c r="M23" s="33" t="str">
        <f aca="false">IF(A23="","",IF(OR(ABS(I23)&gt;25,ABS(J23)&gt;25,K23="Fail"),"ACTION",IF(AND(F23&lt;&gt;"",K23="Pass",ABS(I23)&lt;=15,ABS(J23)&lt;=15),"COMPLETE",IF(F23&lt;&gt;"","REVIEW","NOT STARTED"))))</f>
        <v/>
      </c>
      <c r="N23" s="34"/>
      <c r="O23" s="28"/>
      <c r="P23" s="28"/>
      <c r="Q23" s="28"/>
      <c r="R23" s="28"/>
    </row>
    <row r="24" customFormat="false" ht="15" hidden="false" customHeight="false" outlineLevel="0" collapsed="false">
      <c r="A24" s="28"/>
      <c r="B24" s="28"/>
      <c r="C24" s="29"/>
      <c r="D24" s="30"/>
      <c r="E24" s="30"/>
      <c r="F24" s="30"/>
      <c r="G24" s="30"/>
      <c r="H24" s="31" t="n">
        <f aca="false">IFERROR(G24-F24,"")</f>
        <v>0</v>
      </c>
      <c r="I24" s="32" t="n">
        <f aca="false">IFERROR((F24-D24)*1000,"")</f>
        <v>0</v>
      </c>
      <c r="J24" s="32" t="n">
        <f aca="false">IFERROR((G24-E24)*1000,"")</f>
        <v>0</v>
      </c>
      <c r="K24" s="28"/>
      <c r="L24" s="28"/>
      <c r="M24" s="33" t="str">
        <f aca="false">IF(A24="","",IF(OR(ABS(I24)&gt;25,ABS(J24)&gt;25,K24="Fail"),"ACTION",IF(AND(F24&lt;&gt;"",K24="Pass",ABS(I24)&lt;=15,ABS(J24)&lt;=15),"COMPLETE",IF(F24&lt;&gt;"","REVIEW","NOT STARTED"))))</f>
        <v/>
      </c>
      <c r="N24" s="34"/>
      <c r="O24" s="28"/>
      <c r="P24" s="28"/>
      <c r="Q24" s="28"/>
      <c r="R24" s="28"/>
    </row>
    <row r="25" customFormat="false" ht="15" hidden="false" customHeight="false" outlineLevel="0" collapsed="false">
      <c r="A25" s="28"/>
      <c r="B25" s="28"/>
      <c r="C25" s="29"/>
      <c r="D25" s="30"/>
      <c r="E25" s="30"/>
      <c r="F25" s="30"/>
      <c r="G25" s="30"/>
      <c r="H25" s="31" t="n">
        <f aca="false">IFERROR(G25-F25,"")</f>
        <v>0</v>
      </c>
      <c r="I25" s="32" t="n">
        <f aca="false">IFERROR((F25-D25)*1000,"")</f>
        <v>0</v>
      </c>
      <c r="J25" s="32" t="n">
        <f aca="false">IFERROR((G25-E25)*1000,"")</f>
        <v>0</v>
      </c>
      <c r="K25" s="28"/>
      <c r="L25" s="28"/>
      <c r="M25" s="33" t="str">
        <f aca="false">IF(A25="","",IF(OR(ABS(I25)&gt;25,ABS(J25)&gt;25,K25="Fail"),"ACTION",IF(AND(F25&lt;&gt;"",K25="Pass",ABS(I25)&lt;=15,ABS(J25)&lt;=15),"COMPLETE",IF(F25&lt;&gt;"","REVIEW","NOT STARTED"))))</f>
        <v/>
      </c>
      <c r="N25" s="34"/>
      <c r="O25" s="28"/>
      <c r="P25" s="28"/>
      <c r="Q25" s="28"/>
      <c r="R25" s="28"/>
    </row>
    <row r="26" customFormat="false" ht="15" hidden="false" customHeight="false" outlineLevel="0" collapsed="false">
      <c r="A26" s="28"/>
      <c r="B26" s="28"/>
      <c r="C26" s="29"/>
      <c r="D26" s="30"/>
      <c r="E26" s="30"/>
      <c r="F26" s="30"/>
      <c r="G26" s="30"/>
      <c r="H26" s="31" t="n">
        <f aca="false">IFERROR(G26-F26,"")</f>
        <v>0</v>
      </c>
      <c r="I26" s="32" t="n">
        <f aca="false">IFERROR((F26-D26)*1000,"")</f>
        <v>0</v>
      </c>
      <c r="J26" s="32" t="n">
        <f aca="false">IFERROR((G26-E26)*1000,"")</f>
        <v>0</v>
      </c>
      <c r="K26" s="28"/>
      <c r="L26" s="28"/>
      <c r="M26" s="33" t="str">
        <f aca="false">IF(A26="","",IF(OR(ABS(I26)&gt;25,ABS(J26)&gt;25,K26="Fail"),"ACTION",IF(AND(F26&lt;&gt;"",K26="Pass",ABS(I26)&lt;=15,ABS(J26)&lt;=15),"COMPLETE",IF(F26&lt;&gt;"","REVIEW","NOT STARTED"))))</f>
        <v/>
      </c>
      <c r="N26" s="34"/>
      <c r="O26" s="28"/>
      <c r="P26" s="28"/>
      <c r="Q26" s="28"/>
      <c r="R26" s="28"/>
    </row>
    <row r="27" customFormat="false" ht="15" hidden="false" customHeight="false" outlineLevel="0" collapsed="false">
      <c r="A27" s="28"/>
      <c r="B27" s="28"/>
      <c r="C27" s="29"/>
      <c r="D27" s="30"/>
      <c r="E27" s="30"/>
      <c r="F27" s="30"/>
      <c r="G27" s="30"/>
      <c r="H27" s="31" t="n">
        <f aca="false">IFERROR(G27-F27,"")</f>
        <v>0</v>
      </c>
      <c r="I27" s="32" t="n">
        <f aca="false">IFERROR((F27-D27)*1000,"")</f>
        <v>0</v>
      </c>
      <c r="J27" s="32" t="n">
        <f aca="false">IFERROR((G27-E27)*1000,"")</f>
        <v>0</v>
      </c>
      <c r="K27" s="28"/>
      <c r="L27" s="28"/>
      <c r="M27" s="33" t="str">
        <f aca="false">IF(A27="","",IF(OR(ABS(I27)&gt;25,ABS(J27)&gt;25,K27="Fail"),"ACTION",IF(AND(F27&lt;&gt;"",K27="Pass",ABS(I27)&lt;=15,ABS(J27)&lt;=15),"COMPLETE",IF(F27&lt;&gt;"","REVIEW","NOT STARTED"))))</f>
        <v/>
      </c>
      <c r="N27" s="34"/>
      <c r="O27" s="28"/>
      <c r="P27" s="28"/>
      <c r="Q27" s="28"/>
      <c r="R27" s="28"/>
    </row>
    <row r="28" customFormat="false" ht="15" hidden="false" customHeight="false" outlineLevel="0" collapsed="false">
      <c r="A28" s="28"/>
      <c r="B28" s="28"/>
      <c r="C28" s="29"/>
      <c r="D28" s="30"/>
      <c r="E28" s="30"/>
      <c r="F28" s="30"/>
      <c r="G28" s="30"/>
      <c r="H28" s="31" t="n">
        <f aca="false">IFERROR(G28-F28,"")</f>
        <v>0</v>
      </c>
      <c r="I28" s="32" t="n">
        <f aca="false">IFERROR((F28-D28)*1000,"")</f>
        <v>0</v>
      </c>
      <c r="J28" s="32" t="n">
        <f aca="false">IFERROR((G28-E28)*1000,"")</f>
        <v>0</v>
      </c>
      <c r="K28" s="28"/>
      <c r="L28" s="28"/>
      <c r="M28" s="33" t="str">
        <f aca="false">IF(A28="","",IF(OR(ABS(I28)&gt;25,ABS(J28)&gt;25,K28="Fail"),"ACTION",IF(AND(F28&lt;&gt;"",K28="Pass",ABS(I28)&lt;=15,ABS(J28)&lt;=15),"COMPLETE",IF(F28&lt;&gt;"","REVIEW","NOT STARTED"))))</f>
        <v/>
      </c>
      <c r="N28" s="34"/>
      <c r="O28" s="28"/>
      <c r="P28" s="28"/>
      <c r="Q28" s="28"/>
      <c r="R28" s="28"/>
    </row>
    <row r="29" customFormat="false" ht="15" hidden="false" customHeight="false" outlineLevel="0" collapsed="false">
      <c r="A29" s="28"/>
      <c r="B29" s="28"/>
      <c r="C29" s="29"/>
      <c r="D29" s="30"/>
      <c r="E29" s="30"/>
      <c r="F29" s="30"/>
      <c r="G29" s="30"/>
      <c r="H29" s="31" t="n">
        <f aca="false">IFERROR(G29-F29,"")</f>
        <v>0</v>
      </c>
      <c r="I29" s="32" t="n">
        <f aca="false">IFERROR((F29-D29)*1000,"")</f>
        <v>0</v>
      </c>
      <c r="J29" s="32" t="n">
        <f aca="false">IFERROR((G29-E29)*1000,"")</f>
        <v>0</v>
      </c>
      <c r="K29" s="28"/>
      <c r="L29" s="28"/>
      <c r="M29" s="33" t="str">
        <f aca="false">IF(A29="","",IF(OR(ABS(I29)&gt;25,ABS(J29)&gt;25,K29="Fail"),"ACTION",IF(AND(F29&lt;&gt;"",K29="Pass",ABS(I29)&lt;=15,ABS(J29)&lt;=15),"COMPLETE",IF(F29&lt;&gt;"","REVIEW","NOT STARTED"))))</f>
        <v/>
      </c>
      <c r="N29" s="34"/>
      <c r="O29" s="28"/>
      <c r="P29" s="28"/>
      <c r="Q29" s="28"/>
      <c r="R29" s="28"/>
    </row>
    <row r="30" customFormat="false" ht="15" hidden="false" customHeight="false" outlineLevel="0" collapsed="false">
      <c r="A30" s="28"/>
      <c r="B30" s="28"/>
      <c r="C30" s="29"/>
      <c r="D30" s="30"/>
      <c r="E30" s="30"/>
      <c r="F30" s="30"/>
      <c r="G30" s="30"/>
      <c r="H30" s="31" t="n">
        <f aca="false">IFERROR(G30-F30,"")</f>
        <v>0</v>
      </c>
      <c r="I30" s="32" t="n">
        <f aca="false">IFERROR((F30-D30)*1000,"")</f>
        <v>0</v>
      </c>
      <c r="J30" s="32" t="n">
        <f aca="false">IFERROR((G30-E30)*1000,"")</f>
        <v>0</v>
      </c>
      <c r="K30" s="28"/>
      <c r="L30" s="28"/>
      <c r="M30" s="33" t="str">
        <f aca="false">IF(A30="","",IF(OR(ABS(I30)&gt;25,ABS(J30)&gt;25,K30="Fail"),"ACTION",IF(AND(F30&lt;&gt;"",K30="Pass",ABS(I30)&lt;=15,ABS(J30)&lt;=15),"COMPLETE",IF(F30&lt;&gt;"","REVIEW","NOT STARTED"))))</f>
        <v/>
      </c>
      <c r="N30" s="34"/>
      <c r="O30" s="28"/>
      <c r="P30" s="28"/>
      <c r="Q30" s="28"/>
      <c r="R30" s="28"/>
    </row>
    <row r="31" customFormat="false" ht="15" hidden="false" customHeight="false" outlineLevel="0" collapsed="false">
      <c r="A31" s="28"/>
      <c r="B31" s="28"/>
      <c r="C31" s="29"/>
      <c r="D31" s="30"/>
      <c r="E31" s="30"/>
      <c r="F31" s="30"/>
      <c r="G31" s="30"/>
      <c r="H31" s="31" t="n">
        <f aca="false">IFERROR(G31-F31,"")</f>
        <v>0</v>
      </c>
      <c r="I31" s="32" t="n">
        <f aca="false">IFERROR((F31-D31)*1000,"")</f>
        <v>0</v>
      </c>
      <c r="J31" s="32" t="n">
        <f aca="false">IFERROR((G31-E31)*1000,"")</f>
        <v>0</v>
      </c>
      <c r="K31" s="28"/>
      <c r="L31" s="28"/>
      <c r="M31" s="33" t="str">
        <f aca="false">IF(A31="","",IF(OR(ABS(I31)&gt;25,ABS(J31)&gt;25,K31="Fail"),"ACTION",IF(AND(F31&lt;&gt;"",K31="Pass",ABS(I31)&lt;=15,ABS(J31)&lt;=15),"COMPLETE",IF(F31&lt;&gt;"","REVIEW","NOT STARTED"))))</f>
        <v/>
      </c>
      <c r="N31" s="34"/>
      <c r="O31" s="28"/>
      <c r="P31" s="28"/>
      <c r="Q31" s="28"/>
      <c r="R31" s="28"/>
    </row>
    <row r="32" customFormat="false" ht="15" hidden="false" customHeight="false" outlineLevel="0" collapsed="false">
      <c r="A32" s="28"/>
      <c r="B32" s="28"/>
      <c r="C32" s="29"/>
      <c r="D32" s="30"/>
      <c r="E32" s="30"/>
      <c r="F32" s="30"/>
      <c r="G32" s="30"/>
      <c r="H32" s="31" t="n">
        <f aca="false">IFERROR(G32-F32,"")</f>
        <v>0</v>
      </c>
      <c r="I32" s="32" t="n">
        <f aca="false">IFERROR((F32-D32)*1000,"")</f>
        <v>0</v>
      </c>
      <c r="J32" s="32" t="n">
        <f aca="false">IFERROR((G32-E32)*1000,"")</f>
        <v>0</v>
      </c>
      <c r="K32" s="28"/>
      <c r="L32" s="28"/>
      <c r="M32" s="33" t="str">
        <f aca="false">IF(A32="","",IF(OR(ABS(I32)&gt;25,ABS(J32)&gt;25,K32="Fail"),"ACTION",IF(AND(F32&lt;&gt;"",K32="Pass",ABS(I32)&lt;=15,ABS(J32)&lt;=15),"COMPLETE",IF(F32&lt;&gt;"","REVIEW","NOT STARTED"))))</f>
        <v/>
      </c>
      <c r="N32" s="34"/>
      <c r="O32" s="28"/>
      <c r="P32" s="28"/>
      <c r="Q32" s="28"/>
      <c r="R32" s="28"/>
    </row>
    <row r="33" customFormat="false" ht="15" hidden="false" customHeight="false" outlineLevel="0" collapsed="false">
      <c r="A33" s="28"/>
      <c r="B33" s="28"/>
      <c r="C33" s="29"/>
      <c r="D33" s="30"/>
      <c r="E33" s="30"/>
      <c r="F33" s="30"/>
      <c r="G33" s="30"/>
      <c r="H33" s="31" t="n">
        <f aca="false">IFERROR(G33-F33,"")</f>
        <v>0</v>
      </c>
      <c r="I33" s="32" t="n">
        <f aca="false">IFERROR((F33-D33)*1000,"")</f>
        <v>0</v>
      </c>
      <c r="J33" s="32" t="n">
        <f aca="false">IFERROR((G33-E33)*1000,"")</f>
        <v>0</v>
      </c>
      <c r="K33" s="28"/>
      <c r="L33" s="28"/>
      <c r="M33" s="33" t="str">
        <f aca="false">IF(A33="","",IF(OR(ABS(I33)&gt;25,ABS(J33)&gt;25,K33="Fail"),"ACTION",IF(AND(F33&lt;&gt;"",K33="Pass",ABS(I33)&lt;=15,ABS(J33)&lt;=15),"COMPLETE",IF(F33&lt;&gt;"","REVIEW","NOT STARTED"))))</f>
        <v/>
      </c>
      <c r="N33" s="34"/>
      <c r="O33" s="28"/>
      <c r="P33" s="28"/>
      <c r="Q33" s="28"/>
      <c r="R33" s="28"/>
    </row>
    <row r="34" customFormat="false" ht="15" hidden="false" customHeight="false" outlineLevel="0" collapsed="false">
      <c r="A34" s="28"/>
      <c r="B34" s="28"/>
      <c r="C34" s="29"/>
      <c r="D34" s="30"/>
      <c r="E34" s="30"/>
      <c r="F34" s="30"/>
      <c r="G34" s="30"/>
      <c r="H34" s="31" t="n">
        <f aca="false">IFERROR(G34-F34,"")</f>
        <v>0</v>
      </c>
      <c r="I34" s="32" t="n">
        <f aca="false">IFERROR((F34-D34)*1000,"")</f>
        <v>0</v>
      </c>
      <c r="J34" s="32" t="n">
        <f aca="false">IFERROR((G34-E34)*1000,"")</f>
        <v>0</v>
      </c>
      <c r="K34" s="28"/>
      <c r="L34" s="28"/>
      <c r="M34" s="33" t="str">
        <f aca="false">IF(A34="","",IF(OR(ABS(I34)&gt;25,ABS(J34)&gt;25,K34="Fail"),"ACTION",IF(AND(F34&lt;&gt;"",K34="Pass",ABS(I34)&lt;=15,ABS(J34)&lt;=15),"COMPLETE",IF(F34&lt;&gt;"","REVIEW","NOT STARTED"))))</f>
        <v/>
      </c>
      <c r="N34" s="34"/>
      <c r="O34" s="28"/>
      <c r="P34" s="28"/>
      <c r="Q34" s="28"/>
      <c r="R34" s="28"/>
    </row>
    <row r="35" customFormat="false" ht="15" hidden="false" customHeight="false" outlineLevel="0" collapsed="false">
      <c r="A35" s="28"/>
      <c r="B35" s="28"/>
      <c r="C35" s="29"/>
      <c r="D35" s="30"/>
      <c r="E35" s="30"/>
      <c r="F35" s="30"/>
      <c r="G35" s="30"/>
      <c r="H35" s="31" t="n">
        <f aca="false">IFERROR(G35-F35,"")</f>
        <v>0</v>
      </c>
      <c r="I35" s="32" t="n">
        <f aca="false">IFERROR((F35-D35)*1000,"")</f>
        <v>0</v>
      </c>
      <c r="J35" s="32" t="n">
        <f aca="false">IFERROR((G35-E35)*1000,"")</f>
        <v>0</v>
      </c>
      <c r="K35" s="28"/>
      <c r="L35" s="28"/>
      <c r="M35" s="33" t="str">
        <f aca="false">IF(A35="","",IF(OR(ABS(I35)&gt;25,ABS(J35)&gt;25,K35="Fail"),"ACTION",IF(AND(F35&lt;&gt;"",K35="Pass",ABS(I35)&lt;=15,ABS(J35)&lt;=15),"COMPLETE",IF(F35&lt;&gt;"","REVIEW","NOT STARTED"))))</f>
        <v/>
      </c>
      <c r="N35" s="34"/>
      <c r="O35" s="28"/>
      <c r="P35" s="28"/>
      <c r="Q35" s="28"/>
      <c r="R35" s="28"/>
    </row>
    <row r="36" customFormat="false" ht="15" hidden="false" customHeight="false" outlineLevel="0" collapsed="false">
      <c r="A36" s="28"/>
      <c r="B36" s="28"/>
      <c r="C36" s="29"/>
      <c r="D36" s="30"/>
      <c r="E36" s="30"/>
      <c r="F36" s="30"/>
      <c r="G36" s="30"/>
      <c r="H36" s="31" t="n">
        <f aca="false">IFERROR(G36-F36,"")</f>
        <v>0</v>
      </c>
      <c r="I36" s="32" t="n">
        <f aca="false">IFERROR((F36-D36)*1000,"")</f>
        <v>0</v>
      </c>
      <c r="J36" s="32" t="n">
        <f aca="false">IFERROR((G36-E36)*1000,"")</f>
        <v>0</v>
      </c>
      <c r="K36" s="28"/>
      <c r="L36" s="28"/>
      <c r="M36" s="33" t="str">
        <f aca="false">IF(A36="","",IF(OR(ABS(I36)&gt;25,ABS(J36)&gt;25,K36="Fail"),"ACTION",IF(AND(F36&lt;&gt;"",K36="Pass",ABS(I36)&lt;=15,ABS(J36)&lt;=15),"COMPLETE",IF(F36&lt;&gt;"","REVIEW","NOT STARTED"))))</f>
        <v/>
      </c>
      <c r="N36" s="34"/>
      <c r="O36" s="28"/>
      <c r="P36" s="28"/>
      <c r="Q36" s="28"/>
      <c r="R36" s="28"/>
    </row>
    <row r="37" customFormat="false" ht="15" hidden="false" customHeight="false" outlineLevel="0" collapsed="false">
      <c r="A37" s="28"/>
      <c r="B37" s="28"/>
      <c r="C37" s="29"/>
      <c r="D37" s="30"/>
      <c r="E37" s="30"/>
      <c r="F37" s="30"/>
      <c r="G37" s="30"/>
      <c r="H37" s="31" t="n">
        <f aca="false">IFERROR(G37-F37,"")</f>
        <v>0</v>
      </c>
      <c r="I37" s="32" t="n">
        <f aca="false">IFERROR((F37-D37)*1000,"")</f>
        <v>0</v>
      </c>
      <c r="J37" s="32" t="n">
        <f aca="false">IFERROR((G37-E37)*1000,"")</f>
        <v>0</v>
      </c>
      <c r="K37" s="28"/>
      <c r="L37" s="28"/>
      <c r="M37" s="33" t="str">
        <f aca="false">IF(A37="","",IF(OR(ABS(I37)&gt;25,ABS(J37)&gt;25,K37="Fail"),"ACTION",IF(AND(F37&lt;&gt;"",K37="Pass",ABS(I37)&lt;=15,ABS(J37)&lt;=15),"COMPLETE",IF(F37&lt;&gt;"","REVIEW","NOT STARTED"))))</f>
        <v/>
      </c>
      <c r="N37" s="34"/>
      <c r="O37" s="28"/>
      <c r="P37" s="28"/>
      <c r="Q37" s="28"/>
      <c r="R37" s="28"/>
    </row>
    <row r="38" customFormat="false" ht="15" hidden="false" customHeight="false" outlineLevel="0" collapsed="false">
      <c r="A38" s="28"/>
      <c r="B38" s="28"/>
      <c r="C38" s="29"/>
      <c r="D38" s="30"/>
      <c r="E38" s="30"/>
      <c r="F38" s="30"/>
      <c r="G38" s="30"/>
      <c r="H38" s="31" t="n">
        <f aca="false">IFERROR(G38-F38,"")</f>
        <v>0</v>
      </c>
      <c r="I38" s="32" t="n">
        <f aca="false">IFERROR((F38-D38)*1000,"")</f>
        <v>0</v>
      </c>
      <c r="J38" s="32" t="n">
        <f aca="false">IFERROR((G38-E38)*1000,"")</f>
        <v>0</v>
      </c>
      <c r="K38" s="28"/>
      <c r="L38" s="28"/>
      <c r="M38" s="33" t="str">
        <f aca="false">IF(A38="","",IF(OR(ABS(I38)&gt;25,ABS(J38)&gt;25,K38="Fail"),"ACTION",IF(AND(F38&lt;&gt;"",K38="Pass",ABS(I38)&lt;=15,ABS(J38)&lt;=15),"COMPLETE",IF(F38&lt;&gt;"","REVIEW","NOT STARTED"))))</f>
        <v/>
      </c>
      <c r="N38" s="34"/>
      <c r="O38" s="28"/>
      <c r="P38" s="28"/>
      <c r="Q38" s="28"/>
      <c r="R38" s="28"/>
    </row>
    <row r="39" customFormat="false" ht="15" hidden="false" customHeight="false" outlineLevel="0" collapsed="false">
      <c r="A39" s="28"/>
      <c r="B39" s="28"/>
      <c r="C39" s="29"/>
      <c r="D39" s="30"/>
      <c r="E39" s="30"/>
      <c r="F39" s="30"/>
      <c r="G39" s="30"/>
      <c r="H39" s="31" t="n">
        <f aca="false">IFERROR(G39-F39,"")</f>
        <v>0</v>
      </c>
      <c r="I39" s="32" t="n">
        <f aca="false">IFERROR((F39-D39)*1000,"")</f>
        <v>0</v>
      </c>
      <c r="J39" s="32" t="n">
        <f aca="false">IFERROR((G39-E39)*1000,"")</f>
        <v>0</v>
      </c>
      <c r="K39" s="28"/>
      <c r="L39" s="28"/>
      <c r="M39" s="33" t="str">
        <f aca="false">IF(A39="","",IF(OR(ABS(I39)&gt;25,ABS(J39)&gt;25,K39="Fail"),"ACTION",IF(AND(F39&lt;&gt;"",K39="Pass",ABS(I39)&lt;=15,ABS(J39)&lt;=15),"COMPLETE",IF(F39&lt;&gt;"","REVIEW","NOT STARTED"))))</f>
        <v/>
      </c>
      <c r="N39" s="34"/>
      <c r="O39" s="28"/>
      <c r="P39" s="28"/>
      <c r="Q39" s="28"/>
      <c r="R39" s="28"/>
    </row>
    <row r="40" customFormat="false" ht="15" hidden="false" customHeight="false" outlineLevel="0" collapsed="false">
      <c r="A40" s="28"/>
      <c r="B40" s="28"/>
      <c r="C40" s="29"/>
      <c r="D40" s="30"/>
      <c r="E40" s="30"/>
      <c r="F40" s="30"/>
      <c r="G40" s="30"/>
      <c r="H40" s="31" t="n">
        <f aca="false">IFERROR(G40-F40,"")</f>
        <v>0</v>
      </c>
      <c r="I40" s="32" t="n">
        <f aca="false">IFERROR((F40-D40)*1000,"")</f>
        <v>0</v>
      </c>
      <c r="J40" s="32" t="n">
        <f aca="false">IFERROR((G40-E40)*1000,"")</f>
        <v>0</v>
      </c>
      <c r="K40" s="28"/>
      <c r="L40" s="28"/>
      <c r="M40" s="33" t="str">
        <f aca="false">IF(A40="","",IF(OR(ABS(I40)&gt;25,ABS(J40)&gt;25,K40="Fail"),"ACTION",IF(AND(F40&lt;&gt;"",K40="Pass",ABS(I40)&lt;=15,ABS(J40)&lt;=15),"COMPLETE",IF(F40&lt;&gt;"","REVIEW","NOT STARTED"))))</f>
        <v/>
      </c>
      <c r="N40" s="34"/>
      <c r="O40" s="28"/>
      <c r="P40" s="28"/>
      <c r="Q40" s="28"/>
      <c r="R40" s="28"/>
    </row>
    <row r="41" customFormat="false" ht="15" hidden="false" customHeight="false" outlineLevel="0" collapsed="false">
      <c r="A41" s="28"/>
      <c r="B41" s="28"/>
      <c r="C41" s="29"/>
      <c r="D41" s="30"/>
      <c r="E41" s="30"/>
      <c r="F41" s="30"/>
      <c r="G41" s="30"/>
      <c r="H41" s="31" t="n">
        <f aca="false">IFERROR(G41-F41,"")</f>
        <v>0</v>
      </c>
      <c r="I41" s="32" t="n">
        <f aca="false">IFERROR((F41-D41)*1000,"")</f>
        <v>0</v>
      </c>
      <c r="J41" s="32" t="n">
        <f aca="false">IFERROR((G41-E41)*1000,"")</f>
        <v>0</v>
      </c>
      <c r="K41" s="28"/>
      <c r="L41" s="28"/>
      <c r="M41" s="33" t="str">
        <f aca="false">IF(A41="","",IF(OR(ABS(I41)&gt;25,ABS(J41)&gt;25,K41="Fail"),"ACTION",IF(AND(F41&lt;&gt;"",K41="Pass",ABS(I41)&lt;=15,ABS(J41)&lt;=15),"COMPLETE",IF(F41&lt;&gt;"","REVIEW","NOT STARTED"))))</f>
        <v/>
      </c>
      <c r="N41" s="34"/>
      <c r="O41" s="28"/>
      <c r="P41" s="28"/>
      <c r="Q41" s="28"/>
      <c r="R41" s="28"/>
    </row>
    <row r="42" customFormat="false" ht="15" hidden="false" customHeight="false" outlineLevel="0" collapsed="false">
      <c r="A42" s="28"/>
      <c r="B42" s="28"/>
      <c r="C42" s="29"/>
      <c r="D42" s="30"/>
      <c r="E42" s="30"/>
      <c r="F42" s="30"/>
      <c r="G42" s="30"/>
      <c r="H42" s="31" t="n">
        <f aca="false">IFERROR(G42-F42,"")</f>
        <v>0</v>
      </c>
      <c r="I42" s="32" t="n">
        <f aca="false">IFERROR((F42-D42)*1000,"")</f>
        <v>0</v>
      </c>
      <c r="J42" s="32" t="n">
        <f aca="false">IFERROR((G42-E42)*1000,"")</f>
        <v>0</v>
      </c>
      <c r="K42" s="28"/>
      <c r="L42" s="28"/>
      <c r="M42" s="33" t="str">
        <f aca="false">IF(A42="","",IF(OR(ABS(I42)&gt;25,ABS(J42)&gt;25,K42="Fail"),"ACTION",IF(AND(F42&lt;&gt;"",K42="Pass",ABS(I42)&lt;=15,ABS(J42)&lt;=15),"COMPLETE",IF(F42&lt;&gt;"","REVIEW","NOT STARTED"))))</f>
        <v/>
      </c>
      <c r="N42" s="34"/>
      <c r="O42" s="28"/>
      <c r="P42" s="28"/>
      <c r="Q42" s="28"/>
      <c r="R42" s="28"/>
    </row>
    <row r="43" customFormat="false" ht="15" hidden="false" customHeight="false" outlineLevel="0" collapsed="false">
      <c r="A43" s="28"/>
      <c r="B43" s="28"/>
      <c r="C43" s="29"/>
      <c r="D43" s="30"/>
      <c r="E43" s="30"/>
      <c r="F43" s="30"/>
      <c r="G43" s="30"/>
      <c r="H43" s="31" t="n">
        <f aca="false">IFERROR(G43-F43,"")</f>
        <v>0</v>
      </c>
      <c r="I43" s="32" t="n">
        <f aca="false">IFERROR((F43-D43)*1000,"")</f>
        <v>0</v>
      </c>
      <c r="J43" s="32" t="n">
        <f aca="false">IFERROR((G43-E43)*1000,"")</f>
        <v>0</v>
      </c>
      <c r="K43" s="28"/>
      <c r="L43" s="28"/>
      <c r="M43" s="33" t="str">
        <f aca="false">IF(A43="","",IF(OR(ABS(I43)&gt;25,ABS(J43)&gt;25,K43="Fail"),"ACTION",IF(AND(F43&lt;&gt;"",K43="Pass",ABS(I43)&lt;=15,ABS(J43)&lt;=15),"COMPLETE",IF(F43&lt;&gt;"","REVIEW","NOT STARTED"))))</f>
        <v/>
      </c>
      <c r="N43" s="34"/>
      <c r="O43" s="28"/>
      <c r="P43" s="28"/>
      <c r="Q43" s="28"/>
      <c r="R43" s="28"/>
    </row>
    <row r="44" customFormat="false" ht="15" hidden="false" customHeight="false" outlineLevel="0" collapsed="false">
      <c r="A44" s="28"/>
      <c r="B44" s="28"/>
      <c r="C44" s="29"/>
      <c r="D44" s="30"/>
      <c r="E44" s="30"/>
      <c r="F44" s="30"/>
      <c r="G44" s="30"/>
      <c r="H44" s="31" t="n">
        <f aca="false">IFERROR(G44-F44,"")</f>
        <v>0</v>
      </c>
      <c r="I44" s="32" t="n">
        <f aca="false">IFERROR((F44-D44)*1000,"")</f>
        <v>0</v>
      </c>
      <c r="J44" s="32" t="n">
        <f aca="false">IFERROR((G44-E44)*1000,"")</f>
        <v>0</v>
      </c>
      <c r="K44" s="28"/>
      <c r="L44" s="28"/>
      <c r="M44" s="33" t="str">
        <f aca="false">IF(A44="","",IF(OR(ABS(I44)&gt;25,ABS(J44)&gt;25,K44="Fail"),"ACTION",IF(AND(F44&lt;&gt;"",K44="Pass",ABS(I44)&lt;=15,ABS(J44)&lt;=15),"COMPLETE",IF(F44&lt;&gt;"","REVIEW","NOT STARTED"))))</f>
        <v/>
      </c>
      <c r="N44" s="34"/>
      <c r="O44" s="28"/>
      <c r="P44" s="28"/>
      <c r="Q44" s="28"/>
      <c r="R44" s="28"/>
    </row>
    <row r="45" customFormat="false" ht="15" hidden="false" customHeight="false" outlineLevel="0" collapsed="false">
      <c r="A45" s="28"/>
      <c r="B45" s="28"/>
      <c r="C45" s="29"/>
      <c r="D45" s="30"/>
      <c r="E45" s="30"/>
      <c r="F45" s="30"/>
      <c r="G45" s="30"/>
      <c r="H45" s="31" t="n">
        <f aca="false">IFERROR(G45-F45,"")</f>
        <v>0</v>
      </c>
      <c r="I45" s="32" t="n">
        <f aca="false">IFERROR((F45-D45)*1000,"")</f>
        <v>0</v>
      </c>
      <c r="J45" s="32" t="n">
        <f aca="false">IFERROR((G45-E45)*1000,"")</f>
        <v>0</v>
      </c>
      <c r="K45" s="28"/>
      <c r="L45" s="28"/>
      <c r="M45" s="33" t="str">
        <f aca="false">IF(A45="","",IF(OR(ABS(I45)&gt;25,ABS(J45)&gt;25,K45="Fail"),"ACTION",IF(AND(F45&lt;&gt;"",K45="Pass",ABS(I45)&lt;=15,ABS(J45)&lt;=15),"COMPLETE",IF(F45&lt;&gt;"","REVIEW","NOT STARTED"))))</f>
        <v/>
      </c>
      <c r="N45" s="34"/>
      <c r="O45" s="28"/>
      <c r="P45" s="28"/>
      <c r="Q45" s="28"/>
      <c r="R45" s="28"/>
    </row>
    <row r="46" customFormat="false" ht="15" hidden="false" customHeight="false" outlineLevel="0" collapsed="false">
      <c r="A46" s="28"/>
      <c r="B46" s="28"/>
      <c r="C46" s="29"/>
      <c r="D46" s="30"/>
      <c r="E46" s="30"/>
      <c r="F46" s="30"/>
      <c r="G46" s="30"/>
      <c r="H46" s="31" t="n">
        <f aca="false">IFERROR(G46-F46,"")</f>
        <v>0</v>
      </c>
      <c r="I46" s="32" t="n">
        <f aca="false">IFERROR((F46-D46)*1000,"")</f>
        <v>0</v>
      </c>
      <c r="J46" s="32" t="n">
        <f aca="false">IFERROR((G46-E46)*1000,"")</f>
        <v>0</v>
      </c>
      <c r="K46" s="28"/>
      <c r="L46" s="28"/>
      <c r="M46" s="33" t="str">
        <f aca="false">IF(A46="","",IF(OR(ABS(I46)&gt;25,ABS(J46)&gt;25,K46="Fail"),"ACTION",IF(AND(F46&lt;&gt;"",K46="Pass",ABS(I46)&lt;=15,ABS(J46)&lt;=15),"COMPLETE",IF(F46&lt;&gt;"","REVIEW","NOT STARTED"))))</f>
        <v/>
      </c>
      <c r="N46" s="34"/>
      <c r="O46" s="28"/>
      <c r="P46" s="28"/>
      <c r="Q46" s="28"/>
      <c r="R46" s="28"/>
    </row>
    <row r="47" customFormat="false" ht="15" hidden="false" customHeight="false" outlineLevel="0" collapsed="false">
      <c r="A47" s="28"/>
      <c r="B47" s="28"/>
      <c r="C47" s="29"/>
      <c r="D47" s="30"/>
      <c r="E47" s="30"/>
      <c r="F47" s="30"/>
      <c r="G47" s="30"/>
      <c r="H47" s="31" t="n">
        <f aca="false">IFERROR(G47-F47,"")</f>
        <v>0</v>
      </c>
      <c r="I47" s="32" t="n">
        <f aca="false">IFERROR((F47-D47)*1000,"")</f>
        <v>0</v>
      </c>
      <c r="J47" s="32" t="n">
        <f aca="false">IFERROR((G47-E47)*1000,"")</f>
        <v>0</v>
      </c>
      <c r="K47" s="28"/>
      <c r="L47" s="28"/>
      <c r="M47" s="33" t="str">
        <f aca="false">IF(A47="","",IF(OR(ABS(I47)&gt;25,ABS(J47)&gt;25,K47="Fail"),"ACTION",IF(AND(F47&lt;&gt;"",K47="Pass",ABS(I47)&lt;=15,ABS(J47)&lt;=15),"COMPLETE",IF(F47&lt;&gt;"","REVIEW","NOT STARTED"))))</f>
        <v/>
      </c>
      <c r="N47" s="34"/>
      <c r="O47" s="28"/>
      <c r="P47" s="28"/>
      <c r="Q47" s="28"/>
      <c r="R47" s="28"/>
    </row>
    <row r="48" customFormat="false" ht="15" hidden="false" customHeight="false" outlineLevel="0" collapsed="false">
      <c r="A48" s="28"/>
      <c r="B48" s="28"/>
      <c r="C48" s="29"/>
      <c r="D48" s="30"/>
      <c r="E48" s="30"/>
      <c r="F48" s="30"/>
      <c r="G48" s="30"/>
      <c r="H48" s="31" t="n">
        <f aca="false">IFERROR(G48-F48,"")</f>
        <v>0</v>
      </c>
      <c r="I48" s="32" t="n">
        <f aca="false">IFERROR((F48-D48)*1000,"")</f>
        <v>0</v>
      </c>
      <c r="J48" s="32" t="n">
        <f aca="false">IFERROR((G48-E48)*1000,"")</f>
        <v>0</v>
      </c>
      <c r="K48" s="28"/>
      <c r="L48" s="28"/>
      <c r="M48" s="33" t="str">
        <f aca="false">IF(A48="","",IF(OR(ABS(I48)&gt;25,ABS(J48)&gt;25,K48="Fail"),"ACTION",IF(AND(F48&lt;&gt;"",K48="Pass",ABS(I48)&lt;=15,ABS(J48)&lt;=15),"COMPLETE",IF(F48&lt;&gt;"","REVIEW","NOT STARTED"))))</f>
        <v/>
      </c>
      <c r="N48" s="34"/>
      <c r="O48" s="28"/>
      <c r="P48" s="28"/>
      <c r="Q48" s="28"/>
      <c r="R48" s="28"/>
    </row>
  </sheetData>
  <autoFilter ref="A7:R48"/>
  <mergeCells count="2">
    <mergeCell ref="A1:N1"/>
    <mergeCell ref="O6:R6"/>
  </mergeCells>
  <conditionalFormatting sqref="M8:M48">
    <cfRule type="cellIs" priority="2" operator="equal" aboveAverage="0" equalAverage="0" bottom="0" percent="0" rank="0" text="" dxfId="9">
      <formula>"COMPLETE"</formula>
    </cfRule>
    <cfRule type="cellIs" priority="3" operator="equal" aboveAverage="0" equalAverage="0" bottom="0" percent="0" rank="0" text="" dxfId="10">
      <formula>"REVIEW"</formula>
    </cfRule>
    <cfRule type="cellIs" priority="4" operator="equal" aboveAverage="0" equalAverage="0" bottom="0" percent="0" rank="0" text="" dxfId="11">
      <formula>"ACTION"</formula>
    </cfRule>
  </conditionalFormatting>
  <conditionalFormatting sqref="I8:I48">
    <cfRule type="expression" priority="5" aboveAverage="0" equalAverage="0" bottom="0" percent="0" rank="0" text="" dxfId="11">
      <formula>AND(I8&lt;&gt;"",ABS(I8)&gt;25)</formula>
    </cfRule>
    <cfRule type="expression" priority="6" aboveAverage="0" equalAverage="0" bottom="0" percent="0" rank="0" text="" dxfId="12">
      <formula>AND(I8&lt;&gt;"",ABS(I8)&gt;15,ABS(I8)&lt;=25)</formula>
    </cfRule>
    <cfRule type="expression" priority="7" aboveAverage="0" equalAverage="0" bottom="0" percent="0" rank="0" text="" dxfId="13">
      <formula>AND(I8&lt;&gt;"",ABS(I8)&lt;=15)</formula>
    </cfRule>
  </conditionalFormatting>
  <conditionalFormatting sqref="J8:J48">
    <cfRule type="expression" priority="8" aboveAverage="0" equalAverage="0" bottom="0" percent="0" rank="0" text="" dxfId="11">
      <formula>AND(J8&lt;&gt;"",ABS(J8)&gt;25)</formula>
    </cfRule>
    <cfRule type="expression" priority="9" aboveAverage="0" equalAverage="0" bottom="0" percent="0" rank="0" text="" dxfId="12">
      <formula>AND(J8&lt;&gt;"",ABS(J8)&gt;15,ABS(J8)&lt;=25)</formula>
    </cfRule>
    <cfRule type="expression" priority="10" aboveAverage="0" equalAverage="0" bottom="0" percent="0" rank="0" text="" dxfId="13">
      <formula>AND(J8&lt;&gt;"",ABS(J8)&lt;=15)</formula>
    </cfRule>
  </conditionalFormatting>
  <conditionalFormatting sqref="K8:K48">
    <cfRule type="cellIs" priority="11" operator="equal" aboveAverage="0" equalAverage="0" bottom="0" percent="0" rank="0" text="" dxfId="9">
      <formula>"Pass"</formula>
    </cfRule>
    <cfRule type="cellIs" priority="12" operator="equal" aboveAverage="0" equalAverage="0" bottom="0" percent="0" rank="0" text="" dxfId="11">
      <formula>"Fail"</formula>
    </cfRule>
  </conditionalFormatting>
  <dataValidations count="4">
    <dataValidation allowBlank="true" errorStyle="stop" operator="between" showDropDown="false" showErrorMessage="false" showInputMessage="false" sqref="B8:B48" type="list">
      <formula1>"Precast Concrete,Brick,Plastic (PPIC),In-Situ Concrete,Inspection Chamber,Other"</formula1>
      <formula2>0</formula2>
    </dataValidation>
    <dataValidation allowBlank="true" errorStyle="stop" operator="between" showDropDown="false" showErrorMessage="false" showInputMessage="false" sqref="K8:K48" type="list">
      <formula1>"Pass,Fail,Pending,N/A"</formula1>
      <formula2>0</formula2>
    </dataValidation>
    <dataValidation allowBlank="true" errorStyle="stop" operator="between" showDropDown="false" showErrorMessage="false" showInputMessage="false" sqref="O8:O48" type="list">
      <formula1>"Full,Half,None,N/A"</formula1>
      <formula2>0</formula2>
    </dataValidation>
    <dataValidation allowBlank="true" errorStyle="stop" operator="between" showDropDown="false" showErrorMessage="false" showInputMessage="false" sqref="P8:P48" type="list">
      <formula1>"Yes,No,N/A"</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&amp;CManhole / Chamber Installation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5" t="s">
        <v>80</v>
      </c>
    </row>
    <row r="2" customFormat="false" ht="15" hidden="false" customHeight="false" outlineLevel="0" collapsed="false">
      <c r="A2" s="35"/>
    </row>
    <row r="3" customFormat="false" ht="15" hidden="false" customHeight="false" outlineLevel="0" collapsed="false">
      <c r="A3" s="35" t="s">
        <v>81</v>
      </c>
    </row>
    <row r="4" customFormat="false" ht="15" hidden="false" customHeight="false" outlineLevel="0" collapsed="false">
      <c r="A4" s="35"/>
    </row>
    <row r="5" customFormat="false" ht="15" hidden="false" customHeight="false" outlineLevel="0" collapsed="false">
      <c r="A5" s="35" t="s">
        <v>82</v>
      </c>
    </row>
    <row r="6" customFormat="false" ht="15" hidden="false" customHeight="false" outlineLevel="0" collapsed="false">
      <c r="A6" s="35"/>
    </row>
    <row r="7" customFormat="false" ht="15" hidden="false" customHeight="false" outlineLevel="0" collapsed="false">
      <c r="A7" s="35" t="s">
        <v>83</v>
      </c>
    </row>
    <row r="8" customFormat="false" ht="15" hidden="false" customHeight="false" outlineLevel="0" collapsed="false">
      <c r="A8" s="35"/>
    </row>
    <row r="9" customFormat="false" ht="15" hidden="false" customHeight="false" outlineLevel="0" collapsed="false">
      <c r="A9" s="35" t="s">
        <v>84</v>
      </c>
    </row>
    <row r="10" customFormat="false" ht="15" hidden="false" customHeight="false" outlineLevel="0" collapsed="false">
      <c r="A10" s="35"/>
    </row>
    <row r="11" customFormat="false" ht="15" hidden="false" customHeight="false" outlineLevel="0" collapsed="false">
      <c r="A11" s="35" t="s">
        <v>85</v>
      </c>
    </row>
    <row r="12" customFormat="false" ht="15" hidden="false" customHeight="false" outlineLevel="0" collapsed="false">
      <c r="A12" s="35"/>
    </row>
    <row r="13" customFormat="false" ht="15" hidden="false" customHeight="false" outlineLevel="0" collapsed="false">
      <c r="A13" s="35" t="s">
        <v>86</v>
      </c>
    </row>
    <row r="14" customFormat="false" ht="15" hidden="false" customHeight="false" outlineLevel="0" collapsed="false">
      <c r="A14" s="35"/>
    </row>
    <row r="15" customFormat="false" ht="15" hidden="false" customHeight="false" outlineLevel="0" collapsed="false">
      <c r="A15" s="35" t="s">
        <v>87</v>
      </c>
    </row>
    <row r="16" customFormat="false" ht="15" hidden="false" customHeight="false" outlineLevel="0" collapsed="false">
      <c r="A16" s="35"/>
    </row>
    <row r="17" customFormat="false" ht="15" hidden="false" customHeight="false" outlineLevel="0" collapsed="false">
      <c r="A17" s="35"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2026-03-23T13:30:30Z</dcterms:created>
  <dc:creator>Ebrora Ltd</dc:creator>
  <dc:description>Track manhole and chamber installations with level verification, connection checks, and water test status for adoptable drainage works.
Free professional construction management template from Ebrora Ltd. Visit ebrora.com for our full range of tools and templates.</dc:description>
  <cp:keywords>Ebrora construction civils manhole chamber drainage installation groundworks</cp:keywords>
  <dc:language>en-US</dc:language>
  <cp:lastModifiedBy>Ebrora Ltd</cp:lastModifiedBy>
  <dcterms:modified xsi:type="dcterms:W3CDTF">2026-03-23T13:30:30Z</dcterms:modified>
  <cp:revision>0</cp:revision>
  <dc:subject>Track manhole and chamber installations with level verification, connection checks, and water test status.</dc:subject>
  <dc:title>Manhole / Chamber Installation Log</dc:title>
</cp:coreProperties>
</file>

<file path=docProps/custom.xml><?xml version="1.0" encoding="utf-8"?>
<Properties xmlns="http://schemas.openxmlformats.org/officeDocument/2006/custom-properties" xmlns:vt="http://schemas.openxmlformats.org/officeDocument/2006/docPropsVTypes"/>
</file>