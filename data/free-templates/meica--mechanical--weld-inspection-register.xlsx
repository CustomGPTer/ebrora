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Weld Register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'Weld Register'!$A$1:$M$58</definedName>
    <definedName function="false" hidden="true" localSheetId="2" name="_xlnm._FilterDatabase" vbProcedure="false">'Weld Register'!$A$7:$Q$58</definedName>
    <definedName function="false" hidden="false" name="DataTable" vbProcedure="false">'Weld Register'!$A$7:$Q$58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<sst xmlns="http://schemas.openxmlformats.org/spreadsheetml/2006/main" count="126" uniqueCount="104">
  <si>
    <t xml:space="preserve">EBRORA</t>
  </si>
  <si>
    <t xml:space="preserve">ebrora.com</t>
  </si>
  <si>
    <t xml:space="preserve">Weld Inspection
Register</t>
  </si>
  <si>
    <t xml:space="preserve">Track every weld joint through fit-up, visual inspection, and NDT stages with automatic acceptance status and pipeline progression.</t>
  </si>
  <si>
    <t xml:space="preserve">This is a free template from Ebrora.
For our full range of professional-grade construction management tools,
visit ebrora.com</t>
  </si>
  <si>
    <t xml:space="preserve">© Ebrora 2026 — All rights reserved</t>
  </si>
  <si>
    <t xml:space="preserve">How to Use This Template</t>
  </si>
  <si>
    <t xml:space="preserve">Step-by-Step Instructions</t>
  </si>
  <si>
    <t xml:space="preserve">1. Go to the 'Weld Register' sheet — this tracks every weld joint from fit-up to final acceptance.</t>
  </si>
  <si>
    <t xml:space="preserve">2. The pipeline summary (rows 2–5) shows live counts of welds at each inspection stage plus acceptance/rejection rates.</t>
  </si>
  <si>
    <t xml:space="preserve">3. Enter each weld joint with its reference, location, material details, WPS number, and welder ID.</t>
  </si>
  <si>
    <t xml:space="preserve">4. Record the fit-up inspection result first (Accept/Reject). Only accepted fit-ups should proceed to welding.</t>
  </si>
  <si>
    <t xml:space="preserve">5. After welding, record the visual inspection (VT) result. Then record the NDT method and result when available.</t>
  </si>
  <si>
    <t xml:space="preserve">6. The Overall Status column auto-calculates: ACCEPTED (all stages pass), REJECTED (any stage fails), or IN PROGRESS.</t>
  </si>
  <si>
    <t xml:space="preserve">7. Use the [+] button to expand optional columns for preheat temp, PWHT status, and repair details.</t>
  </si>
  <si>
    <t xml:space="preserve">8. Filter by status or welder to monitor individual performance or find outstanding inspections.</t>
  </si>
  <si>
    <t xml:space="preserve">Colour Key</t>
  </si>
  <si>
    <t xml:space="preserve">Light teal cells</t>
  </si>
  <si>
    <t xml:space="preserve">Editable — enter your data here</t>
  </si>
  <si>
    <t xml:space="preserve">Dark navy headers</t>
  </si>
  <si>
    <t xml:space="preserve">Do not edit — column headers and labels</t>
  </si>
  <si>
    <t xml:space="preserve">Green fill</t>
  </si>
  <si>
    <t xml:space="preserve">ACCEPTED — inspection stage passed</t>
  </si>
  <si>
    <t xml:space="preserve">Red fill</t>
  </si>
  <si>
    <t xml:space="preserve">REJECTED — inspection stage failed</t>
  </si>
  <si>
    <t xml:space="preserve">Amber fill</t>
  </si>
  <si>
    <t xml:space="preserve">IN PROGRESS — awaiting inspection result</t>
  </si>
  <si>
    <t xml:space="preserve">Tips</t>
  </si>
  <si>
    <t xml:space="preserve">• Always record the WPS (Welding Procedure Specification) number — this links the weld to its approved procedure and is essential for QA audits.</t>
  </si>
  <si>
    <t xml:space="preserve">• Ensure welder IDs match their valid welding certificates — check qualifications cover the material, thickness, and position for each joint.</t>
  </si>
  <si>
    <t xml:space="preserve">• If a weld is rejected and repaired, log the repair in the optional columns and re-inspect. Keep the original rejection visible for traceability.</t>
  </si>
  <si>
    <t xml:space="preserve">WELD INSPECTION REGISTER — PIPELINE SUMMARY</t>
  </si>
  <si>
    <t xml:space="preserve">Total Welds</t>
  </si>
  <si>
    <t xml:space="preserve">Fit-Up Done</t>
  </si>
  <si>
    <t xml:space="preserve">VT Done</t>
  </si>
  <si>
    <t xml:space="preserve">NDT Done</t>
  </si>
  <si>
    <t xml:space="preserve">Accepted</t>
  </si>
  <si>
    <t xml:space="preserve">Rejected</t>
  </si>
  <si>
    <t xml:space="preserve">acceptance rate</t>
  </si>
  <si>
    <t xml:space="preserve">▸ Optional Fields — Click [+] to expand</t>
  </si>
  <si>
    <t xml:space="preserve">Weld
Ref</t>
  </si>
  <si>
    <t xml:space="preserve">Date
Welded</t>
  </si>
  <si>
    <t xml:space="preserve">Location / Element</t>
  </si>
  <si>
    <t xml:space="preserve">Joint
Type</t>
  </si>
  <si>
    <t xml:space="preserve">Material /
Grade</t>
  </si>
  <si>
    <t xml:space="preserve">WPS
No.</t>
  </si>
  <si>
    <t xml:space="preserve">Welder
ID</t>
  </si>
  <si>
    <t xml:space="preserve">Fit-Up
Result</t>
  </si>
  <si>
    <t xml:space="preserve">VT
Result</t>
  </si>
  <si>
    <t xml:space="preserve">NDT
Method</t>
  </si>
  <si>
    <t xml:space="preserve">NDT
Result</t>
  </si>
  <si>
    <t xml:space="preserve">Overall
Status</t>
  </si>
  <si>
    <t xml:space="preserve">Notes</t>
  </si>
  <si>
    <t xml:space="preserve">Preheat
Temp (°C)</t>
  </si>
  <si>
    <t xml:space="preserve">PWHT
Required</t>
  </si>
  <si>
    <t xml:space="preserve">PWHT
Status</t>
  </si>
  <si>
    <t xml:space="preserve">Repair Details</t>
  </si>
  <si>
    <t xml:space="preserve">W-001</t>
  </si>
  <si>
    <t xml:space="preserve">Steelwork — Col C1 Base Plate</t>
  </si>
  <si>
    <t xml:space="preserve">Fillet</t>
  </si>
  <si>
    <t xml:space="preserve">S355 J2</t>
  </si>
  <si>
    <t xml:space="preserve">WPS-042</t>
  </si>
  <si>
    <t xml:space="preserve">JB-101</t>
  </si>
  <si>
    <t xml:space="preserve">Accept</t>
  </si>
  <si>
    <t xml:space="preserve">MT (Magnetic Particle)</t>
  </si>
  <si>
    <t xml:space="preserve">Full pen fillet as per dwg SK-101</t>
  </si>
  <si>
    <t xml:space="preserve">No</t>
  </si>
  <si>
    <t xml:space="preserve">N/A</t>
  </si>
  <si>
    <t xml:space="preserve">W-002</t>
  </si>
  <si>
    <t xml:space="preserve">Pipe Spool PS-14 Flange</t>
  </si>
  <si>
    <t xml:space="preserve">Butt</t>
  </si>
  <si>
    <t xml:space="preserve">P265GH</t>
  </si>
  <si>
    <t xml:space="preserve">WPS-018</t>
  </si>
  <si>
    <t xml:space="preserve">KR-205</t>
  </si>
  <si>
    <t xml:space="preserve">RT (Radiographic)</t>
  </si>
  <si>
    <t xml:space="preserve">100% RT per spec</t>
  </si>
  <si>
    <t xml:space="preserve">Yes</t>
  </si>
  <si>
    <t xml:space="preserve">Complete</t>
  </si>
  <si>
    <t xml:space="preserve">W-003</t>
  </si>
  <si>
    <t xml:space="preserve">Steelwork — Beam B7 Splice</t>
  </si>
  <si>
    <t xml:space="preserve">S275 JR</t>
  </si>
  <si>
    <t xml:space="preserve">Reject</t>
  </si>
  <si>
    <t xml:space="preserve">Undercut &gt;1mm — repair required</t>
  </si>
  <si>
    <t xml:space="preserve">Repair logged — see NCR-045</t>
  </si>
  <si>
    <t xml:space="preserve">W-004</t>
  </si>
  <si>
    <t xml:space="preserve">Pipe Spool PS-22 Branch</t>
  </si>
  <si>
    <t xml:space="preserve">Branch</t>
  </si>
  <si>
    <t xml:space="preserve">316L SS</t>
  </si>
  <si>
    <t xml:space="preserve">WPS-055</t>
  </si>
  <si>
    <t xml:space="preserve">MH-310</t>
  </si>
  <si>
    <t xml:space="preserve">PT (Dye Penetrant)</t>
  </si>
  <si>
    <t xml:space="preserve">W-005</t>
  </si>
  <si>
    <t xml:space="preserve">Tank T2 Shell Course 1</t>
  </si>
  <si>
    <t xml:space="preserve">Awaiting VT inspection</t>
  </si>
  <si>
    <t xml:space="preserve">Pending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</si>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</sst>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/mm/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  <font>
      <b val="true"/>
      <sz val="18"/>
      <color rgb="FF1B2A4A"/>
      <name val="Calibri"/>
      <family val="0"/>
      <charset val="1"/>
    </font>
    <font>
      <b val="true"/>
      <sz val="18"/>
      <color rgb="FF006100"/>
      <name val="Calibri"/>
      <family val="0"/>
      <charset val="1"/>
    </font>
    <font>
      <b val="true"/>
      <sz val="18"/>
      <color rgb="FF9C0006"/>
      <name val="Calibri"/>
      <family val="0"/>
      <charset val="1"/>
    </font>
    <font>
      <sz val="9"/>
      <color rgb="FF8C8C8C"/>
      <name val="Calibri"/>
      <family val="0"/>
      <charset val="1"/>
    </font>
    <font>
      <i val="true"/>
      <sz val="9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Calibri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9C6500"/>
        <sz val="10"/>
      </font>
      <fill>
        <patternFill>
          <bgColor rgb="FFFFEB9C"/>
        </patternFill>
      </fill>
    </dxf>
    <dxf>
      <font>
        <name val="Calibri"/>
        <charset val="1"/>
        <family val="0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7</v>
      </c>
      <c r="B3" s="9"/>
      <c r="C3" s="9"/>
      <c r="D3" s="9"/>
      <c r="E3" s="9"/>
      <c r="F3" s="9"/>
    </row>
    <row r="4" customFormat="false" ht="30" hidden="false" customHeight="true" outlineLevel="0" collapsed="false">
      <c r="A4" s="10" t="s">
        <v>8</v>
      </c>
      <c r="B4" s="10"/>
      <c r="C4" s="10"/>
      <c r="D4" s="10"/>
      <c r="E4" s="10"/>
      <c r="F4" s="10"/>
    </row>
    <row r="5" customFormat="false" ht="30" hidden="false" customHeight="true" outlineLevel="0" collapsed="false">
      <c r="A5" s="10" t="s">
        <v>9</v>
      </c>
      <c r="B5" s="10"/>
      <c r="C5" s="10"/>
      <c r="D5" s="10"/>
      <c r="E5" s="10"/>
      <c r="F5" s="10"/>
    </row>
    <row r="6" customFormat="false" ht="30" hidden="false" customHeight="true" outlineLevel="0" collapsed="false">
      <c r="A6" s="10" t="s">
        <v>10</v>
      </c>
      <c r="B6" s="10"/>
      <c r="C6" s="10"/>
      <c r="D6" s="10"/>
      <c r="E6" s="10"/>
      <c r="F6" s="10"/>
    </row>
    <row r="7" customFormat="false" ht="30" hidden="false" customHeight="true" outlineLevel="0" collapsed="false">
      <c r="A7" s="10" t="s">
        <v>11</v>
      </c>
      <c r="B7" s="10"/>
      <c r="C7" s="10"/>
      <c r="D7" s="10"/>
      <c r="E7" s="10"/>
      <c r="F7" s="10"/>
    </row>
    <row r="8" customFormat="false" ht="30" hidden="false" customHeight="true" outlineLevel="0" collapsed="false">
      <c r="A8" s="10" t="s">
        <v>12</v>
      </c>
      <c r="B8" s="10"/>
      <c r="C8" s="10"/>
      <c r="D8" s="10"/>
      <c r="E8" s="10"/>
      <c r="F8" s="10"/>
    </row>
    <row r="9" customFormat="false" ht="30" hidden="false" customHeight="true" outlineLevel="0" collapsed="false">
      <c r="A9" s="10" t="s">
        <v>13</v>
      </c>
      <c r="B9" s="10"/>
      <c r="C9" s="10"/>
      <c r="D9" s="10"/>
      <c r="E9" s="10"/>
      <c r="F9" s="10"/>
    </row>
    <row r="10" customFormat="false" ht="30" hidden="false" customHeight="true" outlineLevel="0" collapsed="false">
      <c r="A10" s="10" t="s">
        <v>14</v>
      </c>
      <c r="B10" s="10"/>
      <c r="C10" s="10"/>
      <c r="D10" s="10"/>
      <c r="E10" s="10"/>
      <c r="F10" s="10"/>
    </row>
    <row r="11" customFormat="false" ht="30" hidden="false" customHeight="true" outlineLevel="0" collapsed="false">
      <c r="A11" s="10" t="s">
        <v>15</v>
      </c>
      <c r="B11" s="10"/>
      <c r="C11" s="10"/>
      <c r="D11" s="10"/>
      <c r="E11" s="10"/>
      <c r="F11" s="10"/>
    </row>
    <row r="13" customFormat="false" ht="15" hidden="false" customHeight="false" outlineLevel="0" collapsed="false">
      <c r="A13" s="9" t="s">
        <v>16</v>
      </c>
      <c r="B13" s="9"/>
      <c r="C13" s="9"/>
      <c r="D13" s="9"/>
      <c r="E13" s="9"/>
      <c r="F13" s="9"/>
    </row>
    <row r="14" customFormat="false" ht="15" hidden="false" customHeight="false" outlineLevel="0" collapsed="false">
      <c r="A14" s="11"/>
      <c r="B14" s="12" t="s">
        <v>17</v>
      </c>
      <c r="C14" s="12"/>
      <c r="D14" s="13" t="s">
        <v>18</v>
      </c>
      <c r="E14" s="13"/>
      <c r="F14" s="13"/>
    </row>
    <row r="15" customFormat="false" ht="15" hidden="false" customHeight="false" outlineLevel="0" collapsed="false">
      <c r="A15" s="14"/>
      <c r="B15" s="12" t="s">
        <v>19</v>
      </c>
      <c r="C15" s="12"/>
      <c r="D15" s="13" t="s">
        <v>20</v>
      </c>
      <c r="E15" s="13"/>
      <c r="F15" s="13"/>
    </row>
    <row r="16" customFormat="false" ht="15" hidden="false" customHeight="false" outlineLevel="0" collapsed="false">
      <c r="A16" s="15"/>
      <c r="B16" s="12" t="s">
        <v>21</v>
      </c>
      <c r="C16" s="12"/>
      <c r="D16" s="13" t="s">
        <v>22</v>
      </c>
      <c r="E16" s="13"/>
      <c r="F16" s="13"/>
    </row>
    <row r="17" customFormat="false" ht="15" hidden="false" customHeight="false" outlineLevel="0" collapsed="false">
      <c r="A17" s="16"/>
      <c r="B17" s="12" t="s">
        <v>23</v>
      </c>
      <c r="C17" s="12"/>
      <c r="D17" s="13" t="s">
        <v>24</v>
      </c>
      <c r="E17" s="13"/>
      <c r="F17" s="13"/>
    </row>
    <row r="18" customFormat="false" ht="15" hidden="false" customHeight="false" outlineLevel="0" collapsed="false">
      <c r="A18" s="17"/>
      <c r="B18" s="12" t="s">
        <v>25</v>
      </c>
      <c r="C18" s="12"/>
      <c r="D18" s="13" t="s">
        <v>26</v>
      </c>
      <c r="E18" s="13"/>
      <c r="F18" s="13"/>
    </row>
    <row r="20" customFormat="false" ht="15" hidden="false" customHeight="false" outlineLevel="0" collapsed="false">
      <c r="A20" s="9" t="s">
        <v>27</v>
      </c>
      <c r="B20" s="9"/>
      <c r="C20" s="9"/>
      <c r="D20" s="9"/>
      <c r="E20" s="9"/>
      <c r="F20" s="9"/>
    </row>
    <row r="21" customFormat="false" ht="30" hidden="false" customHeight="true" outlineLevel="0" collapsed="false">
      <c r="A21" s="10" t="s">
        <v>28</v>
      </c>
      <c r="B21" s="10"/>
      <c r="C21" s="10"/>
      <c r="D21" s="10"/>
      <c r="E21" s="10"/>
      <c r="F21" s="10"/>
    </row>
    <row r="22" customFormat="false" ht="30" hidden="false" customHeight="true" outlineLevel="0" collapsed="false">
      <c r="A22" s="10" t="s">
        <v>29</v>
      </c>
      <c r="B22" s="10"/>
      <c r="C22" s="10"/>
      <c r="D22" s="10"/>
      <c r="E22" s="10"/>
      <c r="F22" s="10"/>
    </row>
    <row r="23" customFormat="false" ht="30" hidden="false" customHeight="true" outlineLevel="0" collapsed="false">
      <c r="A23" s="10" t="s">
        <v>30</v>
      </c>
      <c r="B23" s="10"/>
      <c r="C23" s="10"/>
      <c r="D23" s="10"/>
      <c r="E23" s="10"/>
      <c r="F23" s="10"/>
    </row>
  </sheetData>
  <mergeCells count="25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6"/>
    <col collapsed="false" customWidth="true" hidden="false" outlineLevel="0" max="13" min="13" style="0" width="28"/>
    <col collapsed="false" customWidth="true" hidden="true" outlineLevel="1" max="17" min="14" style="0" width="14"/>
  </cols>
  <sheetData>
    <row r="1" customFormat="false" ht="18.65" hidden="false" customHeight="true" outlineLevel="0" collapsed="false">
      <c r="A1" s="18" t="s">
        <v>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9"/>
      <c r="Q1" s="19"/>
    </row>
    <row r="2" customFormat="false" ht="6" hidden="false" customHeight="true" outlineLevel="0" collapsed="false"/>
    <row r="3" customFormat="false" ht="15" hidden="false" customHeight="false" outlineLevel="0" collapsed="false">
      <c r="A3" s="20" t="s">
        <v>32</v>
      </c>
      <c r="C3" s="20" t="s">
        <v>33</v>
      </c>
      <c r="E3" s="20" t="s">
        <v>34</v>
      </c>
      <c r="G3" s="20" t="s">
        <v>35</v>
      </c>
      <c r="I3" s="20" t="s">
        <v>36</v>
      </c>
      <c r="K3" s="20" t="s">
        <v>37</v>
      </c>
    </row>
    <row r="4" customFormat="false" ht="22.05" hidden="false" customHeight="false" outlineLevel="0" collapsed="false">
      <c r="A4" s="21" t="n">
        <f aca="false">COUNTA(A8:A58)</f>
        <v>5</v>
      </c>
      <c r="C4" s="21" t="n">
        <f aca="false">COUNTA(H8:H58)</f>
        <v>5</v>
      </c>
      <c r="E4" s="21" t="n">
        <f aca="false">COUNTA(I8:I58)</f>
        <v>4</v>
      </c>
      <c r="G4" s="21" t="n">
        <f aca="false">COUNTA(K8:K58)</f>
        <v>3</v>
      </c>
      <c r="I4" s="22" t="n">
        <f aca="false">COUNTIF(L8:L58,"ACCEPTED")</f>
        <v>3</v>
      </c>
      <c r="K4" s="23" t="n">
        <f aca="false">COUNTIF(L8:L58,"REJECTED")</f>
        <v>1</v>
      </c>
    </row>
    <row r="5" customFormat="false" ht="15" hidden="false" customHeight="false" outlineLevel="0" collapsed="false">
      <c r="I5" s="24" t="n">
        <f aca="false">IFERROR(I4/(I4+K4),0)</f>
        <v>0.75</v>
      </c>
      <c r="J5" s="25" t="s">
        <v>38</v>
      </c>
    </row>
    <row r="6" customFormat="false" ht="22.35" hidden="false" customHeight="true" outlineLevel="0" collapsed="false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7" t="s">
        <v>39</v>
      </c>
      <c r="O6" s="27"/>
      <c r="P6" s="27"/>
      <c r="Q6" s="27"/>
    </row>
    <row r="7" customFormat="false" ht="36" hidden="false" customHeight="true" outlineLevel="0" collapsed="false">
      <c r="A7" s="28" t="s">
        <v>40</v>
      </c>
      <c r="B7" s="28" t="s">
        <v>41</v>
      </c>
      <c r="C7" s="28" t="s">
        <v>42</v>
      </c>
      <c r="D7" s="28" t="s">
        <v>43</v>
      </c>
      <c r="E7" s="28" t="s">
        <v>44</v>
      </c>
      <c r="F7" s="28" t="s">
        <v>45</v>
      </c>
      <c r="G7" s="28" t="s">
        <v>46</v>
      </c>
      <c r="H7" s="28" t="s">
        <v>47</v>
      </c>
      <c r="I7" s="28" t="s">
        <v>48</v>
      </c>
      <c r="J7" s="28" t="s">
        <v>49</v>
      </c>
      <c r="K7" s="28" t="s">
        <v>50</v>
      </c>
      <c r="L7" s="28" t="s">
        <v>51</v>
      </c>
      <c r="M7" s="28" t="s">
        <v>52</v>
      </c>
      <c r="N7" s="28" t="s">
        <v>53</v>
      </c>
      <c r="O7" s="28" t="s">
        <v>54</v>
      </c>
      <c r="P7" s="28" t="s">
        <v>55</v>
      </c>
      <c r="Q7" s="28" t="s">
        <v>56</v>
      </c>
    </row>
    <row r="8" customFormat="false" ht="23.85" hidden="false" customHeight="false" outlineLevel="0" collapsed="false">
      <c r="A8" s="29" t="s">
        <v>57</v>
      </c>
      <c r="B8" s="30" t="n">
        <v>46063</v>
      </c>
      <c r="C8" s="31" t="s">
        <v>58</v>
      </c>
      <c r="D8" s="29" t="s">
        <v>59</v>
      </c>
      <c r="E8" s="29" t="s">
        <v>60</v>
      </c>
      <c r="F8" s="29" t="s">
        <v>61</v>
      </c>
      <c r="G8" s="29" t="s">
        <v>62</v>
      </c>
      <c r="H8" s="29" t="s">
        <v>63</v>
      </c>
      <c r="I8" s="29" t="s">
        <v>63</v>
      </c>
      <c r="J8" s="29" t="s">
        <v>64</v>
      </c>
      <c r="K8" s="29" t="s">
        <v>63</v>
      </c>
      <c r="L8" s="32" t="str">
        <f aca="false">IF(A8="","",IF(OR(H8="Reject",I8="Reject",K8="Reject"),"REJECTED",IF(AND(H8="Accept",I8="Accept",K8="Accept"),"ACCEPTED","IN PROGRESS")))</f>
        <v>ACCEPTED</v>
      </c>
      <c r="M8" s="31" t="s">
        <v>65</v>
      </c>
      <c r="N8" s="29" t="n">
        <v>150</v>
      </c>
      <c r="O8" s="29" t="s">
        <v>66</v>
      </c>
      <c r="P8" s="29" t="s">
        <v>67</v>
      </c>
      <c r="Q8" s="31"/>
    </row>
    <row r="9" customFormat="false" ht="15" hidden="false" customHeight="false" outlineLevel="0" collapsed="false">
      <c r="A9" s="29" t="s">
        <v>68</v>
      </c>
      <c r="B9" s="30" t="n">
        <v>46064</v>
      </c>
      <c r="C9" s="31" t="s">
        <v>69</v>
      </c>
      <c r="D9" s="29" t="s">
        <v>70</v>
      </c>
      <c r="E9" s="29" t="s">
        <v>71</v>
      </c>
      <c r="F9" s="29" t="s">
        <v>72</v>
      </c>
      <c r="G9" s="29" t="s">
        <v>73</v>
      </c>
      <c r="H9" s="29" t="s">
        <v>63</v>
      </c>
      <c r="I9" s="29" t="s">
        <v>63</v>
      </c>
      <c r="J9" s="29" t="s">
        <v>74</v>
      </c>
      <c r="K9" s="29" t="s">
        <v>63</v>
      </c>
      <c r="L9" s="32" t="str">
        <f aca="false">IF(A9="","",IF(OR(H9="Reject",I9="Reject",K9="Reject"),"REJECTED",IF(AND(H9="Accept",I9="Accept",K9="Accept"),"ACCEPTED","IN PROGRESS")))</f>
        <v>ACCEPTED</v>
      </c>
      <c r="M9" s="31" t="s">
        <v>75</v>
      </c>
      <c r="N9" s="29" t="n">
        <v>200</v>
      </c>
      <c r="O9" s="29" t="s">
        <v>76</v>
      </c>
      <c r="P9" s="29" t="s">
        <v>77</v>
      </c>
      <c r="Q9" s="31"/>
    </row>
    <row r="10" customFormat="false" ht="23.85" hidden="false" customHeight="false" outlineLevel="0" collapsed="false">
      <c r="A10" s="29" t="s">
        <v>78</v>
      </c>
      <c r="B10" s="30" t="n">
        <v>46066</v>
      </c>
      <c r="C10" s="31" t="s">
        <v>79</v>
      </c>
      <c r="D10" s="29" t="s">
        <v>70</v>
      </c>
      <c r="E10" s="29" t="s">
        <v>80</v>
      </c>
      <c r="F10" s="29" t="s">
        <v>61</v>
      </c>
      <c r="G10" s="29" t="s">
        <v>62</v>
      </c>
      <c r="H10" s="29" t="s">
        <v>63</v>
      </c>
      <c r="I10" s="29" t="s">
        <v>81</v>
      </c>
      <c r="J10" s="29"/>
      <c r="K10" s="29"/>
      <c r="L10" s="32" t="str">
        <f aca="false">IF(A10="","",IF(OR(H10="Reject",I10="Reject",K10="Reject"),"REJECTED",IF(AND(H10="Accept",I10="Accept",K10="Accept"),"ACCEPTED","IN PROGRESS")))</f>
        <v>REJECTED</v>
      </c>
      <c r="M10" s="31" t="s">
        <v>82</v>
      </c>
      <c r="N10" s="29"/>
      <c r="O10" s="29" t="s">
        <v>66</v>
      </c>
      <c r="P10" s="29" t="s">
        <v>67</v>
      </c>
      <c r="Q10" s="31" t="s">
        <v>83</v>
      </c>
    </row>
    <row r="11" customFormat="false" ht="23.85" hidden="false" customHeight="false" outlineLevel="0" collapsed="false">
      <c r="A11" s="29" t="s">
        <v>84</v>
      </c>
      <c r="B11" s="30" t="n">
        <v>46067</v>
      </c>
      <c r="C11" s="31" t="s">
        <v>85</v>
      </c>
      <c r="D11" s="29" t="s">
        <v>86</v>
      </c>
      <c r="E11" s="29" t="s">
        <v>87</v>
      </c>
      <c r="F11" s="29" t="s">
        <v>88</v>
      </c>
      <c r="G11" s="29" t="s">
        <v>89</v>
      </c>
      <c r="H11" s="29" t="s">
        <v>63</v>
      </c>
      <c r="I11" s="29" t="s">
        <v>63</v>
      </c>
      <c r="J11" s="29" t="s">
        <v>90</v>
      </c>
      <c r="K11" s="29" t="s">
        <v>63</v>
      </c>
      <c r="L11" s="32" t="str">
        <f aca="false">IF(A11="","",IF(OR(H11="Reject",I11="Reject",K11="Reject"),"REJECTED",IF(AND(H11="Accept",I11="Accept",K11="Accept"),"ACCEPTED","IN PROGRESS")))</f>
        <v>ACCEPTED</v>
      </c>
      <c r="M11" s="31"/>
      <c r="N11" s="29" t="n">
        <v>120</v>
      </c>
      <c r="O11" s="29" t="s">
        <v>66</v>
      </c>
      <c r="P11" s="29" t="s">
        <v>67</v>
      </c>
      <c r="Q11" s="31"/>
    </row>
    <row r="12" customFormat="false" ht="15" hidden="false" customHeight="false" outlineLevel="0" collapsed="false">
      <c r="A12" s="29" t="s">
        <v>91</v>
      </c>
      <c r="B12" s="30" t="n">
        <v>46068</v>
      </c>
      <c r="C12" s="31" t="s">
        <v>92</v>
      </c>
      <c r="D12" s="29" t="s">
        <v>70</v>
      </c>
      <c r="E12" s="29" t="s">
        <v>60</v>
      </c>
      <c r="F12" s="29" t="s">
        <v>61</v>
      </c>
      <c r="G12" s="29" t="s">
        <v>73</v>
      </c>
      <c r="H12" s="29" t="s">
        <v>63</v>
      </c>
      <c r="I12" s="29"/>
      <c r="J12" s="29"/>
      <c r="K12" s="29"/>
      <c r="L12" s="32" t="str">
        <f aca="false">IF(A12="","",IF(OR(H12="Reject",I12="Reject",K12="Reject"),"REJECTED",IF(AND(H12="Accept",I12="Accept",K12="Accept"),"ACCEPTED","IN PROGRESS")))</f>
        <v>IN PROGRESS</v>
      </c>
      <c r="M12" s="31" t="s">
        <v>93</v>
      </c>
      <c r="N12" s="29" t="n">
        <v>150</v>
      </c>
      <c r="O12" s="29" t="s">
        <v>76</v>
      </c>
      <c r="P12" s="29" t="s">
        <v>94</v>
      </c>
      <c r="Q12" s="31"/>
    </row>
    <row r="13" customFormat="false" ht="15" hidden="false" customHeight="false" outlineLevel="0" collapsed="false">
      <c r="A13" s="29"/>
      <c r="B13" s="30"/>
      <c r="C13" s="31"/>
      <c r="D13" s="29"/>
      <c r="E13" s="29"/>
      <c r="F13" s="29"/>
      <c r="G13" s="29"/>
      <c r="H13" s="29"/>
      <c r="I13" s="29"/>
      <c r="J13" s="29"/>
      <c r="K13" s="29"/>
      <c r="L13" s="32" t="str">
        <f aca="false">IF(A13="","",IF(OR(H13="Reject",I13="Reject",K13="Reject"),"REJECTED",IF(AND(H13="Accept",I13="Accept",K13="Accept"),"ACCEPTED","IN PROGRESS")))</f>
        <v/>
      </c>
      <c r="M13" s="31"/>
      <c r="N13" s="29"/>
      <c r="O13" s="29"/>
      <c r="P13" s="29"/>
      <c r="Q13" s="31"/>
    </row>
    <row r="14" customFormat="false" ht="15" hidden="false" customHeight="false" outlineLevel="0" collapsed="false">
      <c r="A14" s="29"/>
      <c r="B14" s="30"/>
      <c r="C14" s="31"/>
      <c r="D14" s="29"/>
      <c r="E14" s="29"/>
      <c r="F14" s="29"/>
      <c r="G14" s="29"/>
      <c r="H14" s="29"/>
      <c r="I14" s="29"/>
      <c r="J14" s="29"/>
      <c r="K14" s="29"/>
      <c r="L14" s="32" t="str">
        <f aca="false">IF(A14="","",IF(OR(H14="Reject",I14="Reject",K14="Reject"),"REJECTED",IF(AND(H14="Accept",I14="Accept",K14="Accept"),"ACCEPTED","IN PROGRESS")))</f>
        <v/>
      </c>
      <c r="M14" s="31"/>
      <c r="N14" s="29"/>
      <c r="O14" s="29"/>
      <c r="P14" s="29"/>
      <c r="Q14" s="31"/>
    </row>
    <row r="15" customFormat="false" ht="15" hidden="false" customHeight="false" outlineLevel="0" collapsed="false">
      <c r="A15" s="29"/>
      <c r="B15" s="30"/>
      <c r="C15" s="31"/>
      <c r="D15" s="29"/>
      <c r="E15" s="29"/>
      <c r="F15" s="29"/>
      <c r="G15" s="29"/>
      <c r="H15" s="29"/>
      <c r="I15" s="29"/>
      <c r="J15" s="29"/>
      <c r="K15" s="29"/>
      <c r="L15" s="32" t="str">
        <f aca="false">IF(A15="","",IF(OR(H15="Reject",I15="Reject",K15="Reject"),"REJECTED",IF(AND(H15="Accept",I15="Accept",K15="Accept"),"ACCEPTED","IN PROGRESS")))</f>
        <v/>
      </c>
      <c r="M15" s="31"/>
      <c r="N15" s="29"/>
      <c r="O15" s="29"/>
      <c r="P15" s="29"/>
      <c r="Q15" s="31"/>
    </row>
    <row r="16" customFormat="false" ht="15" hidden="false" customHeight="false" outlineLevel="0" collapsed="false">
      <c r="A16" s="29"/>
      <c r="B16" s="30"/>
      <c r="C16" s="31"/>
      <c r="D16" s="29"/>
      <c r="E16" s="29"/>
      <c r="F16" s="29"/>
      <c r="G16" s="29"/>
      <c r="H16" s="29"/>
      <c r="I16" s="29"/>
      <c r="J16" s="29"/>
      <c r="K16" s="29"/>
      <c r="L16" s="32" t="str">
        <f aca="false">IF(A16="","",IF(OR(H16="Reject",I16="Reject",K16="Reject"),"REJECTED",IF(AND(H16="Accept",I16="Accept",K16="Accept"),"ACCEPTED","IN PROGRESS")))</f>
        <v/>
      </c>
      <c r="M16" s="31"/>
      <c r="N16" s="29"/>
      <c r="O16" s="29"/>
      <c r="P16" s="29"/>
      <c r="Q16" s="31"/>
    </row>
    <row r="17" customFormat="false" ht="15" hidden="false" customHeight="false" outlineLevel="0" collapsed="false">
      <c r="A17" s="29"/>
      <c r="B17" s="30"/>
      <c r="C17" s="31"/>
      <c r="D17" s="29"/>
      <c r="E17" s="29"/>
      <c r="F17" s="29"/>
      <c r="G17" s="29"/>
      <c r="H17" s="29"/>
      <c r="I17" s="29"/>
      <c r="J17" s="29"/>
      <c r="K17" s="29"/>
      <c r="L17" s="32" t="str">
        <f aca="false">IF(A17="","",IF(OR(H17="Reject",I17="Reject",K17="Reject"),"REJECTED",IF(AND(H17="Accept",I17="Accept",K17="Accept"),"ACCEPTED","IN PROGRESS")))</f>
        <v/>
      </c>
      <c r="M17" s="31"/>
      <c r="N17" s="29"/>
      <c r="O17" s="29"/>
      <c r="P17" s="29"/>
      <c r="Q17" s="31"/>
    </row>
    <row r="18" customFormat="false" ht="15" hidden="false" customHeight="false" outlineLevel="0" collapsed="false">
      <c r="A18" s="29"/>
      <c r="B18" s="30"/>
      <c r="C18" s="31"/>
      <c r="D18" s="29"/>
      <c r="E18" s="29"/>
      <c r="F18" s="29"/>
      <c r="G18" s="29"/>
      <c r="H18" s="29"/>
      <c r="I18" s="29"/>
      <c r="J18" s="29"/>
      <c r="K18" s="29"/>
      <c r="L18" s="32" t="str">
        <f aca="false">IF(A18="","",IF(OR(H18="Reject",I18="Reject",K18="Reject"),"REJECTED",IF(AND(H18="Accept",I18="Accept",K18="Accept"),"ACCEPTED","IN PROGRESS")))</f>
        <v/>
      </c>
      <c r="M18" s="31"/>
      <c r="N18" s="29"/>
      <c r="O18" s="29"/>
      <c r="P18" s="29"/>
      <c r="Q18" s="31"/>
    </row>
    <row r="19" customFormat="false" ht="15" hidden="false" customHeight="false" outlineLevel="0" collapsed="false">
      <c r="A19" s="29"/>
      <c r="B19" s="30"/>
      <c r="C19" s="31"/>
      <c r="D19" s="29"/>
      <c r="E19" s="29"/>
      <c r="F19" s="29"/>
      <c r="G19" s="29"/>
      <c r="H19" s="29"/>
      <c r="I19" s="29"/>
      <c r="J19" s="29"/>
      <c r="K19" s="29"/>
      <c r="L19" s="32" t="str">
        <f aca="false">IF(A19="","",IF(OR(H19="Reject",I19="Reject",K19="Reject"),"REJECTED",IF(AND(H19="Accept",I19="Accept",K19="Accept"),"ACCEPTED","IN PROGRESS")))</f>
        <v/>
      </c>
      <c r="M19" s="31"/>
      <c r="N19" s="29"/>
      <c r="O19" s="29"/>
      <c r="P19" s="29"/>
      <c r="Q19" s="31"/>
    </row>
    <row r="20" customFormat="false" ht="15" hidden="false" customHeight="false" outlineLevel="0" collapsed="false">
      <c r="A20" s="29"/>
      <c r="B20" s="30"/>
      <c r="C20" s="31"/>
      <c r="D20" s="29"/>
      <c r="E20" s="29"/>
      <c r="F20" s="29"/>
      <c r="G20" s="29"/>
      <c r="H20" s="29"/>
      <c r="I20" s="29"/>
      <c r="J20" s="29"/>
      <c r="K20" s="29"/>
      <c r="L20" s="32" t="str">
        <f aca="false">IF(A20="","",IF(OR(H20="Reject",I20="Reject",K20="Reject"),"REJECTED",IF(AND(H20="Accept",I20="Accept",K20="Accept"),"ACCEPTED","IN PROGRESS")))</f>
        <v/>
      </c>
      <c r="M20" s="31"/>
      <c r="N20" s="29"/>
      <c r="O20" s="29"/>
      <c r="P20" s="29"/>
      <c r="Q20" s="31"/>
    </row>
    <row r="21" customFormat="false" ht="15" hidden="false" customHeight="false" outlineLevel="0" collapsed="false">
      <c r="A21" s="29"/>
      <c r="B21" s="30"/>
      <c r="C21" s="31"/>
      <c r="D21" s="29"/>
      <c r="E21" s="29"/>
      <c r="F21" s="29"/>
      <c r="G21" s="29"/>
      <c r="H21" s="29"/>
      <c r="I21" s="29"/>
      <c r="J21" s="29"/>
      <c r="K21" s="29"/>
      <c r="L21" s="32" t="str">
        <f aca="false">IF(A21="","",IF(OR(H21="Reject",I21="Reject",K21="Reject"),"REJECTED",IF(AND(H21="Accept",I21="Accept",K21="Accept"),"ACCEPTED","IN PROGRESS")))</f>
        <v/>
      </c>
      <c r="M21" s="31"/>
      <c r="N21" s="29"/>
      <c r="O21" s="29"/>
      <c r="P21" s="29"/>
      <c r="Q21" s="31"/>
    </row>
    <row r="22" customFormat="false" ht="15" hidden="false" customHeight="false" outlineLevel="0" collapsed="false">
      <c r="A22" s="29"/>
      <c r="B22" s="30"/>
      <c r="C22" s="31"/>
      <c r="D22" s="29"/>
      <c r="E22" s="29"/>
      <c r="F22" s="29"/>
      <c r="G22" s="29"/>
      <c r="H22" s="29"/>
      <c r="I22" s="29"/>
      <c r="J22" s="29"/>
      <c r="K22" s="29"/>
      <c r="L22" s="32" t="str">
        <f aca="false">IF(A22="","",IF(OR(H22="Reject",I22="Reject",K22="Reject"),"REJECTED",IF(AND(H22="Accept",I22="Accept",K22="Accept"),"ACCEPTED","IN PROGRESS")))</f>
        <v/>
      </c>
      <c r="M22" s="31"/>
      <c r="N22" s="29"/>
      <c r="O22" s="29"/>
      <c r="P22" s="29"/>
      <c r="Q22" s="31"/>
    </row>
    <row r="23" customFormat="false" ht="15" hidden="false" customHeight="false" outlineLevel="0" collapsed="false">
      <c r="A23" s="29"/>
      <c r="B23" s="30"/>
      <c r="C23" s="31"/>
      <c r="D23" s="29"/>
      <c r="E23" s="29"/>
      <c r="F23" s="29"/>
      <c r="G23" s="29"/>
      <c r="H23" s="29"/>
      <c r="I23" s="29"/>
      <c r="J23" s="29"/>
      <c r="K23" s="29"/>
      <c r="L23" s="32" t="str">
        <f aca="false">IF(A23="","",IF(OR(H23="Reject",I23="Reject",K23="Reject"),"REJECTED",IF(AND(H23="Accept",I23="Accept",K23="Accept"),"ACCEPTED","IN PROGRESS")))</f>
        <v/>
      </c>
      <c r="M23" s="31"/>
      <c r="N23" s="29"/>
      <c r="O23" s="29"/>
      <c r="P23" s="29"/>
      <c r="Q23" s="31"/>
    </row>
    <row r="24" customFormat="false" ht="15" hidden="false" customHeight="false" outlineLevel="0" collapsed="false">
      <c r="A24" s="29"/>
      <c r="B24" s="30"/>
      <c r="C24" s="31"/>
      <c r="D24" s="29"/>
      <c r="E24" s="29"/>
      <c r="F24" s="29"/>
      <c r="G24" s="29"/>
      <c r="H24" s="29"/>
      <c r="I24" s="29"/>
      <c r="J24" s="29"/>
      <c r="K24" s="29"/>
      <c r="L24" s="32" t="str">
        <f aca="false">IF(A24="","",IF(OR(H24="Reject",I24="Reject",K24="Reject"),"REJECTED",IF(AND(H24="Accept",I24="Accept",K24="Accept"),"ACCEPTED","IN PROGRESS")))</f>
        <v/>
      </c>
      <c r="M24" s="31"/>
      <c r="N24" s="29"/>
      <c r="O24" s="29"/>
      <c r="P24" s="29"/>
      <c r="Q24" s="31"/>
    </row>
    <row r="25" customFormat="false" ht="15" hidden="false" customHeight="false" outlineLevel="0" collapsed="false">
      <c r="A25" s="29"/>
      <c r="B25" s="30"/>
      <c r="C25" s="31"/>
      <c r="D25" s="29"/>
      <c r="E25" s="29"/>
      <c r="F25" s="29"/>
      <c r="G25" s="29"/>
      <c r="H25" s="29"/>
      <c r="I25" s="29"/>
      <c r="J25" s="29"/>
      <c r="K25" s="29"/>
      <c r="L25" s="32" t="str">
        <f aca="false">IF(A25="","",IF(OR(H25="Reject",I25="Reject",K25="Reject"),"REJECTED",IF(AND(H25="Accept",I25="Accept",K25="Accept"),"ACCEPTED","IN PROGRESS")))</f>
        <v/>
      </c>
      <c r="M25" s="31"/>
      <c r="N25" s="29"/>
      <c r="O25" s="29"/>
      <c r="P25" s="29"/>
      <c r="Q25" s="31"/>
    </row>
    <row r="26" customFormat="false" ht="15" hidden="false" customHeight="false" outlineLevel="0" collapsed="false">
      <c r="A26" s="29"/>
      <c r="B26" s="30"/>
      <c r="C26" s="31"/>
      <c r="D26" s="29"/>
      <c r="E26" s="29"/>
      <c r="F26" s="29"/>
      <c r="G26" s="29"/>
      <c r="H26" s="29"/>
      <c r="I26" s="29"/>
      <c r="J26" s="29"/>
      <c r="K26" s="29"/>
      <c r="L26" s="32" t="str">
        <f aca="false">IF(A26="","",IF(OR(H26="Reject",I26="Reject",K26="Reject"),"REJECTED",IF(AND(H26="Accept",I26="Accept",K26="Accept"),"ACCEPTED","IN PROGRESS")))</f>
        <v/>
      </c>
      <c r="M26" s="31"/>
      <c r="N26" s="29"/>
      <c r="O26" s="29"/>
      <c r="P26" s="29"/>
      <c r="Q26" s="31"/>
    </row>
    <row r="27" customFormat="false" ht="15" hidden="false" customHeight="false" outlineLevel="0" collapsed="false">
      <c r="A27" s="29"/>
      <c r="B27" s="30"/>
      <c r="C27" s="31"/>
      <c r="D27" s="29"/>
      <c r="E27" s="29"/>
      <c r="F27" s="29"/>
      <c r="G27" s="29"/>
      <c r="H27" s="29"/>
      <c r="I27" s="29"/>
      <c r="J27" s="29"/>
      <c r="K27" s="29"/>
      <c r="L27" s="32" t="str">
        <f aca="false">IF(A27="","",IF(OR(H27="Reject",I27="Reject",K27="Reject"),"REJECTED",IF(AND(H27="Accept",I27="Accept",K27="Accept"),"ACCEPTED","IN PROGRESS")))</f>
        <v/>
      </c>
      <c r="M27" s="31"/>
      <c r="N27" s="29"/>
      <c r="O27" s="29"/>
      <c r="P27" s="29"/>
      <c r="Q27" s="31"/>
    </row>
    <row r="28" customFormat="false" ht="15" hidden="false" customHeight="false" outlineLevel="0" collapsed="false">
      <c r="A28" s="29"/>
      <c r="B28" s="30"/>
      <c r="C28" s="31"/>
      <c r="D28" s="29"/>
      <c r="E28" s="29"/>
      <c r="F28" s="29"/>
      <c r="G28" s="29"/>
      <c r="H28" s="29"/>
      <c r="I28" s="29"/>
      <c r="J28" s="29"/>
      <c r="K28" s="29"/>
      <c r="L28" s="32" t="str">
        <f aca="false">IF(A28="","",IF(OR(H28="Reject",I28="Reject",K28="Reject"),"REJECTED",IF(AND(H28="Accept",I28="Accept",K28="Accept"),"ACCEPTED","IN PROGRESS")))</f>
        <v/>
      </c>
      <c r="M28" s="31"/>
      <c r="N28" s="29"/>
      <c r="O28" s="29"/>
      <c r="P28" s="29"/>
      <c r="Q28" s="31"/>
    </row>
    <row r="29" customFormat="false" ht="15" hidden="false" customHeight="false" outlineLevel="0" collapsed="false">
      <c r="A29" s="29"/>
      <c r="B29" s="30"/>
      <c r="C29" s="31"/>
      <c r="D29" s="29"/>
      <c r="E29" s="29"/>
      <c r="F29" s="29"/>
      <c r="G29" s="29"/>
      <c r="H29" s="29"/>
      <c r="I29" s="29"/>
      <c r="J29" s="29"/>
      <c r="K29" s="29"/>
      <c r="L29" s="32" t="str">
        <f aca="false">IF(A29="","",IF(OR(H29="Reject",I29="Reject",K29="Reject"),"REJECTED",IF(AND(H29="Accept",I29="Accept",K29="Accept"),"ACCEPTED","IN PROGRESS")))</f>
        <v/>
      </c>
      <c r="M29" s="31"/>
      <c r="N29" s="29"/>
      <c r="O29" s="29"/>
      <c r="P29" s="29"/>
      <c r="Q29" s="31"/>
    </row>
    <row r="30" customFormat="false" ht="15" hidden="false" customHeight="false" outlineLevel="0" collapsed="false">
      <c r="A30" s="29"/>
      <c r="B30" s="30"/>
      <c r="C30" s="31"/>
      <c r="D30" s="29"/>
      <c r="E30" s="29"/>
      <c r="F30" s="29"/>
      <c r="G30" s="29"/>
      <c r="H30" s="29"/>
      <c r="I30" s="29"/>
      <c r="J30" s="29"/>
      <c r="K30" s="29"/>
      <c r="L30" s="32" t="str">
        <f aca="false">IF(A30="","",IF(OR(H30="Reject",I30="Reject",K30="Reject"),"REJECTED",IF(AND(H30="Accept",I30="Accept",K30="Accept"),"ACCEPTED","IN PROGRESS")))</f>
        <v/>
      </c>
      <c r="M30" s="31"/>
      <c r="N30" s="29"/>
      <c r="O30" s="29"/>
      <c r="P30" s="29"/>
      <c r="Q30" s="31"/>
    </row>
    <row r="31" customFormat="false" ht="15" hidden="false" customHeight="false" outlineLevel="0" collapsed="false">
      <c r="A31" s="29"/>
      <c r="B31" s="30"/>
      <c r="C31" s="31"/>
      <c r="D31" s="29"/>
      <c r="E31" s="29"/>
      <c r="F31" s="29"/>
      <c r="G31" s="29"/>
      <c r="H31" s="29"/>
      <c r="I31" s="29"/>
      <c r="J31" s="29"/>
      <c r="K31" s="29"/>
      <c r="L31" s="32" t="str">
        <f aca="false">IF(A31="","",IF(OR(H31="Reject",I31="Reject",K31="Reject"),"REJECTED",IF(AND(H31="Accept",I31="Accept",K31="Accept"),"ACCEPTED","IN PROGRESS")))</f>
        <v/>
      </c>
      <c r="M31" s="31"/>
      <c r="N31" s="29"/>
      <c r="O31" s="29"/>
      <c r="P31" s="29"/>
      <c r="Q31" s="31"/>
    </row>
    <row r="32" customFormat="false" ht="15" hidden="false" customHeight="false" outlineLevel="0" collapsed="false">
      <c r="A32" s="29"/>
      <c r="B32" s="30"/>
      <c r="C32" s="31"/>
      <c r="D32" s="29"/>
      <c r="E32" s="29"/>
      <c r="F32" s="29"/>
      <c r="G32" s="29"/>
      <c r="H32" s="29"/>
      <c r="I32" s="29"/>
      <c r="J32" s="29"/>
      <c r="K32" s="29"/>
      <c r="L32" s="32" t="str">
        <f aca="false">IF(A32="","",IF(OR(H32="Reject",I32="Reject",K32="Reject"),"REJECTED",IF(AND(H32="Accept",I32="Accept",K32="Accept"),"ACCEPTED","IN PROGRESS")))</f>
        <v/>
      </c>
      <c r="M32" s="31"/>
      <c r="N32" s="29"/>
      <c r="O32" s="29"/>
      <c r="P32" s="29"/>
      <c r="Q32" s="31"/>
    </row>
    <row r="33" customFormat="false" ht="15" hidden="false" customHeight="false" outlineLevel="0" collapsed="false">
      <c r="A33" s="29"/>
      <c r="B33" s="30"/>
      <c r="C33" s="31"/>
      <c r="D33" s="29"/>
      <c r="E33" s="29"/>
      <c r="F33" s="29"/>
      <c r="G33" s="29"/>
      <c r="H33" s="29"/>
      <c r="I33" s="29"/>
      <c r="J33" s="29"/>
      <c r="K33" s="29"/>
      <c r="L33" s="32" t="str">
        <f aca="false">IF(A33="","",IF(OR(H33="Reject",I33="Reject",K33="Reject"),"REJECTED",IF(AND(H33="Accept",I33="Accept",K33="Accept"),"ACCEPTED","IN PROGRESS")))</f>
        <v/>
      </c>
      <c r="M33" s="31"/>
      <c r="N33" s="29"/>
      <c r="O33" s="29"/>
      <c r="P33" s="29"/>
      <c r="Q33" s="31"/>
    </row>
    <row r="34" customFormat="false" ht="15" hidden="false" customHeight="false" outlineLevel="0" collapsed="false">
      <c r="A34" s="29"/>
      <c r="B34" s="30"/>
      <c r="C34" s="31"/>
      <c r="D34" s="29"/>
      <c r="E34" s="29"/>
      <c r="F34" s="29"/>
      <c r="G34" s="29"/>
      <c r="H34" s="29"/>
      <c r="I34" s="29"/>
      <c r="J34" s="29"/>
      <c r="K34" s="29"/>
      <c r="L34" s="32" t="str">
        <f aca="false">IF(A34="","",IF(OR(H34="Reject",I34="Reject",K34="Reject"),"REJECTED",IF(AND(H34="Accept",I34="Accept",K34="Accept"),"ACCEPTED","IN PROGRESS")))</f>
        <v/>
      </c>
      <c r="M34" s="31"/>
      <c r="N34" s="29"/>
      <c r="O34" s="29"/>
      <c r="P34" s="29"/>
      <c r="Q34" s="31"/>
    </row>
    <row r="35" customFormat="false" ht="15" hidden="false" customHeight="false" outlineLevel="0" collapsed="false">
      <c r="A35" s="29"/>
      <c r="B35" s="30"/>
      <c r="C35" s="31"/>
      <c r="D35" s="29"/>
      <c r="E35" s="29"/>
      <c r="F35" s="29"/>
      <c r="G35" s="29"/>
      <c r="H35" s="29"/>
      <c r="I35" s="29"/>
      <c r="J35" s="29"/>
      <c r="K35" s="29"/>
      <c r="L35" s="32" t="str">
        <f aca="false">IF(A35="","",IF(OR(H35="Reject",I35="Reject",K35="Reject"),"REJECTED",IF(AND(H35="Accept",I35="Accept",K35="Accept"),"ACCEPTED","IN PROGRESS")))</f>
        <v/>
      </c>
      <c r="M35" s="31"/>
      <c r="N35" s="29"/>
      <c r="O35" s="29"/>
      <c r="P35" s="29"/>
      <c r="Q35" s="31"/>
    </row>
    <row r="36" customFormat="false" ht="15" hidden="false" customHeight="false" outlineLevel="0" collapsed="false">
      <c r="A36" s="29"/>
      <c r="B36" s="30"/>
      <c r="C36" s="31"/>
      <c r="D36" s="29"/>
      <c r="E36" s="29"/>
      <c r="F36" s="29"/>
      <c r="G36" s="29"/>
      <c r="H36" s="29"/>
      <c r="I36" s="29"/>
      <c r="J36" s="29"/>
      <c r="K36" s="29"/>
      <c r="L36" s="32" t="str">
        <f aca="false">IF(A36="","",IF(OR(H36="Reject",I36="Reject",K36="Reject"),"REJECTED",IF(AND(H36="Accept",I36="Accept",K36="Accept"),"ACCEPTED","IN PROGRESS")))</f>
        <v/>
      </c>
      <c r="M36" s="31"/>
      <c r="N36" s="29"/>
      <c r="O36" s="29"/>
      <c r="P36" s="29"/>
      <c r="Q36" s="31"/>
    </row>
    <row r="37" customFormat="false" ht="15" hidden="false" customHeight="false" outlineLevel="0" collapsed="false">
      <c r="A37" s="29"/>
      <c r="B37" s="30"/>
      <c r="C37" s="31"/>
      <c r="D37" s="29"/>
      <c r="E37" s="29"/>
      <c r="F37" s="29"/>
      <c r="G37" s="29"/>
      <c r="H37" s="29"/>
      <c r="I37" s="29"/>
      <c r="J37" s="29"/>
      <c r="K37" s="29"/>
      <c r="L37" s="32" t="str">
        <f aca="false">IF(A37="","",IF(OR(H37="Reject",I37="Reject",K37="Reject"),"REJECTED",IF(AND(H37="Accept",I37="Accept",K37="Accept"),"ACCEPTED","IN PROGRESS")))</f>
        <v/>
      </c>
      <c r="M37" s="31"/>
      <c r="N37" s="29"/>
      <c r="O37" s="29"/>
      <c r="P37" s="29"/>
      <c r="Q37" s="31"/>
    </row>
    <row r="38" customFormat="false" ht="15" hidden="false" customHeight="false" outlineLevel="0" collapsed="false">
      <c r="A38" s="29"/>
      <c r="B38" s="30"/>
      <c r="C38" s="31"/>
      <c r="D38" s="29"/>
      <c r="E38" s="29"/>
      <c r="F38" s="29"/>
      <c r="G38" s="29"/>
      <c r="H38" s="29"/>
      <c r="I38" s="29"/>
      <c r="J38" s="29"/>
      <c r="K38" s="29"/>
      <c r="L38" s="32" t="str">
        <f aca="false">IF(A38="","",IF(OR(H38="Reject",I38="Reject",K38="Reject"),"REJECTED",IF(AND(H38="Accept",I38="Accept",K38="Accept"),"ACCEPTED","IN PROGRESS")))</f>
        <v/>
      </c>
      <c r="M38" s="31"/>
      <c r="N38" s="29"/>
      <c r="O38" s="29"/>
      <c r="P38" s="29"/>
      <c r="Q38" s="31"/>
    </row>
    <row r="39" customFormat="false" ht="15" hidden="false" customHeight="false" outlineLevel="0" collapsed="false">
      <c r="A39" s="29"/>
      <c r="B39" s="30"/>
      <c r="C39" s="31"/>
      <c r="D39" s="29"/>
      <c r="E39" s="29"/>
      <c r="F39" s="29"/>
      <c r="G39" s="29"/>
      <c r="H39" s="29"/>
      <c r="I39" s="29"/>
      <c r="J39" s="29"/>
      <c r="K39" s="29"/>
      <c r="L39" s="32" t="str">
        <f aca="false">IF(A39="","",IF(OR(H39="Reject",I39="Reject",K39="Reject"),"REJECTED",IF(AND(H39="Accept",I39="Accept",K39="Accept"),"ACCEPTED","IN PROGRESS")))</f>
        <v/>
      </c>
      <c r="M39" s="31"/>
      <c r="N39" s="29"/>
      <c r="O39" s="29"/>
      <c r="P39" s="29"/>
      <c r="Q39" s="31"/>
    </row>
    <row r="40" customFormat="false" ht="15" hidden="false" customHeight="false" outlineLevel="0" collapsed="false">
      <c r="A40" s="29"/>
      <c r="B40" s="30"/>
      <c r="C40" s="31"/>
      <c r="D40" s="29"/>
      <c r="E40" s="29"/>
      <c r="F40" s="29"/>
      <c r="G40" s="29"/>
      <c r="H40" s="29"/>
      <c r="I40" s="29"/>
      <c r="J40" s="29"/>
      <c r="K40" s="29"/>
      <c r="L40" s="32" t="str">
        <f aca="false">IF(A40="","",IF(OR(H40="Reject",I40="Reject",K40="Reject"),"REJECTED",IF(AND(H40="Accept",I40="Accept",K40="Accept"),"ACCEPTED","IN PROGRESS")))</f>
        <v/>
      </c>
      <c r="M40" s="31"/>
      <c r="N40" s="29"/>
      <c r="O40" s="29"/>
      <c r="P40" s="29"/>
      <c r="Q40" s="31"/>
    </row>
    <row r="41" customFormat="false" ht="15" hidden="false" customHeight="false" outlineLevel="0" collapsed="false">
      <c r="A41" s="29"/>
      <c r="B41" s="30"/>
      <c r="C41" s="31"/>
      <c r="D41" s="29"/>
      <c r="E41" s="29"/>
      <c r="F41" s="29"/>
      <c r="G41" s="29"/>
      <c r="H41" s="29"/>
      <c r="I41" s="29"/>
      <c r="J41" s="29"/>
      <c r="K41" s="29"/>
      <c r="L41" s="32" t="str">
        <f aca="false">IF(A41="","",IF(OR(H41="Reject",I41="Reject",K41="Reject"),"REJECTED",IF(AND(H41="Accept",I41="Accept",K41="Accept"),"ACCEPTED","IN PROGRESS")))</f>
        <v/>
      </c>
      <c r="M41" s="31"/>
      <c r="N41" s="29"/>
      <c r="O41" s="29"/>
      <c r="P41" s="29"/>
      <c r="Q41" s="31"/>
    </row>
    <row r="42" customFormat="false" ht="15" hidden="false" customHeight="false" outlineLevel="0" collapsed="false">
      <c r="A42" s="29"/>
      <c r="B42" s="30"/>
      <c r="C42" s="31"/>
      <c r="D42" s="29"/>
      <c r="E42" s="29"/>
      <c r="F42" s="29"/>
      <c r="G42" s="29"/>
      <c r="H42" s="29"/>
      <c r="I42" s="29"/>
      <c r="J42" s="29"/>
      <c r="K42" s="29"/>
      <c r="L42" s="32" t="str">
        <f aca="false">IF(A42="","",IF(OR(H42="Reject",I42="Reject",K42="Reject"),"REJECTED",IF(AND(H42="Accept",I42="Accept",K42="Accept"),"ACCEPTED","IN PROGRESS")))</f>
        <v/>
      </c>
      <c r="M42" s="31"/>
      <c r="N42" s="29"/>
      <c r="O42" s="29"/>
      <c r="P42" s="29"/>
      <c r="Q42" s="31"/>
    </row>
    <row r="43" customFormat="false" ht="15" hidden="false" customHeight="false" outlineLevel="0" collapsed="false">
      <c r="A43" s="29"/>
      <c r="B43" s="30"/>
      <c r="C43" s="31"/>
      <c r="D43" s="29"/>
      <c r="E43" s="29"/>
      <c r="F43" s="29"/>
      <c r="G43" s="29"/>
      <c r="H43" s="29"/>
      <c r="I43" s="29"/>
      <c r="J43" s="29"/>
      <c r="K43" s="29"/>
      <c r="L43" s="32" t="str">
        <f aca="false">IF(A43="","",IF(OR(H43="Reject",I43="Reject",K43="Reject"),"REJECTED",IF(AND(H43="Accept",I43="Accept",K43="Accept"),"ACCEPTED","IN PROGRESS")))</f>
        <v/>
      </c>
      <c r="M43" s="31"/>
      <c r="N43" s="29"/>
      <c r="O43" s="29"/>
      <c r="P43" s="29"/>
      <c r="Q43" s="31"/>
    </row>
    <row r="44" customFormat="false" ht="15" hidden="false" customHeight="false" outlineLevel="0" collapsed="false">
      <c r="A44" s="29"/>
      <c r="B44" s="30"/>
      <c r="C44" s="31"/>
      <c r="D44" s="29"/>
      <c r="E44" s="29"/>
      <c r="F44" s="29"/>
      <c r="G44" s="29"/>
      <c r="H44" s="29"/>
      <c r="I44" s="29"/>
      <c r="J44" s="29"/>
      <c r="K44" s="29"/>
      <c r="L44" s="32" t="str">
        <f aca="false">IF(A44="","",IF(OR(H44="Reject",I44="Reject",K44="Reject"),"REJECTED",IF(AND(H44="Accept",I44="Accept",K44="Accept"),"ACCEPTED","IN PROGRESS")))</f>
        <v/>
      </c>
      <c r="M44" s="31"/>
      <c r="N44" s="29"/>
      <c r="O44" s="29"/>
      <c r="P44" s="29"/>
      <c r="Q44" s="31"/>
    </row>
    <row r="45" customFormat="false" ht="15" hidden="false" customHeight="false" outlineLevel="0" collapsed="false">
      <c r="A45" s="29"/>
      <c r="B45" s="30"/>
      <c r="C45" s="31"/>
      <c r="D45" s="29"/>
      <c r="E45" s="29"/>
      <c r="F45" s="29"/>
      <c r="G45" s="29"/>
      <c r="H45" s="29"/>
      <c r="I45" s="29"/>
      <c r="J45" s="29"/>
      <c r="K45" s="29"/>
      <c r="L45" s="32" t="str">
        <f aca="false">IF(A45="","",IF(OR(H45="Reject",I45="Reject",K45="Reject"),"REJECTED",IF(AND(H45="Accept",I45="Accept",K45="Accept"),"ACCEPTED","IN PROGRESS")))</f>
        <v/>
      </c>
      <c r="M45" s="31"/>
      <c r="N45" s="29"/>
      <c r="O45" s="29"/>
      <c r="P45" s="29"/>
      <c r="Q45" s="31"/>
    </row>
    <row r="46" customFormat="false" ht="15" hidden="false" customHeight="false" outlineLevel="0" collapsed="false">
      <c r="A46" s="29"/>
      <c r="B46" s="30"/>
      <c r="C46" s="31"/>
      <c r="D46" s="29"/>
      <c r="E46" s="29"/>
      <c r="F46" s="29"/>
      <c r="G46" s="29"/>
      <c r="H46" s="29"/>
      <c r="I46" s="29"/>
      <c r="J46" s="29"/>
      <c r="K46" s="29"/>
      <c r="L46" s="32" t="str">
        <f aca="false">IF(A46="","",IF(OR(H46="Reject",I46="Reject",K46="Reject"),"REJECTED",IF(AND(H46="Accept",I46="Accept",K46="Accept"),"ACCEPTED","IN PROGRESS")))</f>
        <v/>
      </c>
      <c r="M46" s="31"/>
      <c r="N46" s="29"/>
      <c r="O46" s="29"/>
      <c r="P46" s="29"/>
      <c r="Q46" s="31"/>
    </row>
    <row r="47" customFormat="false" ht="15" hidden="false" customHeight="false" outlineLevel="0" collapsed="false">
      <c r="A47" s="29"/>
      <c r="B47" s="30"/>
      <c r="C47" s="31"/>
      <c r="D47" s="29"/>
      <c r="E47" s="29"/>
      <c r="F47" s="29"/>
      <c r="G47" s="29"/>
      <c r="H47" s="29"/>
      <c r="I47" s="29"/>
      <c r="J47" s="29"/>
      <c r="K47" s="29"/>
      <c r="L47" s="32" t="str">
        <f aca="false">IF(A47="","",IF(OR(H47="Reject",I47="Reject",K47="Reject"),"REJECTED",IF(AND(H47="Accept",I47="Accept",K47="Accept"),"ACCEPTED","IN PROGRESS")))</f>
        <v/>
      </c>
      <c r="M47" s="31"/>
      <c r="N47" s="29"/>
      <c r="O47" s="29"/>
      <c r="P47" s="29"/>
      <c r="Q47" s="31"/>
    </row>
    <row r="48" customFormat="false" ht="15" hidden="false" customHeight="false" outlineLevel="0" collapsed="false">
      <c r="A48" s="29"/>
      <c r="B48" s="30"/>
      <c r="C48" s="31"/>
      <c r="D48" s="29"/>
      <c r="E48" s="29"/>
      <c r="F48" s="29"/>
      <c r="G48" s="29"/>
      <c r="H48" s="29"/>
      <c r="I48" s="29"/>
      <c r="J48" s="29"/>
      <c r="K48" s="29"/>
      <c r="L48" s="32" t="str">
        <f aca="false">IF(A48="","",IF(OR(H48="Reject",I48="Reject",K48="Reject"),"REJECTED",IF(AND(H48="Accept",I48="Accept",K48="Accept"),"ACCEPTED","IN PROGRESS")))</f>
        <v/>
      </c>
      <c r="M48" s="31"/>
      <c r="N48" s="29"/>
      <c r="O48" s="29"/>
      <c r="P48" s="29"/>
      <c r="Q48" s="31"/>
    </row>
    <row r="49" customFormat="false" ht="15" hidden="false" customHeight="false" outlineLevel="0" collapsed="false">
      <c r="A49" s="29"/>
      <c r="B49" s="30"/>
      <c r="C49" s="31"/>
      <c r="D49" s="29"/>
      <c r="E49" s="29"/>
      <c r="F49" s="29"/>
      <c r="G49" s="29"/>
      <c r="H49" s="29"/>
      <c r="I49" s="29"/>
      <c r="J49" s="29"/>
      <c r="K49" s="29"/>
      <c r="L49" s="32" t="str">
        <f aca="false">IF(A49="","",IF(OR(H49="Reject",I49="Reject",K49="Reject"),"REJECTED",IF(AND(H49="Accept",I49="Accept",K49="Accept"),"ACCEPTED","IN PROGRESS")))</f>
        <v/>
      </c>
      <c r="M49" s="31"/>
      <c r="N49" s="29"/>
      <c r="O49" s="29"/>
      <c r="P49" s="29"/>
      <c r="Q49" s="31"/>
    </row>
    <row r="50" customFormat="false" ht="15" hidden="false" customHeight="false" outlineLevel="0" collapsed="false">
      <c r="A50" s="29"/>
      <c r="B50" s="30"/>
      <c r="C50" s="31"/>
      <c r="D50" s="29"/>
      <c r="E50" s="29"/>
      <c r="F50" s="29"/>
      <c r="G50" s="29"/>
      <c r="H50" s="29"/>
      <c r="I50" s="29"/>
      <c r="J50" s="29"/>
      <c r="K50" s="29"/>
      <c r="L50" s="32" t="str">
        <f aca="false">IF(A50="","",IF(OR(H50="Reject",I50="Reject",K50="Reject"),"REJECTED",IF(AND(H50="Accept",I50="Accept",K50="Accept"),"ACCEPTED","IN PROGRESS")))</f>
        <v/>
      </c>
      <c r="M50" s="31"/>
      <c r="N50" s="29"/>
      <c r="O50" s="29"/>
      <c r="P50" s="29"/>
      <c r="Q50" s="31"/>
    </row>
    <row r="51" customFormat="false" ht="15" hidden="false" customHeight="false" outlineLevel="0" collapsed="false">
      <c r="A51" s="29"/>
      <c r="B51" s="30"/>
      <c r="C51" s="31"/>
      <c r="D51" s="29"/>
      <c r="E51" s="29"/>
      <c r="F51" s="29"/>
      <c r="G51" s="29"/>
      <c r="H51" s="29"/>
      <c r="I51" s="29"/>
      <c r="J51" s="29"/>
      <c r="K51" s="29"/>
      <c r="L51" s="32" t="str">
        <f aca="false">IF(A51="","",IF(OR(H51="Reject",I51="Reject",K51="Reject"),"REJECTED",IF(AND(H51="Accept",I51="Accept",K51="Accept"),"ACCEPTED","IN PROGRESS")))</f>
        <v/>
      </c>
      <c r="M51" s="31"/>
      <c r="N51" s="29"/>
      <c r="O51" s="29"/>
      <c r="P51" s="29"/>
      <c r="Q51" s="31"/>
    </row>
    <row r="52" customFormat="false" ht="15" hidden="false" customHeight="false" outlineLevel="0" collapsed="false">
      <c r="A52" s="29"/>
      <c r="B52" s="30"/>
      <c r="C52" s="31"/>
      <c r="D52" s="29"/>
      <c r="E52" s="29"/>
      <c r="F52" s="29"/>
      <c r="G52" s="29"/>
      <c r="H52" s="29"/>
      <c r="I52" s="29"/>
      <c r="J52" s="29"/>
      <c r="K52" s="29"/>
      <c r="L52" s="32" t="str">
        <f aca="false">IF(A52="","",IF(OR(H52="Reject",I52="Reject",K52="Reject"),"REJECTED",IF(AND(H52="Accept",I52="Accept",K52="Accept"),"ACCEPTED","IN PROGRESS")))</f>
        <v/>
      </c>
      <c r="M52" s="31"/>
      <c r="N52" s="29"/>
      <c r="O52" s="29"/>
      <c r="P52" s="29"/>
      <c r="Q52" s="31"/>
    </row>
    <row r="53" customFormat="false" ht="15" hidden="false" customHeight="false" outlineLevel="0" collapsed="false">
      <c r="A53" s="29"/>
      <c r="B53" s="30"/>
      <c r="C53" s="31"/>
      <c r="D53" s="29"/>
      <c r="E53" s="29"/>
      <c r="F53" s="29"/>
      <c r="G53" s="29"/>
      <c r="H53" s="29"/>
      <c r="I53" s="29"/>
      <c r="J53" s="29"/>
      <c r="K53" s="29"/>
      <c r="L53" s="32" t="str">
        <f aca="false">IF(A53="","",IF(OR(H53="Reject",I53="Reject",K53="Reject"),"REJECTED",IF(AND(H53="Accept",I53="Accept",K53="Accept"),"ACCEPTED","IN PROGRESS")))</f>
        <v/>
      </c>
      <c r="M53" s="31"/>
      <c r="N53" s="29"/>
      <c r="O53" s="29"/>
      <c r="P53" s="29"/>
      <c r="Q53" s="31"/>
    </row>
    <row r="54" customFormat="false" ht="15" hidden="false" customHeight="false" outlineLevel="0" collapsed="false">
      <c r="A54" s="29"/>
      <c r="B54" s="30"/>
      <c r="C54" s="31"/>
      <c r="D54" s="29"/>
      <c r="E54" s="29"/>
      <c r="F54" s="29"/>
      <c r="G54" s="29"/>
      <c r="H54" s="29"/>
      <c r="I54" s="29"/>
      <c r="J54" s="29"/>
      <c r="K54" s="29"/>
      <c r="L54" s="32" t="str">
        <f aca="false">IF(A54="","",IF(OR(H54="Reject",I54="Reject",K54="Reject"),"REJECTED",IF(AND(H54="Accept",I54="Accept",K54="Accept"),"ACCEPTED","IN PROGRESS")))</f>
        <v/>
      </c>
      <c r="M54" s="31"/>
      <c r="N54" s="29"/>
      <c r="O54" s="29"/>
      <c r="P54" s="29"/>
      <c r="Q54" s="31"/>
    </row>
    <row r="55" customFormat="false" ht="15" hidden="false" customHeight="false" outlineLevel="0" collapsed="false">
      <c r="A55" s="29"/>
      <c r="B55" s="30"/>
      <c r="C55" s="31"/>
      <c r="D55" s="29"/>
      <c r="E55" s="29"/>
      <c r="F55" s="29"/>
      <c r="G55" s="29"/>
      <c r="H55" s="29"/>
      <c r="I55" s="29"/>
      <c r="J55" s="29"/>
      <c r="K55" s="29"/>
      <c r="L55" s="32" t="str">
        <f aca="false">IF(A55="","",IF(OR(H55="Reject",I55="Reject",K55="Reject"),"REJECTED",IF(AND(H55="Accept",I55="Accept",K55="Accept"),"ACCEPTED","IN PROGRESS")))</f>
        <v/>
      </c>
      <c r="M55" s="31"/>
      <c r="N55" s="29"/>
      <c r="O55" s="29"/>
      <c r="P55" s="29"/>
      <c r="Q55" s="31"/>
    </row>
    <row r="56" customFormat="false" ht="15" hidden="false" customHeight="false" outlineLevel="0" collapsed="false">
      <c r="A56" s="29"/>
      <c r="B56" s="30"/>
      <c r="C56" s="31"/>
      <c r="D56" s="29"/>
      <c r="E56" s="29"/>
      <c r="F56" s="29"/>
      <c r="G56" s="29"/>
      <c r="H56" s="29"/>
      <c r="I56" s="29"/>
      <c r="J56" s="29"/>
      <c r="K56" s="29"/>
      <c r="L56" s="32" t="str">
        <f aca="false">IF(A56="","",IF(OR(H56="Reject",I56="Reject",K56="Reject"),"REJECTED",IF(AND(H56="Accept",I56="Accept",K56="Accept"),"ACCEPTED","IN PROGRESS")))</f>
        <v/>
      </c>
      <c r="M56" s="31"/>
      <c r="N56" s="29"/>
      <c r="O56" s="29"/>
      <c r="P56" s="29"/>
      <c r="Q56" s="31"/>
    </row>
    <row r="57" customFormat="false" ht="15" hidden="false" customHeight="false" outlineLevel="0" collapsed="false">
      <c r="A57" s="29"/>
      <c r="B57" s="30"/>
      <c r="C57" s="31"/>
      <c r="D57" s="29"/>
      <c r="E57" s="29"/>
      <c r="F57" s="29"/>
      <c r="G57" s="29"/>
      <c r="H57" s="29"/>
      <c r="I57" s="29"/>
      <c r="J57" s="29"/>
      <c r="K57" s="29"/>
      <c r="L57" s="32" t="str">
        <f aca="false">IF(A57="","",IF(OR(H57="Reject",I57="Reject",K57="Reject"),"REJECTED",IF(AND(H57="Accept",I57="Accept",K57="Accept"),"ACCEPTED","IN PROGRESS")))</f>
        <v/>
      </c>
      <c r="M57" s="31"/>
      <c r="N57" s="29"/>
      <c r="O57" s="29"/>
      <c r="P57" s="29"/>
      <c r="Q57" s="31"/>
    </row>
    <row r="58" customFormat="false" ht="15" hidden="false" customHeight="false" outlineLevel="0" collapsed="false">
      <c r="A58" s="29"/>
      <c r="B58" s="30"/>
      <c r="C58" s="31"/>
      <c r="D58" s="29"/>
      <c r="E58" s="29"/>
      <c r="F58" s="29"/>
      <c r="G58" s="29"/>
      <c r="H58" s="29"/>
      <c r="I58" s="29"/>
      <c r="J58" s="29"/>
      <c r="K58" s="29"/>
      <c r="L58" s="32" t="str">
        <f aca="false">IF(A58="","",IF(OR(H58="Reject",I58="Reject",K58="Reject"),"REJECTED",IF(AND(H58="Accept",I58="Accept",K58="Accept"),"ACCEPTED","IN PROGRESS")))</f>
        <v/>
      </c>
      <c r="M58" s="31"/>
      <c r="N58" s="29"/>
      <c r="O58" s="29"/>
      <c r="P58" s="29"/>
      <c r="Q58" s="31"/>
    </row>
  </sheetData>
  <autoFilter ref="A7:Q58"/>
  <mergeCells count="2">
    <mergeCell ref="A1:M1"/>
    <mergeCell ref="N6:Q6"/>
  </mergeCells>
  <conditionalFormatting sqref="L8:L58">
    <cfRule type="cellIs" priority="2" operator="equal" aboveAverage="0" equalAverage="0" bottom="0" percent="0" rank="0" text="" dxfId="9">
      <formula>"ACCEPTED"</formula>
    </cfRule>
    <cfRule type="cellIs" priority="3" operator="equal" aboveAverage="0" equalAverage="0" bottom="0" percent="0" rank="0" text="" dxfId="10">
      <formula>"REJECTED"</formula>
    </cfRule>
    <cfRule type="cellIs" priority="4" operator="equal" aboveAverage="0" equalAverage="0" bottom="0" percent="0" rank="0" text="" dxfId="11">
      <formula>"IN PROGRESS"</formula>
    </cfRule>
  </conditionalFormatting>
  <conditionalFormatting sqref="H8:H58">
    <cfRule type="cellIs" priority="5" operator="equal" aboveAverage="0" equalAverage="0" bottom="0" percent="0" rank="0" text="" dxfId="12">
      <formula>"Accept"</formula>
    </cfRule>
    <cfRule type="cellIs" priority="6" operator="equal" aboveAverage="0" equalAverage="0" bottom="0" percent="0" rank="0" text="" dxfId="10">
      <formula>"Reject"</formula>
    </cfRule>
  </conditionalFormatting>
  <conditionalFormatting sqref="I8:I58">
    <cfRule type="cellIs" priority="7" operator="equal" aboveAverage="0" equalAverage="0" bottom="0" percent="0" rank="0" text="" dxfId="12">
      <formula>"Accept"</formula>
    </cfRule>
    <cfRule type="cellIs" priority="8" operator="equal" aboveAverage="0" equalAverage="0" bottom="0" percent="0" rank="0" text="" dxfId="10">
      <formula>"Reject"</formula>
    </cfRule>
  </conditionalFormatting>
  <conditionalFormatting sqref="K8:K58">
    <cfRule type="cellIs" priority="9" operator="equal" aboveAverage="0" equalAverage="0" bottom="0" percent="0" rank="0" text="" dxfId="12">
      <formula>"Accept"</formula>
    </cfRule>
    <cfRule type="cellIs" priority="10" operator="equal" aboveAverage="0" equalAverage="0" bottom="0" percent="0" rank="0" text="" dxfId="10">
      <formula>"Reject"</formula>
    </cfRule>
  </conditionalFormatting>
  <dataValidations count="5">
    <dataValidation allowBlank="true" errorStyle="stop" operator="between" showDropDown="false" showErrorMessage="false" showInputMessage="false" sqref="H8:I58 K8:K58" type="list">
      <formula1>"Accept,Reject"</formula1>
      <formula2>0</formula2>
    </dataValidation>
    <dataValidation allowBlank="true" errorStyle="stop" operator="between" showDropDown="false" showErrorMessage="false" showInputMessage="false" sqref="D8:D58" type="list">
      <formula1>"Butt,Fillet,Tee,Lap,Corner,Branch"</formula1>
      <formula2>0</formula2>
    </dataValidation>
    <dataValidation allowBlank="true" errorStyle="stop" operator="between" showDropDown="false" showErrorMessage="false" showInputMessage="false" sqref="J8:J58" type="list">
      <formula1>"RT (Radiographic),UT (Ultrasonic),MT (Magnetic Particle),PT (Dye Penetrant),VT (Visual),N/A"</formula1>
      <formula2>0</formula2>
    </dataValidation>
    <dataValidation allowBlank="true" errorStyle="stop" operator="between" showDropDown="false" showErrorMessage="false" showInputMessage="false" sqref="O8:O58" type="list">
      <formula1>"Yes,No"</formula1>
      <formula2>0</formula2>
    </dataValidation>
    <dataValidation allowBlank="true" errorStyle="stop" operator="between" showDropDown="false" showErrorMessage="false" showInputMessage="false" sqref="P8:P58" type="list">
      <formula1>"Complete,Pending,N/A"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&amp;CWeld Inspection Register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33" t="s">
        <v>95</v>
      </c>
    </row>
    <row r="2" customFormat="false" ht="15" hidden="false" customHeight="false" outlineLevel="0" collapsed="false">
      <c r="A2" s="33"/>
    </row>
    <row r="3" customFormat="false" ht="15" hidden="false" customHeight="false" outlineLevel="0" collapsed="false">
      <c r="A3" s="33" t="s">
        <v>96</v>
      </c>
    </row>
    <row r="4" customFormat="false" ht="15" hidden="false" customHeight="false" outlineLevel="0" collapsed="false">
      <c r="A4" s="33"/>
    </row>
    <row r="5" customFormat="false" ht="15" hidden="false" customHeight="false" outlineLevel="0" collapsed="false">
      <c r="A5" s="33" t="s">
        <v>97</v>
      </c>
    </row>
    <row r="6" customFormat="false" ht="15" hidden="false" customHeight="false" outlineLevel="0" collapsed="false">
      <c r="A6" s="33"/>
    </row>
    <row r="7" customFormat="false" ht="15" hidden="false" customHeight="false" outlineLevel="0" collapsed="false">
      <c r="A7" s="33" t="s">
        <v>98</v>
      </c>
    </row>
    <row r="8" customFormat="false" ht="15" hidden="false" customHeight="false" outlineLevel="0" collapsed="false">
      <c r="A8" s="33"/>
    </row>
    <row r="9" customFormat="false" ht="15" hidden="false" customHeight="false" outlineLevel="0" collapsed="false">
      <c r="A9" s="33" t="s">
        <v>99</v>
      </c>
    </row>
    <row r="10" customFormat="false" ht="15" hidden="false" customHeight="false" outlineLevel="0" collapsed="false">
      <c r="A10" s="33"/>
    </row>
    <row r="11" customFormat="false" ht="15" hidden="false" customHeight="false" outlineLevel="0" collapsed="false">
      <c r="A11" s="33" t="s">
        <v>100</v>
      </c>
    </row>
    <row r="12" customFormat="false" ht="15" hidden="false" customHeight="false" outlineLevel="0" collapsed="false">
      <c r="A12" s="33"/>
    </row>
    <row r="13" customFormat="false" ht="15" hidden="false" customHeight="false" outlineLevel="0" collapsed="false">
      <c r="A13" s="33" t="s">
        <v>101</v>
      </c>
    </row>
    <row r="14" customFormat="false" ht="15" hidden="false" customHeight="false" outlineLevel="0" collapsed="false">
      <c r="A14" s="33"/>
    </row>
    <row r="15" customFormat="false" ht="15" hidden="false" customHeight="false" outlineLevel="0" collapsed="false">
      <c r="A15" s="33" t="s">
        <v>102</v>
      </c>
    </row>
    <row r="16" customFormat="false" ht="15" hidden="false" customHeight="false" outlineLevel="0" collapsed="false">
      <c r="A16" s="33"/>
    </row>
    <row r="17" customFormat="false" ht="15" hidden="false" customHeight="false" outlineLevel="0" collapsed="false">
      <c r="A17" s="33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Quality</cp:category>
  <dcterms:created xsi:type="dcterms:W3CDTF">2026-03-23T09:55:52Z</dcterms:created>
  <dc:creator>Ebrora Ltd</dc:creator>
  <dc:description>Track weld joints through fit-up, visual inspection, and NDT stages with pipeline progression and automatic acceptance status.
Free professional construction management template from Ebrora Ltd. Visit ebrora.com for our full range of tools and templates.</dc:description>
  <cp:keywords>Ebrora construction quality welding weld inspection NDT WPS fabrication</cp:keywords>
  <dc:language>en-US</dc:language>
  <cp:lastModifiedBy>Ebrora Ltd</cp:lastModifiedBy>
  <dcterms:modified xsi:type="dcterms:W3CDTF">2026-03-23T09:55:52Z</dcterms:modified>
  <cp:revision>0</cp:revision>
  <dc:subject>Track weld joints through fit-up, visual inspection, and NDT stages with automatic acceptance status.</dc:subject>
  <dc:title>Weld Inspection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