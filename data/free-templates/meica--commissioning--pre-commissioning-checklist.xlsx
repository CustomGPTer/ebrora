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re-Comm Checklist"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'Pre-Comm Checklist'!$A$1:$F$47</definedName>
    <definedName function="false" hidden="true" localSheetId="2" name="_xlnm._FilterDatabase" vbProcedure="false">'Pre-Comm Checklist'!$A$9:$I$200</definedName>
    <definedName function="false" hidden="false" name="DataTable" vbProcedure="false">'Pre-Comm Checklist'!$A$9:$I$47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<sst xmlns="http://schemas.openxmlformats.org/spreadsheetml/2006/main" count="249" uniqueCount="157">
  <si>
    <t xml:space="preserve">EBRORA</t>
  </si>
  <si>
    <t xml:space="preserve">ebrora.com</t>
  </si>
  <si>
    <t xml:space="preserve">Pre-Commissioning Checklist</t>
  </si>
  <si>
    <t xml:space="preserve">A structured, category-banded checklist to verify that all mechanical, electrical, instrumentation, civil, and documentation prerequisites are complete before commissioning begins.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</si>
  <si>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</si>
  <si>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</si>
  <si>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</si>
  <si>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1. Open the 'Pre-Comm Checklist' sheet. The top section contains form fields for the system/asset being checked — fill these in first.</t>
  </si>
  <si>
    <t xml:space="preserve">2. The checklist is organised into five discipline categories, each with a teal category band: Mechanical, Electrical, Instrumentation, Civil / Structural, and Documentation.</t>
  </si>
  <si>
    <t xml:space="preserve">3. Work through each check item row by row. Select Pass, Fail, or N/A from the Result dropdown in column D.</t>
  </si>
  <si>
    <t xml:space="preserve">4. Each category band has an auto-calculated completion score showing the percentage of items passed within that discipline.</t>
  </si>
  <si>
    <t xml:space="preserve">5. The Readiness Dashboard on the right side updates in real time — showing pass rates per category and an overall commissioning readiness score.</t>
  </si>
  <si>
    <t xml:space="preserve">6. For any item marked Fail, add a note in the Remarks column and assign a responsible person to resolve it before commissioning.</t>
  </si>
  <si>
    <t xml:space="preserve">7. Expand the optional columns for sign-off details: date checked, checked by, and evidence/reference document number.</t>
  </si>
  <si>
    <t xml:space="preserve">8. The system is only ready for commissioning when Overall Readiness reaches 100% (all applicable items passed). The dashboard will show green when ready.</t>
  </si>
  <si>
    <t xml:space="preserve">Colour Key</t>
  </si>
  <si>
    <t xml:space="preserve">Light teal cells = user input / editable fields</t>
  </si>
  <si>
    <t xml:space="preserve">Dark navy headers = do not edit</t>
  </si>
  <si>
    <t xml:space="preserve">Teal category bands = discipline section headers (do not edit)</t>
  </si>
  <si>
    <t xml:space="preserve">Green = Pass / Ready / 100% complete</t>
  </si>
  <si>
    <t xml:space="preserve">Amber = Partially complete (50–99%)</t>
  </si>
  <si>
    <t xml:space="preserve">Red = Fail / Not ready / Below 50%</t>
  </si>
  <si>
    <t xml:space="preserve">Tips</t>
  </si>
  <si>
    <t xml:space="preserve">• Complete this checklist before calling the commissioning team to site — failed pre-commissioning items are the number one cause of wasted commissioning days.</t>
  </si>
  <si>
    <t xml:space="preserve">• Use N/A for items that genuinely don't apply to this system. Don't leave items blank — blank items won't count toward the readiness score.</t>
  </si>
  <si>
    <t xml:space="preserve">• Keep a copy of the completed checklist in the commissioning file for each system — it's a key handover document.</t>
  </si>
  <si>
    <t xml:space="preserve">Readiness Dashboard</t>
  </si>
  <si>
    <t xml:space="preserve">Project:</t>
  </si>
  <si>
    <t xml:space="preserve">Millbrook Water Treatment Works</t>
  </si>
  <si>
    <t xml:space="preserve">Date:</t>
  </si>
  <si>
    <t xml:space="preserve">Category</t>
  </si>
  <si>
    <t xml:space="preserve">Pass Rate</t>
  </si>
  <si>
    <t xml:space="preserve">Visual</t>
  </si>
  <si>
    <t xml:space="preserve">System / Asset:</t>
  </si>
  <si>
    <t xml:space="preserve">Raw Water Pumping System</t>
  </si>
  <si>
    <t xml:space="preserve">Specification Ref:</t>
  </si>
  <si>
    <t xml:space="preserve">Spec 8.3</t>
  </si>
  <si>
    <t xml:space="preserve">Mechanical</t>
  </si>
  <si>
    <t xml:space="preserve">System Tag:</t>
  </si>
  <si>
    <t xml:space="preserve">SYS-RWP-01</t>
  </si>
  <si>
    <t xml:space="preserve">Drawing Ref:</t>
  </si>
  <si>
    <t xml:space="preserve">DWG-M-101 Rev C</t>
  </si>
  <si>
    <t xml:space="preserve">Electrical</t>
  </si>
  <si>
    <t xml:space="preserve">Location:</t>
  </si>
  <si>
    <t xml:space="preserve">Pumphouse A</t>
  </si>
  <si>
    <t xml:space="preserve">Commissioning Manager:</t>
  </si>
  <si>
    <t xml:space="preserve">M. Clarke</t>
  </si>
  <si>
    <t xml:space="preserve">Instrumentation</t>
  </si>
  <si>
    <t xml:space="preserve">Contractor:</t>
  </si>
  <si>
    <t xml:space="preserve">Briggs Electrical Ltd / ACE Controls</t>
  </si>
  <si>
    <t xml:space="preserve">Client Representative:</t>
  </si>
  <si>
    <t xml:space="preserve">J. Patel</t>
  </si>
  <si>
    <t xml:space="preserve">Civil / Structural</t>
  </si>
  <si>
    <t xml:space="preserve">Checklist Prepared By:</t>
  </si>
  <si>
    <t xml:space="preserve">Checklist Date:</t>
  </si>
  <si>
    <t xml:space="preserve">Documentation</t>
  </si>
  <si>
    <t xml:space="preserve">OVERALL READINESS</t>
  </si>
  <si>
    <t xml:space="preserve">Ref</t>
  </si>
  <si>
    <t xml:space="preserve">Check Item</t>
  </si>
  <si>
    <t xml:space="preserve">Result</t>
  </si>
  <si>
    <t xml:space="preserve">Responsible</t>
  </si>
  <si>
    <t xml:space="preserve">Remarks / Action</t>
  </si>
  <si>
    <t xml:space="preserve">Date Checked</t>
  </si>
  <si>
    <t xml:space="preserve">Checked By</t>
  </si>
  <si>
    <t xml:space="preserve">Evidence / Doc Ref</t>
  </si>
  <si>
    <t xml:space="preserve">▼  Mechanical</t>
  </si>
  <si>
    <t xml:space="preserve">M-01</t>
  </si>
  <si>
    <t xml:space="preserve">All pipework installed, supported, and pressure tested</t>
  </si>
  <si>
    <t xml:space="preserve">Pass</t>
  </si>
  <si>
    <t xml:space="preserve">Briggs</t>
  </si>
  <si>
    <t xml:space="preserve">M-02</t>
  </si>
  <si>
    <t xml:space="preserve">Valves installed, correct orientation confirmed, and operable</t>
  </si>
  <si>
    <t xml:space="preserve">M-03</t>
  </si>
  <si>
    <t xml:space="preserve">Pump / motor alignment checked and recorded</t>
  </si>
  <si>
    <t xml:space="preserve">ACE</t>
  </si>
  <si>
    <t xml:space="preserve">M-04</t>
  </si>
  <si>
    <t xml:space="preserve">Coupling guards and safety covers fitted</t>
  </si>
  <si>
    <t xml:space="preserve">M-05</t>
  </si>
  <si>
    <t xml:space="preserve">Lubrication completed per manufacturer's schedule</t>
  </si>
  <si>
    <t xml:space="preserve">M-06</t>
  </si>
  <si>
    <t xml:space="preserve">Vibration isolators / anti-vibration mounts installed</t>
  </si>
  <si>
    <t xml:space="preserve">M-07</t>
  </si>
  <si>
    <t xml:space="preserve">Direction of rotation confirmed (bump test)</t>
  </si>
  <si>
    <t xml:space="preserve">CW rotation confirmed</t>
  </si>
  <si>
    <t xml:space="preserve">M-08</t>
  </si>
  <si>
    <t xml:space="preserve">Gland packing / mechanical seals checked</t>
  </si>
  <si>
    <t xml:space="preserve">Fail</t>
  </si>
  <si>
    <t xml:space="preserve">Pump 2 gland leaking — replacement ordered</t>
  </si>
  <si>
    <t xml:space="preserve">▼  Electrical</t>
  </si>
  <si>
    <t xml:space="preserve">E-01</t>
  </si>
  <si>
    <t xml:space="preserve">Power supply cables installed, terminated, and meggered</t>
  </si>
  <si>
    <t xml:space="preserve">E-02</t>
  </si>
  <si>
    <t xml:space="preserve">Earth bonding complete and tested (≤ 1Ω)</t>
  </si>
  <si>
    <t xml:space="preserve">0.3Ω measured</t>
  </si>
  <si>
    <t xml:space="preserve">E-03</t>
  </si>
  <si>
    <t xml:space="preserve">Motor insulation resistance tested (≥ 2 MΩ)</t>
  </si>
  <si>
    <t xml:space="preserve">3.8/4.1/3.5 MΩ</t>
  </si>
  <si>
    <t xml:space="preserve">E-04</t>
  </si>
  <si>
    <t xml:space="preserve">Overload / protection settings confirmed per design</t>
  </si>
  <si>
    <t xml:space="preserve">E-05</t>
  </si>
  <si>
    <t xml:space="preserve">Isolation and lock-off facilities functional</t>
  </si>
  <si>
    <t xml:space="preserve">E-06</t>
  </si>
  <si>
    <t xml:space="preserve">Local control panel energised and functional</t>
  </si>
  <si>
    <t xml:space="preserve">E-07</t>
  </si>
  <si>
    <t xml:space="preserve">Emergency stop circuits tested and proven</t>
  </si>
  <si>
    <t xml:space="preserve">▼  Instrumentation</t>
  </si>
  <si>
    <t xml:space="preserve">I-01</t>
  </si>
  <si>
    <t xml:space="preserve">All instruments installed per P&amp;ID</t>
  </si>
  <si>
    <t xml:space="preserve">I-02</t>
  </si>
  <si>
    <t xml:space="preserve">Instrument loop checks completed (see Loop Check Register)</t>
  </si>
  <si>
    <t xml:space="preserve">See Loop Check Register</t>
  </si>
  <si>
    <t xml:space="preserve">I-03</t>
  </si>
  <si>
    <t xml:space="preserve">Transmitters calibrated within specified tolerance</t>
  </si>
  <si>
    <t xml:space="preserve">LT-205 out of tolerance — recalibration scheduled</t>
  </si>
  <si>
    <t xml:space="preserve">I-04</t>
  </si>
  <si>
    <t xml:space="preserve">Control valves stroked and confirmed full travel</t>
  </si>
  <si>
    <t xml:space="preserve">I-05</t>
  </si>
  <si>
    <t xml:space="preserve">SCADA / PLC points verified against I/O schedule</t>
  </si>
  <si>
    <t xml:space="preserve">I-06</t>
  </si>
  <si>
    <t xml:space="preserve">Alarm set points configured per control philosophy</t>
  </si>
  <si>
    <t xml:space="preserve">▼  Civil / Structural</t>
  </si>
  <si>
    <t xml:space="preserve">CS-01</t>
  </si>
  <si>
    <t xml:space="preserve">Foundations / plinths complete and cured</t>
  </si>
  <si>
    <t xml:space="preserve">Main Contractor</t>
  </si>
  <si>
    <t xml:space="preserve">CS-02</t>
  </si>
  <si>
    <t xml:space="preserve">Equipment bolted down and torque values recorded</t>
  </si>
  <si>
    <t xml:space="preserve">CS-03</t>
  </si>
  <si>
    <t xml:space="preserve">Drainage and bunding adequate for spill containment</t>
  </si>
  <si>
    <t xml:space="preserve">CS-04</t>
  </si>
  <si>
    <t xml:space="preserve">Access platforms, ladders, and handrails installed</t>
  </si>
  <si>
    <t xml:space="preserve">CS-05</t>
  </si>
  <si>
    <t xml:space="preserve">Floor / area clean and free of construction debris</t>
  </si>
  <si>
    <t xml:space="preserve">Debris in pump well — clean-up required before wet comm</t>
  </si>
  <si>
    <t xml:space="preserve">▼  Documentation</t>
  </si>
  <si>
    <t xml:space="preserve">D-01</t>
  </si>
  <si>
    <t xml:space="preserve">O&amp;M manuals received and filed</t>
  </si>
  <si>
    <t xml:space="preserve">D-02</t>
  </si>
  <si>
    <t xml:space="preserve">As-built drawings available and up to date</t>
  </si>
  <si>
    <t xml:space="preserve">D-03</t>
  </si>
  <si>
    <t xml:space="preserve">Test certificates received (FAT, pressure, electrical)</t>
  </si>
  <si>
    <t xml:space="preserve">D-04</t>
  </si>
  <si>
    <t xml:space="preserve">RAMS / method statements approved for commissioning</t>
  </si>
  <si>
    <t xml:space="preserve">D-05</t>
  </si>
  <si>
    <t xml:space="preserve">Permit to work arrangements in place</t>
  </si>
  <si>
    <t xml:space="preserve">D-06</t>
  </si>
  <si>
    <t xml:space="preserve">Commissioning procedure reviewed and approved</t>
  </si>
  <si>
    <t xml:space="preserve">N/A</t>
  </si>
  <si>
    <t xml:space="preserve">Procedure under final review</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</si>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</sst>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1"/>
      <color rgb="FFFFFFFF"/>
      <name val="Calibri"/>
      <family val="0"/>
      <charset val="1"/>
    </font>
    <font>
      <b val="true"/>
      <sz val="10"/>
      <color rgb="FF1B2A4A"/>
      <name val="Calibri"/>
      <family val="0"/>
      <charset val="1"/>
    </font>
    <font>
      <sz val="10"/>
      <color rgb="FF2AABB3"/>
      <name val="Calibri"/>
      <family val="0"/>
      <charset val="1"/>
    </font>
    <font>
      <b val="true"/>
      <sz val="10"/>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right" vertical="center" textRotation="0" wrapText="tru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5" fontId="11" fillId="4" borderId="2" xfId="0" applyFont="true" applyBorder="true" applyAlignment="false" applyProtection="false">
      <alignment horizontal="general" vertical="bottom" textRotation="0" wrapText="fals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6" fontId="14" fillId="0" borderId="2"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4" fontId="14" fillId="4" borderId="3" xfId="0" applyFont="true" applyBorder="true" applyAlignment="false" applyProtection="false">
      <alignment horizontal="general" vertical="bottom" textRotation="0" wrapText="false" indent="0" shrinkToFit="false"/>
      <protection locked="true" hidden="false"/>
    </xf>
    <xf numFmtId="166" fontId="8" fillId="0" borderId="3"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16" fillId="5" borderId="2" xfId="0" applyFont="true" applyBorder="true" applyAlignment="true" applyProtection="false">
      <alignment horizontal="left" vertical="center" textRotation="0" wrapText="false" indent="0" shrinkToFit="false"/>
      <protection locked="true" hidden="false"/>
    </xf>
    <xf numFmtId="164" fontId="16" fillId="5"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5" fontId="11" fillId="4" borderId="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2AABB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8F6F7"/>
          <bgColor rgb="FF000000"/>
        </patternFill>
      </fill>
    </dxf>
    <dxf>
      <fill>
        <patternFill patternType="solid">
          <fgColor rgb="FFFFC7CE"/>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2"/>
  </cols>
  <sheetData>
    <row r="1" customFormat="false" ht="17.35" hidden="false" customHeight="false" outlineLevel="0" collapsed="false">
      <c r="A1" s="8" t="s">
        <v>6</v>
      </c>
      <c r="B1" s="8"/>
      <c r="C1" s="8"/>
      <c r="D1" s="8"/>
      <c r="E1" s="8"/>
      <c r="F1" s="8"/>
    </row>
    <row r="3" customFormat="false" ht="39.75" hidden="false" customHeight="true" outlineLevel="0" collapsed="false">
      <c r="A3" s="9" t="s">
        <v>7</v>
      </c>
      <c r="B3" s="9"/>
      <c r="C3" s="9"/>
      <c r="D3" s="9"/>
      <c r="E3" s="9"/>
      <c r="F3" s="9"/>
    </row>
    <row r="4" customFormat="false" ht="39.75" hidden="false" customHeight="true" outlineLevel="0" collapsed="false">
      <c r="A4" s="9" t="s">
        <v>8</v>
      </c>
      <c r="B4" s="9"/>
      <c r="C4" s="9"/>
      <c r="D4" s="9"/>
      <c r="E4" s="9"/>
      <c r="F4" s="9"/>
    </row>
    <row r="5" customFormat="false" ht="39.75" hidden="false" customHeight="true" outlineLevel="0" collapsed="false">
      <c r="A5" s="9" t="s">
        <v>9</v>
      </c>
      <c r="B5" s="9"/>
      <c r="C5" s="9"/>
      <c r="D5" s="9"/>
      <c r="E5" s="9"/>
      <c r="F5" s="9"/>
    </row>
    <row r="6" customFormat="false" ht="39.75" hidden="false" customHeight="true" outlineLevel="0" collapsed="false">
      <c r="A6" s="9" t="s">
        <v>10</v>
      </c>
      <c r="B6" s="9"/>
      <c r="C6" s="9"/>
      <c r="D6" s="9"/>
      <c r="E6" s="9"/>
      <c r="F6" s="9"/>
    </row>
    <row r="7" customFormat="false" ht="39.75" hidden="false" customHeight="true" outlineLevel="0" collapsed="false">
      <c r="A7" s="9" t="s">
        <v>11</v>
      </c>
      <c r="B7" s="9"/>
      <c r="C7" s="9"/>
      <c r="D7" s="9"/>
      <c r="E7" s="9"/>
      <c r="F7" s="9"/>
    </row>
    <row r="8" customFormat="false" ht="39.75" hidden="false" customHeight="true" outlineLevel="0" collapsed="false">
      <c r="A8" s="9" t="s">
        <v>12</v>
      </c>
      <c r="B8" s="9"/>
      <c r="C8" s="9"/>
      <c r="D8" s="9"/>
      <c r="E8" s="9"/>
      <c r="F8" s="9"/>
    </row>
    <row r="9" customFormat="false" ht="39.75" hidden="false" customHeight="true" outlineLevel="0" collapsed="false">
      <c r="A9" s="9" t="s">
        <v>13</v>
      </c>
      <c r="B9" s="9"/>
      <c r="C9" s="9"/>
      <c r="D9" s="9"/>
      <c r="E9" s="9"/>
      <c r="F9" s="9"/>
    </row>
    <row r="10" customFormat="false" ht="39.75" hidden="false" customHeight="true" outlineLevel="0" collapsed="false">
      <c r="A10" s="9" t="s">
        <v>14</v>
      </c>
      <c r="B10" s="9"/>
      <c r="C10" s="9"/>
      <c r="D10" s="9"/>
      <c r="E10" s="9"/>
      <c r="F10" s="9"/>
    </row>
    <row r="12" customFormat="false" ht="15" hidden="false" customHeight="false" outlineLevel="0" collapsed="false">
      <c r="A12" s="10" t="s">
        <v>15</v>
      </c>
      <c r="B12" s="10"/>
      <c r="C12" s="10"/>
      <c r="D12" s="10"/>
      <c r="E12" s="10"/>
      <c r="F12" s="10"/>
    </row>
    <row r="13" customFormat="false" ht="15" hidden="false" customHeight="true" outlineLevel="0" collapsed="false">
      <c r="A13" s="11"/>
      <c r="B13" s="9" t="s">
        <v>16</v>
      </c>
      <c r="C13" s="9"/>
      <c r="D13" s="9"/>
      <c r="E13" s="9"/>
      <c r="F13" s="9"/>
    </row>
    <row r="14" customFormat="false" ht="15" hidden="false" customHeight="true" outlineLevel="0" collapsed="false">
      <c r="A14" s="12"/>
      <c r="B14" s="9" t="s">
        <v>17</v>
      </c>
      <c r="C14" s="9"/>
      <c r="D14" s="9"/>
      <c r="E14" s="9"/>
      <c r="F14" s="9"/>
    </row>
    <row r="15" customFormat="false" ht="15" hidden="false" customHeight="true" outlineLevel="0" collapsed="false">
      <c r="A15" s="13"/>
      <c r="B15" s="9" t="s">
        <v>18</v>
      </c>
      <c r="C15" s="9"/>
      <c r="D15" s="9"/>
      <c r="E15" s="9"/>
      <c r="F15" s="9"/>
    </row>
    <row r="16" customFormat="false" ht="15" hidden="false" customHeight="true" outlineLevel="0" collapsed="false">
      <c r="A16" s="14"/>
      <c r="B16" s="9" t="s">
        <v>19</v>
      </c>
      <c r="C16" s="9"/>
      <c r="D16" s="9"/>
      <c r="E16" s="9"/>
      <c r="F16" s="9"/>
    </row>
    <row r="17" customFormat="false" ht="15" hidden="false" customHeight="true" outlineLevel="0" collapsed="false">
      <c r="A17" s="15"/>
      <c r="B17" s="9" t="s">
        <v>20</v>
      </c>
      <c r="C17" s="9"/>
      <c r="D17" s="9"/>
      <c r="E17" s="9"/>
      <c r="F17" s="9"/>
    </row>
    <row r="18" customFormat="false" ht="15" hidden="false" customHeight="true" outlineLevel="0" collapsed="false">
      <c r="A18" s="16"/>
      <c r="B18" s="9" t="s">
        <v>21</v>
      </c>
      <c r="C18" s="9"/>
      <c r="D18" s="9"/>
      <c r="E18" s="9"/>
      <c r="F18" s="9"/>
    </row>
    <row r="20" customFormat="false" ht="15" hidden="false" customHeight="false" outlineLevel="0" collapsed="false">
      <c r="A20" s="10" t="s">
        <v>22</v>
      </c>
      <c r="B20" s="10"/>
      <c r="C20" s="10"/>
      <c r="D20" s="10"/>
      <c r="E20" s="10"/>
      <c r="F20" s="10"/>
    </row>
    <row r="21" customFormat="false" ht="34.5" hidden="false" customHeight="true" outlineLevel="0" collapsed="false">
      <c r="A21" s="9" t="s">
        <v>23</v>
      </c>
      <c r="B21" s="9"/>
      <c r="C21" s="9"/>
      <c r="D21" s="9"/>
      <c r="E21" s="9"/>
      <c r="F21" s="9"/>
    </row>
    <row r="22" customFormat="false" ht="34.5" hidden="false" customHeight="true" outlineLevel="0" collapsed="false">
      <c r="A22" s="9" t="s">
        <v>24</v>
      </c>
      <c r="B22" s="9"/>
      <c r="C22" s="9"/>
      <c r="D22" s="9"/>
      <c r="E22" s="9"/>
      <c r="F22" s="9"/>
    </row>
    <row r="23" customFormat="false" ht="34.5" hidden="false" customHeight="true" outlineLevel="0" collapsed="false">
      <c r="A23" s="9" t="s">
        <v>25</v>
      </c>
      <c r="B23" s="9"/>
      <c r="C23" s="9"/>
      <c r="D23" s="9"/>
      <c r="E23" s="9"/>
      <c r="F23" s="9"/>
    </row>
  </sheetData>
  <mergeCells count="20">
    <mergeCell ref="A1:F1"/>
    <mergeCell ref="A3:F3"/>
    <mergeCell ref="A4:F4"/>
    <mergeCell ref="A5:F5"/>
    <mergeCell ref="A6:F6"/>
    <mergeCell ref="A7:F7"/>
    <mergeCell ref="A8:F8"/>
    <mergeCell ref="A9:F9"/>
    <mergeCell ref="A10:F10"/>
    <mergeCell ref="A12:F12"/>
    <mergeCell ref="B13:F13"/>
    <mergeCell ref="B14:F14"/>
    <mergeCell ref="B15:F15"/>
    <mergeCell ref="B16:F16"/>
    <mergeCell ref="B17:F17"/>
    <mergeCell ref="B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12"/>
    <col collapsed="false" customWidth="true" hidden="false" outlineLevel="0" max="5" min="5" style="0" width="16"/>
    <col collapsed="false" customWidth="true" hidden="false" outlineLevel="0" max="6" min="6" style="0" width="30"/>
    <col collapsed="false" customWidth="true" hidden="true" outlineLevel="1" max="9" min="7" style="0" width="14"/>
  </cols>
  <sheetData>
    <row r="1" customFormat="false" ht="28.35" hidden="false" customHeight="true" outlineLevel="0" collapsed="false">
      <c r="A1" s="17" t="s">
        <v>2</v>
      </c>
      <c r="B1" s="17"/>
      <c r="C1" s="17"/>
      <c r="D1" s="17"/>
      <c r="E1" s="17"/>
      <c r="F1" s="17"/>
      <c r="G1" s="17" t="s">
        <v>26</v>
      </c>
      <c r="H1" s="17"/>
      <c r="I1" s="17"/>
    </row>
    <row r="2" customFormat="false" ht="21.75" hidden="false" customHeight="true" outlineLevel="0" collapsed="false">
      <c r="A2" s="18" t="s">
        <v>27</v>
      </c>
      <c r="B2" s="19" t="s">
        <v>28</v>
      </c>
      <c r="C2" s="19"/>
      <c r="D2" s="18" t="s">
        <v>29</v>
      </c>
      <c r="E2" s="20" t="n">
        <v>46099</v>
      </c>
      <c r="F2" s="20"/>
      <c r="G2" s="21" t="s">
        <v>30</v>
      </c>
      <c r="H2" s="21" t="s">
        <v>31</v>
      </c>
      <c r="I2" s="21" t="s">
        <v>32</v>
      </c>
    </row>
    <row r="3" customFormat="false" ht="21.75" hidden="false" customHeight="true" outlineLevel="0" collapsed="false">
      <c r="A3" s="18" t="s">
        <v>33</v>
      </c>
      <c r="B3" s="19" t="s">
        <v>34</v>
      </c>
      <c r="C3" s="19"/>
      <c r="D3" s="18" t="s">
        <v>35</v>
      </c>
      <c r="E3" s="19" t="s">
        <v>36</v>
      </c>
      <c r="F3" s="19"/>
      <c r="G3" s="22" t="s">
        <v>37</v>
      </c>
      <c r="H3" s="23" t="n">
        <f aca="false">IF(COUNTIF(D11:D18,"Pass")+COUNTIF(D11:D18,"Fail")=0,"",COUNTIF(D11:D18,"Pass")/(COUNTIF(D11:D18,"Pass")+COUNTIF(D11:D18,"Fail")))</f>
        <v>0.875</v>
      </c>
      <c r="I3" s="24" t="str">
        <f aca="false">REPT("█",ROUND(IF(ISNUMBER(H3),H3,0)*15,0))</f>
        <v>█████████████</v>
      </c>
    </row>
    <row r="4" customFormat="false" ht="21.75" hidden="false" customHeight="true" outlineLevel="0" collapsed="false">
      <c r="A4" s="18" t="s">
        <v>38</v>
      </c>
      <c r="B4" s="19" t="s">
        <v>39</v>
      </c>
      <c r="C4" s="19"/>
      <c r="D4" s="18" t="s">
        <v>40</v>
      </c>
      <c r="E4" s="19" t="s">
        <v>41</v>
      </c>
      <c r="F4" s="19"/>
      <c r="G4" s="22" t="s">
        <v>42</v>
      </c>
      <c r="H4" s="23" t="n">
        <f aca="false">IF(COUNTIF(D20:D26,"Pass")+COUNTIF(D20:D26,"Fail")=0,"",COUNTIF(D20:D26,"Pass")/(COUNTIF(D20:D26,"Pass")+COUNTIF(D20:D26,"Fail")))</f>
        <v>1</v>
      </c>
      <c r="I4" s="24" t="str">
        <f aca="false">REPT("█",ROUND(IF(ISNUMBER(H4),H4,0)*15,0))</f>
        <v>███████████████</v>
      </c>
    </row>
    <row r="5" customFormat="false" ht="21.75" hidden="false" customHeight="true" outlineLevel="0" collapsed="false">
      <c r="A5" s="18" t="s">
        <v>43</v>
      </c>
      <c r="B5" s="19" t="s">
        <v>44</v>
      </c>
      <c r="C5" s="19"/>
      <c r="D5" s="18" t="s">
        <v>45</v>
      </c>
      <c r="E5" s="19" t="s">
        <v>46</v>
      </c>
      <c r="F5" s="19"/>
      <c r="G5" s="22" t="s">
        <v>47</v>
      </c>
      <c r="H5" s="23" t="n">
        <f aca="false">IF(COUNTIF(D28:D33,"Pass")+COUNTIF(D28:D33,"Fail")=0,"",COUNTIF(D28:D33,"Pass")/(COUNTIF(D28:D33,"Pass")+COUNTIF(D28:D33,"Fail")))</f>
        <v>0.833333333333333</v>
      </c>
      <c r="I5" s="24" t="str">
        <f aca="false">REPT("█",ROUND(IF(ISNUMBER(H5),H5,0)*15,0))</f>
        <v>█████████████</v>
      </c>
    </row>
    <row r="6" customFormat="false" ht="21.75" hidden="false" customHeight="true" outlineLevel="0" collapsed="false">
      <c r="A6" s="18" t="s">
        <v>48</v>
      </c>
      <c r="B6" s="19" t="s">
        <v>49</v>
      </c>
      <c r="C6" s="19"/>
      <c r="D6" s="18" t="s">
        <v>50</v>
      </c>
      <c r="E6" s="19" t="s">
        <v>51</v>
      </c>
      <c r="F6" s="19"/>
      <c r="G6" s="22" t="s">
        <v>52</v>
      </c>
      <c r="H6" s="23" t="n">
        <f aca="false">IF(COUNTIF(D35:D39,"Pass")+COUNTIF(D35:D39,"Fail")=0,"",COUNTIF(D35:D39,"Pass")/(COUNTIF(D35:D39,"Pass")+COUNTIF(D35:D39,"Fail")))</f>
        <v>0.8</v>
      </c>
      <c r="I6" s="24" t="str">
        <f aca="false">REPT("█",ROUND(IF(ISNUMBER(H6),H6,0)*15,0))</f>
        <v>████████████</v>
      </c>
    </row>
    <row r="7" customFormat="false" ht="21.75" hidden="false" customHeight="true" outlineLevel="0" collapsed="false">
      <c r="A7" s="18" t="s">
        <v>53</v>
      </c>
      <c r="B7" s="19" t="s">
        <v>46</v>
      </c>
      <c r="C7" s="19"/>
      <c r="D7" s="18" t="s">
        <v>54</v>
      </c>
      <c r="E7" s="20" t="n">
        <v>46099</v>
      </c>
      <c r="F7" s="20"/>
      <c r="G7" s="22" t="s">
        <v>55</v>
      </c>
      <c r="H7" s="23" t="n">
        <f aca="false">IF(COUNTIF(D41:D46,"Pass")+COUNTIF(D41:D46,"Fail")=0,"",COUNTIF(D41:D46,"Pass")/(COUNTIF(D41:D46,"Pass")+COUNTIF(D41:D46,"Fail")))</f>
        <v>1</v>
      </c>
      <c r="I7" s="24" t="str">
        <f aca="false">REPT("█",ROUND(IF(ISNUMBER(H7),H7,0)*15,0))</f>
        <v>███████████████</v>
      </c>
    </row>
    <row r="8" customFormat="false" ht="15" hidden="false" customHeight="false" outlineLevel="0" collapsed="false">
      <c r="G8" s="25" t="s">
        <v>56</v>
      </c>
      <c r="H8" s="26" t="n">
        <f aca="false">IF((COUNTIF(D11:D18,"Pass")+COUNTIF(D11:D18,"Fail")+COUNTIF(D20:D26,"Pass")+COUNTIF(D20:D26,"Fail")+COUNTIF(D28:D33,"Pass")+COUNTIF(D28:D33,"Fail")+COUNTIF(D35:D39,"Pass")+COUNTIF(D35:D39,"Fail")+COUNTIF(D41:D46,"Pass")+COUNTIF(D41:D46,"Fail"))=0,"",(COUNTIF(D11:D18,"Pass")+COUNTIF(D20:D26,"Pass")+COUNTIF(D28:D33,"Pass")+COUNTIF(D35:D39,"Pass")+COUNTIF(D41:D46,"Pass"))/(COUNTIF(D11:D18,"Pass")+COUNTIF(D11:D18,"Fail")+COUNTIF(D20:D26,"Pass")+COUNTIF(D20:D26,"Fail")+COUNTIF(D28:D33,"Pass")+COUNTIF(D28:D33,"Fail")+COUNTIF(D35:D39,"Pass")+COUNTIF(D35:D39,"Fail")+COUNTIF(D41:D46,"Pass")+COUNTIF(D41:D46,"Fail")))</f>
        <v>0.903225806451613</v>
      </c>
      <c r="I8" s="27" t="str">
        <f aca="false">IF(H8=1,"✅ READY","❌ NOT READY")</f>
        <v>❌ NOT READY</v>
      </c>
    </row>
    <row r="9" customFormat="false" ht="27.75" hidden="false" customHeight="true" outlineLevel="0" collapsed="false">
      <c r="A9" s="28" t="s">
        <v>57</v>
      </c>
      <c r="B9" s="28" t="s">
        <v>30</v>
      </c>
      <c r="C9" s="28" t="s">
        <v>58</v>
      </c>
      <c r="D9" s="28" t="s">
        <v>59</v>
      </c>
      <c r="E9" s="28" t="s">
        <v>60</v>
      </c>
      <c r="F9" s="28" t="s">
        <v>61</v>
      </c>
      <c r="G9" s="28" t="s">
        <v>62</v>
      </c>
      <c r="H9" s="28" t="s">
        <v>63</v>
      </c>
      <c r="I9" s="28" t="s">
        <v>64</v>
      </c>
    </row>
    <row r="10" customFormat="false" ht="15" hidden="false" customHeight="false" outlineLevel="0" collapsed="false">
      <c r="A10" s="29" t="s">
        <v>65</v>
      </c>
      <c r="B10" s="29"/>
      <c r="C10" s="29"/>
      <c r="D10" s="30" t="str">
        <f aca="false">IF(COUNTIF(D11:D18,"Pass")+COUNTIF(D11:D18,"Fail")=0,"","Completion: "&amp;TEXT(COUNTIF(D11:D18,"Pass")/(COUNTIF(D11:D18,"Pass")+COUNTIF(D11:D18,"Fail")),"0%"))</f>
        <v>Completion: 88%</v>
      </c>
      <c r="E10" s="30"/>
      <c r="F10" s="30"/>
      <c r="G10" s="13"/>
      <c r="H10" s="13"/>
      <c r="I10" s="13"/>
    </row>
    <row r="11" customFormat="false" ht="24" hidden="false" customHeight="true" outlineLevel="0" collapsed="false">
      <c r="A11" s="31" t="s">
        <v>66</v>
      </c>
      <c r="B11" s="31" t="s">
        <v>37</v>
      </c>
      <c r="C11" s="22" t="s">
        <v>67</v>
      </c>
      <c r="D11" s="32" t="s">
        <v>68</v>
      </c>
      <c r="E11" s="32" t="s">
        <v>69</v>
      </c>
      <c r="F11" s="33"/>
      <c r="G11" s="34"/>
      <c r="H11" s="32"/>
      <c r="I11" s="32"/>
    </row>
    <row r="12" customFormat="false" ht="24" hidden="false" customHeight="true" outlineLevel="0" collapsed="false">
      <c r="A12" s="31" t="s">
        <v>70</v>
      </c>
      <c r="B12" s="31" t="s">
        <v>37</v>
      </c>
      <c r="C12" s="22" t="s">
        <v>71</v>
      </c>
      <c r="D12" s="32" t="s">
        <v>68</v>
      </c>
      <c r="E12" s="32" t="s">
        <v>69</v>
      </c>
      <c r="F12" s="33"/>
      <c r="G12" s="34"/>
      <c r="H12" s="32"/>
      <c r="I12" s="32"/>
    </row>
    <row r="13" customFormat="false" ht="24" hidden="false" customHeight="true" outlineLevel="0" collapsed="false">
      <c r="A13" s="31" t="s">
        <v>72</v>
      </c>
      <c r="B13" s="31" t="s">
        <v>37</v>
      </c>
      <c r="C13" s="22" t="s">
        <v>73</v>
      </c>
      <c r="D13" s="32" t="s">
        <v>68</v>
      </c>
      <c r="E13" s="32" t="s">
        <v>74</v>
      </c>
      <c r="F13" s="33"/>
      <c r="G13" s="34"/>
      <c r="H13" s="32"/>
      <c r="I13" s="32"/>
    </row>
    <row r="14" customFormat="false" ht="24" hidden="false" customHeight="true" outlineLevel="0" collapsed="false">
      <c r="A14" s="31" t="s">
        <v>75</v>
      </c>
      <c r="B14" s="31" t="s">
        <v>37</v>
      </c>
      <c r="C14" s="22" t="s">
        <v>76</v>
      </c>
      <c r="D14" s="32" t="s">
        <v>68</v>
      </c>
      <c r="E14" s="32" t="s">
        <v>69</v>
      </c>
      <c r="F14" s="33"/>
      <c r="G14" s="34"/>
      <c r="H14" s="32"/>
      <c r="I14" s="32"/>
    </row>
    <row r="15" customFormat="false" ht="24" hidden="false" customHeight="true" outlineLevel="0" collapsed="false">
      <c r="A15" s="31" t="s">
        <v>77</v>
      </c>
      <c r="B15" s="31" t="s">
        <v>37</v>
      </c>
      <c r="C15" s="22" t="s">
        <v>78</v>
      </c>
      <c r="D15" s="32" t="s">
        <v>68</v>
      </c>
      <c r="E15" s="32" t="s">
        <v>74</v>
      </c>
      <c r="F15" s="33"/>
      <c r="G15" s="34"/>
      <c r="H15" s="32"/>
      <c r="I15" s="32"/>
    </row>
    <row r="16" customFormat="false" ht="24" hidden="false" customHeight="true" outlineLevel="0" collapsed="false">
      <c r="A16" s="31" t="s">
        <v>79</v>
      </c>
      <c r="B16" s="31" t="s">
        <v>37</v>
      </c>
      <c r="C16" s="22" t="s">
        <v>80</v>
      </c>
      <c r="D16" s="32" t="s">
        <v>68</v>
      </c>
      <c r="E16" s="32" t="s">
        <v>69</v>
      </c>
      <c r="F16" s="33"/>
      <c r="G16" s="34"/>
      <c r="H16" s="32"/>
      <c r="I16" s="32"/>
    </row>
    <row r="17" customFormat="false" ht="24" hidden="false" customHeight="true" outlineLevel="0" collapsed="false">
      <c r="A17" s="31" t="s">
        <v>81</v>
      </c>
      <c r="B17" s="31" t="s">
        <v>37</v>
      </c>
      <c r="C17" s="22" t="s">
        <v>82</v>
      </c>
      <c r="D17" s="32" t="s">
        <v>68</v>
      </c>
      <c r="E17" s="32" t="s">
        <v>74</v>
      </c>
      <c r="F17" s="33" t="s">
        <v>83</v>
      </c>
      <c r="G17" s="34"/>
      <c r="H17" s="32"/>
      <c r="I17" s="32"/>
    </row>
    <row r="18" customFormat="false" ht="24" hidden="false" customHeight="true" outlineLevel="0" collapsed="false">
      <c r="A18" s="31" t="s">
        <v>84</v>
      </c>
      <c r="B18" s="31" t="s">
        <v>37</v>
      </c>
      <c r="C18" s="22" t="s">
        <v>85</v>
      </c>
      <c r="D18" s="32" t="s">
        <v>86</v>
      </c>
      <c r="E18" s="32" t="s">
        <v>69</v>
      </c>
      <c r="F18" s="33" t="s">
        <v>87</v>
      </c>
      <c r="G18" s="34"/>
      <c r="H18" s="32"/>
      <c r="I18" s="32"/>
    </row>
    <row r="19" customFormat="false" ht="15" hidden="false" customHeight="false" outlineLevel="0" collapsed="false">
      <c r="A19" s="29" t="s">
        <v>88</v>
      </c>
      <c r="B19" s="29"/>
      <c r="C19" s="29"/>
      <c r="D19" s="30" t="str">
        <f aca="false">IF(COUNTIF(D20:D26,"Pass")+COUNTIF(D20:D26,"Fail")=0,"","Completion: "&amp;TEXT(COUNTIF(D20:D26,"Pass")/(COUNTIF(D20:D26,"Pass")+COUNTIF(D20:D26,"Fail")),"0%"))</f>
        <v>Completion: 100%</v>
      </c>
      <c r="E19" s="30"/>
      <c r="F19" s="30"/>
      <c r="G19" s="13"/>
      <c r="H19" s="13"/>
      <c r="I19" s="13"/>
    </row>
    <row r="20" customFormat="false" ht="24" hidden="false" customHeight="true" outlineLevel="0" collapsed="false">
      <c r="A20" s="31" t="s">
        <v>89</v>
      </c>
      <c r="B20" s="31" t="s">
        <v>42</v>
      </c>
      <c r="C20" s="22" t="s">
        <v>90</v>
      </c>
      <c r="D20" s="32" t="s">
        <v>68</v>
      </c>
      <c r="E20" s="32" t="s">
        <v>69</v>
      </c>
      <c r="F20" s="33"/>
      <c r="G20" s="34"/>
      <c r="H20" s="32"/>
      <c r="I20" s="32"/>
    </row>
    <row r="21" customFormat="false" ht="24" hidden="false" customHeight="true" outlineLevel="0" collapsed="false">
      <c r="A21" s="31" t="s">
        <v>91</v>
      </c>
      <c r="B21" s="31" t="s">
        <v>42</v>
      </c>
      <c r="C21" s="22" t="s">
        <v>92</v>
      </c>
      <c r="D21" s="32" t="s">
        <v>68</v>
      </c>
      <c r="E21" s="32" t="s">
        <v>69</v>
      </c>
      <c r="F21" s="33" t="s">
        <v>93</v>
      </c>
      <c r="G21" s="34"/>
      <c r="H21" s="32"/>
      <c r="I21" s="32"/>
    </row>
    <row r="22" customFormat="false" ht="24" hidden="false" customHeight="true" outlineLevel="0" collapsed="false">
      <c r="A22" s="31" t="s">
        <v>94</v>
      </c>
      <c r="B22" s="31" t="s">
        <v>42</v>
      </c>
      <c r="C22" s="22" t="s">
        <v>95</v>
      </c>
      <c r="D22" s="32" t="s">
        <v>68</v>
      </c>
      <c r="E22" s="32" t="s">
        <v>69</v>
      </c>
      <c r="F22" s="33" t="s">
        <v>96</v>
      </c>
      <c r="G22" s="34"/>
      <c r="H22" s="32"/>
      <c r="I22" s="32"/>
    </row>
    <row r="23" customFormat="false" ht="24" hidden="false" customHeight="true" outlineLevel="0" collapsed="false">
      <c r="A23" s="31" t="s">
        <v>97</v>
      </c>
      <c r="B23" s="31" t="s">
        <v>42</v>
      </c>
      <c r="C23" s="22" t="s">
        <v>98</v>
      </c>
      <c r="D23" s="32" t="s">
        <v>68</v>
      </c>
      <c r="E23" s="32" t="s">
        <v>69</v>
      </c>
      <c r="F23" s="33"/>
      <c r="G23" s="34"/>
      <c r="H23" s="32"/>
      <c r="I23" s="32"/>
    </row>
    <row r="24" customFormat="false" ht="24" hidden="false" customHeight="true" outlineLevel="0" collapsed="false">
      <c r="A24" s="31" t="s">
        <v>99</v>
      </c>
      <c r="B24" s="31" t="s">
        <v>42</v>
      </c>
      <c r="C24" s="22" t="s">
        <v>100</v>
      </c>
      <c r="D24" s="32" t="s">
        <v>68</v>
      </c>
      <c r="E24" s="32" t="s">
        <v>69</v>
      </c>
      <c r="F24" s="33"/>
      <c r="G24" s="34"/>
      <c r="H24" s="32"/>
      <c r="I24" s="32"/>
    </row>
    <row r="25" customFormat="false" ht="24" hidden="false" customHeight="true" outlineLevel="0" collapsed="false">
      <c r="A25" s="31" t="s">
        <v>101</v>
      </c>
      <c r="B25" s="31" t="s">
        <v>42</v>
      </c>
      <c r="C25" s="22" t="s">
        <v>102</v>
      </c>
      <c r="D25" s="32" t="s">
        <v>68</v>
      </c>
      <c r="E25" s="32" t="s">
        <v>69</v>
      </c>
      <c r="F25" s="33"/>
      <c r="G25" s="34"/>
      <c r="H25" s="32"/>
      <c r="I25" s="32"/>
    </row>
    <row r="26" customFormat="false" ht="24" hidden="false" customHeight="true" outlineLevel="0" collapsed="false">
      <c r="A26" s="31" t="s">
        <v>103</v>
      </c>
      <c r="B26" s="31" t="s">
        <v>42</v>
      </c>
      <c r="C26" s="22" t="s">
        <v>104</v>
      </c>
      <c r="D26" s="32" t="s">
        <v>68</v>
      </c>
      <c r="E26" s="32" t="s">
        <v>69</v>
      </c>
      <c r="F26" s="33"/>
      <c r="G26" s="34"/>
      <c r="H26" s="32"/>
      <c r="I26" s="32"/>
    </row>
    <row r="27" customFormat="false" ht="15" hidden="false" customHeight="false" outlineLevel="0" collapsed="false">
      <c r="A27" s="29" t="s">
        <v>105</v>
      </c>
      <c r="B27" s="29"/>
      <c r="C27" s="29"/>
      <c r="D27" s="30" t="str">
        <f aca="false">IF(COUNTIF(D28:D33,"Pass")+COUNTIF(D28:D33,"Fail")=0,"","Completion: "&amp;TEXT(COUNTIF(D28:D33,"Pass")/(COUNTIF(D28:D33,"Pass")+COUNTIF(D28:D33,"Fail")),"0%"))</f>
        <v>Completion: 83%</v>
      </c>
      <c r="E27" s="30"/>
      <c r="F27" s="30"/>
      <c r="G27" s="13"/>
      <c r="H27" s="13"/>
      <c r="I27" s="13"/>
    </row>
    <row r="28" customFormat="false" ht="24" hidden="false" customHeight="true" outlineLevel="0" collapsed="false">
      <c r="A28" s="31" t="s">
        <v>106</v>
      </c>
      <c r="B28" s="31" t="s">
        <v>47</v>
      </c>
      <c r="C28" s="22" t="s">
        <v>107</v>
      </c>
      <c r="D28" s="32" t="s">
        <v>68</v>
      </c>
      <c r="E28" s="32" t="s">
        <v>74</v>
      </c>
      <c r="F28" s="33"/>
      <c r="G28" s="34"/>
      <c r="H28" s="32"/>
      <c r="I28" s="32"/>
    </row>
    <row r="29" customFormat="false" ht="24" hidden="false" customHeight="true" outlineLevel="0" collapsed="false">
      <c r="A29" s="31" t="s">
        <v>108</v>
      </c>
      <c r="B29" s="31" t="s">
        <v>47</v>
      </c>
      <c r="C29" s="22" t="s">
        <v>109</v>
      </c>
      <c r="D29" s="32" t="s">
        <v>68</v>
      </c>
      <c r="E29" s="32" t="s">
        <v>74</v>
      </c>
      <c r="F29" s="33" t="s">
        <v>110</v>
      </c>
      <c r="G29" s="34"/>
      <c r="H29" s="32"/>
      <c r="I29" s="32"/>
    </row>
    <row r="30" customFormat="false" ht="24" hidden="false" customHeight="true" outlineLevel="0" collapsed="false">
      <c r="A30" s="31" t="s">
        <v>111</v>
      </c>
      <c r="B30" s="31" t="s">
        <v>47</v>
      </c>
      <c r="C30" s="22" t="s">
        <v>112</v>
      </c>
      <c r="D30" s="32" t="s">
        <v>86</v>
      </c>
      <c r="E30" s="32" t="s">
        <v>74</v>
      </c>
      <c r="F30" s="33" t="s">
        <v>113</v>
      </c>
      <c r="G30" s="34"/>
      <c r="H30" s="32"/>
      <c r="I30" s="32"/>
    </row>
    <row r="31" customFormat="false" ht="24" hidden="false" customHeight="true" outlineLevel="0" collapsed="false">
      <c r="A31" s="31" t="s">
        <v>114</v>
      </c>
      <c r="B31" s="31" t="s">
        <v>47</v>
      </c>
      <c r="C31" s="22" t="s">
        <v>115</v>
      </c>
      <c r="D31" s="32" t="s">
        <v>68</v>
      </c>
      <c r="E31" s="32" t="s">
        <v>74</v>
      </c>
      <c r="F31" s="33"/>
      <c r="G31" s="34"/>
      <c r="H31" s="32"/>
      <c r="I31" s="32"/>
    </row>
    <row r="32" customFormat="false" ht="24" hidden="false" customHeight="true" outlineLevel="0" collapsed="false">
      <c r="A32" s="31" t="s">
        <v>116</v>
      </c>
      <c r="B32" s="31" t="s">
        <v>47</v>
      </c>
      <c r="C32" s="22" t="s">
        <v>117</v>
      </c>
      <c r="D32" s="32" t="s">
        <v>68</v>
      </c>
      <c r="E32" s="32" t="s">
        <v>74</v>
      </c>
      <c r="F32" s="33"/>
      <c r="G32" s="34"/>
      <c r="H32" s="32"/>
      <c r="I32" s="32"/>
    </row>
    <row r="33" customFormat="false" ht="24" hidden="false" customHeight="true" outlineLevel="0" collapsed="false">
      <c r="A33" s="31" t="s">
        <v>118</v>
      </c>
      <c r="B33" s="31" t="s">
        <v>47</v>
      </c>
      <c r="C33" s="22" t="s">
        <v>119</v>
      </c>
      <c r="D33" s="32" t="s">
        <v>68</v>
      </c>
      <c r="E33" s="32" t="s">
        <v>74</v>
      </c>
      <c r="F33" s="33"/>
      <c r="G33" s="34"/>
      <c r="H33" s="32"/>
      <c r="I33" s="32"/>
    </row>
    <row r="34" customFormat="false" ht="15" hidden="false" customHeight="false" outlineLevel="0" collapsed="false">
      <c r="A34" s="29" t="s">
        <v>120</v>
      </c>
      <c r="B34" s="29"/>
      <c r="C34" s="29"/>
      <c r="D34" s="30" t="str">
        <f aca="false">IF(COUNTIF(D35:D39,"Pass")+COUNTIF(D35:D39,"Fail")=0,"","Completion: "&amp;TEXT(COUNTIF(D35:D39,"Pass")/(COUNTIF(D35:D39,"Pass")+COUNTIF(D35:D39,"Fail")),"0%"))</f>
        <v>Completion: 80%</v>
      </c>
      <c r="E34" s="30"/>
      <c r="F34" s="30"/>
      <c r="G34" s="13"/>
      <c r="H34" s="13"/>
      <c r="I34" s="13"/>
    </row>
    <row r="35" customFormat="false" ht="24" hidden="false" customHeight="true" outlineLevel="0" collapsed="false">
      <c r="A35" s="31" t="s">
        <v>121</v>
      </c>
      <c r="B35" s="31" t="s">
        <v>52</v>
      </c>
      <c r="C35" s="22" t="s">
        <v>122</v>
      </c>
      <c r="D35" s="32" t="s">
        <v>68</v>
      </c>
      <c r="E35" s="32" t="s">
        <v>123</v>
      </c>
      <c r="F35" s="33"/>
      <c r="G35" s="34"/>
      <c r="H35" s="32"/>
      <c r="I35" s="32"/>
    </row>
    <row r="36" customFormat="false" ht="24" hidden="false" customHeight="true" outlineLevel="0" collapsed="false">
      <c r="A36" s="31" t="s">
        <v>124</v>
      </c>
      <c r="B36" s="31" t="s">
        <v>52</v>
      </c>
      <c r="C36" s="22" t="s">
        <v>125</v>
      </c>
      <c r="D36" s="32" t="s">
        <v>68</v>
      </c>
      <c r="E36" s="32" t="s">
        <v>123</v>
      </c>
      <c r="F36" s="33"/>
      <c r="G36" s="34"/>
      <c r="H36" s="32"/>
      <c r="I36" s="32"/>
    </row>
    <row r="37" customFormat="false" ht="24" hidden="false" customHeight="true" outlineLevel="0" collapsed="false">
      <c r="A37" s="31" t="s">
        <v>126</v>
      </c>
      <c r="B37" s="31" t="s">
        <v>52</v>
      </c>
      <c r="C37" s="22" t="s">
        <v>127</v>
      </c>
      <c r="D37" s="32" t="s">
        <v>68</v>
      </c>
      <c r="E37" s="32" t="s">
        <v>123</v>
      </c>
      <c r="F37" s="33"/>
      <c r="G37" s="34"/>
      <c r="H37" s="32"/>
      <c r="I37" s="32"/>
    </row>
    <row r="38" customFormat="false" ht="24" hidden="false" customHeight="true" outlineLevel="0" collapsed="false">
      <c r="A38" s="31" t="s">
        <v>128</v>
      </c>
      <c r="B38" s="31" t="s">
        <v>52</v>
      </c>
      <c r="C38" s="22" t="s">
        <v>129</v>
      </c>
      <c r="D38" s="32" t="s">
        <v>68</v>
      </c>
      <c r="E38" s="32" t="s">
        <v>123</v>
      </c>
      <c r="F38" s="33"/>
      <c r="G38" s="34"/>
      <c r="H38" s="32"/>
      <c r="I38" s="32"/>
    </row>
    <row r="39" customFormat="false" ht="24" hidden="false" customHeight="true" outlineLevel="0" collapsed="false">
      <c r="A39" s="31" t="s">
        <v>130</v>
      </c>
      <c r="B39" s="31" t="s">
        <v>52</v>
      </c>
      <c r="C39" s="22" t="s">
        <v>131</v>
      </c>
      <c r="D39" s="32" t="s">
        <v>86</v>
      </c>
      <c r="E39" s="32" t="s">
        <v>123</v>
      </c>
      <c r="F39" s="33" t="s">
        <v>132</v>
      </c>
      <c r="G39" s="34"/>
      <c r="H39" s="32"/>
      <c r="I39" s="32"/>
    </row>
    <row r="40" customFormat="false" ht="15" hidden="false" customHeight="false" outlineLevel="0" collapsed="false">
      <c r="A40" s="29" t="s">
        <v>133</v>
      </c>
      <c r="B40" s="29"/>
      <c r="C40" s="29"/>
      <c r="D40" s="30" t="str">
        <f aca="false">IF(COUNTIF(D41:D46,"Pass")+COUNTIF(D41:D46,"Fail")=0,"","Completion: "&amp;TEXT(COUNTIF(D41:D46,"Pass")/(COUNTIF(D41:D46,"Pass")+COUNTIF(D41:D46,"Fail")),"0%"))</f>
        <v>Completion: 100%</v>
      </c>
      <c r="E40" s="30"/>
      <c r="F40" s="30"/>
      <c r="G40" s="13"/>
      <c r="H40" s="13"/>
      <c r="I40" s="13"/>
    </row>
    <row r="41" customFormat="false" ht="24" hidden="false" customHeight="true" outlineLevel="0" collapsed="false">
      <c r="A41" s="31" t="s">
        <v>134</v>
      </c>
      <c r="B41" s="31" t="s">
        <v>55</v>
      </c>
      <c r="C41" s="22" t="s">
        <v>135</v>
      </c>
      <c r="D41" s="32" t="s">
        <v>68</v>
      </c>
      <c r="E41" s="32" t="s">
        <v>74</v>
      </c>
      <c r="F41" s="33"/>
      <c r="G41" s="34"/>
      <c r="H41" s="32"/>
      <c r="I41" s="32"/>
    </row>
    <row r="42" customFormat="false" ht="24" hidden="false" customHeight="true" outlineLevel="0" collapsed="false">
      <c r="A42" s="31" t="s">
        <v>136</v>
      </c>
      <c r="B42" s="31" t="s">
        <v>55</v>
      </c>
      <c r="C42" s="22" t="s">
        <v>137</v>
      </c>
      <c r="D42" s="32" t="s">
        <v>68</v>
      </c>
      <c r="E42" s="32" t="s">
        <v>74</v>
      </c>
      <c r="F42" s="33"/>
      <c r="G42" s="34"/>
      <c r="H42" s="32"/>
      <c r="I42" s="32"/>
    </row>
    <row r="43" customFormat="false" ht="24" hidden="false" customHeight="true" outlineLevel="0" collapsed="false">
      <c r="A43" s="31" t="s">
        <v>138</v>
      </c>
      <c r="B43" s="31" t="s">
        <v>55</v>
      </c>
      <c r="C43" s="22" t="s">
        <v>139</v>
      </c>
      <c r="D43" s="32" t="s">
        <v>68</v>
      </c>
      <c r="E43" s="32" t="s">
        <v>74</v>
      </c>
      <c r="F43" s="33"/>
      <c r="G43" s="34"/>
      <c r="H43" s="32"/>
      <c r="I43" s="32"/>
    </row>
    <row r="44" customFormat="false" ht="24" hidden="false" customHeight="true" outlineLevel="0" collapsed="false">
      <c r="A44" s="31" t="s">
        <v>140</v>
      </c>
      <c r="B44" s="31" t="s">
        <v>55</v>
      </c>
      <c r="C44" s="22" t="s">
        <v>141</v>
      </c>
      <c r="D44" s="32" t="s">
        <v>68</v>
      </c>
      <c r="E44" s="32" t="s">
        <v>74</v>
      </c>
      <c r="F44" s="33"/>
      <c r="G44" s="34"/>
      <c r="H44" s="32"/>
      <c r="I44" s="32"/>
    </row>
    <row r="45" customFormat="false" ht="24" hidden="false" customHeight="true" outlineLevel="0" collapsed="false">
      <c r="A45" s="31" t="s">
        <v>142</v>
      </c>
      <c r="B45" s="31" t="s">
        <v>55</v>
      </c>
      <c r="C45" s="22" t="s">
        <v>143</v>
      </c>
      <c r="D45" s="32" t="s">
        <v>68</v>
      </c>
      <c r="E45" s="32" t="s">
        <v>46</v>
      </c>
      <c r="F45" s="33"/>
      <c r="G45" s="34"/>
      <c r="H45" s="32"/>
      <c r="I45" s="32"/>
    </row>
    <row r="46" customFormat="false" ht="24" hidden="false" customHeight="true" outlineLevel="0" collapsed="false">
      <c r="A46" s="31" t="s">
        <v>144</v>
      </c>
      <c r="B46" s="31" t="s">
        <v>55</v>
      </c>
      <c r="C46" s="22" t="s">
        <v>145</v>
      </c>
      <c r="D46" s="32" t="s">
        <v>146</v>
      </c>
      <c r="E46" s="32"/>
      <c r="F46" s="33" t="s">
        <v>147</v>
      </c>
      <c r="G46" s="34"/>
      <c r="H46" s="32"/>
      <c r="I46" s="32"/>
    </row>
  </sheetData>
  <autoFilter ref="A9:I200"/>
  <mergeCells count="24">
    <mergeCell ref="A1:F1"/>
    <mergeCell ref="G1:I1"/>
    <mergeCell ref="B2:C2"/>
    <mergeCell ref="E2:F2"/>
    <mergeCell ref="B3:C3"/>
    <mergeCell ref="E3:F3"/>
    <mergeCell ref="B4:C4"/>
    <mergeCell ref="E4:F4"/>
    <mergeCell ref="B5:C5"/>
    <mergeCell ref="E5:F5"/>
    <mergeCell ref="B6:C6"/>
    <mergeCell ref="E6:F6"/>
    <mergeCell ref="B7:C7"/>
    <mergeCell ref="E7:F7"/>
    <mergeCell ref="A10:C10"/>
    <mergeCell ref="D10:F10"/>
    <mergeCell ref="A19:C19"/>
    <mergeCell ref="D19:F19"/>
    <mergeCell ref="A27:C27"/>
    <mergeCell ref="D27:F27"/>
    <mergeCell ref="A34:C34"/>
    <mergeCell ref="D34:F34"/>
    <mergeCell ref="A40:C40"/>
    <mergeCell ref="D40:F40"/>
  </mergeCells>
  <conditionalFormatting sqref="H3">
    <cfRule type="cellIs" priority="2" operator="greaterThanOrEqual" aboveAverage="0" equalAverage="0" bottom="0" percent="0" rank="0" text="" dxfId="8">
      <formula>1</formula>
    </cfRule>
    <cfRule type="cellIs" priority="3" operator="between" aboveAverage="0" equalAverage="0" bottom="0" percent="0" rank="0" text="" dxfId="9">
      <formula>0.5</formula>
      <formula>0.99</formula>
    </cfRule>
    <cfRule type="cellIs" priority="4" operator="lessThan" aboveAverage="0" equalAverage="0" bottom="0" percent="0" rank="0" text="" dxfId="10">
      <formula>0.5</formula>
    </cfRule>
  </conditionalFormatting>
  <conditionalFormatting sqref="H4">
    <cfRule type="cellIs" priority="5" operator="greaterThanOrEqual" aboveAverage="0" equalAverage="0" bottom="0" percent="0" rank="0" text="" dxfId="8">
      <formula>1</formula>
    </cfRule>
    <cfRule type="cellIs" priority="6" operator="between" aboveAverage="0" equalAverage="0" bottom="0" percent="0" rank="0" text="" dxfId="9">
      <formula>0.5</formula>
      <formula>0.99</formula>
    </cfRule>
    <cfRule type="cellIs" priority="7" operator="lessThan" aboveAverage="0" equalAverage="0" bottom="0" percent="0" rank="0" text="" dxfId="10">
      <formula>0.5</formula>
    </cfRule>
  </conditionalFormatting>
  <conditionalFormatting sqref="H5">
    <cfRule type="cellIs" priority="8" operator="greaterThanOrEqual" aboveAverage="0" equalAverage="0" bottom="0" percent="0" rank="0" text="" dxfId="8">
      <formula>1</formula>
    </cfRule>
    <cfRule type="cellIs" priority="9" operator="between" aboveAverage="0" equalAverage="0" bottom="0" percent="0" rank="0" text="" dxfId="9">
      <formula>0.5</formula>
      <formula>0.99</formula>
    </cfRule>
    <cfRule type="cellIs" priority="10" operator="lessThan" aboveAverage="0" equalAverage="0" bottom="0" percent="0" rank="0" text="" dxfId="10">
      <formula>0.5</formula>
    </cfRule>
  </conditionalFormatting>
  <conditionalFormatting sqref="H6">
    <cfRule type="cellIs" priority="11" operator="greaterThanOrEqual" aboveAverage="0" equalAverage="0" bottom="0" percent="0" rank="0" text="" dxfId="8">
      <formula>1</formula>
    </cfRule>
    <cfRule type="cellIs" priority="12" operator="between" aboveAverage="0" equalAverage="0" bottom="0" percent="0" rank="0" text="" dxfId="9">
      <formula>0.5</formula>
      <formula>0.99</formula>
    </cfRule>
    <cfRule type="cellIs" priority="13" operator="lessThan" aboveAverage="0" equalAverage="0" bottom="0" percent="0" rank="0" text="" dxfId="10">
      <formula>0.5</formula>
    </cfRule>
  </conditionalFormatting>
  <conditionalFormatting sqref="H7">
    <cfRule type="cellIs" priority="14" operator="greaterThanOrEqual" aboveAverage="0" equalAverage="0" bottom="0" percent="0" rank="0" text="" dxfId="8">
      <formula>1</formula>
    </cfRule>
    <cfRule type="cellIs" priority="15" operator="between" aboveAverage="0" equalAverage="0" bottom="0" percent="0" rank="0" text="" dxfId="9">
      <formula>0.5</formula>
      <formula>0.99</formula>
    </cfRule>
    <cfRule type="cellIs" priority="16" operator="lessThan" aboveAverage="0" equalAverage="0" bottom="0" percent="0" rank="0" text="" dxfId="10">
      <formula>0.5</formula>
    </cfRule>
  </conditionalFormatting>
  <conditionalFormatting sqref="H8">
    <cfRule type="cellIs" priority="17" operator="greaterThanOrEqual" aboveAverage="0" equalAverage="0" bottom="0" percent="0" rank="0" text="" dxfId="8">
      <formula>1</formula>
    </cfRule>
    <cfRule type="cellIs" priority="18" operator="between" aboveAverage="0" equalAverage="0" bottom="0" percent="0" rank="0" text="" dxfId="9">
      <formula>0.5</formula>
      <formula>0.99</formula>
    </cfRule>
    <cfRule type="cellIs" priority="19" operator="lessThan" aboveAverage="0" equalAverage="0" bottom="0" percent="0" rank="0" text="" dxfId="10">
      <formula>0.5</formula>
    </cfRule>
  </conditionalFormatting>
  <conditionalFormatting sqref="D11:D46">
    <cfRule type="cellIs" priority="20" operator="equal" aboveAverage="0" equalAverage="0" bottom="0" percent="0" rank="0" text="" dxfId="8">
      <formula>"Pass"</formula>
    </cfRule>
    <cfRule type="cellIs" priority="21" operator="equal" aboveAverage="0" equalAverage="0" bottom="0" percent="0" rank="0" text="" dxfId="10">
      <formula>"Fail"</formula>
    </cfRule>
  </conditionalFormatting>
  <dataValidations count="1">
    <dataValidation allowBlank="true" error="Select Pass, Fail, or N/A" errorStyle="stop" operator="between" showDropDown="false" showErrorMessage="false" showInputMessage="false" sqref="D10:D200" type="list">
      <formula1>"Pass,Fail,N/A"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&amp;CPre-Commissioning Checklist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35" t="s">
        <v>148</v>
      </c>
    </row>
    <row r="2" customFormat="false" ht="15" hidden="false" customHeight="false" outlineLevel="0" collapsed="false">
      <c r="A2" s="35"/>
    </row>
    <row r="3" customFormat="false" ht="15" hidden="false" customHeight="false" outlineLevel="0" collapsed="false">
      <c r="A3" s="35" t="s">
        <v>149</v>
      </c>
    </row>
    <row r="4" customFormat="false" ht="15" hidden="false" customHeight="false" outlineLevel="0" collapsed="false">
      <c r="A4" s="35"/>
    </row>
    <row r="5" customFormat="false" ht="15" hidden="false" customHeight="false" outlineLevel="0" collapsed="false">
      <c r="A5" s="35" t="s">
        <v>150</v>
      </c>
    </row>
    <row r="6" customFormat="false" ht="15" hidden="false" customHeight="false" outlineLevel="0" collapsed="false">
      <c r="A6" s="35"/>
    </row>
    <row r="7" customFormat="false" ht="15" hidden="false" customHeight="false" outlineLevel="0" collapsed="false">
      <c r="A7" s="35" t="s">
        <v>151</v>
      </c>
    </row>
    <row r="8" customFormat="false" ht="15" hidden="false" customHeight="false" outlineLevel="0" collapsed="false">
      <c r="A8" s="35"/>
    </row>
    <row r="9" customFormat="false" ht="15" hidden="false" customHeight="false" outlineLevel="0" collapsed="false">
      <c r="A9" s="35" t="s">
        <v>152</v>
      </c>
    </row>
    <row r="10" customFormat="false" ht="15" hidden="false" customHeight="false" outlineLevel="0" collapsed="false">
      <c r="A10" s="35"/>
    </row>
    <row r="11" customFormat="false" ht="15" hidden="false" customHeight="false" outlineLevel="0" collapsed="false">
      <c r="A11" s="35" t="s">
        <v>153</v>
      </c>
    </row>
    <row r="12" customFormat="false" ht="15" hidden="false" customHeight="false" outlineLevel="0" collapsed="false">
      <c r="A12" s="35"/>
    </row>
    <row r="13" customFormat="false" ht="15" hidden="false" customHeight="false" outlineLevel="0" collapsed="false">
      <c r="A13" s="35" t="s">
        <v>154</v>
      </c>
    </row>
    <row r="14" customFormat="false" ht="15" hidden="false" customHeight="false" outlineLevel="0" collapsed="false">
      <c r="A14" s="35"/>
    </row>
    <row r="15" customFormat="false" ht="15" hidden="false" customHeight="false" outlineLevel="0" collapsed="false">
      <c r="A15" s="35" t="s">
        <v>155</v>
      </c>
    </row>
    <row r="16" customFormat="false" ht="15" hidden="false" customHeight="false" outlineLevel="0" collapsed="false">
      <c r="A16" s="35"/>
    </row>
    <row r="17" customFormat="false" ht="15" hidden="false" customHeight="false" outlineLevel="0" collapsed="false">
      <c r="A17" s="35"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 Commissioning</cp:category>
  <dcterms:created xsi:type="dcterms:W3CDTF">2026-03-22T20:45:38Z</dcterms:created>
  <dc:creator>Ebrora Ltd</dc:creator>
  <dc:description>A structured, category-banded checklist to verify that all mechanical, electrical, instrumentation, civil, and documentation prerequisites are complete before commissioning begins.
Free professional construction management template from Ebrora Ltd. Visit ebrora.com for our full range of tools and templates.</dc:description>
  <cp:keywords>Ebrora construction MEICA commissioning pre-commissioning checklist readiness inspection</cp:keywords>
  <dc:language>en-US</dc:language>
  <cp:lastModifiedBy>Ebrora Ltd</cp:lastModifiedBy>
  <dcterms:modified xsi:type="dcterms:W3CDTF">2026-03-22T20:45:38Z</dcterms:modified>
  <cp:revision>0</cp:revision>
  <dc:subject>Structured category-banded checklist to verify mechanical, electrical, instrumentation, civil, and documentation prerequisites are complete before commissioning.</dc:subject>
  <dc:title>Pre-Commissioning Checklist</dc:title>
</cp:coreProperties>
</file>

<file path=docProps/custom.xml><?xml version="1.0" encoding="utf-8"?>
<Properties xmlns="http://schemas.openxmlformats.org/officeDocument/2006/custom-properties" xmlns:vt="http://schemas.openxmlformats.org/officeDocument/2006/docPropsVTypes"/>
</file>