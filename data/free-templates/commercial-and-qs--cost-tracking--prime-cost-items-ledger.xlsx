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C Items Ledg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'PC Items Ledger'!$A$1:$L$50</definedName>
    <definedName function="false" hidden="false" localSheetId="2" name="_xlnm.Print_Titles" vbProcedure="false">'PC Items Ledger'!$1:$9</definedName>
    <definedName function="false" hidden="true" localSheetId="2" name="_xlnm._FilterDatabase" vbProcedure="false">'PC Items Ledger'!$A$9:$L$9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<sst xmlns="http://schemas.openxmlformats.org/spreadsheetml/2006/main" count="111" uniqueCount="103">
  <si>
    <t xml:space="preserve">EBRORA</t>
  </si>
  <si>
    <t xml:space="preserve">ebrora.com</t>
  </si>
  <si>
    <t xml:space="preserve">Prime Cost Items</t>
  </si>
  <si>
    <t xml:space="preserve">Ledger</t>
  </si>
  <si>
    <t xml:space="preserve">Track PC and Provisional Sum items with budget allowances,</t>
  </si>
  <si>
    <t xml:space="preserve">actual spend, variance, and supplier details.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</si>
  <si>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</si>
  <si>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</si>
  <si>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</si>
  <si>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</si>
  <si>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</si>
  <si>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</si>
  <si>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'PC Items Ledger' sheet. The financial summary auto-calculates from data rows below.</t>
  </si>
  <si>
    <t xml:space="preserve">2.</t>
  </si>
  <si>
    <t xml:space="preserve">Each row is one Prime Cost (PC) or Provisional Sum (PS) item from the contract BOQ.</t>
  </si>
  <si>
    <t xml:space="preserve">3.</t>
  </si>
  <si>
    <t xml:space="preserve">Enter the BOQ Allowance — the amount included in the contract for each PC/PS item.</t>
  </si>
  <si>
    <t xml:space="preserve">4.</t>
  </si>
  <si>
    <t xml:space="preserve">As quotations are received, record the quoted amount. Once approved, enter the Approved Spend.</t>
  </si>
  <si>
    <t xml:space="preserve">5.</t>
  </si>
  <si>
    <t xml:space="preserve">Actual Spend is the final invoiced/certified amount. Variance auto-calculates (BOQ Allowance minus Actual Spend).</t>
  </si>
  <si>
    <t xml:space="preserve">6.</t>
  </si>
  <si>
    <t xml:space="preserve">Positive variance = saving (green). Negative variance = overspend (red). Track these for final account adjustment.</t>
  </si>
  <si>
    <t xml:space="preserve">7.</t>
  </si>
  <si>
    <t xml:space="preserve">Record the Supplier and update the Status: Not Tendered, Tendered, Quoted, Approved, Complete, Cancelled.</t>
  </si>
  <si>
    <t xml:space="preserve">Colour Key</t>
  </si>
  <si>
    <t xml:space="preserve">Light teal cells (#E8F6F7) = User input / editable fields</t>
  </si>
  <si>
    <t xml:space="preserve">Dark navy headers (#1B2A4A) = Do not edit</t>
  </si>
  <si>
    <t xml:space="preserve">Green variance = Under-spend / saving</t>
  </si>
  <si>
    <t xml:space="preserve">Red variance = Overspend</t>
  </si>
  <si>
    <t xml:space="preserve">Amber = Tendered or Quoted (in progress)</t>
  </si>
  <si>
    <t xml:space="preserve">Tips</t>
  </si>
  <si>
    <t xml:space="preserve">Tip 1:</t>
  </si>
  <si>
    <t xml:space="preserve">PC items must be competitively tendered under most NEC contracts. Record all quotations received, not just the winning bid.</t>
  </si>
  <si>
    <t xml:space="preserve">Tip 2:</t>
  </si>
  <si>
    <t xml:space="preserve">The variance on PC/PS items is a common source of final account adjustment. Keep this ledger current.</t>
  </si>
  <si>
    <t xml:space="preserve">Tip 3:</t>
  </si>
  <si>
    <t xml:space="preserve">Filter by Status = 'Not Tendered' to see which items still need procurement action.</t>
  </si>
  <si>
    <t xml:space="preserve">Prime Cost Items Ledger — Financial Summary</t>
  </si>
  <si>
    <t xml:space="preserve">Total BOQ Allowance:</t>
  </si>
  <si>
    <t xml:space="preserve">Total Items:</t>
  </si>
  <si>
    <t xml:space="preserve">PC Items Allowance:</t>
  </si>
  <si>
    <t xml:space="preserve">Total Actual Spend:</t>
  </si>
  <si>
    <t xml:space="preserve">Items Complete:</t>
  </si>
  <si>
    <t xml:space="preserve">PS Items Allowance:</t>
  </si>
  <si>
    <t xml:space="preserve">Total Variance:</t>
  </si>
  <si>
    <t xml:space="preserve">Items Not Tendered:</t>
  </si>
  <si>
    <t xml:space="preserve">▼ PC &amp; PS Items</t>
  </si>
  <si>
    <t xml:space="preserve">Item Ref</t>
  </si>
  <si>
    <t xml:space="preserve">Description</t>
  </si>
  <si>
    <t xml:space="preserve">Type</t>
  </si>
  <si>
    <t xml:space="preserve">BOQ Allowance (£)</t>
  </si>
  <si>
    <t xml:space="preserve">Quotations Recd (£)</t>
  </si>
  <si>
    <t xml:space="preserve">Approved Spend (£)</t>
  </si>
  <si>
    <t xml:space="preserve">Actual Spend (£)</t>
  </si>
  <si>
    <t xml:space="preserve">Variance (£)</t>
  </si>
  <si>
    <t xml:space="preserve">% Expended</t>
  </si>
  <si>
    <t xml:space="preserve">Status</t>
  </si>
  <si>
    <t xml:space="preserve">Supplier</t>
  </si>
  <si>
    <t xml:space="preserve">Notes</t>
  </si>
  <si>
    <t xml:space="preserve">PC-001</t>
  </si>
  <si>
    <t xml:space="preserve">Utility diversions — gas, electric, water, telecoms</t>
  </si>
  <si>
    <t xml:space="preserve">PS</t>
  </si>
  <si>
    <t xml:space="preserve">Complete</t>
  </si>
  <si>
    <t xml:space="preserve">Various</t>
  </si>
  <si>
    <t xml:space="preserve">Actual less than PS allowance</t>
  </si>
  <si>
    <t xml:space="preserve">PC-002</t>
  </si>
  <si>
    <t xml:space="preserve">Structural steelwork — kiosk frames</t>
  </si>
  <si>
    <t xml:space="preserve">PC</t>
  </si>
  <si>
    <t xml:space="preserve">Steelcraft Ltd</t>
  </si>
  <si>
    <t xml:space="preserve">Saving due to design simplification</t>
  </si>
  <si>
    <t xml:space="preserve">PC-003</t>
  </si>
  <si>
    <t xml:space="preserve">UV disinfection system — supply only</t>
  </si>
  <si>
    <t xml:space="preserve">Approved</t>
  </si>
  <si>
    <t xml:space="preserve">Trojan Technologies</t>
  </si>
  <si>
    <t xml:space="preserve">Delivery expected month 8</t>
  </si>
  <si>
    <t xml:space="preserve">PC-004</t>
  </si>
  <si>
    <t xml:space="preserve">Landscaping and ecology mitigation</t>
  </si>
  <si>
    <t xml:space="preserve">Quoted</t>
  </si>
  <si>
    <t xml:space="preserve">TBC</t>
  </si>
  <si>
    <t xml:space="preserve">3 quotes received — all above PS allowance</t>
  </si>
  <si>
    <t xml:space="preserve">PC-005</t>
  </si>
  <si>
    <t xml:space="preserve">Traffic management — temporary signals</t>
  </si>
  <si>
    <t xml:space="preserve">Not Tendered</t>
  </si>
  <si>
    <t xml:space="preserve">Deferred to Phase 2</t>
  </si>
  <si>
    <t xml:space="preserve">PC-006</t>
  </si>
  <si>
    <t xml:space="preserve">Specialist welding — stainless steel pipework</t>
  </si>
  <si>
    <t xml:space="preserve">WeldPro Services</t>
  </si>
  <si>
    <t xml:space="preserve">Slight overspend on additional welds</t>
  </si>
  <si>
    <t xml:space="preserve">PC-007</t>
  </si>
  <si>
    <t xml:space="preserve">CCTV drainage survey</t>
  </si>
  <si>
    <t xml:space="preserve">DrainSurvey UK</t>
  </si>
  <si>
    <t xml:space="preserve">Under PS allowance</t>
  </si>
  <si>
    <t xml:space="preserve">GRAND TOTAL</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</si>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</sst>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00"/>
    <numFmt numFmtId="166" formatCode="0"/>
    <numFmt numFmtId="167" formatCode="\£#,##0.00;[RED]&quot;(£&quot;#,##0.00\);\-"/>
    <numFmt numFmtId="168"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4"/>
      <color rgb="FFFFFFFF"/>
      <name val="Calibri"/>
      <family val="0"/>
      <charset val="1"/>
    </font>
    <font>
      <b val="true"/>
      <sz val="12"/>
      <color rgb="FF1B2A4A"/>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5" fillId="0" borderId="2" xfId="0" applyFont="true" applyBorder="true" applyAlignment="false" applyProtection="false">
      <alignment horizontal="general" vertical="bottom" textRotation="0" wrapText="false" indent="0" shrinkToFit="false"/>
      <protection locked="true" hidden="false"/>
    </xf>
    <xf numFmtId="166" fontId="15" fillId="0" borderId="2" xfId="0" applyFont="true" applyBorder="true" applyAlignment="false" applyProtection="false">
      <alignment horizontal="general" vertical="bottom" textRotation="0" wrapText="false" indent="0" shrinkToFit="false"/>
      <protection locked="true" hidden="false"/>
    </xf>
    <xf numFmtId="167" fontId="15" fillId="0" borderId="2" xfId="0" applyFont="true" applyBorder="true" applyAlignment="false" applyProtection="false">
      <alignment horizontal="general"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5" fontId="11" fillId="4" borderId="2" xfId="0" applyFont="true" applyBorder="true" applyAlignment="true" applyProtection="false">
      <alignment horizontal="center" vertical="center" textRotation="0" wrapText="true" indent="0" shrinkToFit="false"/>
      <protection locked="true" hidden="false"/>
    </xf>
    <xf numFmtId="167" fontId="11" fillId="3" borderId="2" xfId="0" applyFont="true" applyBorder="true" applyAlignment="true" applyProtection="false">
      <alignment horizontal="right" vertical="center" textRotation="0" wrapText="false" indent="0" shrinkToFit="false"/>
      <protection locked="true" hidden="false"/>
    </xf>
    <xf numFmtId="168" fontId="11" fillId="3" borderId="2"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right"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5" fontId="16" fillId="2" borderId="2" xfId="0" applyFont="true" applyBorder="true" applyAlignment="true" applyProtection="false">
      <alignment horizontal="right" vertical="center" textRotation="0" wrapText="false" indent="0" shrinkToFit="false"/>
      <protection locked="true" hidden="false"/>
    </xf>
    <xf numFmtId="167" fontId="16" fillId="2" borderId="2" xfId="0" applyFont="true" applyBorder="true" applyAlignment="true" applyProtection="false">
      <alignment horizontal="right" vertical="center" textRotation="0" wrapText="false" indent="0" shrinkToFit="false"/>
      <protection locked="true" hidden="false"/>
    </xf>
    <xf numFmtId="168" fontId="16" fillId="2"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bgColor rgb="FF000000"/>
        </patternFill>
      </fill>
    </dxf>
    <dxf>
      <fill>
        <patternFill patternType="solid">
          <fgColor rgb="FFFFFFFF"/>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2"/>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15" hidden="false" customHeight="false" outlineLevel="0" collapsed="false">
      <c r="A7" s="11" t="s">
        <v>15</v>
      </c>
      <c r="B7" s="12" t="s">
        <v>16</v>
      </c>
    </row>
    <row r="8" customFormat="false" ht="15" hidden="false" customHeight="false" outlineLevel="0" collapsed="false">
      <c r="A8" s="11" t="s">
        <v>17</v>
      </c>
      <c r="B8" s="12" t="s">
        <v>18</v>
      </c>
    </row>
    <row r="9" customFormat="false" ht="15" hidden="false" customHeight="false" outlineLevel="0" collapsed="false">
      <c r="A9" s="11" t="s">
        <v>19</v>
      </c>
      <c r="B9" s="12" t="s">
        <v>20</v>
      </c>
    </row>
    <row r="10" customFormat="false" ht="15" hidden="false" customHeight="false" outlineLevel="0" collapsed="false">
      <c r="A10" s="11" t="s">
        <v>21</v>
      </c>
      <c r="B10" s="12" t="s">
        <v>22</v>
      </c>
    </row>
    <row r="11" customFormat="false" ht="15" hidden="false" customHeight="false" outlineLevel="0" collapsed="false">
      <c r="A11" s="11" t="s">
        <v>23</v>
      </c>
      <c r="B11" s="12" t="s">
        <v>24</v>
      </c>
    </row>
    <row r="12" customFormat="false" ht="15" hidden="false" customHeight="false" outlineLevel="0" collapsed="false">
      <c r="A12" s="11"/>
      <c r="B12" s="12"/>
    </row>
    <row r="13" customFormat="false" ht="15" hidden="false" customHeight="false" outlineLevel="0" collapsed="false">
      <c r="A13" s="13" t="s">
        <v>25</v>
      </c>
      <c r="B13" s="12"/>
    </row>
    <row r="14" customFormat="false" ht="15" hidden="false" customHeight="false" outlineLevel="0" collapsed="false">
      <c r="A14" s="11"/>
      <c r="B14" s="12" t="s">
        <v>26</v>
      </c>
    </row>
    <row r="15" customFormat="false" ht="15" hidden="false" customHeight="false" outlineLevel="0" collapsed="false">
      <c r="A15" s="11"/>
      <c r="B15" s="12" t="s">
        <v>27</v>
      </c>
    </row>
    <row r="16" customFormat="false" ht="15" hidden="false" customHeight="false" outlineLevel="0" collapsed="false">
      <c r="A16" s="11"/>
      <c r="B16" s="12" t="s">
        <v>28</v>
      </c>
    </row>
    <row r="17" customFormat="false" ht="15" hidden="false" customHeight="false" outlineLevel="0" collapsed="false">
      <c r="A17" s="11"/>
      <c r="B17" s="12" t="s">
        <v>29</v>
      </c>
    </row>
    <row r="18" customFormat="false" ht="15" hidden="false" customHeight="false" outlineLevel="0" collapsed="false">
      <c r="A18" s="11"/>
      <c r="B18" s="12" t="s">
        <v>30</v>
      </c>
    </row>
    <row r="19" customFormat="false" ht="15" hidden="false" customHeight="false" outlineLevel="0" collapsed="false">
      <c r="A19" s="11"/>
      <c r="B19" s="12"/>
    </row>
    <row r="20" customFormat="false" ht="15" hidden="false" customHeight="false" outlineLevel="0" collapsed="false">
      <c r="A20" s="13" t="s">
        <v>31</v>
      </c>
      <c r="B20" s="12"/>
    </row>
    <row r="21" customFormat="false" ht="23.85" hidden="false" customHeight="false" outlineLevel="0" collapsed="false">
      <c r="A21" s="14" t="s">
        <v>32</v>
      </c>
      <c r="B21" s="12" t="s">
        <v>33</v>
      </c>
    </row>
    <row r="22" customFormat="false" ht="15" hidden="false" customHeight="false" outlineLevel="0" collapsed="false">
      <c r="A22" s="14" t="s">
        <v>34</v>
      </c>
      <c r="B22" s="12" t="s">
        <v>35</v>
      </c>
    </row>
    <row r="23" customFormat="false" ht="15" hidden="false" customHeight="false" outlineLevel="0" collapsed="false">
      <c r="A23" s="14" t="s">
        <v>36</v>
      </c>
      <c r="B23" s="12" t="s">
        <v>37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0"/>
    <col collapsed="false" customWidth="true" hidden="false" outlineLevel="0" max="8" min="4" style="0" width="16"/>
    <col collapsed="false" customWidth="true" hidden="false" outlineLevel="0" max="9" min="9" style="0" width="12"/>
    <col collapsed="false" customWidth="true" hidden="false" outlineLevel="0" max="10" min="10" style="0" width="16"/>
    <col collapsed="false" customWidth="true" hidden="false" outlineLevel="0" max="11" min="11" style="0" width="20"/>
    <col collapsed="false" customWidth="true" hidden="false" outlineLevel="0" max="12" min="12" style="0" width="28"/>
  </cols>
  <sheetData>
    <row r="1" customFormat="false" ht="17.35" hidden="false" customHeight="false" outlineLevel="0" collapsed="false">
      <c r="A1" s="15" t="s">
        <v>38</v>
      </c>
      <c r="B1" s="15"/>
      <c r="C1" s="15"/>
      <c r="D1" s="15"/>
      <c r="E1" s="15"/>
      <c r="F1" s="15"/>
      <c r="G1" s="15"/>
      <c r="H1" s="15"/>
      <c r="I1" s="15"/>
      <c r="J1" s="15"/>
      <c r="K1" s="15"/>
      <c r="L1" s="15"/>
    </row>
    <row r="3" customFormat="false" ht="15" hidden="false" customHeight="false" outlineLevel="0" collapsed="false">
      <c r="B3" s="16" t="s">
        <v>39</v>
      </c>
      <c r="C3" s="17" t="n">
        <f aca="false">SUM(D10:D200)</f>
        <v>418000</v>
      </c>
      <c r="E3" s="16" t="s">
        <v>40</v>
      </c>
      <c r="F3" s="18" t="n">
        <f aca="false">COUNTA(A10:A200)</f>
        <v>7</v>
      </c>
      <c r="H3" s="16" t="s">
        <v>41</v>
      </c>
      <c r="I3" s="17" t="n">
        <f aca="false">SUMIF(C10:C200,"PC",D10:D200)</f>
        <v>183000</v>
      </c>
    </row>
    <row r="4" customFormat="false" ht="15" hidden="false" customHeight="false" outlineLevel="0" collapsed="false">
      <c r="B4" s="16" t="s">
        <v>42</v>
      </c>
      <c r="C4" s="17" t="n">
        <f aca="false">SUM(G10:G200)</f>
        <v>209500</v>
      </c>
      <c r="E4" s="16" t="s">
        <v>43</v>
      </c>
      <c r="F4" s="18" t="n">
        <f aca="false">COUNTIF(J10:J200,"Complete")</f>
        <v>4</v>
      </c>
      <c r="H4" s="16" t="s">
        <v>44</v>
      </c>
      <c r="I4" s="17" t="n">
        <f aca="false">SUMIF(C10:C200,"PS",D10:D200)</f>
        <v>235000</v>
      </c>
    </row>
    <row r="5" customFormat="false" ht="15" hidden="false" customHeight="false" outlineLevel="0" collapsed="false">
      <c r="B5" s="16" t="s">
        <v>45</v>
      </c>
      <c r="C5" s="19" t="n">
        <f aca="false">C3-C4</f>
        <v>208500</v>
      </c>
      <c r="E5" s="16" t="s">
        <v>46</v>
      </c>
      <c r="F5" s="18" t="n">
        <f aca="false">COUNTIF(J10:J200,"Not Tendered")</f>
        <v>1</v>
      </c>
    </row>
    <row r="8" customFormat="false" ht="15" hidden="false" customHeight="false" outlineLevel="0" collapsed="false">
      <c r="A8" s="20" t="s">
        <v>47</v>
      </c>
      <c r="B8" s="20"/>
      <c r="C8" s="20"/>
      <c r="D8" s="20"/>
      <c r="E8" s="20"/>
      <c r="F8" s="20"/>
      <c r="G8" s="20"/>
      <c r="H8" s="20"/>
      <c r="I8" s="20"/>
      <c r="J8" s="20"/>
      <c r="K8" s="20"/>
      <c r="L8" s="20"/>
    </row>
    <row r="9" customFormat="false" ht="28.35" hidden="false" customHeight="false" outlineLevel="0" collapsed="false">
      <c r="A9" s="21" t="s">
        <v>48</v>
      </c>
      <c r="B9" s="21" t="s">
        <v>49</v>
      </c>
      <c r="C9" s="21" t="s">
        <v>50</v>
      </c>
      <c r="D9" s="21" t="s">
        <v>51</v>
      </c>
      <c r="E9" s="21" t="s">
        <v>52</v>
      </c>
      <c r="F9" s="21" t="s">
        <v>53</v>
      </c>
      <c r="G9" s="21" t="s">
        <v>54</v>
      </c>
      <c r="H9" s="21" t="s">
        <v>55</v>
      </c>
      <c r="I9" s="21" t="s">
        <v>56</v>
      </c>
      <c r="J9" s="21" t="s">
        <v>57</v>
      </c>
      <c r="K9" s="21" t="s">
        <v>58</v>
      </c>
      <c r="L9" s="21" t="s">
        <v>59</v>
      </c>
    </row>
    <row r="10" customFormat="false" ht="23.85" hidden="false" customHeight="false" outlineLevel="0" collapsed="false">
      <c r="A10" s="22" t="s">
        <v>60</v>
      </c>
      <c r="B10" s="23" t="s">
        <v>61</v>
      </c>
      <c r="C10" s="22" t="s">
        <v>62</v>
      </c>
      <c r="D10" s="24" t="n">
        <v>150000</v>
      </c>
      <c r="E10" s="24" t="n">
        <v>138000</v>
      </c>
      <c r="F10" s="24" t="n">
        <v>138000</v>
      </c>
      <c r="G10" s="24" t="n">
        <v>138000</v>
      </c>
      <c r="H10" s="25" t="n">
        <f aca="false">IF(OR(D10="",G10=""),"",D10-G10)</f>
        <v>12000</v>
      </c>
      <c r="I10" s="26" t="n">
        <f aca="false">IF(OR(D10="",D10=0,G10=""),"",G10/D10)</f>
        <v>0.92</v>
      </c>
      <c r="J10" s="22" t="s">
        <v>63</v>
      </c>
      <c r="K10" s="22" t="s">
        <v>64</v>
      </c>
      <c r="L10" s="23" t="s">
        <v>65</v>
      </c>
    </row>
    <row r="11" customFormat="false" ht="15" hidden="false" customHeight="false" outlineLevel="0" collapsed="false">
      <c r="A11" s="22" t="s">
        <v>66</v>
      </c>
      <c r="B11" s="23" t="s">
        <v>67</v>
      </c>
      <c r="C11" s="22" t="s">
        <v>68</v>
      </c>
      <c r="D11" s="24" t="n">
        <v>35000</v>
      </c>
      <c r="E11" s="24" t="n">
        <v>32500</v>
      </c>
      <c r="F11" s="24" t="n">
        <v>32500</v>
      </c>
      <c r="G11" s="24" t="n">
        <v>31800</v>
      </c>
      <c r="H11" s="25" t="n">
        <f aca="false">IF(OR(D11="",G11=""),"",D11-G11)</f>
        <v>3200</v>
      </c>
      <c r="I11" s="26" t="n">
        <f aca="false">IF(OR(D11="",D11=0,G11=""),"",G11/D11)</f>
        <v>0.908571428571429</v>
      </c>
      <c r="J11" s="22" t="s">
        <v>63</v>
      </c>
      <c r="K11" s="22" t="s">
        <v>69</v>
      </c>
      <c r="L11" s="23" t="s">
        <v>70</v>
      </c>
    </row>
    <row r="12" customFormat="false" ht="15" hidden="false" customHeight="false" outlineLevel="0" collapsed="false">
      <c r="A12" s="22" t="s">
        <v>71</v>
      </c>
      <c r="B12" s="23" t="s">
        <v>72</v>
      </c>
      <c r="C12" s="22" t="s">
        <v>68</v>
      </c>
      <c r="D12" s="24" t="n">
        <v>120000</v>
      </c>
      <c r="E12" s="24" t="n">
        <v>118000</v>
      </c>
      <c r="F12" s="24" t="n">
        <v>118000</v>
      </c>
      <c r="G12" s="24" t="n">
        <v>0</v>
      </c>
      <c r="H12" s="25" t="n">
        <f aca="false">IF(OR(D12="",G12=""),"",D12-G12)</f>
        <v>120000</v>
      </c>
      <c r="I12" s="26" t="n">
        <f aca="false">IF(OR(D12="",D12=0,G12=""),"",G12/D12)</f>
        <v>0</v>
      </c>
      <c r="J12" s="22" t="s">
        <v>73</v>
      </c>
      <c r="K12" s="22" t="s">
        <v>74</v>
      </c>
      <c r="L12" s="23" t="s">
        <v>75</v>
      </c>
    </row>
    <row r="13" customFormat="false" ht="23.85" hidden="false" customHeight="false" outlineLevel="0" collapsed="false">
      <c r="A13" s="22" t="s">
        <v>76</v>
      </c>
      <c r="B13" s="23" t="s">
        <v>77</v>
      </c>
      <c r="C13" s="22" t="s">
        <v>62</v>
      </c>
      <c r="D13" s="24" t="n">
        <v>45000</v>
      </c>
      <c r="E13" s="24" t="n">
        <v>52000</v>
      </c>
      <c r="F13" s="24" t="n">
        <v>0</v>
      </c>
      <c r="G13" s="24" t="n">
        <v>0</v>
      </c>
      <c r="H13" s="25" t="n">
        <f aca="false">IF(OR(D13="",G13=""),"",D13-G13)</f>
        <v>45000</v>
      </c>
      <c r="I13" s="26" t="n">
        <f aca="false">IF(OR(D13="",D13=0,G13=""),"",G13/D13)</f>
        <v>0</v>
      </c>
      <c r="J13" s="22" t="s">
        <v>78</v>
      </c>
      <c r="K13" s="22" t="s">
        <v>79</v>
      </c>
      <c r="L13" s="23" t="s">
        <v>80</v>
      </c>
    </row>
    <row r="14" customFormat="false" ht="15" hidden="false" customHeight="false" outlineLevel="0" collapsed="false">
      <c r="A14" s="22" t="s">
        <v>81</v>
      </c>
      <c r="B14" s="23" t="s">
        <v>82</v>
      </c>
      <c r="C14" s="22" t="s">
        <v>62</v>
      </c>
      <c r="D14" s="24" t="n">
        <v>25000</v>
      </c>
      <c r="E14" s="24" t="n">
        <v>0</v>
      </c>
      <c r="F14" s="24" t="n">
        <v>0</v>
      </c>
      <c r="G14" s="24" t="n">
        <v>0</v>
      </c>
      <c r="H14" s="25" t="n">
        <f aca="false">IF(OR(D14="",G14=""),"",D14-G14)</f>
        <v>25000</v>
      </c>
      <c r="I14" s="26" t="n">
        <f aca="false">IF(OR(D14="",D14=0,G14=""),"",G14/D14)</f>
        <v>0</v>
      </c>
      <c r="J14" s="22" t="s">
        <v>83</v>
      </c>
      <c r="K14" s="22"/>
      <c r="L14" s="23" t="s">
        <v>84</v>
      </c>
    </row>
    <row r="15" customFormat="false" ht="15" hidden="false" customHeight="false" outlineLevel="0" collapsed="false">
      <c r="A15" s="22" t="s">
        <v>85</v>
      </c>
      <c r="B15" s="23" t="s">
        <v>86</v>
      </c>
      <c r="C15" s="22" t="s">
        <v>68</v>
      </c>
      <c r="D15" s="24" t="n">
        <v>28000</v>
      </c>
      <c r="E15" s="24" t="n">
        <v>26500</v>
      </c>
      <c r="F15" s="24" t="n">
        <v>26500</v>
      </c>
      <c r="G15" s="24" t="n">
        <v>27200</v>
      </c>
      <c r="H15" s="25" t="n">
        <f aca="false">IF(OR(D15="",G15=""),"",D15-G15)</f>
        <v>800</v>
      </c>
      <c r="I15" s="26" t="n">
        <f aca="false">IF(OR(D15="",D15=0,G15=""),"",G15/D15)</f>
        <v>0.971428571428571</v>
      </c>
      <c r="J15" s="22" t="s">
        <v>63</v>
      </c>
      <c r="K15" s="22" t="s">
        <v>87</v>
      </c>
      <c r="L15" s="23" t="s">
        <v>88</v>
      </c>
    </row>
    <row r="16" customFormat="false" ht="15" hidden="false" customHeight="false" outlineLevel="0" collapsed="false">
      <c r="A16" s="22" t="s">
        <v>89</v>
      </c>
      <c r="B16" s="23" t="s">
        <v>90</v>
      </c>
      <c r="C16" s="22" t="s">
        <v>62</v>
      </c>
      <c r="D16" s="24" t="n">
        <v>15000</v>
      </c>
      <c r="E16" s="24" t="n">
        <v>12500</v>
      </c>
      <c r="F16" s="24" t="n">
        <v>12500</v>
      </c>
      <c r="G16" s="24" t="n">
        <v>12500</v>
      </c>
      <c r="H16" s="25" t="n">
        <f aca="false">IF(OR(D16="",G16=""),"",D16-G16)</f>
        <v>2500</v>
      </c>
      <c r="I16" s="26" t="n">
        <f aca="false">IF(OR(D16="",D16=0,G16=""),"",G16/D16)</f>
        <v>0.833333333333333</v>
      </c>
      <c r="J16" s="22" t="s">
        <v>63</v>
      </c>
      <c r="K16" s="22" t="s">
        <v>91</v>
      </c>
      <c r="L16" s="23" t="s">
        <v>92</v>
      </c>
    </row>
    <row r="17" customFormat="false" ht="15" hidden="false" customHeight="false" outlineLevel="0" collapsed="false">
      <c r="A17" s="22"/>
      <c r="B17" s="23"/>
      <c r="C17" s="22"/>
      <c r="D17" s="24"/>
      <c r="E17" s="24"/>
      <c r="F17" s="24"/>
      <c r="G17" s="24"/>
      <c r="H17" s="25" t="str">
        <f aca="false">IF(OR(D17="",G17=""),"",D17-G17)</f>
        <v/>
      </c>
      <c r="I17" s="26" t="str">
        <f aca="false">IF(OR(D17="",D17=0,G17=""),"",G17/D17)</f>
        <v/>
      </c>
      <c r="J17" s="22"/>
      <c r="K17" s="22"/>
      <c r="L17" s="23"/>
    </row>
    <row r="18" customFormat="false" ht="15" hidden="false" customHeight="false" outlineLevel="0" collapsed="false">
      <c r="A18" s="22"/>
      <c r="B18" s="23"/>
      <c r="C18" s="22"/>
      <c r="D18" s="24"/>
      <c r="E18" s="24"/>
      <c r="F18" s="24"/>
      <c r="G18" s="24"/>
      <c r="H18" s="25" t="str">
        <f aca="false">IF(OR(D18="",G18=""),"",D18-G18)</f>
        <v/>
      </c>
      <c r="I18" s="26" t="str">
        <f aca="false">IF(OR(D18="",D18=0,G18=""),"",G18/D18)</f>
        <v/>
      </c>
      <c r="J18" s="22"/>
      <c r="K18" s="22"/>
      <c r="L18" s="23"/>
    </row>
    <row r="19" customFormat="false" ht="15" hidden="false" customHeight="false" outlineLevel="0" collapsed="false">
      <c r="A19" s="22"/>
      <c r="B19" s="23"/>
      <c r="C19" s="22"/>
      <c r="D19" s="24"/>
      <c r="E19" s="24"/>
      <c r="F19" s="24"/>
      <c r="G19" s="24"/>
      <c r="H19" s="25" t="str">
        <f aca="false">IF(OR(D19="",G19=""),"",D19-G19)</f>
        <v/>
      </c>
      <c r="I19" s="26" t="str">
        <f aca="false">IF(OR(D19="",D19=0,G19=""),"",G19/D19)</f>
        <v/>
      </c>
      <c r="J19" s="22"/>
      <c r="K19" s="22"/>
      <c r="L19" s="23"/>
    </row>
    <row r="20" customFormat="false" ht="15" hidden="false" customHeight="false" outlineLevel="0" collapsed="false">
      <c r="A20" s="22"/>
      <c r="B20" s="23"/>
      <c r="C20" s="22"/>
      <c r="D20" s="24"/>
      <c r="E20" s="24"/>
      <c r="F20" s="24"/>
      <c r="G20" s="24"/>
      <c r="H20" s="25" t="str">
        <f aca="false">IF(OR(D20="",G20=""),"",D20-G20)</f>
        <v/>
      </c>
      <c r="I20" s="26" t="str">
        <f aca="false">IF(OR(D20="",D20=0,G20=""),"",G20/D20)</f>
        <v/>
      </c>
      <c r="J20" s="22"/>
      <c r="K20" s="22"/>
      <c r="L20" s="23"/>
    </row>
    <row r="21" customFormat="false" ht="15" hidden="false" customHeight="false" outlineLevel="0" collapsed="false">
      <c r="A21" s="22"/>
      <c r="B21" s="23"/>
      <c r="C21" s="22"/>
      <c r="D21" s="24"/>
      <c r="E21" s="24"/>
      <c r="F21" s="24"/>
      <c r="G21" s="24"/>
      <c r="H21" s="25" t="str">
        <f aca="false">IF(OR(D21="",G21=""),"",D21-G21)</f>
        <v/>
      </c>
      <c r="I21" s="26" t="str">
        <f aca="false">IF(OR(D21="",D21=0,G21=""),"",G21/D21)</f>
        <v/>
      </c>
      <c r="J21" s="22"/>
      <c r="K21" s="22"/>
      <c r="L21" s="23"/>
    </row>
    <row r="22" customFormat="false" ht="15" hidden="false" customHeight="false" outlineLevel="0" collapsed="false">
      <c r="A22" s="22"/>
      <c r="B22" s="23"/>
      <c r="C22" s="22"/>
      <c r="D22" s="24"/>
      <c r="E22" s="24"/>
      <c r="F22" s="24"/>
      <c r="G22" s="24"/>
      <c r="H22" s="25" t="str">
        <f aca="false">IF(OR(D22="",G22=""),"",D22-G22)</f>
        <v/>
      </c>
      <c r="I22" s="26" t="str">
        <f aca="false">IF(OR(D22="",D22=0,G22=""),"",G22/D22)</f>
        <v/>
      </c>
      <c r="J22" s="22"/>
      <c r="K22" s="22"/>
      <c r="L22" s="23"/>
    </row>
    <row r="23" customFormat="false" ht="15" hidden="false" customHeight="false" outlineLevel="0" collapsed="false">
      <c r="A23" s="22"/>
      <c r="B23" s="23"/>
      <c r="C23" s="22"/>
      <c r="D23" s="24"/>
      <c r="E23" s="24"/>
      <c r="F23" s="24"/>
      <c r="G23" s="24"/>
      <c r="H23" s="25" t="str">
        <f aca="false">IF(OR(D23="",G23=""),"",D23-G23)</f>
        <v/>
      </c>
      <c r="I23" s="26" t="str">
        <f aca="false">IF(OR(D23="",D23=0,G23=""),"",G23/D23)</f>
        <v/>
      </c>
      <c r="J23" s="22"/>
      <c r="K23" s="22"/>
      <c r="L23" s="23"/>
    </row>
    <row r="24" customFormat="false" ht="15" hidden="false" customHeight="false" outlineLevel="0" collapsed="false">
      <c r="A24" s="22"/>
      <c r="B24" s="23"/>
      <c r="C24" s="22"/>
      <c r="D24" s="24"/>
      <c r="E24" s="24"/>
      <c r="F24" s="24"/>
      <c r="G24" s="24"/>
      <c r="H24" s="25" t="str">
        <f aca="false">IF(OR(D24="",G24=""),"",D24-G24)</f>
        <v/>
      </c>
      <c r="I24" s="26" t="str">
        <f aca="false">IF(OR(D24="",D24=0,G24=""),"",G24/D24)</f>
        <v/>
      </c>
      <c r="J24" s="22"/>
      <c r="K24" s="22"/>
      <c r="L24" s="23"/>
    </row>
    <row r="25" customFormat="false" ht="15" hidden="false" customHeight="false" outlineLevel="0" collapsed="false">
      <c r="A25" s="22"/>
      <c r="B25" s="23"/>
      <c r="C25" s="22"/>
      <c r="D25" s="24"/>
      <c r="E25" s="24"/>
      <c r="F25" s="24"/>
      <c r="G25" s="24"/>
      <c r="H25" s="25" t="str">
        <f aca="false">IF(OR(D25="",G25=""),"",D25-G25)</f>
        <v/>
      </c>
      <c r="I25" s="26" t="str">
        <f aca="false">IF(OR(D25="",D25=0,G25=""),"",G25/D25)</f>
        <v/>
      </c>
      <c r="J25" s="22"/>
      <c r="K25" s="22"/>
      <c r="L25" s="23"/>
    </row>
    <row r="26" customFormat="false" ht="15" hidden="false" customHeight="false" outlineLevel="0" collapsed="false">
      <c r="A26" s="22"/>
      <c r="B26" s="23"/>
      <c r="C26" s="22"/>
      <c r="D26" s="24"/>
      <c r="E26" s="24"/>
      <c r="F26" s="24"/>
      <c r="G26" s="24"/>
      <c r="H26" s="25" t="str">
        <f aca="false">IF(OR(D26="",G26=""),"",D26-G26)</f>
        <v/>
      </c>
      <c r="I26" s="26" t="str">
        <f aca="false">IF(OR(D26="",D26=0,G26=""),"",G26/D26)</f>
        <v/>
      </c>
      <c r="J26" s="22"/>
      <c r="K26" s="22"/>
      <c r="L26" s="23"/>
    </row>
    <row r="27" customFormat="false" ht="15" hidden="false" customHeight="false" outlineLevel="0" collapsed="false">
      <c r="A27" s="22"/>
      <c r="B27" s="23"/>
      <c r="C27" s="22"/>
      <c r="D27" s="24"/>
      <c r="E27" s="24"/>
      <c r="F27" s="24"/>
      <c r="G27" s="24"/>
      <c r="H27" s="25" t="str">
        <f aca="false">IF(OR(D27="",G27=""),"",D27-G27)</f>
        <v/>
      </c>
      <c r="I27" s="26" t="str">
        <f aca="false">IF(OR(D27="",D27=0,G27=""),"",G27/D27)</f>
        <v/>
      </c>
      <c r="J27" s="22"/>
      <c r="K27" s="22"/>
      <c r="L27" s="23"/>
    </row>
    <row r="28" customFormat="false" ht="15" hidden="false" customHeight="false" outlineLevel="0" collapsed="false">
      <c r="A28" s="22"/>
      <c r="B28" s="23"/>
      <c r="C28" s="22"/>
      <c r="D28" s="24"/>
      <c r="E28" s="24"/>
      <c r="F28" s="24"/>
      <c r="G28" s="24"/>
      <c r="H28" s="25" t="str">
        <f aca="false">IF(OR(D28="",G28=""),"",D28-G28)</f>
        <v/>
      </c>
      <c r="I28" s="26" t="str">
        <f aca="false">IF(OR(D28="",D28=0,G28=""),"",G28/D28)</f>
        <v/>
      </c>
      <c r="J28" s="22"/>
      <c r="K28" s="22"/>
      <c r="L28" s="23"/>
    </row>
    <row r="29" customFormat="false" ht="15" hidden="false" customHeight="false" outlineLevel="0" collapsed="false">
      <c r="A29" s="22"/>
      <c r="B29" s="23"/>
      <c r="C29" s="22"/>
      <c r="D29" s="24"/>
      <c r="E29" s="24"/>
      <c r="F29" s="24"/>
      <c r="G29" s="24"/>
      <c r="H29" s="25" t="str">
        <f aca="false">IF(OR(D29="",G29=""),"",D29-G29)</f>
        <v/>
      </c>
      <c r="I29" s="26" t="str">
        <f aca="false">IF(OR(D29="",D29=0,G29=""),"",G29/D29)</f>
        <v/>
      </c>
      <c r="J29" s="22"/>
      <c r="K29" s="22"/>
      <c r="L29" s="23"/>
    </row>
    <row r="30" customFormat="false" ht="15" hidden="false" customHeight="false" outlineLevel="0" collapsed="false">
      <c r="A30" s="22"/>
      <c r="B30" s="23"/>
      <c r="C30" s="22"/>
      <c r="D30" s="24"/>
      <c r="E30" s="24"/>
      <c r="F30" s="24"/>
      <c r="G30" s="24"/>
      <c r="H30" s="25" t="str">
        <f aca="false">IF(OR(D30="",G30=""),"",D30-G30)</f>
        <v/>
      </c>
      <c r="I30" s="26" t="str">
        <f aca="false">IF(OR(D30="",D30=0,G30=""),"",G30/D30)</f>
        <v/>
      </c>
      <c r="J30" s="22"/>
      <c r="K30" s="22"/>
      <c r="L30" s="23"/>
    </row>
    <row r="31" customFormat="false" ht="15" hidden="false" customHeight="false" outlineLevel="0" collapsed="false">
      <c r="A31" s="22"/>
      <c r="B31" s="23"/>
      <c r="C31" s="22"/>
      <c r="D31" s="24"/>
      <c r="E31" s="24"/>
      <c r="F31" s="24"/>
      <c r="G31" s="24"/>
      <c r="H31" s="25" t="str">
        <f aca="false">IF(OR(D31="",G31=""),"",D31-G31)</f>
        <v/>
      </c>
      <c r="I31" s="26" t="str">
        <f aca="false">IF(OR(D31="",D31=0,G31=""),"",G31/D31)</f>
        <v/>
      </c>
      <c r="J31" s="22"/>
      <c r="K31" s="22"/>
      <c r="L31" s="23"/>
    </row>
    <row r="32" customFormat="false" ht="15" hidden="false" customHeight="false" outlineLevel="0" collapsed="false">
      <c r="A32" s="22"/>
      <c r="B32" s="23"/>
      <c r="C32" s="22"/>
      <c r="D32" s="24"/>
      <c r="E32" s="24"/>
      <c r="F32" s="24"/>
      <c r="G32" s="24"/>
      <c r="H32" s="25" t="str">
        <f aca="false">IF(OR(D32="",G32=""),"",D32-G32)</f>
        <v/>
      </c>
      <c r="I32" s="26" t="str">
        <f aca="false">IF(OR(D32="",D32=0,G32=""),"",G32/D32)</f>
        <v/>
      </c>
      <c r="J32" s="22"/>
      <c r="K32" s="22"/>
      <c r="L32" s="23"/>
    </row>
    <row r="33" customFormat="false" ht="15" hidden="false" customHeight="false" outlineLevel="0" collapsed="false">
      <c r="A33" s="22"/>
      <c r="B33" s="23"/>
      <c r="C33" s="22"/>
      <c r="D33" s="24"/>
      <c r="E33" s="24"/>
      <c r="F33" s="24"/>
      <c r="G33" s="24"/>
      <c r="H33" s="25" t="str">
        <f aca="false">IF(OR(D33="",G33=""),"",D33-G33)</f>
        <v/>
      </c>
      <c r="I33" s="26" t="str">
        <f aca="false">IF(OR(D33="",D33=0,G33=""),"",G33/D33)</f>
        <v/>
      </c>
      <c r="J33" s="22"/>
      <c r="K33" s="22"/>
      <c r="L33" s="23"/>
    </row>
    <row r="34" customFormat="false" ht="15" hidden="false" customHeight="false" outlineLevel="0" collapsed="false">
      <c r="A34" s="22"/>
      <c r="B34" s="23"/>
      <c r="C34" s="22"/>
      <c r="D34" s="24"/>
      <c r="E34" s="24"/>
      <c r="F34" s="24"/>
      <c r="G34" s="24"/>
      <c r="H34" s="25" t="str">
        <f aca="false">IF(OR(D34="",G34=""),"",D34-G34)</f>
        <v/>
      </c>
      <c r="I34" s="26" t="str">
        <f aca="false">IF(OR(D34="",D34=0,G34=""),"",G34/D34)</f>
        <v/>
      </c>
      <c r="J34" s="22"/>
      <c r="K34" s="22"/>
      <c r="L34" s="23"/>
    </row>
    <row r="35" customFormat="false" ht="15" hidden="false" customHeight="false" outlineLevel="0" collapsed="false">
      <c r="A35" s="22"/>
      <c r="B35" s="23"/>
      <c r="C35" s="22"/>
      <c r="D35" s="24"/>
      <c r="E35" s="24"/>
      <c r="F35" s="24"/>
      <c r="G35" s="24"/>
      <c r="H35" s="25" t="str">
        <f aca="false">IF(OR(D35="",G35=""),"",D35-G35)</f>
        <v/>
      </c>
      <c r="I35" s="26" t="str">
        <f aca="false">IF(OR(D35="",D35=0,G35=""),"",G35/D35)</f>
        <v/>
      </c>
      <c r="J35" s="22"/>
      <c r="K35" s="22"/>
      <c r="L35" s="23"/>
    </row>
    <row r="36" customFormat="false" ht="15" hidden="false" customHeight="false" outlineLevel="0" collapsed="false">
      <c r="A36" s="22"/>
      <c r="B36" s="23"/>
      <c r="C36" s="22"/>
      <c r="D36" s="24"/>
      <c r="E36" s="24"/>
      <c r="F36" s="24"/>
      <c r="G36" s="24"/>
      <c r="H36" s="25" t="str">
        <f aca="false">IF(OR(D36="",G36=""),"",D36-G36)</f>
        <v/>
      </c>
      <c r="I36" s="26" t="str">
        <f aca="false">IF(OR(D36="",D36=0,G36=""),"",G36/D36)</f>
        <v/>
      </c>
      <c r="J36" s="22"/>
      <c r="K36" s="22"/>
      <c r="L36" s="23"/>
    </row>
    <row r="37" customFormat="false" ht="15" hidden="false" customHeight="false" outlineLevel="0" collapsed="false">
      <c r="A37" s="22"/>
      <c r="B37" s="23"/>
      <c r="C37" s="22"/>
      <c r="D37" s="24"/>
      <c r="E37" s="24"/>
      <c r="F37" s="24"/>
      <c r="G37" s="24"/>
      <c r="H37" s="25" t="str">
        <f aca="false">IF(OR(D37="",G37=""),"",D37-G37)</f>
        <v/>
      </c>
      <c r="I37" s="26" t="str">
        <f aca="false">IF(OR(D37="",D37=0,G37=""),"",G37/D37)</f>
        <v/>
      </c>
      <c r="J37" s="22"/>
      <c r="K37" s="22"/>
      <c r="L37" s="23"/>
    </row>
    <row r="38" customFormat="false" ht="15" hidden="false" customHeight="false" outlineLevel="0" collapsed="false">
      <c r="A38" s="22"/>
      <c r="B38" s="23"/>
      <c r="C38" s="22"/>
      <c r="D38" s="24"/>
      <c r="E38" s="24"/>
      <c r="F38" s="24"/>
      <c r="G38" s="24"/>
      <c r="H38" s="25" t="str">
        <f aca="false">IF(OR(D38="",G38=""),"",D38-G38)</f>
        <v/>
      </c>
      <c r="I38" s="26" t="str">
        <f aca="false">IF(OR(D38="",D38=0,G38=""),"",G38/D38)</f>
        <v/>
      </c>
      <c r="J38" s="22"/>
      <c r="K38" s="22"/>
      <c r="L38" s="23"/>
    </row>
    <row r="39" customFormat="false" ht="15" hidden="false" customHeight="false" outlineLevel="0" collapsed="false">
      <c r="A39" s="22"/>
      <c r="B39" s="23"/>
      <c r="C39" s="22"/>
      <c r="D39" s="24"/>
      <c r="E39" s="24"/>
      <c r="F39" s="24"/>
      <c r="G39" s="24"/>
      <c r="H39" s="25" t="str">
        <f aca="false">IF(OR(D39="",G39=""),"",D39-G39)</f>
        <v/>
      </c>
      <c r="I39" s="26" t="str">
        <f aca="false">IF(OR(D39="",D39=0,G39=""),"",G39/D39)</f>
        <v/>
      </c>
      <c r="J39" s="22"/>
      <c r="K39" s="22"/>
      <c r="L39" s="23"/>
    </row>
    <row r="40" customFormat="false" ht="15" hidden="false" customHeight="false" outlineLevel="0" collapsed="false">
      <c r="A40" s="22"/>
      <c r="B40" s="23"/>
      <c r="C40" s="22"/>
      <c r="D40" s="24"/>
      <c r="E40" s="24"/>
      <c r="F40" s="24"/>
      <c r="G40" s="24"/>
      <c r="H40" s="25" t="str">
        <f aca="false">IF(OR(D40="",G40=""),"",D40-G40)</f>
        <v/>
      </c>
      <c r="I40" s="26" t="str">
        <f aca="false">IF(OR(D40="",D40=0,G40=""),"",G40/D40)</f>
        <v/>
      </c>
      <c r="J40" s="22"/>
      <c r="K40" s="22"/>
      <c r="L40" s="23"/>
    </row>
    <row r="41" customFormat="false" ht="15" hidden="false" customHeight="false" outlineLevel="0" collapsed="false">
      <c r="A41" s="22"/>
      <c r="B41" s="23"/>
      <c r="C41" s="22"/>
      <c r="D41" s="24"/>
      <c r="E41" s="24"/>
      <c r="F41" s="24"/>
      <c r="G41" s="24"/>
      <c r="H41" s="25" t="str">
        <f aca="false">IF(OR(D41="",G41=""),"",D41-G41)</f>
        <v/>
      </c>
      <c r="I41" s="26" t="str">
        <f aca="false">IF(OR(D41="",D41=0,G41=""),"",G41/D41)</f>
        <v/>
      </c>
      <c r="J41" s="22"/>
      <c r="K41" s="22"/>
      <c r="L41" s="23"/>
    </row>
    <row r="42" customFormat="false" ht="15" hidden="false" customHeight="false" outlineLevel="0" collapsed="false">
      <c r="A42" s="22"/>
      <c r="B42" s="23"/>
      <c r="C42" s="22"/>
      <c r="D42" s="24"/>
      <c r="E42" s="24"/>
      <c r="F42" s="24"/>
      <c r="G42" s="24"/>
      <c r="H42" s="25" t="str">
        <f aca="false">IF(OR(D42="",G42=""),"",D42-G42)</f>
        <v/>
      </c>
      <c r="I42" s="26" t="str">
        <f aca="false">IF(OR(D42="",D42=0,G42=""),"",G42/D42)</f>
        <v/>
      </c>
      <c r="J42" s="22"/>
      <c r="K42" s="22"/>
      <c r="L42" s="23"/>
    </row>
    <row r="43" customFormat="false" ht="15" hidden="false" customHeight="false" outlineLevel="0" collapsed="false">
      <c r="A43" s="22"/>
      <c r="B43" s="23"/>
      <c r="C43" s="22"/>
      <c r="D43" s="24"/>
      <c r="E43" s="24"/>
      <c r="F43" s="24"/>
      <c r="G43" s="24"/>
      <c r="H43" s="25" t="str">
        <f aca="false">IF(OR(D43="",G43=""),"",D43-G43)</f>
        <v/>
      </c>
      <c r="I43" s="26" t="str">
        <f aca="false">IF(OR(D43="",D43=0,G43=""),"",G43/D43)</f>
        <v/>
      </c>
      <c r="J43" s="22"/>
      <c r="K43" s="22"/>
      <c r="L43" s="23"/>
    </row>
    <row r="44" customFormat="false" ht="15" hidden="false" customHeight="false" outlineLevel="0" collapsed="false">
      <c r="A44" s="22"/>
      <c r="B44" s="23"/>
      <c r="C44" s="22"/>
      <c r="D44" s="24"/>
      <c r="E44" s="24"/>
      <c r="F44" s="24"/>
      <c r="G44" s="24"/>
      <c r="H44" s="25" t="str">
        <f aca="false">IF(OR(D44="",G44=""),"",D44-G44)</f>
        <v/>
      </c>
      <c r="I44" s="26" t="str">
        <f aca="false">IF(OR(D44="",D44=0,G44=""),"",G44/D44)</f>
        <v/>
      </c>
      <c r="J44" s="22"/>
      <c r="K44" s="22"/>
      <c r="L44" s="23"/>
    </row>
    <row r="45" customFormat="false" ht="15" hidden="false" customHeight="false" outlineLevel="0" collapsed="false">
      <c r="A45" s="22"/>
      <c r="B45" s="23"/>
      <c r="C45" s="22"/>
      <c r="D45" s="24"/>
      <c r="E45" s="24"/>
      <c r="F45" s="24"/>
      <c r="G45" s="24"/>
      <c r="H45" s="25" t="str">
        <f aca="false">IF(OR(D45="",G45=""),"",D45-G45)</f>
        <v/>
      </c>
      <c r="I45" s="26" t="str">
        <f aca="false">IF(OR(D45="",D45=0,G45=""),"",G45/D45)</f>
        <v/>
      </c>
      <c r="J45" s="22"/>
      <c r="K45" s="22"/>
      <c r="L45" s="23"/>
    </row>
    <row r="46" customFormat="false" ht="15" hidden="false" customHeight="false" outlineLevel="0" collapsed="false">
      <c r="A46" s="22"/>
      <c r="B46" s="23"/>
      <c r="C46" s="22"/>
      <c r="D46" s="24"/>
      <c r="E46" s="24"/>
      <c r="F46" s="24"/>
      <c r="G46" s="24"/>
      <c r="H46" s="25" t="str">
        <f aca="false">IF(OR(D46="",G46=""),"",D46-G46)</f>
        <v/>
      </c>
      <c r="I46" s="26" t="str">
        <f aca="false">IF(OR(D46="",D46=0,G46=""),"",G46/D46)</f>
        <v/>
      </c>
      <c r="J46" s="22"/>
      <c r="K46" s="22"/>
      <c r="L46" s="23"/>
    </row>
    <row r="47" customFormat="false" ht="15" hidden="false" customHeight="false" outlineLevel="0" collapsed="false">
      <c r="A47" s="22"/>
      <c r="B47" s="23"/>
      <c r="C47" s="22"/>
      <c r="D47" s="24"/>
      <c r="E47" s="24"/>
      <c r="F47" s="24"/>
      <c r="G47" s="24"/>
      <c r="H47" s="25" t="str">
        <f aca="false">IF(OR(D47="",G47=""),"",D47-G47)</f>
        <v/>
      </c>
      <c r="I47" s="26" t="str">
        <f aca="false">IF(OR(D47="",D47=0,G47=""),"",G47/D47)</f>
        <v/>
      </c>
      <c r="J47" s="22"/>
      <c r="K47" s="22"/>
      <c r="L47" s="23"/>
    </row>
    <row r="48" customFormat="false" ht="15" hidden="false" customHeight="false" outlineLevel="0" collapsed="false">
      <c r="A48" s="22"/>
      <c r="B48" s="23"/>
      <c r="C48" s="22"/>
      <c r="D48" s="24"/>
      <c r="E48" s="24"/>
      <c r="F48" s="24"/>
      <c r="G48" s="24"/>
      <c r="H48" s="25" t="str">
        <f aca="false">IF(OR(D48="",G48=""),"",D48-G48)</f>
        <v/>
      </c>
      <c r="I48" s="26" t="str">
        <f aca="false">IF(OR(D48="",D48=0,G48=""),"",G48/D48)</f>
        <v/>
      </c>
      <c r="J48" s="22"/>
      <c r="K48" s="22"/>
      <c r="L48" s="23"/>
    </row>
    <row r="49" customFormat="false" ht="15" hidden="false" customHeight="false" outlineLevel="0" collapsed="false">
      <c r="A49" s="22"/>
      <c r="B49" s="23"/>
      <c r="C49" s="22"/>
      <c r="D49" s="24"/>
      <c r="E49" s="24"/>
      <c r="F49" s="24"/>
      <c r="G49" s="24"/>
      <c r="H49" s="25" t="str">
        <f aca="false">IF(OR(D49="",G49=""),"",D49-G49)</f>
        <v/>
      </c>
      <c r="I49" s="26" t="str">
        <f aca="false">IF(OR(D49="",D49=0,G49=""),"",G49/D49)</f>
        <v/>
      </c>
      <c r="J49" s="22"/>
      <c r="K49" s="22"/>
      <c r="L49" s="23"/>
    </row>
    <row r="50" customFormat="false" ht="15" hidden="false" customHeight="false" outlineLevel="0" collapsed="false">
      <c r="A50" s="22"/>
      <c r="B50" s="23"/>
      <c r="C50" s="22"/>
      <c r="D50" s="24"/>
      <c r="E50" s="24"/>
      <c r="F50" s="24"/>
      <c r="G50" s="24"/>
      <c r="H50" s="25" t="str">
        <f aca="false">IF(OR(D50="",G50=""),"",D50-G50)</f>
        <v/>
      </c>
      <c r="I50" s="26" t="str">
        <f aca="false">IF(OR(D50="",D50=0,G50=""),"",G50/D50)</f>
        <v/>
      </c>
      <c r="J50" s="22"/>
      <c r="K50" s="22"/>
      <c r="L50" s="23"/>
    </row>
    <row r="51" customFormat="false" ht="15" hidden="false" customHeight="false" outlineLevel="0" collapsed="false">
      <c r="A51" s="22"/>
      <c r="B51" s="23"/>
      <c r="C51" s="22"/>
      <c r="D51" s="24"/>
      <c r="E51" s="24"/>
      <c r="F51" s="24"/>
      <c r="G51" s="24"/>
      <c r="H51" s="25" t="str">
        <f aca="false">IF(OR(D51="",G51=""),"",D51-G51)</f>
        <v/>
      </c>
      <c r="I51" s="26" t="str">
        <f aca="false">IF(OR(D51="",D51=0,G51=""),"",G51/D51)</f>
        <v/>
      </c>
      <c r="J51" s="22"/>
      <c r="K51" s="22"/>
      <c r="L51" s="23"/>
    </row>
    <row r="52" customFormat="false" ht="15" hidden="false" customHeight="false" outlineLevel="0" collapsed="false">
      <c r="A52" s="22"/>
      <c r="B52" s="23"/>
      <c r="C52" s="22"/>
      <c r="D52" s="24"/>
      <c r="E52" s="24"/>
      <c r="F52" s="24"/>
      <c r="G52" s="24"/>
      <c r="H52" s="25" t="str">
        <f aca="false">IF(OR(D52="",G52=""),"",D52-G52)</f>
        <v/>
      </c>
      <c r="I52" s="26" t="str">
        <f aca="false">IF(OR(D52="",D52=0,G52=""),"",G52/D52)</f>
        <v/>
      </c>
      <c r="J52" s="22"/>
      <c r="K52" s="22"/>
      <c r="L52" s="23"/>
    </row>
    <row r="53" customFormat="false" ht="15" hidden="false" customHeight="false" outlineLevel="0" collapsed="false">
      <c r="A53" s="22"/>
      <c r="B53" s="23"/>
      <c r="C53" s="22"/>
      <c r="D53" s="24"/>
      <c r="E53" s="24"/>
      <c r="F53" s="24"/>
      <c r="G53" s="24"/>
      <c r="H53" s="25" t="str">
        <f aca="false">IF(OR(D53="",G53=""),"",D53-G53)</f>
        <v/>
      </c>
      <c r="I53" s="26" t="str">
        <f aca="false">IF(OR(D53="",D53=0,G53=""),"",G53/D53)</f>
        <v/>
      </c>
      <c r="J53" s="22"/>
      <c r="K53" s="22"/>
      <c r="L53" s="23"/>
    </row>
    <row r="54" customFormat="false" ht="15" hidden="false" customHeight="false" outlineLevel="0" collapsed="false">
      <c r="A54" s="22"/>
      <c r="B54" s="23"/>
      <c r="C54" s="22"/>
      <c r="D54" s="24"/>
      <c r="E54" s="24"/>
      <c r="F54" s="24"/>
      <c r="G54" s="24"/>
      <c r="H54" s="25" t="str">
        <f aca="false">IF(OR(D54="",G54=""),"",D54-G54)</f>
        <v/>
      </c>
      <c r="I54" s="26" t="str">
        <f aca="false">IF(OR(D54="",D54=0,G54=""),"",G54/D54)</f>
        <v/>
      </c>
      <c r="J54" s="22"/>
      <c r="K54" s="22"/>
      <c r="L54" s="23"/>
    </row>
    <row r="55" customFormat="false" ht="15" hidden="false" customHeight="false" outlineLevel="0" collapsed="false">
      <c r="A55" s="22"/>
      <c r="B55" s="23"/>
      <c r="C55" s="22"/>
      <c r="D55" s="24"/>
      <c r="E55" s="24"/>
      <c r="F55" s="24"/>
      <c r="G55" s="24"/>
      <c r="H55" s="25" t="str">
        <f aca="false">IF(OR(D55="",G55=""),"",D55-G55)</f>
        <v/>
      </c>
      <c r="I55" s="26" t="str">
        <f aca="false">IF(OR(D55="",D55=0,G55=""),"",G55/D55)</f>
        <v/>
      </c>
      <c r="J55" s="22"/>
      <c r="K55" s="22"/>
      <c r="L55" s="23"/>
    </row>
    <row r="56" customFormat="false" ht="15" hidden="false" customHeight="false" outlineLevel="0" collapsed="false">
      <c r="A56" s="22"/>
      <c r="B56" s="23"/>
      <c r="C56" s="22"/>
      <c r="D56" s="24"/>
      <c r="E56" s="24"/>
      <c r="F56" s="24"/>
      <c r="G56" s="24"/>
      <c r="H56" s="25" t="str">
        <f aca="false">IF(OR(D56="",G56=""),"",D56-G56)</f>
        <v/>
      </c>
      <c r="I56" s="26" t="str">
        <f aca="false">IF(OR(D56="",D56=0,G56=""),"",G56/D56)</f>
        <v/>
      </c>
      <c r="J56" s="22"/>
      <c r="K56" s="22"/>
      <c r="L56" s="23"/>
    </row>
    <row r="57" customFormat="false" ht="15" hidden="false" customHeight="false" outlineLevel="0" collapsed="false">
      <c r="A57" s="22"/>
      <c r="B57" s="23"/>
      <c r="C57" s="22"/>
      <c r="D57" s="24"/>
      <c r="E57" s="24"/>
      <c r="F57" s="24"/>
      <c r="G57" s="24"/>
      <c r="H57" s="25" t="str">
        <f aca="false">IF(OR(D57="",G57=""),"",D57-G57)</f>
        <v/>
      </c>
      <c r="I57" s="26" t="str">
        <f aca="false">IF(OR(D57="",D57=0,G57=""),"",G57/D57)</f>
        <v/>
      </c>
      <c r="J57" s="22"/>
      <c r="K57" s="22"/>
      <c r="L57" s="23"/>
    </row>
    <row r="58" customFormat="false" ht="15" hidden="false" customHeight="false" outlineLevel="0" collapsed="false">
      <c r="A58" s="22"/>
      <c r="B58" s="23"/>
      <c r="C58" s="22"/>
      <c r="D58" s="24"/>
      <c r="E58" s="24"/>
      <c r="F58" s="24"/>
      <c r="G58" s="24"/>
      <c r="H58" s="25" t="str">
        <f aca="false">IF(OR(D58="",G58=""),"",D58-G58)</f>
        <v/>
      </c>
      <c r="I58" s="26" t="str">
        <f aca="false">IF(OR(D58="",D58=0,G58=""),"",G58/D58)</f>
        <v/>
      </c>
      <c r="J58" s="22"/>
      <c r="K58" s="22"/>
      <c r="L58" s="23"/>
    </row>
    <row r="59" customFormat="false" ht="15" hidden="false" customHeight="false" outlineLevel="0" collapsed="false">
      <c r="A59" s="22"/>
      <c r="B59" s="23"/>
      <c r="C59" s="22"/>
      <c r="D59" s="24"/>
      <c r="E59" s="24"/>
      <c r="F59" s="24"/>
      <c r="G59" s="24"/>
      <c r="H59" s="25" t="str">
        <f aca="false">IF(OR(D59="",G59=""),"",D59-G59)</f>
        <v/>
      </c>
      <c r="I59" s="26" t="str">
        <f aca="false">IF(OR(D59="",D59=0,G59=""),"",G59/D59)</f>
        <v/>
      </c>
      <c r="J59" s="22"/>
      <c r="K59" s="22"/>
      <c r="L59" s="23"/>
    </row>
    <row r="60" customFormat="false" ht="15" hidden="false" customHeight="false" outlineLevel="0" collapsed="false">
      <c r="A60" s="22"/>
      <c r="B60" s="23"/>
      <c r="C60" s="22"/>
      <c r="D60" s="24"/>
      <c r="E60" s="24"/>
      <c r="F60" s="24"/>
      <c r="G60" s="24"/>
      <c r="H60" s="25" t="str">
        <f aca="false">IF(OR(D60="",G60=""),"",D60-G60)</f>
        <v/>
      </c>
      <c r="I60" s="26" t="str">
        <f aca="false">IF(OR(D60="",D60=0,G60=""),"",G60/D60)</f>
        <v/>
      </c>
      <c r="J60" s="22"/>
      <c r="K60" s="22"/>
      <c r="L60" s="23"/>
    </row>
    <row r="61" customFormat="false" ht="15" hidden="false" customHeight="false" outlineLevel="0" collapsed="false">
      <c r="A61" s="22"/>
      <c r="B61" s="23"/>
      <c r="C61" s="22"/>
      <c r="D61" s="24"/>
      <c r="E61" s="24"/>
      <c r="F61" s="24"/>
      <c r="G61" s="24"/>
      <c r="H61" s="25" t="str">
        <f aca="false">IF(OR(D61="",G61=""),"",D61-G61)</f>
        <v/>
      </c>
      <c r="I61" s="26" t="str">
        <f aca="false">IF(OR(D61="",D61=0,G61=""),"",G61/D61)</f>
        <v/>
      </c>
      <c r="J61" s="22"/>
      <c r="K61" s="22"/>
      <c r="L61" s="23"/>
    </row>
    <row r="62" customFormat="false" ht="15" hidden="false" customHeight="false" outlineLevel="0" collapsed="false">
      <c r="A62" s="22"/>
      <c r="B62" s="23"/>
      <c r="C62" s="22"/>
      <c r="D62" s="24"/>
      <c r="E62" s="24"/>
      <c r="F62" s="24"/>
      <c r="G62" s="24"/>
      <c r="H62" s="25" t="str">
        <f aca="false">IF(OR(D62="",G62=""),"",D62-G62)</f>
        <v/>
      </c>
      <c r="I62" s="26" t="str">
        <f aca="false">IF(OR(D62="",D62=0,G62=""),"",G62/D62)</f>
        <v/>
      </c>
      <c r="J62" s="22"/>
      <c r="K62" s="22"/>
      <c r="L62" s="23"/>
    </row>
    <row r="63" customFormat="false" ht="15" hidden="false" customHeight="false" outlineLevel="0" collapsed="false">
      <c r="A63" s="22"/>
      <c r="B63" s="23"/>
      <c r="C63" s="22"/>
      <c r="D63" s="24"/>
      <c r="E63" s="24"/>
      <c r="F63" s="24"/>
      <c r="G63" s="24"/>
      <c r="H63" s="25" t="str">
        <f aca="false">IF(OR(D63="",G63=""),"",D63-G63)</f>
        <v/>
      </c>
      <c r="I63" s="26" t="str">
        <f aca="false">IF(OR(D63="",D63=0,G63=""),"",G63/D63)</f>
        <v/>
      </c>
      <c r="J63" s="22"/>
      <c r="K63" s="22"/>
      <c r="L63" s="23"/>
    </row>
    <row r="64" customFormat="false" ht="15" hidden="false" customHeight="false" outlineLevel="0" collapsed="false">
      <c r="A64" s="22"/>
      <c r="B64" s="23"/>
      <c r="C64" s="22"/>
      <c r="D64" s="24"/>
      <c r="E64" s="24"/>
      <c r="F64" s="24"/>
      <c r="G64" s="24"/>
      <c r="H64" s="25" t="str">
        <f aca="false">IF(OR(D64="",G64=""),"",D64-G64)</f>
        <v/>
      </c>
      <c r="I64" s="26" t="str">
        <f aca="false">IF(OR(D64="",D64=0,G64=""),"",G64/D64)</f>
        <v/>
      </c>
      <c r="J64" s="22"/>
      <c r="K64" s="22"/>
      <c r="L64" s="23"/>
    </row>
    <row r="65" customFormat="false" ht="15" hidden="false" customHeight="false" outlineLevel="0" collapsed="false">
      <c r="A65" s="22"/>
      <c r="B65" s="23"/>
      <c r="C65" s="22"/>
      <c r="D65" s="24"/>
      <c r="E65" s="24"/>
      <c r="F65" s="24"/>
      <c r="G65" s="24"/>
      <c r="H65" s="25" t="str">
        <f aca="false">IF(OR(D65="",G65=""),"",D65-G65)</f>
        <v/>
      </c>
      <c r="I65" s="26" t="str">
        <f aca="false">IF(OR(D65="",D65=0,G65=""),"",G65/D65)</f>
        <v/>
      </c>
      <c r="J65" s="22"/>
      <c r="K65" s="22"/>
      <c r="L65" s="23"/>
    </row>
    <row r="66" customFormat="false" ht="15" hidden="false" customHeight="false" outlineLevel="0" collapsed="false">
      <c r="A66" s="22"/>
      <c r="B66" s="23"/>
      <c r="C66" s="22"/>
      <c r="D66" s="24"/>
      <c r="E66" s="24"/>
      <c r="F66" s="24"/>
      <c r="G66" s="24"/>
      <c r="H66" s="25" t="str">
        <f aca="false">IF(OR(D66="",G66=""),"",D66-G66)</f>
        <v/>
      </c>
      <c r="I66" s="26" t="str">
        <f aca="false">IF(OR(D66="",D66=0,G66=""),"",G66/D66)</f>
        <v/>
      </c>
      <c r="J66" s="22"/>
      <c r="K66" s="22"/>
      <c r="L66" s="23"/>
    </row>
    <row r="67" customFormat="false" ht="15" hidden="false" customHeight="false" outlineLevel="0" collapsed="false">
      <c r="A67" s="22"/>
      <c r="B67" s="23"/>
      <c r="C67" s="22"/>
      <c r="D67" s="24"/>
      <c r="E67" s="24"/>
      <c r="F67" s="24"/>
      <c r="G67" s="24"/>
      <c r="H67" s="25" t="str">
        <f aca="false">IF(OR(D67="",G67=""),"",D67-G67)</f>
        <v/>
      </c>
      <c r="I67" s="26" t="str">
        <f aca="false">IF(OR(D67="",D67=0,G67=""),"",G67/D67)</f>
        <v/>
      </c>
      <c r="J67" s="22"/>
      <c r="K67" s="22"/>
      <c r="L67" s="23"/>
    </row>
    <row r="68" customFormat="false" ht="15" hidden="false" customHeight="false" outlineLevel="0" collapsed="false">
      <c r="A68" s="22"/>
      <c r="B68" s="23"/>
      <c r="C68" s="22"/>
      <c r="D68" s="24"/>
      <c r="E68" s="24"/>
      <c r="F68" s="24"/>
      <c r="G68" s="24"/>
      <c r="H68" s="25" t="str">
        <f aca="false">IF(OR(D68="",G68=""),"",D68-G68)</f>
        <v/>
      </c>
      <c r="I68" s="26" t="str">
        <f aca="false">IF(OR(D68="",D68=0,G68=""),"",G68/D68)</f>
        <v/>
      </c>
      <c r="J68" s="22"/>
      <c r="K68" s="22"/>
      <c r="L68" s="23"/>
    </row>
    <row r="69" customFormat="false" ht="15" hidden="false" customHeight="false" outlineLevel="0" collapsed="false">
      <c r="A69" s="22"/>
      <c r="B69" s="23"/>
      <c r="C69" s="22"/>
      <c r="D69" s="24"/>
      <c r="E69" s="24"/>
      <c r="F69" s="24"/>
      <c r="G69" s="24"/>
      <c r="H69" s="25" t="str">
        <f aca="false">IF(OR(D69="",G69=""),"",D69-G69)</f>
        <v/>
      </c>
      <c r="I69" s="26" t="str">
        <f aca="false">IF(OR(D69="",D69=0,G69=""),"",G69/D69)</f>
        <v/>
      </c>
      <c r="J69" s="22"/>
      <c r="K69" s="22"/>
      <c r="L69" s="23"/>
    </row>
    <row r="70" customFormat="false" ht="15" hidden="false" customHeight="false" outlineLevel="0" collapsed="false">
      <c r="A70" s="22"/>
      <c r="B70" s="23"/>
      <c r="C70" s="22"/>
      <c r="D70" s="24"/>
      <c r="E70" s="24"/>
      <c r="F70" s="24"/>
      <c r="G70" s="24"/>
      <c r="H70" s="25" t="str">
        <f aca="false">IF(OR(D70="",G70=""),"",D70-G70)</f>
        <v/>
      </c>
      <c r="I70" s="26" t="str">
        <f aca="false">IF(OR(D70="",D70=0,G70=""),"",G70/D70)</f>
        <v/>
      </c>
      <c r="J70" s="22"/>
      <c r="K70" s="22"/>
      <c r="L70" s="23"/>
    </row>
    <row r="71" customFormat="false" ht="15" hidden="false" customHeight="false" outlineLevel="0" collapsed="false">
      <c r="A71" s="22"/>
      <c r="B71" s="23"/>
      <c r="C71" s="22"/>
      <c r="D71" s="24"/>
      <c r="E71" s="24"/>
      <c r="F71" s="24"/>
      <c r="G71" s="24"/>
      <c r="H71" s="25" t="str">
        <f aca="false">IF(OR(D71="",G71=""),"",D71-G71)</f>
        <v/>
      </c>
      <c r="I71" s="26" t="str">
        <f aca="false">IF(OR(D71="",D71=0,G71=""),"",G71/D71)</f>
        <v/>
      </c>
      <c r="J71" s="22"/>
      <c r="K71" s="22"/>
      <c r="L71" s="23"/>
    </row>
    <row r="72" customFormat="false" ht="15" hidden="false" customHeight="false" outlineLevel="0" collapsed="false">
      <c r="A72" s="22"/>
      <c r="B72" s="23"/>
      <c r="C72" s="22"/>
      <c r="D72" s="24"/>
      <c r="E72" s="24"/>
      <c r="F72" s="24"/>
      <c r="G72" s="24"/>
      <c r="H72" s="25" t="str">
        <f aca="false">IF(OR(D72="",G72=""),"",D72-G72)</f>
        <v/>
      </c>
      <c r="I72" s="26" t="str">
        <f aca="false">IF(OR(D72="",D72=0,G72=""),"",G72/D72)</f>
        <v/>
      </c>
      <c r="J72" s="22"/>
      <c r="K72" s="22"/>
      <c r="L72" s="23"/>
    </row>
    <row r="73" customFormat="false" ht="15" hidden="false" customHeight="false" outlineLevel="0" collapsed="false">
      <c r="A73" s="22"/>
      <c r="B73" s="23"/>
      <c r="C73" s="22"/>
      <c r="D73" s="24"/>
      <c r="E73" s="24"/>
      <c r="F73" s="24"/>
      <c r="G73" s="24"/>
      <c r="H73" s="25" t="str">
        <f aca="false">IF(OR(D73="",G73=""),"",D73-G73)</f>
        <v/>
      </c>
      <c r="I73" s="26" t="str">
        <f aca="false">IF(OR(D73="",D73=0,G73=""),"",G73/D73)</f>
        <v/>
      </c>
      <c r="J73" s="22"/>
      <c r="K73" s="22"/>
      <c r="L73" s="23"/>
    </row>
    <row r="74" customFormat="false" ht="15" hidden="false" customHeight="false" outlineLevel="0" collapsed="false">
      <c r="A74" s="22"/>
      <c r="B74" s="23"/>
      <c r="C74" s="22"/>
      <c r="D74" s="24"/>
      <c r="E74" s="24"/>
      <c r="F74" s="24"/>
      <c r="G74" s="24"/>
      <c r="H74" s="25" t="str">
        <f aca="false">IF(OR(D74="",G74=""),"",D74-G74)</f>
        <v/>
      </c>
      <c r="I74" s="26" t="str">
        <f aca="false">IF(OR(D74="",D74=0,G74=""),"",G74/D74)</f>
        <v/>
      </c>
      <c r="J74" s="22"/>
      <c r="K74" s="22"/>
      <c r="L74" s="23"/>
    </row>
    <row r="75" customFormat="false" ht="15" hidden="false" customHeight="false" outlineLevel="0" collapsed="false">
      <c r="A75" s="22"/>
      <c r="B75" s="23"/>
      <c r="C75" s="22"/>
      <c r="D75" s="24"/>
      <c r="E75" s="24"/>
      <c r="F75" s="24"/>
      <c r="G75" s="24"/>
      <c r="H75" s="25" t="str">
        <f aca="false">IF(OR(D75="",G75=""),"",D75-G75)</f>
        <v/>
      </c>
      <c r="I75" s="26" t="str">
        <f aca="false">IF(OR(D75="",D75=0,G75=""),"",G75/D75)</f>
        <v/>
      </c>
      <c r="J75" s="22"/>
      <c r="K75" s="22"/>
      <c r="L75" s="23"/>
    </row>
    <row r="76" customFormat="false" ht="15" hidden="false" customHeight="false" outlineLevel="0" collapsed="false">
      <c r="A76" s="22"/>
      <c r="B76" s="23"/>
      <c r="C76" s="22"/>
      <c r="D76" s="24"/>
      <c r="E76" s="24"/>
      <c r="F76" s="24"/>
      <c r="G76" s="24"/>
      <c r="H76" s="25" t="str">
        <f aca="false">IF(OR(D76="",G76=""),"",D76-G76)</f>
        <v/>
      </c>
      <c r="I76" s="26" t="str">
        <f aca="false">IF(OR(D76="",D76=0,G76=""),"",G76/D76)</f>
        <v/>
      </c>
      <c r="J76" s="22"/>
      <c r="K76" s="22"/>
      <c r="L76" s="23"/>
    </row>
    <row r="77" customFormat="false" ht="15" hidden="false" customHeight="false" outlineLevel="0" collapsed="false">
      <c r="A77" s="22"/>
      <c r="B77" s="23"/>
      <c r="C77" s="22"/>
      <c r="D77" s="24"/>
      <c r="E77" s="24"/>
      <c r="F77" s="24"/>
      <c r="G77" s="24"/>
      <c r="H77" s="25" t="str">
        <f aca="false">IF(OR(D77="",G77=""),"",D77-G77)</f>
        <v/>
      </c>
      <c r="I77" s="26" t="str">
        <f aca="false">IF(OR(D77="",D77=0,G77=""),"",G77/D77)</f>
        <v/>
      </c>
      <c r="J77" s="22"/>
      <c r="K77" s="22"/>
      <c r="L77" s="23"/>
    </row>
    <row r="78" customFormat="false" ht="15" hidden="false" customHeight="false" outlineLevel="0" collapsed="false">
      <c r="A78" s="22"/>
      <c r="B78" s="23"/>
      <c r="C78" s="22"/>
      <c r="D78" s="24"/>
      <c r="E78" s="24"/>
      <c r="F78" s="24"/>
      <c r="G78" s="24"/>
      <c r="H78" s="25" t="str">
        <f aca="false">IF(OR(D78="",G78=""),"",D78-G78)</f>
        <v/>
      </c>
      <c r="I78" s="26" t="str">
        <f aca="false">IF(OR(D78="",D78=0,G78=""),"",G78/D78)</f>
        <v/>
      </c>
      <c r="J78" s="22"/>
      <c r="K78" s="22"/>
      <c r="L78" s="23"/>
    </row>
    <row r="79" customFormat="false" ht="15" hidden="false" customHeight="false" outlineLevel="0" collapsed="false">
      <c r="A79" s="22"/>
      <c r="B79" s="23"/>
      <c r="C79" s="22"/>
      <c r="D79" s="24"/>
      <c r="E79" s="24"/>
      <c r="F79" s="24"/>
      <c r="G79" s="24"/>
      <c r="H79" s="25" t="str">
        <f aca="false">IF(OR(D79="",G79=""),"",D79-G79)</f>
        <v/>
      </c>
      <c r="I79" s="26" t="str">
        <f aca="false">IF(OR(D79="",D79=0,G79=""),"",G79/D79)</f>
        <v/>
      </c>
      <c r="J79" s="22"/>
      <c r="K79" s="22"/>
      <c r="L79" s="23"/>
    </row>
    <row r="80" customFormat="false" ht="15" hidden="false" customHeight="false" outlineLevel="0" collapsed="false">
      <c r="A80" s="22"/>
      <c r="B80" s="23"/>
      <c r="C80" s="22"/>
      <c r="D80" s="24"/>
      <c r="E80" s="24"/>
      <c r="F80" s="24"/>
      <c r="G80" s="24"/>
      <c r="H80" s="25" t="str">
        <f aca="false">IF(OR(D80="",G80=""),"",D80-G80)</f>
        <v/>
      </c>
      <c r="I80" s="26" t="str">
        <f aca="false">IF(OR(D80="",D80=0,G80=""),"",G80/D80)</f>
        <v/>
      </c>
      <c r="J80" s="22"/>
      <c r="K80" s="22"/>
      <c r="L80" s="23"/>
    </row>
    <row r="81" customFormat="false" ht="15" hidden="false" customHeight="false" outlineLevel="0" collapsed="false">
      <c r="A81" s="22"/>
      <c r="B81" s="23"/>
      <c r="C81" s="22"/>
      <c r="D81" s="24"/>
      <c r="E81" s="24"/>
      <c r="F81" s="24"/>
      <c r="G81" s="24"/>
      <c r="H81" s="25" t="str">
        <f aca="false">IF(OR(D81="",G81=""),"",D81-G81)</f>
        <v/>
      </c>
      <c r="I81" s="26" t="str">
        <f aca="false">IF(OR(D81="",D81=0,G81=""),"",G81/D81)</f>
        <v/>
      </c>
      <c r="J81" s="22"/>
      <c r="K81" s="22"/>
      <c r="L81" s="23"/>
    </row>
    <row r="82" customFormat="false" ht="15" hidden="false" customHeight="false" outlineLevel="0" collapsed="false">
      <c r="A82" s="22"/>
      <c r="B82" s="23"/>
      <c r="C82" s="22"/>
      <c r="D82" s="24"/>
      <c r="E82" s="24"/>
      <c r="F82" s="24"/>
      <c r="G82" s="24"/>
      <c r="H82" s="25" t="str">
        <f aca="false">IF(OR(D82="",G82=""),"",D82-G82)</f>
        <v/>
      </c>
      <c r="I82" s="26" t="str">
        <f aca="false">IF(OR(D82="",D82=0,G82=""),"",G82/D82)</f>
        <v/>
      </c>
      <c r="J82" s="22"/>
      <c r="K82" s="22"/>
      <c r="L82" s="23"/>
    </row>
    <row r="83" customFormat="false" ht="15" hidden="false" customHeight="false" outlineLevel="0" collapsed="false">
      <c r="A83" s="22"/>
      <c r="B83" s="23"/>
      <c r="C83" s="22"/>
      <c r="D83" s="24"/>
      <c r="E83" s="24"/>
      <c r="F83" s="24"/>
      <c r="G83" s="24"/>
      <c r="H83" s="25" t="str">
        <f aca="false">IF(OR(D83="",G83=""),"",D83-G83)</f>
        <v/>
      </c>
      <c r="I83" s="26" t="str">
        <f aca="false">IF(OR(D83="",D83=0,G83=""),"",G83/D83)</f>
        <v/>
      </c>
      <c r="J83" s="22"/>
      <c r="K83" s="22"/>
      <c r="L83" s="23"/>
    </row>
    <row r="84" customFormat="false" ht="15" hidden="false" customHeight="false" outlineLevel="0" collapsed="false">
      <c r="A84" s="22"/>
      <c r="B84" s="23"/>
      <c r="C84" s="22"/>
      <c r="D84" s="24"/>
      <c r="E84" s="24"/>
      <c r="F84" s="24"/>
      <c r="G84" s="24"/>
      <c r="H84" s="25" t="str">
        <f aca="false">IF(OR(D84="",G84=""),"",D84-G84)</f>
        <v/>
      </c>
      <c r="I84" s="26" t="str">
        <f aca="false">IF(OR(D84="",D84=0,G84=""),"",G84/D84)</f>
        <v/>
      </c>
      <c r="J84" s="22"/>
      <c r="K84" s="22"/>
      <c r="L84" s="23"/>
    </row>
    <row r="85" customFormat="false" ht="15" hidden="false" customHeight="false" outlineLevel="0" collapsed="false">
      <c r="A85" s="22"/>
      <c r="B85" s="23"/>
      <c r="C85" s="22"/>
      <c r="D85" s="24"/>
      <c r="E85" s="24"/>
      <c r="F85" s="24"/>
      <c r="G85" s="24"/>
      <c r="H85" s="25" t="str">
        <f aca="false">IF(OR(D85="",G85=""),"",D85-G85)</f>
        <v/>
      </c>
      <c r="I85" s="26" t="str">
        <f aca="false">IF(OR(D85="",D85=0,G85=""),"",G85/D85)</f>
        <v/>
      </c>
      <c r="J85" s="22"/>
      <c r="K85" s="22"/>
      <c r="L85" s="23"/>
    </row>
    <row r="86" customFormat="false" ht="15" hidden="false" customHeight="false" outlineLevel="0" collapsed="false">
      <c r="A86" s="22"/>
      <c r="B86" s="23"/>
      <c r="C86" s="22"/>
      <c r="D86" s="24"/>
      <c r="E86" s="24"/>
      <c r="F86" s="24"/>
      <c r="G86" s="24"/>
      <c r="H86" s="25" t="str">
        <f aca="false">IF(OR(D86="",G86=""),"",D86-G86)</f>
        <v/>
      </c>
      <c r="I86" s="26" t="str">
        <f aca="false">IF(OR(D86="",D86=0,G86=""),"",G86/D86)</f>
        <v/>
      </c>
      <c r="J86" s="22"/>
      <c r="K86" s="22"/>
      <c r="L86" s="23"/>
    </row>
    <row r="87" customFormat="false" ht="15" hidden="false" customHeight="false" outlineLevel="0" collapsed="false">
      <c r="A87" s="22"/>
      <c r="B87" s="23"/>
      <c r="C87" s="22"/>
      <c r="D87" s="24"/>
      <c r="E87" s="24"/>
      <c r="F87" s="24"/>
      <c r="G87" s="24"/>
      <c r="H87" s="25" t="str">
        <f aca="false">IF(OR(D87="",G87=""),"",D87-G87)</f>
        <v/>
      </c>
      <c r="I87" s="26" t="str">
        <f aca="false">IF(OR(D87="",D87=0,G87=""),"",G87/D87)</f>
        <v/>
      </c>
      <c r="J87" s="22"/>
      <c r="K87" s="22"/>
      <c r="L87" s="23"/>
    </row>
    <row r="88" customFormat="false" ht="15" hidden="false" customHeight="false" outlineLevel="0" collapsed="false">
      <c r="A88" s="22"/>
      <c r="B88" s="23"/>
      <c r="C88" s="22"/>
      <c r="D88" s="24"/>
      <c r="E88" s="24"/>
      <c r="F88" s="24"/>
      <c r="G88" s="24"/>
      <c r="H88" s="25" t="str">
        <f aca="false">IF(OR(D88="",G88=""),"",D88-G88)</f>
        <v/>
      </c>
      <c r="I88" s="26" t="str">
        <f aca="false">IF(OR(D88="",D88=0,G88=""),"",G88/D88)</f>
        <v/>
      </c>
      <c r="J88" s="22"/>
      <c r="K88" s="22"/>
      <c r="L88" s="23"/>
    </row>
    <row r="89" customFormat="false" ht="15" hidden="false" customHeight="false" outlineLevel="0" collapsed="false">
      <c r="A89" s="22"/>
      <c r="B89" s="23"/>
      <c r="C89" s="22"/>
      <c r="D89" s="24"/>
      <c r="E89" s="24"/>
      <c r="F89" s="24"/>
      <c r="G89" s="24"/>
      <c r="H89" s="25" t="str">
        <f aca="false">IF(OR(D89="",G89=""),"",D89-G89)</f>
        <v/>
      </c>
      <c r="I89" s="26" t="str">
        <f aca="false">IF(OR(D89="",D89=0,G89=""),"",G89/D89)</f>
        <v/>
      </c>
      <c r="J89" s="22"/>
      <c r="K89" s="22"/>
      <c r="L89" s="23"/>
    </row>
    <row r="90" customFormat="false" ht="15" hidden="false" customHeight="false" outlineLevel="0" collapsed="false">
      <c r="A90" s="22"/>
      <c r="B90" s="23"/>
      <c r="C90" s="22"/>
      <c r="D90" s="24"/>
      <c r="E90" s="24"/>
      <c r="F90" s="24"/>
      <c r="G90" s="24"/>
      <c r="H90" s="25" t="str">
        <f aca="false">IF(OR(D90="",G90=""),"",D90-G90)</f>
        <v/>
      </c>
      <c r="I90" s="26" t="str">
        <f aca="false">IF(OR(D90="",D90=0,G90=""),"",G90/D90)</f>
        <v/>
      </c>
      <c r="J90" s="22"/>
      <c r="K90" s="22"/>
      <c r="L90" s="23"/>
    </row>
    <row r="91" customFormat="false" ht="15" hidden="false" customHeight="false" outlineLevel="0" collapsed="false">
      <c r="A91" s="22"/>
      <c r="B91" s="23"/>
      <c r="C91" s="22"/>
      <c r="D91" s="24"/>
      <c r="E91" s="24"/>
      <c r="F91" s="24"/>
      <c r="G91" s="24"/>
      <c r="H91" s="25" t="str">
        <f aca="false">IF(OR(D91="",G91=""),"",D91-G91)</f>
        <v/>
      </c>
      <c r="I91" s="26" t="str">
        <f aca="false">IF(OR(D91="",D91=0,G91=""),"",G91/D91)</f>
        <v/>
      </c>
      <c r="J91" s="22"/>
      <c r="K91" s="22"/>
      <c r="L91" s="23"/>
    </row>
    <row r="92" customFormat="false" ht="15" hidden="false" customHeight="false" outlineLevel="0" collapsed="false">
      <c r="A92" s="22"/>
      <c r="B92" s="23"/>
      <c r="C92" s="22"/>
      <c r="D92" s="24"/>
      <c r="E92" s="24"/>
      <c r="F92" s="24"/>
      <c r="G92" s="24"/>
      <c r="H92" s="25" t="str">
        <f aca="false">IF(OR(D92="",G92=""),"",D92-G92)</f>
        <v/>
      </c>
      <c r="I92" s="26" t="str">
        <f aca="false">IF(OR(D92="",D92=0,G92=""),"",G92/D92)</f>
        <v/>
      </c>
      <c r="J92" s="22"/>
      <c r="K92" s="22"/>
      <c r="L92" s="23"/>
    </row>
    <row r="93" customFormat="false" ht="15" hidden="false" customHeight="false" outlineLevel="0" collapsed="false">
      <c r="A93" s="22"/>
      <c r="B93" s="23"/>
      <c r="C93" s="22"/>
      <c r="D93" s="24"/>
      <c r="E93" s="24"/>
      <c r="F93" s="24"/>
      <c r="G93" s="24"/>
      <c r="H93" s="25" t="str">
        <f aca="false">IF(OR(D93="",G93=""),"",D93-G93)</f>
        <v/>
      </c>
      <c r="I93" s="26" t="str">
        <f aca="false">IF(OR(D93="",D93=0,G93=""),"",G93/D93)</f>
        <v/>
      </c>
      <c r="J93" s="22"/>
      <c r="K93" s="22"/>
      <c r="L93" s="23"/>
    </row>
    <row r="94" customFormat="false" ht="15" hidden="false" customHeight="false" outlineLevel="0" collapsed="false">
      <c r="A94" s="22"/>
      <c r="B94" s="23"/>
      <c r="C94" s="22"/>
      <c r="D94" s="24"/>
      <c r="E94" s="24"/>
      <c r="F94" s="24"/>
      <c r="G94" s="24"/>
      <c r="H94" s="25" t="str">
        <f aca="false">IF(OR(D94="",G94=""),"",D94-G94)</f>
        <v/>
      </c>
      <c r="I94" s="26" t="str">
        <f aca="false">IF(OR(D94="",D94=0,G94=""),"",G94/D94)</f>
        <v/>
      </c>
      <c r="J94" s="22"/>
      <c r="K94" s="22"/>
      <c r="L94" s="23"/>
    </row>
    <row r="95" customFormat="false" ht="15" hidden="false" customHeight="false" outlineLevel="0" collapsed="false">
      <c r="A95" s="22"/>
      <c r="B95" s="23"/>
      <c r="C95" s="22"/>
      <c r="D95" s="24"/>
      <c r="E95" s="24"/>
      <c r="F95" s="24"/>
      <c r="G95" s="24"/>
      <c r="H95" s="25" t="str">
        <f aca="false">IF(OR(D95="",G95=""),"",D95-G95)</f>
        <v/>
      </c>
      <c r="I95" s="26" t="str">
        <f aca="false">IF(OR(D95="",D95=0,G95=""),"",G95/D95)</f>
        <v/>
      </c>
      <c r="J95" s="22"/>
      <c r="K95" s="22"/>
      <c r="L95" s="23"/>
    </row>
    <row r="96" customFormat="false" ht="15" hidden="false" customHeight="false" outlineLevel="0" collapsed="false">
      <c r="A96" s="22"/>
      <c r="B96" s="23"/>
      <c r="C96" s="22"/>
      <c r="D96" s="24"/>
      <c r="E96" s="24"/>
      <c r="F96" s="24"/>
      <c r="G96" s="24"/>
      <c r="H96" s="25" t="str">
        <f aca="false">IF(OR(D96="",G96=""),"",D96-G96)</f>
        <v/>
      </c>
      <c r="I96" s="26" t="str">
        <f aca="false">IF(OR(D96="",D96=0,G96=""),"",G96/D96)</f>
        <v/>
      </c>
      <c r="J96" s="22"/>
      <c r="K96" s="22"/>
      <c r="L96" s="23"/>
    </row>
    <row r="97" customFormat="false" ht="15" hidden="false" customHeight="false" outlineLevel="0" collapsed="false">
      <c r="A97" s="22"/>
      <c r="B97" s="23"/>
      <c r="C97" s="22"/>
      <c r="D97" s="24"/>
      <c r="E97" s="24"/>
      <c r="F97" s="24"/>
      <c r="G97" s="24"/>
      <c r="H97" s="25" t="str">
        <f aca="false">IF(OR(D97="",G97=""),"",D97-G97)</f>
        <v/>
      </c>
      <c r="I97" s="26" t="str">
        <f aca="false">IF(OR(D97="",D97=0,G97=""),"",G97/D97)</f>
        <v/>
      </c>
      <c r="J97" s="22"/>
      <c r="K97" s="22"/>
      <c r="L97" s="23"/>
    </row>
    <row r="98" customFormat="false" ht="15" hidden="false" customHeight="false" outlineLevel="0" collapsed="false">
      <c r="A98" s="22"/>
      <c r="B98" s="23"/>
      <c r="C98" s="22"/>
      <c r="D98" s="24"/>
      <c r="E98" s="24"/>
      <c r="F98" s="24"/>
      <c r="G98" s="24"/>
      <c r="H98" s="25" t="str">
        <f aca="false">IF(OR(D98="",G98=""),"",D98-G98)</f>
        <v/>
      </c>
      <c r="I98" s="26" t="str">
        <f aca="false">IF(OR(D98="",D98=0,G98=""),"",G98/D98)</f>
        <v/>
      </c>
      <c r="J98" s="22"/>
      <c r="K98" s="22"/>
      <c r="L98" s="23"/>
    </row>
    <row r="99" customFormat="false" ht="15" hidden="false" customHeight="false" outlineLevel="0" collapsed="false">
      <c r="A99" s="22"/>
      <c r="B99" s="23"/>
      <c r="C99" s="22"/>
      <c r="D99" s="24"/>
      <c r="E99" s="24"/>
      <c r="F99" s="24"/>
      <c r="G99" s="24"/>
      <c r="H99" s="25" t="str">
        <f aca="false">IF(OR(D99="",G99=""),"",D99-G99)</f>
        <v/>
      </c>
      <c r="I99" s="26" t="str">
        <f aca="false">IF(OR(D99="",D99=0,G99=""),"",G99/D99)</f>
        <v/>
      </c>
      <c r="J99" s="22"/>
      <c r="K99" s="22"/>
      <c r="L99" s="23"/>
    </row>
    <row r="100" customFormat="false" ht="15" hidden="false" customHeight="false" outlineLevel="0" collapsed="false">
      <c r="A100" s="22"/>
      <c r="B100" s="23"/>
      <c r="C100" s="22"/>
      <c r="D100" s="24"/>
      <c r="E100" s="24"/>
      <c r="F100" s="24"/>
      <c r="G100" s="24"/>
      <c r="H100" s="25" t="str">
        <f aca="false">IF(OR(D100="",G100=""),"",D100-G100)</f>
        <v/>
      </c>
      <c r="I100" s="26" t="str">
        <f aca="false">IF(OR(D100="",D100=0,G100=""),"",G100/D100)</f>
        <v/>
      </c>
      <c r="J100" s="22"/>
      <c r="K100" s="22"/>
      <c r="L100" s="23"/>
    </row>
    <row r="101" customFormat="false" ht="15" hidden="false" customHeight="false" outlineLevel="0" collapsed="false">
      <c r="A101" s="22"/>
      <c r="B101" s="23"/>
      <c r="C101" s="22"/>
      <c r="D101" s="24"/>
      <c r="E101" s="24"/>
      <c r="F101" s="24"/>
      <c r="G101" s="24"/>
      <c r="H101" s="25" t="str">
        <f aca="false">IF(OR(D101="",G101=""),"",D101-G101)</f>
        <v/>
      </c>
      <c r="I101" s="26" t="str">
        <f aca="false">IF(OR(D101="",D101=0,G101=""),"",G101/D101)</f>
        <v/>
      </c>
      <c r="J101" s="22"/>
      <c r="K101" s="22"/>
      <c r="L101" s="23"/>
    </row>
    <row r="102" customFormat="false" ht="15" hidden="false" customHeight="false" outlineLevel="0" collapsed="false">
      <c r="A102" s="22"/>
      <c r="B102" s="23"/>
      <c r="C102" s="22"/>
      <c r="D102" s="24"/>
      <c r="E102" s="24"/>
      <c r="F102" s="24"/>
      <c r="G102" s="24"/>
      <c r="H102" s="25" t="str">
        <f aca="false">IF(OR(D102="",G102=""),"",D102-G102)</f>
        <v/>
      </c>
      <c r="I102" s="26" t="str">
        <f aca="false">IF(OR(D102="",D102=0,G102=""),"",G102/D102)</f>
        <v/>
      </c>
      <c r="J102" s="22"/>
      <c r="K102" s="22"/>
      <c r="L102" s="23"/>
    </row>
    <row r="103" customFormat="false" ht="15" hidden="false" customHeight="false" outlineLevel="0" collapsed="false">
      <c r="A103" s="22"/>
      <c r="B103" s="23"/>
      <c r="C103" s="22"/>
      <c r="D103" s="24"/>
      <c r="E103" s="24"/>
      <c r="F103" s="24"/>
      <c r="G103" s="24"/>
      <c r="H103" s="25" t="str">
        <f aca="false">IF(OR(D103="",G103=""),"",D103-G103)</f>
        <v/>
      </c>
      <c r="I103" s="26" t="str">
        <f aca="false">IF(OR(D103="",D103=0,G103=""),"",G103/D103)</f>
        <v/>
      </c>
      <c r="J103" s="22"/>
      <c r="K103" s="22"/>
      <c r="L103" s="23"/>
    </row>
    <row r="104" customFormat="false" ht="15" hidden="false" customHeight="false" outlineLevel="0" collapsed="false">
      <c r="A104" s="22"/>
      <c r="B104" s="23"/>
      <c r="C104" s="22"/>
      <c r="D104" s="24"/>
      <c r="E104" s="24"/>
      <c r="F104" s="24"/>
      <c r="G104" s="24"/>
      <c r="H104" s="25" t="str">
        <f aca="false">IF(OR(D104="",G104=""),"",D104-G104)</f>
        <v/>
      </c>
      <c r="I104" s="26" t="str">
        <f aca="false">IF(OR(D104="",D104=0,G104=""),"",G104/D104)</f>
        <v/>
      </c>
      <c r="J104" s="22"/>
      <c r="K104" s="22"/>
      <c r="L104" s="23"/>
    </row>
    <row r="105" customFormat="false" ht="15" hidden="false" customHeight="false" outlineLevel="0" collapsed="false">
      <c r="A105" s="22"/>
      <c r="B105" s="23"/>
      <c r="C105" s="22"/>
      <c r="D105" s="24"/>
      <c r="E105" s="24"/>
      <c r="F105" s="24"/>
      <c r="G105" s="24"/>
      <c r="H105" s="25" t="str">
        <f aca="false">IF(OR(D105="",G105=""),"",D105-G105)</f>
        <v/>
      </c>
      <c r="I105" s="26" t="str">
        <f aca="false">IF(OR(D105="",D105=0,G105=""),"",G105/D105)</f>
        <v/>
      </c>
      <c r="J105" s="22"/>
      <c r="K105" s="22"/>
      <c r="L105" s="23"/>
    </row>
    <row r="106" customFormat="false" ht="15" hidden="false" customHeight="false" outlineLevel="0" collapsed="false">
      <c r="A106" s="22"/>
      <c r="B106" s="23"/>
      <c r="C106" s="22"/>
      <c r="D106" s="24"/>
      <c r="E106" s="24"/>
      <c r="F106" s="24"/>
      <c r="G106" s="24"/>
      <c r="H106" s="25" t="str">
        <f aca="false">IF(OR(D106="",G106=""),"",D106-G106)</f>
        <v/>
      </c>
      <c r="I106" s="26" t="str">
        <f aca="false">IF(OR(D106="",D106=0,G106=""),"",G106/D106)</f>
        <v/>
      </c>
      <c r="J106" s="22"/>
      <c r="K106" s="22"/>
      <c r="L106" s="23"/>
    </row>
    <row r="107" customFormat="false" ht="15" hidden="false" customHeight="false" outlineLevel="0" collapsed="false">
      <c r="A107" s="22"/>
      <c r="B107" s="23"/>
      <c r="C107" s="22"/>
      <c r="D107" s="24"/>
      <c r="E107" s="24"/>
      <c r="F107" s="24"/>
      <c r="G107" s="24"/>
      <c r="H107" s="25" t="str">
        <f aca="false">IF(OR(D107="",G107=""),"",D107-G107)</f>
        <v/>
      </c>
      <c r="I107" s="26" t="str">
        <f aca="false">IF(OR(D107="",D107=0,G107=""),"",G107/D107)</f>
        <v/>
      </c>
      <c r="J107" s="22"/>
      <c r="K107" s="22"/>
      <c r="L107" s="23"/>
    </row>
    <row r="108" customFormat="false" ht="15" hidden="false" customHeight="false" outlineLevel="0" collapsed="false">
      <c r="A108" s="22"/>
      <c r="B108" s="23"/>
      <c r="C108" s="22"/>
      <c r="D108" s="24"/>
      <c r="E108" s="24"/>
      <c r="F108" s="24"/>
      <c r="G108" s="24"/>
      <c r="H108" s="25" t="str">
        <f aca="false">IF(OR(D108="",G108=""),"",D108-G108)</f>
        <v/>
      </c>
      <c r="I108" s="26" t="str">
        <f aca="false">IF(OR(D108="",D108=0,G108=""),"",G108/D108)</f>
        <v/>
      </c>
      <c r="J108" s="22"/>
      <c r="K108" s="22"/>
      <c r="L108" s="23"/>
    </row>
    <row r="109" customFormat="false" ht="15" hidden="false" customHeight="false" outlineLevel="0" collapsed="false">
      <c r="A109" s="22"/>
      <c r="B109" s="23"/>
      <c r="C109" s="22"/>
      <c r="D109" s="24"/>
      <c r="E109" s="24"/>
      <c r="F109" s="24"/>
      <c r="G109" s="24"/>
      <c r="H109" s="25" t="str">
        <f aca="false">IF(OR(D109="",G109=""),"",D109-G109)</f>
        <v/>
      </c>
      <c r="I109" s="26" t="str">
        <f aca="false">IF(OR(D109="",D109=0,G109=""),"",G109/D109)</f>
        <v/>
      </c>
      <c r="J109" s="22"/>
      <c r="K109" s="22"/>
      <c r="L109" s="23"/>
    </row>
    <row r="110" customFormat="false" ht="15" hidden="false" customHeight="false" outlineLevel="0" collapsed="false">
      <c r="A110" s="22"/>
      <c r="B110" s="23"/>
      <c r="C110" s="22"/>
      <c r="D110" s="24"/>
      <c r="E110" s="24"/>
      <c r="F110" s="24"/>
      <c r="G110" s="24"/>
      <c r="H110" s="25" t="str">
        <f aca="false">IF(OR(D110="",G110=""),"",D110-G110)</f>
        <v/>
      </c>
      <c r="I110" s="26" t="str">
        <f aca="false">IF(OR(D110="",D110=0,G110=""),"",G110/D110)</f>
        <v/>
      </c>
      <c r="J110" s="22"/>
      <c r="K110" s="22"/>
      <c r="L110" s="23"/>
    </row>
    <row r="111" customFormat="false" ht="15" hidden="false" customHeight="false" outlineLevel="0" collapsed="false">
      <c r="A111" s="22"/>
      <c r="B111" s="23"/>
      <c r="C111" s="22"/>
      <c r="D111" s="24"/>
      <c r="E111" s="24"/>
      <c r="F111" s="24"/>
      <c r="G111" s="24"/>
      <c r="H111" s="25" t="str">
        <f aca="false">IF(OR(D111="",G111=""),"",D111-G111)</f>
        <v/>
      </c>
      <c r="I111" s="26" t="str">
        <f aca="false">IF(OR(D111="",D111=0,G111=""),"",G111/D111)</f>
        <v/>
      </c>
      <c r="J111" s="22"/>
      <c r="K111" s="22"/>
      <c r="L111" s="23"/>
    </row>
    <row r="112" customFormat="false" ht="15" hidden="false" customHeight="false" outlineLevel="0" collapsed="false">
      <c r="A112" s="22"/>
      <c r="B112" s="23"/>
      <c r="C112" s="22"/>
      <c r="D112" s="24"/>
      <c r="E112" s="24"/>
      <c r="F112" s="24"/>
      <c r="G112" s="24"/>
      <c r="H112" s="25" t="str">
        <f aca="false">IF(OR(D112="",G112=""),"",D112-G112)</f>
        <v/>
      </c>
      <c r="I112" s="26" t="str">
        <f aca="false">IF(OR(D112="",D112=0,G112=""),"",G112/D112)</f>
        <v/>
      </c>
      <c r="J112" s="22"/>
      <c r="K112" s="22"/>
      <c r="L112" s="23"/>
    </row>
    <row r="113" customFormat="false" ht="15" hidden="false" customHeight="false" outlineLevel="0" collapsed="false">
      <c r="A113" s="22"/>
      <c r="B113" s="23"/>
      <c r="C113" s="22"/>
      <c r="D113" s="24"/>
      <c r="E113" s="24"/>
      <c r="F113" s="24"/>
      <c r="G113" s="24"/>
      <c r="H113" s="25" t="str">
        <f aca="false">IF(OR(D113="",G113=""),"",D113-G113)</f>
        <v/>
      </c>
      <c r="I113" s="26" t="str">
        <f aca="false">IF(OR(D113="",D113=0,G113=""),"",G113/D113)</f>
        <v/>
      </c>
      <c r="J113" s="22"/>
      <c r="K113" s="22"/>
      <c r="L113" s="23"/>
    </row>
    <row r="114" customFormat="false" ht="15" hidden="false" customHeight="false" outlineLevel="0" collapsed="false">
      <c r="A114" s="22"/>
      <c r="B114" s="23"/>
      <c r="C114" s="22"/>
      <c r="D114" s="24"/>
      <c r="E114" s="24"/>
      <c r="F114" s="24"/>
      <c r="G114" s="24"/>
      <c r="H114" s="25" t="str">
        <f aca="false">IF(OR(D114="",G114=""),"",D114-G114)</f>
        <v/>
      </c>
      <c r="I114" s="26" t="str">
        <f aca="false">IF(OR(D114="",D114=0,G114=""),"",G114/D114)</f>
        <v/>
      </c>
      <c r="J114" s="22"/>
      <c r="K114" s="22"/>
      <c r="L114" s="23"/>
    </row>
    <row r="115" customFormat="false" ht="15" hidden="false" customHeight="false" outlineLevel="0" collapsed="false">
      <c r="A115" s="22"/>
      <c r="B115" s="23"/>
      <c r="C115" s="22"/>
      <c r="D115" s="24"/>
      <c r="E115" s="24"/>
      <c r="F115" s="24"/>
      <c r="G115" s="24"/>
      <c r="H115" s="25" t="str">
        <f aca="false">IF(OR(D115="",G115=""),"",D115-G115)</f>
        <v/>
      </c>
      <c r="I115" s="26" t="str">
        <f aca="false">IF(OR(D115="",D115=0,G115=""),"",G115/D115)</f>
        <v/>
      </c>
      <c r="J115" s="22"/>
      <c r="K115" s="22"/>
      <c r="L115" s="23"/>
    </row>
    <row r="116" customFormat="false" ht="15" hidden="false" customHeight="false" outlineLevel="0" collapsed="false">
      <c r="A116" s="22"/>
      <c r="B116" s="23"/>
      <c r="C116" s="22"/>
      <c r="D116" s="24"/>
      <c r="E116" s="24"/>
      <c r="F116" s="24"/>
      <c r="G116" s="24"/>
      <c r="H116" s="25" t="str">
        <f aca="false">IF(OR(D116="",G116=""),"",D116-G116)</f>
        <v/>
      </c>
      <c r="I116" s="26" t="str">
        <f aca="false">IF(OR(D116="",D116=0,G116=""),"",G116/D116)</f>
        <v/>
      </c>
      <c r="J116" s="22"/>
      <c r="K116" s="22"/>
      <c r="L116" s="23"/>
    </row>
    <row r="117" customFormat="false" ht="15" hidden="false" customHeight="false" outlineLevel="0" collapsed="false">
      <c r="A117" s="22"/>
      <c r="B117" s="23"/>
      <c r="C117" s="22"/>
      <c r="D117" s="24"/>
      <c r="E117" s="24"/>
      <c r="F117" s="24"/>
      <c r="G117" s="24"/>
      <c r="H117" s="25" t="str">
        <f aca="false">IF(OR(D117="",G117=""),"",D117-G117)</f>
        <v/>
      </c>
      <c r="I117" s="26" t="str">
        <f aca="false">IF(OR(D117="",D117=0,G117=""),"",G117/D117)</f>
        <v/>
      </c>
      <c r="J117" s="22"/>
      <c r="K117" s="22"/>
      <c r="L117" s="23"/>
    </row>
    <row r="118" customFormat="false" ht="15" hidden="false" customHeight="false" outlineLevel="0" collapsed="false">
      <c r="A118" s="22"/>
      <c r="B118" s="23"/>
      <c r="C118" s="22"/>
      <c r="D118" s="24"/>
      <c r="E118" s="24"/>
      <c r="F118" s="24"/>
      <c r="G118" s="24"/>
      <c r="H118" s="25" t="str">
        <f aca="false">IF(OR(D118="",G118=""),"",D118-G118)</f>
        <v/>
      </c>
      <c r="I118" s="26" t="str">
        <f aca="false">IF(OR(D118="",D118=0,G118=""),"",G118/D118)</f>
        <v/>
      </c>
      <c r="J118" s="22"/>
      <c r="K118" s="22"/>
      <c r="L118" s="23"/>
    </row>
    <row r="119" customFormat="false" ht="15" hidden="false" customHeight="false" outlineLevel="0" collapsed="false">
      <c r="A119" s="22"/>
      <c r="B119" s="23"/>
      <c r="C119" s="22"/>
      <c r="D119" s="24"/>
      <c r="E119" s="24"/>
      <c r="F119" s="24"/>
      <c r="G119" s="24"/>
      <c r="H119" s="25" t="str">
        <f aca="false">IF(OR(D119="",G119=""),"",D119-G119)</f>
        <v/>
      </c>
      <c r="I119" s="26" t="str">
        <f aca="false">IF(OR(D119="",D119=0,G119=""),"",G119/D119)</f>
        <v/>
      </c>
      <c r="J119" s="22"/>
      <c r="K119" s="22"/>
      <c r="L119" s="23"/>
    </row>
    <row r="120" customFormat="false" ht="15" hidden="false" customHeight="false" outlineLevel="0" collapsed="false">
      <c r="A120" s="22"/>
      <c r="B120" s="23"/>
      <c r="C120" s="22"/>
      <c r="D120" s="24"/>
      <c r="E120" s="24"/>
      <c r="F120" s="24"/>
      <c r="G120" s="24"/>
      <c r="H120" s="25" t="str">
        <f aca="false">IF(OR(D120="",G120=""),"",D120-G120)</f>
        <v/>
      </c>
      <c r="I120" s="26" t="str">
        <f aca="false">IF(OR(D120="",D120=0,G120=""),"",G120/D120)</f>
        <v/>
      </c>
      <c r="J120" s="22"/>
      <c r="K120" s="22"/>
      <c r="L120" s="23"/>
    </row>
    <row r="121" customFormat="false" ht="15" hidden="false" customHeight="false" outlineLevel="0" collapsed="false">
      <c r="A121" s="22"/>
      <c r="B121" s="23"/>
      <c r="C121" s="22"/>
      <c r="D121" s="24"/>
      <c r="E121" s="24"/>
      <c r="F121" s="24"/>
      <c r="G121" s="24"/>
      <c r="H121" s="25" t="str">
        <f aca="false">IF(OR(D121="",G121=""),"",D121-G121)</f>
        <v/>
      </c>
      <c r="I121" s="26" t="str">
        <f aca="false">IF(OR(D121="",D121=0,G121=""),"",G121/D121)</f>
        <v/>
      </c>
      <c r="J121" s="22"/>
      <c r="K121" s="22"/>
      <c r="L121" s="23"/>
    </row>
    <row r="122" customFormat="false" ht="15" hidden="false" customHeight="false" outlineLevel="0" collapsed="false">
      <c r="A122" s="22"/>
      <c r="B122" s="23"/>
      <c r="C122" s="22"/>
      <c r="D122" s="24"/>
      <c r="E122" s="24"/>
      <c r="F122" s="24"/>
      <c r="G122" s="24"/>
      <c r="H122" s="25" t="str">
        <f aca="false">IF(OR(D122="",G122=""),"",D122-G122)</f>
        <v/>
      </c>
      <c r="I122" s="26" t="str">
        <f aca="false">IF(OR(D122="",D122=0,G122=""),"",G122/D122)</f>
        <v/>
      </c>
      <c r="J122" s="22"/>
      <c r="K122" s="22"/>
      <c r="L122" s="23"/>
    </row>
    <row r="123" customFormat="false" ht="15" hidden="false" customHeight="false" outlineLevel="0" collapsed="false">
      <c r="A123" s="22"/>
      <c r="B123" s="23"/>
      <c r="C123" s="22"/>
      <c r="D123" s="24"/>
      <c r="E123" s="24"/>
      <c r="F123" s="24"/>
      <c r="G123" s="24"/>
      <c r="H123" s="25" t="str">
        <f aca="false">IF(OR(D123="",G123=""),"",D123-G123)</f>
        <v/>
      </c>
      <c r="I123" s="26" t="str">
        <f aca="false">IF(OR(D123="",D123=0,G123=""),"",G123/D123)</f>
        <v/>
      </c>
      <c r="J123" s="22"/>
      <c r="K123" s="22"/>
      <c r="L123" s="23"/>
    </row>
    <row r="124" customFormat="false" ht="15" hidden="false" customHeight="false" outlineLevel="0" collapsed="false">
      <c r="A124" s="22"/>
      <c r="B124" s="23"/>
      <c r="C124" s="22"/>
      <c r="D124" s="24"/>
      <c r="E124" s="24"/>
      <c r="F124" s="24"/>
      <c r="G124" s="24"/>
      <c r="H124" s="25" t="str">
        <f aca="false">IF(OR(D124="",G124=""),"",D124-G124)</f>
        <v/>
      </c>
      <c r="I124" s="26" t="str">
        <f aca="false">IF(OR(D124="",D124=0,G124=""),"",G124/D124)</f>
        <v/>
      </c>
      <c r="J124" s="22"/>
      <c r="K124" s="22"/>
      <c r="L124" s="23"/>
    </row>
    <row r="125" customFormat="false" ht="15" hidden="false" customHeight="false" outlineLevel="0" collapsed="false">
      <c r="A125" s="22"/>
      <c r="B125" s="23"/>
      <c r="C125" s="22"/>
      <c r="D125" s="24"/>
      <c r="E125" s="24"/>
      <c r="F125" s="24"/>
      <c r="G125" s="24"/>
      <c r="H125" s="25" t="str">
        <f aca="false">IF(OR(D125="",G125=""),"",D125-G125)</f>
        <v/>
      </c>
      <c r="I125" s="26" t="str">
        <f aca="false">IF(OR(D125="",D125=0,G125=""),"",G125/D125)</f>
        <v/>
      </c>
      <c r="J125" s="22"/>
      <c r="K125" s="22"/>
      <c r="L125" s="23"/>
    </row>
    <row r="126" customFormat="false" ht="15" hidden="false" customHeight="false" outlineLevel="0" collapsed="false">
      <c r="A126" s="22"/>
      <c r="B126" s="23"/>
      <c r="C126" s="22"/>
      <c r="D126" s="24"/>
      <c r="E126" s="24"/>
      <c r="F126" s="24"/>
      <c r="G126" s="24"/>
      <c r="H126" s="25" t="str">
        <f aca="false">IF(OR(D126="",G126=""),"",D126-G126)</f>
        <v/>
      </c>
      <c r="I126" s="26" t="str">
        <f aca="false">IF(OR(D126="",D126=0,G126=""),"",G126/D126)</f>
        <v/>
      </c>
      <c r="J126" s="22"/>
      <c r="K126" s="22"/>
      <c r="L126" s="23"/>
    </row>
    <row r="127" customFormat="false" ht="15" hidden="false" customHeight="false" outlineLevel="0" collapsed="false">
      <c r="A127" s="22"/>
      <c r="B127" s="23"/>
      <c r="C127" s="22"/>
      <c r="D127" s="24"/>
      <c r="E127" s="24"/>
      <c r="F127" s="24"/>
      <c r="G127" s="24"/>
      <c r="H127" s="25" t="str">
        <f aca="false">IF(OR(D127="",G127=""),"",D127-G127)</f>
        <v/>
      </c>
      <c r="I127" s="26" t="str">
        <f aca="false">IF(OR(D127="",D127=0,G127=""),"",G127/D127)</f>
        <v/>
      </c>
      <c r="J127" s="22"/>
      <c r="K127" s="22"/>
      <c r="L127" s="23"/>
    </row>
    <row r="128" customFormat="false" ht="15" hidden="false" customHeight="false" outlineLevel="0" collapsed="false">
      <c r="A128" s="22"/>
      <c r="B128" s="23"/>
      <c r="C128" s="22"/>
      <c r="D128" s="24"/>
      <c r="E128" s="24"/>
      <c r="F128" s="24"/>
      <c r="G128" s="24"/>
      <c r="H128" s="25" t="str">
        <f aca="false">IF(OR(D128="",G128=""),"",D128-G128)</f>
        <v/>
      </c>
      <c r="I128" s="26" t="str">
        <f aca="false">IF(OR(D128="",D128=0,G128=""),"",G128/D128)</f>
        <v/>
      </c>
      <c r="J128" s="22"/>
      <c r="K128" s="22"/>
      <c r="L128" s="23"/>
    </row>
    <row r="129" customFormat="false" ht="15" hidden="false" customHeight="false" outlineLevel="0" collapsed="false">
      <c r="A129" s="22"/>
      <c r="B129" s="23"/>
      <c r="C129" s="22"/>
      <c r="D129" s="24"/>
      <c r="E129" s="24"/>
      <c r="F129" s="24"/>
      <c r="G129" s="24"/>
      <c r="H129" s="25" t="str">
        <f aca="false">IF(OR(D129="",G129=""),"",D129-G129)</f>
        <v/>
      </c>
      <c r="I129" s="26" t="str">
        <f aca="false">IF(OR(D129="",D129=0,G129=""),"",G129/D129)</f>
        <v/>
      </c>
      <c r="J129" s="22"/>
      <c r="K129" s="22"/>
      <c r="L129" s="23"/>
    </row>
    <row r="130" customFormat="false" ht="15" hidden="false" customHeight="false" outlineLevel="0" collapsed="false">
      <c r="A130" s="22"/>
      <c r="B130" s="23"/>
      <c r="C130" s="22"/>
      <c r="D130" s="24"/>
      <c r="E130" s="24"/>
      <c r="F130" s="24"/>
      <c r="G130" s="24"/>
      <c r="H130" s="25" t="str">
        <f aca="false">IF(OR(D130="",G130=""),"",D130-G130)</f>
        <v/>
      </c>
      <c r="I130" s="26" t="str">
        <f aca="false">IF(OR(D130="",D130=0,G130=""),"",G130/D130)</f>
        <v/>
      </c>
      <c r="J130" s="22"/>
      <c r="K130" s="22"/>
      <c r="L130" s="23"/>
    </row>
    <row r="131" customFormat="false" ht="15" hidden="false" customHeight="false" outlineLevel="0" collapsed="false">
      <c r="A131" s="22"/>
      <c r="B131" s="23"/>
      <c r="C131" s="22"/>
      <c r="D131" s="24"/>
      <c r="E131" s="24"/>
      <c r="F131" s="24"/>
      <c r="G131" s="24"/>
      <c r="H131" s="25" t="str">
        <f aca="false">IF(OR(D131="",G131=""),"",D131-G131)</f>
        <v/>
      </c>
      <c r="I131" s="26" t="str">
        <f aca="false">IF(OR(D131="",D131=0,G131=""),"",G131/D131)</f>
        <v/>
      </c>
      <c r="J131" s="22"/>
      <c r="K131" s="22"/>
      <c r="L131" s="23"/>
    </row>
    <row r="132" customFormat="false" ht="15" hidden="false" customHeight="false" outlineLevel="0" collapsed="false">
      <c r="A132" s="22"/>
      <c r="B132" s="23"/>
      <c r="C132" s="22"/>
      <c r="D132" s="24"/>
      <c r="E132" s="24"/>
      <c r="F132" s="24"/>
      <c r="G132" s="24"/>
      <c r="H132" s="25" t="str">
        <f aca="false">IF(OR(D132="",G132=""),"",D132-G132)</f>
        <v/>
      </c>
      <c r="I132" s="26" t="str">
        <f aca="false">IF(OR(D132="",D132=0,G132=""),"",G132/D132)</f>
        <v/>
      </c>
      <c r="J132" s="22"/>
      <c r="K132" s="22"/>
      <c r="L132" s="23"/>
    </row>
    <row r="133" customFormat="false" ht="15" hidden="false" customHeight="false" outlineLevel="0" collapsed="false">
      <c r="A133" s="22"/>
      <c r="B133" s="23"/>
      <c r="C133" s="22"/>
      <c r="D133" s="24"/>
      <c r="E133" s="24"/>
      <c r="F133" s="24"/>
      <c r="G133" s="24"/>
      <c r="H133" s="25" t="str">
        <f aca="false">IF(OR(D133="",G133=""),"",D133-G133)</f>
        <v/>
      </c>
      <c r="I133" s="26" t="str">
        <f aca="false">IF(OR(D133="",D133=0,G133=""),"",G133/D133)</f>
        <v/>
      </c>
      <c r="J133" s="22"/>
      <c r="K133" s="22"/>
      <c r="L133" s="23"/>
    </row>
    <row r="134" customFormat="false" ht="15" hidden="false" customHeight="false" outlineLevel="0" collapsed="false">
      <c r="A134" s="22"/>
      <c r="B134" s="23"/>
      <c r="C134" s="22"/>
      <c r="D134" s="24"/>
      <c r="E134" s="24"/>
      <c r="F134" s="24"/>
      <c r="G134" s="24"/>
      <c r="H134" s="25" t="str">
        <f aca="false">IF(OR(D134="",G134=""),"",D134-G134)</f>
        <v/>
      </c>
      <c r="I134" s="26" t="str">
        <f aca="false">IF(OR(D134="",D134=0,G134=""),"",G134/D134)</f>
        <v/>
      </c>
      <c r="J134" s="22"/>
      <c r="K134" s="22"/>
      <c r="L134" s="23"/>
    </row>
    <row r="135" customFormat="false" ht="15" hidden="false" customHeight="false" outlineLevel="0" collapsed="false">
      <c r="A135" s="22"/>
      <c r="B135" s="23"/>
      <c r="C135" s="22"/>
      <c r="D135" s="24"/>
      <c r="E135" s="24"/>
      <c r="F135" s="24"/>
      <c r="G135" s="24"/>
      <c r="H135" s="25" t="str">
        <f aca="false">IF(OR(D135="",G135=""),"",D135-G135)</f>
        <v/>
      </c>
      <c r="I135" s="26" t="str">
        <f aca="false">IF(OR(D135="",D135=0,G135=""),"",G135/D135)</f>
        <v/>
      </c>
      <c r="J135" s="22"/>
      <c r="K135" s="22"/>
      <c r="L135" s="23"/>
    </row>
    <row r="136" customFormat="false" ht="15" hidden="false" customHeight="false" outlineLevel="0" collapsed="false">
      <c r="A136" s="22"/>
      <c r="B136" s="23"/>
      <c r="C136" s="22"/>
      <c r="D136" s="24"/>
      <c r="E136" s="24"/>
      <c r="F136" s="24"/>
      <c r="G136" s="24"/>
      <c r="H136" s="25" t="str">
        <f aca="false">IF(OR(D136="",G136=""),"",D136-G136)</f>
        <v/>
      </c>
      <c r="I136" s="26" t="str">
        <f aca="false">IF(OR(D136="",D136=0,G136=""),"",G136/D136)</f>
        <v/>
      </c>
      <c r="J136" s="22"/>
      <c r="K136" s="22"/>
      <c r="L136" s="23"/>
    </row>
    <row r="137" customFormat="false" ht="15" hidden="false" customHeight="false" outlineLevel="0" collapsed="false">
      <c r="A137" s="22"/>
      <c r="B137" s="23"/>
      <c r="C137" s="22"/>
      <c r="D137" s="24"/>
      <c r="E137" s="24"/>
      <c r="F137" s="24"/>
      <c r="G137" s="24"/>
      <c r="H137" s="25" t="str">
        <f aca="false">IF(OR(D137="",G137=""),"",D137-G137)</f>
        <v/>
      </c>
      <c r="I137" s="26" t="str">
        <f aca="false">IF(OR(D137="",D137=0,G137=""),"",G137/D137)</f>
        <v/>
      </c>
      <c r="J137" s="22"/>
      <c r="K137" s="22"/>
      <c r="L137" s="23"/>
    </row>
    <row r="138" customFormat="false" ht="15" hidden="false" customHeight="false" outlineLevel="0" collapsed="false">
      <c r="A138" s="22"/>
      <c r="B138" s="23"/>
      <c r="C138" s="22"/>
      <c r="D138" s="24"/>
      <c r="E138" s="24"/>
      <c r="F138" s="24"/>
      <c r="G138" s="24"/>
      <c r="H138" s="25" t="str">
        <f aca="false">IF(OR(D138="",G138=""),"",D138-G138)</f>
        <v/>
      </c>
      <c r="I138" s="26" t="str">
        <f aca="false">IF(OR(D138="",D138=0,G138=""),"",G138/D138)</f>
        <v/>
      </c>
      <c r="J138" s="22"/>
      <c r="K138" s="22"/>
      <c r="L138" s="23"/>
    </row>
    <row r="139" customFormat="false" ht="15" hidden="false" customHeight="false" outlineLevel="0" collapsed="false">
      <c r="A139" s="22"/>
      <c r="B139" s="23"/>
      <c r="C139" s="22"/>
      <c r="D139" s="24"/>
      <c r="E139" s="24"/>
      <c r="F139" s="24"/>
      <c r="G139" s="24"/>
      <c r="H139" s="25" t="str">
        <f aca="false">IF(OR(D139="",G139=""),"",D139-G139)</f>
        <v/>
      </c>
      <c r="I139" s="26" t="str">
        <f aca="false">IF(OR(D139="",D139=0,G139=""),"",G139/D139)</f>
        <v/>
      </c>
      <c r="J139" s="22"/>
      <c r="K139" s="22"/>
      <c r="L139" s="23"/>
    </row>
    <row r="140" customFormat="false" ht="15" hidden="false" customHeight="false" outlineLevel="0" collapsed="false">
      <c r="A140" s="22"/>
      <c r="B140" s="23"/>
      <c r="C140" s="22"/>
      <c r="D140" s="24"/>
      <c r="E140" s="24"/>
      <c r="F140" s="24"/>
      <c r="G140" s="24"/>
      <c r="H140" s="25" t="str">
        <f aca="false">IF(OR(D140="",G140=""),"",D140-G140)</f>
        <v/>
      </c>
      <c r="I140" s="26" t="str">
        <f aca="false">IF(OR(D140="",D140=0,G140=""),"",G140/D140)</f>
        <v/>
      </c>
      <c r="J140" s="22"/>
      <c r="K140" s="22"/>
      <c r="L140" s="23"/>
    </row>
    <row r="141" customFormat="false" ht="15" hidden="false" customHeight="false" outlineLevel="0" collapsed="false">
      <c r="A141" s="22"/>
      <c r="B141" s="23"/>
      <c r="C141" s="22"/>
      <c r="D141" s="24"/>
      <c r="E141" s="24"/>
      <c r="F141" s="24"/>
      <c r="G141" s="24"/>
      <c r="H141" s="25" t="str">
        <f aca="false">IF(OR(D141="",G141=""),"",D141-G141)</f>
        <v/>
      </c>
      <c r="I141" s="26" t="str">
        <f aca="false">IF(OR(D141="",D141=0,G141=""),"",G141/D141)</f>
        <v/>
      </c>
      <c r="J141" s="22"/>
      <c r="K141" s="22"/>
      <c r="L141" s="23"/>
    </row>
    <row r="142" customFormat="false" ht="15" hidden="false" customHeight="false" outlineLevel="0" collapsed="false">
      <c r="A142" s="22"/>
      <c r="B142" s="23"/>
      <c r="C142" s="22"/>
      <c r="D142" s="24"/>
      <c r="E142" s="24"/>
      <c r="F142" s="24"/>
      <c r="G142" s="24"/>
      <c r="H142" s="25" t="str">
        <f aca="false">IF(OR(D142="",G142=""),"",D142-G142)</f>
        <v/>
      </c>
      <c r="I142" s="26" t="str">
        <f aca="false">IF(OR(D142="",D142=0,G142=""),"",G142/D142)</f>
        <v/>
      </c>
      <c r="J142" s="22"/>
      <c r="K142" s="22"/>
      <c r="L142" s="23"/>
    </row>
    <row r="143" customFormat="false" ht="15" hidden="false" customHeight="false" outlineLevel="0" collapsed="false">
      <c r="A143" s="22"/>
      <c r="B143" s="23"/>
      <c r="C143" s="22"/>
      <c r="D143" s="24"/>
      <c r="E143" s="24"/>
      <c r="F143" s="24"/>
      <c r="G143" s="24"/>
      <c r="H143" s="25" t="str">
        <f aca="false">IF(OR(D143="",G143=""),"",D143-G143)</f>
        <v/>
      </c>
      <c r="I143" s="26" t="str">
        <f aca="false">IF(OR(D143="",D143=0,G143=""),"",G143/D143)</f>
        <v/>
      </c>
      <c r="J143" s="22"/>
      <c r="K143" s="22"/>
      <c r="L143" s="23"/>
    </row>
    <row r="144" customFormat="false" ht="15" hidden="false" customHeight="false" outlineLevel="0" collapsed="false">
      <c r="A144" s="22"/>
      <c r="B144" s="23"/>
      <c r="C144" s="22"/>
      <c r="D144" s="24"/>
      <c r="E144" s="24"/>
      <c r="F144" s="24"/>
      <c r="G144" s="24"/>
      <c r="H144" s="25" t="str">
        <f aca="false">IF(OR(D144="",G144=""),"",D144-G144)</f>
        <v/>
      </c>
      <c r="I144" s="26" t="str">
        <f aca="false">IF(OR(D144="",D144=0,G144=""),"",G144/D144)</f>
        <v/>
      </c>
      <c r="J144" s="22"/>
      <c r="K144" s="22"/>
      <c r="L144" s="23"/>
    </row>
    <row r="145" customFormat="false" ht="15" hidden="false" customHeight="false" outlineLevel="0" collapsed="false">
      <c r="A145" s="22"/>
      <c r="B145" s="23"/>
      <c r="C145" s="22"/>
      <c r="D145" s="24"/>
      <c r="E145" s="24"/>
      <c r="F145" s="24"/>
      <c r="G145" s="24"/>
      <c r="H145" s="25" t="str">
        <f aca="false">IF(OR(D145="",G145=""),"",D145-G145)</f>
        <v/>
      </c>
      <c r="I145" s="26" t="str">
        <f aca="false">IF(OR(D145="",D145=0,G145=""),"",G145/D145)</f>
        <v/>
      </c>
      <c r="J145" s="22"/>
      <c r="K145" s="22"/>
      <c r="L145" s="23"/>
    </row>
    <row r="146" customFormat="false" ht="15" hidden="false" customHeight="false" outlineLevel="0" collapsed="false">
      <c r="A146" s="22"/>
      <c r="B146" s="23"/>
      <c r="C146" s="22"/>
      <c r="D146" s="24"/>
      <c r="E146" s="24"/>
      <c r="F146" s="24"/>
      <c r="G146" s="24"/>
      <c r="H146" s="25" t="str">
        <f aca="false">IF(OR(D146="",G146=""),"",D146-G146)</f>
        <v/>
      </c>
      <c r="I146" s="26" t="str">
        <f aca="false">IF(OR(D146="",D146=0,G146=""),"",G146/D146)</f>
        <v/>
      </c>
      <c r="J146" s="22"/>
      <c r="K146" s="22"/>
      <c r="L146" s="23"/>
    </row>
    <row r="147" customFormat="false" ht="15" hidden="false" customHeight="false" outlineLevel="0" collapsed="false">
      <c r="A147" s="22"/>
      <c r="B147" s="23"/>
      <c r="C147" s="22"/>
      <c r="D147" s="24"/>
      <c r="E147" s="24"/>
      <c r="F147" s="24"/>
      <c r="G147" s="24"/>
      <c r="H147" s="25" t="str">
        <f aca="false">IF(OR(D147="",G147=""),"",D147-G147)</f>
        <v/>
      </c>
      <c r="I147" s="26" t="str">
        <f aca="false">IF(OR(D147="",D147=0,G147=""),"",G147/D147)</f>
        <v/>
      </c>
      <c r="J147" s="22"/>
      <c r="K147" s="22"/>
      <c r="L147" s="23"/>
    </row>
    <row r="148" customFormat="false" ht="15" hidden="false" customHeight="false" outlineLevel="0" collapsed="false">
      <c r="A148" s="22"/>
      <c r="B148" s="23"/>
      <c r="C148" s="22"/>
      <c r="D148" s="24"/>
      <c r="E148" s="24"/>
      <c r="F148" s="24"/>
      <c r="G148" s="24"/>
      <c r="H148" s="25" t="str">
        <f aca="false">IF(OR(D148="",G148=""),"",D148-G148)</f>
        <v/>
      </c>
      <c r="I148" s="26" t="str">
        <f aca="false">IF(OR(D148="",D148=0,G148=""),"",G148/D148)</f>
        <v/>
      </c>
      <c r="J148" s="22"/>
      <c r="K148" s="22"/>
      <c r="L148" s="23"/>
    </row>
    <row r="149" customFormat="false" ht="15" hidden="false" customHeight="false" outlineLevel="0" collapsed="false">
      <c r="A149" s="22"/>
      <c r="B149" s="23"/>
      <c r="C149" s="22"/>
      <c r="D149" s="24"/>
      <c r="E149" s="24"/>
      <c r="F149" s="24"/>
      <c r="G149" s="24"/>
      <c r="H149" s="25" t="str">
        <f aca="false">IF(OR(D149="",G149=""),"",D149-G149)</f>
        <v/>
      </c>
      <c r="I149" s="26" t="str">
        <f aca="false">IF(OR(D149="",D149=0,G149=""),"",G149/D149)</f>
        <v/>
      </c>
      <c r="J149" s="22"/>
      <c r="K149" s="22"/>
      <c r="L149" s="23"/>
    </row>
    <row r="150" customFormat="false" ht="15" hidden="false" customHeight="false" outlineLevel="0" collapsed="false">
      <c r="A150" s="22"/>
      <c r="B150" s="23"/>
      <c r="C150" s="22"/>
      <c r="D150" s="24"/>
      <c r="E150" s="24"/>
      <c r="F150" s="24"/>
      <c r="G150" s="24"/>
      <c r="H150" s="25" t="str">
        <f aca="false">IF(OR(D150="",G150=""),"",D150-G150)</f>
        <v/>
      </c>
      <c r="I150" s="26" t="str">
        <f aca="false">IF(OR(D150="",D150=0,G150=""),"",G150/D150)</f>
        <v/>
      </c>
      <c r="J150" s="22"/>
      <c r="K150" s="22"/>
      <c r="L150" s="23"/>
    </row>
    <row r="151" customFormat="false" ht="15" hidden="false" customHeight="false" outlineLevel="0" collapsed="false">
      <c r="A151" s="22"/>
      <c r="B151" s="23"/>
      <c r="C151" s="22"/>
      <c r="D151" s="24"/>
      <c r="E151" s="24"/>
      <c r="F151" s="24"/>
      <c r="G151" s="24"/>
      <c r="H151" s="25" t="str">
        <f aca="false">IF(OR(D151="",G151=""),"",D151-G151)</f>
        <v/>
      </c>
      <c r="I151" s="26" t="str">
        <f aca="false">IF(OR(D151="",D151=0,G151=""),"",G151/D151)</f>
        <v/>
      </c>
      <c r="J151" s="22"/>
      <c r="K151" s="22"/>
      <c r="L151" s="23"/>
    </row>
    <row r="152" customFormat="false" ht="15" hidden="false" customHeight="false" outlineLevel="0" collapsed="false">
      <c r="A152" s="22"/>
      <c r="B152" s="23"/>
      <c r="C152" s="22"/>
      <c r="D152" s="24"/>
      <c r="E152" s="24"/>
      <c r="F152" s="24"/>
      <c r="G152" s="24"/>
      <c r="H152" s="25" t="str">
        <f aca="false">IF(OR(D152="",G152=""),"",D152-G152)</f>
        <v/>
      </c>
      <c r="I152" s="26" t="str">
        <f aca="false">IF(OR(D152="",D152=0,G152=""),"",G152/D152)</f>
        <v/>
      </c>
      <c r="J152" s="22"/>
      <c r="K152" s="22"/>
      <c r="L152" s="23"/>
    </row>
    <row r="153" customFormat="false" ht="15" hidden="false" customHeight="false" outlineLevel="0" collapsed="false">
      <c r="A153" s="22"/>
      <c r="B153" s="23"/>
      <c r="C153" s="22"/>
      <c r="D153" s="24"/>
      <c r="E153" s="24"/>
      <c r="F153" s="24"/>
      <c r="G153" s="24"/>
      <c r="H153" s="25" t="str">
        <f aca="false">IF(OR(D153="",G153=""),"",D153-G153)</f>
        <v/>
      </c>
      <c r="I153" s="26" t="str">
        <f aca="false">IF(OR(D153="",D153=0,G153=""),"",G153/D153)</f>
        <v/>
      </c>
      <c r="J153" s="22"/>
      <c r="K153" s="22"/>
      <c r="L153" s="23"/>
    </row>
    <row r="154" customFormat="false" ht="15" hidden="false" customHeight="false" outlineLevel="0" collapsed="false">
      <c r="A154" s="22"/>
      <c r="B154" s="23"/>
      <c r="C154" s="22"/>
      <c r="D154" s="24"/>
      <c r="E154" s="24"/>
      <c r="F154" s="24"/>
      <c r="G154" s="24"/>
      <c r="H154" s="25" t="str">
        <f aca="false">IF(OR(D154="",G154=""),"",D154-G154)</f>
        <v/>
      </c>
      <c r="I154" s="26" t="str">
        <f aca="false">IF(OR(D154="",D154=0,G154=""),"",G154/D154)</f>
        <v/>
      </c>
      <c r="J154" s="22"/>
      <c r="K154" s="22"/>
      <c r="L154" s="23"/>
    </row>
    <row r="155" customFormat="false" ht="15" hidden="false" customHeight="false" outlineLevel="0" collapsed="false">
      <c r="A155" s="22"/>
      <c r="B155" s="23"/>
      <c r="C155" s="22"/>
      <c r="D155" s="24"/>
      <c r="E155" s="24"/>
      <c r="F155" s="24"/>
      <c r="G155" s="24"/>
      <c r="H155" s="25" t="str">
        <f aca="false">IF(OR(D155="",G155=""),"",D155-G155)</f>
        <v/>
      </c>
      <c r="I155" s="26" t="str">
        <f aca="false">IF(OR(D155="",D155=0,G155=""),"",G155/D155)</f>
        <v/>
      </c>
      <c r="J155" s="22"/>
      <c r="K155" s="22"/>
      <c r="L155" s="23"/>
    </row>
    <row r="156" customFormat="false" ht="15" hidden="false" customHeight="false" outlineLevel="0" collapsed="false">
      <c r="A156" s="22"/>
      <c r="B156" s="23"/>
      <c r="C156" s="22"/>
      <c r="D156" s="24"/>
      <c r="E156" s="24"/>
      <c r="F156" s="24"/>
      <c r="G156" s="24"/>
      <c r="H156" s="25" t="str">
        <f aca="false">IF(OR(D156="",G156=""),"",D156-G156)</f>
        <v/>
      </c>
      <c r="I156" s="26" t="str">
        <f aca="false">IF(OR(D156="",D156=0,G156=""),"",G156/D156)</f>
        <v/>
      </c>
      <c r="J156" s="22"/>
      <c r="K156" s="22"/>
      <c r="L156" s="23"/>
    </row>
    <row r="157" customFormat="false" ht="15" hidden="false" customHeight="false" outlineLevel="0" collapsed="false">
      <c r="A157" s="22"/>
      <c r="B157" s="23"/>
      <c r="C157" s="22"/>
      <c r="D157" s="24"/>
      <c r="E157" s="24"/>
      <c r="F157" s="24"/>
      <c r="G157" s="24"/>
      <c r="H157" s="25" t="str">
        <f aca="false">IF(OR(D157="",G157=""),"",D157-G157)</f>
        <v/>
      </c>
      <c r="I157" s="26" t="str">
        <f aca="false">IF(OR(D157="",D157=0,G157=""),"",G157/D157)</f>
        <v/>
      </c>
      <c r="J157" s="22"/>
      <c r="K157" s="22"/>
      <c r="L157" s="23"/>
    </row>
    <row r="158" customFormat="false" ht="15" hidden="false" customHeight="false" outlineLevel="0" collapsed="false">
      <c r="A158" s="22"/>
      <c r="B158" s="23"/>
      <c r="C158" s="22"/>
      <c r="D158" s="24"/>
      <c r="E158" s="24"/>
      <c r="F158" s="24"/>
      <c r="G158" s="24"/>
      <c r="H158" s="25" t="str">
        <f aca="false">IF(OR(D158="",G158=""),"",D158-G158)</f>
        <v/>
      </c>
      <c r="I158" s="26" t="str">
        <f aca="false">IF(OR(D158="",D158=0,G158=""),"",G158/D158)</f>
        <v/>
      </c>
      <c r="J158" s="22"/>
      <c r="K158" s="22"/>
      <c r="L158" s="23"/>
    </row>
    <row r="159" customFormat="false" ht="15" hidden="false" customHeight="false" outlineLevel="0" collapsed="false">
      <c r="A159" s="22"/>
      <c r="B159" s="23"/>
      <c r="C159" s="22"/>
      <c r="D159" s="24"/>
      <c r="E159" s="24"/>
      <c r="F159" s="24"/>
      <c r="G159" s="24"/>
      <c r="H159" s="25" t="str">
        <f aca="false">IF(OR(D159="",G159=""),"",D159-G159)</f>
        <v/>
      </c>
      <c r="I159" s="26" t="str">
        <f aca="false">IF(OR(D159="",D159=0,G159=""),"",G159/D159)</f>
        <v/>
      </c>
      <c r="J159" s="22"/>
      <c r="K159" s="22"/>
      <c r="L159" s="23"/>
    </row>
    <row r="160" customFormat="false" ht="15" hidden="false" customHeight="false" outlineLevel="0" collapsed="false">
      <c r="A160" s="22"/>
      <c r="B160" s="23"/>
      <c r="C160" s="22"/>
      <c r="D160" s="24"/>
      <c r="E160" s="24"/>
      <c r="F160" s="24"/>
      <c r="G160" s="24"/>
      <c r="H160" s="25" t="str">
        <f aca="false">IF(OR(D160="",G160=""),"",D160-G160)</f>
        <v/>
      </c>
      <c r="I160" s="26" t="str">
        <f aca="false">IF(OR(D160="",D160=0,G160=""),"",G160/D160)</f>
        <v/>
      </c>
      <c r="J160" s="22"/>
      <c r="K160" s="22"/>
      <c r="L160" s="23"/>
    </row>
    <row r="161" customFormat="false" ht="15" hidden="false" customHeight="false" outlineLevel="0" collapsed="false">
      <c r="A161" s="22"/>
      <c r="B161" s="23"/>
      <c r="C161" s="22"/>
      <c r="D161" s="24"/>
      <c r="E161" s="24"/>
      <c r="F161" s="24"/>
      <c r="G161" s="24"/>
      <c r="H161" s="25" t="str">
        <f aca="false">IF(OR(D161="",G161=""),"",D161-G161)</f>
        <v/>
      </c>
      <c r="I161" s="26" t="str">
        <f aca="false">IF(OR(D161="",D161=0,G161=""),"",G161/D161)</f>
        <v/>
      </c>
      <c r="J161" s="22"/>
      <c r="K161" s="22"/>
      <c r="L161" s="23"/>
    </row>
    <row r="162" customFormat="false" ht="15" hidden="false" customHeight="false" outlineLevel="0" collapsed="false">
      <c r="A162" s="22"/>
      <c r="B162" s="23"/>
      <c r="C162" s="22"/>
      <c r="D162" s="24"/>
      <c r="E162" s="24"/>
      <c r="F162" s="24"/>
      <c r="G162" s="24"/>
      <c r="H162" s="25" t="str">
        <f aca="false">IF(OR(D162="",G162=""),"",D162-G162)</f>
        <v/>
      </c>
      <c r="I162" s="26" t="str">
        <f aca="false">IF(OR(D162="",D162=0,G162=""),"",G162/D162)</f>
        <v/>
      </c>
      <c r="J162" s="22"/>
      <c r="K162" s="22"/>
      <c r="L162" s="23"/>
    </row>
    <row r="163" customFormat="false" ht="15" hidden="false" customHeight="false" outlineLevel="0" collapsed="false">
      <c r="A163" s="22"/>
      <c r="B163" s="23"/>
      <c r="C163" s="22"/>
      <c r="D163" s="24"/>
      <c r="E163" s="24"/>
      <c r="F163" s="24"/>
      <c r="G163" s="24"/>
      <c r="H163" s="25" t="str">
        <f aca="false">IF(OR(D163="",G163=""),"",D163-G163)</f>
        <v/>
      </c>
      <c r="I163" s="26" t="str">
        <f aca="false">IF(OR(D163="",D163=0,G163=""),"",G163/D163)</f>
        <v/>
      </c>
      <c r="J163" s="22"/>
      <c r="K163" s="22"/>
      <c r="L163" s="23"/>
    </row>
    <row r="164" customFormat="false" ht="15" hidden="false" customHeight="false" outlineLevel="0" collapsed="false">
      <c r="A164" s="22"/>
      <c r="B164" s="23"/>
      <c r="C164" s="22"/>
      <c r="D164" s="24"/>
      <c r="E164" s="24"/>
      <c r="F164" s="24"/>
      <c r="G164" s="24"/>
      <c r="H164" s="25" t="str">
        <f aca="false">IF(OR(D164="",G164=""),"",D164-G164)</f>
        <v/>
      </c>
      <c r="I164" s="26" t="str">
        <f aca="false">IF(OR(D164="",D164=0,G164=""),"",G164/D164)</f>
        <v/>
      </c>
      <c r="J164" s="22"/>
      <c r="K164" s="22"/>
      <c r="L164" s="23"/>
    </row>
    <row r="165" customFormat="false" ht="15" hidden="false" customHeight="false" outlineLevel="0" collapsed="false">
      <c r="A165" s="22"/>
      <c r="B165" s="23"/>
      <c r="C165" s="22"/>
      <c r="D165" s="24"/>
      <c r="E165" s="24"/>
      <c r="F165" s="24"/>
      <c r="G165" s="24"/>
      <c r="H165" s="25" t="str">
        <f aca="false">IF(OR(D165="",G165=""),"",D165-G165)</f>
        <v/>
      </c>
      <c r="I165" s="26" t="str">
        <f aca="false">IF(OR(D165="",D165=0,G165=""),"",G165/D165)</f>
        <v/>
      </c>
      <c r="J165" s="22"/>
      <c r="K165" s="22"/>
      <c r="L165" s="23"/>
    </row>
    <row r="166" customFormat="false" ht="15" hidden="false" customHeight="false" outlineLevel="0" collapsed="false">
      <c r="A166" s="22"/>
      <c r="B166" s="23"/>
      <c r="C166" s="22"/>
      <c r="D166" s="24"/>
      <c r="E166" s="24"/>
      <c r="F166" s="24"/>
      <c r="G166" s="24"/>
      <c r="H166" s="25" t="str">
        <f aca="false">IF(OR(D166="",G166=""),"",D166-G166)</f>
        <v/>
      </c>
      <c r="I166" s="26" t="str">
        <f aca="false">IF(OR(D166="",D166=0,G166=""),"",G166/D166)</f>
        <v/>
      </c>
      <c r="J166" s="22"/>
      <c r="K166" s="22"/>
      <c r="L166" s="23"/>
    </row>
    <row r="167" customFormat="false" ht="15" hidden="false" customHeight="false" outlineLevel="0" collapsed="false">
      <c r="A167" s="22"/>
      <c r="B167" s="23"/>
      <c r="C167" s="22"/>
      <c r="D167" s="24"/>
      <c r="E167" s="24"/>
      <c r="F167" s="24"/>
      <c r="G167" s="24"/>
      <c r="H167" s="25" t="str">
        <f aca="false">IF(OR(D167="",G167=""),"",D167-G167)</f>
        <v/>
      </c>
      <c r="I167" s="26" t="str">
        <f aca="false">IF(OR(D167="",D167=0,G167=""),"",G167/D167)</f>
        <v/>
      </c>
      <c r="J167" s="22"/>
      <c r="K167" s="22"/>
      <c r="L167" s="23"/>
    </row>
    <row r="168" customFormat="false" ht="15" hidden="false" customHeight="false" outlineLevel="0" collapsed="false">
      <c r="A168" s="22"/>
      <c r="B168" s="23"/>
      <c r="C168" s="22"/>
      <c r="D168" s="24"/>
      <c r="E168" s="24"/>
      <c r="F168" s="24"/>
      <c r="G168" s="24"/>
      <c r="H168" s="25" t="str">
        <f aca="false">IF(OR(D168="",G168=""),"",D168-G168)</f>
        <v/>
      </c>
      <c r="I168" s="26" t="str">
        <f aca="false">IF(OR(D168="",D168=0,G168=""),"",G168/D168)</f>
        <v/>
      </c>
      <c r="J168" s="22"/>
      <c r="K168" s="22"/>
      <c r="L168" s="23"/>
    </row>
    <row r="169" customFormat="false" ht="15" hidden="false" customHeight="false" outlineLevel="0" collapsed="false">
      <c r="A169" s="22"/>
      <c r="B169" s="23"/>
      <c r="C169" s="22"/>
      <c r="D169" s="24"/>
      <c r="E169" s="24"/>
      <c r="F169" s="24"/>
      <c r="G169" s="24"/>
      <c r="H169" s="25" t="str">
        <f aca="false">IF(OR(D169="",G169=""),"",D169-G169)</f>
        <v/>
      </c>
      <c r="I169" s="26" t="str">
        <f aca="false">IF(OR(D169="",D169=0,G169=""),"",G169/D169)</f>
        <v/>
      </c>
      <c r="J169" s="22"/>
      <c r="K169" s="22"/>
      <c r="L169" s="23"/>
    </row>
    <row r="170" customFormat="false" ht="15" hidden="false" customHeight="false" outlineLevel="0" collapsed="false">
      <c r="A170" s="22"/>
      <c r="B170" s="23"/>
      <c r="C170" s="22"/>
      <c r="D170" s="24"/>
      <c r="E170" s="24"/>
      <c r="F170" s="24"/>
      <c r="G170" s="24"/>
      <c r="H170" s="25" t="str">
        <f aca="false">IF(OR(D170="",G170=""),"",D170-G170)</f>
        <v/>
      </c>
      <c r="I170" s="26" t="str">
        <f aca="false">IF(OR(D170="",D170=0,G170=""),"",G170/D170)</f>
        <v/>
      </c>
      <c r="J170" s="22"/>
      <c r="K170" s="22"/>
      <c r="L170" s="23"/>
    </row>
    <row r="171" customFormat="false" ht="15" hidden="false" customHeight="false" outlineLevel="0" collapsed="false">
      <c r="A171" s="22"/>
      <c r="B171" s="23"/>
      <c r="C171" s="22"/>
      <c r="D171" s="24"/>
      <c r="E171" s="24"/>
      <c r="F171" s="24"/>
      <c r="G171" s="24"/>
      <c r="H171" s="25" t="str">
        <f aca="false">IF(OR(D171="",G171=""),"",D171-G171)</f>
        <v/>
      </c>
      <c r="I171" s="26" t="str">
        <f aca="false">IF(OR(D171="",D171=0,G171=""),"",G171/D171)</f>
        <v/>
      </c>
      <c r="J171" s="22"/>
      <c r="K171" s="22"/>
      <c r="L171" s="23"/>
    </row>
    <row r="172" customFormat="false" ht="15" hidden="false" customHeight="false" outlineLevel="0" collapsed="false">
      <c r="A172" s="22"/>
      <c r="B172" s="23"/>
      <c r="C172" s="22"/>
      <c r="D172" s="24"/>
      <c r="E172" s="24"/>
      <c r="F172" s="24"/>
      <c r="G172" s="24"/>
      <c r="H172" s="25" t="str">
        <f aca="false">IF(OR(D172="",G172=""),"",D172-G172)</f>
        <v/>
      </c>
      <c r="I172" s="26" t="str">
        <f aca="false">IF(OR(D172="",D172=0,G172=""),"",G172/D172)</f>
        <v/>
      </c>
      <c r="J172" s="22"/>
      <c r="K172" s="22"/>
      <c r="L172" s="23"/>
    </row>
    <row r="173" customFormat="false" ht="15" hidden="false" customHeight="false" outlineLevel="0" collapsed="false">
      <c r="A173" s="22"/>
      <c r="B173" s="23"/>
      <c r="C173" s="22"/>
      <c r="D173" s="24"/>
      <c r="E173" s="24"/>
      <c r="F173" s="24"/>
      <c r="G173" s="24"/>
      <c r="H173" s="25" t="str">
        <f aca="false">IF(OR(D173="",G173=""),"",D173-G173)</f>
        <v/>
      </c>
      <c r="I173" s="26" t="str">
        <f aca="false">IF(OR(D173="",D173=0,G173=""),"",G173/D173)</f>
        <v/>
      </c>
      <c r="J173" s="22"/>
      <c r="K173" s="22"/>
      <c r="L173" s="23"/>
    </row>
    <row r="174" customFormat="false" ht="15" hidden="false" customHeight="false" outlineLevel="0" collapsed="false">
      <c r="A174" s="22"/>
      <c r="B174" s="23"/>
      <c r="C174" s="22"/>
      <c r="D174" s="24"/>
      <c r="E174" s="24"/>
      <c r="F174" s="24"/>
      <c r="G174" s="24"/>
      <c r="H174" s="25" t="str">
        <f aca="false">IF(OR(D174="",G174=""),"",D174-G174)</f>
        <v/>
      </c>
      <c r="I174" s="26" t="str">
        <f aca="false">IF(OR(D174="",D174=0,G174=""),"",G174/D174)</f>
        <v/>
      </c>
      <c r="J174" s="22"/>
      <c r="K174" s="22"/>
      <c r="L174" s="23"/>
    </row>
    <row r="175" customFormat="false" ht="15" hidden="false" customHeight="false" outlineLevel="0" collapsed="false">
      <c r="A175" s="22"/>
      <c r="B175" s="23"/>
      <c r="C175" s="22"/>
      <c r="D175" s="24"/>
      <c r="E175" s="24"/>
      <c r="F175" s="24"/>
      <c r="G175" s="24"/>
      <c r="H175" s="25" t="str">
        <f aca="false">IF(OR(D175="",G175=""),"",D175-G175)</f>
        <v/>
      </c>
      <c r="I175" s="26" t="str">
        <f aca="false">IF(OR(D175="",D175=0,G175=""),"",G175/D175)</f>
        <v/>
      </c>
      <c r="J175" s="22"/>
      <c r="K175" s="22"/>
      <c r="L175" s="23"/>
    </row>
    <row r="176" customFormat="false" ht="15" hidden="false" customHeight="false" outlineLevel="0" collapsed="false">
      <c r="A176" s="22"/>
      <c r="B176" s="23"/>
      <c r="C176" s="22"/>
      <c r="D176" s="24"/>
      <c r="E176" s="24"/>
      <c r="F176" s="24"/>
      <c r="G176" s="24"/>
      <c r="H176" s="25" t="str">
        <f aca="false">IF(OR(D176="",G176=""),"",D176-G176)</f>
        <v/>
      </c>
      <c r="I176" s="26" t="str">
        <f aca="false">IF(OR(D176="",D176=0,G176=""),"",G176/D176)</f>
        <v/>
      </c>
      <c r="J176" s="22"/>
      <c r="K176" s="22"/>
      <c r="L176" s="23"/>
    </row>
    <row r="177" customFormat="false" ht="15" hidden="false" customHeight="false" outlineLevel="0" collapsed="false">
      <c r="A177" s="22"/>
      <c r="B177" s="23"/>
      <c r="C177" s="22"/>
      <c r="D177" s="24"/>
      <c r="E177" s="24"/>
      <c r="F177" s="24"/>
      <c r="G177" s="24"/>
      <c r="H177" s="25" t="str">
        <f aca="false">IF(OR(D177="",G177=""),"",D177-G177)</f>
        <v/>
      </c>
      <c r="I177" s="26" t="str">
        <f aca="false">IF(OR(D177="",D177=0,G177=""),"",G177/D177)</f>
        <v/>
      </c>
      <c r="J177" s="22"/>
      <c r="K177" s="22"/>
      <c r="L177" s="23"/>
    </row>
    <row r="178" customFormat="false" ht="15" hidden="false" customHeight="false" outlineLevel="0" collapsed="false">
      <c r="A178" s="22"/>
      <c r="B178" s="23"/>
      <c r="C178" s="22"/>
      <c r="D178" s="24"/>
      <c r="E178" s="24"/>
      <c r="F178" s="24"/>
      <c r="G178" s="24"/>
      <c r="H178" s="25" t="str">
        <f aca="false">IF(OR(D178="",G178=""),"",D178-G178)</f>
        <v/>
      </c>
      <c r="I178" s="26" t="str">
        <f aca="false">IF(OR(D178="",D178=0,G178=""),"",G178/D178)</f>
        <v/>
      </c>
      <c r="J178" s="22"/>
      <c r="K178" s="22"/>
      <c r="L178" s="23"/>
    </row>
    <row r="179" customFormat="false" ht="15" hidden="false" customHeight="false" outlineLevel="0" collapsed="false">
      <c r="A179" s="22"/>
      <c r="B179" s="23"/>
      <c r="C179" s="22"/>
      <c r="D179" s="24"/>
      <c r="E179" s="24"/>
      <c r="F179" s="24"/>
      <c r="G179" s="24"/>
      <c r="H179" s="25" t="str">
        <f aca="false">IF(OR(D179="",G179=""),"",D179-G179)</f>
        <v/>
      </c>
      <c r="I179" s="26" t="str">
        <f aca="false">IF(OR(D179="",D179=0,G179=""),"",G179/D179)</f>
        <v/>
      </c>
      <c r="J179" s="22"/>
      <c r="K179" s="22"/>
      <c r="L179" s="23"/>
    </row>
    <row r="180" customFormat="false" ht="15" hidden="false" customHeight="false" outlineLevel="0" collapsed="false">
      <c r="A180" s="22"/>
      <c r="B180" s="23"/>
      <c r="C180" s="22"/>
      <c r="D180" s="24"/>
      <c r="E180" s="24"/>
      <c r="F180" s="24"/>
      <c r="G180" s="24"/>
      <c r="H180" s="25" t="str">
        <f aca="false">IF(OR(D180="",G180=""),"",D180-G180)</f>
        <v/>
      </c>
      <c r="I180" s="26" t="str">
        <f aca="false">IF(OR(D180="",D180=0,G180=""),"",G180/D180)</f>
        <v/>
      </c>
      <c r="J180" s="22"/>
      <c r="K180" s="22"/>
      <c r="L180" s="23"/>
    </row>
    <row r="181" customFormat="false" ht="15" hidden="false" customHeight="false" outlineLevel="0" collapsed="false">
      <c r="A181" s="22"/>
      <c r="B181" s="23"/>
      <c r="C181" s="22"/>
      <c r="D181" s="24"/>
      <c r="E181" s="24"/>
      <c r="F181" s="24"/>
      <c r="G181" s="24"/>
      <c r="H181" s="25" t="str">
        <f aca="false">IF(OR(D181="",G181=""),"",D181-G181)</f>
        <v/>
      </c>
      <c r="I181" s="26" t="str">
        <f aca="false">IF(OR(D181="",D181=0,G181=""),"",G181/D181)</f>
        <v/>
      </c>
      <c r="J181" s="22"/>
      <c r="K181" s="22"/>
      <c r="L181" s="23"/>
    </row>
    <row r="182" customFormat="false" ht="15" hidden="false" customHeight="false" outlineLevel="0" collapsed="false">
      <c r="A182" s="22"/>
      <c r="B182" s="23"/>
      <c r="C182" s="22"/>
      <c r="D182" s="24"/>
      <c r="E182" s="24"/>
      <c r="F182" s="24"/>
      <c r="G182" s="24"/>
      <c r="H182" s="25" t="str">
        <f aca="false">IF(OR(D182="",G182=""),"",D182-G182)</f>
        <v/>
      </c>
      <c r="I182" s="26" t="str">
        <f aca="false">IF(OR(D182="",D182=0,G182=""),"",G182/D182)</f>
        <v/>
      </c>
      <c r="J182" s="22"/>
      <c r="K182" s="22"/>
      <c r="L182" s="23"/>
    </row>
    <row r="183" customFormat="false" ht="15" hidden="false" customHeight="false" outlineLevel="0" collapsed="false">
      <c r="A183" s="22"/>
      <c r="B183" s="23"/>
      <c r="C183" s="22"/>
      <c r="D183" s="24"/>
      <c r="E183" s="24"/>
      <c r="F183" s="24"/>
      <c r="G183" s="24"/>
      <c r="H183" s="25" t="str">
        <f aca="false">IF(OR(D183="",G183=""),"",D183-G183)</f>
        <v/>
      </c>
      <c r="I183" s="26" t="str">
        <f aca="false">IF(OR(D183="",D183=0,G183=""),"",G183/D183)</f>
        <v/>
      </c>
      <c r="J183" s="22"/>
      <c r="K183" s="22"/>
      <c r="L183" s="23"/>
    </row>
    <row r="184" customFormat="false" ht="15" hidden="false" customHeight="false" outlineLevel="0" collapsed="false">
      <c r="A184" s="22"/>
      <c r="B184" s="23"/>
      <c r="C184" s="22"/>
      <c r="D184" s="24"/>
      <c r="E184" s="24"/>
      <c r="F184" s="24"/>
      <c r="G184" s="24"/>
      <c r="H184" s="25" t="str">
        <f aca="false">IF(OR(D184="",G184=""),"",D184-G184)</f>
        <v/>
      </c>
      <c r="I184" s="26" t="str">
        <f aca="false">IF(OR(D184="",D184=0,G184=""),"",G184/D184)</f>
        <v/>
      </c>
      <c r="J184" s="22"/>
      <c r="K184" s="22"/>
      <c r="L184" s="23"/>
    </row>
    <row r="185" customFormat="false" ht="15" hidden="false" customHeight="false" outlineLevel="0" collapsed="false">
      <c r="A185" s="22"/>
      <c r="B185" s="23"/>
      <c r="C185" s="22"/>
      <c r="D185" s="24"/>
      <c r="E185" s="24"/>
      <c r="F185" s="24"/>
      <c r="G185" s="24"/>
      <c r="H185" s="25" t="str">
        <f aca="false">IF(OR(D185="",G185=""),"",D185-G185)</f>
        <v/>
      </c>
      <c r="I185" s="26" t="str">
        <f aca="false">IF(OR(D185="",D185=0,G185=""),"",G185/D185)</f>
        <v/>
      </c>
      <c r="J185" s="22"/>
      <c r="K185" s="22"/>
      <c r="L185" s="23"/>
    </row>
    <row r="186" customFormat="false" ht="15" hidden="false" customHeight="false" outlineLevel="0" collapsed="false">
      <c r="A186" s="22"/>
      <c r="B186" s="23"/>
      <c r="C186" s="22"/>
      <c r="D186" s="24"/>
      <c r="E186" s="24"/>
      <c r="F186" s="24"/>
      <c r="G186" s="24"/>
      <c r="H186" s="25" t="str">
        <f aca="false">IF(OR(D186="",G186=""),"",D186-G186)</f>
        <v/>
      </c>
      <c r="I186" s="26" t="str">
        <f aca="false">IF(OR(D186="",D186=0,G186=""),"",G186/D186)</f>
        <v/>
      </c>
      <c r="J186" s="22"/>
      <c r="K186" s="22"/>
      <c r="L186" s="23"/>
    </row>
    <row r="187" customFormat="false" ht="15" hidden="false" customHeight="false" outlineLevel="0" collapsed="false">
      <c r="A187" s="22"/>
      <c r="B187" s="23"/>
      <c r="C187" s="22"/>
      <c r="D187" s="24"/>
      <c r="E187" s="24"/>
      <c r="F187" s="24"/>
      <c r="G187" s="24"/>
      <c r="H187" s="25" t="str">
        <f aca="false">IF(OR(D187="",G187=""),"",D187-G187)</f>
        <v/>
      </c>
      <c r="I187" s="26" t="str">
        <f aca="false">IF(OR(D187="",D187=0,G187=""),"",G187/D187)</f>
        <v/>
      </c>
      <c r="J187" s="22"/>
      <c r="K187" s="22"/>
      <c r="L187" s="23"/>
    </row>
    <row r="188" customFormat="false" ht="15" hidden="false" customHeight="false" outlineLevel="0" collapsed="false">
      <c r="A188" s="22"/>
      <c r="B188" s="23"/>
      <c r="C188" s="22"/>
      <c r="D188" s="24"/>
      <c r="E188" s="24"/>
      <c r="F188" s="24"/>
      <c r="G188" s="24"/>
      <c r="H188" s="25" t="str">
        <f aca="false">IF(OR(D188="",G188=""),"",D188-G188)</f>
        <v/>
      </c>
      <c r="I188" s="26" t="str">
        <f aca="false">IF(OR(D188="",D188=0,G188=""),"",G188/D188)</f>
        <v/>
      </c>
      <c r="J188" s="22"/>
      <c r="K188" s="22"/>
      <c r="L188" s="23"/>
    </row>
    <row r="189" customFormat="false" ht="15" hidden="false" customHeight="false" outlineLevel="0" collapsed="false">
      <c r="A189" s="22"/>
      <c r="B189" s="23"/>
      <c r="C189" s="22"/>
      <c r="D189" s="24"/>
      <c r="E189" s="24"/>
      <c r="F189" s="24"/>
      <c r="G189" s="24"/>
      <c r="H189" s="25" t="str">
        <f aca="false">IF(OR(D189="",G189=""),"",D189-G189)</f>
        <v/>
      </c>
      <c r="I189" s="26" t="str">
        <f aca="false">IF(OR(D189="",D189=0,G189=""),"",G189/D189)</f>
        <v/>
      </c>
      <c r="J189" s="22"/>
      <c r="K189" s="22"/>
      <c r="L189" s="23"/>
    </row>
    <row r="190" customFormat="false" ht="15" hidden="false" customHeight="false" outlineLevel="0" collapsed="false">
      <c r="A190" s="22"/>
      <c r="B190" s="23"/>
      <c r="C190" s="22"/>
      <c r="D190" s="24"/>
      <c r="E190" s="24"/>
      <c r="F190" s="24"/>
      <c r="G190" s="24"/>
      <c r="H190" s="25" t="str">
        <f aca="false">IF(OR(D190="",G190=""),"",D190-G190)</f>
        <v/>
      </c>
      <c r="I190" s="26" t="str">
        <f aca="false">IF(OR(D190="",D190=0,G190=""),"",G190/D190)</f>
        <v/>
      </c>
      <c r="J190" s="22"/>
      <c r="K190" s="22"/>
      <c r="L190" s="23"/>
    </row>
    <row r="191" customFormat="false" ht="15" hidden="false" customHeight="false" outlineLevel="0" collapsed="false">
      <c r="A191" s="22"/>
      <c r="B191" s="23"/>
      <c r="C191" s="22"/>
      <c r="D191" s="24"/>
      <c r="E191" s="24"/>
      <c r="F191" s="24"/>
      <c r="G191" s="24"/>
      <c r="H191" s="25" t="str">
        <f aca="false">IF(OR(D191="",G191=""),"",D191-G191)</f>
        <v/>
      </c>
      <c r="I191" s="26" t="str">
        <f aca="false">IF(OR(D191="",D191=0,G191=""),"",G191/D191)</f>
        <v/>
      </c>
      <c r="J191" s="22"/>
      <c r="K191" s="22"/>
      <c r="L191" s="23"/>
    </row>
    <row r="192" customFormat="false" ht="15" hidden="false" customHeight="false" outlineLevel="0" collapsed="false">
      <c r="A192" s="22"/>
      <c r="B192" s="23"/>
      <c r="C192" s="22"/>
      <c r="D192" s="24"/>
      <c r="E192" s="24"/>
      <c r="F192" s="24"/>
      <c r="G192" s="24"/>
      <c r="H192" s="25" t="str">
        <f aca="false">IF(OR(D192="",G192=""),"",D192-G192)</f>
        <v/>
      </c>
      <c r="I192" s="26" t="str">
        <f aca="false">IF(OR(D192="",D192=0,G192=""),"",G192/D192)</f>
        <v/>
      </c>
      <c r="J192" s="22"/>
      <c r="K192" s="22"/>
      <c r="L192" s="23"/>
    </row>
    <row r="193" customFormat="false" ht="15" hidden="false" customHeight="false" outlineLevel="0" collapsed="false">
      <c r="A193" s="22"/>
      <c r="B193" s="23"/>
      <c r="C193" s="22"/>
      <c r="D193" s="24"/>
      <c r="E193" s="24"/>
      <c r="F193" s="24"/>
      <c r="G193" s="24"/>
      <c r="H193" s="25" t="str">
        <f aca="false">IF(OR(D193="",G193=""),"",D193-G193)</f>
        <v/>
      </c>
      <c r="I193" s="26" t="str">
        <f aca="false">IF(OR(D193="",D193=0,G193=""),"",G193/D193)</f>
        <v/>
      </c>
      <c r="J193" s="22"/>
      <c r="K193" s="22"/>
      <c r="L193" s="23"/>
    </row>
    <row r="194" customFormat="false" ht="15" hidden="false" customHeight="false" outlineLevel="0" collapsed="false">
      <c r="A194" s="22"/>
      <c r="B194" s="23"/>
      <c r="C194" s="22"/>
      <c r="D194" s="24"/>
      <c r="E194" s="24"/>
      <c r="F194" s="24"/>
      <c r="G194" s="24"/>
      <c r="H194" s="25" t="str">
        <f aca="false">IF(OR(D194="",G194=""),"",D194-G194)</f>
        <v/>
      </c>
      <c r="I194" s="26" t="str">
        <f aca="false">IF(OR(D194="",D194=0,G194=""),"",G194/D194)</f>
        <v/>
      </c>
      <c r="J194" s="22"/>
      <c r="K194" s="22"/>
      <c r="L194" s="23"/>
    </row>
    <row r="195" customFormat="false" ht="15" hidden="false" customHeight="false" outlineLevel="0" collapsed="false">
      <c r="A195" s="22"/>
      <c r="B195" s="23"/>
      <c r="C195" s="22"/>
      <c r="D195" s="24"/>
      <c r="E195" s="24"/>
      <c r="F195" s="24"/>
      <c r="G195" s="24"/>
      <c r="H195" s="25" t="str">
        <f aca="false">IF(OR(D195="",G195=""),"",D195-G195)</f>
        <v/>
      </c>
      <c r="I195" s="26" t="str">
        <f aca="false">IF(OR(D195="",D195=0,G195=""),"",G195/D195)</f>
        <v/>
      </c>
      <c r="J195" s="22"/>
      <c r="K195" s="22"/>
      <c r="L195" s="23"/>
    </row>
    <row r="196" customFormat="false" ht="15" hidden="false" customHeight="false" outlineLevel="0" collapsed="false">
      <c r="A196" s="22"/>
      <c r="B196" s="23"/>
      <c r="C196" s="22"/>
      <c r="D196" s="24"/>
      <c r="E196" s="24"/>
      <c r="F196" s="24"/>
      <c r="G196" s="24"/>
      <c r="H196" s="25" t="str">
        <f aca="false">IF(OR(D196="",G196=""),"",D196-G196)</f>
        <v/>
      </c>
      <c r="I196" s="26" t="str">
        <f aca="false">IF(OR(D196="",D196=0,G196=""),"",G196/D196)</f>
        <v/>
      </c>
      <c r="J196" s="22"/>
      <c r="K196" s="22"/>
      <c r="L196" s="23"/>
    </row>
    <row r="197" customFormat="false" ht="15" hidden="false" customHeight="false" outlineLevel="0" collapsed="false">
      <c r="A197" s="22"/>
      <c r="B197" s="23"/>
      <c r="C197" s="22"/>
      <c r="D197" s="24"/>
      <c r="E197" s="24"/>
      <c r="F197" s="24"/>
      <c r="G197" s="24"/>
      <c r="H197" s="25" t="str">
        <f aca="false">IF(OR(D197="",G197=""),"",D197-G197)</f>
        <v/>
      </c>
      <c r="I197" s="26" t="str">
        <f aca="false">IF(OR(D197="",D197=0,G197=""),"",G197/D197)</f>
        <v/>
      </c>
      <c r="J197" s="22"/>
      <c r="K197" s="22"/>
      <c r="L197" s="23"/>
    </row>
    <row r="198" customFormat="false" ht="15" hidden="false" customHeight="false" outlineLevel="0" collapsed="false">
      <c r="A198" s="22"/>
      <c r="B198" s="23"/>
      <c r="C198" s="22"/>
      <c r="D198" s="24"/>
      <c r="E198" s="24"/>
      <c r="F198" s="24"/>
      <c r="G198" s="24"/>
      <c r="H198" s="25" t="str">
        <f aca="false">IF(OR(D198="",G198=""),"",D198-G198)</f>
        <v/>
      </c>
      <c r="I198" s="26" t="str">
        <f aca="false">IF(OR(D198="",D198=0,G198=""),"",G198/D198)</f>
        <v/>
      </c>
      <c r="J198" s="22"/>
      <c r="K198" s="22"/>
      <c r="L198" s="23"/>
    </row>
    <row r="199" customFormat="false" ht="15" hidden="false" customHeight="false" outlineLevel="0" collapsed="false">
      <c r="A199" s="22"/>
      <c r="B199" s="23"/>
      <c r="C199" s="22"/>
      <c r="D199" s="24"/>
      <c r="E199" s="24"/>
      <c r="F199" s="24"/>
      <c r="G199" s="24"/>
      <c r="H199" s="25" t="str">
        <f aca="false">IF(OR(D199="",G199=""),"",D199-G199)</f>
        <v/>
      </c>
      <c r="I199" s="26" t="str">
        <f aca="false">IF(OR(D199="",D199=0,G199=""),"",G199/D199)</f>
        <v/>
      </c>
      <c r="J199" s="22"/>
      <c r="K199" s="22"/>
      <c r="L199" s="23"/>
    </row>
    <row r="200" customFormat="false" ht="15" hidden="false" customHeight="false" outlineLevel="0" collapsed="false">
      <c r="A200" s="22"/>
      <c r="B200" s="23"/>
      <c r="C200" s="22"/>
      <c r="D200" s="24"/>
      <c r="E200" s="24"/>
      <c r="F200" s="24"/>
      <c r="G200" s="24"/>
      <c r="H200" s="25" t="str">
        <f aca="false">IF(OR(D200="",G200=""),"",D200-G200)</f>
        <v/>
      </c>
      <c r="I200" s="26" t="str">
        <f aca="false">IF(OR(D200="",D200=0,G200=""),"",G200/D200)</f>
        <v/>
      </c>
      <c r="J200" s="22"/>
      <c r="K200" s="22"/>
      <c r="L200" s="23"/>
    </row>
    <row r="202" customFormat="false" ht="15" hidden="false" customHeight="false" outlineLevel="0" collapsed="false">
      <c r="A202" s="27" t="s">
        <v>93</v>
      </c>
      <c r="B202" s="27"/>
      <c r="C202" s="28"/>
      <c r="D202" s="29" t="n">
        <f aca="false">SUM(D10:D200)</f>
        <v>418000</v>
      </c>
      <c r="E202" s="29" t="n">
        <f aca="false">SUM(E10:E200)</f>
        <v>379500</v>
      </c>
      <c r="F202" s="29" t="n">
        <f aca="false">SUM(F10:F200)</f>
        <v>327500</v>
      </c>
      <c r="G202" s="29" t="n">
        <f aca="false">SUM(G10:G200)</f>
        <v>209500</v>
      </c>
      <c r="H202" s="30" t="n">
        <f aca="false">SUM(H10:H200)</f>
        <v>208500</v>
      </c>
      <c r="I202" s="31" t="n">
        <f aca="false">IF(D202=0,"—",G202/D202)</f>
        <v>0.501196172248804</v>
      </c>
      <c r="J202" s="28"/>
      <c r="K202" s="28"/>
      <c r="L202" s="28"/>
    </row>
  </sheetData>
  <autoFilter ref="A9:L9"/>
  <mergeCells count="3">
    <mergeCell ref="A1:L1"/>
    <mergeCell ref="A8:L8"/>
    <mergeCell ref="A202:B202"/>
  </mergeCells>
  <conditionalFormatting sqref="C5">
    <cfRule type="cellIs" priority="2" operator="greaterThanOrEqual" aboveAverage="0" equalAverage="0" bottom="0" percent="0" rank="0" text="" dxfId="3">
      <formula>0</formula>
    </cfRule>
    <cfRule type="cellIs" priority="3" operator="lessThan" aboveAverage="0" equalAverage="0" bottom="0" percent="0" rank="0" text="" dxfId="4">
      <formula>0</formula>
    </cfRule>
  </conditionalFormatting>
  <conditionalFormatting sqref="H10:H200">
    <cfRule type="cellIs" priority="4" operator="greaterThan" aboveAverage="0" equalAverage="0" bottom="0" percent="0" rank="0" text="" dxfId="3">
      <formula>0</formula>
    </cfRule>
    <cfRule type="cellIs" priority="5" operator="lessThan" aboveAverage="0" equalAverage="0" bottom="0" percent="0" rank="0" text="" dxfId="4">
      <formula>0</formula>
    </cfRule>
    <cfRule type="cellIs" priority="6" operator="equal" aboveAverage="0" equalAverage="0" bottom="0" percent="0" rank="0" text="" dxfId="3">
      <formula>0</formula>
    </cfRule>
  </conditionalFormatting>
  <conditionalFormatting sqref="J10:J200">
    <cfRule type="cellIs" priority="7" operator="equal" aboveAverage="0" equalAverage="0" bottom="0" percent="0" rank="0" text="" dxfId="3">
      <formula>"Complete"</formula>
    </cfRule>
    <cfRule type="cellIs" priority="8" operator="equal" aboveAverage="0" equalAverage="0" bottom="0" percent="0" rank="0" text="" dxfId="3">
      <formula>"Approved"</formula>
    </cfRule>
    <cfRule type="cellIs" priority="9" operator="equal" aboveAverage="0" equalAverage="0" bottom="0" percent="0" rank="0" text="" dxfId="5">
      <formula>"Tendered"</formula>
    </cfRule>
    <cfRule type="cellIs" priority="10" operator="equal" aboveAverage="0" equalAverage="0" bottom="0" percent="0" rank="0" text="" dxfId="5">
      <formula>"Quoted"</formula>
    </cfRule>
    <cfRule type="cellIs" priority="11" operator="equal" aboveAverage="0" equalAverage="0" bottom="0" percent="0" rank="0" text="" dxfId="4">
      <formula>"Not Tendered"</formula>
    </cfRule>
    <cfRule type="cellIs" priority="12" operator="equal" aboveAverage="0" equalAverage="0" bottom="0" percent="0" rank="0" text="" dxfId="4">
      <formula>"Cancelled"</formula>
    </cfRule>
  </conditionalFormatting>
  <conditionalFormatting sqref="I10:I200">
    <cfRule type="cellIs" priority="13" operator="greaterThan" aboveAverage="0" equalAverage="0" bottom="0" percent="0" rank="0" text="" dxfId="4">
      <formula>1</formula>
    </cfRule>
  </conditionalFormatting>
  <dataValidations count="2">
    <dataValidation allowBlank="true" errorStyle="stop" operator="between" showDropDown="false" showErrorMessage="false" showInputMessage="false" sqref="C10:C200" type="list">
      <formula1>"PC,PS"</formula1>
      <formula2>0</formula2>
    </dataValidation>
    <dataValidation allowBlank="true" errorStyle="stop" operator="between" showDropDown="false" showErrorMessage="false" showInputMessage="false" sqref="J10:J200" type="list">
      <formula1>"Not Tendered,Tendered,Quoted,Approved,Complete,Cancelled"</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&amp;CPrime Cost Items Ledger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32" t="s">
        <v>94</v>
      </c>
    </row>
    <row r="2" customFormat="false" ht="15" hidden="false" customHeight="false" outlineLevel="0" collapsed="false">
      <c r="A2" s="33"/>
    </row>
    <row r="3" customFormat="false" ht="15" hidden="false" customHeight="false" outlineLevel="0" collapsed="false">
      <c r="A3" s="33" t="s">
        <v>95</v>
      </c>
    </row>
    <row r="4" customFormat="false" ht="15" hidden="false" customHeight="false" outlineLevel="0" collapsed="false">
      <c r="A4" s="33"/>
    </row>
    <row r="5" customFormat="false" ht="15" hidden="false" customHeight="false" outlineLevel="0" collapsed="false">
      <c r="A5" s="34" t="s">
        <v>96</v>
      </c>
    </row>
    <row r="6" customFormat="false" ht="23.85" hidden="false" customHeight="false" outlineLevel="0" collapsed="false">
      <c r="A6" s="34" t="s">
        <v>97</v>
      </c>
    </row>
    <row r="7" customFormat="false" ht="15" hidden="false" customHeight="false" outlineLevel="0" collapsed="false">
      <c r="A7" s="34" t="s">
        <v>98</v>
      </c>
    </row>
    <row r="8" customFormat="false" ht="15" hidden="false" customHeight="false" outlineLevel="0" collapsed="false">
      <c r="A8" s="34" t="s">
        <v>99</v>
      </c>
    </row>
    <row r="9" customFormat="false" ht="23.85" hidden="false" customHeight="false" outlineLevel="0" collapsed="false">
      <c r="A9" s="34" t="s">
        <v>100</v>
      </c>
    </row>
    <row r="10" customFormat="false" ht="15" hidden="false" customHeight="false" outlineLevel="0" collapsed="false">
      <c r="A10" s="34" t="s">
        <v>101</v>
      </c>
    </row>
    <row r="11" customFormat="false" ht="15" hidden="false" customHeight="false" outlineLevel="0" collapsed="false">
      <c r="A11" s="33"/>
    </row>
    <row r="12" customFormat="false" ht="15" hidden="false" customHeight="false" outlineLevel="0" collapsed="false">
      <c r="A12" s="33"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NEC</cp:category>
  <dcterms:created xsi:type="dcterms:W3CDTF">2026-03-24T16:41:36Z</dcterms:created>
  <dc:creator>Ebrora Ltd</dc:creator>
  <dc:description>Track Prime Cost and Provisional Sum items with BOQ allowances, quotations, approved and actual spend, variance calculations, and supplier tracking.
Free professional construction management template from Ebrora Ltd. Visit ebrora.com for our full range of tools and templates.</dc:description>
  <cp:keywords>Ebrora construction prime cost provisional sum ledger commercial budget variance</cp:keywords>
  <dc:language>en-US</dc:language>
  <cp:lastModifiedBy>Ebrora Ltd</cp:lastModifiedBy>
  <dcterms:modified xsi:type="dcterms:W3CDTF">2026-03-24T16:41:36Z</dcterms:modified>
  <cp:revision>0</cp:revision>
  <dc:subject>Track PC and Provisional Sum items with budget allowances, actual spend, variance, and supplier details.</dc:subject>
  <dc:title>Prime Cost Items Ledger</dc:title>
</cp:coreProperties>
</file>

<file path=docProps/custom.xml><?xml version="1.0" encoding="utf-8"?>
<Properties xmlns="http://schemas.openxmlformats.org/officeDocument/2006/custom-properties" xmlns:vt="http://schemas.openxmlformats.org/officeDocument/2006/docPropsVTypes"/>
</file>