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FPT Log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'FPT Log'!$A$1:$I$62</definedName>
    <definedName function="false" hidden="true" localSheetId="2" name="_xlnm._FilterDatabase" vbProcedure="false">'FPT Log'!$A$12:$M$200</definedName>
    <definedName function="false" hidden="false" name="DataTable" vbProcedure="false">'FPT Log'!$A$12:$M$200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<sst xmlns="http://schemas.openxmlformats.org/spreadsheetml/2006/main" count="143" uniqueCount="126">
  <si>
    <t xml:space="preserve">EBRORA</t>
  </si>
  <si>
    <t xml:space="preserve">ebrora.com</t>
  </si>
  <si>
    <t xml:space="preserve">Functional Performance Test Log</t>
  </si>
  <si>
    <t xml:space="preserve">Document and track functional performance testing of mechanical and electrical systems — recording test parameters, acceptance criteria, measured results, and pass/fail outcomes with automatic scoring.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</si>
  <si>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</si>
  <si>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</si>
  <si>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</si>
  <si>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 Open the 'FPT Log' sheet. The top section is a form-style header where you enter the project details, system under test, and test team information. Fill this in once per test session.</t>
  </si>
  <si>
    <t xml:space="preserve">2. The main test log starts below the header. Each row represents one test parameter or check point within the functional performance test.</t>
  </si>
  <si>
    <t xml:space="preserve">3. Enter the Test Ref (sequential numbering), the test description, and the acceptance criteria — this is the benchmark the system must meet to pass.</t>
  </si>
  <si>
    <t xml:space="preserve">4. Record the measured/observed value in the 'Actual Result' column and select the Result (Pass/Fail/N/A) from the dropdown.</t>
  </si>
  <si>
    <t xml:space="preserve">5. The Score Summary panel on the right auto-calculates: total tests, pass count, fail count, and overall pass rate. These update in real time as you fill in results.</t>
  </si>
  <si>
    <t xml:space="preserve">6. Use the Severity column for any failures — Critical, Major, or Minor. This helps prioritise remedial actions.</t>
  </si>
  <si>
    <t xml:space="preserve">7. Expand the optional columns for witness details, re-test dates, and sign-off fields for formal commissioning records.</t>
  </si>
  <si>
    <t xml:space="preserve">8. Once all tests are complete, fill in the Overall Outcome and Signatures section at the bottom of the form header for formal sign-off.</t>
  </si>
  <si>
    <t xml:space="preserve">Colour Key</t>
  </si>
  <si>
    <t xml:space="preserve">Light teal cells = user input / editable fields</t>
  </si>
  <si>
    <t xml:space="preserve">Dark navy headers = do not edit</t>
  </si>
  <si>
    <t xml:space="preserve">Green = Pass (test met acceptance criteria)</t>
  </si>
  <si>
    <t xml:space="preserve">Red = Fail (test did not meet criteria)</t>
  </si>
  <si>
    <t xml:space="preserve">Amber = Re-test required or conditional pass</t>
  </si>
  <si>
    <t xml:space="preserve">Tips</t>
  </si>
  <si>
    <t xml:space="preserve">• Write acceptance criteria precisely — 'Flow rate ≥ 45 l/s at 2.5 bar' is better than 'Flow adequate'. Measurable criteria prevent disputes.</t>
  </si>
  <si>
    <t xml:space="preserve">• Record actual values even for passing tests — this creates a baseline for future performance comparisons and O&amp;M handover.</t>
  </si>
  <si>
    <t xml:space="preserve">• For complex systems, create one copy of this template per system or sub-system. Name each file clearly (e.g., FPT-HVAC-AHU01).</t>
  </si>
  <si>
    <t xml:space="preserve">Score Summary</t>
  </si>
  <si>
    <t xml:space="preserve">Project Name:</t>
  </si>
  <si>
    <t xml:space="preserve">Millbrook Water Treatment Works</t>
  </si>
  <si>
    <t xml:space="preserve">Location / Building:</t>
  </si>
  <si>
    <t xml:space="preserve">Pumphouse A</t>
  </si>
  <si>
    <t xml:space="preserve">Total Tests</t>
  </si>
  <si>
    <t xml:space="preserve">System / Equipment:</t>
  </si>
  <si>
    <t xml:space="preserve">Raw Water Pumping System</t>
  </si>
  <si>
    <t xml:space="preserve">Contractor:</t>
  </si>
  <si>
    <t xml:space="preserve">Briggs Electrical Ltd</t>
  </si>
  <si>
    <t xml:space="preserve">Tests Passed</t>
  </si>
  <si>
    <t xml:space="preserve">System Tag / Ref:</t>
  </si>
  <si>
    <t xml:space="preserve">SYS-RWP-01</t>
  </si>
  <si>
    <t xml:space="preserve">Specification Ref:</t>
  </si>
  <si>
    <t xml:space="preserve">Spec Section 8.3.2</t>
  </si>
  <si>
    <t xml:space="preserve">Tests Failed</t>
  </si>
  <si>
    <t xml:space="preserve">Test Procedure Ref:</t>
  </si>
  <si>
    <t xml:space="preserve">FPT-PROC-012 Rev B</t>
  </si>
  <si>
    <t xml:space="preserve">Weather / Conditions:</t>
  </si>
  <si>
    <t xml:space="preserve">Dry, 12°C, low wind</t>
  </si>
  <si>
    <t xml:space="preserve">Tests N/A</t>
  </si>
  <si>
    <t xml:space="preserve">Test Date:</t>
  </si>
  <si>
    <t xml:space="preserve">Client Rep:</t>
  </si>
  <si>
    <t xml:space="preserve">J. Patel</t>
  </si>
  <si>
    <t xml:space="preserve">Pass Rate</t>
  </si>
  <si>
    <t xml:space="preserve">Test Engineer:</t>
  </si>
  <si>
    <t xml:space="preserve">M. Clarke — ACE Commissioning</t>
  </si>
  <si>
    <t xml:space="preserve">Commissioning Manager:</t>
  </si>
  <si>
    <t xml:space="preserve">M. Clarke</t>
  </si>
  <si>
    <t xml:space="preserve">Critical Failures</t>
  </si>
  <si>
    <t xml:space="preserve">Witness(es):</t>
  </si>
  <si>
    <t xml:space="preserve">J. Patel (Client), R. Evans (D&amp;B Contractor)</t>
  </si>
  <si>
    <t xml:space="preserve">Pre-Req Checks Complete:</t>
  </si>
  <si>
    <t xml:space="preserve">Yes</t>
  </si>
  <si>
    <t xml:space="preserve">Overall Outcome</t>
  </si>
  <si>
    <t xml:space="preserve">Test Parameters &amp; Results</t>
  </si>
  <si>
    <t xml:space="preserve">▸ Optional Fields — Click [+] to expand</t>
  </si>
  <si>
    <t xml:space="preserve">Test Ref</t>
  </si>
  <si>
    <t xml:space="preserve">Test Category</t>
  </si>
  <si>
    <t xml:space="preserve">Test Description / Parameter</t>
  </si>
  <si>
    <t xml:space="preserve">Acceptance Criteria</t>
  </si>
  <si>
    <t xml:space="preserve">Actual Result / Measured Value</t>
  </si>
  <si>
    <t xml:space="preserve">Result</t>
  </si>
  <si>
    <t xml:space="preserve">Severity</t>
  </si>
  <si>
    <t xml:space="preserve">Responsible</t>
  </si>
  <si>
    <t xml:space="preserve">Remarks / Action Required</t>
  </si>
  <si>
    <t xml:space="preserve">Witness Name</t>
  </si>
  <si>
    <t xml:space="preserve">Witness Sign-Off</t>
  </si>
  <si>
    <t xml:space="preserve">Re-Test Date</t>
  </si>
  <si>
    <t xml:space="preserve">Re-Test Result</t>
  </si>
  <si>
    <t xml:space="preserve">FPT-001</t>
  </si>
  <si>
    <t xml:space="preserve">Pre-Start Checks</t>
  </si>
  <si>
    <t xml:space="preserve">All isolation valves open and tagged</t>
  </si>
  <si>
    <t xml:space="preserve">Valves FV-101, FV-102, FV-103 confirmed open</t>
  </si>
  <si>
    <t xml:space="preserve">All 3 valves confirmed open and tagged</t>
  </si>
  <si>
    <t xml:space="preserve">Pass</t>
  </si>
  <si>
    <t xml:space="preserve">N/A</t>
  </si>
  <si>
    <t xml:space="preserve">FPT-002</t>
  </si>
  <si>
    <t xml:space="preserve">Electrical</t>
  </si>
  <si>
    <t xml:space="preserve">Motor insulation resistance ≥ 2 MΩ</t>
  </si>
  <si>
    <t xml:space="preserve">IR ≥ 2 MΩ at 500V DC</t>
  </si>
  <si>
    <t xml:space="preserve">3.8 MΩ (Pump 1), 4.1 MΩ (Pump 2), 3.5 MΩ (Pump 3)</t>
  </si>
  <si>
    <t xml:space="preserve">R. Evans</t>
  </si>
  <si>
    <t xml:space="preserve">FPT-003</t>
  </si>
  <si>
    <t xml:space="preserve">Mechanical</t>
  </si>
  <si>
    <t xml:space="preserve">Pump 1 flow rate at duty point</t>
  </si>
  <si>
    <t xml:space="preserve">Flow ≥ 45 l/s at 2.5 bar TDH</t>
  </si>
  <si>
    <t xml:space="preserve">47.2 l/s at 2.48 bar</t>
  </si>
  <si>
    <t xml:space="preserve">FPT-004</t>
  </si>
  <si>
    <t xml:space="preserve">Performance</t>
  </si>
  <si>
    <t xml:space="preserve">Pump 2 flow rate at duty point</t>
  </si>
  <si>
    <t xml:space="preserve">38.6 l/s at 2.52 bar</t>
  </si>
  <si>
    <t xml:space="preserve">Fail</t>
  </si>
  <si>
    <t xml:space="preserve">Major</t>
  </si>
  <si>
    <t xml:space="preserve">Below duty — impeller check required. Punch item #P-051 raised.</t>
  </si>
  <si>
    <t xml:space="preserve">FPT-005</t>
  </si>
  <si>
    <t xml:space="preserve">Control / SCADA</t>
  </si>
  <si>
    <t xml:space="preserve">Auto changeover on lead pump trip</t>
  </si>
  <si>
    <t xml:space="preserve">Standby pump starts within 15 seconds of lead pump trip</t>
  </si>
  <si>
    <t xml:space="preserve">Standby started in 8.3 seconds</t>
  </si>
  <si>
    <t xml:space="preserve">FPT-006</t>
  </si>
  <si>
    <t xml:space="preserve">Safety</t>
  </si>
  <si>
    <t xml:space="preserve">High-high level alarm triggers pump stop</t>
  </si>
  <si>
    <t xml:space="preserve">Pumps stop within 5 seconds of HH level</t>
  </si>
  <si>
    <t xml:space="preserve">Pumps stopped in 3.1 seconds</t>
  </si>
  <si>
    <t xml:space="preserve">FPT-007</t>
  </si>
  <si>
    <t xml:space="preserve">Environmental</t>
  </si>
  <si>
    <t xml:space="preserve">Noise level at site boundary</t>
  </si>
  <si>
    <t xml:space="preserve">Noise ≤ 55 dB(A) at nearest receptor</t>
  </si>
  <si>
    <t xml:space="preserve">58.2 dB(A) measured</t>
  </si>
  <si>
    <t xml:space="preserve">Minor</t>
  </si>
  <si>
    <t xml:space="preserve">Marginal exceedance — acoustic enclosure adjustment needed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</si>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</sst>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/mm/yyyy"/>
    <numFmt numFmtId="167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2AABB3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2AABB3"/>
        <bgColor rgb="FF3399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2AABB3"/>
      </left>
      <right style="thin">
        <color rgb="FF2AABB3"/>
      </right>
      <top style="thin">
        <color rgb="FF2AABB3"/>
      </top>
      <bottom style="thin">
        <color rgb="FF2AABB3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7.35" hidden="false" customHeight="false" outlineLevel="0" collapsed="false">
      <c r="A1" s="8" t="s">
        <v>6</v>
      </c>
      <c r="B1" s="8"/>
      <c r="C1" s="8"/>
      <c r="D1" s="8"/>
      <c r="E1" s="8"/>
      <c r="F1" s="8"/>
    </row>
    <row r="3" customFormat="false" ht="39.75" hidden="false" customHeight="true" outlineLevel="0" collapsed="false">
      <c r="A3" s="9" t="s">
        <v>7</v>
      </c>
      <c r="B3" s="9"/>
      <c r="C3" s="9"/>
      <c r="D3" s="9"/>
      <c r="E3" s="9"/>
      <c r="F3" s="9"/>
    </row>
    <row r="4" customFormat="false" ht="39.75" hidden="false" customHeight="true" outlineLevel="0" collapsed="false">
      <c r="A4" s="9" t="s">
        <v>8</v>
      </c>
      <c r="B4" s="9"/>
      <c r="C4" s="9"/>
      <c r="D4" s="9"/>
      <c r="E4" s="9"/>
      <c r="F4" s="9"/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</row>
    <row r="6" customFormat="false" ht="39.75" hidden="false" customHeight="true" outlineLevel="0" collapsed="false">
      <c r="A6" s="9" t="s">
        <v>10</v>
      </c>
      <c r="B6" s="9"/>
      <c r="C6" s="9"/>
      <c r="D6" s="9"/>
      <c r="E6" s="9"/>
      <c r="F6" s="9"/>
    </row>
    <row r="7" customFormat="false" ht="39.75" hidden="false" customHeight="true" outlineLevel="0" collapsed="false">
      <c r="A7" s="9" t="s">
        <v>11</v>
      </c>
      <c r="B7" s="9"/>
      <c r="C7" s="9"/>
      <c r="D7" s="9"/>
      <c r="E7" s="9"/>
      <c r="F7" s="9"/>
    </row>
    <row r="8" customFormat="false" ht="39.75" hidden="false" customHeight="true" outlineLevel="0" collapsed="false">
      <c r="A8" s="9" t="s">
        <v>12</v>
      </c>
      <c r="B8" s="9"/>
      <c r="C8" s="9"/>
      <c r="D8" s="9"/>
      <c r="E8" s="9"/>
      <c r="F8" s="9"/>
    </row>
    <row r="9" customFormat="false" ht="39.75" hidden="false" customHeight="true" outlineLevel="0" collapsed="false">
      <c r="A9" s="9" t="s">
        <v>13</v>
      </c>
      <c r="B9" s="9"/>
      <c r="C9" s="9"/>
      <c r="D9" s="9"/>
      <c r="E9" s="9"/>
      <c r="F9" s="9"/>
    </row>
    <row r="10" customFormat="false" ht="39.75" hidden="false" customHeight="true" outlineLevel="0" collapsed="false">
      <c r="A10" s="9" t="s">
        <v>14</v>
      </c>
      <c r="B10" s="9"/>
      <c r="C10" s="9"/>
      <c r="D10" s="9"/>
      <c r="E10" s="9"/>
      <c r="F10" s="9"/>
    </row>
    <row r="12" customFormat="false" ht="15" hidden="false" customHeight="false" outlineLevel="0" collapsed="false">
      <c r="A12" s="10" t="s">
        <v>15</v>
      </c>
      <c r="B12" s="10"/>
      <c r="C12" s="10"/>
      <c r="D12" s="10"/>
      <c r="E12" s="10"/>
      <c r="F12" s="10"/>
    </row>
    <row r="13" customFormat="false" ht="15" hidden="false" customHeight="true" outlineLevel="0" collapsed="false">
      <c r="A13" s="11"/>
      <c r="B13" s="9" t="s">
        <v>16</v>
      </c>
      <c r="C13" s="9"/>
      <c r="D13" s="9"/>
      <c r="E13" s="9"/>
      <c r="F13" s="9"/>
    </row>
    <row r="14" customFormat="false" ht="15" hidden="false" customHeight="true" outlineLevel="0" collapsed="false">
      <c r="A14" s="12"/>
      <c r="B14" s="9" t="s">
        <v>17</v>
      </c>
      <c r="C14" s="9"/>
      <c r="D14" s="9"/>
      <c r="E14" s="9"/>
      <c r="F14" s="9"/>
    </row>
    <row r="15" customFormat="false" ht="15" hidden="false" customHeight="true" outlineLevel="0" collapsed="false">
      <c r="A15" s="13"/>
      <c r="B15" s="9" t="s">
        <v>18</v>
      </c>
      <c r="C15" s="9"/>
      <c r="D15" s="9"/>
      <c r="E15" s="9"/>
      <c r="F15" s="9"/>
    </row>
    <row r="16" customFormat="false" ht="15" hidden="false" customHeight="true" outlineLevel="0" collapsed="false">
      <c r="A16" s="14"/>
      <c r="B16" s="9" t="s">
        <v>19</v>
      </c>
      <c r="C16" s="9"/>
      <c r="D16" s="9"/>
      <c r="E16" s="9"/>
      <c r="F16" s="9"/>
    </row>
    <row r="17" customFormat="false" ht="15" hidden="false" customHeight="true" outlineLevel="0" collapsed="false">
      <c r="A17" s="15"/>
      <c r="B17" s="9" t="s">
        <v>20</v>
      </c>
      <c r="C17" s="9"/>
      <c r="D17" s="9"/>
      <c r="E17" s="9"/>
      <c r="F17" s="9"/>
    </row>
    <row r="19" customFormat="false" ht="15" hidden="false" customHeight="false" outlineLevel="0" collapsed="false">
      <c r="A19" s="10" t="s">
        <v>21</v>
      </c>
      <c r="B19" s="10"/>
      <c r="C19" s="10"/>
      <c r="D19" s="10"/>
      <c r="E19" s="10"/>
      <c r="F19" s="10"/>
    </row>
    <row r="20" customFormat="false" ht="34.5" hidden="false" customHeight="true" outlineLevel="0" collapsed="false">
      <c r="A20" s="9" t="s">
        <v>22</v>
      </c>
      <c r="B20" s="9"/>
      <c r="C20" s="9"/>
      <c r="D20" s="9"/>
      <c r="E20" s="9"/>
      <c r="F20" s="9"/>
    </row>
    <row r="21" customFormat="false" ht="34.5" hidden="false" customHeight="true" outlineLevel="0" collapsed="false">
      <c r="A21" s="9" t="s">
        <v>23</v>
      </c>
      <c r="B21" s="9"/>
      <c r="C21" s="9"/>
      <c r="D21" s="9"/>
      <c r="E21" s="9"/>
      <c r="F21" s="9"/>
    </row>
    <row r="22" customFormat="false" ht="34.5" hidden="false" customHeight="true" outlineLevel="0" collapsed="false">
      <c r="A22" s="9" t="s">
        <v>24</v>
      </c>
      <c r="B22" s="9"/>
      <c r="C22" s="9"/>
      <c r="D22" s="9"/>
      <c r="E22" s="9"/>
      <c r="F22" s="9"/>
    </row>
  </sheetData>
  <mergeCells count="19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2:F12"/>
    <mergeCell ref="B13:F13"/>
    <mergeCell ref="B14:F14"/>
    <mergeCell ref="B15:F15"/>
    <mergeCell ref="B16:F16"/>
    <mergeCell ref="B17:F17"/>
    <mergeCell ref="A19:F19"/>
    <mergeCell ref="A20:F20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5" min="4" style="0" width="28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30"/>
    <col collapsed="false" customWidth="true" hidden="true" outlineLevel="1" max="13" min="10" style="0" width="16"/>
  </cols>
  <sheetData>
    <row r="1" customFormat="false" ht="15" hidden="false" customHeight="true" outlineLevel="0" collapsed="false">
      <c r="A1" s="16" t="s">
        <v>2</v>
      </c>
      <c r="B1" s="16"/>
      <c r="C1" s="16"/>
      <c r="D1" s="16"/>
      <c r="E1" s="16"/>
      <c r="F1" s="16"/>
      <c r="G1" s="16"/>
      <c r="H1" s="16"/>
      <c r="I1" s="16"/>
      <c r="J1" s="16" t="s">
        <v>25</v>
      </c>
      <c r="K1" s="16"/>
      <c r="L1" s="16"/>
      <c r="M1" s="16"/>
    </row>
    <row r="2" customFormat="false" ht="21.75" hidden="false" customHeight="true" outlineLevel="0" collapsed="false">
      <c r="A2" s="17" t="s">
        <v>26</v>
      </c>
      <c r="B2" s="18" t="s">
        <v>27</v>
      </c>
      <c r="C2" s="18"/>
      <c r="D2" s="17" t="s">
        <v>28</v>
      </c>
      <c r="E2" s="18" t="s">
        <v>29</v>
      </c>
      <c r="F2" s="18"/>
      <c r="G2" s="18"/>
      <c r="H2" s="18"/>
      <c r="I2" s="18"/>
      <c r="J2" s="19" t="s">
        <v>30</v>
      </c>
      <c r="K2" s="19"/>
      <c r="L2" s="20" t="n">
        <f aca="false">COUNTA(A13:A200)</f>
        <v>7</v>
      </c>
      <c r="M2" s="20"/>
    </row>
    <row r="3" customFormat="false" ht="21.75" hidden="false" customHeight="true" outlineLevel="0" collapsed="false">
      <c r="A3" s="17" t="s">
        <v>31</v>
      </c>
      <c r="B3" s="18" t="s">
        <v>32</v>
      </c>
      <c r="C3" s="18"/>
      <c r="D3" s="17" t="s">
        <v>33</v>
      </c>
      <c r="E3" s="18" t="s">
        <v>34</v>
      </c>
      <c r="F3" s="18"/>
      <c r="G3" s="18"/>
      <c r="H3" s="18"/>
      <c r="I3" s="18"/>
      <c r="J3" s="19" t="s">
        <v>35</v>
      </c>
      <c r="K3" s="19"/>
      <c r="L3" s="20" t="n">
        <f aca="false">COUNTIF(F13:F200,"Pass")</f>
        <v>5</v>
      </c>
      <c r="M3" s="20"/>
    </row>
    <row r="4" customFormat="false" ht="21.75" hidden="false" customHeight="true" outlineLevel="0" collapsed="false">
      <c r="A4" s="17" t="s">
        <v>36</v>
      </c>
      <c r="B4" s="18" t="s">
        <v>37</v>
      </c>
      <c r="C4" s="18"/>
      <c r="D4" s="17" t="s">
        <v>38</v>
      </c>
      <c r="E4" s="18" t="s">
        <v>39</v>
      </c>
      <c r="F4" s="18"/>
      <c r="G4" s="18"/>
      <c r="H4" s="18"/>
      <c r="I4" s="18"/>
      <c r="J4" s="19" t="s">
        <v>40</v>
      </c>
      <c r="K4" s="19"/>
      <c r="L4" s="20" t="n">
        <f aca="false">COUNTIF(F13:F200,"Fail")</f>
        <v>2</v>
      </c>
      <c r="M4" s="20"/>
    </row>
    <row r="5" customFormat="false" ht="21.75" hidden="false" customHeight="true" outlineLevel="0" collapsed="false">
      <c r="A5" s="17" t="s">
        <v>41</v>
      </c>
      <c r="B5" s="18" t="s">
        <v>42</v>
      </c>
      <c r="C5" s="18"/>
      <c r="D5" s="17" t="s">
        <v>43</v>
      </c>
      <c r="E5" s="18" t="s">
        <v>44</v>
      </c>
      <c r="F5" s="18"/>
      <c r="G5" s="18"/>
      <c r="H5" s="18"/>
      <c r="I5" s="18"/>
      <c r="J5" s="19" t="s">
        <v>45</v>
      </c>
      <c r="K5" s="19"/>
      <c r="L5" s="20" t="n">
        <f aca="false">COUNTIF(F13:F200,"N/A")</f>
        <v>0</v>
      </c>
      <c r="M5" s="20"/>
    </row>
    <row r="6" customFormat="false" ht="21.75" hidden="false" customHeight="true" outlineLevel="0" collapsed="false">
      <c r="A6" s="17" t="s">
        <v>46</v>
      </c>
      <c r="B6" s="21" t="n">
        <v>46096</v>
      </c>
      <c r="C6" s="21"/>
      <c r="D6" s="17" t="s">
        <v>47</v>
      </c>
      <c r="E6" s="18" t="s">
        <v>48</v>
      </c>
      <c r="F6" s="18"/>
      <c r="G6" s="18"/>
      <c r="H6" s="18"/>
      <c r="I6" s="18"/>
      <c r="J6" s="19" t="s">
        <v>49</v>
      </c>
      <c r="K6" s="19"/>
      <c r="L6" s="22" t="n">
        <f aca="false">IF(COUNTIF(F13:F200,"Pass")+COUNTIF(F13:F200,"Fail")=0,"",COUNTIF(F13:F200,"Pass")/(COUNTIF(F13:F200,"Pass")+COUNTIF(F13:F200,"Fail")))</f>
        <v>0.714285714285714</v>
      </c>
      <c r="M6" s="22"/>
    </row>
    <row r="7" customFormat="false" ht="21.75" hidden="false" customHeight="true" outlineLevel="0" collapsed="false">
      <c r="A7" s="17" t="s">
        <v>50</v>
      </c>
      <c r="B7" s="18" t="s">
        <v>51</v>
      </c>
      <c r="C7" s="18"/>
      <c r="D7" s="17" t="s">
        <v>52</v>
      </c>
      <c r="E7" s="18" t="s">
        <v>53</v>
      </c>
      <c r="F7" s="18"/>
      <c r="G7" s="18"/>
      <c r="H7" s="18"/>
      <c r="I7" s="18"/>
      <c r="J7" s="19" t="s">
        <v>54</v>
      </c>
      <c r="K7" s="19"/>
      <c r="L7" s="20" t="n">
        <f aca="false">COUNTIFS(F13:F200,"Fail",G13:G200,"Critical")</f>
        <v>0</v>
      </c>
      <c r="M7" s="20"/>
    </row>
    <row r="8" customFormat="false" ht="21.75" hidden="false" customHeight="true" outlineLevel="0" collapsed="false">
      <c r="A8" s="17" t="s">
        <v>55</v>
      </c>
      <c r="B8" s="18" t="s">
        <v>56</v>
      </c>
      <c r="C8" s="18"/>
      <c r="D8" s="17" t="s">
        <v>57</v>
      </c>
      <c r="E8" s="18" t="s">
        <v>58</v>
      </c>
      <c r="F8" s="18"/>
      <c r="G8" s="18"/>
      <c r="H8" s="18"/>
      <c r="I8" s="18"/>
      <c r="J8" s="19" t="s">
        <v>59</v>
      </c>
      <c r="K8" s="19"/>
      <c r="L8" s="23"/>
      <c r="M8" s="23"/>
    </row>
    <row r="9" customFormat="false" ht="21.75" hidden="false" customHeight="true" outlineLevel="0" collapsed="false"/>
    <row r="11" customFormat="false" ht="22.35" hidden="false" customHeight="true" outlineLevel="0" collapsed="false">
      <c r="A11" s="24" t="s">
        <v>60</v>
      </c>
      <c r="B11" s="24"/>
      <c r="C11" s="24"/>
      <c r="D11" s="24"/>
      <c r="E11" s="24"/>
      <c r="F11" s="24"/>
      <c r="G11" s="24"/>
      <c r="H11" s="24"/>
      <c r="I11" s="24"/>
      <c r="J11" s="25" t="s">
        <v>61</v>
      </c>
      <c r="K11" s="25"/>
      <c r="L11" s="25"/>
      <c r="M11" s="25"/>
    </row>
    <row r="12" customFormat="false" ht="27.75" hidden="false" customHeight="true" outlineLevel="0" collapsed="false">
      <c r="A12" s="26" t="s">
        <v>62</v>
      </c>
      <c r="B12" s="26" t="s">
        <v>63</v>
      </c>
      <c r="C12" s="26" t="s">
        <v>64</v>
      </c>
      <c r="D12" s="26" t="s">
        <v>65</v>
      </c>
      <c r="E12" s="26" t="s">
        <v>66</v>
      </c>
      <c r="F12" s="26" t="s">
        <v>67</v>
      </c>
      <c r="G12" s="26" t="s">
        <v>68</v>
      </c>
      <c r="H12" s="26" t="s">
        <v>69</v>
      </c>
      <c r="I12" s="26" t="s">
        <v>70</v>
      </c>
      <c r="J12" s="26" t="s">
        <v>71</v>
      </c>
      <c r="K12" s="26" t="s">
        <v>72</v>
      </c>
      <c r="L12" s="26" t="s">
        <v>73</v>
      </c>
      <c r="M12" s="26" t="s">
        <v>74</v>
      </c>
    </row>
    <row r="13" customFormat="false" ht="24" hidden="false" customHeight="true" outlineLevel="0" collapsed="false">
      <c r="A13" s="27" t="s">
        <v>75</v>
      </c>
      <c r="B13" s="27" t="s">
        <v>76</v>
      </c>
      <c r="C13" s="28" t="s">
        <v>77</v>
      </c>
      <c r="D13" s="28" t="s">
        <v>78</v>
      </c>
      <c r="E13" s="28" t="s">
        <v>79</v>
      </c>
      <c r="F13" s="27" t="s">
        <v>80</v>
      </c>
      <c r="G13" s="27" t="s">
        <v>81</v>
      </c>
      <c r="H13" s="27" t="s">
        <v>53</v>
      </c>
      <c r="I13" s="28"/>
      <c r="J13" s="27"/>
      <c r="K13" s="27"/>
      <c r="L13" s="29"/>
      <c r="M13" s="27"/>
    </row>
    <row r="14" customFormat="false" ht="24" hidden="false" customHeight="true" outlineLevel="0" collapsed="false">
      <c r="A14" s="27" t="s">
        <v>82</v>
      </c>
      <c r="B14" s="27" t="s">
        <v>83</v>
      </c>
      <c r="C14" s="28" t="s">
        <v>84</v>
      </c>
      <c r="D14" s="28" t="s">
        <v>85</v>
      </c>
      <c r="E14" s="28" t="s">
        <v>86</v>
      </c>
      <c r="F14" s="27" t="s">
        <v>80</v>
      </c>
      <c r="G14" s="27" t="s">
        <v>81</v>
      </c>
      <c r="H14" s="27" t="s">
        <v>87</v>
      </c>
      <c r="I14" s="28"/>
      <c r="J14" s="27"/>
      <c r="K14" s="27"/>
      <c r="L14" s="29"/>
      <c r="M14" s="27"/>
    </row>
    <row r="15" customFormat="false" ht="24" hidden="false" customHeight="true" outlineLevel="0" collapsed="false">
      <c r="A15" s="27" t="s">
        <v>88</v>
      </c>
      <c r="B15" s="27" t="s">
        <v>89</v>
      </c>
      <c r="C15" s="28" t="s">
        <v>90</v>
      </c>
      <c r="D15" s="28" t="s">
        <v>91</v>
      </c>
      <c r="E15" s="28" t="s">
        <v>92</v>
      </c>
      <c r="F15" s="27" t="s">
        <v>80</v>
      </c>
      <c r="G15" s="27" t="s">
        <v>81</v>
      </c>
      <c r="H15" s="27" t="s">
        <v>53</v>
      </c>
      <c r="I15" s="28"/>
      <c r="J15" s="27"/>
      <c r="K15" s="27"/>
      <c r="L15" s="29"/>
      <c r="M15" s="27"/>
    </row>
    <row r="16" customFormat="false" ht="24" hidden="false" customHeight="true" outlineLevel="0" collapsed="false">
      <c r="A16" s="27" t="s">
        <v>93</v>
      </c>
      <c r="B16" s="27" t="s">
        <v>94</v>
      </c>
      <c r="C16" s="28" t="s">
        <v>95</v>
      </c>
      <c r="D16" s="28" t="s">
        <v>91</v>
      </c>
      <c r="E16" s="28" t="s">
        <v>96</v>
      </c>
      <c r="F16" s="27" t="s">
        <v>97</v>
      </c>
      <c r="G16" s="27" t="s">
        <v>98</v>
      </c>
      <c r="H16" s="27" t="s">
        <v>53</v>
      </c>
      <c r="I16" s="28" t="s">
        <v>99</v>
      </c>
      <c r="J16" s="27"/>
      <c r="K16" s="27"/>
      <c r="L16" s="29"/>
      <c r="M16" s="27"/>
    </row>
    <row r="17" customFormat="false" ht="24" hidden="false" customHeight="true" outlineLevel="0" collapsed="false">
      <c r="A17" s="27" t="s">
        <v>100</v>
      </c>
      <c r="B17" s="27" t="s">
        <v>101</v>
      </c>
      <c r="C17" s="28" t="s">
        <v>102</v>
      </c>
      <c r="D17" s="28" t="s">
        <v>103</v>
      </c>
      <c r="E17" s="28" t="s">
        <v>104</v>
      </c>
      <c r="F17" s="27" t="s">
        <v>80</v>
      </c>
      <c r="G17" s="27" t="s">
        <v>81</v>
      </c>
      <c r="H17" s="27" t="s">
        <v>53</v>
      </c>
      <c r="I17" s="28"/>
      <c r="J17" s="27"/>
      <c r="K17" s="27"/>
      <c r="L17" s="29"/>
      <c r="M17" s="27"/>
    </row>
    <row r="18" customFormat="false" ht="24" hidden="false" customHeight="true" outlineLevel="0" collapsed="false">
      <c r="A18" s="27" t="s">
        <v>105</v>
      </c>
      <c r="B18" s="27" t="s">
        <v>106</v>
      </c>
      <c r="C18" s="28" t="s">
        <v>107</v>
      </c>
      <c r="D18" s="28" t="s">
        <v>108</v>
      </c>
      <c r="E18" s="28" t="s">
        <v>109</v>
      </c>
      <c r="F18" s="27" t="s">
        <v>80</v>
      </c>
      <c r="G18" s="27" t="s">
        <v>81</v>
      </c>
      <c r="H18" s="27" t="s">
        <v>48</v>
      </c>
      <c r="I18" s="28"/>
      <c r="J18" s="27"/>
      <c r="K18" s="27"/>
      <c r="L18" s="29"/>
      <c r="M18" s="27"/>
    </row>
    <row r="19" customFormat="false" ht="24" hidden="false" customHeight="true" outlineLevel="0" collapsed="false">
      <c r="A19" s="27" t="s">
        <v>110</v>
      </c>
      <c r="B19" s="27" t="s">
        <v>111</v>
      </c>
      <c r="C19" s="28" t="s">
        <v>112</v>
      </c>
      <c r="D19" s="28" t="s">
        <v>113</v>
      </c>
      <c r="E19" s="28" t="s">
        <v>114</v>
      </c>
      <c r="F19" s="27" t="s">
        <v>97</v>
      </c>
      <c r="G19" s="27" t="s">
        <v>115</v>
      </c>
      <c r="H19" s="27" t="s">
        <v>87</v>
      </c>
      <c r="I19" s="28" t="s">
        <v>116</v>
      </c>
      <c r="J19" s="27"/>
      <c r="K19" s="27"/>
      <c r="L19" s="29"/>
      <c r="M19" s="27"/>
    </row>
    <row r="20" customFormat="false" ht="24" hidden="false" customHeight="true" outlineLevel="0" collapsed="false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9"/>
      <c r="M20" s="27"/>
    </row>
    <row r="21" customFormat="false" ht="24" hidden="false" customHeight="true" outlineLevel="0" collapsed="false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9"/>
      <c r="M21" s="27"/>
    </row>
    <row r="22" customFormat="false" ht="24" hidden="false" customHeight="true" outlineLevel="0" collapsed="false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9"/>
      <c r="M22" s="27"/>
    </row>
    <row r="23" customFormat="false" ht="24" hidden="false" customHeight="true" outlineLevel="0" collapsed="false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9"/>
      <c r="M23" s="27"/>
    </row>
    <row r="24" customFormat="false" ht="24" hidden="false" customHeight="true" outlineLevel="0" collapsed="false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9"/>
      <c r="M24" s="27"/>
    </row>
    <row r="25" customFormat="false" ht="24" hidden="false" customHeight="true" outlineLevel="0" collapsed="false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</row>
    <row r="26" customFormat="false" ht="24" hidden="false" customHeight="true" outlineLevel="0" collapsed="false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9"/>
      <c r="M26" s="27"/>
    </row>
    <row r="27" customFormat="false" ht="24" hidden="false" customHeight="true" outlineLevel="0" collapsed="false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9"/>
      <c r="M27" s="27"/>
    </row>
    <row r="28" customFormat="false" ht="24" hidden="false" customHeight="true" outlineLevel="0" collapsed="false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9"/>
      <c r="M28" s="27"/>
    </row>
    <row r="29" customFormat="false" ht="24" hidden="false" customHeight="true" outlineLevel="0" collapsed="false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9"/>
      <c r="M29" s="27"/>
    </row>
    <row r="30" customFormat="false" ht="24" hidden="false" customHeight="true" outlineLevel="0" collapsed="false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9"/>
      <c r="M30" s="27"/>
    </row>
    <row r="31" customFormat="false" ht="24" hidden="false" customHeight="true" outlineLevel="0" collapsed="false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9"/>
      <c r="M31" s="27"/>
    </row>
    <row r="32" customFormat="false" ht="24" hidden="false" customHeight="true" outlineLevel="0" collapsed="false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9"/>
      <c r="M32" s="27"/>
    </row>
    <row r="33" customFormat="false" ht="24" hidden="false" customHeight="true" outlineLevel="0" collapsed="false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9"/>
      <c r="M33" s="27"/>
    </row>
    <row r="34" customFormat="false" ht="24" hidden="false" customHeight="true" outlineLevel="0" collapsed="false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9"/>
      <c r="M34" s="27"/>
    </row>
    <row r="35" customFormat="false" ht="24" hidden="false" customHeight="true" outlineLevel="0" collapsed="false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9"/>
      <c r="M35" s="27"/>
    </row>
    <row r="36" customFormat="false" ht="24" hidden="false" customHeight="true" outlineLevel="0" collapsed="false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9"/>
      <c r="M36" s="27"/>
    </row>
    <row r="37" customFormat="false" ht="24" hidden="false" customHeight="true" outlineLevel="0" collapsed="false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9"/>
      <c r="M37" s="27"/>
    </row>
    <row r="38" customFormat="false" ht="24" hidden="false" customHeight="true" outlineLevel="0" collapsed="false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9"/>
      <c r="M38" s="27"/>
    </row>
    <row r="39" customFormat="false" ht="24" hidden="false" customHeight="true" outlineLevel="0" collapsed="false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9"/>
      <c r="M39" s="27"/>
    </row>
    <row r="40" customFormat="false" ht="24" hidden="false" customHeight="true" outlineLevel="0" collapsed="false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9"/>
      <c r="M40" s="27"/>
    </row>
    <row r="41" customFormat="false" ht="24" hidden="false" customHeight="true" outlineLevel="0" collapsed="false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9"/>
      <c r="M41" s="27"/>
    </row>
    <row r="42" customFormat="false" ht="24" hidden="false" customHeight="true" outlineLevel="0" collapsed="false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9"/>
      <c r="M42" s="27"/>
    </row>
    <row r="43" customFormat="false" ht="24" hidden="false" customHeight="true" outlineLevel="0" collapsed="false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9"/>
      <c r="M43" s="27"/>
    </row>
    <row r="44" customFormat="false" ht="24" hidden="false" customHeight="true" outlineLevel="0" collapsed="false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9"/>
      <c r="M44" s="27"/>
    </row>
    <row r="45" customFormat="false" ht="24" hidden="false" customHeight="true" outlineLevel="0" collapsed="false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9"/>
      <c r="M45" s="27"/>
    </row>
    <row r="46" customFormat="false" ht="24" hidden="false" customHeight="true" outlineLevel="0" collapsed="false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9"/>
      <c r="M46" s="27"/>
    </row>
    <row r="47" customFormat="false" ht="24" hidden="false" customHeight="true" outlineLevel="0" collapsed="false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9"/>
      <c r="M47" s="27"/>
    </row>
    <row r="48" customFormat="false" ht="24" hidden="false" customHeight="true" outlineLevel="0" collapsed="false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9"/>
      <c r="M48" s="27"/>
    </row>
    <row r="49" customFormat="false" ht="24" hidden="false" customHeight="true" outlineLevel="0" collapsed="false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9"/>
      <c r="M49" s="27"/>
    </row>
    <row r="50" customFormat="false" ht="24" hidden="false" customHeight="true" outlineLevel="0" collapsed="false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9"/>
      <c r="M50" s="27"/>
    </row>
    <row r="51" customFormat="false" ht="24" hidden="false" customHeight="true" outlineLevel="0" collapsed="false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9"/>
      <c r="M51" s="27"/>
    </row>
    <row r="52" customFormat="false" ht="24" hidden="false" customHeight="true" outlineLevel="0" collapsed="false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9"/>
      <c r="M52" s="27"/>
    </row>
    <row r="53" customFormat="false" ht="24" hidden="false" customHeight="true" outlineLevel="0" collapsed="false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9"/>
      <c r="M53" s="27"/>
    </row>
    <row r="54" customFormat="false" ht="24" hidden="false" customHeight="true" outlineLevel="0" collapsed="false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9"/>
      <c r="M54" s="27"/>
    </row>
    <row r="55" customFormat="false" ht="24" hidden="false" customHeight="true" outlineLevel="0" collapsed="false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9"/>
      <c r="M55" s="27"/>
    </row>
    <row r="56" customFormat="false" ht="24" hidden="false" customHeight="true" outlineLevel="0" collapsed="false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9"/>
      <c r="M56" s="27"/>
    </row>
    <row r="57" customFormat="false" ht="24" hidden="false" customHeight="true" outlineLevel="0" collapsed="false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9"/>
      <c r="M57" s="27"/>
    </row>
    <row r="58" customFormat="false" ht="24" hidden="false" customHeight="true" outlineLevel="0" collapsed="false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9"/>
      <c r="M58" s="27"/>
    </row>
    <row r="59" customFormat="false" ht="24" hidden="false" customHeight="true" outlineLevel="0" collapsed="false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9"/>
      <c r="M59" s="27"/>
    </row>
    <row r="60" customFormat="false" ht="24" hidden="false" customHeight="true" outlineLevel="0" collapsed="false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9"/>
      <c r="M60" s="27"/>
    </row>
    <row r="61" customFormat="false" ht="24" hidden="false" customHeight="true" outlineLevel="0" collapsed="false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9"/>
      <c r="M61" s="27"/>
    </row>
    <row r="62" customFormat="false" ht="24" hidden="false" customHeight="true" outlineLevel="0" collapsed="false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9"/>
      <c r="M62" s="27"/>
    </row>
  </sheetData>
  <autoFilter ref="A12:M200"/>
  <mergeCells count="32">
    <mergeCell ref="A1:I1"/>
    <mergeCell ref="J1:M1"/>
    <mergeCell ref="B2:C2"/>
    <mergeCell ref="E2:I2"/>
    <mergeCell ref="J2:K2"/>
    <mergeCell ref="L2:M2"/>
    <mergeCell ref="B3:C3"/>
    <mergeCell ref="E3:I3"/>
    <mergeCell ref="J3:K3"/>
    <mergeCell ref="L3:M3"/>
    <mergeCell ref="B4:C4"/>
    <mergeCell ref="E4:I4"/>
    <mergeCell ref="J4:K4"/>
    <mergeCell ref="L4:M4"/>
    <mergeCell ref="B5:C5"/>
    <mergeCell ref="E5:I5"/>
    <mergeCell ref="J5:K5"/>
    <mergeCell ref="L5:M5"/>
    <mergeCell ref="B6:C6"/>
    <mergeCell ref="E6:I6"/>
    <mergeCell ref="J6:K6"/>
    <mergeCell ref="L6:M6"/>
    <mergeCell ref="B7:C7"/>
    <mergeCell ref="E7:I7"/>
    <mergeCell ref="J7:K7"/>
    <mergeCell ref="L7:M7"/>
    <mergeCell ref="B8:C8"/>
    <mergeCell ref="E8:I8"/>
    <mergeCell ref="J8:K8"/>
    <mergeCell ref="L8:M8"/>
    <mergeCell ref="A11:I11"/>
    <mergeCell ref="J11:M11"/>
  </mergeCells>
  <conditionalFormatting sqref="L6">
    <cfRule type="cellIs" priority="2" operator="greaterThanOrEqual" aboveAverage="0" equalAverage="0" bottom="0" percent="0" rank="0" text="" dxfId="7">
      <formula>0.9</formula>
    </cfRule>
    <cfRule type="cellIs" priority="3" operator="between" aboveAverage="0" equalAverage="0" bottom="0" percent="0" rank="0" text="" dxfId="8">
      <formula>0.5</formula>
      <formula>0.89</formula>
    </cfRule>
    <cfRule type="cellIs" priority="4" operator="lessThan" aboveAverage="0" equalAverage="0" bottom="0" percent="0" rank="0" text="" dxfId="9">
      <formula>0.5</formula>
    </cfRule>
  </conditionalFormatting>
  <conditionalFormatting sqref="L7">
    <cfRule type="cellIs" priority="5" operator="greaterThan" aboveAverage="0" equalAverage="0" bottom="0" percent="0" rank="0" text="" dxfId="9">
      <formula>0</formula>
    </cfRule>
  </conditionalFormatting>
  <conditionalFormatting sqref="F13:F200">
    <cfRule type="cellIs" priority="6" operator="equal" aboveAverage="0" equalAverage="0" bottom="0" percent="0" rank="0" text="" dxfId="7">
      <formula>"Pass"</formula>
    </cfRule>
    <cfRule type="cellIs" priority="7" operator="equal" aboveAverage="0" equalAverage="0" bottom="0" percent="0" rank="0" text="" dxfId="9">
      <formula>"Fail"</formula>
    </cfRule>
  </conditionalFormatting>
  <conditionalFormatting sqref="G13:G200">
    <cfRule type="cellIs" priority="8" operator="equal" aboveAverage="0" equalAverage="0" bottom="0" percent="0" rank="0" text="" dxfId="9">
      <formula>"Critical"</formula>
    </cfRule>
    <cfRule type="cellIs" priority="9" operator="equal" aboveAverage="0" equalAverage="0" bottom="0" percent="0" rank="0" text="" dxfId="8">
      <formula>"Major"</formula>
    </cfRule>
    <cfRule type="cellIs" priority="10" operator="equal" aboveAverage="0" equalAverage="0" bottom="0" percent="0" rank="0" text="" dxfId="8">
      <formula>"Minor"</formula>
    </cfRule>
  </conditionalFormatting>
  <conditionalFormatting sqref="M13:M200">
    <cfRule type="cellIs" priority="11" operator="equal" aboveAverage="0" equalAverage="0" bottom="0" percent="0" rank="0" text="" dxfId="7">
      <formula>"Pass"</formula>
    </cfRule>
    <cfRule type="cellIs" priority="12" operator="equal" aboveAverage="0" equalAverage="0" bottom="0" percent="0" rank="0" text="" dxfId="9">
      <formula>"Fail"</formula>
    </cfRule>
    <cfRule type="cellIs" priority="13" operator="equal" aboveAverage="0" equalAverage="0" bottom="0" percent="0" rank="0" text="" dxfId="8">
      <formula>"Pending"</formula>
    </cfRule>
  </conditionalFormatting>
  <dataValidations count="6">
    <dataValidation allowBlank="true" errorStyle="stop" operator="between" showDropDown="false" showErrorMessage="false" showInputMessage="false" sqref="L8" type="list">
      <formula1>"Pass — All criteria met,Conditional Pass — Minor items outstanding,Fail — Re-test required"</formula1>
      <formula2>0</formula2>
    </dataValidation>
    <dataValidation allowBlank="true" errorStyle="stop" operator="between" showDropDown="false" showErrorMessage="false" showInputMessage="false" sqref="E8" type="list">
      <formula1>"Yes,No,Partial"</formula1>
      <formula2>0</formula2>
    </dataValidation>
    <dataValidation allowBlank="true" error="Select Pass, Fail, or N/A" errorStyle="stop" operator="between" showDropDown="false" showErrorMessage="false" showInputMessage="false" sqref="F13:F200" type="list">
      <formula1>"Pass,Fail,N/A"</formula1>
      <formula2>0</formula2>
    </dataValidation>
    <dataValidation allowBlank="true" errorStyle="stop" operator="between" showDropDown="false" showErrorMessage="false" showInputMessage="false" sqref="M13:M200" type="list">
      <formula1>"Pass,Fail,N/A,Pending"</formula1>
      <formula2>0</formula2>
    </dataValidation>
    <dataValidation allowBlank="true" errorStyle="stop" operator="between" showDropDown="false" showErrorMessage="false" showInputMessage="false" sqref="G13:G200" type="list">
      <formula1>"Critical,Major,Minor,N/A"</formula1>
      <formula2>0</formula2>
    </dataValidation>
    <dataValidation allowBlank="true" errorStyle="stop" operator="between" showDropDown="false" showErrorMessage="false" showInputMessage="false" sqref="B13:B200" type="list">
      <formula1>"Pre-Start Checks,Mechanical,Electrical,Control / SCADA,Performance,Safety,Environmental"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&amp;CFunctional Performance Test Log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30" t="s">
        <v>117</v>
      </c>
    </row>
    <row r="2" customFormat="false" ht="15" hidden="false" customHeight="false" outlineLevel="0" collapsed="false">
      <c r="A2" s="30"/>
    </row>
    <row r="3" customFormat="false" ht="15" hidden="false" customHeight="false" outlineLevel="0" collapsed="false">
      <c r="A3" s="30" t="s">
        <v>118</v>
      </c>
    </row>
    <row r="4" customFormat="false" ht="15" hidden="false" customHeight="false" outlineLevel="0" collapsed="false">
      <c r="A4" s="30"/>
    </row>
    <row r="5" customFormat="false" ht="15" hidden="false" customHeight="false" outlineLevel="0" collapsed="false">
      <c r="A5" s="30" t="s">
        <v>119</v>
      </c>
    </row>
    <row r="6" customFormat="false" ht="15" hidden="false" customHeight="false" outlineLevel="0" collapsed="false">
      <c r="A6" s="30"/>
    </row>
    <row r="7" customFormat="false" ht="15" hidden="false" customHeight="false" outlineLevel="0" collapsed="false">
      <c r="A7" s="30" t="s">
        <v>120</v>
      </c>
    </row>
    <row r="8" customFormat="false" ht="15" hidden="false" customHeight="false" outlineLevel="0" collapsed="false">
      <c r="A8" s="30"/>
    </row>
    <row r="9" customFormat="false" ht="15" hidden="false" customHeight="false" outlineLevel="0" collapsed="false">
      <c r="A9" s="30" t="s">
        <v>121</v>
      </c>
    </row>
    <row r="10" customFormat="false" ht="15" hidden="false" customHeight="false" outlineLevel="0" collapsed="false">
      <c r="A10" s="30"/>
    </row>
    <row r="11" customFormat="false" ht="15" hidden="false" customHeight="false" outlineLevel="0" collapsed="false">
      <c r="A11" s="30" t="s">
        <v>122</v>
      </c>
    </row>
    <row r="12" customFormat="false" ht="15" hidden="false" customHeight="false" outlineLevel="0" collapsed="false">
      <c r="A12" s="30"/>
    </row>
    <row r="13" customFormat="false" ht="15" hidden="false" customHeight="false" outlineLevel="0" collapsed="false">
      <c r="A13" s="30" t="s">
        <v>123</v>
      </c>
    </row>
    <row r="14" customFormat="false" ht="15" hidden="false" customHeight="false" outlineLevel="0" collapsed="false">
      <c r="A14" s="30"/>
    </row>
    <row r="15" customFormat="false" ht="15" hidden="false" customHeight="false" outlineLevel="0" collapsed="false">
      <c r="A15" s="30" t="s">
        <v>124</v>
      </c>
    </row>
    <row r="16" customFormat="false" ht="15" hidden="false" customHeight="false" outlineLevel="0" collapsed="false">
      <c r="A16" s="30"/>
    </row>
    <row r="17" customFormat="false" ht="15" hidden="false" customHeight="false" outlineLevel="0" collapsed="false">
      <c r="A17" s="30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MEICA / Commissioning</cp:category>
  <dcterms:created xsi:type="dcterms:W3CDTF">2026-03-22T20:41:17Z</dcterms:created>
  <dc:creator>Ebrora Ltd</dc:creator>
  <dc:description>Document and track functional performance testing of mechanical and electrical systems — recording test parameters, acceptance criteria, measured results, and pass/fail outcomes with automatic scoring.
Free professional construction management template from Ebrora Ltd. Visit ebrora.com for our full range of tools and templates.</dc:description>
  <cp:keywords>Ebrora construction MEICA commissioning functional performance test FPT testing acceptance criteria</cp:keywords>
  <dc:language>en-US</dc:language>
  <cp:lastModifiedBy>Ebrora Ltd</cp:lastModifiedBy>
  <dcterms:modified xsi:type="dcterms:W3CDTF">2026-03-22T20:41:17Z</dcterms:modified>
  <cp:revision>0</cp:revision>
  <dc:subject>Log for documenting functional performance tests on mechanical and electrical systems during commissioning, with scored pass/fail criteria and acceptance benchmarks.</dc:subject>
  <dc:title>Functional Performance Test Log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