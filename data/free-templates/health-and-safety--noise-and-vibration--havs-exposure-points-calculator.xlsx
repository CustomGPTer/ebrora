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VS Calculator" sheetId="1" state="visible" r:id="rId3"/>
    <sheet name="Instructions" sheetId="2" state="visible" r:id="rId4"/>
  </sheets>
  <definedNames>
    <definedName function="false" hidden="false" localSheetId="0" name="_xlnm.Print_Area" vbProcedure="false">'HAVS Calculator'!$A$1:$G$47</definedName>
    <definedName function="false" hidden="false" localSheetId="0" name="_xlnm.Print_Titles" vbProcedure="false">'HAVS Calculator'!$1:$2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<sst xmlns="http://schemas.openxmlformats.org/spreadsheetml/2006/main" count="92" uniqueCount="83">
  <si>
    <t xml:space="preserve">ebrora.com</t>
  </si>
  <si>
    <t xml:space="preserve">HAVS EXPOSURE POINTS CALCULATOR</t>
  </si>
  <si>
    <t xml:space="preserve">HSE Hand-Arm Vibration Exposure Points System — Control of Vibration at Work Regulations 2005</t>
  </si>
  <si>
    <t xml:space="preserve">Project:</t>
  </si>
  <si>
    <t xml:space="preserve">Date:</t>
  </si>
  <si>
    <t xml:space="preserve">Assessor:</t>
  </si>
  <si>
    <t xml:space="preserve">Worker Name:</t>
  </si>
  <si>
    <t xml:space="preserve">TOOL / EQUIPMENT EXPOSURE DATA</t>
  </si>
  <si>
    <t xml:space="preserve">No.</t>
  </si>
  <si>
    <t xml:space="preserve">Tool / Equipment</t>
  </si>
  <si>
    <t xml:space="preserve">Vibration
Magnitude
(m/s²)</t>
  </si>
  <si>
    <t xml:space="preserve">Trigger Time
(hours per day)</t>
  </si>
  <si>
    <t xml:space="preserve">Exposure
Points</t>
  </si>
  <si>
    <t xml:space="preserve">Partial A(8)
(m/s²)</t>
  </si>
  <si>
    <t xml:space="preserve">DAILY TOTALS</t>
  </si>
  <si>
    <t xml:space="preserve">EXPOSURE ASSESSMENT RESULT</t>
  </si>
  <si>
    <t xml:space="preserve">Total Daily Exposure Points:</t>
  </si>
  <si>
    <t xml:space="preserve">Daily A(8) Exposure (m/s²):</t>
  </si>
  <si>
    <t xml:space="preserve">Exposure Status:</t>
  </si>
  <si>
    <t xml:space="preserve">HSE EXPOSURE ACTION VALUES</t>
  </si>
  <si>
    <t xml:space="preserve">Exposure Level</t>
  </si>
  <si>
    <t xml:space="preserve">Points</t>
  </si>
  <si>
    <t xml:space="preserve">A(8) m/s²</t>
  </si>
  <si>
    <t xml:space="preserve">Action Required</t>
  </si>
  <si>
    <t xml:space="preserve">Below EAV</t>
  </si>
  <si>
    <t xml:space="preserve">≤100</t>
  </si>
  <si>
    <t xml:space="preserve">≤2.5 m/s²</t>
  </si>
  <si>
    <t xml:space="preserve">No specific action — good practice to reduce exposure</t>
  </si>
  <si>
    <t xml:space="preserve">Exposure Action Value (EAV)</t>
  </si>
  <si>
    <t xml:space="preserve">100</t>
  </si>
  <si>
    <t xml:space="preserve">2.5 m/s²</t>
  </si>
  <si>
    <t xml:space="preserve">Introduce health surveillance and reduce exposure</t>
  </si>
  <si>
    <t xml:space="preserve">Exposure Limit Value (ELV)</t>
  </si>
  <si>
    <t xml:space="preserve">400</t>
  </si>
  <si>
    <t xml:space="preserve">5.0 m/s²</t>
  </si>
  <si>
    <t xml:space="preserve">Must not be exceeded — immediate action required</t>
  </si>
  <si>
    <t xml:space="preserve">COMMON TOOL VIBRATION REFERENCE (typical values)</t>
  </si>
  <si>
    <t xml:space="preserve">Tool</t>
  </si>
  <si>
    <t xml:space="preserve">Typical m/s²</t>
  </si>
  <si>
    <t xml:space="preserve">Points per hour</t>
  </si>
  <si>
    <t xml:space="preserve">Max hours at EAV</t>
  </si>
  <si>
    <t xml:space="preserve">Breaker (road)</t>
  </si>
  <si>
    <t xml:space="preserve">288</t>
  </si>
  <si>
    <t xml:space="preserve">0.3</t>
  </si>
  <si>
    <t xml:space="preserve">Breaker (floor)</t>
  </si>
  <si>
    <t xml:space="preserve">162</t>
  </si>
  <si>
    <t xml:space="preserve">0.6</t>
  </si>
  <si>
    <t xml:space="preserve">Hammer drill</t>
  </si>
  <si>
    <t xml:space="preserve">Angle grinder (230mm)</t>
  </si>
  <si>
    <t xml:space="preserve">32</t>
  </si>
  <si>
    <t xml:space="preserve">3.0</t>
  </si>
  <si>
    <t xml:space="preserve">Angle grinder (115mm)</t>
  </si>
  <si>
    <t xml:space="preserve">18</t>
  </si>
  <si>
    <t xml:space="preserve">5.5</t>
  </si>
  <si>
    <t xml:space="preserve">Circular saw (hand-held)</t>
  </si>
  <si>
    <t xml:space="preserve">Needle scaler</t>
  </si>
  <si>
    <t xml:space="preserve">200</t>
  </si>
  <si>
    <t xml:space="preserve">0.5</t>
  </si>
  <si>
    <t xml:space="preserve">Vibrating plate compactor</t>
  </si>
  <si>
    <t xml:space="preserve">72</t>
  </si>
  <si>
    <t xml:space="preserve">1.4</t>
  </si>
  <si>
    <t xml:space="preserve">Poker vibrator</t>
  </si>
  <si>
    <t xml:space="preserve">Chainsaw</t>
  </si>
  <si>
    <t xml:space="preserve">Note: Values are typical — always use manufacturer data where available.</t>
  </si>
  <si>
    <t xml:space="preserve">INSTRUCTIONS — HAVS Exposure Points Calculator</t>
  </si>
  <si>
    <t xml:space="preserve">How to Use This Template</t>
  </si>
  <si>
    <t xml:space="preserve">1. Enter each tool/equipment used by the worker during the day.</t>
  </si>
  <si>
    <t xml:space="preserve">2. Enter the vibration magnitude (m/s²) from manufacturer data or the reference table.</t>
  </si>
  <si>
    <t xml:space="preserve">3. Enter the trigger time (actual hours of use per day, not total shift time).</t>
  </si>
  <si>
    <t xml:space="preserve">4. Exposure Points and Partial A(8) are calculated automatically using the HSE formula.</t>
  </si>
  <si>
    <t xml:space="preserve">5. The daily total points and combined A(8) are shown in the totals row.</t>
  </si>
  <si>
    <t xml:space="preserve">6. The exposure status compares the result against EAV (100 points / 2.5 m/s²) and ELV (400 points / 5.0 m/s²).</t>
  </si>
  <si>
    <t xml:space="preserve">HSE Exposure Points Formula:</t>
  </si>
  <si>
    <t xml:space="preserve">  Exposure Points = vibration magnitude² × trigger time (hours) × 2</t>
  </si>
  <si>
    <t xml:space="preserve">  Daily A(8) = √(Σ(vibration² × trigger time / 8))</t>
  </si>
  <si>
    <t xml:space="preserve">Action Values (Control of Vibration at Work Regulations 2005):</t>
  </si>
  <si>
    <t xml:space="preserve">  EAV = 2.5 m/s² A(8) = 100 points — introduce health surveillance</t>
  </si>
  <si>
    <t xml:space="preserve">  ELV = 5.0 m/s² A(8) = 400 points — must not be exceeded</t>
  </si>
  <si>
    <t xml:space="preserve">References:</t>
  </si>
  <si>
    <t xml:space="preserve">  Control of Vibration at Work Regulations 2005</t>
  </si>
  <si>
    <t xml:space="preserve">  HSE guidance L140 — Hand-Arm Vibration</t>
  </si>
  <si>
    <t xml:space="preserve">  HSE Vibration Exposure Calculator and Ready Reckoner</t>
  </si>
  <si>
    <t xml:space="preserve">  HSE INDG175 — Hand-Arm Vibration at Work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</si>
</sst>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7" min="3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35.05" hidden="false" customHeight="false" outlineLevel="0" collapsed="false">
      <c r="A5" s="4" t="s">
        <v>3</v>
      </c>
      <c r="B5" s="5"/>
      <c r="C5" s="5"/>
      <c r="D5" s="5"/>
      <c r="E5" s="4" t="s">
        <v>4</v>
      </c>
      <c r="F5" s="5"/>
    </row>
    <row r="6" customFormat="false" ht="35.05" hidden="false" customHeight="false" outlineLevel="0" collapsed="false">
      <c r="A6" s="4" t="s">
        <v>5</v>
      </c>
      <c r="B6" s="5"/>
      <c r="C6" s="5"/>
      <c r="D6" s="5"/>
      <c r="E6" s="4" t="s">
        <v>6</v>
      </c>
      <c r="F6" s="5"/>
      <c r="G6" s="5"/>
    </row>
    <row r="8" customFormat="false" ht="15" hidden="false" customHeight="true" outlineLevel="0" collapsed="false">
      <c r="A8" s="6" t="s">
        <v>7</v>
      </c>
      <c r="B8" s="6"/>
      <c r="C8" s="6"/>
      <c r="D8" s="6"/>
      <c r="E8" s="6"/>
      <c r="F8" s="6"/>
      <c r="G8" s="6"/>
    </row>
    <row r="9" customFormat="false" ht="42" hidden="false" customHeight="tru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</row>
    <row r="10" customFormat="false" ht="24" hidden="false" customHeight="true" outlineLevel="0" collapsed="false">
      <c r="A10" s="8" t="n">
        <v>1</v>
      </c>
      <c r="B10" s="5"/>
      <c r="C10" s="9"/>
      <c r="D10" s="9"/>
      <c r="E10" s="10" t="str">
        <f aca="false">IF(OR(C10="",D10=""),"",ROUND(C10^2*D10*2,0))</f>
        <v/>
      </c>
      <c r="F10" s="10" t="str">
        <f aca="false">IF(OR(C10="",D10=""),"",ROUND(C10*SQRT(D10/8),1))</f>
        <v/>
      </c>
    </row>
    <row r="11" customFormat="false" ht="24" hidden="false" customHeight="true" outlineLevel="0" collapsed="false">
      <c r="A11" s="11" t="n">
        <v>2</v>
      </c>
      <c r="B11" s="5"/>
      <c r="C11" s="9"/>
      <c r="D11" s="9"/>
      <c r="E11" s="12" t="str">
        <f aca="false">IF(OR(C11="",D11=""),"",ROUND(C11^2*D11*2,0))</f>
        <v/>
      </c>
      <c r="F11" s="12" t="str">
        <f aca="false">IF(OR(C11="",D11=""),"",ROUND(C11*SQRT(D11/8),1))</f>
        <v/>
      </c>
    </row>
    <row r="12" customFormat="false" ht="24" hidden="false" customHeight="true" outlineLevel="0" collapsed="false">
      <c r="A12" s="8" t="n">
        <v>3</v>
      </c>
      <c r="B12" s="5"/>
      <c r="C12" s="9"/>
      <c r="D12" s="9"/>
      <c r="E12" s="10" t="str">
        <f aca="false">IF(OR(C12="",D12=""),"",ROUND(C12^2*D12*2,0))</f>
        <v/>
      </c>
      <c r="F12" s="10" t="str">
        <f aca="false">IF(OR(C12="",D12=""),"",ROUND(C12*SQRT(D12/8),1))</f>
        <v/>
      </c>
    </row>
    <row r="13" customFormat="false" ht="24" hidden="false" customHeight="true" outlineLevel="0" collapsed="false">
      <c r="A13" s="11" t="n">
        <v>4</v>
      </c>
      <c r="B13" s="5"/>
      <c r="C13" s="9"/>
      <c r="D13" s="9"/>
      <c r="E13" s="12" t="str">
        <f aca="false">IF(OR(C13="",D13=""),"",ROUND(C13^2*D13*2,0))</f>
        <v/>
      </c>
      <c r="F13" s="12" t="str">
        <f aca="false">IF(OR(C13="",D13=""),"",ROUND(C13*SQRT(D13/8),1))</f>
        <v/>
      </c>
    </row>
    <row r="14" customFormat="false" ht="24" hidden="false" customHeight="true" outlineLevel="0" collapsed="false">
      <c r="A14" s="8" t="n">
        <v>5</v>
      </c>
      <c r="B14" s="5"/>
      <c r="C14" s="9"/>
      <c r="D14" s="9"/>
      <c r="E14" s="10" t="str">
        <f aca="false">IF(OR(C14="",D14=""),"",ROUND(C14^2*D14*2,0))</f>
        <v/>
      </c>
      <c r="F14" s="10" t="str">
        <f aca="false">IF(OR(C14="",D14=""),"",ROUND(C14*SQRT(D14/8),1))</f>
        <v/>
      </c>
    </row>
    <row r="15" customFormat="false" ht="24" hidden="false" customHeight="true" outlineLevel="0" collapsed="false">
      <c r="A15" s="11" t="n">
        <v>6</v>
      </c>
      <c r="B15" s="5"/>
      <c r="C15" s="9"/>
      <c r="D15" s="9"/>
      <c r="E15" s="12" t="str">
        <f aca="false">IF(OR(C15="",D15=""),"",ROUND(C15^2*D15*2,0))</f>
        <v/>
      </c>
      <c r="F15" s="12" t="str">
        <f aca="false">IF(OR(C15="",D15=""),"",ROUND(C15*SQRT(D15/8),1))</f>
        <v/>
      </c>
    </row>
    <row r="16" customFormat="false" ht="24" hidden="false" customHeight="true" outlineLevel="0" collapsed="false">
      <c r="A16" s="8" t="n">
        <v>7</v>
      </c>
      <c r="B16" s="5"/>
      <c r="C16" s="9"/>
      <c r="D16" s="9"/>
      <c r="E16" s="10" t="str">
        <f aca="false">IF(OR(C16="",D16=""),"",ROUND(C16^2*D16*2,0))</f>
        <v/>
      </c>
      <c r="F16" s="10" t="str">
        <f aca="false">IF(OR(C16="",D16=""),"",ROUND(C16*SQRT(D16/8),1))</f>
        <v/>
      </c>
    </row>
    <row r="17" customFormat="false" ht="24" hidden="false" customHeight="true" outlineLevel="0" collapsed="false">
      <c r="A17" s="11" t="n">
        <v>8</v>
      </c>
      <c r="B17" s="5"/>
      <c r="C17" s="9"/>
      <c r="D17" s="9"/>
      <c r="E17" s="12" t="str">
        <f aca="false">IF(OR(C17="",D17=""),"",ROUND(C17^2*D17*2,0))</f>
        <v/>
      </c>
      <c r="F17" s="12" t="str">
        <f aca="false">IF(OR(C17="",D17=""),"",ROUND(C17*SQRT(D17/8),1))</f>
        <v/>
      </c>
    </row>
    <row r="18" customFormat="false" ht="24" hidden="false" customHeight="true" outlineLevel="0" collapsed="false">
      <c r="A18" s="8" t="n">
        <v>9</v>
      </c>
      <c r="B18" s="5"/>
      <c r="C18" s="9"/>
      <c r="D18" s="9"/>
      <c r="E18" s="10" t="str">
        <f aca="false">IF(OR(C18="",D18=""),"",ROUND(C18^2*D18*2,0))</f>
        <v/>
      </c>
      <c r="F18" s="10" t="str">
        <f aca="false">IF(OR(C18="",D18=""),"",ROUND(C18*SQRT(D18/8),1))</f>
        <v/>
      </c>
    </row>
    <row r="19" customFormat="false" ht="24" hidden="false" customHeight="true" outlineLevel="0" collapsed="false">
      <c r="A19" s="11" t="n">
        <v>10</v>
      </c>
      <c r="B19" s="5"/>
      <c r="C19" s="9"/>
      <c r="D19" s="9"/>
      <c r="E19" s="12" t="str">
        <f aca="false">IF(OR(C19="",D19=""),"",ROUND(C19^2*D19*2,0))</f>
        <v/>
      </c>
      <c r="F19" s="12" t="str">
        <f aca="false">IF(OR(C19="",D19=""),"",ROUND(C19*SQRT(D19/8),1))</f>
        <v/>
      </c>
    </row>
    <row r="21" customFormat="false" ht="15" hidden="false" customHeight="true" outlineLevel="0" collapsed="false">
      <c r="A21" s="6" t="s">
        <v>14</v>
      </c>
      <c r="B21" s="6"/>
      <c r="C21" s="6"/>
      <c r="D21" s="6"/>
      <c r="E21" s="13" t="str">
        <f aca="false">IF(SUM(E10:E19)=0,"",SUM(E10:E19))</f>
        <v/>
      </c>
      <c r="F21" s="13" t="str">
        <f aca="false">IF(SUMPRODUCT((C10:C19&lt;&gt;"")*(D10:D19&lt;&gt;""),C10:C19^2,D10:D19/8)=0,"",ROUND(SQRT(SUMPRODUCT((C10:C19&lt;&gt;"")*(D10:D19&lt;&gt;""),C10:C19^2,D10:D19/8)),1))</f>
        <v/>
      </c>
    </row>
    <row r="23" customFormat="false" ht="15" hidden="false" customHeight="true" outlineLevel="0" collapsed="false">
      <c r="A23" s="6" t="s">
        <v>15</v>
      </c>
      <c r="B23" s="6"/>
      <c r="C23" s="6"/>
      <c r="D23" s="6"/>
      <c r="E23" s="6"/>
      <c r="F23" s="6"/>
      <c r="G23" s="6"/>
    </row>
    <row r="24" customFormat="false" ht="17.35" hidden="false" customHeight="true" outlineLevel="0" collapsed="false">
      <c r="A24" s="4" t="s">
        <v>16</v>
      </c>
      <c r="B24" s="4"/>
      <c r="C24" s="4"/>
      <c r="D24" s="4"/>
      <c r="E24" s="14" t="str">
        <f aca="false">E21</f>
        <v/>
      </c>
    </row>
    <row r="25" customFormat="false" ht="17.35" hidden="false" customHeight="true" outlineLevel="0" collapsed="false">
      <c r="A25" s="4" t="s">
        <v>17</v>
      </c>
      <c r="B25" s="4"/>
      <c r="C25" s="4"/>
      <c r="D25" s="4"/>
      <c r="E25" s="14" t="str">
        <f aca="false">F21</f>
        <v/>
      </c>
    </row>
    <row r="26" customFormat="false" ht="15" hidden="false" customHeight="true" outlineLevel="0" collapsed="false">
      <c r="A26" s="4" t="s">
        <v>18</v>
      </c>
      <c r="B26" s="4"/>
      <c r="C26" s="4"/>
      <c r="D26" s="4"/>
      <c r="E26" s="15" t="str">
        <f aca="false">IF(E24="","",IF(E24&lt;=100,"Below EAV",IF(E24&lt;=400,"At or Above EAV","At or Above ELV")))</f>
        <v/>
      </c>
    </row>
    <row r="28" customFormat="false" ht="15" hidden="false" customHeight="true" outlineLevel="0" collapsed="false">
      <c r="A28" s="6" t="s">
        <v>19</v>
      </c>
      <c r="B28" s="6"/>
      <c r="C28" s="6"/>
      <c r="D28" s="6"/>
      <c r="E28" s="6"/>
      <c r="F28" s="6"/>
      <c r="G28" s="6"/>
    </row>
    <row r="29" customFormat="false" ht="15" hidden="false" customHeight="true" outlineLevel="0" collapsed="false">
      <c r="A29" s="7"/>
      <c r="B29" s="16" t="s">
        <v>20</v>
      </c>
      <c r="C29" s="7" t="s">
        <v>21</v>
      </c>
      <c r="D29" s="7" t="s">
        <v>22</v>
      </c>
      <c r="E29" s="16" t="s">
        <v>23</v>
      </c>
      <c r="F29" s="16"/>
      <c r="G29" s="16"/>
    </row>
    <row r="30" customFormat="false" ht="23.85" hidden="false" customHeight="true" outlineLevel="0" collapsed="false">
      <c r="A30" s="8"/>
      <c r="B30" s="17" t="s">
        <v>24</v>
      </c>
      <c r="C30" s="11" t="s">
        <v>25</v>
      </c>
      <c r="D30" s="11" t="s">
        <v>26</v>
      </c>
      <c r="E30" s="17" t="s">
        <v>27</v>
      </c>
      <c r="F30" s="17"/>
      <c r="G30" s="17"/>
    </row>
    <row r="31" customFormat="false" ht="23.85" hidden="false" customHeight="true" outlineLevel="0" collapsed="false">
      <c r="A31" s="18"/>
      <c r="B31" s="4" t="s">
        <v>28</v>
      </c>
      <c r="C31" s="11" t="s">
        <v>29</v>
      </c>
      <c r="D31" s="11" t="s">
        <v>30</v>
      </c>
      <c r="E31" s="17" t="s">
        <v>31</v>
      </c>
      <c r="F31" s="17"/>
      <c r="G31" s="17"/>
    </row>
    <row r="32" customFormat="false" ht="23.85" hidden="false" customHeight="true" outlineLevel="0" collapsed="false">
      <c r="A32" s="19"/>
      <c r="B32" s="4" t="s">
        <v>32</v>
      </c>
      <c r="C32" s="11" t="s">
        <v>33</v>
      </c>
      <c r="D32" s="11" t="s">
        <v>34</v>
      </c>
      <c r="E32" s="17" t="s">
        <v>35</v>
      </c>
      <c r="F32" s="17"/>
      <c r="G32" s="17"/>
    </row>
    <row r="34" customFormat="false" ht="15" hidden="false" customHeight="true" outlineLevel="0" collapsed="false">
      <c r="A34" s="6" t="s">
        <v>36</v>
      </c>
      <c r="B34" s="6"/>
      <c r="C34" s="6"/>
      <c r="D34" s="6"/>
      <c r="E34" s="6"/>
      <c r="F34" s="6"/>
      <c r="G34" s="6"/>
    </row>
    <row r="35" customFormat="false" ht="15" hidden="false" customHeight="true" outlineLevel="0" collapsed="false">
      <c r="A35" s="7"/>
      <c r="B35" s="16" t="s">
        <v>37</v>
      </c>
      <c r="C35" s="7" t="s">
        <v>38</v>
      </c>
      <c r="D35" s="7" t="s">
        <v>39</v>
      </c>
      <c r="E35" s="7" t="s">
        <v>40</v>
      </c>
      <c r="F35" s="7"/>
    </row>
    <row r="36" customFormat="false" ht="15" hidden="false" customHeight="true" outlineLevel="0" collapsed="false">
      <c r="A36" s="8"/>
      <c r="B36" s="20" t="s">
        <v>41</v>
      </c>
      <c r="C36" s="8" t="n">
        <v>12</v>
      </c>
      <c r="D36" s="8" t="s">
        <v>42</v>
      </c>
      <c r="E36" s="8" t="s">
        <v>43</v>
      </c>
      <c r="F36" s="8"/>
    </row>
    <row r="37" customFormat="false" ht="15" hidden="false" customHeight="true" outlineLevel="0" collapsed="false">
      <c r="A37" s="11"/>
      <c r="B37" s="17" t="s">
        <v>44</v>
      </c>
      <c r="C37" s="11" t="n">
        <v>9</v>
      </c>
      <c r="D37" s="11" t="s">
        <v>45</v>
      </c>
      <c r="E37" s="11" t="s">
        <v>46</v>
      </c>
      <c r="F37" s="11"/>
    </row>
    <row r="38" customFormat="false" ht="15" hidden="false" customHeight="true" outlineLevel="0" collapsed="false">
      <c r="A38" s="8"/>
      <c r="B38" s="20" t="s">
        <v>47</v>
      </c>
      <c r="C38" s="8" t="n">
        <v>9</v>
      </c>
      <c r="D38" s="8" t="s">
        <v>45</v>
      </c>
      <c r="E38" s="8" t="s">
        <v>46</v>
      </c>
      <c r="F38" s="8"/>
    </row>
    <row r="39" customFormat="false" ht="15" hidden="false" customHeight="true" outlineLevel="0" collapsed="false">
      <c r="A39" s="11"/>
      <c r="B39" s="17" t="s">
        <v>48</v>
      </c>
      <c r="C39" s="11" t="n">
        <v>4</v>
      </c>
      <c r="D39" s="11" t="s">
        <v>49</v>
      </c>
      <c r="E39" s="11" t="s">
        <v>50</v>
      </c>
      <c r="F39" s="11"/>
    </row>
    <row r="40" customFormat="false" ht="15" hidden="false" customHeight="true" outlineLevel="0" collapsed="false">
      <c r="A40" s="8"/>
      <c r="B40" s="20" t="s">
        <v>51</v>
      </c>
      <c r="C40" s="8" t="n">
        <v>3</v>
      </c>
      <c r="D40" s="8" t="s">
        <v>52</v>
      </c>
      <c r="E40" s="8" t="s">
        <v>53</v>
      </c>
      <c r="F40" s="8"/>
    </row>
    <row r="41" customFormat="false" ht="15" hidden="false" customHeight="true" outlineLevel="0" collapsed="false">
      <c r="A41" s="11"/>
      <c r="B41" s="17" t="s">
        <v>54</v>
      </c>
      <c r="C41" s="11" t="n">
        <v>3</v>
      </c>
      <c r="D41" s="11" t="s">
        <v>52</v>
      </c>
      <c r="E41" s="11" t="s">
        <v>53</v>
      </c>
      <c r="F41" s="11"/>
    </row>
    <row r="42" customFormat="false" ht="15" hidden="false" customHeight="true" outlineLevel="0" collapsed="false">
      <c r="A42" s="8"/>
      <c r="B42" s="20" t="s">
        <v>55</v>
      </c>
      <c r="C42" s="8" t="n">
        <v>10</v>
      </c>
      <c r="D42" s="8" t="s">
        <v>56</v>
      </c>
      <c r="E42" s="8" t="s">
        <v>57</v>
      </c>
      <c r="F42" s="8"/>
    </row>
    <row r="43" customFormat="false" ht="15" hidden="false" customHeight="true" outlineLevel="0" collapsed="false">
      <c r="A43" s="11"/>
      <c r="B43" s="17" t="s">
        <v>58</v>
      </c>
      <c r="C43" s="11" t="n">
        <v>6</v>
      </c>
      <c r="D43" s="11" t="s">
        <v>59</v>
      </c>
      <c r="E43" s="11" t="s">
        <v>60</v>
      </c>
      <c r="F43" s="11"/>
    </row>
    <row r="44" customFormat="false" ht="15" hidden="false" customHeight="true" outlineLevel="0" collapsed="false">
      <c r="A44" s="8"/>
      <c r="B44" s="20" t="s">
        <v>61</v>
      </c>
      <c r="C44" s="8" t="n">
        <v>6</v>
      </c>
      <c r="D44" s="8" t="s">
        <v>59</v>
      </c>
      <c r="E44" s="8" t="s">
        <v>60</v>
      </c>
      <c r="F44" s="8"/>
    </row>
    <row r="45" customFormat="false" ht="15" hidden="false" customHeight="true" outlineLevel="0" collapsed="false">
      <c r="A45" s="11"/>
      <c r="B45" s="17" t="s">
        <v>62</v>
      </c>
      <c r="C45" s="11" t="n">
        <v>4</v>
      </c>
      <c r="D45" s="11" t="s">
        <v>49</v>
      </c>
      <c r="E45" s="11" t="s">
        <v>50</v>
      </c>
      <c r="F45" s="11"/>
    </row>
    <row r="47" customFormat="false" ht="15" hidden="false" customHeight="true" outlineLevel="0" collapsed="false">
      <c r="A47" s="3" t="s">
        <v>63</v>
      </c>
      <c r="B47" s="3"/>
      <c r="C47" s="3"/>
      <c r="D47" s="3"/>
      <c r="E47" s="3"/>
      <c r="F47" s="3"/>
      <c r="G47" s="3"/>
    </row>
  </sheetData>
  <mergeCells count="30">
    <mergeCell ref="A1:G1"/>
    <mergeCell ref="A2:G2"/>
    <mergeCell ref="A3:G3"/>
    <mergeCell ref="B5:D5"/>
    <mergeCell ref="B6:D6"/>
    <mergeCell ref="F6:G6"/>
    <mergeCell ref="A8:G8"/>
    <mergeCell ref="A21:D21"/>
    <mergeCell ref="A23:G23"/>
    <mergeCell ref="A24:D24"/>
    <mergeCell ref="A25:D25"/>
    <mergeCell ref="A26:D26"/>
    <mergeCell ref="A28:G28"/>
    <mergeCell ref="E29:G29"/>
    <mergeCell ref="E30:G30"/>
    <mergeCell ref="E31:G31"/>
    <mergeCell ref="E32:G32"/>
    <mergeCell ref="A34:G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A47:G47"/>
  </mergeCells>
  <conditionalFormatting sqref="E26">
    <cfRule type="cellIs" priority="2" operator="equal" aboveAverage="0" equalAverage="0" bottom="0" percent="0" rank="0" text="" dxfId="0">
      <formula>"Below EAV"</formula>
    </cfRule>
    <cfRule type="cellIs" priority="3" operator="equal" aboveAverage="0" equalAverage="0" bottom="0" percent="0" rank="0" text="" dxfId="1">
      <formula>"At or Above EAV"</formula>
    </cfRule>
    <cfRule type="cellIs" priority="4" operator="equal" aboveAverage="0" equalAverage="0" bottom="0" percent="0" rank="0" text="" dxfId="2">
      <formula>"At or Above ELV"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64</v>
      </c>
      <c r="B2" s="2"/>
    </row>
    <row r="4" customFormat="false" ht="15" hidden="false" customHeight="false" outlineLevel="0" collapsed="false">
      <c r="B4" s="6" t="s">
        <v>65</v>
      </c>
    </row>
    <row r="5" customFormat="false" ht="15" hidden="false" customHeight="false" outlineLevel="0" collapsed="false">
      <c r="B5" s="17"/>
    </row>
    <row r="6" customFormat="false" ht="15" hidden="false" customHeight="false" outlineLevel="0" collapsed="false">
      <c r="B6" s="17" t="s">
        <v>66</v>
      </c>
    </row>
    <row r="7" customFormat="false" ht="15" hidden="false" customHeight="false" outlineLevel="0" collapsed="false">
      <c r="B7" s="17" t="s">
        <v>67</v>
      </c>
    </row>
    <row r="8" customFormat="false" ht="15" hidden="false" customHeight="false" outlineLevel="0" collapsed="false">
      <c r="B8" s="17" t="s">
        <v>68</v>
      </c>
    </row>
    <row r="9" customFormat="false" ht="15" hidden="false" customHeight="false" outlineLevel="0" collapsed="false">
      <c r="B9" s="17" t="s">
        <v>69</v>
      </c>
    </row>
    <row r="10" customFormat="false" ht="15" hidden="false" customHeight="false" outlineLevel="0" collapsed="false">
      <c r="B10" s="17" t="s">
        <v>70</v>
      </c>
    </row>
    <row r="11" customFormat="false" ht="23.85" hidden="false" customHeight="false" outlineLevel="0" collapsed="false">
      <c r="B11" s="17" t="s">
        <v>71</v>
      </c>
    </row>
    <row r="12" customFormat="false" ht="15" hidden="false" customHeight="false" outlineLevel="0" collapsed="false">
      <c r="B12" s="17"/>
    </row>
    <row r="13" customFormat="false" ht="15" hidden="false" customHeight="false" outlineLevel="0" collapsed="false">
      <c r="B13" s="6" t="s">
        <v>72</v>
      </c>
    </row>
    <row r="14" customFormat="false" ht="15" hidden="false" customHeight="false" outlineLevel="0" collapsed="false">
      <c r="B14" s="17" t="s">
        <v>73</v>
      </c>
    </row>
    <row r="15" customFormat="false" ht="15" hidden="false" customHeight="false" outlineLevel="0" collapsed="false">
      <c r="B15" s="17" t="s">
        <v>74</v>
      </c>
    </row>
    <row r="16" customFormat="false" ht="15" hidden="false" customHeight="false" outlineLevel="0" collapsed="false">
      <c r="B16" s="17"/>
    </row>
    <row r="17" customFormat="false" ht="15" hidden="false" customHeight="false" outlineLevel="0" collapsed="false">
      <c r="B17" s="6" t="s">
        <v>75</v>
      </c>
    </row>
    <row r="18" customFormat="false" ht="15" hidden="false" customHeight="false" outlineLevel="0" collapsed="false">
      <c r="B18" s="17" t="s">
        <v>76</v>
      </c>
    </row>
    <row r="19" customFormat="false" ht="15" hidden="false" customHeight="false" outlineLevel="0" collapsed="false">
      <c r="B19" s="17" t="s">
        <v>77</v>
      </c>
    </row>
    <row r="20" customFormat="false" ht="15" hidden="false" customHeight="false" outlineLevel="0" collapsed="false">
      <c r="B20" s="17"/>
    </row>
    <row r="21" customFormat="false" ht="15" hidden="false" customHeight="false" outlineLevel="0" collapsed="false">
      <c r="B21" s="6" t="s">
        <v>78</v>
      </c>
    </row>
    <row r="22" customFormat="false" ht="15" hidden="false" customHeight="false" outlineLevel="0" collapsed="false">
      <c r="B22" s="3" t="s">
        <v>79</v>
      </c>
    </row>
    <row r="23" customFormat="false" ht="15" hidden="false" customHeight="false" outlineLevel="0" collapsed="false">
      <c r="B23" s="3" t="s">
        <v>80</v>
      </c>
    </row>
    <row r="24" customFormat="false" ht="15" hidden="false" customHeight="false" outlineLevel="0" collapsed="false">
      <c r="B24" s="3" t="s">
        <v>81</v>
      </c>
    </row>
    <row r="25" customFormat="false" ht="15" hidden="false" customHeight="false" outlineLevel="0" collapsed="false">
      <c r="B25" s="3" t="s">
        <v>82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2026-03-27T16:31:50Z</dcterms:created>
  <dc:creator>openpyxl</dc:creator>
  <dc:description/>
  <dc:language>en-US</dc:language>
  <cp:lastModifiedBy/>
  <dcterms:modified xsi:type="dcterms:W3CDTF">2026-03-27T16:31:50Z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