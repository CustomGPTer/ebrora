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ariation Register" sheetId="1" state="visible" r:id="rId3"/>
    <sheet name="Instructions" sheetId="2" state="visible" r:id="rId4"/>
  </sheets>
  <definedNames>
    <definedName function="false" hidden="false" localSheetId="0" name="_xlnm.Print_Area" vbProcedure="false">'Variation Register'!$A$1:$R$41</definedName>
    <definedName function="false" hidden="false" localSheetId="0" name="_xlnm.Print_Titles" vbProcedure="false">'Variation Register'!$1:$6</definedName>
    <definedName function="false" hidden="true" localSheetId="0" name="_xlnm._FilterDatabase" vbProcedure="false">'Variation Register'!$A$6:$R$31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<sst xmlns="http://schemas.openxmlformats.org/spreadsheetml/2006/main" count="52" uniqueCount="51">
  <si>
    <t xml:space="preserve">ebrora.com</t>
  </si>
  <si>
    <t xml:space="preserve">VARIATION REGISTER AND COST TRACKER</t>
  </si>
  <si>
    <t xml:space="preserve">Ref: NEC4 Clause 60–65 / JCT Variations Provisions; Contract Conditions</t>
  </si>
  <si>
    <t xml:space="preserve">Project:</t>
  </si>
  <si>
    <t xml:space="preserve">Contract No.:</t>
  </si>
  <si>
    <t xml:space="preserve">QS / Commercial Mgr:</t>
  </si>
  <si>
    <t xml:space="preserve">Rev:</t>
  </si>
  <si>
    <t xml:space="preserve">No.</t>
  </si>
  <si>
    <t xml:space="preserve">Variation
Ref / CE No.</t>
  </si>
  <si>
    <t xml:space="preserve">Date
Notified</t>
  </si>
  <si>
    <t xml:space="preserve">Variation
Description</t>
  </si>
  <si>
    <t xml:space="preserve">Initiated By
(Client/Contractor/
Designer)</t>
  </si>
  <si>
    <t xml:space="preserve">Discipline /
Area</t>
  </si>
  <si>
    <t xml:space="preserve">Clause
Ref</t>
  </si>
  <si>
    <t xml:space="preserve">Quotation
Submitted
Date</t>
  </si>
  <si>
    <t xml:space="preserve">Estimated
Cost (£)</t>
  </si>
  <si>
    <t xml:space="preserve">Agreed
Cost (£)</t>
  </si>
  <si>
    <t xml:space="preserve">Programme
Impact
(Days)</t>
  </si>
  <si>
    <t xml:space="preserve">Cost
Status</t>
  </si>
  <si>
    <t xml:space="preserve">Instruction
Ref / PMI</t>
  </si>
  <si>
    <t xml:space="preserve">Date
Agreed</t>
  </si>
  <si>
    <t xml:space="preserve">Included in
Account?
(Yes/No)</t>
  </si>
  <si>
    <t xml:space="preserve">Payment
Application
Ref</t>
  </si>
  <si>
    <t xml:space="preserve">Cumulative
Agreed (£)</t>
  </si>
  <si>
    <t xml:space="preserve">Comments</t>
  </si>
  <si>
    <t xml:space="preserve">COMMERCIAL SUMMARY</t>
  </si>
  <si>
    <t xml:space="preserve">Total Variations:</t>
  </si>
  <si>
    <t xml:space="preserve">Total Estimated Cost:</t>
  </si>
  <si>
    <t xml:space="preserve">Total Agreed Cost:</t>
  </si>
  <si>
    <t xml:space="preserve">Agreed:</t>
  </si>
  <si>
    <t xml:space="preserve">Under Review:</t>
  </si>
  <si>
    <t xml:space="preserve">Rejected:</t>
  </si>
  <si>
    <t xml:space="preserve">Not Yet in Account:</t>
  </si>
  <si>
    <t xml:space="preserve">Total Programme Impact:</t>
  </si>
  <si>
    <t xml:space="preserve">INSTRUCTIONS — Variation Register and Cost Tracker</t>
  </si>
  <si>
    <t xml:space="preserve">How to Use This Template</t>
  </si>
  <si>
    <t xml:space="preserve">1. Record every variation / compensation event / change instruction.</t>
  </si>
  <si>
    <t xml:space="preserve">2. Assign a unique variation reference or CE number.</t>
  </si>
  <si>
    <t xml:space="preserve">3. Record who initiated the change, the relevant contract clause, and description.</t>
  </si>
  <si>
    <t xml:space="preserve">4. Enter the estimated and agreed costs (£). Cumulative agreed auto-calculates.</t>
  </si>
  <si>
    <t xml:space="preserve">5. Note any programme impact in days.</t>
  </si>
  <si>
    <t xml:space="preserve">6. Track cost status from Notified through to Agreed or Rejected.</t>
  </si>
  <si>
    <t xml:space="preserve">7. Confirm when each variation is included in the account/payment application.</t>
  </si>
  <si>
    <t xml:space="preserve">8. The commercial summary provides totals for reporting.</t>
  </si>
  <si>
    <t xml:space="preserve">NEC4 Compensation Event Process:</t>
  </si>
  <si>
    <t xml:space="preserve">  Notification → Quotation → Assessment → Implementation</t>
  </si>
  <si>
    <t xml:space="preserve">  Early warning required under Clause 15 for potential CEs.</t>
  </si>
  <si>
    <t xml:space="preserve">References:</t>
  </si>
  <si>
    <t xml:space="preserve">  NEC4 Clauses 60–65 — Compensation Events</t>
  </si>
  <si>
    <t xml:space="preserve">  JCT — Variations provisions</t>
  </si>
  <si>
    <t xml:space="preserve">  Contract-specific Variation Procedure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</si>
</sst>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£#,##0"/>
    <numFmt numFmtId="166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2E75B6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B2A4A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E8F0FE"/>
        <bgColor rgb="FFF2F2F2"/>
      </patternFill>
    </fill>
    <fill>
      <patternFill patternType="solid">
        <fgColor rgb="FF1B2A4A"/>
        <bgColor rgb="FF003366"/>
      </patternFill>
    </fill>
    <fill>
      <patternFill patternType="solid">
        <fgColor rgb="FFF2F2F2"/>
        <bgColor rgb="FFE8F0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E8F0F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8F0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4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10"/>
    <col collapsed="false" customWidth="true" hidden="false" outlineLevel="0" max="4" min="4" style="0" width="24"/>
    <col collapsed="false" customWidth="true" hidden="false" outlineLevel="0" max="6" min="5" style="0" width="12"/>
    <col collapsed="false" customWidth="true" hidden="false" outlineLevel="0" max="7" min="7" style="0" width="9"/>
    <col collapsed="false" customWidth="true" hidden="false" outlineLevel="0" max="8" min="8" style="0" width="10"/>
    <col collapsed="false" customWidth="true" hidden="false" outlineLevel="0" max="10" min="9" style="0" width="12"/>
    <col collapsed="false" customWidth="true" hidden="false" outlineLevel="0" max="11" min="11" style="0" width="9"/>
    <col collapsed="false" customWidth="true" hidden="false" outlineLevel="0" max="13" min="12" style="0" width="12"/>
    <col collapsed="false" customWidth="true" hidden="false" outlineLevel="0" max="14" min="14" style="0" width="10"/>
    <col collapsed="false" customWidth="true" hidden="false" outlineLevel="0" max="15" min="15" style="0" width="9"/>
    <col collapsed="false" customWidth="true" hidden="false" outlineLevel="0" max="16" min="16" style="0" width="10"/>
    <col collapsed="false" customWidth="true" hidden="false" outlineLevel="0" max="17" min="17" style="0" width="12"/>
    <col collapsed="false" customWidth="true" hidden="false" outlineLevel="0" max="18" min="18" style="0" width="18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customFormat="false" ht="23.85" hidden="false" customHeight="true" outlineLevel="0" collapsed="false">
      <c r="A4" s="4" t="s">
        <v>3</v>
      </c>
      <c r="B4" s="5"/>
      <c r="C4" s="5"/>
      <c r="D4" s="5"/>
      <c r="E4" s="4" t="s">
        <v>4</v>
      </c>
      <c r="F4" s="5"/>
      <c r="G4" s="5"/>
      <c r="H4" s="4" t="s">
        <v>5</v>
      </c>
      <c r="I4" s="4"/>
      <c r="J4" s="5"/>
      <c r="K4" s="5"/>
      <c r="L4" s="5"/>
      <c r="M4" s="4" t="s">
        <v>6</v>
      </c>
      <c r="N4" s="5"/>
    </row>
    <row r="6" customFormat="false" ht="51.75" hidden="false" customHeight="true" outlineLevel="0" collapsed="false">
      <c r="A6" s="6" t="s">
        <v>7</v>
      </c>
      <c r="B6" s="6" t="s">
        <v>8</v>
      </c>
      <c r="C6" s="6" t="s">
        <v>9</v>
      </c>
      <c r="D6" s="6" t="s">
        <v>10</v>
      </c>
      <c r="E6" s="6" t="s">
        <v>11</v>
      </c>
      <c r="F6" s="6" t="s">
        <v>12</v>
      </c>
      <c r="G6" s="6" t="s">
        <v>13</v>
      </c>
      <c r="H6" s="6" t="s">
        <v>14</v>
      </c>
      <c r="I6" s="6" t="s">
        <v>15</v>
      </c>
      <c r="J6" s="6" t="s">
        <v>16</v>
      </c>
      <c r="K6" s="6" t="s">
        <v>17</v>
      </c>
      <c r="L6" s="6" t="s">
        <v>18</v>
      </c>
      <c r="M6" s="6" t="s">
        <v>19</v>
      </c>
      <c r="N6" s="6" t="s">
        <v>20</v>
      </c>
      <c r="O6" s="6" t="s">
        <v>21</v>
      </c>
      <c r="P6" s="6" t="s">
        <v>22</v>
      </c>
      <c r="Q6" s="6" t="s">
        <v>23</v>
      </c>
      <c r="R6" s="6" t="s">
        <v>24</v>
      </c>
    </row>
    <row r="7" customFormat="false" ht="24" hidden="false" customHeight="true" outlineLevel="0" collapsed="false">
      <c r="A7" s="7" t="n">
        <v>1</v>
      </c>
      <c r="B7" s="8"/>
      <c r="C7" s="8"/>
      <c r="D7" s="5"/>
      <c r="E7" s="8"/>
      <c r="F7" s="8"/>
      <c r="G7" s="8"/>
      <c r="H7" s="8"/>
      <c r="I7" s="9"/>
      <c r="J7" s="9"/>
      <c r="K7" s="8"/>
      <c r="L7" s="8"/>
      <c r="M7" s="8"/>
      <c r="N7" s="8"/>
      <c r="O7" s="8"/>
      <c r="P7" s="8"/>
      <c r="Q7" s="10" t="str">
        <f aca="false">IF(J7="","",J7)</f>
        <v/>
      </c>
      <c r="R7" s="5"/>
    </row>
    <row r="8" customFormat="false" ht="24" hidden="false" customHeight="true" outlineLevel="0" collapsed="false">
      <c r="A8" s="11" t="n">
        <v>2</v>
      </c>
      <c r="B8" s="8"/>
      <c r="C8" s="8"/>
      <c r="D8" s="5"/>
      <c r="E8" s="8"/>
      <c r="F8" s="8"/>
      <c r="G8" s="8"/>
      <c r="H8" s="8"/>
      <c r="I8" s="9"/>
      <c r="J8" s="9"/>
      <c r="K8" s="8"/>
      <c r="L8" s="8"/>
      <c r="M8" s="8"/>
      <c r="N8" s="8"/>
      <c r="O8" s="8"/>
      <c r="P8" s="8"/>
      <c r="Q8" s="12" t="str">
        <f aca="false">IF(J8="",Q7,IF(Q7="",J8,Q7+J8))</f>
        <v/>
      </c>
      <c r="R8" s="5"/>
    </row>
    <row r="9" customFormat="false" ht="24" hidden="false" customHeight="true" outlineLevel="0" collapsed="false">
      <c r="A9" s="7" t="n">
        <v>3</v>
      </c>
      <c r="B9" s="8"/>
      <c r="C9" s="8"/>
      <c r="D9" s="5"/>
      <c r="E9" s="8"/>
      <c r="F9" s="8"/>
      <c r="G9" s="8"/>
      <c r="H9" s="8"/>
      <c r="I9" s="9"/>
      <c r="J9" s="9"/>
      <c r="K9" s="8"/>
      <c r="L9" s="8"/>
      <c r="M9" s="8"/>
      <c r="N9" s="8"/>
      <c r="O9" s="8"/>
      <c r="P9" s="8"/>
      <c r="Q9" s="10" t="str">
        <f aca="false">IF(J9="",Q8,IF(Q8="",J9,Q8+J9))</f>
        <v/>
      </c>
      <c r="R9" s="5"/>
    </row>
    <row r="10" customFormat="false" ht="24" hidden="false" customHeight="true" outlineLevel="0" collapsed="false">
      <c r="A10" s="11" t="n">
        <v>4</v>
      </c>
      <c r="B10" s="8"/>
      <c r="C10" s="8"/>
      <c r="D10" s="5"/>
      <c r="E10" s="8"/>
      <c r="F10" s="8"/>
      <c r="G10" s="8"/>
      <c r="H10" s="8"/>
      <c r="I10" s="9"/>
      <c r="J10" s="9"/>
      <c r="K10" s="8"/>
      <c r="L10" s="8"/>
      <c r="M10" s="8"/>
      <c r="N10" s="8"/>
      <c r="O10" s="8"/>
      <c r="P10" s="8"/>
      <c r="Q10" s="12" t="str">
        <f aca="false">IF(J10="",Q9,IF(Q9="",J10,Q9+J10))</f>
        <v/>
      </c>
      <c r="R10" s="5"/>
    </row>
    <row r="11" customFormat="false" ht="24" hidden="false" customHeight="true" outlineLevel="0" collapsed="false">
      <c r="A11" s="7" t="n">
        <v>5</v>
      </c>
      <c r="B11" s="8"/>
      <c r="C11" s="8"/>
      <c r="D11" s="5"/>
      <c r="E11" s="8"/>
      <c r="F11" s="8"/>
      <c r="G11" s="8"/>
      <c r="H11" s="8"/>
      <c r="I11" s="9"/>
      <c r="J11" s="9"/>
      <c r="K11" s="8"/>
      <c r="L11" s="8"/>
      <c r="M11" s="8"/>
      <c r="N11" s="8"/>
      <c r="O11" s="8"/>
      <c r="P11" s="8"/>
      <c r="Q11" s="10" t="str">
        <f aca="false">IF(J11="",Q10,IF(Q10="",J11,Q10+J11))</f>
        <v/>
      </c>
      <c r="R11" s="5"/>
    </row>
    <row r="12" customFormat="false" ht="24" hidden="false" customHeight="true" outlineLevel="0" collapsed="false">
      <c r="A12" s="11" t="n">
        <v>6</v>
      </c>
      <c r="B12" s="8"/>
      <c r="C12" s="8"/>
      <c r="D12" s="5"/>
      <c r="E12" s="8"/>
      <c r="F12" s="8"/>
      <c r="G12" s="8"/>
      <c r="H12" s="8"/>
      <c r="I12" s="9"/>
      <c r="J12" s="9"/>
      <c r="K12" s="8"/>
      <c r="L12" s="8"/>
      <c r="M12" s="8"/>
      <c r="N12" s="8"/>
      <c r="O12" s="8"/>
      <c r="P12" s="8"/>
      <c r="Q12" s="12" t="str">
        <f aca="false">IF(J12="",Q11,IF(Q11="",J12,Q11+J12))</f>
        <v/>
      </c>
      <c r="R12" s="5"/>
    </row>
    <row r="13" customFormat="false" ht="24" hidden="false" customHeight="true" outlineLevel="0" collapsed="false">
      <c r="A13" s="7" t="n">
        <v>7</v>
      </c>
      <c r="B13" s="8"/>
      <c r="C13" s="8"/>
      <c r="D13" s="5"/>
      <c r="E13" s="8"/>
      <c r="F13" s="8"/>
      <c r="G13" s="8"/>
      <c r="H13" s="8"/>
      <c r="I13" s="9"/>
      <c r="J13" s="9"/>
      <c r="K13" s="8"/>
      <c r="L13" s="8"/>
      <c r="M13" s="8"/>
      <c r="N13" s="8"/>
      <c r="O13" s="8"/>
      <c r="P13" s="8"/>
      <c r="Q13" s="10" t="str">
        <f aca="false">IF(J13="",Q12,IF(Q12="",J13,Q12+J13))</f>
        <v/>
      </c>
      <c r="R13" s="5"/>
    </row>
    <row r="14" customFormat="false" ht="24" hidden="false" customHeight="true" outlineLevel="0" collapsed="false">
      <c r="A14" s="11" t="n">
        <v>8</v>
      </c>
      <c r="B14" s="8"/>
      <c r="C14" s="8"/>
      <c r="D14" s="5"/>
      <c r="E14" s="8"/>
      <c r="F14" s="8"/>
      <c r="G14" s="8"/>
      <c r="H14" s="8"/>
      <c r="I14" s="9"/>
      <c r="J14" s="9"/>
      <c r="K14" s="8"/>
      <c r="L14" s="8"/>
      <c r="M14" s="8"/>
      <c r="N14" s="8"/>
      <c r="O14" s="8"/>
      <c r="P14" s="8"/>
      <c r="Q14" s="12" t="str">
        <f aca="false">IF(J14="",Q13,IF(Q13="",J14,Q13+J14))</f>
        <v/>
      </c>
      <c r="R14" s="5"/>
    </row>
    <row r="15" customFormat="false" ht="24" hidden="false" customHeight="true" outlineLevel="0" collapsed="false">
      <c r="A15" s="7" t="n">
        <v>9</v>
      </c>
      <c r="B15" s="8"/>
      <c r="C15" s="8"/>
      <c r="D15" s="5"/>
      <c r="E15" s="8"/>
      <c r="F15" s="8"/>
      <c r="G15" s="8"/>
      <c r="H15" s="8"/>
      <c r="I15" s="9"/>
      <c r="J15" s="9"/>
      <c r="K15" s="8"/>
      <c r="L15" s="8"/>
      <c r="M15" s="8"/>
      <c r="N15" s="8"/>
      <c r="O15" s="8"/>
      <c r="P15" s="8"/>
      <c r="Q15" s="10" t="str">
        <f aca="false">IF(J15="",Q14,IF(Q14="",J15,Q14+J15))</f>
        <v/>
      </c>
      <c r="R15" s="5"/>
    </row>
    <row r="16" customFormat="false" ht="24" hidden="false" customHeight="true" outlineLevel="0" collapsed="false">
      <c r="A16" s="11" t="n">
        <v>10</v>
      </c>
      <c r="B16" s="8"/>
      <c r="C16" s="8"/>
      <c r="D16" s="5"/>
      <c r="E16" s="8"/>
      <c r="F16" s="8"/>
      <c r="G16" s="8"/>
      <c r="H16" s="8"/>
      <c r="I16" s="9"/>
      <c r="J16" s="9"/>
      <c r="K16" s="8"/>
      <c r="L16" s="8"/>
      <c r="M16" s="8"/>
      <c r="N16" s="8"/>
      <c r="O16" s="8"/>
      <c r="P16" s="8"/>
      <c r="Q16" s="12" t="str">
        <f aca="false">IF(J16="",Q15,IF(Q15="",J16,Q15+J16))</f>
        <v/>
      </c>
      <c r="R16" s="5"/>
    </row>
    <row r="17" customFormat="false" ht="24" hidden="false" customHeight="true" outlineLevel="0" collapsed="false">
      <c r="A17" s="7" t="n">
        <v>11</v>
      </c>
      <c r="B17" s="8"/>
      <c r="C17" s="8"/>
      <c r="D17" s="5"/>
      <c r="E17" s="8"/>
      <c r="F17" s="8"/>
      <c r="G17" s="8"/>
      <c r="H17" s="8"/>
      <c r="I17" s="9"/>
      <c r="J17" s="9"/>
      <c r="K17" s="8"/>
      <c r="L17" s="8"/>
      <c r="M17" s="8"/>
      <c r="N17" s="8"/>
      <c r="O17" s="8"/>
      <c r="P17" s="8"/>
      <c r="Q17" s="10" t="str">
        <f aca="false">IF(J17="",Q16,IF(Q16="",J17,Q16+J17))</f>
        <v/>
      </c>
      <c r="R17" s="5"/>
    </row>
    <row r="18" customFormat="false" ht="24" hidden="false" customHeight="true" outlineLevel="0" collapsed="false">
      <c r="A18" s="11" t="n">
        <v>12</v>
      </c>
      <c r="B18" s="8"/>
      <c r="C18" s="8"/>
      <c r="D18" s="5"/>
      <c r="E18" s="8"/>
      <c r="F18" s="8"/>
      <c r="G18" s="8"/>
      <c r="H18" s="8"/>
      <c r="I18" s="9"/>
      <c r="J18" s="9"/>
      <c r="K18" s="8"/>
      <c r="L18" s="8"/>
      <c r="M18" s="8"/>
      <c r="N18" s="8"/>
      <c r="O18" s="8"/>
      <c r="P18" s="8"/>
      <c r="Q18" s="12" t="str">
        <f aca="false">IF(J18="",Q17,IF(Q17="",J18,Q17+J18))</f>
        <v/>
      </c>
      <c r="R18" s="5"/>
    </row>
    <row r="19" customFormat="false" ht="24" hidden="false" customHeight="true" outlineLevel="0" collapsed="false">
      <c r="A19" s="7" t="n">
        <v>13</v>
      </c>
      <c r="B19" s="8"/>
      <c r="C19" s="8"/>
      <c r="D19" s="5"/>
      <c r="E19" s="8"/>
      <c r="F19" s="8"/>
      <c r="G19" s="8"/>
      <c r="H19" s="8"/>
      <c r="I19" s="9"/>
      <c r="J19" s="9"/>
      <c r="K19" s="8"/>
      <c r="L19" s="8"/>
      <c r="M19" s="8"/>
      <c r="N19" s="8"/>
      <c r="O19" s="8"/>
      <c r="P19" s="8"/>
      <c r="Q19" s="10" t="str">
        <f aca="false">IF(J19="",Q18,IF(Q18="",J19,Q18+J19))</f>
        <v/>
      </c>
      <c r="R19" s="5"/>
    </row>
    <row r="20" customFormat="false" ht="24" hidden="false" customHeight="true" outlineLevel="0" collapsed="false">
      <c r="A20" s="11" t="n">
        <v>14</v>
      </c>
      <c r="B20" s="8"/>
      <c r="C20" s="8"/>
      <c r="D20" s="5"/>
      <c r="E20" s="8"/>
      <c r="F20" s="8"/>
      <c r="G20" s="8"/>
      <c r="H20" s="8"/>
      <c r="I20" s="9"/>
      <c r="J20" s="9"/>
      <c r="K20" s="8"/>
      <c r="L20" s="8"/>
      <c r="M20" s="8"/>
      <c r="N20" s="8"/>
      <c r="O20" s="8"/>
      <c r="P20" s="8"/>
      <c r="Q20" s="12" t="str">
        <f aca="false">IF(J20="",Q19,IF(Q19="",J20,Q19+J20))</f>
        <v/>
      </c>
      <c r="R20" s="5"/>
    </row>
    <row r="21" customFormat="false" ht="24" hidden="false" customHeight="true" outlineLevel="0" collapsed="false">
      <c r="A21" s="7" t="n">
        <v>15</v>
      </c>
      <c r="B21" s="8"/>
      <c r="C21" s="8"/>
      <c r="D21" s="5"/>
      <c r="E21" s="8"/>
      <c r="F21" s="8"/>
      <c r="G21" s="8"/>
      <c r="H21" s="8"/>
      <c r="I21" s="9"/>
      <c r="J21" s="9"/>
      <c r="K21" s="8"/>
      <c r="L21" s="8"/>
      <c r="M21" s="8"/>
      <c r="N21" s="8"/>
      <c r="O21" s="8"/>
      <c r="P21" s="8"/>
      <c r="Q21" s="10" t="str">
        <f aca="false">IF(J21="",Q20,IF(Q20="",J21,Q20+J21))</f>
        <v/>
      </c>
      <c r="R21" s="5"/>
    </row>
    <row r="22" customFormat="false" ht="24" hidden="false" customHeight="true" outlineLevel="0" collapsed="false">
      <c r="A22" s="11" t="n">
        <v>16</v>
      </c>
      <c r="B22" s="8"/>
      <c r="C22" s="8"/>
      <c r="D22" s="5"/>
      <c r="E22" s="8"/>
      <c r="F22" s="8"/>
      <c r="G22" s="8"/>
      <c r="H22" s="8"/>
      <c r="I22" s="9"/>
      <c r="J22" s="9"/>
      <c r="K22" s="8"/>
      <c r="L22" s="8"/>
      <c r="M22" s="8"/>
      <c r="N22" s="8"/>
      <c r="O22" s="8"/>
      <c r="P22" s="8"/>
      <c r="Q22" s="12" t="str">
        <f aca="false">IF(J22="",Q21,IF(Q21="",J22,Q21+J22))</f>
        <v/>
      </c>
      <c r="R22" s="5"/>
    </row>
    <row r="23" customFormat="false" ht="24" hidden="false" customHeight="true" outlineLevel="0" collapsed="false">
      <c r="A23" s="7" t="n">
        <v>17</v>
      </c>
      <c r="B23" s="8"/>
      <c r="C23" s="8"/>
      <c r="D23" s="5"/>
      <c r="E23" s="8"/>
      <c r="F23" s="8"/>
      <c r="G23" s="8"/>
      <c r="H23" s="8"/>
      <c r="I23" s="9"/>
      <c r="J23" s="9"/>
      <c r="K23" s="8"/>
      <c r="L23" s="8"/>
      <c r="M23" s="8"/>
      <c r="N23" s="8"/>
      <c r="O23" s="8"/>
      <c r="P23" s="8"/>
      <c r="Q23" s="10" t="str">
        <f aca="false">IF(J23="",Q22,IF(Q22="",J23,Q22+J23))</f>
        <v/>
      </c>
      <c r="R23" s="5"/>
    </row>
    <row r="24" customFormat="false" ht="24" hidden="false" customHeight="true" outlineLevel="0" collapsed="false">
      <c r="A24" s="11" t="n">
        <v>18</v>
      </c>
      <c r="B24" s="8"/>
      <c r="C24" s="8"/>
      <c r="D24" s="5"/>
      <c r="E24" s="8"/>
      <c r="F24" s="8"/>
      <c r="G24" s="8"/>
      <c r="H24" s="8"/>
      <c r="I24" s="9"/>
      <c r="J24" s="9"/>
      <c r="K24" s="8"/>
      <c r="L24" s="8"/>
      <c r="M24" s="8"/>
      <c r="N24" s="8"/>
      <c r="O24" s="8"/>
      <c r="P24" s="8"/>
      <c r="Q24" s="12" t="str">
        <f aca="false">IF(J24="",Q23,IF(Q23="",J24,Q23+J24))</f>
        <v/>
      </c>
      <c r="R24" s="5"/>
    </row>
    <row r="25" customFormat="false" ht="24" hidden="false" customHeight="true" outlineLevel="0" collapsed="false">
      <c r="A25" s="7" t="n">
        <v>19</v>
      </c>
      <c r="B25" s="8"/>
      <c r="C25" s="8"/>
      <c r="D25" s="5"/>
      <c r="E25" s="8"/>
      <c r="F25" s="8"/>
      <c r="G25" s="8"/>
      <c r="H25" s="8"/>
      <c r="I25" s="9"/>
      <c r="J25" s="9"/>
      <c r="K25" s="8"/>
      <c r="L25" s="8"/>
      <c r="M25" s="8"/>
      <c r="N25" s="8"/>
      <c r="O25" s="8"/>
      <c r="P25" s="8"/>
      <c r="Q25" s="10" t="str">
        <f aca="false">IF(J25="",Q24,IF(Q24="",J25,Q24+J25))</f>
        <v/>
      </c>
      <c r="R25" s="5"/>
    </row>
    <row r="26" customFormat="false" ht="24" hidden="false" customHeight="true" outlineLevel="0" collapsed="false">
      <c r="A26" s="11" t="n">
        <v>20</v>
      </c>
      <c r="B26" s="8"/>
      <c r="C26" s="8"/>
      <c r="D26" s="5"/>
      <c r="E26" s="8"/>
      <c r="F26" s="8"/>
      <c r="G26" s="8"/>
      <c r="H26" s="8"/>
      <c r="I26" s="9"/>
      <c r="J26" s="9"/>
      <c r="K26" s="8"/>
      <c r="L26" s="8"/>
      <c r="M26" s="8"/>
      <c r="N26" s="8"/>
      <c r="O26" s="8"/>
      <c r="P26" s="8"/>
      <c r="Q26" s="12" t="str">
        <f aca="false">IF(J26="",Q25,IF(Q25="",J26,Q25+J26))</f>
        <v/>
      </c>
      <c r="R26" s="5"/>
    </row>
    <row r="27" customFormat="false" ht="24" hidden="false" customHeight="true" outlineLevel="0" collapsed="false">
      <c r="A27" s="7" t="n">
        <v>21</v>
      </c>
      <c r="B27" s="8"/>
      <c r="C27" s="8"/>
      <c r="D27" s="5"/>
      <c r="E27" s="8"/>
      <c r="F27" s="8"/>
      <c r="G27" s="8"/>
      <c r="H27" s="8"/>
      <c r="I27" s="9"/>
      <c r="J27" s="9"/>
      <c r="K27" s="8"/>
      <c r="L27" s="8"/>
      <c r="M27" s="8"/>
      <c r="N27" s="8"/>
      <c r="O27" s="8"/>
      <c r="P27" s="8"/>
      <c r="Q27" s="10" t="str">
        <f aca="false">IF(J27="",Q26,IF(Q26="",J27,Q26+J27))</f>
        <v/>
      </c>
      <c r="R27" s="5"/>
    </row>
    <row r="28" customFormat="false" ht="24" hidden="false" customHeight="true" outlineLevel="0" collapsed="false">
      <c r="A28" s="11" t="n">
        <v>22</v>
      </c>
      <c r="B28" s="8"/>
      <c r="C28" s="8"/>
      <c r="D28" s="5"/>
      <c r="E28" s="8"/>
      <c r="F28" s="8"/>
      <c r="G28" s="8"/>
      <c r="H28" s="8"/>
      <c r="I28" s="9"/>
      <c r="J28" s="9"/>
      <c r="K28" s="8"/>
      <c r="L28" s="8"/>
      <c r="M28" s="8"/>
      <c r="N28" s="8"/>
      <c r="O28" s="8"/>
      <c r="P28" s="8"/>
      <c r="Q28" s="12" t="str">
        <f aca="false">IF(J28="",Q27,IF(Q27="",J28,Q27+J28))</f>
        <v/>
      </c>
      <c r="R28" s="5"/>
    </row>
    <row r="29" customFormat="false" ht="24" hidden="false" customHeight="true" outlineLevel="0" collapsed="false">
      <c r="A29" s="7" t="n">
        <v>23</v>
      </c>
      <c r="B29" s="8"/>
      <c r="C29" s="8"/>
      <c r="D29" s="5"/>
      <c r="E29" s="8"/>
      <c r="F29" s="8"/>
      <c r="G29" s="8"/>
      <c r="H29" s="8"/>
      <c r="I29" s="9"/>
      <c r="J29" s="9"/>
      <c r="K29" s="8"/>
      <c r="L29" s="8"/>
      <c r="M29" s="8"/>
      <c r="N29" s="8"/>
      <c r="O29" s="8"/>
      <c r="P29" s="8"/>
      <c r="Q29" s="10" t="str">
        <f aca="false">IF(J29="",Q28,IF(Q28="",J29,Q28+J29))</f>
        <v/>
      </c>
      <c r="R29" s="5"/>
    </row>
    <row r="30" customFormat="false" ht="24" hidden="false" customHeight="true" outlineLevel="0" collapsed="false">
      <c r="A30" s="11" t="n">
        <v>24</v>
      </c>
      <c r="B30" s="8"/>
      <c r="C30" s="8"/>
      <c r="D30" s="5"/>
      <c r="E30" s="8"/>
      <c r="F30" s="8"/>
      <c r="G30" s="8"/>
      <c r="H30" s="8"/>
      <c r="I30" s="9"/>
      <c r="J30" s="9"/>
      <c r="K30" s="8"/>
      <c r="L30" s="8"/>
      <c r="M30" s="8"/>
      <c r="N30" s="8"/>
      <c r="O30" s="8"/>
      <c r="P30" s="8"/>
      <c r="Q30" s="12" t="str">
        <f aca="false">IF(J30="",Q29,IF(Q29="",J30,Q29+J30))</f>
        <v/>
      </c>
      <c r="R30" s="5"/>
    </row>
    <row r="31" customFormat="false" ht="24" hidden="false" customHeight="true" outlineLevel="0" collapsed="false">
      <c r="A31" s="7" t="n">
        <v>25</v>
      </c>
      <c r="B31" s="8"/>
      <c r="C31" s="8"/>
      <c r="D31" s="5"/>
      <c r="E31" s="8"/>
      <c r="F31" s="8"/>
      <c r="G31" s="8"/>
      <c r="H31" s="8"/>
      <c r="I31" s="9"/>
      <c r="J31" s="9"/>
      <c r="K31" s="8"/>
      <c r="L31" s="8"/>
      <c r="M31" s="8"/>
      <c r="N31" s="8"/>
      <c r="O31" s="8"/>
      <c r="P31" s="8"/>
      <c r="Q31" s="10" t="str">
        <f aca="false">IF(J31="",Q30,IF(Q30="",J31,Q30+J31))</f>
        <v/>
      </c>
      <c r="R31" s="5"/>
    </row>
    <row r="33" customFormat="false" ht="15" hidden="false" customHeight="true" outlineLevel="0" collapsed="false">
      <c r="A33" s="13" t="s">
        <v>25</v>
      </c>
      <c r="B33" s="13"/>
      <c r="C33" s="13"/>
      <c r="D33" s="13"/>
    </row>
    <row r="34" customFormat="false" ht="15" hidden="false" customHeight="true" outlineLevel="0" collapsed="false">
      <c r="A34" s="4" t="s">
        <v>26</v>
      </c>
      <c r="B34" s="4"/>
      <c r="C34" s="4"/>
      <c r="D34" s="14" t="n">
        <f aca="false">COUNTA(B7:B31)</f>
        <v>0</v>
      </c>
    </row>
    <row r="35" customFormat="false" ht="15" hidden="false" customHeight="true" outlineLevel="0" collapsed="false">
      <c r="A35" s="4" t="s">
        <v>27</v>
      </c>
      <c r="B35" s="4"/>
      <c r="C35" s="4"/>
      <c r="D35" s="15" t="n">
        <f aca="false">SUM(I7:I31)</f>
        <v>0</v>
      </c>
    </row>
    <row r="36" customFormat="false" ht="15" hidden="false" customHeight="true" outlineLevel="0" collapsed="false">
      <c r="A36" s="4" t="s">
        <v>28</v>
      </c>
      <c r="B36" s="4"/>
      <c r="C36" s="4"/>
      <c r="D36" s="15" t="n">
        <f aca="false">SUM(J7:J31)</f>
        <v>0</v>
      </c>
    </row>
    <row r="37" customFormat="false" ht="15" hidden="false" customHeight="true" outlineLevel="0" collapsed="false">
      <c r="A37" s="4" t="s">
        <v>29</v>
      </c>
      <c r="B37" s="4"/>
      <c r="C37" s="4"/>
      <c r="D37" s="14" t="n">
        <f aca="false">COUNTIF(L7:L31,"Agreed")</f>
        <v>0</v>
      </c>
    </row>
    <row r="38" customFormat="false" ht="15" hidden="false" customHeight="true" outlineLevel="0" collapsed="false">
      <c r="A38" s="4" t="s">
        <v>30</v>
      </c>
      <c r="B38" s="4"/>
      <c r="C38" s="4"/>
      <c r="D38" s="14" t="n">
        <f aca="false">COUNTIF(L7:L31,"Under Review")</f>
        <v>0</v>
      </c>
    </row>
    <row r="39" customFormat="false" ht="15" hidden="false" customHeight="true" outlineLevel="0" collapsed="false">
      <c r="A39" s="4" t="s">
        <v>31</v>
      </c>
      <c r="B39" s="4"/>
      <c r="C39" s="4"/>
      <c r="D39" s="14" t="n">
        <f aca="false">COUNTIF(L7:L31,"Rejected")</f>
        <v>0</v>
      </c>
    </row>
    <row r="40" customFormat="false" ht="15" hidden="false" customHeight="true" outlineLevel="0" collapsed="false">
      <c r="A40" s="4" t="s">
        <v>32</v>
      </c>
      <c r="B40" s="4"/>
      <c r="C40" s="4"/>
      <c r="D40" s="14" t="n">
        <f aca="false">COUNTIF(O7:O31,"No")</f>
        <v>0</v>
      </c>
    </row>
    <row r="41" customFormat="false" ht="15" hidden="false" customHeight="true" outlineLevel="0" collapsed="false">
      <c r="A41" s="4" t="s">
        <v>33</v>
      </c>
      <c r="B41" s="4"/>
      <c r="C41" s="4"/>
      <c r="D41" s="14" t="n">
        <f aca="false">SUM(K7:K31)</f>
        <v>0</v>
      </c>
    </row>
  </sheetData>
  <autoFilter ref="A6:R31"/>
  <mergeCells count="16">
    <mergeCell ref="A1:R1"/>
    <mergeCell ref="A2:R2"/>
    <mergeCell ref="A3:R3"/>
    <mergeCell ref="B4:D4"/>
    <mergeCell ref="F4:G4"/>
    <mergeCell ref="H4:I4"/>
    <mergeCell ref="J4:L4"/>
    <mergeCell ref="A33:D33"/>
    <mergeCell ref="A34:C34"/>
    <mergeCell ref="A35:C35"/>
    <mergeCell ref="A36:C36"/>
    <mergeCell ref="A37:C37"/>
    <mergeCell ref="A38:C38"/>
    <mergeCell ref="A39:C39"/>
    <mergeCell ref="A40:C40"/>
    <mergeCell ref="A41:C41"/>
  </mergeCells>
  <conditionalFormatting sqref="L7:L31">
    <cfRule type="cellIs" priority="2" operator="equal" aboveAverage="0" equalAverage="0" bottom="0" percent="0" rank="0" text="" dxfId="6">
      <formula>"Agreed"</formula>
    </cfRule>
    <cfRule type="cellIs" priority="3" operator="equal" aboveAverage="0" equalAverage="0" bottom="0" percent="0" rank="0" text="" dxfId="7">
      <formula>"Under Review"</formula>
    </cfRule>
    <cfRule type="cellIs" priority="4" operator="equal" aboveAverage="0" equalAverage="0" bottom="0" percent="0" rank="0" text="" dxfId="8">
      <formula>"Rejected"</formula>
    </cfRule>
    <cfRule type="cellIs" priority="5" operator="equal" aboveAverage="0" equalAverage="0" bottom="0" percent="0" rank="0" text="" dxfId="9">
      <formula>"Notified"</formula>
    </cfRule>
  </conditionalFormatting>
  <dataValidations count="3">
    <dataValidation allowBlank="true" errorStyle="stop" operator="between" showDropDown="false" showErrorMessage="false" showInputMessage="false" sqref="E7:E31" type="list">
      <formula1>"Client,Contractor,Designer,Third Party"</formula1>
      <formula2>0</formula2>
    </dataValidation>
    <dataValidation allowBlank="true" errorStyle="stop" operator="between" showDropDown="false" showErrorMessage="false" showInputMessage="false" sqref="L7:L31" type="list">
      <formula1>"Notified,Quotation Submitted,Under Review,Agreed,Rejected,Withdrawn"</formula1>
      <formula2>0</formula2>
    </dataValidation>
    <dataValidation allowBlank="true" errorStyle="stop" operator="between" showDropDown="false" showErrorMessage="false" showInputMessage="false" sqref="O7:O31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80"/>
  </cols>
  <sheetData>
    <row r="1" customFormat="false" ht="15" hidden="false" customHeight="true" outlineLevel="0" collapsed="false">
      <c r="A1" s="1" t="s">
        <v>0</v>
      </c>
      <c r="B1" s="1"/>
    </row>
    <row r="2" customFormat="false" ht="27.75" hidden="false" customHeight="true" outlineLevel="0" collapsed="false">
      <c r="A2" s="2" t="s">
        <v>34</v>
      </c>
      <c r="B2" s="2"/>
    </row>
    <row r="4" customFormat="false" ht="15" hidden="false" customHeight="false" outlineLevel="0" collapsed="false">
      <c r="B4" s="13" t="s">
        <v>35</v>
      </c>
    </row>
    <row r="5" customFormat="false" ht="15" hidden="false" customHeight="false" outlineLevel="0" collapsed="false">
      <c r="B5" s="16"/>
    </row>
    <row r="6" customFormat="false" ht="15" hidden="false" customHeight="false" outlineLevel="0" collapsed="false">
      <c r="B6" s="16" t="s">
        <v>36</v>
      </c>
    </row>
    <row r="7" customFormat="false" ht="15" hidden="false" customHeight="false" outlineLevel="0" collapsed="false">
      <c r="B7" s="16" t="s">
        <v>37</v>
      </c>
    </row>
    <row r="8" customFormat="false" ht="15" hidden="false" customHeight="false" outlineLevel="0" collapsed="false">
      <c r="B8" s="16" t="s">
        <v>38</v>
      </c>
    </row>
    <row r="9" customFormat="false" ht="15" hidden="false" customHeight="false" outlineLevel="0" collapsed="false">
      <c r="B9" s="16" t="s">
        <v>39</v>
      </c>
    </row>
    <row r="10" customFormat="false" ht="15" hidden="false" customHeight="false" outlineLevel="0" collapsed="false">
      <c r="B10" s="16" t="s">
        <v>40</v>
      </c>
    </row>
    <row r="11" customFormat="false" ht="15" hidden="false" customHeight="false" outlineLevel="0" collapsed="false">
      <c r="B11" s="16" t="s">
        <v>41</v>
      </c>
    </row>
    <row r="12" customFormat="false" ht="15" hidden="false" customHeight="false" outlineLevel="0" collapsed="false">
      <c r="B12" s="16" t="s">
        <v>42</v>
      </c>
    </row>
    <row r="13" customFormat="false" ht="15" hidden="false" customHeight="false" outlineLevel="0" collapsed="false">
      <c r="B13" s="16" t="s">
        <v>43</v>
      </c>
    </row>
    <row r="14" customFormat="false" ht="15" hidden="false" customHeight="false" outlineLevel="0" collapsed="false">
      <c r="B14" s="16"/>
    </row>
    <row r="15" customFormat="false" ht="15" hidden="false" customHeight="false" outlineLevel="0" collapsed="false">
      <c r="B15" s="13" t="s">
        <v>44</v>
      </c>
    </row>
    <row r="16" customFormat="false" ht="15" hidden="false" customHeight="false" outlineLevel="0" collapsed="false">
      <c r="B16" s="16" t="s">
        <v>45</v>
      </c>
    </row>
    <row r="17" customFormat="false" ht="15" hidden="false" customHeight="false" outlineLevel="0" collapsed="false">
      <c r="B17" s="16" t="s">
        <v>46</v>
      </c>
    </row>
    <row r="18" customFormat="false" ht="15" hidden="false" customHeight="false" outlineLevel="0" collapsed="false">
      <c r="B18" s="16"/>
    </row>
    <row r="19" customFormat="false" ht="15" hidden="false" customHeight="false" outlineLevel="0" collapsed="false">
      <c r="B19" s="13" t="s">
        <v>47</v>
      </c>
    </row>
    <row r="20" customFormat="false" ht="15" hidden="false" customHeight="false" outlineLevel="0" collapsed="false">
      <c r="B20" s="3" t="s">
        <v>48</v>
      </c>
    </row>
    <row r="21" customFormat="false" ht="15" hidden="false" customHeight="false" outlineLevel="0" collapsed="false">
      <c r="B21" s="3" t="s">
        <v>49</v>
      </c>
    </row>
    <row r="22" customFormat="false" ht="15" hidden="false" customHeight="false" outlineLevel="0" collapsed="false">
      <c r="B22" s="3" t="s">
        <v>50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2026-03-27T17:04:13Z</dcterms:created>
  <dc:creator>openpyxl</dc:creator>
  <dc:description/>
  <dc:language>en-US</dc:language>
  <cp:lastModifiedBy/>
  <dcterms:modified xsi:type="dcterms:W3CDTF">2026-03-27T17:04:13Z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