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OH Referral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'OH Referral Log'!$A$1:$L$57</definedName>
    <definedName function="false" hidden="true" localSheetId="2" name="_xlnm._FilterDatabase" vbProcedure="false">'OH Referral Log'!$A$7:$L$507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<sst xmlns="http://schemas.openxmlformats.org/spreadsheetml/2006/main" count="99" uniqueCount="90">
  <si>
    <t xml:space="preserve">EBRORA</t>
  </si>
  <si>
    <t xml:space="preserve">ebrora.com</t>
  </si>
  <si>
    <t xml:space="preserve">Occupational Health Referral Log</t>
  </si>
  <si>
    <t xml:space="preserve">Track occupational health referrals, assessments, and outcomes for site personnel.</t>
  </si>
  <si>
    <t xml:space="preserve">Pipeline tracker from referral to clearance with auto-calculated response times.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</si>
  <si>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</si>
  <si>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</si>
  <si>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</si>
  <si>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</si>
  <si>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</si>
  <si>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'OH Referral Log' sheet. The dashboard shows referral counts by status and average response time.</t>
  </si>
  <si>
    <t xml:space="preserve">2.</t>
  </si>
  <si>
    <t xml:space="preserve">Log each referral with the employee name, referral date, reason, and referring manager. Select the referral type from the dropdown.</t>
  </si>
  <si>
    <t xml:space="preserve">3.</t>
  </si>
  <si>
    <t xml:space="preserve">Track the referral through its stages: Referred → Assessment Booked → Assessment Complete → Outcome Received → Closed.</t>
  </si>
  <si>
    <t xml:space="preserve">4.</t>
  </si>
  <si>
    <t xml:space="preserve">The Days Since Referral column auto-calculates. Referrals open &gt;14 days turn amber, &gt;28 days turn red.</t>
  </si>
  <si>
    <t xml:space="preserve">5.</t>
  </si>
  <si>
    <t xml:space="preserve">Record the OH provider's outcome and any workplace adjustments recommended in the optional columns.</t>
  </si>
  <si>
    <t xml:space="preserve">6.</t>
  </si>
  <si>
    <t xml:space="preserve">The Fit for Work column tracks whether the operative has been cleared, restricted, or is unfit.</t>
  </si>
  <si>
    <t xml:space="preserve">7.</t>
  </si>
  <si>
    <t xml:space="preserve">This log supports your duty of care obligations and provides evidence for any related absence management.</t>
  </si>
  <si>
    <t xml:space="preserve">Colour Key</t>
  </si>
  <si>
    <t xml:space="preserve">Light teal — user input</t>
  </si>
  <si>
    <t xml:space="preserve">  </t>
  </si>
  <si>
    <t xml:space="preserve">Dark navy — headers</t>
  </si>
  <si>
    <t xml:space="preserve">Green — cleared / closed</t>
  </si>
  <si>
    <t xml:space="preserve">Amber — in progress / restricted duties</t>
  </si>
  <si>
    <t xml:space="preserve">Red — unfit / overdue referral</t>
  </si>
  <si>
    <t xml:space="preserve">Tips</t>
  </si>
  <si>
    <t xml:space="preserve">•</t>
  </si>
  <si>
    <t xml:space="preserve">Refer early — don't wait for prolonged absence. Early intervention leads to better outcomes.</t>
  </si>
  <si>
    <t xml:space="preserve">Night workers are entitled to free health assessments before starting night work and at regular intervals.</t>
  </si>
  <si>
    <t xml:space="preserve">Keep OH reports confidential. Only share 'fit/unfit/restrictions' with line managers, not the full medical report.</t>
  </si>
  <si>
    <t xml:space="preserve">OCCUPATIONAL HEALTH REFERRAL LOG</t>
  </si>
  <si>
    <t xml:space="preserve">Referral Status</t>
  </si>
  <si>
    <t xml:space="preserve">Open</t>
  </si>
  <si>
    <t xml:space="preserve">Assessment Booked</t>
  </si>
  <si>
    <t xml:space="preserve">Outcome Received</t>
  </si>
  <si>
    <t xml:space="preserve">Closed</t>
  </si>
  <si>
    <t xml:space="preserve">Ref</t>
  </si>
  <si>
    <t xml:space="preserve">Employee</t>
  </si>
  <si>
    <t xml:space="preserve">Role</t>
  </si>
  <si>
    <t xml:space="preserve">Referral Date</t>
  </si>
  <si>
    <t xml:space="preserve">Reason</t>
  </si>
  <si>
    <t xml:space="preserve">Type</t>
  </si>
  <si>
    <t xml:space="preserve">Status</t>
  </si>
  <si>
    <t xml:space="preserve">Fit for Work</t>
  </si>
  <si>
    <t xml:space="preserve">Days Open</t>
  </si>
  <si>
    <t xml:space="preserve">OH Provider</t>
  </si>
  <si>
    <t xml:space="preserve">Assessment Date</t>
  </si>
  <si>
    <t xml:space="preserve">Adjustments / Notes</t>
  </si>
  <si>
    <t xml:space="preserve">OH-001</t>
  </si>
  <si>
    <t xml:space="preserve">A. Osei</t>
  </si>
  <si>
    <t xml:space="preserve">Groundworker</t>
  </si>
  <si>
    <t xml:space="preserve">Lower back pain — recurrent. 3 days absence this month.</t>
  </si>
  <si>
    <t xml:space="preserve">Sickness Absence</t>
  </si>
  <si>
    <t xml:space="preserve">Fit with Restrictions</t>
  </si>
  <si>
    <t xml:space="preserve">OccHealth Plus</t>
  </si>
  <si>
    <t xml:space="preserve">No heavy lifting &gt;15kg for 4 weeks. Light duties only.</t>
  </si>
  <si>
    <t xml:space="preserve">OH-002</t>
  </si>
  <si>
    <t xml:space="preserve">R. Nowak</t>
  </si>
  <si>
    <t xml:space="preserve">Labourer</t>
  </si>
  <si>
    <t xml:space="preserve">Night worker health assessment — routine.</t>
  </si>
  <si>
    <t xml:space="preserve">Night Worker Assessment</t>
  </si>
  <si>
    <t xml:space="preserve">Fit</t>
  </si>
  <si>
    <t xml:space="preserve">No issues identified. Next assessment due Feb 2027.</t>
  </si>
  <si>
    <t xml:space="preserve">OH-003</t>
  </si>
  <si>
    <t xml:space="preserve">P. Davies</t>
  </si>
  <si>
    <t xml:space="preserve">Electrician</t>
  </si>
  <si>
    <t xml:space="preserve">Hand-arm vibration — reported tingling in fingers.</t>
  </si>
  <si>
    <t xml:space="preserve">Health Surveillance</t>
  </si>
  <si>
    <t xml:space="preserve">Awaiting Assessment</t>
  </si>
  <si>
    <t xml:space="preserve">HAV tier assessment booked. Reduce vibration exposure pending.</t>
  </si>
  <si>
    <t xml:space="preserve">OH-004</t>
  </si>
  <si>
    <t xml:space="preserve">S. Murphy</t>
  </si>
  <si>
    <t xml:space="preserve">Scaffolder</t>
  </si>
  <si>
    <t xml:space="preserve">Knee injury — twisted on uneven ground. Reported to first aider.</t>
  </si>
  <si>
    <t xml:space="preserve">Injury</t>
  </si>
  <si>
    <t xml:space="preserve">Referred for physiotherapy assessment.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</si>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</sst>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5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true" outlineLevel="1" max="12" min="10" style="0" width="16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15" hidden="false" customHeight="true" outlineLevel="0" collapsed="false">
      <c r="A2" s="22" t="s">
        <v>36</v>
      </c>
      <c r="B2" s="22"/>
      <c r="C2" s="22"/>
    </row>
    <row r="3" customFormat="false" ht="15" hidden="false" customHeight="false" outlineLevel="0" collapsed="false">
      <c r="A3" s="23" t="s">
        <v>37</v>
      </c>
      <c r="B3" s="23"/>
      <c r="C3" s="24" t="n">
        <f aca="false">COUNTIF(G8:G507,A3)</f>
        <v>1</v>
      </c>
    </row>
    <row r="4" customFormat="false" ht="15" hidden="false" customHeight="false" outlineLevel="0" collapsed="false">
      <c r="A4" s="23" t="s">
        <v>38</v>
      </c>
      <c r="B4" s="23"/>
      <c r="C4" s="24" t="n">
        <f aca="false">COUNTIF(G8:G507,A4)</f>
        <v>1</v>
      </c>
    </row>
    <row r="5" customFormat="false" ht="15" hidden="false" customHeight="false" outlineLevel="0" collapsed="false">
      <c r="A5" s="23" t="s">
        <v>39</v>
      </c>
      <c r="B5" s="23"/>
      <c r="C5" s="24" t="n">
        <f aca="false">COUNTIF(G8:G507,A5)</f>
        <v>1</v>
      </c>
    </row>
    <row r="6" customFormat="false" ht="15" hidden="false" customHeight="false" outlineLevel="0" collapsed="false">
      <c r="A6" s="23" t="s">
        <v>40</v>
      </c>
      <c r="B6" s="23"/>
      <c r="C6" s="24" t="n">
        <f aca="false">COUNTIF(G8:G507,A6)</f>
        <v>1</v>
      </c>
    </row>
    <row r="7" customFormat="false" ht="3.75" hidden="false" customHeight="true" outlineLevel="0" collapsed="false">
      <c r="A7" s="25" t="s">
        <v>41</v>
      </c>
      <c r="B7" s="25" t="s">
        <v>42</v>
      </c>
      <c r="C7" s="25" t="s">
        <v>43</v>
      </c>
      <c r="D7" s="25" t="s">
        <v>44</v>
      </c>
      <c r="E7" s="25" t="s">
        <v>45</v>
      </c>
      <c r="F7" s="25" t="s">
        <v>46</v>
      </c>
      <c r="G7" s="25" t="s">
        <v>47</v>
      </c>
      <c r="H7" s="25" t="s">
        <v>48</v>
      </c>
      <c r="I7" s="25" t="s">
        <v>49</v>
      </c>
      <c r="J7" s="25" t="s">
        <v>50</v>
      </c>
      <c r="K7" s="25" t="s">
        <v>51</v>
      </c>
      <c r="L7" s="25" t="s">
        <v>52</v>
      </c>
    </row>
    <row r="8" customFormat="false" ht="34.5" hidden="false" customHeight="true" outlineLevel="0" collapsed="false">
      <c r="A8" s="26" t="s">
        <v>53</v>
      </c>
      <c r="B8" s="26" t="s">
        <v>54</v>
      </c>
      <c r="C8" s="26" t="s">
        <v>55</v>
      </c>
      <c r="D8" s="27" t="n">
        <v>46063</v>
      </c>
      <c r="E8" s="28" t="s">
        <v>56</v>
      </c>
      <c r="F8" s="26" t="s">
        <v>57</v>
      </c>
      <c r="G8" s="26" t="s">
        <v>39</v>
      </c>
      <c r="H8" s="26" t="s">
        <v>58</v>
      </c>
      <c r="I8" s="29" t="n">
        <f aca="true">IF(D8="","",IF(G8="Closed","Closed",TODAY()-D8))</f>
        <v>41</v>
      </c>
      <c r="J8" s="26" t="s">
        <v>59</v>
      </c>
      <c r="K8" s="27" t="n">
        <v>46071</v>
      </c>
      <c r="L8" s="28" t="s">
        <v>60</v>
      </c>
    </row>
    <row r="9" customFormat="false" ht="34.5" hidden="false" customHeight="true" outlineLevel="0" collapsed="false">
      <c r="A9" s="30" t="s">
        <v>61</v>
      </c>
      <c r="B9" s="30" t="s">
        <v>62</v>
      </c>
      <c r="C9" s="30" t="s">
        <v>63</v>
      </c>
      <c r="D9" s="31" t="n">
        <v>46073</v>
      </c>
      <c r="E9" s="32" t="s">
        <v>64</v>
      </c>
      <c r="F9" s="30" t="s">
        <v>65</v>
      </c>
      <c r="G9" s="30" t="s">
        <v>40</v>
      </c>
      <c r="H9" s="30" t="s">
        <v>66</v>
      </c>
      <c r="I9" s="29" t="str">
        <f aca="true">IF(D9="","",IF(G9="Closed","Closed",TODAY()-D9))</f>
        <v>Closed</v>
      </c>
      <c r="J9" s="30" t="s">
        <v>59</v>
      </c>
      <c r="K9" s="31" t="n">
        <v>46078</v>
      </c>
      <c r="L9" s="32" t="s">
        <v>67</v>
      </c>
    </row>
    <row r="10" customFormat="false" ht="34.5" hidden="false" customHeight="true" outlineLevel="0" collapsed="false">
      <c r="A10" s="26" t="s">
        <v>68</v>
      </c>
      <c r="B10" s="26" t="s">
        <v>69</v>
      </c>
      <c r="C10" s="26" t="s">
        <v>70</v>
      </c>
      <c r="D10" s="27" t="n">
        <v>46086</v>
      </c>
      <c r="E10" s="28" t="s">
        <v>71</v>
      </c>
      <c r="F10" s="26" t="s">
        <v>72</v>
      </c>
      <c r="G10" s="26" t="s">
        <v>38</v>
      </c>
      <c r="H10" s="26" t="s">
        <v>73</v>
      </c>
      <c r="I10" s="29" t="n">
        <f aca="true">IF(D10="","",IF(G10="Closed","Closed",TODAY()-D10))</f>
        <v>18</v>
      </c>
      <c r="J10" s="26" t="s">
        <v>59</v>
      </c>
      <c r="K10" s="27" t="n">
        <v>46101</v>
      </c>
      <c r="L10" s="28" t="s">
        <v>74</v>
      </c>
    </row>
    <row r="11" customFormat="false" ht="34.5" hidden="false" customHeight="true" outlineLevel="0" collapsed="false">
      <c r="A11" s="30" t="s">
        <v>75</v>
      </c>
      <c r="B11" s="30" t="s">
        <v>76</v>
      </c>
      <c r="C11" s="30" t="s">
        <v>77</v>
      </c>
      <c r="D11" s="31" t="n">
        <v>46096</v>
      </c>
      <c r="E11" s="32" t="s">
        <v>78</v>
      </c>
      <c r="F11" s="30" t="s">
        <v>79</v>
      </c>
      <c r="G11" s="30" t="s">
        <v>37</v>
      </c>
      <c r="H11" s="30" t="s">
        <v>73</v>
      </c>
      <c r="I11" s="29" t="n">
        <f aca="true">IF(D11="","",IF(G11="Closed","Closed",TODAY()-D11))</f>
        <v>8</v>
      </c>
      <c r="J11" s="30"/>
      <c r="K11" s="31"/>
      <c r="L11" s="32" t="s">
        <v>80</v>
      </c>
    </row>
    <row r="12" customFormat="false" ht="15" hidden="false" customHeight="false" outlineLevel="0" collapsed="false">
      <c r="A12" s="26"/>
      <c r="B12" s="26"/>
      <c r="C12" s="26"/>
      <c r="D12" s="27"/>
      <c r="E12" s="28"/>
      <c r="F12" s="26"/>
      <c r="G12" s="26"/>
      <c r="H12" s="26"/>
      <c r="I12" s="29" t="str">
        <f aca="true">IF(D12="","",IF(G12="Closed","Closed",TODAY()-D12))</f>
        <v/>
      </c>
      <c r="J12" s="26"/>
      <c r="K12" s="27"/>
      <c r="L12" s="28"/>
    </row>
    <row r="13" customFormat="false" ht="15" hidden="false" customHeight="false" outlineLevel="0" collapsed="false">
      <c r="A13" s="30"/>
      <c r="B13" s="30"/>
      <c r="C13" s="30"/>
      <c r="D13" s="31"/>
      <c r="E13" s="32"/>
      <c r="F13" s="30"/>
      <c r="G13" s="30"/>
      <c r="H13" s="30"/>
      <c r="I13" s="29" t="str">
        <f aca="true">IF(D13="","",IF(G13="Closed","Closed",TODAY()-D13))</f>
        <v/>
      </c>
      <c r="J13" s="30"/>
      <c r="K13" s="31"/>
      <c r="L13" s="32"/>
    </row>
    <row r="14" customFormat="false" ht="15" hidden="false" customHeight="false" outlineLevel="0" collapsed="false">
      <c r="A14" s="26"/>
      <c r="B14" s="26"/>
      <c r="C14" s="26"/>
      <c r="D14" s="27"/>
      <c r="E14" s="28"/>
      <c r="F14" s="26"/>
      <c r="G14" s="26"/>
      <c r="H14" s="26"/>
      <c r="I14" s="29" t="str">
        <f aca="true">IF(D14="","",IF(G14="Closed","Closed",TODAY()-D14))</f>
        <v/>
      </c>
      <c r="J14" s="26"/>
      <c r="K14" s="27"/>
      <c r="L14" s="28"/>
    </row>
    <row r="15" customFormat="false" ht="15" hidden="false" customHeight="false" outlineLevel="0" collapsed="false">
      <c r="A15" s="30"/>
      <c r="B15" s="30"/>
      <c r="C15" s="30"/>
      <c r="D15" s="31"/>
      <c r="E15" s="32"/>
      <c r="F15" s="30"/>
      <c r="G15" s="30"/>
      <c r="H15" s="30"/>
      <c r="I15" s="29" t="str">
        <f aca="true">IF(D15="","",IF(G15="Closed","Closed",TODAY()-D15))</f>
        <v/>
      </c>
      <c r="J15" s="30"/>
      <c r="K15" s="31"/>
      <c r="L15" s="32"/>
    </row>
    <row r="16" customFormat="false" ht="15" hidden="false" customHeight="false" outlineLevel="0" collapsed="false">
      <c r="A16" s="26"/>
      <c r="B16" s="26"/>
      <c r="C16" s="26"/>
      <c r="D16" s="27"/>
      <c r="E16" s="28"/>
      <c r="F16" s="26"/>
      <c r="G16" s="26"/>
      <c r="H16" s="26"/>
      <c r="I16" s="29" t="str">
        <f aca="true">IF(D16="","",IF(G16="Closed","Closed",TODAY()-D16))</f>
        <v/>
      </c>
      <c r="J16" s="26"/>
      <c r="K16" s="27"/>
      <c r="L16" s="28"/>
    </row>
    <row r="17" customFormat="false" ht="15" hidden="false" customHeight="false" outlineLevel="0" collapsed="false">
      <c r="A17" s="30"/>
      <c r="B17" s="30"/>
      <c r="C17" s="30"/>
      <c r="D17" s="31"/>
      <c r="E17" s="32"/>
      <c r="F17" s="30"/>
      <c r="G17" s="30"/>
      <c r="H17" s="30"/>
      <c r="I17" s="29" t="str">
        <f aca="true">IF(D17="","",IF(G17="Closed","Closed",TODAY()-D17))</f>
        <v/>
      </c>
      <c r="J17" s="30"/>
      <c r="K17" s="31"/>
      <c r="L17" s="32"/>
    </row>
    <row r="18" customFormat="false" ht="15" hidden="false" customHeight="false" outlineLevel="0" collapsed="false">
      <c r="A18" s="26"/>
      <c r="B18" s="26"/>
      <c r="C18" s="26"/>
      <c r="D18" s="27"/>
      <c r="E18" s="28"/>
      <c r="F18" s="26"/>
      <c r="G18" s="26"/>
      <c r="H18" s="26"/>
      <c r="I18" s="29" t="str">
        <f aca="true">IF(D18="","",IF(G18="Closed","Closed",TODAY()-D18))</f>
        <v/>
      </c>
      <c r="J18" s="26"/>
      <c r="K18" s="27"/>
      <c r="L18" s="28"/>
    </row>
    <row r="19" customFormat="false" ht="15" hidden="false" customHeight="false" outlineLevel="0" collapsed="false">
      <c r="A19" s="30"/>
      <c r="B19" s="30"/>
      <c r="C19" s="30"/>
      <c r="D19" s="31"/>
      <c r="E19" s="32"/>
      <c r="F19" s="30"/>
      <c r="G19" s="30"/>
      <c r="H19" s="30"/>
      <c r="I19" s="29" t="str">
        <f aca="true">IF(D19="","",IF(G19="Closed","Closed",TODAY()-D19))</f>
        <v/>
      </c>
      <c r="J19" s="30"/>
      <c r="K19" s="31"/>
      <c r="L19" s="32"/>
    </row>
    <row r="20" customFormat="false" ht="15" hidden="false" customHeight="false" outlineLevel="0" collapsed="false">
      <c r="A20" s="26"/>
      <c r="B20" s="26"/>
      <c r="C20" s="26"/>
      <c r="D20" s="27"/>
      <c r="E20" s="28"/>
      <c r="F20" s="26"/>
      <c r="G20" s="26"/>
      <c r="H20" s="26"/>
      <c r="I20" s="29" t="str">
        <f aca="true">IF(D20="","",IF(G20="Closed","Closed",TODAY()-D20))</f>
        <v/>
      </c>
      <c r="J20" s="26"/>
      <c r="K20" s="27"/>
      <c r="L20" s="28"/>
    </row>
    <row r="21" customFormat="false" ht="15" hidden="false" customHeight="false" outlineLevel="0" collapsed="false">
      <c r="A21" s="30"/>
      <c r="B21" s="30"/>
      <c r="C21" s="30"/>
      <c r="D21" s="31"/>
      <c r="E21" s="32"/>
      <c r="F21" s="30"/>
      <c r="G21" s="30"/>
      <c r="H21" s="30"/>
      <c r="I21" s="29" t="str">
        <f aca="true">IF(D21="","",IF(G21="Closed","Closed",TODAY()-D21))</f>
        <v/>
      </c>
      <c r="J21" s="30"/>
      <c r="K21" s="31"/>
      <c r="L21" s="32"/>
    </row>
    <row r="22" customFormat="false" ht="15" hidden="false" customHeight="false" outlineLevel="0" collapsed="false">
      <c r="A22" s="26"/>
      <c r="B22" s="26"/>
      <c r="C22" s="26"/>
      <c r="D22" s="27"/>
      <c r="E22" s="28"/>
      <c r="F22" s="26"/>
      <c r="G22" s="26"/>
      <c r="H22" s="26"/>
      <c r="I22" s="29" t="str">
        <f aca="true">IF(D22="","",IF(G22="Closed","Closed",TODAY()-D22))</f>
        <v/>
      </c>
      <c r="J22" s="26"/>
      <c r="K22" s="27"/>
      <c r="L22" s="28"/>
    </row>
    <row r="23" customFormat="false" ht="15" hidden="false" customHeight="false" outlineLevel="0" collapsed="false">
      <c r="A23" s="30"/>
      <c r="B23" s="30"/>
      <c r="C23" s="30"/>
      <c r="D23" s="31"/>
      <c r="E23" s="32"/>
      <c r="F23" s="30"/>
      <c r="G23" s="30"/>
      <c r="H23" s="30"/>
      <c r="I23" s="29" t="str">
        <f aca="true">IF(D23="","",IF(G23="Closed","Closed",TODAY()-D23))</f>
        <v/>
      </c>
      <c r="J23" s="30"/>
      <c r="K23" s="31"/>
      <c r="L23" s="32"/>
    </row>
    <row r="24" customFormat="false" ht="15" hidden="false" customHeight="false" outlineLevel="0" collapsed="false">
      <c r="A24" s="26"/>
      <c r="B24" s="26"/>
      <c r="C24" s="26"/>
      <c r="D24" s="27"/>
      <c r="E24" s="28"/>
      <c r="F24" s="26"/>
      <c r="G24" s="26"/>
      <c r="H24" s="26"/>
      <c r="I24" s="29" t="str">
        <f aca="true">IF(D24="","",IF(G24="Closed","Closed",TODAY()-D24))</f>
        <v/>
      </c>
      <c r="J24" s="26"/>
      <c r="K24" s="27"/>
      <c r="L24" s="28"/>
    </row>
    <row r="25" customFormat="false" ht="15" hidden="false" customHeight="false" outlineLevel="0" collapsed="false">
      <c r="A25" s="30"/>
      <c r="B25" s="30"/>
      <c r="C25" s="30"/>
      <c r="D25" s="31"/>
      <c r="E25" s="32"/>
      <c r="F25" s="30"/>
      <c r="G25" s="30"/>
      <c r="H25" s="30"/>
      <c r="I25" s="29" t="str">
        <f aca="true">IF(D25="","",IF(G25="Closed","Closed",TODAY()-D25))</f>
        <v/>
      </c>
      <c r="J25" s="30"/>
      <c r="K25" s="31"/>
      <c r="L25" s="32"/>
    </row>
    <row r="26" customFormat="false" ht="15" hidden="false" customHeight="false" outlineLevel="0" collapsed="false">
      <c r="A26" s="26"/>
      <c r="B26" s="26"/>
      <c r="C26" s="26"/>
      <c r="D26" s="27"/>
      <c r="E26" s="28"/>
      <c r="F26" s="26"/>
      <c r="G26" s="26"/>
      <c r="H26" s="26"/>
      <c r="I26" s="29" t="str">
        <f aca="true">IF(D26="","",IF(G26="Closed","Closed",TODAY()-D26))</f>
        <v/>
      </c>
      <c r="J26" s="26"/>
      <c r="K26" s="27"/>
      <c r="L26" s="28"/>
    </row>
    <row r="27" customFormat="false" ht="15" hidden="false" customHeight="false" outlineLevel="0" collapsed="false">
      <c r="A27" s="30"/>
      <c r="B27" s="30"/>
      <c r="C27" s="30"/>
      <c r="D27" s="31"/>
      <c r="E27" s="32"/>
      <c r="F27" s="30"/>
      <c r="G27" s="30"/>
      <c r="H27" s="30"/>
      <c r="I27" s="29" t="str">
        <f aca="true">IF(D27="","",IF(G27="Closed","Closed",TODAY()-D27))</f>
        <v/>
      </c>
      <c r="J27" s="30"/>
      <c r="K27" s="31"/>
      <c r="L27" s="32"/>
    </row>
    <row r="28" customFormat="false" ht="15" hidden="false" customHeight="false" outlineLevel="0" collapsed="false">
      <c r="A28" s="26"/>
      <c r="B28" s="26"/>
      <c r="C28" s="26"/>
      <c r="D28" s="27"/>
      <c r="E28" s="28"/>
      <c r="F28" s="26"/>
      <c r="G28" s="26"/>
      <c r="H28" s="26"/>
      <c r="I28" s="29" t="str">
        <f aca="true">IF(D28="","",IF(G28="Closed","Closed",TODAY()-D28))</f>
        <v/>
      </c>
      <c r="J28" s="26"/>
      <c r="K28" s="27"/>
      <c r="L28" s="28"/>
    </row>
    <row r="29" customFormat="false" ht="15" hidden="false" customHeight="false" outlineLevel="0" collapsed="false">
      <c r="A29" s="30"/>
      <c r="B29" s="30"/>
      <c r="C29" s="30"/>
      <c r="D29" s="31"/>
      <c r="E29" s="32"/>
      <c r="F29" s="30"/>
      <c r="G29" s="30"/>
      <c r="H29" s="30"/>
      <c r="I29" s="29" t="str">
        <f aca="true">IF(D29="","",IF(G29="Closed","Closed",TODAY()-D29))</f>
        <v/>
      </c>
      <c r="J29" s="30"/>
      <c r="K29" s="31"/>
      <c r="L29" s="32"/>
    </row>
    <row r="30" customFormat="false" ht="15" hidden="false" customHeight="false" outlineLevel="0" collapsed="false">
      <c r="A30" s="26"/>
      <c r="B30" s="26"/>
      <c r="C30" s="26"/>
      <c r="D30" s="27"/>
      <c r="E30" s="28"/>
      <c r="F30" s="26"/>
      <c r="G30" s="26"/>
      <c r="H30" s="26"/>
      <c r="I30" s="29" t="str">
        <f aca="true">IF(D30="","",IF(G30="Closed","Closed",TODAY()-D30))</f>
        <v/>
      </c>
      <c r="J30" s="26"/>
      <c r="K30" s="27"/>
      <c r="L30" s="28"/>
    </row>
    <row r="31" customFormat="false" ht="15" hidden="false" customHeight="false" outlineLevel="0" collapsed="false">
      <c r="A31" s="30"/>
      <c r="B31" s="30"/>
      <c r="C31" s="30"/>
      <c r="D31" s="31"/>
      <c r="E31" s="32"/>
      <c r="F31" s="30"/>
      <c r="G31" s="30"/>
      <c r="H31" s="30"/>
      <c r="I31" s="29" t="str">
        <f aca="true">IF(D31="","",IF(G31="Closed","Closed",TODAY()-D31))</f>
        <v/>
      </c>
      <c r="J31" s="30"/>
      <c r="K31" s="31"/>
      <c r="L31" s="32"/>
    </row>
    <row r="32" customFormat="false" ht="15" hidden="false" customHeight="false" outlineLevel="0" collapsed="false">
      <c r="A32" s="26"/>
      <c r="B32" s="26"/>
      <c r="C32" s="26"/>
      <c r="D32" s="27"/>
      <c r="E32" s="28"/>
      <c r="F32" s="26"/>
      <c r="G32" s="26"/>
      <c r="H32" s="26"/>
      <c r="I32" s="29" t="str">
        <f aca="true">IF(D32="","",IF(G32="Closed","Closed",TODAY()-D32))</f>
        <v/>
      </c>
      <c r="J32" s="26"/>
      <c r="K32" s="27"/>
      <c r="L32" s="28"/>
    </row>
    <row r="33" customFormat="false" ht="15" hidden="false" customHeight="false" outlineLevel="0" collapsed="false">
      <c r="A33" s="30"/>
      <c r="B33" s="30"/>
      <c r="C33" s="30"/>
      <c r="D33" s="31"/>
      <c r="E33" s="32"/>
      <c r="F33" s="30"/>
      <c r="G33" s="30"/>
      <c r="H33" s="30"/>
      <c r="I33" s="29" t="str">
        <f aca="true">IF(D33="","",IF(G33="Closed","Closed",TODAY()-D33))</f>
        <v/>
      </c>
      <c r="J33" s="30"/>
      <c r="K33" s="31"/>
      <c r="L33" s="32"/>
    </row>
    <row r="34" customFormat="false" ht="15" hidden="false" customHeight="false" outlineLevel="0" collapsed="false">
      <c r="A34" s="26"/>
      <c r="B34" s="26"/>
      <c r="C34" s="26"/>
      <c r="D34" s="27"/>
      <c r="E34" s="28"/>
      <c r="F34" s="26"/>
      <c r="G34" s="26"/>
      <c r="H34" s="26"/>
      <c r="I34" s="29" t="str">
        <f aca="true">IF(D34="","",IF(G34="Closed","Closed",TODAY()-D34))</f>
        <v/>
      </c>
      <c r="J34" s="26"/>
      <c r="K34" s="27"/>
      <c r="L34" s="28"/>
    </row>
    <row r="35" customFormat="false" ht="15" hidden="false" customHeight="false" outlineLevel="0" collapsed="false">
      <c r="A35" s="30"/>
      <c r="B35" s="30"/>
      <c r="C35" s="30"/>
      <c r="D35" s="31"/>
      <c r="E35" s="32"/>
      <c r="F35" s="30"/>
      <c r="G35" s="30"/>
      <c r="H35" s="30"/>
      <c r="I35" s="29" t="str">
        <f aca="true">IF(D35="","",IF(G35="Closed","Closed",TODAY()-D35))</f>
        <v/>
      </c>
      <c r="J35" s="30"/>
      <c r="K35" s="31"/>
      <c r="L35" s="32"/>
    </row>
    <row r="36" customFormat="false" ht="15" hidden="false" customHeight="false" outlineLevel="0" collapsed="false">
      <c r="A36" s="26"/>
      <c r="B36" s="26"/>
      <c r="C36" s="26"/>
      <c r="D36" s="27"/>
      <c r="E36" s="28"/>
      <c r="F36" s="26"/>
      <c r="G36" s="26"/>
      <c r="H36" s="26"/>
      <c r="I36" s="29" t="str">
        <f aca="true">IF(D36="","",IF(G36="Closed","Closed",TODAY()-D36))</f>
        <v/>
      </c>
      <c r="J36" s="26"/>
      <c r="K36" s="27"/>
      <c r="L36" s="28"/>
    </row>
    <row r="37" customFormat="false" ht="15" hidden="false" customHeight="false" outlineLevel="0" collapsed="false">
      <c r="A37" s="30"/>
      <c r="B37" s="30"/>
      <c r="C37" s="30"/>
      <c r="D37" s="31"/>
      <c r="E37" s="32"/>
      <c r="F37" s="30"/>
      <c r="G37" s="30"/>
      <c r="H37" s="30"/>
      <c r="I37" s="29" t="str">
        <f aca="true">IF(D37="","",IF(G37="Closed","Closed",TODAY()-D37))</f>
        <v/>
      </c>
      <c r="J37" s="30"/>
      <c r="K37" s="31"/>
      <c r="L37" s="32"/>
    </row>
    <row r="38" customFormat="false" ht="15" hidden="false" customHeight="false" outlineLevel="0" collapsed="false">
      <c r="A38" s="26"/>
      <c r="B38" s="26"/>
      <c r="C38" s="26"/>
      <c r="D38" s="27"/>
      <c r="E38" s="28"/>
      <c r="F38" s="26"/>
      <c r="G38" s="26"/>
      <c r="H38" s="26"/>
      <c r="I38" s="29" t="str">
        <f aca="true">IF(D38="","",IF(G38="Closed","Closed",TODAY()-D38))</f>
        <v/>
      </c>
      <c r="J38" s="26"/>
      <c r="K38" s="27"/>
      <c r="L38" s="28"/>
    </row>
    <row r="39" customFormat="false" ht="15" hidden="false" customHeight="false" outlineLevel="0" collapsed="false">
      <c r="A39" s="30"/>
      <c r="B39" s="30"/>
      <c r="C39" s="30"/>
      <c r="D39" s="31"/>
      <c r="E39" s="32"/>
      <c r="F39" s="30"/>
      <c r="G39" s="30"/>
      <c r="H39" s="30"/>
      <c r="I39" s="29" t="str">
        <f aca="true">IF(D39="","",IF(G39="Closed","Closed",TODAY()-D39))</f>
        <v/>
      </c>
      <c r="J39" s="30"/>
      <c r="K39" s="31"/>
      <c r="L39" s="32"/>
    </row>
    <row r="40" customFormat="false" ht="15" hidden="false" customHeight="false" outlineLevel="0" collapsed="false">
      <c r="A40" s="26"/>
      <c r="B40" s="26"/>
      <c r="C40" s="26"/>
      <c r="D40" s="27"/>
      <c r="E40" s="28"/>
      <c r="F40" s="26"/>
      <c r="G40" s="26"/>
      <c r="H40" s="26"/>
      <c r="I40" s="29" t="str">
        <f aca="true">IF(D40="","",IF(G40="Closed","Closed",TODAY()-D40))</f>
        <v/>
      </c>
      <c r="J40" s="26"/>
      <c r="K40" s="27"/>
      <c r="L40" s="28"/>
    </row>
    <row r="41" customFormat="false" ht="15" hidden="false" customHeight="false" outlineLevel="0" collapsed="false">
      <c r="A41" s="30"/>
      <c r="B41" s="30"/>
      <c r="C41" s="30"/>
      <c r="D41" s="31"/>
      <c r="E41" s="32"/>
      <c r="F41" s="30"/>
      <c r="G41" s="30"/>
      <c r="H41" s="30"/>
      <c r="I41" s="29" t="str">
        <f aca="true">IF(D41="","",IF(G41="Closed","Closed",TODAY()-D41))</f>
        <v/>
      </c>
      <c r="J41" s="30"/>
      <c r="K41" s="31"/>
      <c r="L41" s="32"/>
    </row>
    <row r="42" customFormat="false" ht="15" hidden="false" customHeight="false" outlineLevel="0" collapsed="false">
      <c r="A42" s="26"/>
      <c r="B42" s="26"/>
      <c r="C42" s="26"/>
      <c r="D42" s="27"/>
      <c r="E42" s="28"/>
      <c r="F42" s="26"/>
      <c r="G42" s="26"/>
      <c r="H42" s="26"/>
      <c r="I42" s="29" t="str">
        <f aca="true">IF(D42="","",IF(G42="Closed","Closed",TODAY()-D42))</f>
        <v/>
      </c>
      <c r="J42" s="26"/>
      <c r="K42" s="27"/>
      <c r="L42" s="28"/>
    </row>
    <row r="43" customFormat="false" ht="15" hidden="false" customHeight="false" outlineLevel="0" collapsed="false">
      <c r="A43" s="30"/>
      <c r="B43" s="30"/>
      <c r="C43" s="30"/>
      <c r="D43" s="31"/>
      <c r="E43" s="32"/>
      <c r="F43" s="30"/>
      <c r="G43" s="30"/>
      <c r="H43" s="30"/>
      <c r="I43" s="29" t="str">
        <f aca="true">IF(D43="","",IF(G43="Closed","Closed",TODAY()-D43))</f>
        <v/>
      </c>
      <c r="J43" s="30"/>
      <c r="K43" s="31"/>
      <c r="L43" s="32"/>
    </row>
    <row r="44" customFormat="false" ht="15" hidden="false" customHeight="false" outlineLevel="0" collapsed="false">
      <c r="A44" s="26"/>
      <c r="B44" s="26"/>
      <c r="C44" s="26"/>
      <c r="D44" s="27"/>
      <c r="E44" s="28"/>
      <c r="F44" s="26"/>
      <c r="G44" s="26"/>
      <c r="H44" s="26"/>
      <c r="I44" s="29" t="str">
        <f aca="true">IF(D44="","",IF(G44="Closed","Closed",TODAY()-D44))</f>
        <v/>
      </c>
      <c r="J44" s="26"/>
      <c r="K44" s="27"/>
      <c r="L44" s="28"/>
    </row>
    <row r="45" customFormat="false" ht="15" hidden="false" customHeight="false" outlineLevel="0" collapsed="false">
      <c r="A45" s="30"/>
      <c r="B45" s="30"/>
      <c r="C45" s="30"/>
      <c r="D45" s="31"/>
      <c r="E45" s="32"/>
      <c r="F45" s="30"/>
      <c r="G45" s="30"/>
      <c r="H45" s="30"/>
      <c r="I45" s="29" t="str">
        <f aca="true">IF(D45="","",IF(G45="Closed","Closed",TODAY()-D45))</f>
        <v/>
      </c>
      <c r="J45" s="30"/>
      <c r="K45" s="31"/>
      <c r="L45" s="32"/>
    </row>
    <row r="46" customFormat="false" ht="15" hidden="false" customHeight="false" outlineLevel="0" collapsed="false">
      <c r="A46" s="26"/>
      <c r="B46" s="26"/>
      <c r="C46" s="26"/>
      <c r="D46" s="27"/>
      <c r="E46" s="28"/>
      <c r="F46" s="26"/>
      <c r="G46" s="26"/>
      <c r="H46" s="26"/>
      <c r="I46" s="29" t="str">
        <f aca="true">IF(D46="","",IF(G46="Closed","Closed",TODAY()-D46))</f>
        <v/>
      </c>
      <c r="J46" s="26"/>
      <c r="K46" s="27"/>
      <c r="L46" s="28"/>
    </row>
    <row r="47" customFormat="false" ht="15" hidden="false" customHeight="false" outlineLevel="0" collapsed="false">
      <c r="A47" s="30"/>
      <c r="B47" s="30"/>
      <c r="C47" s="30"/>
      <c r="D47" s="31"/>
      <c r="E47" s="32"/>
      <c r="F47" s="30"/>
      <c r="G47" s="30"/>
      <c r="H47" s="30"/>
      <c r="I47" s="29" t="str">
        <f aca="true">IF(D47="","",IF(G47="Closed","Closed",TODAY()-D47))</f>
        <v/>
      </c>
      <c r="J47" s="30"/>
      <c r="K47" s="31"/>
      <c r="L47" s="32"/>
    </row>
    <row r="48" customFormat="false" ht="15" hidden="false" customHeight="false" outlineLevel="0" collapsed="false">
      <c r="A48" s="26"/>
      <c r="B48" s="26"/>
      <c r="C48" s="26"/>
      <c r="D48" s="27"/>
      <c r="E48" s="28"/>
      <c r="F48" s="26"/>
      <c r="G48" s="26"/>
      <c r="H48" s="26"/>
      <c r="I48" s="29" t="str">
        <f aca="true">IF(D48="","",IF(G48="Closed","Closed",TODAY()-D48))</f>
        <v/>
      </c>
      <c r="J48" s="26"/>
      <c r="K48" s="27"/>
      <c r="L48" s="28"/>
    </row>
    <row r="49" customFormat="false" ht="15" hidden="false" customHeight="false" outlineLevel="0" collapsed="false">
      <c r="A49" s="30"/>
      <c r="B49" s="30"/>
      <c r="C49" s="30"/>
      <c r="D49" s="31"/>
      <c r="E49" s="32"/>
      <c r="F49" s="30"/>
      <c r="G49" s="30"/>
      <c r="H49" s="30"/>
      <c r="I49" s="29" t="str">
        <f aca="true">IF(D49="","",IF(G49="Closed","Closed",TODAY()-D49))</f>
        <v/>
      </c>
      <c r="J49" s="30"/>
      <c r="K49" s="31"/>
      <c r="L49" s="32"/>
    </row>
    <row r="50" customFormat="false" ht="15" hidden="false" customHeight="false" outlineLevel="0" collapsed="false">
      <c r="A50" s="26"/>
      <c r="B50" s="26"/>
      <c r="C50" s="26"/>
      <c r="D50" s="27"/>
      <c r="E50" s="28"/>
      <c r="F50" s="26"/>
      <c r="G50" s="26"/>
      <c r="H50" s="26"/>
      <c r="I50" s="29" t="str">
        <f aca="true">IF(D50="","",IF(G50="Closed","Closed",TODAY()-D50))</f>
        <v/>
      </c>
      <c r="J50" s="26"/>
      <c r="K50" s="27"/>
      <c r="L50" s="28"/>
    </row>
    <row r="51" customFormat="false" ht="15" hidden="false" customHeight="false" outlineLevel="0" collapsed="false">
      <c r="A51" s="30"/>
      <c r="B51" s="30"/>
      <c r="C51" s="30"/>
      <c r="D51" s="31"/>
      <c r="E51" s="32"/>
      <c r="F51" s="30"/>
      <c r="G51" s="30"/>
      <c r="H51" s="30"/>
      <c r="I51" s="29" t="str">
        <f aca="true">IF(D51="","",IF(G51="Closed","Closed",TODAY()-D51))</f>
        <v/>
      </c>
      <c r="J51" s="30"/>
      <c r="K51" s="31"/>
      <c r="L51" s="32"/>
    </row>
    <row r="52" customFormat="false" ht="15" hidden="false" customHeight="false" outlineLevel="0" collapsed="false">
      <c r="A52" s="26"/>
      <c r="B52" s="26"/>
      <c r="C52" s="26"/>
      <c r="D52" s="27"/>
      <c r="E52" s="28"/>
      <c r="F52" s="26"/>
      <c r="G52" s="26"/>
      <c r="H52" s="26"/>
      <c r="I52" s="29" t="str">
        <f aca="true">IF(D52="","",IF(G52="Closed","Closed",TODAY()-D52))</f>
        <v/>
      </c>
      <c r="J52" s="26"/>
      <c r="K52" s="27"/>
      <c r="L52" s="28"/>
    </row>
    <row r="53" customFormat="false" ht="15" hidden="false" customHeight="false" outlineLevel="0" collapsed="false">
      <c r="A53" s="30"/>
      <c r="B53" s="30"/>
      <c r="C53" s="30"/>
      <c r="D53" s="31"/>
      <c r="E53" s="32"/>
      <c r="F53" s="30"/>
      <c r="G53" s="30"/>
      <c r="H53" s="30"/>
      <c r="I53" s="29" t="str">
        <f aca="true">IF(D53="","",IF(G53="Closed","Closed",TODAY()-D53))</f>
        <v/>
      </c>
      <c r="J53" s="30"/>
      <c r="K53" s="31"/>
      <c r="L53" s="32"/>
    </row>
    <row r="54" customFormat="false" ht="15" hidden="false" customHeight="false" outlineLevel="0" collapsed="false">
      <c r="A54" s="26"/>
      <c r="B54" s="26"/>
      <c r="C54" s="26"/>
      <c r="D54" s="27"/>
      <c r="E54" s="28"/>
      <c r="F54" s="26"/>
      <c r="G54" s="26"/>
      <c r="H54" s="26"/>
      <c r="I54" s="29" t="str">
        <f aca="true">IF(D54="","",IF(G54="Closed","Closed",TODAY()-D54))</f>
        <v/>
      </c>
      <c r="J54" s="26"/>
      <c r="K54" s="27"/>
      <c r="L54" s="28"/>
    </row>
    <row r="55" customFormat="false" ht="15" hidden="false" customHeight="false" outlineLevel="0" collapsed="false">
      <c r="A55" s="30"/>
      <c r="B55" s="30"/>
      <c r="C55" s="30"/>
      <c r="D55" s="31"/>
      <c r="E55" s="32"/>
      <c r="F55" s="30"/>
      <c r="G55" s="30"/>
      <c r="H55" s="30"/>
      <c r="I55" s="29" t="str">
        <f aca="true">IF(D55="","",IF(G55="Closed","Closed",TODAY()-D55))</f>
        <v/>
      </c>
      <c r="J55" s="30"/>
      <c r="K55" s="31"/>
      <c r="L55" s="32"/>
    </row>
    <row r="56" customFormat="false" ht="15" hidden="false" customHeight="false" outlineLevel="0" collapsed="false">
      <c r="A56" s="26"/>
      <c r="B56" s="26"/>
      <c r="C56" s="26"/>
      <c r="D56" s="27"/>
      <c r="E56" s="28"/>
      <c r="F56" s="26"/>
      <c r="G56" s="26"/>
      <c r="H56" s="26"/>
      <c r="I56" s="29" t="str">
        <f aca="true">IF(D56="","",IF(G56="Closed","Closed",TODAY()-D56))</f>
        <v/>
      </c>
      <c r="J56" s="26"/>
      <c r="K56" s="27"/>
      <c r="L56" s="28"/>
    </row>
    <row r="57" customFormat="false" ht="15" hidden="false" customHeight="false" outlineLevel="0" collapsed="false">
      <c r="A57" s="30"/>
      <c r="B57" s="30"/>
      <c r="C57" s="30"/>
      <c r="D57" s="31"/>
      <c r="E57" s="32"/>
      <c r="F57" s="30"/>
      <c r="G57" s="30"/>
      <c r="H57" s="30"/>
      <c r="I57" s="29" t="str">
        <f aca="true">IF(D57="","",IF(G57="Closed","Closed",TODAY()-D57))</f>
        <v/>
      </c>
      <c r="J57" s="30"/>
      <c r="K57" s="31"/>
      <c r="L57" s="32"/>
    </row>
  </sheetData>
  <autoFilter ref="A7:L507"/>
  <mergeCells count="6">
    <mergeCell ref="A1:L1"/>
    <mergeCell ref="A2:C2"/>
    <mergeCell ref="A3:B3"/>
    <mergeCell ref="A4:B4"/>
    <mergeCell ref="A5:B5"/>
    <mergeCell ref="A6:B6"/>
  </mergeCells>
  <conditionalFormatting sqref="G8:G57">
    <cfRule type="cellIs" priority="2" operator="equal" aboveAverage="0" equalAverage="0" bottom="0" percent="0" rank="0" text="" dxfId="9">
      <formula>"Open"</formula>
    </cfRule>
    <cfRule type="cellIs" priority="3" operator="equal" aboveAverage="0" equalAverage="0" bottom="0" percent="0" rank="0" text="" dxfId="10">
      <formula>"Assessment Booked"</formula>
    </cfRule>
    <cfRule type="cellIs" priority="4" operator="equal" aboveAverage="0" equalAverage="0" bottom="0" percent="0" rank="0" text="" dxfId="10">
      <formula>"Outcome Received"</formula>
    </cfRule>
    <cfRule type="cellIs" priority="5" operator="equal" aboveAverage="0" equalAverage="0" bottom="0" percent="0" rank="0" text="" dxfId="11">
      <formula>"Closed"</formula>
    </cfRule>
  </conditionalFormatting>
  <conditionalFormatting sqref="H8:H57">
    <cfRule type="cellIs" priority="6" operator="equal" aboveAverage="0" equalAverage="0" bottom="0" percent="0" rank="0" text="" dxfId="11">
      <formula>"Fit"</formula>
    </cfRule>
    <cfRule type="cellIs" priority="7" operator="equal" aboveAverage="0" equalAverage="0" bottom="0" percent="0" rank="0" text="" dxfId="10">
      <formula>"Fit with Restrictions"</formula>
    </cfRule>
    <cfRule type="cellIs" priority="8" operator="equal" aboveAverage="0" equalAverage="0" bottom="0" percent="0" rank="0" text="" dxfId="9">
      <formula>"Unfit"</formula>
    </cfRule>
  </conditionalFormatting>
  <conditionalFormatting sqref="I8:I57">
    <cfRule type="expression" priority="9" aboveAverage="0" equalAverage="0" bottom="0" percent="0" rank="0" text="" dxfId="9">
      <formula>AND(ISNUMBER(I8),I8&gt;28)</formula>
    </cfRule>
    <cfRule type="expression" priority="10" aboveAverage="0" equalAverage="0" bottom="0" percent="0" rank="0" text="" dxfId="10">
      <formula>AND(ISNUMBER(I8),I8&gt;14,I8&lt;=28)</formula>
    </cfRule>
  </conditionalFormatting>
  <dataValidations count="3">
    <dataValidation allowBlank="true" errorStyle="stop" operator="between" showDropDown="false" showErrorMessage="false" showInputMessage="false" sqref="F8:F507" type="list">
      <formula1>"Pre-employment,Night Worker Assessment,Sickness Absence,Injury,Health Surveillance,Management Referral"</formula1>
      <formula2>0</formula2>
    </dataValidation>
    <dataValidation allowBlank="true" errorStyle="stop" operator="between" showDropDown="false" showErrorMessage="false" showInputMessage="false" sqref="G8:G507" type="list">
      <formula1>"Open,Assessment Booked,Outcome Received,Closed,Cancelled"</formula1>
      <formula2>0</formula2>
    </dataValidation>
    <dataValidation allowBlank="true" errorStyle="stop" operator="between" showDropDown="false" showErrorMessage="false" showInputMessage="false" sqref="H8:H507" type="list">
      <formula1>"Fit,Fit with Restrictions,Unfit,Awaiting Assessment,N/A"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&amp;COccupational Health Referral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81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82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83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84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85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86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87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88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2026-03-23T07:37:13Z</dcterms:created>
  <dc:creator>Ebrora Ltd</dc:creator>
  <dc:description>Track occupational health referrals, assessments, and outcomes with auto-calculated response times for UK construction projects.
Free professional construction management template from Ebrora Ltd. Visit ebrora.com for our full range of tools and templates.</dc:description>
  <cp:keywords>Ebrora construction occupational health referral assessment fitness HR people wellbeing</cp:keywords>
  <dc:language>en-US</dc:language>
  <cp:lastModifiedBy>Ebrora Ltd</cp:lastModifiedBy>
  <dcterms:modified xsi:type="dcterms:W3CDTF">2026-03-23T07:37:13Z</dcterms:modified>
  <cp:revision>0</cp:revision>
  <dc:subject>Track occupational health referrals, assessments, and outcomes with auto-calculated response times.</dc:subject>
  <dc:title>Occupational Health Referral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