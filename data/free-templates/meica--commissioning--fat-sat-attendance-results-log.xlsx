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FAT SAT Log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'FAT SAT Log'!$A$1:$N$63</definedName>
    <definedName function="false" hidden="true" localSheetId="2" name="_xlnm._FilterDatabase" vbProcedure="false">'FAT SAT Log'!$A$13:$R$200</definedName>
    <definedName function="false" hidden="false" name="DataTable" vbProcedure="false">'FAT SAT Log'!$A$13:$R$200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<sst xmlns="http://schemas.openxmlformats.org/spreadsheetml/2006/main" count="149" uniqueCount="129">
  <si>
    <t xml:space="preserve">EBRORA</t>
  </si>
  <si>
    <t xml:space="preserve">ebrora.com</t>
  </si>
  <si>
    <t xml:space="preserve">FAT / SAT Attendance
&amp; Results Log</t>
  </si>
  <si>
    <t xml:space="preserve">Log and track Factory Acceptance Tests and Site Acceptance Tests — recording attendance, test outcomes, observations, and the FAT→SAT progression for all MEICA equipment packages.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</si>
  <si>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</si>
  <si>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</si>
  <si>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</si>
  <si>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 Open the 'FAT SAT Log' sheet. Each row represents one acceptance test event — either a Factory Acceptance Test (FAT) or a Site Acceptance Test (SAT).</t>
  </si>
  <si>
    <t xml:space="preserve">2. Enter the test reference, select the test type (FAT or SAT), and fill in the equipment tag, description, and manufacturer/supplier.</t>
  </si>
  <si>
    <t xml:space="preserve">3. Record the test date and location (factory name for FATs, site area for SATs). List all attendees in the Attendees column.</t>
  </si>
  <si>
    <t xml:space="preserve">4. After the test, select the Overall Result from the dropdown: Pass, Conditional Pass, Fail, or Deferred. Add the number of observations and open punch items.</t>
  </si>
  <si>
    <t xml:space="preserve">5. The Progression Status auto-calculates for each equipment tag — it shows whether the item has completed FAT only, SAT only, both, or neither.</t>
  </si>
  <si>
    <t xml:space="preserve">6. The Summary Dashboard at the top provides live counts: total FATs/SATs, pass rates, and a progression funnel showing how many items have moved from FAT through to SAT.</t>
  </si>
  <si>
    <t xml:space="preserve">7. Expand the optional columns for detailed fields: test procedure reference, report reference, next action required, and re-test date.</t>
  </si>
  <si>
    <t xml:space="preserve">8. Filter by test type (FAT/SAT), result, or equipment tag to generate focused reports for suppliers, commissioning teams, or client reviews.</t>
  </si>
  <si>
    <t xml:space="preserve">Colour Key</t>
  </si>
  <si>
    <t xml:space="preserve">Light teal cells = user input / editable fields</t>
  </si>
  <si>
    <t xml:space="preserve">Dark navy headers = do not edit</t>
  </si>
  <si>
    <t xml:space="preserve">Green = Pass (test fully accepted)</t>
  </si>
  <si>
    <t xml:space="preserve">Amber = Conditional Pass (minor observations outstanding)</t>
  </si>
  <si>
    <t xml:space="preserve">Red = Fail or Deferred (re-test required)</t>
  </si>
  <si>
    <t xml:space="preserve">Tips</t>
  </si>
  <si>
    <t xml:space="preserve">• Always attend FATs with a pre-prepared test plan and checklist — the log records outcomes, but the test plan defines what you're actually checking.</t>
  </si>
  <si>
    <t xml:space="preserve">• Record observations during the test, not after — details fade quickly. Use the Remarks column for anything the formal report won't capture.</t>
  </si>
  <si>
    <t xml:space="preserve">• A Conditional Pass should always have a clear list of conditions and a deadline. Don't leave conditions open-ended or they'll haunt you during commissioning.</t>
  </si>
  <si>
    <t xml:space="preserve">FAT / SAT Attendance &amp; Results Log — Summary Dashboard</t>
  </si>
  <si>
    <t xml:space="preserve">Test Results Summary</t>
  </si>
  <si>
    <t xml:space="preserve">FAT → SAT Progression Funnel</t>
  </si>
  <si>
    <t xml:space="preserve">Metric</t>
  </si>
  <si>
    <t xml:space="preserve">FAT</t>
  </si>
  <si>
    <t xml:space="preserve">SAT</t>
  </si>
  <si>
    <t xml:space="preserve">Total</t>
  </si>
  <si>
    <t xml:space="preserve">Rate</t>
  </si>
  <si>
    <t xml:space="preserve">Stage</t>
  </si>
  <si>
    <t xml:space="preserve">Count</t>
  </si>
  <si>
    <t xml:space="preserve">% of Total</t>
  </si>
  <si>
    <t xml:space="preserve">Visual</t>
  </si>
  <si>
    <t xml:space="preserve">Total Tests</t>
  </si>
  <si>
    <t xml:space="preserve">Unique Equipment Items</t>
  </si>
  <si>
    <t xml:space="preserve">Pass</t>
  </si>
  <si>
    <t xml:space="preserve">FAT Completed (Pass/Cond.)</t>
  </si>
  <si>
    <t xml:space="preserve">Conditional Pass</t>
  </si>
  <si>
    <t xml:space="preserve">SAT Completed (Pass/Cond.)</t>
  </si>
  <si>
    <t xml:space="preserve">Fail</t>
  </si>
  <si>
    <t xml:space="preserve">Both FAT &amp; SAT Passed</t>
  </si>
  <si>
    <t xml:space="preserve">Deferred</t>
  </si>
  <si>
    <t xml:space="preserve">Awaiting SAT</t>
  </si>
  <si>
    <t xml:space="preserve">Total Open Observations:</t>
  </si>
  <si>
    <t xml:space="preserve">Total Open Punch Items:</t>
  </si>
  <si>
    <t xml:space="preserve">Test Identification</t>
  </si>
  <si>
    <t xml:space="preserve">Attendance &amp; Location</t>
  </si>
  <si>
    <t xml:space="preserve">Results &amp; Observations</t>
  </si>
  <si>
    <t xml:space="preserve">▸ Optional Fields — Click [+] to expand</t>
  </si>
  <si>
    <t xml:space="preserve">Item No.</t>
  </si>
  <si>
    <t xml:space="preserve">Test Ref</t>
  </si>
  <si>
    <t xml:space="preserve">Type</t>
  </si>
  <si>
    <t xml:space="preserve">Equipment Tag</t>
  </si>
  <si>
    <t xml:space="preserve">Equipment Description</t>
  </si>
  <si>
    <t xml:space="preserve">Manufacturer / Supplier</t>
  </si>
  <si>
    <t xml:space="preserve">Test Date</t>
  </si>
  <si>
    <t xml:space="preserve">Location</t>
  </si>
  <si>
    <t xml:space="preserve">Attendees</t>
  </si>
  <si>
    <t xml:space="preserve">Overall Result</t>
  </si>
  <si>
    <t xml:space="preserve">Observations</t>
  </si>
  <si>
    <t xml:space="preserve">Punch Items</t>
  </si>
  <si>
    <t xml:space="preserve">Progression</t>
  </si>
  <si>
    <t xml:space="preserve">Remarks / Key Findings</t>
  </si>
  <si>
    <t xml:space="preserve">Test Procedure Ref</t>
  </si>
  <si>
    <t xml:space="preserve">Report Reference</t>
  </si>
  <si>
    <t xml:space="preserve">Next Action Required</t>
  </si>
  <si>
    <t xml:space="preserve">Re-Test Date</t>
  </si>
  <si>
    <t xml:space="preserve">FAT-001</t>
  </si>
  <si>
    <t xml:space="preserve">MCC-01</t>
  </si>
  <si>
    <t xml:space="preserve">Main Motor Control Centre — Inlet Works</t>
  </si>
  <si>
    <t xml:space="preserve">ABB Ltd</t>
  </si>
  <si>
    <t xml:space="preserve">ABB Factory, Stonehouse, Glos</t>
  </si>
  <si>
    <t xml:space="preserve">M. Clarke (Client), R. Evans (Contractor), P. Hughes (ABB)</t>
  </si>
  <si>
    <t xml:space="preserve">All tests passed. 2 minor cosmetic observations noted.</t>
  </si>
  <si>
    <t xml:space="preserve">TP-MCC-01 Rev A</t>
  </si>
  <si>
    <t xml:space="preserve">FAT-RPT-001</t>
  </si>
  <si>
    <t xml:space="preserve">FAT-002</t>
  </si>
  <si>
    <t xml:space="preserve">PLC-CAB-01</t>
  </si>
  <si>
    <t xml:space="preserve">PLC Cabinet — SCADA Outstation 1</t>
  </si>
  <si>
    <t xml:space="preserve">Siemens UK</t>
  </si>
  <si>
    <t xml:space="preserve">Siemens Factory, Congleton, Cheshire</t>
  </si>
  <si>
    <t xml:space="preserve">M. Clarke (Client), J. Patel (D&amp;B), K. Schmidt (Siemens)</t>
  </si>
  <si>
    <t xml:space="preserve">I/O addressing errors found in 2 modules — Siemens to rectify before dispatch.</t>
  </si>
  <si>
    <t xml:space="preserve">TP-PLC-01 Rev B</t>
  </si>
  <si>
    <t xml:space="preserve">FAT-RPT-002</t>
  </si>
  <si>
    <t xml:space="preserve">Siemens to re-verify I/O and issue updated config</t>
  </si>
  <si>
    <t xml:space="preserve">FAT-003</t>
  </si>
  <si>
    <t xml:space="preserve">VSD-PMP-01</t>
  </si>
  <si>
    <t xml:space="preserve">VSD Panel — Raw Water Pumps 1–3</t>
  </si>
  <si>
    <t xml:space="preserve">Danfoss UK</t>
  </si>
  <si>
    <t xml:space="preserve">Danfoss Drives, Leeds</t>
  </si>
  <si>
    <t xml:space="preserve">R. Evans (Contractor), T. Brown (Danfoss)</t>
  </si>
  <si>
    <t xml:space="preserve">Clean pass. All drives tested at full load.</t>
  </si>
  <si>
    <t xml:space="preserve">TP-VSD-01 Rev A</t>
  </si>
  <si>
    <t xml:space="preserve">FAT-RPT-003</t>
  </si>
  <si>
    <t xml:space="preserve">SAT-001</t>
  </si>
  <si>
    <t xml:space="preserve">Inlet Works MCC Room, Site</t>
  </si>
  <si>
    <t xml:space="preserve">M. Clarke, R. Evans, J. Patel, Site Electrician</t>
  </si>
  <si>
    <t xml:space="preserve">All site connections verified. Motor rotations confirmed.</t>
  </si>
  <si>
    <t xml:space="preserve">SAT-RPT-001</t>
  </si>
  <si>
    <t xml:space="preserve">FAT-004</t>
  </si>
  <si>
    <t xml:space="preserve">PNL-HVAC-01</t>
  </si>
  <si>
    <t xml:space="preserve">HVAC Control Panel — AHU Plant Room</t>
  </si>
  <si>
    <t xml:space="preserve">Schneider Electric</t>
  </si>
  <si>
    <t xml:space="preserve">Schneider Partner, Birmingham</t>
  </si>
  <si>
    <t xml:space="preserve">M. Clarke (Client), ACE Controls rep</t>
  </si>
  <si>
    <t xml:space="preserve">BMS integration failed. Incorrect protocol — Schneider to rebuild comms module.</t>
  </si>
  <si>
    <t xml:space="preserve">TP-HVAC-01 Rev A</t>
  </si>
  <si>
    <t xml:space="preserve">FAT-RPT-004</t>
  </si>
  <si>
    <t xml:space="preserve">Re-FAT scheduled after firmware update</t>
  </si>
  <si>
    <t xml:space="preserve">SAT-002</t>
  </si>
  <si>
    <t xml:space="preserve">Control Room, Site</t>
  </si>
  <si>
    <t xml:space="preserve">M. Clarke, J. Patel, K. Schmidt (remote)</t>
  </si>
  <si>
    <t xml:space="preserve">I/O issues from FAT resolved. 3 new observations on HMI screen layout.</t>
  </si>
  <si>
    <t xml:space="preserve">SAT-RPT-002</t>
  </si>
  <si>
    <t xml:space="preserve">HMI screens to be updated in next software release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</si>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</sst>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/mm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sz val="10"/>
      <color rgb="FF2AABB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2AABB3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D5F0D6"/>
      </patternFill>
    </fill>
    <fill>
      <patternFill patternType="solid">
        <fgColor rgb="FFFFEB9C"/>
        <bgColor rgb="FFD5F0D6"/>
      </patternFill>
    </fill>
    <fill>
      <patternFill patternType="solid">
        <fgColor rgb="FFFFC7CE"/>
        <bgColor rgb="FFD9D9D9"/>
      </patternFill>
    </fill>
    <fill>
      <patternFill patternType="solid">
        <fgColor rgb="FF2AABB3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D5F0D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6E4F0"/>
        </patternFill>
      </fill>
    </dxf>
    <dxf>
      <fill>
        <patternFill>
          <bgColor rgb="FFD5F0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D6E4F0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F0D6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39.75" hidden="false" customHeight="true" outlineLevel="0" collapsed="false">
      <c r="A3" s="9" t="s">
        <v>7</v>
      </c>
      <c r="B3" s="9"/>
      <c r="C3" s="9"/>
      <c r="D3" s="9"/>
      <c r="E3" s="9"/>
      <c r="F3" s="9"/>
    </row>
    <row r="4" customFormat="false" ht="39.75" hidden="false" customHeight="true" outlineLevel="0" collapsed="false">
      <c r="A4" s="9" t="s">
        <v>8</v>
      </c>
      <c r="B4" s="9"/>
      <c r="C4" s="9"/>
      <c r="D4" s="9"/>
      <c r="E4" s="9"/>
      <c r="F4" s="9"/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</row>
    <row r="6" customFormat="false" ht="39.75" hidden="false" customHeight="true" outlineLevel="0" collapsed="false">
      <c r="A6" s="9" t="s">
        <v>10</v>
      </c>
      <c r="B6" s="9"/>
      <c r="C6" s="9"/>
      <c r="D6" s="9"/>
      <c r="E6" s="9"/>
      <c r="F6" s="9"/>
    </row>
    <row r="7" customFormat="false" ht="39.75" hidden="false" customHeight="true" outlineLevel="0" collapsed="false">
      <c r="A7" s="9" t="s">
        <v>11</v>
      </c>
      <c r="B7" s="9"/>
      <c r="C7" s="9"/>
      <c r="D7" s="9"/>
      <c r="E7" s="9"/>
      <c r="F7" s="9"/>
    </row>
    <row r="8" customFormat="false" ht="39.75" hidden="false" customHeight="true" outlineLevel="0" collapsed="false">
      <c r="A8" s="9" t="s">
        <v>12</v>
      </c>
      <c r="B8" s="9"/>
      <c r="C8" s="9"/>
      <c r="D8" s="9"/>
      <c r="E8" s="9"/>
      <c r="F8" s="9"/>
    </row>
    <row r="9" customFormat="false" ht="39.75" hidden="false" customHeight="true" outlineLevel="0" collapsed="false">
      <c r="A9" s="9" t="s">
        <v>13</v>
      </c>
      <c r="B9" s="9"/>
      <c r="C9" s="9"/>
      <c r="D9" s="9"/>
      <c r="E9" s="9"/>
      <c r="F9" s="9"/>
    </row>
    <row r="10" customFormat="false" ht="39.75" hidden="false" customHeight="true" outlineLevel="0" collapsed="false">
      <c r="A10" s="9" t="s">
        <v>14</v>
      </c>
      <c r="B10" s="9"/>
      <c r="C10" s="9"/>
      <c r="D10" s="9"/>
      <c r="E10" s="9"/>
      <c r="F10" s="9"/>
    </row>
    <row r="12" customFormat="false" ht="15" hidden="false" customHeight="false" outlineLevel="0" collapsed="false">
      <c r="A12" s="10" t="s">
        <v>15</v>
      </c>
      <c r="B12" s="10"/>
      <c r="C12" s="10"/>
      <c r="D12" s="10"/>
      <c r="E12" s="10"/>
      <c r="F12" s="10"/>
    </row>
    <row r="13" customFormat="false" ht="15" hidden="false" customHeight="true" outlineLevel="0" collapsed="false">
      <c r="A13" s="11"/>
      <c r="B13" s="9" t="s">
        <v>16</v>
      </c>
      <c r="C13" s="9"/>
      <c r="D13" s="9"/>
      <c r="E13" s="9"/>
      <c r="F13" s="9"/>
    </row>
    <row r="14" customFormat="false" ht="15" hidden="false" customHeight="true" outlineLevel="0" collapsed="false">
      <c r="A14" s="12"/>
      <c r="B14" s="9" t="s">
        <v>17</v>
      </c>
      <c r="C14" s="9"/>
      <c r="D14" s="9"/>
      <c r="E14" s="9"/>
      <c r="F14" s="9"/>
    </row>
    <row r="15" customFormat="false" ht="15" hidden="false" customHeight="true" outlineLevel="0" collapsed="false">
      <c r="A15" s="13"/>
      <c r="B15" s="9" t="s">
        <v>18</v>
      </c>
      <c r="C15" s="9"/>
      <c r="D15" s="9"/>
      <c r="E15" s="9"/>
      <c r="F15" s="9"/>
    </row>
    <row r="16" customFormat="false" ht="15" hidden="false" customHeight="true" outlineLevel="0" collapsed="false">
      <c r="A16" s="14"/>
      <c r="B16" s="9" t="s">
        <v>19</v>
      </c>
      <c r="C16" s="9"/>
      <c r="D16" s="9"/>
      <c r="E16" s="9"/>
      <c r="F16" s="9"/>
    </row>
    <row r="17" customFormat="false" ht="15" hidden="false" customHeight="true" outlineLevel="0" collapsed="false">
      <c r="A17" s="15"/>
      <c r="B17" s="9" t="s">
        <v>20</v>
      </c>
      <c r="C17" s="9"/>
      <c r="D17" s="9"/>
      <c r="E17" s="9"/>
      <c r="F17" s="9"/>
    </row>
    <row r="19" customFormat="false" ht="15" hidden="false" customHeight="false" outlineLevel="0" collapsed="false">
      <c r="A19" s="10" t="s">
        <v>21</v>
      </c>
      <c r="B19" s="10"/>
      <c r="C19" s="10"/>
      <c r="D19" s="10"/>
      <c r="E19" s="10"/>
      <c r="F19" s="10"/>
    </row>
    <row r="20" customFormat="false" ht="34.5" hidden="false" customHeight="true" outlineLevel="0" collapsed="false">
      <c r="A20" s="9" t="s">
        <v>22</v>
      </c>
      <c r="B20" s="9"/>
      <c r="C20" s="9"/>
      <c r="D20" s="9"/>
      <c r="E20" s="9"/>
      <c r="F20" s="9"/>
    </row>
    <row r="21" customFormat="false" ht="34.5" hidden="false" customHeight="true" outlineLevel="0" collapsed="false">
      <c r="A21" s="9" t="s">
        <v>23</v>
      </c>
      <c r="B21" s="9"/>
      <c r="C21" s="9"/>
      <c r="D21" s="9"/>
      <c r="E21" s="9"/>
      <c r="F21" s="9"/>
    </row>
    <row r="22" customFormat="false" ht="34.5" hidden="false" customHeight="true" outlineLevel="0" collapsed="false">
      <c r="A22" s="9" t="s">
        <v>24</v>
      </c>
      <c r="B22" s="9"/>
      <c r="C22" s="9"/>
      <c r="D22" s="9"/>
      <c r="E22" s="9"/>
      <c r="F22" s="9"/>
    </row>
  </sheetData>
  <mergeCells count="19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2:F12"/>
    <mergeCell ref="B13:F13"/>
    <mergeCell ref="B14:F14"/>
    <mergeCell ref="B15:F15"/>
    <mergeCell ref="B16:F16"/>
    <mergeCell ref="B17:F17"/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2" min="11" style="0" width="12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true" outlineLevel="1" max="18" min="15" style="0" width="18"/>
  </cols>
  <sheetData>
    <row r="1" customFormat="false" ht="15" hidden="false" customHeight="true" outlineLevel="0" collapsed="false">
      <c r="A1" s="16" t="s">
        <v>25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3" customFormat="false" ht="15" hidden="false" customHeight="false" outlineLevel="0" collapsed="false">
      <c r="A3" s="10" t="s">
        <v>26</v>
      </c>
      <c r="B3" s="10"/>
      <c r="C3" s="10"/>
      <c r="D3" s="10"/>
      <c r="E3" s="10"/>
      <c r="G3" s="10" t="s">
        <v>27</v>
      </c>
      <c r="H3" s="10"/>
      <c r="I3" s="10"/>
      <c r="J3" s="10"/>
    </row>
    <row r="4" customFormat="false" ht="15" hidden="false" customHeight="false" outlineLevel="0" collapsed="false">
      <c r="A4" s="17" t="s">
        <v>28</v>
      </c>
      <c r="B4" s="17" t="s">
        <v>29</v>
      </c>
      <c r="C4" s="17" t="s">
        <v>30</v>
      </c>
      <c r="D4" s="17" t="s">
        <v>31</v>
      </c>
      <c r="E4" s="17" t="s">
        <v>32</v>
      </c>
      <c r="G4" s="17" t="s">
        <v>33</v>
      </c>
      <c r="H4" s="17" t="s">
        <v>34</v>
      </c>
      <c r="I4" s="17" t="s">
        <v>35</v>
      </c>
      <c r="J4" s="17" t="s">
        <v>36</v>
      </c>
    </row>
    <row r="5" customFormat="false" ht="23.85" hidden="false" customHeight="false" outlineLevel="0" collapsed="false">
      <c r="A5" s="18" t="s">
        <v>37</v>
      </c>
      <c r="B5" s="19" t="n">
        <f aca="false">COUNTIF(C14:C200,"FAT")</f>
        <v>4</v>
      </c>
      <c r="C5" s="19" t="n">
        <f aca="false">COUNTIF(C14:C200,"SAT")</f>
        <v>2</v>
      </c>
      <c r="D5" s="20" t="n">
        <f aca="false">B5+C5</f>
        <v>6</v>
      </c>
      <c r="E5" s="19"/>
      <c r="G5" s="21" t="s">
        <v>38</v>
      </c>
      <c r="H5" s="20" t="n">
        <f aca="false">SUMPRODUCT((D14:D200&lt;&gt;"")/IF(COUNTIF(D14:D200,D14:D200)=0,1,COUNTIF(D14:D200,D14:D200)))</f>
        <v>4</v>
      </c>
      <c r="I5" s="19"/>
      <c r="J5" s="22" t="str">
        <f aca="false">REPT("█",ROUND(IF(H5=0,0,IF(ISNUMBER(H5),H5/H5,0))*15,0))</f>
        <v>███████████████</v>
      </c>
    </row>
    <row r="6" customFormat="false" ht="23.85" hidden="false" customHeight="false" outlineLevel="0" collapsed="false">
      <c r="A6" s="23" t="s">
        <v>39</v>
      </c>
      <c r="B6" s="19" t="n">
        <f aca="false">COUNTIFS(C14:C200,"FAT",J14:J200,"Pass")</f>
        <v>2</v>
      </c>
      <c r="C6" s="19" t="n">
        <f aca="false">COUNTIFS(C14:C200,"SAT",J14:J200,"Pass")</f>
        <v>1</v>
      </c>
      <c r="D6" s="20" t="n">
        <f aca="false">B6+C6</f>
        <v>3</v>
      </c>
      <c r="E6" s="24" t="n">
        <f aca="false">IF(D5=0,"",D6/D5)</f>
        <v>0.5</v>
      </c>
      <c r="G6" s="21" t="s">
        <v>40</v>
      </c>
      <c r="H6" s="20" t="n">
        <f aca="false">SUMPRODUCT((C14:C200="FAT")*((J14:J200="Pass")+(J14:J200="Conditional Pass")))</f>
        <v>3</v>
      </c>
      <c r="I6" s="24" t="n">
        <f aca="false">IF(H5=0,"",H6/H5)</f>
        <v>0.75</v>
      </c>
      <c r="J6" s="22" t="str">
        <f aca="false">REPT("█",ROUND(IF(H5=0,0,IF(ISNUMBER(H6),H6/H5,0))*15,0))</f>
        <v>███████████</v>
      </c>
    </row>
    <row r="7" customFormat="false" ht="23.85" hidden="false" customHeight="false" outlineLevel="0" collapsed="false">
      <c r="A7" s="23" t="s">
        <v>41</v>
      </c>
      <c r="B7" s="19" t="n">
        <f aca="false">COUNTIFS(C14:C200,"FAT",J14:J200,"Conditional Pass")</f>
        <v>1</v>
      </c>
      <c r="C7" s="19" t="n">
        <f aca="false">COUNTIFS(C14:C200,"SAT",J14:J200,"Conditional Pass")</f>
        <v>1</v>
      </c>
      <c r="D7" s="20" t="n">
        <f aca="false">B7+C7</f>
        <v>2</v>
      </c>
      <c r="E7" s="24" t="n">
        <f aca="false">IF(D5=0,"",D7/D5)</f>
        <v>0.333333333333333</v>
      </c>
      <c r="G7" s="21" t="s">
        <v>42</v>
      </c>
      <c r="H7" s="20" t="n">
        <f aca="false">SUMPRODUCT((C14:C200="SAT")*((J14:J200="Pass")+(J14:J200="Conditional Pass")))</f>
        <v>2</v>
      </c>
      <c r="I7" s="24" t="n">
        <f aca="false">IF(H5=0,"",H7/H5)</f>
        <v>0.5</v>
      </c>
      <c r="J7" s="22" t="str">
        <f aca="false">REPT("█",ROUND(IF(H5=0,0,IF(ISNUMBER(H7),H7/H5,0))*15,0))</f>
        <v>████████</v>
      </c>
    </row>
    <row r="8" customFormat="false" ht="23.85" hidden="false" customHeight="false" outlineLevel="0" collapsed="false">
      <c r="A8" s="23" t="s">
        <v>43</v>
      </c>
      <c r="B8" s="19" t="n">
        <f aca="false">COUNTIFS(C14:C200,"FAT",J14:J200,"Fail")</f>
        <v>1</v>
      </c>
      <c r="C8" s="19" t="n">
        <f aca="false">COUNTIFS(C14:C200,"SAT",J14:J200,"Fail")</f>
        <v>0</v>
      </c>
      <c r="D8" s="20" t="n">
        <f aca="false">B8+C8</f>
        <v>1</v>
      </c>
      <c r="E8" s="24" t="n">
        <f aca="false">IF(D5=0,"",D8/D5)</f>
        <v>0.166666666666667</v>
      </c>
      <c r="G8" s="21" t="s">
        <v>44</v>
      </c>
      <c r="H8" s="20" t="n">
        <f aca="false">SUMPRODUCT((C14:C200="SAT")*(J14:J200="Pass"))</f>
        <v>1</v>
      </c>
      <c r="I8" s="24" t="n">
        <f aca="false">IF(H5=0,"",H8/H5)</f>
        <v>0.25</v>
      </c>
      <c r="J8" s="22" t="str">
        <f aca="false">REPT("█",ROUND(IF(H5=0,0,IF(ISNUMBER(H8),H8/H5,0))*15,0))</f>
        <v>████</v>
      </c>
    </row>
    <row r="9" customFormat="false" ht="15" hidden="false" customHeight="false" outlineLevel="0" collapsed="false">
      <c r="A9" s="23" t="s">
        <v>45</v>
      </c>
      <c r="B9" s="19" t="n">
        <f aca="false">COUNTIFS(C14:C200,"FAT",J14:J200,"Deferred")</f>
        <v>0</v>
      </c>
      <c r="C9" s="19" t="n">
        <f aca="false">COUNTIFS(C14:C200,"SAT",J14:J200,"Deferred")</f>
        <v>0</v>
      </c>
      <c r="D9" s="20" t="n">
        <f aca="false">B9+C9</f>
        <v>0</v>
      </c>
      <c r="E9" s="19"/>
      <c r="G9" s="21" t="s">
        <v>46</v>
      </c>
      <c r="H9" s="20" t="n">
        <f aca="false">SUMPRODUCT((C14:C200="FAT")*((J14:J200="Pass")+(J14:J200="Conditional Pass")))-SUMPRODUCT((C14:C200="SAT")*((J14:J200="Pass")+(J14:J200="Conditional Pass")))</f>
        <v>1</v>
      </c>
      <c r="I9" s="24" t="n">
        <f aca="false">IF(H5=0,"",H9/H5)</f>
        <v>0.25</v>
      </c>
      <c r="J9" s="22" t="str">
        <f aca="false">REPT("█",ROUND(IF(H5=0,0,IF(ISNUMBER(H9),H9/H5,0))*15,0))</f>
        <v>████</v>
      </c>
    </row>
    <row r="10" customFormat="false" ht="15" hidden="false" customHeight="true" outlineLevel="0" collapsed="false">
      <c r="A10" s="25" t="s">
        <v>47</v>
      </c>
      <c r="B10" s="25"/>
      <c r="C10" s="25"/>
      <c r="D10" s="20" t="n">
        <f aca="false">SUM(K14:K200)</f>
        <v>18</v>
      </c>
      <c r="E10" s="25" t="s">
        <v>48</v>
      </c>
      <c r="F10" s="25"/>
      <c r="G10" s="25"/>
      <c r="H10" s="20" t="n">
        <f aca="false">SUM(L14:L200)</f>
        <v>7</v>
      </c>
    </row>
    <row r="12" customFormat="false" ht="22.35" hidden="false" customHeight="true" outlineLevel="0" collapsed="false">
      <c r="A12" s="26" t="s">
        <v>49</v>
      </c>
      <c r="B12" s="26"/>
      <c r="C12" s="26"/>
      <c r="D12" s="26"/>
      <c r="E12" s="26"/>
      <c r="F12" s="26"/>
      <c r="G12" s="26" t="s">
        <v>50</v>
      </c>
      <c r="H12" s="26"/>
      <c r="I12" s="26"/>
      <c r="J12" s="26" t="s">
        <v>51</v>
      </c>
      <c r="K12" s="26"/>
      <c r="L12" s="26"/>
      <c r="M12" s="26"/>
      <c r="N12" s="26"/>
      <c r="O12" s="27" t="s">
        <v>52</v>
      </c>
      <c r="P12" s="27"/>
      <c r="Q12" s="27"/>
      <c r="R12" s="27"/>
    </row>
    <row r="13" customFormat="false" ht="30" hidden="false" customHeight="true" outlineLevel="0" collapsed="false">
      <c r="A13" s="28" t="s">
        <v>53</v>
      </c>
      <c r="B13" s="28" t="s">
        <v>54</v>
      </c>
      <c r="C13" s="28" t="s">
        <v>55</v>
      </c>
      <c r="D13" s="28" t="s">
        <v>56</v>
      </c>
      <c r="E13" s="28" t="s">
        <v>57</v>
      </c>
      <c r="F13" s="28" t="s">
        <v>58</v>
      </c>
      <c r="G13" s="28" t="s">
        <v>59</v>
      </c>
      <c r="H13" s="28" t="s">
        <v>60</v>
      </c>
      <c r="I13" s="28" t="s">
        <v>61</v>
      </c>
      <c r="J13" s="28" t="s">
        <v>62</v>
      </c>
      <c r="K13" s="28" t="s">
        <v>63</v>
      </c>
      <c r="L13" s="28" t="s">
        <v>64</v>
      </c>
      <c r="M13" s="28" t="s">
        <v>65</v>
      </c>
      <c r="N13" s="28" t="s">
        <v>66</v>
      </c>
      <c r="O13" s="28" t="s">
        <v>67</v>
      </c>
      <c r="P13" s="28" t="s">
        <v>68</v>
      </c>
      <c r="Q13" s="28" t="s">
        <v>69</v>
      </c>
      <c r="R13" s="28" t="s">
        <v>70</v>
      </c>
    </row>
    <row r="14" customFormat="false" ht="27.75" hidden="false" customHeight="true" outlineLevel="0" collapsed="false">
      <c r="A14" s="19" t="n">
        <f aca="false">IF(COUNTA(B14:N14)=0,"",ROW()-13)</f>
        <v>1</v>
      </c>
      <c r="B14" s="29" t="s">
        <v>71</v>
      </c>
      <c r="C14" s="17" t="s">
        <v>29</v>
      </c>
      <c r="D14" s="29" t="s">
        <v>72</v>
      </c>
      <c r="E14" s="30" t="s">
        <v>73</v>
      </c>
      <c r="F14" s="30" t="s">
        <v>74</v>
      </c>
      <c r="G14" s="31" t="n">
        <v>45979</v>
      </c>
      <c r="H14" s="30" t="s">
        <v>75</v>
      </c>
      <c r="I14" s="30" t="s">
        <v>76</v>
      </c>
      <c r="J14" s="17" t="s">
        <v>39</v>
      </c>
      <c r="K14" s="29" t="n">
        <v>2</v>
      </c>
      <c r="L14" s="29" t="n">
        <v>0</v>
      </c>
      <c r="M14" s="32" t="str">
        <f aca="false">IF(D14="","",IF(AND(COUNTIFS(D$14:D$200,D14,C$14:C$200,"FAT",J$14:J$200,"Pass")+COUNTIFS(D$14:D$200,D14,C$14:C$200,"FAT",J$14:J$200,"Conditional Pass")&gt;0,COUNTIFS(D$14:D$200,D14,C$14:C$200,"SAT",J$14:J$200,"Pass")+COUNTIFS(D$14:D$200,D14,C$14:C$200,"SAT",J$14:J$200,"Conditional Pass")&gt;0),"FAT+SAT Complete",IF(COUNTIFS(D$14:D$200,D14,C$14:C$200,"SAT",J$14:J$200,"Pass")+COUNTIFS(D$14:D$200,D14,C$14:C$200,"SAT",J$14:J$200,"Conditional Pass")&gt;0,"SAT Only",IF(COUNTIFS(D$14:D$200,D14,C$14:C$200,"FAT",J$14:J$200,"Pass")+COUNTIFS(D$14:D$200,D14,C$14:C$200,"FAT",J$14:J$200,"Conditional Pass")&gt;0,"FAT Only — Awaiting SAT","Not Passed"))))</f>
        <v>FAT+SAT Complete</v>
      </c>
      <c r="N14" s="30" t="s">
        <v>77</v>
      </c>
      <c r="O14" s="30" t="s">
        <v>78</v>
      </c>
      <c r="P14" s="30" t="s">
        <v>79</v>
      </c>
      <c r="Q14" s="30"/>
      <c r="R14" s="31"/>
    </row>
    <row r="15" customFormat="false" ht="27.75" hidden="false" customHeight="true" outlineLevel="0" collapsed="false">
      <c r="A15" s="19" t="n">
        <f aca="false">IF(COUNTA(B15:N15)=0,"",ROW()-13)</f>
        <v>2</v>
      </c>
      <c r="B15" s="29" t="s">
        <v>80</v>
      </c>
      <c r="C15" s="17" t="s">
        <v>29</v>
      </c>
      <c r="D15" s="29" t="s">
        <v>81</v>
      </c>
      <c r="E15" s="30" t="s">
        <v>82</v>
      </c>
      <c r="F15" s="30" t="s">
        <v>83</v>
      </c>
      <c r="G15" s="31" t="n">
        <v>45996</v>
      </c>
      <c r="H15" s="30" t="s">
        <v>84</v>
      </c>
      <c r="I15" s="30" t="s">
        <v>85</v>
      </c>
      <c r="J15" s="17" t="s">
        <v>41</v>
      </c>
      <c r="K15" s="29" t="n">
        <v>5</v>
      </c>
      <c r="L15" s="29" t="n">
        <v>2</v>
      </c>
      <c r="M15" s="32" t="str">
        <f aca="false">IF(D15="","",IF(AND(COUNTIFS(D$14:D$200,D15,C$14:C$200,"FAT",J$14:J$200,"Pass")+COUNTIFS(D$14:D$200,D15,C$14:C$200,"FAT",J$14:J$200,"Conditional Pass")&gt;0,COUNTIFS(D$14:D$200,D15,C$14:C$200,"SAT",J$14:J$200,"Pass")+COUNTIFS(D$14:D$200,D15,C$14:C$200,"SAT",J$14:J$200,"Conditional Pass")&gt;0),"FAT+SAT Complete",IF(COUNTIFS(D$14:D$200,D15,C$14:C$200,"SAT",J$14:J$200,"Pass")+COUNTIFS(D$14:D$200,D15,C$14:C$200,"SAT",J$14:J$200,"Conditional Pass")&gt;0,"SAT Only",IF(COUNTIFS(D$14:D$200,D15,C$14:C$200,"FAT",J$14:J$200,"Pass")+COUNTIFS(D$14:D$200,D15,C$14:C$200,"FAT",J$14:J$200,"Conditional Pass")&gt;0,"FAT Only — Awaiting SAT","Not Passed"))))</f>
        <v>FAT+SAT Complete</v>
      </c>
      <c r="N15" s="30" t="s">
        <v>86</v>
      </c>
      <c r="O15" s="30" t="s">
        <v>87</v>
      </c>
      <c r="P15" s="30" t="s">
        <v>88</v>
      </c>
      <c r="Q15" s="30" t="s">
        <v>89</v>
      </c>
      <c r="R15" s="31"/>
    </row>
    <row r="16" customFormat="false" ht="27.75" hidden="false" customHeight="true" outlineLevel="0" collapsed="false">
      <c r="A16" s="19" t="n">
        <f aca="false">IF(COUNTA(B16:N16)=0,"",ROW()-13)</f>
        <v>3</v>
      </c>
      <c r="B16" s="29" t="s">
        <v>90</v>
      </c>
      <c r="C16" s="17" t="s">
        <v>29</v>
      </c>
      <c r="D16" s="29" t="s">
        <v>91</v>
      </c>
      <c r="E16" s="30" t="s">
        <v>92</v>
      </c>
      <c r="F16" s="30" t="s">
        <v>93</v>
      </c>
      <c r="G16" s="31" t="n">
        <v>46036</v>
      </c>
      <c r="H16" s="30" t="s">
        <v>94</v>
      </c>
      <c r="I16" s="30" t="s">
        <v>95</v>
      </c>
      <c r="J16" s="17" t="s">
        <v>39</v>
      </c>
      <c r="K16" s="29" t="n">
        <v>0</v>
      </c>
      <c r="L16" s="29" t="n">
        <v>0</v>
      </c>
      <c r="M16" s="32" t="str">
        <f aca="false">IF(D16="","",IF(AND(COUNTIFS(D$14:D$200,D16,C$14:C$200,"FAT",J$14:J$200,"Pass")+COUNTIFS(D$14:D$200,D16,C$14:C$200,"FAT",J$14:J$200,"Conditional Pass")&gt;0,COUNTIFS(D$14:D$200,D16,C$14:C$200,"SAT",J$14:J$200,"Pass")+COUNTIFS(D$14:D$200,D16,C$14:C$200,"SAT",J$14:J$200,"Conditional Pass")&gt;0),"FAT+SAT Complete",IF(COUNTIFS(D$14:D$200,D16,C$14:C$200,"SAT",J$14:J$200,"Pass")+COUNTIFS(D$14:D$200,D16,C$14:C$200,"SAT",J$14:J$200,"Conditional Pass")&gt;0,"SAT Only",IF(COUNTIFS(D$14:D$200,D16,C$14:C$200,"FAT",J$14:J$200,"Pass")+COUNTIFS(D$14:D$200,D16,C$14:C$200,"FAT",J$14:J$200,"Conditional Pass")&gt;0,"FAT Only — Awaiting SAT","Not Passed"))))</f>
        <v>FAT Only — Awaiting SAT</v>
      </c>
      <c r="N16" s="30" t="s">
        <v>96</v>
      </c>
      <c r="O16" s="30" t="s">
        <v>97</v>
      </c>
      <c r="P16" s="30" t="s">
        <v>98</v>
      </c>
      <c r="Q16" s="30"/>
      <c r="R16" s="31"/>
    </row>
    <row r="17" customFormat="false" ht="27.75" hidden="false" customHeight="true" outlineLevel="0" collapsed="false">
      <c r="A17" s="19" t="n">
        <f aca="false">IF(COUNTA(B17:N17)=0,"",ROW()-13)</f>
        <v>4</v>
      </c>
      <c r="B17" s="29" t="s">
        <v>99</v>
      </c>
      <c r="C17" s="17" t="s">
        <v>30</v>
      </c>
      <c r="D17" s="29" t="s">
        <v>72</v>
      </c>
      <c r="E17" s="30" t="s">
        <v>73</v>
      </c>
      <c r="F17" s="30" t="s">
        <v>74</v>
      </c>
      <c r="G17" s="31" t="n">
        <v>46081</v>
      </c>
      <c r="H17" s="30" t="s">
        <v>100</v>
      </c>
      <c r="I17" s="30" t="s">
        <v>101</v>
      </c>
      <c r="J17" s="17" t="s">
        <v>39</v>
      </c>
      <c r="K17" s="29" t="n">
        <v>0</v>
      </c>
      <c r="L17" s="29" t="n">
        <v>0</v>
      </c>
      <c r="M17" s="32" t="str">
        <f aca="false">IF(D17="","",IF(AND(COUNTIFS(D$14:D$200,D17,C$14:C$200,"FAT",J$14:J$200,"Pass")+COUNTIFS(D$14:D$200,D17,C$14:C$200,"FAT",J$14:J$200,"Conditional Pass")&gt;0,COUNTIFS(D$14:D$200,D17,C$14:C$200,"SAT",J$14:J$200,"Pass")+COUNTIFS(D$14:D$200,D17,C$14:C$200,"SAT",J$14:J$200,"Conditional Pass")&gt;0),"FAT+SAT Complete",IF(COUNTIFS(D$14:D$200,D17,C$14:C$200,"SAT",J$14:J$200,"Pass")+COUNTIFS(D$14:D$200,D17,C$14:C$200,"SAT",J$14:J$200,"Conditional Pass")&gt;0,"SAT Only",IF(COUNTIFS(D$14:D$200,D17,C$14:C$200,"FAT",J$14:J$200,"Pass")+COUNTIFS(D$14:D$200,D17,C$14:C$200,"FAT",J$14:J$200,"Conditional Pass")&gt;0,"FAT Only — Awaiting SAT","Not Passed"))))</f>
        <v>FAT+SAT Complete</v>
      </c>
      <c r="N17" s="30" t="s">
        <v>102</v>
      </c>
      <c r="O17" s="30" t="s">
        <v>78</v>
      </c>
      <c r="P17" s="30" t="s">
        <v>103</v>
      </c>
      <c r="Q17" s="30"/>
      <c r="R17" s="31"/>
    </row>
    <row r="18" customFormat="false" ht="27.75" hidden="false" customHeight="true" outlineLevel="0" collapsed="false">
      <c r="A18" s="19" t="n">
        <f aca="false">IF(COUNTA(B18:N18)=0,"",ROW()-13)</f>
        <v>5</v>
      </c>
      <c r="B18" s="29" t="s">
        <v>104</v>
      </c>
      <c r="C18" s="17" t="s">
        <v>29</v>
      </c>
      <c r="D18" s="29" t="s">
        <v>105</v>
      </c>
      <c r="E18" s="30" t="s">
        <v>106</v>
      </c>
      <c r="F18" s="30" t="s">
        <v>107</v>
      </c>
      <c r="G18" s="31" t="n">
        <v>46063</v>
      </c>
      <c r="H18" s="30" t="s">
        <v>108</v>
      </c>
      <c r="I18" s="30" t="s">
        <v>109</v>
      </c>
      <c r="J18" s="17" t="s">
        <v>43</v>
      </c>
      <c r="K18" s="29" t="n">
        <v>8</v>
      </c>
      <c r="L18" s="29" t="n">
        <v>4</v>
      </c>
      <c r="M18" s="32" t="str">
        <f aca="false">IF(D18="","",IF(AND(COUNTIFS(D$14:D$200,D18,C$14:C$200,"FAT",J$14:J$200,"Pass")+COUNTIFS(D$14:D$200,D18,C$14:C$200,"FAT",J$14:J$200,"Conditional Pass")&gt;0,COUNTIFS(D$14:D$200,D18,C$14:C$200,"SAT",J$14:J$200,"Pass")+COUNTIFS(D$14:D$200,D18,C$14:C$200,"SAT",J$14:J$200,"Conditional Pass")&gt;0),"FAT+SAT Complete",IF(COUNTIFS(D$14:D$200,D18,C$14:C$200,"SAT",J$14:J$200,"Pass")+COUNTIFS(D$14:D$200,D18,C$14:C$200,"SAT",J$14:J$200,"Conditional Pass")&gt;0,"SAT Only",IF(COUNTIFS(D$14:D$200,D18,C$14:C$200,"FAT",J$14:J$200,"Pass")+COUNTIFS(D$14:D$200,D18,C$14:C$200,"FAT",J$14:J$200,"Conditional Pass")&gt;0,"FAT Only — Awaiting SAT","Not Passed"))))</f>
        <v>Not Passed</v>
      </c>
      <c r="N18" s="30" t="s">
        <v>110</v>
      </c>
      <c r="O18" s="30" t="s">
        <v>111</v>
      </c>
      <c r="P18" s="30" t="s">
        <v>112</v>
      </c>
      <c r="Q18" s="30" t="s">
        <v>113</v>
      </c>
      <c r="R18" s="31" t="n">
        <v>46109</v>
      </c>
    </row>
    <row r="19" customFormat="false" ht="27.75" hidden="false" customHeight="true" outlineLevel="0" collapsed="false">
      <c r="A19" s="19" t="n">
        <f aca="false">IF(COUNTA(B19:N19)=0,"",ROW()-13)</f>
        <v>6</v>
      </c>
      <c r="B19" s="29" t="s">
        <v>114</v>
      </c>
      <c r="C19" s="17" t="s">
        <v>30</v>
      </c>
      <c r="D19" s="29" t="s">
        <v>81</v>
      </c>
      <c r="E19" s="30" t="s">
        <v>82</v>
      </c>
      <c r="F19" s="30" t="s">
        <v>83</v>
      </c>
      <c r="G19" s="31" t="n">
        <v>46093</v>
      </c>
      <c r="H19" s="30" t="s">
        <v>115</v>
      </c>
      <c r="I19" s="30" t="s">
        <v>116</v>
      </c>
      <c r="J19" s="17" t="s">
        <v>41</v>
      </c>
      <c r="K19" s="29" t="n">
        <v>3</v>
      </c>
      <c r="L19" s="29" t="n">
        <v>1</v>
      </c>
      <c r="M19" s="32" t="str">
        <f aca="false">IF(D19="","",IF(AND(COUNTIFS(D$14:D$200,D19,C$14:C$200,"FAT",J$14:J$200,"Pass")+COUNTIFS(D$14:D$200,D19,C$14:C$200,"FAT",J$14:J$200,"Conditional Pass")&gt;0,COUNTIFS(D$14:D$200,D19,C$14:C$200,"SAT",J$14:J$200,"Pass")+COUNTIFS(D$14:D$200,D19,C$14:C$200,"SAT",J$14:J$200,"Conditional Pass")&gt;0),"FAT+SAT Complete",IF(COUNTIFS(D$14:D$200,D19,C$14:C$200,"SAT",J$14:J$200,"Pass")+COUNTIFS(D$14:D$200,D19,C$14:C$200,"SAT",J$14:J$200,"Conditional Pass")&gt;0,"SAT Only",IF(COUNTIFS(D$14:D$200,D19,C$14:C$200,"FAT",J$14:J$200,"Pass")+COUNTIFS(D$14:D$200,D19,C$14:C$200,"FAT",J$14:J$200,"Conditional Pass")&gt;0,"FAT Only — Awaiting SAT","Not Passed"))))</f>
        <v>FAT+SAT Complete</v>
      </c>
      <c r="N19" s="30" t="s">
        <v>117</v>
      </c>
      <c r="O19" s="30" t="s">
        <v>87</v>
      </c>
      <c r="P19" s="30" t="s">
        <v>118</v>
      </c>
      <c r="Q19" s="30" t="s">
        <v>119</v>
      </c>
      <c r="R19" s="31"/>
    </row>
    <row r="20" customFormat="false" ht="15" hidden="false" customHeight="false" outlineLevel="0" collapsed="false">
      <c r="A20" s="19" t="n">
        <f aca="false">IF(COUNTA(B20:N20)=0,"",ROW()-13)</f>
        <v>7</v>
      </c>
      <c r="B20" s="29"/>
      <c r="C20" s="29"/>
      <c r="D20" s="29"/>
      <c r="E20" s="29"/>
      <c r="F20" s="29"/>
      <c r="G20" s="31"/>
      <c r="H20" s="29"/>
      <c r="I20" s="29"/>
      <c r="J20" s="29"/>
      <c r="K20" s="29"/>
      <c r="L20" s="29"/>
      <c r="M20" s="32" t="str">
        <f aca="false">IF(D20="","",IF(AND(COUNTIFS(D$14:D$200,D20,C$14:C$200,"FAT",J$14:J$200,"Pass")+COUNTIFS(D$14:D$200,D20,C$14:C$200,"FAT",J$14:J$200,"Conditional Pass")&gt;0,COUNTIFS(D$14:D$200,D20,C$14:C$200,"SAT",J$14:J$200,"Pass")+COUNTIFS(D$14:D$200,D20,C$14:C$200,"SAT",J$14:J$200,"Conditional Pass")&gt;0),"FAT+SAT Complete",IF(COUNTIFS(D$14:D$200,D20,C$14:C$200,"SAT",J$14:J$200,"Pass")+COUNTIFS(D$14:D$200,D20,C$14:C$200,"SAT",J$14:J$200,"Conditional Pass")&gt;0,"SAT Only",IF(COUNTIFS(D$14:D$200,D20,C$14:C$200,"FAT",J$14:J$200,"Pass")+COUNTIFS(D$14:D$200,D20,C$14:C$200,"FAT",J$14:J$200,"Conditional Pass")&gt;0,"FAT Only — Awaiting SAT","Not Passed"))))</f>
        <v/>
      </c>
      <c r="N20" s="29"/>
      <c r="O20" s="29"/>
      <c r="P20" s="29"/>
      <c r="Q20" s="29"/>
      <c r="R20" s="31"/>
    </row>
    <row r="21" customFormat="false" ht="15" hidden="false" customHeight="false" outlineLevel="0" collapsed="false">
      <c r="A21" s="19" t="n">
        <f aca="false">IF(COUNTA(B21:N21)=0,"",ROW()-13)</f>
        <v>8</v>
      </c>
      <c r="B21" s="29"/>
      <c r="C21" s="29"/>
      <c r="D21" s="29"/>
      <c r="E21" s="29"/>
      <c r="F21" s="29"/>
      <c r="G21" s="31"/>
      <c r="H21" s="29"/>
      <c r="I21" s="29"/>
      <c r="J21" s="29"/>
      <c r="K21" s="29"/>
      <c r="L21" s="29"/>
      <c r="M21" s="32" t="str">
        <f aca="false">IF(D21="","",IF(AND(COUNTIFS(D$14:D$200,D21,C$14:C$200,"FAT",J$14:J$200,"Pass")+COUNTIFS(D$14:D$200,D21,C$14:C$200,"FAT",J$14:J$200,"Conditional Pass")&gt;0,COUNTIFS(D$14:D$200,D21,C$14:C$200,"SAT",J$14:J$200,"Pass")+COUNTIFS(D$14:D$200,D21,C$14:C$200,"SAT",J$14:J$200,"Conditional Pass")&gt;0),"FAT+SAT Complete",IF(COUNTIFS(D$14:D$200,D21,C$14:C$200,"SAT",J$14:J$200,"Pass")+COUNTIFS(D$14:D$200,D21,C$14:C$200,"SAT",J$14:J$200,"Conditional Pass")&gt;0,"SAT Only",IF(COUNTIFS(D$14:D$200,D21,C$14:C$200,"FAT",J$14:J$200,"Pass")+COUNTIFS(D$14:D$200,D21,C$14:C$200,"FAT",J$14:J$200,"Conditional Pass")&gt;0,"FAT Only — Awaiting SAT","Not Passed"))))</f>
        <v/>
      </c>
      <c r="N21" s="29"/>
      <c r="O21" s="29"/>
      <c r="P21" s="29"/>
      <c r="Q21" s="29"/>
      <c r="R21" s="31"/>
    </row>
    <row r="22" customFormat="false" ht="15" hidden="false" customHeight="false" outlineLevel="0" collapsed="false">
      <c r="A22" s="19" t="n">
        <f aca="false">IF(COUNTA(B22:N22)=0,"",ROW()-13)</f>
        <v>9</v>
      </c>
      <c r="B22" s="29"/>
      <c r="C22" s="29"/>
      <c r="D22" s="29"/>
      <c r="E22" s="29"/>
      <c r="F22" s="29"/>
      <c r="G22" s="31"/>
      <c r="H22" s="29"/>
      <c r="I22" s="29"/>
      <c r="J22" s="29"/>
      <c r="K22" s="29"/>
      <c r="L22" s="29"/>
      <c r="M22" s="32" t="str">
        <f aca="false">IF(D22="","",IF(AND(COUNTIFS(D$14:D$200,D22,C$14:C$200,"FAT",J$14:J$200,"Pass")+COUNTIFS(D$14:D$200,D22,C$14:C$200,"FAT",J$14:J$200,"Conditional Pass")&gt;0,COUNTIFS(D$14:D$200,D22,C$14:C$200,"SAT",J$14:J$200,"Pass")+COUNTIFS(D$14:D$200,D22,C$14:C$200,"SAT",J$14:J$200,"Conditional Pass")&gt;0),"FAT+SAT Complete",IF(COUNTIFS(D$14:D$200,D22,C$14:C$200,"SAT",J$14:J$200,"Pass")+COUNTIFS(D$14:D$200,D22,C$14:C$200,"SAT",J$14:J$200,"Conditional Pass")&gt;0,"SAT Only",IF(COUNTIFS(D$14:D$200,D22,C$14:C$200,"FAT",J$14:J$200,"Pass")+COUNTIFS(D$14:D$200,D22,C$14:C$200,"FAT",J$14:J$200,"Conditional Pass")&gt;0,"FAT Only — Awaiting SAT","Not Passed"))))</f>
        <v/>
      </c>
      <c r="N22" s="29"/>
      <c r="O22" s="29"/>
      <c r="P22" s="29"/>
      <c r="Q22" s="29"/>
      <c r="R22" s="31"/>
    </row>
    <row r="23" customFormat="false" ht="15" hidden="false" customHeight="false" outlineLevel="0" collapsed="false">
      <c r="A23" s="19" t="n">
        <f aca="false">IF(COUNTA(B23:N23)=0,"",ROW()-13)</f>
        <v>10</v>
      </c>
      <c r="B23" s="29"/>
      <c r="C23" s="29"/>
      <c r="D23" s="29"/>
      <c r="E23" s="29"/>
      <c r="F23" s="29"/>
      <c r="G23" s="31"/>
      <c r="H23" s="29"/>
      <c r="I23" s="29"/>
      <c r="J23" s="29"/>
      <c r="K23" s="29"/>
      <c r="L23" s="29"/>
      <c r="M23" s="32" t="str">
        <f aca="false">IF(D23="","",IF(AND(COUNTIFS(D$14:D$200,D23,C$14:C$200,"FAT",J$14:J$200,"Pass")+COUNTIFS(D$14:D$200,D23,C$14:C$200,"FAT",J$14:J$200,"Conditional Pass")&gt;0,COUNTIFS(D$14:D$200,D23,C$14:C$200,"SAT",J$14:J$200,"Pass")+COUNTIFS(D$14:D$200,D23,C$14:C$200,"SAT",J$14:J$200,"Conditional Pass")&gt;0),"FAT+SAT Complete",IF(COUNTIFS(D$14:D$200,D23,C$14:C$200,"SAT",J$14:J$200,"Pass")+COUNTIFS(D$14:D$200,D23,C$14:C$200,"SAT",J$14:J$200,"Conditional Pass")&gt;0,"SAT Only",IF(COUNTIFS(D$14:D$200,D23,C$14:C$200,"FAT",J$14:J$200,"Pass")+COUNTIFS(D$14:D$200,D23,C$14:C$200,"FAT",J$14:J$200,"Conditional Pass")&gt;0,"FAT Only — Awaiting SAT","Not Passed"))))</f>
        <v/>
      </c>
      <c r="N23" s="29"/>
      <c r="O23" s="29"/>
      <c r="P23" s="29"/>
      <c r="Q23" s="29"/>
      <c r="R23" s="31"/>
    </row>
    <row r="24" customFormat="false" ht="15" hidden="false" customHeight="false" outlineLevel="0" collapsed="false">
      <c r="A24" s="19" t="n">
        <f aca="false">IF(COUNTA(B24:N24)=0,"",ROW()-13)</f>
        <v>11</v>
      </c>
      <c r="B24" s="29"/>
      <c r="C24" s="29"/>
      <c r="D24" s="29"/>
      <c r="E24" s="29"/>
      <c r="F24" s="29"/>
      <c r="G24" s="31"/>
      <c r="H24" s="29"/>
      <c r="I24" s="29"/>
      <c r="J24" s="29"/>
      <c r="K24" s="29"/>
      <c r="L24" s="29"/>
      <c r="M24" s="32" t="str">
        <f aca="false">IF(D24="","",IF(AND(COUNTIFS(D$14:D$200,D24,C$14:C$200,"FAT",J$14:J$200,"Pass")+COUNTIFS(D$14:D$200,D24,C$14:C$200,"FAT",J$14:J$200,"Conditional Pass")&gt;0,COUNTIFS(D$14:D$200,D24,C$14:C$200,"SAT",J$14:J$200,"Pass")+COUNTIFS(D$14:D$200,D24,C$14:C$200,"SAT",J$14:J$200,"Conditional Pass")&gt;0),"FAT+SAT Complete",IF(COUNTIFS(D$14:D$200,D24,C$14:C$200,"SAT",J$14:J$200,"Pass")+COUNTIFS(D$14:D$200,D24,C$14:C$200,"SAT",J$14:J$200,"Conditional Pass")&gt;0,"SAT Only",IF(COUNTIFS(D$14:D$200,D24,C$14:C$200,"FAT",J$14:J$200,"Pass")+COUNTIFS(D$14:D$200,D24,C$14:C$200,"FAT",J$14:J$200,"Conditional Pass")&gt;0,"FAT Only — Awaiting SAT","Not Passed"))))</f>
        <v/>
      </c>
      <c r="N24" s="29"/>
      <c r="O24" s="29"/>
      <c r="P24" s="29"/>
      <c r="Q24" s="29"/>
      <c r="R24" s="31"/>
    </row>
    <row r="25" customFormat="false" ht="15" hidden="false" customHeight="false" outlineLevel="0" collapsed="false">
      <c r="A25" s="19" t="n">
        <f aca="false">IF(COUNTA(B25:N25)=0,"",ROW()-13)</f>
        <v>12</v>
      </c>
      <c r="B25" s="29"/>
      <c r="C25" s="29"/>
      <c r="D25" s="29"/>
      <c r="E25" s="29"/>
      <c r="F25" s="29"/>
      <c r="G25" s="31"/>
      <c r="H25" s="29"/>
      <c r="I25" s="29"/>
      <c r="J25" s="29"/>
      <c r="K25" s="29"/>
      <c r="L25" s="29"/>
      <c r="M25" s="32" t="str">
        <f aca="false">IF(D25="","",IF(AND(COUNTIFS(D$14:D$200,D25,C$14:C$200,"FAT",J$14:J$200,"Pass")+COUNTIFS(D$14:D$200,D25,C$14:C$200,"FAT",J$14:J$200,"Conditional Pass")&gt;0,COUNTIFS(D$14:D$200,D25,C$14:C$200,"SAT",J$14:J$200,"Pass")+COUNTIFS(D$14:D$200,D25,C$14:C$200,"SAT",J$14:J$200,"Conditional Pass")&gt;0),"FAT+SAT Complete",IF(COUNTIFS(D$14:D$200,D25,C$14:C$200,"SAT",J$14:J$200,"Pass")+COUNTIFS(D$14:D$200,D25,C$14:C$200,"SAT",J$14:J$200,"Conditional Pass")&gt;0,"SAT Only",IF(COUNTIFS(D$14:D$200,D25,C$14:C$200,"FAT",J$14:J$200,"Pass")+COUNTIFS(D$14:D$200,D25,C$14:C$200,"FAT",J$14:J$200,"Conditional Pass")&gt;0,"FAT Only — Awaiting SAT","Not Passed"))))</f>
        <v/>
      </c>
      <c r="N25" s="29"/>
      <c r="O25" s="29"/>
      <c r="P25" s="29"/>
      <c r="Q25" s="29"/>
      <c r="R25" s="31"/>
    </row>
    <row r="26" customFormat="false" ht="15" hidden="false" customHeight="false" outlineLevel="0" collapsed="false">
      <c r="A26" s="19" t="n">
        <f aca="false">IF(COUNTA(B26:N26)=0,"",ROW()-13)</f>
        <v>13</v>
      </c>
      <c r="B26" s="29"/>
      <c r="C26" s="29"/>
      <c r="D26" s="29"/>
      <c r="E26" s="29"/>
      <c r="F26" s="29"/>
      <c r="G26" s="31"/>
      <c r="H26" s="29"/>
      <c r="I26" s="29"/>
      <c r="J26" s="29"/>
      <c r="K26" s="29"/>
      <c r="L26" s="29"/>
      <c r="M26" s="32" t="str">
        <f aca="false">IF(D26="","",IF(AND(COUNTIFS(D$14:D$200,D26,C$14:C$200,"FAT",J$14:J$200,"Pass")+COUNTIFS(D$14:D$200,D26,C$14:C$200,"FAT",J$14:J$200,"Conditional Pass")&gt;0,COUNTIFS(D$14:D$200,D26,C$14:C$200,"SAT",J$14:J$200,"Pass")+COUNTIFS(D$14:D$200,D26,C$14:C$200,"SAT",J$14:J$200,"Conditional Pass")&gt;0),"FAT+SAT Complete",IF(COUNTIFS(D$14:D$200,D26,C$14:C$200,"SAT",J$14:J$200,"Pass")+COUNTIFS(D$14:D$200,D26,C$14:C$200,"SAT",J$14:J$200,"Conditional Pass")&gt;0,"SAT Only",IF(COUNTIFS(D$14:D$200,D26,C$14:C$200,"FAT",J$14:J$200,"Pass")+COUNTIFS(D$14:D$200,D26,C$14:C$200,"FAT",J$14:J$200,"Conditional Pass")&gt;0,"FAT Only — Awaiting SAT","Not Passed"))))</f>
        <v/>
      </c>
      <c r="N26" s="29"/>
      <c r="O26" s="29"/>
      <c r="P26" s="29"/>
      <c r="Q26" s="29"/>
      <c r="R26" s="31"/>
    </row>
    <row r="27" customFormat="false" ht="15" hidden="false" customHeight="false" outlineLevel="0" collapsed="false">
      <c r="A27" s="19" t="n">
        <f aca="false">IF(COUNTA(B27:N27)=0,"",ROW()-13)</f>
        <v>14</v>
      </c>
      <c r="B27" s="29"/>
      <c r="C27" s="29"/>
      <c r="D27" s="29"/>
      <c r="E27" s="29"/>
      <c r="F27" s="29"/>
      <c r="G27" s="31"/>
      <c r="H27" s="29"/>
      <c r="I27" s="29"/>
      <c r="J27" s="29"/>
      <c r="K27" s="29"/>
      <c r="L27" s="29"/>
      <c r="M27" s="32" t="str">
        <f aca="false">IF(D27="","",IF(AND(COUNTIFS(D$14:D$200,D27,C$14:C$200,"FAT",J$14:J$200,"Pass")+COUNTIFS(D$14:D$200,D27,C$14:C$200,"FAT",J$14:J$200,"Conditional Pass")&gt;0,COUNTIFS(D$14:D$200,D27,C$14:C$200,"SAT",J$14:J$200,"Pass")+COUNTIFS(D$14:D$200,D27,C$14:C$200,"SAT",J$14:J$200,"Conditional Pass")&gt;0),"FAT+SAT Complete",IF(COUNTIFS(D$14:D$200,D27,C$14:C$200,"SAT",J$14:J$200,"Pass")+COUNTIFS(D$14:D$200,D27,C$14:C$200,"SAT",J$14:J$200,"Conditional Pass")&gt;0,"SAT Only",IF(COUNTIFS(D$14:D$200,D27,C$14:C$200,"FAT",J$14:J$200,"Pass")+COUNTIFS(D$14:D$200,D27,C$14:C$200,"FAT",J$14:J$200,"Conditional Pass")&gt;0,"FAT Only — Awaiting SAT","Not Passed"))))</f>
        <v/>
      </c>
      <c r="N27" s="29"/>
      <c r="O27" s="29"/>
      <c r="P27" s="29"/>
      <c r="Q27" s="29"/>
      <c r="R27" s="31"/>
    </row>
    <row r="28" customFormat="false" ht="15" hidden="false" customHeight="false" outlineLevel="0" collapsed="false">
      <c r="A28" s="19" t="n">
        <f aca="false">IF(COUNTA(B28:N28)=0,"",ROW()-13)</f>
        <v>15</v>
      </c>
      <c r="B28" s="29"/>
      <c r="C28" s="29"/>
      <c r="D28" s="29"/>
      <c r="E28" s="29"/>
      <c r="F28" s="29"/>
      <c r="G28" s="31"/>
      <c r="H28" s="29"/>
      <c r="I28" s="29"/>
      <c r="J28" s="29"/>
      <c r="K28" s="29"/>
      <c r="L28" s="29"/>
      <c r="M28" s="32" t="str">
        <f aca="false">IF(D28="","",IF(AND(COUNTIFS(D$14:D$200,D28,C$14:C$200,"FAT",J$14:J$200,"Pass")+COUNTIFS(D$14:D$200,D28,C$14:C$200,"FAT",J$14:J$200,"Conditional Pass")&gt;0,COUNTIFS(D$14:D$200,D28,C$14:C$200,"SAT",J$14:J$200,"Pass")+COUNTIFS(D$14:D$200,D28,C$14:C$200,"SAT",J$14:J$200,"Conditional Pass")&gt;0),"FAT+SAT Complete",IF(COUNTIFS(D$14:D$200,D28,C$14:C$200,"SAT",J$14:J$200,"Pass")+COUNTIFS(D$14:D$200,D28,C$14:C$200,"SAT",J$14:J$200,"Conditional Pass")&gt;0,"SAT Only",IF(COUNTIFS(D$14:D$200,D28,C$14:C$200,"FAT",J$14:J$200,"Pass")+COUNTIFS(D$14:D$200,D28,C$14:C$200,"FAT",J$14:J$200,"Conditional Pass")&gt;0,"FAT Only — Awaiting SAT","Not Passed"))))</f>
        <v/>
      </c>
      <c r="N28" s="29"/>
      <c r="O28" s="29"/>
      <c r="P28" s="29"/>
      <c r="Q28" s="29"/>
      <c r="R28" s="31"/>
    </row>
    <row r="29" customFormat="false" ht="15" hidden="false" customHeight="false" outlineLevel="0" collapsed="false">
      <c r="A29" s="19" t="n">
        <f aca="false">IF(COUNTA(B29:N29)=0,"",ROW()-13)</f>
        <v>16</v>
      </c>
      <c r="B29" s="29"/>
      <c r="C29" s="29"/>
      <c r="D29" s="29"/>
      <c r="E29" s="29"/>
      <c r="F29" s="29"/>
      <c r="G29" s="31"/>
      <c r="H29" s="29"/>
      <c r="I29" s="29"/>
      <c r="J29" s="29"/>
      <c r="K29" s="29"/>
      <c r="L29" s="29"/>
      <c r="M29" s="32" t="str">
        <f aca="false">IF(D29="","",IF(AND(COUNTIFS(D$14:D$200,D29,C$14:C$200,"FAT",J$14:J$200,"Pass")+COUNTIFS(D$14:D$200,D29,C$14:C$200,"FAT",J$14:J$200,"Conditional Pass")&gt;0,COUNTIFS(D$14:D$200,D29,C$14:C$200,"SAT",J$14:J$200,"Pass")+COUNTIFS(D$14:D$200,D29,C$14:C$200,"SAT",J$14:J$200,"Conditional Pass")&gt;0),"FAT+SAT Complete",IF(COUNTIFS(D$14:D$200,D29,C$14:C$200,"SAT",J$14:J$200,"Pass")+COUNTIFS(D$14:D$200,D29,C$14:C$200,"SAT",J$14:J$200,"Conditional Pass")&gt;0,"SAT Only",IF(COUNTIFS(D$14:D$200,D29,C$14:C$200,"FAT",J$14:J$200,"Pass")+COUNTIFS(D$14:D$200,D29,C$14:C$200,"FAT",J$14:J$200,"Conditional Pass")&gt;0,"FAT Only — Awaiting SAT","Not Passed"))))</f>
        <v/>
      </c>
      <c r="N29" s="29"/>
      <c r="O29" s="29"/>
      <c r="P29" s="29"/>
      <c r="Q29" s="29"/>
      <c r="R29" s="31"/>
    </row>
    <row r="30" customFormat="false" ht="15" hidden="false" customHeight="false" outlineLevel="0" collapsed="false">
      <c r="A30" s="19" t="n">
        <f aca="false">IF(COUNTA(B30:N30)=0,"",ROW()-13)</f>
        <v>17</v>
      </c>
      <c r="B30" s="29"/>
      <c r="C30" s="29"/>
      <c r="D30" s="29"/>
      <c r="E30" s="29"/>
      <c r="F30" s="29"/>
      <c r="G30" s="31"/>
      <c r="H30" s="29"/>
      <c r="I30" s="29"/>
      <c r="J30" s="29"/>
      <c r="K30" s="29"/>
      <c r="L30" s="29"/>
      <c r="M30" s="32" t="str">
        <f aca="false">IF(D30="","",IF(AND(COUNTIFS(D$14:D$200,D30,C$14:C$200,"FAT",J$14:J$200,"Pass")+COUNTIFS(D$14:D$200,D30,C$14:C$200,"FAT",J$14:J$200,"Conditional Pass")&gt;0,COUNTIFS(D$14:D$200,D30,C$14:C$200,"SAT",J$14:J$200,"Pass")+COUNTIFS(D$14:D$200,D30,C$14:C$200,"SAT",J$14:J$200,"Conditional Pass")&gt;0),"FAT+SAT Complete",IF(COUNTIFS(D$14:D$200,D30,C$14:C$200,"SAT",J$14:J$200,"Pass")+COUNTIFS(D$14:D$200,D30,C$14:C$200,"SAT",J$14:J$200,"Conditional Pass")&gt;0,"SAT Only",IF(COUNTIFS(D$14:D$200,D30,C$14:C$200,"FAT",J$14:J$200,"Pass")+COUNTIFS(D$14:D$200,D30,C$14:C$200,"FAT",J$14:J$200,"Conditional Pass")&gt;0,"FAT Only — Awaiting SAT","Not Passed"))))</f>
        <v/>
      </c>
      <c r="N30" s="29"/>
      <c r="O30" s="29"/>
      <c r="P30" s="29"/>
      <c r="Q30" s="29"/>
      <c r="R30" s="31"/>
    </row>
    <row r="31" customFormat="false" ht="15" hidden="false" customHeight="false" outlineLevel="0" collapsed="false">
      <c r="A31" s="19" t="n">
        <f aca="false">IF(COUNTA(B31:N31)=0,"",ROW()-13)</f>
        <v>18</v>
      </c>
      <c r="B31" s="29"/>
      <c r="C31" s="29"/>
      <c r="D31" s="29"/>
      <c r="E31" s="29"/>
      <c r="F31" s="29"/>
      <c r="G31" s="31"/>
      <c r="H31" s="29"/>
      <c r="I31" s="29"/>
      <c r="J31" s="29"/>
      <c r="K31" s="29"/>
      <c r="L31" s="29"/>
      <c r="M31" s="32" t="str">
        <f aca="false">IF(D31="","",IF(AND(COUNTIFS(D$14:D$200,D31,C$14:C$200,"FAT",J$14:J$200,"Pass")+COUNTIFS(D$14:D$200,D31,C$14:C$200,"FAT",J$14:J$200,"Conditional Pass")&gt;0,COUNTIFS(D$14:D$200,D31,C$14:C$200,"SAT",J$14:J$200,"Pass")+COUNTIFS(D$14:D$200,D31,C$14:C$200,"SAT",J$14:J$200,"Conditional Pass")&gt;0),"FAT+SAT Complete",IF(COUNTIFS(D$14:D$200,D31,C$14:C$200,"SAT",J$14:J$200,"Pass")+COUNTIFS(D$14:D$200,D31,C$14:C$200,"SAT",J$14:J$200,"Conditional Pass")&gt;0,"SAT Only",IF(COUNTIFS(D$14:D$200,D31,C$14:C$200,"FAT",J$14:J$200,"Pass")+COUNTIFS(D$14:D$200,D31,C$14:C$200,"FAT",J$14:J$200,"Conditional Pass")&gt;0,"FAT Only — Awaiting SAT","Not Passed"))))</f>
        <v/>
      </c>
      <c r="N31" s="29"/>
      <c r="O31" s="29"/>
      <c r="P31" s="29"/>
      <c r="Q31" s="29"/>
      <c r="R31" s="31"/>
    </row>
    <row r="32" customFormat="false" ht="15" hidden="false" customHeight="false" outlineLevel="0" collapsed="false">
      <c r="A32" s="19" t="n">
        <f aca="false">IF(COUNTA(B32:N32)=0,"",ROW()-13)</f>
        <v>19</v>
      </c>
      <c r="B32" s="29"/>
      <c r="C32" s="29"/>
      <c r="D32" s="29"/>
      <c r="E32" s="29"/>
      <c r="F32" s="29"/>
      <c r="G32" s="31"/>
      <c r="H32" s="29"/>
      <c r="I32" s="29"/>
      <c r="J32" s="29"/>
      <c r="K32" s="29"/>
      <c r="L32" s="29"/>
      <c r="M32" s="32" t="str">
        <f aca="false">IF(D32="","",IF(AND(COUNTIFS(D$14:D$200,D32,C$14:C$200,"FAT",J$14:J$200,"Pass")+COUNTIFS(D$14:D$200,D32,C$14:C$200,"FAT",J$14:J$200,"Conditional Pass")&gt;0,COUNTIFS(D$14:D$200,D32,C$14:C$200,"SAT",J$14:J$200,"Pass")+COUNTIFS(D$14:D$200,D32,C$14:C$200,"SAT",J$14:J$200,"Conditional Pass")&gt;0),"FAT+SAT Complete",IF(COUNTIFS(D$14:D$200,D32,C$14:C$200,"SAT",J$14:J$200,"Pass")+COUNTIFS(D$14:D$200,D32,C$14:C$200,"SAT",J$14:J$200,"Conditional Pass")&gt;0,"SAT Only",IF(COUNTIFS(D$14:D$200,D32,C$14:C$200,"FAT",J$14:J$200,"Pass")+COUNTIFS(D$14:D$200,D32,C$14:C$200,"FAT",J$14:J$200,"Conditional Pass")&gt;0,"FAT Only — Awaiting SAT","Not Passed"))))</f>
        <v/>
      </c>
      <c r="N32" s="29"/>
      <c r="O32" s="29"/>
      <c r="P32" s="29"/>
      <c r="Q32" s="29"/>
      <c r="R32" s="31"/>
    </row>
    <row r="33" customFormat="false" ht="15" hidden="false" customHeight="false" outlineLevel="0" collapsed="false">
      <c r="A33" s="19" t="n">
        <f aca="false">IF(COUNTA(B33:N33)=0,"",ROW()-13)</f>
        <v>20</v>
      </c>
      <c r="B33" s="29"/>
      <c r="C33" s="29"/>
      <c r="D33" s="29"/>
      <c r="E33" s="29"/>
      <c r="F33" s="29"/>
      <c r="G33" s="31"/>
      <c r="H33" s="29"/>
      <c r="I33" s="29"/>
      <c r="J33" s="29"/>
      <c r="K33" s="29"/>
      <c r="L33" s="29"/>
      <c r="M33" s="32" t="str">
        <f aca="false">IF(D33="","",IF(AND(COUNTIFS(D$14:D$200,D33,C$14:C$200,"FAT",J$14:J$200,"Pass")+COUNTIFS(D$14:D$200,D33,C$14:C$200,"FAT",J$14:J$200,"Conditional Pass")&gt;0,COUNTIFS(D$14:D$200,D33,C$14:C$200,"SAT",J$14:J$200,"Pass")+COUNTIFS(D$14:D$200,D33,C$14:C$200,"SAT",J$14:J$200,"Conditional Pass")&gt;0),"FAT+SAT Complete",IF(COUNTIFS(D$14:D$200,D33,C$14:C$200,"SAT",J$14:J$200,"Pass")+COUNTIFS(D$14:D$200,D33,C$14:C$200,"SAT",J$14:J$200,"Conditional Pass")&gt;0,"SAT Only",IF(COUNTIFS(D$14:D$200,D33,C$14:C$200,"FAT",J$14:J$200,"Pass")+COUNTIFS(D$14:D$200,D33,C$14:C$200,"FAT",J$14:J$200,"Conditional Pass")&gt;0,"FAT Only — Awaiting SAT","Not Passed"))))</f>
        <v/>
      </c>
      <c r="N33" s="29"/>
      <c r="O33" s="29"/>
      <c r="P33" s="29"/>
      <c r="Q33" s="29"/>
      <c r="R33" s="31"/>
    </row>
    <row r="34" customFormat="false" ht="15" hidden="false" customHeight="false" outlineLevel="0" collapsed="false">
      <c r="A34" s="19" t="n">
        <f aca="false">IF(COUNTA(B34:N34)=0,"",ROW()-13)</f>
        <v>21</v>
      </c>
      <c r="B34" s="29"/>
      <c r="C34" s="29"/>
      <c r="D34" s="29"/>
      <c r="E34" s="29"/>
      <c r="F34" s="29"/>
      <c r="G34" s="31"/>
      <c r="H34" s="29"/>
      <c r="I34" s="29"/>
      <c r="J34" s="29"/>
      <c r="K34" s="29"/>
      <c r="L34" s="29"/>
      <c r="M34" s="32" t="str">
        <f aca="false">IF(D34="","",IF(AND(COUNTIFS(D$14:D$200,D34,C$14:C$200,"FAT",J$14:J$200,"Pass")+COUNTIFS(D$14:D$200,D34,C$14:C$200,"FAT",J$14:J$200,"Conditional Pass")&gt;0,COUNTIFS(D$14:D$200,D34,C$14:C$200,"SAT",J$14:J$200,"Pass")+COUNTIFS(D$14:D$200,D34,C$14:C$200,"SAT",J$14:J$200,"Conditional Pass")&gt;0),"FAT+SAT Complete",IF(COUNTIFS(D$14:D$200,D34,C$14:C$200,"SAT",J$14:J$200,"Pass")+COUNTIFS(D$14:D$200,D34,C$14:C$200,"SAT",J$14:J$200,"Conditional Pass")&gt;0,"SAT Only",IF(COUNTIFS(D$14:D$200,D34,C$14:C$200,"FAT",J$14:J$200,"Pass")+COUNTIFS(D$14:D$200,D34,C$14:C$200,"FAT",J$14:J$200,"Conditional Pass")&gt;0,"FAT Only — Awaiting SAT","Not Passed"))))</f>
        <v/>
      </c>
      <c r="N34" s="29"/>
      <c r="O34" s="29"/>
      <c r="P34" s="29"/>
      <c r="Q34" s="29"/>
      <c r="R34" s="31"/>
    </row>
    <row r="35" customFormat="false" ht="15" hidden="false" customHeight="false" outlineLevel="0" collapsed="false">
      <c r="A35" s="19" t="n">
        <f aca="false">IF(COUNTA(B35:N35)=0,"",ROW()-13)</f>
        <v>22</v>
      </c>
      <c r="B35" s="29"/>
      <c r="C35" s="29"/>
      <c r="D35" s="29"/>
      <c r="E35" s="29"/>
      <c r="F35" s="29"/>
      <c r="G35" s="31"/>
      <c r="H35" s="29"/>
      <c r="I35" s="29"/>
      <c r="J35" s="29"/>
      <c r="K35" s="29"/>
      <c r="L35" s="29"/>
      <c r="M35" s="32" t="str">
        <f aca="false">IF(D35="","",IF(AND(COUNTIFS(D$14:D$200,D35,C$14:C$200,"FAT",J$14:J$200,"Pass")+COUNTIFS(D$14:D$200,D35,C$14:C$200,"FAT",J$14:J$200,"Conditional Pass")&gt;0,COUNTIFS(D$14:D$200,D35,C$14:C$200,"SAT",J$14:J$200,"Pass")+COUNTIFS(D$14:D$200,D35,C$14:C$200,"SAT",J$14:J$200,"Conditional Pass")&gt;0),"FAT+SAT Complete",IF(COUNTIFS(D$14:D$200,D35,C$14:C$200,"SAT",J$14:J$200,"Pass")+COUNTIFS(D$14:D$200,D35,C$14:C$200,"SAT",J$14:J$200,"Conditional Pass")&gt;0,"SAT Only",IF(COUNTIFS(D$14:D$200,D35,C$14:C$200,"FAT",J$14:J$200,"Pass")+COUNTIFS(D$14:D$200,D35,C$14:C$200,"FAT",J$14:J$200,"Conditional Pass")&gt;0,"FAT Only — Awaiting SAT","Not Passed"))))</f>
        <v/>
      </c>
      <c r="N35" s="29"/>
      <c r="O35" s="29"/>
      <c r="P35" s="29"/>
      <c r="Q35" s="29"/>
      <c r="R35" s="31"/>
    </row>
    <row r="36" customFormat="false" ht="15" hidden="false" customHeight="false" outlineLevel="0" collapsed="false">
      <c r="A36" s="19" t="n">
        <f aca="false">IF(COUNTA(B36:N36)=0,"",ROW()-13)</f>
        <v>23</v>
      </c>
      <c r="B36" s="29"/>
      <c r="C36" s="29"/>
      <c r="D36" s="29"/>
      <c r="E36" s="29"/>
      <c r="F36" s="29"/>
      <c r="G36" s="31"/>
      <c r="H36" s="29"/>
      <c r="I36" s="29"/>
      <c r="J36" s="29"/>
      <c r="K36" s="29"/>
      <c r="L36" s="29"/>
      <c r="M36" s="32" t="str">
        <f aca="false">IF(D36="","",IF(AND(COUNTIFS(D$14:D$200,D36,C$14:C$200,"FAT",J$14:J$200,"Pass")+COUNTIFS(D$14:D$200,D36,C$14:C$200,"FAT",J$14:J$200,"Conditional Pass")&gt;0,COUNTIFS(D$14:D$200,D36,C$14:C$200,"SAT",J$14:J$200,"Pass")+COUNTIFS(D$14:D$200,D36,C$14:C$200,"SAT",J$14:J$200,"Conditional Pass")&gt;0),"FAT+SAT Complete",IF(COUNTIFS(D$14:D$200,D36,C$14:C$200,"SAT",J$14:J$200,"Pass")+COUNTIFS(D$14:D$200,D36,C$14:C$200,"SAT",J$14:J$200,"Conditional Pass")&gt;0,"SAT Only",IF(COUNTIFS(D$14:D$200,D36,C$14:C$200,"FAT",J$14:J$200,"Pass")+COUNTIFS(D$14:D$200,D36,C$14:C$200,"FAT",J$14:J$200,"Conditional Pass")&gt;0,"FAT Only — Awaiting SAT","Not Passed"))))</f>
        <v/>
      </c>
      <c r="N36" s="29"/>
      <c r="O36" s="29"/>
      <c r="P36" s="29"/>
      <c r="Q36" s="29"/>
      <c r="R36" s="31"/>
    </row>
    <row r="37" customFormat="false" ht="15" hidden="false" customHeight="false" outlineLevel="0" collapsed="false">
      <c r="A37" s="19" t="n">
        <f aca="false">IF(COUNTA(B37:N37)=0,"",ROW()-13)</f>
        <v>24</v>
      </c>
      <c r="B37" s="29"/>
      <c r="C37" s="29"/>
      <c r="D37" s="29"/>
      <c r="E37" s="29"/>
      <c r="F37" s="29"/>
      <c r="G37" s="31"/>
      <c r="H37" s="29"/>
      <c r="I37" s="29"/>
      <c r="J37" s="29"/>
      <c r="K37" s="29"/>
      <c r="L37" s="29"/>
      <c r="M37" s="32" t="str">
        <f aca="false">IF(D37="","",IF(AND(COUNTIFS(D$14:D$200,D37,C$14:C$200,"FAT",J$14:J$200,"Pass")+COUNTIFS(D$14:D$200,D37,C$14:C$200,"FAT",J$14:J$200,"Conditional Pass")&gt;0,COUNTIFS(D$14:D$200,D37,C$14:C$200,"SAT",J$14:J$200,"Pass")+COUNTIFS(D$14:D$200,D37,C$14:C$200,"SAT",J$14:J$200,"Conditional Pass")&gt;0),"FAT+SAT Complete",IF(COUNTIFS(D$14:D$200,D37,C$14:C$200,"SAT",J$14:J$200,"Pass")+COUNTIFS(D$14:D$200,D37,C$14:C$200,"SAT",J$14:J$200,"Conditional Pass")&gt;0,"SAT Only",IF(COUNTIFS(D$14:D$200,D37,C$14:C$200,"FAT",J$14:J$200,"Pass")+COUNTIFS(D$14:D$200,D37,C$14:C$200,"FAT",J$14:J$200,"Conditional Pass")&gt;0,"FAT Only — Awaiting SAT","Not Passed"))))</f>
        <v/>
      </c>
      <c r="N37" s="29"/>
      <c r="O37" s="29"/>
      <c r="P37" s="29"/>
      <c r="Q37" s="29"/>
      <c r="R37" s="31"/>
    </row>
    <row r="38" customFormat="false" ht="15" hidden="false" customHeight="false" outlineLevel="0" collapsed="false">
      <c r="A38" s="19" t="n">
        <f aca="false">IF(COUNTA(B38:N38)=0,"",ROW()-13)</f>
        <v>25</v>
      </c>
      <c r="B38" s="29"/>
      <c r="C38" s="29"/>
      <c r="D38" s="29"/>
      <c r="E38" s="29"/>
      <c r="F38" s="29"/>
      <c r="G38" s="31"/>
      <c r="H38" s="29"/>
      <c r="I38" s="29"/>
      <c r="J38" s="29"/>
      <c r="K38" s="29"/>
      <c r="L38" s="29"/>
      <c r="M38" s="32" t="str">
        <f aca="false">IF(D38="","",IF(AND(COUNTIFS(D$14:D$200,D38,C$14:C$200,"FAT",J$14:J$200,"Pass")+COUNTIFS(D$14:D$200,D38,C$14:C$200,"FAT",J$14:J$200,"Conditional Pass")&gt;0,COUNTIFS(D$14:D$200,D38,C$14:C$200,"SAT",J$14:J$200,"Pass")+COUNTIFS(D$14:D$200,D38,C$14:C$200,"SAT",J$14:J$200,"Conditional Pass")&gt;0),"FAT+SAT Complete",IF(COUNTIFS(D$14:D$200,D38,C$14:C$200,"SAT",J$14:J$200,"Pass")+COUNTIFS(D$14:D$200,D38,C$14:C$200,"SAT",J$14:J$200,"Conditional Pass")&gt;0,"SAT Only",IF(COUNTIFS(D$14:D$200,D38,C$14:C$200,"FAT",J$14:J$200,"Pass")+COUNTIFS(D$14:D$200,D38,C$14:C$200,"FAT",J$14:J$200,"Conditional Pass")&gt;0,"FAT Only — Awaiting SAT","Not Passed"))))</f>
        <v/>
      </c>
      <c r="N38" s="29"/>
      <c r="O38" s="29"/>
      <c r="P38" s="29"/>
      <c r="Q38" s="29"/>
      <c r="R38" s="31"/>
    </row>
    <row r="39" customFormat="false" ht="15" hidden="false" customHeight="false" outlineLevel="0" collapsed="false">
      <c r="A39" s="19" t="n">
        <f aca="false">IF(COUNTA(B39:N39)=0,"",ROW()-13)</f>
        <v>26</v>
      </c>
      <c r="B39" s="29"/>
      <c r="C39" s="29"/>
      <c r="D39" s="29"/>
      <c r="E39" s="29"/>
      <c r="F39" s="29"/>
      <c r="G39" s="31"/>
      <c r="H39" s="29"/>
      <c r="I39" s="29"/>
      <c r="J39" s="29"/>
      <c r="K39" s="29"/>
      <c r="L39" s="29"/>
      <c r="M39" s="32" t="str">
        <f aca="false">IF(D39="","",IF(AND(COUNTIFS(D$14:D$200,D39,C$14:C$200,"FAT",J$14:J$200,"Pass")+COUNTIFS(D$14:D$200,D39,C$14:C$200,"FAT",J$14:J$200,"Conditional Pass")&gt;0,COUNTIFS(D$14:D$200,D39,C$14:C$200,"SAT",J$14:J$200,"Pass")+COUNTIFS(D$14:D$200,D39,C$14:C$200,"SAT",J$14:J$200,"Conditional Pass")&gt;0),"FAT+SAT Complete",IF(COUNTIFS(D$14:D$200,D39,C$14:C$200,"SAT",J$14:J$200,"Pass")+COUNTIFS(D$14:D$200,D39,C$14:C$200,"SAT",J$14:J$200,"Conditional Pass")&gt;0,"SAT Only",IF(COUNTIFS(D$14:D$200,D39,C$14:C$200,"FAT",J$14:J$200,"Pass")+COUNTIFS(D$14:D$200,D39,C$14:C$200,"FAT",J$14:J$200,"Conditional Pass")&gt;0,"FAT Only — Awaiting SAT","Not Passed"))))</f>
        <v/>
      </c>
      <c r="N39" s="29"/>
      <c r="O39" s="29"/>
      <c r="P39" s="29"/>
      <c r="Q39" s="29"/>
      <c r="R39" s="31"/>
    </row>
    <row r="40" customFormat="false" ht="15" hidden="false" customHeight="false" outlineLevel="0" collapsed="false">
      <c r="A40" s="19" t="n">
        <f aca="false">IF(COUNTA(B40:N40)=0,"",ROW()-13)</f>
        <v>27</v>
      </c>
      <c r="B40" s="29"/>
      <c r="C40" s="29"/>
      <c r="D40" s="29"/>
      <c r="E40" s="29"/>
      <c r="F40" s="29"/>
      <c r="G40" s="31"/>
      <c r="H40" s="29"/>
      <c r="I40" s="29"/>
      <c r="J40" s="29"/>
      <c r="K40" s="29"/>
      <c r="L40" s="29"/>
      <c r="M40" s="32" t="str">
        <f aca="false">IF(D40="","",IF(AND(COUNTIFS(D$14:D$200,D40,C$14:C$200,"FAT",J$14:J$200,"Pass")+COUNTIFS(D$14:D$200,D40,C$14:C$200,"FAT",J$14:J$200,"Conditional Pass")&gt;0,COUNTIFS(D$14:D$200,D40,C$14:C$200,"SAT",J$14:J$200,"Pass")+COUNTIFS(D$14:D$200,D40,C$14:C$200,"SAT",J$14:J$200,"Conditional Pass")&gt;0),"FAT+SAT Complete",IF(COUNTIFS(D$14:D$200,D40,C$14:C$200,"SAT",J$14:J$200,"Pass")+COUNTIFS(D$14:D$200,D40,C$14:C$200,"SAT",J$14:J$200,"Conditional Pass")&gt;0,"SAT Only",IF(COUNTIFS(D$14:D$200,D40,C$14:C$200,"FAT",J$14:J$200,"Pass")+COUNTIFS(D$14:D$200,D40,C$14:C$200,"FAT",J$14:J$200,"Conditional Pass")&gt;0,"FAT Only — Awaiting SAT","Not Passed"))))</f>
        <v/>
      </c>
      <c r="N40" s="29"/>
      <c r="O40" s="29"/>
      <c r="P40" s="29"/>
      <c r="Q40" s="29"/>
      <c r="R40" s="31"/>
    </row>
    <row r="41" customFormat="false" ht="15" hidden="false" customHeight="false" outlineLevel="0" collapsed="false">
      <c r="A41" s="19" t="n">
        <f aca="false">IF(COUNTA(B41:N41)=0,"",ROW()-13)</f>
        <v>28</v>
      </c>
      <c r="B41" s="29"/>
      <c r="C41" s="29"/>
      <c r="D41" s="29"/>
      <c r="E41" s="29"/>
      <c r="F41" s="29"/>
      <c r="G41" s="31"/>
      <c r="H41" s="29"/>
      <c r="I41" s="29"/>
      <c r="J41" s="29"/>
      <c r="K41" s="29"/>
      <c r="L41" s="29"/>
      <c r="M41" s="32" t="str">
        <f aca="false">IF(D41="","",IF(AND(COUNTIFS(D$14:D$200,D41,C$14:C$200,"FAT",J$14:J$200,"Pass")+COUNTIFS(D$14:D$200,D41,C$14:C$200,"FAT",J$14:J$200,"Conditional Pass")&gt;0,COUNTIFS(D$14:D$200,D41,C$14:C$200,"SAT",J$14:J$200,"Pass")+COUNTIFS(D$14:D$200,D41,C$14:C$200,"SAT",J$14:J$200,"Conditional Pass")&gt;0),"FAT+SAT Complete",IF(COUNTIFS(D$14:D$200,D41,C$14:C$200,"SAT",J$14:J$200,"Pass")+COUNTIFS(D$14:D$200,D41,C$14:C$200,"SAT",J$14:J$200,"Conditional Pass")&gt;0,"SAT Only",IF(COUNTIFS(D$14:D$200,D41,C$14:C$200,"FAT",J$14:J$200,"Pass")+COUNTIFS(D$14:D$200,D41,C$14:C$200,"FAT",J$14:J$200,"Conditional Pass")&gt;0,"FAT Only — Awaiting SAT","Not Passed"))))</f>
        <v/>
      </c>
      <c r="N41" s="29"/>
      <c r="O41" s="29"/>
      <c r="P41" s="29"/>
      <c r="Q41" s="29"/>
      <c r="R41" s="31"/>
    </row>
    <row r="42" customFormat="false" ht="15" hidden="false" customHeight="false" outlineLevel="0" collapsed="false">
      <c r="A42" s="19" t="n">
        <f aca="false">IF(COUNTA(B42:N42)=0,"",ROW()-13)</f>
        <v>29</v>
      </c>
      <c r="B42" s="29"/>
      <c r="C42" s="29"/>
      <c r="D42" s="29"/>
      <c r="E42" s="29"/>
      <c r="F42" s="29"/>
      <c r="G42" s="31"/>
      <c r="H42" s="29"/>
      <c r="I42" s="29"/>
      <c r="J42" s="29"/>
      <c r="K42" s="29"/>
      <c r="L42" s="29"/>
      <c r="M42" s="32" t="str">
        <f aca="false">IF(D42="","",IF(AND(COUNTIFS(D$14:D$200,D42,C$14:C$200,"FAT",J$14:J$200,"Pass")+COUNTIFS(D$14:D$200,D42,C$14:C$200,"FAT",J$14:J$200,"Conditional Pass")&gt;0,COUNTIFS(D$14:D$200,D42,C$14:C$200,"SAT",J$14:J$200,"Pass")+COUNTIFS(D$14:D$200,D42,C$14:C$200,"SAT",J$14:J$200,"Conditional Pass")&gt;0),"FAT+SAT Complete",IF(COUNTIFS(D$14:D$200,D42,C$14:C$200,"SAT",J$14:J$200,"Pass")+COUNTIFS(D$14:D$200,D42,C$14:C$200,"SAT",J$14:J$200,"Conditional Pass")&gt;0,"SAT Only",IF(COUNTIFS(D$14:D$200,D42,C$14:C$200,"FAT",J$14:J$200,"Pass")+COUNTIFS(D$14:D$200,D42,C$14:C$200,"FAT",J$14:J$200,"Conditional Pass")&gt;0,"FAT Only — Awaiting SAT","Not Passed"))))</f>
        <v/>
      </c>
      <c r="N42" s="29"/>
      <c r="O42" s="29"/>
      <c r="P42" s="29"/>
      <c r="Q42" s="29"/>
      <c r="R42" s="31"/>
    </row>
    <row r="43" customFormat="false" ht="15" hidden="false" customHeight="false" outlineLevel="0" collapsed="false">
      <c r="A43" s="19" t="n">
        <f aca="false">IF(COUNTA(B43:N43)=0,"",ROW()-13)</f>
        <v>30</v>
      </c>
      <c r="B43" s="29"/>
      <c r="C43" s="29"/>
      <c r="D43" s="29"/>
      <c r="E43" s="29"/>
      <c r="F43" s="29"/>
      <c r="G43" s="31"/>
      <c r="H43" s="29"/>
      <c r="I43" s="29"/>
      <c r="J43" s="29"/>
      <c r="K43" s="29"/>
      <c r="L43" s="29"/>
      <c r="M43" s="32" t="str">
        <f aca="false">IF(D43="","",IF(AND(COUNTIFS(D$14:D$200,D43,C$14:C$200,"FAT",J$14:J$200,"Pass")+COUNTIFS(D$14:D$200,D43,C$14:C$200,"FAT",J$14:J$200,"Conditional Pass")&gt;0,COUNTIFS(D$14:D$200,D43,C$14:C$200,"SAT",J$14:J$200,"Pass")+COUNTIFS(D$14:D$200,D43,C$14:C$200,"SAT",J$14:J$200,"Conditional Pass")&gt;0),"FAT+SAT Complete",IF(COUNTIFS(D$14:D$200,D43,C$14:C$200,"SAT",J$14:J$200,"Pass")+COUNTIFS(D$14:D$200,D43,C$14:C$200,"SAT",J$14:J$200,"Conditional Pass")&gt;0,"SAT Only",IF(COUNTIFS(D$14:D$200,D43,C$14:C$200,"FAT",J$14:J$200,"Pass")+COUNTIFS(D$14:D$200,D43,C$14:C$200,"FAT",J$14:J$200,"Conditional Pass")&gt;0,"FAT Only — Awaiting SAT","Not Passed"))))</f>
        <v/>
      </c>
      <c r="N43" s="29"/>
      <c r="O43" s="29"/>
      <c r="P43" s="29"/>
      <c r="Q43" s="29"/>
      <c r="R43" s="31"/>
    </row>
    <row r="44" customFormat="false" ht="15" hidden="false" customHeight="false" outlineLevel="0" collapsed="false">
      <c r="A44" s="19" t="n">
        <f aca="false">IF(COUNTA(B44:N44)=0,"",ROW()-13)</f>
        <v>31</v>
      </c>
      <c r="B44" s="29"/>
      <c r="C44" s="29"/>
      <c r="D44" s="29"/>
      <c r="E44" s="29"/>
      <c r="F44" s="29"/>
      <c r="G44" s="31"/>
      <c r="H44" s="29"/>
      <c r="I44" s="29"/>
      <c r="J44" s="29"/>
      <c r="K44" s="29"/>
      <c r="L44" s="29"/>
      <c r="M44" s="32" t="str">
        <f aca="false">IF(D44="","",IF(AND(COUNTIFS(D$14:D$200,D44,C$14:C$200,"FAT",J$14:J$200,"Pass")+COUNTIFS(D$14:D$200,D44,C$14:C$200,"FAT",J$14:J$200,"Conditional Pass")&gt;0,COUNTIFS(D$14:D$200,D44,C$14:C$200,"SAT",J$14:J$200,"Pass")+COUNTIFS(D$14:D$200,D44,C$14:C$200,"SAT",J$14:J$200,"Conditional Pass")&gt;0),"FAT+SAT Complete",IF(COUNTIFS(D$14:D$200,D44,C$14:C$200,"SAT",J$14:J$200,"Pass")+COUNTIFS(D$14:D$200,D44,C$14:C$200,"SAT",J$14:J$200,"Conditional Pass")&gt;0,"SAT Only",IF(COUNTIFS(D$14:D$200,D44,C$14:C$200,"FAT",J$14:J$200,"Pass")+COUNTIFS(D$14:D$200,D44,C$14:C$200,"FAT",J$14:J$200,"Conditional Pass")&gt;0,"FAT Only — Awaiting SAT","Not Passed"))))</f>
        <v/>
      </c>
      <c r="N44" s="29"/>
      <c r="O44" s="29"/>
      <c r="P44" s="29"/>
      <c r="Q44" s="29"/>
      <c r="R44" s="31"/>
    </row>
    <row r="45" customFormat="false" ht="15" hidden="false" customHeight="false" outlineLevel="0" collapsed="false">
      <c r="A45" s="19" t="n">
        <f aca="false">IF(COUNTA(B45:N45)=0,"",ROW()-13)</f>
        <v>32</v>
      </c>
      <c r="B45" s="29"/>
      <c r="C45" s="29"/>
      <c r="D45" s="29"/>
      <c r="E45" s="29"/>
      <c r="F45" s="29"/>
      <c r="G45" s="31"/>
      <c r="H45" s="29"/>
      <c r="I45" s="29"/>
      <c r="J45" s="29"/>
      <c r="K45" s="29"/>
      <c r="L45" s="29"/>
      <c r="M45" s="32" t="str">
        <f aca="false">IF(D45="","",IF(AND(COUNTIFS(D$14:D$200,D45,C$14:C$200,"FAT",J$14:J$200,"Pass")+COUNTIFS(D$14:D$200,D45,C$14:C$200,"FAT",J$14:J$200,"Conditional Pass")&gt;0,COUNTIFS(D$14:D$200,D45,C$14:C$200,"SAT",J$14:J$200,"Pass")+COUNTIFS(D$14:D$200,D45,C$14:C$200,"SAT",J$14:J$200,"Conditional Pass")&gt;0),"FAT+SAT Complete",IF(COUNTIFS(D$14:D$200,D45,C$14:C$200,"SAT",J$14:J$200,"Pass")+COUNTIFS(D$14:D$200,D45,C$14:C$200,"SAT",J$14:J$200,"Conditional Pass")&gt;0,"SAT Only",IF(COUNTIFS(D$14:D$200,D45,C$14:C$200,"FAT",J$14:J$200,"Pass")+COUNTIFS(D$14:D$200,D45,C$14:C$200,"FAT",J$14:J$200,"Conditional Pass")&gt;0,"FAT Only — Awaiting SAT","Not Passed"))))</f>
        <v/>
      </c>
      <c r="N45" s="29"/>
      <c r="O45" s="29"/>
      <c r="P45" s="29"/>
      <c r="Q45" s="29"/>
      <c r="R45" s="31"/>
    </row>
    <row r="46" customFormat="false" ht="15" hidden="false" customHeight="false" outlineLevel="0" collapsed="false">
      <c r="A46" s="19" t="n">
        <f aca="false">IF(COUNTA(B46:N46)=0,"",ROW()-13)</f>
        <v>33</v>
      </c>
      <c r="B46" s="29"/>
      <c r="C46" s="29"/>
      <c r="D46" s="29"/>
      <c r="E46" s="29"/>
      <c r="F46" s="29"/>
      <c r="G46" s="31"/>
      <c r="H46" s="29"/>
      <c r="I46" s="29"/>
      <c r="J46" s="29"/>
      <c r="K46" s="29"/>
      <c r="L46" s="29"/>
      <c r="M46" s="32" t="str">
        <f aca="false">IF(D46="","",IF(AND(COUNTIFS(D$14:D$200,D46,C$14:C$200,"FAT",J$14:J$200,"Pass")+COUNTIFS(D$14:D$200,D46,C$14:C$200,"FAT",J$14:J$200,"Conditional Pass")&gt;0,COUNTIFS(D$14:D$200,D46,C$14:C$200,"SAT",J$14:J$200,"Pass")+COUNTIFS(D$14:D$200,D46,C$14:C$200,"SAT",J$14:J$200,"Conditional Pass")&gt;0),"FAT+SAT Complete",IF(COUNTIFS(D$14:D$200,D46,C$14:C$200,"SAT",J$14:J$200,"Pass")+COUNTIFS(D$14:D$200,D46,C$14:C$200,"SAT",J$14:J$200,"Conditional Pass")&gt;0,"SAT Only",IF(COUNTIFS(D$14:D$200,D46,C$14:C$200,"FAT",J$14:J$200,"Pass")+COUNTIFS(D$14:D$200,D46,C$14:C$200,"FAT",J$14:J$200,"Conditional Pass")&gt;0,"FAT Only — Awaiting SAT","Not Passed"))))</f>
        <v/>
      </c>
      <c r="N46" s="29"/>
      <c r="O46" s="29"/>
      <c r="P46" s="29"/>
      <c r="Q46" s="29"/>
      <c r="R46" s="31"/>
    </row>
    <row r="47" customFormat="false" ht="15" hidden="false" customHeight="false" outlineLevel="0" collapsed="false">
      <c r="A47" s="19" t="n">
        <f aca="false">IF(COUNTA(B47:N47)=0,"",ROW()-13)</f>
        <v>34</v>
      </c>
      <c r="B47" s="29"/>
      <c r="C47" s="29"/>
      <c r="D47" s="29"/>
      <c r="E47" s="29"/>
      <c r="F47" s="29"/>
      <c r="G47" s="31"/>
      <c r="H47" s="29"/>
      <c r="I47" s="29"/>
      <c r="J47" s="29"/>
      <c r="K47" s="29"/>
      <c r="L47" s="29"/>
      <c r="M47" s="32" t="str">
        <f aca="false">IF(D47="","",IF(AND(COUNTIFS(D$14:D$200,D47,C$14:C$200,"FAT",J$14:J$200,"Pass")+COUNTIFS(D$14:D$200,D47,C$14:C$200,"FAT",J$14:J$200,"Conditional Pass")&gt;0,COUNTIFS(D$14:D$200,D47,C$14:C$200,"SAT",J$14:J$200,"Pass")+COUNTIFS(D$14:D$200,D47,C$14:C$200,"SAT",J$14:J$200,"Conditional Pass")&gt;0),"FAT+SAT Complete",IF(COUNTIFS(D$14:D$200,D47,C$14:C$200,"SAT",J$14:J$200,"Pass")+COUNTIFS(D$14:D$200,D47,C$14:C$200,"SAT",J$14:J$200,"Conditional Pass")&gt;0,"SAT Only",IF(COUNTIFS(D$14:D$200,D47,C$14:C$200,"FAT",J$14:J$200,"Pass")+COUNTIFS(D$14:D$200,D47,C$14:C$200,"FAT",J$14:J$200,"Conditional Pass")&gt;0,"FAT Only — Awaiting SAT","Not Passed"))))</f>
        <v/>
      </c>
      <c r="N47" s="29"/>
      <c r="O47" s="29"/>
      <c r="P47" s="29"/>
      <c r="Q47" s="29"/>
      <c r="R47" s="31"/>
    </row>
    <row r="48" customFormat="false" ht="15" hidden="false" customHeight="false" outlineLevel="0" collapsed="false">
      <c r="A48" s="19" t="n">
        <f aca="false">IF(COUNTA(B48:N48)=0,"",ROW()-13)</f>
        <v>35</v>
      </c>
      <c r="B48" s="29"/>
      <c r="C48" s="29"/>
      <c r="D48" s="29"/>
      <c r="E48" s="29"/>
      <c r="F48" s="29"/>
      <c r="G48" s="31"/>
      <c r="H48" s="29"/>
      <c r="I48" s="29"/>
      <c r="J48" s="29"/>
      <c r="K48" s="29"/>
      <c r="L48" s="29"/>
      <c r="M48" s="32" t="str">
        <f aca="false">IF(D48="","",IF(AND(COUNTIFS(D$14:D$200,D48,C$14:C$200,"FAT",J$14:J$200,"Pass")+COUNTIFS(D$14:D$200,D48,C$14:C$200,"FAT",J$14:J$200,"Conditional Pass")&gt;0,COUNTIFS(D$14:D$200,D48,C$14:C$200,"SAT",J$14:J$200,"Pass")+COUNTIFS(D$14:D$200,D48,C$14:C$200,"SAT",J$14:J$200,"Conditional Pass")&gt;0),"FAT+SAT Complete",IF(COUNTIFS(D$14:D$200,D48,C$14:C$200,"SAT",J$14:J$200,"Pass")+COUNTIFS(D$14:D$200,D48,C$14:C$200,"SAT",J$14:J$200,"Conditional Pass")&gt;0,"SAT Only",IF(COUNTIFS(D$14:D$200,D48,C$14:C$200,"FAT",J$14:J$200,"Pass")+COUNTIFS(D$14:D$200,D48,C$14:C$200,"FAT",J$14:J$200,"Conditional Pass")&gt;0,"FAT Only — Awaiting SAT","Not Passed"))))</f>
        <v/>
      </c>
      <c r="N48" s="29"/>
      <c r="O48" s="29"/>
      <c r="P48" s="29"/>
      <c r="Q48" s="29"/>
      <c r="R48" s="31"/>
    </row>
    <row r="49" customFormat="false" ht="15" hidden="false" customHeight="false" outlineLevel="0" collapsed="false">
      <c r="A49" s="19" t="n">
        <f aca="false">IF(COUNTA(B49:N49)=0,"",ROW()-13)</f>
        <v>36</v>
      </c>
      <c r="B49" s="29"/>
      <c r="C49" s="29"/>
      <c r="D49" s="29"/>
      <c r="E49" s="29"/>
      <c r="F49" s="29"/>
      <c r="G49" s="31"/>
      <c r="H49" s="29"/>
      <c r="I49" s="29"/>
      <c r="J49" s="29"/>
      <c r="K49" s="29"/>
      <c r="L49" s="29"/>
      <c r="M49" s="32" t="str">
        <f aca="false">IF(D49="","",IF(AND(COUNTIFS(D$14:D$200,D49,C$14:C$200,"FAT",J$14:J$200,"Pass")+COUNTIFS(D$14:D$200,D49,C$14:C$200,"FAT",J$14:J$200,"Conditional Pass")&gt;0,COUNTIFS(D$14:D$200,D49,C$14:C$200,"SAT",J$14:J$200,"Pass")+COUNTIFS(D$14:D$200,D49,C$14:C$200,"SAT",J$14:J$200,"Conditional Pass")&gt;0),"FAT+SAT Complete",IF(COUNTIFS(D$14:D$200,D49,C$14:C$200,"SAT",J$14:J$200,"Pass")+COUNTIFS(D$14:D$200,D49,C$14:C$200,"SAT",J$14:J$200,"Conditional Pass")&gt;0,"SAT Only",IF(COUNTIFS(D$14:D$200,D49,C$14:C$200,"FAT",J$14:J$200,"Pass")+COUNTIFS(D$14:D$200,D49,C$14:C$200,"FAT",J$14:J$200,"Conditional Pass")&gt;0,"FAT Only — Awaiting SAT","Not Passed"))))</f>
        <v/>
      </c>
      <c r="N49" s="29"/>
      <c r="O49" s="29"/>
      <c r="P49" s="29"/>
      <c r="Q49" s="29"/>
      <c r="R49" s="31"/>
    </row>
    <row r="50" customFormat="false" ht="15" hidden="false" customHeight="false" outlineLevel="0" collapsed="false">
      <c r="A50" s="19" t="n">
        <f aca="false">IF(COUNTA(B50:N50)=0,"",ROW()-13)</f>
        <v>37</v>
      </c>
      <c r="B50" s="29"/>
      <c r="C50" s="29"/>
      <c r="D50" s="29"/>
      <c r="E50" s="29"/>
      <c r="F50" s="29"/>
      <c r="G50" s="31"/>
      <c r="H50" s="29"/>
      <c r="I50" s="29"/>
      <c r="J50" s="29"/>
      <c r="K50" s="29"/>
      <c r="L50" s="29"/>
      <c r="M50" s="32" t="str">
        <f aca="false">IF(D50="","",IF(AND(COUNTIFS(D$14:D$200,D50,C$14:C$200,"FAT",J$14:J$200,"Pass")+COUNTIFS(D$14:D$200,D50,C$14:C$200,"FAT",J$14:J$200,"Conditional Pass")&gt;0,COUNTIFS(D$14:D$200,D50,C$14:C$200,"SAT",J$14:J$200,"Pass")+COUNTIFS(D$14:D$200,D50,C$14:C$200,"SAT",J$14:J$200,"Conditional Pass")&gt;0),"FAT+SAT Complete",IF(COUNTIFS(D$14:D$200,D50,C$14:C$200,"SAT",J$14:J$200,"Pass")+COUNTIFS(D$14:D$200,D50,C$14:C$200,"SAT",J$14:J$200,"Conditional Pass")&gt;0,"SAT Only",IF(COUNTIFS(D$14:D$200,D50,C$14:C$200,"FAT",J$14:J$200,"Pass")+COUNTIFS(D$14:D$200,D50,C$14:C$200,"FAT",J$14:J$200,"Conditional Pass")&gt;0,"FAT Only — Awaiting SAT","Not Passed"))))</f>
        <v/>
      </c>
      <c r="N50" s="29"/>
      <c r="O50" s="29"/>
      <c r="P50" s="29"/>
      <c r="Q50" s="29"/>
      <c r="R50" s="31"/>
    </row>
    <row r="51" customFormat="false" ht="15" hidden="false" customHeight="false" outlineLevel="0" collapsed="false">
      <c r="A51" s="19" t="n">
        <f aca="false">IF(COUNTA(B51:N51)=0,"",ROW()-13)</f>
        <v>38</v>
      </c>
      <c r="B51" s="29"/>
      <c r="C51" s="29"/>
      <c r="D51" s="29"/>
      <c r="E51" s="29"/>
      <c r="F51" s="29"/>
      <c r="G51" s="31"/>
      <c r="H51" s="29"/>
      <c r="I51" s="29"/>
      <c r="J51" s="29"/>
      <c r="K51" s="29"/>
      <c r="L51" s="29"/>
      <c r="M51" s="32" t="str">
        <f aca="false">IF(D51="","",IF(AND(COUNTIFS(D$14:D$200,D51,C$14:C$200,"FAT",J$14:J$200,"Pass")+COUNTIFS(D$14:D$200,D51,C$14:C$200,"FAT",J$14:J$200,"Conditional Pass")&gt;0,COUNTIFS(D$14:D$200,D51,C$14:C$200,"SAT",J$14:J$200,"Pass")+COUNTIFS(D$14:D$200,D51,C$14:C$200,"SAT",J$14:J$200,"Conditional Pass")&gt;0),"FAT+SAT Complete",IF(COUNTIFS(D$14:D$200,D51,C$14:C$200,"SAT",J$14:J$200,"Pass")+COUNTIFS(D$14:D$200,D51,C$14:C$200,"SAT",J$14:J$200,"Conditional Pass")&gt;0,"SAT Only",IF(COUNTIFS(D$14:D$200,D51,C$14:C$200,"FAT",J$14:J$200,"Pass")+COUNTIFS(D$14:D$200,D51,C$14:C$200,"FAT",J$14:J$200,"Conditional Pass")&gt;0,"FAT Only — Awaiting SAT","Not Passed"))))</f>
        <v/>
      </c>
      <c r="N51" s="29"/>
      <c r="O51" s="29"/>
      <c r="P51" s="29"/>
      <c r="Q51" s="29"/>
      <c r="R51" s="31"/>
    </row>
    <row r="52" customFormat="false" ht="15" hidden="false" customHeight="false" outlineLevel="0" collapsed="false">
      <c r="A52" s="19" t="n">
        <f aca="false">IF(COUNTA(B52:N52)=0,"",ROW()-13)</f>
        <v>39</v>
      </c>
      <c r="B52" s="29"/>
      <c r="C52" s="29"/>
      <c r="D52" s="29"/>
      <c r="E52" s="29"/>
      <c r="F52" s="29"/>
      <c r="G52" s="31"/>
      <c r="H52" s="29"/>
      <c r="I52" s="29"/>
      <c r="J52" s="29"/>
      <c r="K52" s="29"/>
      <c r="L52" s="29"/>
      <c r="M52" s="32" t="str">
        <f aca="false">IF(D52="","",IF(AND(COUNTIFS(D$14:D$200,D52,C$14:C$200,"FAT",J$14:J$200,"Pass")+COUNTIFS(D$14:D$200,D52,C$14:C$200,"FAT",J$14:J$200,"Conditional Pass")&gt;0,COUNTIFS(D$14:D$200,D52,C$14:C$200,"SAT",J$14:J$200,"Pass")+COUNTIFS(D$14:D$200,D52,C$14:C$200,"SAT",J$14:J$200,"Conditional Pass")&gt;0),"FAT+SAT Complete",IF(COUNTIFS(D$14:D$200,D52,C$14:C$200,"SAT",J$14:J$200,"Pass")+COUNTIFS(D$14:D$200,D52,C$14:C$200,"SAT",J$14:J$200,"Conditional Pass")&gt;0,"SAT Only",IF(COUNTIFS(D$14:D$200,D52,C$14:C$200,"FAT",J$14:J$200,"Pass")+COUNTIFS(D$14:D$200,D52,C$14:C$200,"FAT",J$14:J$200,"Conditional Pass")&gt;0,"FAT Only — Awaiting SAT","Not Passed"))))</f>
        <v/>
      </c>
      <c r="N52" s="29"/>
      <c r="O52" s="29"/>
      <c r="P52" s="29"/>
      <c r="Q52" s="29"/>
      <c r="R52" s="31"/>
    </row>
    <row r="53" customFormat="false" ht="15" hidden="false" customHeight="false" outlineLevel="0" collapsed="false">
      <c r="A53" s="19" t="n">
        <f aca="false">IF(COUNTA(B53:N53)=0,"",ROW()-13)</f>
        <v>40</v>
      </c>
      <c r="B53" s="29"/>
      <c r="C53" s="29"/>
      <c r="D53" s="29"/>
      <c r="E53" s="29"/>
      <c r="F53" s="29"/>
      <c r="G53" s="31"/>
      <c r="H53" s="29"/>
      <c r="I53" s="29"/>
      <c r="J53" s="29"/>
      <c r="K53" s="29"/>
      <c r="L53" s="29"/>
      <c r="M53" s="32" t="str">
        <f aca="false">IF(D53="","",IF(AND(COUNTIFS(D$14:D$200,D53,C$14:C$200,"FAT",J$14:J$200,"Pass")+COUNTIFS(D$14:D$200,D53,C$14:C$200,"FAT",J$14:J$200,"Conditional Pass")&gt;0,COUNTIFS(D$14:D$200,D53,C$14:C$200,"SAT",J$14:J$200,"Pass")+COUNTIFS(D$14:D$200,D53,C$14:C$200,"SAT",J$14:J$200,"Conditional Pass")&gt;0),"FAT+SAT Complete",IF(COUNTIFS(D$14:D$200,D53,C$14:C$200,"SAT",J$14:J$200,"Pass")+COUNTIFS(D$14:D$200,D53,C$14:C$200,"SAT",J$14:J$200,"Conditional Pass")&gt;0,"SAT Only",IF(COUNTIFS(D$14:D$200,D53,C$14:C$200,"FAT",J$14:J$200,"Pass")+COUNTIFS(D$14:D$200,D53,C$14:C$200,"FAT",J$14:J$200,"Conditional Pass")&gt;0,"FAT Only — Awaiting SAT","Not Passed"))))</f>
        <v/>
      </c>
      <c r="N53" s="29"/>
      <c r="O53" s="29"/>
      <c r="P53" s="29"/>
      <c r="Q53" s="29"/>
      <c r="R53" s="31"/>
    </row>
    <row r="54" customFormat="false" ht="15" hidden="false" customHeight="false" outlineLevel="0" collapsed="false">
      <c r="A54" s="19" t="n">
        <f aca="false">IF(COUNTA(B54:N54)=0,"",ROW()-13)</f>
        <v>41</v>
      </c>
      <c r="B54" s="29"/>
      <c r="C54" s="29"/>
      <c r="D54" s="29"/>
      <c r="E54" s="29"/>
      <c r="F54" s="29"/>
      <c r="G54" s="31"/>
      <c r="H54" s="29"/>
      <c r="I54" s="29"/>
      <c r="J54" s="29"/>
      <c r="K54" s="29"/>
      <c r="L54" s="29"/>
      <c r="M54" s="32" t="str">
        <f aca="false">IF(D54="","",IF(AND(COUNTIFS(D$14:D$200,D54,C$14:C$200,"FAT",J$14:J$200,"Pass")+COUNTIFS(D$14:D$200,D54,C$14:C$200,"FAT",J$14:J$200,"Conditional Pass")&gt;0,COUNTIFS(D$14:D$200,D54,C$14:C$200,"SAT",J$14:J$200,"Pass")+COUNTIFS(D$14:D$200,D54,C$14:C$200,"SAT",J$14:J$200,"Conditional Pass")&gt;0),"FAT+SAT Complete",IF(COUNTIFS(D$14:D$200,D54,C$14:C$200,"SAT",J$14:J$200,"Pass")+COUNTIFS(D$14:D$200,D54,C$14:C$200,"SAT",J$14:J$200,"Conditional Pass")&gt;0,"SAT Only",IF(COUNTIFS(D$14:D$200,D54,C$14:C$200,"FAT",J$14:J$200,"Pass")+COUNTIFS(D$14:D$200,D54,C$14:C$200,"FAT",J$14:J$200,"Conditional Pass")&gt;0,"FAT Only — Awaiting SAT","Not Passed"))))</f>
        <v/>
      </c>
      <c r="N54" s="29"/>
      <c r="O54" s="29"/>
      <c r="P54" s="29"/>
      <c r="Q54" s="29"/>
      <c r="R54" s="31"/>
    </row>
    <row r="55" customFormat="false" ht="15" hidden="false" customHeight="false" outlineLevel="0" collapsed="false">
      <c r="A55" s="19" t="n">
        <f aca="false">IF(COUNTA(B55:N55)=0,"",ROW()-13)</f>
        <v>42</v>
      </c>
      <c r="B55" s="29"/>
      <c r="C55" s="29"/>
      <c r="D55" s="29"/>
      <c r="E55" s="29"/>
      <c r="F55" s="29"/>
      <c r="G55" s="31"/>
      <c r="H55" s="29"/>
      <c r="I55" s="29"/>
      <c r="J55" s="29"/>
      <c r="K55" s="29"/>
      <c r="L55" s="29"/>
      <c r="M55" s="32" t="str">
        <f aca="false">IF(D55="","",IF(AND(COUNTIFS(D$14:D$200,D55,C$14:C$200,"FAT",J$14:J$200,"Pass")+COUNTIFS(D$14:D$200,D55,C$14:C$200,"FAT",J$14:J$200,"Conditional Pass")&gt;0,COUNTIFS(D$14:D$200,D55,C$14:C$200,"SAT",J$14:J$200,"Pass")+COUNTIFS(D$14:D$200,D55,C$14:C$200,"SAT",J$14:J$200,"Conditional Pass")&gt;0),"FAT+SAT Complete",IF(COUNTIFS(D$14:D$200,D55,C$14:C$200,"SAT",J$14:J$200,"Pass")+COUNTIFS(D$14:D$200,D55,C$14:C$200,"SAT",J$14:J$200,"Conditional Pass")&gt;0,"SAT Only",IF(COUNTIFS(D$14:D$200,D55,C$14:C$200,"FAT",J$14:J$200,"Pass")+COUNTIFS(D$14:D$200,D55,C$14:C$200,"FAT",J$14:J$200,"Conditional Pass")&gt;0,"FAT Only — Awaiting SAT","Not Passed"))))</f>
        <v/>
      </c>
      <c r="N55" s="29"/>
      <c r="O55" s="29"/>
      <c r="P55" s="29"/>
      <c r="Q55" s="29"/>
      <c r="R55" s="31"/>
    </row>
    <row r="56" customFormat="false" ht="15" hidden="false" customHeight="false" outlineLevel="0" collapsed="false">
      <c r="A56" s="19" t="n">
        <f aca="false">IF(COUNTA(B56:N56)=0,"",ROW()-13)</f>
        <v>43</v>
      </c>
      <c r="B56" s="29"/>
      <c r="C56" s="29"/>
      <c r="D56" s="29"/>
      <c r="E56" s="29"/>
      <c r="F56" s="29"/>
      <c r="G56" s="31"/>
      <c r="H56" s="29"/>
      <c r="I56" s="29"/>
      <c r="J56" s="29"/>
      <c r="K56" s="29"/>
      <c r="L56" s="29"/>
      <c r="M56" s="32" t="str">
        <f aca="false">IF(D56="","",IF(AND(COUNTIFS(D$14:D$200,D56,C$14:C$200,"FAT",J$14:J$200,"Pass")+COUNTIFS(D$14:D$200,D56,C$14:C$200,"FAT",J$14:J$200,"Conditional Pass")&gt;0,COUNTIFS(D$14:D$200,D56,C$14:C$200,"SAT",J$14:J$200,"Pass")+COUNTIFS(D$14:D$200,D56,C$14:C$200,"SAT",J$14:J$200,"Conditional Pass")&gt;0),"FAT+SAT Complete",IF(COUNTIFS(D$14:D$200,D56,C$14:C$200,"SAT",J$14:J$200,"Pass")+COUNTIFS(D$14:D$200,D56,C$14:C$200,"SAT",J$14:J$200,"Conditional Pass")&gt;0,"SAT Only",IF(COUNTIFS(D$14:D$200,D56,C$14:C$200,"FAT",J$14:J$200,"Pass")+COUNTIFS(D$14:D$200,D56,C$14:C$200,"FAT",J$14:J$200,"Conditional Pass")&gt;0,"FAT Only — Awaiting SAT","Not Passed"))))</f>
        <v/>
      </c>
      <c r="N56" s="29"/>
      <c r="O56" s="29"/>
      <c r="P56" s="29"/>
      <c r="Q56" s="29"/>
      <c r="R56" s="31"/>
    </row>
    <row r="57" customFormat="false" ht="15" hidden="false" customHeight="false" outlineLevel="0" collapsed="false">
      <c r="A57" s="19" t="n">
        <f aca="false">IF(COUNTA(B57:N57)=0,"",ROW()-13)</f>
        <v>44</v>
      </c>
      <c r="B57" s="29"/>
      <c r="C57" s="29"/>
      <c r="D57" s="29"/>
      <c r="E57" s="29"/>
      <c r="F57" s="29"/>
      <c r="G57" s="31"/>
      <c r="H57" s="29"/>
      <c r="I57" s="29"/>
      <c r="J57" s="29"/>
      <c r="K57" s="29"/>
      <c r="L57" s="29"/>
      <c r="M57" s="32" t="str">
        <f aca="false">IF(D57="","",IF(AND(COUNTIFS(D$14:D$200,D57,C$14:C$200,"FAT",J$14:J$200,"Pass")+COUNTIFS(D$14:D$200,D57,C$14:C$200,"FAT",J$14:J$200,"Conditional Pass")&gt;0,COUNTIFS(D$14:D$200,D57,C$14:C$200,"SAT",J$14:J$200,"Pass")+COUNTIFS(D$14:D$200,D57,C$14:C$200,"SAT",J$14:J$200,"Conditional Pass")&gt;0),"FAT+SAT Complete",IF(COUNTIFS(D$14:D$200,D57,C$14:C$200,"SAT",J$14:J$200,"Pass")+COUNTIFS(D$14:D$200,D57,C$14:C$200,"SAT",J$14:J$200,"Conditional Pass")&gt;0,"SAT Only",IF(COUNTIFS(D$14:D$200,D57,C$14:C$200,"FAT",J$14:J$200,"Pass")+COUNTIFS(D$14:D$200,D57,C$14:C$200,"FAT",J$14:J$200,"Conditional Pass")&gt;0,"FAT Only — Awaiting SAT","Not Passed"))))</f>
        <v/>
      </c>
      <c r="N57" s="29"/>
      <c r="O57" s="29"/>
      <c r="P57" s="29"/>
      <c r="Q57" s="29"/>
      <c r="R57" s="31"/>
    </row>
    <row r="58" customFormat="false" ht="15" hidden="false" customHeight="false" outlineLevel="0" collapsed="false">
      <c r="A58" s="19" t="n">
        <f aca="false">IF(COUNTA(B58:N58)=0,"",ROW()-13)</f>
        <v>45</v>
      </c>
      <c r="B58" s="29"/>
      <c r="C58" s="29"/>
      <c r="D58" s="29"/>
      <c r="E58" s="29"/>
      <c r="F58" s="29"/>
      <c r="G58" s="31"/>
      <c r="H58" s="29"/>
      <c r="I58" s="29"/>
      <c r="J58" s="29"/>
      <c r="K58" s="29"/>
      <c r="L58" s="29"/>
      <c r="M58" s="32" t="str">
        <f aca="false">IF(D58="","",IF(AND(COUNTIFS(D$14:D$200,D58,C$14:C$200,"FAT",J$14:J$200,"Pass")+COUNTIFS(D$14:D$200,D58,C$14:C$200,"FAT",J$14:J$200,"Conditional Pass")&gt;0,COUNTIFS(D$14:D$200,D58,C$14:C$200,"SAT",J$14:J$200,"Pass")+COUNTIFS(D$14:D$200,D58,C$14:C$200,"SAT",J$14:J$200,"Conditional Pass")&gt;0),"FAT+SAT Complete",IF(COUNTIFS(D$14:D$200,D58,C$14:C$200,"SAT",J$14:J$200,"Pass")+COUNTIFS(D$14:D$200,D58,C$14:C$200,"SAT",J$14:J$200,"Conditional Pass")&gt;0,"SAT Only",IF(COUNTIFS(D$14:D$200,D58,C$14:C$200,"FAT",J$14:J$200,"Pass")+COUNTIFS(D$14:D$200,D58,C$14:C$200,"FAT",J$14:J$200,"Conditional Pass")&gt;0,"FAT Only — Awaiting SAT","Not Passed"))))</f>
        <v/>
      </c>
      <c r="N58" s="29"/>
      <c r="O58" s="29"/>
      <c r="P58" s="29"/>
      <c r="Q58" s="29"/>
      <c r="R58" s="31"/>
    </row>
    <row r="59" customFormat="false" ht="15" hidden="false" customHeight="false" outlineLevel="0" collapsed="false">
      <c r="A59" s="19" t="n">
        <f aca="false">IF(COUNTA(B59:N59)=0,"",ROW()-13)</f>
        <v>46</v>
      </c>
      <c r="B59" s="29"/>
      <c r="C59" s="29"/>
      <c r="D59" s="29"/>
      <c r="E59" s="29"/>
      <c r="F59" s="29"/>
      <c r="G59" s="31"/>
      <c r="H59" s="29"/>
      <c r="I59" s="29"/>
      <c r="J59" s="29"/>
      <c r="K59" s="29"/>
      <c r="L59" s="29"/>
      <c r="M59" s="32" t="str">
        <f aca="false">IF(D59="","",IF(AND(COUNTIFS(D$14:D$200,D59,C$14:C$200,"FAT",J$14:J$200,"Pass")+COUNTIFS(D$14:D$200,D59,C$14:C$200,"FAT",J$14:J$200,"Conditional Pass")&gt;0,COUNTIFS(D$14:D$200,D59,C$14:C$200,"SAT",J$14:J$200,"Pass")+COUNTIFS(D$14:D$200,D59,C$14:C$200,"SAT",J$14:J$200,"Conditional Pass")&gt;0),"FAT+SAT Complete",IF(COUNTIFS(D$14:D$200,D59,C$14:C$200,"SAT",J$14:J$200,"Pass")+COUNTIFS(D$14:D$200,D59,C$14:C$200,"SAT",J$14:J$200,"Conditional Pass")&gt;0,"SAT Only",IF(COUNTIFS(D$14:D$200,D59,C$14:C$200,"FAT",J$14:J$200,"Pass")+COUNTIFS(D$14:D$200,D59,C$14:C$200,"FAT",J$14:J$200,"Conditional Pass")&gt;0,"FAT Only — Awaiting SAT","Not Passed"))))</f>
        <v/>
      </c>
      <c r="N59" s="29"/>
      <c r="O59" s="29"/>
      <c r="P59" s="29"/>
      <c r="Q59" s="29"/>
      <c r="R59" s="31"/>
    </row>
    <row r="60" customFormat="false" ht="15" hidden="false" customHeight="false" outlineLevel="0" collapsed="false">
      <c r="A60" s="19" t="n">
        <f aca="false">IF(COUNTA(B60:N60)=0,"",ROW()-13)</f>
        <v>47</v>
      </c>
      <c r="B60" s="29"/>
      <c r="C60" s="29"/>
      <c r="D60" s="29"/>
      <c r="E60" s="29"/>
      <c r="F60" s="29"/>
      <c r="G60" s="31"/>
      <c r="H60" s="29"/>
      <c r="I60" s="29"/>
      <c r="J60" s="29"/>
      <c r="K60" s="29"/>
      <c r="L60" s="29"/>
      <c r="M60" s="32" t="str">
        <f aca="false">IF(D60="","",IF(AND(COUNTIFS(D$14:D$200,D60,C$14:C$200,"FAT",J$14:J$200,"Pass")+COUNTIFS(D$14:D$200,D60,C$14:C$200,"FAT",J$14:J$200,"Conditional Pass")&gt;0,COUNTIFS(D$14:D$200,D60,C$14:C$200,"SAT",J$14:J$200,"Pass")+COUNTIFS(D$14:D$200,D60,C$14:C$200,"SAT",J$14:J$200,"Conditional Pass")&gt;0),"FAT+SAT Complete",IF(COUNTIFS(D$14:D$200,D60,C$14:C$200,"SAT",J$14:J$200,"Pass")+COUNTIFS(D$14:D$200,D60,C$14:C$200,"SAT",J$14:J$200,"Conditional Pass")&gt;0,"SAT Only",IF(COUNTIFS(D$14:D$200,D60,C$14:C$200,"FAT",J$14:J$200,"Pass")+COUNTIFS(D$14:D$200,D60,C$14:C$200,"FAT",J$14:J$200,"Conditional Pass")&gt;0,"FAT Only — Awaiting SAT","Not Passed"))))</f>
        <v/>
      </c>
      <c r="N60" s="29"/>
      <c r="O60" s="29"/>
      <c r="P60" s="29"/>
      <c r="Q60" s="29"/>
      <c r="R60" s="31"/>
    </row>
    <row r="61" customFormat="false" ht="15" hidden="false" customHeight="false" outlineLevel="0" collapsed="false">
      <c r="A61" s="19" t="n">
        <f aca="false">IF(COUNTA(B61:N61)=0,"",ROW()-13)</f>
        <v>48</v>
      </c>
      <c r="B61" s="29"/>
      <c r="C61" s="29"/>
      <c r="D61" s="29"/>
      <c r="E61" s="29"/>
      <c r="F61" s="29"/>
      <c r="G61" s="31"/>
      <c r="H61" s="29"/>
      <c r="I61" s="29"/>
      <c r="J61" s="29"/>
      <c r="K61" s="29"/>
      <c r="L61" s="29"/>
      <c r="M61" s="32" t="str">
        <f aca="false">IF(D61="","",IF(AND(COUNTIFS(D$14:D$200,D61,C$14:C$200,"FAT",J$14:J$200,"Pass")+COUNTIFS(D$14:D$200,D61,C$14:C$200,"FAT",J$14:J$200,"Conditional Pass")&gt;0,COUNTIFS(D$14:D$200,D61,C$14:C$200,"SAT",J$14:J$200,"Pass")+COUNTIFS(D$14:D$200,D61,C$14:C$200,"SAT",J$14:J$200,"Conditional Pass")&gt;0),"FAT+SAT Complete",IF(COUNTIFS(D$14:D$200,D61,C$14:C$200,"SAT",J$14:J$200,"Pass")+COUNTIFS(D$14:D$200,D61,C$14:C$200,"SAT",J$14:J$200,"Conditional Pass")&gt;0,"SAT Only",IF(COUNTIFS(D$14:D$200,D61,C$14:C$200,"FAT",J$14:J$200,"Pass")+COUNTIFS(D$14:D$200,D61,C$14:C$200,"FAT",J$14:J$200,"Conditional Pass")&gt;0,"FAT Only — Awaiting SAT","Not Passed"))))</f>
        <v/>
      </c>
      <c r="N61" s="29"/>
      <c r="O61" s="29"/>
      <c r="P61" s="29"/>
      <c r="Q61" s="29"/>
      <c r="R61" s="31"/>
    </row>
    <row r="62" customFormat="false" ht="15" hidden="false" customHeight="false" outlineLevel="0" collapsed="false">
      <c r="A62" s="19" t="n">
        <f aca="false">IF(COUNTA(B62:N62)=0,"",ROW()-13)</f>
        <v>49</v>
      </c>
      <c r="B62" s="29"/>
      <c r="C62" s="29"/>
      <c r="D62" s="29"/>
      <c r="E62" s="29"/>
      <c r="F62" s="29"/>
      <c r="G62" s="31"/>
      <c r="H62" s="29"/>
      <c r="I62" s="29"/>
      <c r="J62" s="29"/>
      <c r="K62" s="29"/>
      <c r="L62" s="29"/>
      <c r="M62" s="32" t="str">
        <f aca="false">IF(D62="","",IF(AND(COUNTIFS(D$14:D$200,D62,C$14:C$200,"FAT",J$14:J$200,"Pass")+COUNTIFS(D$14:D$200,D62,C$14:C$200,"FAT",J$14:J$200,"Conditional Pass")&gt;0,COUNTIFS(D$14:D$200,D62,C$14:C$200,"SAT",J$14:J$200,"Pass")+COUNTIFS(D$14:D$200,D62,C$14:C$200,"SAT",J$14:J$200,"Conditional Pass")&gt;0),"FAT+SAT Complete",IF(COUNTIFS(D$14:D$200,D62,C$14:C$200,"SAT",J$14:J$200,"Pass")+COUNTIFS(D$14:D$200,D62,C$14:C$200,"SAT",J$14:J$200,"Conditional Pass")&gt;0,"SAT Only",IF(COUNTIFS(D$14:D$200,D62,C$14:C$200,"FAT",J$14:J$200,"Pass")+COUNTIFS(D$14:D$200,D62,C$14:C$200,"FAT",J$14:J$200,"Conditional Pass")&gt;0,"FAT Only — Awaiting SAT","Not Passed"))))</f>
        <v/>
      </c>
      <c r="N62" s="29"/>
      <c r="O62" s="29"/>
      <c r="P62" s="29"/>
      <c r="Q62" s="29"/>
      <c r="R62" s="31"/>
    </row>
    <row r="63" customFormat="false" ht="15" hidden="false" customHeight="false" outlineLevel="0" collapsed="false">
      <c r="A63" s="19" t="n">
        <f aca="false">IF(COUNTA(B63:N63)=0,"",ROW()-13)</f>
        <v>50</v>
      </c>
      <c r="B63" s="29"/>
      <c r="C63" s="29"/>
      <c r="D63" s="29"/>
      <c r="E63" s="29"/>
      <c r="F63" s="29"/>
      <c r="G63" s="31"/>
      <c r="H63" s="29"/>
      <c r="I63" s="29"/>
      <c r="J63" s="29"/>
      <c r="K63" s="29"/>
      <c r="L63" s="29"/>
      <c r="M63" s="32" t="str">
        <f aca="false">IF(D63="","",IF(AND(COUNTIFS(D$14:D$200,D63,C$14:C$200,"FAT",J$14:J$200,"Pass")+COUNTIFS(D$14:D$200,D63,C$14:C$200,"FAT",J$14:J$200,"Conditional Pass")&gt;0,COUNTIFS(D$14:D$200,D63,C$14:C$200,"SAT",J$14:J$200,"Pass")+COUNTIFS(D$14:D$200,D63,C$14:C$200,"SAT",J$14:J$200,"Conditional Pass")&gt;0),"FAT+SAT Complete",IF(COUNTIFS(D$14:D$200,D63,C$14:C$200,"SAT",J$14:J$200,"Pass")+COUNTIFS(D$14:D$200,D63,C$14:C$200,"SAT",J$14:J$200,"Conditional Pass")&gt;0,"SAT Only",IF(COUNTIFS(D$14:D$200,D63,C$14:C$200,"FAT",J$14:J$200,"Pass")+COUNTIFS(D$14:D$200,D63,C$14:C$200,"FAT",J$14:J$200,"Conditional Pass")&gt;0,"FAT Only — Awaiting SAT","Not Passed"))))</f>
        <v/>
      </c>
      <c r="N63" s="29"/>
      <c r="O63" s="29"/>
      <c r="P63" s="29"/>
      <c r="Q63" s="29"/>
      <c r="R63" s="31"/>
    </row>
    <row r="64" customFormat="false" ht="15" hidden="false" customHeight="false" outlineLevel="0" collapsed="false">
      <c r="G64" s="33"/>
      <c r="R64" s="33"/>
    </row>
    <row r="65" customFormat="false" ht="15" hidden="false" customHeight="false" outlineLevel="0" collapsed="false">
      <c r="G65" s="33"/>
      <c r="R65" s="33"/>
    </row>
    <row r="66" customFormat="false" ht="15" hidden="false" customHeight="false" outlineLevel="0" collapsed="false">
      <c r="G66" s="33"/>
      <c r="R66" s="33"/>
    </row>
    <row r="67" customFormat="false" ht="15" hidden="false" customHeight="false" outlineLevel="0" collapsed="false">
      <c r="G67" s="33"/>
      <c r="R67" s="33"/>
    </row>
    <row r="68" customFormat="false" ht="15" hidden="false" customHeight="false" outlineLevel="0" collapsed="false">
      <c r="G68" s="33"/>
      <c r="R68" s="33"/>
    </row>
    <row r="69" customFormat="false" ht="15" hidden="false" customHeight="false" outlineLevel="0" collapsed="false">
      <c r="G69" s="33"/>
      <c r="R69" s="33"/>
    </row>
    <row r="70" customFormat="false" ht="15" hidden="false" customHeight="false" outlineLevel="0" collapsed="false">
      <c r="G70" s="33"/>
      <c r="R70" s="33"/>
    </row>
    <row r="71" customFormat="false" ht="15" hidden="false" customHeight="false" outlineLevel="0" collapsed="false">
      <c r="G71" s="33"/>
      <c r="R71" s="33"/>
    </row>
    <row r="72" customFormat="false" ht="15" hidden="false" customHeight="false" outlineLevel="0" collapsed="false">
      <c r="G72" s="33"/>
      <c r="R72" s="33"/>
    </row>
    <row r="73" customFormat="false" ht="15" hidden="false" customHeight="false" outlineLevel="0" collapsed="false">
      <c r="G73" s="33"/>
      <c r="R73" s="33"/>
    </row>
    <row r="74" customFormat="false" ht="15" hidden="false" customHeight="false" outlineLevel="0" collapsed="false">
      <c r="G74" s="33"/>
      <c r="R74" s="33"/>
    </row>
    <row r="75" customFormat="false" ht="15" hidden="false" customHeight="false" outlineLevel="0" collapsed="false">
      <c r="G75" s="33"/>
      <c r="R75" s="33"/>
    </row>
    <row r="76" customFormat="false" ht="15" hidden="false" customHeight="false" outlineLevel="0" collapsed="false">
      <c r="G76" s="33"/>
      <c r="R76" s="33"/>
    </row>
    <row r="77" customFormat="false" ht="15" hidden="false" customHeight="false" outlineLevel="0" collapsed="false">
      <c r="G77" s="33"/>
      <c r="R77" s="33"/>
    </row>
    <row r="78" customFormat="false" ht="15" hidden="false" customHeight="false" outlineLevel="0" collapsed="false">
      <c r="G78" s="33"/>
      <c r="R78" s="33"/>
    </row>
    <row r="79" customFormat="false" ht="15" hidden="false" customHeight="false" outlineLevel="0" collapsed="false">
      <c r="G79" s="33"/>
      <c r="R79" s="33"/>
    </row>
    <row r="80" customFormat="false" ht="15" hidden="false" customHeight="false" outlineLevel="0" collapsed="false">
      <c r="G80" s="33"/>
      <c r="R80" s="33"/>
    </row>
    <row r="81" customFormat="false" ht="15" hidden="false" customHeight="false" outlineLevel="0" collapsed="false">
      <c r="G81" s="33"/>
      <c r="R81" s="33"/>
    </row>
    <row r="82" customFormat="false" ht="15" hidden="false" customHeight="false" outlineLevel="0" collapsed="false">
      <c r="G82" s="33"/>
      <c r="R82" s="33"/>
    </row>
    <row r="83" customFormat="false" ht="15" hidden="false" customHeight="false" outlineLevel="0" collapsed="false">
      <c r="G83" s="33"/>
      <c r="R83" s="33"/>
    </row>
    <row r="84" customFormat="false" ht="15" hidden="false" customHeight="false" outlineLevel="0" collapsed="false">
      <c r="G84" s="33"/>
      <c r="R84" s="33"/>
    </row>
    <row r="85" customFormat="false" ht="15" hidden="false" customHeight="false" outlineLevel="0" collapsed="false">
      <c r="G85" s="33"/>
      <c r="R85" s="33"/>
    </row>
    <row r="86" customFormat="false" ht="15" hidden="false" customHeight="false" outlineLevel="0" collapsed="false">
      <c r="G86" s="33"/>
      <c r="R86" s="33"/>
    </row>
    <row r="87" customFormat="false" ht="15" hidden="false" customHeight="false" outlineLevel="0" collapsed="false">
      <c r="G87" s="33"/>
      <c r="R87" s="33"/>
    </row>
    <row r="88" customFormat="false" ht="15" hidden="false" customHeight="false" outlineLevel="0" collapsed="false">
      <c r="G88" s="33"/>
      <c r="R88" s="33"/>
    </row>
    <row r="89" customFormat="false" ht="15" hidden="false" customHeight="false" outlineLevel="0" collapsed="false">
      <c r="G89" s="33"/>
      <c r="R89" s="33"/>
    </row>
    <row r="90" customFormat="false" ht="15" hidden="false" customHeight="false" outlineLevel="0" collapsed="false">
      <c r="G90" s="33"/>
      <c r="R90" s="33"/>
    </row>
    <row r="91" customFormat="false" ht="15" hidden="false" customHeight="false" outlineLevel="0" collapsed="false">
      <c r="G91" s="33"/>
      <c r="R91" s="33"/>
    </row>
    <row r="92" customFormat="false" ht="15" hidden="false" customHeight="false" outlineLevel="0" collapsed="false">
      <c r="G92" s="33"/>
      <c r="R92" s="33"/>
    </row>
    <row r="93" customFormat="false" ht="15" hidden="false" customHeight="false" outlineLevel="0" collapsed="false">
      <c r="G93" s="33"/>
      <c r="R93" s="33"/>
    </row>
    <row r="94" customFormat="false" ht="15" hidden="false" customHeight="false" outlineLevel="0" collapsed="false">
      <c r="G94" s="33"/>
      <c r="R94" s="33"/>
    </row>
    <row r="95" customFormat="false" ht="15" hidden="false" customHeight="false" outlineLevel="0" collapsed="false">
      <c r="G95" s="33"/>
      <c r="R95" s="33"/>
    </row>
    <row r="96" customFormat="false" ht="15" hidden="false" customHeight="false" outlineLevel="0" collapsed="false">
      <c r="G96" s="33"/>
      <c r="R96" s="33"/>
    </row>
    <row r="97" customFormat="false" ht="15" hidden="false" customHeight="false" outlineLevel="0" collapsed="false">
      <c r="G97" s="33"/>
      <c r="R97" s="33"/>
    </row>
    <row r="98" customFormat="false" ht="15" hidden="false" customHeight="false" outlineLevel="0" collapsed="false">
      <c r="G98" s="33"/>
      <c r="R98" s="33"/>
    </row>
    <row r="99" customFormat="false" ht="15" hidden="false" customHeight="false" outlineLevel="0" collapsed="false">
      <c r="G99" s="33"/>
      <c r="R99" s="33"/>
    </row>
    <row r="100" customFormat="false" ht="15" hidden="false" customHeight="false" outlineLevel="0" collapsed="false">
      <c r="G100" s="33"/>
      <c r="R100" s="33"/>
    </row>
    <row r="101" customFormat="false" ht="15" hidden="false" customHeight="false" outlineLevel="0" collapsed="false">
      <c r="G101" s="33"/>
      <c r="R101" s="33"/>
    </row>
    <row r="102" customFormat="false" ht="15" hidden="false" customHeight="false" outlineLevel="0" collapsed="false">
      <c r="G102" s="33"/>
      <c r="R102" s="33"/>
    </row>
    <row r="103" customFormat="false" ht="15" hidden="false" customHeight="false" outlineLevel="0" collapsed="false">
      <c r="G103" s="33"/>
      <c r="R103" s="33"/>
    </row>
    <row r="104" customFormat="false" ht="15" hidden="false" customHeight="false" outlineLevel="0" collapsed="false">
      <c r="G104" s="33"/>
      <c r="R104" s="33"/>
    </row>
    <row r="105" customFormat="false" ht="15" hidden="false" customHeight="false" outlineLevel="0" collapsed="false">
      <c r="G105" s="33"/>
      <c r="R105" s="33"/>
    </row>
    <row r="106" customFormat="false" ht="15" hidden="false" customHeight="false" outlineLevel="0" collapsed="false">
      <c r="G106" s="33"/>
      <c r="R106" s="33"/>
    </row>
    <row r="107" customFormat="false" ht="15" hidden="false" customHeight="false" outlineLevel="0" collapsed="false">
      <c r="G107" s="33"/>
      <c r="R107" s="33"/>
    </row>
    <row r="108" customFormat="false" ht="15" hidden="false" customHeight="false" outlineLevel="0" collapsed="false">
      <c r="G108" s="33"/>
      <c r="R108" s="33"/>
    </row>
    <row r="109" customFormat="false" ht="15" hidden="false" customHeight="false" outlineLevel="0" collapsed="false">
      <c r="G109" s="33"/>
      <c r="R109" s="33"/>
    </row>
    <row r="110" customFormat="false" ht="15" hidden="false" customHeight="false" outlineLevel="0" collapsed="false">
      <c r="G110" s="33"/>
      <c r="R110" s="33"/>
    </row>
    <row r="111" customFormat="false" ht="15" hidden="false" customHeight="false" outlineLevel="0" collapsed="false">
      <c r="G111" s="33"/>
      <c r="R111" s="33"/>
    </row>
    <row r="112" customFormat="false" ht="15" hidden="false" customHeight="false" outlineLevel="0" collapsed="false">
      <c r="G112" s="33"/>
      <c r="R112" s="33"/>
    </row>
    <row r="113" customFormat="false" ht="15" hidden="false" customHeight="false" outlineLevel="0" collapsed="false">
      <c r="G113" s="33"/>
      <c r="R113" s="33"/>
    </row>
    <row r="114" customFormat="false" ht="15" hidden="false" customHeight="false" outlineLevel="0" collapsed="false">
      <c r="G114" s="33"/>
      <c r="R114" s="33"/>
    </row>
    <row r="115" customFormat="false" ht="15" hidden="false" customHeight="false" outlineLevel="0" collapsed="false">
      <c r="G115" s="33"/>
      <c r="R115" s="33"/>
    </row>
    <row r="116" customFormat="false" ht="15" hidden="false" customHeight="false" outlineLevel="0" collapsed="false">
      <c r="G116" s="33"/>
      <c r="R116" s="33"/>
    </row>
    <row r="117" customFormat="false" ht="15" hidden="false" customHeight="false" outlineLevel="0" collapsed="false">
      <c r="G117" s="33"/>
      <c r="R117" s="33"/>
    </row>
    <row r="118" customFormat="false" ht="15" hidden="false" customHeight="false" outlineLevel="0" collapsed="false">
      <c r="G118" s="33"/>
      <c r="R118" s="33"/>
    </row>
    <row r="119" customFormat="false" ht="15" hidden="false" customHeight="false" outlineLevel="0" collapsed="false">
      <c r="G119" s="33"/>
      <c r="R119" s="33"/>
    </row>
    <row r="120" customFormat="false" ht="15" hidden="false" customHeight="false" outlineLevel="0" collapsed="false">
      <c r="G120" s="33"/>
      <c r="R120" s="33"/>
    </row>
    <row r="121" customFormat="false" ht="15" hidden="false" customHeight="false" outlineLevel="0" collapsed="false">
      <c r="G121" s="33"/>
      <c r="R121" s="33"/>
    </row>
    <row r="122" customFormat="false" ht="15" hidden="false" customHeight="false" outlineLevel="0" collapsed="false">
      <c r="G122" s="33"/>
      <c r="R122" s="33"/>
    </row>
    <row r="123" customFormat="false" ht="15" hidden="false" customHeight="false" outlineLevel="0" collapsed="false">
      <c r="G123" s="33"/>
      <c r="R123" s="33"/>
    </row>
    <row r="124" customFormat="false" ht="15" hidden="false" customHeight="false" outlineLevel="0" collapsed="false">
      <c r="G124" s="33"/>
      <c r="R124" s="33"/>
    </row>
    <row r="125" customFormat="false" ht="15" hidden="false" customHeight="false" outlineLevel="0" collapsed="false">
      <c r="G125" s="33"/>
      <c r="R125" s="33"/>
    </row>
    <row r="126" customFormat="false" ht="15" hidden="false" customHeight="false" outlineLevel="0" collapsed="false">
      <c r="G126" s="33"/>
      <c r="R126" s="33"/>
    </row>
    <row r="127" customFormat="false" ht="15" hidden="false" customHeight="false" outlineLevel="0" collapsed="false">
      <c r="G127" s="33"/>
      <c r="R127" s="33"/>
    </row>
    <row r="128" customFormat="false" ht="15" hidden="false" customHeight="false" outlineLevel="0" collapsed="false">
      <c r="G128" s="33"/>
      <c r="R128" s="33"/>
    </row>
    <row r="129" customFormat="false" ht="15" hidden="false" customHeight="false" outlineLevel="0" collapsed="false">
      <c r="G129" s="33"/>
      <c r="R129" s="33"/>
    </row>
    <row r="130" customFormat="false" ht="15" hidden="false" customHeight="false" outlineLevel="0" collapsed="false">
      <c r="G130" s="33"/>
      <c r="R130" s="33"/>
    </row>
    <row r="131" customFormat="false" ht="15" hidden="false" customHeight="false" outlineLevel="0" collapsed="false">
      <c r="G131" s="33"/>
      <c r="R131" s="33"/>
    </row>
    <row r="132" customFormat="false" ht="15" hidden="false" customHeight="false" outlineLevel="0" collapsed="false">
      <c r="G132" s="33"/>
      <c r="R132" s="33"/>
    </row>
    <row r="133" customFormat="false" ht="15" hidden="false" customHeight="false" outlineLevel="0" collapsed="false">
      <c r="G133" s="33"/>
      <c r="R133" s="33"/>
    </row>
    <row r="134" customFormat="false" ht="15" hidden="false" customHeight="false" outlineLevel="0" collapsed="false">
      <c r="G134" s="33"/>
      <c r="R134" s="33"/>
    </row>
    <row r="135" customFormat="false" ht="15" hidden="false" customHeight="false" outlineLevel="0" collapsed="false">
      <c r="G135" s="33"/>
      <c r="R135" s="33"/>
    </row>
    <row r="136" customFormat="false" ht="15" hidden="false" customHeight="false" outlineLevel="0" collapsed="false">
      <c r="G136" s="33"/>
      <c r="R136" s="33"/>
    </row>
    <row r="137" customFormat="false" ht="15" hidden="false" customHeight="false" outlineLevel="0" collapsed="false">
      <c r="G137" s="33"/>
      <c r="R137" s="33"/>
    </row>
    <row r="138" customFormat="false" ht="15" hidden="false" customHeight="false" outlineLevel="0" collapsed="false">
      <c r="G138" s="33"/>
      <c r="R138" s="33"/>
    </row>
    <row r="139" customFormat="false" ht="15" hidden="false" customHeight="false" outlineLevel="0" collapsed="false">
      <c r="G139" s="33"/>
      <c r="R139" s="33"/>
    </row>
    <row r="140" customFormat="false" ht="15" hidden="false" customHeight="false" outlineLevel="0" collapsed="false">
      <c r="G140" s="33"/>
      <c r="R140" s="33"/>
    </row>
    <row r="141" customFormat="false" ht="15" hidden="false" customHeight="false" outlineLevel="0" collapsed="false">
      <c r="G141" s="33"/>
      <c r="R141" s="33"/>
    </row>
    <row r="142" customFormat="false" ht="15" hidden="false" customHeight="false" outlineLevel="0" collapsed="false">
      <c r="G142" s="33"/>
      <c r="R142" s="33"/>
    </row>
    <row r="143" customFormat="false" ht="15" hidden="false" customHeight="false" outlineLevel="0" collapsed="false">
      <c r="G143" s="33"/>
      <c r="R143" s="33"/>
    </row>
    <row r="144" customFormat="false" ht="15" hidden="false" customHeight="false" outlineLevel="0" collapsed="false">
      <c r="G144" s="33"/>
      <c r="R144" s="33"/>
    </row>
    <row r="145" customFormat="false" ht="15" hidden="false" customHeight="false" outlineLevel="0" collapsed="false">
      <c r="G145" s="33"/>
      <c r="R145" s="33"/>
    </row>
    <row r="146" customFormat="false" ht="15" hidden="false" customHeight="false" outlineLevel="0" collapsed="false">
      <c r="G146" s="33"/>
      <c r="R146" s="33"/>
    </row>
    <row r="147" customFormat="false" ht="15" hidden="false" customHeight="false" outlineLevel="0" collapsed="false">
      <c r="G147" s="33"/>
      <c r="R147" s="33"/>
    </row>
    <row r="148" customFormat="false" ht="15" hidden="false" customHeight="false" outlineLevel="0" collapsed="false">
      <c r="G148" s="33"/>
      <c r="R148" s="33"/>
    </row>
    <row r="149" customFormat="false" ht="15" hidden="false" customHeight="false" outlineLevel="0" collapsed="false">
      <c r="G149" s="33"/>
      <c r="R149" s="33"/>
    </row>
    <row r="150" customFormat="false" ht="15" hidden="false" customHeight="false" outlineLevel="0" collapsed="false">
      <c r="G150" s="33"/>
      <c r="R150" s="33"/>
    </row>
    <row r="151" customFormat="false" ht="15" hidden="false" customHeight="false" outlineLevel="0" collapsed="false">
      <c r="G151" s="33"/>
      <c r="R151" s="33"/>
    </row>
    <row r="152" customFormat="false" ht="15" hidden="false" customHeight="false" outlineLevel="0" collapsed="false">
      <c r="G152" s="33"/>
      <c r="R152" s="33"/>
    </row>
    <row r="153" customFormat="false" ht="15" hidden="false" customHeight="false" outlineLevel="0" collapsed="false">
      <c r="G153" s="33"/>
      <c r="R153" s="33"/>
    </row>
    <row r="154" customFormat="false" ht="15" hidden="false" customHeight="false" outlineLevel="0" collapsed="false">
      <c r="G154" s="33"/>
      <c r="R154" s="33"/>
    </row>
    <row r="155" customFormat="false" ht="15" hidden="false" customHeight="false" outlineLevel="0" collapsed="false">
      <c r="G155" s="33"/>
      <c r="R155" s="33"/>
    </row>
    <row r="156" customFormat="false" ht="15" hidden="false" customHeight="false" outlineLevel="0" collapsed="false">
      <c r="G156" s="33"/>
      <c r="R156" s="33"/>
    </row>
    <row r="157" customFormat="false" ht="15" hidden="false" customHeight="false" outlineLevel="0" collapsed="false">
      <c r="G157" s="33"/>
      <c r="R157" s="33"/>
    </row>
    <row r="158" customFormat="false" ht="15" hidden="false" customHeight="false" outlineLevel="0" collapsed="false">
      <c r="G158" s="33"/>
      <c r="R158" s="33"/>
    </row>
    <row r="159" customFormat="false" ht="15" hidden="false" customHeight="false" outlineLevel="0" collapsed="false">
      <c r="G159" s="33"/>
      <c r="R159" s="33"/>
    </row>
    <row r="160" customFormat="false" ht="15" hidden="false" customHeight="false" outlineLevel="0" collapsed="false">
      <c r="G160" s="33"/>
      <c r="R160" s="33"/>
    </row>
    <row r="161" customFormat="false" ht="15" hidden="false" customHeight="false" outlineLevel="0" collapsed="false">
      <c r="G161" s="33"/>
      <c r="R161" s="33"/>
    </row>
    <row r="162" customFormat="false" ht="15" hidden="false" customHeight="false" outlineLevel="0" collapsed="false">
      <c r="G162" s="33"/>
      <c r="R162" s="33"/>
    </row>
    <row r="163" customFormat="false" ht="15" hidden="false" customHeight="false" outlineLevel="0" collapsed="false">
      <c r="G163" s="33"/>
      <c r="R163" s="33"/>
    </row>
    <row r="164" customFormat="false" ht="15" hidden="false" customHeight="false" outlineLevel="0" collapsed="false">
      <c r="G164" s="33"/>
      <c r="R164" s="33"/>
    </row>
    <row r="165" customFormat="false" ht="15" hidden="false" customHeight="false" outlineLevel="0" collapsed="false">
      <c r="G165" s="33"/>
      <c r="R165" s="33"/>
    </row>
    <row r="166" customFormat="false" ht="15" hidden="false" customHeight="false" outlineLevel="0" collapsed="false">
      <c r="G166" s="33"/>
      <c r="R166" s="33"/>
    </row>
    <row r="167" customFormat="false" ht="15" hidden="false" customHeight="false" outlineLevel="0" collapsed="false">
      <c r="G167" s="33"/>
      <c r="R167" s="33"/>
    </row>
    <row r="168" customFormat="false" ht="15" hidden="false" customHeight="false" outlineLevel="0" collapsed="false">
      <c r="G168" s="33"/>
      <c r="R168" s="33"/>
    </row>
    <row r="169" customFormat="false" ht="15" hidden="false" customHeight="false" outlineLevel="0" collapsed="false">
      <c r="G169" s="33"/>
      <c r="R169" s="33"/>
    </row>
    <row r="170" customFormat="false" ht="15" hidden="false" customHeight="false" outlineLevel="0" collapsed="false">
      <c r="G170" s="33"/>
      <c r="R170" s="33"/>
    </row>
    <row r="171" customFormat="false" ht="15" hidden="false" customHeight="false" outlineLevel="0" collapsed="false">
      <c r="G171" s="33"/>
      <c r="R171" s="33"/>
    </row>
    <row r="172" customFormat="false" ht="15" hidden="false" customHeight="false" outlineLevel="0" collapsed="false">
      <c r="G172" s="33"/>
      <c r="R172" s="33"/>
    </row>
    <row r="173" customFormat="false" ht="15" hidden="false" customHeight="false" outlineLevel="0" collapsed="false">
      <c r="G173" s="33"/>
      <c r="R173" s="33"/>
    </row>
    <row r="174" customFormat="false" ht="15" hidden="false" customHeight="false" outlineLevel="0" collapsed="false">
      <c r="G174" s="33"/>
      <c r="R174" s="33"/>
    </row>
    <row r="175" customFormat="false" ht="15" hidden="false" customHeight="false" outlineLevel="0" collapsed="false">
      <c r="G175" s="33"/>
      <c r="R175" s="33"/>
    </row>
    <row r="176" customFormat="false" ht="15" hidden="false" customHeight="false" outlineLevel="0" collapsed="false">
      <c r="G176" s="33"/>
      <c r="R176" s="33"/>
    </row>
    <row r="177" customFormat="false" ht="15" hidden="false" customHeight="false" outlineLevel="0" collapsed="false">
      <c r="G177" s="33"/>
      <c r="R177" s="33"/>
    </row>
    <row r="178" customFormat="false" ht="15" hidden="false" customHeight="false" outlineLevel="0" collapsed="false">
      <c r="G178" s="33"/>
      <c r="R178" s="33"/>
    </row>
    <row r="179" customFormat="false" ht="15" hidden="false" customHeight="false" outlineLevel="0" collapsed="false">
      <c r="G179" s="33"/>
      <c r="R179" s="33"/>
    </row>
    <row r="180" customFormat="false" ht="15" hidden="false" customHeight="false" outlineLevel="0" collapsed="false">
      <c r="G180" s="33"/>
      <c r="R180" s="33"/>
    </row>
    <row r="181" customFormat="false" ht="15" hidden="false" customHeight="false" outlineLevel="0" collapsed="false">
      <c r="G181" s="33"/>
      <c r="R181" s="33"/>
    </row>
    <row r="182" customFormat="false" ht="15" hidden="false" customHeight="false" outlineLevel="0" collapsed="false">
      <c r="G182" s="33"/>
      <c r="R182" s="33"/>
    </row>
    <row r="183" customFormat="false" ht="15" hidden="false" customHeight="false" outlineLevel="0" collapsed="false">
      <c r="G183" s="33"/>
      <c r="R183" s="33"/>
    </row>
    <row r="184" customFormat="false" ht="15" hidden="false" customHeight="false" outlineLevel="0" collapsed="false">
      <c r="G184" s="33"/>
      <c r="R184" s="33"/>
    </row>
    <row r="185" customFormat="false" ht="15" hidden="false" customHeight="false" outlineLevel="0" collapsed="false">
      <c r="G185" s="33"/>
      <c r="R185" s="33"/>
    </row>
    <row r="186" customFormat="false" ht="15" hidden="false" customHeight="false" outlineLevel="0" collapsed="false">
      <c r="G186" s="33"/>
      <c r="R186" s="33"/>
    </row>
    <row r="187" customFormat="false" ht="15" hidden="false" customHeight="false" outlineLevel="0" collapsed="false">
      <c r="G187" s="33"/>
      <c r="R187" s="33"/>
    </row>
    <row r="188" customFormat="false" ht="15" hidden="false" customHeight="false" outlineLevel="0" collapsed="false">
      <c r="G188" s="33"/>
      <c r="R188" s="33"/>
    </row>
    <row r="189" customFormat="false" ht="15" hidden="false" customHeight="false" outlineLevel="0" collapsed="false">
      <c r="G189" s="33"/>
      <c r="R189" s="33"/>
    </row>
    <row r="190" customFormat="false" ht="15" hidden="false" customHeight="false" outlineLevel="0" collapsed="false">
      <c r="G190" s="33"/>
      <c r="R190" s="33"/>
    </row>
    <row r="191" customFormat="false" ht="15" hidden="false" customHeight="false" outlineLevel="0" collapsed="false">
      <c r="G191" s="33"/>
      <c r="R191" s="33"/>
    </row>
    <row r="192" customFormat="false" ht="15" hidden="false" customHeight="false" outlineLevel="0" collapsed="false">
      <c r="G192" s="33"/>
      <c r="R192" s="33"/>
    </row>
    <row r="193" customFormat="false" ht="15" hidden="false" customHeight="false" outlineLevel="0" collapsed="false">
      <c r="G193" s="33"/>
      <c r="R193" s="33"/>
    </row>
    <row r="194" customFormat="false" ht="15" hidden="false" customHeight="false" outlineLevel="0" collapsed="false">
      <c r="G194" s="33"/>
      <c r="R194" s="33"/>
    </row>
    <row r="195" customFormat="false" ht="15" hidden="false" customHeight="false" outlineLevel="0" collapsed="false">
      <c r="G195" s="33"/>
      <c r="R195" s="33"/>
    </row>
    <row r="196" customFormat="false" ht="15" hidden="false" customHeight="false" outlineLevel="0" collapsed="false">
      <c r="G196" s="33"/>
      <c r="R196" s="33"/>
    </row>
    <row r="197" customFormat="false" ht="15" hidden="false" customHeight="false" outlineLevel="0" collapsed="false">
      <c r="G197" s="33"/>
      <c r="R197" s="33"/>
    </row>
    <row r="198" customFormat="false" ht="15" hidden="false" customHeight="false" outlineLevel="0" collapsed="false">
      <c r="G198" s="33"/>
      <c r="R198" s="33"/>
    </row>
    <row r="199" customFormat="false" ht="15" hidden="false" customHeight="false" outlineLevel="0" collapsed="false">
      <c r="G199" s="33"/>
      <c r="R199" s="33"/>
    </row>
    <row r="200" customFormat="false" ht="15" hidden="false" customHeight="false" outlineLevel="0" collapsed="false">
      <c r="G200" s="33"/>
      <c r="R200" s="33"/>
    </row>
  </sheetData>
  <autoFilter ref="A13:R200"/>
  <mergeCells count="9">
    <mergeCell ref="A1:R1"/>
    <mergeCell ref="A3:E3"/>
    <mergeCell ref="G3:J3"/>
    <mergeCell ref="A10:C10"/>
    <mergeCell ref="E10:G10"/>
    <mergeCell ref="A12:F12"/>
    <mergeCell ref="G12:I12"/>
    <mergeCell ref="J12:N12"/>
    <mergeCell ref="O12:R12"/>
  </mergeCells>
  <conditionalFormatting sqref="E7">
    <cfRule type="cellIs" priority="2" operator="greaterThan" aboveAverage="0" equalAverage="0" bottom="0" percent="0" rank="0" text="" dxfId="10">
      <formula>0.1</formula>
    </cfRule>
  </conditionalFormatting>
  <conditionalFormatting sqref="E6">
    <cfRule type="cellIs" priority="3" operator="greaterThanOrEqual" aboveAverage="0" equalAverage="0" bottom="0" percent="0" rank="0" text="" dxfId="11">
      <formula>0.5</formula>
    </cfRule>
  </conditionalFormatting>
  <conditionalFormatting sqref="D10">
    <cfRule type="cellIs" priority="4" operator="greaterThan" aboveAverage="0" equalAverage="0" bottom="0" percent="0" rank="0" text="" dxfId="12">
      <formula>0</formula>
    </cfRule>
  </conditionalFormatting>
  <conditionalFormatting sqref="H10">
    <cfRule type="cellIs" priority="5" operator="greaterThan" aboveAverage="0" equalAverage="0" bottom="0" percent="0" rank="0" text="" dxfId="12">
      <formula>0</formula>
    </cfRule>
  </conditionalFormatting>
  <conditionalFormatting sqref="J14:J200">
    <cfRule type="cellIs" priority="6" operator="equal" aboveAverage="0" equalAverage="0" bottom="0" percent="0" rank="0" text="" dxfId="11">
      <formula>"Pass"</formula>
    </cfRule>
    <cfRule type="cellIs" priority="7" operator="equal" aboveAverage="0" equalAverage="0" bottom="0" percent="0" rank="0" text="" dxfId="12">
      <formula>"Conditional Pass"</formula>
    </cfRule>
    <cfRule type="cellIs" priority="8" operator="equal" aboveAverage="0" equalAverage="0" bottom="0" percent="0" rank="0" text="" dxfId="10">
      <formula>"Fail"</formula>
    </cfRule>
    <cfRule type="cellIs" priority="9" operator="equal" aboveAverage="0" equalAverage="0" bottom="0" percent="0" rank="0" text="" dxfId="10">
      <formula>"Deferred"</formula>
    </cfRule>
  </conditionalFormatting>
  <conditionalFormatting sqref="M14:M200">
    <cfRule type="cellIs" priority="10" operator="equal" aboveAverage="0" equalAverage="0" bottom="0" percent="0" rank="0" text="" dxfId="11">
      <formula>"FAT+SAT Complete"</formula>
    </cfRule>
    <cfRule type="cellIs" priority="11" operator="equal" aboveAverage="0" equalAverage="0" bottom="0" percent="0" rank="0" text="" dxfId="10">
      <formula>"Not Passed"</formula>
    </cfRule>
  </conditionalFormatting>
  <conditionalFormatting sqref="C14:C200">
    <cfRule type="cellIs" priority="12" operator="equal" aboveAverage="0" equalAverage="0" bottom="0" percent="0" rank="0" text="" dxfId="13">
      <formula>"FAT"</formula>
    </cfRule>
    <cfRule type="cellIs" priority="13" operator="equal" aboveAverage="0" equalAverage="0" bottom="0" percent="0" rank="0" text="" dxfId="14">
      <formula>"SAT"</formula>
    </cfRule>
  </conditionalFormatting>
  <conditionalFormatting sqref="L14:L200">
    <cfRule type="cellIs" priority="14" operator="greaterThan" aboveAverage="0" equalAverage="0" bottom="0" percent="0" rank="0" text="" dxfId="12">
      <formula>0</formula>
    </cfRule>
  </conditionalFormatting>
  <dataValidations count="3">
    <dataValidation allowBlank="true" error="Select FAT or SAT" errorStyle="stop" operator="between" showDropDown="false" showErrorMessage="false" showInputMessage="false" sqref="C14:C200" type="list">
      <formula1>"FAT,SAT"</formula1>
      <formula2>0</formula2>
    </dataValidation>
    <dataValidation allowBlank="true" error="Select a valid result" errorStyle="stop" operator="between" showDropDown="false" showErrorMessage="false" showInputMessage="false" sqref="J14:J200" type="list">
      <formula1>"Pass,Conditional Pass,Fail,Deferred"</formula1>
      <formula2>0</formula2>
    </dataValidation>
    <dataValidation allowBlank="true" errorStyle="stop" operator="greaterThanOrEqual" showDropDown="false" showErrorMessage="false" showInputMessage="false" sqref="K14:L20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&amp;CFAT / SAT Attendance Results Log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34" t="s">
        <v>120</v>
      </c>
    </row>
    <row r="2" customFormat="false" ht="15" hidden="false" customHeight="false" outlineLevel="0" collapsed="false">
      <c r="A2" s="34"/>
    </row>
    <row r="3" customFormat="false" ht="15" hidden="false" customHeight="false" outlineLevel="0" collapsed="false">
      <c r="A3" s="34" t="s">
        <v>121</v>
      </c>
    </row>
    <row r="4" customFormat="false" ht="15" hidden="false" customHeight="false" outlineLevel="0" collapsed="false">
      <c r="A4" s="34"/>
    </row>
    <row r="5" customFormat="false" ht="15" hidden="false" customHeight="false" outlineLevel="0" collapsed="false">
      <c r="A5" s="34" t="s">
        <v>122</v>
      </c>
    </row>
    <row r="6" customFormat="false" ht="15" hidden="false" customHeight="false" outlineLevel="0" collapsed="false">
      <c r="A6" s="34"/>
    </row>
    <row r="7" customFormat="false" ht="15" hidden="false" customHeight="false" outlineLevel="0" collapsed="false">
      <c r="A7" s="34" t="s">
        <v>123</v>
      </c>
    </row>
    <row r="8" customFormat="false" ht="15" hidden="false" customHeight="false" outlineLevel="0" collapsed="false">
      <c r="A8" s="34"/>
    </row>
    <row r="9" customFormat="false" ht="15" hidden="false" customHeight="false" outlineLevel="0" collapsed="false">
      <c r="A9" s="34" t="s">
        <v>124</v>
      </c>
    </row>
    <row r="10" customFormat="false" ht="15" hidden="false" customHeight="false" outlineLevel="0" collapsed="false">
      <c r="A10" s="34"/>
    </row>
    <row r="11" customFormat="false" ht="15" hidden="false" customHeight="false" outlineLevel="0" collapsed="false">
      <c r="A11" s="34" t="s">
        <v>125</v>
      </c>
    </row>
    <row r="12" customFormat="false" ht="15" hidden="false" customHeight="false" outlineLevel="0" collapsed="false">
      <c r="A12" s="34"/>
    </row>
    <row r="13" customFormat="false" ht="15" hidden="false" customHeight="false" outlineLevel="0" collapsed="false">
      <c r="A13" s="34" t="s">
        <v>126</v>
      </c>
    </row>
    <row r="14" customFormat="false" ht="15" hidden="false" customHeight="false" outlineLevel="0" collapsed="false">
      <c r="A14" s="34"/>
    </row>
    <row r="15" customFormat="false" ht="15" hidden="false" customHeight="false" outlineLevel="0" collapsed="false">
      <c r="A15" s="34" t="s">
        <v>127</v>
      </c>
    </row>
    <row r="16" customFormat="false" ht="15" hidden="false" customHeight="false" outlineLevel="0" collapsed="false">
      <c r="A16" s="34"/>
    </row>
    <row r="17" customFormat="false" ht="15" hidden="false" customHeight="false" outlineLevel="0" collapsed="false">
      <c r="A17" s="34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MEICA / Commissioning</cp:category>
  <dcterms:created xsi:type="dcterms:W3CDTF">2026-03-22T20:57:14Z</dcterms:created>
  <dc:creator>Ebrora Ltd</dc:creator>
  <dc:description>Log and track Factory Acceptance Tests and Site Acceptance Tests — recording attendance, test outcomes, observations, and the FAT→SAT progression for all MEICA equipment packages.
Free professional construction management template from Ebrora Ltd. Visit ebrora.com for our full range of tools and templates.</dc:description>
  <cp:keywords>Ebrora construction MEICA commissioning FAT SAT factory acceptance test site acceptance test testing</cp:keywords>
  <dc:language>en-US</dc:language>
  <cp:lastModifiedBy>Ebrora Ltd</cp:lastModifiedBy>
  <dcterms:modified xsi:type="dcterms:W3CDTF">2026-03-22T20:57:14Z</dcterms:modified>
  <cp:revision>0</cp:revision>
  <dc:subject>Log for tracking Factory Acceptance Tests and Site Acceptance Tests with attendance records, test outcomes, observations, and FAT-to-SAT progression tracking.</dc:subject>
  <dc:title>FAT / SAT Attendance &amp; Results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