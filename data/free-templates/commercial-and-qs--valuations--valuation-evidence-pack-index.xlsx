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Instructions" sheetId="2" state="visible" r:id="rId4"/>
    <sheet name="Evidence Index" sheetId="3" state="visible" r:id="rId5"/>
    <sheet name="Terms of Use" sheetId="4" state="hidden" r:id="rId6"/>
  </sheets>
  <definedNames>
    <definedName function="false" hidden="false" localSheetId="0" name="_xlnm.Print_Area" vbProcedure="false">Cover!$A$1:$H$20</definedName>
    <definedName function="false" hidden="false" localSheetId="2" name="_xlnm.Print_Area" vbProcedure="false">'Evidence Index'!$A$1:$I$35</definedName>
    <definedName function="false" hidden="false" localSheetId="2" name="_xlnm.Print_Titles" vbProcedure="false">'Evidence Index'!$1:$1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<sst xmlns="http://schemas.openxmlformats.org/spreadsheetml/2006/main" count="157" uniqueCount="126">
  <si>
    <t xml:space="preserve">EBRORA</t>
  </si>
  <si>
    <t xml:space="preserve">ebrora.com</t>
  </si>
  <si>
    <t xml:space="preserve">Valuation Evidence</t>
  </si>
  <si>
    <t xml:space="preserve">Pack Index</t>
  </si>
  <si>
    <t xml:space="preserve">Index and track all supporting evidence for interim valuations</t>
  </si>
  <si>
    <t xml:space="preserve">organised by valuation period with submission status tracking.</t>
  </si>
  <si>
    <t xml:space="preserve">This is a free template from Ebrora.</t>
  </si>
  <si>
    <t xml:space="preserve">For our full range of professional-grade construction management tools, visit ebrora.com</t>
  </si>
  <si>
    <t xml:space="preserve">© Ebrora 2026 — All rights reserved</t>
  </si>
  <si>
    <t xml:space="preserve">How to Use This Template</t>
  </si>
  <si>
    <t xml:space="preserve">Getting Started</t>
  </si>
  <si>
    <t xml:space="preserve">1.</t>
  </si>
  <si>
    <t xml:space="preserve">Open the 'Evidence Index' sheet. Evidence is organised into sections by Valuation Period (VP-01, VP-02, etc.).</t>
  </si>
  <si>
    <t xml:space="preserve">2.</t>
  </si>
  <si>
    <t xml:space="preserve">Each teal section header represents one valuation period. Evidence items are listed underneath each header.</t>
  </si>
  <si>
    <t xml:space="preserve">3.</t>
  </si>
  <si>
    <t xml:space="preserve">For each evidence item, record: Item Ref, Evidence Type (from dropdown), Description, linked BOQ Item, Value Claimed.</t>
  </si>
  <si>
    <t xml:space="preserve">4.</t>
  </si>
  <si>
    <t xml:space="preserve">Enter the Source Document Ref (e.g., photo filename, measurement sheet number, delivery ticket number).</t>
  </si>
  <si>
    <t xml:space="preserve">5.</t>
  </si>
  <si>
    <t xml:space="preserve">Track the Status: Not Compiled, In Progress, Complete, Submitted, Verified by PM.</t>
  </si>
  <si>
    <t xml:space="preserve">6.</t>
  </si>
  <si>
    <t xml:space="preserve">Record the Submitted Date when evidence is formally submitted with the valuation application.</t>
  </si>
  <si>
    <t xml:space="preserve">7.</t>
  </si>
  <si>
    <t xml:space="preserve">Add new valuation period sections by copying a section block and updating the header.</t>
  </si>
  <si>
    <t xml:space="preserve">8.</t>
  </si>
  <si>
    <t xml:space="preserve">The Grand Summary at the top shows totals across all periods.</t>
  </si>
  <si>
    <t xml:space="preserve">Colour Key</t>
  </si>
  <si>
    <t xml:space="preserve">Light teal cells (#E8F6F7) = User input / editable fields</t>
  </si>
  <si>
    <t xml:space="preserve">Dark navy headers (#1B2A4A) = Do not edit</t>
  </si>
  <si>
    <t xml:space="preserve">Teal section headers = Valuation period dividers</t>
  </si>
  <si>
    <t xml:space="preserve">Green = Complete / Submitted / Verified</t>
  </si>
  <si>
    <t xml:space="preserve">Amber = In Progress</t>
  </si>
  <si>
    <t xml:space="preserve">Red = Not Compiled</t>
  </si>
  <si>
    <t xml:space="preserve">Tips</t>
  </si>
  <si>
    <t xml:space="preserve">Tip 1:</t>
  </si>
  <si>
    <t xml:space="preserve">Compile evidence as the work happens — don't wait until valuation day. Photos taken on the day of concreting are worth ten taken a month later.</t>
  </si>
  <si>
    <t xml:space="preserve">Tip 2:</t>
  </si>
  <si>
    <t xml:space="preserve">Cross-reference every evidence item to a BOQ line. The PM will assess your valuation faster if they can trace each claim to evidence.</t>
  </si>
  <si>
    <t xml:space="preserve">Tip 3:</t>
  </si>
  <si>
    <t xml:space="preserve">Keep a physical or digital folder per valuation period that mirrors this index. The index is the map; the folder is the territory.</t>
  </si>
  <si>
    <t xml:space="preserve">Valuation Evidence Pack — Grand Summary</t>
  </si>
  <si>
    <t xml:space="preserve">Total Evidence Items:</t>
  </si>
  <si>
    <t xml:space="preserve">Complete / Submitted / Verified:</t>
  </si>
  <si>
    <t xml:space="preserve">Not Compiled:</t>
  </si>
  <si>
    <t xml:space="preserve">Total Value Claimed:</t>
  </si>
  <si>
    <t xml:space="preserve">▼ Evidence by Valuation Period</t>
  </si>
  <si>
    <t xml:space="preserve">VP-01 — Valuation Period 1 (01 Oct 2025 – 31 Oct 2025)</t>
  </si>
  <si>
    <t xml:space="preserve">Item Ref</t>
  </si>
  <si>
    <t xml:space="preserve">Evidence Type</t>
  </si>
  <si>
    <t xml:space="preserve">Description</t>
  </si>
  <si>
    <t xml:space="preserve">BOQ Item Ref</t>
  </si>
  <si>
    <t xml:space="preserve">Value Claimed (£)</t>
  </si>
  <si>
    <t xml:space="preserve">Source Document Ref</t>
  </si>
  <si>
    <t xml:space="preserve">Status</t>
  </si>
  <si>
    <t xml:space="preserve">Submitted Date</t>
  </si>
  <si>
    <t xml:space="preserve">Notes</t>
  </si>
  <si>
    <t xml:space="preserve">VP01-001</t>
  </si>
  <si>
    <t xml:space="preserve">Progress Photos</t>
  </si>
  <si>
    <t xml:space="preserve">Inlet works excavation — formation level reached, bulk dig complete</t>
  </si>
  <si>
    <t xml:space="preserve">1.01</t>
  </si>
  <si>
    <t xml:space="preserve">PHOTO-INL-001 to 015</t>
  </si>
  <si>
    <t xml:space="preserve">Verified by PM</t>
  </si>
  <si>
    <t xml:space="preserve">15 geotagged photos</t>
  </si>
  <si>
    <t xml:space="preserve">VP01-002</t>
  </si>
  <si>
    <t xml:space="preserve">Measurement Sheet</t>
  </si>
  <si>
    <t xml:space="preserve">Joint measurement of inlet excavation quantities — 2,400m³ original</t>
  </si>
  <si>
    <t xml:space="preserve">MS-001</t>
  </si>
  <si>
    <t xml:space="preserve">Signed by both QS</t>
  </si>
  <si>
    <t xml:space="preserve">VP01-003</t>
  </si>
  <si>
    <t xml:space="preserve">Delivery Ticket</t>
  </si>
  <si>
    <t xml:space="preserve">Concrete delivery tickets for base slab — C35/45, 85m³ delivered</t>
  </si>
  <si>
    <t xml:space="preserve">2.01</t>
  </si>
  <si>
    <t xml:space="preserve">DT-CON-001 to 008</t>
  </si>
  <si>
    <t xml:space="preserve">Submitted</t>
  </si>
  <si>
    <t xml:space="preserve">VP01-004</t>
  </si>
  <si>
    <t xml:space="preserve">Test Certificate</t>
  </si>
  <si>
    <t xml:space="preserve">Concrete cube test results — 7-day and 28-day strengths</t>
  </si>
  <si>
    <t xml:space="preserve">LAB-CUB-001</t>
  </si>
  <si>
    <t xml:space="preserve">Complete</t>
  </si>
  <si>
    <t xml:space="preserve">Results all pass</t>
  </si>
  <si>
    <t xml:space="preserve">VP01-005</t>
  </si>
  <si>
    <t xml:space="preserve">Plant Return</t>
  </si>
  <si>
    <t xml:space="preserve">Excavator and dump truck daily plant returns — weeks 1-4</t>
  </si>
  <si>
    <t xml:space="preserve">PR-001 to PR-020</t>
  </si>
  <si>
    <t xml:space="preserve">In Progress</t>
  </si>
  <si>
    <t xml:space="preserve">3 returns missing — chasing operator</t>
  </si>
  <si>
    <t xml:space="preserve">VP-01 Subtotal:</t>
  </si>
  <si>
    <t xml:space="preserve">VP-02 — Valuation Period 2 (01 Nov 2025 – 30 Nov 2025)</t>
  </si>
  <si>
    <t xml:space="preserve">VP02-001</t>
  </si>
  <si>
    <t xml:space="preserve">Storm tank excavation and sheet piling — piles driven to depth</t>
  </si>
  <si>
    <t xml:space="preserve">1.02</t>
  </si>
  <si>
    <t xml:space="preserve">PHOTO-SPS-001 to 022</t>
  </si>
  <si>
    <t xml:space="preserve">22 photos inc. pile driving</t>
  </si>
  <si>
    <t xml:space="preserve">VP02-002</t>
  </si>
  <si>
    <t xml:space="preserve">Storm tank excavation re-measurement — additional rock encountered</t>
  </si>
  <si>
    <t xml:space="preserve">MS-002</t>
  </si>
  <si>
    <t xml:space="preserve">Rock class claimed under EW-001</t>
  </si>
  <si>
    <t xml:space="preserve">VP02-003</t>
  </si>
  <si>
    <t xml:space="preserve">Daywork Record</t>
  </si>
  <si>
    <t xml:space="preserve">Emergency dewatering — 3 days pump hire and operator during flood event</t>
  </si>
  <si>
    <t xml:space="preserve">DW-001</t>
  </si>
  <si>
    <t xml:space="preserve">Signed daywork sheets attached</t>
  </si>
  <si>
    <t xml:space="preserve">VP02-004</t>
  </si>
  <si>
    <t xml:space="preserve">As-Built Drawing</t>
  </si>
  <si>
    <t xml:space="preserve">Inlet works as-built — foundation level survey</t>
  </si>
  <si>
    <t xml:space="preserve">AB-INL-001 Rev.A</t>
  </si>
  <si>
    <t xml:space="preserve">Survey complete, drawing being updated</t>
  </si>
  <si>
    <t xml:space="preserve">VP02-005</t>
  </si>
  <si>
    <t xml:space="preserve">Inspection Record</t>
  </si>
  <si>
    <t xml:space="preserve">Hold point inspection — base slab reinforcement before pour</t>
  </si>
  <si>
    <t xml:space="preserve">IR-STR-003</t>
  </si>
  <si>
    <t xml:space="preserve">Not Compiled</t>
  </si>
  <si>
    <t xml:space="preserve">Need to retrieve from ITP pack</t>
  </si>
  <si>
    <t xml:space="preserve">VP-02 Subtotal:</t>
  </si>
  <si>
    <t xml:space="preserve">VP-03 — Valuation Period 3 (01 Dec 2025 – 31 Dec 2025)</t>
  </si>
  <si>
    <t xml:space="preserve">VP-03 Subtotal:</t>
  </si>
  <si>
    <t xml:space="preserve">EBRORA — TERMS OF USE</t>
  </si>
  <si>
    <t xml:space="preserve">This template is provided free of charge by Ebrora (ebrora.com) for personal and professional use.</t>
  </si>
  <si>
    <t xml:space="preserve">LICENCE: You may use this template for your own projects. You may not resell, redistribute, or claim authorship of this template.</t>
  </si>
  <si>
    <t xml:space="preserve">NO WARRANTY: This template is provided "as is" without warranty of any kind. Ebrora accepts no liability for errors, omissions, or losses arising from use of this template.</t>
  </si>
  <si>
    <t xml:space="preserve">INTELLECTUAL PROPERTY: All design, layout, branding, and content remain the intellectual property of Ebrora.</t>
  </si>
  <si>
    <t xml:space="preserve">MODIFICATIONS: You may modify this template for your own use. Modified versions may not be distributed or sold.</t>
  </si>
  <si>
    <t xml:space="preserve">ATTRIBUTION: If you share outputs generated using this template, attribution to Ebrora (ebrora.com) is appreciated but not required.</t>
  </si>
  <si>
    <t xml:space="preserve">SUPPORT: For queries, feedback, or to report errors, contact support@ebrora.com.</t>
  </si>
  <si>
    <t xml:space="preserve">For our full range of professional construction management tools, visit ebrora.com.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</si>
</sst>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\£#,##0.00"/>
    <numFmt numFmtId="167" formatCode="dd/mm/yyyy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36"/>
      <color rgb="FFFFFFFF"/>
      <name val="Calibri"/>
      <family val="0"/>
      <charset val="1"/>
    </font>
    <font>
      <sz val="12"/>
      <color rgb="FF2AABB3"/>
      <name val="Calibri"/>
      <family val="0"/>
      <charset val="1"/>
    </font>
    <font>
      <b val="true"/>
      <sz val="28"/>
      <color rgb="FFFFFFFF"/>
      <name val="Calibri"/>
      <family val="0"/>
      <charset val="1"/>
    </font>
    <font>
      <sz val="12"/>
      <color rgb="FF1B2A4A"/>
      <name val="Calibri"/>
      <family val="0"/>
      <charset val="1"/>
    </font>
    <font>
      <sz val="11"/>
      <color rgb="FF1B2A4A"/>
      <name val="Calibri"/>
      <family val="0"/>
      <charset val="1"/>
    </font>
    <font>
      <i val="true"/>
      <sz val="9"/>
      <color rgb="FF8C8C8C"/>
      <name val="Calibri"/>
      <family val="0"/>
      <charset val="1"/>
    </font>
    <font>
      <b val="true"/>
      <sz val="14"/>
      <color rgb="FF1B2A4A"/>
      <name val="Calibri"/>
      <family val="0"/>
      <charset val="1"/>
    </font>
    <font>
      <sz val="10"/>
      <color rgb="FF1B2A4A"/>
      <name val="Calibri"/>
      <family val="0"/>
      <charset val="1"/>
    </font>
    <font>
      <b val="true"/>
      <sz val="11"/>
      <color rgb="FF2AABB3"/>
      <name val="Calibri"/>
      <family val="0"/>
      <charset val="1"/>
    </font>
    <font>
      <b val="true"/>
      <sz val="10"/>
      <color rgb="FF1B2A4A"/>
      <name val="Calibri"/>
      <family val="0"/>
      <charset val="1"/>
    </font>
    <font>
      <b val="true"/>
      <sz val="14"/>
      <color rgb="FFFFFFFF"/>
      <name val="Calibri"/>
      <family val="0"/>
      <charset val="1"/>
    </font>
    <font>
      <b val="true"/>
      <sz val="11"/>
      <color rgb="FF1B2A4A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0"/>
      <color rgb="FF2AABB3"/>
      <name val="Calibri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B2A4A"/>
        <bgColor rgb="FF003366"/>
      </patternFill>
    </fill>
    <fill>
      <patternFill patternType="solid">
        <fgColor rgb="FFFFFFFF"/>
        <bgColor rgb="FFE8F6F7"/>
      </patternFill>
    </fill>
    <fill>
      <patternFill patternType="solid">
        <fgColor rgb="FFE8F6F7"/>
        <bgColor rgb="FFFFFFFF"/>
      </patternFill>
    </fill>
    <fill>
      <patternFill patternType="solid">
        <fgColor rgb="FF2AABB3"/>
        <bgColor rgb="FF339966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medium">
        <color rgb="FF2AABB3"/>
      </left>
      <right style="medium">
        <color rgb="FF2AABB3"/>
      </right>
      <top style="medium">
        <color rgb="FF2AABB3"/>
      </top>
      <bottom style="medium">
        <color rgb="FF2AABB3"/>
      </bottom>
      <diagonal/>
    </border>
    <border diagonalUp="false" diagonalDown="false">
      <left style="thin">
        <color rgb="FF8C8C8C"/>
      </left>
      <right style="thin">
        <color rgb="FF8C8C8C"/>
      </right>
      <top style="thin">
        <color rgb="FF8C8C8C"/>
      </top>
      <bottom style="thin">
        <color rgb="FF8C8C8C"/>
      </bottom>
      <diagonal/>
    </border>
    <border diagonalUp="false" diagonalDown="false">
      <left/>
      <right/>
      <top/>
      <bottom style="medium">
        <color rgb="FF2AABB3"/>
      </bottom>
      <diagonal/>
    </border>
    <border diagonalUp="false" diagonalDown="false">
      <left/>
      <right/>
      <top style="medium">
        <color rgb="FF2AABB3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4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15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5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6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1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1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17" fillId="0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4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1" fillId="4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1" fillId="4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8F6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2AABB3"/>
      <rgbColor rgb="FF99CC00"/>
      <rgbColor rgb="FFFFCC00"/>
      <rgbColor rgb="FFFF9900"/>
      <rgbColor rgb="FFFF6600"/>
      <rgbColor rgb="FF666699"/>
      <rgbColor rgb="FF8C8C8C"/>
      <rgbColor rgb="FF003366"/>
      <rgbColor rgb="FF339966"/>
      <rgbColor rgb="FF003300"/>
      <rgbColor rgb="FF333300"/>
      <rgbColor rgb="FF993300"/>
      <rgbColor rgb="FF993366"/>
      <rgbColor rgb="FF333399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4A"/>
    <pageSetUpPr fitToPage="false"/>
  </sheetPr>
  <dimension ref="A1:H2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8" min="1" style="1" width="14"/>
  </cols>
  <sheetData>
    <row r="1" customFormat="false" ht="4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</row>
    <row r="2" customFormat="false" ht="15" hidden="false" customHeight="true" outlineLevel="0" collapsed="false">
      <c r="A2" s="3"/>
      <c r="B2" s="3"/>
      <c r="C2" s="3"/>
      <c r="D2" s="3"/>
      <c r="E2" s="3"/>
      <c r="F2" s="3"/>
      <c r="G2" s="3"/>
      <c r="H2" s="3"/>
    </row>
    <row r="3" customFormat="false" ht="15" hidden="false" customHeight="true" outlineLevel="0" collapsed="false">
      <c r="A3" s="3"/>
      <c r="B3" s="3"/>
      <c r="C3" s="3"/>
      <c r="D3" s="3"/>
      <c r="E3" s="3"/>
      <c r="F3" s="3"/>
      <c r="G3" s="3"/>
      <c r="H3" s="3"/>
    </row>
    <row r="4" customFormat="false" ht="15" hidden="false" customHeight="true" outlineLevel="0" collapsed="false">
      <c r="A4" s="4" t="s">
        <v>1</v>
      </c>
      <c r="B4" s="4"/>
      <c r="C4" s="4"/>
      <c r="D4" s="4"/>
      <c r="E4" s="4"/>
      <c r="F4" s="4"/>
      <c r="G4" s="4"/>
      <c r="H4" s="4"/>
    </row>
    <row r="5" customFormat="false" ht="15" hidden="false" customHeight="true" outlineLevel="0" collapsed="false">
      <c r="A5" s="5"/>
      <c r="B5" s="5"/>
      <c r="C5" s="5"/>
      <c r="D5" s="5"/>
      <c r="E5" s="5"/>
      <c r="F5" s="5"/>
      <c r="G5" s="5"/>
      <c r="H5" s="5"/>
    </row>
    <row r="6" customFormat="false" ht="34.5" hidden="false" customHeight="true" outlineLevel="0" collapsed="false">
      <c r="A6" s="6" t="s">
        <v>2</v>
      </c>
      <c r="B6" s="6"/>
      <c r="C6" s="6"/>
      <c r="D6" s="6"/>
      <c r="E6" s="6"/>
      <c r="F6" s="6"/>
      <c r="G6" s="6"/>
      <c r="H6" s="6"/>
    </row>
    <row r="7" customFormat="false" ht="34.5" hidden="false" customHeight="true" outlineLevel="0" collapsed="false">
      <c r="A7" s="6" t="s">
        <v>3</v>
      </c>
      <c r="B7" s="6"/>
      <c r="C7" s="6"/>
      <c r="D7" s="6"/>
      <c r="E7" s="6"/>
      <c r="F7" s="6"/>
      <c r="G7" s="6"/>
      <c r="H7" s="6"/>
    </row>
    <row r="8" customFormat="false" ht="15" hidden="false" customHeight="true" outlineLevel="0" collapsed="false">
      <c r="A8" s="3"/>
      <c r="B8" s="3"/>
      <c r="C8" s="3"/>
      <c r="D8" s="3"/>
      <c r="E8" s="3"/>
      <c r="F8" s="3"/>
      <c r="G8" s="3"/>
      <c r="H8" s="3"/>
    </row>
    <row r="9" customFormat="false" ht="15" hidden="false" customHeight="true" outlineLevel="0" collapsed="false">
      <c r="A9" s="5"/>
      <c r="B9" s="5"/>
      <c r="C9" s="5"/>
      <c r="D9" s="5"/>
      <c r="E9" s="5"/>
      <c r="F9" s="5"/>
      <c r="G9" s="5"/>
      <c r="H9" s="5"/>
    </row>
    <row r="10" customFormat="false" ht="15" hidden="false" customHeight="true" outlineLevel="0" collapsed="false">
      <c r="A10" s="7" t="s">
        <v>4</v>
      </c>
      <c r="B10" s="7"/>
      <c r="C10" s="7"/>
      <c r="D10" s="7"/>
      <c r="E10" s="7"/>
      <c r="F10" s="7"/>
      <c r="G10" s="7"/>
      <c r="H10" s="7"/>
    </row>
    <row r="11" customFormat="false" ht="15" hidden="false" customHeight="true" outlineLevel="0" collapsed="false">
      <c r="A11" s="7" t="s">
        <v>5</v>
      </c>
      <c r="B11" s="7"/>
      <c r="C11" s="7"/>
      <c r="D11" s="7"/>
      <c r="E11" s="7"/>
      <c r="F11" s="7"/>
      <c r="G11" s="7"/>
      <c r="H11" s="7"/>
    </row>
    <row r="12" customFormat="false" ht="15" hidden="false" customHeight="true" outlineLevel="0" collapsed="false">
      <c r="A12" s="5"/>
      <c r="B12" s="5"/>
      <c r="C12" s="5"/>
      <c r="D12" s="5"/>
      <c r="E12" s="5"/>
      <c r="F12" s="5"/>
      <c r="G12" s="5"/>
      <c r="H12" s="5"/>
    </row>
    <row r="13" customFormat="false" ht="15" hidden="false" customHeight="true" outlineLevel="0" collapsed="false">
      <c r="A13" s="5"/>
      <c r="B13" s="5"/>
      <c r="C13" s="5"/>
      <c r="D13" s="5"/>
      <c r="E13" s="5"/>
      <c r="F13" s="5"/>
      <c r="G13" s="5"/>
      <c r="H13" s="5"/>
    </row>
    <row r="14" customFormat="false" ht="15" hidden="false" customHeight="true" outlineLevel="0" collapsed="false">
      <c r="A14" s="8"/>
      <c r="B14" s="8"/>
      <c r="C14" s="8"/>
      <c r="D14" s="8"/>
      <c r="E14" s="8"/>
      <c r="F14" s="8"/>
      <c r="G14" s="8"/>
      <c r="H14" s="8"/>
    </row>
    <row r="15" customFormat="false" ht="15" hidden="false" customHeight="true" outlineLevel="0" collapsed="false">
      <c r="A15" s="9" t="s">
        <v>6</v>
      </c>
      <c r="B15" s="9"/>
      <c r="C15" s="9"/>
      <c r="D15" s="9"/>
      <c r="E15" s="9"/>
      <c r="F15" s="9"/>
      <c r="G15" s="9"/>
      <c r="H15" s="9"/>
    </row>
    <row r="16" customFormat="false" ht="15" hidden="false" customHeight="true" outlineLevel="0" collapsed="false">
      <c r="A16" s="9" t="s">
        <v>7</v>
      </c>
      <c r="B16" s="9"/>
      <c r="C16" s="9"/>
      <c r="D16" s="9"/>
      <c r="E16" s="9"/>
      <c r="F16" s="9"/>
      <c r="G16" s="9"/>
      <c r="H16" s="9"/>
    </row>
    <row r="17" customFormat="false" ht="15" hidden="false" customHeight="true" outlineLevel="0" collapsed="false">
      <c r="A17" s="8"/>
      <c r="B17" s="8"/>
      <c r="C17" s="8"/>
      <c r="D17" s="8"/>
      <c r="E17" s="8"/>
      <c r="F17" s="8"/>
      <c r="G17" s="8"/>
      <c r="H17" s="8"/>
    </row>
    <row r="18" customFormat="false" ht="15" hidden="false" customHeight="true" outlineLevel="0" collapsed="false">
      <c r="A18" s="5"/>
      <c r="B18" s="5"/>
      <c r="C18" s="5"/>
      <c r="D18" s="5"/>
      <c r="E18" s="5"/>
      <c r="F18" s="5"/>
      <c r="G18" s="5"/>
      <c r="H18" s="5"/>
    </row>
    <row r="19" customFormat="false" ht="15" hidden="false" customHeight="true" outlineLevel="0" collapsed="false">
      <c r="A19" s="10" t="s">
        <v>8</v>
      </c>
      <c r="B19" s="10"/>
      <c r="C19" s="10"/>
      <c r="D19" s="10"/>
      <c r="E19" s="10"/>
      <c r="F19" s="10"/>
      <c r="G19" s="10"/>
      <c r="H19" s="10"/>
    </row>
    <row r="20" customFormat="false" ht="15" hidden="false" customHeight="true" outlineLevel="0" collapsed="false">
      <c r="A20" s="5"/>
      <c r="B20" s="5"/>
      <c r="C20" s="5"/>
      <c r="D20" s="5"/>
      <c r="E20" s="5"/>
      <c r="F20" s="5"/>
      <c r="G20" s="5"/>
      <c r="H20" s="5"/>
    </row>
    <row r="21" customFormat="false" ht="15" hidden="false" customHeight="true" outlineLevel="0" collapsed="false">
      <c r="A21" s="5"/>
      <c r="B21" s="5"/>
      <c r="C21" s="5"/>
      <c r="D21" s="5"/>
      <c r="E21" s="5"/>
      <c r="F21" s="5"/>
      <c r="G21" s="5"/>
      <c r="H21" s="5"/>
    </row>
    <row r="22" customFormat="false" ht="15" hidden="false" customHeight="true" outlineLevel="0" collapsed="false">
      <c r="A22" s="5"/>
      <c r="B22" s="5"/>
      <c r="C22" s="5"/>
      <c r="D22" s="5"/>
      <c r="E22" s="5"/>
      <c r="F22" s="5"/>
      <c r="G22" s="5"/>
      <c r="H22" s="5"/>
    </row>
    <row r="23" customFormat="false" ht="15" hidden="false" customHeight="true" outlineLevel="0" collapsed="false">
      <c r="A23" s="5"/>
      <c r="B23" s="5"/>
      <c r="C23" s="5"/>
      <c r="D23" s="5"/>
      <c r="E23" s="5"/>
      <c r="F23" s="5"/>
      <c r="G23" s="5"/>
      <c r="H23" s="5"/>
    </row>
    <row r="24" customFormat="false" ht="15" hidden="false" customHeight="true" outlineLevel="0" collapsed="false">
      <c r="A24" s="5"/>
      <c r="B24" s="5"/>
      <c r="C24" s="5"/>
      <c r="D24" s="5"/>
      <c r="E24" s="5"/>
      <c r="F24" s="5"/>
      <c r="G24" s="5"/>
      <c r="H24" s="5"/>
    </row>
  </sheetData>
  <mergeCells count="14">
    <mergeCell ref="A1:H1"/>
    <mergeCell ref="A2:H2"/>
    <mergeCell ref="A3:H3"/>
    <mergeCell ref="A4:H4"/>
    <mergeCell ref="A6:H6"/>
    <mergeCell ref="A7:H7"/>
    <mergeCell ref="A8:H8"/>
    <mergeCell ref="A10:H10"/>
    <mergeCell ref="A11:H11"/>
    <mergeCell ref="A14:H14"/>
    <mergeCell ref="A15:H15"/>
    <mergeCell ref="A16:H16"/>
    <mergeCell ref="A17:H17"/>
    <mergeCell ref="A19:H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AABB3"/>
    <pageSetUpPr fitToPage="false"/>
  </sheetPr>
  <dimension ref="A1:F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90"/>
  </cols>
  <sheetData>
    <row r="1" customFormat="false" ht="17.25" hidden="false" customHeight="true" outlineLevel="0" collapsed="false">
      <c r="A1" s="11" t="s">
        <v>9</v>
      </c>
      <c r="B1" s="11"/>
      <c r="C1" s="11"/>
      <c r="D1" s="11"/>
      <c r="E1" s="11"/>
      <c r="F1" s="11"/>
    </row>
    <row r="3" customFormat="false" ht="15" hidden="false" customHeight="true" outlineLevel="0" collapsed="false">
      <c r="A3" s="12"/>
      <c r="B3" s="13"/>
    </row>
    <row r="4" customFormat="false" ht="15" hidden="false" customHeight="true" outlineLevel="0" collapsed="false">
      <c r="A4" s="14" t="s">
        <v>10</v>
      </c>
      <c r="B4" s="13"/>
    </row>
    <row r="5" customFormat="false" ht="15" hidden="false" customHeight="true" outlineLevel="0" collapsed="false">
      <c r="A5" s="12" t="s">
        <v>11</v>
      </c>
      <c r="B5" s="13" t="s">
        <v>12</v>
      </c>
    </row>
    <row r="6" customFormat="false" ht="15" hidden="false" customHeight="true" outlineLevel="0" collapsed="false">
      <c r="A6" s="12" t="s">
        <v>13</v>
      </c>
      <c r="B6" s="13" t="s">
        <v>14</v>
      </c>
    </row>
    <row r="7" customFormat="false" ht="15" hidden="false" customHeight="true" outlineLevel="0" collapsed="false">
      <c r="A7" s="12" t="s">
        <v>15</v>
      </c>
      <c r="B7" s="13" t="s">
        <v>16</v>
      </c>
    </row>
    <row r="8" customFormat="false" ht="15" hidden="false" customHeight="true" outlineLevel="0" collapsed="false">
      <c r="A8" s="12" t="s">
        <v>17</v>
      </c>
      <c r="B8" s="13" t="s">
        <v>18</v>
      </c>
    </row>
    <row r="9" customFormat="false" ht="15" hidden="false" customHeight="true" outlineLevel="0" collapsed="false">
      <c r="A9" s="12" t="s">
        <v>19</v>
      </c>
      <c r="B9" s="13" t="s">
        <v>20</v>
      </c>
    </row>
    <row r="10" customFormat="false" ht="15" hidden="false" customHeight="true" outlineLevel="0" collapsed="false">
      <c r="A10" s="12" t="s">
        <v>21</v>
      </c>
      <c r="B10" s="13" t="s">
        <v>22</v>
      </c>
    </row>
    <row r="11" customFormat="false" ht="15" hidden="false" customHeight="true" outlineLevel="0" collapsed="false">
      <c r="A11" s="12" t="s">
        <v>23</v>
      </c>
      <c r="B11" s="13" t="s">
        <v>24</v>
      </c>
    </row>
    <row r="12" customFormat="false" ht="15" hidden="false" customHeight="true" outlineLevel="0" collapsed="false">
      <c r="A12" s="12" t="s">
        <v>25</v>
      </c>
      <c r="B12" s="13" t="s">
        <v>26</v>
      </c>
    </row>
    <row r="13" customFormat="false" ht="15" hidden="false" customHeight="true" outlineLevel="0" collapsed="false">
      <c r="A13" s="12"/>
      <c r="B13" s="13"/>
    </row>
    <row r="14" customFormat="false" ht="15" hidden="false" customHeight="true" outlineLevel="0" collapsed="false">
      <c r="A14" s="14" t="s">
        <v>27</v>
      </c>
      <c r="B14" s="13"/>
    </row>
    <row r="15" customFormat="false" ht="15" hidden="false" customHeight="true" outlineLevel="0" collapsed="false">
      <c r="A15" s="12"/>
      <c r="B15" s="13" t="s">
        <v>28</v>
      </c>
    </row>
    <row r="16" customFormat="false" ht="15" hidden="false" customHeight="true" outlineLevel="0" collapsed="false">
      <c r="A16" s="12"/>
      <c r="B16" s="13" t="s">
        <v>29</v>
      </c>
    </row>
    <row r="17" customFormat="false" ht="15" hidden="false" customHeight="true" outlineLevel="0" collapsed="false">
      <c r="A17" s="12"/>
      <c r="B17" s="13" t="s">
        <v>30</v>
      </c>
    </row>
    <row r="18" customFormat="false" ht="15" hidden="false" customHeight="true" outlineLevel="0" collapsed="false">
      <c r="A18" s="12"/>
      <c r="B18" s="13" t="s">
        <v>31</v>
      </c>
    </row>
    <row r="19" customFormat="false" ht="15" hidden="false" customHeight="true" outlineLevel="0" collapsed="false">
      <c r="A19" s="12"/>
      <c r="B19" s="13" t="s">
        <v>32</v>
      </c>
    </row>
    <row r="20" customFormat="false" ht="15" hidden="false" customHeight="true" outlineLevel="0" collapsed="false">
      <c r="A20" s="12"/>
      <c r="B20" s="13" t="s">
        <v>33</v>
      </c>
    </row>
    <row r="21" customFormat="false" ht="15" hidden="false" customHeight="true" outlineLevel="0" collapsed="false">
      <c r="A21" s="12"/>
      <c r="B21" s="13"/>
    </row>
    <row r="22" customFormat="false" ht="15" hidden="false" customHeight="true" outlineLevel="0" collapsed="false">
      <c r="A22" s="14" t="s">
        <v>34</v>
      </c>
      <c r="B22" s="13"/>
    </row>
    <row r="23" customFormat="false" ht="23.25" hidden="false" customHeight="true" outlineLevel="0" collapsed="false">
      <c r="A23" s="15" t="s">
        <v>35</v>
      </c>
      <c r="B23" s="13" t="s">
        <v>36</v>
      </c>
    </row>
    <row r="24" customFormat="false" ht="23.25" hidden="false" customHeight="true" outlineLevel="0" collapsed="false">
      <c r="A24" s="15" t="s">
        <v>37</v>
      </c>
      <c r="B24" s="13" t="s">
        <v>38</v>
      </c>
    </row>
    <row r="25" customFormat="false" ht="23.25" hidden="false" customHeight="true" outlineLevel="0" collapsed="false">
      <c r="A25" s="15" t="s">
        <v>39</v>
      </c>
      <c r="B25" s="13" t="s">
        <v>40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8"/>
    <col collapsed="false" customWidth="true" hidden="false" outlineLevel="0" max="3" min="3" style="1" width="36"/>
    <col collapsed="false" customWidth="true" hidden="false" outlineLevel="0" max="4" min="4" style="1" width="14"/>
    <col collapsed="false" customWidth="true" hidden="false" outlineLevel="0" max="5" min="5" style="1" width="16"/>
    <col collapsed="false" customWidth="true" hidden="false" outlineLevel="0" max="6" min="6" style="1" width="22"/>
    <col collapsed="false" customWidth="true" hidden="false" outlineLevel="0" max="7" min="7" style="1" width="18"/>
    <col collapsed="false" customWidth="true" hidden="false" outlineLevel="0" max="8" min="8" style="1" width="14"/>
    <col collapsed="false" customWidth="true" hidden="false" outlineLevel="0" max="9" min="9" style="1" width="30"/>
  </cols>
  <sheetData>
    <row r="1" customFormat="false" ht="17.25" hidden="false" customHeight="true" outlineLevel="0" collapsed="false">
      <c r="A1" s="16" t="s">
        <v>41</v>
      </c>
      <c r="B1" s="16"/>
      <c r="C1" s="16"/>
      <c r="D1" s="16"/>
      <c r="E1" s="16"/>
      <c r="F1" s="16"/>
      <c r="G1" s="16"/>
      <c r="H1" s="16"/>
      <c r="I1" s="16"/>
    </row>
    <row r="3" customFormat="false" ht="15" hidden="false" customHeight="true" outlineLevel="0" collapsed="false">
      <c r="A3" s="17" t="s">
        <v>42</v>
      </c>
      <c r="B3" s="18" t="n">
        <f aca="false">COUNTA(G8:G200)</f>
        <v>13</v>
      </c>
      <c r="C3" s="17" t="s">
        <v>43</v>
      </c>
      <c r="D3" s="18" t="n">
        <f aca="false">COUNTIF(G8:G200,"Complete")+COUNTIF(G8:G200,"Submitted")+COUNTIF(G8:G200,"Verified by PM")</f>
        <v>7</v>
      </c>
      <c r="F3" s="17" t="s">
        <v>44</v>
      </c>
      <c r="G3" s="18" t="n">
        <f aca="false">COUNTIF(G8:G200,"Not Compiled")</f>
        <v>1</v>
      </c>
    </row>
    <row r="4" customFormat="false" ht="15" hidden="false" customHeight="true" outlineLevel="0" collapsed="false">
      <c r="A4" s="17" t="s">
        <v>45</v>
      </c>
      <c r="B4" s="19" t="n">
        <f aca="false">SUMIF(B8:B200,"&lt;&gt;",E8:E200)</f>
        <v>179700</v>
      </c>
    </row>
    <row r="6" customFormat="false" ht="15" hidden="false" customHeight="true" outlineLevel="0" collapsed="false">
      <c r="A6" s="20" t="s">
        <v>46</v>
      </c>
      <c r="B6" s="20"/>
      <c r="C6" s="20"/>
      <c r="D6" s="20"/>
      <c r="E6" s="20"/>
      <c r="F6" s="20"/>
      <c r="G6" s="20"/>
      <c r="H6" s="20"/>
      <c r="I6" s="20"/>
    </row>
    <row r="7" customFormat="false" ht="15" hidden="false" customHeight="true" outlineLevel="0" collapsed="false">
      <c r="A7" s="21" t="s">
        <v>47</v>
      </c>
      <c r="B7" s="21"/>
      <c r="C7" s="21"/>
      <c r="D7" s="21"/>
      <c r="E7" s="21"/>
      <c r="F7" s="21"/>
      <c r="G7" s="21"/>
      <c r="H7" s="21"/>
      <c r="I7" s="21"/>
    </row>
    <row r="8" customFormat="false" ht="27.75" hidden="false" customHeight="true" outlineLevel="0" collapsed="false">
      <c r="A8" s="22" t="s">
        <v>48</v>
      </c>
      <c r="B8" s="22" t="s">
        <v>49</v>
      </c>
      <c r="C8" s="22" t="s">
        <v>50</v>
      </c>
      <c r="D8" s="22" t="s">
        <v>51</v>
      </c>
      <c r="E8" s="22" t="s">
        <v>52</v>
      </c>
      <c r="F8" s="22" t="s">
        <v>53</v>
      </c>
      <c r="G8" s="22" t="s">
        <v>54</v>
      </c>
      <c r="H8" s="22" t="s">
        <v>55</v>
      </c>
      <c r="I8" s="22" t="s">
        <v>56</v>
      </c>
    </row>
    <row r="9" customFormat="false" ht="23.25" hidden="false" customHeight="true" outlineLevel="0" collapsed="false">
      <c r="A9" s="23" t="s">
        <v>57</v>
      </c>
      <c r="B9" s="23" t="s">
        <v>58</v>
      </c>
      <c r="C9" s="23" t="s">
        <v>59</v>
      </c>
      <c r="D9" s="23" t="s">
        <v>60</v>
      </c>
      <c r="E9" s="24" t="n">
        <v>44400</v>
      </c>
      <c r="F9" s="23" t="s">
        <v>61</v>
      </c>
      <c r="G9" s="23" t="s">
        <v>62</v>
      </c>
      <c r="H9" s="25" t="n">
        <v>46015</v>
      </c>
      <c r="I9" s="23" t="s">
        <v>63</v>
      </c>
    </row>
    <row r="10" customFormat="false" ht="23.25" hidden="false" customHeight="true" outlineLevel="0" collapsed="false">
      <c r="A10" s="23" t="s">
        <v>64</v>
      </c>
      <c r="B10" s="23" t="s">
        <v>65</v>
      </c>
      <c r="C10" s="23" t="s">
        <v>66</v>
      </c>
      <c r="D10" s="23" t="s">
        <v>60</v>
      </c>
      <c r="E10" s="24" t="n">
        <v>44400</v>
      </c>
      <c r="F10" s="23" t="s">
        <v>67</v>
      </c>
      <c r="G10" s="23" t="s">
        <v>62</v>
      </c>
      <c r="H10" s="25" t="n">
        <v>46015</v>
      </c>
      <c r="I10" s="23" t="s">
        <v>68</v>
      </c>
    </row>
    <row r="11" customFormat="false" ht="23.25" hidden="false" customHeight="true" outlineLevel="0" collapsed="false">
      <c r="A11" s="23" t="s">
        <v>69</v>
      </c>
      <c r="B11" s="23" t="s">
        <v>70</v>
      </c>
      <c r="C11" s="23" t="s">
        <v>71</v>
      </c>
      <c r="D11" s="23" t="s">
        <v>72</v>
      </c>
      <c r="E11" s="24" t="n">
        <v>14025</v>
      </c>
      <c r="F11" s="23" t="s">
        <v>73</v>
      </c>
      <c r="G11" s="23" t="s">
        <v>74</v>
      </c>
      <c r="H11" s="25" t="n">
        <v>46017</v>
      </c>
      <c r="I11" s="23"/>
    </row>
    <row r="12" customFormat="false" ht="23.25" hidden="false" customHeight="true" outlineLevel="0" collapsed="false">
      <c r="A12" s="23" t="s">
        <v>75</v>
      </c>
      <c r="B12" s="23" t="s">
        <v>76</v>
      </c>
      <c r="C12" s="23" t="s">
        <v>77</v>
      </c>
      <c r="D12" s="23" t="s">
        <v>72</v>
      </c>
      <c r="E12" s="24" t="n">
        <v>0</v>
      </c>
      <c r="F12" s="23" t="s">
        <v>78</v>
      </c>
      <c r="G12" s="23" t="s">
        <v>79</v>
      </c>
      <c r="H12" s="23"/>
      <c r="I12" s="23" t="s">
        <v>80</v>
      </c>
    </row>
    <row r="13" customFormat="false" ht="23.25" hidden="false" customHeight="true" outlineLevel="0" collapsed="false">
      <c r="A13" s="23" t="s">
        <v>81</v>
      </c>
      <c r="B13" s="23" t="s">
        <v>82</v>
      </c>
      <c r="C13" s="23" t="s">
        <v>83</v>
      </c>
      <c r="D13" s="23" t="s">
        <v>60</v>
      </c>
      <c r="E13" s="24" t="n">
        <v>0</v>
      </c>
      <c r="F13" s="23" t="s">
        <v>84</v>
      </c>
      <c r="G13" s="23" t="s">
        <v>85</v>
      </c>
      <c r="H13" s="23"/>
      <c r="I13" s="23" t="s">
        <v>86</v>
      </c>
    </row>
    <row r="14" customFormat="false" ht="15" hidden="false" customHeight="true" outlineLevel="0" collapsed="false">
      <c r="D14" s="26" t="s">
        <v>87</v>
      </c>
      <c r="E14" s="27" t="n">
        <f aca="false">SUM(E9:E13)</f>
        <v>102825</v>
      </c>
    </row>
    <row r="16" customFormat="false" ht="15" hidden="false" customHeight="true" outlineLevel="0" collapsed="false">
      <c r="A16" s="21" t="s">
        <v>88</v>
      </c>
      <c r="B16" s="21"/>
      <c r="C16" s="21"/>
      <c r="D16" s="21"/>
      <c r="E16" s="21"/>
      <c r="F16" s="21"/>
      <c r="G16" s="21"/>
      <c r="H16" s="21"/>
      <c r="I16" s="21"/>
    </row>
    <row r="17" customFormat="false" ht="27.75" hidden="false" customHeight="true" outlineLevel="0" collapsed="false">
      <c r="A17" s="22" t="s">
        <v>48</v>
      </c>
      <c r="B17" s="22" t="s">
        <v>49</v>
      </c>
      <c r="C17" s="22" t="s">
        <v>50</v>
      </c>
      <c r="D17" s="22" t="s">
        <v>51</v>
      </c>
      <c r="E17" s="22" t="s">
        <v>52</v>
      </c>
      <c r="F17" s="22" t="s">
        <v>53</v>
      </c>
      <c r="G17" s="22" t="s">
        <v>54</v>
      </c>
      <c r="H17" s="22" t="s">
        <v>55</v>
      </c>
      <c r="I17" s="22" t="s">
        <v>56</v>
      </c>
    </row>
    <row r="18" customFormat="false" ht="23.25" hidden="false" customHeight="true" outlineLevel="0" collapsed="false">
      <c r="A18" s="23" t="s">
        <v>89</v>
      </c>
      <c r="B18" s="23" t="s">
        <v>58</v>
      </c>
      <c r="C18" s="23" t="s">
        <v>90</v>
      </c>
      <c r="D18" s="23" t="s">
        <v>91</v>
      </c>
      <c r="E18" s="24" t="n">
        <v>36337.5</v>
      </c>
      <c r="F18" s="23" t="s">
        <v>92</v>
      </c>
      <c r="G18" s="23" t="s">
        <v>74</v>
      </c>
      <c r="H18" s="25" t="n">
        <v>46045</v>
      </c>
      <c r="I18" s="23" t="s">
        <v>93</v>
      </c>
    </row>
    <row r="19" customFormat="false" ht="23.25" hidden="false" customHeight="true" outlineLevel="0" collapsed="false">
      <c r="A19" s="23" t="s">
        <v>94</v>
      </c>
      <c r="B19" s="23" t="s">
        <v>65</v>
      </c>
      <c r="C19" s="23" t="s">
        <v>95</v>
      </c>
      <c r="D19" s="23" t="s">
        <v>91</v>
      </c>
      <c r="E19" s="24" t="n">
        <v>36337.5</v>
      </c>
      <c r="F19" s="23" t="s">
        <v>96</v>
      </c>
      <c r="G19" s="23" t="s">
        <v>74</v>
      </c>
      <c r="H19" s="25" t="n">
        <v>46047</v>
      </c>
      <c r="I19" s="23" t="s">
        <v>97</v>
      </c>
    </row>
    <row r="20" customFormat="false" ht="23.25" hidden="false" customHeight="true" outlineLevel="0" collapsed="false">
      <c r="A20" s="23" t="s">
        <v>98</v>
      </c>
      <c r="B20" s="23" t="s">
        <v>99</v>
      </c>
      <c r="C20" s="23" t="s">
        <v>100</v>
      </c>
      <c r="D20" s="23"/>
      <c r="E20" s="24" t="n">
        <v>4200</v>
      </c>
      <c r="F20" s="23" t="s">
        <v>101</v>
      </c>
      <c r="G20" s="23" t="s">
        <v>79</v>
      </c>
      <c r="H20" s="23"/>
      <c r="I20" s="23" t="s">
        <v>102</v>
      </c>
    </row>
    <row r="21" customFormat="false" ht="23.25" hidden="false" customHeight="true" outlineLevel="0" collapsed="false">
      <c r="A21" s="23" t="s">
        <v>103</v>
      </c>
      <c r="B21" s="23" t="s">
        <v>104</v>
      </c>
      <c r="C21" s="23" t="s">
        <v>105</v>
      </c>
      <c r="D21" s="23" t="s">
        <v>60</v>
      </c>
      <c r="E21" s="24" t="n">
        <v>0</v>
      </c>
      <c r="F21" s="23" t="s">
        <v>106</v>
      </c>
      <c r="G21" s="23" t="s">
        <v>85</v>
      </c>
      <c r="H21" s="23"/>
      <c r="I21" s="23" t="s">
        <v>107</v>
      </c>
    </row>
    <row r="22" customFormat="false" ht="23.25" hidden="false" customHeight="true" outlineLevel="0" collapsed="false">
      <c r="A22" s="23" t="s">
        <v>108</v>
      </c>
      <c r="B22" s="23" t="s">
        <v>109</v>
      </c>
      <c r="C22" s="23" t="s">
        <v>110</v>
      </c>
      <c r="D22" s="23" t="s">
        <v>72</v>
      </c>
      <c r="E22" s="24" t="n">
        <v>0</v>
      </c>
      <c r="F22" s="23" t="s">
        <v>111</v>
      </c>
      <c r="G22" s="23" t="s">
        <v>112</v>
      </c>
      <c r="H22" s="23"/>
      <c r="I22" s="23" t="s">
        <v>113</v>
      </c>
    </row>
    <row r="23" customFormat="false" ht="15" hidden="false" customHeight="true" outlineLevel="0" collapsed="false">
      <c r="D23" s="26" t="s">
        <v>114</v>
      </c>
      <c r="E23" s="27" t="n">
        <f aca="false">SUM(E18:E22)</f>
        <v>76875</v>
      </c>
    </row>
    <row r="25" customFormat="false" ht="15" hidden="false" customHeight="true" outlineLevel="0" collapsed="false">
      <c r="A25" s="21" t="s">
        <v>115</v>
      </c>
      <c r="B25" s="21"/>
      <c r="C25" s="21"/>
      <c r="D25" s="21"/>
      <c r="E25" s="21"/>
      <c r="F25" s="21"/>
      <c r="G25" s="21"/>
      <c r="H25" s="21"/>
      <c r="I25" s="21"/>
    </row>
    <row r="26" customFormat="false" ht="27.75" hidden="false" customHeight="true" outlineLevel="0" collapsed="false">
      <c r="A26" s="22" t="s">
        <v>48</v>
      </c>
      <c r="B26" s="22" t="s">
        <v>49</v>
      </c>
      <c r="C26" s="22" t="s">
        <v>50</v>
      </c>
      <c r="D26" s="22" t="s">
        <v>51</v>
      </c>
      <c r="E26" s="22" t="s">
        <v>52</v>
      </c>
      <c r="F26" s="22" t="s">
        <v>53</v>
      </c>
      <c r="G26" s="22" t="s">
        <v>54</v>
      </c>
      <c r="H26" s="22" t="s">
        <v>55</v>
      </c>
      <c r="I26" s="22" t="s">
        <v>56</v>
      </c>
    </row>
    <row r="27" customFormat="false" ht="15" hidden="false" customHeight="true" outlineLevel="0" collapsed="false">
      <c r="A27" s="28"/>
      <c r="B27" s="28"/>
      <c r="C27" s="28"/>
      <c r="D27" s="28"/>
      <c r="E27" s="29"/>
      <c r="F27" s="28"/>
      <c r="G27" s="28"/>
      <c r="H27" s="30"/>
      <c r="I27" s="28"/>
    </row>
    <row r="28" customFormat="false" ht="15" hidden="false" customHeight="true" outlineLevel="0" collapsed="false">
      <c r="A28" s="28"/>
      <c r="B28" s="28"/>
      <c r="C28" s="28"/>
      <c r="D28" s="28"/>
      <c r="E28" s="29"/>
      <c r="F28" s="28"/>
      <c r="G28" s="28"/>
      <c r="H28" s="30"/>
      <c r="I28" s="28"/>
    </row>
    <row r="29" customFormat="false" ht="15" hidden="false" customHeight="true" outlineLevel="0" collapsed="false">
      <c r="A29" s="28"/>
      <c r="B29" s="28"/>
      <c r="C29" s="28"/>
      <c r="D29" s="28"/>
      <c r="E29" s="29"/>
      <c r="F29" s="28"/>
      <c r="G29" s="28"/>
      <c r="H29" s="30"/>
      <c r="I29" s="28"/>
    </row>
    <row r="30" customFormat="false" ht="15" hidden="false" customHeight="true" outlineLevel="0" collapsed="false">
      <c r="A30" s="28"/>
      <c r="B30" s="28"/>
      <c r="C30" s="28"/>
      <c r="D30" s="28"/>
      <c r="E30" s="29"/>
      <c r="F30" s="28"/>
      <c r="G30" s="28"/>
      <c r="H30" s="30"/>
      <c r="I30" s="28"/>
    </row>
    <row r="31" customFormat="false" ht="15" hidden="false" customHeight="true" outlineLevel="0" collapsed="false">
      <c r="A31" s="28"/>
      <c r="B31" s="28"/>
      <c r="C31" s="28"/>
      <c r="D31" s="28"/>
      <c r="E31" s="29"/>
      <c r="F31" s="28"/>
      <c r="G31" s="28"/>
      <c r="H31" s="30"/>
      <c r="I31" s="28"/>
    </row>
    <row r="32" customFormat="false" ht="15" hidden="false" customHeight="true" outlineLevel="0" collapsed="false">
      <c r="A32" s="28"/>
      <c r="B32" s="28"/>
      <c r="C32" s="28"/>
      <c r="D32" s="28"/>
      <c r="E32" s="29"/>
      <c r="F32" s="28"/>
      <c r="G32" s="28"/>
      <c r="H32" s="30"/>
      <c r="I32" s="28"/>
    </row>
    <row r="33" customFormat="false" ht="15" hidden="false" customHeight="true" outlineLevel="0" collapsed="false">
      <c r="A33" s="28"/>
      <c r="B33" s="28"/>
      <c r="C33" s="28"/>
      <c r="D33" s="28"/>
      <c r="E33" s="29"/>
      <c r="F33" s="28"/>
      <c r="G33" s="28"/>
      <c r="H33" s="30"/>
      <c r="I33" s="28"/>
    </row>
    <row r="34" customFormat="false" ht="15" hidden="false" customHeight="true" outlineLevel="0" collapsed="false">
      <c r="A34" s="28"/>
      <c r="B34" s="28"/>
      <c r="C34" s="28"/>
      <c r="D34" s="28"/>
      <c r="E34" s="29"/>
      <c r="F34" s="28"/>
      <c r="G34" s="28"/>
      <c r="H34" s="30"/>
      <c r="I34" s="28"/>
    </row>
    <row r="35" customFormat="false" ht="15" hidden="false" customHeight="true" outlineLevel="0" collapsed="false">
      <c r="D35" s="26" t="s">
        <v>116</v>
      </c>
      <c r="E35" s="27" t="n">
        <f aca="false">SUM(E27:E34)</f>
        <v>0</v>
      </c>
    </row>
  </sheetData>
  <mergeCells count="5">
    <mergeCell ref="A1:I1"/>
    <mergeCell ref="A6:I6"/>
    <mergeCell ref="A7:I7"/>
    <mergeCell ref="A16:I16"/>
    <mergeCell ref="A25:I25"/>
  </mergeCells>
  <conditionalFormatting sqref="G8:G200">
    <cfRule type="cellIs" priority="2" operator="equal" aboveAverage="0" equalAverage="0" bottom="0" percent="0" rank="0" text="" dxfId="0">
      <formula>"Complete"</formula>
    </cfRule>
    <cfRule type="cellIs" priority="3" operator="equal" aboveAverage="0" equalAverage="0" bottom="0" percent="0" rank="0" text="" dxfId="0">
      <formula>"Submitted"</formula>
    </cfRule>
    <cfRule type="cellIs" priority="4" operator="equal" aboveAverage="0" equalAverage="0" bottom="0" percent="0" rank="0" text="" dxfId="0">
      <formula>"Verified by PM"</formula>
    </cfRule>
    <cfRule type="cellIs" priority="5" operator="equal" aboveAverage="0" equalAverage="0" bottom="0" percent="0" rank="0" text="" dxfId="1">
      <formula>"In Progress"</formula>
    </cfRule>
    <cfRule type="cellIs" priority="6" operator="equal" aboveAverage="0" equalAverage="0" bottom="0" percent="0" rank="0" text="" dxfId="2">
      <formula>"Not Compiled"</formula>
    </cfRule>
  </conditionalFormatting>
  <dataValidations count="3">
    <dataValidation allowBlank="true" errorStyle="stop" operator="between" showDropDown="false" showErrorMessage="false" showInputMessage="false" sqref="B9:B13 B18:B22 B27:B34" type="list">
      <formula1>"Progress Photos,Measurement Sheet,Daywork Record,Plant Return,Delivery Ticket,Test Certificate,Survey Data,As-Built Drawing,Inspection Record,Approval Letter,Other"</formula1>
      <formula2>0</formula2>
    </dataValidation>
    <dataValidation allowBlank="true" errorStyle="stop" operator="between" showDropDown="false" showErrorMessage="false" showInputMessage="false" sqref="G9:G13 G18:G22 G27:G34" type="list">
      <formula1>"Not Compiled,In Progress,Complete,Submitted,Verified by PM"</formula1>
      <formula2>0</formula2>
    </dataValidation>
    <dataValidation allowBlank="true" errorStyle="stop" operator="between" showDropDown="false" showErrorMessage="false" showInputMessage="false" sqref="H9:H13 H18:H22 H27:H34" type="date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" footer="0.5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&amp;CValuation Evidence Pack Index</oddHeader>
    <oddFooter>&amp;Rebrora.com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4A"/>
    <pageSetUpPr fitToPage="false"/>
  </sheetPr>
  <dimension ref="A1:A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0"/>
  </cols>
  <sheetData>
    <row r="1" customFormat="false" ht="18" hidden="false" customHeight="true" outlineLevel="0" collapsed="false">
      <c r="A1" s="31" t="s">
        <v>117</v>
      </c>
    </row>
    <row r="2" customFormat="false" ht="15" hidden="false" customHeight="true" outlineLevel="0" collapsed="false">
      <c r="A2" s="32"/>
    </row>
    <row r="3" customFormat="false" ht="15" hidden="false" customHeight="true" outlineLevel="0" collapsed="false">
      <c r="A3" s="32" t="s">
        <v>118</v>
      </c>
    </row>
    <row r="4" customFormat="false" ht="15" hidden="false" customHeight="true" outlineLevel="0" collapsed="false">
      <c r="A4" s="32"/>
    </row>
    <row r="5" customFormat="false" ht="15" hidden="false" customHeight="true" outlineLevel="0" collapsed="false">
      <c r="A5" s="33" t="s">
        <v>119</v>
      </c>
    </row>
    <row r="6" customFormat="false" ht="23.25" hidden="false" customHeight="true" outlineLevel="0" collapsed="false">
      <c r="A6" s="33" t="s">
        <v>120</v>
      </c>
    </row>
    <row r="7" customFormat="false" ht="15" hidden="false" customHeight="true" outlineLevel="0" collapsed="false">
      <c r="A7" s="33" t="s">
        <v>121</v>
      </c>
    </row>
    <row r="8" customFormat="false" ht="15" hidden="false" customHeight="true" outlineLevel="0" collapsed="false">
      <c r="A8" s="33" t="s">
        <v>122</v>
      </c>
    </row>
    <row r="9" customFormat="false" ht="23.25" hidden="false" customHeight="true" outlineLevel="0" collapsed="false">
      <c r="A9" s="33" t="s">
        <v>123</v>
      </c>
    </row>
    <row r="10" customFormat="false" ht="15" hidden="false" customHeight="true" outlineLevel="0" collapsed="false">
      <c r="A10" s="33" t="s">
        <v>124</v>
      </c>
    </row>
    <row r="11" customFormat="false" ht="15" hidden="false" customHeight="true" outlineLevel="0" collapsed="false">
      <c r="A11" s="32"/>
    </row>
    <row r="12" customFormat="false" ht="15" hidden="false" customHeight="true" outlineLevel="0" collapsed="false">
      <c r="A12" s="32" t="s">
        <v>125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category>Commercial &amp; NEC</cp:category>
  <dcterms:created xsi:type="dcterms:W3CDTF">2026-03-24T16:30:05Z</dcterms:created>
  <dc:creator>Ebrora Ltd</dc:creator>
  <dc:description>Index and track all supporting evidence for interim valuations — photos, measurement sheets, daywork records, delivery tickets, and test certificates — organised by valuation period with submission status tracking.
Free professional construction management template from Ebrora Ltd. Visit ebrora.com for our full range of tools and templates.</dc:description>
  <cp:keywords>Ebrora construction valuation evidence pack index commercial NEC BOQ</cp:keywords>
  <dc:language>en-US</dc:language>
  <cp:lastModifiedBy>Ebrora Ltd</cp:lastModifiedBy>
  <dcterms:modified xsi:type="dcterms:W3CDTF">2026-03-24T16:30:42Z</dcterms:modified>
  <cp:revision>0</cp:revision>
  <dc:subject>Index and track all supporting evidence for interim valuations organised by valuation period.</dc:subject>
  <dc:title>Valuation Evidence Pack Index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