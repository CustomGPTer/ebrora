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Competency Register" sheetId="3" state="visible" r:id="rId5"/>
    <sheet name="Terms of Use" sheetId="4" state="hidden" r:id="rId6"/>
  </sheets>
  <definedNames>
    <definedName function="false" hidden="false" localSheetId="2" name="_xlnm.Print_Area" vbProcedure="false">'Competency Register'!$A$1:$O$56</definedName>
    <definedName function="false" hidden="false" localSheetId="0" name="_xlnm.Print_Area" vbProcedure="false">Cover!$A$1:$H$20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<sst xmlns="http://schemas.openxmlformats.org/spreadsheetml/2006/main" count="85" uniqueCount="79">
  <si>
    <t xml:space="preserve">EBRORA</t>
  </si>
  <si>
    <t xml:space="preserve">ebrora.com</t>
  </si>
  <si>
    <t xml:space="preserve">Competency Register</t>
  </si>
  <si>
    <t xml:space="preserve">Assess and record competency levels across key skill areas for site personnel.</t>
  </si>
  <si>
    <t xml:space="preserve">Scored 1–4 proficiency scale with automatic gap analysis against required levels.</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</si>
  <si>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</si>
  <si>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</si>
  <si>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</si>
  <si>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</si>
  <si>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1.</t>
  </si>
  <si>
    <t xml:space="preserve">Open the 'Competency Register' sheet. The top panel explains the 1–4 scoring scale. Below is the assessment grid.</t>
  </si>
  <si>
    <t xml:space="preserve">2.</t>
  </si>
  <si>
    <t xml:space="preserve">Row 6 contains the 'Required Level' for each competency — this is the minimum acceptable score for the role. Set these first.</t>
  </si>
  <si>
    <t xml:space="preserve">3.</t>
  </si>
  <si>
    <t xml:space="preserve">For each person, score their proficiency 1–4 in each competency area using the dropdown. The assessor should initial the assessment.</t>
  </si>
  <si>
    <t xml:space="preserve">4.</t>
  </si>
  <si>
    <t xml:space="preserve">Scores below the required level turn red (competency gap). Scores at level turn amber. Scores above turn green.</t>
  </si>
  <si>
    <t xml:space="preserve">5.</t>
  </si>
  <si>
    <t xml:space="preserve">The 'Avg Score' column auto-calculates each person's average. The 'Gaps' column counts how many competencies fall below the required level.</t>
  </si>
  <si>
    <t xml:space="preserve">6.</t>
  </si>
  <si>
    <t xml:space="preserve">Use the gap count to prioritise training and development plans — anyone with 2+ gaps needs a formal development plan.</t>
  </si>
  <si>
    <t xml:space="preserve">7.</t>
  </si>
  <si>
    <t xml:space="preserve">Reassess at least annually, or when someone moves into a new role or takes on additional responsibilities.</t>
  </si>
  <si>
    <t xml:space="preserve">Colour Key</t>
  </si>
  <si>
    <t xml:space="preserve">Light teal — user input / editable</t>
  </si>
  <si>
    <t xml:space="preserve">  </t>
  </si>
  <si>
    <t xml:space="preserve">Dark navy — headers</t>
  </si>
  <si>
    <t xml:space="preserve">Green — above required level (strength)</t>
  </si>
  <si>
    <t xml:space="preserve">Amber — at required level (competent)</t>
  </si>
  <si>
    <t xml:space="preserve">Red — below required level (gap — action needed)</t>
  </si>
  <si>
    <t xml:space="preserve">Tips</t>
  </si>
  <si>
    <t xml:space="preserve">•</t>
  </si>
  <si>
    <t xml:space="preserve">Involve the individual in their own assessment — self-assessment followed by manager review gives better results.</t>
  </si>
  <si>
    <t xml:space="preserve">Link competency gaps directly to the Training Matrix (Template 86) to create a joined-up development plan.</t>
  </si>
  <si>
    <t xml:space="preserve">For new starters, complete an initial assessment within the first 2 weeks and schedule a follow-up at 3 months.</t>
  </si>
  <si>
    <t xml:space="preserve">COMPETENCY REGISTER</t>
  </si>
  <si>
    <t xml:space="preserve">SCORING SCALE:   1 = Awareness (needs supervision)  |  2 = Developing (can perform with guidance)  |  3 = Competent (independent)  |  4 = Expert (can train others)</t>
  </si>
  <si>
    <t xml:space="preserve">COMPETENCY ASSESSMENT GRID</t>
  </si>
  <si>
    <t xml:space="preserve">Name</t>
  </si>
  <si>
    <t xml:space="preserve">Role / Trade</t>
  </si>
  <si>
    <t xml:space="preserve">H&amp;S Awareness</t>
  </si>
  <si>
    <t xml:space="preserve">Method Statements</t>
  </si>
  <si>
    <t xml:space="preserve">Plant / Equipment</t>
  </si>
  <si>
    <t xml:space="preserve">Quality Standards</t>
  </si>
  <si>
    <t xml:space="preserve">Environmental</t>
  </si>
  <si>
    <t xml:space="preserve">Communication</t>
  </si>
  <si>
    <t xml:space="preserve">Problem Solving</t>
  </si>
  <si>
    <t xml:space="preserve">Supervision</t>
  </si>
  <si>
    <t xml:space="preserve">Avg Score</t>
  </si>
  <si>
    <t xml:space="preserve">Gaps</t>
  </si>
  <si>
    <t xml:space="preserve">Assessed By</t>
  </si>
  <si>
    <t xml:space="preserve">Date</t>
  </si>
  <si>
    <t xml:space="preserve">Development Notes</t>
  </si>
  <si>
    <t xml:space="preserve">REQUIRED LEVEL →</t>
  </si>
  <si>
    <t xml:space="preserve">J. Williams</t>
  </si>
  <si>
    <t xml:space="preserve">Site Foreman</t>
  </si>
  <si>
    <t xml:space="preserve">T. Henderson</t>
  </si>
  <si>
    <t xml:space="preserve">Strong leadership. Consider for SMSTS refresher.</t>
  </si>
  <si>
    <t xml:space="preserve">M. Khan</t>
  </si>
  <si>
    <t xml:space="preserve">Engineer</t>
  </si>
  <si>
    <t xml:space="preserve">Developing supervision skills. Pair with mentor.</t>
  </si>
  <si>
    <t xml:space="preserve">P. Davies</t>
  </si>
  <si>
    <t xml:space="preserve">Electrician</t>
  </si>
  <si>
    <t xml:space="preserve">Environmental and supervision gaps — book awareness course.</t>
  </si>
  <si>
    <t xml:space="preserve">A. Osei</t>
  </si>
  <si>
    <t xml:space="preserve">Groundworker</t>
  </si>
  <si>
    <t xml:space="preserve">New to site. Reassess at 3 months. Buddy with J. Williams.</t>
  </si>
  <si>
    <t xml:space="preserve">S. Murphy</t>
  </si>
  <si>
    <t xml:space="preserve">Scaffold Erector</t>
  </si>
  <si>
    <t xml:space="preserve">Experienced. Consider for scaffold inspection training.</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</si>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</sst>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0.0"/>
    <numFmt numFmtId="166" formatCode="General"/>
    <numFmt numFmtId="167" formatCode="dd/mm/yyyy"/>
  </numFmts>
  <fonts count="20">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1B2A4A"/>
      <name val="Calibri"/>
      <family val="0"/>
      <charset val="1"/>
    </font>
    <font>
      <sz val="10"/>
      <color rgb="FF1B2A4A"/>
      <name val="Calibri"/>
      <family val="0"/>
      <charset val="1"/>
    </font>
    <font>
      <b val="true"/>
      <sz val="13"/>
      <color rgb="FFFFFFFF"/>
      <name val="Calibri"/>
      <family val="0"/>
      <charset val="1"/>
    </font>
    <font>
      <b val="true"/>
      <sz val="9"/>
      <color rgb="FF1B2A4A"/>
      <name val="Calibri"/>
      <family val="0"/>
      <charset val="1"/>
    </font>
    <font>
      <b val="true"/>
      <sz val="12"/>
      <color rgb="FFFFFFFF"/>
      <name val="Calibri"/>
      <family val="0"/>
      <charset val="1"/>
    </font>
    <font>
      <b val="true"/>
      <sz val="11"/>
      <color rgb="FFFFFFFF"/>
      <name val="Calibri"/>
      <family val="0"/>
      <charset val="1"/>
    </font>
    <font>
      <b val="true"/>
      <sz val="9"/>
      <color rgb="FFFFFFFF"/>
      <name val="Calibri"/>
      <family val="0"/>
      <charset val="1"/>
    </font>
    <font>
      <b val="true"/>
      <sz val="10"/>
      <color rgb="FF2AABB3"/>
      <name val="Calibri"/>
      <family val="0"/>
      <charset val="1"/>
    </font>
    <font>
      <b val="true"/>
      <sz val="10"/>
      <color rgb="FF1B2A4A"/>
      <name val="Calibri"/>
      <family val="0"/>
      <charset val="1"/>
    </font>
  </fonts>
  <fills count="10">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C6EFCE"/>
        <bgColor rgb="FFD9D9D9"/>
      </patternFill>
    </fill>
    <fill>
      <patternFill patternType="solid">
        <fgColor rgb="FFFFEB9C"/>
        <bgColor rgb="FFF2F2F2"/>
      </patternFill>
    </fill>
    <fill>
      <patternFill patternType="solid">
        <fgColor rgb="FFFFC7CE"/>
        <bgColor rgb="FFD9D9D9"/>
      </patternFill>
    </fill>
    <fill>
      <patternFill patternType="solid">
        <fgColor rgb="FF2AABB3"/>
        <bgColor rgb="FF339966"/>
      </patternFill>
    </fill>
    <fill>
      <patternFill patternType="solid">
        <fgColor rgb="FFF2F2F2"/>
        <bgColor rgb="FFE8F6F7"/>
      </patternFill>
    </fill>
  </fills>
  <borders count="4">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false" applyProtection="false">
      <alignment horizontal="general" vertical="bottom" textRotation="0" wrapText="fals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4" fillId="4" borderId="0" xfId="0" applyFont="true" applyBorder="true" applyAlignment="true" applyProtection="false">
      <alignment horizontal="center" vertical="center" textRotation="0" wrapText="true" indent="0" shrinkToFit="false"/>
      <protection locked="true" hidden="false"/>
    </xf>
    <xf numFmtId="164" fontId="15" fillId="8" borderId="0" xfId="0" applyFont="true" applyBorder="true" applyAlignment="true" applyProtection="false">
      <alignment horizontal="center" vertical="center" textRotation="0" wrapText="true" indent="0" shrinkToFit="false"/>
      <protection locked="true" hidden="false"/>
    </xf>
    <xf numFmtId="164" fontId="16" fillId="2" borderId="2" xfId="0" applyFont="true" applyBorder="true" applyAlignment="true" applyProtection="false">
      <alignment horizontal="center" vertical="center" textRotation="0" wrapText="true" indent="0" shrinkToFit="false"/>
      <protection locked="true" hidden="false"/>
    </xf>
    <xf numFmtId="164" fontId="17" fillId="2" borderId="0" xfId="0" applyFont="true" applyBorder="true" applyAlignment="true" applyProtection="false">
      <alignment horizontal="right" vertical="center" textRotation="0" wrapText="false" indent="0" shrinkToFit="false"/>
      <protection locked="true" hidden="false"/>
    </xf>
    <xf numFmtId="164" fontId="15" fillId="2" borderId="2"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2" fillId="4" borderId="3" xfId="0" applyFont="true" applyBorder="true" applyAlignment="true" applyProtection="false">
      <alignment horizontal="left" vertical="center" textRotation="0" wrapText="true" indent="0" shrinkToFit="false"/>
      <protection locked="true" hidden="false"/>
    </xf>
    <xf numFmtId="164" fontId="12" fillId="4" borderId="3" xfId="0" applyFont="true" applyBorder="true" applyAlignment="true" applyProtection="false">
      <alignment horizontal="center" vertical="center" textRotation="0" wrapText="true" indent="0" shrinkToFit="false"/>
      <protection locked="true" hidden="false"/>
    </xf>
    <xf numFmtId="165" fontId="18" fillId="9" borderId="3" xfId="0" applyFont="true" applyBorder="true" applyAlignment="true" applyProtection="false">
      <alignment horizontal="center" vertical="center" textRotation="0" wrapText="true" indent="0" shrinkToFit="false"/>
      <protection locked="true" hidden="false"/>
    </xf>
    <xf numFmtId="166" fontId="19" fillId="9" borderId="3" xfId="0" applyFont="true" applyBorder="true" applyAlignment="true" applyProtection="false">
      <alignment horizontal="center" vertical="center" textRotation="0" wrapText="true" indent="0" shrinkToFit="false"/>
      <protection locked="true" hidden="false"/>
    </xf>
    <xf numFmtId="167" fontId="12" fillId="4" borderId="3" xfId="0" applyFont="true" applyBorder="true" applyAlignment="true" applyProtection="false">
      <alignment horizontal="center" vertical="center" textRotation="0" wrapText="true" indent="0" shrinkToFit="false"/>
      <protection locked="true" hidden="false"/>
    </xf>
    <xf numFmtId="164" fontId="12" fillId="9" borderId="3" xfId="0" applyFont="true" applyBorder="true" applyAlignment="true" applyProtection="false">
      <alignment horizontal="left" vertical="center" textRotation="0" wrapText="true" indent="0" shrinkToFit="false"/>
      <protection locked="true" hidden="false"/>
    </xf>
    <xf numFmtId="164" fontId="12" fillId="9" borderId="3" xfId="0" applyFont="true" applyBorder="true" applyAlignment="true" applyProtection="false">
      <alignment horizontal="center" vertical="center" textRotation="0" wrapText="true" indent="0" shrinkToFit="false"/>
      <protection locked="true" hidden="false"/>
    </xf>
    <xf numFmtId="167" fontId="12" fillId="9" borderId="3"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35.0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row r="25" customFormat="false" ht="15" hidden="false" customHeight="false" outlineLevel="0" collapsed="false">
      <c r="A25" s="4"/>
      <c r="B25" s="4"/>
      <c r="C25" s="4"/>
      <c r="D25" s="4"/>
      <c r="E25" s="4"/>
      <c r="F25" s="4"/>
      <c r="G25" s="4"/>
      <c r="H25"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6" min="2" style="0" width="22"/>
  </cols>
  <sheetData>
    <row r="1" customFormat="false" ht="17.35" hidden="false" customHeight="false" outlineLevel="0" collapsed="false">
      <c r="A1" s="10" t="s">
        <v>8</v>
      </c>
      <c r="B1" s="10"/>
      <c r="C1" s="10"/>
      <c r="D1" s="10"/>
      <c r="E1" s="10"/>
      <c r="F1" s="10"/>
    </row>
    <row r="3" customFormat="false" ht="36" hidden="false" customHeight="true" outlineLevel="0" collapsed="false">
      <c r="A3" s="11" t="s">
        <v>9</v>
      </c>
      <c r="B3" s="12" t="s">
        <v>10</v>
      </c>
      <c r="C3" s="12"/>
      <c r="D3" s="12"/>
      <c r="E3" s="12"/>
      <c r="F3" s="12"/>
    </row>
    <row r="4" customFormat="false" ht="36" hidden="false" customHeight="true" outlineLevel="0" collapsed="false">
      <c r="A4" s="11" t="s">
        <v>11</v>
      </c>
      <c r="B4" s="12" t="s">
        <v>12</v>
      </c>
      <c r="C4" s="12"/>
      <c r="D4" s="12"/>
      <c r="E4" s="12"/>
      <c r="F4" s="12"/>
    </row>
    <row r="5" customFormat="false" ht="36" hidden="false" customHeight="true" outlineLevel="0" collapsed="false">
      <c r="A5" s="11" t="s">
        <v>13</v>
      </c>
      <c r="B5" s="12" t="s">
        <v>14</v>
      </c>
      <c r="C5" s="12"/>
      <c r="D5" s="12"/>
      <c r="E5" s="12"/>
      <c r="F5" s="12"/>
    </row>
    <row r="6" customFormat="false" ht="36" hidden="false" customHeight="true" outlineLevel="0" collapsed="false">
      <c r="A6" s="11" t="s">
        <v>15</v>
      </c>
      <c r="B6" s="12" t="s">
        <v>16</v>
      </c>
      <c r="C6" s="12"/>
      <c r="D6" s="12"/>
      <c r="E6" s="12"/>
      <c r="F6" s="12"/>
    </row>
    <row r="7" customFormat="false" ht="36" hidden="false" customHeight="true" outlineLevel="0" collapsed="false">
      <c r="A7" s="11" t="s">
        <v>17</v>
      </c>
      <c r="B7" s="12" t="s">
        <v>18</v>
      </c>
      <c r="C7" s="12"/>
      <c r="D7" s="12"/>
      <c r="E7" s="12"/>
      <c r="F7" s="12"/>
    </row>
    <row r="8" customFormat="false" ht="36" hidden="false" customHeight="true" outlineLevel="0" collapsed="false">
      <c r="A8" s="11" t="s">
        <v>19</v>
      </c>
      <c r="B8" s="12" t="s">
        <v>20</v>
      </c>
      <c r="C8" s="12"/>
      <c r="D8" s="12"/>
      <c r="E8" s="12"/>
      <c r="F8" s="12"/>
    </row>
    <row r="9" customFormat="false" ht="36" hidden="false" customHeight="true" outlineLevel="0" collapsed="false">
      <c r="A9" s="11" t="s">
        <v>21</v>
      </c>
      <c r="B9" s="12" t="s">
        <v>22</v>
      </c>
      <c r="C9" s="12"/>
      <c r="D9" s="12"/>
      <c r="E9" s="12"/>
      <c r="F9" s="12"/>
    </row>
    <row r="11" customFormat="false" ht="15" hidden="false" customHeight="false" outlineLevel="0" collapsed="false">
      <c r="A11" s="13" t="s">
        <v>23</v>
      </c>
      <c r="B11" s="13"/>
      <c r="C11" s="13"/>
      <c r="D11" s="13"/>
      <c r="E11" s="13"/>
      <c r="F11" s="13"/>
    </row>
    <row r="12" customFormat="false" ht="15" hidden="false" customHeight="false" outlineLevel="0" collapsed="false">
      <c r="A12" s="14"/>
      <c r="B12" s="15" t="s">
        <v>24</v>
      </c>
      <c r="C12" s="15"/>
      <c r="D12" s="15"/>
      <c r="E12" s="15"/>
      <c r="F12" s="15"/>
    </row>
    <row r="13" customFormat="false" ht="15" hidden="false" customHeight="false" outlineLevel="0" collapsed="false">
      <c r="A13" s="16" t="s">
        <v>25</v>
      </c>
      <c r="B13" s="15" t="s">
        <v>26</v>
      </c>
      <c r="C13" s="15"/>
      <c r="D13" s="15"/>
      <c r="E13" s="15"/>
      <c r="F13" s="15"/>
    </row>
    <row r="14" customFormat="false" ht="15" hidden="false" customHeight="false" outlineLevel="0" collapsed="false">
      <c r="A14" s="17"/>
      <c r="B14" s="15" t="s">
        <v>27</v>
      </c>
      <c r="C14" s="15"/>
      <c r="D14" s="15"/>
      <c r="E14" s="15"/>
      <c r="F14" s="15"/>
    </row>
    <row r="15" customFormat="false" ht="15" hidden="false" customHeight="false" outlineLevel="0" collapsed="false">
      <c r="A15" s="18"/>
      <c r="B15" s="15" t="s">
        <v>28</v>
      </c>
      <c r="C15" s="15"/>
      <c r="D15" s="15"/>
      <c r="E15" s="15"/>
      <c r="F15" s="15"/>
    </row>
    <row r="16" customFormat="false" ht="15" hidden="false" customHeight="false" outlineLevel="0" collapsed="false">
      <c r="A16" s="19"/>
      <c r="B16" s="15" t="s">
        <v>29</v>
      </c>
      <c r="C16" s="15"/>
      <c r="D16" s="15"/>
      <c r="E16" s="15"/>
      <c r="F16" s="15"/>
    </row>
    <row r="18" customFormat="false" ht="15" hidden="false" customHeight="false" outlineLevel="0" collapsed="false">
      <c r="A18" s="13" t="s">
        <v>30</v>
      </c>
      <c r="B18" s="13"/>
      <c r="C18" s="13"/>
      <c r="D18" s="13"/>
      <c r="E18" s="13"/>
      <c r="F18" s="13"/>
    </row>
    <row r="19" customFormat="false" ht="30" hidden="false" customHeight="true" outlineLevel="0" collapsed="false">
      <c r="A19" s="20" t="s">
        <v>31</v>
      </c>
      <c r="B19" s="12" t="s">
        <v>32</v>
      </c>
      <c r="C19" s="12"/>
      <c r="D19" s="12"/>
      <c r="E19" s="12"/>
      <c r="F19" s="12"/>
    </row>
    <row r="20" customFormat="false" ht="30" hidden="false" customHeight="true" outlineLevel="0" collapsed="false">
      <c r="A20" s="20" t="s">
        <v>31</v>
      </c>
      <c r="B20" s="12" t="s">
        <v>33</v>
      </c>
      <c r="C20" s="12"/>
      <c r="D20" s="12"/>
      <c r="E20" s="12"/>
      <c r="F20" s="12"/>
    </row>
    <row r="21" customFormat="false" ht="30" hidden="false" customHeight="true" outlineLevel="0" collapsed="false">
      <c r="A21" s="20" t="s">
        <v>31</v>
      </c>
      <c r="B21" s="12" t="s">
        <v>34</v>
      </c>
      <c r="C21" s="12"/>
      <c r="D21" s="12"/>
      <c r="E21" s="12"/>
      <c r="F21" s="12"/>
    </row>
  </sheetData>
  <mergeCells count="18">
    <mergeCell ref="A1:F1"/>
    <mergeCell ref="B3:F3"/>
    <mergeCell ref="B4:F4"/>
    <mergeCell ref="B5:F5"/>
    <mergeCell ref="B6:F6"/>
    <mergeCell ref="B7:F7"/>
    <mergeCell ref="B8:F8"/>
    <mergeCell ref="B9:F9"/>
    <mergeCell ref="A11:F11"/>
    <mergeCell ref="B12:F12"/>
    <mergeCell ref="B13:F13"/>
    <mergeCell ref="B14:F14"/>
    <mergeCell ref="B15:F15"/>
    <mergeCell ref="B16:F16"/>
    <mergeCell ref="A18:F18"/>
    <mergeCell ref="B19:F19"/>
    <mergeCell ref="B20:F20"/>
    <mergeCell ref="B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1"/>
  <cols>
    <col collapsed="false" customWidth="true" hidden="false" outlineLevel="0" max="1" min="1" style="0" width="20"/>
    <col collapsed="false" customWidth="true" hidden="false" outlineLevel="0" max="2" min="2" style="0" width="16"/>
    <col collapsed="false" customWidth="true" hidden="false" outlineLevel="0" max="10" min="3" style="0" width="13"/>
    <col collapsed="false" customWidth="true" hidden="false" outlineLevel="0" max="11" min="11" style="0" width="10"/>
    <col collapsed="false" customWidth="true" hidden="false" outlineLevel="0" max="12" min="12" style="0" width="8"/>
    <col collapsed="false" customWidth="true" hidden="true" outlineLevel="1" max="15" min="13" style="0" width="14"/>
  </cols>
  <sheetData>
    <row r="1" customFormat="false" ht="30" hidden="false" customHeight="true" outlineLevel="0" collapsed="false">
      <c r="A1" s="21" t="s">
        <v>35</v>
      </c>
      <c r="B1" s="21"/>
      <c r="C1" s="21"/>
      <c r="D1" s="21"/>
      <c r="E1" s="21"/>
      <c r="F1" s="21"/>
      <c r="G1" s="21"/>
      <c r="H1" s="21"/>
      <c r="I1" s="21"/>
      <c r="J1" s="21"/>
      <c r="K1" s="21"/>
      <c r="L1" s="21"/>
      <c r="M1" s="21"/>
      <c r="N1" s="21"/>
      <c r="O1" s="21"/>
    </row>
    <row r="2" customFormat="false" ht="21.75" hidden="false" customHeight="true" outlineLevel="0" collapsed="false">
      <c r="A2" s="22" t="s">
        <v>36</v>
      </c>
      <c r="B2" s="22"/>
      <c r="C2" s="22"/>
      <c r="D2" s="22"/>
      <c r="E2" s="22"/>
      <c r="F2" s="22"/>
      <c r="G2" s="22"/>
      <c r="H2" s="22"/>
      <c r="I2" s="22"/>
      <c r="J2" s="22"/>
      <c r="K2" s="22"/>
      <c r="L2" s="22"/>
      <c r="M2" s="22"/>
      <c r="N2" s="22"/>
      <c r="O2" s="22"/>
    </row>
    <row r="3" customFormat="false" ht="6" hidden="false" customHeight="true" outlineLevel="0" collapsed="false"/>
    <row r="4" customFormat="false" ht="25.5" hidden="false" customHeight="true" outlineLevel="0" collapsed="false">
      <c r="A4" s="23" t="s">
        <v>37</v>
      </c>
      <c r="B4" s="23"/>
      <c r="C4" s="23"/>
      <c r="D4" s="23"/>
      <c r="E4" s="23"/>
      <c r="F4" s="23"/>
      <c r="G4" s="23"/>
      <c r="H4" s="23"/>
      <c r="I4" s="23"/>
      <c r="J4" s="23"/>
      <c r="K4" s="23"/>
      <c r="L4" s="23"/>
      <c r="M4" s="23"/>
      <c r="N4" s="23"/>
      <c r="O4" s="23"/>
    </row>
    <row r="5" customFormat="false" ht="28.35" hidden="false" customHeight="false" outlineLevel="0" collapsed="false">
      <c r="A5" s="24" t="s">
        <v>38</v>
      </c>
      <c r="B5" s="24" t="s">
        <v>39</v>
      </c>
      <c r="C5" s="24" t="s">
        <v>40</v>
      </c>
      <c r="D5" s="24" t="s">
        <v>41</v>
      </c>
      <c r="E5" s="24" t="s">
        <v>42</v>
      </c>
      <c r="F5" s="24" t="s">
        <v>43</v>
      </c>
      <c r="G5" s="24" t="s">
        <v>44</v>
      </c>
      <c r="H5" s="24" t="s">
        <v>45</v>
      </c>
      <c r="I5" s="24" t="s">
        <v>46</v>
      </c>
      <c r="J5" s="24" t="s">
        <v>47</v>
      </c>
      <c r="K5" s="24" t="s">
        <v>48</v>
      </c>
      <c r="L5" s="24" t="s">
        <v>49</v>
      </c>
      <c r="M5" s="24" t="s">
        <v>50</v>
      </c>
      <c r="N5" s="24" t="s">
        <v>51</v>
      </c>
      <c r="O5" s="24" t="s">
        <v>52</v>
      </c>
    </row>
    <row r="6" customFormat="false" ht="15" hidden="false" customHeight="false" outlineLevel="0" collapsed="false">
      <c r="A6" s="25" t="s">
        <v>53</v>
      </c>
      <c r="B6" s="25"/>
      <c r="C6" s="26" t="n">
        <v>3</v>
      </c>
      <c r="D6" s="26" t="n">
        <v>3</v>
      </c>
      <c r="E6" s="26" t="n">
        <v>2</v>
      </c>
      <c r="F6" s="26" t="n">
        <v>3</v>
      </c>
      <c r="G6" s="26" t="n">
        <v>2</v>
      </c>
      <c r="H6" s="26" t="n">
        <v>3</v>
      </c>
      <c r="I6" s="26" t="n">
        <v>2</v>
      </c>
      <c r="J6" s="26" t="n">
        <v>2</v>
      </c>
      <c r="K6" s="27"/>
      <c r="L6" s="27"/>
      <c r="M6" s="27"/>
      <c r="N6" s="27"/>
      <c r="O6" s="27"/>
    </row>
    <row r="7" customFormat="false" ht="24" hidden="false" customHeight="true" outlineLevel="0" collapsed="false">
      <c r="A7" s="28" t="s">
        <v>54</v>
      </c>
      <c r="B7" s="29" t="s">
        <v>55</v>
      </c>
      <c r="C7" s="29" t="n">
        <v>4</v>
      </c>
      <c r="D7" s="29" t="n">
        <v>3</v>
      </c>
      <c r="E7" s="29" t="n">
        <v>3</v>
      </c>
      <c r="F7" s="29" t="n">
        <v>3</v>
      </c>
      <c r="G7" s="29" t="n">
        <v>3</v>
      </c>
      <c r="H7" s="29" t="n">
        <v>4</v>
      </c>
      <c r="I7" s="29" t="n">
        <v>3</v>
      </c>
      <c r="J7" s="29" t="n">
        <v>4</v>
      </c>
      <c r="K7" s="30" t="n">
        <f aca="false">IF(COUNT(C7:J7)&gt;0,AVERAGE(C7:J7),"")</f>
        <v>3.375</v>
      </c>
      <c r="L7" s="31" t="n">
        <f aca="false">IF(COUNT(C7:J7)&gt;0,SUMPRODUCT((C7:J7&lt;&gt;"")*1*(C7:J7&lt;C$6:J$6)*1),"")</f>
        <v>0</v>
      </c>
      <c r="M7" s="29" t="s">
        <v>56</v>
      </c>
      <c r="N7" s="32" t="n">
        <v>46068</v>
      </c>
      <c r="O7" s="28" t="s">
        <v>57</v>
      </c>
    </row>
    <row r="8" customFormat="false" ht="24" hidden="false" customHeight="true" outlineLevel="0" collapsed="false">
      <c r="A8" s="33" t="s">
        <v>58</v>
      </c>
      <c r="B8" s="34" t="s">
        <v>59</v>
      </c>
      <c r="C8" s="34" t="n">
        <v>3</v>
      </c>
      <c r="D8" s="34" t="n">
        <v>4</v>
      </c>
      <c r="E8" s="34" t="n">
        <v>2</v>
      </c>
      <c r="F8" s="34" t="n">
        <v>4</v>
      </c>
      <c r="G8" s="34" t="n">
        <v>3</v>
      </c>
      <c r="H8" s="34" t="n">
        <v>3</v>
      </c>
      <c r="I8" s="34" t="n">
        <v>4</v>
      </c>
      <c r="J8" s="34" t="n">
        <v>2</v>
      </c>
      <c r="K8" s="30" t="n">
        <f aca="false">IF(COUNT(C8:J8)&gt;0,AVERAGE(C8:J8),"")</f>
        <v>3.125</v>
      </c>
      <c r="L8" s="31" t="n">
        <f aca="false">IF(COUNT(C8:J8)&gt;0,SUMPRODUCT((C8:J8&lt;&gt;"")*1*(C8:J8&lt;C$6:J$6)*1),"")</f>
        <v>0</v>
      </c>
      <c r="M8" s="34" t="s">
        <v>56</v>
      </c>
      <c r="N8" s="35" t="n">
        <v>46068</v>
      </c>
      <c r="O8" s="33" t="s">
        <v>60</v>
      </c>
    </row>
    <row r="9" customFormat="false" ht="24" hidden="false" customHeight="true" outlineLevel="0" collapsed="false">
      <c r="A9" s="28" t="s">
        <v>61</v>
      </c>
      <c r="B9" s="29" t="s">
        <v>62</v>
      </c>
      <c r="C9" s="29" t="n">
        <v>3</v>
      </c>
      <c r="D9" s="29" t="n">
        <v>3</v>
      </c>
      <c r="E9" s="29" t="n">
        <v>3</v>
      </c>
      <c r="F9" s="29" t="n">
        <v>3</v>
      </c>
      <c r="G9" s="29" t="n">
        <v>2</v>
      </c>
      <c r="H9" s="29" t="n">
        <v>2</v>
      </c>
      <c r="I9" s="29" t="n">
        <v>2</v>
      </c>
      <c r="J9" s="29" t="n">
        <v>1</v>
      </c>
      <c r="K9" s="30" t="n">
        <f aca="false">IF(COUNT(C9:J9)&gt;0,AVERAGE(C9:J9),"")</f>
        <v>2.375</v>
      </c>
      <c r="L9" s="31" t="n">
        <f aca="false">IF(COUNT(C9:J9)&gt;0,SUMPRODUCT((C9:J9&lt;&gt;"")*1*(C9:J9&lt;C$6:J$6)*1),"")</f>
        <v>2</v>
      </c>
      <c r="M9" s="29" t="s">
        <v>56</v>
      </c>
      <c r="N9" s="32" t="n">
        <v>46068</v>
      </c>
      <c r="O9" s="28" t="s">
        <v>63</v>
      </c>
    </row>
    <row r="10" customFormat="false" ht="24" hidden="false" customHeight="true" outlineLevel="0" collapsed="false">
      <c r="A10" s="33" t="s">
        <v>64</v>
      </c>
      <c r="B10" s="34" t="s">
        <v>65</v>
      </c>
      <c r="C10" s="34" t="n">
        <v>3</v>
      </c>
      <c r="D10" s="34" t="n">
        <v>2</v>
      </c>
      <c r="E10" s="34" t="n">
        <v>3</v>
      </c>
      <c r="F10" s="34" t="n">
        <v>2</v>
      </c>
      <c r="G10" s="34" t="n">
        <v>2</v>
      </c>
      <c r="H10" s="34" t="n">
        <v>2</v>
      </c>
      <c r="I10" s="34" t="n">
        <v>2</v>
      </c>
      <c r="J10" s="34" t="n">
        <v>1</v>
      </c>
      <c r="K10" s="30" t="n">
        <f aca="false">IF(COUNT(C10:J10)&gt;0,AVERAGE(C10:J10),"")</f>
        <v>2.125</v>
      </c>
      <c r="L10" s="31" t="n">
        <f aca="false">IF(COUNT(C10:J10)&gt;0,SUMPRODUCT((C10:J10&lt;&gt;"")*1*(C10:J10&lt;C$6:J$6)*1),"")</f>
        <v>4</v>
      </c>
      <c r="M10" s="34" t="s">
        <v>56</v>
      </c>
      <c r="N10" s="35" t="n">
        <v>46068</v>
      </c>
      <c r="O10" s="33" t="s">
        <v>66</v>
      </c>
    </row>
    <row r="11" customFormat="false" ht="24" hidden="false" customHeight="true" outlineLevel="0" collapsed="false">
      <c r="A11" s="28" t="s">
        <v>67</v>
      </c>
      <c r="B11" s="29" t="s">
        <v>68</v>
      </c>
      <c r="C11" s="29" t="n">
        <v>4</v>
      </c>
      <c r="D11" s="29" t="n">
        <v>3</v>
      </c>
      <c r="E11" s="29" t="n">
        <v>4</v>
      </c>
      <c r="F11" s="29" t="n">
        <v>3</v>
      </c>
      <c r="G11" s="29" t="n">
        <v>3</v>
      </c>
      <c r="H11" s="29" t="n">
        <v>3</v>
      </c>
      <c r="I11" s="29" t="n">
        <v>3</v>
      </c>
      <c r="J11" s="29" t="n">
        <v>2</v>
      </c>
      <c r="K11" s="30" t="n">
        <f aca="false">IF(COUNT(C11:J11)&gt;0,AVERAGE(C11:J11),"")</f>
        <v>3.125</v>
      </c>
      <c r="L11" s="31" t="n">
        <f aca="false">IF(COUNT(C11:J11)&gt;0,SUMPRODUCT((C11:J11&lt;&gt;"")*1*(C11:J11&lt;C$6:J$6)*1),"")</f>
        <v>0</v>
      </c>
      <c r="M11" s="29" t="s">
        <v>56</v>
      </c>
      <c r="N11" s="32" t="n">
        <v>46068</v>
      </c>
      <c r="O11" s="28" t="s">
        <v>69</v>
      </c>
    </row>
    <row r="12" customFormat="false" ht="15" hidden="false" customHeight="false" outlineLevel="0" collapsed="false">
      <c r="A12" s="33"/>
      <c r="B12" s="34"/>
      <c r="C12" s="34"/>
      <c r="D12" s="34"/>
      <c r="E12" s="34"/>
      <c r="F12" s="34"/>
      <c r="G12" s="34"/>
      <c r="H12" s="34"/>
      <c r="I12" s="34"/>
      <c r="J12" s="34"/>
      <c r="K12" s="30" t="str">
        <f aca="false">IF(COUNT(C12:J12)&gt;0,AVERAGE(C12:J12),"")</f>
        <v/>
      </c>
      <c r="L12" s="31" t="str">
        <f aca="false">IF(COUNT(C12:J12)&gt;0,SUMPRODUCT((C12:J12&lt;&gt;"")*1*(C12:J12&lt;C$6:J$6)*1),"")</f>
        <v/>
      </c>
      <c r="M12" s="34"/>
      <c r="N12" s="35"/>
      <c r="O12" s="33"/>
    </row>
    <row r="13" customFormat="false" ht="15" hidden="false" customHeight="false" outlineLevel="0" collapsed="false">
      <c r="A13" s="28"/>
      <c r="B13" s="29"/>
      <c r="C13" s="29"/>
      <c r="D13" s="29"/>
      <c r="E13" s="29"/>
      <c r="F13" s="29"/>
      <c r="G13" s="29"/>
      <c r="H13" s="29"/>
      <c r="I13" s="29"/>
      <c r="J13" s="29"/>
      <c r="K13" s="30" t="str">
        <f aca="false">IF(COUNT(C13:J13)&gt;0,AVERAGE(C13:J13),"")</f>
        <v/>
      </c>
      <c r="L13" s="31" t="str">
        <f aca="false">IF(COUNT(C13:J13)&gt;0,SUMPRODUCT((C13:J13&lt;&gt;"")*1*(C13:J13&lt;C$6:J$6)*1),"")</f>
        <v/>
      </c>
      <c r="M13" s="29"/>
      <c r="N13" s="32"/>
      <c r="O13" s="28"/>
    </row>
    <row r="14" customFormat="false" ht="15" hidden="false" customHeight="false" outlineLevel="0" collapsed="false">
      <c r="A14" s="33"/>
      <c r="B14" s="34"/>
      <c r="C14" s="34"/>
      <c r="D14" s="34"/>
      <c r="E14" s="34"/>
      <c r="F14" s="34"/>
      <c r="G14" s="34"/>
      <c r="H14" s="34"/>
      <c r="I14" s="34"/>
      <c r="J14" s="34"/>
      <c r="K14" s="30" t="str">
        <f aca="false">IF(COUNT(C14:J14)&gt;0,AVERAGE(C14:J14),"")</f>
        <v/>
      </c>
      <c r="L14" s="31" t="str">
        <f aca="false">IF(COUNT(C14:J14)&gt;0,SUMPRODUCT((C14:J14&lt;&gt;"")*1*(C14:J14&lt;C$6:J$6)*1),"")</f>
        <v/>
      </c>
      <c r="M14" s="34"/>
      <c r="N14" s="35"/>
      <c r="O14" s="33"/>
    </row>
    <row r="15" customFormat="false" ht="15" hidden="false" customHeight="false" outlineLevel="0" collapsed="false">
      <c r="A15" s="28"/>
      <c r="B15" s="29"/>
      <c r="C15" s="29"/>
      <c r="D15" s="29"/>
      <c r="E15" s="29"/>
      <c r="F15" s="29"/>
      <c r="G15" s="29"/>
      <c r="H15" s="29"/>
      <c r="I15" s="29"/>
      <c r="J15" s="29"/>
      <c r="K15" s="30" t="str">
        <f aca="false">IF(COUNT(C15:J15)&gt;0,AVERAGE(C15:J15),"")</f>
        <v/>
      </c>
      <c r="L15" s="31" t="str">
        <f aca="false">IF(COUNT(C15:J15)&gt;0,SUMPRODUCT((C15:J15&lt;&gt;"")*1*(C15:J15&lt;C$6:J$6)*1),"")</f>
        <v/>
      </c>
      <c r="M15" s="29"/>
      <c r="N15" s="32"/>
      <c r="O15" s="28"/>
    </row>
    <row r="16" customFormat="false" ht="15" hidden="false" customHeight="false" outlineLevel="0" collapsed="false">
      <c r="A16" s="33"/>
      <c r="B16" s="34"/>
      <c r="C16" s="34"/>
      <c r="D16" s="34"/>
      <c r="E16" s="34"/>
      <c r="F16" s="34"/>
      <c r="G16" s="34"/>
      <c r="H16" s="34"/>
      <c r="I16" s="34"/>
      <c r="J16" s="34"/>
      <c r="K16" s="30" t="str">
        <f aca="false">IF(COUNT(C16:J16)&gt;0,AVERAGE(C16:J16),"")</f>
        <v/>
      </c>
      <c r="L16" s="31" t="str">
        <f aca="false">IF(COUNT(C16:J16)&gt;0,SUMPRODUCT((C16:J16&lt;&gt;"")*1*(C16:J16&lt;C$6:J$6)*1),"")</f>
        <v/>
      </c>
      <c r="M16" s="34"/>
      <c r="N16" s="35"/>
      <c r="O16" s="33"/>
    </row>
    <row r="17" customFormat="false" ht="15" hidden="false" customHeight="false" outlineLevel="0" collapsed="false">
      <c r="A17" s="28"/>
      <c r="B17" s="29"/>
      <c r="C17" s="29"/>
      <c r="D17" s="29"/>
      <c r="E17" s="29"/>
      <c r="F17" s="29"/>
      <c r="G17" s="29"/>
      <c r="H17" s="29"/>
      <c r="I17" s="29"/>
      <c r="J17" s="29"/>
      <c r="K17" s="30" t="str">
        <f aca="false">IF(COUNT(C17:J17)&gt;0,AVERAGE(C17:J17),"")</f>
        <v/>
      </c>
      <c r="L17" s="31" t="str">
        <f aca="false">IF(COUNT(C17:J17)&gt;0,SUMPRODUCT((C17:J17&lt;&gt;"")*1*(C17:J17&lt;C$6:J$6)*1),"")</f>
        <v/>
      </c>
      <c r="M17" s="29"/>
      <c r="N17" s="32"/>
      <c r="O17" s="28"/>
    </row>
    <row r="18" customFormat="false" ht="15" hidden="false" customHeight="false" outlineLevel="0" collapsed="false">
      <c r="A18" s="33"/>
      <c r="B18" s="34"/>
      <c r="C18" s="34"/>
      <c r="D18" s="34"/>
      <c r="E18" s="34"/>
      <c r="F18" s="34"/>
      <c r="G18" s="34"/>
      <c r="H18" s="34"/>
      <c r="I18" s="34"/>
      <c r="J18" s="34"/>
      <c r="K18" s="30" t="str">
        <f aca="false">IF(COUNT(C18:J18)&gt;0,AVERAGE(C18:J18),"")</f>
        <v/>
      </c>
      <c r="L18" s="31" t="str">
        <f aca="false">IF(COUNT(C18:J18)&gt;0,SUMPRODUCT((C18:J18&lt;&gt;"")*1*(C18:J18&lt;C$6:J$6)*1),"")</f>
        <v/>
      </c>
      <c r="M18" s="34"/>
      <c r="N18" s="35"/>
      <c r="O18" s="33"/>
    </row>
    <row r="19" customFormat="false" ht="15" hidden="false" customHeight="false" outlineLevel="0" collapsed="false">
      <c r="A19" s="28"/>
      <c r="B19" s="29"/>
      <c r="C19" s="29"/>
      <c r="D19" s="29"/>
      <c r="E19" s="29"/>
      <c r="F19" s="29"/>
      <c r="G19" s="29"/>
      <c r="H19" s="29"/>
      <c r="I19" s="29"/>
      <c r="J19" s="29"/>
      <c r="K19" s="30" t="str">
        <f aca="false">IF(COUNT(C19:J19)&gt;0,AVERAGE(C19:J19),"")</f>
        <v/>
      </c>
      <c r="L19" s="31" t="str">
        <f aca="false">IF(COUNT(C19:J19)&gt;0,SUMPRODUCT((C19:J19&lt;&gt;"")*1*(C19:J19&lt;C$6:J$6)*1),"")</f>
        <v/>
      </c>
      <c r="M19" s="29"/>
      <c r="N19" s="32"/>
      <c r="O19" s="28"/>
    </row>
    <row r="20" customFormat="false" ht="15" hidden="false" customHeight="false" outlineLevel="0" collapsed="false">
      <c r="A20" s="33"/>
      <c r="B20" s="34"/>
      <c r="C20" s="34"/>
      <c r="D20" s="34"/>
      <c r="E20" s="34"/>
      <c r="F20" s="34"/>
      <c r="G20" s="34"/>
      <c r="H20" s="34"/>
      <c r="I20" s="34"/>
      <c r="J20" s="34"/>
      <c r="K20" s="30" t="str">
        <f aca="false">IF(COUNT(C20:J20)&gt;0,AVERAGE(C20:J20),"")</f>
        <v/>
      </c>
      <c r="L20" s="31" t="str">
        <f aca="false">IF(COUNT(C20:J20)&gt;0,SUMPRODUCT((C20:J20&lt;&gt;"")*1*(C20:J20&lt;C$6:J$6)*1),"")</f>
        <v/>
      </c>
      <c r="M20" s="34"/>
      <c r="N20" s="35"/>
      <c r="O20" s="33"/>
    </row>
    <row r="21" customFormat="false" ht="15" hidden="false" customHeight="false" outlineLevel="0" collapsed="false">
      <c r="A21" s="28"/>
      <c r="B21" s="29"/>
      <c r="C21" s="29"/>
      <c r="D21" s="29"/>
      <c r="E21" s="29"/>
      <c r="F21" s="29"/>
      <c r="G21" s="29"/>
      <c r="H21" s="29"/>
      <c r="I21" s="29"/>
      <c r="J21" s="29"/>
      <c r="K21" s="30" t="str">
        <f aca="false">IF(COUNT(C21:J21)&gt;0,AVERAGE(C21:J21),"")</f>
        <v/>
      </c>
      <c r="L21" s="31" t="str">
        <f aca="false">IF(COUNT(C21:J21)&gt;0,SUMPRODUCT((C21:J21&lt;&gt;"")*1*(C21:J21&lt;C$6:J$6)*1),"")</f>
        <v/>
      </c>
      <c r="M21" s="29"/>
      <c r="N21" s="32"/>
      <c r="O21" s="28"/>
    </row>
    <row r="22" customFormat="false" ht="15" hidden="false" customHeight="false" outlineLevel="0" collapsed="false">
      <c r="A22" s="33"/>
      <c r="B22" s="34"/>
      <c r="C22" s="34"/>
      <c r="D22" s="34"/>
      <c r="E22" s="34"/>
      <c r="F22" s="34"/>
      <c r="G22" s="34"/>
      <c r="H22" s="34"/>
      <c r="I22" s="34"/>
      <c r="J22" s="34"/>
      <c r="K22" s="30" t="str">
        <f aca="false">IF(COUNT(C22:J22)&gt;0,AVERAGE(C22:J22),"")</f>
        <v/>
      </c>
      <c r="L22" s="31" t="str">
        <f aca="false">IF(COUNT(C22:J22)&gt;0,SUMPRODUCT((C22:J22&lt;&gt;"")*1*(C22:J22&lt;C$6:J$6)*1),"")</f>
        <v/>
      </c>
      <c r="M22" s="34"/>
      <c r="N22" s="35"/>
      <c r="O22" s="33"/>
    </row>
    <row r="23" customFormat="false" ht="15" hidden="false" customHeight="false" outlineLevel="0" collapsed="false">
      <c r="A23" s="28"/>
      <c r="B23" s="29"/>
      <c r="C23" s="29"/>
      <c r="D23" s="29"/>
      <c r="E23" s="29"/>
      <c r="F23" s="29"/>
      <c r="G23" s="29"/>
      <c r="H23" s="29"/>
      <c r="I23" s="29"/>
      <c r="J23" s="29"/>
      <c r="K23" s="30" t="str">
        <f aca="false">IF(COUNT(C23:J23)&gt;0,AVERAGE(C23:J23),"")</f>
        <v/>
      </c>
      <c r="L23" s="31" t="str">
        <f aca="false">IF(COUNT(C23:J23)&gt;0,SUMPRODUCT((C23:J23&lt;&gt;"")*1*(C23:J23&lt;C$6:J$6)*1),"")</f>
        <v/>
      </c>
      <c r="M23" s="29"/>
      <c r="N23" s="32"/>
      <c r="O23" s="28"/>
    </row>
    <row r="24" customFormat="false" ht="15" hidden="false" customHeight="false" outlineLevel="0" collapsed="false">
      <c r="A24" s="33"/>
      <c r="B24" s="34"/>
      <c r="C24" s="34"/>
      <c r="D24" s="34"/>
      <c r="E24" s="34"/>
      <c r="F24" s="34"/>
      <c r="G24" s="34"/>
      <c r="H24" s="34"/>
      <c r="I24" s="34"/>
      <c r="J24" s="34"/>
      <c r="K24" s="30" t="str">
        <f aca="false">IF(COUNT(C24:J24)&gt;0,AVERAGE(C24:J24),"")</f>
        <v/>
      </c>
      <c r="L24" s="31" t="str">
        <f aca="false">IF(COUNT(C24:J24)&gt;0,SUMPRODUCT((C24:J24&lt;&gt;"")*1*(C24:J24&lt;C$6:J$6)*1),"")</f>
        <v/>
      </c>
      <c r="M24" s="34"/>
      <c r="N24" s="35"/>
      <c r="O24" s="33"/>
    </row>
    <row r="25" customFormat="false" ht="15" hidden="false" customHeight="false" outlineLevel="0" collapsed="false">
      <c r="A25" s="28"/>
      <c r="B25" s="29"/>
      <c r="C25" s="29"/>
      <c r="D25" s="29"/>
      <c r="E25" s="29"/>
      <c r="F25" s="29"/>
      <c r="G25" s="29"/>
      <c r="H25" s="29"/>
      <c r="I25" s="29"/>
      <c r="J25" s="29"/>
      <c r="K25" s="30" t="str">
        <f aca="false">IF(COUNT(C25:J25)&gt;0,AVERAGE(C25:J25),"")</f>
        <v/>
      </c>
      <c r="L25" s="31" t="str">
        <f aca="false">IF(COUNT(C25:J25)&gt;0,SUMPRODUCT((C25:J25&lt;&gt;"")*1*(C25:J25&lt;C$6:J$6)*1),"")</f>
        <v/>
      </c>
      <c r="M25" s="29"/>
      <c r="N25" s="32"/>
      <c r="O25" s="28"/>
    </row>
    <row r="26" customFormat="false" ht="15" hidden="false" customHeight="false" outlineLevel="0" collapsed="false">
      <c r="A26" s="33"/>
      <c r="B26" s="34"/>
      <c r="C26" s="34"/>
      <c r="D26" s="34"/>
      <c r="E26" s="34"/>
      <c r="F26" s="34"/>
      <c r="G26" s="34"/>
      <c r="H26" s="34"/>
      <c r="I26" s="34"/>
      <c r="J26" s="34"/>
      <c r="K26" s="30" t="str">
        <f aca="false">IF(COUNT(C26:J26)&gt;0,AVERAGE(C26:J26),"")</f>
        <v/>
      </c>
      <c r="L26" s="31" t="str">
        <f aca="false">IF(COUNT(C26:J26)&gt;0,SUMPRODUCT((C26:J26&lt;&gt;"")*1*(C26:J26&lt;C$6:J$6)*1),"")</f>
        <v/>
      </c>
      <c r="M26" s="34"/>
      <c r="N26" s="35"/>
      <c r="O26" s="33"/>
    </row>
    <row r="27" customFormat="false" ht="15" hidden="false" customHeight="false" outlineLevel="0" collapsed="false">
      <c r="A27" s="28"/>
      <c r="B27" s="29"/>
      <c r="C27" s="29"/>
      <c r="D27" s="29"/>
      <c r="E27" s="29"/>
      <c r="F27" s="29"/>
      <c r="G27" s="29"/>
      <c r="H27" s="29"/>
      <c r="I27" s="29"/>
      <c r="J27" s="29"/>
      <c r="K27" s="30" t="str">
        <f aca="false">IF(COUNT(C27:J27)&gt;0,AVERAGE(C27:J27),"")</f>
        <v/>
      </c>
      <c r="L27" s="31" t="str">
        <f aca="false">IF(COUNT(C27:J27)&gt;0,SUMPRODUCT((C27:J27&lt;&gt;"")*1*(C27:J27&lt;C$6:J$6)*1),"")</f>
        <v/>
      </c>
      <c r="M27" s="29"/>
      <c r="N27" s="32"/>
      <c r="O27" s="28"/>
    </row>
    <row r="28" customFormat="false" ht="15" hidden="false" customHeight="false" outlineLevel="0" collapsed="false">
      <c r="A28" s="33"/>
      <c r="B28" s="34"/>
      <c r="C28" s="34"/>
      <c r="D28" s="34"/>
      <c r="E28" s="34"/>
      <c r="F28" s="34"/>
      <c r="G28" s="34"/>
      <c r="H28" s="34"/>
      <c r="I28" s="34"/>
      <c r="J28" s="34"/>
      <c r="K28" s="30" t="str">
        <f aca="false">IF(COUNT(C28:J28)&gt;0,AVERAGE(C28:J28),"")</f>
        <v/>
      </c>
      <c r="L28" s="31" t="str">
        <f aca="false">IF(COUNT(C28:J28)&gt;0,SUMPRODUCT((C28:J28&lt;&gt;"")*1*(C28:J28&lt;C$6:J$6)*1),"")</f>
        <v/>
      </c>
      <c r="M28" s="34"/>
      <c r="N28" s="35"/>
      <c r="O28" s="33"/>
    </row>
    <row r="29" customFormat="false" ht="15" hidden="false" customHeight="false" outlineLevel="0" collapsed="false">
      <c r="A29" s="28"/>
      <c r="B29" s="29"/>
      <c r="C29" s="29"/>
      <c r="D29" s="29"/>
      <c r="E29" s="29"/>
      <c r="F29" s="29"/>
      <c r="G29" s="29"/>
      <c r="H29" s="29"/>
      <c r="I29" s="29"/>
      <c r="J29" s="29"/>
      <c r="K29" s="30" t="str">
        <f aca="false">IF(COUNT(C29:J29)&gt;0,AVERAGE(C29:J29),"")</f>
        <v/>
      </c>
      <c r="L29" s="31" t="str">
        <f aca="false">IF(COUNT(C29:J29)&gt;0,SUMPRODUCT((C29:J29&lt;&gt;"")*1*(C29:J29&lt;C$6:J$6)*1),"")</f>
        <v/>
      </c>
      <c r="M29" s="29"/>
      <c r="N29" s="32"/>
      <c r="O29" s="28"/>
    </row>
    <row r="30" customFormat="false" ht="15" hidden="false" customHeight="false" outlineLevel="0" collapsed="false">
      <c r="A30" s="33"/>
      <c r="B30" s="34"/>
      <c r="C30" s="34"/>
      <c r="D30" s="34"/>
      <c r="E30" s="34"/>
      <c r="F30" s="34"/>
      <c r="G30" s="34"/>
      <c r="H30" s="34"/>
      <c r="I30" s="34"/>
      <c r="J30" s="34"/>
      <c r="K30" s="30" t="str">
        <f aca="false">IF(COUNT(C30:J30)&gt;0,AVERAGE(C30:J30),"")</f>
        <v/>
      </c>
      <c r="L30" s="31" t="str">
        <f aca="false">IF(COUNT(C30:J30)&gt;0,SUMPRODUCT((C30:J30&lt;&gt;"")*1*(C30:J30&lt;C$6:J$6)*1),"")</f>
        <v/>
      </c>
      <c r="M30" s="34"/>
      <c r="N30" s="35"/>
      <c r="O30" s="33"/>
    </row>
    <row r="31" customFormat="false" ht="15" hidden="false" customHeight="false" outlineLevel="0" collapsed="false">
      <c r="A31" s="28"/>
      <c r="B31" s="29"/>
      <c r="C31" s="29"/>
      <c r="D31" s="29"/>
      <c r="E31" s="29"/>
      <c r="F31" s="29"/>
      <c r="G31" s="29"/>
      <c r="H31" s="29"/>
      <c r="I31" s="29"/>
      <c r="J31" s="29"/>
      <c r="K31" s="30" t="str">
        <f aca="false">IF(COUNT(C31:J31)&gt;0,AVERAGE(C31:J31),"")</f>
        <v/>
      </c>
      <c r="L31" s="31" t="str">
        <f aca="false">IF(COUNT(C31:J31)&gt;0,SUMPRODUCT((C31:J31&lt;&gt;"")*1*(C31:J31&lt;C$6:J$6)*1),"")</f>
        <v/>
      </c>
      <c r="M31" s="29"/>
      <c r="N31" s="32"/>
      <c r="O31" s="28"/>
    </row>
    <row r="32" customFormat="false" ht="15" hidden="false" customHeight="false" outlineLevel="0" collapsed="false">
      <c r="A32" s="33"/>
      <c r="B32" s="34"/>
      <c r="C32" s="34"/>
      <c r="D32" s="34"/>
      <c r="E32" s="34"/>
      <c r="F32" s="34"/>
      <c r="G32" s="34"/>
      <c r="H32" s="34"/>
      <c r="I32" s="34"/>
      <c r="J32" s="34"/>
      <c r="K32" s="30" t="str">
        <f aca="false">IF(COUNT(C32:J32)&gt;0,AVERAGE(C32:J32),"")</f>
        <v/>
      </c>
      <c r="L32" s="31" t="str">
        <f aca="false">IF(COUNT(C32:J32)&gt;0,SUMPRODUCT((C32:J32&lt;&gt;"")*1*(C32:J32&lt;C$6:J$6)*1),"")</f>
        <v/>
      </c>
      <c r="M32" s="34"/>
      <c r="N32" s="35"/>
      <c r="O32" s="33"/>
    </row>
    <row r="33" customFormat="false" ht="15" hidden="false" customHeight="false" outlineLevel="0" collapsed="false">
      <c r="A33" s="28"/>
      <c r="B33" s="29"/>
      <c r="C33" s="29"/>
      <c r="D33" s="29"/>
      <c r="E33" s="29"/>
      <c r="F33" s="29"/>
      <c r="G33" s="29"/>
      <c r="H33" s="29"/>
      <c r="I33" s="29"/>
      <c r="J33" s="29"/>
      <c r="K33" s="30" t="str">
        <f aca="false">IF(COUNT(C33:J33)&gt;0,AVERAGE(C33:J33),"")</f>
        <v/>
      </c>
      <c r="L33" s="31" t="str">
        <f aca="false">IF(COUNT(C33:J33)&gt;0,SUMPRODUCT((C33:J33&lt;&gt;"")*1*(C33:J33&lt;C$6:J$6)*1),"")</f>
        <v/>
      </c>
      <c r="M33" s="29"/>
      <c r="N33" s="32"/>
      <c r="O33" s="28"/>
    </row>
    <row r="34" customFormat="false" ht="15" hidden="false" customHeight="false" outlineLevel="0" collapsed="false">
      <c r="A34" s="33"/>
      <c r="B34" s="34"/>
      <c r="C34" s="34"/>
      <c r="D34" s="34"/>
      <c r="E34" s="34"/>
      <c r="F34" s="34"/>
      <c r="G34" s="34"/>
      <c r="H34" s="34"/>
      <c r="I34" s="34"/>
      <c r="J34" s="34"/>
      <c r="K34" s="30" t="str">
        <f aca="false">IF(COUNT(C34:J34)&gt;0,AVERAGE(C34:J34),"")</f>
        <v/>
      </c>
      <c r="L34" s="31" t="str">
        <f aca="false">IF(COUNT(C34:J34)&gt;0,SUMPRODUCT((C34:J34&lt;&gt;"")*1*(C34:J34&lt;C$6:J$6)*1),"")</f>
        <v/>
      </c>
      <c r="M34" s="34"/>
      <c r="N34" s="35"/>
      <c r="O34" s="33"/>
    </row>
    <row r="35" customFormat="false" ht="15" hidden="false" customHeight="false" outlineLevel="0" collapsed="false">
      <c r="A35" s="28"/>
      <c r="B35" s="29"/>
      <c r="C35" s="29"/>
      <c r="D35" s="29"/>
      <c r="E35" s="29"/>
      <c r="F35" s="29"/>
      <c r="G35" s="29"/>
      <c r="H35" s="29"/>
      <c r="I35" s="29"/>
      <c r="J35" s="29"/>
      <c r="K35" s="30" t="str">
        <f aca="false">IF(COUNT(C35:J35)&gt;0,AVERAGE(C35:J35),"")</f>
        <v/>
      </c>
      <c r="L35" s="31" t="str">
        <f aca="false">IF(COUNT(C35:J35)&gt;0,SUMPRODUCT((C35:J35&lt;&gt;"")*1*(C35:J35&lt;C$6:J$6)*1),"")</f>
        <v/>
      </c>
      <c r="M35" s="29"/>
      <c r="N35" s="32"/>
      <c r="O35" s="28"/>
    </row>
    <row r="36" customFormat="false" ht="15" hidden="false" customHeight="false" outlineLevel="0" collapsed="false">
      <c r="A36" s="33"/>
      <c r="B36" s="34"/>
      <c r="C36" s="34"/>
      <c r="D36" s="34"/>
      <c r="E36" s="34"/>
      <c r="F36" s="34"/>
      <c r="G36" s="34"/>
      <c r="H36" s="34"/>
      <c r="I36" s="34"/>
      <c r="J36" s="34"/>
      <c r="K36" s="30" t="str">
        <f aca="false">IF(COUNT(C36:J36)&gt;0,AVERAGE(C36:J36),"")</f>
        <v/>
      </c>
      <c r="L36" s="31" t="str">
        <f aca="false">IF(COUNT(C36:J36)&gt;0,SUMPRODUCT((C36:J36&lt;&gt;"")*1*(C36:J36&lt;C$6:J$6)*1),"")</f>
        <v/>
      </c>
      <c r="M36" s="34"/>
      <c r="N36" s="35"/>
      <c r="O36" s="33"/>
    </row>
    <row r="37" customFormat="false" ht="15" hidden="false" customHeight="false" outlineLevel="0" collapsed="false">
      <c r="A37" s="28"/>
      <c r="B37" s="29"/>
      <c r="C37" s="29"/>
      <c r="D37" s="29"/>
      <c r="E37" s="29"/>
      <c r="F37" s="29"/>
      <c r="G37" s="29"/>
      <c r="H37" s="29"/>
      <c r="I37" s="29"/>
      <c r="J37" s="29"/>
      <c r="K37" s="30" t="str">
        <f aca="false">IF(COUNT(C37:J37)&gt;0,AVERAGE(C37:J37),"")</f>
        <v/>
      </c>
      <c r="L37" s="31" t="str">
        <f aca="false">IF(COUNT(C37:J37)&gt;0,SUMPRODUCT((C37:J37&lt;&gt;"")*1*(C37:J37&lt;C$6:J$6)*1),"")</f>
        <v/>
      </c>
      <c r="M37" s="29"/>
      <c r="N37" s="32"/>
      <c r="O37" s="28"/>
    </row>
    <row r="38" customFormat="false" ht="15" hidden="false" customHeight="false" outlineLevel="0" collapsed="false">
      <c r="A38" s="33"/>
      <c r="B38" s="34"/>
      <c r="C38" s="34"/>
      <c r="D38" s="34"/>
      <c r="E38" s="34"/>
      <c r="F38" s="34"/>
      <c r="G38" s="34"/>
      <c r="H38" s="34"/>
      <c r="I38" s="34"/>
      <c r="J38" s="34"/>
      <c r="K38" s="30" t="str">
        <f aca="false">IF(COUNT(C38:J38)&gt;0,AVERAGE(C38:J38),"")</f>
        <v/>
      </c>
      <c r="L38" s="31" t="str">
        <f aca="false">IF(COUNT(C38:J38)&gt;0,SUMPRODUCT((C38:J38&lt;&gt;"")*1*(C38:J38&lt;C$6:J$6)*1),"")</f>
        <v/>
      </c>
      <c r="M38" s="34"/>
      <c r="N38" s="35"/>
      <c r="O38" s="33"/>
    </row>
    <row r="39" customFormat="false" ht="15" hidden="false" customHeight="false" outlineLevel="0" collapsed="false">
      <c r="A39" s="28"/>
      <c r="B39" s="29"/>
      <c r="C39" s="29"/>
      <c r="D39" s="29"/>
      <c r="E39" s="29"/>
      <c r="F39" s="29"/>
      <c r="G39" s="29"/>
      <c r="H39" s="29"/>
      <c r="I39" s="29"/>
      <c r="J39" s="29"/>
      <c r="K39" s="30" t="str">
        <f aca="false">IF(COUNT(C39:J39)&gt;0,AVERAGE(C39:J39),"")</f>
        <v/>
      </c>
      <c r="L39" s="31" t="str">
        <f aca="false">IF(COUNT(C39:J39)&gt;0,SUMPRODUCT((C39:J39&lt;&gt;"")*1*(C39:J39&lt;C$6:J$6)*1),"")</f>
        <v/>
      </c>
      <c r="M39" s="29"/>
      <c r="N39" s="32"/>
      <c r="O39" s="28"/>
    </row>
    <row r="40" customFormat="false" ht="15" hidden="false" customHeight="false" outlineLevel="0" collapsed="false">
      <c r="A40" s="33"/>
      <c r="B40" s="34"/>
      <c r="C40" s="34"/>
      <c r="D40" s="34"/>
      <c r="E40" s="34"/>
      <c r="F40" s="34"/>
      <c r="G40" s="34"/>
      <c r="H40" s="34"/>
      <c r="I40" s="34"/>
      <c r="J40" s="34"/>
      <c r="K40" s="30" t="str">
        <f aca="false">IF(COUNT(C40:J40)&gt;0,AVERAGE(C40:J40),"")</f>
        <v/>
      </c>
      <c r="L40" s="31" t="str">
        <f aca="false">IF(COUNT(C40:J40)&gt;0,SUMPRODUCT((C40:J40&lt;&gt;"")*1*(C40:J40&lt;C$6:J$6)*1),"")</f>
        <v/>
      </c>
      <c r="M40" s="34"/>
      <c r="N40" s="35"/>
      <c r="O40" s="33"/>
    </row>
    <row r="41" customFormat="false" ht="15" hidden="false" customHeight="false" outlineLevel="0" collapsed="false">
      <c r="A41" s="28"/>
      <c r="B41" s="29"/>
      <c r="C41" s="29"/>
      <c r="D41" s="29"/>
      <c r="E41" s="29"/>
      <c r="F41" s="29"/>
      <c r="G41" s="29"/>
      <c r="H41" s="29"/>
      <c r="I41" s="29"/>
      <c r="J41" s="29"/>
      <c r="K41" s="30" t="str">
        <f aca="false">IF(COUNT(C41:J41)&gt;0,AVERAGE(C41:J41),"")</f>
        <v/>
      </c>
      <c r="L41" s="31" t="str">
        <f aca="false">IF(COUNT(C41:J41)&gt;0,SUMPRODUCT((C41:J41&lt;&gt;"")*1*(C41:J41&lt;C$6:J$6)*1),"")</f>
        <v/>
      </c>
      <c r="M41" s="29"/>
      <c r="N41" s="32"/>
      <c r="O41" s="28"/>
    </row>
    <row r="42" customFormat="false" ht="15" hidden="false" customHeight="false" outlineLevel="0" collapsed="false">
      <c r="A42" s="33"/>
      <c r="B42" s="34"/>
      <c r="C42" s="34"/>
      <c r="D42" s="34"/>
      <c r="E42" s="34"/>
      <c r="F42" s="34"/>
      <c r="G42" s="34"/>
      <c r="H42" s="34"/>
      <c r="I42" s="34"/>
      <c r="J42" s="34"/>
      <c r="K42" s="30" t="str">
        <f aca="false">IF(COUNT(C42:J42)&gt;0,AVERAGE(C42:J42),"")</f>
        <v/>
      </c>
      <c r="L42" s="31" t="str">
        <f aca="false">IF(COUNT(C42:J42)&gt;0,SUMPRODUCT((C42:J42&lt;&gt;"")*1*(C42:J42&lt;C$6:J$6)*1),"")</f>
        <v/>
      </c>
      <c r="M42" s="34"/>
      <c r="N42" s="35"/>
      <c r="O42" s="33"/>
    </row>
    <row r="43" customFormat="false" ht="15" hidden="false" customHeight="false" outlineLevel="0" collapsed="false">
      <c r="A43" s="28"/>
      <c r="B43" s="29"/>
      <c r="C43" s="29"/>
      <c r="D43" s="29"/>
      <c r="E43" s="29"/>
      <c r="F43" s="29"/>
      <c r="G43" s="29"/>
      <c r="H43" s="29"/>
      <c r="I43" s="29"/>
      <c r="J43" s="29"/>
      <c r="K43" s="30" t="str">
        <f aca="false">IF(COUNT(C43:J43)&gt;0,AVERAGE(C43:J43),"")</f>
        <v/>
      </c>
      <c r="L43" s="31" t="str">
        <f aca="false">IF(COUNT(C43:J43)&gt;0,SUMPRODUCT((C43:J43&lt;&gt;"")*1*(C43:J43&lt;C$6:J$6)*1),"")</f>
        <v/>
      </c>
      <c r="M43" s="29"/>
      <c r="N43" s="32"/>
      <c r="O43" s="28"/>
    </row>
    <row r="44" customFormat="false" ht="15" hidden="false" customHeight="false" outlineLevel="0" collapsed="false">
      <c r="A44" s="33"/>
      <c r="B44" s="34"/>
      <c r="C44" s="34"/>
      <c r="D44" s="34"/>
      <c r="E44" s="34"/>
      <c r="F44" s="34"/>
      <c r="G44" s="34"/>
      <c r="H44" s="34"/>
      <c r="I44" s="34"/>
      <c r="J44" s="34"/>
      <c r="K44" s="30" t="str">
        <f aca="false">IF(COUNT(C44:J44)&gt;0,AVERAGE(C44:J44),"")</f>
        <v/>
      </c>
      <c r="L44" s="31" t="str">
        <f aca="false">IF(COUNT(C44:J44)&gt;0,SUMPRODUCT((C44:J44&lt;&gt;"")*1*(C44:J44&lt;C$6:J$6)*1),"")</f>
        <v/>
      </c>
      <c r="M44" s="34"/>
      <c r="N44" s="35"/>
      <c r="O44" s="33"/>
    </row>
    <row r="45" customFormat="false" ht="15" hidden="false" customHeight="false" outlineLevel="0" collapsed="false">
      <c r="A45" s="28"/>
      <c r="B45" s="29"/>
      <c r="C45" s="29"/>
      <c r="D45" s="29"/>
      <c r="E45" s="29"/>
      <c r="F45" s="29"/>
      <c r="G45" s="29"/>
      <c r="H45" s="29"/>
      <c r="I45" s="29"/>
      <c r="J45" s="29"/>
      <c r="K45" s="30" t="str">
        <f aca="false">IF(COUNT(C45:J45)&gt;0,AVERAGE(C45:J45),"")</f>
        <v/>
      </c>
      <c r="L45" s="31" t="str">
        <f aca="false">IF(COUNT(C45:J45)&gt;0,SUMPRODUCT((C45:J45&lt;&gt;"")*1*(C45:J45&lt;C$6:J$6)*1),"")</f>
        <v/>
      </c>
      <c r="M45" s="29"/>
      <c r="N45" s="32"/>
      <c r="O45" s="28"/>
    </row>
    <row r="46" customFormat="false" ht="15" hidden="false" customHeight="false" outlineLevel="0" collapsed="false">
      <c r="A46" s="33"/>
      <c r="B46" s="34"/>
      <c r="C46" s="34"/>
      <c r="D46" s="34"/>
      <c r="E46" s="34"/>
      <c r="F46" s="34"/>
      <c r="G46" s="34"/>
      <c r="H46" s="34"/>
      <c r="I46" s="34"/>
      <c r="J46" s="34"/>
      <c r="K46" s="30" t="str">
        <f aca="false">IF(COUNT(C46:J46)&gt;0,AVERAGE(C46:J46),"")</f>
        <v/>
      </c>
      <c r="L46" s="31" t="str">
        <f aca="false">IF(COUNT(C46:J46)&gt;0,SUMPRODUCT((C46:J46&lt;&gt;"")*1*(C46:J46&lt;C$6:J$6)*1),"")</f>
        <v/>
      </c>
      <c r="M46" s="34"/>
      <c r="N46" s="35"/>
      <c r="O46" s="33"/>
    </row>
    <row r="47" customFormat="false" ht="15" hidden="false" customHeight="false" outlineLevel="0" collapsed="false">
      <c r="A47" s="28"/>
      <c r="B47" s="29"/>
      <c r="C47" s="29"/>
      <c r="D47" s="29"/>
      <c r="E47" s="29"/>
      <c r="F47" s="29"/>
      <c r="G47" s="29"/>
      <c r="H47" s="29"/>
      <c r="I47" s="29"/>
      <c r="J47" s="29"/>
      <c r="K47" s="30" t="str">
        <f aca="false">IF(COUNT(C47:J47)&gt;0,AVERAGE(C47:J47),"")</f>
        <v/>
      </c>
      <c r="L47" s="31" t="str">
        <f aca="false">IF(COUNT(C47:J47)&gt;0,SUMPRODUCT((C47:J47&lt;&gt;"")*1*(C47:J47&lt;C$6:J$6)*1),"")</f>
        <v/>
      </c>
      <c r="M47" s="29"/>
      <c r="N47" s="32"/>
      <c r="O47" s="28"/>
    </row>
    <row r="48" customFormat="false" ht="15" hidden="false" customHeight="false" outlineLevel="0" collapsed="false">
      <c r="A48" s="33"/>
      <c r="B48" s="34"/>
      <c r="C48" s="34"/>
      <c r="D48" s="34"/>
      <c r="E48" s="34"/>
      <c r="F48" s="34"/>
      <c r="G48" s="34"/>
      <c r="H48" s="34"/>
      <c r="I48" s="34"/>
      <c r="J48" s="34"/>
      <c r="K48" s="30" t="str">
        <f aca="false">IF(COUNT(C48:J48)&gt;0,AVERAGE(C48:J48),"")</f>
        <v/>
      </c>
      <c r="L48" s="31" t="str">
        <f aca="false">IF(COUNT(C48:J48)&gt;0,SUMPRODUCT((C48:J48&lt;&gt;"")*1*(C48:J48&lt;C$6:J$6)*1),"")</f>
        <v/>
      </c>
      <c r="M48" s="34"/>
      <c r="N48" s="35"/>
      <c r="O48" s="33"/>
    </row>
    <row r="49" customFormat="false" ht="15" hidden="false" customHeight="false" outlineLevel="0" collapsed="false">
      <c r="A49" s="28"/>
      <c r="B49" s="29"/>
      <c r="C49" s="29"/>
      <c r="D49" s="29"/>
      <c r="E49" s="29"/>
      <c r="F49" s="29"/>
      <c r="G49" s="29"/>
      <c r="H49" s="29"/>
      <c r="I49" s="29"/>
      <c r="J49" s="29"/>
      <c r="K49" s="30" t="str">
        <f aca="false">IF(COUNT(C49:J49)&gt;0,AVERAGE(C49:J49),"")</f>
        <v/>
      </c>
      <c r="L49" s="31" t="str">
        <f aca="false">IF(COUNT(C49:J49)&gt;0,SUMPRODUCT((C49:J49&lt;&gt;"")*1*(C49:J49&lt;C$6:J$6)*1),"")</f>
        <v/>
      </c>
      <c r="M49" s="29"/>
      <c r="N49" s="32"/>
      <c r="O49" s="28"/>
    </row>
    <row r="50" customFormat="false" ht="15" hidden="false" customHeight="false" outlineLevel="0" collapsed="false">
      <c r="A50" s="33"/>
      <c r="B50" s="34"/>
      <c r="C50" s="34"/>
      <c r="D50" s="34"/>
      <c r="E50" s="34"/>
      <c r="F50" s="34"/>
      <c r="G50" s="34"/>
      <c r="H50" s="34"/>
      <c r="I50" s="34"/>
      <c r="J50" s="34"/>
      <c r="K50" s="30" t="str">
        <f aca="false">IF(COUNT(C50:J50)&gt;0,AVERAGE(C50:J50),"")</f>
        <v/>
      </c>
      <c r="L50" s="31" t="str">
        <f aca="false">IF(COUNT(C50:J50)&gt;0,SUMPRODUCT((C50:J50&lt;&gt;"")*1*(C50:J50&lt;C$6:J$6)*1),"")</f>
        <v/>
      </c>
      <c r="M50" s="34"/>
      <c r="N50" s="35"/>
      <c r="O50" s="33"/>
    </row>
    <row r="51" customFormat="false" ht="15" hidden="false" customHeight="false" outlineLevel="0" collapsed="false">
      <c r="A51" s="28"/>
      <c r="B51" s="29"/>
      <c r="C51" s="29"/>
      <c r="D51" s="29"/>
      <c r="E51" s="29"/>
      <c r="F51" s="29"/>
      <c r="G51" s="29"/>
      <c r="H51" s="29"/>
      <c r="I51" s="29"/>
      <c r="J51" s="29"/>
      <c r="K51" s="30" t="str">
        <f aca="false">IF(COUNT(C51:J51)&gt;0,AVERAGE(C51:J51),"")</f>
        <v/>
      </c>
      <c r="L51" s="31" t="str">
        <f aca="false">IF(COUNT(C51:J51)&gt;0,SUMPRODUCT((C51:J51&lt;&gt;"")*1*(C51:J51&lt;C$6:J$6)*1),"")</f>
        <v/>
      </c>
      <c r="M51" s="29"/>
      <c r="N51" s="32"/>
      <c r="O51" s="28"/>
    </row>
    <row r="52" customFormat="false" ht="15" hidden="false" customHeight="false" outlineLevel="0" collapsed="false">
      <c r="A52" s="33"/>
      <c r="B52" s="34"/>
      <c r="C52" s="34"/>
      <c r="D52" s="34"/>
      <c r="E52" s="34"/>
      <c r="F52" s="34"/>
      <c r="G52" s="34"/>
      <c r="H52" s="34"/>
      <c r="I52" s="34"/>
      <c r="J52" s="34"/>
      <c r="K52" s="30" t="str">
        <f aca="false">IF(COUNT(C52:J52)&gt;0,AVERAGE(C52:J52),"")</f>
        <v/>
      </c>
      <c r="L52" s="31" t="str">
        <f aca="false">IF(COUNT(C52:J52)&gt;0,SUMPRODUCT((C52:J52&lt;&gt;"")*1*(C52:J52&lt;C$6:J$6)*1),"")</f>
        <v/>
      </c>
      <c r="M52" s="34"/>
      <c r="N52" s="35"/>
      <c r="O52" s="33"/>
    </row>
    <row r="53" customFormat="false" ht="15" hidden="false" customHeight="false" outlineLevel="0" collapsed="false">
      <c r="A53" s="28"/>
      <c r="B53" s="29"/>
      <c r="C53" s="29"/>
      <c r="D53" s="29"/>
      <c r="E53" s="29"/>
      <c r="F53" s="29"/>
      <c r="G53" s="29"/>
      <c r="H53" s="29"/>
      <c r="I53" s="29"/>
      <c r="J53" s="29"/>
      <c r="K53" s="30" t="str">
        <f aca="false">IF(COUNT(C53:J53)&gt;0,AVERAGE(C53:J53),"")</f>
        <v/>
      </c>
      <c r="L53" s="31" t="str">
        <f aca="false">IF(COUNT(C53:J53)&gt;0,SUMPRODUCT((C53:J53&lt;&gt;"")*1*(C53:J53&lt;C$6:J$6)*1),"")</f>
        <v/>
      </c>
      <c r="M53" s="29"/>
      <c r="N53" s="32"/>
      <c r="O53" s="28"/>
    </row>
    <row r="54" customFormat="false" ht="15" hidden="false" customHeight="false" outlineLevel="0" collapsed="false">
      <c r="A54" s="33"/>
      <c r="B54" s="34"/>
      <c r="C54" s="34"/>
      <c r="D54" s="34"/>
      <c r="E54" s="34"/>
      <c r="F54" s="34"/>
      <c r="G54" s="34"/>
      <c r="H54" s="34"/>
      <c r="I54" s="34"/>
      <c r="J54" s="34"/>
      <c r="K54" s="30" t="str">
        <f aca="false">IF(COUNT(C54:J54)&gt;0,AVERAGE(C54:J54),"")</f>
        <v/>
      </c>
      <c r="L54" s="31" t="str">
        <f aca="false">IF(COUNT(C54:J54)&gt;0,SUMPRODUCT((C54:J54&lt;&gt;"")*1*(C54:J54&lt;C$6:J$6)*1),"")</f>
        <v/>
      </c>
      <c r="M54" s="34"/>
      <c r="N54" s="35"/>
      <c r="O54" s="33"/>
    </row>
    <row r="55" customFormat="false" ht="15" hidden="false" customHeight="false" outlineLevel="0" collapsed="false">
      <c r="A55" s="28"/>
      <c r="B55" s="29"/>
      <c r="C55" s="29"/>
      <c r="D55" s="29"/>
      <c r="E55" s="29"/>
      <c r="F55" s="29"/>
      <c r="G55" s="29"/>
      <c r="H55" s="29"/>
      <c r="I55" s="29"/>
      <c r="J55" s="29"/>
      <c r="K55" s="30" t="str">
        <f aca="false">IF(COUNT(C55:J55)&gt;0,AVERAGE(C55:J55),"")</f>
        <v/>
      </c>
      <c r="L55" s="31" t="str">
        <f aca="false">IF(COUNT(C55:J55)&gt;0,SUMPRODUCT((C55:J55&lt;&gt;"")*1*(C55:J55&lt;C$6:J$6)*1),"")</f>
        <v/>
      </c>
      <c r="M55" s="29"/>
      <c r="N55" s="32"/>
      <c r="O55" s="28"/>
    </row>
    <row r="56" customFormat="false" ht="15" hidden="false" customHeight="false" outlineLevel="0" collapsed="false">
      <c r="A56" s="33"/>
      <c r="B56" s="34"/>
      <c r="C56" s="34"/>
      <c r="D56" s="34"/>
      <c r="E56" s="34"/>
      <c r="F56" s="34"/>
      <c r="G56" s="34"/>
      <c r="H56" s="34"/>
      <c r="I56" s="34"/>
      <c r="J56" s="34"/>
      <c r="K56" s="30" t="str">
        <f aca="false">IF(COUNT(C56:J56)&gt;0,AVERAGE(C56:J56),"")</f>
        <v/>
      </c>
      <c r="L56" s="31" t="str">
        <f aca="false">IF(COUNT(C56:J56)&gt;0,SUMPRODUCT((C56:J56&lt;&gt;"")*1*(C56:J56&lt;C$6:J$6)*1),"")</f>
        <v/>
      </c>
      <c r="M56" s="34"/>
      <c r="N56" s="35"/>
      <c r="O56" s="33"/>
    </row>
  </sheetData>
  <mergeCells count="4">
    <mergeCell ref="A1:O1"/>
    <mergeCell ref="A2:O2"/>
    <mergeCell ref="A4:O4"/>
    <mergeCell ref="A6:B6"/>
  </mergeCells>
  <conditionalFormatting sqref="C7:C56">
    <cfRule type="expression" priority="2" aboveAverage="0" equalAverage="0" bottom="0" percent="0" rank="0" text="" dxfId="0">
      <formula>AND(C7&lt;&gt;"",C7&gt;C$6)</formula>
    </cfRule>
    <cfRule type="expression" priority="3" aboveAverage="0" equalAverage="0" bottom="0" percent="0" rank="0" text="" dxfId="1">
      <formula>AND(C7&lt;&gt;"",C7=C$6)</formula>
    </cfRule>
    <cfRule type="expression" priority="4" aboveAverage="0" equalAverage="0" bottom="0" percent="0" rank="0" text="" dxfId="2">
      <formula>AND(C7&lt;&gt;"",C7&lt;C$6)</formula>
    </cfRule>
  </conditionalFormatting>
  <conditionalFormatting sqref="D7:D56">
    <cfRule type="expression" priority="5" aboveAverage="0" equalAverage="0" bottom="0" percent="0" rank="0" text="" dxfId="0">
      <formula>AND(D7&lt;&gt;"",D7&gt;D$6)</formula>
    </cfRule>
    <cfRule type="expression" priority="6" aboveAverage="0" equalAverage="0" bottom="0" percent="0" rank="0" text="" dxfId="1">
      <formula>AND(D7&lt;&gt;"",D7=D$6)</formula>
    </cfRule>
    <cfRule type="expression" priority="7" aboveAverage="0" equalAverage="0" bottom="0" percent="0" rank="0" text="" dxfId="2">
      <formula>AND(D7&lt;&gt;"",D7&lt;D$6)</formula>
    </cfRule>
  </conditionalFormatting>
  <conditionalFormatting sqref="E7:E56">
    <cfRule type="expression" priority="8" aboveAverage="0" equalAverage="0" bottom="0" percent="0" rank="0" text="" dxfId="0">
      <formula>AND(E7&lt;&gt;"",E7&gt;E$6)</formula>
    </cfRule>
    <cfRule type="expression" priority="9" aboveAverage="0" equalAverage="0" bottom="0" percent="0" rank="0" text="" dxfId="1">
      <formula>AND(E7&lt;&gt;"",E7=E$6)</formula>
    </cfRule>
    <cfRule type="expression" priority="10" aboveAverage="0" equalAverage="0" bottom="0" percent="0" rank="0" text="" dxfId="2">
      <formula>AND(E7&lt;&gt;"",E7&lt;E$6)</formula>
    </cfRule>
  </conditionalFormatting>
  <conditionalFormatting sqref="F7:F56">
    <cfRule type="expression" priority="11" aboveAverage="0" equalAverage="0" bottom="0" percent="0" rank="0" text="" dxfId="0">
      <formula>AND(F7&lt;&gt;"",F7&gt;F$6)</formula>
    </cfRule>
    <cfRule type="expression" priority="12" aboveAverage="0" equalAverage="0" bottom="0" percent="0" rank="0" text="" dxfId="1">
      <formula>AND(F7&lt;&gt;"",F7=F$6)</formula>
    </cfRule>
    <cfRule type="expression" priority="13" aboveAverage="0" equalAverage="0" bottom="0" percent="0" rank="0" text="" dxfId="2">
      <formula>AND(F7&lt;&gt;"",F7&lt;F$6)</formula>
    </cfRule>
  </conditionalFormatting>
  <conditionalFormatting sqref="G7:G56">
    <cfRule type="expression" priority="14" aboveAverage="0" equalAverage="0" bottom="0" percent="0" rank="0" text="" dxfId="0">
      <formula>AND(G7&lt;&gt;"",G7&gt;G$6)</formula>
    </cfRule>
    <cfRule type="expression" priority="15" aboveAverage="0" equalAverage="0" bottom="0" percent="0" rank="0" text="" dxfId="1">
      <formula>AND(G7&lt;&gt;"",G7=G$6)</formula>
    </cfRule>
    <cfRule type="expression" priority="16" aboveAverage="0" equalAverage="0" bottom="0" percent="0" rank="0" text="" dxfId="2">
      <formula>AND(G7&lt;&gt;"",G7&lt;G$6)</formula>
    </cfRule>
  </conditionalFormatting>
  <conditionalFormatting sqref="H7:H56">
    <cfRule type="expression" priority="17" aboveAverage="0" equalAverage="0" bottom="0" percent="0" rank="0" text="" dxfId="0">
      <formula>AND(H7&lt;&gt;"",H7&gt;H$6)</formula>
    </cfRule>
    <cfRule type="expression" priority="18" aboveAverage="0" equalAverage="0" bottom="0" percent="0" rank="0" text="" dxfId="1">
      <formula>AND(H7&lt;&gt;"",H7=H$6)</formula>
    </cfRule>
    <cfRule type="expression" priority="19" aboveAverage="0" equalAverage="0" bottom="0" percent="0" rank="0" text="" dxfId="2">
      <formula>AND(H7&lt;&gt;"",H7&lt;H$6)</formula>
    </cfRule>
  </conditionalFormatting>
  <conditionalFormatting sqref="I7:I56">
    <cfRule type="expression" priority="20" aboveAverage="0" equalAverage="0" bottom="0" percent="0" rank="0" text="" dxfId="0">
      <formula>AND(I7&lt;&gt;"",I7&gt;I$6)</formula>
    </cfRule>
    <cfRule type="expression" priority="21" aboveAverage="0" equalAverage="0" bottom="0" percent="0" rank="0" text="" dxfId="1">
      <formula>AND(I7&lt;&gt;"",I7=I$6)</formula>
    </cfRule>
    <cfRule type="expression" priority="22" aboveAverage="0" equalAverage="0" bottom="0" percent="0" rank="0" text="" dxfId="2">
      <formula>AND(I7&lt;&gt;"",I7&lt;I$6)</formula>
    </cfRule>
  </conditionalFormatting>
  <conditionalFormatting sqref="J7:J56">
    <cfRule type="expression" priority="23" aboveAverage="0" equalAverage="0" bottom="0" percent="0" rank="0" text="" dxfId="0">
      <formula>AND(J7&lt;&gt;"",J7&gt;J$6)</formula>
    </cfRule>
    <cfRule type="expression" priority="24" aboveAverage="0" equalAverage="0" bottom="0" percent="0" rank="0" text="" dxfId="1">
      <formula>AND(J7&lt;&gt;"",J7=J$6)</formula>
    </cfRule>
    <cfRule type="expression" priority="25" aboveAverage="0" equalAverage="0" bottom="0" percent="0" rank="0" text="" dxfId="2">
      <formula>AND(J7&lt;&gt;"",J7&lt;J$6)</formula>
    </cfRule>
  </conditionalFormatting>
  <conditionalFormatting sqref="L7:L56">
    <cfRule type="expression" priority="26" aboveAverage="0" equalAverage="0" bottom="0" percent="0" rank="0" text="" dxfId="0">
      <formula>AND(L7&lt;&gt;"",L7=0)</formula>
    </cfRule>
    <cfRule type="expression" priority="27" aboveAverage="0" equalAverage="0" bottom="0" percent="0" rank="0" text="" dxfId="1">
      <formula>AND(L7&lt;&gt;"",L7=1)</formula>
    </cfRule>
    <cfRule type="expression" priority="28" aboveAverage="0" equalAverage="0" bottom="0" percent="0" rank="0" text="" dxfId="2">
      <formula>AND(L7&lt;&gt;"",L7&gt;=2)</formula>
    </cfRule>
  </conditionalFormatting>
  <dataValidations count="1">
    <dataValidation allowBlank="true" error="Enter 1-4" errorStyle="stop" operator="between" prompt="1=Awareness, 2=Developing, 3=Competent, 4=Expert" showDropDown="false" showErrorMessage="false" showInputMessage="false" sqref="C7:J56" type="whole">
      <formula1>1</formula1>
      <formula2>4</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&amp;CCompetency Register</oddHeader>
    <oddFooter>&amp;Rebrora.com</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s>
  <sheetData>
    <row r="1" customFormat="false" ht="15" hidden="false" customHeight="false" outlineLevel="0" collapsed="false">
      <c r="A1" s="20" t="s">
        <v>70</v>
      </c>
    </row>
    <row r="2" customFormat="false" ht="15" hidden="false" customHeight="false" outlineLevel="0" collapsed="false">
      <c r="A2" s="20"/>
    </row>
    <row r="3" customFormat="false" ht="15" hidden="false" customHeight="false" outlineLevel="0" collapsed="false">
      <c r="A3" s="20" t="s">
        <v>71</v>
      </c>
    </row>
    <row r="4" customFormat="false" ht="15" hidden="false" customHeight="false" outlineLevel="0" collapsed="false">
      <c r="A4" s="20"/>
    </row>
    <row r="5" customFormat="false" ht="15" hidden="false" customHeight="false" outlineLevel="0" collapsed="false">
      <c r="A5" s="20" t="s">
        <v>72</v>
      </c>
    </row>
    <row r="6" customFormat="false" ht="15" hidden="false" customHeight="false" outlineLevel="0" collapsed="false">
      <c r="A6" s="20"/>
    </row>
    <row r="7" customFormat="false" ht="15" hidden="false" customHeight="false" outlineLevel="0" collapsed="false">
      <c r="A7" s="20" t="s">
        <v>73</v>
      </c>
    </row>
    <row r="8" customFormat="false" ht="15" hidden="false" customHeight="false" outlineLevel="0" collapsed="false">
      <c r="A8" s="20"/>
    </row>
    <row r="9" customFormat="false" ht="15" hidden="false" customHeight="false" outlineLevel="0" collapsed="false">
      <c r="A9" s="20" t="s">
        <v>74</v>
      </c>
    </row>
    <row r="10" customFormat="false" ht="15" hidden="false" customHeight="false" outlineLevel="0" collapsed="false">
      <c r="A10" s="20"/>
    </row>
    <row r="11" customFormat="false" ht="15" hidden="false" customHeight="false" outlineLevel="0" collapsed="false">
      <c r="A11" s="20" t="s">
        <v>75</v>
      </c>
    </row>
    <row r="12" customFormat="false" ht="15" hidden="false" customHeight="false" outlineLevel="0" collapsed="false">
      <c r="A12" s="20"/>
    </row>
    <row r="13" customFormat="false" ht="15" hidden="false" customHeight="false" outlineLevel="0" collapsed="false">
      <c r="A13" s="20" t="s">
        <v>76</v>
      </c>
    </row>
    <row r="14" customFormat="false" ht="15" hidden="false" customHeight="false" outlineLevel="0" collapsed="false">
      <c r="A14" s="20"/>
    </row>
    <row r="15" customFormat="false" ht="15" hidden="false" customHeight="false" outlineLevel="0" collapsed="false">
      <c r="A15" s="20" t="s">
        <v>77</v>
      </c>
    </row>
    <row r="16" customFormat="false" ht="15" hidden="false" customHeight="false" outlineLevel="0" collapsed="false">
      <c r="A16" s="20"/>
    </row>
    <row r="17" customFormat="false" ht="15" hidden="false" customHeight="false" outlineLevel="0" collapsed="false">
      <c r="A17" s="20" t="s">
        <v>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People / HR</cp:category>
  <dcterms:created xsi:type="dcterms:W3CDTF">2026-03-23T07:13:29Z</dcterms:created>
  <dc:creator>Ebrora Ltd</dc:creator>
  <dc:description>Assess and record competency levels across key skill areas with automatic gap analysis against required levels for UK construction site personnel.
Free professional construction management template from Ebrora Ltd. Visit ebrora.com for our full range of tools and templates.</dc:description>
  <cp:keywords>Ebrora construction competency register skills assessment gap analysis HR people</cp:keywords>
  <dc:language>en-US</dc:language>
  <cp:lastModifiedBy>Ebrora Ltd</cp:lastModifiedBy>
  <dcterms:modified xsi:type="dcterms:W3CDTF">2026-03-23T07:13:29Z</dcterms:modified>
  <cp:revision>0</cp:revision>
  <dc:subject>Assess and record competency levels across key skill areas with gap analysis for construction site personnel.</dc:subject>
  <dc:title>Competency Register</dc:title>
</cp:coreProperties>
</file>

<file path=docProps/custom.xml><?xml version="1.0" encoding="utf-8"?>
<Properties xmlns="http://schemas.openxmlformats.org/officeDocument/2006/custom-properties" xmlns:vt="http://schemas.openxmlformats.org/officeDocument/2006/docPropsVTypes"/>
</file>