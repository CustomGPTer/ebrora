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Safety Observation Track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Instructions!$A$1:$F$28</definedName>
    <definedName function="false" hidden="false" localSheetId="2" name="_xlnm.Print_Area" vbProcedure="false">'Safety Observation Tracker'!$A$1:$J$57</definedName>
    <definedName function="false" hidden="true" localSheetId="2" name="_xlnm._FilterDatabase" vbProcedure="false">'Safety Observation Tracker'!$A$7:$P$7</definedName>
    <definedName function="false" hidden="false" name="DataTable" vbProcedure="false">'Safety Observation Tracker'!$A$7:$P$507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<sst xmlns="http://schemas.openxmlformats.org/spreadsheetml/2006/main" count="162" uniqueCount="131">
  <si>
    <t xml:space="preserve">EBRORA</t>
  </si>
  <si>
    <t xml:space="preserve">ebrora.com</t>
  </si>
  <si>
    <t xml:space="preserve">Safety Observation Tracker</t>
  </si>
  <si>
    <t xml:space="preserve">Record positive and negative safety observations across site — track behaviours, conditions, actions, and build a proactive safety culture.</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</si>
  <si>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</si>
  <si>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</si>
  <si>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</si>
  <si>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</si>
  <si>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</si>
  <si>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“Safety Observation Tracker” tab. Each row records one safety observation — either positive or negative.</t>
  </si>
  <si>
    <t xml:space="preserve">2.</t>
  </si>
  <si>
    <t xml:space="preserve">Enter the date and the observer’s name (the person who made the observation, not necessarily the person observed).</t>
  </si>
  <si>
    <t xml:space="preserve">3.</t>
  </si>
  <si>
    <t xml:space="preserve">Select the Observation Type: “Positive” for good practice worth recognising, or “Negative” for unsafe behaviour or conditions needing action.</t>
  </si>
  <si>
    <t xml:space="preserve">4.</t>
  </si>
  <si>
    <t xml:space="preserve">Select the Category from the dropdown: Behaviour, Condition, Housekeeping, PPE, Plant, Access, Environmental, or Other. This helps you spot trends over time.</t>
  </si>
  <si>
    <t xml:space="preserve">5.</t>
  </si>
  <si>
    <t xml:space="preserve">Write a clear, specific description. For positives: “Operative stopped work to re-secure scaffold tie before continuing.” For negatives: “Two operatives working at height without harness lanyards clipped on.”</t>
  </si>
  <si>
    <t xml:space="preserve">6.</t>
  </si>
  <si>
    <t xml:space="preserve">Record the Location on site and, for negative observations, set a Priority (Low/Medium/High) and describe the Action Required.</t>
  </si>
  <si>
    <t xml:space="preserve">7.</t>
  </si>
  <si>
    <t xml:space="preserve">Set the Status: Open (action needed), Closed (resolved), or N/A (for positive observations where no action is needed).</t>
  </si>
  <si>
    <t xml:space="preserve">8.</t>
  </si>
  <si>
    <t xml:space="preserve">For additional detail, expand the optional columns: Person(s) Observed, Company, Immediate Action Taken, Assigned To, Due Date, and Notes.</t>
  </si>
  <si>
    <t xml:space="preserve">9.</t>
  </si>
  <si>
    <t xml:space="preserve">The dashboard at the top auto-calculates total observations, positive rate, category breakdown, open actions, and overdue count.</t>
  </si>
  <si>
    <t xml:space="preserve">Colour Key</t>
  </si>
  <si>
    <t xml:space="preserve">•</t>
  </si>
  <si>
    <t xml:space="preserve">Light teal cells = User input / editable fields.</t>
  </si>
  <si>
    <t xml:space="preserve">Dark navy headers = Column headers. Do not edit.</t>
  </si>
  <si>
    <t xml:space="preserve">Green in Observation Type = Positive observation.</t>
  </si>
  <si>
    <t xml:space="preserve">Red in Observation Type = Negative observation.</t>
  </si>
  <si>
    <t xml:space="preserve">Priority: Green = Low, Amber = Medium, Red = High.</t>
  </si>
  <si>
    <t xml:space="preserve">Status: Red = Open, Green = Closed.</t>
  </si>
  <si>
    <t xml:space="preserve">Red Due Date = Overdue action (past today, status still Open).</t>
  </si>
  <si>
    <t xml:space="preserve">Tips</t>
  </si>
  <si>
    <t xml:space="preserve">Aim for a positive-to-negative ratio of at least 3:1. A healthy reporting culture recognises good practice, not just problems.</t>
  </si>
  <si>
    <t xml:space="preserve">Encourage everyone on site to submit observations, not just supervisors. The more eyes looking, the safer the site.</t>
  </si>
  <si>
    <t xml:space="preserve">Review the tracker weekly at your safety meeting. Filter by Category to identify recurring themes and target toolbox talks accordingly.</t>
  </si>
  <si>
    <t xml:space="preserve">SAFETY OBSERVATION TRACKER</t>
  </si>
  <si>
    <t xml:space="preserve">Total Observations:</t>
  </si>
  <si>
    <t xml:space="preserve">Positive Rate:</t>
  </si>
  <si>
    <t xml:space="preserve">Positive:</t>
  </si>
  <si>
    <t xml:space="preserve">Negative:</t>
  </si>
  <si>
    <t xml:space="preserve">Behaviour:</t>
  </si>
  <si>
    <t xml:space="preserve">Condition:</t>
  </si>
  <si>
    <t xml:space="preserve">Housekeeping:</t>
  </si>
  <si>
    <t xml:space="preserve">PPE:</t>
  </si>
  <si>
    <t xml:space="preserve">Plant:</t>
  </si>
  <si>
    <t xml:space="preserve">Access:</t>
  </si>
  <si>
    <t xml:space="preserve">Open Actions:</t>
  </si>
  <si>
    <t xml:space="preserve">Overdue Actions:</t>
  </si>
  <si>
    <t xml:space="preserve">▸ Optional Fields — Click [+] to expand</t>
  </si>
  <si>
    <t xml:space="preserve">Obs No.</t>
  </si>
  <si>
    <t xml:space="preserve">Date</t>
  </si>
  <si>
    <t xml:space="preserve">Observer Name</t>
  </si>
  <si>
    <t xml:space="preserve">Observation Type</t>
  </si>
  <si>
    <t xml:space="preserve">Category</t>
  </si>
  <si>
    <t xml:space="preserve">Description</t>
  </si>
  <si>
    <t xml:space="preserve">Location</t>
  </si>
  <si>
    <t xml:space="preserve">Priority</t>
  </si>
  <si>
    <t xml:space="preserve">Action Required</t>
  </si>
  <si>
    <t xml:space="preserve">Status</t>
  </si>
  <si>
    <t xml:space="preserve">Person(s) Observed</t>
  </si>
  <si>
    <t xml:space="preserve">Company</t>
  </si>
  <si>
    <t xml:space="preserve">Immediate Action Taken</t>
  </si>
  <si>
    <t xml:space="preserve">Assigned To</t>
  </si>
  <si>
    <t xml:space="preserve">Due Date</t>
  </si>
  <si>
    <t xml:space="preserve">Notes</t>
  </si>
  <si>
    <t xml:space="preserve">M. Davies</t>
  </si>
  <si>
    <t xml:space="preserve">Positive</t>
  </si>
  <si>
    <t xml:space="preserve">Behaviour</t>
  </si>
  <si>
    <t xml:space="preserve">Operative stopped work and re-secured a loose scaffold tie clip before continuing brickwork. Proactive safety behaviour.</t>
  </si>
  <si>
    <t xml:space="preserve">Block A, North Elevation, Level 2</t>
  </si>
  <si>
    <t xml:space="preserve">N/A</t>
  </si>
  <si>
    <t xml:space="preserve">D. Evans</t>
  </si>
  <si>
    <t xml:space="preserve">ProSteel Ltd</t>
  </si>
  <si>
    <t xml:space="preserve">Recognised at morning briefing 17/03.</t>
  </si>
  <si>
    <t xml:space="preserve">PPE</t>
  </si>
  <si>
    <t xml:space="preserve">All operatives in piling area observed wearing correct PPE including ear defenders and safety goggles without being prompted.</t>
  </si>
  <si>
    <t xml:space="preserve">Block C, Piling Mat</t>
  </si>
  <si>
    <t xml:space="preserve">Piling team (6 operatives)</t>
  </si>
  <si>
    <t xml:space="preserve">Pileforce Ltd</t>
  </si>
  <si>
    <t xml:space="preserve">Good PPE discipline across the crew.</t>
  </si>
  <si>
    <t xml:space="preserve">R. Thomas</t>
  </si>
  <si>
    <t xml:space="preserve">Negative</t>
  </si>
  <si>
    <t xml:space="preserve">Housekeeping</t>
  </si>
  <si>
    <t xml:space="preserve">Timber offcuts and packaging waste left piled on main pedestrian walkway between Block A and welfare cabins. Trip hazard.</t>
  </si>
  <si>
    <t xml:space="preserve">Main walkway, between Block A and welfare</t>
  </si>
  <si>
    <t xml:space="preserve">Medium</t>
  </si>
  <si>
    <t xml:space="preserve">Clear waste immediately. Brief subcontractor on housekeeping standards.</t>
  </si>
  <si>
    <t xml:space="preserve">Closed</t>
  </si>
  <si>
    <t xml:space="preserve">Unknown — multiple trades in area</t>
  </si>
  <si>
    <t xml:space="preserve">Various</t>
  </si>
  <si>
    <t xml:space="preserve">Waste cleared within 30 minutes. Area re-inspected.</t>
  </si>
  <si>
    <t xml:space="preserve">Toolbox talk on housekeeping scheduled for 19/03.</t>
  </si>
  <si>
    <t xml:space="preserve">K. Price</t>
  </si>
  <si>
    <t xml:space="preserve">Access</t>
  </si>
  <si>
    <t xml:space="preserve">Ladder at Block B stairwell scaffold not secured at the top. Could slip sideways under load.</t>
  </si>
  <si>
    <t xml:space="preserve">Block B, Stairwell, SC-04 access ladder</t>
  </si>
  <si>
    <t xml:space="preserve">High</t>
  </si>
  <si>
    <t xml:space="preserve">Secure ladder with ratchet strap at top. Scaffold contractor to inspect all ladders site-wide.</t>
  </si>
  <si>
    <t xml:space="preserve">Open</t>
  </si>
  <si>
    <t xml:space="preserve">Apex Scaffolding Ltd</t>
  </si>
  <si>
    <t xml:space="preserve">Ladder temporarily removed from service until secured.</t>
  </si>
  <si>
    <t xml:space="preserve">Raised with scaffold contractor supervisor.</t>
  </si>
  <si>
    <t xml:space="preserve">Banksman maintained clear communication with crane operator throughout steel delivery lift. Hand signals and radio protocol followed correctly.</t>
  </si>
  <si>
    <t xml:space="preserve">Block C, Steel erection zone</t>
  </si>
  <si>
    <t xml:space="preserve">K. Price (banksman)</t>
  </si>
  <si>
    <t xml:space="preserve">Main contractor</t>
  </si>
  <si>
    <t xml:space="preserve">Good example following telehandler near miss investigation.</t>
  </si>
  <si>
    <t xml:space="preserve">Two operatives observed in compound area not wearing hi-vis jackets. Both reminded and issued replacement hi-vis from stores.</t>
  </si>
  <si>
    <t xml:space="preserve">Main compound, south side</t>
  </si>
  <si>
    <t xml:space="preserve">Low</t>
  </si>
  <si>
    <t xml:space="preserve">Verbal warning given. Stores to issue hi-vis to all new arrivals at induction.</t>
  </si>
  <si>
    <t xml:space="preserve">2x agency operatives</t>
  </si>
  <si>
    <t xml:space="preserve">TempStaff Ltd</t>
  </si>
  <si>
    <t xml:space="preserve">Hi-vis issued on the spot. Operatives complied immediately.</t>
  </si>
  <si>
    <t xml:space="preserve">Linked to induction process review.</t>
  </si>
  <si>
    <t xml:space="preserve">Condition</t>
  </si>
  <si>
    <t xml:space="preserve">Fire escape route from Block A basement clear, well-lit, and clearly signed. Emergency lighting tested and working.</t>
  </si>
  <si>
    <t xml:space="preserve">Block A, Basement emergency exit</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</si>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</sst>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006100"/>
      <name val="Calibri"/>
      <family val="0"/>
      <charset val="1"/>
    </font>
    <font>
      <b val="true"/>
      <sz val="10"/>
      <color rgb="FF9C0006"/>
      <name val="Calibri"/>
      <family val="0"/>
      <charset val="1"/>
    </font>
    <font>
      <b val="true"/>
      <sz val="10"/>
      <color rgb="FFFF0000"/>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true" applyAlignment="true" applyProtection="false">
      <alignment horizontal="center" vertical="center" textRotation="0" wrapText="true" indent="0" shrinkToFit="false"/>
      <protection locked="true" hidden="false"/>
    </xf>
    <xf numFmtId="164" fontId="19" fillId="2"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7"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15" hidden="false" customHeight="true" outlineLevel="0" collapsed="false">
      <c r="A8" s="10" t="s">
        <v>14</v>
      </c>
      <c r="B8" s="11" t="s">
        <v>15</v>
      </c>
      <c r="C8" s="11"/>
      <c r="D8" s="11"/>
      <c r="E8" s="11"/>
      <c r="F8" s="11"/>
      <c r="G8" s="2"/>
      <c r="H8" s="2"/>
    </row>
    <row r="9" customFormat="false" ht="23.85" hidden="false" customHeight="true" outlineLevel="0" collapsed="false">
      <c r="A9" s="10" t="s">
        <v>16</v>
      </c>
      <c r="B9" s="11" t="s">
        <v>17</v>
      </c>
      <c r="C9" s="11"/>
      <c r="D9" s="11"/>
      <c r="E9" s="11"/>
      <c r="F9" s="11"/>
      <c r="G9" s="2"/>
      <c r="H9" s="2"/>
    </row>
    <row r="10" customFormat="false" ht="15" hidden="false" customHeight="true" outlineLevel="0" collapsed="false">
      <c r="A10" s="10" t="s">
        <v>18</v>
      </c>
      <c r="B10" s="11" t="s">
        <v>19</v>
      </c>
      <c r="C10" s="11"/>
      <c r="D10" s="11"/>
      <c r="E10" s="11"/>
      <c r="F10" s="11"/>
      <c r="G10" s="2"/>
      <c r="H10" s="2"/>
    </row>
    <row r="11" customFormat="false" ht="15" hidden="false" customHeight="true" outlineLevel="0" collapsed="false">
      <c r="A11" s="10" t="s">
        <v>20</v>
      </c>
      <c r="B11" s="11" t="s">
        <v>21</v>
      </c>
      <c r="C11" s="11"/>
      <c r="D11" s="11"/>
      <c r="E11" s="11"/>
      <c r="F11" s="11"/>
      <c r="G11" s="2"/>
      <c r="H11" s="2"/>
    </row>
    <row r="12" customFormat="false" ht="15" hidden="false" customHeight="true" outlineLevel="0" collapsed="false">
      <c r="A12" s="10" t="s">
        <v>22</v>
      </c>
      <c r="B12" s="11" t="s">
        <v>23</v>
      </c>
      <c r="C12" s="11"/>
      <c r="D12" s="11"/>
      <c r="E12" s="11"/>
      <c r="F12" s="11"/>
      <c r="G12" s="2"/>
      <c r="H12" s="2"/>
    </row>
    <row r="13" customFormat="false" ht="15" hidden="false" customHeight="true" outlineLevel="0" collapsed="false">
      <c r="A13" s="10" t="s">
        <v>24</v>
      </c>
      <c r="B13" s="11" t="s">
        <v>25</v>
      </c>
      <c r="C13" s="11"/>
      <c r="D13" s="11"/>
      <c r="E13" s="11"/>
      <c r="F13" s="11"/>
      <c r="G13" s="2"/>
      <c r="H13" s="2"/>
    </row>
    <row r="14" customFormat="false" ht="15" hidden="false" customHeight="false" outlineLevel="0" collapsed="false">
      <c r="A14" s="2"/>
      <c r="B14" s="2"/>
      <c r="C14" s="2"/>
      <c r="D14" s="2"/>
      <c r="E14" s="2"/>
      <c r="F14" s="2"/>
      <c r="G14" s="2"/>
      <c r="H14" s="2"/>
    </row>
    <row r="15" customFormat="false" ht="15" hidden="false" customHeight="false" outlineLevel="0" collapsed="false">
      <c r="A15" s="9" t="s">
        <v>26</v>
      </c>
      <c r="B15" s="2"/>
      <c r="C15" s="2"/>
      <c r="D15" s="2"/>
      <c r="E15" s="2"/>
      <c r="F15" s="2"/>
      <c r="G15" s="2"/>
      <c r="H15" s="2"/>
    </row>
    <row r="16" customFormat="false" ht="15" hidden="false" customHeight="true" outlineLevel="0" collapsed="false">
      <c r="A16" s="10" t="s">
        <v>27</v>
      </c>
      <c r="B16" s="11" t="s">
        <v>28</v>
      </c>
      <c r="C16" s="11"/>
      <c r="D16" s="11"/>
      <c r="E16" s="11"/>
      <c r="F16" s="11"/>
      <c r="G16" s="2"/>
      <c r="H16" s="2"/>
    </row>
    <row r="17" customFormat="false" ht="15" hidden="false" customHeight="true" outlineLevel="0" collapsed="false">
      <c r="A17" s="10" t="s">
        <v>27</v>
      </c>
      <c r="B17" s="11" t="s">
        <v>29</v>
      </c>
      <c r="C17" s="11"/>
      <c r="D17" s="11"/>
      <c r="E17" s="11"/>
      <c r="F17" s="11"/>
      <c r="G17" s="2"/>
      <c r="H17" s="2"/>
    </row>
    <row r="18" customFormat="false" ht="15" hidden="false" customHeight="true" outlineLevel="0" collapsed="false">
      <c r="A18" s="10" t="s">
        <v>27</v>
      </c>
      <c r="B18" s="11" t="s">
        <v>30</v>
      </c>
      <c r="C18" s="11"/>
      <c r="D18" s="11"/>
      <c r="E18" s="11"/>
      <c r="F18" s="11"/>
      <c r="G18" s="2"/>
      <c r="H18" s="2"/>
    </row>
    <row r="19" customFormat="false" ht="15" hidden="false" customHeight="true" outlineLevel="0" collapsed="false">
      <c r="A19" s="10" t="s">
        <v>27</v>
      </c>
      <c r="B19" s="11" t="s">
        <v>31</v>
      </c>
      <c r="C19" s="11"/>
      <c r="D19" s="11"/>
      <c r="E19" s="11"/>
      <c r="F19" s="11"/>
      <c r="G19" s="2"/>
      <c r="H19" s="2"/>
    </row>
    <row r="20" customFormat="false" ht="15" hidden="false" customHeight="true" outlineLevel="0" collapsed="false">
      <c r="A20" s="10" t="s">
        <v>27</v>
      </c>
      <c r="B20" s="11" t="s">
        <v>32</v>
      </c>
      <c r="C20" s="11"/>
      <c r="D20" s="11"/>
      <c r="E20" s="11"/>
      <c r="F20" s="11"/>
      <c r="G20" s="2"/>
      <c r="H20" s="2"/>
    </row>
    <row r="21" customFormat="false" ht="15" hidden="false" customHeight="true" outlineLevel="0" collapsed="false">
      <c r="A21" s="10" t="s">
        <v>27</v>
      </c>
      <c r="B21" s="11" t="s">
        <v>33</v>
      </c>
      <c r="C21" s="11"/>
      <c r="D21" s="11"/>
      <c r="E21" s="11"/>
      <c r="F21" s="11"/>
      <c r="G21" s="2"/>
      <c r="H21" s="2"/>
    </row>
    <row r="22" customFormat="false" ht="15" hidden="false" customHeight="true" outlineLevel="0" collapsed="false">
      <c r="A22" s="10" t="s">
        <v>27</v>
      </c>
      <c r="B22" s="11" t="s">
        <v>34</v>
      </c>
      <c r="C22" s="11"/>
      <c r="D22" s="11"/>
      <c r="E22" s="11"/>
      <c r="F22" s="11"/>
      <c r="G22" s="2"/>
      <c r="H22" s="2"/>
    </row>
    <row r="23" customFormat="false" ht="15" hidden="false" customHeight="false" outlineLevel="0" collapsed="false">
      <c r="A23" s="2"/>
      <c r="B23" s="2"/>
      <c r="C23" s="2"/>
      <c r="D23" s="2"/>
      <c r="E23" s="2"/>
      <c r="F23" s="2"/>
      <c r="G23" s="2"/>
      <c r="H23" s="2"/>
    </row>
    <row r="24" customFormat="false" ht="15" hidden="false" customHeight="false" outlineLevel="0" collapsed="false">
      <c r="A24" s="9" t="s">
        <v>35</v>
      </c>
      <c r="B24" s="2"/>
      <c r="C24" s="2"/>
      <c r="D24" s="2"/>
      <c r="E24" s="2"/>
      <c r="F24" s="2"/>
      <c r="G24" s="2"/>
      <c r="H24" s="2"/>
    </row>
    <row r="25" customFormat="false" ht="15" hidden="false" customHeight="true" outlineLevel="0" collapsed="false">
      <c r="A25" s="10" t="s">
        <v>27</v>
      </c>
      <c r="B25" s="11" t="s">
        <v>36</v>
      </c>
      <c r="C25" s="11"/>
      <c r="D25" s="11"/>
      <c r="E25" s="11"/>
      <c r="F25" s="11"/>
      <c r="G25" s="2"/>
      <c r="H25" s="2"/>
    </row>
    <row r="26" customFormat="false" ht="15" hidden="false" customHeight="true" outlineLevel="0" collapsed="false">
      <c r="A26" s="10" t="s">
        <v>27</v>
      </c>
      <c r="B26" s="11" t="s">
        <v>37</v>
      </c>
      <c r="C26" s="11"/>
      <c r="D26" s="11"/>
      <c r="E26" s="11"/>
      <c r="F26" s="11"/>
      <c r="G26" s="2"/>
      <c r="H26" s="2"/>
    </row>
    <row r="27" customFormat="false" ht="15" hidden="false" customHeight="true" outlineLevel="0" collapsed="false">
      <c r="A27" s="10" t="s">
        <v>27</v>
      </c>
      <c r="B27" s="11" t="s">
        <v>38</v>
      </c>
      <c r="C27" s="11"/>
      <c r="D27" s="11"/>
      <c r="E27" s="11"/>
      <c r="F27" s="11"/>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row r="32" customFormat="false" ht="15" hidden="false" customHeight="false" outlineLevel="0" collapsed="false">
      <c r="A32" s="2"/>
      <c r="B32" s="2"/>
      <c r="C32" s="2"/>
      <c r="D32" s="2"/>
      <c r="E32" s="2"/>
      <c r="F32" s="2"/>
      <c r="G32" s="2"/>
      <c r="H32" s="2"/>
    </row>
    <row r="33" customFormat="false" ht="15" hidden="false" customHeight="false" outlineLevel="0" collapsed="false">
      <c r="A33" s="2"/>
      <c r="B33" s="2"/>
      <c r="C33" s="2"/>
      <c r="D33" s="2"/>
      <c r="E33" s="2"/>
      <c r="F33" s="2"/>
      <c r="G33" s="2"/>
      <c r="H33" s="2"/>
    </row>
  </sheetData>
  <mergeCells count="20">
    <mergeCell ref="A1:F1"/>
    <mergeCell ref="B5:F5"/>
    <mergeCell ref="B6:F6"/>
    <mergeCell ref="B7:F7"/>
    <mergeCell ref="B8:F8"/>
    <mergeCell ref="B9:F9"/>
    <mergeCell ref="B10:F10"/>
    <mergeCell ref="B11:F11"/>
    <mergeCell ref="B12:F12"/>
    <mergeCell ref="B13:F13"/>
    <mergeCell ref="B16:F16"/>
    <mergeCell ref="B17:F17"/>
    <mergeCell ref="B18:F18"/>
    <mergeCell ref="B19:F19"/>
    <mergeCell ref="B20:F20"/>
    <mergeCell ref="B21:F21"/>
    <mergeCell ref="B22:F22"/>
    <mergeCell ref="B25:F25"/>
    <mergeCell ref="B26:F26"/>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3"/>
    <col collapsed="false" customWidth="true" hidden="false" outlineLevel="0" max="3" min="3" style="0" width="20"/>
    <col collapsed="false" customWidth="true" hidden="false" outlineLevel="0" max="4" min="4" style="0" width="16"/>
    <col collapsed="false" customWidth="true" hidden="false" outlineLevel="0" max="5" min="5" style="0" width="15"/>
    <col collapsed="false" customWidth="true" hidden="false" outlineLevel="0" max="6" min="6" style="0" width="42"/>
    <col collapsed="false" customWidth="true" hidden="false" outlineLevel="0" max="7" min="7" style="0" width="22"/>
    <col collapsed="false" customWidth="true" hidden="false" outlineLevel="0" max="8" min="8" style="0" width="12"/>
    <col collapsed="false" customWidth="true" hidden="false" outlineLevel="0" max="9" min="9" style="0" width="32"/>
    <col collapsed="false" customWidth="true" hidden="false" outlineLevel="0" max="10" min="10" style="0" width="12"/>
    <col collapsed="false" customWidth="true" hidden="true" outlineLevel="1" max="16" min="11" style="0" width="20"/>
  </cols>
  <sheetData>
    <row r="1" customFormat="false" ht="17.35" hidden="false" customHeight="false" outlineLevel="0" collapsed="false">
      <c r="A1" s="12" t="s">
        <v>39</v>
      </c>
      <c r="B1" s="12"/>
      <c r="C1" s="12"/>
      <c r="E1" s="13" t="s">
        <v>40</v>
      </c>
      <c r="F1" s="14" t="n">
        <f aca="false">COUNTA(B8:B507)</f>
        <v>7</v>
      </c>
      <c r="H1" s="13" t="s">
        <v>41</v>
      </c>
      <c r="I1" s="15" t="n">
        <f aca="false">IFERROR(COUNTIF(D8:D507,"Positive")/COUNTA(D8:D507),"")</f>
        <v>0.571428571428571</v>
      </c>
    </row>
    <row r="2" customFormat="false" ht="15" hidden="false" customHeight="false" outlineLevel="0" collapsed="false">
      <c r="E2" s="16" t="s">
        <v>42</v>
      </c>
      <c r="F2" s="14" t="n">
        <f aca="false">COUNTIF(D8:D507,"Positive")</f>
        <v>4</v>
      </c>
      <c r="H2" s="17" t="s">
        <v>43</v>
      </c>
      <c r="I2" s="14" t="n">
        <f aca="false">COUNTIF(D8:D507,"Negative")</f>
        <v>3</v>
      </c>
    </row>
    <row r="3" customFormat="false" ht="15" hidden="false" customHeight="false" outlineLevel="0" collapsed="false">
      <c r="E3" s="13" t="s">
        <v>44</v>
      </c>
      <c r="F3" s="14" t="n">
        <f aca="false">COUNTIF(E8:E507,"Behaviour")</f>
        <v>2</v>
      </c>
      <c r="G3" s="13" t="s">
        <v>45</v>
      </c>
      <c r="H3" s="14" t="n">
        <f aca="false">COUNTIF(E8:E507,"Condition")</f>
        <v>1</v>
      </c>
      <c r="I3" s="13" t="s">
        <v>46</v>
      </c>
      <c r="J3" s="14" t="n">
        <f aca="false">COUNTIF(E8:E507,"Housekeeping")</f>
        <v>1</v>
      </c>
    </row>
    <row r="4" customFormat="false" ht="15" hidden="false" customHeight="false" outlineLevel="0" collapsed="false">
      <c r="E4" s="13" t="s">
        <v>47</v>
      </c>
      <c r="F4" s="14" t="n">
        <f aca="false">COUNTIF(E8:E507,"PPE")</f>
        <v>2</v>
      </c>
      <c r="G4" s="13" t="s">
        <v>48</v>
      </c>
      <c r="H4" s="14" t="n">
        <f aca="false">COUNTIF(E8:E507,"Plant")</f>
        <v>0</v>
      </c>
      <c r="I4" s="13" t="s">
        <v>49</v>
      </c>
      <c r="J4" s="14" t="n">
        <f aca="false">COUNTIF(E8:E507,"Access")</f>
        <v>1</v>
      </c>
    </row>
    <row r="5" customFormat="false" ht="15" hidden="false" customHeight="false" outlineLevel="0" collapsed="false">
      <c r="E5" s="13" t="s">
        <v>50</v>
      </c>
      <c r="F5" s="18" t="n">
        <f aca="false">COUNTIF(J8:J507,"Open")</f>
        <v>1</v>
      </c>
      <c r="H5" s="13" t="s">
        <v>51</v>
      </c>
      <c r="I5" s="18" t="n">
        <f aca="true">COUNTIFS(O8:O507,"&lt;"&amp;TODAY(),J8:J507,"Open",O8:O507,"&lt;&gt;")</f>
        <v>1</v>
      </c>
    </row>
    <row r="6" customFormat="false" ht="22.35" hidden="false" customHeight="true" outlineLevel="0" collapsed="false">
      <c r="K6" s="19" t="s">
        <v>52</v>
      </c>
      <c r="L6" s="19"/>
      <c r="M6" s="19"/>
      <c r="N6" s="19"/>
      <c r="O6" s="19"/>
      <c r="P6" s="19"/>
    </row>
    <row r="7" customFormat="false" ht="28.35" hidden="false" customHeight="false" outlineLevel="0" collapsed="false">
      <c r="A7" s="20" t="s">
        <v>53</v>
      </c>
      <c r="B7" s="20" t="s">
        <v>54</v>
      </c>
      <c r="C7" s="20" t="s">
        <v>55</v>
      </c>
      <c r="D7" s="20" t="s">
        <v>56</v>
      </c>
      <c r="E7" s="20" t="s">
        <v>57</v>
      </c>
      <c r="F7" s="20" t="s">
        <v>58</v>
      </c>
      <c r="G7" s="20" t="s">
        <v>59</v>
      </c>
      <c r="H7" s="20" t="s">
        <v>60</v>
      </c>
      <c r="I7" s="20" t="s">
        <v>61</v>
      </c>
      <c r="J7" s="20" t="s">
        <v>62</v>
      </c>
      <c r="K7" s="20" t="s">
        <v>63</v>
      </c>
      <c r="L7" s="20" t="s">
        <v>64</v>
      </c>
      <c r="M7" s="20" t="s">
        <v>65</v>
      </c>
      <c r="N7" s="20" t="s">
        <v>66</v>
      </c>
      <c r="O7" s="20" t="s">
        <v>67</v>
      </c>
      <c r="P7" s="20" t="s">
        <v>68</v>
      </c>
    </row>
    <row r="8" customFormat="false" ht="30" hidden="false" customHeight="true" outlineLevel="0" collapsed="false">
      <c r="A8" s="21" t="n">
        <f aca="false">IF(B8="","",ROW()-7)</f>
        <v>1</v>
      </c>
      <c r="B8" s="22" t="n">
        <v>46097</v>
      </c>
      <c r="C8" s="23" t="s">
        <v>69</v>
      </c>
      <c r="D8" s="24" t="s">
        <v>70</v>
      </c>
      <c r="E8" s="24" t="s">
        <v>71</v>
      </c>
      <c r="F8" s="23" t="s">
        <v>72</v>
      </c>
      <c r="G8" s="23" t="s">
        <v>73</v>
      </c>
      <c r="H8" s="24"/>
      <c r="I8" s="23"/>
      <c r="J8" s="24" t="s">
        <v>74</v>
      </c>
      <c r="K8" s="23" t="s">
        <v>75</v>
      </c>
      <c r="L8" s="23" t="s">
        <v>76</v>
      </c>
      <c r="M8" s="23" t="s">
        <v>74</v>
      </c>
      <c r="N8" s="23"/>
      <c r="O8" s="22"/>
      <c r="P8" s="23" t="s">
        <v>77</v>
      </c>
    </row>
    <row r="9" customFormat="false" ht="30" hidden="false" customHeight="true" outlineLevel="0" collapsed="false">
      <c r="A9" s="21" t="n">
        <f aca="false">IF(B9="","",ROW()-7)</f>
        <v>2</v>
      </c>
      <c r="B9" s="22" t="n">
        <v>46097</v>
      </c>
      <c r="C9" s="23" t="s">
        <v>69</v>
      </c>
      <c r="D9" s="24" t="s">
        <v>70</v>
      </c>
      <c r="E9" s="24" t="s">
        <v>78</v>
      </c>
      <c r="F9" s="23" t="s">
        <v>79</v>
      </c>
      <c r="G9" s="23" t="s">
        <v>80</v>
      </c>
      <c r="H9" s="24"/>
      <c r="I9" s="23"/>
      <c r="J9" s="24" t="s">
        <v>74</v>
      </c>
      <c r="K9" s="23" t="s">
        <v>81</v>
      </c>
      <c r="L9" s="23" t="s">
        <v>82</v>
      </c>
      <c r="M9" s="23" t="s">
        <v>74</v>
      </c>
      <c r="N9" s="23"/>
      <c r="O9" s="22"/>
      <c r="P9" s="23" t="s">
        <v>83</v>
      </c>
    </row>
    <row r="10" customFormat="false" ht="30" hidden="false" customHeight="true" outlineLevel="0" collapsed="false">
      <c r="A10" s="21" t="n">
        <f aca="false">IF(B10="","",ROW()-7)</f>
        <v>3</v>
      </c>
      <c r="B10" s="22" t="n">
        <v>46098</v>
      </c>
      <c r="C10" s="23" t="s">
        <v>84</v>
      </c>
      <c r="D10" s="24" t="s">
        <v>85</v>
      </c>
      <c r="E10" s="24" t="s">
        <v>86</v>
      </c>
      <c r="F10" s="23" t="s">
        <v>87</v>
      </c>
      <c r="G10" s="23" t="s">
        <v>88</v>
      </c>
      <c r="H10" s="24" t="s">
        <v>89</v>
      </c>
      <c r="I10" s="23" t="s">
        <v>90</v>
      </c>
      <c r="J10" s="24" t="s">
        <v>91</v>
      </c>
      <c r="K10" s="23" t="s">
        <v>92</v>
      </c>
      <c r="L10" s="23" t="s">
        <v>93</v>
      </c>
      <c r="M10" s="23" t="s">
        <v>94</v>
      </c>
      <c r="N10" s="23" t="s">
        <v>84</v>
      </c>
      <c r="O10" s="22" t="n">
        <v>46098</v>
      </c>
      <c r="P10" s="23" t="s">
        <v>95</v>
      </c>
    </row>
    <row r="11" customFormat="false" ht="30" hidden="false" customHeight="true" outlineLevel="0" collapsed="false">
      <c r="A11" s="21" t="n">
        <f aca="false">IF(B11="","",ROW()-7)</f>
        <v>4</v>
      </c>
      <c r="B11" s="22" t="n">
        <v>46099</v>
      </c>
      <c r="C11" s="23" t="s">
        <v>96</v>
      </c>
      <c r="D11" s="24" t="s">
        <v>85</v>
      </c>
      <c r="E11" s="24" t="s">
        <v>97</v>
      </c>
      <c r="F11" s="23" t="s">
        <v>98</v>
      </c>
      <c r="G11" s="23" t="s">
        <v>99</v>
      </c>
      <c r="H11" s="24" t="s">
        <v>100</v>
      </c>
      <c r="I11" s="23" t="s">
        <v>101</v>
      </c>
      <c r="J11" s="24" t="s">
        <v>102</v>
      </c>
      <c r="K11" s="23"/>
      <c r="L11" s="23" t="s">
        <v>103</v>
      </c>
      <c r="M11" s="23" t="s">
        <v>104</v>
      </c>
      <c r="N11" s="23" t="s">
        <v>96</v>
      </c>
      <c r="O11" s="22" t="n">
        <v>46100</v>
      </c>
      <c r="P11" s="23" t="s">
        <v>105</v>
      </c>
    </row>
    <row r="12" customFormat="false" ht="30" hidden="false" customHeight="true" outlineLevel="0" collapsed="false">
      <c r="A12" s="21" t="n">
        <f aca="false">IF(B12="","",ROW()-7)</f>
        <v>5</v>
      </c>
      <c r="B12" s="22" t="n">
        <v>46100</v>
      </c>
      <c r="C12" s="23" t="s">
        <v>69</v>
      </c>
      <c r="D12" s="24" t="s">
        <v>70</v>
      </c>
      <c r="E12" s="24" t="s">
        <v>71</v>
      </c>
      <c r="F12" s="23" t="s">
        <v>106</v>
      </c>
      <c r="G12" s="23" t="s">
        <v>107</v>
      </c>
      <c r="H12" s="24"/>
      <c r="I12" s="23"/>
      <c r="J12" s="24" t="s">
        <v>74</v>
      </c>
      <c r="K12" s="23" t="s">
        <v>108</v>
      </c>
      <c r="L12" s="23" t="s">
        <v>109</v>
      </c>
      <c r="M12" s="23" t="s">
        <v>74</v>
      </c>
      <c r="N12" s="23"/>
      <c r="O12" s="22"/>
      <c r="P12" s="23" t="s">
        <v>110</v>
      </c>
    </row>
    <row r="13" customFormat="false" ht="30" hidden="false" customHeight="true" outlineLevel="0" collapsed="false">
      <c r="A13" s="21" t="n">
        <f aca="false">IF(B13="","",ROW()-7)</f>
        <v>6</v>
      </c>
      <c r="B13" s="22" t="n">
        <v>46101</v>
      </c>
      <c r="C13" s="23" t="s">
        <v>84</v>
      </c>
      <c r="D13" s="24" t="s">
        <v>85</v>
      </c>
      <c r="E13" s="24" t="s">
        <v>78</v>
      </c>
      <c r="F13" s="23" t="s">
        <v>111</v>
      </c>
      <c r="G13" s="23" t="s">
        <v>112</v>
      </c>
      <c r="H13" s="24" t="s">
        <v>113</v>
      </c>
      <c r="I13" s="23" t="s">
        <v>114</v>
      </c>
      <c r="J13" s="24" t="s">
        <v>91</v>
      </c>
      <c r="K13" s="23" t="s">
        <v>115</v>
      </c>
      <c r="L13" s="23" t="s">
        <v>116</v>
      </c>
      <c r="M13" s="23" t="s">
        <v>117</v>
      </c>
      <c r="N13" s="23" t="s">
        <v>84</v>
      </c>
      <c r="O13" s="22" t="n">
        <v>46101</v>
      </c>
      <c r="P13" s="23" t="s">
        <v>118</v>
      </c>
    </row>
    <row r="14" customFormat="false" ht="30" hidden="false" customHeight="true" outlineLevel="0" collapsed="false">
      <c r="A14" s="21" t="n">
        <f aca="false">IF(B14="","",ROW()-7)</f>
        <v>7</v>
      </c>
      <c r="B14" s="22" t="n">
        <v>46101</v>
      </c>
      <c r="C14" s="23" t="s">
        <v>69</v>
      </c>
      <c r="D14" s="24" t="s">
        <v>70</v>
      </c>
      <c r="E14" s="24" t="s">
        <v>119</v>
      </c>
      <c r="F14" s="23" t="s">
        <v>120</v>
      </c>
      <c r="G14" s="23" t="s">
        <v>121</v>
      </c>
      <c r="H14" s="24"/>
      <c r="I14" s="23"/>
      <c r="J14" s="24" t="s">
        <v>74</v>
      </c>
      <c r="K14" s="23"/>
      <c r="L14" s="23"/>
      <c r="M14" s="23" t="s">
        <v>74</v>
      </c>
      <c r="N14" s="23"/>
      <c r="O14" s="22"/>
      <c r="P14" s="23"/>
    </row>
    <row r="15" customFormat="false" ht="30" hidden="false" customHeight="true" outlineLevel="0" collapsed="false">
      <c r="A15" s="21" t="str">
        <f aca="false">IF(B15="","",ROW()-7)</f>
        <v/>
      </c>
      <c r="B15" s="22"/>
      <c r="C15" s="23"/>
      <c r="D15" s="24"/>
      <c r="E15" s="24"/>
      <c r="F15" s="23"/>
      <c r="G15" s="23"/>
      <c r="H15" s="24"/>
      <c r="I15" s="23"/>
      <c r="J15" s="24"/>
      <c r="K15" s="23"/>
      <c r="L15" s="23"/>
      <c r="M15" s="23"/>
      <c r="N15" s="23"/>
      <c r="O15" s="22"/>
      <c r="P15" s="23"/>
    </row>
    <row r="16" customFormat="false" ht="30" hidden="false" customHeight="true" outlineLevel="0" collapsed="false">
      <c r="A16" s="21" t="str">
        <f aca="false">IF(B16="","",ROW()-7)</f>
        <v/>
      </c>
      <c r="B16" s="22"/>
      <c r="C16" s="23"/>
      <c r="D16" s="24"/>
      <c r="E16" s="24"/>
      <c r="F16" s="23"/>
      <c r="G16" s="23"/>
      <c r="H16" s="24"/>
      <c r="I16" s="23"/>
      <c r="J16" s="24"/>
      <c r="K16" s="23"/>
      <c r="L16" s="23"/>
      <c r="M16" s="23"/>
      <c r="N16" s="23"/>
      <c r="O16" s="22"/>
      <c r="P16" s="23"/>
    </row>
    <row r="17" customFormat="false" ht="30" hidden="false" customHeight="true" outlineLevel="0" collapsed="false">
      <c r="A17" s="21" t="str">
        <f aca="false">IF(B17="","",ROW()-7)</f>
        <v/>
      </c>
      <c r="B17" s="22"/>
      <c r="C17" s="23"/>
      <c r="D17" s="24"/>
      <c r="E17" s="24"/>
      <c r="F17" s="23"/>
      <c r="G17" s="23"/>
      <c r="H17" s="24"/>
      <c r="I17" s="23"/>
      <c r="J17" s="24"/>
      <c r="K17" s="23"/>
      <c r="L17" s="23"/>
      <c r="M17" s="23"/>
      <c r="N17" s="23"/>
      <c r="O17" s="22"/>
      <c r="P17" s="23"/>
    </row>
    <row r="18" customFormat="false" ht="30" hidden="false" customHeight="true" outlineLevel="0" collapsed="false">
      <c r="A18" s="21" t="str">
        <f aca="false">IF(B18="","",ROW()-7)</f>
        <v/>
      </c>
      <c r="B18" s="22"/>
      <c r="C18" s="23"/>
      <c r="D18" s="24"/>
      <c r="E18" s="24"/>
      <c r="F18" s="23"/>
      <c r="G18" s="23"/>
      <c r="H18" s="24"/>
      <c r="I18" s="23"/>
      <c r="J18" s="24"/>
      <c r="K18" s="23"/>
      <c r="L18" s="23"/>
      <c r="M18" s="23"/>
      <c r="N18" s="23"/>
      <c r="O18" s="22"/>
      <c r="P18" s="23"/>
    </row>
    <row r="19" customFormat="false" ht="30" hidden="false" customHeight="true" outlineLevel="0" collapsed="false">
      <c r="A19" s="21" t="str">
        <f aca="false">IF(B19="","",ROW()-7)</f>
        <v/>
      </c>
      <c r="B19" s="22"/>
      <c r="C19" s="23"/>
      <c r="D19" s="24"/>
      <c r="E19" s="24"/>
      <c r="F19" s="23"/>
      <c r="G19" s="23"/>
      <c r="H19" s="24"/>
      <c r="I19" s="23"/>
      <c r="J19" s="24"/>
      <c r="K19" s="23"/>
      <c r="L19" s="23"/>
      <c r="M19" s="23"/>
      <c r="N19" s="23"/>
      <c r="O19" s="22"/>
      <c r="P19" s="23"/>
    </row>
    <row r="20" customFormat="false" ht="30" hidden="false" customHeight="true" outlineLevel="0" collapsed="false">
      <c r="A20" s="21" t="str">
        <f aca="false">IF(B20="","",ROW()-7)</f>
        <v/>
      </c>
      <c r="B20" s="22"/>
      <c r="C20" s="23"/>
      <c r="D20" s="24"/>
      <c r="E20" s="24"/>
      <c r="F20" s="23"/>
      <c r="G20" s="23"/>
      <c r="H20" s="24"/>
      <c r="I20" s="23"/>
      <c r="J20" s="24"/>
      <c r="K20" s="23"/>
      <c r="L20" s="23"/>
      <c r="M20" s="23"/>
      <c r="N20" s="23"/>
      <c r="O20" s="22"/>
      <c r="P20" s="23"/>
    </row>
    <row r="21" customFormat="false" ht="30" hidden="false" customHeight="true" outlineLevel="0" collapsed="false">
      <c r="A21" s="21" t="str">
        <f aca="false">IF(B21="","",ROW()-7)</f>
        <v/>
      </c>
      <c r="B21" s="22"/>
      <c r="C21" s="23"/>
      <c r="D21" s="24"/>
      <c r="E21" s="24"/>
      <c r="F21" s="23"/>
      <c r="G21" s="23"/>
      <c r="H21" s="24"/>
      <c r="I21" s="23"/>
      <c r="J21" s="24"/>
      <c r="K21" s="23"/>
      <c r="L21" s="23"/>
      <c r="M21" s="23"/>
      <c r="N21" s="23"/>
      <c r="O21" s="22"/>
      <c r="P21" s="23"/>
    </row>
    <row r="22" customFormat="false" ht="30" hidden="false" customHeight="true" outlineLevel="0" collapsed="false">
      <c r="A22" s="21" t="str">
        <f aca="false">IF(B22="","",ROW()-7)</f>
        <v/>
      </c>
      <c r="B22" s="22"/>
      <c r="C22" s="23"/>
      <c r="D22" s="24"/>
      <c r="E22" s="24"/>
      <c r="F22" s="23"/>
      <c r="G22" s="23"/>
      <c r="H22" s="24"/>
      <c r="I22" s="23"/>
      <c r="J22" s="24"/>
      <c r="K22" s="23"/>
      <c r="L22" s="23"/>
      <c r="M22" s="23"/>
      <c r="N22" s="23"/>
      <c r="O22" s="22"/>
      <c r="P22" s="23"/>
    </row>
    <row r="23" customFormat="false" ht="30" hidden="false" customHeight="true" outlineLevel="0" collapsed="false">
      <c r="A23" s="21" t="str">
        <f aca="false">IF(B23="","",ROW()-7)</f>
        <v/>
      </c>
      <c r="B23" s="22"/>
      <c r="C23" s="23"/>
      <c r="D23" s="24"/>
      <c r="E23" s="24"/>
      <c r="F23" s="23"/>
      <c r="G23" s="23"/>
      <c r="H23" s="24"/>
      <c r="I23" s="23"/>
      <c r="J23" s="24"/>
      <c r="K23" s="23"/>
      <c r="L23" s="23"/>
      <c r="M23" s="23"/>
      <c r="N23" s="23"/>
      <c r="O23" s="22"/>
      <c r="P23" s="23"/>
    </row>
    <row r="24" customFormat="false" ht="30" hidden="false" customHeight="true" outlineLevel="0" collapsed="false">
      <c r="A24" s="21" t="str">
        <f aca="false">IF(B24="","",ROW()-7)</f>
        <v/>
      </c>
      <c r="B24" s="22"/>
      <c r="C24" s="23"/>
      <c r="D24" s="24"/>
      <c r="E24" s="24"/>
      <c r="F24" s="23"/>
      <c r="G24" s="23"/>
      <c r="H24" s="24"/>
      <c r="I24" s="23"/>
      <c r="J24" s="24"/>
      <c r="K24" s="23"/>
      <c r="L24" s="23"/>
      <c r="M24" s="23"/>
      <c r="N24" s="23"/>
      <c r="O24" s="22"/>
      <c r="P24" s="23"/>
    </row>
    <row r="25" customFormat="false" ht="30" hidden="false" customHeight="true" outlineLevel="0" collapsed="false">
      <c r="A25" s="21" t="str">
        <f aca="false">IF(B25="","",ROW()-7)</f>
        <v/>
      </c>
      <c r="B25" s="22"/>
      <c r="C25" s="23"/>
      <c r="D25" s="24"/>
      <c r="E25" s="24"/>
      <c r="F25" s="23"/>
      <c r="G25" s="23"/>
      <c r="H25" s="24"/>
      <c r="I25" s="23"/>
      <c r="J25" s="24"/>
      <c r="K25" s="23"/>
      <c r="L25" s="23"/>
      <c r="M25" s="23"/>
      <c r="N25" s="23"/>
      <c r="O25" s="22"/>
      <c r="P25" s="23"/>
    </row>
    <row r="26" customFormat="false" ht="30" hidden="false" customHeight="true" outlineLevel="0" collapsed="false">
      <c r="A26" s="21" t="str">
        <f aca="false">IF(B26="","",ROW()-7)</f>
        <v/>
      </c>
      <c r="B26" s="22"/>
      <c r="C26" s="23"/>
      <c r="D26" s="24"/>
      <c r="E26" s="24"/>
      <c r="F26" s="23"/>
      <c r="G26" s="23"/>
      <c r="H26" s="24"/>
      <c r="I26" s="23"/>
      <c r="J26" s="24"/>
      <c r="K26" s="23"/>
      <c r="L26" s="23"/>
      <c r="M26" s="23"/>
      <c r="N26" s="23"/>
      <c r="O26" s="22"/>
      <c r="P26" s="23"/>
    </row>
    <row r="27" customFormat="false" ht="30" hidden="false" customHeight="true" outlineLevel="0" collapsed="false">
      <c r="A27" s="21" t="str">
        <f aca="false">IF(B27="","",ROW()-7)</f>
        <v/>
      </c>
      <c r="B27" s="22"/>
      <c r="C27" s="23"/>
      <c r="D27" s="24"/>
      <c r="E27" s="24"/>
      <c r="F27" s="23"/>
      <c r="G27" s="23"/>
      <c r="H27" s="24"/>
      <c r="I27" s="23"/>
      <c r="J27" s="24"/>
      <c r="K27" s="23"/>
      <c r="L27" s="23"/>
      <c r="M27" s="23"/>
      <c r="N27" s="23"/>
      <c r="O27" s="22"/>
      <c r="P27" s="23"/>
    </row>
    <row r="28" customFormat="false" ht="30" hidden="false" customHeight="true" outlineLevel="0" collapsed="false">
      <c r="A28" s="21" t="str">
        <f aca="false">IF(B28="","",ROW()-7)</f>
        <v/>
      </c>
      <c r="B28" s="22"/>
      <c r="C28" s="23"/>
      <c r="D28" s="24"/>
      <c r="E28" s="24"/>
      <c r="F28" s="23"/>
      <c r="G28" s="23"/>
      <c r="H28" s="24"/>
      <c r="I28" s="23"/>
      <c r="J28" s="24"/>
      <c r="K28" s="23"/>
      <c r="L28" s="23"/>
      <c r="M28" s="23"/>
      <c r="N28" s="23"/>
      <c r="O28" s="22"/>
      <c r="P28" s="23"/>
    </row>
    <row r="29" customFormat="false" ht="30" hidden="false" customHeight="true" outlineLevel="0" collapsed="false">
      <c r="A29" s="21" t="str">
        <f aca="false">IF(B29="","",ROW()-7)</f>
        <v/>
      </c>
      <c r="B29" s="22"/>
      <c r="C29" s="23"/>
      <c r="D29" s="24"/>
      <c r="E29" s="24"/>
      <c r="F29" s="23"/>
      <c r="G29" s="23"/>
      <c r="H29" s="24"/>
      <c r="I29" s="23"/>
      <c r="J29" s="24"/>
      <c r="K29" s="23"/>
      <c r="L29" s="23"/>
      <c r="M29" s="23"/>
      <c r="N29" s="23"/>
      <c r="O29" s="22"/>
      <c r="P29" s="23"/>
    </row>
    <row r="30" customFormat="false" ht="30" hidden="false" customHeight="true" outlineLevel="0" collapsed="false">
      <c r="A30" s="21" t="str">
        <f aca="false">IF(B30="","",ROW()-7)</f>
        <v/>
      </c>
      <c r="B30" s="22"/>
      <c r="C30" s="23"/>
      <c r="D30" s="24"/>
      <c r="E30" s="24"/>
      <c r="F30" s="23"/>
      <c r="G30" s="23"/>
      <c r="H30" s="24"/>
      <c r="I30" s="23"/>
      <c r="J30" s="24"/>
      <c r="K30" s="23"/>
      <c r="L30" s="23"/>
      <c r="M30" s="23"/>
      <c r="N30" s="23"/>
      <c r="O30" s="22"/>
      <c r="P30" s="23"/>
    </row>
    <row r="31" customFormat="false" ht="30" hidden="false" customHeight="true" outlineLevel="0" collapsed="false">
      <c r="A31" s="21" t="str">
        <f aca="false">IF(B31="","",ROW()-7)</f>
        <v/>
      </c>
      <c r="B31" s="22"/>
      <c r="C31" s="23"/>
      <c r="D31" s="24"/>
      <c r="E31" s="24"/>
      <c r="F31" s="23"/>
      <c r="G31" s="23"/>
      <c r="H31" s="24"/>
      <c r="I31" s="23"/>
      <c r="J31" s="24"/>
      <c r="K31" s="23"/>
      <c r="L31" s="23"/>
      <c r="M31" s="23"/>
      <c r="N31" s="23"/>
      <c r="O31" s="22"/>
      <c r="P31" s="23"/>
    </row>
    <row r="32" customFormat="false" ht="30" hidden="false" customHeight="true" outlineLevel="0" collapsed="false">
      <c r="A32" s="21" t="str">
        <f aca="false">IF(B32="","",ROW()-7)</f>
        <v/>
      </c>
      <c r="B32" s="22"/>
      <c r="C32" s="23"/>
      <c r="D32" s="24"/>
      <c r="E32" s="24"/>
      <c r="F32" s="23"/>
      <c r="G32" s="23"/>
      <c r="H32" s="24"/>
      <c r="I32" s="23"/>
      <c r="J32" s="24"/>
      <c r="K32" s="23"/>
      <c r="L32" s="23"/>
      <c r="M32" s="23"/>
      <c r="N32" s="23"/>
      <c r="O32" s="22"/>
      <c r="P32" s="23"/>
    </row>
    <row r="33" customFormat="false" ht="30" hidden="false" customHeight="true" outlineLevel="0" collapsed="false">
      <c r="A33" s="21" t="str">
        <f aca="false">IF(B33="","",ROW()-7)</f>
        <v/>
      </c>
      <c r="B33" s="22"/>
      <c r="C33" s="23"/>
      <c r="D33" s="24"/>
      <c r="E33" s="24"/>
      <c r="F33" s="23"/>
      <c r="G33" s="23"/>
      <c r="H33" s="24"/>
      <c r="I33" s="23"/>
      <c r="J33" s="24"/>
      <c r="K33" s="23"/>
      <c r="L33" s="23"/>
      <c r="M33" s="23"/>
      <c r="N33" s="23"/>
      <c r="O33" s="22"/>
      <c r="P33" s="23"/>
    </row>
    <row r="34" customFormat="false" ht="30" hidden="false" customHeight="true" outlineLevel="0" collapsed="false">
      <c r="A34" s="21" t="str">
        <f aca="false">IF(B34="","",ROW()-7)</f>
        <v/>
      </c>
      <c r="B34" s="22"/>
      <c r="C34" s="23"/>
      <c r="D34" s="24"/>
      <c r="E34" s="24"/>
      <c r="F34" s="23"/>
      <c r="G34" s="23"/>
      <c r="H34" s="24"/>
      <c r="I34" s="23"/>
      <c r="J34" s="24"/>
      <c r="K34" s="23"/>
      <c r="L34" s="23"/>
      <c r="M34" s="23"/>
      <c r="N34" s="23"/>
      <c r="O34" s="22"/>
      <c r="P34" s="23"/>
    </row>
    <row r="35" customFormat="false" ht="30" hidden="false" customHeight="true" outlineLevel="0" collapsed="false">
      <c r="A35" s="21" t="str">
        <f aca="false">IF(B35="","",ROW()-7)</f>
        <v/>
      </c>
      <c r="B35" s="22"/>
      <c r="C35" s="23"/>
      <c r="D35" s="24"/>
      <c r="E35" s="24"/>
      <c r="F35" s="23"/>
      <c r="G35" s="23"/>
      <c r="H35" s="24"/>
      <c r="I35" s="23"/>
      <c r="J35" s="24"/>
      <c r="K35" s="23"/>
      <c r="L35" s="23"/>
      <c r="M35" s="23"/>
      <c r="N35" s="23"/>
      <c r="O35" s="22"/>
      <c r="P35" s="23"/>
    </row>
    <row r="36" customFormat="false" ht="30" hidden="false" customHeight="true" outlineLevel="0" collapsed="false">
      <c r="A36" s="21" t="str">
        <f aca="false">IF(B36="","",ROW()-7)</f>
        <v/>
      </c>
      <c r="B36" s="22"/>
      <c r="C36" s="23"/>
      <c r="D36" s="24"/>
      <c r="E36" s="24"/>
      <c r="F36" s="23"/>
      <c r="G36" s="23"/>
      <c r="H36" s="24"/>
      <c r="I36" s="23"/>
      <c r="J36" s="24"/>
      <c r="K36" s="23"/>
      <c r="L36" s="23"/>
      <c r="M36" s="23"/>
      <c r="N36" s="23"/>
      <c r="O36" s="22"/>
      <c r="P36" s="23"/>
    </row>
    <row r="37" customFormat="false" ht="30" hidden="false" customHeight="true" outlineLevel="0" collapsed="false">
      <c r="A37" s="21" t="str">
        <f aca="false">IF(B37="","",ROW()-7)</f>
        <v/>
      </c>
      <c r="B37" s="22"/>
      <c r="C37" s="23"/>
      <c r="D37" s="24"/>
      <c r="E37" s="24"/>
      <c r="F37" s="23"/>
      <c r="G37" s="23"/>
      <c r="H37" s="24"/>
      <c r="I37" s="23"/>
      <c r="J37" s="24"/>
      <c r="K37" s="23"/>
      <c r="L37" s="23"/>
      <c r="M37" s="23"/>
      <c r="N37" s="23"/>
      <c r="O37" s="22"/>
      <c r="P37" s="23"/>
    </row>
    <row r="38" customFormat="false" ht="30" hidden="false" customHeight="true" outlineLevel="0" collapsed="false">
      <c r="A38" s="21" t="str">
        <f aca="false">IF(B38="","",ROW()-7)</f>
        <v/>
      </c>
      <c r="B38" s="22"/>
      <c r="C38" s="23"/>
      <c r="D38" s="24"/>
      <c r="E38" s="24"/>
      <c r="F38" s="23"/>
      <c r="G38" s="23"/>
      <c r="H38" s="24"/>
      <c r="I38" s="23"/>
      <c r="J38" s="24"/>
      <c r="K38" s="23"/>
      <c r="L38" s="23"/>
      <c r="M38" s="23"/>
      <c r="N38" s="23"/>
      <c r="O38" s="22"/>
      <c r="P38" s="23"/>
    </row>
    <row r="39" customFormat="false" ht="30" hidden="false" customHeight="true" outlineLevel="0" collapsed="false">
      <c r="A39" s="21" t="str">
        <f aca="false">IF(B39="","",ROW()-7)</f>
        <v/>
      </c>
      <c r="B39" s="22"/>
      <c r="C39" s="23"/>
      <c r="D39" s="24"/>
      <c r="E39" s="24"/>
      <c r="F39" s="23"/>
      <c r="G39" s="23"/>
      <c r="H39" s="24"/>
      <c r="I39" s="23"/>
      <c r="J39" s="24"/>
      <c r="K39" s="23"/>
      <c r="L39" s="23"/>
      <c r="M39" s="23"/>
      <c r="N39" s="23"/>
      <c r="O39" s="22"/>
      <c r="P39" s="23"/>
    </row>
    <row r="40" customFormat="false" ht="30" hidden="false" customHeight="true" outlineLevel="0" collapsed="false">
      <c r="A40" s="21" t="str">
        <f aca="false">IF(B40="","",ROW()-7)</f>
        <v/>
      </c>
      <c r="B40" s="22"/>
      <c r="C40" s="23"/>
      <c r="D40" s="24"/>
      <c r="E40" s="24"/>
      <c r="F40" s="23"/>
      <c r="G40" s="23"/>
      <c r="H40" s="24"/>
      <c r="I40" s="23"/>
      <c r="J40" s="24"/>
      <c r="K40" s="23"/>
      <c r="L40" s="23"/>
      <c r="M40" s="23"/>
      <c r="N40" s="23"/>
      <c r="O40" s="22"/>
      <c r="P40" s="23"/>
    </row>
    <row r="41" customFormat="false" ht="30" hidden="false" customHeight="true" outlineLevel="0" collapsed="false">
      <c r="A41" s="21" t="str">
        <f aca="false">IF(B41="","",ROW()-7)</f>
        <v/>
      </c>
      <c r="B41" s="22"/>
      <c r="C41" s="23"/>
      <c r="D41" s="24"/>
      <c r="E41" s="24"/>
      <c r="F41" s="23"/>
      <c r="G41" s="23"/>
      <c r="H41" s="24"/>
      <c r="I41" s="23"/>
      <c r="J41" s="24"/>
      <c r="K41" s="23"/>
      <c r="L41" s="23"/>
      <c r="M41" s="23"/>
      <c r="N41" s="23"/>
      <c r="O41" s="22"/>
      <c r="P41" s="23"/>
    </row>
    <row r="42" customFormat="false" ht="30" hidden="false" customHeight="true" outlineLevel="0" collapsed="false">
      <c r="A42" s="21" t="str">
        <f aca="false">IF(B42="","",ROW()-7)</f>
        <v/>
      </c>
      <c r="B42" s="22"/>
      <c r="C42" s="23"/>
      <c r="D42" s="24"/>
      <c r="E42" s="24"/>
      <c r="F42" s="23"/>
      <c r="G42" s="23"/>
      <c r="H42" s="24"/>
      <c r="I42" s="23"/>
      <c r="J42" s="24"/>
      <c r="K42" s="23"/>
      <c r="L42" s="23"/>
      <c r="M42" s="23"/>
      <c r="N42" s="23"/>
      <c r="O42" s="22"/>
      <c r="P42" s="23"/>
    </row>
    <row r="43" customFormat="false" ht="30" hidden="false" customHeight="true" outlineLevel="0" collapsed="false">
      <c r="A43" s="21" t="str">
        <f aca="false">IF(B43="","",ROW()-7)</f>
        <v/>
      </c>
      <c r="B43" s="22"/>
      <c r="C43" s="23"/>
      <c r="D43" s="24"/>
      <c r="E43" s="24"/>
      <c r="F43" s="23"/>
      <c r="G43" s="23"/>
      <c r="H43" s="24"/>
      <c r="I43" s="23"/>
      <c r="J43" s="24"/>
      <c r="K43" s="23"/>
      <c r="L43" s="23"/>
      <c r="M43" s="23"/>
      <c r="N43" s="23"/>
      <c r="O43" s="22"/>
      <c r="P43" s="23"/>
    </row>
    <row r="44" customFormat="false" ht="30" hidden="false" customHeight="true" outlineLevel="0" collapsed="false">
      <c r="A44" s="21" t="str">
        <f aca="false">IF(B44="","",ROW()-7)</f>
        <v/>
      </c>
      <c r="B44" s="22"/>
      <c r="C44" s="23"/>
      <c r="D44" s="24"/>
      <c r="E44" s="24"/>
      <c r="F44" s="23"/>
      <c r="G44" s="23"/>
      <c r="H44" s="24"/>
      <c r="I44" s="23"/>
      <c r="J44" s="24"/>
      <c r="K44" s="23"/>
      <c r="L44" s="23"/>
      <c r="M44" s="23"/>
      <c r="N44" s="23"/>
      <c r="O44" s="22"/>
      <c r="P44" s="23"/>
    </row>
    <row r="45" customFormat="false" ht="30" hidden="false" customHeight="true" outlineLevel="0" collapsed="false">
      <c r="A45" s="21" t="str">
        <f aca="false">IF(B45="","",ROW()-7)</f>
        <v/>
      </c>
      <c r="B45" s="22"/>
      <c r="C45" s="23"/>
      <c r="D45" s="24"/>
      <c r="E45" s="24"/>
      <c r="F45" s="23"/>
      <c r="G45" s="23"/>
      <c r="H45" s="24"/>
      <c r="I45" s="23"/>
      <c r="J45" s="24"/>
      <c r="K45" s="23"/>
      <c r="L45" s="23"/>
      <c r="M45" s="23"/>
      <c r="N45" s="23"/>
      <c r="O45" s="22"/>
      <c r="P45" s="23"/>
    </row>
    <row r="46" customFormat="false" ht="30" hidden="false" customHeight="true" outlineLevel="0" collapsed="false">
      <c r="A46" s="21" t="str">
        <f aca="false">IF(B46="","",ROW()-7)</f>
        <v/>
      </c>
      <c r="B46" s="22"/>
      <c r="C46" s="23"/>
      <c r="D46" s="24"/>
      <c r="E46" s="24"/>
      <c r="F46" s="23"/>
      <c r="G46" s="23"/>
      <c r="H46" s="24"/>
      <c r="I46" s="23"/>
      <c r="J46" s="24"/>
      <c r="K46" s="23"/>
      <c r="L46" s="23"/>
      <c r="M46" s="23"/>
      <c r="N46" s="23"/>
      <c r="O46" s="22"/>
      <c r="P46" s="23"/>
    </row>
    <row r="47" customFormat="false" ht="30" hidden="false" customHeight="true" outlineLevel="0" collapsed="false">
      <c r="A47" s="21" t="str">
        <f aca="false">IF(B47="","",ROW()-7)</f>
        <v/>
      </c>
      <c r="B47" s="22"/>
      <c r="C47" s="23"/>
      <c r="D47" s="24"/>
      <c r="E47" s="24"/>
      <c r="F47" s="23"/>
      <c r="G47" s="23"/>
      <c r="H47" s="24"/>
      <c r="I47" s="23"/>
      <c r="J47" s="24"/>
      <c r="K47" s="23"/>
      <c r="L47" s="23"/>
      <c r="M47" s="23"/>
      <c r="N47" s="23"/>
      <c r="O47" s="22"/>
      <c r="P47" s="23"/>
    </row>
    <row r="48" customFormat="false" ht="30" hidden="false" customHeight="true" outlineLevel="0" collapsed="false">
      <c r="A48" s="21" t="str">
        <f aca="false">IF(B48="","",ROW()-7)</f>
        <v/>
      </c>
      <c r="B48" s="22"/>
      <c r="C48" s="23"/>
      <c r="D48" s="24"/>
      <c r="E48" s="24"/>
      <c r="F48" s="23"/>
      <c r="G48" s="23"/>
      <c r="H48" s="24"/>
      <c r="I48" s="23"/>
      <c r="J48" s="24"/>
      <c r="K48" s="23"/>
      <c r="L48" s="23"/>
      <c r="M48" s="23"/>
      <c r="N48" s="23"/>
      <c r="O48" s="22"/>
      <c r="P48" s="23"/>
    </row>
    <row r="49" customFormat="false" ht="30" hidden="false" customHeight="true" outlineLevel="0" collapsed="false">
      <c r="A49" s="21" t="str">
        <f aca="false">IF(B49="","",ROW()-7)</f>
        <v/>
      </c>
      <c r="B49" s="22"/>
      <c r="C49" s="23"/>
      <c r="D49" s="24"/>
      <c r="E49" s="24"/>
      <c r="F49" s="23"/>
      <c r="G49" s="23"/>
      <c r="H49" s="24"/>
      <c r="I49" s="23"/>
      <c r="J49" s="24"/>
      <c r="K49" s="23"/>
      <c r="L49" s="23"/>
      <c r="M49" s="23"/>
      <c r="N49" s="23"/>
      <c r="O49" s="22"/>
      <c r="P49" s="23"/>
    </row>
    <row r="50" customFormat="false" ht="30" hidden="false" customHeight="true" outlineLevel="0" collapsed="false">
      <c r="A50" s="21" t="str">
        <f aca="false">IF(B50="","",ROW()-7)</f>
        <v/>
      </c>
      <c r="B50" s="22"/>
      <c r="C50" s="23"/>
      <c r="D50" s="24"/>
      <c r="E50" s="24"/>
      <c r="F50" s="23"/>
      <c r="G50" s="23"/>
      <c r="H50" s="24"/>
      <c r="I50" s="23"/>
      <c r="J50" s="24"/>
      <c r="K50" s="23"/>
      <c r="L50" s="23"/>
      <c r="M50" s="23"/>
      <c r="N50" s="23"/>
      <c r="O50" s="22"/>
      <c r="P50" s="23"/>
    </row>
    <row r="51" customFormat="false" ht="30" hidden="false" customHeight="true" outlineLevel="0" collapsed="false">
      <c r="A51" s="21" t="str">
        <f aca="false">IF(B51="","",ROW()-7)</f>
        <v/>
      </c>
      <c r="B51" s="22"/>
      <c r="C51" s="23"/>
      <c r="D51" s="24"/>
      <c r="E51" s="24"/>
      <c r="F51" s="23"/>
      <c r="G51" s="23"/>
      <c r="H51" s="24"/>
      <c r="I51" s="23"/>
      <c r="J51" s="24"/>
      <c r="K51" s="23"/>
      <c r="L51" s="23"/>
      <c r="M51" s="23"/>
      <c r="N51" s="23"/>
      <c r="O51" s="22"/>
      <c r="P51" s="23"/>
    </row>
    <row r="52" customFormat="false" ht="30" hidden="false" customHeight="true" outlineLevel="0" collapsed="false">
      <c r="A52" s="21" t="str">
        <f aca="false">IF(B52="","",ROW()-7)</f>
        <v/>
      </c>
      <c r="B52" s="22"/>
      <c r="C52" s="23"/>
      <c r="D52" s="24"/>
      <c r="E52" s="24"/>
      <c r="F52" s="23"/>
      <c r="G52" s="23"/>
      <c r="H52" s="24"/>
      <c r="I52" s="23"/>
      <c r="J52" s="24"/>
      <c r="K52" s="23"/>
      <c r="L52" s="23"/>
      <c r="M52" s="23"/>
      <c r="N52" s="23"/>
      <c r="O52" s="22"/>
      <c r="P52" s="23"/>
    </row>
    <row r="53" customFormat="false" ht="30" hidden="false" customHeight="true" outlineLevel="0" collapsed="false">
      <c r="A53" s="21" t="str">
        <f aca="false">IF(B53="","",ROW()-7)</f>
        <v/>
      </c>
      <c r="B53" s="22"/>
      <c r="C53" s="23"/>
      <c r="D53" s="24"/>
      <c r="E53" s="24"/>
      <c r="F53" s="23"/>
      <c r="G53" s="23"/>
      <c r="H53" s="24"/>
      <c r="I53" s="23"/>
      <c r="J53" s="24"/>
      <c r="K53" s="23"/>
      <c r="L53" s="23"/>
      <c r="M53" s="23"/>
      <c r="N53" s="23"/>
      <c r="O53" s="22"/>
      <c r="P53" s="23"/>
    </row>
    <row r="54" customFormat="false" ht="30" hidden="false" customHeight="true" outlineLevel="0" collapsed="false">
      <c r="A54" s="21" t="str">
        <f aca="false">IF(B54="","",ROW()-7)</f>
        <v/>
      </c>
      <c r="B54" s="22"/>
      <c r="C54" s="23"/>
      <c r="D54" s="24"/>
      <c r="E54" s="24"/>
      <c r="F54" s="23"/>
      <c r="G54" s="23"/>
      <c r="H54" s="24"/>
      <c r="I54" s="23"/>
      <c r="J54" s="24"/>
      <c r="K54" s="23"/>
      <c r="L54" s="23"/>
      <c r="M54" s="23"/>
      <c r="N54" s="23"/>
      <c r="O54" s="22"/>
      <c r="P54" s="23"/>
    </row>
    <row r="55" customFormat="false" ht="30" hidden="false" customHeight="true" outlineLevel="0" collapsed="false">
      <c r="A55" s="21" t="str">
        <f aca="false">IF(B55="","",ROW()-7)</f>
        <v/>
      </c>
      <c r="B55" s="22"/>
      <c r="C55" s="23"/>
      <c r="D55" s="24"/>
      <c r="E55" s="24"/>
      <c r="F55" s="23"/>
      <c r="G55" s="23"/>
      <c r="H55" s="24"/>
      <c r="I55" s="23"/>
      <c r="J55" s="24"/>
      <c r="K55" s="23"/>
      <c r="L55" s="23"/>
      <c r="M55" s="23"/>
      <c r="N55" s="23"/>
      <c r="O55" s="22"/>
      <c r="P55" s="23"/>
    </row>
    <row r="56" customFormat="false" ht="30" hidden="false" customHeight="true" outlineLevel="0" collapsed="false">
      <c r="A56" s="21" t="str">
        <f aca="false">IF(B56="","",ROW()-7)</f>
        <v/>
      </c>
      <c r="B56" s="22"/>
      <c r="C56" s="23"/>
      <c r="D56" s="24"/>
      <c r="E56" s="24"/>
      <c r="F56" s="23"/>
      <c r="G56" s="23"/>
      <c r="H56" s="24"/>
      <c r="I56" s="23"/>
      <c r="J56" s="24"/>
      <c r="K56" s="23"/>
      <c r="L56" s="23"/>
      <c r="M56" s="23"/>
      <c r="N56" s="23"/>
      <c r="O56" s="22"/>
      <c r="P56" s="23"/>
    </row>
    <row r="57" customFormat="false" ht="30" hidden="false" customHeight="true" outlineLevel="0" collapsed="false">
      <c r="A57" s="21" t="str">
        <f aca="false">IF(B57="","",ROW()-7)</f>
        <v/>
      </c>
      <c r="B57" s="22"/>
      <c r="C57" s="23"/>
      <c r="D57" s="24"/>
      <c r="E57" s="24"/>
      <c r="F57" s="23"/>
      <c r="G57" s="23"/>
      <c r="H57" s="24"/>
      <c r="I57" s="23"/>
      <c r="J57" s="24"/>
      <c r="K57" s="23"/>
      <c r="L57" s="23"/>
      <c r="M57" s="23"/>
      <c r="N57" s="23"/>
      <c r="O57" s="22"/>
      <c r="P57" s="23"/>
    </row>
  </sheetData>
  <autoFilter ref="A7:P7"/>
  <mergeCells count="2">
    <mergeCell ref="A1:C1"/>
    <mergeCell ref="K6:P6"/>
  </mergeCells>
  <conditionalFormatting sqref="D8:D507">
    <cfRule type="expression" priority="2" aboveAverage="0" equalAverage="0" bottom="0" percent="0" rank="0" text="" dxfId="3">
      <formula>$D8="Positive"</formula>
    </cfRule>
    <cfRule type="expression" priority="3" aboveAverage="0" equalAverage="0" bottom="0" percent="0" rank="0" text="" dxfId="4">
      <formula>$D8="Negative"</formula>
    </cfRule>
  </conditionalFormatting>
  <conditionalFormatting sqref="H8:H507">
    <cfRule type="expression" priority="4" aboveAverage="0" equalAverage="0" bottom="0" percent="0" rank="0" text="" dxfId="4">
      <formula>$H8="High"</formula>
    </cfRule>
    <cfRule type="expression" priority="5" aboveAverage="0" equalAverage="0" bottom="0" percent="0" rank="0" text="" dxfId="5">
      <formula>$H8="Medium"</formula>
    </cfRule>
    <cfRule type="expression" priority="6" aboveAverage="0" equalAverage="0" bottom="0" percent="0" rank="0" text="" dxfId="3">
      <formula>$H8="Low"</formula>
    </cfRule>
  </conditionalFormatting>
  <conditionalFormatting sqref="J8:J507">
    <cfRule type="expression" priority="7" aboveAverage="0" equalAverage="0" bottom="0" percent="0" rank="0" text="" dxfId="4">
      <formula>$J8="Open"</formula>
    </cfRule>
    <cfRule type="expression" priority="8" aboveAverage="0" equalAverage="0" bottom="0" percent="0" rank="0" text="" dxfId="3">
      <formula>$J8="Closed"</formula>
    </cfRule>
  </conditionalFormatting>
  <conditionalFormatting sqref="O8:O507">
    <cfRule type="expression" priority="9" aboveAverage="0" equalAverage="0" bottom="0" percent="0" rank="0" text="" dxfId="4">
      <formula>AND($O8&lt;&gt;"",$O8&lt;TODAY(),$J8="Open")</formula>
    </cfRule>
  </conditionalFormatting>
  <conditionalFormatting sqref="F8:I507">
    <cfRule type="expression" priority="10" aboveAverage="0" equalAverage="0" bottom="0" percent="0" rank="0" text="" dxfId="4">
      <formula>$D8="Negative"</formula>
    </cfRule>
  </conditionalFormatting>
  <dataValidations count="5">
    <dataValidation allowBlank="true" errorStyle="stop" operator="between" prompt="Positive or Negative?" showDropDown="false" showErrorMessage="false" showInputMessage="false" sqref="D8:D507" type="list">
      <formula1>"Positive,Negative"</formula1>
      <formula2>0</formula2>
    </dataValidation>
    <dataValidation allowBlank="true" errorStyle="stop" operator="between" prompt="Select category" showDropDown="false" showErrorMessage="false" showInputMessage="false" sqref="E8:E507" type="list">
      <formula1>"Behaviour,Condition,Housekeeping,PPE,Plant,Access,Environmental,Other"</formula1>
      <formula2>0</formula2>
    </dataValidation>
    <dataValidation allowBlank="true" errorStyle="stop" operator="between" prompt="Select priority" showDropDown="false" showErrorMessage="false" showInputMessage="false" sqref="H8:H507" type="list">
      <formula1>"Low,Medium,High"</formula1>
      <formula2>0</formula2>
    </dataValidation>
    <dataValidation allowBlank="true" errorStyle="stop" operator="between" prompt="Select status" showDropDown="false" showErrorMessage="false" showInputMessage="false" sqref="J8:J507" type="list">
      <formula1>"Open,Closed,N/A"</formula1>
      <formula2>0</formula2>
    </dataValidation>
    <dataValidation allowBlank="true" errorStyle="stop" operator="between" showDropDown="false" showErrorMessage="false" showInputMessage="false" sqref="B8:B507 O8:O507"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&amp;CSafety Observation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5" t="s">
        <v>122</v>
      </c>
    </row>
    <row r="2" customFormat="false" ht="15" hidden="false" customHeight="false" outlineLevel="0" collapsed="false">
      <c r="A2" s="25"/>
    </row>
    <row r="3" customFormat="false" ht="15" hidden="false" customHeight="false" outlineLevel="0" collapsed="false">
      <c r="A3" s="25" t="s">
        <v>123</v>
      </c>
    </row>
    <row r="4" customFormat="false" ht="15" hidden="false" customHeight="false" outlineLevel="0" collapsed="false">
      <c r="A4" s="25"/>
    </row>
    <row r="5" customFormat="false" ht="15" hidden="false" customHeight="false" outlineLevel="0" collapsed="false">
      <c r="A5" s="25" t="s">
        <v>124</v>
      </c>
    </row>
    <row r="6" customFormat="false" ht="15" hidden="false" customHeight="false" outlineLevel="0" collapsed="false">
      <c r="A6" s="25"/>
    </row>
    <row r="7" customFormat="false" ht="15" hidden="false" customHeight="false" outlineLevel="0" collapsed="false">
      <c r="A7" s="25" t="s">
        <v>125</v>
      </c>
    </row>
    <row r="8" customFormat="false" ht="15" hidden="false" customHeight="false" outlineLevel="0" collapsed="false">
      <c r="A8" s="25"/>
    </row>
    <row r="9" customFormat="false" ht="15" hidden="false" customHeight="false" outlineLevel="0" collapsed="false">
      <c r="A9" s="25" t="s">
        <v>126</v>
      </c>
    </row>
    <row r="10" customFormat="false" ht="15" hidden="false" customHeight="false" outlineLevel="0" collapsed="false">
      <c r="A10" s="25"/>
    </row>
    <row r="11" customFormat="false" ht="15" hidden="false" customHeight="false" outlineLevel="0" collapsed="false">
      <c r="A11" s="25" t="s">
        <v>127</v>
      </c>
    </row>
    <row r="12" customFormat="false" ht="15" hidden="false" customHeight="false" outlineLevel="0" collapsed="false">
      <c r="A12" s="25"/>
    </row>
    <row r="13" customFormat="false" ht="15" hidden="false" customHeight="false" outlineLevel="0" collapsed="false">
      <c r="A13" s="25" t="s">
        <v>128</v>
      </c>
    </row>
    <row r="14" customFormat="false" ht="15" hidden="false" customHeight="false" outlineLevel="0" collapsed="false">
      <c r="A14" s="25"/>
    </row>
    <row r="15" customFormat="false" ht="15" hidden="false" customHeight="false" outlineLevel="0" collapsed="false">
      <c r="A15" s="25" t="s">
        <v>129</v>
      </c>
    </row>
    <row r="16" customFormat="false" ht="15" hidden="false" customHeight="false" outlineLevel="0" collapsed="false">
      <c r="A16" s="25"/>
    </row>
    <row r="17" customFormat="false" ht="15" hidden="false" customHeight="false" outlineLevel="0" collapsed="false">
      <c r="A17" s="25"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2026-03-22T17:09:36Z</dcterms:created>
  <dc:creator>Ebrora Ltd</dc:creator>
  <dc:description>Record positive and negative safety observations across site with category tracking, priority-based action management, positive observation rate monitoring, and overdue action alerts. Designed for UK construction site managers, HSE advisors, and supervisors.
Free professional construction management template from Ebrora Ltd. Visit ebrora.com for our full range of tools and templates.</dc:description>
  <cp:keywords>Ebrora construction safety observation behavioural safety positive observation health and safety site management safety culture</cp:keywords>
  <dc:language>en-US</dc:language>
  <cp:lastModifiedBy>Ebrora Ltd</cp:lastModifiedBy>
  <dcterms:modified xsi:type="dcterms:W3CDTF">2026-03-22T17:09:36Z</dcterms:modified>
  <cp:revision>0</cp:revision>
  <dc:subject>Tracker for recording positive and negative safety observations on construction sites as part of a behavioural safety programme.</dc:subject>
  <dc:title>Safety Observation Tracker</dc:title>
</cp:coreProperties>
</file>

<file path=docProps/custom.xml><?xml version="1.0" encoding="utf-8"?>
<Properties xmlns="http://schemas.openxmlformats.org/officeDocument/2006/custom-properties" xmlns:vt="http://schemas.openxmlformats.org/officeDocument/2006/docPropsVTypes"/>
</file>