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Instructions" sheetId="2" state="visible" r:id="rId4"/>
    <sheet name="Look-Ahead" sheetId="3" state="visible" r:id="rId5"/>
    <sheet name="Terms of Use" sheetId="4" state="hidden" r:id="rId6"/>
  </sheets>
  <definedNames>
    <definedName function="false" hidden="false" localSheetId="0" name="_xlnm.Print_Area" vbProcedure="false">Cover!$A$1:$H$20</definedName>
    <definedName function="false" hidden="false" localSheetId="2" name="_xlnm.Print_Area" vbProcedure="false">'Look-Ahead'!$A$1:$O$38</definedName>
    <definedName function="false" hidden="true" localSheetId="2" name="_xlnm._FilterDatabase" vbProcedure="false">'Look-Ahead'!$A$10:$R$35</definedName>
    <definedName function="false" hidden="false" name="DataTable" vbProcedure="false">'Look-Ahead'!$A$10:$R$35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<sst xmlns="http://schemas.openxmlformats.org/spreadsheetml/2006/main" count="173" uniqueCount="123">
  <si>
    <t xml:space="preserve">EBRORA</t>
  </si>
  <si>
    <t xml:space="preserve">ebrora.com</t>
  </si>
  <si>
    <t xml:space="preserve">Two-Week Look-Ahead
Programme</t>
  </si>
  <si>
    <t xml:space="preserve">A rolling two-week short-term programme showing planned activities against 10 working days — the essential coordination tool for weekly site meetings.</t>
  </si>
  <si>
    <t xml:space="preserve">This is a free template from Ebrora. For our full range of professional-grade construction management tools, visit ebrora.com</t>
  </si>
  <si>
    <t xml:space="preserve">© Ebrora 2026 — All rights reserved</t>
  </si>
  <si>
    <t xml:space="preserve">How to Use This Template</t>
  </si>
  <si>
    <t xml:space="preserve">Getting Started</t>
  </si>
  <si>
    <t xml:space="preserve">1.</t>
  </si>
  <si>
    <t xml:space="preserve">Open the 'Look-Ahead' sheet. Start by entering the Programme Start Date in cell B3 — this is the Monday of Week 1. All 10 day-column headers will update automatically.</t>
  </si>
  <si>
    <t xml:space="preserve">2.</t>
  </si>
  <si>
    <t xml:space="preserve">Fill in the Project Name, Prepared By, and Revision fields in the header block.</t>
  </si>
  <si>
    <t xml:space="preserve">3.</t>
  </si>
  <si>
    <t xml:space="preserve">Each row below the grid header represents one planned activity. Enter the Activity description, Trade/Package, who is Responsible, and set the Status.</t>
  </si>
  <si>
    <t xml:space="preserve">4.</t>
  </si>
  <si>
    <t xml:space="preserve">In the day-grid columns (F–O), use the dropdown to mark each day: P = Planned, A = Actual (completed), X = Delayed / not done.</t>
  </si>
  <si>
    <t xml:space="preserve">5.</t>
  </si>
  <si>
    <t xml:space="preserve">Cells turn teal for Planned, green for Actual, and red for Delayed — giving you a visual Gantt chart at a glance.</t>
  </si>
  <si>
    <t xml:space="preserve">6.</t>
  </si>
  <si>
    <t xml:space="preserve">Update the sheet daily: change P to A when work is completed, or P to X if it was delayed. Add new activities as they emerge.</t>
  </si>
  <si>
    <t xml:space="preserve">7.</t>
  </si>
  <si>
    <t xml:space="preserve">Expand the optional columns (click [+]) for Notes, Resources Required, and Predecessors.</t>
  </si>
  <si>
    <t xml:space="preserve">Colour Key</t>
  </si>
  <si>
    <t xml:space="preserve">Light teal cells — Editable input cells (left-hand columns).</t>
  </si>
  <si>
    <t xml:space="preserve">Dark navy headers — Do not edit.</t>
  </si>
  <si>
    <t xml:space="preserve">Teal (P) — Work is Planned for this day.</t>
  </si>
  <si>
    <t xml:space="preserve">Green (A) — Work was completed (Actual).</t>
  </si>
  <si>
    <t xml:space="preserve">Red (X) — Work was Delayed or not done.</t>
  </si>
  <si>
    <t xml:space="preserve">Tips</t>
  </si>
  <si>
    <t xml:space="preserve">Tip 1:</t>
  </si>
  <si>
    <t xml:space="preserve">Update this at the start of every Monday. Print it for the weekly coordination meeting — it replaces lengthy discussion with a clear visual plan everyone can follow.</t>
  </si>
  <si>
    <t xml:space="preserve">Tip 2:</t>
  </si>
  <si>
    <t xml:space="preserve">At the end of each week, review any X (delayed) items and carry them forward. This gives you a running record of slippage that feeds into your delay analysis.</t>
  </si>
  <si>
    <t xml:space="preserve">Tip 3:</t>
  </si>
  <si>
    <t xml:space="preserve">Keep activities at a summary level — one row per trade per area, not individual tasks. The look-ahead is a coordination tool, not a full programme. Aim for 15–25 activities.</t>
  </si>
  <si>
    <t xml:space="preserve">TWO-WEEK LOOK-AHEAD PROGRAMME</t>
  </si>
  <si>
    <t xml:space="preserve">Programme Start Date:</t>
  </si>
  <si>
    <t xml:space="preserve">Project Name:</t>
  </si>
  <si>
    <t xml:space="preserve">Riverside Gateway Phase 2</t>
  </si>
  <si>
    <t xml:space="preserve">Prepared By:</t>
  </si>
  <si>
    <t xml:space="preserve">S. Patel</t>
  </si>
  <si>
    <t xml:space="preserve">Revision:</t>
  </si>
  <si>
    <t xml:space="preserve">Rev 08 — w/c 23 March 2026</t>
  </si>
  <si>
    <t xml:space="preserve">Status:</t>
  </si>
  <si>
    <t xml:space="preserve">Planned:</t>
  </si>
  <si>
    <t xml:space="preserve">Actual:</t>
  </si>
  <si>
    <t xml:space="preserve">Delayed:</t>
  </si>
  <si>
    <t xml:space="preserve">▸ Optional — Click [+]</t>
  </si>
  <si>
    <t xml:space="preserve">No.</t>
  </si>
  <si>
    <t xml:space="preserve">Trade / Package</t>
  </si>
  <si>
    <t xml:space="preserve">Activity Description</t>
  </si>
  <si>
    <t xml:space="preserve">Responsible</t>
  </si>
  <si>
    <t xml:space="preserve">Status</t>
  </si>
  <si>
    <t xml:space="preserve">WEEK 1</t>
  </si>
  <si>
    <t xml:space="preserve">WEEK 2</t>
  </si>
  <si>
    <t xml:space="preserve">Notes</t>
  </si>
  <si>
    <t xml:space="preserve">Resources Req'd</t>
  </si>
  <si>
    <t xml:space="preserve">Predecessors</t>
  </si>
  <si>
    <t xml:space="preserve">Mon</t>
  </si>
  <si>
    <t xml:space="preserve">Tue</t>
  </si>
  <si>
    <t xml:space="preserve">Wed</t>
  </si>
  <si>
    <t xml:space="preserve">Thu</t>
  </si>
  <si>
    <t xml:space="preserve">Fri</t>
  </si>
  <si>
    <t xml:space="preserve">Groundworks</t>
  </si>
  <si>
    <t xml:space="preserve">Excavation for pad foundations PF-07 to PF-12</t>
  </si>
  <si>
    <t xml:space="preserve">Briggs GW</t>
  </si>
  <si>
    <t xml:space="preserve">On Track</t>
  </si>
  <si>
    <t xml:space="preserve">A</t>
  </si>
  <si>
    <t xml:space="preserve">P</t>
  </si>
  <si>
    <t xml:space="preserve">20t excavator + 2 dumpers</t>
  </si>
  <si>
    <t xml:space="preserve">6 operatives + banksman</t>
  </si>
  <si>
    <t xml:space="preserve">Piling complete</t>
  </si>
  <si>
    <t xml:space="preserve">Concrete</t>
  </si>
  <si>
    <t xml:space="preserve">Concrete pour — ground beams GB-10 to GB-14</t>
  </si>
  <si>
    <t xml:space="preserve">McAlpine</t>
  </si>
  <si>
    <t xml:space="preserve">Boom pump req'd Wednesday</t>
  </si>
  <si>
    <t xml:space="preserve">Pour gang + pump operator</t>
  </si>
  <si>
    <t xml:space="preserve">Formwork &amp; rebar sign-off</t>
  </si>
  <si>
    <t xml:space="preserve">Steelwork</t>
  </si>
  <si>
    <t xml:space="preserve">Steel erection — Level 2 frame Zone A</t>
  </si>
  <si>
    <t xml:space="preserve">SteelFix</t>
  </si>
  <si>
    <t xml:space="preserve">At Risk</t>
  </si>
  <si>
    <t xml:space="preserve">Tower crane required all week</t>
  </si>
  <si>
    <t xml:space="preserve">Erection gang (6) + crane</t>
  </si>
  <si>
    <t xml:space="preserve">L1 frame complete + bolts torqued</t>
  </si>
  <si>
    <t xml:space="preserve">M&amp;E</t>
  </si>
  <si>
    <t xml:space="preserve">First fix containment — Level 1 risers</t>
  </si>
  <si>
    <t xml:space="preserve">Northern M&amp;E</t>
  </si>
  <si>
    <t xml:space="preserve">Unistrut &amp; cable tray</t>
  </si>
  <si>
    <t xml:space="preserve">2 electricians + 1 plumber</t>
  </si>
  <si>
    <t xml:space="preserve">Builders work holes formed</t>
  </si>
  <si>
    <t xml:space="preserve">Scaffolding</t>
  </si>
  <si>
    <t xml:space="preserve">Scaffold erection — Block B south elevation</t>
  </si>
  <si>
    <t xml:space="preserve">ScaffCo</t>
  </si>
  <si>
    <t xml:space="preserve">Behind</t>
  </si>
  <si>
    <t xml:space="preserve">X</t>
  </si>
  <si>
    <t xml:space="preserve">Delayed by wind Mon/Tue</t>
  </si>
  <si>
    <t xml:space="preserve">Scaffold gang (4)</t>
  </si>
  <si>
    <t xml:space="preserve">Access agreement signed</t>
  </si>
  <si>
    <t xml:space="preserve">Cladding</t>
  </si>
  <si>
    <t xml:space="preserve">Rainscreen panel installation — Block A east</t>
  </si>
  <si>
    <t xml:space="preserve">FacadeTech</t>
  </si>
  <si>
    <t xml:space="preserve">Not Started</t>
  </si>
  <si>
    <t xml:space="preserve">Material delivery due Thu W2</t>
  </si>
  <si>
    <t xml:space="preserve">3 cladders + MEWP</t>
  </si>
  <si>
    <t xml:space="preserve">Scaffold complete + inspected</t>
  </si>
  <si>
    <t xml:space="preserve">Externals</t>
  </si>
  <si>
    <t xml:space="preserve">Kerbing &amp; drainage — car park Phase 1</t>
  </si>
  <si>
    <t xml:space="preserve">3 operatives + mini digger</t>
  </si>
  <si>
    <t xml:space="preserve">Formation complete &amp; approved</t>
  </si>
  <si>
    <t xml:space="preserve">KEY:</t>
  </si>
  <si>
    <t xml:space="preserve">P = Planned</t>
  </si>
  <si>
    <t xml:space="preserve">A = Actual</t>
  </si>
  <si>
    <t xml:space="preserve">X = Delayed</t>
  </si>
  <si>
    <t xml:space="preserve">EBRORA — TERMS OF USE</t>
  </si>
  <si>
    <t xml:space="preserve">This template is provided free of charge by Ebrora (ebrora.com) for personal and professional use.</t>
  </si>
  <si>
    <t xml:space="preserve">1. LICENCE: You may use this template for your own projects. You may not resell, redistribute, or claim authorship of this template.</t>
  </si>
  <si>
    <t xml:space="preserve">2. NO WARRANTY: This template is provided "as is" without warranty of any kind. Ebrora accepts no liability for errors, omissions, or losses arising from use of this template.</t>
  </si>
  <si>
    <t xml:space="preserve">3. INTELLECTUAL PROPERTY: All design, layout, branding, and content remain the intellectual property of Ebrora.</t>
  </si>
  <si>
    <t xml:space="preserve">4. MODIFICATIONS: You may modify this template for your own use. Modified versions may not be distributed or sold.</t>
  </si>
  <si>
    <t xml:space="preserve">5. ATTRIBUTION: If you share outputs generated using this template, attribution to Ebrora (ebrora.com) is appreciated but not required.</t>
  </si>
  <si>
    <t xml:space="preserve">6. SUPPORT: For queries, feedback, or to report errors, contact support@ebrora.com.</t>
  </si>
  <si>
    <t xml:space="preserve">For our full range of professional construction management tools, visit ebrora.com.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</si>
</sst>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yy"/>
    <numFmt numFmtId="166" formatCode="General"/>
    <numFmt numFmtId="167" formatCode="dd\ mmm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36"/>
      <color rgb="FFFFFFFF"/>
      <name val="Calibri"/>
      <family val="0"/>
      <charset val="1"/>
    </font>
    <font>
      <sz val="12"/>
      <color rgb="FF2AABB3"/>
      <name val="Calibri"/>
      <family val="0"/>
      <charset val="1"/>
    </font>
    <font>
      <b val="true"/>
      <sz val="28"/>
      <color rgb="FFFFFFFF"/>
      <name val="Calibri"/>
      <family val="0"/>
      <charset val="1"/>
    </font>
    <font>
      <sz val="12"/>
      <color rgb="FFFFFFFF"/>
      <name val="Calibri"/>
      <family val="0"/>
      <charset val="1"/>
    </font>
    <font>
      <sz val="11"/>
      <color rgb="FF1B2A4A"/>
      <name val="Calibri"/>
      <family val="0"/>
      <charset val="1"/>
    </font>
    <font>
      <i val="true"/>
      <sz val="9"/>
      <color rgb="FF8C8C8C"/>
      <name val="Calibri"/>
      <family val="0"/>
      <charset val="1"/>
    </font>
    <font>
      <b val="true"/>
      <sz val="14"/>
      <color rgb="FF1B2A4A"/>
      <name val="Calibri"/>
      <family val="0"/>
      <charset val="1"/>
    </font>
    <font>
      <sz val="10"/>
      <color rgb="FF1B2A4A"/>
      <name val="Calibri"/>
      <family val="0"/>
      <charset val="1"/>
    </font>
    <font>
      <b val="true"/>
      <sz val="11"/>
      <color rgb="FF2AABB3"/>
      <name val="Calibri"/>
      <family val="0"/>
      <charset val="1"/>
    </font>
    <font>
      <b val="true"/>
      <sz val="10"/>
      <color rgb="FF1B2A4A"/>
      <name val="Calibri"/>
      <family val="0"/>
      <charset val="1"/>
    </font>
    <font>
      <b val="true"/>
      <sz val="14"/>
      <color rgb="FFFFFFFF"/>
      <name val="Calibri"/>
      <family val="0"/>
      <charset val="1"/>
    </font>
    <font>
      <b val="true"/>
      <sz val="12"/>
      <color rgb="FF2AABB3"/>
      <name val="Calibri"/>
      <family val="0"/>
      <charset val="1"/>
    </font>
    <font>
      <b val="true"/>
      <sz val="12"/>
      <color rgb="FF228B22"/>
      <name val="Calibri"/>
      <family val="0"/>
      <charset val="1"/>
    </font>
    <font>
      <b val="true"/>
      <sz val="12"/>
      <color rgb="FFCC0000"/>
      <name val="Calibri"/>
      <family val="0"/>
      <charset val="1"/>
    </font>
    <font>
      <i val="true"/>
      <sz val="9"/>
      <color rgb="FF2AABB3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9"/>
      <color rgb="FF1B2A4A"/>
      <name val="Calibri"/>
      <family val="0"/>
      <charset val="1"/>
    </font>
    <font>
      <sz val="9"/>
      <color rgb="FF8C8C8C"/>
      <name val="Calibri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FFFFFF"/>
        <bgColor rgb="FFF2F2F2"/>
      </patternFill>
    </fill>
    <fill>
      <patternFill patternType="solid">
        <fgColor rgb="FFE8F6F7"/>
        <bgColor rgb="FFF2F2F2"/>
      </patternFill>
    </fill>
    <fill>
      <patternFill patternType="solid">
        <fgColor rgb="FFF2F2F2"/>
        <bgColor rgb="FFE8F6F7"/>
      </patternFill>
    </fill>
    <fill>
      <patternFill patternType="solid">
        <fgColor rgb="FFD4F0F1"/>
        <bgColor rgb="FFE8F6F7"/>
      </patternFill>
    </fill>
    <fill>
      <patternFill patternType="solid">
        <fgColor rgb="FFC6EFCE"/>
        <bgColor rgb="FFD4F0F1"/>
      </patternFill>
    </fill>
    <fill>
      <patternFill patternType="solid">
        <fgColor rgb="FFFFC7CE"/>
        <bgColor rgb="FFFFEB9C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medium">
        <color rgb="FF2AABB3"/>
      </left>
      <right style="medium">
        <color rgb="FF2AABB3"/>
      </right>
      <top style="medium">
        <color rgb="FF2AABB3"/>
      </top>
      <bottom style="medium">
        <color rgb="FF2AABB3"/>
      </bottom>
      <diagonal/>
    </border>
    <border diagonalUp="false" diagonalDown="false">
      <left/>
      <right/>
      <top/>
      <bottom style="thin">
        <color rgb="FF2AABB3"/>
      </bottom>
      <diagonal/>
    </border>
    <border diagonalUp="false" diagonalDown="false">
      <left/>
      <right/>
      <top/>
      <bottom style="thick">
        <color rgb="FF1B2A4A"/>
      </bottom>
      <diagonal/>
    </border>
    <border diagonalUp="false" diagonalDown="false">
      <left style="thin">
        <color rgb="FF2AABB3"/>
      </left>
      <right style="thin">
        <color rgb="FF2AABB3"/>
      </right>
      <top style="thin">
        <color rgb="FF2AABB3"/>
      </top>
      <bottom/>
      <diagonal/>
    </border>
    <border diagonalUp="false" diagonalDown="false">
      <left/>
      <right style="hair">
        <color rgb="FF8C8C8C"/>
      </right>
      <top/>
      <bottom style="hair">
        <color rgb="FF8C8C8C"/>
      </bottom>
      <diagonal/>
    </border>
    <border diagonalUp="false" diagonalDown="false">
      <left style="thin">
        <color rgb="FF8C8C8C"/>
      </left>
      <right style="thin">
        <color rgb="FF8C8C8C"/>
      </right>
      <top style="thin">
        <color rgb="FF8C8C8C"/>
      </top>
      <bottom style="thin">
        <color rgb="FF8C8C8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5" fontId="11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1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1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1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22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11" fillId="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3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6"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1B2A4A"/>
          <bgColor rgb="FF000000"/>
        </patternFill>
      </fill>
    </dxf>
    <dxf>
      <fill>
        <patternFill patternType="solid">
          <fgColor rgb="FFE8F6F7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D4F0F1"/>
          <bgColor rgb="FF000000"/>
        </patternFill>
      </fill>
    </dxf>
    <dxf>
      <fill>
        <patternFill patternType="solid">
          <fgColor rgb="FF8C8C8C"/>
          <bgColor rgb="FF000000"/>
        </patternFill>
      </fill>
    </dxf>
    <dxf>
      <fill>
        <patternFill>
          <bgColor rgb="FFD4F0F1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F2F2F2"/>
        </patternFill>
      </fill>
    </dxf>
  </dxf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228B22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D4F0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6F7"/>
      <rgbColor rgb="FFC6EFCE"/>
      <rgbColor rgb="FFFFEB9C"/>
      <rgbColor rgb="FF99CCFF"/>
      <rgbColor rgb="FFFF99CC"/>
      <rgbColor rgb="FFCC99FF"/>
      <rgbColor rgb="FFFFC7CE"/>
      <rgbColor rgb="FF3366FF"/>
      <rgbColor rgb="FF2AABB3"/>
      <rgbColor rgb="FF99CC00"/>
      <rgbColor rgb="FFFFCC00"/>
      <rgbColor rgb="FFFF9900"/>
      <rgbColor rgb="FFFF6600"/>
      <rgbColor rgb="FF666699"/>
      <rgbColor rgb="FF8C8C8C"/>
      <rgbColor rgb="FF003366"/>
      <rgbColor rgb="FF339966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H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0" width="14"/>
  </cols>
  <sheetData>
    <row r="1" customFormat="false" ht="1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15" hidden="false" customHeight="false" outlineLevel="0" collapsed="false">
      <c r="A3" s="1"/>
      <c r="B3" s="1"/>
      <c r="C3" s="1"/>
      <c r="D3" s="1"/>
      <c r="E3" s="1"/>
      <c r="F3" s="1"/>
      <c r="G3" s="1"/>
      <c r="H3" s="1"/>
    </row>
    <row r="4" customFormat="false" ht="15" hidden="false" customHeight="true" outlineLevel="0" collapsed="false">
      <c r="A4" s="2" t="s">
        <v>1</v>
      </c>
      <c r="B4" s="2"/>
      <c r="C4" s="2"/>
      <c r="D4" s="2"/>
      <c r="E4" s="2"/>
      <c r="F4" s="2"/>
      <c r="G4" s="2"/>
      <c r="H4" s="2"/>
    </row>
    <row r="5" customFormat="false" ht="15" hidden="false" customHeight="false" outlineLevel="0" collapsed="false">
      <c r="A5" s="3"/>
      <c r="B5" s="3"/>
      <c r="C5" s="3"/>
      <c r="D5" s="3"/>
      <c r="E5" s="3"/>
      <c r="F5" s="3"/>
      <c r="G5" s="3"/>
      <c r="H5" s="3"/>
    </row>
    <row r="6" customFormat="false" ht="15" hidden="false" customHeight="true" outlineLevel="0" collapsed="false">
      <c r="A6" s="4" t="s">
        <v>2</v>
      </c>
      <c r="B6" s="4"/>
      <c r="C6" s="4"/>
      <c r="D6" s="4"/>
      <c r="E6" s="4"/>
      <c r="F6" s="4"/>
      <c r="G6" s="4"/>
      <c r="H6" s="4"/>
    </row>
    <row r="7" customFormat="false" ht="15" hidden="false" customHeight="false" outlineLevel="0" collapsed="false">
      <c r="A7" s="4"/>
      <c r="B7" s="4"/>
      <c r="C7" s="4"/>
      <c r="D7" s="4"/>
      <c r="E7" s="4"/>
      <c r="F7" s="4"/>
      <c r="G7" s="4"/>
      <c r="H7" s="4"/>
    </row>
    <row r="8" customFormat="false" ht="15" hidden="false" customHeight="false" outlineLevel="0" collapsed="false">
      <c r="A8" s="4"/>
      <c r="B8" s="4"/>
      <c r="C8" s="4"/>
      <c r="D8" s="4"/>
      <c r="E8" s="4"/>
      <c r="F8" s="4"/>
      <c r="G8" s="4"/>
      <c r="H8" s="4"/>
    </row>
    <row r="9" customFormat="false" ht="15" hidden="false" customHeight="false" outlineLevel="0" collapsed="false">
      <c r="A9" s="3"/>
      <c r="B9" s="3"/>
      <c r="C9" s="3"/>
      <c r="D9" s="3"/>
      <c r="E9" s="3"/>
      <c r="F9" s="3"/>
      <c r="G9" s="3"/>
      <c r="H9" s="3"/>
    </row>
    <row r="10" customFormat="false" ht="15" hidden="false" customHeight="true" outlineLevel="0" collapsed="false">
      <c r="A10" s="5" t="s">
        <v>3</v>
      </c>
      <c r="B10" s="5"/>
      <c r="C10" s="5"/>
      <c r="D10" s="5"/>
      <c r="E10" s="5"/>
      <c r="F10" s="5"/>
      <c r="G10" s="5"/>
      <c r="H10" s="5"/>
    </row>
    <row r="11" customFormat="false" ht="15" hidden="false" customHeight="false" outlineLevel="0" collapsed="false">
      <c r="A11" s="5"/>
      <c r="B11" s="5"/>
      <c r="C11" s="5"/>
      <c r="D11" s="5"/>
      <c r="E11" s="5"/>
      <c r="F11" s="5"/>
      <c r="G11" s="5"/>
      <c r="H11" s="5"/>
    </row>
    <row r="12" customFormat="false" ht="15" hidden="false" customHeight="false" outlineLevel="0" collapsed="false">
      <c r="A12" s="3"/>
      <c r="B12" s="3"/>
      <c r="C12" s="3"/>
      <c r="D12" s="3"/>
      <c r="E12" s="3"/>
      <c r="F12" s="3"/>
      <c r="G12" s="3"/>
      <c r="H12" s="3"/>
    </row>
    <row r="13" customFormat="false" ht="15" hidden="false" customHeight="false" outlineLevel="0" collapsed="false">
      <c r="A13" s="3"/>
      <c r="B13" s="3"/>
      <c r="C13" s="3"/>
      <c r="D13" s="3"/>
      <c r="E13" s="3"/>
      <c r="F13" s="3"/>
      <c r="G13" s="3"/>
      <c r="H13" s="3"/>
    </row>
    <row r="14" customFormat="false" ht="15" hidden="false" customHeight="true" outlineLevel="0" collapsed="false">
      <c r="A14" s="6" t="s">
        <v>4</v>
      </c>
      <c r="B14" s="6"/>
      <c r="C14" s="6"/>
      <c r="D14" s="6"/>
      <c r="E14" s="6"/>
      <c r="F14" s="6"/>
      <c r="G14" s="6"/>
      <c r="H14" s="6"/>
    </row>
    <row r="15" customFormat="false" ht="15" hidden="false" customHeight="false" outlineLevel="0" collapsed="false">
      <c r="A15" s="6"/>
      <c r="B15" s="6"/>
      <c r="C15" s="6"/>
      <c r="D15" s="6"/>
      <c r="E15" s="6"/>
      <c r="F15" s="6"/>
      <c r="G15" s="6"/>
      <c r="H15" s="6"/>
    </row>
    <row r="16" customFormat="false" ht="15" hidden="false" customHeight="false" outlineLevel="0" collapsed="false">
      <c r="A16" s="6"/>
      <c r="B16" s="6"/>
      <c r="C16" s="6"/>
      <c r="D16" s="6"/>
      <c r="E16" s="6"/>
      <c r="F16" s="6"/>
      <c r="G16" s="6"/>
      <c r="H16" s="6"/>
    </row>
    <row r="17" customFormat="false" ht="15" hidden="false" customHeight="false" outlineLevel="0" collapsed="false">
      <c r="A17" s="6"/>
      <c r="B17" s="6"/>
      <c r="C17" s="6"/>
      <c r="D17" s="6"/>
      <c r="E17" s="6"/>
      <c r="F17" s="6"/>
      <c r="G17" s="6"/>
      <c r="H17" s="6"/>
    </row>
    <row r="18" customFormat="false" ht="15" hidden="false" customHeight="false" outlineLevel="0" collapsed="false">
      <c r="A18" s="3"/>
      <c r="B18" s="3"/>
      <c r="C18" s="3"/>
      <c r="D18" s="3"/>
      <c r="E18" s="3"/>
      <c r="F18" s="3"/>
      <c r="G18" s="3"/>
      <c r="H18" s="3"/>
    </row>
    <row r="19" customFormat="false" ht="15" hidden="false" customHeight="true" outlineLevel="0" collapsed="false">
      <c r="A19" s="7" t="s">
        <v>5</v>
      </c>
      <c r="B19" s="7"/>
      <c r="C19" s="7"/>
      <c r="D19" s="7"/>
      <c r="E19" s="7"/>
      <c r="F19" s="7"/>
      <c r="G19" s="7"/>
      <c r="H19" s="7"/>
    </row>
    <row r="20" customFormat="false" ht="15" hidden="false" customHeight="false" outlineLevel="0" collapsed="false">
      <c r="A20" s="3"/>
      <c r="B20" s="3"/>
      <c r="C20" s="3"/>
      <c r="D20" s="3"/>
      <c r="E20" s="3"/>
      <c r="F20" s="3"/>
      <c r="G20" s="3"/>
      <c r="H20" s="3"/>
    </row>
    <row r="21" customFormat="false" ht="15" hidden="false" customHeight="false" outlineLevel="0" collapsed="false">
      <c r="A21" s="3"/>
      <c r="B21" s="3"/>
      <c r="C21" s="3"/>
      <c r="D21" s="3"/>
      <c r="E21" s="3"/>
      <c r="F21" s="3"/>
      <c r="G21" s="3"/>
      <c r="H21" s="3"/>
    </row>
    <row r="22" customFormat="false" ht="15" hidden="false" customHeight="false" outlineLevel="0" collapsed="false">
      <c r="A22" s="3"/>
      <c r="B22" s="3"/>
      <c r="C22" s="3"/>
      <c r="D22" s="3"/>
      <c r="E22" s="3"/>
      <c r="F22" s="3"/>
      <c r="G22" s="3"/>
      <c r="H22" s="3"/>
    </row>
    <row r="23" customFormat="false" ht="15" hidden="false" customHeight="false" outlineLevel="0" collapsed="false">
      <c r="A23" s="3"/>
      <c r="B23" s="3"/>
      <c r="C23" s="3"/>
      <c r="D23" s="3"/>
      <c r="E23" s="3"/>
      <c r="F23" s="3"/>
      <c r="G23" s="3"/>
      <c r="H23" s="3"/>
    </row>
    <row r="24" customFormat="false" ht="15" hidden="false" customHeight="false" outlineLevel="0" collapsed="false">
      <c r="A24" s="3"/>
      <c r="B24" s="3"/>
      <c r="C24" s="3"/>
      <c r="D24" s="3"/>
      <c r="E24" s="3"/>
      <c r="F24" s="3"/>
      <c r="G24" s="3"/>
      <c r="H24" s="3"/>
    </row>
  </sheetData>
  <mergeCells count="6">
    <mergeCell ref="A1:H3"/>
    <mergeCell ref="A4:H4"/>
    <mergeCell ref="A6:H8"/>
    <mergeCell ref="A10:H11"/>
    <mergeCell ref="A14:H17"/>
    <mergeCell ref="A19:H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AABB3"/>
    <pageSetUpPr fitToPage="false"/>
  </sheetPr>
  <dimension ref="A1:F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6" min="2" style="0" width="16"/>
  </cols>
  <sheetData>
    <row r="1" customFormat="false" ht="18.65" hidden="false" customHeight="true" outlineLevel="0" collapsed="false">
      <c r="A1" s="8" t="s">
        <v>6</v>
      </c>
      <c r="B1" s="8"/>
      <c r="C1" s="8"/>
      <c r="D1" s="8"/>
      <c r="E1" s="8"/>
      <c r="F1" s="8"/>
    </row>
    <row r="3" customFormat="false" ht="15" hidden="false" customHeight="false" outlineLevel="0" collapsed="false">
      <c r="A3" s="9"/>
      <c r="B3" s="10"/>
      <c r="C3" s="10"/>
      <c r="D3" s="10"/>
      <c r="E3" s="10"/>
      <c r="F3" s="10"/>
    </row>
    <row r="4" customFormat="false" ht="15" hidden="false" customHeight="true" outlineLevel="0" collapsed="false">
      <c r="A4" s="11" t="s">
        <v>7</v>
      </c>
      <c r="B4" s="11"/>
      <c r="C4" s="11"/>
      <c r="D4" s="11"/>
      <c r="E4" s="11"/>
      <c r="F4" s="11"/>
    </row>
    <row r="5" customFormat="false" ht="23.85" hidden="false" customHeight="true" outlineLevel="0" collapsed="false">
      <c r="A5" s="9" t="s">
        <v>8</v>
      </c>
      <c r="B5" s="10" t="s">
        <v>9</v>
      </c>
      <c r="C5" s="10"/>
      <c r="D5" s="10"/>
      <c r="E5" s="10"/>
      <c r="F5" s="10"/>
    </row>
    <row r="6" customFormat="false" ht="15" hidden="false" customHeight="true" outlineLevel="0" collapsed="false">
      <c r="A6" s="9" t="s">
        <v>10</v>
      </c>
      <c r="B6" s="10" t="s">
        <v>11</v>
      </c>
      <c r="C6" s="10"/>
      <c r="D6" s="10"/>
      <c r="E6" s="10"/>
      <c r="F6" s="10"/>
    </row>
    <row r="7" customFormat="false" ht="23.85" hidden="false" customHeight="true" outlineLevel="0" collapsed="false">
      <c r="A7" s="9" t="s">
        <v>12</v>
      </c>
      <c r="B7" s="10" t="s">
        <v>13</v>
      </c>
      <c r="C7" s="10"/>
      <c r="D7" s="10"/>
      <c r="E7" s="10"/>
      <c r="F7" s="10"/>
    </row>
    <row r="8" customFormat="false" ht="23.85" hidden="false" customHeight="true" outlineLevel="0" collapsed="false">
      <c r="A8" s="9" t="s">
        <v>14</v>
      </c>
      <c r="B8" s="10" t="s">
        <v>15</v>
      </c>
      <c r="C8" s="10"/>
      <c r="D8" s="10"/>
      <c r="E8" s="10"/>
      <c r="F8" s="10"/>
    </row>
    <row r="9" customFormat="false" ht="23.85" hidden="false" customHeight="true" outlineLevel="0" collapsed="false">
      <c r="A9" s="9" t="s">
        <v>16</v>
      </c>
      <c r="B9" s="10" t="s">
        <v>17</v>
      </c>
      <c r="C9" s="10"/>
      <c r="D9" s="10"/>
      <c r="E9" s="10"/>
      <c r="F9" s="10"/>
    </row>
    <row r="10" customFormat="false" ht="23.85" hidden="false" customHeight="true" outlineLevel="0" collapsed="false">
      <c r="A10" s="9" t="s">
        <v>18</v>
      </c>
      <c r="B10" s="10" t="s">
        <v>19</v>
      </c>
      <c r="C10" s="10"/>
      <c r="D10" s="10"/>
      <c r="E10" s="10"/>
      <c r="F10" s="10"/>
    </row>
    <row r="11" customFormat="false" ht="15" hidden="false" customHeight="true" outlineLevel="0" collapsed="false">
      <c r="A11" s="9" t="s">
        <v>20</v>
      </c>
      <c r="B11" s="10" t="s">
        <v>21</v>
      </c>
      <c r="C11" s="10"/>
      <c r="D11" s="10"/>
      <c r="E11" s="10"/>
      <c r="F11" s="10"/>
    </row>
    <row r="12" customFormat="false" ht="15" hidden="false" customHeight="false" outlineLevel="0" collapsed="false">
      <c r="A12" s="9"/>
      <c r="B12" s="10"/>
      <c r="C12" s="10"/>
      <c r="D12" s="10"/>
      <c r="E12" s="10"/>
      <c r="F12" s="10"/>
    </row>
    <row r="13" customFormat="false" ht="15" hidden="false" customHeight="true" outlineLevel="0" collapsed="false">
      <c r="A13" s="11" t="s">
        <v>22</v>
      </c>
      <c r="B13" s="11"/>
      <c r="C13" s="11"/>
      <c r="D13" s="11"/>
      <c r="E13" s="11"/>
      <c r="F13" s="11"/>
    </row>
    <row r="14" customFormat="false" ht="15" hidden="false" customHeight="true" outlineLevel="0" collapsed="false">
      <c r="A14" s="9"/>
      <c r="B14" s="10" t="s">
        <v>23</v>
      </c>
      <c r="C14" s="10"/>
      <c r="D14" s="10"/>
      <c r="E14" s="10"/>
      <c r="F14" s="10"/>
    </row>
    <row r="15" customFormat="false" ht="15" hidden="false" customHeight="true" outlineLevel="0" collapsed="false">
      <c r="A15" s="9"/>
      <c r="B15" s="10" t="s">
        <v>24</v>
      </c>
      <c r="C15" s="10"/>
      <c r="D15" s="10"/>
      <c r="E15" s="10"/>
      <c r="F15" s="10"/>
    </row>
    <row r="16" customFormat="false" ht="15" hidden="false" customHeight="true" outlineLevel="0" collapsed="false">
      <c r="A16" s="9"/>
      <c r="B16" s="10" t="s">
        <v>25</v>
      </c>
      <c r="C16" s="10"/>
      <c r="D16" s="10"/>
      <c r="E16" s="10"/>
      <c r="F16" s="10"/>
    </row>
    <row r="17" customFormat="false" ht="15" hidden="false" customHeight="true" outlineLevel="0" collapsed="false">
      <c r="A17" s="9"/>
      <c r="B17" s="10" t="s">
        <v>26</v>
      </c>
      <c r="C17" s="10"/>
      <c r="D17" s="10"/>
      <c r="E17" s="10"/>
      <c r="F17" s="10"/>
    </row>
    <row r="18" customFormat="false" ht="15" hidden="false" customHeight="true" outlineLevel="0" collapsed="false">
      <c r="A18" s="9"/>
      <c r="B18" s="10" t="s">
        <v>27</v>
      </c>
      <c r="C18" s="10"/>
      <c r="D18" s="10"/>
      <c r="E18" s="10"/>
      <c r="F18" s="10"/>
    </row>
    <row r="19" customFormat="false" ht="15" hidden="false" customHeight="false" outlineLevel="0" collapsed="false">
      <c r="A19" s="9"/>
      <c r="B19" s="10"/>
      <c r="C19" s="10"/>
      <c r="D19" s="10"/>
      <c r="E19" s="10"/>
      <c r="F19" s="10"/>
    </row>
    <row r="20" customFormat="false" ht="15" hidden="false" customHeight="true" outlineLevel="0" collapsed="false">
      <c r="A20" s="11" t="s">
        <v>28</v>
      </c>
      <c r="B20" s="11"/>
      <c r="C20" s="11"/>
      <c r="D20" s="11"/>
      <c r="E20" s="11"/>
      <c r="F20" s="11"/>
    </row>
    <row r="21" customFormat="false" ht="23.85" hidden="false" customHeight="true" outlineLevel="0" collapsed="false">
      <c r="A21" s="12" t="s">
        <v>29</v>
      </c>
      <c r="B21" s="10" t="s">
        <v>30</v>
      </c>
      <c r="C21" s="10"/>
      <c r="D21" s="10"/>
      <c r="E21" s="10"/>
      <c r="F21" s="10"/>
    </row>
    <row r="22" customFormat="false" ht="23.85" hidden="false" customHeight="true" outlineLevel="0" collapsed="false">
      <c r="A22" s="12" t="s">
        <v>31</v>
      </c>
      <c r="B22" s="10" t="s">
        <v>32</v>
      </c>
      <c r="C22" s="10"/>
      <c r="D22" s="10"/>
      <c r="E22" s="10"/>
      <c r="F22" s="10"/>
    </row>
    <row r="23" customFormat="false" ht="23.85" hidden="false" customHeight="true" outlineLevel="0" collapsed="false">
      <c r="A23" s="12" t="s">
        <v>33</v>
      </c>
      <c r="B23" s="10" t="s">
        <v>34</v>
      </c>
      <c r="C23" s="10"/>
      <c r="D23" s="10"/>
      <c r="E23" s="10"/>
      <c r="F23" s="10"/>
    </row>
  </sheetData>
  <mergeCells count="22">
    <mergeCell ref="A1:F1"/>
    <mergeCell ref="B3:F3"/>
    <mergeCell ref="A4:F4"/>
    <mergeCell ref="B5:F5"/>
    <mergeCell ref="B6:F6"/>
    <mergeCell ref="B7:F7"/>
    <mergeCell ref="B8:F8"/>
    <mergeCell ref="B9:F9"/>
    <mergeCell ref="B10:F10"/>
    <mergeCell ref="B11:F11"/>
    <mergeCell ref="B12:F12"/>
    <mergeCell ref="A13:F13"/>
    <mergeCell ref="B14:F14"/>
    <mergeCell ref="B15:F15"/>
    <mergeCell ref="B16:F16"/>
    <mergeCell ref="B17:F17"/>
    <mergeCell ref="B18:F18"/>
    <mergeCell ref="B19:F19"/>
    <mergeCell ref="A20:F20"/>
    <mergeCell ref="B21:F21"/>
    <mergeCell ref="B22:F22"/>
    <mergeCell ref="B23:F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R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10" topLeftCell="F11" activePane="bottomRight" state="frozen"/>
      <selection pane="topLeft" activeCell="A1" activeCellId="0" sqref="A1"/>
      <selection pane="topRight" activeCell="F1" activeCellId="0" sqref="F1"/>
      <selection pane="bottomLeft" activeCell="A11" activeCellId="0" sqref="A11"/>
      <selection pane="bottomRight" activeCell="A1" activeCellId="0" sqref="A1"/>
    </sheetView>
  </sheetViews>
  <sheetFormatPr defaultColWidth="8.6796875" defaultRowHeight="15" zeroHeight="false" outlineLevelRow="0" outlineLevelCol="1"/>
  <cols>
    <col collapsed="false" customWidth="true" hidden="false" outlineLevel="0" max="1" min="1" style="0" width="6"/>
    <col collapsed="false" customWidth="true" hidden="false" outlineLevel="0" max="2" min="2" style="0" width="18"/>
    <col collapsed="false" customWidth="true" hidden="false" outlineLevel="0" max="3" min="3" style="0" width="34"/>
    <col collapsed="false" customWidth="true" hidden="false" outlineLevel="0" max="4" min="4" style="0" width="16"/>
    <col collapsed="false" customWidth="true" hidden="false" outlineLevel="0" max="5" min="5" style="0" width="12"/>
    <col collapsed="false" customWidth="true" hidden="false" outlineLevel="0" max="15" min="6" style="0" width="8"/>
    <col collapsed="false" customWidth="true" hidden="true" outlineLevel="1" max="18" min="16" style="0" width="28"/>
  </cols>
  <sheetData>
    <row r="1" customFormat="false" ht="18.65" hidden="false" customHeight="true" outlineLevel="0" collapsed="false">
      <c r="A1" s="13" t="s">
        <v>35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4"/>
      <c r="Q1" s="14"/>
      <c r="R1" s="14"/>
    </row>
    <row r="3" customFormat="false" ht="46.25" hidden="false" customHeight="false" outlineLevel="0" collapsed="false">
      <c r="A3" s="15" t="s">
        <v>36</v>
      </c>
      <c r="B3" s="16" t="n">
        <v>46104</v>
      </c>
      <c r="D3" s="15" t="s">
        <v>37</v>
      </c>
      <c r="E3" s="17" t="s">
        <v>38</v>
      </c>
    </row>
    <row r="4" customFormat="false" ht="23.85" hidden="false" customHeight="false" outlineLevel="0" collapsed="false">
      <c r="A4" s="15" t="s">
        <v>39</v>
      </c>
      <c r="B4" s="17" t="s">
        <v>40</v>
      </c>
      <c r="D4" s="15" t="s">
        <v>41</v>
      </c>
      <c r="E4" s="17" t="s">
        <v>42</v>
      </c>
    </row>
    <row r="5" customFormat="false" ht="15" hidden="false" customHeight="false" outlineLevel="0" collapsed="false">
      <c r="A5" s="15" t="s">
        <v>43</v>
      </c>
      <c r="B5" s="17"/>
      <c r="C5" s="17"/>
      <c r="G5" s="18" t="s">
        <v>44</v>
      </c>
      <c r="H5" s="19" t="n">
        <f aca="false">COUNTIF(F11:O35,"P")</f>
        <v>31</v>
      </c>
      <c r="I5" s="18" t="s">
        <v>45</v>
      </c>
      <c r="J5" s="20" t="n">
        <f aca="false">COUNTIF(F11:O35,"A")</f>
        <v>11</v>
      </c>
      <c r="K5" s="18" t="s">
        <v>46</v>
      </c>
      <c r="L5" s="21" t="n">
        <f aca="false">COUNTIF(F11:O35,"X")</f>
        <v>2</v>
      </c>
    </row>
    <row r="7" customFormat="false" ht="15" hidden="false" customHeight="true" outlineLevel="0" collapsed="false">
      <c r="A7" s="22"/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3" t="s">
        <v>47</v>
      </c>
      <c r="Q7" s="23"/>
      <c r="R7" s="23"/>
    </row>
    <row r="8" customFormat="false" ht="15" hidden="false" customHeight="true" outlineLevel="0" collapsed="false">
      <c r="A8" s="24" t="s">
        <v>48</v>
      </c>
      <c r="B8" s="24" t="s">
        <v>49</v>
      </c>
      <c r="C8" s="24" t="s">
        <v>50</v>
      </c>
      <c r="D8" s="24" t="s">
        <v>51</v>
      </c>
      <c r="E8" s="24" t="s">
        <v>52</v>
      </c>
      <c r="F8" s="25" t="s">
        <v>53</v>
      </c>
      <c r="G8" s="25"/>
      <c r="H8" s="25"/>
      <c r="I8" s="25"/>
      <c r="J8" s="25"/>
      <c r="K8" s="25" t="s">
        <v>54</v>
      </c>
      <c r="L8" s="25"/>
      <c r="M8" s="25"/>
      <c r="N8" s="25"/>
      <c r="O8" s="25"/>
      <c r="P8" s="24" t="s">
        <v>55</v>
      </c>
      <c r="Q8" s="24" t="s">
        <v>56</v>
      </c>
      <c r="R8" s="24" t="s">
        <v>57</v>
      </c>
    </row>
    <row r="9" customFormat="false" ht="15" hidden="false" customHeight="false" outlineLevel="0" collapsed="false">
      <c r="A9" s="24"/>
      <c r="B9" s="24"/>
      <c r="C9" s="24"/>
      <c r="D9" s="24"/>
      <c r="E9" s="24"/>
      <c r="F9" s="26" t="s">
        <v>58</v>
      </c>
      <c r="G9" s="26" t="s">
        <v>59</v>
      </c>
      <c r="H9" s="26" t="s">
        <v>60</v>
      </c>
      <c r="I9" s="26" t="s">
        <v>61</v>
      </c>
      <c r="J9" s="26" t="s">
        <v>62</v>
      </c>
      <c r="K9" s="26" t="s">
        <v>58</v>
      </c>
      <c r="L9" s="26" t="s">
        <v>59</v>
      </c>
      <c r="M9" s="26" t="s">
        <v>60</v>
      </c>
      <c r="N9" s="26" t="s">
        <v>61</v>
      </c>
      <c r="O9" s="26" t="s">
        <v>62</v>
      </c>
      <c r="P9" s="24"/>
      <c r="Q9" s="24"/>
      <c r="R9" s="24"/>
    </row>
    <row r="10" customFormat="false" ht="15" hidden="false" customHeight="false" outlineLevel="0" collapsed="false">
      <c r="A10" s="24"/>
      <c r="B10" s="24"/>
      <c r="C10" s="24"/>
      <c r="D10" s="24"/>
      <c r="E10" s="24"/>
      <c r="F10" s="27" t="n">
        <f aca="false">B3+0</f>
        <v>46104</v>
      </c>
      <c r="G10" s="27" t="n">
        <f aca="false">B3+1</f>
        <v>46105</v>
      </c>
      <c r="H10" s="27" t="n">
        <f aca="false">B3+2</f>
        <v>46106</v>
      </c>
      <c r="I10" s="27" t="n">
        <f aca="false">B3+3</f>
        <v>46107</v>
      </c>
      <c r="J10" s="27" t="n">
        <f aca="false">B3+4</f>
        <v>46108</v>
      </c>
      <c r="K10" s="27" t="n">
        <f aca="false">B3+7</f>
        <v>46111</v>
      </c>
      <c r="L10" s="27" t="n">
        <f aca="false">B3+8</f>
        <v>46112</v>
      </c>
      <c r="M10" s="27" t="n">
        <f aca="false">B3+9</f>
        <v>46113</v>
      </c>
      <c r="N10" s="27" t="n">
        <f aca="false">B3+10</f>
        <v>46114</v>
      </c>
      <c r="O10" s="27" t="n">
        <f aca="false">B3+11</f>
        <v>46115</v>
      </c>
      <c r="P10" s="24"/>
      <c r="Q10" s="24"/>
      <c r="R10" s="24"/>
    </row>
    <row r="11" customFormat="false" ht="23.85" hidden="false" customHeight="false" outlineLevel="0" collapsed="false">
      <c r="A11" s="28" t="n">
        <f aca="false">IF(C11&lt;&gt;"",ROW()-10,"")</f>
        <v>1</v>
      </c>
      <c r="B11" s="29" t="s">
        <v>63</v>
      </c>
      <c r="C11" s="29" t="s">
        <v>64</v>
      </c>
      <c r="D11" s="29" t="s">
        <v>65</v>
      </c>
      <c r="E11" s="29" t="s">
        <v>66</v>
      </c>
      <c r="F11" s="30" t="s">
        <v>67</v>
      </c>
      <c r="G11" s="30" t="s">
        <v>67</v>
      </c>
      <c r="H11" s="30" t="s">
        <v>67</v>
      </c>
      <c r="I11" s="30" t="s">
        <v>68</v>
      </c>
      <c r="J11" s="30" t="s">
        <v>68</v>
      </c>
      <c r="K11" s="30" t="s">
        <v>68</v>
      </c>
      <c r="L11" s="30" t="s">
        <v>68</v>
      </c>
      <c r="M11" s="30" t="s">
        <v>68</v>
      </c>
      <c r="N11" s="30"/>
      <c r="O11" s="30"/>
      <c r="P11" s="29" t="s">
        <v>69</v>
      </c>
      <c r="Q11" s="29" t="s">
        <v>70</v>
      </c>
      <c r="R11" s="29" t="s">
        <v>71</v>
      </c>
    </row>
    <row r="12" customFormat="false" ht="23.85" hidden="false" customHeight="false" outlineLevel="0" collapsed="false">
      <c r="A12" s="28" t="n">
        <f aca="false">IF(C12&lt;&gt;"",ROW()-10,"")</f>
        <v>2</v>
      </c>
      <c r="B12" s="31" t="s">
        <v>72</v>
      </c>
      <c r="C12" s="31" t="s">
        <v>73</v>
      </c>
      <c r="D12" s="31" t="s">
        <v>74</v>
      </c>
      <c r="E12" s="31" t="s">
        <v>66</v>
      </c>
      <c r="F12" s="30"/>
      <c r="G12" s="30"/>
      <c r="H12" s="30"/>
      <c r="I12" s="30" t="s">
        <v>67</v>
      </c>
      <c r="J12" s="30" t="s">
        <v>67</v>
      </c>
      <c r="K12" s="30" t="s">
        <v>68</v>
      </c>
      <c r="L12" s="30" t="s">
        <v>68</v>
      </c>
      <c r="M12" s="30"/>
      <c r="N12" s="30"/>
      <c r="O12" s="30"/>
      <c r="P12" s="29" t="s">
        <v>75</v>
      </c>
      <c r="Q12" s="29" t="s">
        <v>76</v>
      </c>
      <c r="R12" s="29" t="s">
        <v>77</v>
      </c>
    </row>
    <row r="13" customFormat="false" ht="15" hidden="false" customHeight="false" outlineLevel="0" collapsed="false">
      <c r="A13" s="28" t="n">
        <f aca="false">IF(C13&lt;&gt;"",ROW()-10,"")</f>
        <v>3</v>
      </c>
      <c r="B13" s="29" t="s">
        <v>78</v>
      </c>
      <c r="C13" s="29" t="s">
        <v>79</v>
      </c>
      <c r="D13" s="29" t="s">
        <v>80</v>
      </c>
      <c r="E13" s="29" t="s">
        <v>81</v>
      </c>
      <c r="F13" s="30"/>
      <c r="G13" s="30"/>
      <c r="H13" s="30"/>
      <c r="I13" s="30"/>
      <c r="J13" s="30"/>
      <c r="K13" s="30" t="s">
        <v>67</v>
      </c>
      <c r="L13" s="30" t="s">
        <v>67</v>
      </c>
      <c r="M13" s="30" t="s">
        <v>68</v>
      </c>
      <c r="N13" s="30" t="s">
        <v>68</v>
      </c>
      <c r="O13" s="30" t="s">
        <v>68</v>
      </c>
      <c r="P13" s="29" t="s">
        <v>82</v>
      </c>
      <c r="Q13" s="29" t="s">
        <v>83</v>
      </c>
      <c r="R13" s="29" t="s">
        <v>84</v>
      </c>
    </row>
    <row r="14" customFormat="false" ht="15" hidden="false" customHeight="false" outlineLevel="0" collapsed="false">
      <c r="A14" s="28" t="n">
        <f aca="false">IF(C14&lt;&gt;"",ROW()-10,"")</f>
        <v>4</v>
      </c>
      <c r="B14" s="31" t="s">
        <v>85</v>
      </c>
      <c r="C14" s="31" t="s">
        <v>86</v>
      </c>
      <c r="D14" s="31" t="s">
        <v>87</v>
      </c>
      <c r="E14" s="31" t="s">
        <v>66</v>
      </c>
      <c r="F14" s="30" t="s">
        <v>68</v>
      </c>
      <c r="G14" s="30" t="s">
        <v>68</v>
      </c>
      <c r="H14" s="30" t="s">
        <v>68</v>
      </c>
      <c r="I14" s="30" t="s">
        <v>68</v>
      </c>
      <c r="J14" s="30" t="s">
        <v>68</v>
      </c>
      <c r="K14" s="30" t="s">
        <v>68</v>
      </c>
      <c r="L14" s="30" t="s">
        <v>68</v>
      </c>
      <c r="M14" s="30" t="s">
        <v>68</v>
      </c>
      <c r="N14" s="30" t="s">
        <v>68</v>
      </c>
      <c r="O14" s="30" t="s">
        <v>68</v>
      </c>
      <c r="P14" s="29" t="s">
        <v>88</v>
      </c>
      <c r="Q14" s="29" t="s">
        <v>89</v>
      </c>
      <c r="R14" s="29" t="s">
        <v>90</v>
      </c>
    </row>
    <row r="15" customFormat="false" ht="15" hidden="false" customHeight="false" outlineLevel="0" collapsed="false">
      <c r="A15" s="28" t="n">
        <f aca="false">IF(C15&lt;&gt;"",ROW()-10,"")</f>
        <v>5</v>
      </c>
      <c r="B15" s="29" t="s">
        <v>91</v>
      </c>
      <c r="C15" s="29" t="s">
        <v>92</v>
      </c>
      <c r="D15" s="29" t="s">
        <v>93</v>
      </c>
      <c r="E15" s="29" t="s">
        <v>94</v>
      </c>
      <c r="F15" s="30" t="s">
        <v>95</v>
      </c>
      <c r="G15" s="30" t="s">
        <v>95</v>
      </c>
      <c r="H15" s="30" t="s">
        <v>68</v>
      </c>
      <c r="I15" s="30" t="s">
        <v>68</v>
      </c>
      <c r="J15" s="30" t="s">
        <v>68</v>
      </c>
      <c r="K15" s="30"/>
      <c r="L15" s="30"/>
      <c r="M15" s="30"/>
      <c r="N15" s="30"/>
      <c r="O15" s="30"/>
      <c r="P15" s="29" t="s">
        <v>96</v>
      </c>
      <c r="Q15" s="29" t="s">
        <v>97</v>
      </c>
      <c r="R15" s="29" t="s">
        <v>98</v>
      </c>
    </row>
    <row r="16" customFormat="false" ht="15" hidden="false" customHeight="false" outlineLevel="0" collapsed="false">
      <c r="A16" s="28" t="n">
        <f aca="false">IF(C16&lt;&gt;"",ROW()-10,"")</f>
        <v>6</v>
      </c>
      <c r="B16" s="31" t="s">
        <v>99</v>
      </c>
      <c r="C16" s="31" t="s">
        <v>100</v>
      </c>
      <c r="D16" s="31" t="s">
        <v>101</v>
      </c>
      <c r="E16" s="31" t="s">
        <v>102</v>
      </c>
      <c r="F16" s="30"/>
      <c r="G16" s="30"/>
      <c r="H16" s="30"/>
      <c r="I16" s="30"/>
      <c r="J16" s="30"/>
      <c r="K16" s="30"/>
      <c r="L16" s="30"/>
      <c r="M16" s="30" t="s">
        <v>68</v>
      </c>
      <c r="N16" s="30" t="s">
        <v>68</v>
      </c>
      <c r="O16" s="30" t="s">
        <v>68</v>
      </c>
      <c r="P16" s="29" t="s">
        <v>103</v>
      </c>
      <c r="Q16" s="29" t="s">
        <v>104</v>
      </c>
      <c r="R16" s="29" t="s">
        <v>105</v>
      </c>
    </row>
    <row r="17" customFormat="false" ht="15" hidden="false" customHeight="false" outlineLevel="0" collapsed="false">
      <c r="A17" s="28" t="n">
        <f aca="false">IF(C17&lt;&gt;"",ROW()-10,"")</f>
        <v>7</v>
      </c>
      <c r="B17" s="29" t="s">
        <v>106</v>
      </c>
      <c r="C17" s="29" t="s">
        <v>107</v>
      </c>
      <c r="D17" s="29" t="s">
        <v>65</v>
      </c>
      <c r="E17" s="29" t="s">
        <v>66</v>
      </c>
      <c r="F17" s="30" t="s">
        <v>67</v>
      </c>
      <c r="G17" s="30" t="s">
        <v>67</v>
      </c>
      <c r="H17" s="30" t="s">
        <v>67</v>
      </c>
      <c r="I17" s="30" t="s">
        <v>67</v>
      </c>
      <c r="J17" s="30" t="s">
        <v>68</v>
      </c>
      <c r="K17" s="30" t="s">
        <v>68</v>
      </c>
      <c r="L17" s="30" t="s">
        <v>68</v>
      </c>
      <c r="M17" s="30" t="s">
        <v>68</v>
      </c>
      <c r="N17" s="30" t="s">
        <v>68</v>
      </c>
      <c r="O17" s="30"/>
      <c r="P17" s="29"/>
      <c r="Q17" s="29" t="s">
        <v>108</v>
      </c>
      <c r="R17" s="29" t="s">
        <v>109</v>
      </c>
    </row>
    <row r="18" customFormat="false" ht="15" hidden="false" customHeight="false" outlineLevel="0" collapsed="false">
      <c r="A18" s="28" t="str">
        <f aca="false">IF(C18&lt;&gt;"",ROW()-10,"")</f>
        <v/>
      </c>
      <c r="B18" s="31"/>
      <c r="C18" s="31"/>
      <c r="D18" s="31"/>
      <c r="E18" s="31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29"/>
      <c r="Q18" s="29"/>
      <c r="R18" s="29"/>
    </row>
    <row r="19" customFormat="false" ht="15" hidden="false" customHeight="false" outlineLevel="0" collapsed="false">
      <c r="A19" s="28" t="str">
        <f aca="false">IF(C19&lt;&gt;"",ROW()-10,"")</f>
        <v/>
      </c>
      <c r="B19" s="29"/>
      <c r="C19" s="29"/>
      <c r="D19" s="29"/>
      <c r="E19" s="29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29"/>
      <c r="Q19" s="29"/>
      <c r="R19" s="29"/>
    </row>
    <row r="20" customFormat="false" ht="15" hidden="false" customHeight="false" outlineLevel="0" collapsed="false">
      <c r="A20" s="28" t="str">
        <f aca="false">IF(C20&lt;&gt;"",ROW()-10,"")</f>
        <v/>
      </c>
      <c r="B20" s="31"/>
      <c r="C20" s="31"/>
      <c r="D20" s="31"/>
      <c r="E20" s="31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29"/>
      <c r="Q20" s="29"/>
      <c r="R20" s="29"/>
    </row>
    <row r="21" customFormat="false" ht="15" hidden="false" customHeight="false" outlineLevel="0" collapsed="false">
      <c r="A21" s="28" t="str">
        <f aca="false">IF(C21&lt;&gt;"",ROW()-10,"")</f>
        <v/>
      </c>
      <c r="B21" s="29"/>
      <c r="C21" s="29"/>
      <c r="D21" s="29"/>
      <c r="E21" s="29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29"/>
      <c r="Q21" s="29"/>
      <c r="R21" s="29"/>
    </row>
    <row r="22" customFormat="false" ht="15" hidden="false" customHeight="false" outlineLevel="0" collapsed="false">
      <c r="A22" s="28" t="str">
        <f aca="false">IF(C22&lt;&gt;"",ROW()-10,"")</f>
        <v/>
      </c>
      <c r="B22" s="31"/>
      <c r="C22" s="31"/>
      <c r="D22" s="31"/>
      <c r="E22" s="31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29"/>
      <c r="Q22" s="29"/>
      <c r="R22" s="29"/>
    </row>
    <row r="23" customFormat="false" ht="15" hidden="false" customHeight="false" outlineLevel="0" collapsed="false">
      <c r="A23" s="28" t="str">
        <f aca="false">IF(C23&lt;&gt;"",ROW()-10,"")</f>
        <v/>
      </c>
      <c r="B23" s="29"/>
      <c r="C23" s="29"/>
      <c r="D23" s="29"/>
      <c r="E23" s="29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29"/>
      <c r="Q23" s="29"/>
      <c r="R23" s="29"/>
    </row>
    <row r="24" customFormat="false" ht="15" hidden="false" customHeight="false" outlineLevel="0" collapsed="false">
      <c r="A24" s="28" t="str">
        <f aca="false">IF(C24&lt;&gt;"",ROW()-10,"")</f>
        <v/>
      </c>
      <c r="B24" s="31"/>
      <c r="C24" s="31"/>
      <c r="D24" s="31"/>
      <c r="E24" s="31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29"/>
      <c r="Q24" s="29"/>
      <c r="R24" s="29"/>
    </row>
    <row r="25" customFormat="false" ht="15" hidden="false" customHeight="false" outlineLevel="0" collapsed="false">
      <c r="A25" s="28" t="str">
        <f aca="false">IF(C25&lt;&gt;"",ROW()-10,"")</f>
        <v/>
      </c>
      <c r="B25" s="29"/>
      <c r="C25" s="29"/>
      <c r="D25" s="29"/>
      <c r="E25" s="29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29"/>
      <c r="Q25" s="29"/>
      <c r="R25" s="29"/>
    </row>
    <row r="26" customFormat="false" ht="15" hidden="false" customHeight="false" outlineLevel="0" collapsed="false">
      <c r="A26" s="28" t="str">
        <f aca="false">IF(C26&lt;&gt;"",ROW()-10,"")</f>
        <v/>
      </c>
      <c r="B26" s="31"/>
      <c r="C26" s="31"/>
      <c r="D26" s="31"/>
      <c r="E26" s="31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29"/>
      <c r="Q26" s="29"/>
      <c r="R26" s="29"/>
    </row>
    <row r="27" customFormat="false" ht="15" hidden="false" customHeight="false" outlineLevel="0" collapsed="false">
      <c r="A27" s="28" t="str">
        <f aca="false">IF(C27&lt;&gt;"",ROW()-10,"")</f>
        <v/>
      </c>
      <c r="B27" s="29"/>
      <c r="C27" s="29"/>
      <c r="D27" s="29"/>
      <c r="E27" s="29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29"/>
      <c r="Q27" s="29"/>
      <c r="R27" s="29"/>
    </row>
    <row r="28" customFormat="false" ht="15" hidden="false" customHeight="false" outlineLevel="0" collapsed="false">
      <c r="A28" s="28" t="str">
        <f aca="false">IF(C28&lt;&gt;"",ROW()-10,"")</f>
        <v/>
      </c>
      <c r="B28" s="31"/>
      <c r="C28" s="31"/>
      <c r="D28" s="31"/>
      <c r="E28" s="31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29"/>
      <c r="Q28" s="29"/>
      <c r="R28" s="29"/>
    </row>
    <row r="29" customFormat="false" ht="15" hidden="false" customHeight="false" outlineLevel="0" collapsed="false">
      <c r="A29" s="28" t="str">
        <f aca="false">IF(C29&lt;&gt;"",ROW()-10,"")</f>
        <v/>
      </c>
      <c r="B29" s="29"/>
      <c r="C29" s="29"/>
      <c r="D29" s="29"/>
      <c r="E29" s="29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29"/>
      <c r="Q29" s="29"/>
      <c r="R29" s="29"/>
    </row>
    <row r="30" customFormat="false" ht="15" hidden="false" customHeight="false" outlineLevel="0" collapsed="false">
      <c r="A30" s="28" t="str">
        <f aca="false">IF(C30&lt;&gt;"",ROW()-10,"")</f>
        <v/>
      </c>
      <c r="B30" s="31"/>
      <c r="C30" s="31"/>
      <c r="D30" s="31"/>
      <c r="E30" s="31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29"/>
      <c r="Q30" s="29"/>
      <c r="R30" s="29"/>
    </row>
    <row r="31" customFormat="false" ht="15" hidden="false" customHeight="false" outlineLevel="0" collapsed="false">
      <c r="A31" s="28" t="str">
        <f aca="false">IF(C31&lt;&gt;"",ROW()-10,"")</f>
        <v/>
      </c>
      <c r="B31" s="29"/>
      <c r="C31" s="29"/>
      <c r="D31" s="29"/>
      <c r="E31" s="29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29"/>
      <c r="Q31" s="29"/>
      <c r="R31" s="29"/>
    </row>
    <row r="32" customFormat="false" ht="15" hidden="false" customHeight="false" outlineLevel="0" collapsed="false">
      <c r="A32" s="28" t="str">
        <f aca="false">IF(C32&lt;&gt;"",ROW()-10,"")</f>
        <v/>
      </c>
      <c r="B32" s="31"/>
      <c r="C32" s="31"/>
      <c r="D32" s="31"/>
      <c r="E32" s="31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29"/>
      <c r="Q32" s="29"/>
      <c r="R32" s="29"/>
    </row>
    <row r="33" customFormat="false" ht="15" hidden="false" customHeight="false" outlineLevel="0" collapsed="false">
      <c r="A33" s="28" t="str">
        <f aca="false">IF(C33&lt;&gt;"",ROW()-10,"")</f>
        <v/>
      </c>
      <c r="B33" s="29"/>
      <c r="C33" s="29"/>
      <c r="D33" s="29"/>
      <c r="E33" s="29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29"/>
      <c r="Q33" s="29"/>
      <c r="R33" s="29"/>
    </row>
    <row r="34" customFormat="false" ht="15" hidden="false" customHeight="false" outlineLevel="0" collapsed="false">
      <c r="A34" s="28" t="str">
        <f aca="false">IF(C34&lt;&gt;"",ROW()-10,"")</f>
        <v/>
      </c>
      <c r="B34" s="31"/>
      <c r="C34" s="31"/>
      <c r="D34" s="31"/>
      <c r="E34" s="31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29"/>
      <c r="Q34" s="29"/>
      <c r="R34" s="29"/>
    </row>
    <row r="35" customFormat="false" ht="15" hidden="false" customHeight="false" outlineLevel="0" collapsed="false">
      <c r="A35" s="28" t="str">
        <f aca="false">IF(C35&lt;&gt;"",ROW()-10,"")</f>
        <v/>
      </c>
      <c r="B35" s="29"/>
      <c r="C35" s="29"/>
      <c r="D35" s="29"/>
      <c r="E35" s="29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29"/>
      <c r="Q35" s="29"/>
      <c r="R35" s="29"/>
    </row>
    <row r="37" customFormat="false" ht="15" hidden="false" customHeight="false" outlineLevel="0" collapsed="false">
      <c r="A37" s="32" t="s">
        <v>110</v>
      </c>
      <c r="B37" s="33" t="s">
        <v>111</v>
      </c>
      <c r="C37" s="34" t="s">
        <v>112</v>
      </c>
      <c r="D37" s="35" t="s">
        <v>113</v>
      </c>
    </row>
  </sheetData>
  <autoFilter ref="A10:R35"/>
  <mergeCells count="13">
    <mergeCell ref="A1:O1"/>
    <mergeCell ref="B5:C5"/>
    <mergeCell ref="P7:R7"/>
    <mergeCell ref="A8:A10"/>
    <mergeCell ref="B8:B10"/>
    <mergeCell ref="C8:C10"/>
    <mergeCell ref="D8:D10"/>
    <mergeCell ref="E8:E10"/>
    <mergeCell ref="F8:J8"/>
    <mergeCell ref="K8:O8"/>
    <mergeCell ref="P8:P10"/>
    <mergeCell ref="Q8:Q10"/>
    <mergeCell ref="R8:R10"/>
  </mergeCells>
  <conditionalFormatting sqref="F11:O35">
    <cfRule type="cellIs" priority="2" operator="equal" aboveAverage="0" equalAverage="0" bottom="0" percent="0" rank="0" text="" dxfId="11">
      <formula>"P"</formula>
    </cfRule>
    <cfRule type="cellIs" priority="3" operator="equal" aboveAverage="0" equalAverage="0" bottom="0" percent="0" rank="0" text="" dxfId="12">
      <formula>"A"</formula>
    </cfRule>
    <cfRule type="cellIs" priority="4" operator="equal" aboveAverage="0" equalAverage="0" bottom="0" percent="0" rank="0" text="" dxfId="13">
      <formula>"X"</formula>
    </cfRule>
  </conditionalFormatting>
  <conditionalFormatting sqref="E11:E35">
    <cfRule type="cellIs" priority="5" operator="equal" aboveAverage="0" equalAverage="0" bottom="0" percent="0" rank="0" text="" dxfId="12">
      <formula>"On Track"</formula>
    </cfRule>
    <cfRule type="cellIs" priority="6" operator="equal" aboveAverage="0" equalAverage="0" bottom="0" percent="0" rank="0" text="" dxfId="14">
      <formula>"At Risk"</formula>
    </cfRule>
    <cfRule type="cellIs" priority="7" operator="equal" aboveAverage="0" equalAverage="0" bottom="0" percent="0" rank="0" text="" dxfId="13">
      <formula>"Behind"</formula>
    </cfRule>
    <cfRule type="cellIs" priority="8" operator="equal" aboveAverage="0" equalAverage="0" bottom="0" percent="0" rank="0" text="" dxfId="15">
      <formula>"Complete"</formula>
    </cfRule>
  </conditionalFormatting>
  <dataValidations count="3">
    <dataValidation allowBlank="true" errorStyle="stop" operator="between" prompt="P=Planned, A=Actual, X=Delayed" showDropDown="false" showErrorMessage="false" showInputMessage="false" sqref="F11:O35" type="list">
      <formula1>"P,A,X"</formula1>
      <formula2>0</formula2>
    </dataValidation>
    <dataValidation allowBlank="true" errorStyle="stop" operator="between" showDropDown="false" showErrorMessage="false" showInputMessage="false" sqref="B11:B35" type="list">
      <formula1>"Groundworks,Piling,Concrete,Steelwork,Roofing,Cladding,Brickwork,M&amp;E,Electrical,Plumbing,Scaffolding,Drylining,Finishes,Commissioning,Externals,Cleaning,Multi-trade,Other"</formula1>
      <formula2>0</formula2>
    </dataValidation>
    <dataValidation allowBlank="true" errorStyle="stop" operator="between" showDropDown="false" showErrorMessage="false" showInputMessage="false" sqref="E11:E35" type="list">
      <formula1>"On Track,At Risk,Behind,Complete,Not Started"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&amp;CTwo-Week Look-Ahead Programme</oddHeader>
    <oddFooter>&amp;Rebrora.com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A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0"/>
  </cols>
  <sheetData>
    <row r="1" customFormat="false" ht="18.65" hidden="false" customHeight="false" outlineLevel="0" collapsed="false">
      <c r="A1" s="36" t="s">
        <v>114</v>
      </c>
    </row>
    <row r="2" customFormat="false" ht="15" hidden="false" customHeight="false" outlineLevel="0" collapsed="false">
      <c r="A2" s="9"/>
    </row>
    <row r="3" customFormat="false" ht="15" hidden="false" customHeight="false" outlineLevel="0" collapsed="false">
      <c r="A3" s="9" t="s">
        <v>115</v>
      </c>
    </row>
    <row r="4" customFormat="false" ht="15" hidden="false" customHeight="false" outlineLevel="0" collapsed="false">
      <c r="A4" s="9"/>
    </row>
    <row r="5" customFormat="false" ht="23.85" hidden="false" customHeight="false" outlineLevel="0" collapsed="false">
      <c r="A5" s="9" t="s">
        <v>116</v>
      </c>
    </row>
    <row r="6" customFormat="false" ht="15" hidden="false" customHeight="false" outlineLevel="0" collapsed="false">
      <c r="A6" s="9"/>
    </row>
    <row r="7" customFormat="false" ht="23.85" hidden="false" customHeight="false" outlineLevel="0" collapsed="false">
      <c r="A7" s="9" t="s">
        <v>117</v>
      </c>
    </row>
    <row r="8" customFormat="false" ht="15" hidden="false" customHeight="false" outlineLevel="0" collapsed="false">
      <c r="A8" s="9"/>
    </row>
    <row r="9" customFormat="false" ht="15" hidden="false" customHeight="false" outlineLevel="0" collapsed="false">
      <c r="A9" s="9" t="s">
        <v>118</v>
      </c>
    </row>
    <row r="10" customFormat="false" ht="15" hidden="false" customHeight="false" outlineLevel="0" collapsed="false">
      <c r="A10" s="9"/>
    </row>
    <row r="11" customFormat="false" ht="15" hidden="false" customHeight="false" outlineLevel="0" collapsed="false">
      <c r="A11" s="9" t="s">
        <v>119</v>
      </c>
    </row>
    <row r="12" customFormat="false" ht="15" hidden="false" customHeight="false" outlineLevel="0" collapsed="false">
      <c r="A12" s="9"/>
    </row>
    <row r="13" customFormat="false" ht="23.85" hidden="false" customHeight="false" outlineLevel="0" collapsed="false">
      <c r="A13" s="9" t="s">
        <v>120</v>
      </c>
    </row>
    <row r="14" customFormat="false" ht="15" hidden="false" customHeight="false" outlineLevel="0" collapsed="false">
      <c r="A14" s="9"/>
    </row>
    <row r="15" customFormat="false" ht="15" hidden="false" customHeight="false" outlineLevel="0" collapsed="false">
      <c r="A15" s="9" t="s">
        <v>121</v>
      </c>
    </row>
    <row r="16" customFormat="false" ht="15" hidden="false" customHeight="false" outlineLevel="0" collapsed="false">
      <c r="A16" s="9"/>
    </row>
    <row r="17" customFormat="false" ht="15" hidden="false" customHeight="false" outlineLevel="0" collapsed="false">
      <c r="A17" s="9" t="s">
        <v>122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category>Site Management &amp; Planning</cp:category>
  <dcterms:created xsi:type="dcterms:W3CDTF">2026-03-22T19:08:19Z</dcterms:created>
  <dc:creator>Ebrora Ltd</dc:creator>
  <dc:description>A rolling two-week look-ahead showing planned activities against 10 working days in a visual Gantt-style grid — the essential tool for weekly coordination meetings on UK construction sites.
Free professional construction management template from Ebrora Ltd. Visit ebrora.com for our full range of tools and templates.</dc:description>
  <cp:keywords>Ebrora construction look-ahead programme short-term planning Gantt coordination site management</cp:keywords>
  <dc:language>en-US</dc:language>
  <cp:lastModifiedBy>Ebrora Ltd</cp:lastModifiedBy>
  <dcterms:modified xsi:type="dcterms:W3CDTF">2026-03-22T19:08:19Z</dcterms:modified>
  <cp:revision>0</cp:revision>
  <dc:subject>Rolling two-week short-term programme with Gantt-style day grid for construction site coordination and planning.</dc:subject>
  <dc:title>Two-Week Look-Ahead Programme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