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Agency Tracker" sheetId="3" state="visible" r:id="rId5"/>
    <sheet name="Terms of Use" sheetId="4" state="hidden" r:id="rId6"/>
  </sheets>
  <definedNames>
    <definedName function="false" hidden="false" localSheetId="2" name="_xlnm.Print_Area" vbProcedure="false">'Agency Tracker'!$A$1:$N$59</definedName>
    <definedName function="false" hidden="true" localSheetId="2" name="_xlnm._FilterDatabase" vbProcedure="false">'Agency Tracker'!$A$9:$N$509</definedName>
    <definedName function="false" hidden="false" localSheetId="0" name="_xlnm.Print_Area" vbProcedure="false">Cover!$A$1:$H$20</definedName>
    <definedName function="false" hidden="false" name="AgencyTracker" vbProcedure="false">'Agency Tracker'!$A$9:$N$509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<sst xmlns="http://schemas.openxmlformats.org/spreadsheetml/2006/main" count="109" uniqueCount="95">
  <si>
    <t xml:space="preserve">EBRORA</t>
  </si>
  <si>
    <t xml:space="preserve">ebrora.com</t>
  </si>
  <si>
    <t xml:space="preserve">Agency Labour Tracker</t>
  </si>
  <si>
    <t xml:space="preserve">Track agency workers, daily hours, charge rates, and weekly costs against budget.</t>
  </si>
  <si>
    <t xml:space="preserve">Dashboard showing agency spend, headcount, and budget variance for construction projects.</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</si>
  <si>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</si>
  <si>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</si>
  <si>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</si>
  <si>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</si>
  <si>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1.</t>
  </si>
  <si>
    <t xml:space="preserve">Open the 'Agency Tracker' sheet. Set your weekly agency budget in the header. The dashboard tracks spend vs budget.</t>
  </si>
  <si>
    <t xml:space="preserve">2.</t>
  </si>
  <si>
    <t xml:space="preserve">Log each agency worker in the main table. Enter their name, agency, trade, start date, day rate, and weekly hours worked.</t>
  </si>
  <si>
    <t xml:space="preserve">3.</t>
  </si>
  <si>
    <t xml:space="preserve">The Weekly Cost column auto-calculates (hours × hourly equivalent, or use day rate × days — adjust the formula to your arrangement).</t>
  </si>
  <si>
    <t xml:space="preserve">4.</t>
  </si>
  <si>
    <t xml:space="preserve">The Cumulative Spend column keeps a running total. Budget variance auto-calculates and turns red if overspent.</t>
  </si>
  <si>
    <t xml:space="preserve">5.</t>
  </si>
  <si>
    <t xml:space="preserve">Use the Status column to track whether each worker is Active, Stood Down, or Finished.</t>
  </si>
  <si>
    <t xml:space="preserve">6.</t>
  </si>
  <si>
    <t xml:space="preserve">Expand optional columns for agency reference, PO number, CSCS verified, induction date, and performance notes.</t>
  </si>
  <si>
    <t xml:space="preserve">7.</t>
  </si>
  <si>
    <t xml:space="preserve">Review weekly with your commercial manager. Agency labour is typically the fastest-growing uncontrolled cost on site.</t>
  </si>
  <si>
    <t xml:space="preserve">Colour Key</t>
  </si>
  <si>
    <t xml:space="preserve">Light teal — user input / editable</t>
  </si>
  <si>
    <t xml:space="preserve">  </t>
  </si>
  <si>
    <t xml:space="preserve">Dark navy — headers</t>
  </si>
  <si>
    <t xml:space="preserve">Green — Active / under budget</t>
  </si>
  <si>
    <t xml:space="preserve">Amber — approaching budget (&gt;80%)</t>
  </si>
  <si>
    <t xml:space="preserve">Red — over budget / finished worker still on register</t>
  </si>
  <si>
    <t xml:space="preserve">Tips</t>
  </si>
  <si>
    <t xml:space="preserve">•</t>
  </si>
  <si>
    <t xml:space="preserve">Always check agency workers have valid CSCS cards and site inductions before they start. Record in the optional columns.</t>
  </si>
  <si>
    <t xml:space="preserve">Negotiate capped day rates with agencies upfront. Overtime should be pre-authorised, not discovered on the invoice.</t>
  </si>
  <si>
    <t xml:space="preserve">If an agency worker is on site for &gt;12 weeks, AWR (Agency Workers Regulations) gives them equal pay and conditions.</t>
  </si>
  <si>
    <t xml:space="preserve">AGENCY LABOUR TRACKER</t>
  </si>
  <si>
    <t xml:space="preserve">Weekly Budget:</t>
  </si>
  <si>
    <t xml:space="preserve">Dashboard</t>
  </si>
  <si>
    <t xml:space="preserve">Budget Status</t>
  </si>
  <si>
    <t xml:space="preserve">Active Workers:</t>
  </si>
  <si>
    <t xml:space="preserve">Total This Week:</t>
  </si>
  <si>
    <t xml:space="preserve">Spend This Period:</t>
  </si>
  <si>
    <t xml:space="preserve">Variance:</t>
  </si>
  <si>
    <t xml:space="preserve">Budget:</t>
  </si>
  <si>
    <t xml:space="preserve">AGENCY WORKER LOG</t>
  </si>
  <si>
    <t xml:space="preserve">Name</t>
  </si>
  <si>
    <t xml:space="preserve">Agency</t>
  </si>
  <si>
    <t xml:space="preserve">Trade</t>
  </si>
  <si>
    <t xml:space="preserve">Start Date</t>
  </si>
  <si>
    <t xml:space="preserve">Day Rate (£)</t>
  </si>
  <si>
    <t xml:space="preserve">Days This Week</t>
  </si>
  <si>
    <t xml:space="preserve">Weekly Cost (£)</t>
  </si>
  <si>
    <t xml:space="preserve">Status</t>
  </si>
  <si>
    <t xml:space="preserve">Agency Ref</t>
  </si>
  <si>
    <t xml:space="preserve">PO Number</t>
  </si>
  <si>
    <t xml:space="preserve">CSCS Verified</t>
  </si>
  <si>
    <t xml:space="preserve">Induction Date</t>
  </si>
  <si>
    <t xml:space="preserve">Weeks on Site</t>
  </si>
  <si>
    <t xml:space="preserve">Notes</t>
  </si>
  <si>
    <t xml:space="preserve">R. Nowak</t>
  </si>
  <si>
    <t xml:space="preserve">StaffLine Construction</t>
  </si>
  <si>
    <t xml:space="preserve">Labourer</t>
  </si>
  <si>
    <t xml:space="preserve">Active</t>
  </si>
  <si>
    <t xml:space="preserve">SL-20260115-A</t>
  </si>
  <si>
    <t xml:space="preserve">PO-2026-041</t>
  </si>
  <si>
    <t xml:space="preserve">Yes</t>
  </si>
  <si>
    <t xml:space="preserve">Reliable. Extended for Phase 2.</t>
  </si>
  <si>
    <t xml:space="preserve">K. Patel</t>
  </si>
  <si>
    <t xml:space="preserve">BuildForce Ltd</t>
  </si>
  <si>
    <t xml:space="preserve">Banksman</t>
  </si>
  <si>
    <t xml:space="preserve">BF-20260203-B</t>
  </si>
  <si>
    <t xml:space="preserve">PO-2026-042</t>
  </si>
  <si>
    <t xml:space="preserve">Crane lifting phase</t>
  </si>
  <si>
    <t xml:space="preserve">T. Kowalski</t>
  </si>
  <si>
    <t xml:space="preserve">SL-20260217-C</t>
  </si>
  <si>
    <t xml:space="preserve">J. Mensah</t>
  </si>
  <si>
    <t xml:space="preserve">Randstad Construction</t>
  </si>
  <si>
    <t xml:space="preserve">Steel Fixer</t>
  </si>
  <si>
    <t xml:space="preserve">RS-20260301-D</t>
  </si>
  <si>
    <t xml:space="preserve">PO-2026-055</t>
  </si>
  <si>
    <t xml:space="preserve">Specialist rebar — RC frame</t>
  </si>
  <si>
    <t xml:space="preserve">L. Silva</t>
  </si>
  <si>
    <t xml:space="preserve">Stood Down</t>
  </si>
  <si>
    <t xml:space="preserve">BF-20251110-E</t>
  </si>
  <si>
    <t xml:space="preserve">PO-2026-038</t>
  </si>
  <si>
    <t xml:space="preserve">Stood down — awaiting next phase</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</si>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</sst>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8">
    <numFmt numFmtId="164" formatCode="General"/>
    <numFmt numFmtId="165" formatCode="\£#,##0"/>
    <numFmt numFmtId="166" formatCode="General"/>
    <numFmt numFmtId="167" formatCode="\£#,##0;[RED]&quot;(£&quot;#,##0\);&quot;£0&quot;"/>
    <numFmt numFmtId="168" formatCode="dd/mm/yyyy"/>
    <numFmt numFmtId="169" formatCode="\£#,##0.00"/>
    <numFmt numFmtId="170" formatCode="0.0"/>
    <numFmt numFmtId="171" formatCode="0"/>
  </numFmts>
  <fonts count="21">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1B2A4A"/>
      <name val="Calibri"/>
      <family val="0"/>
      <charset val="1"/>
    </font>
    <font>
      <sz val="10"/>
      <color rgb="FF1B2A4A"/>
      <name val="Calibri"/>
      <family val="0"/>
      <charset val="1"/>
    </font>
    <font>
      <b val="true"/>
      <sz val="13"/>
      <color rgb="FFFFFFFF"/>
      <name val="Calibri"/>
      <family val="0"/>
      <charset val="1"/>
    </font>
    <font>
      <b val="true"/>
      <sz val="12"/>
      <color rgb="FF1B2A4A"/>
      <name val="Calibri"/>
      <family val="0"/>
      <charset val="1"/>
    </font>
    <font>
      <b val="true"/>
      <sz val="11"/>
      <color rgb="FF2AABB3"/>
      <name val="Calibri"/>
      <family val="0"/>
      <charset val="1"/>
    </font>
    <font>
      <b val="true"/>
      <sz val="12"/>
      <color rgb="FF2AABB3"/>
      <name val="Calibri"/>
      <family val="0"/>
      <charset val="1"/>
    </font>
    <font>
      <b val="true"/>
      <sz val="14"/>
      <color rgb="FF2AABB3"/>
      <name val="Calibri"/>
      <family val="0"/>
      <charset val="1"/>
    </font>
    <font>
      <b val="true"/>
      <sz val="12"/>
      <color rgb="FFFFFFFF"/>
      <name val="Calibri"/>
      <family val="0"/>
      <charset val="1"/>
    </font>
    <font>
      <b val="true"/>
      <sz val="11"/>
      <color rgb="FFFFFFFF"/>
      <name val="Calibri"/>
      <family val="0"/>
      <charset val="1"/>
    </font>
    <font>
      <b val="true"/>
      <sz val="10"/>
      <color rgb="FF2AABB3"/>
      <name val="Calibri"/>
      <family val="0"/>
      <charset val="1"/>
    </font>
  </fonts>
  <fills count="10">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
      <patternFill patternType="solid">
        <fgColor rgb="FFC6EFCE"/>
        <bgColor rgb="FFD9D9D9"/>
      </patternFill>
    </fill>
    <fill>
      <patternFill patternType="solid">
        <fgColor rgb="FFFFEB9C"/>
        <bgColor rgb="FFF2F2F2"/>
      </patternFill>
    </fill>
    <fill>
      <patternFill patternType="solid">
        <fgColor rgb="FFFFC7CE"/>
        <bgColor rgb="FFD9D9D9"/>
      </patternFill>
    </fill>
    <fill>
      <patternFill patternType="solid">
        <fgColor rgb="FF2AABB3"/>
        <bgColor rgb="FF339966"/>
      </patternFill>
    </fill>
    <fill>
      <patternFill patternType="solid">
        <fgColor rgb="FFF2F2F2"/>
        <bgColor rgb="FFE8F6F7"/>
      </patternFill>
    </fill>
  </fills>
  <borders count="4">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1B2A4A"/>
      </left>
      <right style="thin">
        <color rgb="FF1B2A4A"/>
      </right>
      <top style="thin">
        <color rgb="FF1B2A4A"/>
      </top>
      <bottom style="thin">
        <color rgb="FF1B2A4A"/>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2" borderId="2" xfId="0" applyFont="true" applyBorder="true" applyAlignment="false" applyProtection="false">
      <alignment horizontal="general" vertical="bottom" textRotation="0" wrapText="false" indent="0" shrinkToFit="false"/>
      <protection locked="true" hidden="false"/>
    </xf>
    <xf numFmtId="164" fontId="0" fillId="5" borderId="2" xfId="0" applyFont="false" applyBorder="true" applyAlignment="false" applyProtection="false">
      <alignment horizontal="general" vertical="bottom" textRotation="0" wrapText="false" indent="0" shrinkToFit="false"/>
      <protection locked="true" hidden="false"/>
    </xf>
    <xf numFmtId="164" fontId="0" fillId="6" borderId="2" xfId="0" applyFont="false" applyBorder="true" applyAlignment="false" applyProtection="false">
      <alignment horizontal="general" vertical="bottom" textRotation="0" wrapText="false" indent="0" shrinkToFit="false"/>
      <protection locked="true" hidden="false"/>
    </xf>
    <xf numFmtId="164" fontId="0" fillId="7" borderId="2"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true" applyAlignment="true" applyProtection="false">
      <alignment horizontal="right" vertical="center" textRotation="0" wrapText="false" indent="0" shrinkToFit="false"/>
      <protection locked="true" hidden="false"/>
    </xf>
    <xf numFmtId="165" fontId="14" fillId="4" borderId="0" xfId="0" applyFont="true" applyBorder="false" applyAlignment="true" applyProtection="false">
      <alignment horizontal="center" vertical="center" textRotation="0" wrapText="true" indent="0" shrinkToFit="false"/>
      <protection locked="true" hidden="false"/>
    </xf>
    <xf numFmtId="164" fontId="15" fillId="4" borderId="0" xfId="0" applyFont="true" applyBorder="true" applyAlignment="true" applyProtection="false">
      <alignment horizontal="center" vertical="center" textRotation="0" wrapText="true" indent="0" shrinkToFit="false"/>
      <protection locked="true" hidden="false"/>
    </xf>
    <xf numFmtId="166" fontId="11" fillId="0" borderId="0" xfId="0" applyFont="true" applyBorder="false" applyAlignment="true" applyProtection="false">
      <alignment horizontal="center" vertical="center" textRotation="0" wrapText="true" indent="0" shrinkToFit="false"/>
      <protection locked="true" hidden="false"/>
    </xf>
    <xf numFmtId="165" fontId="16" fillId="0" borderId="0" xfId="0" applyFont="true" applyBorder="false" applyAlignment="true" applyProtection="false">
      <alignment horizontal="center" vertical="center" textRotation="0" wrapText="true" indent="0" shrinkToFit="false"/>
      <protection locked="true" hidden="false"/>
    </xf>
    <xf numFmtId="165" fontId="17" fillId="0" borderId="0" xfId="0" applyFont="true" applyBorder="false" applyAlignment="true" applyProtection="false">
      <alignment horizontal="center" vertical="center" textRotation="0" wrapText="true" indent="0" shrinkToFit="false"/>
      <protection locked="true" hidden="false"/>
    </xf>
    <xf numFmtId="165" fontId="11" fillId="0" borderId="0" xfId="0" applyFont="true" applyBorder="false" applyAlignment="true" applyProtection="false">
      <alignment horizontal="center" vertical="center" textRotation="0" wrapText="true" indent="0" shrinkToFit="false"/>
      <protection locked="true" hidden="false"/>
    </xf>
    <xf numFmtId="167" fontId="17" fillId="0" borderId="0" xfId="0" applyFont="true" applyBorder="false" applyAlignment="true" applyProtection="false">
      <alignment horizontal="center" vertical="center" textRotation="0" wrapText="true" indent="0" shrinkToFit="false"/>
      <protection locked="true" hidden="false"/>
    </xf>
    <xf numFmtId="164" fontId="18" fillId="8" borderId="0" xfId="0" applyFont="true" applyBorder="true" applyAlignment="true" applyProtection="false">
      <alignment horizontal="center" vertical="center" textRotation="0" wrapText="true" indent="0" shrinkToFit="false"/>
      <protection locked="true" hidden="false"/>
    </xf>
    <xf numFmtId="164" fontId="19" fillId="2" borderId="2" xfId="0" applyFont="true" applyBorder="true" applyAlignment="true" applyProtection="false">
      <alignment horizontal="center" vertical="center" textRotation="0" wrapText="true" indent="0" shrinkToFit="false"/>
      <protection locked="true" hidden="false"/>
    </xf>
    <xf numFmtId="164" fontId="12" fillId="4" borderId="3" xfId="0" applyFont="true" applyBorder="true" applyAlignment="true" applyProtection="false">
      <alignment horizontal="left" vertical="center" textRotation="0" wrapText="true" indent="0" shrinkToFit="false"/>
      <protection locked="true" hidden="false"/>
    </xf>
    <xf numFmtId="164" fontId="12" fillId="4" borderId="3" xfId="0" applyFont="true" applyBorder="true" applyAlignment="true" applyProtection="false">
      <alignment horizontal="center" vertical="center" textRotation="0" wrapText="true" indent="0" shrinkToFit="false"/>
      <protection locked="true" hidden="false"/>
    </xf>
    <xf numFmtId="168" fontId="12" fillId="4" borderId="3" xfId="0" applyFont="true" applyBorder="true" applyAlignment="true" applyProtection="false">
      <alignment horizontal="center" vertical="center" textRotation="0" wrapText="true" indent="0" shrinkToFit="false"/>
      <protection locked="true" hidden="false"/>
    </xf>
    <xf numFmtId="169" fontId="12" fillId="4" borderId="3" xfId="0" applyFont="true" applyBorder="true" applyAlignment="true" applyProtection="false">
      <alignment horizontal="center" vertical="center" textRotation="0" wrapText="true" indent="0" shrinkToFit="false"/>
      <protection locked="true" hidden="false"/>
    </xf>
    <xf numFmtId="170" fontId="12" fillId="4" borderId="3" xfId="0" applyFont="true" applyBorder="true" applyAlignment="true" applyProtection="false">
      <alignment horizontal="center" vertical="center" textRotation="0" wrapText="true" indent="0" shrinkToFit="false"/>
      <protection locked="true" hidden="false"/>
    </xf>
    <xf numFmtId="169" fontId="20" fillId="9" borderId="3" xfId="0" applyFont="true" applyBorder="true" applyAlignment="true" applyProtection="false">
      <alignment horizontal="center" vertical="center" textRotation="0" wrapText="true" indent="0" shrinkToFit="false"/>
      <protection locked="true" hidden="false"/>
    </xf>
    <xf numFmtId="171" fontId="12" fillId="9" borderId="3" xfId="0" applyFont="true" applyBorder="true" applyAlignment="true" applyProtection="false">
      <alignment horizontal="center" vertical="center" textRotation="0" wrapText="true" indent="0" shrinkToFit="false"/>
      <protection locked="true" hidden="false"/>
    </xf>
    <xf numFmtId="164" fontId="12" fillId="9" borderId="3" xfId="0" applyFont="true" applyBorder="true" applyAlignment="true" applyProtection="false">
      <alignment horizontal="left" vertical="center" textRotation="0" wrapText="true" indent="0" shrinkToFit="false"/>
      <protection locked="true" hidden="false"/>
    </xf>
    <xf numFmtId="164" fontId="12" fillId="9" borderId="3" xfId="0" applyFont="true" applyBorder="true" applyAlignment="true" applyProtection="false">
      <alignment horizontal="center" vertical="center" textRotation="0" wrapText="true" indent="0" shrinkToFit="false"/>
      <protection locked="true" hidden="false"/>
    </xf>
    <xf numFmtId="168" fontId="12" fillId="9" borderId="3" xfId="0" applyFont="true" applyBorder="true" applyAlignment="true" applyProtection="false">
      <alignment horizontal="center" vertical="center" textRotation="0" wrapText="true" indent="0" shrinkToFit="false"/>
      <protection locked="true" hidden="false"/>
    </xf>
    <xf numFmtId="169" fontId="12" fillId="9" borderId="3" xfId="0" applyFont="true" applyBorder="true" applyAlignment="true" applyProtection="false">
      <alignment horizontal="center" vertical="center" textRotation="0" wrapText="true" indent="0" shrinkToFit="false"/>
      <protection locked="true" hidden="false"/>
    </xf>
    <xf numFmtId="170" fontId="12" fillId="9" borderId="3"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B2A4A"/>
          <bgColor rgb="FF000000"/>
        </patternFill>
      </fill>
    </dxf>
    <dxf>
      <fill>
        <patternFill patternType="solid">
          <fgColor rgb="FFE8F6F7"/>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2AABB3"/>
          <bgColor rgb="FF000000"/>
        </patternFill>
      </fill>
    </dxf>
    <dxf>
      <fill>
        <patternFill patternType="solid">
          <fgColor rgb="FFC6EFCE"/>
          <bgColor rgb="FF000000"/>
        </patternFill>
      </fill>
    </dxf>
    <dxf>
      <fill>
        <patternFill patternType="solid">
          <fgColor rgb="FFFFEB9C"/>
          <bgColor rgb="FF000000"/>
        </patternFill>
      </fill>
    </dxf>
    <dxf>
      <fill>
        <patternFill>
          <bgColor rgb="FFC6EFCE"/>
        </patternFill>
      </fill>
    </dxf>
    <dxf>
      <fill>
        <patternFill>
          <bgColor rgb="FFFFEB9C"/>
        </patternFill>
      </fill>
    </dxf>
    <dxf>
      <fill>
        <patternFill>
          <bgColor rgb="FFF2F2F2"/>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E8F6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false" outlineLevel="0" collapsed="false">
      <c r="A1" s="1"/>
      <c r="B1" s="1"/>
      <c r="C1" s="1"/>
      <c r="D1" s="1"/>
      <c r="E1" s="1"/>
      <c r="F1" s="1"/>
      <c r="G1" s="1"/>
      <c r="H1" s="1"/>
    </row>
    <row r="2" customFormat="false" ht="45.5" hidden="false" customHeight="true" outlineLevel="0" collapsed="false">
      <c r="A2" s="2" t="s">
        <v>0</v>
      </c>
      <c r="B2" s="2"/>
      <c r="C2" s="2"/>
      <c r="D2" s="2"/>
      <c r="E2" s="2"/>
      <c r="F2" s="2"/>
      <c r="G2" s="2"/>
      <c r="H2" s="2"/>
    </row>
    <row r="3" customFormat="false" ht="15" hidden="false" customHeight="false" outlineLevel="0" collapsed="false">
      <c r="A3" s="1"/>
      <c r="B3" s="1"/>
      <c r="C3" s="1"/>
      <c r="D3" s="1"/>
      <c r="E3" s="1"/>
      <c r="F3" s="1"/>
      <c r="G3" s="1"/>
      <c r="H3" s="1"/>
    </row>
    <row r="4" customFormat="false" ht="15" hidden="false" customHeight="true" outlineLevel="0" collapsed="false">
      <c r="A4" s="3" t="s">
        <v>1</v>
      </c>
      <c r="B4" s="3"/>
      <c r="C4" s="3"/>
      <c r="D4" s="3"/>
      <c r="E4" s="3"/>
      <c r="F4" s="3"/>
      <c r="G4" s="3"/>
      <c r="H4" s="3"/>
    </row>
    <row r="5" customFormat="false" ht="15" hidden="false" customHeight="false" outlineLevel="0" collapsed="false">
      <c r="A5" s="4"/>
      <c r="B5" s="4"/>
      <c r="C5" s="4"/>
      <c r="D5" s="4"/>
      <c r="E5" s="4"/>
      <c r="F5" s="4"/>
      <c r="G5" s="4"/>
      <c r="H5" s="4"/>
    </row>
    <row r="6" customFormat="false" ht="15" hidden="false" customHeight="false" outlineLevel="0" collapsed="false">
      <c r="A6" s="1"/>
      <c r="B6" s="1"/>
      <c r="C6" s="1"/>
      <c r="D6" s="1"/>
      <c r="E6" s="1"/>
      <c r="F6" s="1"/>
      <c r="G6" s="1"/>
      <c r="H6" s="1"/>
    </row>
    <row r="7" customFormat="false" ht="35.05" hidden="false" customHeight="true" outlineLevel="0" collapsed="false">
      <c r="A7" s="5" t="s">
        <v>2</v>
      </c>
      <c r="B7" s="5"/>
      <c r="C7" s="5"/>
      <c r="D7" s="5"/>
      <c r="E7" s="5"/>
      <c r="F7" s="5"/>
      <c r="G7" s="5"/>
      <c r="H7" s="5"/>
    </row>
    <row r="8" customFormat="false" ht="15" hidden="false" customHeight="false" outlineLevel="0" collapsed="false">
      <c r="A8" s="1"/>
      <c r="B8" s="1"/>
      <c r="C8" s="1"/>
      <c r="D8" s="1"/>
      <c r="E8" s="1"/>
      <c r="F8" s="1"/>
      <c r="G8" s="1"/>
      <c r="H8" s="1"/>
    </row>
    <row r="9" customFormat="false" ht="15" hidden="false" customHeight="false" outlineLevel="0" collapsed="false">
      <c r="A9" s="4"/>
      <c r="B9" s="4"/>
      <c r="C9" s="4"/>
      <c r="D9" s="4"/>
      <c r="E9" s="4"/>
      <c r="F9" s="4"/>
      <c r="G9" s="4"/>
      <c r="H9" s="4"/>
    </row>
    <row r="10" customFormat="false" ht="15" hidden="false" customHeight="true" outlineLevel="0" collapsed="false">
      <c r="A10" s="6" t="s">
        <v>3</v>
      </c>
      <c r="B10" s="6"/>
      <c r="C10" s="6"/>
      <c r="D10" s="6"/>
      <c r="E10" s="6"/>
      <c r="F10" s="6"/>
      <c r="G10" s="6"/>
      <c r="H10" s="6"/>
    </row>
    <row r="11" customFormat="false" ht="15" hidden="false" customHeight="true" outlineLevel="0" collapsed="false">
      <c r="A11" s="6" t="s">
        <v>4</v>
      </c>
      <c r="B11" s="6"/>
      <c r="C11" s="6"/>
      <c r="D11" s="6"/>
      <c r="E11" s="6"/>
      <c r="F11" s="6"/>
      <c r="G11" s="6"/>
      <c r="H11" s="6"/>
    </row>
    <row r="12" customFormat="false" ht="15" hidden="false" customHeight="false" outlineLevel="0" collapsed="false">
      <c r="A12" s="4"/>
      <c r="B12" s="4"/>
      <c r="C12" s="4"/>
      <c r="D12" s="4"/>
      <c r="E12" s="4"/>
      <c r="F12" s="4"/>
      <c r="G12" s="4"/>
      <c r="H12" s="4"/>
    </row>
    <row r="13" customFormat="false" ht="15" hidden="false" customHeight="false" outlineLevel="0" collapsed="false">
      <c r="A13" s="4"/>
      <c r="B13" s="4"/>
      <c r="C13" s="4"/>
      <c r="D13" s="4"/>
      <c r="E13" s="4"/>
      <c r="F13" s="4"/>
      <c r="G13" s="4"/>
      <c r="H13" s="4"/>
    </row>
    <row r="14" customFormat="false" ht="15" hidden="false" customHeight="false" outlineLevel="0" collapsed="false">
      <c r="A14" s="7"/>
      <c r="B14" s="7"/>
      <c r="C14" s="7"/>
      <c r="D14" s="7"/>
      <c r="E14" s="7"/>
      <c r="F14" s="7"/>
      <c r="G14" s="7"/>
      <c r="H14" s="7"/>
    </row>
    <row r="15" customFormat="false" ht="15" hidden="false" customHeight="true" outlineLevel="0" collapsed="false">
      <c r="A15" s="8" t="s">
        <v>5</v>
      </c>
      <c r="B15" s="8"/>
      <c r="C15" s="8"/>
      <c r="D15" s="8"/>
      <c r="E15" s="8"/>
      <c r="F15" s="8"/>
      <c r="G15" s="8"/>
      <c r="H15" s="8"/>
    </row>
    <row r="16" customFormat="false" ht="15" hidden="false" customHeight="true" outlineLevel="0" collapsed="false">
      <c r="A16" s="8" t="s">
        <v>6</v>
      </c>
      <c r="B16" s="8"/>
      <c r="C16" s="8"/>
      <c r="D16" s="8"/>
      <c r="E16" s="8"/>
      <c r="F16" s="8"/>
      <c r="G16" s="8"/>
      <c r="H16" s="8"/>
    </row>
    <row r="17" customFormat="false" ht="15" hidden="false" customHeight="false" outlineLevel="0" collapsed="false">
      <c r="A17" s="7"/>
      <c r="B17" s="7"/>
      <c r="C17" s="7"/>
      <c r="D17" s="7"/>
      <c r="E17" s="7"/>
      <c r="F17" s="7"/>
      <c r="G17" s="7"/>
      <c r="H17" s="7"/>
    </row>
    <row r="18" customFormat="false" ht="15" hidden="false" customHeight="false" outlineLevel="0" collapsed="false">
      <c r="A18" s="4"/>
      <c r="B18" s="4"/>
      <c r="C18" s="4"/>
      <c r="D18" s="4"/>
      <c r="E18" s="4"/>
      <c r="F18" s="4"/>
      <c r="G18" s="4"/>
      <c r="H18" s="4"/>
    </row>
    <row r="19" customFormat="false" ht="15" hidden="false" customHeight="true" outlineLevel="0" collapsed="false">
      <c r="A19" s="9" t="s">
        <v>7</v>
      </c>
      <c r="B19" s="9"/>
      <c r="C19" s="9"/>
      <c r="D19" s="9"/>
      <c r="E19" s="9"/>
      <c r="F19" s="9"/>
      <c r="G19" s="9"/>
      <c r="H19" s="9"/>
    </row>
    <row r="20" customFormat="false" ht="15" hidden="false" customHeight="false" outlineLevel="0" collapsed="false">
      <c r="A20" s="4"/>
      <c r="B20" s="4"/>
      <c r="C20" s="4"/>
      <c r="D20" s="4"/>
      <c r="E20" s="4"/>
      <c r="F20" s="4"/>
      <c r="G20" s="4"/>
      <c r="H20" s="4"/>
    </row>
    <row r="21" customFormat="false" ht="15" hidden="false" customHeight="false" outlineLevel="0" collapsed="false">
      <c r="A21" s="4"/>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4"/>
      <c r="B23" s="4"/>
      <c r="C23" s="4"/>
      <c r="D23" s="4"/>
      <c r="E23" s="4"/>
      <c r="F23" s="4"/>
      <c r="G23" s="4"/>
      <c r="H23" s="4"/>
    </row>
    <row r="24" customFormat="false" ht="15" hidden="false" customHeight="false" outlineLevel="0" collapsed="false">
      <c r="A24" s="4"/>
      <c r="B24" s="4"/>
      <c r="C24" s="4"/>
      <c r="D24" s="4"/>
      <c r="E24" s="4"/>
      <c r="F24" s="4"/>
      <c r="G24" s="4"/>
      <c r="H24" s="4"/>
    </row>
    <row r="25" customFormat="false" ht="15" hidden="false" customHeight="false" outlineLevel="0" collapsed="false">
      <c r="A25" s="4"/>
      <c r="B25" s="4"/>
      <c r="C25" s="4"/>
      <c r="D25" s="4"/>
      <c r="E25" s="4"/>
      <c r="F25" s="4"/>
      <c r="G25" s="4"/>
      <c r="H25" s="4"/>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6" min="2" style="0" width="22"/>
  </cols>
  <sheetData>
    <row r="1" customFormat="false" ht="17.35" hidden="false" customHeight="false" outlineLevel="0" collapsed="false">
      <c r="A1" s="10" t="s">
        <v>8</v>
      </c>
      <c r="B1" s="10"/>
      <c r="C1" s="10"/>
      <c r="D1" s="10"/>
      <c r="E1" s="10"/>
      <c r="F1" s="10"/>
    </row>
    <row r="3" customFormat="false" ht="36" hidden="false" customHeight="true" outlineLevel="0" collapsed="false">
      <c r="A3" s="11" t="s">
        <v>9</v>
      </c>
      <c r="B3" s="12" t="s">
        <v>10</v>
      </c>
      <c r="C3" s="12"/>
      <c r="D3" s="12"/>
      <c r="E3" s="12"/>
      <c r="F3" s="12"/>
    </row>
    <row r="4" customFormat="false" ht="36" hidden="false" customHeight="true" outlineLevel="0" collapsed="false">
      <c r="A4" s="11" t="s">
        <v>11</v>
      </c>
      <c r="B4" s="12" t="s">
        <v>12</v>
      </c>
      <c r="C4" s="12"/>
      <c r="D4" s="12"/>
      <c r="E4" s="12"/>
      <c r="F4" s="12"/>
    </row>
    <row r="5" customFormat="false" ht="36" hidden="false" customHeight="true" outlineLevel="0" collapsed="false">
      <c r="A5" s="11" t="s">
        <v>13</v>
      </c>
      <c r="B5" s="12" t="s">
        <v>14</v>
      </c>
      <c r="C5" s="12"/>
      <c r="D5" s="12"/>
      <c r="E5" s="12"/>
      <c r="F5" s="12"/>
    </row>
    <row r="6" customFormat="false" ht="36" hidden="false" customHeight="true" outlineLevel="0" collapsed="false">
      <c r="A6" s="11" t="s">
        <v>15</v>
      </c>
      <c r="B6" s="12" t="s">
        <v>16</v>
      </c>
      <c r="C6" s="12"/>
      <c r="D6" s="12"/>
      <c r="E6" s="12"/>
      <c r="F6" s="12"/>
    </row>
    <row r="7" customFormat="false" ht="36" hidden="false" customHeight="true" outlineLevel="0" collapsed="false">
      <c r="A7" s="11" t="s">
        <v>17</v>
      </c>
      <c r="B7" s="12" t="s">
        <v>18</v>
      </c>
      <c r="C7" s="12"/>
      <c r="D7" s="12"/>
      <c r="E7" s="12"/>
      <c r="F7" s="12"/>
    </row>
    <row r="8" customFormat="false" ht="36" hidden="false" customHeight="true" outlineLevel="0" collapsed="false">
      <c r="A8" s="11" t="s">
        <v>19</v>
      </c>
      <c r="B8" s="12" t="s">
        <v>20</v>
      </c>
      <c r="C8" s="12"/>
      <c r="D8" s="12"/>
      <c r="E8" s="12"/>
      <c r="F8" s="12"/>
    </row>
    <row r="9" customFormat="false" ht="36" hidden="false" customHeight="true" outlineLevel="0" collapsed="false">
      <c r="A9" s="11" t="s">
        <v>21</v>
      </c>
      <c r="B9" s="12" t="s">
        <v>22</v>
      </c>
      <c r="C9" s="12"/>
      <c r="D9" s="12"/>
      <c r="E9" s="12"/>
      <c r="F9" s="12"/>
    </row>
    <row r="11" customFormat="false" ht="15" hidden="false" customHeight="false" outlineLevel="0" collapsed="false">
      <c r="A11" s="13" t="s">
        <v>23</v>
      </c>
      <c r="B11" s="13"/>
      <c r="C11" s="13"/>
      <c r="D11" s="13"/>
      <c r="E11" s="13"/>
      <c r="F11" s="13"/>
    </row>
    <row r="12" customFormat="false" ht="15" hidden="false" customHeight="false" outlineLevel="0" collapsed="false">
      <c r="A12" s="14"/>
      <c r="B12" s="15" t="s">
        <v>24</v>
      </c>
      <c r="C12" s="15"/>
      <c r="D12" s="15"/>
      <c r="E12" s="15"/>
      <c r="F12" s="15"/>
    </row>
    <row r="13" customFormat="false" ht="15" hidden="false" customHeight="false" outlineLevel="0" collapsed="false">
      <c r="A13" s="16" t="s">
        <v>25</v>
      </c>
      <c r="B13" s="15" t="s">
        <v>26</v>
      </c>
      <c r="C13" s="15"/>
      <c r="D13" s="15"/>
      <c r="E13" s="15"/>
      <c r="F13" s="15"/>
    </row>
    <row r="14" customFormat="false" ht="15" hidden="false" customHeight="false" outlineLevel="0" collapsed="false">
      <c r="A14" s="17"/>
      <c r="B14" s="15" t="s">
        <v>27</v>
      </c>
      <c r="C14" s="15"/>
      <c r="D14" s="15"/>
      <c r="E14" s="15"/>
      <c r="F14" s="15"/>
    </row>
    <row r="15" customFormat="false" ht="15" hidden="false" customHeight="false" outlineLevel="0" collapsed="false">
      <c r="A15" s="18"/>
      <c r="B15" s="15" t="s">
        <v>28</v>
      </c>
      <c r="C15" s="15"/>
      <c r="D15" s="15"/>
      <c r="E15" s="15"/>
      <c r="F15" s="15"/>
    </row>
    <row r="16" customFormat="false" ht="15" hidden="false" customHeight="false" outlineLevel="0" collapsed="false">
      <c r="A16" s="19"/>
      <c r="B16" s="15" t="s">
        <v>29</v>
      </c>
      <c r="C16" s="15"/>
      <c r="D16" s="15"/>
      <c r="E16" s="15"/>
      <c r="F16" s="15"/>
    </row>
    <row r="18" customFormat="false" ht="15" hidden="false" customHeight="false" outlineLevel="0" collapsed="false">
      <c r="A18" s="13" t="s">
        <v>30</v>
      </c>
      <c r="B18" s="13"/>
      <c r="C18" s="13"/>
      <c r="D18" s="13"/>
      <c r="E18" s="13"/>
      <c r="F18" s="13"/>
    </row>
    <row r="19" customFormat="false" ht="30" hidden="false" customHeight="true" outlineLevel="0" collapsed="false">
      <c r="A19" s="20" t="s">
        <v>31</v>
      </c>
      <c r="B19" s="12" t="s">
        <v>32</v>
      </c>
      <c r="C19" s="12"/>
      <c r="D19" s="12"/>
      <c r="E19" s="12"/>
      <c r="F19" s="12"/>
    </row>
    <row r="20" customFormat="false" ht="30" hidden="false" customHeight="true" outlineLevel="0" collapsed="false">
      <c r="A20" s="20" t="s">
        <v>31</v>
      </c>
      <c r="B20" s="12" t="s">
        <v>33</v>
      </c>
      <c r="C20" s="12"/>
      <c r="D20" s="12"/>
      <c r="E20" s="12"/>
      <c r="F20" s="12"/>
    </row>
    <row r="21" customFormat="false" ht="30" hidden="false" customHeight="true" outlineLevel="0" collapsed="false">
      <c r="A21" s="20" t="s">
        <v>31</v>
      </c>
      <c r="B21" s="12" t="s">
        <v>34</v>
      </c>
      <c r="C21" s="12"/>
      <c r="D21" s="12"/>
      <c r="E21" s="12"/>
      <c r="F21" s="12"/>
    </row>
  </sheetData>
  <mergeCells count="18">
    <mergeCell ref="A1:F1"/>
    <mergeCell ref="B3:F3"/>
    <mergeCell ref="B4:F4"/>
    <mergeCell ref="B5:F5"/>
    <mergeCell ref="B6:F6"/>
    <mergeCell ref="B7:F7"/>
    <mergeCell ref="B8:F8"/>
    <mergeCell ref="B9:F9"/>
    <mergeCell ref="A11:F11"/>
    <mergeCell ref="B12:F12"/>
    <mergeCell ref="B13:F13"/>
    <mergeCell ref="B14:F14"/>
    <mergeCell ref="B15:F15"/>
    <mergeCell ref="B16:F16"/>
    <mergeCell ref="A18:F18"/>
    <mergeCell ref="B19:F19"/>
    <mergeCell ref="B20:F20"/>
    <mergeCell ref="B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8.6796875" defaultRowHeight="15" zeroHeight="false" outlineLevelRow="0" outlineLevelCol="1"/>
  <cols>
    <col collapsed="false" customWidth="true" hidden="false" outlineLevel="0" max="2" min="1" style="0" width="18"/>
    <col collapsed="false" customWidth="true" hidden="false" outlineLevel="0" max="3" min="3" style="0" width="16"/>
    <col collapsed="false" customWidth="true" hidden="false" outlineLevel="0" max="4" min="4" style="0" width="13"/>
    <col collapsed="false" customWidth="true" hidden="false" outlineLevel="0" max="6" min="5" style="0" width="12"/>
    <col collapsed="false" customWidth="true" hidden="false" outlineLevel="0" max="7" min="7" style="0" width="14"/>
    <col collapsed="false" customWidth="true" hidden="false" outlineLevel="0" max="8" min="8" style="0" width="12"/>
    <col collapsed="false" customWidth="true" hidden="true" outlineLevel="1" max="14" min="9" style="0" width="14"/>
  </cols>
  <sheetData>
    <row r="1" customFormat="false" ht="30" hidden="false" customHeight="true" outlineLevel="0" collapsed="false">
      <c r="A1" s="21" t="s">
        <v>35</v>
      </c>
      <c r="B1" s="21"/>
      <c r="C1" s="21"/>
      <c r="D1" s="21"/>
      <c r="E1" s="21"/>
      <c r="F1" s="21"/>
      <c r="G1" s="21"/>
      <c r="H1" s="21"/>
      <c r="I1" s="21"/>
      <c r="J1" s="21"/>
      <c r="K1" s="21"/>
      <c r="L1" s="21"/>
      <c r="M1" s="21"/>
      <c r="N1" s="21"/>
    </row>
    <row r="2" customFormat="false" ht="15" hidden="false" customHeight="true" outlineLevel="0" collapsed="false">
      <c r="A2" s="22" t="s">
        <v>36</v>
      </c>
      <c r="B2" s="22"/>
      <c r="C2" s="23" t="n">
        <v>8000</v>
      </c>
      <c r="E2" s="24" t="s">
        <v>37</v>
      </c>
      <c r="F2" s="24"/>
      <c r="G2" s="24"/>
      <c r="I2" s="24" t="s">
        <v>38</v>
      </c>
      <c r="J2" s="24"/>
      <c r="K2" s="24"/>
    </row>
    <row r="3" customFormat="false" ht="18.65" hidden="false" customHeight="false" outlineLevel="0" collapsed="false">
      <c r="E3" s="20" t="s">
        <v>39</v>
      </c>
      <c r="F3" s="25" t="n">
        <f aca="false">COUNTIF(H10:H509,"Active")</f>
        <v>4</v>
      </c>
      <c r="G3" s="20" t="s">
        <v>40</v>
      </c>
      <c r="H3" s="26" t="n">
        <f aca="false">SUM(G10:G509)</f>
        <v>3740</v>
      </c>
      <c r="I3" s="20" t="s">
        <v>41</v>
      </c>
      <c r="J3" s="27" t="n">
        <f aca="false">SUM(I10:I509)</f>
        <v>0</v>
      </c>
      <c r="K3" s="20" t="s">
        <v>42</v>
      </c>
    </row>
    <row r="4" customFormat="false" ht="18.65" hidden="false" customHeight="false" outlineLevel="0" collapsed="false">
      <c r="I4" s="20" t="s">
        <v>43</v>
      </c>
      <c r="J4" s="28" t="n">
        <f aca="false">C2</f>
        <v>8000</v>
      </c>
      <c r="K4" s="29" t="n">
        <f aca="false">C2-J3</f>
        <v>8000</v>
      </c>
    </row>
    <row r="5" customFormat="false" ht="3.75" hidden="false" customHeight="true" outlineLevel="0" collapsed="false"/>
    <row r="6" customFormat="false" ht="6" hidden="false" customHeight="true" outlineLevel="0" collapsed="false"/>
    <row r="7" customFormat="false" ht="25.5" hidden="false" customHeight="true" outlineLevel="0" collapsed="false">
      <c r="A7" s="30" t="s">
        <v>44</v>
      </c>
      <c r="B7" s="30"/>
      <c r="C7" s="30"/>
      <c r="D7" s="30"/>
      <c r="E7" s="30"/>
      <c r="F7" s="30"/>
      <c r="G7" s="30"/>
      <c r="H7" s="30"/>
      <c r="I7" s="30"/>
      <c r="J7" s="30"/>
      <c r="K7" s="30"/>
      <c r="L7" s="30"/>
      <c r="M7" s="30"/>
      <c r="N7" s="30"/>
    </row>
    <row r="9" customFormat="false" ht="28.35" hidden="false" customHeight="false" outlineLevel="0" collapsed="false">
      <c r="A9" s="31" t="s">
        <v>45</v>
      </c>
      <c r="B9" s="31" t="s">
        <v>46</v>
      </c>
      <c r="C9" s="31" t="s">
        <v>47</v>
      </c>
      <c r="D9" s="31" t="s">
        <v>48</v>
      </c>
      <c r="E9" s="31" t="s">
        <v>49</v>
      </c>
      <c r="F9" s="31" t="s">
        <v>50</v>
      </c>
      <c r="G9" s="31" t="s">
        <v>51</v>
      </c>
      <c r="H9" s="31" t="s">
        <v>52</v>
      </c>
      <c r="I9" s="31" t="s">
        <v>53</v>
      </c>
      <c r="J9" s="31" t="s">
        <v>54</v>
      </c>
      <c r="K9" s="31" t="s">
        <v>55</v>
      </c>
      <c r="L9" s="31" t="s">
        <v>56</v>
      </c>
      <c r="M9" s="31" t="s">
        <v>57</v>
      </c>
      <c r="N9" s="31" t="s">
        <v>58</v>
      </c>
    </row>
    <row r="10" customFormat="false" ht="25.5" hidden="false" customHeight="true" outlineLevel="0" collapsed="false">
      <c r="A10" s="32" t="s">
        <v>59</v>
      </c>
      <c r="B10" s="32" t="s">
        <v>60</v>
      </c>
      <c r="C10" s="33" t="s">
        <v>61</v>
      </c>
      <c r="D10" s="34" t="n">
        <v>46037</v>
      </c>
      <c r="E10" s="35" t="n">
        <v>185</v>
      </c>
      <c r="F10" s="36" t="n">
        <v>5</v>
      </c>
      <c r="G10" s="37" t="n">
        <f aca="false">IF(AND(E10&lt;&gt;"",F10&lt;&gt;""),E10*F10,"")</f>
        <v>925</v>
      </c>
      <c r="H10" s="33" t="s">
        <v>62</v>
      </c>
      <c r="I10" s="33" t="s">
        <v>63</v>
      </c>
      <c r="J10" s="33" t="s">
        <v>64</v>
      </c>
      <c r="K10" s="33" t="s">
        <v>65</v>
      </c>
      <c r="L10" s="34" t="n">
        <v>46037</v>
      </c>
      <c r="M10" s="38"/>
      <c r="N10" s="32" t="s">
        <v>66</v>
      </c>
    </row>
    <row r="11" customFormat="false" ht="25.5" hidden="false" customHeight="true" outlineLevel="0" collapsed="false">
      <c r="A11" s="39" t="s">
        <v>67</v>
      </c>
      <c r="B11" s="39" t="s">
        <v>68</v>
      </c>
      <c r="C11" s="40" t="s">
        <v>69</v>
      </c>
      <c r="D11" s="41" t="n">
        <v>46056</v>
      </c>
      <c r="E11" s="42" t="n">
        <v>195</v>
      </c>
      <c r="F11" s="43" t="n">
        <v>5</v>
      </c>
      <c r="G11" s="37" t="n">
        <f aca="false">IF(AND(E11&lt;&gt;"",F11&lt;&gt;""),E11*F11,"")</f>
        <v>975</v>
      </c>
      <c r="H11" s="40" t="s">
        <v>62</v>
      </c>
      <c r="I11" s="40" t="s">
        <v>70</v>
      </c>
      <c r="J11" s="40" t="s">
        <v>71</v>
      </c>
      <c r="K11" s="40" t="s">
        <v>65</v>
      </c>
      <c r="L11" s="41" t="n">
        <v>46056</v>
      </c>
      <c r="M11" s="38"/>
      <c r="N11" s="39" t="s">
        <v>72</v>
      </c>
    </row>
    <row r="12" customFormat="false" ht="25.5" hidden="false" customHeight="true" outlineLevel="0" collapsed="false">
      <c r="A12" s="32" t="s">
        <v>73</v>
      </c>
      <c r="B12" s="32" t="s">
        <v>60</v>
      </c>
      <c r="C12" s="33" t="s">
        <v>61</v>
      </c>
      <c r="D12" s="34" t="n">
        <v>46070</v>
      </c>
      <c r="E12" s="35" t="n">
        <v>185</v>
      </c>
      <c r="F12" s="36" t="n">
        <v>4</v>
      </c>
      <c r="G12" s="37" t="n">
        <f aca="false">IF(AND(E12&lt;&gt;"",F12&lt;&gt;""),E12*F12,"")</f>
        <v>740</v>
      </c>
      <c r="H12" s="33" t="s">
        <v>62</v>
      </c>
      <c r="I12" s="33" t="s">
        <v>74</v>
      </c>
      <c r="J12" s="33" t="s">
        <v>64</v>
      </c>
      <c r="K12" s="33" t="s">
        <v>65</v>
      </c>
      <c r="L12" s="34" t="n">
        <v>46070</v>
      </c>
      <c r="M12" s="38"/>
      <c r="N12" s="32"/>
    </row>
    <row r="13" customFormat="false" ht="25.5" hidden="false" customHeight="true" outlineLevel="0" collapsed="false">
      <c r="A13" s="39" t="s">
        <v>75</v>
      </c>
      <c r="B13" s="39" t="s">
        <v>76</v>
      </c>
      <c r="C13" s="40" t="s">
        <v>77</v>
      </c>
      <c r="D13" s="41" t="n">
        <v>46082</v>
      </c>
      <c r="E13" s="42" t="n">
        <v>220</v>
      </c>
      <c r="F13" s="43" t="n">
        <v>5</v>
      </c>
      <c r="G13" s="37" t="n">
        <f aca="false">IF(AND(E13&lt;&gt;"",F13&lt;&gt;""),E13*F13,"")</f>
        <v>1100</v>
      </c>
      <c r="H13" s="40" t="s">
        <v>62</v>
      </c>
      <c r="I13" s="40" t="s">
        <v>78</v>
      </c>
      <c r="J13" s="40" t="s">
        <v>79</v>
      </c>
      <c r="K13" s="40" t="s">
        <v>65</v>
      </c>
      <c r="L13" s="41" t="n">
        <v>46082</v>
      </c>
      <c r="M13" s="38"/>
      <c r="N13" s="39" t="s">
        <v>80</v>
      </c>
    </row>
    <row r="14" customFormat="false" ht="25.5" hidden="false" customHeight="true" outlineLevel="0" collapsed="false">
      <c r="A14" s="32" t="s">
        <v>81</v>
      </c>
      <c r="B14" s="32" t="s">
        <v>68</v>
      </c>
      <c r="C14" s="33" t="s">
        <v>61</v>
      </c>
      <c r="D14" s="34" t="n">
        <v>45971</v>
      </c>
      <c r="E14" s="35" t="n">
        <v>185</v>
      </c>
      <c r="F14" s="36" t="n">
        <v>0</v>
      </c>
      <c r="G14" s="37" t="n">
        <f aca="false">IF(AND(E14&lt;&gt;"",F14&lt;&gt;""),E14*F14,"")</f>
        <v>0</v>
      </c>
      <c r="H14" s="33" t="s">
        <v>82</v>
      </c>
      <c r="I14" s="33" t="s">
        <v>83</v>
      </c>
      <c r="J14" s="33" t="s">
        <v>84</v>
      </c>
      <c r="K14" s="33" t="s">
        <v>65</v>
      </c>
      <c r="L14" s="34" t="n">
        <v>45971</v>
      </c>
      <c r="M14" s="38"/>
      <c r="N14" s="32" t="s">
        <v>85</v>
      </c>
    </row>
    <row r="15" customFormat="false" ht="15" hidden="false" customHeight="false" outlineLevel="0" collapsed="false">
      <c r="A15" s="39"/>
      <c r="B15" s="39"/>
      <c r="C15" s="40"/>
      <c r="D15" s="41"/>
      <c r="E15" s="42"/>
      <c r="F15" s="43"/>
      <c r="G15" s="37" t="str">
        <f aca="false">IF(AND(E15&lt;&gt;"",F15&lt;&gt;""),E15*F15,"")</f>
        <v/>
      </c>
      <c r="H15" s="40"/>
      <c r="I15" s="40"/>
      <c r="J15" s="40"/>
      <c r="K15" s="40"/>
      <c r="L15" s="41"/>
      <c r="M15" s="38" t="str">
        <f aca="true">IF(D15="","",INT((TODAY()-D15)/7))</f>
        <v/>
      </c>
      <c r="N15" s="39"/>
    </row>
    <row r="16" customFormat="false" ht="15" hidden="false" customHeight="false" outlineLevel="0" collapsed="false">
      <c r="A16" s="32"/>
      <c r="B16" s="32"/>
      <c r="C16" s="33"/>
      <c r="D16" s="34"/>
      <c r="E16" s="35"/>
      <c r="F16" s="36"/>
      <c r="G16" s="37" t="str">
        <f aca="false">IF(AND(E16&lt;&gt;"",F16&lt;&gt;""),E16*F16,"")</f>
        <v/>
      </c>
      <c r="H16" s="33"/>
      <c r="I16" s="33"/>
      <c r="J16" s="33"/>
      <c r="K16" s="33"/>
      <c r="L16" s="34"/>
      <c r="M16" s="38" t="str">
        <f aca="true">IF(D16="","",INT((TODAY()-D16)/7))</f>
        <v/>
      </c>
      <c r="N16" s="32"/>
    </row>
    <row r="17" customFormat="false" ht="15" hidden="false" customHeight="false" outlineLevel="0" collapsed="false">
      <c r="A17" s="39"/>
      <c r="B17" s="39"/>
      <c r="C17" s="40"/>
      <c r="D17" s="41"/>
      <c r="E17" s="42"/>
      <c r="F17" s="43"/>
      <c r="G17" s="37" t="str">
        <f aca="false">IF(AND(E17&lt;&gt;"",F17&lt;&gt;""),E17*F17,"")</f>
        <v/>
      </c>
      <c r="H17" s="40"/>
      <c r="I17" s="40"/>
      <c r="J17" s="40"/>
      <c r="K17" s="40"/>
      <c r="L17" s="41"/>
      <c r="M17" s="38" t="str">
        <f aca="true">IF(D17="","",INT((TODAY()-D17)/7))</f>
        <v/>
      </c>
      <c r="N17" s="39"/>
    </row>
    <row r="18" customFormat="false" ht="15" hidden="false" customHeight="false" outlineLevel="0" collapsed="false">
      <c r="A18" s="32"/>
      <c r="B18" s="32"/>
      <c r="C18" s="33"/>
      <c r="D18" s="34"/>
      <c r="E18" s="35"/>
      <c r="F18" s="36"/>
      <c r="G18" s="37" t="str">
        <f aca="false">IF(AND(E18&lt;&gt;"",F18&lt;&gt;""),E18*F18,"")</f>
        <v/>
      </c>
      <c r="H18" s="33"/>
      <c r="I18" s="33"/>
      <c r="J18" s="33"/>
      <c r="K18" s="33"/>
      <c r="L18" s="34"/>
      <c r="M18" s="38" t="str">
        <f aca="true">IF(D18="","",INT((TODAY()-D18)/7))</f>
        <v/>
      </c>
      <c r="N18" s="32"/>
    </row>
    <row r="19" customFormat="false" ht="15" hidden="false" customHeight="false" outlineLevel="0" collapsed="false">
      <c r="A19" s="39"/>
      <c r="B19" s="39"/>
      <c r="C19" s="40"/>
      <c r="D19" s="41"/>
      <c r="E19" s="42"/>
      <c r="F19" s="43"/>
      <c r="G19" s="37" t="str">
        <f aca="false">IF(AND(E19&lt;&gt;"",F19&lt;&gt;""),E19*F19,"")</f>
        <v/>
      </c>
      <c r="H19" s="40"/>
      <c r="I19" s="40"/>
      <c r="J19" s="40"/>
      <c r="K19" s="40"/>
      <c r="L19" s="41"/>
      <c r="M19" s="38" t="str">
        <f aca="true">IF(D19="","",INT((TODAY()-D19)/7))</f>
        <v/>
      </c>
      <c r="N19" s="39"/>
    </row>
    <row r="20" customFormat="false" ht="15" hidden="false" customHeight="false" outlineLevel="0" collapsed="false">
      <c r="A20" s="32"/>
      <c r="B20" s="32"/>
      <c r="C20" s="33"/>
      <c r="D20" s="34"/>
      <c r="E20" s="35"/>
      <c r="F20" s="36"/>
      <c r="G20" s="37" t="str">
        <f aca="false">IF(AND(E20&lt;&gt;"",F20&lt;&gt;""),E20*F20,"")</f>
        <v/>
      </c>
      <c r="H20" s="33"/>
      <c r="I20" s="33"/>
      <c r="J20" s="33"/>
      <c r="K20" s="33"/>
      <c r="L20" s="34"/>
      <c r="M20" s="38" t="str">
        <f aca="true">IF(D20="","",INT((TODAY()-D20)/7))</f>
        <v/>
      </c>
      <c r="N20" s="32"/>
    </row>
    <row r="21" customFormat="false" ht="15" hidden="false" customHeight="false" outlineLevel="0" collapsed="false">
      <c r="A21" s="39"/>
      <c r="B21" s="39"/>
      <c r="C21" s="40"/>
      <c r="D21" s="41"/>
      <c r="E21" s="42"/>
      <c r="F21" s="43"/>
      <c r="G21" s="37" t="str">
        <f aca="false">IF(AND(E21&lt;&gt;"",F21&lt;&gt;""),E21*F21,"")</f>
        <v/>
      </c>
      <c r="H21" s="40"/>
      <c r="I21" s="40"/>
      <c r="J21" s="40"/>
      <c r="K21" s="40"/>
      <c r="L21" s="41"/>
      <c r="M21" s="38" t="str">
        <f aca="true">IF(D21="","",INT((TODAY()-D21)/7))</f>
        <v/>
      </c>
      <c r="N21" s="39"/>
    </row>
    <row r="22" customFormat="false" ht="15" hidden="false" customHeight="false" outlineLevel="0" collapsed="false">
      <c r="A22" s="32"/>
      <c r="B22" s="32"/>
      <c r="C22" s="33"/>
      <c r="D22" s="34"/>
      <c r="E22" s="35"/>
      <c r="F22" s="36"/>
      <c r="G22" s="37" t="str">
        <f aca="false">IF(AND(E22&lt;&gt;"",F22&lt;&gt;""),E22*F22,"")</f>
        <v/>
      </c>
      <c r="H22" s="33"/>
      <c r="I22" s="33"/>
      <c r="J22" s="33"/>
      <c r="K22" s="33"/>
      <c r="L22" s="34"/>
      <c r="M22" s="38" t="str">
        <f aca="true">IF(D22="","",INT((TODAY()-D22)/7))</f>
        <v/>
      </c>
      <c r="N22" s="32"/>
    </row>
    <row r="23" customFormat="false" ht="15" hidden="false" customHeight="false" outlineLevel="0" collapsed="false">
      <c r="A23" s="39"/>
      <c r="B23" s="39"/>
      <c r="C23" s="40"/>
      <c r="D23" s="41"/>
      <c r="E23" s="42"/>
      <c r="F23" s="43"/>
      <c r="G23" s="37" t="str">
        <f aca="false">IF(AND(E23&lt;&gt;"",F23&lt;&gt;""),E23*F23,"")</f>
        <v/>
      </c>
      <c r="H23" s="40"/>
      <c r="I23" s="40"/>
      <c r="J23" s="40"/>
      <c r="K23" s="40"/>
      <c r="L23" s="41"/>
      <c r="M23" s="38" t="str">
        <f aca="true">IF(D23="","",INT((TODAY()-D23)/7))</f>
        <v/>
      </c>
      <c r="N23" s="39"/>
    </row>
    <row r="24" customFormat="false" ht="15" hidden="false" customHeight="false" outlineLevel="0" collapsed="false">
      <c r="A24" s="32"/>
      <c r="B24" s="32"/>
      <c r="C24" s="33"/>
      <c r="D24" s="34"/>
      <c r="E24" s="35"/>
      <c r="F24" s="36"/>
      <c r="G24" s="37" t="str">
        <f aca="false">IF(AND(E24&lt;&gt;"",F24&lt;&gt;""),E24*F24,"")</f>
        <v/>
      </c>
      <c r="H24" s="33"/>
      <c r="I24" s="33"/>
      <c r="J24" s="33"/>
      <c r="K24" s="33"/>
      <c r="L24" s="34"/>
      <c r="M24" s="38" t="str">
        <f aca="true">IF(D24="","",INT((TODAY()-D24)/7))</f>
        <v/>
      </c>
      <c r="N24" s="32"/>
    </row>
    <row r="25" customFormat="false" ht="15" hidden="false" customHeight="false" outlineLevel="0" collapsed="false">
      <c r="A25" s="39"/>
      <c r="B25" s="39"/>
      <c r="C25" s="40"/>
      <c r="D25" s="41"/>
      <c r="E25" s="42"/>
      <c r="F25" s="43"/>
      <c r="G25" s="37" t="str">
        <f aca="false">IF(AND(E25&lt;&gt;"",F25&lt;&gt;""),E25*F25,"")</f>
        <v/>
      </c>
      <c r="H25" s="40"/>
      <c r="I25" s="40"/>
      <c r="J25" s="40"/>
      <c r="K25" s="40"/>
      <c r="L25" s="41"/>
      <c r="M25" s="38" t="str">
        <f aca="true">IF(D25="","",INT((TODAY()-D25)/7))</f>
        <v/>
      </c>
      <c r="N25" s="39"/>
    </row>
    <row r="26" customFormat="false" ht="15" hidden="false" customHeight="false" outlineLevel="0" collapsed="false">
      <c r="A26" s="32"/>
      <c r="B26" s="32"/>
      <c r="C26" s="33"/>
      <c r="D26" s="34"/>
      <c r="E26" s="35"/>
      <c r="F26" s="36"/>
      <c r="G26" s="37" t="str">
        <f aca="false">IF(AND(E26&lt;&gt;"",F26&lt;&gt;""),E26*F26,"")</f>
        <v/>
      </c>
      <c r="H26" s="33"/>
      <c r="I26" s="33"/>
      <c r="J26" s="33"/>
      <c r="K26" s="33"/>
      <c r="L26" s="34"/>
      <c r="M26" s="38" t="str">
        <f aca="true">IF(D26="","",INT((TODAY()-D26)/7))</f>
        <v/>
      </c>
      <c r="N26" s="32"/>
    </row>
    <row r="27" customFormat="false" ht="15" hidden="false" customHeight="false" outlineLevel="0" collapsed="false">
      <c r="A27" s="39"/>
      <c r="B27" s="39"/>
      <c r="C27" s="40"/>
      <c r="D27" s="41"/>
      <c r="E27" s="42"/>
      <c r="F27" s="43"/>
      <c r="G27" s="37" t="str">
        <f aca="false">IF(AND(E27&lt;&gt;"",F27&lt;&gt;""),E27*F27,"")</f>
        <v/>
      </c>
      <c r="H27" s="40"/>
      <c r="I27" s="40"/>
      <c r="J27" s="40"/>
      <c r="K27" s="40"/>
      <c r="L27" s="41"/>
      <c r="M27" s="38" t="str">
        <f aca="true">IF(D27="","",INT((TODAY()-D27)/7))</f>
        <v/>
      </c>
      <c r="N27" s="39"/>
    </row>
    <row r="28" customFormat="false" ht="15" hidden="false" customHeight="false" outlineLevel="0" collapsed="false">
      <c r="A28" s="32"/>
      <c r="B28" s="32"/>
      <c r="C28" s="33"/>
      <c r="D28" s="34"/>
      <c r="E28" s="35"/>
      <c r="F28" s="36"/>
      <c r="G28" s="37" t="str">
        <f aca="false">IF(AND(E28&lt;&gt;"",F28&lt;&gt;""),E28*F28,"")</f>
        <v/>
      </c>
      <c r="H28" s="33"/>
      <c r="I28" s="33"/>
      <c r="J28" s="33"/>
      <c r="K28" s="33"/>
      <c r="L28" s="34"/>
      <c r="M28" s="38" t="str">
        <f aca="true">IF(D28="","",INT((TODAY()-D28)/7))</f>
        <v/>
      </c>
      <c r="N28" s="32"/>
    </row>
    <row r="29" customFormat="false" ht="15" hidden="false" customHeight="false" outlineLevel="0" collapsed="false">
      <c r="A29" s="39"/>
      <c r="B29" s="39"/>
      <c r="C29" s="40"/>
      <c r="D29" s="41"/>
      <c r="E29" s="42"/>
      <c r="F29" s="43"/>
      <c r="G29" s="37" t="str">
        <f aca="false">IF(AND(E29&lt;&gt;"",F29&lt;&gt;""),E29*F29,"")</f>
        <v/>
      </c>
      <c r="H29" s="40"/>
      <c r="I29" s="40"/>
      <c r="J29" s="40"/>
      <c r="K29" s="40"/>
      <c r="L29" s="41"/>
      <c r="M29" s="38" t="str">
        <f aca="true">IF(D29="","",INT((TODAY()-D29)/7))</f>
        <v/>
      </c>
      <c r="N29" s="39"/>
    </row>
    <row r="30" customFormat="false" ht="15" hidden="false" customHeight="false" outlineLevel="0" collapsed="false">
      <c r="A30" s="32"/>
      <c r="B30" s="32"/>
      <c r="C30" s="33"/>
      <c r="D30" s="34"/>
      <c r="E30" s="35"/>
      <c r="F30" s="36"/>
      <c r="G30" s="37" t="str">
        <f aca="false">IF(AND(E30&lt;&gt;"",F30&lt;&gt;""),E30*F30,"")</f>
        <v/>
      </c>
      <c r="H30" s="33"/>
      <c r="I30" s="33"/>
      <c r="J30" s="33"/>
      <c r="K30" s="33"/>
      <c r="L30" s="34"/>
      <c r="M30" s="38" t="str">
        <f aca="true">IF(D30="","",INT((TODAY()-D30)/7))</f>
        <v/>
      </c>
      <c r="N30" s="32"/>
    </row>
    <row r="31" customFormat="false" ht="15" hidden="false" customHeight="false" outlineLevel="0" collapsed="false">
      <c r="A31" s="39"/>
      <c r="B31" s="39"/>
      <c r="C31" s="40"/>
      <c r="D31" s="41"/>
      <c r="E31" s="42"/>
      <c r="F31" s="43"/>
      <c r="G31" s="37" t="str">
        <f aca="false">IF(AND(E31&lt;&gt;"",F31&lt;&gt;""),E31*F31,"")</f>
        <v/>
      </c>
      <c r="H31" s="40"/>
      <c r="I31" s="40"/>
      <c r="J31" s="40"/>
      <c r="K31" s="40"/>
      <c r="L31" s="41"/>
      <c r="M31" s="38" t="str">
        <f aca="true">IF(D31="","",INT((TODAY()-D31)/7))</f>
        <v/>
      </c>
      <c r="N31" s="39"/>
    </row>
    <row r="32" customFormat="false" ht="15" hidden="false" customHeight="false" outlineLevel="0" collapsed="false">
      <c r="A32" s="32"/>
      <c r="B32" s="32"/>
      <c r="C32" s="33"/>
      <c r="D32" s="34"/>
      <c r="E32" s="35"/>
      <c r="F32" s="36"/>
      <c r="G32" s="37" t="str">
        <f aca="false">IF(AND(E32&lt;&gt;"",F32&lt;&gt;""),E32*F32,"")</f>
        <v/>
      </c>
      <c r="H32" s="33"/>
      <c r="I32" s="33"/>
      <c r="J32" s="33"/>
      <c r="K32" s="33"/>
      <c r="L32" s="34"/>
      <c r="M32" s="38" t="str">
        <f aca="true">IF(D32="","",INT((TODAY()-D32)/7))</f>
        <v/>
      </c>
      <c r="N32" s="32"/>
    </row>
    <row r="33" customFormat="false" ht="15" hidden="false" customHeight="false" outlineLevel="0" collapsed="false">
      <c r="A33" s="39"/>
      <c r="B33" s="39"/>
      <c r="C33" s="40"/>
      <c r="D33" s="41"/>
      <c r="E33" s="42"/>
      <c r="F33" s="43"/>
      <c r="G33" s="37" t="str">
        <f aca="false">IF(AND(E33&lt;&gt;"",F33&lt;&gt;""),E33*F33,"")</f>
        <v/>
      </c>
      <c r="H33" s="40"/>
      <c r="I33" s="40"/>
      <c r="J33" s="40"/>
      <c r="K33" s="40"/>
      <c r="L33" s="41"/>
      <c r="M33" s="38" t="str">
        <f aca="true">IF(D33="","",INT((TODAY()-D33)/7))</f>
        <v/>
      </c>
      <c r="N33" s="39"/>
    </row>
    <row r="34" customFormat="false" ht="15" hidden="false" customHeight="false" outlineLevel="0" collapsed="false">
      <c r="A34" s="32"/>
      <c r="B34" s="32"/>
      <c r="C34" s="33"/>
      <c r="D34" s="34"/>
      <c r="E34" s="35"/>
      <c r="F34" s="36"/>
      <c r="G34" s="37" t="str">
        <f aca="false">IF(AND(E34&lt;&gt;"",F34&lt;&gt;""),E34*F34,"")</f>
        <v/>
      </c>
      <c r="H34" s="33"/>
      <c r="I34" s="33"/>
      <c r="J34" s="33"/>
      <c r="K34" s="33"/>
      <c r="L34" s="34"/>
      <c r="M34" s="38" t="str">
        <f aca="true">IF(D34="","",INT((TODAY()-D34)/7))</f>
        <v/>
      </c>
      <c r="N34" s="32"/>
    </row>
    <row r="35" customFormat="false" ht="15" hidden="false" customHeight="false" outlineLevel="0" collapsed="false">
      <c r="A35" s="39"/>
      <c r="B35" s="39"/>
      <c r="C35" s="40"/>
      <c r="D35" s="41"/>
      <c r="E35" s="42"/>
      <c r="F35" s="43"/>
      <c r="G35" s="37" t="str">
        <f aca="false">IF(AND(E35&lt;&gt;"",F35&lt;&gt;""),E35*F35,"")</f>
        <v/>
      </c>
      <c r="H35" s="40"/>
      <c r="I35" s="40"/>
      <c r="J35" s="40"/>
      <c r="K35" s="40"/>
      <c r="L35" s="41"/>
      <c r="M35" s="38" t="str">
        <f aca="true">IF(D35="","",INT((TODAY()-D35)/7))</f>
        <v/>
      </c>
      <c r="N35" s="39"/>
    </row>
    <row r="36" customFormat="false" ht="15" hidden="false" customHeight="false" outlineLevel="0" collapsed="false">
      <c r="A36" s="32"/>
      <c r="B36" s="32"/>
      <c r="C36" s="33"/>
      <c r="D36" s="34"/>
      <c r="E36" s="35"/>
      <c r="F36" s="36"/>
      <c r="G36" s="37" t="str">
        <f aca="false">IF(AND(E36&lt;&gt;"",F36&lt;&gt;""),E36*F36,"")</f>
        <v/>
      </c>
      <c r="H36" s="33"/>
      <c r="I36" s="33"/>
      <c r="J36" s="33"/>
      <c r="K36" s="33"/>
      <c r="L36" s="34"/>
      <c r="M36" s="38" t="str">
        <f aca="true">IF(D36="","",INT((TODAY()-D36)/7))</f>
        <v/>
      </c>
      <c r="N36" s="32"/>
    </row>
    <row r="37" customFormat="false" ht="15" hidden="false" customHeight="false" outlineLevel="0" collapsed="false">
      <c r="A37" s="39"/>
      <c r="B37" s="39"/>
      <c r="C37" s="40"/>
      <c r="D37" s="41"/>
      <c r="E37" s="42"/>
      <c r="F37" s="43"/>
      <c r="G37" s="37" t="str">
        <f aca="false">IF(AND(E37&lt;&gt;"",F37&lt;&gt;""),E37*F37,"")</f>
        <v/>
      </c>
      <c r="H37" s="40"/>
      <c r="I37" s="40"/>
      <c r="J37" s="40"/>
      <c r="K37" s="40"/>
      <c r="L37" s="41"/>
      <c r="M37" s="38" t="str">
        <f aca="true">IF(D37="","",INT((TODAY()-D37)/7))</f>
        <v/>
      </c>
      <c r="N37" s="39"/>
    </row>
    <row r="38" customFormat="false" ht="15" hidden="false" customHeight="false" outlineLevel="0" collapsed="false">
      <c r="A38" s="32"/>
      <c r="B38" s="32"/>
      <c r="C38" s="33"/>
      <c r="D38" s="34"/>
      <c r="E38" s="35"/>
      <c r="F38" s="36"/>
      <c r="G38" s="37" t="str">
        <f aca="false">IF(AND(E38&lt;&gt;"",F38&lt;&gt;""),E38*F38,"")</f>
        <v/>
      </c>
      <c r="H38" s="33"/>
      <c r="I38" s="33"/>
      <c r="J38" s="33"/>
      <c r="K38" s="33"/>
      <c r="L38" s="34"/>
      <c r="M38" s="38" t="str">
        <f aca="true">IF(D38="","",INT((TODAY()-D38)/7))</f>
        <v/>
      </c>
      <c r="N38" s="32"/>
    </row>
    <row r="39" customFormat="false" ht="15" hidden="false" customHeight="false" outlineLevel="0" collapsed="false">
      <c r="A39" s="39"/>
      <c r="B39" s="39"/>
      <c r="C39" s="40"/>
      <c r="D39" s="41"/>
      <c r="E39" s="42"/>
      <c r="F39" s="43"/>
      <c r="G39" s="37" t="str">
        <f aca="false">IF(AND(E39&lt;&gt;"",F39&lt;&gt;""),E39*F39,"")</f>
        <v/>
      </c>
      <c r="H39" s="40"/>
      <c r="I39" s="40"/>
      <c r="J39" s="40"/>
      <c r="K39" s="40"/>
      <c r="L39" s="41"/>
      <c r="M39" s="38" t="str">
        <f aca="true">IF(D39="","",INT((TODAY()-D39)/7))</f>
        <v/>
      </c>
      <c r="N39" s="39"/>
    </row>
    <row r="40" customFormat="false" ht="15" hidden="false" customHeight="false" outlineLevel="0" collapsed="false">
      <c r="A40" s="32"/>
      <c r="B40" s="32"/>
      <c r="C40" s="33"/>
      <c r="D40" s="34"/>
      <c r="E40" s="35"/>
      <c r="F40" s="36"/>
      <c r="G40" s="37" t="str">
        <f aca="false">IF(AND(E40&lt;&gt;"",F40&lt;&gt;""),E40*F40,"")</f>
        <v/>
      </c>
      <c r="H40" s="33"/>
      <c r="I40" s="33"/>
      <c r="J40" s="33"/>
      <c r="K40" s="33"/>
      <c r="L40" s="34"/>
      <c r="M40" s="38" t="str">
        <f aca="true">IF(D40="","",INT((TODAY()-D40)/7))</f>
        <v/>
      </c>
      <c r="N40" s="32"/>
    </row>
    <row r="41" customFormat="false" ht="15" hidden="false" customHeight="false" outlineLevel="0" collapsed="false">
      <c r="A41" s="39"/>
      <c r="B41" s="39"/>
      <c r="C41" s="40"/>
      <c r="D41" s="41"/>
      <c r="E41" s="42"/>
      <c r="F41" s="43"/>
      <c r="G41" s="37" t="str">
        <f aca="false">IF(AND(E41&lt;&gt;"",F41&lt;&gt;""),E41*F41,"")</f>
        <v/>
      </c>
      <c r="H41" s="40"/>
      <c r="I41" s="40"/>
      <c r="J41" s="40"/>
      <c r="K41" s="40"/>
      <c r="L41" s="41"/>
      <c r="M41" s="38" t="str">
        <f aca="true">IF(D41="","",INT((TODAY()-D41)/7))</f>
        <v/>
      </c>
      <c r="N41" s="39"/>
    </row>
    <row r="42" customFormat="false" ht="15" hidden="false" customHeight="false" outlineLevel="0" collapsed="false">
      <c r="A42" s="32"/>
      <c r="B42" s="32"/>
      <c r="C42" s="33"/>
      <c r="D42" s="34"/>
      <c r="E42" s="35"/>
      <c r="F42" s="36"/>
      <c r="G42" s="37" t="str">
        <f aca="false">IF(AND(E42&lt;&gt;"",F42&lt;&gt;""),E42*F42,"")</f>
        <v/>
      </c>
      <c r="H42" s="33"/>
      <c r="I42" s="33"/>
      <c r="J42" s="33"/>
      <c r="K42" s="33"/>
      <c r="L42" s="34"/>
      <c r="M42" s="38" t="str">
        <f aca="true">IF(D42="","",INT((TODAY()-D42)/7))</f>
        <v/>
      </c>
      <c r="N42" s="32"/>
    </row>
    <row r="43" customFormat="false" ht="15" hidden="false" customHeight="false" outlineLevel="0" collapsed="false">
      <c r="A43" s="39"/>
      <c r="B43" s="39"/>
      <c r="C43" s="40"/>
      <c r="D43" s="41"/>
      <c r="E43" s="42"/>
      <c r="F43" s="43"/>
      <c r="G43" s="37" t="str">
        <f aca="false">IF(AND(E43&lt;&gt;"",F43&lt;&gt;""),E43*F43,"")</f>
        <v/>
      </c>
      <c r="H43" s="40"/>
      <c r="I43" s="40"/>
      <c r="J43" s="40"/>
      <c r="K43" s="40"/>
      <c r="L43" s="41"/>
      <c r="M43" s="38" t="str">
        <f aca="true">IF(D43="","",INT((TODAY()-D43)/7))</f>
        <v/>
      </c>
      <c r="N43" s="39"/>
    </row>
    <row r="44" customFormat="false" ht="15" hidden="false" customHeight="false" outlineLevel="0" collapsed="false">
      <c r="A44" s="32"/>
      <c r="B44" s="32"/>
      <c r="C44" s="33"/>
      <c r="D44" s="34"/>
      <c r="E44" s="35"/>
      <c r="F44" s="36"/>
      <c r="G44" s="37" t="str">
        <f aca="false">IF(AND(E44&lt;&gt;"",F44&lt;&gt;""),E44*F44,"")</f>
        <v/>
      </c>
      <c r="H44" s="33"/>
      <c r="I44" s="33"/>
      <c r="J44" s="33"/>
      <c r="K44" s="33"/>
      <c r="L44" s="34"/>
      <c r="M44" s="38" t="str">
        <f aca="true">IF(D44="","",INT((TODAY()-D44)/7))</f>
        <v/>
      </c>
      <c r="N44" s="32"/>
    </row>
    <row r="45" customFormat="false" ht="15" hidden="false" customHeight="false" outlineLevel="0" collapsed="false">
      <c r="A45" s="39"/>
      <c r="B45" s="39"/>
      <c r="C45" s="40"/>
      <c r="D45" s="41"/>
      <c r="E45" s="42"/>
      <c r="F45" s="43"/>
      <c r="G45" s="37" t="str">
        <f aca="false">IF(AND(E45&lt;&gt;"",F45&lt;&gt;""),E45*F45,"")</f>
        <v/>
      </c>
      <c r="H45" s="40"/>
      <c r="I45" s="40"/>
      <c r="J45" s="40"/>
      <c r="K45" s="40"/>
      <c r="L45" s="41"/>
      <c r="M45" s="38" t="str">
        <f aca="true">IF(D45="","",INT((TODAY()-D45)/7))</f>
        <v/>
      </c>
      <c r="N45" s="39"/>
    </row>
    <row r="46" customFormat="false" ht="15" hidden="false" customHeight="false" outlineLevel="0" collapsed="false">
      <c r="A46" s="32"/>
      <c r="B46" s="32"/>
      <c r="C46" s="33"/>
      <c r="D46" s="34"/>
      <c r="E46" s="35"/>
      <c r="F46" s="36"/>
      <c r="G46" s="37" t="str">
        <f aca="false">IF(AND(E46&lt;&gt;"",F46&lt;&gt;""),E46*F46,"")</f>
        <v/>
      </c>
      <c r="H46" s="33"/>
      <c r="I46" s="33"/>
      <c r="J46" s="33"/>
      <c r="K46" s="33"/>
      <c r="L46" s="34"/>
      <c r="M46" s="38" t="str">
        <f aca="true">IF(D46="","",INT((TODAY()-D46)/7))</f>
        <v/>
      </c>
      <c r="N46" s="32"/>
    </row>
    <row r="47" customFormat="false" ht="15" hidden="false" customHeight="false" outlineLevel="0" collapsed="false">
      <c r="A47" s="39"/>
      <c r="B47" s="39"/>
      <c r="C47" s="40"/>
      <c r="D47" s="41"/>
      <c r="E47" s="42"/>
      <c r="F47" s="43"/>
      <c r="G47" s="37" t="str">
        <f aca="false">IF(AND(E47&lt;&gt;"",F47&lt;&gt;""),E47*F47,"")</f>
        <v/>
      </c>
      <c r="H47" s="40"/>
      <c r="I47" s="40"/>
      <c r="J47" s="40"/>
      <c r="K47" s="40"/>
      <c r="L47" s="41"/>
      <c r="M47" s="38" t="str">
        <f aca="true">IF(D47="","",INT((TODAY()-D47)/7))</f>
        <v/>
      </c>
      <c r="N47" s="39"/>
    </row>
    <row r="48" customFormat="false" ht="15" hidden="false" customHeight="false" outlineLevel="0" collapsed="false">
      <c r="A48" s="32"/>
      <c r="B48" s="32"/>
      <c r="C48" s="33"/>
      <c r="D48" s="34"/>
      <c r="E48" s="35"/>
      <c r="F48" s="36"/>
      <c r="G48" s="37" t="str">
        <f aca="false">IF(AND(E48&lt;&gt;"",F48&lt;&gt;""),E48*F48,"")</f>
        <v/>
      </c>
      <c r="H48" s="33"/>
      <c r="I48" s="33"/>
      <c r="J48" s="33"/>
      <c r="K48" s="33"/>
      <c r="L48" s="34"/>
      <c r="M48" s="38" t="str">
        <f aca="true">IF(D48="","",INT((TODAY()-D48)/7))</f>
        <v/>
      </c>
      <c r="N48" s="32"/>
    </row>
    <row r="49" customFormat="false" ht="15" hidden="false" customHeight="false" outlineLevel="0" collapsed="false">
      <c r="A49" s="39"/>
      <c r="B49" s="39"/>
      <c r="C49" s="40"/>
      <c r="D49" s="41"/>
      <c r="E49" s="42"/>
      <c r="F49" s="43"/>
      <c r="G49" s="37" t="str">
        <f aca="false">IF(AND(E49&lt;&gt;"",F49&lt;&gt;""),E49*F49,"")</f>
        <v/>
      </c>
      <c r="H49" s="40"/>
      <c r="I49" s="40"/>
      <c r="J49" s="40"/>
      <c r="K49" s="40"/>
      <c r="L49" s="41"/>
      <c r="M49" s="38" t="str">
        <f aca="true">IF(D49="","",INT((TODAY()-D49)/7))</f>
        <v/>
      </c>
      <c r="N49" s="39"/>
    </row>
    <row r="50" customFormat="false" ht="15" hidden="false" customHeight="false" outlineLevel="0" collapsed="false">
      <c r="A50" s="32"/>
      <c r="B50" s="32"/>
      <c r="C50" s="33"/>
      <c r="D50" s="34"/>
      <c r="E50" s="35"/>
      <c r="F50" s="36"/>
      <c r="G50" s="37" t="str">
        <f aca="false">IF(AND(E50&lt;&gt;"",F50&lt;&gt;""),E50*F50,"")</f>
        <v/>
      </c>
      <c r="H50" s="33"/>
      <c r="I50" s="33"/>
      <c r="J50" s="33"/>
      <c r="K50" s="33"/>
      <c r="L50" s="34"/>
      <c r="M50" s="38" t="str">
        <f aca="true">IF(D50="","",INT((TODAY()-D50)/7))</f>
        <v/>
      </c>
      <c r="N50" s="32"/>
    </row>
    <row r="51" customFormat="false" ht="15" hidden="false" customHeight="false" outlineLevel="0" collapsed="false">
      <c r="A51" s="39"/>
      <c r="B51" s="39"/>
      <c r="C51" s="40"/>
      <c r="D51" s="41"/>
      <c r="E51" s="42"/>
      <c r="F51" s="43"/>
      <c r="G51" s="37" t="str">
        <f aca="false">IF(AND(E51&lt;&gt;"",F51&lt;&gt;""),E51*F51,"")</f>
        <v/>
      </c>
      <c r="H51" s="40"/>
      <c r="I51" s="40"/>
      <c r="J51" s="40"/>
      <c r="K51" s="40"/>
      <c r="L51" s="41"/>
      <c r="M51" s="38" t="str">
        <f aca="true">IF(D51="","",INT((TODAY()-D51)/7))</f>
        <v/>
      </c>
      <c r="N51" s="39"/>
    </row>
    <row r="52" customFormat="false" ht="15" hidden="false" customHeight="false" outlineLevel="0" collapsed="false">
      <c r="A52" s="32"/>
      <c r="B52" s="32"/>
      <c r="C52" s="33"/>
      <c r="D52" s="34"/>
      <c r="E52" s="35"/>
      <c r="F52" s="36"/>
      <c r="G52" s="37" t="str">
        <f aca="false">IF(AND(E52&lt;&gt;"",F52&lt;&gt;""),E52*F52,"")</f>
        <v/>
      </c>
      <c r="H52" s="33"/>
      <c r="I52" s="33"/>
      <c r="J52" s="33"/>
      <c r="K52" s="33"/>
      <c r="L52" s="34"/>
      <c r="M52" s="38" t="str">
        <f aca="true">IF(D52="","",INT((TODAY()-D52)/7))</f>
        <v/>
      </c>
      <c r="N52" s="32"/>
    </row>
    <row r="53" customFormat="false" ht="15" hidden="false" customHeight="false" outlineLevel="0" collapsed="false">
      <c r="A53" s="39"/>
      <c r="B53" s="39"/>
      <c r="C53" s="40"/>
      <c r="D53" s="41"/>
      <c r="E53" s="42"/>
      <c r="F53" s="43"/>
      <c r="G53" s="37" t="str">
        <f aca="false">IF(AND(E53&lt;&gt;"",F53&lt;&gt;""),E53*F53,"")</f>
        <v/>
      </c>
      <c r="H53" s="40"/>
      <c r="I53" s="40"/>
      <c r="J53" s="40"/>
      <c r="K53" s="40"/>
      <c r="L53" s="41"/>
      <c r="M53" s="38" t="str">
        <f aca="true">IF(D53="","",INT((TODAY()-D53)/7))</f>
        <v/>
      </c>
      <c r="N53" s="39"/>
    </row>
    <row r="54" customFormat="false" ht="15" hidden="false" customHeight="false" outlineLevel="0" collapsed="false">
      <c r="A54" s="32"/>
      <c r="B54" s="32"/>
      <c r="C54" s="33"/>
      <c r="D54" s="34"/>
      <c r="E54" s="35"/>
      <c r="F54" s="36"/>
      <c r="G54" s="37" t="str">
        <f aca="false">IF(AND(E54&lt;&gt;"",F54&lt;&gt;""),E54*F54,"")</f>
        <v/>
      </c>
      <c r="H54" s="33"/>
      <c r="I54" s="33"/>
      <c r="J54" s="33"/>
      <c r="K54" s="33"/>
      <c r="L54" s="34"/>
      <c r="M54" s="38" t="str">
        <f aca="true">IF(D54="","",INT((TODAY()-D54)/7))</f>
        <v/>
      </c>
      <c r="N54" s="32"/>
    </row>
    <row r="55" customFormat="false" ht="15" hidden="false" customHeight="false" outlineLevel="0" collapsed="false">
      <c r="A55" s="39"/>
      <c r="B55" s="39"/>
      <c r="C55" s="40"/>
      <c r="D55" s="41"/>
      <c r="E55" s="42"/>
      <c r="F55" s="43"/>
      <c r="G55" s="37" t="str">
        <f aca="false">IF(AND(E55&lt;&gt;"",F55&lt;&gt;""),E55*F55,"")</f>
        <v/>
      </c>
      <c r="H55" s="40"/>
      <c r="I55" s="40"/>
      <c r="J55" s="40"/>
      <c r="K55" s="40"/>
      <c r="L55" s="41"/>
      <c r="M55" s="38" t="str">
        <f aca="true">IF(D55="","",INT((TODAY()-D55)/7))</f>
        <v/>
      </c>
      <c r="N55" s="39"/>
    </row>
    <row r="56" customFormat="false" ht="15" hidden="false" customHeight="false" outlineLevel="0" collapsed="false">
      <c r="A56" s="32"/>
      <c r="B56" s="32"/>
      <c r="C56" s="33"/>
      <c r="D56" s="34"/>
      <c r="E56" s="35"/>
      <c r="F56" s="36"/>
      <c r="G56" s="37" t="str">
        <f aca="false">IF(AND(E56&lt;&gt;"",F56&lt;&gt;""),E56*F56,"")</f>
        <v/>
      </c>
      <c r="H56" s="33"/>
      <c r="I56" s="33"/>
      <c r="J56" s="33"/>
      <c r="K56" s="33"/>
      <c r="L56" s="34"/>
      <c r="M56" s="38" t="str">
        <f aca="true">IF(D56="","",INT((TODAY()-D56)/7))</f>
        <v/>
      </c>
      <c r="N56" s="32"/>
    </row>
    <row r="57" customFormat="false" ht="15" hidden="false" customHeight="false" outlineLevel="0" collapsed="false">
      <c r="A57" s="39"/>
      <c r="B57" s="39"/>
      <c r="C57" s="40"/>
      <c r="D57" s="41"/>
      <c r="E57" s="42"/>
      <c r="F57" s="43"/>
      <c r="G57" s="37" t="str">
        <f aca="false">IF(AND(E57&lt;&gt;"",F57&lt;&gt;""),E57*F57,"")</f>
        <v/>
      </c>
      <c r="H57" s="40"/>
      <c r="I57" s="40"/>
      <c r="J57" s="40"/>
      <c r="K57" s="40"/>
      <c r="L57" s="41"/>
      <c r="M57" s="38" t="str">
        <f aca="true">IF(D57="","",INT((TODAY()-D57)/7))</f>
        <v/>
      </c>
      <c r="N57" s="39"/>
    </row>
    <row r="58" customFormat="false" ht="15" hidden="false" customHeight="false" outlineLevel="0" collapsed="false">
      <c r="A58" s="32"/>
      <c r="B58" s="32"/>
      <c r="C58" s="33"/>
      <c r="D58" s="34"/>
      <c r="E58" s="35"/>
      <c r="F58" s="36"/>
      <c r="G58" s="37" t="str">
        <f aca="false">IF(AND(E58&lt;&gt;"",F58&lt;&gt;""),E58*F58,"")</f>
        <v/>
      </c>
      <c r="H58" s="33"/>
      <c r="I58" s="33"/>
      <c r="J58" s="33"/>
      <c r="K58" s="33"/>
      <c r="L58" s="34"/>
      <c r="M58" s="38" t="str">
        <f aca="true">IF(D58="","",INT((TODAY()-D58)/7))</f>
        <v/>
      </c>
      <c r="N58" s="32"/>
    </row>
    <row r="59" customFormat="false" ht="15" hidden="false" customHeight="false" outlineLevel="0" collapsed="false">
      <c r="A59" s="39"/>
      <c r="B59" s="39"/>
      <c r="C59" s="40"/>
      <c r="D59" s="41"/>
      <c r="E59" s="42"/>
      <c r="F59" s="43"/>
      <c r="G59" s="37" t="str">
        <f aca="false">IF(AND(E59&lt;&gt;"",F59&lt;&gt;""),E59*F59,"")</f>
        <v/>
      </c>
      <c r="H59" s="40"/>
      <c r="I59" s="40"/>
      <c r="J59" s="40"/>
      <c r="K59" s="40"/>
      <c r="L59" s="41"/>
      <c r="M59" s="38" t="str">
        <f aca="true">IF(D59="","",INT((TODAY()-D59)/7))</f>
        <v/>
      </c>
      <c r="N59" s="39"/>
    </row>
  </sheetData>
  <autoFilter ref="A9:N509"/>
  <mergeCells count="5">
    <mergeCell ref="A1:N1"/>
    <mergeCell ref="A2:B2"/>
    <mergeCell ref="E2:G2"/>
    <mergeCell ref="I2:K2"/>
    <mergeCell ref="A7:N7"/>
  </mergeCells>
  <conditionalFormatting sqref="H10:H509">
    <cfRule type="cellIs" priority="2" operator="equal" aboveAverage="0" equalAverage="0" bottom="0" percent="0" rank="0" text="" dxfId="9">
      <formula>"Active"</formula>
    </cfRule>
    <cfRule type="cellIs" priority="3" operator="equal" aboveAverage="0" equalAverage="0" bottom="0" percent="0" rank="0" text="" dxfId="10">
      <formula>"Stood Down"</formula>
    </cfRule>
    <cfRule type="cellIs" priority="4" operator="equal" aboveAverage="0" equalAverage="0" bottom="0" percent="0" rank="0" text="" dxfId="11">
      <formula>"Finished"</formula>
    </cfRule>
  </conditionalFormatting>
  <conditionalFormatting sqref="M10:M509">
    <cfRule type="expression" priority="5" aboveAverage="0" equalAverage="0" bottom="0" percent="0" rank="0" text="" dxfId="10">
      <formula>AND(M10&lt;&gt;"",M10&gt;=12)</formula>
    </cfRule>
  </conditionalFormatting>
  <conditionalFormatting sqref="K4">
    <cfRule type="expression" priority="6" aboveAverage="0" equalAverage="0" bottom="0" percent="0" rank="0" text="" dxfId="12">
      <formula>K4&lt;0</formula>
    </cfRule>
  </conditionalFormatting>
  <dataValidations count="2">
    <dataValidation allowBlank="true" errorStyle="stop" operator="between" showDropDown="false" showErrorMessage="false" showInputMessage="false" sqref="H10:H509" type="list">
      <formula1>"Active,Stood Down,Finished,On Hold"</formula1>
      <formula2>0</formula2>
    </dataValidation>
    <dataValidation allowBlank="true" errorStyle="stop" operator="between" showDropDown="false" showErrorMessage="false" showInputMessage="false" sqref="K10:K509" type="list">
      <formula1>"Yes,No,Pending"</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&amp;CAgency Labour Tracker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0"/>
  </cols>
  <sheetData>
    <row r="1" customFormat="false" ht="15" hidden="false" customHeight="false" outlineLevel="0" collapsed="false">
      <c r="A1" s="20" t="s">
        <v>86</v>
      </c>
    </row>
    <row r="2" customFormat="false" ht="15" hidden="false" customHeight="false" outlineLevel="0" collapsed="false">
      <c r="A2" s="20"/>
    </row>
    <row r="3" customFormat="false" ht="15" hidden="false" customHeight="false" outlineLevel="0" collapsed="false">
      <c r="A3" s="20" t="s">
        <v>87</v>
      </c>
    </row>
    <row r="4" customFormat="false" ht="15" hidden="false" customHeight="false" outlineLevel="0" collapsed="false">
      <c r="A4" s="20"/>
    </row>
    <row r="5" customFormat="false" ht="15" hidden="false" customHeight="false" outlineLevel="0" collapsed="false">
      <c r="A5" s="20" t="s">
        <v>88</v>
      </c>
    </row>
    <row r="6" customFormat="false" ht="15" hidden="false" customHeight="false" outlineLevel="0" collapsed="false">
      <c r="A6" s="20"/>
    </row>
    <row r="7" customFormat="false" ht="15" hidden="false" customHeight="false" outlineLevel="0" collapsed="false">
      <c r="A7" s="20" t="s">
        <v>89</v>
      </c>
    </row>
    <row r="8" customFormat="false" ht="15" hidden="false" customHeight="false" outlineLevel="0" collapsed="false">
      <c r="A8" s="20"/>
    </row>
    <row r="9" customFormat="false" ht="15" hidden="false" customHeight="false" outlineLevel="0" collapsed="false">
      <c r="A9" s="20" t="s">
        <v>90</v>
      </c>
    </row>
    <row r="10" customFormat="false" ht="15" hidden="false" customHeight="false" outlineLevel="0" collapsed="false">
      <c r="A10" s="20"/>
    </row>
    <row r="11" customFormat="false" ht="15" hidden="false" customHeight="false" outlineLevel="0" collapsed="false">
      <c r="A11" s="20" t="s">
        <v>91</v>
      </c>
    </row>
    <row r="12" customFormat="false" ht="15" hidden="false" customHeight="false" outlineLevel="0" collapsed="false">
      <c r="A12" s="20"/>
    </row>
    <row r="13" customFormat="false" ht="15" hidden="false" customHeight="false" outlineLevel="0" collapsed="false">
      <c r="A13" s="20" t="s">
        <v>92</v>
      </c>
    </row>
    <row r="14" customFormat="false" ht="15" hidden="false" customHeight="false" outlineLevel="0" collapsed="false">
      <c r="A14" s="20"/>
    </row>
    <row r="15" customFormat="false" ht="15" hidden="false" customHeight="false" outlineLevel="0" collapsed="false">
      <c r="A15" s="20" t="s">
        <v>93</v>
      </c>
    </row>
    <row r="16" customFormat="false" ht="15" hidden="false" customHeight="false" outlineLevel="0" collapsed="false">
      <c r="A16" s="20"/>
    </row>
    <row r="17" customFormat="false" ht="15" hidden="false" customHeight="false" outlineLevel="0" collapsed="false">
      <c r="A17" s="20" t="s">
        <v>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People / HR</cp:category>
  <dcterms:created xsi:type="dcterms:W3CDTF">2026-03-23T07:24:16Z</dcterms:created>
  <dc:creator>Ebrora Ltd</dc:creator>
  <dc:description>Track agency workers, charge rates, and weekly costs against budget with AWR week counting for UK construction projects.
Free professional construction management template from Ebrora Ltd. Visit ebrora.com for our full range of tools and templates.</dc:description>
  <cp:keywords>Ebrora construction agency labour tracker cost budget AWR staffing HR people</cp:keywords>
  <dc:language>en-US</dc:language>
  <cp:lastModifiedBy>Ebrora Ltd</cp:lastModifiedBy>
  <dcterms:modified xsi:type="dcterms:W3CDTF">2026-03-23T07:24:16Z</dcterms:modified>
  <cp:revision>0</cp:revision>
  <dc:subject>Track agency workers, daily hours, charge rates, and weekly costs against budget for construction projects.</dc:subject>
  <dc:title>Agency Labour Tracker</dc:title>
</cp:coreProperties>
</file>

<file path=docProps/custom.xml><?xml version="1.0" encoding="utf-8"?>
<Properties xmlns="http://schemas.openxmlformats.org/officeDocument/2006/custom-properties" xmlns:vt="http://schemas.openxmlformats.org/officeDocument/2006/docPropsVTypes"/>
</file>