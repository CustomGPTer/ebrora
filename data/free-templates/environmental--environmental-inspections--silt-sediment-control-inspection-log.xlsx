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Silt Control Inspection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'Silt Control Inspection'!$A$1:$P$29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<sst xmlns="http://schemas.openxmlformats.org/spreadsheetml/2006/main" count="134" uniqueCount="95">
  <si>
    <t xml:space="preserve">EBRORA</t>
  </si>
  <si>
    <t xml:space="preserve">ebrora.com</t>
  </si>
  <si>
    <t xml:space="preserve">Silt / Sediment Control Inspection Log</t>
  </si>
  <si>
    <t xml:space="preserve">Inspect silt and sediment control measures at regular intervals with scored pass/fail tracking.</t>
  </si>
  <si>
    <t xml:space="preserve">Supports PPG5 compliance and EA/NRW pollution prevention requirements.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</si>
  <si>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</si>
  <si>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</si>
  <si>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</si>
  <si>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</si>
  <si>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</si>
  <si>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'Silt Control Inspection' sheet. The top section contains project details and an overall inspection pass rate.</t>
  </si>
  <si>
    <t xml:space="preserve">2.</t>
  </si>
  <si>
    <t xml:space="preserve">The inspection grid lists your silt/sediment control measures as rows. Each column represents an inspection date.</t>
  </si>
  <si>
    <t xml:space="preserve">3.</t>
  </si>
  <si>
    <t xml:space="preserve">Walk the site and inspect each control measure. Mark each as P (Pass), F (Fail), or R (Repair Needed) using the dropdown.</t>
  </si>
  <si>
    <t xml:space="preserve">4.</t>
  </si>
  <si>
    <t xml:space="preserve">Failed items turn red, repairs needed turn amber. Pass items turn green. The score row auto-calculates per inspection.</t>
  </si>
  <si>
    <t xml:space="preserve">5.</t>
  </si>
  <si>
    <t xml:space="preserve">Add a new inspection date column each time you carry out an inspection — typically weekly or after heavy rainfall.</t>
  </si>
  <si>
    <t xml:space="preserve">6.</t>
  </si>
  <si>
    <t xml:space="preserve">Record any notes or actions in the notes area below the grid, referencing the control measure ID and date.</t>
  </si>
  <si>
    <t xml:space="preserve">7.</t>
  </si>
  <si>
    <t xml:space="preserve">Print weekly for your environmental file — this demonstrates due diligence to the Environment Agency.</t>
  </si>
  <si>
    <t xml:space="preserve">Colour Key</t>
  </si>
  <si>
    <t xml:space="preserve">Light teal — user input / editable</t>
  </si>
  <si>
    <t xml:space="preserve">  </t>
  </si>
  <si>
    <t xml:space="preserve">Dark navy — headers, do not edit</t>
  </si>
  <si>
    <t xml:space="preserve">Green — P = Pass (control measure effective)</t>
  </si>
  <si>
    <t xml:space="preserve">Amber — R = Repair Needed (minor issue, fix within 24hrs)</t>
  </si>
  <si>
    <t xml:space="preserve">Red — F = Fail (control measure not functioning, immediate action)</t>
  </si>
  <si>
    <t xml:space="preserve">Tips</t>
  </si>
  <si>
    <t xml:space="preserve">•</t>
  </si>
  <si>
    <t xml:space="preserve">Always inspect silt controls within 24 hours of heavy rainfall — this is when failures are most likely.</t>
  </si>
  <si>
    <t xml:space="preserve">Photograph any failures as evidence and attach to the inspection record.</t>
  </si>
  <si>
    <t xml:space="preserve">Replace silt fencing when &gt;50% of the fabric height is blocked with sediment — don't wait for complete failure.</t>
  </si>
  <si>
    <t xml:space="preserve">Project:</t>
  </si>
  <si>
    <t xml:space="preserve">Example Infrastructure Project</t>
  </si>
  <si>
    <t xml:space="preserve">Overall Pass Rate:</t>
  </si>
  <si>
    <t xml:space="preserve">Site:</t>
  </si>
  <si>
    <t xml:space="preserve">London Road, Swindon, SN1 2AA</t>
  </si>
  <si>
    <t xml:space="preserve">SILT / SEDIMENT CONTROL INSPECTION GRID</t>
  </si>
  <si>
    <t xml:space="preserve">ID</t>
  </si>
  <si>
    <t xml:space="preserve">Control Measure</t>
  </si>
  <si>
    <t xml:space="preserve">Location</t>
  </si>
  <si>
    <t xml:space="preserve">Passes</t>
  </si>
  <si>
    <t xml:space="preserve">Inspections</t>
  </si>
  <si>
    <t xml:space="preserve">Pass %</t>
  </si>
  <si>
    <t xml:space="preserve">SC-01</t>
  </si>
  <si>
    <t xml:space="preserve">Silt fence — northern boundary</t>
  </si>
  <si>
    <t xml:space="preserve">Stream bank north</t>
  </si>
  <si>
    <t xml:space="preserve">P</t>
  </si>
  <si>
    <t xml:space="preserve">SC-02</t>
  </si>
  <si>
    <t xml:space="preserve">Silt fence — eastern drainage ditch</t>
  </si>
  <si>
    <t xml:space="preserve">Drainage ditch east</t>
  </si>
  <si>
    <t xml:space="preserve">R</t>
  </si>
  <si>
    <t xml:space="preserve">SC-03</t>
  </si>
  <si>
    <t xml:space="preserve">Settlement pond 1 (main compound)</t>
  </si>
  <si>
    <t xml:space="preserve">Compound SW corner</t>
  </si>
  <si>
    <t xml:space="preserve">SC-04</t>
  </si>
  <si>
    <t xml:space="preserve">Settlement pond 2 (Phase 2 area)</t>
  </si>
  <si>
    <t xml:space="preserve">Phase 2 low point</t>
  </si>
  <si>
    <t xml:space="preserve">F</t>
  </si>
  <si>
    <t xml:space="preserve">SC-05</t>
  </si>
  <si>
    <t xml:space="preserve">Straw bale check dam — haul road ditch</t>
  </si>
  <si>
    <t xml:space="preserve">Haul road ch. 0+200</t>
  </si>
  <si>
    <t xml:space="preserve">SC-06</t>
  </si>
  <si>
    <t xml:space="preserve">Geotextile wrap — outfall pipe</t>
  </si>
  <si>
    <t xml:space="preserve">Outfall Point 3</t>
  </si>
  <si>
    <t xml:space="preserve">SC-07</t>
  </si>
  <si>
    <t xml:space="preserve">Wheel wash facility</t>
  </si>
  <si>
    <t xml:space="preserve">Site entrance</t>
  </si>
  <si>
    <t xml:space="preserve">SC-08</t>
  </si>
  <si>
    <t xml:space="preserve">Temporary drain covers (compound)</t>
  </si>
  <si>
    <t xml:space="preserve">Compound drains x4</t>
  </si>
  <si>
    <t xml:space="preserve">SC-09</t>
  </si>
  <si>
    <t xml:space="preserve">Silt curtain — watercourse crossing</t>
  </si>
  <si>
    <t xml:space="preserve">Grid J7 crossing</t>
  </si>
  <si>
    <t xml:space="preserve">SC-10</t>
  </si>
  <si>
    <t xml:space="preserve">Interceptor drain — cut slope</t>
  </si>
  <si>
    <t xml:space="preserve">Phase 1 cut face</t>
  </si>
  <si>
    <t xml:space="preserve">INSPECTION SCORE (% Pass)</t>
  </si>
  <si>
    <t xml:space="preserve">INSPECTION NOTES &amp; ACTIONS</t>
  </si>
  <si>
    <t xml:space="preserve">09/03 — SC-02: Silt fence partially undercut. Repaired and pegged. Re-inspected OK on 16/03.</t>
  </si>
  <si>
    <t xml:space="preserve">09/03 — SC-04: Settlement pond 2 overtopped during heavy rain. Capacity increased, bund raised 300mm.</t>
  </si>
  <si>
    <t xml:space="preserve">16/03 — SC-10: Interceptor drain blocked with debris. Cleared and check dam added downstream.</t>
  </si>
  <si>
    <t xml:space="preserve">23/03 — SC-07: Wheel wash water level low. Topped up and drain filter replaced.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</si>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</sst>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/mm"/>
    <numFmt numFmtId="167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8"/>
      <color rgb="FF2AABB3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1"/>
      <color rgb="FF2AABB3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2AABB3"/>
        <bgColor rgb="FF3399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6" customFormat="false" ht="15" hidden="false" customHeight="false" outlineLevel="0" collapsed="false">
      <c r="A16" s="19"/>
      <c r="B16" s="15" t="s">
        <v>29</v>
      </c>
      <c r="C16" s="15"/>
      <c r="D16" s="15"/>
      <c r="E16" s="15"/>
      <c r="F16" s="15"/>
    </row>
    <row r="18" customFormat="false" ht="15" hidden="false" customHeight="false" outlineLevel="0" collapsed="false">
      <c r="A18" s="13" t="s">
        <v>30</v>
      </c>
      <c r="B18" s="13"/>
      <c r="C18" s="13"/>
      <c r="D18" s="13"/>
      <c r="E18" s="13"/>
      <c r="F18" s="13"/>
    </row>
    <row r="19" customFormat="false" ht="30" hidden="false" customHeight="true" outlineLevel="0" collapsed="false">
      <c r="A19" s="20" t="s">
        <v>31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20" t="s">
        <v>31</v>
      </c>
      <c r="B20" s="12" t="s">
        <v>33</v>
      </c>
      <c r="C20" s="12"/>
      <c r="D20" s="12"/>
      <c r="E20" s="12"/>
      <c r="F20" s="12"/>
    </row>
    <row r="21" customFormat="false" ht="30" hidden="false" customHeight="true" outlineLevel="0" collapsed="false">
      <c r="A21" s="20" t="s">
        <v>31</v>
      </c>
      <c r="B21" s="12" t="s">
        <v>34</v>
      </c>
      <c r="C21" s="12"/>
      <c r="D21" s="12"/>
      <c r="E21" s="12"/>
      <c r="F21" s="12"/>
    </row>
  </sheetData>
  <mergeCells count="18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14" min="4" style="0" width="9"/>
    <col collapsed="false" customWidth="true" hidden="false" outlineLevel="0" max="15" min="15" style="0" width="11"/>
    <col collapsed="false" customWidth="true" hidden="false" outlineLevel="0" max="16" min="16" style="0" width="9"/>
  </cols>
  <sheetData>
    <row r="1" customFormat="false" ht="15" hidden="false" customHeight="true" outlineLevel="0" collapsed="false">
      <c r="A1" s="13" t="s">
        <v>35</v>
      </c>
      <c r="B1" s="13"/>
      <c r="C1" s="21" t="s">
        <v>36</v>
      </c>
      <c r="D1" s="21"/>
      <c r="E1" s="21"/>
      <c r="F1" s="21"/>
      <c r="H1" s="13" t="s">
        <v>37</v>
      </c>
      <c r="I1" s="13"/>
    </row>
    <row r="2" customFormat="false" ht="23.1" hidden="false" customHeight="true" outlineLevel="0" collapsed="false">
      <c r="A2" s="13" t="s">
        <v>38</v>
      </c>
      <c r="B2" s="13"/>
      <c r="C2" s="21" t="s">
        <v>39</v>
      </c>
      <c r="D2" s="21"/>
      <c r="E2" s="21"/>
      <c r="F2" s="21"/>
      <c r="H2" s="22" t="n">
        <f aca="false">IF(SUM(O6:O15)&gt;0,SUM(N6:N15)/SUM(O6:O15),0)</f>
        <v>0.875</v>
      </c>
      <c r="I2" s="22"/>
    </row>
    <row r="3" customFormat="false" ht="6" hidden="false" customHeight="true" outlineLevel="0" collapsed="false"/>
    <row r="4" customFormat="false" ht="30" hidden="false" customHeight="true" outlineLevel="0" collapsed="false">
      <c r="A4" s="23" t="s">
        <v>40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customFormat="false" ht="15" hidden="false" customHeight="false" outlineLevel="0" collapsed="false">
      <c r="A5" s="24" t="s">
        <v>41</v>
      </c>
      <c r="B5" s="24" t="s">
        <v>42</v>
      </c>
      <c r="C5" s="24" t="s">
        <v>43</v>
      </c>
      <c r="D5" s="25" t="n">
        <v>46083</v>
      </c>
      <c r="E5" s="25" t="n">
        <v>46090</v>
      </c>
      <c r="F5" s="25" t="n">
        <v>46097</v>
      </c>
      <c r="G5" s="25" t="n">
        <v>46104</v>
      </c>
      <c r="H5" s="25" t="n">
        <v>46111</v>
      </c>
      <c r="I5" s="25" t="n">
        <v>46118</v>
      </c>
      <c r="J5" s="25" t="n">
        <v>46125</v>
      </c>
      <c r="K5" s="25" t="n">
        <v>46132</v>
      </c>
      <c r="L5" s="25" t="n">
        <v>46139</v>
      </c>
      <c r="M5" s="25" t="n">
        <v>46146</v>
      </c>
      <c r="N5" s="24" t="s">
        <v>44</v>
      </c>
      <c r="O5" s="24" t="s">
        <v>45</v>
      </c>
      <c r="P5" s="24" t="s">
        <v>46</v>
      </c>
    </row>
    <row r="6" customFormat="false" ht="24" hidden="false" customHeight="true" outlineLevel="0" collapsed="false">
      <c r="A6" s="26" t="s">
        <v>47</v>
      </c>
      <c r="B6" s="27" t="s">
        <v>48</v>
      </c>
      <c r="C6" s="27" t="s">
        <v>49</v>
      </c>
      <c r="D6" s="28" t="s">
        <v>50</v>
      </c>
      <c r="E6" s="28" t="s">
        <v>50</v>
      </c>
      <c r="F6" s="28" t="s">
        <v>50</v>
      </c>
      <c r="G6" s="28" t="s">
        <v>50</v>
      </c>
      <c r="H6" s="28"/>
      <c r="I6" s="28"/>
      <c r="J6" s="28"/>
      <c r="K6" s="28"/>
      <c r="L6" s="28"/>
      <c r="M6" s="28"/>
      <c r="N6" s="29" t="n">
        <f aca="false">COUNTIF(D6:M6,"P")</f>
        <v>4</v>
      </c>
      <c r="O6" s="29" t="n">
        <f aca="false">COUNTA(D6:M6)</f>
        <v>4</v>
      </c>
      <c r="P6" s="30" t="n">
        <f aca="false">IF(O6&gt;0,N6/O6,0)</f>
        <v>1</v>
      </c>
    </row>
    <row r="7" customFormat="false" ht="24" hidden="false" customHeight="true" outlineLevel="0" collapsed="false">
      <c r="A7" s="26" t="s">
        <v>51</v>
      </c>
      <c r="B7" s="27" t="s">
        <v>52</v>
      </c>
      <c r="C7" s="27" t="s">
        <v>53</v>
      </c>
      <c r="D7" s="28" t="s">
        <v>50</v>
      </c>
      <c r="E7" s="28" t="s">
        <v>50</v>
      </c>
      <c r="F7" s="28" t="s">
        <v>54</v>
      </c>
      <c r="G7" s="28" t="s">
        <v>50</v>
      </c>
      <c r="H7" s="28"/>
      <c r="I7" s="28"/>
      <c r="J7" s="28"/>
      <c r="K7" s="28"/>
      <c r="L7" s="28"/>
      <c r="M7" s="28"/>
      <c r="N7" s="29" t="n">
        <f aca="false">COUNTIF(D7:M7,"P")</f>
        <v>3</v>
      </c>
      <c r="O7" s="29" t="n">
        <f aca="false">COUNTA(D7:M7)</f>
        <v>4</v>
      </c>
      <c r="P7" s="30" t="n">
        <f aca="false">IF(O7&gt;0,N7/O7,0)</f>
        <v>0.75</v>
      </c>
    </row>
    <row r="8" customFormat="false" ht="24" hidden="false" customHeight="true" outlineLevel="0" collapsed="false">
      <c r="A8" s="26" t="s">
        <v>55</v>
      </c>
      <c r="B8" s="27" t="s">
        <v>56</v>
      </c>
      <c r="C8" s="27" t="s">
        <v>57</v>
      </c>
      <c r="D8" s="28" t="s">
        <v>50</v>
      </c>
      <c r="E8" s="28" t="s">
        <v>50</v>
      </c>
      <c r="F8" s="28" t="s">
        <v>50</v>
      </c>
      <c r="G8" s="28" t="s">
        <v>50</v>
      </c>
      <c r="H8" s="28"/>
      <c r="I8" s="28"/>
      <c r="J8" s="28"/>
      <c r="K8" s="28"/>
      <c r="L8" s="28"/>
      <c r="M8" s="28"/>
      <c r="N8" s="29" t="n">
        <f aca="false">COUNTIF(D8:M8,"P")</f>
        <v>4</v>
      </c>
      <c r="O8" s="29" t="n">
        <f aca="false">COUNTA(D8:M8)</f>
        <v>4</v>
      </c>
      <c r="P8" s="30" t="n">
        <f aca="false">IF(O8&gt;0,N8/O8,0)</f>
        <v>1</v>
      </c>
    </row>
    <row r="9" customFormat="false" ht="24" hidden="false" customHeight="true" outlineLevel="0" collapsed="false">
      <c r="A9" s="26" t="s">
        <v>58</v>
      </c>
      <c r="B9" s="27" t="s">
        <v>59</v>
      </c>
      <c r="C9" s="27" t="s">
        <v>60</v>
      </c>
      <c r="D9" s="28" t="s">
        <v>50</v>
      </c>
      <c r="E9" s="28" t="s">
        <v>61</v>
      </c>
      <c r="F9" s="28" t="s">
        <v>50</v>
      </c>
      <c r="G9" s="28" t="s">
        <v>50</v>
      </c>
      <c r="H9" s="28"/>
      <c r="I9" s="28"/>
      <c r="J9" s="28"/>
      <c r="K9" s="28"/>
      <c r="L9" s="28"/>
      <c r="M9" s="28"/>
      <c r="N9" s="29" t="n">
        <f aca="false">COUNTIF(D9:M9,"P")</f>
        <v>3</v>
      </c>
      <c r="O9" s="29" t="n">
        <f aca="false">COUNTA(D9:M9)</f>
        <v>4</v>
      </c>
      <c r="P9" s="30" t="n">
        <f aca="false">IF(O9&gt;0,N9/O9,0)</f>
        <v>0.75</v>
      </c>
    </row>
    <row r="10" customFormat="false" ht="24" hidden="false" customHeight="true" outlineLevel="0" collapsed="false">
      <c r="A10" s="26" t="s">
        <v>62</v>
      </c>
      <c r="B10" s="27" t="s">
        <v>63</v>
      </c>
      <c r="C10" s="27" t="s">
        <v>64</v>
      </c>
      <c r="D10" s="28" t="s">
        <v>50</v>
      </c>
      <c r="E10" s="28" t="s">
        <v>50</v>
      </c>
      <c r="F10" s="28" t="s">
        <v>50</v>
      </c>
      <c r="G10" s="28" t="s">
        <v>50</v>
      </c>
      <c r="H10" s="28"/>
      <c r="I10" s="28"/>
      <c r="J10" s="28"/>
      <c r="K10" s="28"/>
      <c r="L10" s="28"/>
      <c r="M10" s="28"/>
      <c r="N10" s="29" t="n">
        <f aca="false">COUNTIF(D10:M10,"P")</f>
        <v>4</v>
      </c>
      <c r="O10" s="29" t="n">
        <f aca="false">COUNTA(D10:M10)</f>
        <v>4</v>
      </c>
      <c r="P10" s="30" t="n">
        <f aca="false">IF(O10&gt;0,N10/O10,0)</f>
        <v>1</v>
      </c>
    </row>
    <row r="11" customFormat="false" ht="24" hidden="false" customHeight="true" outlineLevel="0" collapsed="false">
      <c r="A11" s="26" t="s">
        <v>65</v>
      </c>
      <c r="B11" s="27" t="s">
        <v>66</v>
      </c>
      <c r="C11" s="27" t="s">
        <v>67</v>
      </c>
      <c r="D11" s="28" t="s">
        <v>50</v>
      </c>
      <c r="E11" s="28" t="s">
        <v>50</v>
      </c>
      <c r="F11" s="28" t="s">
        <v>50</v>
      </c>
      <c r="G11" s="28" t="s">
        <v>50</v>
      </c>
      <c r="H11" s="28"/>
      <c r="I11" s="28"/>
      <c r="J11" s="28"/>
      <c r="K11" s="28"/>
      <c r="L11" s="28"/>
      <c r="M11" s="28"/>
      <c r="N11" s="29" t="n">
        <f aca="false">COUNTIF(D11:M11,"P")</f>
        <v>4</v>
      </c>
      <c r="O11" s="29" t="n">
        <f aca="false">COUNTA(D11:M11)</f>
        <v>4</v>
      </c>
      <c r="P11" s="30" t="n">
        <f aca="false">IF(O11&gt;0,N11/O11,0)</f>
        <v>1</v>
      </c>
    </row>
    <row r="12" customFormat="false" ht="24" hidden="false" customHeight="true" outlineLevel="0" collapsed="false">
      <c r="A12" s="26" t="s">
        <v>68</v>
      </c>
      <c r="B12" s="27" t="s">
        <v>69</v>
      </c>
      <c r="C12" s="27" t="s">
        <v>70</v>
      </c>
      <c r="D12" s="28" t="s">
        <v>50</v>
      </c>
      <c r="E12" s="28" t="s">
        <v>50</v>
      </c>
      <c r="F12" s="28" t="s">
        <v>50</v>
      </c>
      <c r="G12" s="28" t="s">
        <v>54</v>
      </c>
      <c r="H12" s="28"/>
      <c r="I12" s="28"/>
      <c r="J12" s="28"/>
      <c r="K12" s="28"/>
      <c r="L12" s="28"/>
      <c r="M12" s="28"/>
      <c r="N12" s="29" t="n">
        <f aca="false">COUNTIF(D12:M12,"P")</f>
        <v>3</v>
      </c>
      <c r="O12" s="29" t="n">
        <f aca="false">COUNTA(D12:M12)</f>
        <v>4</v>
      </c>
      <c r="P12" s="30" t="n">
        <f aca="false">IF(O12&gt;0,N12/O12,0)</f>
        <v>0.75</v>
      </c>
    </row>
    <row r="13" customFormat="false" ht="24" hidden="false" customHeight="true" outlineLevel="0" collapsed="false">
      <c r="A13" s="26" t="s">
        <v>71</v>
      </c>
      <c r="B13" s="27" t="s">
        <v>72</v>
      </c>
      <c r="C13" s="27" t="s">
        <v>73</v>
      </c>
      <c r="D13" s="28" t="s">
        <v>50</v>
      </c>
      <c r="E13" s="28" t="s">
        <v>50</v>
      </c>
      <c r="F13" s="28" t="s">
        <v>50</v>
      </c>
      <c r="G13" s="28" t="s">
        <v>50</v>
      </c>
      <c r="H13" s="28"/>
      <c r="I13" s="28"/>
      <c r="J13" s="28"/>
      <c r="K13" s="28"/>
      <c r="L13" s="28"/>
      <c r="M13" s="28"/>
      <c r="N13" s="29" t="n">
        <f aca="false">COUNTIF(D13:M13,"P")</f>
        <v>4</v>
      </c>
      <c r="O13" s="29" t="n">
        <f aca="false">COUNTA(D13:M13)</f>
        <v>4</v>
      </c>
      <c r="P13" s="30" t="n">
        <f aca="false">IF(O13&gt;0,N13/O13,0)</f>
        <v>1</v>
      </c>
    </row>
    <row r="14" customFormat="false" ht="24" hidden="false" customHeight="true" outlineLevel="0" collapsed="false">
      <c r="A14" s="26" t="s">
        <v>74</v>
      </c>
      <c r="B14" s="27" t="s">
        <v>75</v>
      </c>
      <c r="C14" s="27" t="s">
        <v>76</v>
      </c>
      <c r="D14" s="28" t="s">
        <v>50</v>
      </c>
      <c r="E14" s="28" t="s">
        <v>50</v>
      </c>
      <c r="F14" s="28" t="s">
        <v>50</v>
      </c>
      <c r="G14" s="28" t="s">
        <v>50</v>
      </c>
      <c r="H14" s="28"/>
      <c r="I14" s="28"/>
      <c r="J14" s="28"/>
      <c r="K14" s="28"/>
      <c r="L14" s="28"/>
      <c r="M14" s="28"/>
      <c r="N14" s="29" t="n">
        <f aca="false">COUNTIF(D14:M14,"P")</f>
        <v>4</v>
      </c>
      <c r="O14" s="29" t="n">
        <f aca="false">COUNTA(D14:M14)</f>
        <v>4</v>
      </c>
      <c r="P14" s="30" t="n">
        <f aca="false">IF(O14&gt;0,N14/O14,0)</f>
        <v>1</v>
      </c>
    </row>
    <row r="15" customFormat="false" ht="24" hidden="false" customHeight="true" outlineLevel="0" collapsed="false">
      <c r="A15" s="26" t="s">
        <v>77</v>
      </c>
      <c r="B15" s="27" t="s">
        <v>78</v>
      </c>
      <c r="C15" s="27" t="s">
        <v>79</v>
      </c>
      <c r="D15" s="28" t="s">
        <v>50</v>
      </c>
      <c r="E15" s="28" t="s">
        <v>54</v>
      </c>
      <c r="F15" s="28" t="s">
        <v>61</v>
      </c>
      <c r="G15" s="28" t="s">
        <v>50</v>
      </c>
      <c r="H15" s="28"/>
      <c r="I15" s="28"/>
      <c r="J15" s="28"/>
      <c r="K15" s="28"/>
      <c r="L15" s="28"/>
      <c r="M15" s="28"/>
      <c r="N15" s="29" t="n">
        <f aca="false">COUNTIF(D15:M15,"P")</f>
        <v>2</v>
      </c>
      <c r="O15" s="29" t="n">
        <f aca="false">COUNTA(D15:M15)</f>
        <v>4</v>
      </c>
      <c r="P15" s="30" t="n">
        <f aca="false">IF(O15&gt;0,N15/O15,0)</f>
        <v>0.5</v>
      </c>
    </row>
    <row r="16" customFormat="false" ht="15" hidden="false" customHeight="false" outlineLevel="0" collapsed="false">
      <c r="A16" s="31" t="s">
        <v>80</v>
      </c>
      <c r="B16" s="31"/>
      <c r="C16" s="31"/>
      <c r="D16" s="32" t="n">
        <f aca="false">IF(COUNTA(D6:D15)&gt;0,COUNTIF(D6:D15,"P")/COUNTA(D6:D15),"")</f>
        <v>1</v>
      </c>
      <c r="E16" s="32" t="n">
        <f aca="false">IF(COUNTA(E6:E15)&gt;0,COUNTIF(E6:E15,"P")/COUNTA(E6:E15),"")</f>
        <v>0.8</v>
      </c>
      <c r="F16" s="32" t="n">
        <f aca="false">IF(COUNTA(F6:F15)&gt;0,COUNTIF(F6:F15,"P")/COUNTA(F6:F15),"")</f>
        <v>0.8</v>
      </c>
      <c r="G16" s="32" t="n">
        <f aca="false">IF(COUNTA(G6:G15)&gt;0,COUNTIF(G6:G15,"P")/COUNTA(G6:G15),"")</f>
        <v>0.9</v>
      </c>
      <c r="H16" s="32" t="str">
        <f aca="false">IF(COUNTA(H6:H15)&gt;0,COUNTIF(H6:H15,"P")/COUNTA(H6:H15),"")</f>
        <v/>
      </c>
      <c r="I16" s="32" t="str">
        <f aca="false">IF(COUNTA(I6:I15)&gt;0,COUNTIF(I6:I15,"P")/COUNTA(I6:I15),"")</f>
        <v/>
      </c>
      <c r="J16" s="32" t="str">
        <f aca="false">IF(COUNTA(J6:J15)&gt;0,COUNTIF(J6:J15,"P")/COUNTA(J6:J15),"")</f>
        <v/>
      </c>
      <c r="K16" s="32" t="str">
        <f aca="false">IF(COUNTA(K6:K15)&gt;0,COUNTIF(K6:K15,"P")/COUNTA(K6:K15),"")</f>
        <v/>
      </c>
      <c r="L16" s="32" t="str">
        <f aca="false">IF(COUNTA(L6:L15)&gt;0,COUNTIF(L6:L15,"P")/COUNTA(L6:L15),"")</f>
        <v/>
      </c>
      <c r="M16" s="32" t="str">
        <f aca="false">IF(COUNTA(M6:M15)&gt;0,COUNTIF(M6:M15,"P")/COUNTA(M6:M15),"")</f>
        <v/>
      </c>
    </row>
    <row r="18" customFormat="false" ht="24" hidden="false" customHeight="true" outlineLevel="0" collapsed="false">
      <c r="A18" s="33" t="s">
        <v>81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</row>
    <row r="19" customFormat="false" ht="21.75" hidden="false" customHeight="true" outlineLevel="0" collapsed="false">
      <c r="A19" s="34" t="s">
        <v>82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</row>
    <row r="20" customFormat="false" ht="21.75" hidden="false" customHeight="true" outlineLevel="0" collapsed="false">
      <c r="A20" s="34" t="s">
        <v>83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</row>
    <row r="21" customFormat="false" ht="21.75" hidden="false" customHeight="true" outlineLevel="0" collapsed="false">
      <c r="A21" s="34" t="s">
        <v>84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</row>
    <row r="22" customFormat="false" ht="21.75" hidden="false" customHeight="true" outlineLevel="0" collapsed="false">
      <c r="A22" s="34" t="s">
        <v>85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</row>
    <row r="23" customFormat="false" ht="21.75" hidden="false" customHeight="true" outlineLevel="0" collapsed="false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</row>
    <row r="24" customFormat="false" ht="21.75" hidden="false" customHeight="true" outlineLevel="0" collapsed="false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</row>
    <row r="25" customFormat="false" ht="21.75" hidden="false" customHeight="true" outlineLevel="0" collapsed="false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</row>
    <row r="26" customFormat="false" ht="21.7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</row>
    <row r="27" customFormat="false" ht="21.7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</row>
    <row r="28" customFormat="false" ht="21.75" hidden="false" customHeight="true" outlineLevel="0" collapsed="false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</row>
  </sheetData>
  <mergeCells count="19">
    <mergeCell ref="A1:B1"/>
    <mergeCell ref="C1:F1"/>
    <mergeCell ref="H1:I1"/>
    <mergeCell ref="A2:B2"/>
    <mergeCell ref="C2:F2"/>
    <mergeCell ref="H2:I2"/>
    <mergeCell ref="A4:Q4"/>
    <mergeCell ref="A16:C16"/>
    <mergeCell ref="A18:P18"/>
    <mergeCell ref="A19:P19"/>
    <mergeCell ref="A20:P20"/>
    <mergeCell ref="A21:P21"/>
    <mergeCell ref="A22:P22"/>
    <mergeCell ref="A23:P23"/>
    <mergeCell ref="A24:P24"/>
    <mergeCell ref="A25:P25"/>
    <mergeCell ref="A26:P26"/>
    <mergeCell ref="A27:P27"/>
    <mergeCell ref="A28:P28"/>
  </mergeCells>
  <conditionalFormatting sqref="D6:M15">
    <cfRule type="cellIs" priority="2" operator="equal" aboveAverage="0" equalAverage="0" bottom="0" percent="0" rank="0" text="" dxfId="0">
      <formula>"P"</formula>
    </cfRule>
    <cfRule type="cellIs" priority="3" operator="equal" aboveAverage="0" equalAverage="0" bottom="0" percent="0" rank="0" text="" dxfId="1">
      <formula>"F"</formula>
    </cfRule>
    <cfRule type="cellIs" priority="4" operator="equal" aboveAverage="0" equalAverage="0" bottom="0" percent="0" rank="0" text="" dxfId="2">
      <formula>"R"</formula>
    </cfRule>
  </conditionalFormatting>
  <conditionalFormatting sqref="P6:P15">
    <cfRule type="cellIs" priority="5" operator="lessThan" aboveAverage="0" equalAverage="0" bottom="0" percent="0" rank="0" text="" dxfId="1">
      <formula>0.8</formula>
    </cfRule>
    <cfRule type="expression" priority="6" aboveAverage="0" equalAverage="0" bottom="0" percent="0" rank="0" text="" dxfId="2">
      <formula>AND(P6&gt;=0.8,P6&lt;0.95)</formula>
    </cfRule>
    <cfRule type="cellIs" priority="7" operator="greaterThanOrEqual" aboveAverage="0" equalAverage="0" bottom="0" percent="0" rank="0" text="" dxfId="0">
      <formula>0.95</formula>
    </cfRule>
  </conditionalFormatting>
  <dataValidations count="1">
    <dataValidation allowBlank="true" errorStyle="stop" operator="between" showDropDown="false" showErrorMessage="false" showInputMessage="false" sqref="D6:M15" type="list">
      <formula1>"P,F,R"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&amp;CSilt / Sediment Control Inspection Log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0" t="s">
        <v>86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87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 t="s">
        <v>88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 t="s">
        <v>89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 t="s">
        <v>90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91</v>
      </c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 t="s">
        <v>92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 t="s">
        <v>93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Environmental</cp:category>
  <dcterms:created xsi:type="dcterms:W3CDTF">2026-03-23T06:59:01Z</dcterms:created>
  <dc:creator>Ebrora Ltd</dc:creator>
  <dc:description>Inspect silt and sediment control measures at regular intervals with scored pass/fail tracking and inspection notes for UK construction sites.
Free professional construction management template from Ebrora Ltd. Visit ebrora.com for our full range of tools and templates.</dc:description>
  <cp:keywords>Ebrora construction silt control sediment inspection pollution prevention PPG5 environmental</cp:keywords>
  <dc:language>en-US</dc:language>
  <cp:lastModifiedBy>Ebrora Ltd</cp:lastModifiedBy>
  <dcterms:modified xsi:type="dcterms:W3CDTF">2026-03-23T06:59:01Z</dcterms:modified>
  <cp:revision>0</cp:revision>
  <dc:subject>Inspect silt and sediment control measures at regular intervals with scored pass/fail tracking.</dc:subject>
  <dc:title>Silt / Sediment Control Inspection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