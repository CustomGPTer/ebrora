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ermit Compliance"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'Permit Compliance'!$A$1:$J$56</definedName>
    <definedName function="false" hidden="true" localSheetId="2" name="_xlnm._FilterDatabase" vbProcedure="false">'Permit Compliance'!$A$9:$J$510</definedName>
    <definedName function="false" hidden="false" name="PermitRegister" vbProcedure="false">'Permit Compliance'!$A$9:$J$510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<sst xmlns="http://schemas.openxmlformats.org/spreadsheetml/2006/main" count="138" uniqueCount="110">
  <si>
    <t xml:space="preserve">EBRORA</t>
  </si>
  <si>
    <t xml:space="preserve">ebrora.com</t>
  </si>
  <si>
    <t xml:space="preserve">Environmental Permit Compliance Register</t>
  </si>
  <si>
    <t xml:space="preserve">Track environmental permits and their conditions with compliance status monitoring.</t>
  </si>
  <si>
    <t xml:space="preserve">Ensures ongoing compliance with EA, NRW, and SEPA permit requirements.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</si>
  <si>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</si>
  <si>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</si>
  <si>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</si>
  <si>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</si>
  <si>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</si>
  <si>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'Permit Compliance' sheet. The top dashboard summarises compliance across all permits. It updates as you complete the register below.</t>
  </si>
  <si>
    <t xml:space="preserve">2.</t>
  </si>
  <si>
    <t xml:space="preserve">Each permit is shown as a category band (dark navy) with its conditions listed as rows beneath. Enter the permit details, reference number, and expiry date.</t>
  </si>
  <si>
    <t xml:space="preserve">3.</t>
  </si>
  <si>
    <t xml:space="preserve">For each condition, select the compliance status: Compliant, Non-Compliant, Partially Compliant, or Not Yet Assessed.</t>
  </si>
  <si>
    <t xml:space="preserve">4.</t>
  </si>
  <si>
    <t xml:space="preserve">Record the evidence of compliance (e.g. monitoring data, inspection records) and the person responsible for maintaining compliance.</t>
  </si>
  <si>
    <t xml:space="preserve">5.</t>
  </si>
  <si>
    <t xml:space="preserve">Expand the optional columns for review frequency, last review date, next review date, and action required for non-compliant items.</t>
  </si>
  <si>
    <t xml:space="preserve">6.</t>
  </si>
  <si>
    <t xml:space="preserve">The dashboard auto-counts conditions by status and calculates the overall compliance rate. Non-compliant items turn red.</t>
  </si>
  <si>
    <t xml:space="preserve">7.</t>
  </si>
  <si>
    <t xml:space="preserve">Review monthly with your environmental manager. Flag any upcoming permit expiry dates — these highlight amber within 30 days.</t>
  </si>
  <si>
    <t xml:space="preserve">Colour Key</t>
  </si>
  <si>
    <t xml:space="preserve">Light teal — user input / editable</t>
  </si>
  <si>
    <t xml:space="preserve">  </t>
  </si>
  <si>
    <t xml:space="preserve">Dark navy — permit headers, do not edit</t>
  </si>
  <si>
    <t xml:space="preserve">Green — Compliant</t>
  </si>
  <si>
    <t xml:space="preserve">Amber — Partially Compliant / approaching expiry</t>
  </si>
  <si>
    <t xml:space="preserve">Red — Non-Compliant or expired</t>
  </si>
  <si>
    <t xml:space="preserve">Tips</t>
  </si>
  <si>
    <t xml:space="preserve">•</t>
  </si>
  <si>
    <t xml:space="preserve">Set calendar reminders for permit renewal 3 months before expiry — late renewals can halt work.</t>
  </si>
  <si>
    <t xml:space="preserve">Keep a digital copy of each permit linked from the Evidence column for easy audit access.</t>
  </si>
  <si>
    <t xml:space="preserve">If a condition changes mid-project, update the register and re-assess compliance immediately.</t>
  </si>
  <si>
    <t xml:space="preserve">ENVIRONMENTAL PERMIT COMPLIANCE REGISTER</t>
  </si>
  <si>
    <t xml:space="preserve">Compliance Status Summary</t>
  </si>
  <si>
    <t xml:space="preserve">Overall Compliance</t>
  </si>
  <si>
    <t xml:space="preserve">Compliant</t>
  </si>
  <si>
    <t xml:space="preserve">Total Conditions:</t>
  </si>
  <si>
    <t xml:space="preserve">Partially Compliant</t>
  </si>
  <si>
    <t xml:space="preserve">Compliance Rate:</t>
  </si>
  <si>
    <t xml:space="preserve">Non-Compliant</t>
  </si>
  <si>
    <t xml:space="preserve">Full+Partial Rate:</t>
  </si>
  <si>
    <t xml:space="preserve">Not Yet Assessed</t>
  </si>
  <si>
    <t xml:space="preserve">PERMIT CONDITIONS REGISTER</t>
  </si>
  <si>
    <t xml:space="preserve">Cond. #</t>
  </si>
  <si>
    <t xml:space="preserve">Condition Description</t>
  </si>
  <si>
    <t xml:space="preserve">Status</t>
  </si>
  <si>
    <t xml:space="preserve">Evidence / Action Taken</t>
  </si>
  <si>
    <t xml:space="preserve">Responsible</t>
  </si>
  <si>
    <t xml:space="preserve">Review Freq.</t>
  </si>
  <si>
    <t xml:space="preserve">Last Review</t>
  </si>
  <si>
    <t xml:space="preserve">Next Review</t>
  </si>
  <si>
    <t xml:space="preserve">Expiry Date</t>
  </si>
  <si>
    <t xml:space="preserve">Notes / Actions Required</t>
  </si>
  <si>
    <t xml:space="preserve">DISCHARGE CONSENT — Environment Agency Ref: EPR/AB1234CD</t>
  </si>
  <si>
    <t xml:space="preserve">DC-01</t>
  </si>
  <si>
    <t xml:space="preserve">Discharge to watercourse shall not exceed 50 mg/L TSS at outfall point</t>
  </si>
  <si>
    <t xml:space="preserve">Weekly TSS monitoring results all &lt;30 mg/L — see monitoring log</t>
  </si>
  <si>
    <t xml:space="preserve">A. Hussain</t>
  </si>
  <si>
    <t xml:space="preserve">Weekly</t>
  </si>
  <si>
    <t xml:space="preserve">DC-02</t>
  </si>
  <si>
    <t xml:space="preserve">pH of discharge shall be between 6.0 and 9.0</t>
  </si>
  <si>
    <t xml:space="preserve">pH probe readings logged daily at outfall — range 6.8–7.6</t>
  </si>
  <si>
    <t xml:space="preserve">DC-03</t>
  </si>
  <si>
    <t xml:space="preserve">No visible oil or grease in discharge</t>
  </si>
  <si>
    <t xml:space="preserve">Visual inspection at each monitoring visit — no sheen observed</t>
  </si>
  <si>
    <t xml:space="preserve">DC-04</t>
  </si>
  <si>
    <t xml:space="preserve">Flow rate shall not exceed 5 L/s</t>
  </si>
  <si>
    <t xml:space="preserve">Flow meter installed but needs recalibration — last reading 4.2 L/s</t>
  </si>
  <si>
    <t xml:space="preserve">Monthly</t>
  </si>
  <si>
    <t xml:space="preserve">Calibration booked for 25/03/2026</t>
  </si>
  <si>
    <t xml:space="preserve">WASTE MANAGEMENT LICENCE — EA Ref: WML/EF5678GH</t>
  </si>
  <si>
    <t xml:space="preserve">WM-01</t>
  </si>
  <si>
    <t xml:space="preserve">All waste stored in designated, bunded storage areas</t>
  </si>
  <si>
    <t xml:space="preserve">Storage areas inspected weekly — bunding intact, no overflows</t>
  </si>
  <si>
    <t xml:space="preserve">M. Okafor</t>
  </si>
  <si>
    <t xml:space="preserve">WM-02</t>
  </si>
  <si>
    <t xml:space="preserve">Waste transfer notes completed for all movements</t>
  </si>
  <si>
    <t xml:space="preserve">WTN file up to date — cross-referenced with waste log</t>
  </si>
  <si>
    <t xml:space="preserve">Per transfer</t>
  </si>
  <si>
    <t xml:space="preserve">WM-03</t>
  </si>
  <si>
    <t xml:space="preserve">Hazardous waste consignment notes for all haz. waste</t>
  </si>
  <si>
    <t xml:space="preserve">2 consignment notes issued — both filed and registered</t>
  </si>
  <si>
    <t xml:space="preserve">WM-04</t>
  </si>
  <si>
    <t xml:space="preserve">Site operatives trained in waste segregation</t>
  </si>
  <si>
    <t xml:space="preserve">3 new starters not yet inducted on waste procedures</t>
  </si>
  <si>
    <t xml:space="preserve">Toolbox talk scheduled 22/03/2026</t>
  </si>
  <si>
    <t xml:space="preserve">SECTION 61 NOISE CONSENT — Local Authority Ref: S61/2025/0042</t>
  </si>
  <si>
    <t xml:space="preserve">N-01</t>
  </si>
  <si>
    <t xml:space="preserve">Construction noise shall not exceed 75 dB LAeq,T at NSR</t>
  </si>
  <si>
    <t xml:space="preserve">Monitoring log shows max 73 dB at nearest receptor</t>
  </si>
  <si>
    <t xml:space="preserve">J. Barton</t>
  </si>
  <si>
    <t xml:space="preserve">N-02</t>
  </si>
  <si>
    <t xml:space="preserve">Piling operations restricted to 08:00–18:00 Mon-Fri only</t>
  </si>
  <si>
    <t xml:space="preserve">Programme confirms piling within permitted hours</t>
  </si>
  <si>
    <t xml:space="preserve">Daily</t>
  </si>
  <si>
    <t xml:space="preserve">N-03</t>
  </si>
  <si>
    <t xml:space="preserve">Best Practicable Means (BPM) applied to all noisy activities</t>
  </si>
  <si>
    <t xml:space="preserve">BPM register maintained — acoustic screens around piling rig</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</si>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</sst>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0%"/>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6"/>
      <color rgb="FF2AABB3"/>
      <name val="Calibri"/>
      <family val="0"/>
      <charset val="1"/>
    </font>
    <font>
      <b val="true"/>
      <sz val="14"/>
      <color rgb="FF2AABB3"/>
      <name val="Calibri"/>
      <family val="0"/>
      <charset val="1"/>
    </font>
    <font>
      <b val="true"/>
      <sz val="12"/>
      <color rgb="FFFFFFFF"/>
      <name val="Calibri"/>
      <family val="0"/>
      <charset val="1"/>
    </font>
    <font>
      <b val="true"/>
      <sz val="11"/>
      <color rgb="FFFFFFFF"/>
      <name val="Calibri"/>
      <family val="0"/>
      <charset val="1"/>
    </font>
    <font>
      <b val="true"/>
      <sz val="10"/>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F2F2F2"/>
        <bgColor rgb="FFE8F6F7"/>
      </patternFill>
    </fill>
    <fill>
      <patternFill patternType="solid">
        <fgColor rgb="FF2AABB3"/>
        <bgColor rgb="FF339966"/>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false" applyProtection="false">
      <alignment horizontal="general" vertical="bottom" textRotation="0" wrapText="false" indent="0" shrinkToFit="false"/>
      <protection locked="true" hidden="false"/>
    </xf>
    <xf numFmtId="165" fontId="11" fillId="0" borderId="3" xfId="0" applyFont="true" applyBorder="tru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4" fontId="12" fillId="6" borderId="3"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center" vertical="center" textRotation="0" wrapText="tru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12" fillId="8" borderId="3" xfId="0" applyFont="true" applyBorder="true" applyAlignment="false" applyProtection="false">
      <alignment horizontal="general" vertical="bottom" textRotation="0" wrapText="false" indent="0" shrinkToFit="false"/>
      <protection locked="true" hidden="false"/>
    </xf>
    <xf numFmtId="164" fontId="17" fillId="9" borderId="0"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left" vertical="center" textRotation="0" wrapText="true" indent="0" shrinkToFit="false"/>
      <protection locked="true" hidden="false"/>
    </xf>
    <xf numFmtId="167" fontId="19" fillId="2" borderId="0" xfId="0" applyFont="true" applyBorder="fals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8"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left" vertical="center" textRotation="0" wrapText="true" indent="0" shrinkToFit="false"/>
      <protection locked="true" hidden="false"/>
    </xf>
    <xf numFmtId="167" fontId="0" fillId="8" borderId="3" xfId="0" applyFont="false" applyBorder="true" applyAlignment="false" applyProtection="false">
      <alignment horizontal="general" vertical="bottom" textRotation="0" wrapText="false" indent="0" shrinkToFit="false"/>
      <protection locked="true" hidden="false"/>
    </xf>
    <xf numFmtId="164" fontId="0" fillId="8" borderId="3" xfId="0" applyFont="false" applyBorder="true" applyAlignment="false" applyProtection="false">
      <alignment horizontal="general" vertical="bottom" textRotation="0" wrapText="fals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7" fontId="0" fillId="4" borderId="3" xfId="0" applyFont="fals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7" fontId="12" fillId="8"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8"/>
    <col collapsed="false" customWidth="true" hidden="false" outlineLevel="0" max="2" min="2" style="0" width="35"/>
    <col collapsed="false" customWidth="true" hidden="false" outlineLevel="0" max="3" min="3" style="0" width="16"/>
    <col collapsed="false" customWidth="true" hidden="false" outlineLevel="0" max="4" min="4" style="0" width="30"/>
    <col collapsed="false" customWidth="true" hidden="false" outlineLevel="0" max="5" min="5" style="0" width="18"/>
    <col collapsed="false" customWidth="true" hidden="true" outlineLevel="1" max="10" min="6" style="0" width="16"/>
  </cols>
  <sheetData>
    <row r="1" customFormat="false" ht="30" hidden="false" customHeight="true" outlineLevel="0" collapsed="false">
      <c r="A1" s="21" t="s">
        <v>35</v>
      </c>
      <c r="B1" s="21"/>
      <c r="C1" s="21"/>
      <c r="D1" s="21"/>
      <c r="E1" s="21"/>
      <c r="F1" s="21"/>
      <c r="G1" s="21"/>
      <c r="H1" s="21"/>
      <c r="I1" s="21"/>
      <c r="J1" s="21"/>
    </row>
    <row r="2" customFormat="false" ht="28.35" hidden="false" customHeight="true" outlineLevel="0" collapsed="false">
      <c r="A2" s="22" t="s">
        <v>36</v>
      </c>
      <c r="B2" s="22"/>
      <c r="C2" s="22"/>
      <c r="D2" s="22"/>
      <c r="F2" s="22" t="s">
        <v>37</v>
      </c>
      <c r="G2" s="22"/>
      <c r="H2" s="22"/>
    </row>
    <row r="3" customFormat="false" ht="15" hidden="false" customHeight="false" outlineLevel="0" collapsed="false">
      <c r="A3" s="23" t="s">
        <v>38</v>
      </c>
      <c r="B3" s="23"/>
      <c r="C3" s="23"/>
      <c r="D3" s="24" t="n">
        <f aca="false">COUNTIF(C10:C510,A3)</f>
        <v>9</v>
      </c>
      <c r="F3" s="15" t="s">
        <v>39</v>
      </c>
      <c r="G3" s="15"/>
      <c r="H3" s="25" t="n">
        <f aca="false">COUNTA(C10:C510)</f>
        <v>11</v>
      </c>
    </row>
    <row r="4" customFormat="false" ht="20.85" hidden="false" customHeight="false" outlineLevel="0" collapsed="false">
      <c r="A4" s="26" t="s">
        <v>40</v>
      </c>
      <c r="B4" s="26"/>
      <c r="C4" s="26"/>
      <c r="D4" s="24" t="n">
        <f aca="false">COUNTIF(C10:C510,A4)</f>
        <v>1</v>
      </c>
      <c r="F4" s="15" t="s">
        <v>41</v>
      </c>
      <c r="G4" s="15"/>
      <c r="H4" s="27" t="n">
        <f aca="false">IF(H3&gt;0,COUNTIF(C10:C510,"Compliant")/H3,0)</f>
        <v>0.818181818181818</v>
      </c>
    </row>
    <row r="5" customFormat="false" ht="18.65" hidden="false" customHeight="false" outlineLevel="0" collapsed="false">
      <c r="A5" s="28" t="s">
        <v>42</v>
      </c>
      <c r="B5" s="28"/>
      <c r="C5" s="28"/>
      <c r="D5" s="24" t="n">
        <f aca="false">COUNTIF(C10:C510,A5)</f>
        <v>1</v>
      </c>
      <c r="F5" s="15" t="s">
        <v>43</v>
      </c>
      <c r="G5" s="15"/>
      <c r="H5" s="29" t="n">
        <f aca="false">IF(H3&gt;0,(COUNTIF(C10:C510,"Compliant")+COUNTIF(C10:C510,"Partially Compliant"))/H3,0)</f>
        <v>0.909090909090909</v>
      </c>
    </row>
    <row r="6" customFormat="false" ht="15" hidden="false" customHeight="false" outlineLevel="0" collapsed="false">
      <c r="A6" s="30" t="s">
        <v>44</v>
      </c>
      <c r="B6" s="30"/>
      <c r="C6" s="30"/>
      <c r="D6" s="24" t="n">
        <f aca="false">COUNTIF(C10:C510,A6)</f>
        <v>0</v>
      </c>
    </row>
    <row r="7" customFormat="false" ht="6" hidden="false" customHeight="true" outlineLevel="0" collapsed="false"/>
    <row r="8" customFormat="false" ht="25.5" hidden="false" customHeight="true" outlineLevel="0" collapsed="false">
      <c r="A8" s="31" t="s">
        <v>45</v>
      </c>
      <c r="B8" s="31"/>
      <c r="C8" s="31"/>
      <c r="D8" s="31"/>
      <c r="E8" s="31"/>
      <c r="F8" s="31"/>
      <c r="G8" s="31"/>
      <c r="H8" s="31"/>
      <c r="I8" s="31"/>
      <c r="J8" s="31"/>
    </row>
    <row r="9" customFormat="false" ht="41.75" hidden="false" customHeight="false" outlineLevel="0" collapsed="false">
      <c r="A9" s="32" t="s">
        <v>46</v>
      </c>
      <c r="B9" s="32" t="s">
        <v>47</v>
      </c>
      <c r="C9" s="32" t="s">
        <v>48</v>
      </c>
      <c r="D9" s="32" t="s">
        <v>49</v>
      </c>
      <c r="E9" s="32" t="s">
        <v>50</v>
      </c>
      <c r="F9" s="32" t="s">
        <v>51</v>
      </c>
      <c r="G9" s="32" t="s">
        <v>52</v>
      </c>
      <c r="H9" s="32" t="s">
        <v>53</v>
      </c>
      <c r="I9" s="32" t="s">
        <v>54</v>
      </c>
      <c r="J9" s="32" t="s">
        <v>55</v>
      </c>
    </row>
    <row r="10" customFormat="false" ht="24" hidden="false" customHeight="true" outlineLevel="0" collapsed="false">
      <c r="A10" s="33" t="s">
        <v>56</v>
      </c>
      <c r="B10" s="33"/>
      <c r="C10" s="33"/>
      <c r="D10" s="33"/>
      <c r="E10" s="33"/>
      <c r="F10" s="33"/>
      <c r="G10" s="33"/>
      <c r="H10" s="33"/>
      <c r="I10" s="34" t="n">
        <v>46568</v>
      </c>
      <c r="J10" s="35"/>
    </row>
    <row r="11" customFormat="false" ht="39.75" hidden="false" customHeight="true" outlineLevel="0" collapsed="false">
      <c r="A11" s="36" t="s">
        <v>57</v>
      </c>
      <c r="B11" s="37" t="s">
        <v>58</v>
      </c>
      <c r="C11" s="36" t="s">
        <v>38</v>
      </c>
      <c r="D11" s="37" t="s">
        <v>59</v>
      </c>
      <c r="E11" s="36" t="s">
        <v>60</v>
      </c>
      <c r="F11" s="36" t="s">
        <v>61</v>
      </c>
      <c r="G11" s="38" t="n">
        <v>46097</v>
      </c>
      <c r="H11" s="38" t="n">
        <v>46104</v>
      </c>
      <c r="I11" s="39"/>
      <c r="J11" s="37"/>
    </row>
    <row r="12" customFormat="false" ht="39.75" hidden="false" customHeight="true" outlineLevel="0" collapsed="false">
      <c r="A12" s="40" t="s">
        <v>62</v>
      </c>
      <c r="B12" s="41" t="s">
        <v>63</v>
      </c>
      <c r="C12" s="40" t="s">
        <v>38</v>
      </c>
      <c r="D12" s="41" t="s">
        <v>64</v>
      </c>
      <c r="E12" s="40" t="s">
        <v>60</v>
      </c>
      <c r="F12" s="40" t="s">
        <v>61</v>
      </c>
      <c r="G12" s="42" t="n">
        <v>46097</v>
      </c>
      <c r="H12" s="42" t="n">
        <v>46104</v>
      </c>
      <c r="I12" s="43"/>
      <c r="J12" s="41"/>
    </row>
    <row r="13" customFormat="false" ht="39.75" hidden="false" customHeight="true" outlineLevel="0" collapsed="false">
      <c r="A13" s="36" t="s">
        <v>65</v>
      </c>
      <c r="B13" s="37" t="s">
        <v>66</v>
      </c>
      <c r="C13" s="36" t="s">
        <v>38</v>
      </c>
      <c r="D13" s="37" t="s">
        <v>67</v>
      </c>
      <c r="E13" s="36" t="s">
        <v>60</v>
      </c>
      <c r="F13" s="36" t="s">
        <v>61</v>
      </c>
      <c r="G13" s="38" t="n">
        <v>46097</v>
      </c>
      <c r="H13" s="38" t="n">
        <v>46104</v>
      </c>
      <c r="I13" s="39"/>
      <c r="J13" s="37"/>
    </row>
    <row r="14" customFormat="false" ht="39.75" hidden="false" customHeight="true" outlineLevel="0" collapsed="false">
      <c r="A14" s="40" t="s">
        <v>68</v>
      </c>
      <c r="B14" s="41" t="s">
        <v>69</v>
      </c>
      <c r="C14" s="40" t="s">
        <v>40</v>
      </c>
      <c r="D14" s="41" t="s">
        <v>70</v>
      </c>
      <c r="E14" s="40" t="s">
        <v>60</v>
      </c>
      <c r="F14" s="40" t="s">
        <v>71</v>
      </c>
      <c r="G14" s="42" t="n">
        <v>46081</v>
      </c>
      <c r="H14" s="42" t="n">
        <v>46112</v>
      </c>
      <c r="I14" s="43"/>
      <c r="J14" s="41" t="s">
        <v>72</v>
      </c>
    </row>
    <row r="16" customFormat="false" ht="24" hidden="false" customHeight="true" outlineLevel="0" collapsed="false">
      <c r="A16" s="33" t="s">
        <v>73</v>
      </c>
      <c r="B16" s="33"/>
      <c r="C16" s="33"/>
      <c r="D16" s="33"/>
      <c r="E16" s="33"/>
      <c r="F16" s="33"/>
      <c r="G16" s="33"/>
      <c r="H16" s="33"/>
      <c r="I16" s="34" t="n">
        <v>46387</v>
      </c>
      <c r="J16" s="35"/>
    </row>
    <row r="17" customFormat="false" ht="39.75" hidden="false" customHeight="true" outlineLevel="0" collapsed="false">
      <c r="A17" s="36" t="s">
        <v>74</v>
      </c>
      <c r="B17" s="37" t="s">
        <v>75</v>
      </c>
      <c r="C17" s="36" t="s">
        <v>38</v>
      </c>
      <c r="D17" s="37" t="s">
        <v>76</v>
      </c>
      <c r="E17" s="36" t="s">
        <v>77</v>
      </c>
      <c r="F17" s="36" t="s">
        <v>61</v>
      </c>
      <c r="G17" s="38" t="n">
        <v>46095</v>
      </c>
      <c r="H17" s="38" t="n">
        <v>46102</v>
      </c>
      <c r="I17" s="39"/>
      <c r="J17" s="37"/>
    </row>
    <row r="18" customFormat="false" ht="39.75" hidden="false" customHeight="true" outlineLevel="0" collapsed="false">
      <c r="A18" s="40" t="s">
        <v>78</v>
      </c>
      <c r="B18" s="41" t="s">
        <v>79</v>
      </c>
      <c r="C18" s="40" t="s">
        <v>38</v>
      </c>
      <c r="D18" s="41" t="s">
        <v>80</v>
      </c>
      <c r="E18" s="40" t="s">
        <v>77</v>
      </c>
      <c r="F18" s="40" t="s">
        <v>81</v>
      </c>
      <c r="G18" s="42" t="n">
        <v>46099</v>
      </c>
      <c r="H18" s="43"/>
      <c r="I18" s="43"/>
      <c r="J18" s="41"/>
    </row>
    <row r="19" customFormat="false" ht="39.75" hidden="false" customHeight="true" outlineLevel="0" collapsed="false">
      <c r="A19" s="36" t="s">
        <v>82</v>
      </c>
      <c r="B19" s="37" t="s">
        <v>83</v>
      </c>
      <c r="C19" s="36" t="s">
        <v>38</v>
      </c>
      <c r="D19" s="37" t="s">
        <v>84</v>
      </c>
      <c r="E19" s="36" t="s">
        <v>77</v>
      </c>
      <c r="F19" s="36" t="s">
        <v>81</v>
      </c>
      <c r="G19" s="38" t="n">
        <v>46093</v>
      </c>
      <c r="H19" s="39"/>
      <c r="I19" s="39"/>
      <c r="J19" s="37"/>
    </row>
    <row r="20" customFormat="false" ht="39.75" hidden="false" customHeight="true" outlineLevel="0" collapsed="false">
      <c r="A20" s="40" t="s">
        <v>85</v>
      </c>
      <c r="B20" s="41" t="s">
        <v>86</v>
      </c>
      <c r="C20" s="40" t="s">
        <v>42</v>
      </c>
      <c r="D20" s="41" t="s">
        <v>87</v>
      </c>
      <c r="E20" s="40" t="s">
        <v>77</v>
      </c>
      <c r="F20" s="40" t="s">
        <v>71</v>
      </c>
      <c r="G20" s="42" t="n">
        <v>46068</v>
      </c>
      <c r="H20" s="42" t="n">
        <v>46096</v>
      </c>
      <c r="I20" s="43"/>
      <c r="J20" s="41" t="s">
        <v>88</v>
      </c>
    </row>
    <row r="22" customFormat="false" ht="24" hidden="false" customHeight="true" outlineLevel="0" collapsed="false">
      <c r="A22" s="33" t="s">
        <v>89</v>
      </c>
      <c r="B22" s="33"/>
      <c r="C22" s="33"/>
      <c r="D22" s="33"/>
      <c r="E22" s="33"/>
      <c r="F22" s="33"/>
      <c r="G22" s="33"/>
      <c r="H22" s="33"/>
      <c r="I22" s="34" t="n">
        <v>46295</v>
      </c>
      <c r="J22" s="35"/>
    </row>
    <row r="23" customFormat="false" ht="39.75" hidden="false" customHeight="true" outlineLevel="0" collapsed="false">
      <c r="A23" s="36" t="s">
        <v>90</v>
      </c>
      <c r="B23" s="37" t="s">
        <v>91</v>
      </c>
      <c r="C23" s="36" t="s">
        <v>38</v>
      </c>
      <c r="D23" s="37" t="s">
        <v>92</v>
      </c>
      <c r="E23" s="36" t="s">
        <v>93</v>
      </c>
      <c r="F23" s="36" t="s">
        <v>61</v>
      </c>
      <c r="G23" s="38" t="n">
        <v>46097</v>
      </c>
      <c r="H23" s="38" t="n">
        <v>46104</v>
      </c>
      <c r="I23" s="39"/>
      <c r="J23" s="37"/>
    </row>
    <row r="24" customFormat="false" ht="39.75" hidden="false" customHeight="true" outlineLevel="0" collapsed="false">
      <c r="A24" s="40" t="s">
        <v>94</v>
      </c>
      <c r="B24" s="41" t="s">
        <v>95</v>
      </c>
      <c r="C24" s="40" t="s">
        <v>38</v>
      </c>
      <c r="D24" s="41" t="s">
        <v>96</v>
      </c>
      <c r="E24" s="40" t="s">
        <v>93</v>
      </c>
      <c r="F24" s="40" t="s">
        <v>97</v>
      </c>
      <c r="G24" s="42" t="n">
        <v>46101</v>
      </c>
      <c r="H24" s="42" t="n">
        <v>46102</v>
      </c>
      <c r="I24" s="43"/>
      <c r="J24" s="41"/>
    </row>
    <row r="25" customFormat="false" ht="39.75" hidden="false" customHeight="true" outlineLevel="0" collapsed="false">
      <c r="A25" s="36" t="s">
        <v>98</v>
      </c>
      <c r="B25" s="37" t="s">
        <v>99</v>
      </c>
      <c r="C25" s="36" t="s">
        <v>38</v>
      </c>
      <c r="D25" s="37" t="s">
        <v>100</v>
      </c>
      <c r="E25" s="36" t="s">
        <v>93</v>
      </c>
      <c r="F25" s="36" t="s">
        <v>71</v>
      </c>
      <c r="G25" s="38" t="n">
        <v>46081</v>
      </c>
      <c r="H25" s="38" t="n">
        <v>46112</v>
      </c>
      <c r="I25" s="39"/>
      <c r="J25" s="37"/>
    </row>
    <row r="27" customFormat="false" ht="15" hidden="false" customHeight="false" outlineLevel="0" collapsed="false">
      <c r="A27" s="36"/>
      <c r="B27" s="37"/>
      <c r="C27" s="36"/>
      <c r="D27" s="37"/>
      <c r="E27" s="36"/>
      <c r="F27" s="36"/>
      <c r="G27" s="44"/>
      <c r="H27" s="44"/>
      <c r="I27" s="44"/>
      <c r="J27" s="37"/>
    </row>
    <row r="28" customFormat="false" ht="15" hidden="false" customHeight="false" outlineLevel="0" collapsed="false">
      <c r="A28" s="40"/>
      <c r="B28" s="41"/>
      <c r="C28" s="40"/>
      <c r="D28" s="41"/>
      <c r="E28" s="40"/>
      <c r="F28" s="40"/>
      <c r="G28" s="45"/>
      <c r="H28" s="45"/>
      <c r="I28" s="45"/>
      <c r="J28" s="41"/>
    </row>
    <row r="29" customFormat="false" ht="15" hidden="false" customHeight="false" outlineLevel="0" collapsed="false">
      <c r="A29" s="36"/>
      <c r="B29" s="37"/>
      <c r="C29" s="36"/>
      <c r="D29" s="37"/>
      <c r="E29" s="36"/>
      <c r="F29" s="36"/>
      <c r="G29" s="44"/>
      <c r="H29" s="44"/>
      <c r="I29" s="44"/>
      <c r="J29" s="37"/>
    </row>
    <row r="30" customFormat="false" ht="15" hidden="false" customHeight="false" outlineLevel="0" collapsed="false">
      <c r="A30" s="40"/>
      <c r="B30" s="41"/>
      <c r="C30" s="40"/>
      <c r="D30" s="41"/>
      <c r="E30" s="40"/>
      <c r="F30" s="40"/>
      <c r="G30" s="45"/>
      <c r="H30" s="45"/>
      <c r="I30" s="45"/>
      <c r="J30" s="41"/>
    </row>
    <row r="31" customFormat="false" ht="15" hidden="false" customHeight="false" outlineLevel="0" collapsed="false">
      <c r="A31" s="36"/>
      <c r="B31" s="37"/>
      <c r="C31" s="36"/>
      <c r="D31" s="37"/>
      <c r="E31" s="36"/>
      <c r="F31" s="36"/>
      <c r="G31" s="44"/>
      <c r="H31" s="44"/>
      <c r="I31" s="44"/>
      <c r="J31" s="37"/>
    </row>
    <row r="32" customFormat="false" ht="15" hidden="false" customHeight="false" outlineLevel="0" collapsed="false">
      <c r="A32" s="40"/>
      <c r="B32" s="41"/>
      <c r="C32" s="40"/>
      <c r="D32" s="41"/>
      <c r="E32" s="40"/>
      <c r="F32" s="40"/>
      <c r="G32" s="45"/>
      <c r="H32" s="45"/>
      <c r="I32" s="45"/>
      <c r="J32" s="41"/>
    </row>
    <row r="33" customFormat="false" ht="15" hidden="false" customHeight="false" outlineLevel="0" collapsed="false">
      <c r="A33" s="36"/>
      <c r="B33" s="37"/>
      <c r="C33" s="36"/>
      <c r="D33" s="37"/>
      <c r="E33" s="36"/>
      <c r="F33" s="36"/>
      <c r="G33" s="44"/>
      <c r="H33" s="44"/>
      <c r="I33" s="44"/>
      <c r="J33" s="37"/>
    </row>
    <row r="34" customFormat="false" ht="15" hidden="false" customHeight="false" outlineLevel="0" collapsed="false">
      <c r="A34" s="40"/>
      <c r="B34" s="41"/>
      <c r="C34" s="40"/>
      <c r="D34" s="41"/>
      <c r="E34" s="40"/>
      <c r="F34" s="40"/>
      <c r="G34" s="45"/>
      <c r="H34" s="45"/>
      <c r="I34" s="45"/>
      <c r="J34" s="41"/>
    </row>
    <row r="35" customFormat="false" ht="15" hidden="false" customHeight="false" outlineLevel="0" collapsed="false">
      <c r="A35" s="36"/>
      <c r="B35" s="37"/>
      <c r="C35" s="36"/>
      <c r="D35" s="37"/>
      <c r="E35" s="36"/>
      <c r="F35" s="36"/>
      <c r="G35" s="44"/>
      <c r="H35" s="44"/>
      <c r="I35" s="44"/>
      <c r="J35" s="37"/>
    </row>
    <row r="36" customFormat="false" ht="15" hidden="false" customHeight="false" outlineLevel="0" collapsed="false">
      <c r="A36" s="40"/>
      <c r="B36" s="41"/>
      <c r="C36" s="40"/>
      <c r="D36" s="41"/>
      <c r="E36" s="40"/>
      <c r="F36" s="40"/>
      <c r="G36" s="45"/>
      <c r="H36" s="45"/>
      <c r="I36" s="45"/>
      <c r="J36" s="41"/>
    </row>
    <row r="37" customFormat="false" ht="15" hidden="false" customHeight="false" outlineLevel="0" collapsed="false">
      <c r="A37" s="36"/>
      <c r="B37" s="37"/>
      <c r="C37" s="36"/>
      <c r="D37" s="37"/>
      <c r="E37" s="36"/>
      <c r="F37" s="36"/>
      <c r="G37" s="44"/>
      <c r="H37" s="44"/>
      <c r="I37" s="44"/>
      <c r="J37" s="37"/>
    </row>
    <row r="38" customFormat="false" ht="15" hidden="false" customHeight="false" outlineLevel="0" collapsed="false">
      <c r="A38" s="40"/>
      <c r="B38" s="41"/>
      <c r="C38" s="40"/>
      <c r="D38" s="41"/>
      <c r="E38" s="40"/>
      <c r="F38" s="40"/>
      <c r="G38" s="45"/>
      <c r="H38" s="45"/>
      <c r="I38" s="45"/>
      <c r="J38" s="41"/>
    </row>
    <row r="39" customFormat="false" ht="15" hidden="false" customHeight="false" outlineLevel="0" collapsed="false">
      <c r="A39" s="36"/>
      <c r="B39" s="37"/>
      <c r="C39" s="36"/>
      <c r="D39" s="37"/>
      <c r="E39" s="36"/>
      <c r="F39" s="36"/>
      <c r="G39" s="44"/>
      <c r="H39" s="44"/>
      <c r="I39" s="44"/>
      <c r="J39" s="37"/>
    </row>
    <row r="40" customFormat="false" ht="15" hidden="false" customHeight="false" outlineLevel="0" collapsed="false">
      <c r="A40" s="40"/>
      <c r="B40" s="41"/>
      <c r="C40" s="40"/>
      <c r="D40" s="41"/>
      <c r="E40" s="40"/>
      <c r="F40" s="40"/>
      <c r="G40" s="45"/>
      <c r="H40" s="45"/>
      <c r="I40" s="45"/>
      <c r="J40" s="41"/>
    </row>
    <row r="41" customFormat="false" ht="15" hidden="false" customHeight="false" outlineLevel="0" collapsed="false">
      <c r="A41" s="36"/>
      <c r="B41" s="37"/>
      <c r="C41" s="36"/>
      <c r="D41" s="37"/>
      <c r="E41" s="36"/>
      <c r="F41" s="36"/>
      <c r="G41" s="44"/>
      <c r="H41" s="44"/>
      <c r="I41" s="44"/>
      <c r="J41" s="37"/>
    </row>
    <row r="42" customFormat="false" ht="15" hidden="false" customHeight="false" outlineLevel="0" collapsed="false">
      <c r="A42" s="40"/>
      <c r="B42" s="41"/>
      <c r="C42" s="40"/>
      <c r="D42" s="41"/>
      <c r="E42" s="40"/>
      <c r="F42" s="40"/>
      <c r="G42" s="45"/>
      <c r="H42" s="45"/>
      <c r="I42" s="45"/>
      <c r="J42" s="41"/>
    </row>
    <row r="43" customFormat="false" ht="15" hidden="false" customHeight="false" outlineLevel="0" collapsed="false">
      <c r="A43" s="36"/>
      <c r="B43" s="37"/>
      <c r="C43" s="36"/>
      <c r="D43" s="37"/>
      <c r="E43" s="36"/>
      <c r="F43" s="36"/>
      <c r="G43" s="44"/>
      <c r="H43" s="44"/>
      <c r="I43" s="44"/>
      <c r="J43" s="37"/>
    </row>
    <row r="44" customFormat="false" ht="15" hidden="false" customHeight="false" outlineLevel="0" collapsed="false">
      <c r="A44" s="40"/>
      <c r="B44" s="41"/>
      <c r="C44" s="40"/>
      <c r="D44" s="41"/>
      <c r="E44" s="40"/>
      <c r="F44" s="40"/>
      <c r="G44" s="45"/>
      <c r="H44" s="45"/>
      <c r="I44" s="45"/>
      <c r="J44" s="41"/>
    </row>
    <row r="45" customFormat="false" ht="15" hidden="false" customHeight="false" outlineLevel="0" collapsed="false">
      <c r="A45" s="36"/>
      <c r="B45" s="37"/>
      <c r="C45" s="36"/>
      <c r="D45" s="37"/>
      <c r="E45" s="36"/>
      <c r="F45" s="36"/>
      <c r="G45" s="44"/>
      <c r="H45" s="44"/>
      <c r="I45" s="44"/>
      <c r="J45" s="37"/>
    </row>
    <row r="46" customFormat="false" ht="15" hidden="false" customHeight="false" outlineLevel="0" collapsed="false">
      <c r="A46" s="40"/>
      <c r="B46" s="41"/>
      <c r="C46" s="40"/>
      <c r="D46" s="41"/>
      <c r="E46" s="40"/>
      <c r="F46" s="40"/>
      <c r="G46" s="45"/>
      <c r="H46" s="45"/>
      <c r="I46" s="45"/>
      <c r="J46" s="41"/>
    </row>
    <row r="47" customFormat="false" ht="15" hidden="false" customHeight="false" outlineLevel="0" collapsed="false">
      <c r="A47" s="36"/>
      <c r="B47" s="37"/>
      <c r="C47" s="36"/>
      <c r="D47" s="37"/>
      <c r="E47" s="36"/>
      <c r="F47" s="36"/>
      <c r="G47" s="44"/>
      <c r="H47" s="44"/>
      <c r="I47" s="44"/>
      <c r="J47" s="37"/>
    </row>
    <row r="48" customFormat="false" ht="15" hidden="false" customHeight="false" outlineLevel="0" collapsed="false">
      <c r="A48" s="40"/>
      <c r="B48" s="41"/>
      <c r="C48" s="40"/>
      <c r="D48" s="41"/>
      <c r="E48" s="40"/>
      <c r="F48" s="40"/>
      <c r="G48" s="45"/>
      <c r="H48" s="45"/>
      <c r="I48" s="45"/>
      <c r="J48" s="41"/>
    </row>
    <row r="49" customFormat="false" ht="15" hidden="false" customHeight="false" outlineLevel="0" collapsed="false">
      <c r="A49" s="36"/>
      <c r="B49" s="37"/>
      <c r="C49" s="36"/>
      <c r="D49" s="37"/>
      <c r="E49" s="36"/>
      <c r="F49" s="36"/>
      <c r="G49" s="44"/>
      <c r="H49" s="44"/>
      <c r="I49" s="44"/>
      <c r="J49" s="37"/>
    </row>
    <row r="50" customFormat="false" ht="15" hidden="false" customHeight="false" outlineLevel="0" collapsed="false">
      <c r="A50" s="40"/>
      <c r="B50" s="41"/>
      <c r="C50" s="40"/>
      <c r="D50" s="41"/>
      <c r="E50" s="40"/>
      <c r="F50" s="40"/>
      <c r="G50" s="45"/>
      <c r="H50" s="45"/>
      <c r="I50" s="45"/>
      <c r="J50" s="41"/>
    </row>
    <row r="51" customFormat="false" ht="15" hidden="false" customHeight="false" outlineLevel="0" collapsed="false">
      <c r="A51" s="36"/>
      <c r="B51" s="37"/>
      <c r="C51" s="36"/>
      <c r="D51" s="37"/>
      <c r="E51" s="36"/>
      <c r="F51" s="36"/>
      <c r="G51" s="44"/>
      <c r="H51" s="44"/>
      <c r="I51" s="44"/>
      <c r="J51" s="37"/>
    </row>
    <row r="52" customFormat="false" ht="15" hidden="false" customHeight="false" outlineLevel="0" collapsed="false">
      <c r="A52" s="40"/>
      <c r="B52" s="41"/>
      <c r="C52" s="40"/>
      <c r="D52" s="41"/>
      <c r="E52" s="40"/>
      <c r="F52" s="40"/>
      <c r="G52" s="45"/>
      <c r="H52" s="45"/>
      <c r="I52" s="45"/>
      <c r="J52" s="41"/>
    </row>
    <row r="53" customFormat="false" ht="15" hidden="false" customHeight="false" outlineLevel="0" collapsed="false">
      <c r="A53" s="36"/>
      <c r="B53" s="37"/>
      <c r="C53" s="36"/>
      <c r="D53" s="37"/>
      <c r="E53" s="36"/>
      <c r="F53" s="36"/>
      <c r="G53" s="44"/>
      <c r="H53" s="44"/>
      <c r="I53" s="44"/>
      <c r="J53" s="37"/>
    </row>
    <row r="54" customFormat="false" ht="15" hidden="false" customHeight="false" outlineLevel="0" collapsed="false">
      <c r="A54" s="40"/>
      <c r="B54" s="41"/>
      <c r="C54" s="40"/>
      <c r="D54" s="41"/>
      <c r="E54" s="40"/>
      <c r="F54" s="40"/>
      <c r="G54" s="45"/>
      <c r="H54" s="45"/>
      <c r="I54" s="45"/>
      <c r="J54" s="41"/>
    </row>
    <row r="55" customFormat="false" ht="15" hidden="false" customHeight="false" outlineLevel="0" collapsed="false">
      <c r="A55" s="36"/>
      <c r="B55" s="37"/>
      <c r="C55" s="36"/>
      <c r="D55" s="37"/>
      <c r="E55" s="36"/>
      <c r="F55" s="36"/>
      <c r="G55" s="44"/>
      <c r="H55" s="44"/>
      <c r="I55" s="44"/>
      <c r="J55" s="37"/>
    </row>
    <row r="56" customFormat="false" ht="15" hidden="false" customHeight="false" outlineLevel="0" collapsed="false">
      <c r="A56" s="40"/>
      <c r="B56" s="41"/>
      <c r="C56" s="40"/>
      <c r="D56" s="41"/>
      <c r="E56" s="40"/>
      <c r="F56" s="40"/>
      <c r="G56" s="45"/>
      <c r="H56" s="45"/>
      <c r="I56" s="45"/>
      <c r="J56" s="41"/>
    </row>
  </sheetData>
  <autoFilter ref="A9:J510"/>
  <mergeCells count="14">
    <mergeCell ref="A1:J1"/>
    <mergeCell ref="A2:D2"/>
    <mergeCell ref="F2:H2"/>
    <mergeCell ref="A3:C3"/>
    <mergeCell ref="F3:G3"/>
    <mergeCell ref="A4:C4"/>
    <mergeCell ref="F4:G4"/>
    <mergeCell ref="A5:C5"/>
    <mergeCell ref="F5:G5"/>
    <mergeCell ref="A6:C6"/>
    <mergeCell ref="A8:J8"/>
    <mergeCell ref="A10:H10"/>
    <mergeCell ref="A16:H16"/>
    <mergeCell ref="A22:H22"/>
  </mergeCells>
  <conditionalFormatting sqref="C10:C510">
    <cfRule type="cellIs" priority="2" operator="equal" aboveAverage="0" equalAverage="0" bottom="0" percent="0" rank="0" text="" dxfId="9">
      <formula>"Compliant"</formula>
    </cfRule>
    <cfRule type="cellIs" priority="3" operator="equal" aboveAverage="0" equalAverage="0" bottom="0" percent="0" rank="0" text="" dxfId="10">
      <formula>"Partially Compliant"</formula>
    </cfRule>
    <cfRule type="cellIs" priority="4" operator="equal" aboveAverage="0" equalAverage="0" bottom="0" percent="0" rank="0" text="" dxfId="11">
      <formula>"Non-Compliant"</formula>
    </cfRule>
  </conditionalFormatting>
  <conditionalFormatting sqref="I10:I510">
    <cfRule type="expression" priority="5" aboveAverage="0" equalAverage="0" bottom="0" percent="0" rank="0" text="" dxfId="10">
      <formula>AND(I10&lt;&gt;"",(I10-TODAY())&lt;30,(I10-TODAY())&gt;=0)</formula>
    </cfRule>
    <cfRule type="expression" priority="6" aboveAverage="0" equalAverage="0" bottom="0" percent="0" rank="0" text="" dxfId="11">
      <formula>AND(I10&lt;&gt;"",I10&lt;TODAY())</formula>
    </cfRule>
  </conditionalFormatting>
  <dataValidations count="2">
    <dataValidation allowBlank="true" errorStyle="stop" operator="between" showDropDown="false" showErrorMessage="false" showInputMessage="false" sqref="C10:C510" type="list">
      <formula1>"Compliant,Partially Compliant,Non-Compliant,Not Yet Assessed"</formula1>
      <formula2>0</formula2>
    </dataValidation>
    <dataValidation allowBlank="true" errorStyle="stop" operator="between" showDropDown="false" showErrorMessage="false" showInputMessage="false" sqref="F10:F510" type="list">
      <formula1>"Weekly,Monthly,Quarterly,Annually,As Required"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&amp;CEnvironmental Permit Compliance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101</v>
      </c>
    </row>
    <row r="2" customFormat="false" ht="15" hidden="false" customHeight="false" outlineLevel="0" collapsed="false">
      <c r="A2" s="20"/>
    </row>
    <row r="3" customFormat="false" ht="15" hidden="false" customHeight="false" outlineLevel="0" collapsed="false">
      <c r="A3" s="20" t="s">
        <v>102</v>
      </c>
    </row>
    <row r="4" customFormat="false" ht="15" hidden="false" customHeight="false" outlineLevel="0" collapsed="false">
      <c r="A4" s="20"/>
    </row>
    <row r="5" customFormat="false" ht="15" hidden="false" customHeight="false" outlineLevel="0" collapsed="false">
      <c r="A5" s="20" t="s">
        <v>103</v>
      </c>
    </row>
    <row r="6" customFormat="false" ht="15" hidden="false" customHeight="false" outlineLevel="0" collapsed="false">
      <c r="A6" s="20"/>
    </row>
    <row r="7" customFormat="false" ht="15" hidden="false" customHeight="false" outlineLevel="0" collapsed="false">
      <c r="A7" s="20" t="s">
        <v>104</v>
      </c>
    </row>
    <row r="8" customFormat="false" ht="15" hidden="false" customHeight="false" outlineLevel="0" collapsed="false">
      <c r="A8" s="20"/>
    </row>
    <row r="9" customFormat="false" ht="15" hidden="false" customHeight="false" outlineLevel="0" collapsed="false">
      <c r="A9" s="20" t="s">
        <v>105</v>
      </c>
    </row>
    <row r="10" customFormat="false" ht="15" hidden="false" customHeight="false" outlineLevel="0" collapsed="false">
      <c r="A10" s="20"/>
    </row>
    <row r="11" customFormat="false" ht="15" hidden="false" customHeight="false" outlineLevel="0" collapsed="false">
      <c r="A11" s="20" t="s">
        <v>106</v>
      </c>
    </row>
    <row r="12" customFormat="false" ht="15" hidden="false" customHeight="false" outlineLevel="0" collapsed="false">
      <c r="A12" s="20"/>
    </row>
    <row r="13" customFormat="false" ht="15" hidden="false" customHeight="false" outlineLevel="0" collapsed="false">
      <c r="A13" s="20" t="s">
        <v>107</v>
      </c>
    </row>
    <row r="14" customFormat="false" ht="15" hidden="false" customHeight="false" outlineLevel="0" collapsed="false">
      <c r="A14" s="20"/>
    </row>
    <row r="15" customFormat="false" ht="15" hidden="false" customHeight="false" outlineLevel="0" collapsed="false">
      <c r="A15" s="20" t="s">
        <v>108</v>
      </c>
    </row>
    <row r="16" customFormat="false" ht="15" hidden="false" customHeight="false" outlineLevel="0" collapsed="false">
      <c r="A16" s="20"/>
    </row>
    <row r="17" customFormat="false" ht="15" hidden="false" customHeight="false" outlineLevel="0" collapsed="false">
      <c r="A17" s="20"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cp:category>
  <dcterms:created xsi:type="dcterms:W3CDTF">2026-03-23T06:57:07Z</dcterms:created>
  <dc:creator>Ebrora Ltd</dc:creator>
  <dc:description>Track environmental permits and their conditions with compliance status monitoring and expiry date alerts for UK construction projects.
Free professional construction management template from Ebrora Ltd. Visit ebrora.com for our full range of tools and templates.</dc:description>
  <cp:keywords>Ebrora construction environmental permit compliance EA discharge consent waste licence Section 61</cp:keywords>
  <dc:language>en-US</dc:language>
  <cp:lastModifiedBy>Ebrora Ltd</cp:lastModifiedBy>
  <dcterms:modified xsi:type="dcterms:W3CDTF">2026-03-23T06:57:07Z</dcterms:modified>
  <cp:revision>0</cp:revision>
  <dc:subject>Track environmental permits and their conditions with compliance status monitoring and expiry alerts.</dc:subject>
  <dc:title>Environmental Permit Compliance Register</dc:title>
</cp:coreProperties>
</file>

<file path=docProps/custom.xml><?xml version="1.0" encoding="utf-8"?>
<Properties xmlns="http://schemas.openxmlformats.org/officeDocument/2006/custom-properties" xmlns:vt="http://schemas.openxmlformats.org/officeDocument/2006/docPropsVTypes"/>
</file>