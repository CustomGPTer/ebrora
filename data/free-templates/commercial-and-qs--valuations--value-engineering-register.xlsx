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VE Register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'VE Register'!$A$1:$P$30</definedName>
    <definedName function="false" hidden="false" localSheetId="2" name="_xlnm.Print_Titles" vbProcedure="false">'VE Register'!$1:$10</definedName>
    <definedName function="false" hidden="true" localSheetId="2" name="_xlnm._FilterDatabase" vbProcedure="false">'VE Register'!$A$8:$P$8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<sst xmlns="http://schemas.openxmlformats.org/spreadsheetml/2006/main" count="116" uniqueCount="108">
  <si>
    <t xml:space="preserve">EBRORA</t>
  </si>
  <si>
    <t xml:space="preserve">ebrora.com</t>
  </si>
  <si>
    <t xml:space="preserve">Value Engineering</t>
  </si>
  <si>
    <t xml:space="preserve">Register</t>
  </si>
  <si>
    <t xml:space="preserve">Triage and score VE ideas against cost, time, and carbon savings</t>
  </si>
  <si>
    <t xml:space="preserve">with weighted scoring, risk assessment, and implementation tracking.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</si>
  <si>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</si>
  <si>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</si>
  <si>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</si>
  <si>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</si>
  <si>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</si>
  <si>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</si>
  <si>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'VE Register' sheet. Each row is one value engineering idea or proposal.</t>
  </si>
  <si>
    <t xml:space="preserve">2.</t>
  </si>
  <si>
    <t xml:space="preserve">Describe the VE idea and estimate the cost saving (£), time saving (weeks), and CO₂ reduction (tonnes).</t>
  </si>
  <si>
    <t xml:space="preserve">3.</t>
  </si>
  <si>
    <t xml:space="preserve">Score each idea on 5 criteria using a 1–5 scale (1=low impact/benefit, 5=high): Cost Saving, Time Saving, CO₂ Reduction, Risk (1=high risk, 5=low risk), and Feasibility (1=difficult, 5=easy).</t>
  </si>
  <si>
    <t xml:space="preserve">4.</t>
  </si>
  <si>
    <t xml:space="preserve">The Weighted Score auto-calculates using the weights in the weight row (row 9). Default weights: Cost 30%, Time 20%, CO₂ 20%, Risk 15%, Feasibility 15%.</t>
  </si>
  <si>
    <t xml:space="preserve">5.</t>
  </si>
  <si>
    <t xml:space="preserve">The Grade auto-assigns: A (score ≥4.0), B (3.0–3.9), C (2.0–2.9), D (&lt;2.0). Green/Amber/Red colouring matches.</t>
  </si>
  <si>
    <t xml:space="preserve">6.</t>
  </si>
  <si>
    <t xml:space="preserve">Track the Status: Proposed, Under Review, Approved, Implemented, Rejected.</t>
  </si>
  <si>
    <t xml:space="preserve">7.</t>
  </si>
  <si>
    <t xml:space="preserve">The summary block shows total VE ideas, implemented savings, and CO₂ reduction achieved.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</si>
  <si>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</si>
  <si>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</si>
  <si>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</si>
  <si>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Grade A (score ≥ 4.0) or Approved/Implemented status</t>
  </si>
  <si>
    <t xml:space="preserve">Amber = Grade B (score 3.0–3.9) or Under Review</t>
  </si>
  <si>
    <t xml:space="preserve">Red = Grade C/D (score &lt; 3.0) or Rejected</t>
  </si>
  <si>
    <t xml:space="preserve">Score cells: 1–5 scale with validation</t>
  </si>
  <si>
    <t xml:space="preserve">Tips</t>
  </si>
  <si>
    <t xml:space="preserve">Tip 1:</t>
  </si>
  <si>
    <t xml:space="preserve">Run a VE workshop early in the project. The biggest savings come from design-stage ideas, not construction-stage tweaks.</t>
  </si>
  <si>
    <t xml:space="preserve">Tip 2:</t>
  </si>
  <si>
    <t xml:space="preserve">Don't just track cost — the CO₂ column is increasingly important for water company carbon targets and social value scoring.</t>
  </si>
  <si>
    <t xml:space="preserve">Tip 3:</t>
  </si>
  <si>
    <t xml:space="preserve">Sort by Weighted Score to prioritise implementation. Focus on Grade A ideas first.</t>
  </si>
  <si>
    <t xml:space="preserve">Value Engineering Register — Summary</t>
  </si>
  <si>
    <t xml:space="preserve">Total VE Ideas:</t>
  </si>
  <si>
    <t xml:space="preserve">Approved (not yet implemented):</t>
  </si>
  <si>
    <t xml:space="preserve">Implemented:</t>
  </si>
  <si>
    <t xml:space="preserve">Total Est. CO₂ Saved:</t>
  </si>
  <si>
    <t xml:space="preserve">Total Est. Cost Saving:</t>
  </si>
  <si>
    <t xml:space="preserve">Avg Weighted Score:</t>
  </si>
  <si>
    <t xml:space="preserve">▼ VE Ideas &amp; Scoring</t>
  </si>
  <si>
    <t xml:space="preserve">VE Ref</t>
  </si>
  <si>
    <t xml:space="preserve">Description</t>
  </si>
  <si>
    <t xml:space="preserve">Discipline</t>
  </si>
  <si>
    <t xml:space="preserve">Proposed By</t>
  </si>
  <si>
    <t xml:space="preserve">Est. Cost
Saving (£)</t>
  </si>
  <si>
    <t xml:space="preserve">Est. Time
Saving (wks)</t>
  </si>
  <si>
    <t xml:space="preserve">Est. CO₂
Reduction (t)</t>
  </si>
  <si>
    <t xml:space="preserve">Score:
Cost</t>
  </si>
  <si>
    <t xml:space="preserve">Score:
Time</t>
  </si>
  <si>
    <t xml:space="preserve">Score:
CO₂</t>
  </si>
  <si>
    <t xml:space="preserve">Score:
Risk</t>
  </si>
  <si>
    <t xml:space="preserve">Score:
Feasibility</t>
  </si>
  <si>
    <t xml:space="preserve">Weighted
Score</t>
  </si>
  <si>
    <t xml:space="preserve">Grade</t>
  </si>
  <si>
    <t xml:space="preserve">Status</t>
  </si>
  <si>
    <t xml:space="preserve">Notes</t>
  </si>
  <si>
    <t xml:space="preserve">WEIGHTS →</t>
  </si>
  <si>
    <t xml:space="preserve">← Score 1 (low) to 5 (high) →</t>
  </si>
  <si>
    <t xml:space="preserve">VE-001</t>
  </si>
  <si>
    <t xml:space="preserve">Replace precast concrete manholes with GRP — lighter, faster install, no cranage</t>
  </si>
  <si>
    <t xml:space="preserve">Civil</t>
  </si>
  <si>
    <t xml:space="preserve">J. Davies</t>
  </si>
  <si>
    <t xml:space="preserve">Implemented</t>
  </si>
  <si>
    <t xml:space="preserve">Saved 2 weeks on manhole installation programme</t>
  </si>
  <si>
    <t xml:space="preserve">VE-002</t>
  </si>
  <si>
    <t xml:space="preserve">Omit brick retaining wall, replace with gabion baskets using site-won stone</t>
  </si>
  <si>
    <t xml:space="preserve">Structural</t>
  </si>
  <si>
    <t xml:space="preserve">R. Evans</t>
  </si>
  <si>
    <t xml:space="preserve">Reused excavated rock — significant CO₂ saving</t>
  </si>
  <si>
    <t xml:space="preserve">VE-003</t>
  </si>
  <si>
    <t xml:space="preserve">Switch to solar-powered telemetry at remote borehole sites</t>
  </si>
  <si>
    <t xml:space="preserve">Electrical</t>
  </si>
  <si>
    <t xml:space="preserve">S. Patel</t>
  </si>
  <si>
    <t xml:space="preserve">Approved</t>
  </si>
  <si>
    <t xml:space="preserve">Eliminates need for mains power connection</t>
  </si>
  <si>
    <t xml:space="preserve">VE-004</t>
  </si>
  <si>
    <t xml:space="preserve">Use HDPE instead of DI for non-pressure gravity sewers</t>
  </si>
  <si>
    <t xml:space="preserve">Mechanical</t>
  </si>
  <si>
    <t xml:space="preserve">A. Khan</t>
  </si>
  <si>
    <t xml:space="preserve">Under Review</t>
  </si>
  <si>
    <t xml:space="preserve">Weight saving reduces plant requirements</t>
  </si>
  <si>
    <t xml:space="preserve">VE-005</t>
  </si>
  <si>
    <t xml:space="preserve">Combine storm tanks 3 &amp; 4 into single larger tank — reduce dividing wall</t>
  </si>
  <si>
    <t xml:space="preserve">M. Thompson</t>
  </si>
  <si>
    <t xml:space="preserve">Proposed</t>
  </si>
  <si>
    <t xml:space="preserve">High saving but significant design change — risk assessment needed</t>
  </si>
  <si>
    <t xml:space="preserve">VE-006</t>
  </si>
  <si>
    <t xml:space="preserve">Replace painted mild steel handrails with GRP — eliminate repainting lifecycle cost</t>
  </si>
  <si>
    <t xml:space="preserve">Low cost saving but zero maintenance benefit</t>
  </si>
  <si>
    <t xml:space="preserve">VE-007</t>
  </si>
  <si>
    <t xml:space="preserve">Prefabricate MCC panels offsite — reduce wet trade interface on site</t>
  </si>
  <si>
    <t xml:space="preserve">Time saving is main driver — no cost saving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</si>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</sst>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\£#,##0"/>
    <numFmt numFmtId="168" formatCode="0.0"/>
    <numFmt numFmtId="169" formatCode="0%"/>
    <numFmt numFmtId="170" formatCode="0.00%"/>
    <numFmt numFmtId="171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23.8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3" t="s">
        <v>25</v>
      </c>
      <c r="B13" s="12"/>
    </row>
    <row r="14" customFormat="false" ht="15" hidden="false" customHeight="false" outlineLevel="0" collapsed="false">
      <c r="A14" s="11"/>
      <c r="B14" s="12" t="s">
        <v>26</v>
      </c>
    </row>
    <row r="15" customFormat="false" ht="15" hidden="false" customHeight="false" outlineLevel="0" collapsed="false">
      <c r="A15" s="11"/>
      <c r="B15" s="12" t="s">
        <v>27</v>
      </c>
    </row>
    <row r="16" customFormat="false" ht="15" hidden="false" customHeight="false" outlineLevel="0" collapsed="false">
      <c r="A16" s="11"/>
      <c r="B16" s="12" t="s">
        <v>28</v>
      </c>
    </row>
    <row r="17" customFormat="false" ht="15" hidden="false" customHeight="false" outlineLevel="0" collapsed="false">
      <c r="A17" s="11"/>
      <c r="B17" s="12" t="s">
        <v>29</v>
      </c>
    </row>
    <row r="18" customFormat="false" ht="15" hidden="false" customHeight="false" outlineLevel="0" collapsed="false">
      <c r="A18" s="11"/>
      <c r="B18" s="12" t="s">
        <v>30</v>
      </c>
    </row>
    <row r="19" customFormat="false" ht="15" hidden="false" customHeight="false" outlineLevel="0" collapsed="false">
      <c r="A19" s="11"/>
      <c r="B19" s="12" t="s">
        <v>31</v>
      </c>
    </row>
    <row r="20" customFormat="false" ht="15" hidden="false" customHeight="false" outlineLevel="0" collapsed="false">
      <c r="A20" s="11"/>
      <c r="B20" s="12"/>
    </row>
    <row r="21" customFormat="false" ht="15" hidden="false" customHeight="false" outlineLevel="0" collapsed="false">
      <c r="A21" s="13" t="s">
        <v>32</v>
      </c>
      <c r="B21" s="12"/>
    </row>
    <row r="22" customFormat="false" ht="15" hidden="false" customHeight="false" outlineLevel="0" collapsed="false">
      <c r="A22" s="14" t="s">
        <v>33</v>
      </c>
      <c r="B22" s="12" t="s">
        <v>34</v>
      </c>
    </row>
    <row r="23" customFormat="false" ht="23.85" hidden="false" customHeight="false" outlineLevel="0" collapsed="false">
      <c r="A23" s="14" t="s">
        <v>35</v>
      </c>
      <c r="B23" s="12" t="s">
        <v>36</v>
      </c>
    </row>
    <row r="24" customFormat="false" ht="15" hidden="false" customHeight="false" outlineLevel="0" collapsed="false">
      <c r="A24" s="14" t="s">
        <v>37</v>
      </c>
      <c r="B24" s="12" t="s">
        <v>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28"/>
  </cols>
  <sheetData>
    <row r="1" customFormat="false" ht="17.35" hidden="false" customHeight="false" outlineLevel="0" collapsed="false">
      <c r="A1" s="15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3" customFormat="false" ht="15" hidden="false" customHeight="false" outlineLevel="0" collapsed="false">
      <c r="B3" s="16" t="s">
        <v>40</v>
      </c>
      <c r="C3" s="17" t="n">
        <f aca="false">COUNTA(A11:A200)</f>
        <v>7</v>
      </c>
      <c r="E3" s="16" t="s">
        <v>41</v>
      </c>
      <c r="F3" s="17" t="n">
        <f aca="false">COUNTIF(O11:O200,"Approved")</f>
        <v>2</v>
      </c>
    </row>
    <row r="4" customFormat="false" ht="15" hidden="false" customHeight="false" outlineLevel="0" collapsed="false">
      <c r="B4" s="16" t="s">
        <v>42</v>
      </c>
      <c r="C4" s="17" t="n">
        <f aca="false">COUNTIF(O11:O200,"Implemented")</f>
        <v>3</v>
      </c>
      <c r="E4" s="16" t="s">
        <v>43</v>
      </c>
      <c r="F4" s="18" t="str">
        <f aca="false">SUMIF(O11:O200,"Implemented",G11:G200)&amp;" t"</f>
        <v>22 t</v>
      </c>
    </row>
    <row r="5" customFormat="false" ht="15" hidden="false" customHeight="false" outlineLevel="0" collapsed="false">
      <c r="B5" s="16" t="s">
        <v>44</v>
      </c>
      <c r="C5" s="19" t="n">
        <f aca="false">SUMIF(O11:O200,"Implemented",E11:E200)</f>
        <v>48000</v>
      </c>
      <c r="E5" s="16" t="s">
        <v>45</v>
      </c>
      <c r="F5" s="20" t="n">
        <f aca="false">IF(COUNTA(A11:A200)=0,"—",AVERAGE(M11:M200))</f>
        <v>3.22142857142857</v>
      </c>
    </row>
    <row r="7" customFormat="false" ht="15" hidden="false" customHeight="false" outlineLevel="0" collapsed="false">
      <c r="A7" s="21" t="s">
        <v>46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customFormat="false" ht="41.75" hidden="false" customHeight="false" outlineLevel="0" collapsed="false">
      <c r="A8" s="22" t="s">
        <v>47</v>
      </c>
      <c r="B8" s="22" t="s">
        <v>48</v>
      </c>
      <c r="C8" s="22" t="s">
        <v>49</v>
      </c>
      <c r="D8" s="22" t="s">
        <v>50</v>
      </c>
      <c r="E8" s="22" t="s">
        <v>51</v>
      </c>
      <c r="F8" s="22" t="s">
        <v>52</v>
      </c>
      <c r="G8" s="22" t="s">
        <v>53</v>
      </c>
      <c r="H8" s="22" t="s">
        <v>54</v>
      </c>
      <c r="I8" s="22" t="s">
        <v>55</v>
      </c>
      <c r="J8" s="22" t="s">
        <v>56</v>
      </c>
      <c r="K8" s="22" t="s">
        <v>57</v>
      </c>
      <c r="L8" s="22" t="s">
        <v>58</v>
      </c>
      <c r="M8" s="22" t="s">
        <v>59</v>
      </c>
      <c r="N8" s="22" t="s">
        <v>60</v>
      </c>
      <c r="O8" s="22" t="s">
        <v>61</v>
      </c>
      <c r="P8" s="22" t="s">
        <v>62</v>
      </c>
    </row>
    <row r="9" customFormat="false" ht="15" hidden="false" customHeight="false" outlineLevel="0" collapsed="false">
      <c r="A9" s="23" t="s">
        <v>63</v>
      </c>
      <c r="B9" s="24"/>
      <c r="C9" s="24"/>
      <c r="D9" s="24"/>
      <c r="E9" s="24"/>
      <c r="F9" s="24"/>
      <c r="G9" s="24"/>
      <c r="H9" s="25" t="n">
        <v>0.3</v>
      </c>
      <c r="I9" s="25" t="n">
        <v>0.2</v>
      </c>
      <c r="J9" s="25" t="n">
        <v>0.2</v>
      </c>
      <c r="K9" s="25" t="n">
        <v>0.15</v>
      </c>
      <c r="L9" s="25" t="n">
        <v>0.15</v>
      </c>
      <c r="M9" s="25" t="n">
        <f aca="false">SUM(H9:L9)</f>
        <v>1</v>
      </c>
      <c r="N9" s="26" t="n">
        <f aca="false">100%</f>
        <v>1</v>
      </c>
      <c r="O9" s="24"/>
      <c r="P9" s="24"/>
    </row>
    <row r="10" customFormat="false" ht="15" hidden="false" customHeight="true" outlineLevel="0" collapsed="false">
      <c r="H10" s="27" t="s">
        <v>64</v>
      </c>
      <c r="I10" s="27"/>
      <c r="J10" s="27"/>
      <c r="K10" s="27"/>
      <c r="L10" s="27"/>
    </row>
    <row r="11" customFormat="false" ht="23.85" hidden="false" customHeight="false" outlineLevel="0" collapsed="false">
      <c r="A11" s="28" t="s">
        <v>65</v>
      </c>
      <c r="B11" s="29" t="s">
        <v>66</v>
      </c>
      <c r="C11" s="28" t="s">
        <v>67</v>
      </c>
      <c r="D11" s="28" t="s">
        <v>68</v>
      </c>
      <c r="E11" s="30" t="n">
        <v>28000</v>
      </c>
      <c r="F11" s="28" t="n">
        <v>2</v>
      </c>
      <c r="G11" s="28" t="n">
        <v>8</v>
      </c>
      <c r="H11" s="28" t="n">
        <v>4</v>
      </c>
      <c r="I11" s="28" t="n">
        <v>4</v>
      </c>
      <c r="J11" s="28" t="n">
        <v>3</v>
      </c>
      <c r="K11" s="28" t="n">
        <v>4</v>
      </c>
      <c r="L11" s="28" t="n">
        <v>5</v>
      </c>
      <c r="M11" s="31" t="n">
        <f aca="false">IF(COUNTA(H11:L11)=0,"",SUMPRODUCT(H11:L11,$H$9:$L$9))</f>
        <v>3.95</v>
      </c>
      <c r="N11" s="32" t="str">
        <f aca="false">IF(M11="","",IF(M11&gt;=4,"A",IF(M11&gt;=3,"B",IF(M11&gt;=2,"C","D"))))</f>
        <v>B</v>
      </c>
      <c r="O11" s="28" t="s">
        <v>69</v>
      </c>
      <c r="P11" s="29" t="s">
        <v>70</v>
      </c>
    </row>
    <row r="12" customFormat="false" ht="23.85" hidden="false" customHeight="false" outlineLevel="0" collapsed="false">
      <c r="A12" s="28" t="s">
        <v>71</v>
      </c>
      <c r="B12" s="29" t="s">
        <v>72</v>
      </c>
      <c r="C12" s="28" t="s">
        <v>73</v>
      </c>
      <c r="D12" s="28" t="s">
        <v>74</v>
      </c>
      <c r="E12" s="30" t="n">
        <v>15000</v>
      </c>
      <c r="F12" s="28" t="n">
        <v>1</v>
      </c>
      <c r="G12" s="28" t="n">
        <v>12</v>
      </c>
      <c r="H12" s="28" t="n">
        <v>3</v>
      </c>
      <c r="I12" s="28" t="n">
        <v>2</v>
      </c>
      <c r="J12" s="28" t="n">
        <v>4</v>
      </c>
      <c r="K12" s="28" t="n">
        <v>3</v>
      </c>
      <c r="L12" s="28" t="n">
        <v>4</v>
      </c>
      <c r="M12" s="31" t="n">
        <f aca="false">IF(COUNTA(H12:L12)=0,"",SUMPRODUCT(H12:L12,$H$9:$L$9))</f>
        <v>3.15</v>
      </c>
      <c r="N12" s="32" t="str">
        <f aca="false">IF(M12="","",IF(M12&gt;=4,"A",IF(M12&gt;=3,"B",IF(M12&gt;=2,"C","D"))))</f>
        <v>B</v>
      </c>
      <c r="O12" s="28" t="s">
        <v>69</v>
      </c>
      <c r="P12" s="29" t="s">
        <v>75</v>
      </c>
    </row>
    <row r="13" customFormat="false" ht="23.85" hidden="false" customHeight="false" outlineLevel="0" collapsed="false">
      <c r="A13" s="28" t="s">
        <v>76</v>
      </c>
      <c r="B13" s="29" t="s">
        <v>77</v>
      </c>
      <c r="C13" s="28" t="s">
        <v>78</v>
      </c>
      <c r="D13" s="28" t="s">
        <v>79</v>
      </c>
      <c r="E13" s="30" t="n">
        <v>8000</v>
      </c>
      <c r="F13" s="28" t="n">
        <v>0</v>
      </c>
      <c r="G13" s="28" t="n">
        <v>5</v>
      </c>
      <c r="H13" s="28" t="n">
        <v>3</v>
      </c>
      <c r="I13" s="28" t="n">
        <v>1</v>
      </c>
      <c r="J13" s="28" t="n">
        <v>3</v>
      </c>
      <c r="K13" s="28" t="n">
        <v>4</v>
      </c>
      <c r="L13" s="28" t="n">
        <v>4</v>
      </c>
      <c r="M13" s="31" t="n">
        <f aca="false">IF(COUNTA(H13:L13)=0,"",SUMPRODUCT(H13:L13,$H$9:$L$9))</f>
        <v>2.9</v>
      </c>
      <c r="N13" s="32" t="str">
        <f aca="false">IF(M13="","",IF(M13&gt;=4,"A",IF(M13&gt;=3,"B",IF(M13&gt;=2,"C","D"))))</f>
        <v>C</v>
      </c>
      <c r="O13" s="28" t="s">
        <v>80</v>
      </c>
      <c r="P13" s="29" t="s">
        <v>81</v>
      </c>
    </row>
    <row r="14" customFormat="false" ht="23.85" hidden="false" customHeight="false" outlineLevel="0" collapsed="false">
      <c r="A14" s="28" t="s">
        <v>82</v>
      </c>
      <c r="B14" s="29" t="s">
        <v>83</v>
      </c>
      <c r="C14" s="28" t="s">
        <v>84</v>
      </c>
      <c r="D14" s="28" t="s">
        <v>85</v>
      </c>
      <c r="E14" s="30" t="n">
        <v>22000</v>
      </c>
      <c r="F14" s="28" t="n">
        <v>1</v>
      </c>
      <c r="G14" s="28" t="n">
        <v>6</v>
      </c>
      <c r="H14" s="28" t="n">
        <v>4</v>
      </c>
      <c r="I14" s="28" t="n">
        <v>3</v>
      </c>
      <c r="J14" s="28" t="n">
        <v>3</v>
      </c>
      <c r="K14" s="28" t="n">
        <v>3</v>
      </c>
      <c r="L14" s="28" t="n">
        <v>4</v>
      </c>
      <c r="M14" s="31" t="n">
        <f aca="false">IF(COUNTA(H14:L14)=0,"",SUMPRODUCT(H14:L14,$H$9:$L$9))</f>
        <v>3.45</v>
      </c>
      <c r="N14" s="32" t="str">
        <f aca="false">IF(M14="","",IF(M14&gt;=4,"A",IF(M14&gt;=3,"B",IF(M14&gt;=2,"C","D"))))</f>
        <v>B</v>
      </c>
      <c r="O14" s="28" t="s">
        <v>86</v>
      </c>
      <c r="P14" s="29" t="s">
        <v>87</v>
      </c>
    </row>
    <row r="15" customFormat="false" ht="23.85" hidden="false" customHeight="false" outlineLevel="0" collapsed="false">
      <c r="A15" s="28" t="s">
        <v>88</v>
      </c>
      <c r="B15" s="29" t="s">
        <v>89</v>
      </c>
      <c r="C15" s="28" t="s">
        <v>73</v>
      </c>
      <c r="D15" s="28" t="s">
        <v>90</v>
      </c>
      <c r="E15" s="30" t="n">
        <v>45000</v>
      </c>
      <c r="F15" s="28" t="n">
        <v>3</v>
      </c>
      <c r="G15" s="28" t="n">
        <v>15</v>
      </c>
      <c r="H15" s="28" t="n">
        <v>5</v>
      </c>
      <c r="I15" s="28" t="n">
        <v>4</v>
      </c>
      <c r="J15" s="28" t="n">
        <v>4</v>
      </c>
      <c r="K15" s="28" t="n">
        <v>2</v>
      </c>
      <c r="L15" s="28" t="n">
        <v>2</v>
      </c>
      <c r="M15" s="31" t="n">
        <f aca="false">IF(COUNTA(H15:L15)=0,"",SUMPRODUCT(H15:L15,$H$9:$L$9))</f>
        <v>3.7</v>
      </c>
      <c r="N15" s="32" t="str">
        <f aca="false">IF(M15="","",IF(M15&gt;=4,"A",IF(M15&gt;=3,"B",IF(M15&gt;=2,"C","D"))))</f>
        <v>B</v>
      </c>
      <c r="O15" s="28" t="s">
        <v>91</v>
      </c>
      <c r="P15" s="29" t="s">
        <v>92</v>
      </c>
    </row>
    <row r="16" customFormat="false" ht="23.85" hidden="false" customHeight="false" outlineLevel="0" collapsed="false">
      <c r="A16" s="28" t="s">
        <v>93</v>
      </c>
      <c r="B16" s="29" t="s">
        <v>94</v>
      </c>
      <c r="C16" s="28" t="s">
        <v>84</v>
      </c>
      <c r="D16" s="28" t="s">
        <v>68</v>
      </c>
      <c r="E16" s="30" t="n">
        <v>5000</v>
      </c>
      <c r="F16" s="28" t="n">
        <v>0</v>
      </c>
      <c r="G16" s="28" t="n">
        <v>2</v>
      </c>
      <c r="H16" s="28" t="n">
        <v>2</v>
      </c>
      <c r="I16" s="28" t="n">
        <v>1</v>
      </c>
      <c r="J16" s="28" t="n">
        <v>2</v>
      </c>
      <c r="K16" s="28" t="n">
        <v>5</v>
      </c>
      <c r="L16" s="28" t="n">
        <v>5</v>
      </c>
      <c r="M16" s="31" t="n">
        <f aca="false">IF(COUNTA(H16:L16)=0,"",SUMPRODUCT(H16:L16,$H$9:$L$9))</f>
        <v>2.7</v>
      </c>
      <c r="N16" s="32" t="str">
        <f aca="false">IF(M16="","",IF(M16&gt;=4,"A",IF(M16&gt;=3,"B",IF(M16&gt;=2,"C","D"))))</f>
        <v>C</v>
      </c>
      <c r="O16" s="28" t="s">
        <v>69</v>
      </c>
      <c r="P16" s="29" t="s">
        <v>95</v>
      </c>
    </row>
    <row r="17" customFormat="false" ht="23.85" hidden="false" customHeight="false" outlineLevel="0" collapsed="false">
      <c r="A17" s="28" t="s">
        <v>96</v>
      </c>
      <c r="B17" s="29" t="s">
        <v>97</v>
      </c>
      <c r="C17" s="28" t="s">
        <v>78</v>
      </c>
      <c r="D17" s="28" t="s">
        <v>79</v>
      </c>
      <c r="E17" s="30" t="n">
        <v>0</v>
      </c>
      <c r="F17" s="28" t="n">
        <v>2</v>
      </c>
      <c r="G17" s="28" t="n">
        <v>3</v>
      </c>
      <c r="H17" s="28" t="n">
        <v>1</v>
      </c>
      <c r="I17" s="28" t="n">
        <v>4</v>
      </c>
      <c r="J17" s="28" t="n">
        <v>2</v>
      </c>
      <c r="K17" s="28" t="n">
        <v>4</v>
      </c>
      <c r="L17" s="28" t="n">
        <v>4</v>
      </c>
      <c r="M17" s="31" t="n">
        <f aca="false">IF(COUNTA(H17:L17)=0,"",SUMPRODUCT(H17:L17,$H$9:$L$9))</f>
        <v>2.7</v>
      </c>
      <c r="N17" s="32" t="str">
        <f aca="false">IF(M17="","",IF(M17&gt;=4,"A",IF(M17&gt;=3,"B",IF(M17&gt;=2,"C","D"))))</f>
        <v>C</v>
      </c>
      <c r="O17" s="28" t="s">
        <v>80</v>
      </c>
      <c r="P17" s="29" t="s">
        <v>98</v>
      </c>
    </row>
    <row r="18" customFormat="false" ht="15" hidden="false" customHeight="false" outlineLevel="0" collapsed="false">
      <c r="A18" s="28"/>
      <c r="B18" s="29"/>
      <c r="C18" s="28"/>
      <c r="D18" s="28"/>
      <c r="E18" s="30"/>
      <c r="F18" s="28"/>
      <c r="G18" s="28"/>
      <c r="H18" s="28"/>
      <c r="I18" s="28"/>
      <c r="J18" s="28"/>
      <c r="K18" s="28"/>
      <c r="L18" s="28"/>
      <c r="M18" s="31" t="str">
        <f aca="false">IF(COUNTA(H18:L18)=0,"",SUMPRODUCT(H18:L18,$H$9:$L$9))</f>
        <v/>
      </c>
      <c r="N18" s="32" t="str">
        <f aca="false">IF(M18="","",IF(M18&gt;=4,"A",IF(M18&gt;=3,"B",IF(M18&gt;=2,"C","D"))))</f>
        <v/>
      </c>
      <c r="O18" s="28"/>
      <c r="P18" s="29"/>
    </row>
    <row r="19" customFormat="false" ht="15" hidden="false" customHeight="false" outlineLevel="0" collapsed="false">
      <c r="A19" s="28"/>
      <c r="B19" s="29"/>
      <c r="C19" s="28"/>
      <c r="D19" s="28"/>
      <c r="E19" s="30"/>
      <c r="F19" s="28"/>
      <c r="G19" s="28"/>
      <c r="H19" s="28"/>
      <c r="I19" s="28"/>
      <c r="J19" s="28"/>
      <c r="K19" s="28"/>
      <c r="L19" s="28"/>
      <c r="M19" s="31" t="str">
        <f aca="false">IF(COUNTA(H19:L19)=0,"",SUMPRODUCT(H19:L19,$H$9:$L$9))</f>
        <v/>
      </c>
      <c r="N19" s="32" t="str">
        <f aca="false">IF(M19="","",IF(M19&gt;=4,"A",IF(M19&gt;=3,"B",IF(M19&gt;=2,"C","D"))))</f>
        <v/>
      </c>
      <c r="O19" s="28"/>
      <c r="P19" s="29"/>
    </row>
    <row r="20" customFormat="false" ht="15" hidden="false" customHeight="false" outlineLevel="0" collapsed="false">
      <c r="A20" s="28"/>
      <c r="B20" s="29"/>
      <c r="C20" s="28"/>
      <c r="D20" s="28"/>
      <c r="E20" s="30"/>
      <c r="F20" s="28"/>
      <c r="G20" s="28"/>
      <c r="H20" s="28"/>
      <c r="I20" s="28"/>
      <c r="J20" s="28"/>
      <c r="K20" s="28"/>
      <c r="L20" s="28"/>
      <c r="M20" s="31" t="str">
        <f aca="false">IF(COUNTA(H20:L20)=0,"",SUMPRODUCT(H20:L20,$H$9:$L$9))</f>
        <v/>
      </c>
      <c r="N20" s="32" t="str">
        <f aca="false">IF(M20="","",IF(M20&gt;=4,"A",IF(M20&gt;=3,"B",IF(M20&gt;=2,"C","D"))))</f>
        <v/>
      </c>
      <c r="O20" s="28"/>
      <c r="P20" s="29"/>
    </row>
    <row r="21" customFormat="false" ht="15" hidden="false" customHeight="false" outlineLevel="0" collapsed="false">
      <c r="A21" s="28"/>
      <c r="B21" s="29"/>
      <c r="C21" s="28"/>
      <c r="D21" s="28"/>
      <c r="E21" s="30"/>
      <c r="F21" s="28"/>
      <c r="G21" s="28"/>
      <c r="H21" s="28"/>
      <c r="I21" s="28"/>
      <c r="J21" s="28"/>
      <c r="K21" s="28"/>
      <c r="L21" s="28"/>
      <c r="M21" s="31" t="str">
        <f aca="false">IF(COUNTA(H21:L21)=0,"",SUMPRODUCT(H21:L21,$H$9:$L$9))</f>
        <v/>
      </c>
      <c r="N21" s="32" t="str">
        <f aca="false">IF(M21="","",IF(M21&gt;=4,"A",IF(M21&gt;=3,"B",IF(M21&gt;=2,"C","D"))))</f>
        <v/>
      </c>
      <c r="O21" s="28"/>
      <c r="P21" s="29"/>
    </row>
    <row r="22" customFormat="false" ht="15" hidden="false" customHeight="false" outlineLevel="0" collapsed="false">
      <c r="A22" s="28"/>
      <c r="B22" s="29"/>
      <c r="C22" s="28"/>
      <c r="D22" s="28"/>
      <c r="E22" s="30"/>
      <c r="F22" s="28"/>
      <c r="G22" s="28"/>
      <c r="H22" s="28"/>
      <c r="I22" s="28"/>
      <c r="J22" s="28"/>
      <c r="K22" s="28"/>
      <c r="L22" s="28"/>
      <c r="M22" s="31" t="str">
        <f aca="false">IF(COUNTA(H22:L22)=0,"",SUMPRODUCT(H22:L22,$H$9:$L$9))</f>
        <v/>
      </c>
      <c r="N22" s="32" t="str">
        <f aca="false">IF(M22="","",IF(M22&gt;=4,"A",IF(M22&gt;=3,"B",IF(M22&gt;=2,"C","D"))))</f>
        <v/>
      </c>
      <c r="O22" s="28"/>
      <c r="P22" s="29"/>
    </row>
    <row r="23" customFormat="false" ht="15" hidden="false" customHeight="false" outlineLevel="0" collapsed="false">
      <c r="A23" s="28"/>
      <c r="B23" s="29"/>
      <c r="C23" s="28"/>
      <c r="D23" s="28"/>
      <c r="E23" s="30"/>
      <c r="F23" s="28"/>
      <c r="G23" s="28"/>
      <c r="H23" s="28"/>
      <c r="I23" s="28"/>
      <c r="J23" s="28"/>
      <c r="K23" s="28"/>
      <c r="L23" s="28"/>
      <c r="M23" s="31" t="str">
        <f aca="false">IF(COUNTA(H23:L23)=0,"",SUMPRODUCT(H23:L23,$H$9:$L$9))</f>
        <v/>
      </c>
      <c r="N23" s="32" t="str">
        <f aca="false">IF(M23="","",IF(M23&gt;=4,"A",IF(M23&gt;=3,"B",IF(M23&gt;=2,"C","D"))))</f>
        <v/>
      </c>
      <c r="O23" s="28"/>
      <c r="P23" s="29"/>
    </row>
    <row r="24" customFormat="false" ht="15" hidden="false" customHeight="false" outlineLevel="0" collapsed="false">
      <c r="A24" s="28"/>
      <c r="B24" s="29"/>
      <c r="C24" s="28"/>
      <c r="D24" s="28"/>
      <c r="E24" s="30"/>
      <c r="F24" s="28"/>
      <c r="G24" s="28"/>
      <c r="H24" s="28"/>
      <c r="I24" s="28"/>
      <c r="J24" s="28"/>
      <c r="K24" s="28"/>
      <c r="L24" s="28"/>
      <c r="M24" s="31" t="str">
        <f aca="false">IF(COUNTA(H24:L24)=0,"",SUMPRODUCT(H24:L24,$H$9:$L$9))</f>
        <v/>
      </c>
      <c r="N24" s="32" t="str">
        <f aca="false">IF(M24="","",IF(M24&gt;=4,"A",IF(M24&gt;=3,"B",IF(M24&gt;=2,"C","D"))))</f>
        <v/>
      </c>
      <c r="O24" s="28"/>
      <c r="P24" s="29"/>
    </row>
    <row r="25" customFormat="false" ht="15" hidden="false" customHeight="false" outlineLevel="0" collapsed="false">
      <c r="A25" s="28"/>
      <c r="B25" s="29"/>
      <c r="C25" s="28"/>
      <c r="D25" s="28"/>
      <c r="E25" s="30"/>
      <c r="F25" s="28"/>
      <c r="G25" s="28"/>
      <c r="H25" s="28"/>
      <c r="I25" s="28"/>
      <c r="J25" s="28"/>
      <c r="K25" s="28"/>
      <c r="L25" s="28"/>
      <c r="M25" s="31" t="str">
        <f aca="false">IF(COUNTA(H25:L25)=0,"",SUMPRODUCT(H25:L25,$H$9:$L$9))</f>
        <v/>
      </c>
      <c r="N25" s="32" t="str">
        <f aca="false">IF(M25="","",IF(M25&gt;=4,"A",IF(M25&gt;=3,"B",IF(M25&gt;=2,"C","D"))))</f>
        <v/>
      </c>
      <c r="O25" s="28"/>
      <c r="P25" s="29"/>
    </row>
    <row r="26" customFormat="false" ht="15" hidden="false" customHeight="false" outlineLevel="0" collapsed="false">
      <c r="A26" s="28"/>
      <c r="B26" s="29"/>
      <c r="C26" s="28"/>
      <c r="D26" s="28"/>
      <c r="E26" s="30"/>
      <c r="F26" s="28"/>
      <c r="G26" s="28"/>
      <c r="H26" s="28"/>
      <c r="I26" s="28"/>
      <c r="J26" s="28"/>
      <c r="K26" s="28"/>
      <c r="L26" s="28"/>
      <c r="M26" s="31" t="str">
        <f aca="false">IF(COUNTA(H26:L26)=0,"",SUMPRODUCT(H26:L26,$H$9:$L$9))</f>
        <v/>
      </c>
      <c r="N26" s="32" t="str">
        <f aca="false">IF(M26="","",IF(M26&gt;=4,"A",IF(M26&gt;=3,"B",IF(M26&gt;=2,"C","D"))))</f>
        <v/>
      </c>
      <c r="O26" s="28"/>
      <c r="P26" s="29"/>
    </row>
    <row r="27" customFormat="false" ht="15" hidden="false" customHeight="false" outlineLevel="0" collapsed="false">
      <c r="A27" s="28"/>
      <c r="B27" s="29"/>
      <c r="C27" s="28"/>
      <c r="D27" s="28"/>
      <c r="E27" s="30"/>
      <c r="F27" s="28"/>
      <c r="G27" s="28"/>
      <c r="H27" s="28"/>
      <c r="I27" s="28"/>
      <c r="J27" s="28"/>
      <c r="K27" s="28"/>
      <c r="L27" s="28"/>
      <c r="M27" s="31" t="str">
        <f aca="false">IF(COUNTA(H27:L27)=0,"",SUMPRODUCT(H27:L27,$H$9:$L$9))</f>
        <v/>
      </c>
      <c r="N27" s="32" t="str">
        <f aca="false">IF(M27="","",IF(M27&gt;=4,"A",IF(M27&gt;=3,"B",IF(M27&gt;=2,"C","D"))))</f>
        <v/>
      </c>
      <c r="O27" s="28"/>
      <c r="P27" s="29"/>
    </row>
    <row r="28" customFormat="false" ht="15" hidden="false" customHeight="false" outlineLevel="0" collapsed="false">
      <c r="A28" s="28"/>
      <c r="B28" s="29"/>
      <c r="C28" s="28"/>
      <c r="D28" s="28"/>
      <c r="E28" s="30"/>
      <c r="F28" s="28"/>
      <c r="G28" s="28"/>
      <c r="H28" s="28"/>
      <c r="I28" s="28"/>
      <c r="J28" s="28"/>
      <c r="K28" s="28"/>
      <c r="L28" s="28"/>
      <c r="M28" s="31" t="str">
        <f aca="false">IF(COUNTA(H28:L28)=0,"",SUMPRODUCT(H28:L28,$H$9:$L$9))</f>
        <v/>
      </c>
      <c r="N28" s="32" t="str">
        <f aca="false">IF(M28="","",IF(M28&gt;=4,"A",IF(M28&gt;=3,"B",IF(M28&gt;=2,"C","D"))))</f>
        <v/>
      </c>
      <c r="O28" s="28"/>
      <c r="P28" s="29"/>
    </row>
    <row r="29" customFormat="false" ht="15" hidden="false" customHeight="false" outlineLevel="0" collapsed="false">
      <c r="A29" s="28"/>
      <c r="B29" s="29"/>
      <c r="C29" s="28"/>
      <c r="D29" s="28"/>
      <c r="E29" s="30"/>
      <c r="F29" s="28"/>
      <c r="G29" s="28"/>
      <c r="H29" s="28"/>
      <c r="I29" s="28"/>
      <c r="J29" s="28"/>
      <c r="K29" s="28"/>
      <c r="L29" s="28"/>
      <c r="M29" s="31" t="str">
        <f aca="false">IF(COUNTA(H29:L29)=0,"",SUMPRODUCT(H29:L29,$H$9:$L$9))</f>
        <v/>
      </c>
      <c r="N29" s="32" t="str">
        <f aca="false">IF(M29="","",IF(M29&gt;=4,"A",IF(M29&gt;=3,"B",IF(M29&gt;=2,"C","D"))))</f>
        <v/>
      </c>
      <c r="O29" s="28"/>
      <c r="P29" s="29"/>
    </row>
    <row r="30" customFormat="false" ht="15" hidden="false" customHeight="false" outlineLevel="0" collapsed="false">
      <c r="A30" s="28"/>
      <c r="B30" s="29"/>
      <c r="C30" s="28"/>
      <c r="D30" s="28"/>
      <c r="E30" s="30"/>
      <c r="F30" s="28"/>
      <c r="G30" s="28"/>
      <c r="H30" s="28"/>
      <c r="I30" s="28"/>
      <c r="J30" s="28"/>
      <c r="K30" s="28"/>
      <c r="L30" s="28"/>
      <c r="M30" s="31" t="str">
        <f aca="false">IF(COUNTA(H30:L30)=0,"",SUMPRODUCT(H30:L30,$H$9:$L$9))</f>
        <v/>
      </c>
      <c r="N30" s="32" t="str">
        <f aca="false">IF(M30="","",IF(M30&gt;=4,"A",IF(M30&gt;=3,"B",IF(M30&gt;=2,"C","D"))))</f>
        <v/>
      </c>
      <c r="O30" s="28"/>
      <c r="P30" s="29"/>
    </row>
    <row r="31" customFormat="false" ht="15" hidden="false" customHeight="false" outlineLevel="0" collapsed="false">
      <c r="A31" s="28"/>
      <c r="B31" s="29"/>
      <c r="C31" s="28"/>
      <c r="D31" s="28"/>
      <c r="E31" s="30"/>
      <c r="F31" s="28"/>
      <c r="G31" s="28"/>
      <c r="H31" s="28"/>
      <c r="I31" s="28"/>
      <c r="J31" s="28"/>
      <c r="K31" s="28"/>
      <c r="L31" s="28"/>
      <c r="M31" s="31" t="str">
        <f aca="false">IF(COUNTA(H31:L31)=0,"",SUMPRODUCT(H31:L31,$H$9:$L$9))</f>
        <v/>
      </c>
      <c r="N31" s="32" t="str">
        <f aca="false">IF(M31="","",IF(M31&gt;=4,"A",IF(M31&gt;=3,"B",IF(M31&gt;=2,"C","D"))))</f>
        <v/>
      </c>
      <c r="O31" s="28"/>
      <c r="P31" s="29"/>
    </row>
    <row r="32" customFormat="false" ht="15" hidden="false" customHeight="false" outlineLevel="0" collapsed="false">
      <c r="A32" s="28"/>
      <c r="B32" s="29"/>
      <c r="C32" s="28"/>
      <c r="D32" s="28"/>
      <c r="E32" s="30"/>
      <c r="F32" s="28"/>
      <c r="G32" s="28"/>
      <c r="H32" s="28"/>
      <c r="I32" s="28"/>
      <c r="J32" s="28"/>
      <c r="K32" s="28"/>
      <c r="L32" s="28"/>
      <c r="M32" s="31" t="str">
        <f aca="false">IF(COUNTA(H32:L32)=0,"",SUMPRODUCT(H32:L32,$H$9:$L$9))</f>
        <v/>
      </c>
      <c r="N32" s="32" t="str">
        <f aca="false">IF(M32="","",IF(M32&gt;=4,"A",IF(M32&gt;=3,"B",IF(M32&gt;=2,"C","D"))))</f>
        <v/>
      </c>
      <c r="O32" s="28"/>
      <c r="P32" s="29"/>
    </row>
    <row r="33" customFormat="false" ht="15" hidden="false" customHeight="false" outlineLevel="0" collapsed="false">
      <c r="A33" s="28"/>
      <c r="B33" s="29"/>
      <c r="C33" s="28"/>
      <c r="D33" s="28"/>
      <c r="E33" s="30"/>
      <c r="F33" s="28"/>
      <c r="G33" s="28"/>
      <c r="H33" s="28"/>
      <c r="I33" s="28"/>
      <c r="J33" s="28"/>
      <c r="K33" s="28"/>
      <c r="L33" s="28"/>
      <c r="M33" s="31" t="str">
        <f aca="false">IF(COUNTA(H33:L33)=0,"",SUMPRODUCT(H33:L33,$H$9:$L$9))</f>
        <v/>
      </c>
      <c r="N33" s="32" t="str">
        <f aca="false">IF(M33="","",IF(M33&gt;=4,"A",IF(M33&gt;=3,"B",IF(M33&gt;=2,"C","D"))))</f>
        <v/>
      </c>
      <c r="O33" s="28"/>
      <c r="P33" s="29"/>
    </row>
    <row r="34" customFormat="false" ht="15" hidden="false" customHeight="false" outlineLevel="0" collapsed="false">
      <c r="A34" s="28"/>
      <c r="B34" s="29"/>
      <c r="C34" s="28"/>
      <c r="D34" s="28"/>
      <c r="E34" s="30"/>
      <c r="F34" s="28"/>
      <c r="G34" s="28"/>
      <c r="H34" s="28"/>
      <c r="I34" s="28"/>
      <c r="J34" s="28"/>
      <c r="K34" s="28"/>
      <c r="L34" s="28"/>
      <c r="M34" s="31" t="str">
        <f aca="false">IF(COUNTA(H34:L34)=0,"",SUMPRODUCT(H34:L34,$H$9:$L$9))</f>
        <v/>
      </c>
      <c r="N34" s="32" t="str">
        <f aca="false">IF(M34="","",IF(M34&gt;=4,"A",IF(M34&gt;=3,"B",IF(M34&gt;=2,"C","D"))))</f>
        <v/>
      </c>
      <c r="O34" s="28"/>
      <c r="P34" s="29"/>
    </row>
    <row r="35" customFormat="false" ht="15" hidden="false" customHeight="false" outlineLevel="0" collapsed="false">
      <c r="A35" s="28"/>
      <c r="B35" s="29"/>
      <c r="C35" s="28"/>
      <c r="D35" s="28"/>
      <c r="E35" s="30"/>
      <c r="F35" s="28"/>
      <c r="G35" s="28"/>
      <c r="H35" s="28"/>
      <c r="I35" s="28"/>
      <c r="J35" s="28"/>
      <c r="K35" s="28"/>
      <c r="L35" s="28"/>
      <c r="M35" s="31" t="str">
        <f aca="false">IF(COUNTA(H35:L35)=0,"",SUMPRODUCT(H35:L35,$H$9:$L$9))</f>
        <v/>
      </c>
      <c r="N35" s="32" t="str">
        <f aca="false">IF(M35="","",IF(M35&gt;=4,"A",IF(M35&gt;=3,"B",IF(M35&gt;=2,"C","D"))))</f>
        <v/>
      </c>
      <c r="O35" s="28"/>
      <c r="P35" s="29"/>
    </row>
    <row r="36" customFormat="false" ht="15" hidden="false" customHeight="false" outlineLevel="0" collapsed="false">
      <c r="A36" s="28"/>
      <c r="B36" s="29"/>
      <c r="C36" s="28"/>
      <c r="D36" s="28"/>
      <c r="E36" s="30"/>
      <c r="F36" s="28"/>
      <c r="G36" s="28"/>
      <c r="H36" s="28"/>
      <c r="I36" s="28"/>
      <c r="J36" s="28"/>
      <c r="K36" s="28"/>
      <c r="L36" s="28"/>
      <c r="M36" s="31" t="str">
        <f aca="false">IF(COUNTA(H36:L36)=0,"",SUMPRODUCT(H36:L36,$H$9:$L$9))</f>
        <v/>
      </c>
      <c r="N36" s="32" t="str">
        <f aca="false">IF(M36="","",IF(M36&gt;=4,"A",IF(M36&gt;=3,"B",IF(M36&gt;=2,"C","D"))))</f>
        <v/>
      </c>
      <c r="O36" s="28"/>
      <c r="P36" s="29"/>
    </row>
    <row r="37" customFormat="false" ht="15" hidden="false" customHeight="false" outlineLevel="0" collapsed="false">
      <c r="A37" s="28"/>
      <c r="B37" s="29"/>
      <c r="C37" s="28"/>
      <c r="D37" s="28"/>
      <c r="E37" s="30"/>
      <c r="F37" s="28"/>
      <c r="G37" s="28"/>
      <c r="H37" s="28"/>
      <c r="I37" s="28"/>
      <c r="J37" s="28"/>
      <c r="K37" s="28"/>
      <c r="L37" s="28"/>
      <c r="M37" s="31" t="str">
        <f aca="false">IF(COUNTA(H37:L37)=0,"",SUMPRODUCT(H37:L37,$H$9:$L$9))</f>
        <v/>
      </c>
      <c r="N37" s="32" t="str">
        <f aca="false">IF(M37="","",IF(M37&gt;=4,"A",IF(M37&gt;=3,"B",IF(M37&gt;=2,"C","D"))))</f>
        <v/>
      </c>
      <c r="O37" s="28"/>
      <c r="P37" s="29"/>
    </row>
    <row r="38" customFormat="false" ht="15" hidden="false" customHeight="false" outlineLevel="0" collapsed="false">
      <c r="A38" s="28"/>
      <c r="B38" s="29"/>
      <c r="C38" s="28"/>
      <c r="D38" s="28"/>
      <c r="E38" s="30"/>
      <c r="F38" s="28"/>
      <c r="G38" s="28"/>
      <c r="H38" s="28"/>
      <c r="I38" s="28"/>
      <c r="J38" s="28"/>
      <c r="K38" s="28"/>
      <c r="L38" s="28"/>
      <c r="M38" s="31" t="str">
        <f aca="false">IF(COUNTA(H38:L38)=0,"",SUMPRODUCT(H38:L38,$H$9:$L$9))</f>
        <v/>
      </c>
      <c r="N38" s="32" t="str">
        <f aca="false">IF(M38="","",IF(M38&gt;=4,"A",IF(M38&gt;=3,"B",IF(M38&gt;=2,"C","D"))))</f>
        <v/>
      </c>
      <c r="O38" s="28"/>
      <c r="P38" s="29"/>
    </row>
    <row r="39" customFormat="false" ht="15" hidden="false" customHeight="false" outlineLevel="0" collapsed="false">
      <c r="A39" s="28"/>
      <c r="B39" s="29"/>
      <c r="C39" s="28"/>
      <c r="D39" s="28"/>
      <c r="E39" s="30"/>
      <c r="F39" s="28"/>
      <c r="G39" s="28"/>
      <c r="H39" s="28"/>
      <c r="I39" s="28"/>
      <c r="J39" s="28"/>
      <c r="K39" s="28"/>
      <c r="L39" s="28"/>
      <c r="M39" s="31" t="str">
        <f aca="false">IF(COUNTA(H39:L39)=0,"",SUMPRODUCT(H39:L39,$H$9:$L$9))</f>
        <v/>
      </c>
      <c r="N39" s="32" t="str">
        <f aca="false">IF(M39="","",IF(M39&gt;=4,"A",IF(M39&gt;=3,"B",IF(M39&gt;=2,"C","D"))))</f>
        <v/>
      </c>
      <c r="O39" s="28"/>
      <c r="P39" s="29"/>
    </row>
    <row r="40" customFormat="false" ht="15" hidden="false" customHeight="false" outlineLevel="0" collapsed="false">
      <c r="A40" s="28"/>
      <c r="B40" s="29"/>
      <c r="C40" s="28"/>
      <c r="D40" s="28"/>
      <c r="E40" s="30"/>
      <c r="F40" s="28"/>
      <c r="G40" s="28"/>
      <c r="H40" s="28"/>
      <c r="I40" s="28"/>
      <c r="J40" s="28"/>
      <c r="K40" s="28"/>
      <c r="L40" s="28"/>
      <c r="M40" s="31" t="str">
        <f aca="false">IF(COUNTA(H40:L40)=0,"",SUMPRODUCT(H40:L40,$H$9:$L$9))</f>
        <v/>
      </c>
      <c r="N40" s="32" t="str">
        <f aca="false">IF(M40="","",IF(M40&gt;=4,"A",IF(M40&gt;=3,"B",IF(M40&gt;=2,"C","D"))))</f>
        <v/>
      </c>
      <c r="O40" s="28"/>
      <c r="P40" s="29"/>
    </row>
    <row r="41" customFormat="false" ht="15" hidden="false" customHeight="false" outlineLevel="0" collapsed="false">
      <c r="A41" s="28"/>
      <c r="B41" s="29"/>
      <c r="C41" s="28"/>
      <c r="D41" s="28"/>
      <c r="E41" s="30"/>
      <c r="F41" s="28"/>
      <c r="G41" s="28"/>
      <c r="H41" s="28"/>
      <c r="I41" s="28"/>
      <c r="J41" s="28"/>
      <c r="K41" s="28"/>
      <c r="L41" s="28"/>
      <c r="M41" s="31" t="str">
        <f aca="false">IF(COUNTA(H41:L41)=0,"",SUMPRODUCT(H41:L41,$H$9:$L$9))</f>
        <v/>
      </c>
      <c r="N41" s="32" t="str">
        <f aca="false">IF(M41="","",IF(M41&gt;=4,"A",IF(M41&gt;=3,"B",IF(M41&gt;=2,"C","D"))))</f>
        <v/>
      </c>
      <c r="O41" s="28"/>
      <c r="P41" s="29"/>
    </row>
    <row r="42" customFormat="false" ht="15" hidden="false" customHeight="false" outlineLevel="0" collapsed="false">
      <c r="A42" s="28"/>
      <c r="B42" s="29"/>
      <c r="C42" s="28"/>
      <c r="D42" s="28"/>
      <c r="E42" s="30"/>
      <c r="F42" s="28"/>
      <c r="G42" s="28"/>
      <c r="H42" s="28"/>
      <c r="I42" s="28"/>
      <c r="J42" s="28"/>
      <c r="K42" s="28"/>
      <c r="L42" s="28"/>
      <c r="M42" s="31" t="str">
        <f aca="false">IF(COUNTA(H42:L42)=0,"",SUMPRODUCT(H42:L42,$H$9:$L$9))</f>
        <v/>
      </c>
      <c r="N42" s="32" t="str">
        <f aca="false">IF(M42="","",IF(M42&gt;=4,"A",IF(M42&gt;=3,"B",IF(M42&gt;=2,"C","D"))))</f>
        <v/>
      </c>
      <c r="O42" s="28"/>
      <c r="P42" s="29"/>
    </row>
    <row r="43" customFormat="false" ht="15" hidden="false" customHeight="false" outlineLevel="0" collapsed="false">
      <c r="A43" s="28"/>
      <c r="B43" s="29"/>
      <c r="C43" s="28"/>
      <c r="D43" s="28"/>
      <c r="E43" s="30"/>
      <c r="F43" s="28"/>
      <c r="G43" s="28"/>
      <c r="H43" s="28"/>
      <c r="I43" s="28"/>
      <c r="J43" s="28"/>
      <c r="K43" s="28"/>
      <c r="L43" s="28"/>
      <c r="M43" s="31" t="str">
        <f aca="false">IF(COUNTA(H43:L43)=0,"",SUMPRODUCT(H43:L43,$H$9:$L$9))</f>
        <v/>
      </c>
      <c r="N43" s="32" t="str">
        <f aca="false">IF(M43="","",IF(M43&gt;=4,"A",IF(M43&gt;=3,"B",IF(M43&gt;=2,"C","D"))))</f>
        <v/>
      </c>
      <c r="O43" s="28"/>
      <c r="P43" s="29"/>
    </row>
    <row r="44" customFormat="false" ht="15" hidden="false" customHeight="false" outlineLevel="0" collapsed="false">
      <c r="A44" s="28"/>
      <c r="B44" s="29"/>
      <c r="C44" s="28"/>
      <c r="D44" s="28"/>
      <c r="E44" s="30"/>
      <c r="F44" s="28"/>
      <c r="G44" s="28"/>
      <c r="H44" s="28"/>
      <c r="I44" s="28"/>
      <c r="J44" s="28"/>
      <c r="K44" s="28"/>
      <c r="L44" s="28"/>
      <c r="M44" s="31" t="str">
        <f aca="false">IF(COUNTA(H44:L44)=0,"",SUMPRODUCT(H44:L44,$H$9:$L$9))</f>
        <v/>
      </c>
      <c r="N44" s="32" t="str">
        <f aca="false">IF(M44="","",IF(M44&gt;=4,"A",IF(M44&gt;=3,"B",IF(M44&gt;=2,"C","D"))))</f>
        <v/>
      </c>
      <c r="O44" s="28"/>
      <c r="P44" s="29"/>
    </row>
    <row r="45" customFormat="false" ht="15" hidden="false" customHeight="false" outlineLevel="0" collapsed="false">
      <c r="A45" s="28"/>
      <c r="B45" s="29"/>
      <c r="C45" s="28"/>
      <c r="D45" s="28"/>
      <c r="E45" s="30"/>
      <c r="F45" s="28"/>
      <c r="G45" s="28"/>
      <c r="H45" s="28"/>
      <c r="I45" s="28"/>
      <c r="J45" s="28"/>
      <c r="K45" s="28"/>
      <c r="L45" s="28"/>
      <c r="M45" s="31" t="str">
        <f aca="false">IF(COUNTA(H45:L45)=0,"",SUMPRODUCT(H45:L45,$H$9:$L$9))</f>
        <v/>
      </c>
      <c r="N45" s="32" t="str">
        <f aca="false">IF(M45="","",IF(M45&gt;=4,"A",IF(M45&gt;=3,"B",IF(M45&gt;=2,"C","D"))))</f>
        <v/>
      </c>
      <c r="O45" s="28"/>
      <c r="P45" s="29"/>
    </row>
    <row r="46" customFormat="false" ht="15" hidden="false" customHeight="false" outlineLevel="0" collapsed="false">
      <c r="A46" s="28"/>
      <c r="B46" s="29"/>
      <c r="C46" s="28"/>
      <c r="D46" s="28"/>
      <c r="E46" s="30"/>
      <c r="F46" s="28"/>
      <c r="G46" s="28"/>
      <c r="H46" s="28"/>
      <c r="I46" s="28"/>
      <c r="J46" s="28"/>
      <c r="K46" s="28"/>
      <c r="L46" s="28"/>
      <c r="M46" s="31" t="str">
        <f aca="false">IF(COUNTA(H46:L46)=0,"",SUMPRODUCT(H46:L46,$H$9:$L$9))</f>
        <v/>
      </c>
      <c r="N46" s="32" t="str">
        <f aca="false">IF(M46="","",IF(M46&gt;=4,"A",IF(M46&gt;=3,"B",IF(M46&gt;=2,"C","D"))))</f>
        <v/>
      </c>
      <c r="O46" s="28"/>
      <c r="P46" s="29"/>
    </row>
    <row r="47" customFormat="false" ht="15" hidden="false" customHeight="false" outlineLevel="0" collapsed="false">
      <c r="A47" s="28"/>
      <c r="B47" s="29"/>
      <c r="C47" s="28"/>
      <c r="D47" s="28"/>
      <c r="E47" s="30"/>
      <c r="F47" s="28"/>
      <c r="G47" s="28"/>
      <c r="H47" s="28"/>
      <c r="I47" s="28"/>
      <c r="J47" s="28"/>
      <c r="K47" s="28"/>
      <c r="L47" s="28"/>
      <c r="M47" s="31" t="str">
        <f aca="false">IF(COUNTA(H47:L47)=0,"",SUMPRODUCT(H47:L47,$H$9:$L$9))</f>
        <v/>
      </c>
      <c r="N47" s="32" t="str">
        <f aca="false">IF(M47="","",IF(M47&gt;=4,"A",IF(M47&gt;=3,"B",IF(M47&gt;=2,"C","D"))))</f>
        <v/>
      </c>
      <c r="O47" s="28"/>
      <c r="P47" s="29"/>
    </row>
    <row r="48" customFormat="false" ht="15" hidden="false" customHeight="false" outlineLevel="0" collapsed="false">
      <c r="A48" s="28"/>
      <c r="B48" s="29"/>
      <c r="C48" s="28"/>
      <c r="D48" s="28"/>
      <c r="E48" s="30"/>
      <c r="F48" s="28"/>
      <c r="G48" s="28"/>
      <c r="H48" s="28"/>
      <c r="I48" s="28"/>
      <c r="J48" s="28"/>
      <c r="K48" s="28"/>
      <c r="L48" s="28"/>
      <c r="M48" s="31" t="str">
        <f aca="false">IF(COUNTA(H48:L48)=0,"",SUMPRODUCT(H48:L48,$H$9:$L$9))</f>
        <v/>
      </c>
      <c r="N48" s="32" t="str">
        <f aca="false">IF(M48="","",IF(M48&gt;=4,"A",IF(M48&gt;=3,"B",IF(M48&gt;=2,"C","D"))))</f>
        <v/>
      </c>
      <c r="O48" s="28"/>
      <c r="P48" s="29"/>
    </row>
    <row r="49" customFormat="false" ht="15" hidden="false" customHeight="false" outlineLevel="0" collapsed="false">
      <c r="A49" s="28"/>
      <c r="B49" s="29"/>
      <c r="C49" s="28"/>
      <c r="D49" s="28"/>
      <c r="E49" s="30"/>
      <c r="F49" s="28"/>
      <c r="G49" s="28"/>
      <c r="H49" s="28"/>
      <c r="I49" s="28"/>
      <c r="J49" s="28"/>
      <c r="K49" s="28"/>
      <c r="L49" s="28"/>
      <c r="M49" s="31" t="str">
        <f aca="false">IF(COUNTA(H49:L49)=0,"",SUMPRODUCT(H49:L49,$H$9:$L$9))</f>
        <v/>
      </c>
      <c r="N49" s="32" t="str">
        <f aca="false">IF(M49="","",IF(M49&gt;=4,"A",IF(M49&gt;=3,"B",IF(M49&gt;=2,"C","D"))))</f>
        <v/>
      </c>
      <c r="O49" s="28"/>
      <c r="P49" s="29"/>
    </row>
    <row r="50" customFormat="false" ht="15" hidden="false" customHeight="false" outlineLevel="0" collapsed="false">
      <c r="A50" s="28"/>
      <c r="B50" s="29"/>
      <c r="C50" s="28"/>
      <c r="D50" s="28"/>
      <c r="E50" s="30"/>
      <c r="F50" s="28"/>
      <c r="G50" s="28"/>
      <c r="H50" s="28"/>
      <c r="I50" s="28"/>
      <c r="J50" s="28"/>
      <c r="K50" s="28"/>
      <c r="L50" s="28"/>
      <c r="M50" s="31" t="str">
        <f aca="false">IF(COUNTA(H50:L50)=0,"",SUMPRODUCT(H50:L50,$H$9:$L$9))</f>
        <v/>
      </c>
      <c r="N50" s="32" t="str">
        <f aca="false">IF(M50="","",IF(M50&gt;=4,"A",IF(M50&gt;=3,"B",IF(M50&gt;=2,"C","D"))))</f>
        <v/>
      </c>
      <c r="O50" s="28"/>
      <c r="P50" s="29"/>
    </row>
    <row r="51" customFormat="false" ht="15" hidden="false" customHeight="false" outlineLevel="0" collapsed="false">
      <c r="A51" s="28"/>
      <c r="B51" s="29"/>
      <c r="C51" s="28"/>
      <c r="D51" s="28"/>
      <c r="E51" s="30"/>
      <c r="F51" s="28"/>
      <c r="G51" s="28"/>
      <c r="H51" s="28"/>
      <c r="I51" s="28"/>
      <c r="J51" s="28"/>
      <c r="K51" s="28"/>
      <c r="L51" s="28"/>
      <c r="M51" s="31" t="str">
        <f aca="false">IF(COUNTA(H51:L51)=0,"",SUMPRODUCT(H51:L51,$H$9:$L$9))</f>
        <v/>
      </c>
      <c r="N51" s="32" t="str">
        <f aca="false">IF(M51="","",IF(M51&gt;=4,"A",IF(M51&gt;=3,"B",IF(M51&gt;=2,"C","D"))))</f>
        <v/>
      </c>
      <c r="O51" s="28"/>
      <c r="P51" s="29"/>
    </row>
    <row r="52" customFormat="false" ht="15" hidden="false" customHeight="false" outlineLevel="0" collapsed="false">
      <c r="A52" s="28"/>
      <c r="B52" s="29"/>
      <c r="C52" s="28"/>
      <c r="D52" s="28"/>
      <c r="E52" s="30"/>
      <c r="F52" s="28"/>
      <c r="G52" s="28"/>
      <c r="H52" s="28"/>
      <c r="I52" s="28"/>
      <c r="J52" s="28"/>
      <c r="K52" s="28"/>
      <c r="L52" s="28"/>
      <c r="M52" s="31" t="str">
        <f aca="false">IF(COUNTA(H52:L52)=0,"",SUMPRODUCT(H52:L52,$H$9:$L$9))</f>
        <v/>
      </c>
      <c r="N52" s="32" t="str">
        <f aca="false">IF(M52="","",IF(M52&gt;=4,"A",IF(M52&gt;=3,"B",IF(M52&gt;=2,"C","D"))))</f>
        <v/>
      </c>
      <c r="O52" s="28"/>
      <c r="P52" s="29"/>
    </row>
    <row r="53" customFormat="false" ht="15" hidden="false" customHeight="false" outlineLevel="0" collapsed="false">
      <c r="A53" s="28"/>
      <c r="B53" s="29"/>
      <c r="C53" s="28"/>
      <c r="D53" s="28"/>
      <c r="E53" s="30"/>
      <c r="F53" s="28"/>
      <c r="G53" s="28"/>
      <c r="H53" s="28"/>
      <c r="I53" s="28"/>
      <c r="J53" s="28"/>
      <c r="K53" s="28"/>
      <c r="L53" s="28"/>
      <c r="M53" s="31" t="str">
        <f aca="false">IF(COUNTA(H53:L53)=0,"",SUMPRODUCT(H53:L53,$H$9:$L$9))</f>
        <v/>
      </c>
      <c r="N53" s="32" t="str">
        <f aca="false">IF(M53="","",IF(M53&gt;=4,"A",IF(M53&gt;=3,"B",IF(M53&gt;=2,"C","D"))))</f>
        <v/>
      </c>
      <c r="O53" s="28"/>
      <c r="P53" s="29"/>
    </row>
    <row r="54" customFormat="false" ht="15" hidden="false" customHeight="false" outlineLevel="0" collapsed="false">
      <c r="A54" s="28"/>
      <c r="B54" s="29"/>
      <c r="C54" s="28"/>
      <c r="D54" s="28"/>
      <c r="E54" s="30"/>
      <c r="F54" s="28"/>
      <c r="G54" s="28"/>
      <c r="H54" s="28"/>
      <c r="I54" s="28"/>
      <c r="J54" s="28"/>
      <c r="K54" s="28"/>
      <c r="L54" s="28"/>
      <c r="M54" s="31" t="str">
        <f aca="false">IF(COUNTA(H54:L54)=0,"",SUMPRODUCT(H54:L54,$H$9:$L$9))</f>
        <v/>
      </c>
      <c r="N54" s="32" t="str">
        <f aca="false">IF(M54="","",IF(M54&gt;=4,"A",IF(M54&gt;=3,"B",IF(M54&gt;=2,"C","D"))))</f>
        <v/>
      </c>
      <c r="O54" s="28"/>
      <c r="P54" s="29"/>
    </row>
    <row r="55" customFormat="false" ht="15" hidden="false" customHeight="false" outlineLevel="0" collapsed="false">
      <c r="A55" s="28"/>
      <c r="B55" s="29"/>
      <c r="C55" s="28"/>
      <c r="D55" s="28"/>
      <c r="E55" s="30"/>
      <c r="F55" s="28"/>
      <c r="G55" s="28"/>
      <c r="H55" s="28"/>
      <c r="I55" s="28"/>
      <c r="J55" s="28"/>
      <c r="K55" s="28"/>
      <c r="L55" s="28"/>
      <c r="M55" s="31" t="str">
        <f aca="false">IF(COUNTA(H55:L55)=0,"",SUMPRODUCT(H55:L55,$H$9:$L$9))</f>
        <v/>
      </c>
      <c r="N55" s="32" t="str">
        <f aca="false">IF(M55="","",IF(M55&gt;=4,"A",IF(M55&gt;=3,"B",IF(M55&gt;=2,"C","D"))))</f>
        <v/>
      </c>
      <c r="O55" s="28"/>
      <c r="P55" s="29"/>
    </row>
    <row r="56" customFormat="false" ht="15" hidden="false" customHeight="false" outlineLevel="0" collapsed="false">
      <c r="A56" s="28"/>
      <c r="B56" s="29"/>
      <c r="C56" s="28"/>
      <c r="D56" s="28"/>
      <c r="E56" s="30"/>
      <c r="F56" s="28"/>
      <c r="G56" s="28"/>
      <c r="H56" s="28"/>
      <c r="I56" s="28"/>
      <c r="J56" s="28"/>
      <c r="K56" s="28"/>
      <c r="L56" s="28"/>
      <c r="M56" s="31" t="str">
        <f aca="false">IF(COUNTA(H56:L56)=0,"",SUMPRODUCT(H56:L56,$H$9:$L$9))</f>
        <v/>
      </c>
      <c r="N56" s="32" t="str">
        <f aca="false">IF(M56="","",IF(M56&gt;=4,"A",IF(M56&gt;=3,"B",IF(M56&gt;=2,"C","D"))))</f>
        <v/>
      </c>
      <c r="O56" s="28"/>
      <c r="P56" s="29"/>
    </row>
    <row r="57" customFormat="false" ht="15" hidden="false" customHeight="false" outlineLevel="0" collapsed="false">
      <c r="A57" s="28"/>
      <c r="B57" s="29"/>
      <c r="C57" s="28"/>
      <c r="D57" s="28"/>
      <c r="E57" s="30"/>
      <c r="F57" s="28"/>
      <c r="G57" s="28"/>
      <c r="H57" s="28"/>
      <c r="I57" s="28"/>
      <c r="J57" s="28"/>
      <c r="K57" s="28"/>
      <c r="L57" s="28"/>
      <c r="M57" s="31" t="str">
        <f aca="false">IF(COUNTA(H57:L57)=0,"",SUMPRODUCT(H57:L57,$H$9:$L$9))</f>
        <v/>
      </c>
      <c r="N57" s="32" t="str">
        <f aca="false">IF(M57="","",IF(M57&gt;=4,"A",IF(M57&gt;=3,"B",IF(M57&gt;=2,"C","D"))))</f>
        <v/>
      </c>
      <c r="O57" s="28"/>
      <c r="P57" s="29"/>
    </row>
    <row r="58" customFormat="false" ht="15" hidden="false" customHeight="false" outlineLevel="0" collapsed="false">
      <c r="A58" s="28"/>
      <c r="B58" s="29"/>
      <c r="C58" s="28"/>
      <c r="D58" s="28"/>
      <c r="E58" s="30"/>
      <c r="F58" s="28"/>
      <c r="G58" s="28"/>
      <c r="H58" s="28"/>
      <c r="I58" s="28"/>
      <c r="J58" s="28"/>
      <c r="K58" s="28"/>
      <c r="L58" s="28"/>
      <c r="M58" s="31" t="str">
        <f aca="false">IF(COUNTA(H58:L58)=0,"",SUMPRODUCT(H58:L58,$H$9:$L$9))</f>
        <v/>
      </c>
      <c r="N58" s="32" t="str">
        <f aca="false">IF(M58="","",IF(M58&gt;=4,"A",IF(M58&gt;=3,"B",IF(M58&gt;=2,"C","D"))))</f>
        <v/>
      </c>
      <c r="O58" s="28"/>
      <c r="P58" s="29"/>
    </row>
    <row r="59" customFormat="false" ht="15" hidden="false" customHeight="false" outlineLevel="0" collapsed="false">
      <c r="A59" s="28"/>
      <c r="B59" s="29"/>
      <c r="C59" s="28"/>
      <c r="D59" s="28"/>
      <c r="E59" s="30"/>
      <c r="F59" s="28"/>
      <c r="G59" s="28"/>
      <c r="H59" s="28"/>
      <c r="I59" s="28"/>
      <c r="J59" s="28"/>
      <c r="K59" s="28"/>
      <c r="L59" s="28"/>
      <c r="M59" s="31" t="str">
        <f aca="false">IF(COUNTA(H59:L59)=0,"",SUMPRODUCT(H59:L59,$H$9:$L$9))</f>
        <v/>
      </c>
      <c r="N59" s="32" t="str">
        <f aca="false">IF(M59="","",IF(M59&gt;=4,"A",IF(M59&gt;=3,"B",IF(M59&gt;=2,"C","D"))))</f>
        <v/>
      </c>
      <c r="O59" s="28"/>
      <c r="P59" s="29"/>
    </row>
    <row r="60" customFormat="false" ht="15" hidden="false" customHeight="false" outlineLevel="0" collapsed="false">
      <c r="A60" s="28"/>
      <c r="B60" s="29"/>
      <c r="C60" s="28"/>
      <c r="D60" s="28"/>
      <c r="E60" s="30"/>
      <c r="F60" s="28"/>
      <c r="G60" s="28"/>
      <c r="H60" s="28"/>
      <c r="I60" s="28"/>
      <c r="J60" s="28"/>
      <c r="K60" s="28"/>
      <c r="L60" s="28"/>
      <c r="M60" s="31" t="str">
        <f aca="false">IF(COUNTA(H60:L60)=0,"",SUMPRODUCT(H60:L60,$H$9:$L$9))</f>
        <v/>
      </c>
      <c r="N60" s="32" t="str">
        <f aca="false">IF(M60="","",IF(M60&gt;=4,"A",IF(M60&gt;=3,"B",IF(M60&gt;=2,"C","D"))))</f>
        <v/>
      </c>
      <c r="O60" s="28"/>
      <c r="P60" s="29"/>
    </row>
    <row r="61" customFormat="false" ht="15" hidden="false" customHeight="false" outlineLevel="0" collapsed="false">
      <c r="A61" s="28"/>
      <c r="B61" s="29"/>
      <c r="C61" s="28"/>
      <c r="D61" s="28"/>
      <c r="E61" s="30"/>
      <c r="F61" s="28"/>
      <c r="G61" s="28"/>
      <c r="H61" s="28"/>
      <c r="I61" s="28"/>
      <c r="J61" s="28"/>
      <c r="K61" s="28"/>
      <c r="L61" s="28"/>
      <c r="M61" s="31" t="str">
        <f aca="false">IF(COUNTA(H61:L61)=0,"",SUMPRODUCT(H61:L61,$H$9:$L$9))</f>
        <v/>
      </c>
      <c r="N61" s="32" t="str">
        <f aca="false">IF(M61="","",IF(M61&gt;=4,"A",IF(M61&gt;=3,"B",IF(M61&gt;=2,"C","D"))))</f>
        <v/>
      </c>
      <c r="O61" s="28"/>
      <c r="P61" s="29"/>
    </row>
    <row r="62" customFormat="false" ht="15" hidden="false" customHeight="false" outlineLevel="0" collapsed="false">
      <c r="A62" s="28"/>
      <c r="B62" s="29"/>
      <c r="C62" s="28"/>
      <c r="D62" s="28"/>
      <c r="E62" s="30"/>
      <c r="F62" s="28"/>
      <c r="G62" s="28"/>
      <c r="H62" s="28"/>
      <c r="I62" s="28"/>
      <c r="J62" s="28"/>
      <c r="K62" s="28"/>
      <c r="L62" s="28"/>
      <c r="M62" s="31" t="str">
        <f aca="false">IF(COUNTA(H62:L62)=0,"",SUMPRODUCT(H62:L62,$H$9:$L$9))</f>
        <v/>
      </c>
      <c r="N62" s="32" t="str">
        <f aca="false">IF(M62="","",IF(M62&gt;=4,"A",IF(M62&gt;=3,"B",IF(M62&gt;=2,"C","D"))))</f>
        <v/>
      </c>
      <c r="O62" s="28"/>
      <c r="P62" s="29"/>
    </row>
    <row r="63" customFormat="false" ht="15" hidden="false" customHeight="false" outlineLevel="0" collapsed="false">
      <c r="A63" s="28"/>
      <c r="B63" s="29"/>
      <c r="C63" s="28"/>
      <c r="D63" s="28"/>
      <c r="E63" s="30"/>
      <c r="F63" s="28"/>
      <c r="G63" s="28"/>
      <c r="H63" s="28"/>
      <c r="I63" s="28"/>
      <c r="J63" s="28"/>
      <c r="K63" s="28"/>
      <c r="L63" s="28"/>
      <c r="M63" s="31" t="str">
        <f aca="false">IF(COUNTA(H63:L63)=0,"",SUMPRODUCT(H63:L63,$H$9:$L$9))</f>
        <v/>
      </c>
      <c r="N63" s="32" t="str">
        <f aca="false">IF(M63="","",IF(M63&gt;=4,"A",IF(M63&gt;=3,"B",IF(M63&gt;=2,"C","D"))))</f>
        <v/>
      </c>
      <c r="O63" s="28"/>
      <c r="P63" s="29"/>
    </row>
    <row r="64" customFormat="false" ht="15" hidden="false" customHeight="false" outlineLevel="0" collapsed="false">
      <c r="A64" s="28"/>
      <c r="B64" s="29"/>
      <c r="C64" s="28"/>
      <c r="D64" s="28"/>
      <c r="E64" s="30"/>
      <c r="F64" s="28"/>
      <c r="G64" s="28"/>
      <c r="H64" s="28"/>
      <c r="I64" s="28"/>
      <c r="J64" s="28"/>
      <c r="K64" s="28"/>
      <c r="L64" s="28"/>
      <c r="M64" s="31" t="str">
        <f aca="false">IF(COUNTA(H64:L64)=0,"",SUMPRODUCT(H64:L64,$H$9:$L$9))</f>
        <v/>
      </c>
      <c r="N64" s="32" t="str">
        <f aca="false">IF(M64="","",IF(M64&gt;=4,"A",IF(M64&gt;=3,"B",IF(M64&gt;=2,"C","D"))))</f>
        <v/>
      </c>
      <c r="O64" s="28"/>
      <c r="P64" s="29"/>
    </row>
    <row r="65" customFormat="false" ht="15" hidden="false" customHeight="false" outlineLevel="0" collapsed="false">
      <c r="A65" s="28"/>
      <c r="B65" s="29"/>
      <c r="C65" s="28"/>
      <c r="D65" s="28"/>
      <c r="E65" s="30"/>
      <c r="F65" s="28"/>
      <c r="G65" s="28"/>
      <c r="H65" s="28"/>
      <c r="I65" s="28"/>
      <c r="J65" s="28"/>
      <c r="K65" s="28"/>
      <c r="L65" s="28"/>
      <c r="M65" s="31" t="str">
        <f aca="false">IF(COUNTA(H65:L65)=0,"",SUMPRODUCT(H65:L65,$H$9:$L$9))</f>
        <v/>
      </c>
      <c r="N65" s="32" t="str">
        <f aca="false">IF(M65="","",IF(M65&gt;=4,"A",IF(M65&gt;=3,"B",IF(M65&gt;=2,"C","D"))))</f>
        <v/>
      </c>
      <c r="O65" s="28"/>
      <c r="P65" s="29"/>
    </row>
    <row r="66" customFormat="false" ht="15" hidden="false" customHeight="false" outlineLevel="0" collapsed="false">
      <c r="A66" s="28"/>
      <c r="B66" s="29"/>
      <c r="C66" s="28"/>
      <c r="D66" s="28"/>
      <c r="E66" s="30"/>
      <c r="F66" s="28"/>
      <c r="G66" s="28"/>
      <c r="H66" s="28"/>
      <c r="I66" s="28"/>
      <c r="J66" s="28"/>
      <c r="K66" s="28"/>
      <c r="L66" s="28"/>
      <c r="M66" s="31" t="str">
        <f aca="false">IF(COUNTA(H66:L66)=0,"",SUMPRODUCT(H66:L66,$H$9:$L$9))</f>
        <v/>
      </c>
      <c r="N66" s="32" t="str">
        <f aca="false">IF(M66="","",IF(M66&gt;=4,"A",IF(M66&gt;=3,"B",IF(M66&gt;=2,"C","D"))))</f>
        <v/>
      </c>
      <c r="O66" s="28"/>
      <c r="P66" s="29"/>
    </row>
    <row r="67" customFormat="false" ht="15" hidden="false" customHeight="false" outlineLevel="0" collapsed="false">
      <c r="A67" s="28"/>
      <c r="B67" s="29"/>
      <c r="C67" s="28"/>
      <c r="D67" s="28"/>
      <c r="E67" s="30"/>
      <c r="F67" s="28"/>
      <c r="G67" s="28"/>
      <c r="H67" s="28"/>
      <c r="I67" s="28"/>
      <c r="J67" s="28"/>
      <c r="K67" s="28"/>
      <c r="L67" s="28"/>
      <c r="M67" s="31" t="str">
        <f aca="false">IF(COUNTA(H67:L67)=0,"",SUMPRODUCT(H67:L67,$H$9:$L$9))</f>
        <v/>
      </c>
      <c r="N67" s="32" t="str">
        <f aca="false">IF(M67="","",IF(M67&gt;=4,"A",IF(M67&gt;=3,"B",IF(M67&gt;=2,"C","D"))))</f>
        <v/>
      </c>
      <c r="O67" s="28"/>
      <c r="P67" s="29"/>
    </row>
    <row r="68" customFormat="false" ht="15" hidden="false" customHeight="false" outlineLevel="0" collapsed="false">
      <c r="A68" s="28"/>
      <c r="B68" s="29"/>
      <c r="C68" s="28"/>
      <c r="D68" s="28"/>
      <c r="E68" s="30"/>
      <c r="F68" s="28"/>
      <c r="G68" s="28"/>
      <c r="H68" s="28"/>
      <c r="I68" s="28"/>
      <c r="J68" s="28"/>
      <c r="K68" s="28"/>
      <c r="L68" s="28"/>
      <c r="M68" s="31" t="str">
        <f aca="false">IF(COUNTA(H68:L68)=0,"",SUMPRODUCT(H68:L68,$H$9:$L$9))</f>
        <v/>
      </c>
      <c r="N68" s="32" t="str">
        <f aca="false">IF(M68="","",IF(M68&gt;=4,"A",IF(M68&gt;=3,"B",IF(M68&gt;=2,"C","D"))))</f>
        <v/>
      </c>
      <c r="O68" s="28"/>
      <c r="P68" s="29"/>
    </row>
    <row r="69" customFormat="false" ht="15" hidden="false" customHeight="false" outlineLevel="0" collapsed="false">
      <c r="A69" s="28"/>
      <c r="B69" s="29"/>
      <c r="C69" s="28"/>
      <c r="D69" s="28"/>
      <c r="E69" s="30"/>
      <c r="F69" s="28"/>
      <c r="G69" s="28"/>
      <c r="H69" s="28"/>
      <c r="I69" s="28"/>
      <c r="J69" s="28"/>
      <c r="K69" s="28"/>
      <c r="L69" s="28"/>
      <c r="M69" s="31" t="str">
        <f aca="false">IF(COUNTA(H69:L69)=0,"",SUMPRODUCT(H69:L69,$H$9:$L$9))</f>
        <v/>
      </c>
      <c r="N69" s="32" t="str">
        <f aca="false">IF(M69="","",IF(M69&gt;=4,"A",IF(M69&gt;=3,"B",IF(M69&gt;=2,"C","D"))))</f>
        <v/>
      </c>
      <c r="O69" s="28"/>
      <c r="P69" s="29"/>
    </row>
    <row r="70" customFormat="false" ht="15" hidden="false" customHeight="false" outlineLevel="0" collapsed="false">
      <c r="A70" s="28"/>
      <c r="B70" s="29"/>
      <c r="C70" s="28"/>
      <c r="D70" s="28"/>
      <c r="E70" s="30"/>
      <c r="F70" s="28"/>
      <c r="G70" s="28"/>
      <c r="H70" s="28"/>
      <c r="I70" s="28"/>
      <c r="J70" s="28"/>
      <c r="K70" s="28"/>
      <c r="L70" s="28"/>
      <c r="M70" s="31" t="str">
        <f aca="false">IF(COUNTA(H70:L70)=0,"",SUMPRODUCT(H70:L70,$H$9:$L$9))</f>
        <v/>
      </c>
      <c r="N70" s="32" t="str">
        <f aca="false">IF(M70="","",IF(M70&gt;=4,"A",IF(M70&gt;=3,"B",IF(M70&gt;=2,"C","D"))))</f>
        <v/>
      </c>
      <c r="O70" s="28"/>
      <c r="P70" s="29"/>
    </row>
    <row r="71" customFormat="false" ht="15" hidden="false" customHeight="false" outlineLevel="0" collapsed="false">
      <c r="A71" s="28"/>
      <c r="B71" s="29"/>
      <c r="C71" s="28"/>
      <c r="D71" s="28"/>
      <c r="E71" s="30"/>
      <c r="F71" s="28"/>
      <c r="G71" s="28"/>
      <c r="H71" s="28"/>
      <c r="I71" s="28"/>
      <c r="J71" s="28"/>
      <c r="K71" s="28"/>
      <c r="L71" s="28"/>
      <c r="M71" s="31" t="str">
        <f aca="false">IF(COUNTA(H71:L71)=0,"",SUMPRODUCT(H71:L71,$H$9:$L$9))</f>
        <v/>
      </c>
      <c r="N71" s="32" t="str">
        <f aca="false">IF(M71="","",IF(M71&gt;=4,"A",IF(M71&gt;=3,"B",IF(M71&gt;=2,"C","D"))))</f>
        <v/>
      </c>
      <c r="O71" s="28"/>
      <c r="P71" s="29"/>
    </row>
    <row r="72" customFormat="false" ht="15" hidden="false" customHeight="false" outlineLevel="0" collapsed="false">
      <c r="A72" s="28"/>
      <c r="B72" s="29"/>
      <c r="C72" s="28"/>
      <c r="D72" s="28"/>
      <c r="E72" s="30"/>
      <c r="F72" s="28"/>
      <c r="G72" s="28"/>
      <c r="H72" s="28"/>
      <c r="I72" s="28"/>
      <c r="J72" s="28"/>
      <c r="K72" s="28"/>
      <c r="L72" s="28"/>
      <c r="M72" s="31" t="str">
        <f aca="false">IF(COUNTA(H72:L72)=0,"",SUMPRODUCT(H72:L72,$H$9:$L$9))</f>
        <v/>
      </c>
      <c r="N72" s="32" t="str">
        <f aca="false">IF(M72="","",IF(M72&gt;=4,"A",IF(M72&gt;=3,"B",IF(M72&gt;=2,"C","D"))))</f>
        <v/>
      </c>
      <c r="O72" s="28"/>
      <c r="P72" s="29"/>
    </row>
    <row r="73" customFormat="false" ht="15" hidden="false" customHeight="false" outlineLevel="0" collapsed="false">
      <c r="A73" s="28"/>
      <c r="B73" s="29"/>
      <c r="C73" s="28"/>
      <c r="D73" s="28"/>
      <c r="E73" s="30"/>
      <c r="F73" s="28"/>
      <c r="G73" s="28"/>
      <c r="H73" s="28"/>
      <c r="I73" s="28"/>
      <c r="J73" s="28"/>
      <c r="K73" s="28"/>
      <c r="L73" s="28"/>
      <c r="M73" s="31" t="str">
        <f aca="false">IF(COUNTA(H73:L73)=0,"",SUMPRODUCT(H73:L73,$H$9:$L$9))</f>
        <v/>
      </c>
      <c r="N73" s="32" t="str">
        <f aca="false">IF(M73="","",IF(M73&gt;=4,"A",IF(M73&gt;=3,"B",IF(M73&gt;=2,"C","D"))))</f>
        <v/>
      </c>
      <c r="O73" s="28"/>
      <c r="P73" s="29"/>
    </row>
    <row r="74" customFormat="false" ht="15" hidden="false" customHeight="false" outlineLevel="0" collapsed="false">
      <c r="A74" s="28"/>
      <c r="B74" s="29"/>
      <c r="C74" s="28"/>
      <c r="D74" s="28"/>
      <c r="E74" s="30"/>
      <c r="F74" s="28"/>
      <c r="G74" s="28"/>
      <c r="H74" s="28"/>
      <c r="I74" s="28"/>
      <c r="J74" s="28"/>
      <c r="K74" s="28"/>
      <c r="L74" s="28"/>
      <c r="M74" s="31" t="str">
        <f aca="false">IF(COUNTA(H74:L74)=0,"",SUMPRODUCT(H74:L74,$H$9:$L$9))</f>
        <v/>
      </c>
      <c r="N74" s="32" t="str">
        <f aca="false">IF(M74="","",IF(M74&gt;=4,"A",IF(M74&gt;=3,"B",IF(M74&gt;=2,"C","D"))))</f>
        <v/>
      </c>
      <c r="O74" s="28"/>
      <c r="P74" s="29"/>
    </row>
    <row r="75" customFormat="false" ht="15" hidden="false" customHeight="false" outlineLevel="0" collapsed="false">
      <c r="A75" s="28"/>
      <c r="B75" s="29"/>
      <c r="C75" s="28"/>
      <c r="D75" s="28"/>
      <c r="E75" s="30"/>
      <c r="F75" s="28"/>
      <c r="G75" s="28"/>
      <c r="H75" s="28"/>
      <c r="I75" s="28"/>
      <c r="J75" s="28"/>
      <c r="K75" s="28"/>
      <c r="L75" s="28"/>
      <c r="M75" s="31" t="str">
        <f aca="false">IF(COUNTA(H75:L75)=0,"",SUMPRODUCT(H75:L75,$H$9:$L$9))</f>
        <v/>
      </c>
      <c r="N75" s="32" t="str">
        <f aca="false">IF(M75="","",IF(M75&gt;=4,"A",IF(M75&gt;=3,"B",IF(M75&gt;=2,"C","D"))))</f>
        <v/>
      </c>
      <c r="O75" s="28"/>
      <c r="P75" s="29"/>
    </row>
    <row r="76" customFormat="false" ht="15" hidden="false" customHeight="false" outlineLevel="0" collapsed="false">
      <c r="A76" s="28"/>
      <c r="B76" s="29"/>
      <c r="C76" s="28"/>
      <c r="D76" s="28"/>
      <c r="E76" s="30"/>
      <c r="F76" s="28"/>
      <c r="G76" s="28"/>
      <c r="H76" s="28"/>
      <c r="I76" s="28"/>
      <c r="J76" s="28"/>
      <c r="K76" s="28"/>
      <c r="L76" s="28"/>
      <c r="M76" s="31" t="str">
        <f aca="false">IF(COUNTA(H76:L76)=0,"",SUMPRODUCT(H76:L76,$H$9:$L$9))</f>
        <v/>
      </c>
      <c r="N76" s="32" t="str">
        <f aca="false">IF(M76="","",IF(M76&gt;=4,"A",IF(M76&gt;=3,"B",IF(M76&gt;=2,"C","D"))))</f>
        <v/>
      </c>
      <c r="O76" s="28"/>
      <c r="P76" s="29"/>
    </row>
    <row r="77" customFormat="false" ht="15" hidden="false" customHeight="false" outlineLevel="0" collapsed="false">
      <c r="A77" s="28"/>
      <c r="B77" s="29"/>
      <c r="C77" s="28"/>
      <c r="D77" s="28"/>
      <c r="E77" s="30"/>
      <c r="F77" s="28"/>
      <c r="G77" s="28"/>
      <c r="H77" s="28"/>
      <c r="I77" s="28"/>
      <c r="J77" s="28"/>
      <c r="K77" s="28"/>
      <c r="L77" s="28"/>
      <c r="M77" s="31" t="str">
        <f aca="false">IF(COUNTA(H77:L77)=0,"",SUMPRODUCT(H77:L77,$H$9:$L$9))</f>
        <v/>
      </c>
      <c r="N77" s="32" t="str">
        <f aca="false">IF(M77="","",IF(M77&gt;=4,"A",IF(M77&gt;=3,"B",IF(M77&gt;=2,"C","D"))))</f>
        <v/>
      </c>
      <c r="O77" s="28"/>
      <c r="P77" s="29"/>
    </row>
    <row r="78" customFormat="false" ht="15" hidden="false" customHeight="false" outlineLevel="0" collapsed="false">
      <c r="A78" s="28"/>
      <c r="B78" s="29"/>
      <c r="C78" s="28"/>
      <c r="D78" s="28"/>
      <c r="E78" s="30"/>
      <c r="F78" s="28"/>
      <c r="G78" s="28"/>
      <c r="H78" s="28"/>
      <c r="I78" s="28"/>
      <c r="J78" s="28"/>
      <c r="K78" s="28"/>
      <c r="L78" s="28"/>
      <c r="M78" s="31" t="str">
        <f aca="false">IF(COUNTA(H78:L78)=0,"",SUMPRODUCT(H78:L78,$H$9:$L$9))</f>
        <v/>
      </c>
      <c r="N78" s="32" t="str">
        <f aca="false">IF(M78="","",IF(M78&gt;=4,"A",IF(M78&gt;=3,"B",IF(M78&gt;=2,"C","D"))))</f>
        <v/>
      </c>
      <c r="O78" s="28"/>
      <c r="P78" s="29"/>
    </row>
    <row r="79" customFormat="false" ht="15" hidden="false" customHeight="false" outlineLevel="0" collapsed="false">
      <c r="A79" s="28"/>
      <c r="B79" s="29"/>
      <c r="C79" s="28"/>
      <c r="D79" s="28"/>
      <c r="E79" s="30"/>
      <c r="F79" s="28"/>
      <c r="G79" s="28"/>
      <c r="H79" s="28"/>
      <c r="I79" s="28"/>
      <c r="J79" s="28"/>
      <c r="K79" s="28"/>
      <c r="L79" s="28"/>
      <c r="M79" s="31" t="str">
        <f aca="false">IF(COUNTA(H79:L79)=0,"",SUMPRODUCT(H79:L79,$H$9:$L$9))</f>
        <v/>
      </c>
      <c r="N79" s="32" t="str">
        <f aca="false">IF(M79="","",IF(M79&gt;=4,"A",IF(M79&gt;=3,"B",IF(M79&gt;=2,"C","D"))))</f>
        <v/>
      </c>
      <c r="O79" s="28"/>
      <c r="P79" s="29"/>
    </row>
    <row r="80" customFormat="false" ht="15" hidden="false" customHeight="false" outlineLevel="0" collapsed="false">
      <c r="A80" s="28"/>
      <c r="B80" s="29"/>
      <c r="C80" s="28"/>
      <c r="D80" s="28"/>
      <c r="E80" s="30"/>
      <c r="F80" s="28"/>
      <c r="G80" s="28"/>
      <c r="H80" s="28"/>
      <c r="I80" s="28"/>
      <c r="J80" s="28"/>
      <c r="K80" s="28"/>
      <c r="L80" s="28"/>
      <c r="M80" s="31" t="str">
        <f aca="false">IF(COUNTA(H80:L80)=0,"",SUMPRODUCT(H80:L80,$H$9:$L$9))</f>
        <v/>
      </c>
      <c r="N80" s="32" t="str">
        <f aca="false">IF(M80="","",IF(M80&gt;=4,"A",IF(M80&gt;=3,"B",IF(M80&gt;=2,"C","D"))))</f>
        <v/>
      </c>
      <c r="O80" s="28"/>
      <c r="P80" s="29"/>
    </row>
    <row r="81" customFormat="false" ht="15" hidden="false" customHeight="false" outlineLevel="0" collapsed="false">
      <c r="A81" s="28"/>
      <c r="B81" s="29"/>
      <c r="C81" s="28"/>
      <c r="D81" s="28"/>
      <c r="E81" s="30"/>
      <c r="F81" s="28"/>
      <c r="G81" s="28"/>
      <c r="H81" s="28"/>
      <c r="I81" s="28"/>
      <c r="J81" s="28"/>
      <c r="K81" s="28"/>
      <c r="L81" s="28"/>
      <c r="M81" s="31" t="str">
        <f aca="false">IF(COUNTA(H81:L81)=0,"",SUMPRODUCT(H81:L81,$H$9:$L$9))</f>
        <v/>
      </c>
      <c r="N81" s="32" t="str">
        <f aca="false">IF(M81="","",IF(M81&gt;=4,"A",IF(M81&gt;=3,"B",IF(M81&gt;=2,"C","D"))))</f>
        <v/>
      </c>
      <c r="O81" s="28"/>
      <c r="P81" s="29"/>
    </row>
    <row r="82" customFormat="false" ht="15" hidden="false" customHeight="false" outlineLevel="0" collapsed="false">
      <c r="A82" s="28"/>
      <c r="B82" s="29"/>
      <c r="C82" s="28"/>
      <c r="D82" s="28"/>
      <c r="E82" s="30"/>
      <c r="F82" s="28"/>
      <c r="G82" s="28"/>
      <c r="H82" s="28"/>
      <c r="I82" s="28"/>
      <c r="J82" s="28"/>
      <c r="K82" s="28"/>
      <c r="L82" s="28"/>
      <c r="M82" s="31" t="str">
        <f aca="false">IF(COUNTA(H82:L82)=0,"",SUMPRODUCT(H82:L82,$H$9:$L$9))</f>
        <v/>
      </c>
      <c r="N82" s="32" t="str">
        <f aca="false">IF(M82="","",IF(M82&gt;=4,"A",IF(M82&gt;=3,"B",IF(M82&gt;=2,"C","D"))))</f>
        <v/>
      </c>
      <c r="O82" s="28"/>
      <c r="P82" s="29"/>
    </row>
    <row r="83" customFormat="false" ht="15" hidden="false" customHeight="false" outlineLevel="0" collapsed="false">
      <c r="A83" s="28"/>
      <c r="B83" s="29"/>
      <c r="C83" s="28"/>
      <c r="D83" s="28"/>
      <c r="E83" s="30"/>
      <c r="F83" s="28"/>
      <c r="G83" s="28"/>
      <c r="H83" s="28"/>
      <c r="I83" s="28"/>
      <c r="J83" s="28"/>
      <c r="K83" s="28"/>
      <c r="L83" s="28"/>
      <c r="M83" s="31" t="str">
        <f aca="false">IF(COUNTA(H83:L83)=0,"",SUMPRODUCT(H83:L83,$H$9:$L$9))</f>
        <v/>
      </c>
      <c r="N83" s="32" t="str">
        <f aca="false">IF(M83="","",IF(M83&gt;=4,"A",IF(M83&gt;=3,"B",IF(M83&gt;=2,"C","D"))))</f>
        <v/>
      </c>
      <c r="O83" s="28"/>
      <c r="P83" s="29"/>
    </row>
    <row r="84" customFormat="false" ht="15" hidden="false" customHeight="false" outlineLevel="0" collapsed="false">
      <c r="A84" s="28"/>
      <c r="B84" s="29"/>
      <c r="C84" s="28"/>
      <c r="D84" s="28"/>
      <c r="E84" s="30"/>
      <c r="F84" s="28"/>
      <c r="G84" s="28"/>
      <c r="H84" s="28"/>
      <c r="I84" s="28"/>
      <c r="J84" s="28"/>
      <c r="K84" s="28"/>
      <c r="L84" s="28"/>
      <c r="M84" s="31" t="str">
        <f aca="false">IF(COUNTA(H84:L84)=0,"",SUMPRODUCT(H84:L84,$H$9:$L$9))</f>
        <v/>
      </c>
      <c r="N84" s="32" t="str">
        <f aca="false">IF(M84="","",IF(M84&gt;=4,"A",IF(M84&gt;=3,"B",IF(M84&gt;=2,"C","D"))))</f>
        <v/>
      </c>
      <c r="O84" s="28"/>
      <c r="P84" s="29"/>
    </row>
    <row r="85" customFormat="false" ht="15" hidden="false" customHeight="false" outlineLevel="0" collapsed="false">
      <c r="A85" s="28"/>
      <c r="B85" s="29"/>
      <c r="C85" s="28"/>
      <c r="D85" s="28"/>
      <c r="E85" s="30"/>
      <c r="F85" s="28"/>
      <c r="G85" s="28"/>
      <c r="H85" s="28"/>
      <c r="I85" s="28"/>
      <c r="J85" s="28"/>
      <c r="K85" s="28"/>
      <c r="L85" s="28"/>
      <c r="M85" s="31" t="str">
        <f aca="false">IF(COUNTA(H85:L85)=0,"",SUMPRODUCT(H85:L85,$H$9:$L$9))</f>
        <v/>
      </c>
      <c r="N85" s="32" t="str">
        <f aca="false">IF(M85="","",IF(M85&gt;=4,"A",IF(M85&gt;=3,"B",IF(M85&gt;=2,"C","D"))))</f>
        <v/>
      </c>
      <c r="O85" s="28"/>
      <c r="P85" s="29"/>
    </row>
    <row r="86" customFormat="false" ht="15" hidden="false" customHeight="false" outlineLevel="0" collapsed="false">
      <c r="A86" s="28"/>
      <c r="B86" s="29"/>
      <c r="C86" s="28"/>
      <c r="D86" s="28"/>
      <c r="E86" s="30"/>
      <c r="F86" s="28"/>
      <c r="G86" s="28"/>
      <c r="H86" s="28"/>
      <c r="I86" s="28"/>
      <c r="J86" s="28"/>
      <c r="K86" s="28"/>
      <c r="L86" s="28"/>
      <c r="M86" s="31" t="str">
        <f aca="false">IF(COUNTA(H86:L86)=0,"",SUMPRODUCT(H86:L86,$H$9:$L$9))</f>
        <v/>
      </c>
      <c r="N86" s="32" t="str">
        <f aca="false">IF(M86="","",IF(M86&gt;=4,"A",IF(M86&gt;=3,"B",IF(M86&gt;=2,"C","D"))))</f>
        <v/>
      </c>
      <c r="O86" s="28"/>
      <c r="P86" s="29"/>
    </row>
    <row r="87" customFormat="false" ht="15" hidden="false" customHeight="false" outlineLevel="0" collapsed="false">
      <c r="A87" s="28"/>
      <c r="B87" s="29"/>
      <c r="C87" s="28"/>
      <c r="D87" s="28"/>
      <c r="E87" s="30"/>
      <c r="F87" s="28"/>
      <c r="G87" s="28"/>
      <c r="H87" s="28"/>
      <c r="I87" s="28"/>
      <c r="J87" s="28"/>
      <c r="K87" s="28"/>
      <c r="L87" s="28"/>
      <c r="M87" s="31" t="str">
        <f aca="false">IF(COUNTA(H87:L87)=0,"",SUMPRODUCT(H87:L87,$H$9:$L$9))</f>
        <v/>
      </c>
      <c r="N87" s="32" t="str">
        <f aca="false">IF(M87="","",IF(M87&gt;=4,"A",IF(M87&gt;=3,"B",IF(M87&gt;=2,"C","D"))))</f>
        <v/>
      </c>
      <c r="O87" s="28"/>
      <c r="P87" s="29"/>
    </row>
    <row r="88" customFormat="false" ht="15" hidden="false" customHeight="false" outlineLevel="0" collapsed="false">
      <c r="A88" s="28"/>
      <c r="B88" s="29"/>
      <c r="C88" s="28"/>
      <c r="D88" s="28"/>
      <c r="E88" s="30"/>
      <c r="F88" s="28"/>
      <c r="G88" s="28"/>
      <c r="H88" s="28"/>
      <c r="I88" s="28"/>
      <c r="J88" s="28"/>
      <c r="K88" s="28"/>
      <c r="L88" s="28"/>
      <c r="M88" s="31" t="str">
        <f aca="false">IF(COUNTA(H88:L88)=0,"",SUMPRODUCT(H88:L88,$H$9:$L$9))</f>
        <v/>
      </c>
      <c r="N88" s="32" t="str">
        <f aca="false">IF(M88="","",IF(M88&gt;=4,"A",IF(M88&gt;=3,"B",IF(M88&gt;=2,"C","D"))))</f>
        <v/>
      </c>
      <c r="O88" s="28"/>
      <c r="P88" s="29"/>
    </row>
    <row r="89" customFormat="false" ht="15" hidden="false" customHeight="false" outlineLevel="0" collapsed="false">
      <c r="A89" s="28"/>
      <c r="B89" s="29"/>
      <c r="C89" s="28"/>
      <c r="D89" s="28"/>
      <c r="E89" s="30"/>
      <c r="F89" s="28"/>
      <c r="G89" s="28"/>
      <c r="H89" s="28"/>
      <c r="I89" s="28"/>
      <c r="J89" s="28"/>
      <c r="K89" s="28"/>
      <c r="L89" s="28"/>
      <c r="M89" s="31" t="str">
        <f aca="false">IF(COUNTA(H89:L89)=0,"",SUMPRODUCT(H89:L89,$H$9:$L$9))</f>
        <v/>
      </c>
      <c r="N89" s="32" t="str">
        <f aca="false">IF(M89="","",IF(M89&gt;=4,"A",IF(M89&gt;=3,"B",IF(M89&gt;=2,"C","D"))))</f>
        <v/>
      </c>
      <c r="O89" s="28"/>
      <c r="P89" s="29"/>
    </row>
    <row r="90" customFormat="false" ht="15" hidden="false" customHeight="false" outlineLevel="0" collapsed="false">
      <c r="A90" s="28"/>
      <c r="B90" s="29"/>
      <c r="C90" s="28"/>
      <c r="D90" s="28"/>
      <c r="E90" s="30"/>
      <c r="F90" s="28"/>
      <c r="G90" s="28"/>
      <c r="H90" s="28"/>
      <c r="I90" s="28"/>
      <c r="J90" s="28"/>
      <c r="K90" s="28"/>
      <c r="L90" s="28"/>
      <c r="M90" s="31" t="str">
        <f aca="false">IF(COUNTA(H90:L90)=0,"",SUMPRODUCT(H90:L90,$H$9:$L$9))</f>
        <v/>
      </c>
      <c r="N90" s="32" t="str">
        <f aca="false">IF(M90="","",IF(M90&gt;=4,"A",IF(M90&gt;=3,"B",IF(M90&gt;=2,"C","D"))))</f>
        <v/>
      </c>
      <c r="O90" s="28"/>
      <c r="P90" s="29"/>
    </row>
    <row r="91" customFormat="false" ht="15" hidden="false" customHeight="false" outlineLevel="0" collapsed="false">
      <c r="A91" s="28"/>
      <c r="B91" s="29"/>
      <c r="C91" s="28"/>
      <c r="D91" s="28"/>
      <c r="E91" s="30"/>
      <c r="F91" s="28"/>
      <c r="G91" s="28"/>
      <c r="H91" s="28"/>
      <c r="I91" s="28"/>
      <c r="J91" s="28"/>
      <c r="K91" s="28"/>
      <c r="L91" s="28"/>
      <c r="M91" s="31" t="str">
        <f aca="false">IF(COUNTA(H91:L91)=0,"",SUMPRODUCT(H91:L91,$H$9:$L$9))</f>
        <v/>
      </c>
      <c r="N91" s="32" t="str">
        <f aca="false">IF(M91="","",IF(M91&gt;=4,"A",IF(M91&gt;=3,"B",IF(M91&gt;=2,"C","D"))))</f>
        <v/>
      </c>
      <c r="O91" s="28"/>
      <c r="P91" s="29"/>
    </row>
    <row r="92" customFormat="false" ht="15" hidden="false" customHeight="false" outlineLevel="0" collapsed="false">
      <c r="A92" s="28"/>
      <c r="B92" s="29"/>
      <c r="C92" s="28"/>
      <c r="D92" s="28"/>
      <c r="E92" s="30"/>
      <c r="F92" s="28"/>
      <c r="G92" s="28"/>
      <c r="H92" s="28"/>
      <c r="I92" s="28"/>
      <c r="J92" s="28"/>
      <c r="K92" s="28"/>
      <c r="L92" s="28"/>
      <c r="M92" s="31" t="str">
        <f aca="false">IF(COUNTA(H92:L92)=0,"",SUMPRODUCT(H92:L92,$H$9:$L$9))</f>
        <v/>
      </c>
      <c r="N92" s="32" t="str">
        <f aca="false">IF(M92="","",IF(M92&gt;=4,"A",IF(M92&gt;=3,"B",IF(M92&gt;=2,"C","D"))))</f>
        <v/>
      </c>
      <c r="O92" s="28"/>
      <c r="P92" s="29"/>
    </row>
    <row r="93" customFormat="false" ht="15" hidden="false" customHeight="false" outlineLevel="0" collapsed="false">
      <c r="A93" s="28"/>
      <c r="B93" s="29"/>
      <c r="C93" s="28"/>
      <c r="D93" s="28"/>
      <c r="E93" s="30"/>
      <c r="F93" s="28"/>
      <c r="G93" s="28"/>
      <c r="H93" s="28"/>
      <c r="I93" s="28"/>
      <c r="J93" s="28"/>
      <c r="K93" s="28"/>
      <c r="L93" s="28"/>
      <c r="M93" s="31" t="str">
        <f aca="false">IF(COUNTA(H93:L93)=0,"",SUMPRODUCT(H93:L93,$H$9:$L$9))</f>
        <v/>
      </c>
      <c r="N93" s="32" t="str">
        <f aca="false">IF(M93="","",IF(M93&gt;=4,"A",IF(M93&gt;=3,"B",IF(M93&gt;=2,"C","D"))))</f>
        <v/>
      </c>
      <c r="O93" s="28"/>
      <c r="P93" s="29"/>
    </row>
    <row r="94" customFormat="false" ht="15" hidden="false" customHeight="false" outlineLevel="0" collapsed="false">
      <c r="A94" s="28"/>
      <c r="B94" s="29"/>
      <c r="C94" s="28"/>
      <c r="D94" s="28"/>
      <c r="E94" s="30"/>
      <c r="F94" s="28"/>
      <c r="G94" s="28"/>
      <c r="H94" s="28"/>
      <c r="I94" s="28"/>
      <c r="J94" s="28"/>
      <c r="K94" s="28"/>
      <c r="L94" s="28"/>
      <c r="M94" s="31" t="str">
        <f aca="false">IF(COUNTA(H94:L94)=0,"",SUMPRODUCT(H94:L94,$H$9:$L$9))</f>
        <v/>
      </c>
      <c r="N94" s="32" t="str">
        <f aca="false">IF(M94="","",IF(M94&gt;=4,"A",IF(M94&gt;=3,"B",IF(M94&gt;=2,"C","D"))))</f>
        <v/>
      </c>
      <c r="O94" s="28"/>
      <c r="P94" s="29"/>
    </row>
    <row r="95" customFormat="false" ht="15" hidden="false" customHeight="false" outlineLevel="0" collapsed="false">
      <c r="A95" s="28"/>
      <c r="B95" s="29"/>
      <c r="C95" s="28"/>
      <c r="D95" s="28"/>
      <c r="E95" s="30"/>
      <c r="F95" s="28"/>
      <c r="G95" s="28"/>
      <c r="H95" s="28"/>
      <c r="I95" s="28"/>
      <c r="J95" s="28"/>
      <c r="K95" s="28"/>
      <c r="L95" s="28"/>
      <c r="M95" s="31" t="str">
        <f aca="false">IF(COUNTA(H95:L95)=0,"",SUMPRODUCT(H95:L95,$H$9:$L$9))</f>
        <v/>
      </c>
      <c r="N95" s="32" t="str">
        <f aca="false">IF(M95="","",IF(M95&gt;=4,"A",IF(M95&gt;=3,"B",IF(M95&gt;=2,"C","D"))))</f>
        <v/>
      </c>
      <c r="O95" s="28"/>
      <c r="P95" s="29"/>
    </row>
    <row r="96" customFormat="false" ht="15" hidden="false" customHeight="false" outlineLevel="0" collapsed="false">
      <c r="A96" s="28"/>
      <c r="B96" s="29"/>
      <c r="C96" s="28"/>
      <c r="D96" s="28"/>
      <c r="E96" s="30"/>
      <c r="F96" s="28"/>
      <c r="G96" s="28"/>
      <c r="H96" s="28"/>
      <c r="I96" s="28"/>
      <c r="J96" s="28"/>
      <c r="K96" s="28"/>
      <c r="L96" s="28"/>
      <c r="M96" s="31" t="str">
        <f aca="false">IF(COUNTA(H96:L96)=0,"",SUMPRODUCT(H96:L96,$H$9:$L$9))</f>
        <v/>
      </c>
      <c r="N96" s="32" t="str">
        <f aca="false">IF(M96="","",IF(M96&gt;=4,"A",IF(M96&gt;=3,"B",IF(M96&gt;=2,"C","D"))))</f>
        <v/>
      </c>
      <c r="O96" s="28"/>
      <c r="P96" s="29"/>
    </row>
    <row r="97" customFormat="false" ht="15" hidden="false" customHeight="false" outlineLevel="0" collapsed="false">
      <c r="A97" s="28"/>
      <c r="B97" s="29"/>
      <c r="C97" s="28"/>
      <c r="D97" s="28"/>
      <c r="E97" s="30"/>
      <c r="F97" s="28"/>
      <c r="G97" s="28"/>
      <c r="H97" s="28"/>
      <c r="I97" s="28"/>
      <c r="J97" s="28"/>
      <c r="K97" s="28"/>
      <c r="L97" s="28"/>
      <c r="M97" s="31" t="str">
        <f aca="false">IF(COUNTA(H97:L97)=0,"",SUMPRODUCT(H97:L97,$H$9:$L$9))</f>
        <v/>
      </c>
      <c r="N97" s="32" t="str">
        <f aca="false">IF(M97="","",IF(M97&gt;=4,"A",IF(M97&gt;=3,"B",IF(M97&gt;=2,"C","D"))))</f>
        <v/>
      </c>
      <c r="O97" s="28"/>
      <c r="P97" s="29"/>
    </row>
    <row r="98" customFormat="false" ht="15" hidden="false" customHeight="false" outlineLevel="0" collapsed="false">
      <c r="A98" s="28"/>
      <c r="B98" s="29"/>
      <c r="C98" s="28"/>
      <c r="D98" s="28"/>
      <c r="E98" s="30"/>
      <c r="F98" s="28"/>
      <c r="G98" s="28"/>
      <c r="H98" s="28"/>
      <c r="I98" s="28"/>
      <c r="J98" s="28"/>
      <c r="K98" s="28"/>
      <c r="L98" s="28"/>
      <c r="M98" s="31" t="str">
        <f aca="false">IF(COUNTA(H98:L98)=0,"",SUMPRODUCT(H98:L98,$H$9:$L$9))</f>
        <v/>
      </c>
      <c r="N98" s="32" t="str">
        <f aca="false">IF(M98="","",IF(M98&gt;=4,"A",IF(M98&gt;=3,"B",IF(M98&gt;=2,"C","D"))))</f>
        <v/>
      </c>
      <c r="O98" s="28"/>
      <c r="P98" s="29"/>
    </row>
    <row r="99" customFormat="false" ht="15" hidden="false" customHeight="false" outlineLevel="0" collapsed="false">
      <c r="A99" s="28"/>
      <c r="B99" s="29"/>
      <c r="C99" s="28"/>
      <c r="D99" s="28"/>
      <c r="E99" s="30"/>
      <c r="F99" s="28"/>
      <c r="G99" s="28"/>
      <c r="H99" s="28"/>
      <c r="I99" s="28"/>
      <c r="J99" s="28"/>
      <c r="K99" s="28"/>
      <c r="L99" s="28"/>
      <c r="M99" s="31" t="str">
        <f aca="false">IF(COUNTA(H99:L99)=0,"",SUMPRODUCT(H99:L99,$H$9:$L$9))</f>
        <v/>
      </c>
      <c r="N99" s="32" t="str">
        <f aca="false">IF(M99="","",IF(M99&gt;=4,"A",IF(M99&gt;=3,"B",IF(M99&gt;=2,"C","D"))))</f>
        <v/>
      </c>
      <c r="O99" s="28"/>
      <c r="P99" s="29"/>
    </row>
    <row r="100" customFormat="false" ht="15" hidden="false" customHeight="false" outlineLevel="0" collapsed="false">
      <c r="A100" s="28"/>
      <c r="B100" s="29"/>
      <c r="C100" s="28"/>
      <c r="D100" s="28"/>
      <c r="E100" s="30"/>
      <c r="F100" s="28"/>
      <c r="G100" s="28"/>
      <c r="H100" s="28"/>
      <c r="I100" s="28"/>
      <c r="J100" s="28"/>
      <c r="K100" s="28"/>
      <c r="L100" s="28"/>
      <c r="M100" s="31" t="str">
        <f aca="false">IF(COUNTA(H100:L100)=0,"",SUMPRODUCT(H100:L100,$H$9:$L$9))</f>
        <v/>
      </c>
      <c r="N100" s="32" t="str">
        <f aca="false">IF(M100="","",IF(M100&gt;=4,"A",IF(M100&gt;=3,"B",IF(M100&gt;=2,"C","D"))))</f>
        <v/>
      </c>
      <c r="O100" s="28"/>
      <c r="P100" s="29"/>
    </row>
    <row r="101" customFormat="false" ht="15" hidden="false" customHeight="false" outlineLevel="0" collapsed="false">
      <c r="A101" s="28"/>
      <c r="B101" s="29"/>
      <c r="C101" s="28"/>
      <c r="D101" s="28"/>
      <c r="E101" s="30"/>
      <c r="F101" s="28"/>
      <c r="G101" s="28"/>
      <c r="H101" s="28"/>
      <c r="I101" s="28"/>
      <c r="J101" s="28"/>
      <c r="K101" s="28"/>
      <c r="L101" s="28"/>
      <c r="M101" s="31" t="str">
        <f aca="false">IF(COUNTA(H101:L101)=0,"",SUMPRODUCT(H101:L101,$H$9:$L$9))</f>
        <v/>
      </c>
      <c r="N101" s="32" t="str">
        <f aca="false">IF(M101="","",IF(M101&gt;=4,"A",IF(M101&gt;=3,"B",IF(M101&gt;=2,"C","D"))))</f>
        <v/>
      </c>
      <c r="O101" s="28"/>
      <c r="P101" s="29"/>
    </row>
    <row r="102" customFormat="false" ht="15" hidden="false" customHeight="false" outlineLevel="0" collapsed="false">
      <c r="A102" s="28"/>
      <c r="B102" s="29"/>
      <c r="C102" s="28"/>
      <c r="D102" s="28"/>
      <c r="E102" s="30"/>
      <c r="F102" s="28"/>
      <c r="G102" s="28"/>
      <c r="H102" s="28"/>
      <c r="I102" s="28"/>
      <c r="J102" s="28"/>
      <c r="K102" s="28"/>
      <c r="L102" s="28"/>
      <c r="M102" s="31" t="str">
        <f aca="false">IF(COUNTA(H102:L102)=0,"",SUMPRODUCT(H102:L102,$H$9:$L$9))</f>
        <v/>
      </c>
      <c r="N102" s="32" t="str">
        <f aca="false">IF(M102="","",IF(M102&gt;=4,"A",IF(M102&gt;=3,"B",IF(M102&gt;=2,"C","D"))))</f>
        <v/>
      </c>
      <c r="O102" s="28"/>
      <c r="P102" s="29"/>
    </row>
    <row r="103" customFormat="false" ht="15" hidden="false" customHeight="false" outlineLevel="0" collapsed="false">
      <c r="A103" s="28"/>
      <c r="B103" s="29"/>
      <c r="C103" s="28"/>
      <c r="D103" s="28"/>
      <c r="E103" s="30"/>
      <c r="F103" s="28"/>
      <c r="G103" s="28"/>
      <c r="H103" s="28"/>
      <c r="I103" s="28"/>
      <c r="J103" s="28"/>
      <c r="K103" s="28"/>
      <c r="L103" s="28"/>
      <c r="M103" s="31" t="str">
        <f aca="false">IF(COUNTA(H103:L103)=0,"",SUMPRODUCT(H103:L103,$H$9:$L$9))</f>
        <v/>
      </c>
      <c r="N103" s="32" t="str">
        <f aca="false">IF(M103="","",IF(M103&gt;=4,"A",IF(M103&gt;=3,"B",IF(M103&gt;=2,"C","D"))))</f>
        <v/>
      </c>
      <c r="O103" s="28"/>
      <c r="P103" s="29"/>
    </row>
    <row r="104" customFormat="false" ht="15" hidden="false" customHeight="false" outlineLevel="0" collapsed="false">
      <c r="A104" s="28"/>
      <c r="B104" s="29"/>
      <c r="C104" s="28"/>
      <c r="D104" s="28"/>
      <c r="E104" s="30"/>
      <c r="F104" s="28"/>
      <c r="G104" s="28"/>
      <c r="H104" s="28"/>
      <c r="I104" s="28"/>
      <c r="J104" s="28"/>
      <c r="K104" s="28"/>
      <c r="L104" s="28"/>
      <c r="M104" s="31" t="str">
        <f aca="false">IF(COUNTA(H104:L104)=0,"",SUMPRODUCT(H104:L104,$H$9:$L$9))</f>
        <v/>
      </c>
      <c r="N104" s="32" t="str">
        <f aca="false">IF(M104="","",IF(M104&gt;=4,"A",IF(M104&gt;=3,"B",IF(M104&gt;=2,"C","D"))))</f>
        <v/>
      </c>
      <c r="O104" s="28"/>
      <c r="P104" s="29"/>
    </row>
    <row r="105" customFormat="false" ht="15" hidden="false" customHeight="false" outlineLevel="0" collapsed="false">
      <c r="A105" s="28"/>
      <c r="B105" s="29"/>
      <c r="C105" s="28"/>
      <c r="D105" s="28"/>
      <c r="E105" s="30"/>
      <c r="F105" s="28"/>
      <c r="G105" s="28"/>
      <c r="H105" s="28"/>
      <c r="I105" s="28"/>
      <c r="J105" s="28"/>
      <c r="K105" s="28"/>
      <c r="L105" s="28"/>
      <c r="M105" s="31" t="str">
        <f aca="false">IF(COUNTA(H105:L105)=0,"",SUMPRODUCT(H105:L105,$H$9:$L$9))</f>
        <v/>
      </c>
      <c r="N105" s="32" t="str">
        <f aca="false">IF(M105="","",IF(M105&gt;=4,"A",IF(M105&gt;=3,"B",IF(M105&gt;=2,"C","D"))))</f>
        <v/>
      </c>
      <c r="O105" s="28"/>
      <c r="P105" s="29"/>
    </row>
    <row r="106" customFormat="false" ht="15" hidden="false" customHeight="false" outlineLevel="0" collapsed="false">
      <c r="A106" s="28"/>
      <c r="B106" s="29"/>
      <c r="C106" s="28"/>
      <c r="D106" s="28"/>
      <c r="E106" s="30"/>
      <c r="F106" s="28"/>
      <c r="G106" s="28"/>
      <c r="H106" s="28"/>
      <c r="I106" s="28"/>
      <c r="J106" s="28"/>
      <c r="K106" s="28"/>
      <c r="L106" s="28"/>
      <c r="M106" s="31" t="str">
        <f aca="false">IF(COUNTA(H106:L106)=0,"",SUMPRODUCT(H106:L106,$H$9:$L$9))</f>
        <v/>
      </c>
      <c r="N106" s="32" t="str">
        <f aca="false">IF(M106="","",IF(M106&gt;=4,"A",IF(M106&gt;=3,"B",IF(M106&gt;=2,"C","D"))))</f>
        <v/>
      </c>
      <c r="O106" s="28"/>
      <c r="P106" s="29"/>
    </row>
    <row r="107" customFormat="false" ht="15" hidden="false" customHeight="false" outlineLevel="0" collapsed="false">
      <c r="A107" s="28"/>
      <c r="B107" s="29"/>
      <c r="C107" s="28"/>
      <c r="D107" s="28"/>
      <c r="E107" s="30"/>
      <c r="F107" s="28"/>
      <c r="G107" s="28"/>
      <c r="H107" s="28"/>
      <c r="I107" s="28"/>
      <c r="J107" s="28"/>
      <c r="K107" s="28"/>
      <c r="L107" s="28"/>
      <c r="M107" s="31" t="str">
        <f aca="false">IF(COUNTA(H107:L107)=0,"",SUMPRODUCT(H107:L107,$H$9:$L$9))</f>
        <v/>
      </c>
      <c r="N107" s="32" t="str">
        <f aca="false">IF(M107="","",IF(M107&gt;=4,"A",IF(M107&gt;=3,"B",IF(M107&gt;=2,"C","D"))))</f>
        <v/>
      </c>
      <c r="O107" s="28"/>
      <c r="P107" s="29"/>
    </row>
    <row r="108" customFormat="false" ht="15" hidden="false" customHeight="false" outlineLevel="0" collapsed="false">
      <c r="A108" s="28"/>
      <c r="B108" s="29"/>
      <c r="C108" s="28"/>
      <c r="D108" s="28"/>
      <c r="E108" s="30"/>
      <c r="F108" s="28"/>
      <c r="G108" s="28"/>
      <c r="H108" s="28"/>
      <c r="I108" s="28"/>
      <c r="J108" s="28"/>
      <c r="K108" s="28"/>
      <c r="L108" s="28"/>
      <c r="M108" s="31" t="str">
        <f aca="false">IF(COUNTA(H108:L108)=0,"",SUMPRODUCT(H108:L108,$H$9:$L$9))</f>
        <v/>
      </c>
      <c r="N108" s="32" t="str">
        <f aca="false">IF(M108="","",IF(M108&gt;=4,"A",IF(M108&gt;=3,"B",IF(M108&gt;=2,"C","D"))))</f>
        <v/>
      </c>
      <c r="O108" s="28"/>
      <c r="P108" s="29"/>
    </row>
    <row r="109" customFormat="false" ht="15" hidden="false" customHeight="false" outlineLevel="0" collapsed="false">
      <c r="A109" s="28"/>
      <c r="B109" s="29"/>
      <c r="C109" s="28"/>
      <c r="D109" s="28"/>
      <c r="E109" s="30"/>
      <c r="F109" s="28"/>
      <c r="G109" s="28"/>
      <c r="H109" s="28"/>
      <c r="I109" s="28"/>
      <c r="J109" s="28"/>
      <c r="K109" s="28"/>
      <c r="L109" s="28"/>
      <c r="M109" s="31" t="str">
        <f aca="false">IF(COUNTA(H109:L109)=0,"",SUMPRODUCT(H109:L109,$H$9:$L$9))</f>
        <v/>
      </c>
      <c r="N109" s="32" t="str">
        <f aca="false">IF(M109="","",IF(M109&gt;=4,"A",IF(M109&gt;=3,"B",IF(M109&gt;=2,"C","D"))))</f>
        <v/>
      </c>
      <c r="O109" s="28"/>
      <c r="P109" s="29"/>
    </row>
    <row r="110" customFormat="false" ht="15" hidden="false" customHeight="false" outlineLevel="0" collapsed="false">
      <c r="A110" s="28"/>
      <c r="B110" s="29"/>
      <c r="C110" s="28"/>
      <c r="D110" s="28"/>
      <c r="E110" s="30"/>
      <c r="F110" s="28"/>
      <c r="G110" s="28"/>
      <c r="H110" s="28"/>
      <c r="I110" s="28"/>
      <c r="J110" s="28"/>
      <c r="K110" s="28"/>
      <c r="L110" s="28"/>
      <c r="M110" s="31" t="str">
        <f aca="false">IF(COUNTA(H110:L110)=0,"",SUMPRODUCT(H110:L110,$H$9:$L$9))</f>
        <v/>
      </c>
      <c r="N110" s="32" t="str">
        <f aca="false">IF(M110="","",IF(M110&gt;=4,"A",IF(M110&gt;=3,"B",IF(M110&gt;=2,"C","D"))))</f>
        <v/>
      </c>
      <c r="O110" s="28"/>
      <c r="P110" s="29"/>
    </row>
    <row r="111" customFormat="false" ht="15" hidden="false" customHeight="false" outlineLevel="0" collapsed="false">
      <c r="A111" s="28"/>
      <c r="B111" s="29"/>
      <c r="C111" s="28"/>
      <c r="D111" s="28"/>
      <c r="E111" s="30"/>
      <c r="F111" s="28"/>
      <c r="G111" s="28"/>
      <c r="H111" s="28"/>
      <c r="I111" s="28"/>
      <c r="J111" s="28"/>
      <c r="K111" s="28"/>
      <c r="L111" s="28"/>
      <c r="M111" s="31" t="str">
        <f aca="false">IF(COUNTA(H111:L111)=0,"",SUMPRODUCT(H111:L111,$H$9:$L$9))</f>
        <v/>
      </c>
      <c r="N111" s="32" t="str">
        <f aca="false">IF(M111="","",IF(M111&gt;=4,"A",IF(M111&gt;=3,"B",IF(M111&gt;=2,"C","D"))))</f>
        <v/>
      </c>
      <c r="O111" s="28"/>
      <c r="P111" s="29"/>
    </row>
    <row r="112" customFormat="false" ht="15" hidden="false" customHeight="false" outlineLevel="0" collapsed="false">
      <c r="A112" s="28"/>
      <c r="B112" s="29"/>
      <c r="C112" s="28"/>
      <c r="D112" s="28"/>
      <c r="E112" s="30"/>
      <c r="F112" s="28"/>
      <c r="G112" s="28"/>
      <c r="H112" s="28"/>
      <c r="I112" s="28"/>
      <c r="J112" s="28"/>
      <c r="K112" s="28"/>
      <c r="L112" s="28"/>
      <c r="M112" s="31" t="str">
        <f aca="false">IF(COUNTA(H112:L112)=0,"",SUMPRODUCT(H112:L112,$H$9:$L$9))</f>
        <v/>
      </c>
      <c r="N112" s="32" t="str">
        <f aca="false">IF(M112="","",IF(M112&gt;=4,"A",IF(M112&gt;=3,"B",IF(M112&gt;=2,"C","D"))))</f>
        <v/>
      </c>
      <c r="O112" s="28"/>
      <c r="P112" s="29"/>
    </row>
    <row r="113" customFormat="false" ht="15" hidden="false" customHeight="false" outlineLevel="0" collapsed="false">
      <c r="A113" s="28"/>
      <c r="B113" s="29"/>
      <c r="C113" s="28"/>
      <c r="D113" s="28"/>
      <c r="E113" s="30"/>
      <c r="F113" s="28"/>
      <c r="G113" s="28"/>
      <c r="H113" s="28"/>
      <c r="I113" s="28"/>
      <c r="J113" s="28"/>
      <c r="K113" s="28"/>
      <c r="L113" s="28"/>
      <c r="M113" s="31" t="str">
        <f aca="false">IF(COUNTA(H113:L113)=0,"",SUMPRODUCT(H113:L113,$H$9:$L$9))</f>
        <v/>
      </c>
      <c r="N113" s="32" t="str">
        <f aca="false">IF(M113="","",IF(M113&gt;=4,"A",IF(M113&gt;=3,"B",IF(M113&gt;=2,"C","D"))))</f>
        <v/>
      </c>
      <c r="O113" s="28"/>
      <c r="P113" s="29"/>
    </row>
    <row r="114" customFormat="false" ht="15" hidden="false" customHeight="false" outlineLevel="0" collapsed="false">
      <c r="A114" s="28"/>
      <c r="B114" s="29"/>
      <c r="C114" s="28"/>
      <c r="D114" s="28"/>
      <c r="E114" s="30"/>
      <c r="F114" s="28"/>
      <c r="G114" s="28"/>
      <c r="H114" s="28"/>
      <c r="I114" s="28"/>
      <c r="J114" s="28"/>
      <c r="K114" s="28"/>
      <c r="L114" s="28"/>
      <c r="M114" s="31" t="str">
        <f aca="false">IF(COUNTA(H114:L114)=0,"",SUMPRODUCT(H114:L114,$H$9:$L$9))</f>
        <v/>
      </c>
      <c r="N114" s="32" t="str">
        <f aca="false">IF(M114="","",IF(M114&gt;=4,"A",IF(M114&gt;=3,"B",IF(M114&gt;=2,"C","D"))))</f>
        <v/>
      </c>
      <c r="O114" s="28"/>
      <c r="P114" s="29"/>
    </row>
    <row r="115" customFormat="false" ht="15" hidden="false" customHeight="false" outlineLevel="0" collapsed="false">
      <c r="A115" s="28"/>
      <c r="B115" s="29"/>
      <c r="C115" s="28"/>
      <c r="D115" s="28"/>
      <c r="E115" s="30"/>
      <c r="F115" s="28"/>
      <c r="G115" s="28"/>
      <c r="H115" s="28"/>
      <c r="I115" s="28"/>
      <c r="J115" s="28"/>
      <c r="K115" s="28"/>
      <c r="L115" s="28"/>
      <c r="M115" s="31" t="str">
        <f aca="false">IF(COUNTA(H115:L115)=0,"",SUMPRODUCT(H115:L115,$H$9:$L$9))</f>
        <v/>
      </c>
      <c r="N115" s="32" t="str">
        <f aca="false">IF(M115="","",IF(M115&gt;=4,"A",IF(M115&gt;=3,"B",IF(M115&gt;=2,"C","D"))))</f>
        <v/>
      </c>
      <c r="O115" s="28"/>
      <c r="P115" s="29"/>
    </row>
    <row r="116" customFormat="false" ht="15" hidden="false" customHeight="false" outlineLevel="0" collapsed="false">
      <c r="A116" s="28"/>
      <c r="B116" s="29"/>
      <c r="C116" s="28"/>
      <c r="D116" s="28"/>
      <c r="E116" s="30"/>
      <c r="F116" s="28"/>
      <c r="G116" s="28"/>
      <c r="H116" s="28"/>
      <c r="I116" s="28"/>
      <c r="J116" s="28"/>
      <c r="K116" s="28"/>
      <c r="L116" s="28"/>
      <c r="M116" s="31" t="str">
        <f aca="false">IF(COUNTA(H116:L116)=0,"",SUMPRODUCT(H116:L116,$H$9:$L$9))</f>
        <v/>
      </c>
      <c r="N116" s="32" t="str">
        <f aca="false">IF(M116="","",IF(M116&gt;=4,"A",IF(M116&gt;=3,"B",IF(M116&gt;=2,"C","D"))))</f>
        <v/>
      </c>
      <c r="O116" s="28"/>
      <c r="P116" s="29"/>
    </row>
    <row r="117" customFormat="false" ht="15" hidden="false" customHeight="false" outlineLevel="0" collapsed="false">
      <c r="A117" s="28"/>
      <c r="B117" s="29"/>
      <c r="C117" s="28"/>
      <c r="D117" s="28"/>
      <c r="E117" s="30"/>
      <c r="F117" s="28"/>
      <c r="G117" s="28"/>
      <c r="H117" s="28"/>
      <c r="I117" s="28"/>
      <c r="J117" s="28"/>
      <c r="K117" s="28"/>
      <c r="L117" s="28"/>
      <c r="M117" s="31" t="str">
        <f aca="false">IF(COUNTA(H117:L117)=0,"",SUMPRODUCT(H117:L117,$H$9:$L$9))</f>
        <v/>
      </c>
      <c r="N117" s="32" t="str">
        <f aca="false">IF(M117="","",IF(M117&gt;=4,"A",IF(M117&gt;=3,"B",IF(M117&gt;=2,"C","D"))))</f>
        <v/>
      </c>
      <c r="O117" s="28"/>
      <c r="P117" s="29"/>
    </row>
    <row r="118" customFormat="false" ht="15" hidden="false" customHeight="false" outlineLevel="0" collapsed="false">
      <c r="A118" s="28"/>
      <c r="B118" s="29"/>
      <c r="C118" s="28"/>
      <c r="D118" s="28"/>
      <c r="E118" s="30"/>
      <c r="F118" s="28"/>
      <c r="G118" s="28"/>
      <c r="H118" s="28"/>
      <c r="I118" s="28"/>
      <c r="J118" s="28"/>
      <c r="K118" s="28"/>
      <c r="L118" s="28"/>
      <c r="M118" s="31" t="str">
        <f aca="false">IF(COUNTA(H118:L118)=0,"",SUMPRODUCT(H118:L118,$H$9:$L$9))</f>
        <v/>
      </c>
      <c r="N118" s="32" t="str">
        <f aca="false">IF(M118="","",IF(M118&gt;=4,"A",IF(M118&gt;=3,"B",IF(M118&gt;=2,"C","D"))))</f>
        <v/>
      </c>
      <c r="O118" s="28"/>
      <c r="P118" s="29"/>
    </row>
    <row r="119" customFormat="false" ht="15" hidden="false" customHeight="false" outlineLevel="0" collapsed="false">
      <c r="A119" s="28"/>
      <c r="B119" s="29"/>
      <c r="C119" s="28"/>
      <c r="D119" s="28"/>
      <c r="E119" s="30"/>
      <c r="F119" s="28"/>
      <c r="G119" s="28"/>
      <c r="H119" s="28"/>
      <c r="I119" s="28"/>
      <c r="J119" s="28"/>
      <c r="K119" s="28"/>
      <c r="L119" s="28"/>
      <c r="M119" s="31" t="str">
        <f aca="false">IF(COUNTA(H119:L119)=0,"",SUMPRODUCT(H119:L119,$H$9:$L$9))</f>
        <v/>
      </c>
      <c r="N119" s="32" t="str">
        <f aca="false">IF(M119="","",IF(M119&gt;=4,"A",IF(M119&gt;=3,"B",IF(M119&gt;=2,"C","D"))))</f>
        <v/>
      </c>
      <c r="O119" s="28"/>
      <c r="P119" s="29"/>
    </row>
    <row r="120" customFormat="false" ht="15" hidden="false" customHeight="false" outlineLevel="0" collapsed="false">
      <c r="A120" s="28"/>
      <c r="B120" s="29"/>
      <c r="C120" s="28"/>
      <c r="D120" s="28"/>
      <c r="E120" s="30"/>
      <c r="F120" s="28"/>
      <c r="G120" s="28"/>
      <c r="H120" s="28"/>
      <c r="I120" s="28"/>
      <c r="J120" s="28"/>
      <c r="K120" s="28"/>
      <c r="L120" s="28"/>
      <c r="M120" s="31" t="str">
        <f aca="false">IF(COUNTA(H120:L120)=0,"",SUMPRODUCT(H120:L120,$H$9:$L$9))</f>
        <v/>
      </c>
      <c r="N120" s="32" t="str">
        <f aca="false">IF(M120="","",IF(M120&gt;=4,"A",IF(M120&gt;=3,"B",IF(M120&gt;=2,"C","D"))))</f>
        <v/>
      </c>
      <c r="O120" s="28"/>
      <c r="P120" s="29"/>
    </row>
    <row r="121" customFormat="false" ht="15" hidden="false" customHeight="false" outlineLevel="0" collapsed="false">
      <c r="A121" s="28"/>
      <c r="B121" s="29"/>
      <c r="C121" s="28"/>
      <c r="D121" s="28"/>
      <c r="E121" s="30"/>
      <c r="F121" s="28"/>
      <c r="G121" s="28"/>
      <c r="H121" s="28"/>
      <c r="I121" s="28"/>
      <c r="J121" s="28"/>
      <c r="K121" s="28"/>
      <c r="L121" s="28"/>
      <c r="M121" s="31" t="str">
        <f aca="false">IF(COUNTA(H121:L121)=0,"",SUMPRODUCT(H121:L121,$H$9:$L$9))</f>
        <v/>
      </c>
      <c r="N121" s="32" t="str">
        <f aca="false">IF(M121="","",IF(M121&gt;=4,"A",IF(M121&gt;=3,"B",IF(M121&gt;=2,"C","D"))))</f>
        <v/>
      </c>
      <c r="O121" s="28"/>
      <c r="P121" s="29"/>
    </row>
    <row r="122" customFormat="false" ht="15" hidden="false" customHeight="false" outlineLevel="0" collapsed="false">
      <c r="A122" s="28"/>
      <c r="B122" s="29"/>
      <c r="C122" s="28"/>
      <c r="D122" s="28"/>
      <c r="E122" s="30"/>
      <c r="F122" s="28"/>
      <c r="G122" s="28"/>
      <c r="H122" s="28"/>
      <c r="I122" s="28"/>
      <c r="J122" s="28"/>
      <c r="K122" s="28"/>
      <c r="L122" s="28"/>
      <c r="M122" s="31" t="str">
        <f aca="false">IF(COUNTA(H122:L122)=0,"",SUMPRODUCT(H122:L122,$H$9:$L$9))</f>
        <v/>
      </c>
      <c r="N122" s="32" t="str">
        <f aca="false">IF(M122="","",IF(M122&gt;=4,"A",IF(M122&gt;=3,"B",IF(M122&gt;=2,"C","D"))))</f>
        <v/>
      </c>
      <c r="O122" s="28"/>
      <c r="P122" s="29"/>
    </row>
    <row r="123" customFormat="false" ht="15" hidden="false" customHeight="false" outlineLevel="0" collapsed="false">
      <c r="A123" s="28"/>
      <c r="B123" s="29"/>
      <c r="C123" s="28"/>
      <c r="D123" s="28"/>
      <c r="E123" s="30"/>
      <c r="F123" s="28"/>
      <c r="G123" s="28"/>
      <c r="H123" s="28"/>
      <c r="I123" s="28"/>
      <c r="J123" s="28"/>
      <c r="K123" s="28"/>
      <c r="L123" s="28"/>
      <c r="M123" s="31" t="str">
        <f aca="false">IF(COUNTA(H123:L123)=0,"",SUMPRODUCT(H123:L123,$H$9:$L$9))</f>
        <v/>
      </c>
      <c r="N123" s="32" t="str">
        <f aca="false">IF(M123="","",IF(M123&gt;=4,"A",IF(M123&gt;=3,"B",IF(M123&gt;=2,"C","D"))))</f>
        <v/>
      </c>
      <c r="O123" s="28"/>
      <c r="P123" s="29"/>
    </row>
    <row r="124" customFormat="false" ht="15" hidden="false" customHeight="false" outlineLevel="0" collapsed="false">
      <c r="A124" s="28"/>
      <c r="B124" s="29"/>
      <c r="C124" s="28"/>
      <c r="D124" s="28"/>
      <c r="E124" s="30"/>
      <c r="F124" s="28"/>
      <c r="G124" s="28"/>
      <c r="H124" s="28"/>
      <c r="I124" s="28"/>
      <c r="J124" s="28"/>
      <c r="K124" s="28"/>
      <c r="L124" s="28"/>
      <c r="M124" s="31" t="str">
        <f aca="false">IF(COUNTA(H124:L124)=0,"",SUMPRODUCT(H124:L124,$H$9:$L$9))</f>
        <v/>
      </c>
      <c r="N124" s="32" t="str">
        <f aca="false">IF(M124="","",IF(M124&gt;=4,"A",IF(M124&gt;=3,"B",IF(M124&gt;=2,"C","D"))))</f>
        <v/>
      </c>
      <c r="O124" s="28"/>
      <c r="P124" s="29"/>
    </row>
    <row r="125" customFormat="false" ht="15" hidden="false" customHeight="false" outlineLevel="0" collapsed="false">
      <c r="A125" s="28"/>
      <c r="B125" s="29"/>
      <c r="C125" s="28"/>
      <c r="D125" s="28"/>
      <c r="E125" s="30"/>
      <c r="F125" s="28"/>
      <c r="G125" s="28"/>
      <c r="H125" s="28"/>
      <c r="I125" s="28"/>
      <c r="J125" s="28"/>
      <c r="K125" s="28"/>
      <c r="L125" s="28"/>
      <c r="M125" s="31" t="str">
        <f aca="false">IF(COUNTA(H125:L125)=0,"",SUMPRODUCT(H125:L125,$H$9:$L$9))</f>
        <v/>
      </c>
      <c r="N125" s="32" t="str">
        <f aca="false">IF(M125="","",IF(M125&gt;=4,"A",IF(M125&gt;=3,"B",IF(M125&gt;=2,"C","D"))))</f>
        <v/>
      </c>
      <c r="O125" s="28"/>
      <c r="P125" s="29"/>
    </row>
    <row r="126" customFormat="false" ht="15" hidden="false" customHeight="false" outlineLevel="0" collapsed="false">
      <c r="A126" s="28"/>
      <c r="B126" s="29"/>
      <c r="C126" s="28"/>
      <c r="D126" s="28"/>
      <c r="E126" s="30"/>
      <c r="F126" s="28"/>
      <c r="G126" s="28"/>
      <c r="H126" s="28"/>
      <c r="I126" s="28"/>
      <c r="J126" s="28"/>
      <c r="K126" s="28"/>
      <c r="L126" s="28"/>
      <c r="M126" s="31" t="str">
        <f aca="false">IF(COUNTA(H126:L126)=0,"",SUMPRODUCT(H126:L126,$H$9:$L$9))</f>
        <v/>
      </c>
      <c r="N126" s="32" t="str">
        <f aca="false">IF(M126="","",IF(M126&gt;=4,"A",IF(M126&gt;=3,"B",IF(M126&gt;=2,"C","D"))))</f>
        <v/>
      </c>
      <c r="O126" s="28"/>
      <c r="P126" s="29"/>
    </row>
    <row r="127" customFormat="false" ht="15" hidden="false" customHeight="false" outlineLevel="0" collapsed="false">
      <c r="A127" s="28"/>
      <c r="B127" s="29"/>
      <c r="C127" s="28"/>
      <c r="D127" s="28"/>
      <c r="E127" s="30"/>
      <c r="F127" s="28"/>
      <c r="G127" s="28"/>
      <c r="H127" s="28"/>
      <c r="I127" s="28"/>
      <c r="J127" s="28"/>
      <c r="K127" s="28"/>
      <c r="L127" s="28"/>
      <c r="M127" s="31" t="str">
        <f aca="false">IF(COUNTA(H127:L127)=0,"",SUMPRODUCT(H127:L127,$H$9:$L$9))</f>
        <v/>
      </c>
      <c r="N127" s="32" t="str">
        <f aca="false">IF(M127="","",IF(M127&gt;=4,"A",IF(M127&gt;=3,"B",IF(M127&gt;=2,"C","D"))))</f>
        <v/>
      </c>
      <c r="O127" s="28"/>
      <c r="P127" s="29"/>
    </row>
    <row r="128" customFormat="false" ht="15" hidden="false" customHeight="false" outlineLevel="0" collapsed="false">
      <c r="A128" s="28"/>
      <c r="B128" s="29"/>
      <c r="C128" s="28"/>
      <c r="D128" s="28"/>
      <c r="E128" s="30"/>
      <c r="F128" s="28"/>
      <c r="G128" s="28"/>
      <c r="H128" s="28"/>
      <c r="I128" s="28"/>
      <c r="J128" s="28"/>
      <c r="K128" s="28"/>
      <c r="L128" s="28"/>
      <c r="M128" s="31" t="str">
        <f aca="false">IF(COUNTA(H128:L128)=0,"",SUMPRODUCT(H128:L128,$H$9:$L$9))</f>
        <v/>
      </c>
      <c r="N128" s="32" t="str">
        <f aca="false">IF(M128="","",IF(M128&gt;=4,"A",IF(M128&gt;=3,"B",IF(M128&gt;=2,"C","D"))))</f>
        <v/>
      </c>
      <c r="O128" s="28"/>
      <c r="P128" s="29"/>
    </row>
    <row r="129" customFormat="false" ht="15" hidden="false" customHeight="false" outlineLevel="0" collapsed="false">
      <c r="A129" s="28"/>
      <c r="B129" s="29"/>
      <c r="C129" s="28"/>
      <c r="D129" s="28"/>
      <c r="E129" s="30"/>
      <c r="F129" s="28"/>
      <c r="G129" s="28"/>
      <c r="H129" s="28"/>
      <c r="I129" s="28"/>
      <c r="J129" s="28"/>
      <c r="K129" s="28"/>
      <c r="L129" s="28"/>
      <c r="M129" s="31" t="str">
        <f aca="false">IF(COUNTA(H129:L129)=0,"",SUMPRODUCT(H129:L129,$H$9:$L$9))</f>
        <v/>
      </c>
      <c r="N129" s="32" t="str">
        <f aca="false">IF(M129="","",IF(M129&gt;=4,"A",IF(M129&gt;=3,"B",IF(M129&gt;=2,"C","D"))))</f>
        <v/>
      </c>
      <c r="O129" s="28"/>
      <c r="P129" s="29"/>
    </row>
    <row r="130" customFormat="false" ht="15" hidden="false" customHeight="false" outlineLevel="0" collapsed="false">
      <c r="A130" s="28"/>
      <c r="B130" s="29"/>
      <c r="C130" s="28"/>
      <c r="D130" s="28"/>
      <c r="E130" s="30"/>
      <c r="F130" s="28"/>
      <c r="G130" s="28"/>
      <c r="H130" s="28"/>
      <c r="I130" s="28"/>
      <c r="J130" s="28"/>
      <c r="K130" s="28"/>
      <c r="L130" s="28"/>
      <c r="M130" s="31" t="str">
        <f aca="false">IF(COUNTA(H130:L130)=0,"",SUMPRODUCT(H130:L130,$H$9:$L$9))</f>
        <v/>
      </c>
      <c r="N130" s="32" t="str">
        <f aca="false">IF(M130="","",IF(M130&gt;=4,"A",IF(M130&gt;=3,"B",IF(M130&gt;=2,"C","D"))))</f>
        <v/>
      </c>
      <c r="O130" s="28"/>
      <c r="P130" s="29"/>
    </row>
    <row r="131" customFormat="false" ht="15" hidden="false" customHeight="false" outlineLevel="0" collapsed="false">
      <c r="A131" s="28"/>
      <c r="B131" s="29"/>
      <c r="C131" s="28"/>
      <c r="D131" s="28"/>
      <c r="E131" s="30"/>
      <c r="F131" s="28"/>
      <c r="G131" s="28"/>
      <c r="H131" s="28"/>
      <c r="I131" s="28"/>
      <c r="J131" s="28"/>
      <c r="K131" s="28"/>
      <c r="L131" s="28"/>
      <c r="M131" s="31" t="str">
        <f aca="false">IF(COUNTA(H131:L131)=0,"",SUMPRODUCT(H131:L131,$H$9:$L$9))</f>
        <v/>
      </c>
      <c r="N131" s="32" t="str">
        <f aca="false">IF(M131="","",IF(M131&gt;=4,"A",IF(M131&gt;=3,"B",IF(M131&gt;=2,"C","D"))))</f>
        <v/>
      </c>
      <c r="O131" s="28"/>
      <c r="P131" s="29"/>
    </row>
    <row r="132" customFormat="false" ht="15" hidden="false" customHeight="false" outlineLevel="0" collapsed="false">
      <c r="A132" s="28"/>
      <c r="B132" s="29"/>
      <c r="C132" s="28"/>
      <c r="D132" s="28"/>
      <c r="E132" s="30"/>
      <c r="F132" s="28"/>
      <c r="G132" s="28"/>
      <c r="H132" s="28"/>
      <c r="I132" s="28"/>
      <c r="J132" s="28"/>
      <c r="K132" s="28"/>
      <c r="L132" s="28"/>
      <c r="M132" s="31" t="str">
        <f aca="false">IF(COUNTA(H132:L132)=0,"",SUMPRODUCT(H132:L132,$H$9:$L$9))</f>
        <v/>
      </c>
      <c r="N132" s="32" t="str">
        <f aca="false">IF(M132="","",IF(M132&gt;=4,"A",IF(M132&gt;=3,"B",IF(M132&gt;=2,"C","D"))))</f>
        <v/>
      </c>
      <c r="O132" s="28"/>
      <c r="P132" s="29"/>
    </row>
    <row r="133" customFormat="false" ht="15" hidden="false" customHeight="false" outlineLevel="0" collapsed="false">
      <c r="A133" s="28"/>
      <c r="B133" s="29"/>
      <c r="C133" s="28"/>
      <c r="D133" s="28"/>
      <c r="E133" s="30"/>
      <c r="F133" s="28"/>
      <c r="G133" s="28"/>
      <c r="H133" s="28"/>
      <c r="I133" s="28"/>
      <c r="J133" s="28"/>
      <c r="K133" s="28"/>
      <c r="L133" s="28"/>
      <c r="M133" s="31" t="str">
        <f aca="false">IF(COUNTA(H133:L133)=0,"",SUMPRODUCT(H133:L133,$H$9:$L$9))</f>
        <v/>
      </c>
      <c r="N133" s="32" t="str">
        <f aca="false">IF(M133="","",IF(M133&gt;=4,"A",IF(M133&gt;=3,"B",IF(M133&gt;=2,"C","D"))))</f>
        <v/>
      </c>
      <c r="O133" s="28"/>
      <c r="P133" s="29"/>
    </row>
    <row r="134" customFormat="false" ht="15" hidden="false" customHeight="false" outlineLevel="0" collapsed="false">
      <c r="A134" s="28"/>
      <c r="B134" s="29"/>
      <c r="C134" s="28"/>
      <c r="D134" s="28"/>
      <c r="E134" s="30"/>
      <c r="F134" s="28"/>
      <c r="G134" s="28"/>
      <c r="H134" s="28"/>
      <c r="I134" s="28"/>
      <c r="J134" s="28"/>
      <c r="K134" s="28"/>
      <c r="L134" s="28"/>
      <c r="M134" s="31" t="str">
        <f aca="false">IF(COUNTA(H134:L134)=0,"",SUMPRODUCT(H134:L134,$H$9:$L$9))</f>
        <v/>
      </c>
      <c r="N134" s="32" t="str">
        <f aca="false">IF(M134="","",IF(M134&gt;=4,"A",IF(M134&gt;=3,"B",IF(M134&gt;=2,"C","D"))))</f>
        <v/>
      </c>
      <c r="O134" s="28"/>
      <c r="P134" s="29"/>
    </row>
    <row r="135" customFormat="false" ht="15" hidden="false" customHeight="false" outlineLevel="0" collapsed="false">
      <c r="A135" s="28"/>
      <c r="B135" s="29"/>
      <c r="C135" s="28"/>
      <c r="D135" s="28"/>
      <c r="E135" s="30"/>
      <c r="F135" s="28"/>
      <c r="G135" s="28"/>
      <c r="H135" s="28"/>
      <c r="I135" s="28"/>
      <c r="J135" s="28"/>
      <c r="K135" s="28"/>
      <c r="L135" s="28"/>
      <c r="M135" s="31" t="str">
        <f aca="false">IF(COUNTA(H135:L135)=0,"",SUMPRODUCT(H135:L135,$H$9:$L$9))</f>
        <v/>
      </c>
      <c r="N135" s="32" t="str">
        <f aca="false">IF(M135="","",IF(M135&gt;=4,"A",IF(M135&gt;=3,"B",IF(M135&gt;=2,"C","D"))))</f>
        <v/>
      </c>
      <c r="O135" s="28"/>
      <c r="P135" s="29"/>
    </row>
    <row r="136" customFormat="false" ht="15" hidden="false" customHeight="false" outlineLevel="0" collapsed="false">
      <c r="A136" s="28"/>
      <c r="B136" s="29"/>
      <c r="C136" s="28"/>
      <c r="D136" s="28"/>
      <c r="E136" s="30"/>
      <c r="F136" s="28"/>
      <c r="G136" s="28"/>
      <c r="H136" s="28"/>
      <c r="I136" s="28"/>
      <c r="J136" s="28"/>
      <c r="K136" s="28"/>
      <c r="L136" s="28"/>
      <c r="M136" s="31" t="str">
        <f aca="false">IF(COUNTA(H136:L136)=0,"",SUMPRODUCT(H136:L136,$H$9:$L$9))</f>
        <v/>
      </c>
      <c r="N136" s="32" t="str">
        <f aca="false">IF(M136="","",IF(M136&gt;=4,"A",IF(M136&gt;=3,"B",IF(M136&gt;=2,"C","D"))))</f>
        <v/>
      </c>
      <c r="O136" s="28"/>
      <c r="P136" s="29"/>
    </row>
    <row r="137" customFormat="false" ht="15" hidden="false" customHeight="false" outlineLevel="0" collapsed="false">
      <c r="A137" s="28"/>
      <c r="B137" s="29"/>
      <c r="C137" s="28"/>
      <c r="D137" s="28"/>
      <c r="E137" s="30"/>
      <c r="F137" s="28"/>
      <c r="G137" s="28"/>
      <c r="H137" s="28"/>
      <c r="I137" s="28"/>
      <c r="J137" s="28"/>
      <c r="K137" s="28"/>
      <c r="L137" s="28"/>
      <c r="M137" s="31" t="str">
        <f aca="false">IF(COUNTA(H137:L137)=0,"",SUMPRODUCT(H137:L137,$H$9:$L$9))</f>
        <v/>
      </c>
      <c r="N137" s="32" t="str">
        <f aca="false">IF(M137="","",IF(M137&gt;=4,"A",IF(M137&gt;=3,"B",IF(M137&gt;=2,"C","D"))))</f>
        <v/>
      </c>
      <c r="O137" s="28"/>
      <c r="P137" s="29"/>
    </row>
    <row r="138" customFormat="false" ht="15" hidden="false" customHeight="false" outlineLevel="0" collapsed="false">
      <c r="A138" s="28"/>
      <c r="B138" s="29"/>
      <c r="C138" s="28"/>
      <c r="D138" s="28"/>
      <c r="E138" s="30"/>
      <c r="F138" s="28"/>
      <c r="G138" s="28"/>
      <c r="H138" s="28"/>
      <c r="I138" s="28"/>
      <c r="J138" s="28"/>
      <c r="K138" s="28"/>
      <c r="L138" s="28"/>
      <c r="M138" s="31" t="str">
        <f aca="false">IF(COUNTA(H138:L138)=0,"",SUMPRODUCT(H138:L138,$H$9:$L$9))</f>
        <v/>
      </c>
      <c r="N138" s="32" t="str">
        <f aca="false">IF(M138="","",IF(M138&gt;=4,"A",IF(M138&gt;=3,"B",IF(M138&gt;=2,"C","D"))))</f>
        <v/>
      </c>
      <c r="O138" s="28"/>
      <c r="P138" s="29"/>
    </row>
    <row r="139" customFormat="false" ht="15" hidden="false" customHeight="false" outlineLevel="0" collapsed="false">
      <c r="A139" s="28"/>
      <c r="B139" s="29"/>
      <c r="C139" s="28"/>
      <c r="D139" s="28"/>
      <c r="E139" s="30"/>
      <c r="F139" s="28"/>
      <c r="G139" s="28"/>
      <c r="H139" s="28"/>
      <c r="I139" s="28"/>
      <c r="J139" s="28"/>
      <c r="K139" s="28"/>
      <c r="L139" s="28"/>
      <c r="M139" s="31" t="str">
        <f aca="false">IF(COUNTA(H139:L139)=0,"",SUMPRODUCT(H139:L139,$H$9:$L$9))</f>
        <v/>
      </c>
      <c r="N139" s="32" t="str">
        <f aca="false">IF(M139="","",IF(M139&gt;=4,"A",IF(M139&gt;=3,"B",IF(M139&gt;=2,"C","D"))))</f>
        <v/>
      </c>
      <c r="O139" s="28"/>
      <c r="P139" s="29"/>
    </row>
    <row r="140" customFormat="false" ht="15" hidden="false" customHeight="false" outlineLevel="0" collapsed="false">
      <c r="A140" s="28"/>
      <c r="B140" s="29"/>
      <c r="C140" s="28"/>
      <c r="D140" s="28"/>
      <c r="E140" s="30"/>
      <c r="F140" s="28"/>
      <c r="G140" s="28"/>
      <c r="H140" s="28"/>
      <c r="I140" s="28"/>
      <c r="J140" s="28"/>
      <c r="K140" s="28"/>
      <c r="L140" s="28"/>
      <c r="M140" s="31" t="str">
        <f aca="false">IF(COUNTA(H140:L140)=0,"",SUMPRODUCT(H140:L140,$H$9:$L$9))</f>
        <v/>
      </c>
      <c r="N140" s="32" t="str">
        <f aca="false">IF(M140="","",IF(M140&gt;=4,"A",IF(M140&gt;=3,"B",IF(M140&gt;=2,"C","D"))))</f>
        <v/>
      </c>
      <c r="O140" s="28"/>
      <c r="P140" s="29"/>
    </row>
    <row r="141" customFormat="false" ht="15" hidden="false" customHeight="false" outlineLevel="0" collapsed="false">
      <c r="A141" s="28"/>
      <c r="B141" s="29"/>
      <c r="C141" s="28"/>
      <c r="D141" s="28"/>
      <c r="E141" s="30"/>
      <c r="F141" s="28"/>
      <c r="G141" s="28"/>
      <c r="H141" s="28"/>
      <c r="I141" s="28"/>
      <c r="J141" s="28"/>
      <c r="K141" s="28"/>
      <c r="L141" s="28"/>
      <c r="M141" s="31" t="str">
        <f aca="false">IF(COUNTA(H141:L141)=0,"",SUMPRODUCT(H141:L141,$H$9:$L$9))</f>
        <v/>
      </c>
      <c r="N141" s="32" t="str">
        <f aca="false">IF(M141="","",IF(M141&gt;=4,"A",IF(M141&gt;=3,"B",IF(M141&gt;=2,"C","D"))))</f>
        <v/>
      </c>
      <c r="O141" s="28"/>
      <c r="P141" s="29"/>
    </row>
    <row r="142" customFormat="false" ht="15" hidden="false" customHeight="false" outlineLevel="0" collapsed="false">
      <c r="A142" s="28"/>
      <c r="B142" s="29"/>
      <c r="C142" s="28"/>
      <c r="D142" s="28"/>
      <c r="E142" s="30"/>
      <c r="F142" s="28"/>
      <c r="G142" s="28"/>
      <c r="H142" s="28"/>
      <c r="I142" s="28"/>
      <c r="J142" s="28"/>
      <c r="K142" s="28"/>
      <c r="L142" s="28"/>
      <c r="M142" s="31" t="str">
        <f aca="false">IF(COUNTA(H142:L142)=0,"",SUMPRODUCT(H142:L142,$H$9:$L$9))</f>
        <v/>
      </c>
      <c r="N142" s="32" t="str">
        <f aca="false">IF(M142="","",IF(M142&gt;=4,"A",IF(M142&gt;=3,"B",IF(M142&gt;=2,"C","D"))))</f>
        <v/>
      </c>
      <c r="O142" s="28"/>
      <c r="P142" s="29"/>
    </row>
    <row r="143" customFormat="false" ht="15" hidden="false" customHeight="false" outlineLevel="0" collapsed="false">
      <c r="A143" s="28"/>
      <c r="B143" s="29"/>
      <c r="C143" s="28"/>
      <c r="D143" s="28"/>
      <c r="E143" s="30"/>
      <c r="F143" s="28"/>
      <c r="G143" s="28"/>
      <c r="H143" s="28"/>
      <c r="I143" s="28"/>
      <c r="J143" s="28"/>
      <c r="K143" s="28"/>
      <c r="L143" s="28"/>
      <c r="M143" s="31" t="str">
        <f aca="false">IF(COUNTA(H143:L143)=0,"",SUMPRODUCT(H143:L143,$H$9:$L$9))</f>
        <v/>
      </c>
      <c r="N143" s="32" t="str">
        <f aca="false">IF(M143="","",IF(M143&gt;=4,"A",IF(M143&gt;=3,"B",IF(M143&gt;=2,"C","D"))))</f>
        <v/>
      </c>
      <c r="O143" s="28"/>
      <c r="P143" s="29"/>
    </row>
    <row r="144" customFormat="false" ht="15" hidden="false" customHeight="false" outlineLevel="0" collapsed="false">
      <c r="A144" s="28"/>
      <c r="B144" s="29"/>
      <c r="C144" s="28"/>
      <c r="D144" s="28"/>
      <c r="E144" s="30"/>
      <c r="F144" s="28"/>
      <c r="G144" s="28"/>
      <c r="H144" s="28"/>
      <c r="I144" s="28"/>
      <c r="J144" s="28"/>
      <c r="K144" s="28"/>
      <c r="L144" s="28"/>
      <c r="M144" s="31" t="str">
        <f aca="false">IF(COUNTA(H144:L144)=0,"",SUMPRODUCT(H144:L144,$H$9:$L$9))</f>
        <v/>
      </c>
      <c r="N144" s="32" t="str">
        <f aca="false">IF(M144="","",IF(M144&gt;=4,"A",IF(M144&gt;=3,"B",IF(M144&gt;=2,"C","D"))))</f>
        <v/>
      </c>
      <c r="O144" s="28"/>
      <c r="P144" s="29"/>
    </row>
    <row r="145" customFormat="false" ht="15" hidden="false" customHeight="false" outlineLevel="0" collapsed="false">
      <c r="A145" s="28"/>
      <c r="B145" s="29"/>
      <c r="C145" s="28"/>
      <c r="D145" s="28"/>
      <c r="E145" s="30"/>
      <c r="F145" s="28"/>
      <c r="G145" s="28"/>
      <c r="H145" s="28"/>
      <c r="I145" s="28"/>
      <c r="J145" s="28"/>
      <c r="K145" s="28"/>
      <c r="L145" s="28"/>
      <c r="M145" s="31" t="str">
        <f aca="false">IF(COUNTA(H145:L145)=0,"",SUMPRODUCT(H145:L145,$H$9:$L$9))</f>
        <v/>
      </c>
      <c r="N145" s="32" t="str">
        <f aca="false">IF(M145="","",IF(M145&gt;=4,"A",IF(M145&gt;=3,"B",IF(M145&gt;=2,"C","D"))))</f>
        <v/>
      </c>
      <c r="O145" s="28"/>
      <c r="P145" s="29"/>
    </row>
    <row r="146" customFormat="false" ht="15" hidden="false" customHeight="false" outlineLevel="0" collapsed="false">
      <c r="A146" s="28"/>
      <c r="B146" s="29"/>
      <c r="C146" s="28"/>
      <c r="D146" s="28"/>
      <c r="E146" s="30"/>
      <c r="F146" s="28"/>
      <c r="G146" s="28"/>
      <c r="H146" s="28"/>
      <c r="I146" s="28"/>
      <c r="J146" s="28"/>
      <c r="K146" s="28"/>
      <c r="L146" s="28"/>
      <c r="M146" s="31" t="str">
        <f aca="false">IF(COUNTA(H146:L146)=0,"",SUMPRODUCT(H146:L146,$H$9:$L$9))</f>
        <v/>
      </c>
      <c r="N146" s="32" t="str">
        <f aca="false">IF(M146="","",IF(M146&gt;=4,"A",IF(M146&gt;=3,"B",IF(M146&gt;=2,"C","D"))))</f>
        <v/>
      </c>
      <c r="O146" s="28"/>
      <c r="P146" s="29"/>
    </row>
    <row r="147" customFormat="false" ht="15" hidden="false" customHeight="false" outlineLevel="0" collapsed="false">
      <c r="A147" s="28"/>
      <c r="B147" s="29"/>
      <c r="C147" s="28"/>
      <c r="D147" s="28"/>
      <c r="E147" s="30"/>
      <c r="F147" s="28"/>
      <c r="G147" s="28"/>
      <c r="H147" s="28"/>
      <c r="I147" s="28"/>
      <c r="J147" s="28"/>
      <c r="K147" s="28"/>
      <c r="L147" s="28"/>
      <c r="M147" s="31" t="str">
        <f aca="false">IF(COUNTA(H147:L147)=0,"",SUMPRODUCT(H147:L147,$H$9:$L$9))</f>
        <v/>
      </c>
      <c r="N147" s="32" t="str">
        <f aca="false">IF(M147="","",IF(M147&gt;=4,"A",IF(M147&gt;=3,"B",IF(M147&gt;=2,"C","D"))))</f>
        <v/>
      </c>
      <c r="O147" s="28"/>
      <c r="P147" s="29"/>
    </row>
    <row r="148" customFormat="false" ht="15" hidden="false" customHeight="false" outlineLevel="0" collapsed="false">
      <c r="A148" s="28"/>
      <c r="B148" s="29"/>
      <c r="C148" s="28"/>
      <c r="D148" s="28"/>
      <c r="E148" s="30"/>
      <c r="F148" s="28"/>
      <c r="G148" s="28"/>
      <c r="H148" s="28"/>
      <c r="I148" s="28"/>
      <c r="J148" s="28"/>
      <c r="K148" s="28"/>
      <c r="L148" s="28"/>
      <c r="M148" s="31" t="str">
        <f aca="false">IF(COUNTA(H148:L148)=0,"",SUMPRODUCT(H148:L148,$H$9:$L$9))</f>
        <v/>
      </c>
      <c r="N148" s="32" t="str">
        <f aca="false">IF(M148="","",IF(M148&gt;=4,"A",IF(M148&gt;=3,"B",IF(M148&gt;=2,"C","D"))))</f>
        <v/>
      </c>
      <c r="O148" s="28"/>
      <c r="P148" s="29"/>
    </row>
    <row r="149" customFormat="false" ht="15" hidden="false" customHeight="false" outlineLevel="0" collapsed="false">
      <c r="A149" s="28"/>
      <c r="B149" s="29"/>
      <c r="C149" s="28"/>
      <c r="D149" s="28"/>
      <c r="E149" s="30"/>
      <c r="F149" s="28"/>
      <c r="G149" s="28"/>
      <c r="H149" s="28"/>
      <c r="I149" s="28"/>
      <c r="J149" s="28"/>
      <c r="K149" s="28"/>
      <c r="L149" s="28"/>
      <c r="M149" s="31" t="str">
        <f aca="false">IF(COUNTA(H149:L149)=0,"",SUMPRODUCT(H149:L149,$H$9:$L$9))</f>
        <v/>
      </c>
      <c r="N149" s="32" t="str">
        <f aca="false">IF(M149="","",IF(M149&gt;=4,"A",IF(M149&gt;=3,"B",IF(M149&gt;=2,"C","D"))))</f>
        <v/>
      </c>
      <c r="O149" s="28"/>
      <c r="P149" s="29"/>
    </row>
    <row r="150" customFormat="false" ht="15" hidden="false" customHeight="false" outlineLevel="0" collapsed="false">
      <c r="A150" s="28"/>
      <c r="B150" s="29"/>
      <c r="C150" s="28"/>
      <c r="D150" s="28"/>
      <c r="E150" s="30"/>
      <c r="F150" s="28"/>
      <c r="G150" s="28"/>
      <c r="H150" s="28"/>
      <c r="I150" s="28"/>
      <c r="J150" s="28"/>
      <c r="K150" s="28"/>
      <c r="L150" s="28"/>
      <c r="M150" s="31" t="str">
        <f aca="false">IF(COUNTA(H150:L150)=0,"",SUMPRODUCT(H150:L150,$H$9:$L$9))</f>
        <v/>
      </c>
      <c r="N150" s="32" t="str">
        <f aca="false">IF(M150="","",IF(M150&gt;=4,"A",IF(M150&gt;=3,"B",IF(M150&gt;=2,"C","D"))))</f>
        <v/>
      </c>
      <c r="O150" s="28"/>
      <c r="P150" s="29"/>
    </row>
    <row r="151" customFormat="false" ht="15" hidden="false" customHeight="false" outlineLevel="0" collapsed="false">
      <c r="A151" s="28"/>
      <c r="B151" s="29"/>
      <c r="C151" s="28"/>
      <c r="D151" s="28"/>
      <c r="E151" s="30"/>
      <c r="F151" s="28"/>
      <c r="G151" s="28"/>
      <c r="H151" s="28"/>
      <c r="I151" s="28"/>
      <c r="J151" s="28"/>
      <c r="K151" s="28"/>
      <c r="L151" s="28"/>
      <c r="M151" s="31" t="str">
        <f aca="false">IF(COUNTA(H151:L151)=0,"",SUMPRODUCT(H151:L151,$H$9:$L$9))</f>
        <v/>
      </c>
      <c r="N151" s="32" t="str">
        <f aca="false">IF(M151="","",IF(M151&gt;=4,"A",IF(M151&gt;=3,"B",IF(M151&gt;=2,"C","D"))))</f>
        <v/>
      </c>
      <c r="O151" s="28"/>
      <c r="P151" s="29"/>
    </row>
    <row r="152" customFormat="false" ht="15" hidden="false" customHeight="false" outlineLevel="0" collapsed="false">
      <c r="A152" s="28"/>
      <c r="B152" s="29"/>
      <c r="C152" s="28"/>
      <c r="D152" s="28"/>
      <c r="E152" s="30"/>
      <c r="F152" s="28"/>
      <c r="G152" s="28"/>
      <c r="H152" s="28"/>
      <c r="I152" s="28"/>
      <c r="J152" s="28"/>
      <c r="K152" s="28"/>
      <c r="L152" s="28"/>
      <c r="M152" s="31" t="str">
        <f aca="false">IF(COUNTA(H152:L152)=0,"",SUMPRODUCT(H152:L152,$H$9:$L$9))</f>
        <v/>
      </c>
      <c r="N152" s="32" t="str">
        <f aca="false">IF(M152="","",IF(M152&gt;=4,"A",IF(M152&gt;=3,"B",IF(M152&gt;=2,"C","D"))))</f>
        <v/>
      </c>
      <c r="O152" s="28"/>
      <c r="P152" s="29"/>
    </row>
    <row r="153" customFormat="false" ht="15" hidden="false" customHeight="false" outlineLevel="0" collapsed="false">
      <c r="A153" s="28"/>
      <c r="B153" s="29"/>
      <c r="C153" s="28"/>
      <c r="D153" s="28"/>
      <c r="E153" s="30"/>
      <c r="F153" s="28"/>
      <c r="G153" s="28"/>
      <c r="H153" s="28"/>
      <c r="I153" s="28"/>
      <c r="J153" s="28"/>
      <c r="K153" s="28"/>
      <c r="L153" s="28"/>
      <c r="M153" s="31" t="str">
        <f aca="false">IF(COUNTA(H153:L153)=0,"",SUMPRODUCT(H153:L153,$H$9:$L$9))</f>
        <v/>
      </c>
      <c r="N153" s="32" t="str">
        <f aca="false">IF(M153="","",IF(M153&gt;=4,"A",IF(M153&gt;=3,"B",IF(M153&gt;=2,"C","D"))))</f>
        <v/>
      </c>
      <c r="O153" s="28"/>
      <c r="P153" s="29"/>
    </row>
    <row r="154" customFormat="false" ht="15" hidden="false" customHeight="false" outlineLevel="0" collapsed="false">
      <c r="A154" s="28"/>
      <c r="B154" s="29"/>
      <c r="C154" s="28"/>
      <c r="D154" s="28"/>
      <c r="E154" s="30"/>
      <c r="F154" s="28"/>
      <c r="G154" s="28"/>
      <c r="H154" s="28"/>
      <c r="I154" s="28"/>
      <c r="J154" s="28"/>
      <c r="K154" s="28"/>
      <c r="L154" s="28"/>
      <c r="M154" s="31" t="str">
        <f aca="false">IF(COUNTA(H154:L154)=0,"",SUMPRODUCT(H154:L154,$H$9:$L$9))</f>
        <v/>
      </c>
      <c r="N154" s="32" t="str">
        <f aca="false">IF(M154="","",IF(M154&gt;=4,"A",IF(M154&gt;=3,"B",IF(M154&gt;=2,"C","D"))))</f>
        <v/>
      </c>
      <c r="O154" s="28"/>
      <c r="P154" s="29"/>
    </row>
    <row r="155" customFormat="false" ht="15" hidden="false" customHeight="false" outlineLevel="0" collapsed="false">
      <c r="A155" s="28"/>
      <c r="B155" s="29"/>
      <c r="C155" s="28"/>
      <c r="D155" s="28"/>
      <c r="E155" s="30"/>
      <c r="F155" s="28"/>
      <c r="G155" s="28"/>
      <c r="H155" s="28"/>
      <c r="I155" s="28"/>
      <c r="J155" s="28"/>
      <c r="K155" s="28"/>
      <c r="L155" s="28"/>
      <c r="M155" s="31" t="str">
        <f aca="false">IF(COUNTA(H155:L155)=0,"",SUMPRODUCT(H155:L155,$H$9:$L$9))</f>
        <v/>
      </c>
      <c r="N155" s="32" t="str">
        <f aca="false">IF(M155="","",IF(M155&gt;=4,"A",IF(M155&gt;=3,"B",IF(M155&gt;=2,"C","D"))))</f>
        <v/>
      </c>
      <c r="O155" s="28"/>
      <c r="P155" s="29"/>
    </row>
    <row r="156" customFormat="false" ht="15" hidden="false" customHeight="false" outlineLevel="0" collapsed="false">
      <c r="A156" s="28"/>
      <c r="B156" s="29"/>
      <c r="C156" s="28"/>
      <c r="D156" s="28"/>
      <c r="E156" s="30"/>
      <c r="F156" s="28"/>
      <c r="G156" s="28"/>
      <c r="H156" s="28"/>
      <c r="I156" s="28"/>
      <c r="J156" s="28"/>
      <c r="K156" s="28"/>
      <c r="L156" s="28"/>
      <c r="M156" s="31" t="str">
        <f aca="false">IF(COUNTA(H156:L156)=0,"",SUMPRODUCT(H156:L156,$H$9:$L$9))</f>
        <v/>
      </c>
      <c r="N156" s="32" t="str">
        <f aca="false">IF(M156="","",IF(M156&gt;=4,"A",IF(M156&gt;=3,"B",IF(M156&gt;=2,"C","D"))))</f>
        <v/>
      </c>
      <c r="O156" s="28"/>
      <c r="P156" s="29"/>
    </row>
    <row r="157" customFormat="false" ht="15" hidden="false" customHeight="false" outlineLevel="0" collapsed="false">
      <c r="A157" s="28"/>
      <c r="B157" s="29"/>
      <c r="C157" s="28"/>
      <c r="D157" s="28"/>
      <c r="E157" s="30"/>
      <c r="F157" s="28"/>
      <c r="G157" s="28"/>
      <c r="H157" s="28"/>
      <c r="I157" s="28"/>
      <c r="J157" s="28"/>
      <c r="K157" s="28"/>
      <c r="L157" s="28"/>
      <c r="M157" s="31" t="str">
        <f aca="false">IF(COUNTA(H157:L157)=0,"",SUMPRODUCT(H157:L157,$H$9:$L$9))</f>
        <v/>
      </c>
      <c r="N157" s="32" t="str">
        <f aca="false">IF(M157="","",IF(M157&gt;=4,"A",IF(M157&gt;=3,"B",IF(M157&gt;=2,"C","D"))))</f>
        <v/>
      </c>
      <c r="O157" s="28"/>
      <c r="P157" s="29"/>
    </row>
    <row r="158" customFormat="false" ht="15" hidden="false" customHeight="false" outlineLevel="0" collapsed="false">
      <c r="A158" s="28"/>
      <c r="B158" s="29"/>
      <c r="C158" s="28"/>
      <c r="D158" s="28"/>
      <c r="E158" s="30"/>
      <c r="F158" s="28"/>
      <c r="G158" s="28"/>
      <c r="H158" s="28"/>
      <c r="I158" s="28"/>
      <c r="J158" s="28"/>
      <c r="K158" s="28"/>
      <c r="L158" s="28"/>
      <c r="M158" s="31" t="str">
        <f aca="false">IF(COUNTA(H158:L158)=0,"",SUMPRODUCT(H158:L158,$H$9:$L$9))</f>
        <v/>
      </c>
      <c r="N158" s="32" t="str">
        <f aca="false">IF(M158="","",IF(M158&gt;=4,"A",IF(M158&gt;=3,"B",IF(M158&gt;=2,"C","D"))))</f>
        <v/>
      </c>
      <c r="O158" s="28"/>
      <c r="P158" s="29"/>
    </row>
    <row r="159" customFormat="false" ht="15" hidden="false" customHeight="false" outlineLevel="0" collapsed="false">
      <c r="A159" s="28"/>
      <c r="B159" s="29"/>
      <c r="C159" s="28"/>
      <c r="D159" s="28"/>
      <c r="E159" s="30"/>
      <c r="F159" s="28"/>
      <c r="G159" s="28"/>
      <c r="H159" s="28"/>
      <c r="I159" s="28"/>
      <c r="J159" s="28"/>
      <c r="K159" s="28"/>
      <c r="L159" s="28"/>
      <c r="M159" s="31" t="str">
        <f aca="false">IF(COUNTA(H159:L159)=0,"",SUMPRODUCT(H159:L159,$H$9:$L$9))</f>
        <v/>
      </c>
      <c r="N159" s="32" t="str">
        <f aca="false">IF(M159="","",IF(M159&gt;=4,"A",IF(M159&gt;=3,"B",IF(M159&gt;=2,"C","D"))))</f>
        <v/>
      </c>
      <c r="O159" s="28"/>
      <c r="P159" s="29"/>
    </row>
    <row r="160" customFormat="false" ht="15" hidden="false" customHeight="false" outlineLevel="0" collapsed="false">
      <c r="A160" s="28"/>
      <c r="B160" s="29"/>
      <c r="C160" s="28"/>
      <c r="D160" s="28"/>
      <c r="E160" s="30"/>
      <c r="F160" s="28"/>
      <c r="G160" s="28"/>
      <c r="H160" s="28"/>
      <c r="I160" s="28"/>
      <c r="J160" s="28"/>
      <c r="K160" s="28"/>
      <c r="L160" s="28"/>
      <c r="M160" s="31" t="str">
        <f aca="false">IF(COUNTA(H160:L160)=0,"",SUMPRODUCT(H160:L160,$H$9:$L$9))</f>
        <v/>
      </c>
      <c r="N160" s="32" t="str">
        <f aca="false">IF(M160="","",IF(M160&gt;=4,"A",IF(M160&gt;=3,"B",IF(M160&gt;=2,"C","D"))))</f>
        <v/>
      </c>
      <c r="O160" s="28"/>
      <c r="P160" s="29"/>
    </row>
    <row r="161" customFormat="false" ht="15" hidden="false" customHeight="false" outlineLevel="0" collapsed="false">
      <c r="A161" s="28"/>
      <c r="B161" s="29"/>
      <c r="C161" s="28"/>
      <c r="D161" s="28"/>
      <c r="E161" s="30"/>
      <c r="F161" s="28"/>
      <c r="G161" s="28"/>
      <c r="H161" s="28"/>
      <c r="I161" s="28"/>
      <c r="J161" s="28"/>
      <c r="K161" s="28"/>
      <c r="L161" s="28"/>
      <c r="M161" s="31" t="str">
        <f aca="false">IF(COUNTA(H161:L161)=0,"",SUMPRODUCT(H161:L161,$H$9:$L$9))</f>
        <v/>
      </c>
      <c r="N161" s="32" t="str">
        <f aca="false">IF(M161="","",IF(M161&gt;=4,"A",IF(M161&gt;=3,"B",IF(M161&gt;=2,"C","D"))))</f>
        <v/>
      </c>
      <c r="O161" s="28"/>
      <c r="P161" s="29"/>
    </row>
    <row r="162" customFormat="false" ht="15" hidden="false" customHeight="false" outlineLevel="0" collapsed="false">
      <c r="A162" s="28"/>
      <c r="B162" s="29"/>
      <c r="C162" s="28"/>
      <c r="D162" s="28"/>
      <c r="E162" s="30"/>
      <c r="F162" s="28"/>
      <c r="G162" s="28"/>
      <c r="H162" s="28"/>
      <c r="I162" s="28"/>
      <c r="J162" s="28"/>
      <c r="K162" s="28"/>
      <c r="L162" s="28"/>
      <c r="M162" s="31" t="str">
        <f aca="false">IF(COUNTA(H162:L162)=0,"",SUMPRODUCT(H162:L162,$H$9:$L$9))</f>
        <v/>
      </c>
      <c r="N162" s="32" t="str">
        <f aca="false">IF(M162="","",IF(M162&gt;=4,"A",IF(M162&gt;=3,"B",IF(M162&gt;=2,"C","D"))))</f>
        <v/>
      </c>
      <c r="O162" s="28"/>
      <c r="P162" s="29"/>
    </row>
    <row r="163" customFormat="false" ht="15" hidden="false" customHeight="false" outlineLevel="0" collapsed="false">
      <c r="A163" s="28"/>
      <c r="B163" s="29"/>
      <c r="C163" s="28"/>
      <c r="D163" s="28"/>
      <c r="E163" s="30"/>
      <c r="F163" s="28"/>
      <c r="G163" s="28"/>
      <c r="H163" s="28"/>
      <c r="I163" s="28"/>
      <c r="J163" s="28"/>
      <c r="K163" s="28"/>
      <c r="L163" s="28"/>
      <c r="M163" s="31" t="str">
        <f aca="false">IF(COUNTA(H163:L163)=0,"",SUMPRODUCT(H163:L163,$H$9:$L$9))</f>
        <v/>
      </c>
      <c r="N163" s="32" t="str">
        <f aca="false">IF(M163="","",IF(M163&gt;=4,"A",IF(M163&gt;=3,"B",IF(M163&gt;=2,"C","D"))))</f>
        <v/>
      </c>
      <c r="O163" s="28"/>
      <c r="P163" s="29"/>
    </row>
    <row r="164" customFormat="false" ht="15" hidden="false" customHeight="false" outlineLevel="0" collapsed="false">
      <c r="A164" s="28"/>
      <c r="B164" s="29"/>
      <c r="C164" s="28"/>
      <c r="D164" s="28"/>
      <c r="E164" s="30"/>
      <c r="F164" s="28"/>
      <c r="G164" s="28"/>
      <c r="H164" s="28"/>
      <c r="I164" s="28"/>
      <c r="J164" s="28"/>
      <c r="K164" s="28"/>
      <c r="L164" s="28"/>
      <c r="M164" s="31" t="str">
        <f aca="false">IF(COUNTA(H164:L164)=0,"",SUMPRODUCT(H164:L164,$H$9:$L$9))</f>
        <v/>
      </c>
      <c r="N164" s="32" t="str">
        <f aca="false">IF(M164="","",IF(M164&gt;=4,"A",IF(M164&gt;=3,"B",IF(M164&gt;=2,"C","D"))))</f>
        <v/>
      </c>
      <c r="O164" s="28"/>
      <c r="P164" s="29"/>
    </row>
    <row r="165" customFormat="false" ht="15" hidden="false" customHeight="false" outlineLevel="0" collapsed="false">
      <c r="A165" s="28"/>
      <c r="B165" s="29"/>
      <c r="C165" s="28"/>
      <c r="D165" s="28"/>
      <c r="E165" s="30"/>
      <c r="F165" s="28"/>
      <c r="G165" s="28"/>
      <c r="H165" s="28"/>
      <c r="I165" s="28"/>
      <c r="J165" s="28"/>
      <c r="K165" s="28"/>
      <c r="L165" s="28"/>
      <c r="M165" s="31" t="str">
        <f aca="false">IF(COUNTA(H165:L165)=0,"",SUMPRODUCT(H165:L165,$H$9:$L$9))</f>
        <v/>
      </c>
      <c r="N165" s="32" t="str">
        <f aca="false">IF(M165="","",IF(M165&gt;=4,"A",IF(M165&gt;=3,"B",IF(M165&gt;=2,"C","D"))))</f>
        <v/>
      </c>
      <c r="O165" s="28"/>
      <c r="P165" s="29"/>
    </row>
    <row r="166" customFormat="false" ht="15" hidden="false" customHeight="false" outlineLevel="0" collapsed="false">
      <c r="A166" s="28"/>
      <c r="B166" s="29"/>
      <c r="C166" s="28"/>
      <c r="D166" s="28"/>
      <c r="E166" s="30"/>
      <c r="F166" s="28"/>
      <c r="G166" s="28"/>
      <c r="H166" s="28"/>
      <c r="I166" s="28"/>
      <c r="J166" s="28"/>
      <c r="K166" s="28"/>
      <c r="L166" s="28"/>
      <c r="M166" s="31" t="str">
        <f aca="false">IF(COUNTA(H166:L166)=0,"",SUMPRODUCT(H166:L166,$H$9:$L$9))</f>
        <v/>
      </c>
      <c r="N166" s="32" t="str">
        <f aca="false">IF(M166="","",IF(M166&gt;=4,"A",IF(M166&gt;=3,"B",IF(M166&gt;=2,"C","D"))))</f>
        <v/>
      </c>
      <c r="O166" s="28"/>
      <c r="P166" s="29"/>
    </row>
    <row r="167" customFormat="false" ht="15" hidden="false" customHeight="false" outlineLevel="0" collapsed="false">
      <c r="A167" s="28"/>
      <c r="B167" s="29"/>
      <c r="C167" s="28"/>
      <c r="D167" s="28"/>
      <c r="E167" s="30"/>
      <c r="F167" s="28"/>
      <c r="G167" s="28"/>
      <c r="H167" s="28"/>
      <c r="I167" s="28"/>
      <c r="J167" s="28"/>
      <c r="K167" s="28"/>
      <c r="L167" s="28"/>
      <c r="M167" s="31" t="str">
        <f aca="false">IF(COUNTA(H167:L167)=0,"",SUMPRODUCT(H167:L167,$H$9:$L$9))</f>
        <v/>
      </c>
      <c r="N167" s="32" t="str">
        <f aca="false">IF(M167="","",IF(M167&gt;=4,"A",IF(M167&gt;=3,"B",IF(M167&gt;=2,"C","D"))))</f>
        <v/>
      </c>
      <c r="O167" s="28"/>
      <c r="P167" s="29"/>
    </row>
    <row r="168" customFormat="false" ht="15" hidden="false" customHeight="false" outlineLevel="0" collapsed="false">
      <c r="A168" s="28"/>
      <c r="B168" s="29"/>
      <c r="C168" s="28"/>
      <c r="D168" s="28"/>
      <c r="E168" s="30"/>
      <c r="F168" s="28"/>
      <c r="G168" s="28"/>
      <c r="H168" s="28"/>
      <c r="I168" s="28"/>
      <c r="J168" s="28"/>
      <c r="K168" s="28"/>
      <c r="L168" s="28"/>
      <c r="M168" s="31" t="str">
        <f aca="false">IF(COUNTA(H168:L168)=0,"",SUMPRODUCT(H168:L168,$H$9:$L$9))</f>
        <v/>
      </c>
      <c r="N168" s="32" t="str">
        <f aca="false">IF(M168="","",IF(M168&gt;=4,"A",IF(M168&gt;=3,"B",IF(M168&gt;=2,"C","D"))))</f>
        <v/>
      </c>
      <c r="O168" s="28"/>
      <c r="P168" s="29"/>
    </row>
    <row r="169" customFormat="false" ht="15" hidden="false" customHeight="false" outlineLevel="0" collapsed="false">
      <c r="A169" s="28"/>
      <c r="B169" s="29"/>
      <c r="C169" s="28"/>
      <c r="D169" s="28"/>
      <c r="E169" s="30"/>
      <c r="F169" s="28"/>
      <c r="G169" s="28"/>
      <c r="H169" s="28"/>
      <c r="I169" s="28"/>
      <c r="J169" s="28"/>
      <c r="K169" s="28"/>
      <c r="L169" s="28"/>
      <c r="M169" s="31" t="str">
        <f aca="false">IF(COUNTA(H169:L169)=0,"",SUMPRODUCT(H169:L169,$H$9:$L$9))</f>
        <v/>
      </c>
      <c r="N169" s="32" t="str">
        <f aca="false">IF(M169="","",IF(M169&gt;=4,"A",IF(M169&gt;=3,"B",IF(M169&gt;=2,"C","D"))))</f>
        <v/>
      </c>
      <c r="O169" s="28"/>
      <c r="P169" s="29"/>
    </row>
    <row r="170" customFormat="false" ht="15" hidden="false" customHeight="false" outlineLevel="0" collapsed="false">
      <c r="A170" s="28"/>
      <c r="B170" s="29"/>
      <c r="C170" s="28"/>
      <c r="D170" s="28"/>
      <c r="E170" s="30"/>
      <c r="F170" s="28"/>
      <c r="G170" s="28"/>
      <c r="H170" s="28"/>
      <c r="I170" s="28"/>
      <c r="J170" s="28"/>
      <c r="K170" s="28"/>
      <c r="L170" s="28"/>
      <c r="M170" s="31" t="str">
        <f aca="false">IF(COUNTA(H170:L170)=0,"",SUMPRODUCT(H170:L170,$H$9:$L$9))</f>
        <v/>
      </c>
      <c r="N170" s="32" t="str">
        <f aca="false">IF(M170="","",IF(M170&gt;=4,"A",IF(M170&gt;=3,"B",IF(M170&gt;=2,"C","D"))))</f>
        <v/>
      </c>
      <c r="O170" s="28"/>
      <c r="P170" s="29"/>
    </row>
    <row r="171" customFormat="false" ht="15" hidden="false" customHeight="false" outlineLevel="0" collapsed="false">
      <c r="A171" s="28"/>
      <c r="B171" s="29"/>
      <c r="C171" s="28"/>
      <c r="D171" s="28"/>
      <c r="E171" s="30"/>
      <c r="F171" s="28"/>
      <c r="G171" s="28"/>
      <c r="H171" s="28"/>
      <c r="I171" s="28"/>
      <c r="J171" s="28"/>
      <c r="K171" s="28"/>
      <c r="L171" s="28"/>
      <c r="M171" s="31" t="str">
        <f aca="false">IF(COUNTA(H171:L171)=0,"",SUMPRODUCT(H171:L171,$H$9:$L$9))</f>
        <v/>
      </c>
      <c r="N171" s="32" t="str">
        <f aca="false">IF(M171="","",IF(M171&gt;=4,"A",IF(M171&gt;=3,"B",IF(M171&gt;=2,"C","D"))))</f>
        <v/>
      </c>
      <c r="O171" s="28"/>
      <c r="P171" s="29"/>
    </row>
    <row r="172" customFormat="false" ht="15" hidden="false" customHeight="false" outlineLevel="0" collapsed="false">
      <c r="A172" s="28"/>
      <c r="B172" s="29"/>
      <c r="C172" s="28"/>
      <c r="D172" s="28"/>
      <c r="E172" s="30"/>
      <c r="F172" s="28"/>
      <c r="G172" s="28"/>
      <c r="H172" s="28"/>
      <c r="I172" s="28"/>
      <c r="J172" s="28"/>
      <c r="K172" s="28"/>
      <c r="L172" s="28"/>
      <c r="M172" s="31" t="str">
        <f aca="false">IF(COUNTA(H172:L172)=0,"",SUMPRODUCT(H172:L172,$H$9:$L$9))</f>
        <v/>
      </c>
      <c r="N172" s="32" t="str">
        <f aca="false">IF(M172="","",IF(M172&gt;=4,"A",IF(M172&gt;=3,"B",IF(M172&gt;=2,"C","D"))))</f>
        <v/>
      </c>
      <c r="O172" s="28"/>
      <c r="P172" s="29"/>
    </row>
    <row r="173" customFormat="false" ht="15" hidden="false" customHeight="false" outlineLevel="0" collapsed="false">
      <c r="A173" s="28"/>
      <c r="B173" s="29"/>
      <c r="C173" s="28"/>
      <c r="D173" s="28"/>
      <c r="E173" s="30"/>
      <c r="F173" s="28"/>
      <c r="G173" s="28"/>
      <c r="H173" s="28"/>
      <c r="I173" s="28"/>
      <c r="J173" s="28"/>
      <c r="K173" s="28"/>
      <c r="L173" s="28"/>
      <c r="M173" s="31" t="str">
        <f aca="false">IF(COUNTA(H173:L173)=0,"",SUMPRODUCT(H173:L173,$H$9:$L$9))</f>
        <v/>
      </c>
      <c r="N173" s="32" t="str">
        <f aca="false">IF(M173="","",IF(M173&gt;=4,"A",IF(M173&gt;=3,"B",IF(M173&gt;=2,"C","D"))))</f>
        <v/>
      </c>
      <c r="O173" s="28"/>
      <c r="P173" s="29"/>
    </row>
    <row r="174" customFormat="false" ht="15" hidden="false" customHeight="false" outlineLevel="0" collapsed="false">
      <c r="A174" s="28"/>
      <c r="B174" s="29"/>
      <c r="C174" s="28"/>
      <c r="D174" s="28"/>
      <c r="E174" s="30"/>
      <c r="F174" s="28"/>
      <c r="G174" s="28"/>
      <c r="H174" s="28"/>
      <c r="I174" s="28"/>
      <c r="J174" s="28"/>
      <c r="K174" s="28"/>
      <c r="L174" s="28"/>
      <c r="M174" s="31" t="str">
        <f aca="false">IF(COUNTA(H174:L174)=0,"",SUMPRODUCT(H174:L174,$H$9:$L$9))</f>
        <v/>
      </c>
      <c r="N174" s="32" t="str">
        <f aca="false">IF(M174="","",IF(M174&gt;=4,"A",IF(M174&gt;=3,"B",IF(M174&gt;=2,"C","D"))))</f>
        <v/>
      </c>
      <c r="O174" s="28"/>
      <c r="P174" s="29"/>
    </row>
    <row r="175" customFormat="false" ht="15" hidden="false" customHeight="false" outlineLevel="0" collapsed="false">
      <c r="A175" s="28"/>
      <c r="B175" s="29"/>
      <c r="C175" s="28"/>
      <c r="D175" s="28"/>
      <c r="E175" s="30"/>
      <c r="F175" s="28"/>
      <c r="G175" s="28"/>
      <c r="H175" s="28"/>
      <c r="I175" s="28"/>
      <c r="J175" s="28"/>
      <c r="K175" s="28"/>
      <c r="L175" s="28"/>
      <c r="M175" s="31" t="str">
        <f aca="false">IF(COUNTA(H175:L175)=0,"",SUMPRODUCT(H175:L175,$H$9:$L$9))</f>
        <v/>
      </c>
      <c r="N175" s="32" t="str">
        <f aca="false">IF(M175="","",IF(M175&gt;=4,"A",IF(M175&gt;=3,"B",IF(M175&gt;=2,"C","D"))))</f>
        <v/>
      </c>
      <c r="O175" s="28"/>
      <c r="P175" s="29"/>
    </row>
    <row r="176" customFormat="false" ht="15" hidden="false" customHeight="false" outlineLevel="0" collapsed="false">
      <c r="A176" s="28"/>
      <c r="B176" s="29"/>
      <c r="C176" s="28"/>
      <c r="D176" s="28"/>
      <c r="E176" s="30"/>
      <c r="F176" s="28"/>
      <c r="G176" s="28"/>
      <c r="H176" s="28"/>
      <c r="I176" s="28"/>
      <c r="J176" s="28"/>
      <c r="K176" s="28"/>
      <c r="L176" s="28"/>
      <c r="M176" s="31" t="str">
        <f aca="false">IF(COUNTA(H176:L176)=0,"",SUMPRODUCT(H176:L176,$H$9:$L$9))</f>
        <v/>
      </c>
      <c r="N176" s="32" t="str">
        <f aca="false">IF(M176="","",IF(M176&gt;=4,"A",IF(M176&gt;=3,"B",IF(M176&gt;=2,"C","D"))))</f>
        <v/>
      </c>
      <c r="O176" s="28"/>
      <c r="P176" s="29"/>
    </row>
    <row r="177" customFormat="false" ht="15" hidden="false" customHeight="false" outlineLevel="0" collapsed="false">
      <c r="A177" s="28"/>
      <c r="B177" s="29"/>
      <c r="C177" s="28"/>
      <c r="D177" s="28"/>
      <c r="E177" s="30"/>
      <c r="F177" s="28"/>
      <c r="G177" s="28"/>
      <c r="H177" s="28"/>
      <c r="I177" s="28"/>
      <c r="J177" s="28"/>
      <c r="K177" s="28"/>
      <c r="L177" s="28"/>
      <c r="M177" s="31" t="str">
        <f aca="false">IF(COUNTA(H177:L177)=0,"",SUMPRODUCT(H177:L177,$H$9:$L$9))</f>
        <v/>
      </c>
      <c r="N177" s="32" t="str">
        <f aca="false">IF(M177="","",IF(M177&gt;=4,"A",IF(M177&gt;=3,"B",IF(M177&gt;=2,"C","D"))))</f>
        <v/>
      </c>
      <c r="O177" s="28"/>
      <c r="P177" s="29"/>
    </row>
    <row r="178" customFormat="false" ht="15" hidden="false" customHeight="false" outlineLevel="0" collapsed="false">
      <c r="A178" s="28"/>
      <c r="B178" s="29"/>
      <c r="C178" s="28"/>
      <c r="D178" s="28"/>
      <c r="E178" s="30"/>
      <c r="F178" s="28"/>
      <c r="G178" s="28"/>
      <c r="H178" s="28"/>
      <c r="I178" s="28"/>
      <c r="J178" s="28"/>
      <c r="K178" s="28"/>
      <c r="L178" s="28"/>
      <c r="M178" s="31" t="str">
        <f aca="false">IF(COUNTA(H178:L178)=0,"",SUMPRODUCT(H178:L178,$H$9:$L$9))</f>
        <v/>
      </c>
      <c r="N178" s="32" t="str">
        <f aca="false">IF(M178="","",IF(M178&gt;=4,"A",IF(M178&gt;=3,"B",IF(M178&gt;=2,"C","D"))))</f>
        <v/>
      </c>
      <c r="O178" s="28"/>
      <c r="P178" s="29"/>
    </row>
    <row r="179" customFormat="false" ht="15" hidden="false" customHeight="false" outlineLevel="0" collapsed="false">
      <c r="A179" s="28"/>
      <c r="B179" s="29"/>
      <c r="C179" s="28"/>
      <c r="D179" s="28"/>
      <c r="E179" s="30"/>
      <c r="F179" s="28"/>
      <c r="G179" s="28"/>
      <c r="H179" s="28"/>
      <c r="I179" s="28"/>
      <c r="J179" s="28"/>
      <c r="K179" s="28"/>
      <c r="L179" s="28"/>
      <c r="M179" s="31" t="str">
        <f aca="false">IF(COUNTA(H179:L179)=0,"",SUMPRODUCT(H179:L179,$H$9:$L$9))</f>
        <v/>
      </c>
      <c r="N179" s="32" t="str">
        <f aca="false">IF(M179="","",IF(M179&gt;=4,"A",IF(M179&gt;=3,"B",IF(M179&gt;=2,"C","D"))))</f>
        <v/>
      </c>
      <c r="O179" s="28"/>
      <c r="P179" s="29"/>
    </row>
    <row r="180" customFormat="false" ht="15" hidden="false" customHeight="false" outlineLevel="0" collapsed="false">
      <c r="A180" s="28"/>
      <c r="B180" s="29"/>
      <c r="C180" s="28"/>
      <c r="D180" s="28"/>
      <c r="E180" s="30"/>
      <c r="F180" s="28"/>
      <c r="G180" s="28"/>
      <c r="H180" s="28"/>
      <c r="I180" s="28"/>
      <c r="J180" s="28"/>
      <c r="K180" s="28"/>
      <c r="L180" s="28"/>
      <c r="M180" s="31" t="str">
        <f aca="false">IF(COUNTA(H180:L180)=0,"",SUMPRODUCT(H180:L180,$H$9:$L$9))</f>
        <v/>
      </c>
      <c r="N180" s="32" t="str">
        <f aca="false">IF(M180="","",IF(M180&gt;=4,"A",IF(M180&gt;=3,"B",IF(M180&gt;=2,"C","D"))))</f>
        <v/>
      </c>
      <c r="O180" s="28"/>
      <c r="P180" s="29"/>
    </row>
    <row r="181" customFormat="false" ht="15" hidden="false" customHeight="false" outlineLevel="0" collapsed="false">
      <c r="A181" s="28"/>
      <c r="B181" s="29"/>
      <c r="C181" s="28"/>
      <c r="D181" s="28"/>
      <c r="E181" s="30"/>
      <c r="F181" s="28"/>
      <c r="G181" s="28"/>
      <c r="H181" s="28"/>
      <c r="I181" s="28"/>
      <c r="J181" s="28"/>
      <c r="K181" s="28"/>
      <c r="L181" s="28"/>
      <c r="M181" s="31" t="str">
        <f aca="false">IF(COUNTA(H181:L181)=0,"",SUMPRODUCT(H181:L181,$H$9:$L$9))</f>
        <v/>
      </c>
      <c r="N181" s="32" t="str">
        <f aca="false">IF(M181="","",IF(M181&gt;=4,"A",IF(M181&gt;=3,"B",IF(M181&gt;=2,"C","D"))))</f>
        <v/>
      </c>
      <c r="O181" s="28"/>
      <c r="P181" s="29"/>
    </row>
    <row r="182" customFormat="false" ht="15" hidden="false" customHeight="false" outlineLevel="0" collapsed="false">
      <c r="A182" s="28"/>
      <c r="B182" s="29"/>
      <c r="C182" s="28"/>
      <c r="D182" s="28"/>
      <c r="E182" s="30"/>
      <c r="F182" s="28"/>
      <c r="G182" s="28"/>
      <c r="H182" s="28"/>
      <c r="I182" s="28"/>
      <c r="J182" s="28"/>
      <c r="K182" s="28"/>
      <c r="L182" s="28"/>
      <c r="M182" s="31" t="str">
        <f aca="false">IF(COUNTA(H182:L182)=0,"",SUMPRODUCT(H182:L182,$H$9:$L$9))</f>
        <v/>
      </c>
      <c r="N182" s="32" t="str">
        <f aca="false">IF(M182="","",IF(M182&gt;=4,"A",IF(M182&gt;=3,"B",IF(M182&gt;=2,"C","D"))))</f>
        <v/>
      </c>
      <c r="O182" s="28"/>
      <c r="P182" s="29"/>
    </row>
    <row r="183" customFormat="false" ht="15" hidden="false" customHeight="false" outlineLevel="0" collapsed="false">
      <c r="A183" s="28"/>
      <c r="B183" s="29"/>
      <c r="C183" s="28"/>
      <c r="D183" s="28"/>
      <c r="E183" s="30"/>
      <c r="F183" s="28"/>
      <c r="G183" s="28"/>
      <c r="H183" s="28"/>
      <c r="I183" s="28"/>
      <c r="J183" s="28"/>
      <c r="K183" s="28"/>
      <c r="L183" s="28"/>
      <c r="M183" s="31" t="str">
        <f aca="false">IF(COUNTA(H183:L183)=0,"",SUMPRODUCT(H183:L183,$H$9:$L$9))</f>
        <v/>
      </c>
      <c r="N183" s="32" t="str">
        <f aca="false">IF(M183="","",IF(M183&gt;=4,"A",IF(M183&gt;=3,"B",IF(M183&gt;=2,"C","D"))))</f>
        <v/>
      </c>
      <c r="O183" s="28"/>
      <c r="P183" s="29"/>
    </row>
    <row r="184" customFormat="false" ht="15" hidden="false" customHeight="false" outlineLevel="0" collapsed="false">
      <c r="A184" s="28"/>
      <c r="B184" s="29"/>
      <c r="C184" s="28"/>
      <c r="D184" s="28"/>
      <c r="E184" s="30"/>
      <c r="F184" s="28"/>
      <c r="G184" s="28"/>
      <c r="H184" s="28"/>
      <c r="I184" s="28"/>
      <c r="J184" s="28"/>
      <c r="K184" s="28"/>
      <c r="L184" s="28"/>
      <c r="M184" s="31" t="str">
        <f aca="false">IF(COUNTA(H184:L184)=0,"",SUMPRODUCT(H184:L184,$H$9:$L$9))</f>
        <v/>
      </c>
      <c r="N184" s="32" t="str">
        <f aca="false">IF(M184="","",IF(M184&gt;=4,"A",IF(M184&gt;=3,"B",IF(M184&gt;=2,"C","D"))))</f>
        <v/>
      </c>
      <c r="O184" s="28"/>
      <c r="P184" s="29"/>
    </row>
    <row r="185" customFormat="false" ht="15" hidden="false" customHeight="false" outlineLevel="0" collapsed="false">
      <c r="A185" s="28"/>
      <c r="B185" s="29"/>
      <c r="C185" s="28"/>
      <c r="D185" s="28"/>
      <c r="E185" s="30"/>
      <c r="F185" s="28"/>
      <c r="G185" s="28"/>
      <c r="H185" s="28"/>
      <c r="I185" s="28"/>
      <c r="J185" s="28"/>
      <c r="K185" s="28"/>
      <c r="L185" s="28"/>
      <c r="M185" s="31" t="str">
        <f aca="false">IF(COUNTA(H185:L185)=0,"",SUMPRODUCT(H185:L185,$H$9:$L$9))</f>
        <v/>
      </c>
      <c r="N185" s="32" t="str">
        <f aca="false">IF(M185="","",IF(M185&gt;=4,"A",IF(M185&gt;=3,"B",IF(M185&gt;=2,"C","D"))))</f>
        <v/>
      </c>
      <c r="O185" s="28"/>
      <c r="P185" s="29"/>
    </row>
    <row r="186" customFormat="false" ht="15" hidden="false" customHeight="false" outlineLevel="0" collapsed="false">
      <c r="A186" s="28"/>
      <c r="B186" s="29"/>
      <c r="C186" s="28"/>
      <c r="D186" s="28"/>
      <c r="E186" s="30"/>
      <c r="F186" s="28"/>
      <c r="G186" s="28"/>
      <c r="H186" s="28"/>
      <c r="I186" s="28"/>
      <c r="J186" s="28"/>
      <c r="K186" s="28"/>
      <c r="L186" s="28"/>
      <c r="M186" s="31" t="str">
        <f aca="false">IF(COUNTA(H186:L186)=0,"",SUMPRODUCT(H186:L186,$H$9:$L$9))</f>
        <v/>
      </c>
      <c r="N186" s="32" t="str">
        <f aca="false">IF(M186="","",IF(M186&gt;=4,"A",IF(M186&gt;=3,"B",IF(M186&gt;=2,"C","D"))))</f>
        <v/>
      </c>
      <c r="O186" s="28"/>
      <c r="P186" s="29"/>
    </row>
    <row r="187" customFormat="false" ht="15" hidden="false" customHeight="false" outlineLevel="0" collapsed="false">
      <c r="A187" s="28"/>
      <c r="B187" s="29"/>
      <c r="C187" s="28"/>
      <c r="D187" s="28"/>
      <c r="E187" s="30"/>
      <c r="F187" s="28"/>
      <c r="G187" s="28"/>
      <c r="H187" s="28"/>
      <c r="I187" s="28"/>
      <c r="J187" s="28"/>
      <c r="K187" s="28"/>
      <c r="L187" s="28"/>
      <c r="M187" s="31" t="str">
        <f aca="false">IF(COUNTA(H187:L187)=0,"",SUMPRODUCT(H187:L187,$H$9:$L$9))</f>
        <v/>
      </c>
      <c r="N187" s="32" t="str">
        <f aca="false">IF(M187="","",IF(M187&gt;=4,"A",IF(M187&gt;=3,"B",IF(M187&gt;=2,"C","D"))))</f>
        <v/>
      </c>
      <c r="O187" s="28"/>
      <c r="P187" s="29"/>
    </row>
    <row r="188" customFormat="false" ht="15" hidden="false" customHeight="false" outlineLevel="0" collapsed="false">
      <c r="A188" s="28"/>
      <c r="B188" s="29"/>
      <c r="C188" s="28"/>
      <c r="D188" s="28"/>
      <c r="E188" s="30"/>
      <c r="F188" s="28"/>
      <c r="G188" s="28"/>
      <c r="H188" s="28"/>
      <c r="I188" s="28"/>
      <c r="J188" s="28"/>
      <c r="K188" s="28"/>
      <c r="L188" s="28"/>
      <c r="M188" s="31" t="str">
        <f aca="false">IF(COUNTA(H188:L188)=0,"",SUMPRODUCT(H188:L188,$H$9:$L$9))</f>
        <v/>
      </c>
      <c r="N188" s="32" t="str">
        <f aca="false">IF(M188="","",IF(M188&gt;=4,"A",IF(M188&gt;=3,"B",IF(M188&gt;=2,"C","D"))))</f>
        <v/>
      </c>
      <c r="O188" s="28"/>
      <c r="P188" s="29"/>
    </row>
    <row r="189" customFormat="false" ht="15" hidden="false" customHeight="false" outlineLevel="0" collapsed="false">
      <c r="A189" s="28"/>
      <c r="B189" s="29"/>
      <c r="C189" s="28"/>
      <c r="D189" s="28"/>
      <c r="E189" s="30"/>
      <c r="F189" s="28"/>
      <c r="G189" s="28"/>
      <c r="H189" s="28"/>
      <c r="I189" s="28"/>
      <c r="J189" s="28"/>
      <c r="K189" s="28"/>
      <c r="L189" s="28"/>
      <c r="M189" s="31" t="str">
        <f aca="false">IF(COUNTA(H189:L189)=0,"",SUMPRODUCT(H189:L189,$H$9:$L$9))</f>
        <v/>
      </c>
      <c r="N189" s="32" t="str">
        <f aca="false">IF(M189="","",IF(M189&gt;=4,"A",IF(M189&gt;=3,"B",IF(M189&gt;=2,"C","D"))))</f>
        <v/>
      </c>
      <c r="O189" s="28"/>
      <c r="P189" s="29"/>
    </row>
    <row r="190" customFormat="false" ht="15" hidden="false" customHeight="false" outlineLevel="0" collapsed="false">
      <c r="A190" s="28"/>
      <c r="B190" s="29"/>
      <c r="C190" s="28"/>
      <c r="D190" s="28"/>
      <c r="E190" s="30"/>
      <c r="F190" s="28"/>
      <c r="G190" s="28"/>
      <c r="H190" s="28"/>
      <c r="I190" s="28"/>
      <c r="J190" s="28"/>
      <c r="K190" s="28"/>
      <c r="L190" s="28"/>
      <c r="M190" s="31" t="str">
        <f aca="false">IF(COUNTA(H190:L190)=0,"",SUMPRODUCT(H190:L190,$H$9:$L$9))</f>
        <v/>
      </c>
      <c r="N190" s="32" t="str">
        <f aca="false">IF(M190="","",IF(M190&gt;=4,"A",IF(M190&gt;=3,"B",IF(M190&gt;=2,"C","D"))))</f>
        <v/>
      </c>
      <c r="O190" s="28"/>
      <c r="P190" s="29"/>
    </row>
    <row r="191" customFormat="false" ht="15" hidden="false" customHeight="false" outlineLevel="0" collapsed="false">
      <c r="A191" s="28"/>
      <c r="B191" s="29"/>
      <c r="C191" s="28"/>
      <c r="D191" s="28"/>
      <c r="E191" s="30"/>
      <c r="F191" s="28"/>
      <c r="G191" s="28"/>
      <c r="H191" s="28"/>
      <c r="I191" s="28"/>
      <c r="J191" s="28"/>
      <c r="K191" s="28"/>
      <c r="L191" s="28"/>
      <c r="M191" s="31" t="str">
        <f aca="false">IF(COUNTA(H191:L191)=0,"",SUMPRODUCT(H191:L191,$H$9:$L$9))</f>
        <v/>
      </c>
      <c r="N191" s="32" t="str">
        <f aca="false">IF(M191="","",IF(M191&gt;=4,"A",IF(M191&gt;=3,"B",IF(M191&gt;=2,"C","D"))))</f>
        <v/>
      </c>
      <c r="O191" s="28"/>
      <c r="P191" s="29"/>
    </row>
    <row r="192" customFormat="false" ht="15" hidden="false" customHeight="false" outlineLevel="0" collapsed="false">
      <c r="A192" s="28"/>
      <c r="B192" s="29"/>
      <c r="C192" s="28"/>
      <c r="D192" s="28"/>
      <c r="E192" s="30"/>
      <c r="F192" s="28"/>
      <c r="G192" s="28"/>
      <c r="H192" s="28"/>
      <c r="I192" s="28"/>
      <c r="J192" s="28"/>
      <c r="K192" s="28"/>
      <c r="L192" s="28"/>
      <c r="M192" s="31" t="str">
        <f aca="false">IF(COUNTA(H192:L192)=0,"",SUMPRODUCT(H192:L192,$H$9:$L$9))</f>
        <v/>
      </c>
      <c r="N192" s="32" t="str">
        <f aca="false">IF(M192="","",IF(M192&gt;=4,"A",IF(M192&gt;=3,"B",IF(M192&gt;=2,"C","D"))))</f>
        <v/>
      </c>
      <c r="O192" s="28"/>
      <c r="P192" s="29"/>
    </row>
    <row r="193" customFormat="false" ht="15" hidden="false" customHeight="false" outlineLevel="0" collapsed="false">
      <c r="A193" s="28"/>
      <c r="B193" s="29"/>
      <c r="C193" s="28"/>
      <c r="D193" s="28"/>
      <c r="E193" s="30"/>
      <c r="F193" s="28"/>
      <c r="G193" s="28"/>
      <c r="H193" s="28"/>
      <c r="I193" s="28"/>
      <c r="J193" s="28"/>
      <c r="K193" s="28"/>
      <c r="L193" s="28"/>
      <c r="M193" s="31" t="str">
        <f aca="false">IF(COUNTA(H193:L193)=0,"",SUMPRODUCT(H193:L193,$H$9:$L$9))</f>
        <v/>
      </c>
      <c r="N193" s="32" t="str">
        <f aca="false">IF(M193="","",IF(M193&gt;=4,"A",IF(M193&gt;=3,"B",IF(M193&gt;=2,"C","D"))))</f>
        <v/>
      </c>
      <c r="O193" s="28"/>
      <c r="P193" s="29"/>
    </row>
    <row r="194" customFormat="false" ht="15" hidden="false" customHeight="false" outlineLevel="0" collapsed="false">
      <c r="A194" s="28"/>
      <c r="B194" s="29"/>
      <c r="C194" s="28"/>
      <c r="D194" s="28"/>
      <c r="E194" s="30"/>
      <c r="F194" s="28"/>
      <c r="G194" s="28"/>
      <c r="H194" s="28"/>
      <c r="I194" s="28"/>
      <c r="J194" s="28"/>
      <c r="K194" s="28"/>
      <c r="L194" s="28"/>
      <c r="M194" s="31" t="str">
        <f aca="false">IF(COUNTA(H194:L194)=0,"",SUMPRODUCT(H194:L194,$H$9:$L$9))</f>
        <v/>
      </c>
      <c r="N194" s="32" t="str">
        <f aca="false">IF(M194="","",IF(M194&gt;=4,"A",IF(M194&gt;=3,"B",IF(M194&gt;=2,"C","D"))))</f>
        <v/>
      </c>
      <c r="O194" s="28"/>
      <c r="P194" s="29"/>
    </row>
    <row r="195" customFormat="false" ht="15" hidden="false" customHeight="false" outlineLevel="0" collapsed="false">
      <c r="A195" s="28"/>
      <c r="B195" s="29"/>
      <c r="C195" s="28"/>
      <c r="D195" s="28"/>
      <c r="E195" s="30"/>
      <c r="F195" s="28"/>
      <c r="G195" s="28"/>
      <c r="H195" s="28"/>
      <c r="I195" s="28"/>
      <c r="J195" s="28"/>
      <c r="K195" s="28"/>
      <c r="L195" s="28"/>
      <c r="M195" s="31" t="str">
        <f aca="false">IF(COUNTA(H195:L195)=0,"",SUMPRODUCT(H195:L195,$H$9:$L$9))</f>
        <v/>
      </c>
      <c r="N195" s="32" t="str">
        <f aca="false">IF(M195="","",IF(M195&gt;=4,"A",IF(M195&gt;=3,"B",IF(M195&gt;=2,"C","D"))))</f>
        <v/>
      </c>
      <c r="O195" s="28"/>
      <c r="P195" s="29"/>
    </row>
    <row r="196" customFormat="false" ht="15" hidden="false" customHeight="false" outlineLevel="0" collapsed="false">
      <c r="A196" s="28"/>
      <c r="B196" s="29"/>
      <c r="C196" s="28"/>
      <c r="D196" s="28"/>
      <c r="E196" s="30"/>
      <c r="F196" s="28"/>
      <c r="G196" s="28"/>
      <c r="H196" s="28"/>
      <c r="I196" s="28"/>
      <c r="J196" s="28"/>
      <c r="K196" s="28"/>
      <c r="L196" s="28"/>
      <c r="M196" s="31" t="str">
        <f aca="false">IF(COUNTA(H196:L196)=0,"",SUMPRODUCT(H196:L196,$H$9:$L$9))</f>
        <v/>
      </c>
      <c r="N196" s="32" t="str">
        <f aca="false">IF(M196="","",IF(M196&gt;=4,"A",IF(M196&gt;=3,"B",IF(M196&gt;=2,"C","D"))))</f>
        <v/>
      </c>
      <c r="O196" s="28"/>
      <c r="P196" s="29"/>
    </row>
    <row r="197" customFormat="false" ht="15" hidden="false" customHeight="false" outlineLevel="0" collapsed="false">
      <c r="A197" s="28"/>
      <c r="B197" s="29"/>
      <c r="C197" s="28"/>
      <c r="D197" s="28"/>
      <c r="E197" s="30"/>
      <c r="F197" s="28"/>
      <c r="G197" s="28"/>
      <c r="H197" s="28"/>
      <c r="I197" s="28"/>
      <c r="J197" s="28"/>
      <c r="K197" s="28"/>
      <c r="L197" s="28"/>
      <c r="M197" s="31" t="str">
        <f aca="false">IF(COUNTA(H197:L197)=0,"",SUMPRODUCT(H197:L197,$H$9:$L$9))</f>
        <v/>
      </c>
      <c r="N197" s="32" t="str">
        <f aca="false">IF(M197="","",IF(M197&gt;=4,"A",IF(M197&gt;=3,"B",IF(M197&gt;=2,"C","D"))))</f>
        <v/>
      </c>
      <c r="O197" s="28"/>
      <c r="P197" s="29"/>
    </row>
    <row r="198" customFormat="false" ht="15" hidden="false" customHeight="false" outlineLevel="0" collapsed="false">
      <c r="A198" s="28"/>
      <c r="B198" s="29"/>
      <c r="C198" s="28"/>
      <c r="D198" s="28"/>
      <c r="E198" s="30"/>
      <c r="F198" s="28"/>
      <c r="G198" s="28"/>
      <c r="H198" s="28"/>
      <c r="I198" s="28"/>
      <c r="J198" s="28"/>
      <c r="K198" s="28"/>
      <c r="L198" s="28"/>
      <c r="M198" s="31" t="str">
        <f aca="false">IF(COUNTA(H198:L198)=0,"",SUMPRODUCT(H198:L198,$H$9:$L$9))</f>
        <v/>
      </c>
      <c r="N198" s="32" t="str">
        <f aca="false">IF(M198="","",IF(M198&gt;=4,"A",IF(M198&gt;=3,"B",IF(M198&gt;=2,"C","D"))))</f>
        <v/>
      </c>
      <c r="O198" s="28"/>
      <c r="P198" s="29"/>
    </row>
    <row r="199" customFormat="false" ht="15" hidden="false" customHeight="false" outlineLevel="0" collapsed="false">
      <c r="A199" s="28"/>
      <c r="B199" s="29"/>
      <c r="C199" s="28"/>
      <c r="D199" s="28"/>
      <c r="E199" s="30"/>
      <c r="F199" s="28"/>
      <c r="G199" s="28"/>
      <c r="H199" s="28"/>
      <c r="I199" s="28"/>
      <c r="J199" s="28"/>
      <c r="K199" s="28"/>
      <c r="L199" s="28"/>
      <c r="M199" s="31" t="str">
        <f aca="false">IF(COUNTA(H199:L199)=0,"",SUMPRODUCT(H199:L199,$H$9:$L$9))</f>
        <v/>
      </c>
      <c r="N199" s="32" t="str">
        <f aca="false">IF(M199="","",IF(M199&gt;=4,"A",IF(M199&gt;=3,"B",IF(M199&gt;=2,"C","D"))))</f>
        <v/>
      </c>
      <c r="O199" s="28"/>
      <c r="P199" s="29"/>
    </row>
    <row r="200" customFormat="false" ht="15" hidden="false" customHeight="false" outlineLevel="0" collapsed="false">
      <c r="A200" s="28"/>
      <c r="B200" s="29"/>
      <c r="C200" s="28"/>
      <c r="D200" s="28"/>
      <c r="E200" s="30"/>
      <c r="F200" s="28"/>
      <c r="G200" s="28"/>
      <c r="H200" s="28"/>
      <c r="I200" s="28"/>
      <c r="J200" s="28"/>
      <c r="K200" s="28"/>
      <c r="L200" s="28"/>
      <c r="M200" s="31" t="str">
        <f aca="false">IF(COUNTA(H200:L200)=0,"",SUMPRODUCT(H200:L200,$H$9:$L$9))</f>
        <v/>
      </c>
      <c r="N200" s="32" t="str">
        <f aca="false">IF(M200="","",IF(M200&gt;=4,"A",IF(M200&gt;=3,"B",IF(M200&gt;=2,"C","D"))))</f>
        <v/>
      </c>
      <c r="O200" s="28"/>
      <c r="P200" s="29"/>
    </row>
  </sheetData>
  <autoFilter ref="A8:P8"/>
  <mergeCells count="3">
    <mergeCell ref="A1:P1"/>
    <mergeCell ref="A7:P7"/>
    <mergeCell ref="H10:L10"/>
  </mergeCells>
  <conditionalFormatting sqref="N11:N200">
    <cfRule type="cellIs" priority="2" operator="equal" aboveAverage="0" equalAverage="0" bottom="0" percent="0" rank="0" text="" dxfId="3">
      <formula>"A"</formula>
    </cfRule>
    <cfRule type="cellIs" priority="3" operator="equal" aboveAverage="0" equalAverage="0" bottom="0" percent="0" rank="0" text="" dxfId="4">
      <formula>"B"</formula>
    </cfRule>
    <cfRule type="cellIs" priority="4" operator="equal" aboveAverage="0" equalAverage="0" bottom="0" percent="0" rank="0" text="" dxfId="5">
      <formula>"C"</formula>
    </cfRule>
    <cfRule type="cellIs" priority="5" operator="equal" aboveAverage="0" equalAverage="0" bottom="0" percent="0" rank="0" text="" dxfId="5">
      <formula>"D"</formula>
    </cfRule>
  </conditionalFormatting>
  <conditionalFormatting sqref="M11:M200">
    <cfRule type="cellIs" priority="6" operator="greaterThanOrEqual" aboveAverage="0" equalAverage="0" bottom="0" percent="0" rank="0" text="" dxfId="3">
      <formula>4</formula>
    </cfRule>
    <cfRule type="cellIs" priority="7" operator="between" aboveAverage="0" equalAverage="0" bottom="0" percent="0" rank="0" text="" dxfId="4">
      <formula>3</formula>
      <formula>3.99</formula>
    </cfRule>
    <cfRule type="cellIs" priority="8" operator="lessThan" aboveAverage="0" equalAverage="0" bottom="0" percent="0" rank="0" text="" dxfId="5">
      <formula>3</formula>
    </cfRule>
  </conditionalFormatting>
  <conditionalFormatting sqref="O11:O200">
    <cfRule type="cellIs" priority="9" operator="equal" aboveAverage="0" equalAverage="0" bottom="0" percent="0" rank="0" text="" dxfId="3">
      <formula>"Implemented"</formula>
    </cfRule>
    <cfRule type="cellIs" priority="10" operator="equal" aboveAverage="0" equalAverage="0" bottom="0" percent="0" rank="0" text="" dxfId="3">
      <formula>"Approved"</formula>
    </cfRule>
    <cfRule type="cellIs" priority="11" operator="equal" aboveAverage="0" equalAverage="0" bottom="0" percent="0" rank="0" text="" dxfId="4">
      <formula>"Under Review"</formula>
    </cfRule>
    <cfRule type="cellIs" priority="12" operator="equal" aboveAverage="0" equalAverage="0" bottom="0" percent="0" rank="0" text="" dxfId="4">
      <formula>"Proposed"</formula>
    </cfRule>
    <cfRule type="cellIs" priority="13" operator="equal" aboveAverage="0" equalAverage="0" bottom="0" percent="0" rank="0" text="" dxfId="5">
      <formula>"Rejected"</formula>
    </cfRule>
  </conditionalFormatting>
  <dataValidations count="3">
    <dataValidation allowBlank="true" errorStyle="stop" operator="between" showDropDown="false" showErrorMessage="false" showInputMessage="false" sqref="C11:C200" type="list">
      <formula1>"Civil,Structural,Mechanical,Electrical,Instrumentation,Process,General"</formula1>
      <formula2>0</formula2>
    </dataValidation>
    <dataValidation allowBlank="true" errorStyle="stop" operator="between" showDropDown="false" showErrorMessage="false" showInputMessage="false" sqref="O11:O200" type="list">
      <formula1>"Proposed,Under Review,Approved,Implemented,Rejected"</formula1>
      <formula2>0</formula2>
    </dataValidation>
    <dataValidation allowBlank="true" error="Enter a score between 1 and 5" errorStyle="stop" operator="between" showDropDown="false" showErrorMessage="false" showInputMessage="false" sqref="H11:L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&amp;CValue Engineering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3" t="s">
        <v>99</v>
      </c>
    </row>
    <row r="2" customFormat="false" ht="15" hidden="false" customHeight="false" outlineLevel="0" collapsed="false">
      <c r="A2" s="34"/>
    </row>
    <row r="3" customFormat="false" ht="15" hidden="false" customHeight="false" outlineLevel="0" collapsed="false">
      <c r="A3" s="34" t="s">
        <v>100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5" t="s">
        <v>101</v>
      </c>
    </row>
    <row r="6" customFormat="false" ht="23.85" hidden="false" customHeight="false" outlineLevel="0" collapsed="false">
      <c r="A6" s="35" t="s">
        <v>102</v>
      </c>
    </row>
    <row r="7" customFormat="false" ht="15" hidden="false" customHeight="false" outlineLevel="0" collapsed="false">
      <c r="A7" s="35" t="s">
        <v>103</v>
      </c>
    </row>
    <row r="8" customFormat="false" ht="15" hidden="false" customHeight="false" outlineLevel="0" collapsed="false">
      <c r="A8" s="35" t="s">
        <v>104</v>
      </c>
    </row>
    <row r="9" customFormat="false" ht="23.85" hidden="false" customHeight="false" outlineLevel="0" collapsed="false">
      <c r="A9" s="35" t="s">
        <v>105</v>
      </c>
    </row>
    <row r="10" customFormat="false" ht="15" hidden="false" customHeight="false" outlineLevel="0" collapsed="false">
      <c r="A10" s="35" t="s">
        <v>106</v>
      </c>
    </row>
    <row r="11" customFormat="false" ht="15" hidden="false" customHeight="false" outlineLevel="0" collapsed="false">
      <c r="A11" s="34"/>
    </row>
    <row r="12" customFormat="false" ht="15" hidden="false" customHeight="false" outlineLevel="0" collapsed="false">
      <c r="A12" s="3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2026-03-24T16:43:31Z</dcterms:created>
  <dc:creator>Ebrora Ltd</dc:creator>
  <dc:description>Triage and score value engineering ideas against cost saving, time saving, CO₂ reduction, risk, and feasibility using weighted scoring with automatic grading and implementation tracking.
Free professional construction management template from Ebrora Ltd. Visit ebrora.com for our full range of tools and templates.</dc:description>
  <cp:keywords>Ebrora construction value engineering scoring carbon cost saving commercial sustainability</cp:keywords>
  <dc:language>en-US</dc:language>
  <cp:lastModifiedBy>Ebrora Ltd</cp:lastModifiedBy>
  <dcterms:modified xsi:type="dcterms:W3CDTF">2026-03-24T16:43:32Z</dcterms:modified>
  <cp:revision>0</cp:revision>
  <dc:subject>Triage and score VE ideas against cost, time, and carbon savings with weighted scoring and implementation tracking.</dc:subject>
  <dc:title>Value Engineering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