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olation Schedule" sheetId="1" state="visible" r:id="rId3"/>
    <sheet name="Instructions" sheetId="2" state="visible" r:id="rId4"/>
  </sheets>
  <definedNames>
    <definedName function="false" hidden="false" localSheetId="0" name="_xlnm.Print_Area" vbProcedure="false">'Isolation Schedule'!$A$1:$Q$39</definedName>
    <definedName function="false" hidden="false" localSheetId="0" name="_xlnm.Print_Titles" vbProcedure="false">'Isolation Schedule'!$1:$6</definedName>
    <definedName function="false" hidden="true" localSheetId="0" name="_xlnm._FilterDatabase" vbProcedure="false">'Isolation Schedule'!$A$6:$Q$31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<sst xmlns="http://schemas.openxmlformats.org/spreadsheetml/2006/main" count="47" uniqueCount="46">
  <si>
    <t xml:space="preserve">ebrora.com</t>
  </si>
  <si>
    <t xml:space="preserve">ISOLATION POINT SCHEDULE</t>
  </si>
  <si>
    <t xml:space="preserve">Ref: HSE HSG253 — The Safe Isolation of Plant and Equipment; Electricity at Work Regulations 1989</t>
  </si>
  <si>
    <t xml:space="preserve">Project / Plant:</t>
  </si>
  <si>
    <t xml:space="preserve">Permit Ref:</t>
  </si>
  <si>
    <t xml:space="preserve">Prepared By:</t>
  </si>
  <si>
    <t xml:space="preserve">Rev:</t>
  </si>
  <si>
    <t xml:space="preserve">No.</t>
  </si>
  <si>
    <t xml:space="preserve">Isolation
Point Ref</t>
  </si>
  <si>
    <t xml:space="preserve">P&amp;ID /
Drawing Ref</t>
  </si>
  <si>
    <t xml:space="preserve">Tag No. /
Equipment ID</t>
  </si>
  <si>
    <t xml:space="preserve">Description /
Location</t>
  </si>
  <si>
    <t xml:space="preserve">Isolation
Type</t>
  </si>
  <si>
    <t xml:space="preserve">Energy
Source</t>
  </si>
  <si>
    <t xml:space="preserve">Normal
Position</t>
  </si>
  <si>
    <t xml:space="preserve">Isolation
Method</t>
  </si>
  <si>
    <t xml:space="preserve">Isolated
Position</t>
  </si>
  <si>
    <t xml:space="preserve">Lock
No.</t>
  </si>
  <si>
    <t xml:space="preserve">Isolated By</t>
  </si>
  <si>
    <t xml:space="preserve">Date/Time
Isolated</t>
  </si>
  <si>
    <t xml:space="preserve">Proved
Dead /
Drained?
(Yes/No)</t>
  </si>
  <si>
    <t xml:space="preserve">De-Isolated
By</t>
  </si>
  <si>
    <t xml:space="preserve">Date/Time
De-Isolated</t>
  </si>
  <si>
    <t xml:space="preserve">Status</t>
  </si>
  <si>
    <t xml:space="preserve">SUMMARY</t>
  </si>
  <si>
    <t xml:space="preserve">Total Isolation Points:</t>
  </si>
  <si>
    <t xml:space="preserve">Isolated:</t>
  </si>
  <si>
    <t xml:space="preserve">Partially Isolated:</t>
  </si>
  <si>
    <t xml:space="preserve">De-Isolated:</t>
  </si>
  <si>
    <t xml:space="preserve">Pending:</t>
  </si>
  <si>
    <t xml:space="preserve">Not Proved Dead:</t>
  </si>
  <si>
    <t xml:space="preserve">INSTRUCTIONS — Isolation Point Schedule</t>
  </si>
  <si>
    <t xml:space="preserve">How to Use This Template</t>
  </si>
  <si>
    <t xml:space="preserve">1. List every isolation point required for the scope of work.</t>
  </si>
  <si>
    <t xml:space="preserve">2. Reference the P&amp;ID/drawing and tag number for each point.</t>
  </si>
  <si>
    <t xml:space="preserve">3. Record the isolation type, energy source, and normal/isolated positions.</t>
  </si>
  <si>
    <t xml:space="preserve">4. Select the isolation method and assign a lock number.</t>
  </si>
  <si>
    <t xml:space="preserve">5. Record who isolated, when, and whether the system was proved dead/drained.</t>
  </si>
  <si>
    <t xml:space="preserve">6. 'Not Proved Dead' is flagged red — isolation must be verified before work begins.</t>
  </si>
  <si>
    <t xml:space="preserve">7. Track de-isolation on completion of work.</t>
  </si>
  <si>
    <t xml:space="preserve">8. This schedule should be attached to the associated Permit to Work.</t>
  </si>
  <si>
    <t xml:space="preserve">References:</t>
  </si>
  <si>
    <t xml:space="preserve">  HSE HSG253 — The Safe Isolation of Plant and Equipment</t>
  </si>
  <si>
    <t xml:space="preserve">  Electricity at Work Regulations 1989</t>
  </si>
  <si>
    <t xml:space="preserve">  PUWER 1998</t>
  </si>
  <si>
    <t xml:space="preserve">  HSE guidance GS38 — Electrical Test Equipment for Use by Electricians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</si>
</sst>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80808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3" min="12" style="0" width="12"/>
    <col collapsed="false" customWidth="true" hidden="false" outlineLevel="0" max="14" min="14" style="0" width="10"/>
    <col collapsed="false" customWidth="true" hidden="false" outlineLevel="0" max="16" min="15" style="0" width="12"/>
    <col collapsed="false" customWidth="true" hidden="false" outlineLevel="0" max="17" min="17" style="0" width="11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23.85" hidden="false" customHeight="true" outlineLevel="0" collapsed="false">
      <c r="A4" s="4" t="s">
        <v>3</v>
      </c>
      <c r="B4" s="4"/>
      <c r="C4" s="5"/>
      <c r="D4" s="5"/>
      <c r="E4" s="5"/>
      <c r="F4" s="5"/>
      <c r="G4" s="4" t="s">
        <v>4</v>
      </c>
      <c r="H4" s="5"/>
      <c r="I4" s="5"/>
      <c r="J4" s="4" t="s">
        <v>5</v>
      </c>
      <c r="K4" s="5"/>
      <c r="L4" s="5"/>
      <c r="M4" s="5"/>
      <c r="N4" s="4" t="s">
        <v>6</v>
      </c>
      <c r="O4" s="5"/>
    </row>
    <row r="6" customFormat="false" ht="51.75" hidden="false" customHeight="true" outlineLevel="0" collapsed="false">
      <c r="A6" s="6" t="s">
        <v>7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6" t="s">
        <v>14</v>
      </c>
      <c r="I6" s="6" t="s">
        <v>15</v>
      </c>
      <c r="J6" s="6" t="s">
        <v>16</v>
      </c>
      <c r="K6" s="6" t="s">
        <v>17</v>
      </c>
      <c r="L6" s="6" t="s">
        <v>18</v>
      </c>
      <c r="M6" s="6" t="s">
        <v>19</v>
      </c>
      <c r="N6" s="6" t="s">
        <v>20</v>
      </c>
      <c r="O6" s="6" t="s">
        <v>21</v>
      </c>
      <c r="P6" s="6" t="s">
        <v>22</v>
      </c>
      <c r="Q6" s="6" t="s">
        <v>23</v>
      </c>
    </row>
    <row r="7" customFormat="false" ht="24" hidden="false" customHeight="true" outlineLevel="0" collapsed="false">
      <c r="A7" s="7" t="n">
        <v>1</v>
      </c>
      <c r="B7" s="8"/>
      <c r="C7" s="8"/>
      <c r="D7" s="8"/>
      <c r="E7" s="5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customFormat="false" ht="24" hidden="false" customHeight="true" outlineLevel="0" collapsed="false">
      <c r="A8" s="9" t="n">
        <v>2</v>
      </c>
      <c r="B8" s="8"/>
      <c r="C8" s="8"/>
      <c r="D8" s="8"/>
      <c r="E8" s="5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customFormat="false" ht="24" hidden="false" customHeight="true" outlineLevel="0" collapsed="false">
      <c r="A9" s="7" t="n">
        <v>3</v>
      </c>
      <c r="B9" s="8"/>
      <c r="C9" s="8"/>
      <c r="D9" s="8"/>
      <c r="E9" s="5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customFormat="false" ht="24" hidden="false" customHeight="true" outlineLevel="0" collapsed="false">
      <c r="A10" s="9" t="n">
        <v>4</v>
      </c>
      <c r="B10" s="8"/>
      <c r="C10" s="8"/>
      <c r="D10" s="8"/>
      <c r="E10" s="5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customFormat="false" ht="24" hidden="false" customHeight="true" outlineLevel="0" collapsed="false">
      <c r="A11" s="7" t="n">
        <v>5</v>
      </c>
      <c r="B11" s="8"/>
      <c r="C11" s="8"/>
      <c r="D11" s="8"/>
      <c r="E11" s="5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customFormat="false" ht="24" hidden="false" customHeight="true" outlineLevel="0" collapsed="false">
      <c r="A12" s="9" t="n">
        <v>6</v>
      </c>
      <c r="B12" s="8"/>
      <c r="C12" s="8"/>
      <c r="D12" s="8"/>
      <c r="E12" s="5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customFormat="false" ht="24" hidden="false" customHeight="true" outlineLevel="0" collapsed="false">
      <c r="A13" s="7" t="n">
        <v>7</v>
      </c>
      <c r="B13" s="8"/>
      <c r="C13" s="8"/>
      <c r="D13" s="8"/>
      <c r="E13" s="5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customFormat="false" ht="24" hidden="false" customHeight="true" outlineLevel="0" collapsed="false">
      <c r="A14" s="9" t="n">
        <v>8</v>
      </c>
      <c r="B14" s="8"/>
      <c r="C14" s="8"/>
      <c r="D14" s="8"/>
      <c r="E14" s="5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customFormat="false" ht="24" hidden="false" customHeight="true" outlineLevel="0" collapsed="false">
      <c r="A15" s="7" t="n">
        <v>9</v>
      </c>
      <c r="B15" s="8"/>
      <c r="C15" s="8"/>
      <c r="D15" s="8"/>
      <c r="E15" s="5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customFormat="false" ht="24" hidden="false" customHeight="true" outlineLevel="0" collapsed="false">
      <c r="A16" s="9" t="n">
        <v>10</v>
      </c>
      <c r="B16" s="8"/>
      <c r="C16" s="8"/>
      <c r="D16" s="8"/>
      <c r="E16" s="5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customFormat="false" ht="24" hidden="false" customHeight="true" outlineLevel="0" collapsed="false">
      <c r="A17" s="7" t="n">
        <v>11</v>
      </c>
      <c r="B17" s="8"/>
      <c r="C17" s="8"/>
      <c r="D17" s="8"/>
      <c r="E17" s="5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customFormat="false" ht="24" hidden="false" customHeight="true" outlineLevel="0" collapsed="false">
      <c r="A18" s="9" t="n">
        <v>12</v>
      </c>
      <c r="B18" s="8"/>
      <c r="C18" s="8"/>
      <c r="D18" s="8"/>
      <c r="E18" s="5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customFormat="false" ht="24" hidden="false" customHeight="true" outlineLevel="0" collapsed="false">
      <c r="A19" s="7" t="n">
        <v>13</v>
      </c>
      <c r="B19" s="8"/>
      <c r="C19" s="8"/>
      <c r="D19" s="8"/>
      <c r="E19" s="5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customFormat="false" ht="24" hidden="false" customHeight="true" outlineLevel="0" collapsed="false">
      <c r="A20" s="9" t="n">
        <v>14</v>
      </c>
      <c r="B20" s="8"/>
      <c r="C20" s="8"/>
      <c r="D20" s="8"/>
      <c r="E20" s="5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customFormat="false" ht="24" hidden="false" customHeight="true" outlineLevel="0" collapsed="false">
      <c r="A21" s="7" t="n">
        <v>15</v>
      </c>
      <c r="B21" s="8"/>
      <c r="C21" s="8"/>
      <c r="D21" s="8"/>
      <c r="E21" s="5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customFormat="false" ht="24" hidden="false" customHeight="true" outlineLevel="0" collapsed="false">
      <c r="A22" s="9" t="n">
        <v>16</v>
      </c>
      <c r="B22" s="8"/>
      <c r="C22" s="8"/>
      <c r="D22" s="8"/>
      <c r="E22" s="5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customFormat="false" ht="24" hidden="false" customHeight="true" outlineLevel="0" collapsed="false">
      <c r="A23" s="7" t="n">
        <v>17</v>
      </c>
      <c r="B23" s="8"/>
      <c r="C23" s="8"/>
      <c r="D23" s="8"/>
      <c r="E23" s="5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customFormat="false" ht="24" hidden="false" customHeight="true" outlineLevel="0" collapsed="false">
      <c r="A24" s="9" t="n">
        <v>18</v>
      </c>
      <c r="B24" s="8"/>
      <c r="C24" s="8"/>
      <c r="D24" s="8"/>
      <c r="E24" s="5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customFormat="false" ht="24" hidden="false" customHeight="true" outlineLevel="0" collapsed="false">
      <c r="A25" s="7" t="n">
        <v>19</v>
      </c>
      <c r="B25" s="8"/>
      <c r="C25" s="8"/>
      <c r="D25" s="8"/>
      <c r="E25" s="5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customFormat="false" ht="24" hidden="false" customHeight="true" outlineLevel="0" collapsed="false">
      <c r="A26" s="9" t="n">
        <v>20</v>
      </c>
      <c r="B26" s="8"/>
      <c r="C26" s="8"/>
      <c r="D26" s="8"/>
      <c r="E26" s="5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customFormat="false" ht="24" hidden="false" customHeight="true" outlineLevel="0" collapsed="false">
      <c r="A27" s="7" t="n">
        <v>21</v>
      </c>
      <c r="B27" s="8"/>
      <c r="C27" s="8"/>
      <c r="D27" s="8"/>
      <c r="E27" s="5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customFormat="false" ht="24" hidden="false" customHeight="true" outlineLevel="0" collapsed="false">
      <c r="A28" s="9" t="n">
        <v>22</v>
      </c>
      <c r="B28" s="8"/>
      <c r="C28" s="8"/>
      <c r="D28" s="8"/>
      <c r="E28" s="5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customFormat="false" ht="24" hidden="false" customHeight="true" outlineLevel="0" collapsed="false">
      <c r="A29" s="7" t="n">
        <v>23</v>
      </c>
      <c r="B29" s="8"/>
      <c r="C29" s="8"/>
      <c r="D29" s="8"/>
      <c r="E29" s="5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customFormat="false" ht="24" hidden="false" customHeight="true" outlineLevel="0" collapsed="false">
      <c r="A30" s="9" t="n">
        <v>24</v>
      </c>
      <c r="B30" s="8"/>
      <c r="C30" s="8"/>
      <c r="D30" s="8"/>
      <c r="E30" s="5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customFormat="false" ht="24" hidden="false" customHeight="true" outlineLevel="0" collapsed="false">
      <c r="A31" s="7" t="n">
        <v>25</v>
      </c>
      <c r="B31" s="8"/>
      <c r="C31" s="8"/>
      <c r="D31" s="8"/>
      <c r="E31" s="5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3" customFormat="false" ht="15" hidden="false" customHeight="true" outlineLevel="0" collapsed="false">
      <c r="A33" s="10" t="s">
        <v>24</v>
      </c>
      <c r="B33" s="10"/>
      <c r="C33" s="10"/>
    </row>
    <row r="34" customFormat="false" ht="23.85" hidden="false" customHeight="true" outlineLevel="0" collapsed="false">
      <c r="A34" s="4" t="s">
        <v>25</v>
      </c>
      <c r="B34" s="4"/>
      <c r="C34" s="11" t="n">
        <f aca="false">COUNTA(B7:B31)</f>
        <v>0</v>
      </c>
    </row>
    <row r="35" customFormat="false" ht="15" hidden="false" customHeight="true" outlineLevel="0" collapsed="false">
      <c r="A35" s="4" t="s">
        <v>26</v>
      </c>
      <c r="B35" s="4"/>
      <c r="C35" s="11" t="n">
        <f aca="false">COUNTIF(Q7:Q31,"Isolated")</f>
        <v>0</v>
      </c>
    </row>
    <row r="36" customFormat="false" ht="23.85" hidden="false" customHeight="true" outlineLevel="0" collapsed="false">
      <c r="A36" s="4" t="s">
        <v>27</v>
      </c>
      <c r="B36" s="4"/>
      <c r="C36" s="11" t="n">
        <f aca="false">COUNTIF(Q7:Q31,"Partially Isolated")</f>
        <v>0</v>
      </c>
    </row>
    <row r="37" customFormat="false" ht="15" hidden="false" customHeight="true" outlineLevel="0" collapsed="false">
      <c r="A37" s="4" t="s">
        <v>28</v>
      </c>
      <c r="B37" s="4"/>
      <c r="C37" s="11" t="n">
        <f aca="false">COUNTIF(Q7:Q31,"De-Isolated")</f>
        <v>0</v>
      </c>
    </row>
    <row r="38" customFormat="false" ht="15" hidden="false" customHeight="true" outlineLevel="0" collapsed="false">
      <c r="A38" s="4" t="s">
        <v>29</v>
      </c>
      <c r="B38" s="4"/>
      <c r="C38" s="11" t="n">
        <f aca="false">COUNTIF(Q7:Q31,"Pending")</f>
        <v>0</v>
      </c>
    </row>
    <row r="39" customFormat="false" ht="23.85" hidden="false" customHeight="true" outlineLevel="0" collapsed="false">
      <c r="A39" s="4" t="s">
        <v>30</v>
      </c>
      <c r="B39" s="4"/>
      <c r="C39" s="11" t="n">
        <f aca="false">COUNTIF(N7:N31,"No")</f>
        <v>0</v>
      </c>
    </row>
  </sheetData>
  <autoFilter ref="A6:Q31"/>
  <mergeCells count="14">
    <mergeCell ref="A1:Q1"/>
    <mergeCell ref="A2:Q2"/>
    <mergeCell ref="A3:Q3"/>
    <mergeCell ref="A4:B4"/>
    <mergeCell ref="C4:F4"/>
    <mergeCell ref="H4:I4"/>
    <mergeCell ref="K4:M4"/>
    <mergeCell ref="A33:C33"/>
    <mergeCell ref="A34:B34"/>
    <mergeCell ref="A35:B35"/>
    <mergeCell ref="A36:B36"/>
    <mergeCell ref="A37:B37"/>
    <mergeCell ref="A38:B38"/>
    <mergeCell ref="A39:B39"/>
  </mergeCells>
  <conditionalFormatting sqref="Q7:Q31">
    <cfRule type="cellIs" priority="2" operator="equal" aboveAverage="0" equalAverage="0" bottom="0" percent="0" rank="0" text="" dxfId="5">
      <formula>"Isolated"</formula>
    </cfRule>
    <cfRule type="cellIs" priority="3" operator="equal" aboveAverage="0" equalAverage="0" bottom="0" percent="0" rank="0" text="" dxfId="6">
      <formula>"Partially Isolated"</formula>
    </cfRule>
    <cfRule type="cellIs" priority="4" operator="equal" aboveAverage="0" equalAverage="0" bottom="0" percent="0" rank="0" text="" dxfId="7">
      <formula>"Pending"</formula>
    </cfRule>
    <cfRule type="cellIs" priority="5" operator="equal" aboveAverage="0" equalAverage="0" bottom="0" percent="0" rank="0" text="" dxfId="8">
      <formula>"De-Isolated"</formula>
    </cfRule>
  </conditionalFormatting>
  <conditionalFormatting sqref="N7:N31">
    <cfRule type="cellIs" priority="6" operator="equal" aboveAverage="0" equalAverage="0" bottom="0" percent="0" rank="0" text="" dxfId="7">
      <formula>"No"</formula>
    </cfRule>
  </conditionalFormatting>
  <dataValidations count="6">
    <dataValidation allowBlank="true" errorStyle="stop" operator="between" showDropDown="false" showErrorMessage="false" showInputMessage="false" sqref="F7:F31" type="list">
      <formula1>"Electrical,Mechanical,Process (Valve),Pneumatic,Hydraulic,Instrument,Control System,Other"</formula1>
      <formula2>0</formula2>
    </dataValidation>
    <dataValidation allowBlank="true" errorStyle="stop" operator="between" showDropDown="false" showErrorMessage="false" showInputMessage="false" sqref="G7:G31" type="list">
      <formula1>"Electrical (LV),Electrical (HV),Steam,Compressed Air,Hydraulic Fluid,Natural Gas,Process Fluid,Water,Chemical,Stored Energy,Other"</formula1>
      <formula2>0</formula2>
    </dataValidation>
    <dataValidation allowBlank="true" errorStyle="stop" operator="between" showDropDown="false" showErrorMessage="false" showInputMessage="false" sqref="H7:H31 J7:J31" type="list">
      <formula1>"Open,Closed,On,Off,Energised,De-Energised"</formula1>
      <formula2>0</formula2>
    </dataValidation>
    <dataValidation allowBlank="true" errorStyle="stop" operator="between" showDropDown="false" showErrorMessage="false" showInputMessage="false" sqref="I7:I31" type="list">
      <formula1>"Locked Off,Valve Closed &amp; Locked,Fuse Removed,CB Racked Out,Blank / Spade,Disconnected,Double Block &amp; Bleed,Other"</formula1>
      <formula2>0</formula2>
    </dataValidation>
    <dataValidation allowBlank="true" errorStyle="stop" operator="between" showDropDown="false" showErrorMessage="false" showInputMessage="false" sqref="N7:N31" type="list">
      <formula1>"Yes,No"</formula1>
      <formula2>0</formula2>
    </dataValidation>
    <dataValidation allowBlank="true" errorStyle="stop" operator="between" showDropDown="false" showErrorMessage="false" showInputMessage="false" sqref="Q7:Q31" type="list">
      <formula1>"Isolated,Partially Isolated,De-Isolated,Pending"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31</v>
      </c>
      <c r="B2" s="2"/>
    </row>
    <row r="4" customFormat="false" ht="15" hidden="false" customHeight="false" outlineLevel="0" collapsed="false">
      <c r="B4" s="10" t="s">
        <v>32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33</v>
      </c>
    </row>
    <row r="7" customFormat="false" ht="15" hidden="false" customHeight="false" outlineLevel="0" collapsed="false">
      <c r="B7" s="12" t="s">
        <v>34</v>
      </c>
    </row>
    <row r="8" customFormat="false" ht="15" hidden="false" customHeight="false" outlineLevel="0" collapsed="false">
      <c r="B8" s="12" t="s">
        <v>35</v>
      </c>
    </row>
    <row r="9" customFormat="false" ht="15" hidden="false" customHeight="false" outlineLevel="0" collapsed="false">
      <c r="B9" s="12" t="s">
        <v>36</v>
      </c>
    </row>
    <row r="10" customFormat="false" ht="15" hidden="false" customHeight="false" outlineLevel="0" collapsed="false">
      <c r="B10" s="12" t="s">
        <v>37</v>
      </c>
    </row>
    <row r="11" customFormat="false" ht="15" hidden="false" customHeight="false" outlineLevel="0" collapsed="false">
      <c r="B11" s="12" t="s">
        <v>38</v>
      </c>
    </row>
    <row r="12" customFormat="false" ht="15" hidden="false" customHeight="false" outlineLevel="0" collapsed="false">
      <c r="B12" s="12" t="s">
        <v>39</v>
      </c>
    </row>
    <row r="13" customFormat="false" ht="15" hidden="false" customHeight="false" outlineLevel="0" collapsed="false">
      <c r="B13" s="12" t="s">
        <v>40</v>
      </c>
    </row>
    <row r="14" customFormat="false" ht="15" hidden="false" customHeight="false" outlineLevel="0" collapsed="false">
      <c r="B14" s="12"/>
    </row>
    <row r="15" customFormat="false" ht="15" hidden="false" customHeight="false" outlineLevel="0" collapsed="false">
      <c r="B15" s="10" t="s">
        <v>41</v>
      </c>
    </row>
    <row r="16" customFormat="false" ht="15" hidden="false" customHeight="false" outlineLevel="0" collapsed="false">
      <c r="B16" s="3" t="s">
        <v>42</v>
      </c>
    </row>
    <row r="17" customFormat="false" ht="15" hidden="false" customHeight="false" outlineLevel="0" collapsed="false">
      <c r="B17" s="3" t="s">
        <v>43</v>
      </c>
    </row>
    <row r="18" customFormat="false" ht="15" hidden="false" customHeight="false" outlineLevel="0" collapsed="false">
      <c r="B18" s="3" t="s">
        <v>44</v>
      </c>
    </row>
    <row r="19" customFormat="false" ht="15" hidden="false" customHeight="false" outlineLevel="0" collapsed="false">
      <c r="B19" s="3" t="s">
        <v>45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2026-03-27T16:56:46Z</dcterms:created>
  <dc:creator>openpyxl</dc:creator>
  <dc:description/>
  <dc:language>en-US</dc:language>
  <cp:lastModifiedBy/>
  <dcterms:modified xsi:type="dcterms:W3CDTF">2026-03-27T16:56:46Z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