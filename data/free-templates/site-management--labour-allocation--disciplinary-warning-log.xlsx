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Disciplinary Log"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'Disciplinary Log'!$A$1:$N$59</definedName>
    <definedName function="false" hidden="true" localSheetId="2" name="_xlnm._FilterDatabase" vbProcedure="false">'Disciplinary Log'!$A$9:$N$509</definedName>
    <definedName function="false" hidden="false" name="DisciplinaryLog" vbProcedure="false">'Disciplinary Log'!$A$9:$N$509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<sst xmlns="http://schemas.openxmlformats.org/spreadsheetml/2006/main" count="111" uniqueCount="96">
  <si>
    <t xml:space="preserve">EBRORA</t>
  </si>
  <si>
    <t xml:space="preserve">ebrora.com</t>
  </si>
  <si>
    <t xml:space="preserve">Disciplinary / Warning Log</t>
  </si>
  <si>
    <t xml:space="preserve">Confidential log of disciplinary actions with escalation stage tracking.</t>
  </si>
  <si>
    <t xml:space="preserve">Auto-calculated warning expiry, days since action, and case status monitoring.</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</si>
  <si>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</si>
  <si>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</si>
  <si>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</si>
  <si>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</si>
  <si>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</si>
  <si>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'Disciplinary Log' sheet. This is a CONFIDENTIAL document — restrict access to HR and senior management only.</t>
  </si>
  <si>
    <t xml:space="preserve">2.</t>
  </si>
  <si>
    <t xml:space="preserve">Log each disciplinary case with the employee name, role, employer, date of incident, and a brief description of the issue.</t>
  </si>
  <si>
    <t xml:space="preserve">3.</t>
  </si>
  <si>
    <t xml:space="preserve">Select the warning stage from the dropdown: Verbal Warning → First Written → Final Written → Dismissal. This follows ACAS guidelines.</t>
  </si>
  <si>
    <t xml:space="preserve">4.</t>
  </si>
  <si>
    <t xml:space="preserve">Enter the date the warning was issued. The Warning Expiry column auto-calculates based on standard durations (6 months for verbal, 12 months for written).</t>
  </si>
  <si>
    <t xml:space="preserve">5.</t>
  </si>
  <si>
    <t xml:space="preserve">The Days Since Action column tracks elapsed time. Warnings approaching expiry turn amber. Active warnings turn red.</t>
  </si>
  <si>
    <t xml:space="preserve">6.</t>
  </si>
  <si>
    <t xml:space="preserve">Expand optional columns for investigating officer, hearing date, appeal status, outcome, and HR sign-off.</t>
  </si>
  <si>
    <t xml:space="preserve">7.</t>
  </si>
  <si>
    <t xml:space="preserve">The dashboard shows open/closed cases and counts by stage. Review monthly with HR to ensure no cases are stalled.</t>
  </si>
  <si>
    <t xml:space="preserve">Colour Key</t>
  </si>
  <si>
    <t xml:space="preserve">Light teal — user input / editable</t>
  </si>
  <si>
    <t xml:space="preserve">  </t>
  </si>
  <si>
    <t xml:space="preserve">Dark navy — headers</t>
  </si>
  <si>
    <t xml:space="preserve">Red — Active warning / high-stage case</t>
  </si>
  <si>
    <t xml:space="preserve">Amber — Warning approaching expiry / under appeal</t>
  </si>
  <si>
    <t xml:space="preserve">Green — Closed / warning expired</t>
  </si>
  <si>
    <t xml:space="preserve">Tips</t>
  </si>
  <si>
    <t xml:space="preserve">•</t>
  </si>
  <si>
    <t xml:space="preserve">Always follow ACAS Code of Practice on Disciplinary and Grievance Procedures — failure to do so weakens any tribunal defence.</t>
  </si>
  <si>
    <t xml:space="preserve">Keep this log password-protected. Disciplinary records are sensitive personal data under UK GDPR.</t>
  </si>
  <si>
    <t xml:space="preserve">Never issue a warning without first conducting a fair investigation and giving the employee a right to be accompanied.</t>
  </si>
  <si>
    <t xml:space="preserve">DISCIPLINARY / WARNING LOG — CONFIDENTIAL</t>
  </si>
  <si>
    <t xml:space="preserve">Cases by Stage</t>
  </si>
  <si>
    <t xml:space="preserve">Case Status</t>
  </si>
  <si>
    <t xml:space="preserve">Verbal Warning</t>
  </si>
  <si>
    <t xml:space="preserve">Open Cases:</t>
  </si>
  <si>
    <t xml:space="preserve">First Written Warning</t>
  </si>
  <si>
    <t xml:space="preserve">Closed Cases:</t>
  </si>
  <si>
    <t xml:space="preserve">Final Written Warning</t>
  </si>
  <si>
    <t xml:space="preserve">Under Appeal:</t>
  </si>
  <si>
    <t xml:space="preserve">Dismissal</t>
  </si>
  <si>
    <t xml:space="preserve">CASE LOG</t>
  </si>
  <si>
    <t xml:space="preserve">Case Ref</t>
  </si>
  <si>
    <t xml:space="preserve">Employee Name</t>
  </si>
  <si>
    <t xml:space="preserve">Role / Trade</t>
  </si>
  <si>
    <t xml:space="preserve">Employer</t>
  </si>
  <si>
    <t xml:space="preserve">Date of Incident</t>
  </si>
  <si>
    <t xml:space="preserve">Issue Description</t>
  </si>
  <si>
    <t xml:space="preserve">Warning Stage</t>
  </si>
  <si>
    <t xml:space="preserve">Warning Date</t>
  </si>
  <si>
    <t xml:space="preserve">Investigating Officer</t>
  </si>
  <si>
    <t xml:space="preserve">Hearing Date</t>
  </si>
  <si>
    <t xml:space="preserve">Appeal Status</t>
  </si>
  <si>
    <t xml:space="preserve">Warning Expiry</t>
  </si>
  <si>
    <t xml:space="preserve">Outcome / Notes</t>
  </si>
  <si>
    <t xml:space="preserve">DC-001</t>
  </si>
  <si>
    <t xml:space="preserve">T. Kowalski</t>
  </si>
  <si>
    <t xml:space="preserve">Labourer</t>
  </si>
  <si>
    <t xml:space="preserve">Agency Staff Ltd</t>
  </si>
  <si>
    <t xml:space="preserve">Failure to wear mandatory PPE (hard hat) after two verbal reminders on the same shift.</t>
  </si>
  <si>
    <t xml:space="preserve">Closed</t>
  </si>
  <si>
    <t xml:space="preserve">J. Williams</t>
  </si>
  <si>
    <t xml:space="preserve">None</t>
  </si>
  <si>
    <t xml:space="preserve">PPE re-issued. Operative given refresher briefing.</t>
  </si>
  <si>
    <t xml:space="preserve">DC-002</t>
  </si>
  <si>
    <t xml:space="preserve">R. Nowak</t>
  </si>
  <si>
    <t xml:space="preserve">Unauthorised absence — failed to report to site or notify supervisor for 2 consecutive days.</t>
  </si>
  <si>
    <t xml:space="preserve">T. Henderson</t>
  </si>
  <si>
    <t xml:space="preserve">Return to work meeting completed. Absence policy re-issued.</t>
  </si>
  <si>
    <t xml:space="preserve">DC-003</t>
  </si>
  <si>
    <t xml:space="preserve">Name Redacted</t>
  </si>
  <si>
    <t xml:space="preserve">Groundworker</t>
  </si>
  <si>
    <t xml:space="preserve">GroundForce Ltd</t>
  </si>
  <si>
    <t xml:space="preserve">Operated excavator without valid CPCS card or supervision — serious safety breach.</t>
  </si>
  <si>
    <t xml:space="preserve">Open</t>
  </si>
  <si>
    <t xml:space="preserve">Must complete CPCS training within 30 days or employment review.</t>
  </si>
  <si>
    <t xml:space="preserve">DC-004</t>
  </si>
  <si>
    <t xml:space="preserve">Scaffold Erector</t>
  </si>
  <si>
    <t xml:space="preserve">Access Scaffolding Ltd</t>
  </si>
  <si>
    <t xml:space="preserve">Altercation with colleague on site — aggressive behaviour and verbal threats.</t>
  </si>
  <si>
    <t xml:space="preserve">Under Investigation</t>
  </si>
  <si>
    <t xml:space="preserve">K. Singh</t>
  </si>
  <si>
    <t xml:space="preserve">Both parties suspended pending investigation. Witness statements collected.</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</si>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</sst>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General"/>
    <numFmt numFmtId="166" formatCode="dd/mm/yyyy"/>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11"/>
      <color rgb="FF2AABB3"/>
      <name val="Calibri"/>
      <family val="0"/>
      <charset val="1"/>
    </font>
    <font>
      <b val="true"/>
      <sz val="14"/>
      <color rgb="FF9C0006"/>
      <name val="Calibri"/>
      <family val="0"/>
      <charset val="1"/>
    </font>
    <font>
      <b val="true"/>
      <sz val="11"/>
      <color rgb="FF006100"/>
      <name val="Calibri"/>
      <family val="0"/>
      <charset val="1"/>
    </font>
    <font>
      <b val="true"/>
      <sz val="11"/>
      <color rgb="FF9C6500"/>
      <name val="Calibri"/>
      <family val="0"/>
      <charset val="1"/>
    </font>
    <font>
      <b val="true"/>
      <sz val="12"/>
      <color rgb="FFFFFFFF"/>
      <name val="Calibri"/>
      <family val="0"/>
      <charset val="1"/>
    </font>
    <font>
      <b val="true"/>
      <sz val="11"/>
      <color rgb="FFFFFFFF"/>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FC7CE"/>
        <bgColor rgb="FFD9D9D9"/>
      </patternFill>
    </fill>
    <fill>
      <patternFill patternType="solid">
        <fgColor rgb="FFFFEB9C"/>
        <bgColor rgb="FFF2F2F2"/>
      </patternFill>
    </fill>
    <fill>
      <patternFill patternType="solid">
        <fgColor rgb="FFC6EFCE"/>
        <bgColor rgb="FFD9D9D9"/>
      </patternFill>
    </fill>
    <fill>
      <patternFill patternType="solid">
        <fgColor rgb="FF2AABB3"/>
        <bgColor rgb="FF339966"/>
      </patternFill>
    </fill>
    <fill>
      <patternFill patternType="solid">
        <fgColor rgb="FFF2F2F2"/>
        <bgColor rgb="FFE8F6F7"/>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false" applyProtection="false">
      <alignment horizontal="general" vertical="bottom" textRotation="0" wrapText="false" indent="0" shrinkToFit="false"/>
      <protection locked="true" hidden="false"/>
    </xf>
    <xf numFmtId="165" fontId="11" fillId="0" borderId="3" xfId="0" applyFont="true" applyBorder="true" applyAlignment="true" applyProtection="false">
      <alignment horizontal="center" vertical="center" textRotation="0" wrapText="true" indent="0" shrinkToFit="false"/>
      <protection locked="true" hidden="false"/>
    </xf>
    <xf numFmtId="165"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4" fontId="18" fillId="8" borderId="0" xfId="0" applyFont="true" applyBorder="true" applyAlignment="true" applyProtection="false">
      <alignment horizontal="center" vertical="center" textRotation="0" wrapText="true" indent="0" shrinkToFit="false"/>
      <protection locked="true" hidden="false"/>
    </xf>
    <xf numFmtId="164" fontId="19" fillId="2" borderId="2"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6" fontId="12" fillId="4"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6" fontId="12" fillId="9" borderId="3"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A4A"/>
          <bgColor rgb="FF000000"/>
        </patternFill>
      </fill>
    </dxf>
    <dxf>
      <fill>
        <patternFill patternType="solid">
          <fgColor rgb="FFE8F6F7"/>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C6EFCE"/>
          <bgColor rgb="FF000000"/>
        </patternFill>
      </fill>
    </dxf>
    <dxf>
      <fill>
        <patternFill patternType="solid">
          <fgColor rgb="FF000000"/>
          <bgColor rgb="FF000000"/>
        </patternFill>
      </fill>
    </dxf>
    <dxf>
      <fill>
        <patternFill>
          <bgColor rgb="FFFFEB9C"/>
        </patternFill>
      </fill>
    </dxf>
    <dxf>
      <fill>
        <patternFill>
          <bgColor rgb="FFFFC7CE"/>
        </patternFill>
      </fill>
    </dxf>
    <dxf>
      <fill>
        <patternFill>
          <bgColor rgb="FF1B2A4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8"/>
    <col collapsed="false" customWidth="true" hidden="false" outlineLevel="0" max="3" min="3" style="0" width="14"/>
    <col collapsed="false" customWidth="true" hidden="false" outlineLevel="0" max="4" min="4" style="0" width="16"/>
    <col collapsed="false" customWidth="true" hidden="false" outlineLevel="0" max="5" min="5" style="0" width="13"/>
    <col collapsed="false" customWidth="true" hidden="false" outlineLevel="0" max="6" min="6" style="0" width="32"/>
    <col collapsed="false" customWidth="true" hidden="false" outlineLevel="0" max="7" min="7" style="0" width="20"/>
    <col collapsed="false" customWidth="true" hidden="false" outlineLevel="0" max="8" min="8" style="0" width="13"/>
    <col collapsed="false" customWidth="true" hidden="false" outlineLevel="0" max="9" min="9" style="0" width="14"/>
    <col collapsed="false" customWidth="true" hidden="true" outlineLevel="1" max="14" min="10" style="0" width="16"/>
  </cols>
  <sheetData>
    <row r="1" customFormat="false" ht="30" hidden="false" customHeight="true" outlineLevel="0" collapsed="false">
      <c r="A1" s="21" t="s">
        <v>35</v>
      </c>
      <c r="B1" s="21"/>
      <c r="C1" s="21"/>
      <c r="D1" s="21"/>
      <c r="E1" s="21"/>
      <c r="F1" s="21"/>
      <c r="G1" s="21"/>
      <c r="H1" s="21"/>
      <c r="I1" s="21"/>
      <c r="J1" s="21"/>
      <c r="K1" s="21"/>
      <c r="L1" s="21"/>
      <c r="M1" s="21"/>
      <c r="N1" s="21"/>
    </row>
    <row r="2" customFormat="false" ht="15" hidden="false" customHeight="true" outlineLevel="0" collapsed="false">
      <c r="A2" s="22" t="s">
        <v>36</v>
      </c>
      <c r="B2" s="22"/>
      <c r="C2" s="22"/>
      <c r="D2" s="22"/>
      <c r="F2" s="22" t="s">
        <v>37</v>
      </c>
      <c r="G2" s="22"/>
      <c r="H2" s="22"/>
    </row>
    <row r="3" customFormat="false" ht="18.65" hidden="false" customHeight="false" outlineLevel="0" collapsed="false">
      <c r="A3" s="23" t="s">
        <v>38</v>
      </c>
      <c r="B3" s="23"/>
      <c r="C3" s="23"/>
      <c r="D3" s="24" t="n">
        <f aca="false">COUNTIF(G10:G509,A3)</f>
        <v>1</v>
      </c>
      <c r="F3" s="20" t="s">
        <v>39</v>
      </c>
      <c r="G3" s="25" t="n">
        <f aca="false">COUNTIF(I10:I509,"Open")</f>
        <v>1</v>
      </c>
    </row>
    <row r="4" customFormat="false" ht="15" hidden="false" customHeight="false" outlineLevel="0" collapsed="false">
      <c r="A4" s="23" t="s">
        <v>40</v>
      </c>
      <c r="B4" s="23"/>
      <c r="C4" s="23"/>
      <c r="D4" s="24" t="n">
        <f aca="false">COUNTIF(G10:G509,A4)</f>
        <v>1</v>
      </c>
      <c r="F4" s="20" t="s">
        <v>41</v>
      </c>
      <c r="G4" s="26" t="n">
        <f aca="false">COUNTIF(I10:I509,"Closed")</f>
        <v>2</v>
      </c>
    </row>
    <row r="5" customFormat="false" ht="15" hidden="false" customHeight="false" outlineLevel="0" collapsed="false">
      <c r="A5" s="23" t="s">
        <v>42</v>
      </c>
      <c r="B5" s="23"/>
      <c r="C5" s="23"/>
      <c r="D5" s="24" t="n">
        <f aca="false">COUNTIF(G10:G509,A5)</f>
        <v>1</v>
      </c>
      <c r="F5" s="20" t="s">
        <v>43</v>
      </c>
      <c r="G5" s="27" t="n">
        <f aca="false">COUNTIF(I10:I509,"Under Appeal")</f>
        <v>0</v>
      </c>
    </row>
    <row r="6" customFormat="false" ht="15" hidden="false" customHeight="false" outlineLevel="0" collapsed="false">
      <c r="A6" s="23" t="s">
        <v>44</v>
      </c>
      <c r="B6" s="23"/>
      <c r="C6" s="23"/>
      <c r="D6" s="24" t="n">
        <f aca="false">COUNTIF(G10:G509,A6)</f>
        <v>0</v>
      </c>
    </row>
    <row r="7" customFormat="false" ht="6" hidden="false" customHeight="true" outlineLevel="0" collapsed="false"/>
    <row r="8" customFormat="false" ht="25.5" hidden="false" customHeight="true" outlineLevel="0" collapsed="false">
      <c r="A8" s="28" t="s">
        <v>45</v>
      </c>
      <c r="B8" s="28"/>
      <c r="C8" s="28"/>
      <c r="D8" s="28"/>
      <c r="E8" s="28"/>
      <c r="F8" s="28"/>
      <c r="G8" s="28"/>
      <c r="H8" s="28"/>
      <c r="I8" s="28"/>
      <c r="J8" s="28"/>
      <c r="K8" s="28"/>
      <c r="L8" s="28"/>
      <c r="M8" s="28"/>
      <c r="N8" s="28"/>
    </row>
    <row r="9" customFormat="false" ht="28.35" hidden="false" customHeight="false" outlineLevel="0" collapsed="false">
      <c r="A9" s="29" t="s">
        <v>46</v>
      </c>
      <c r="B9" s="29" t="s">
        <v>47</v>
      </c>
      <c r="C9" s="29" t="s">
        <v>48</v>
      </c>
      <c r="D9" s="29" t="s">
        <v>49</v>
      </c>
      <c r="E9" s="29" t="s">
        <v>50</v>
      </c>
      <c r="F9" s="29" t="s">
        <v>51</v>
      </c>
      <c r="G9" s="29" t="s">
        <v>52</v>
      </c>
      <c r="H9" s="29" t="s">
        <v>53</v>
      </c>
      <c r="I9" s="29" t="s">
        <v>37</v>
      </c>
      <c r="J9" s="29" t="s">
        <v>54</v>
      </c>
      <c r="K9" s="29" t="s">
        <v>55</v>
      </c>
      <c r="L9" s="29" t="s">
        <v>56</v>
      </c>
      <c r="M9" s="29" t="s">
        <v>57</v>
      </c>
      <c r="N9" s="29" t="s">
        <v>58</v>
      </c>
    </row>
    <row r="10" customFormat="false" ht="45" hidden="false" customHeight="true" outlineLevel="0" collapsed="false">
      <c r="A10" s="30" t="s">
        <v>59</v>
      </c>
      <c r="B10" s="30" t="s">
        <v>60</v>
      </c>
      <c r="C10" s="30" t="s">
        <v>61</v>
      </c>
      <c r="D10" s="30" t="s">
        <v>62</v>
      </c>
      <c r="E10" s="31" t="n">
        <v>46042</v>
      </c>
      <c r="F10" s="32" t="s">
        <v>63</v>
      </c>
      <c r="G10" s="30" t="s">
        <v>38</v>
      </c>
      <c r="H10" s="31" t="n">
        <v>46044</v>
      </c>
      <c r="I10" s="30" t="s">
        <v>64</v>
      </c>
      <c r="J10" s="30" t="s">
        <v>65</v>
      </c>
      <c r="K10" s="31"/>
      <c r="L10" s="30" t="s">
        <v>66</v>
      </c>
      <c r="M10" s="33" t="n">
        <f aca="false">IF(H10="","",IF(G10="Verbal Warning",H10+183,IF(OR(G10="First Written Warning",G10="Final Written Warning"),H10+365,"N/A")))</f>
        <v>46227</v>
      </c>
      <c r="N10" s="32" t="s">
        <v>67</v>
      </c>
    </row>
    <row r="11" customFormat="false" ht="45" hidden="false" customHeight="true" outlineLevel="0" collapsed="false">
      <c r="A11" s="34" t="s">
        <v>68</v>
      </c>
      <c r="B11" s="34" t="s">
        <v>69</v>
      </c>
      <c r="C11" s="34" t="s">
        <v>61</v>
      </c>
      <c r="D11" s="34" t="s">
        <v>62</v>
      </c>
      <c r="E11" s="33" t="n">
        <v>46058</v>
      </c>
      <c r="F11" s="35" t="s">
        <v>70</v>
      </c>
      <c r="G11" s="34" t="s">
        <v>40</v>
      </c>
      <c r="H11" s="33" t="n">
        <v>46063</v>
      </c>
      <c r="I11" s="34" t="s">
        <v>64</v>
      </c>
      <c r="J11" s="34" t="s">
        <v>71</v>
      </c>
      <c r="K11" s="33" t="n">
        <v>46061</v>
      </c>
      <c r="L11" s="34" t="s">
        <v>66</v>
      </c>
      <c r="M11" s="33" t="n">
        <f aca="false">IF(H11="","",IF(G11="Verbal Warning",H11+183,IF(OR(G11="First Written Warning",G11="Final Written Warning"),H11+365,"N/A")))</f>
        <v>46428</v>
      </c>
      <c r="N11" s="35" t="s">
        <v>72</v>
      </c>
    </row>
    <row r="12" customFormat="false" ht="45" hidden="false" customHeight="true" outlineLevel="0" collapsed="false">
      <c r="A12" s="30" t="s">
        <v>73</v>
      </c>
      <c r="B12" s="30" t="s">
        <v>74</v>
      </c>
      <c r="C12" s="30" t="s">
        <v>75</v>
      </c>
      <c r="D12" s="30" t="s">
        <v>76</v>
      </c>
      <c r="E12" s="31" t="n">
        <v>46082</v>
      </c>
      <c r="F12" s="32" t="s">
        <v>77</v>
      </c>
      <c r="G12" s="30" t="s">
        <v>42</v>
      </c>
      <c r="H12" s="31" t="n">
        <v>46086</v>
      </c>
      <c r="I12" s="30" t="s">
        <v>78</v>
      </c>
      <c r="J12" s="30" t="s">
        <v>71</v>
      </c>
      <c r="K12" s="31" t="n">
        <v>46085</v>
      </c>
      <c r="L12" s="30" t="s">
        <v>66</v>
      </c>
      <c r="M12" s="33" t="n">
        <f aca="false">IF(H12="","",IF(G12="Verbal Warning",H12+183,IF(OR(G12="First Written Warning",G12="Final Written Warning"),H12+365,"N/A")))</f>
        <v>46451</v>
      </c>
      <c r="N12" s="32" t="s">
        <v>79</v>
      </c>
    </row>
    <row r="13" customFormat="false" ht="45" hidden="false" customHeight="true" outlineLevel="0" collapsed="false">
      <c r="A13" s="34" t="s">
        <v>80</v>
      </c>
      <c r="B13" s="34" t="s">
        <v>74</v>
      </c>
      <c r="C13" s="34" t="s">
        <v>81</v>
      </c>
      <c r="D13" s="34" t="s">
        <v>82</v>
      </c>
      <c r="E13" s="33" t="n">
        <v>46091</v>
      </c>
      <c r="F13" s="35" t="s">
        <v>83</v>
      </c>
      <c r="G13" s="34" t="s">
        <v>84</v>
      </c>
      <c r="H13" s="33"/>
      <c r="I13" s="34" t="s">
        <v>84</v>
      </c>
      <c r="J13" s="34" t="s">
        <v>85</v>
      </c>
      <c r="K13" s="33" t="n">
        <v>46096</v>
      </c>
      <c r="L13" s="34" t="s">
        <v>66</v>
      </c>
      <c r="M13" s="33" t="str">
        <f aca="false">IF(H13="","",IF(G13="Verbal Warning",H13+183,IF(OR(G13="First Written Warning",G13="Final Written Warning"),H13+365,"N/A")))</f>
        <v/>
      </c>
      <c r="N13" s="35" t="s">
        <v>86</v>
      </c>
    </row>
    <row r="14" customFormat="false" ht="15" hidden="false" customHeight="false" outlineLevel="0" collapsed="false">
      <c r="A14" s="30"/>
      <c r="B14" s="30"/>
      <c r="C14" s="30"/>
      <c r="D14" s="30"/>
      <c r="E14" s="31"/>
      <c r="F14" s="32"/>
      <c r="G14" s="30"/>
      <c r="H14" s="31"/>
      <c r="I14" s="30"/>
      <c r="J14" s="30"/>
      <c r="K14" s="31"/>
      <c r="L14" s="30"/>
      <c r="M14" s="33" t="str">
        <f aca="false">IF(H14="","",IF(G14="Verbal Warning",H14+183,IF(OR(G14="First Written Warning",G14="Final Written Warning"),H14+365,"N/A")))</f>
        <v/>
      </c>
      <c r="N14" s="32"/>
    </row>
    <row r="15" customFormat="false" ht="15" hidden="false" customHeight="false" outlineLevel="0" collapsed="false">
      <c r="A15" s="34"/>
      <c r="B15" s="34"/>
      <c r="C15" s="34"/>
      <c r="D15" s="34"/>
      <c r="E15" s="33"/>
      <c r="F15" s="35"/>
      <c r="G15" s="34"/>
      <c r="H15" s="33"/>
      <c r="I15" s="34"/>
      <c r="J15" s="34"/>
      <c r="K15" s="33"/>
      <c r="L15" s="34"/>
      <c r="M15" s="33" t="str">
        <f aca="false">IF(H15="","",IF(G15="Verbal Warning",H15+183,IF(OR(G15="First Written Warning",G15="Final Written Warning"),H15+365,"N/A")))</f>
        <v/>
      </c>
      <c r="N15" s="35"/>
    </row>
    <row r="16" customFormat="false" ht="15" hidden="false" customHeight="false" outlineLevel="0" collapsed="false">
      <c r="A16" s="30"/>
      <c r="B16" s="30"/>
      <c r="C16" s="30"/>
      <c r="D16" s="30"/>
      <c r="E16" s="31"/>
      <c r="F16" s="32"/>
      <c r="G16" s="30"/>
      <c r="H16" s="31"/>
      <c r="I16" s="30"/>
      <c r="J16" s="30"/>
      <c r="K16" s="31"/>
      <c r="L16" s="30"/>
      <c r="M16" s="33" t="str">
        <f aca="false">IF(H16="","",IF(G16="Verbal Warning",H16+183,IF(OR(G16="First Written Warning",G16="Final Written Warning"),H16+365,"N/A")))</f>
        <v/>
      </c>
      <c r="N16" s="32"/>
    </row>
    <row r="17" customFormat="false" ht="15" hidden="false" customHeight="false" outlineLevel="0" collapsed="false">
      <c r="A17" s="34"/>
      <c r="B17" s="34"/>
      <c r="C17" s="34"/>
      <c r="D17" s="34"/>
      <c r="E17" s="33"/>
      <c r="F17" s="35"/>
      <c r="G17" s="34"/>
      <c r="H17" s="33"/>
      <c r="I17" s="34"/>
      <c r="J17" s="34"/>
      <c r="K17" s="33"/>
      <c r="L17" s="34"/>
      <c r="M17" s="33" t="str">
        <f aca="false">IF(H17="","",IF(G17="Verbal Warning",H17+183,IF(OR(G17="First Written Warning",G17="Final Written Warning"),H17+365,"N/A")))</f>
        <v/>
      </c>
      <c r="N17" s="35"/>
    </row>
    <row r="18" customFormat="false" ht="15" hidden="false" customHeight="false" outlineLevel="0" collapsed="false">
      <c r="A18" s="30"/>
      <c r="B18" s="30"/>
      <c r="C18" s="30"/>
      <c r="D18" s="30"/>
      <c r="E18" s="31"/>
      <c r="F18" s="32"/>
      <c r="G18" s="30"/>
      <c r="H18" s="31"/>
      <c r="I18" s="30"/>
      <c r="J18" s="30"/>
      <c r="K18" s="31"/>
      <c r="L18" s="30"/>
      <c r="M18" s="33" t="str">
        <f aca="false">IF(H18="","",IF(G18="Verbal Warning",H18+183,IF(OR(G18="First Written Warning",G18="Final Written Warning"),H18+365,"N/A")))</f>
        <v/>
      </c>
      <c r="N18" s="32"/>
    </row>
    <row r="19" customFormat="false" ht="15" hidden="false" customHeight="false" outlineLevel="0" collapsed="false">
      <c r="A19" s="34"/>
      <c r="B19" s="34"/>
      <c r="C19" s="34"/>
      <c r="D19" s="34"/>
      <c r="E19" s="33"/>
      <c r="F19" s="35"/>
      <c r="G19" s="34"/>
      <c r="H19" s="33"/>
      <c r="I19" s="34"/>
      <c r="J19" s="34"/>
      <c r="K19" s="33"/>
      <c r="L19" s="34"/>
      <c r="M19" s="33" t="str">
        <f aca="false">IF(H19="","",IF(G19="Verbal Warning",H19+183,IF(OR(G19="First Written Warning",G19="Final Written Warning"),H19+365,"N/A")))</f>
        <v/>
      </c>
      <c r="N19" s="35"/>
    </row>
    <row r="20" customFormat="false" ht="15" hidden="false" customHeight="false" outlineLevel="0" collapsed="false">
      <c r="A20" s="30"/>
      <c r="B20" s="30"/>
      <c r="C20" s="30"/>
      <c r="D20" s="30"/>
      <c r="E20" s="31"/>
      <c r="F20" s="32"/>
      <c r="G20" s="30"/>
      <c r="H20" s="31"/>
      <c r="I20" s="30"/>
      <c r="J20" s="30"/>
      <c r="K20" s="31"/>
      <c r="L20" s="30"/>
      <c r="M20" s="33" t="str">
        <f aca="false">IF(H20="","",IF(G20="Verbal Warning",H20+183,IF(OR(G20="First Written Warning",G20="Final Written Warning"),H20+365,"N/A")))</f>
        <v/>
      </c>
      <c r="N20" s="32"/>
    </row>
    <row r="21" customFormat="false" ht="15" hidden="false" customHeight="false" outlineLevel="0" collapsed="false">
      <c r="A21" s="34"/>
      <c r="B21" s="34"/>
      <c r="C21" s="34"/>
      <c r="D21" s="34"/>
      <c r="E21" s="33"/>
      <c r="F21" s="35"/>
      <c r="G21" s="34"/>
      <c r="H21" s="33"/>
      <c r="I21" s="34"/>
      <c r="J21" s="34"/>
      <c r="K21" s="33"/>
      <c r="L21" s="34"/>
      <c r="M21" s="33" t="str">
        <f aca="false">IF(H21="","",IF(G21="Verbal Warning",H21+183,IF(OR(G21="First Written Warning",G21="Final Written Warning"),H21+365,"N/A")))</f>
        <v/>
      </c>
      <c r="N21" s="35"/>
    </row>
    <row r="22" customFormat="false" ht="15" hidden="false" customHeight="false" outlineLevel="0" collapsed="false">
      <c r="A22" s="30"/>
      <c r="B22" s="30"/>
      <c r="C22" s="30"/>
      <c r="D22" s="30"/>
      <c r="E22" s="31"/>
      <c r="F22" s="32"/>
      <c r="G22" s="30"/>
      <c r="H22" s="31"/>
      <c r="I22" s="30"/>
      <c r="J22" s="30"/>
      <c r="K22" s="31"/>
      <c r="L22" s="30"/>
      <c r="M22" s="33" t="str">
        <f aca="false">IF(H22="","",IF(G22="Verbal Warning",H22+183,IF(OR(G22="First Written Warning",G22="Final Written Warning"),H22+365,"N/A")))</f>
        <v/>
      </c>
      <c r="N22" s="32"/>
    </row>
    <row r="23" customFormat="false" ht="15" hidden="false" customHeight="false" outlineLevel="0" collapsed="false">
      <c r="A23" s="34"/>
      <c r="B23" s="34"/>
      <c r="C23" s="34"/>
      <c r="D23" s="34"/>
      <c r="E23" s="33"/>
      <c r="F23" s="35"/>
      <c r="G23" s="34"/>
      <c r="H23" s="33"/>
      <c r="I23" s="34"/>
      <c r="J23" s="34"/>
      <c r="K23" s="33"/>
      <c r="L23" s="34"/>
      <c r="M23" s="33" t="str">
        <f aca="false">IF(H23="","",IF(G23="Verbal Warning",H23+183,IF(OR(G23="First Written Warning",G23="Final Written Warning"),H23+365,"N/A")))</f>
        <v/>
      </c>
      <c r="N23" s="35"/>
    </row>
    <row r="24" customFormat="false" ht="15" hidden="false" customHeight="false" outlineLevel="0" collapsed="false">
      <c r="A24" s="30"/>
      <c r="B24" s="30"/>
      <c r="C24" s="30"/>
      <c r="D24" s="30"/>
      <c r="E24" s="31"/>
      <c r="F24" s="32"/>
      <c r="G24" s="30"/>
      <c r="H24" s="31"/>
      <c r="I24" s="30"/>
      <c r="J24" s="30"/>
      <c r="K24" s="31"/>
      <c r="L24" s="30"/>
      <c r="M24" s="33" t="str">
        <f aca="false">IF(H24="","",IF(G24="Verbal Warning",H24+183,IF(OR(G24="First Written Warning",G24="Final Written Warning"),H24+365,"N/A")))</f>
        <v/>
      </c>
      <c r="N24" s="32"/>
    </row>
    <row r="25" customFormat="false" ht="15" hidden="false" customHeight="false" outlineLevel="0" collapsed="false">
      <c r="A25" s="34"/>
      <c r="B25" s="34"/>
      <c r="C25" s="34"/>
      <c r="D25" s="34"/>
      <c r="E25" s="33"/>
      <c r="F25" s="35"/>
      <c r="G25" s="34"/>
      <c r="H25" s="33"/>
      <c r="I25" s="34"/>
      <c r="J25" s="34"/>
      <c r="K25" s="33"/>
      <c r="L25" s="34"/>
      <c r="M25" s="33" t="str">
        <f aca="false">IF(H25="","",IF(G25="Verbal Warning",H25+183,IF(OR(G25="First Written Warning",G25="Final Written Warning"),H25+365,"N/A")))</f>
        <v/>
      </c>
      <c r="N25" s="35"/>
    </row>
    <row r="26" customFormat="false" ht="15" hidden="false" customHeight="false" outlineLevel="0" collapsed="false">
      <c r="A26" s="30"/>
      <c r="B26" s="30"/>
      <c r="C26" s="30"/>
      <c r="D26" s="30"/>
      <c r="E26" s="31"/>
      <c r="F26" s="32"/>
      <c r="G26" s="30"/>
      <c r="H26" s="31"/>
      <c r="I26" s="30"/>
      <c r="J26" s="30"/>
      <c r="K26" s="31"/>
      <c r="L26" s="30"/>
      <c r="M26" s="33" t="str">
        <f aca="false">IF(H26="","",IF(G26="Verbal Warning",H26+183,IF(OR(G26="First Written Warning",G26="Final Written Warning"),H26+365,"N/A")))</f>
        <v/>
      </c>
      <c r="N26" s="32"/>
    </row>
    <row r="27" customFormat="false" ht="15" hidden="false" customHeight="false" outlineLevel="0" collapsed="false">
      <c r="A27" s="34"/>
      <c r="B27" s="34"/>
      <c r="C27" s="34"/>
      <c r="D27" s="34"/>
      <c r="E27" s="33"/>
      <c r="F27" s="35"/>
      <c r="G27" s="34"/>
      <c r="H27" s="33"/>
      <c r="I27" s="34"/>
      <c r="J27" s="34"/>
      <c r="K27" s="33"/>
      <c r="L27" s="34"/>
      <c r="M27" s="33" t="str">
        <f aca="false">IF(H27="","",IF(G27="Verbal Warning",H27+183,IF(OR(G27="First Written Warning",G27="Final Written Warning"),H27+365,"N/A")))</f>
        <v/>
      </c>
      <c r="N27" s="35"/>
    </row>
    <row r="28" customFormat="false" ht="15" hidden="false" customHeight="false" outlineLevel="0" collapsed="false">
      <c r="A28" s="30"/>
      <c r="B28" s="30"/>
      <c r="C28" s="30"/>
      <c r="D28" s="30"/>
      <c r="E28" s="31"/>
      <c r="F28" s="32"/>
      <c r="G28" s="30"/>
      <c r="H28" s="31"/>
      <c r="I28" s="30"/>
      <c r="J28" s="30"/>
      <c r="K28" s="31"/>
      <c r="L28" s="30"/>
      <c r="M28" s="33" t="str">
        <f aca="false">IF(H28="","",IF(G28="Verbal Warning",H28+183,IF(OR(G28="First Written Warning",G28="Final Written Warning"),H28+365,"N/A")))</f>
        <v/>
      </c>
      <c r="N28" s="32"/>
    </row>
    <row r="29" customFormat="false" ht="15" hidden="false" customHeight="false" outlineLevel="0" collapsed="false">
      <c r="A29" s="34"/>
      <c r="B29" s="34"/>
      <c r="C29" s="34"/>
      <c r="D29" s="34"/>
      <c r="E29" s="33"/>
      <c r="F29" s="35"/>
      <c r="G29" s="34"/>
      <c r="H29" s="33"/>
      <c r="I29" s="34"/>
      <c r="J29" s="34"/>
      <c r="K29" s="33"/>
      <c r="L29" s="34"/>
      <c r="M29" s="33" t="str">
        <f aca="false">IF(H29="","",IF(G29="Verbal Warning",H29+183,IF(OR(G29="First Written Warning",G29="Final Written Warning"),H29+365,"N/A")))</f>
        <v/>
      </c>
      <c r="N29" s="35"/>
    </row>
    <row r="30" customFormat="false" ht="15" hidden="false" customHeight="false" outlineLevel="0" collapsed="false">
      <c r="A30" s="30"/>
      <c r="B30" s="30"/>
      <c r="C30" s="30"/>
      <c r="D30" s="30"/>
      <c r="E30" s="31"/>
      <c r="F30" s="32"/>
      <c r="G30" s="30"/>
      <c r="H30" s="31"/>
      <c r="I30" s="30"/>
      <c r="J30" s="30"/>
      <c r="K30" s="31"/>
      <c r="L30" s="30"/>
      <c r="M30" s="33" t="str">
        <f aca="false">IF(H30="","",IF(G30="Verbal Warning",H30+183,IF(OR(G30="First Written Warning",G30="Final Written Warning"),H30+365,"N/A")))</f>
        <v/>
      </c>
      <c r="N30" s="32"/>
    </row>
    <row r="31" customFormat="false" ht="15" hidden="false" customHeight="false" outlineLevel="0" collapsed="false">
      <c r="A31" s="34"/>
      <c r="B31" s="34"/>
      <c r="C31" s="34"/>
      <c r="D31" s="34"/>
      <c r="E31" s="33"/>
      <c r="F31" s="35"/>
      <c r="G31" s="34"/>
      <c r="H31" s="33"/>
      <c r="I31" s="34"/>
      <c r="J31" s="34"/>
      <c r="K31" s="33"/>
      <c r="L31" s="34"/>
      <c r="M31" s="33" t="str">
        <f aca="false">IF(H31="","",IF(G31="Verbal Warning",H31+183,IF(OR(G31="First Written Warning",G31="Final Written Warning"),H31+365,"N/A")))</f>
        <v/>
      </c>
      <c r="N31" s="35"/>
    </row>
    <row r="32" customFormat="false" ht="15" hidden="false" customHeight="false" outlineLevel="0" collapsed="false">
      <c r="A32" s="30"/>
      <c r="B32" s="30"/>
      <c r="C32" s="30"/>
      <c r="D32" s="30"/>
      <c r="E32" s="31"/>
      <c r="F32" s="32"/>
      <c r="G32" s="30"/>
      <c r="H32" s="31"/>
      <c r="I32" s="30"/>
      <c r="J32" s="30"/>
      <c r="K32" s="31"/>
      <c r="L32" s="30"/>
      <c r="M32" s="33" t="str">
        <f aca="false">IF(H32="","",IF(G32="Verbal Warning",H32+183,IF(OR(G32="First Written Warning",G32="Final Written Warning"),H32+365,"N/A")))</f>
        <v/>
      </c>
      <c r="N32" s="32"/>
    </row>
    <row r="33" customFormat="false" ht="15" hidden="false" customHeight="false" outlineLevel="0" collapsed="false">
      <c r="A33" s="34"/>
      <c r="B33" s="34"/>
      <c r="C33" s="34"/>
      <c r="D33" s="34"/>
      <c r="E33" s="33"/>
      <c r="F33" s="35"/>
      <c r="G33" s="34"/>
      <c r="H33" s="33"/>
      <c r="I33" s="34"/>
      <c r="J33" s="34"/>
      <c r="K33" s="33"/>
      <c r="L33" s="34"/>
      <c r="M33" s="33" t="str">
        <f aca="false">IF(H33="","",IF(G33="Verbal Warning",H33+183,IF(OR(G33="First Written Warning",G33="Final Written Warning"),H33+365,"N/A")))</f>
        <v/>
      </c>
      <c r="N33" s="35"/>
    </row>
    <row r="34" customFormat="false" ht="15" hidden="false" customHeight="false" outlineLevel="0" collapsed="false">
      <c r="A34" s="30"/>
      <c r="B34" s="30"/>
      <c r="C34" s="30"/>
      <c r="D34" s="30"/>
      <c r="E34" s="31"/>
      <c r="F34" s="32"/>
      <c r="G34" s="30"/>
      <c r="H34" s="31"/>
      <c r="I34" s="30"/>
      <c r="J34" s="30"/>
      <c r="K34" s="31"/>
      <c r="L34" s="30"/>
      <c r="M34" s="33" t="str">
        <f aca="false">IF(H34="","",IF(G34="Verbal Warning",H34+183,IF(OR(G34="First Written Warning",G34="Final Written Warning"),H34+365,"N/A")))</f>
        <v/>
      </c>
      <c r="N34" s="32"/>
    </row>
    <row r="35" customFormat="false" ht="15" hidden="false" customHeight="false" outlineLevel="0" collapsed="false">
      <c r="A35" s="34"/>
      <c r="B35" s="34"/>
      <c r="C35" s="34"/>
      <c r="D35" s="34"/>
      <c r="E35" s="33"/>
      <c r="F35" s="35"/>
      <c r="G35" s="34"/>
      <c r="H35" s="33"/>
      <c r="I35" s="34"/>
      <c r="J35" s="34"/>
      <c r="K35" s="33"/>
      <c r="L35" s="34"/>
      <c r="M35" s="33" t="str">
        <f aca="false">IF(H35="","",IF(G35="Verbal Warning",H35+183,IF(OR(G35="First Written Warning",G35="Final Written Warning"),H35+365,"N/A")))</f>
        <v/>
      </c>
      <c r="N35" s="35"/>
    </row>
    <row r="36" customFormat="false" ht="15" hidden="false" customHeight="false" outlineLevel="0" collapsed="false">
      <c r="A36" s="30"/>
      <c r="B36" s="30"/>
      <c r="C36" s="30"/>
      <c r="D36" s="30"/>
      <c r="E36" s="31"/>
      <c r="F36" s="32"/>
      <c r="G36" s="30"/>
      <c r="H36" s="31"/>
      <c r="I36" s="30"/>
      <c r="J36" s="30"/>
      <c r="K36" s="31"/>
      <c r="L36" s="30"/>
      <c r="M36" s="33" t="str">
        <f aca="false">IF(H36="","",IF(G36="Verbal Warning",H36+183,IF(OR(G36="First Written Warning",G36="Final Written Warning"),H36+365,"N/A")))</f>
        <v/>
      </c>
      <c r="N36" s="32"/>
    </row>
    <row r="37" customFormat="false" ht="15" hidden="false" customHeight="false" outlineLevel="0" collapsed="false">
      <c r="A37" s="34"/>
      <c r="B37" s="34"/>
      <c r="C37" s="34"/>
      <c r="D37" s="34"/>
      <c r="E37" s="33"/>
      <c r="F37" s="35"/>
      <c r="G37" s="34"/>
      <c r="H37" s="33"/>
      <c r="I37" s="34"/>
      <c r="J37" s="34"/>
      <c r="K37" s="33"/>
      <c r="L37" s="34"/>
      <c r="M37" s="33" t="str">
        <f aca="false">IF(H37="","",IF(G37="Verbal Warning",H37+183,IF(OR(G37="First Written Warning",G37="Final Written Warning"),H37+365,"N/A")))</f>
        <v/>
      </c>
      <c r="N37" s="35"/>
    </row>
    <row r="38" customFormat="false" ht="15" hidden="false" customHeight="false" outlineLevel="0" collapsed="false">
      <c r="A38" s="30"/>
      <c r="B38" s="30"/>
      <c r="C38" s="30"/>
      <c r="D38" s="30"/>
      <c r="E38" s="31"/>
      <c r="F38" s="32"/>
      <c r="G38" s="30"/>
      <c r="H38" s="31"/>
      <c r="I38" s="30"/>
      <c r="J38" s="30"/>
      <c r="K38" s="31"/>
      <c r="L38" s="30"/>
      <c r="M38" s="33" t="str">
        <f aca="false">IF(H38="","",IF(G38="Verbal Warning",H38+183,IF(OR(G38="First Written Warning",G38="Final Written Warning"),H38+365,"N/A")))</f>
        <v/>
      </c>
      <c r="N38" s="32"/>
    </row>
    <row r="39" customFormat="false" ht="15" hidden="false" customHeight="false" outlineLevel="0" collapsed="false">
      <c r="A39" s="34"/>
      <c r="B39" s="34"/>
      <c r="C39" s="34"/>
      <c r="D39" s="34"/>
      <c r="E39" s="33"/>
      <c r="F39" s="35"/>
      <c r="G39" s="34"/>
      <c r="H39" s="33"/>
      <c r="I39" s="34"/>
      <c r="J39" s="34"/>
      <c r="K39" s="33"/>
      <c r="L39" s="34"/>
      <c r="M39" s="33" t="str">
        <f aca="false">IF(H39="","",IF(G39="Verbal Warning",H39+183,IF(OR(G39="First Written Warning",G39="Final Written Warning"),H39+365,"N/A")))</f>
        <v/>
      </c>
      <c r="N39" s="35"/>
    </row>
    <row r="40" customFormat="false" ht="15" hidden="false" customHeight="false" outlineLevel="0" collapsed="false">
      <c r="A40" s="30"/>
      <c r="B40" s="30"/>
      <c r="C40" s="30"/>
      <c r="D40" s="30"/>
      <c r="E40" s="31"/>
      <c r="F40" s="32"/>
      <c r="G40" s="30"/>
      <c r="H40" s="31"/>
      <c r="I40" s="30"/>
      <c r="J40" s="30"/>
      <c r="K40" s="31"/>
      <c r="L40" s="30"/>
      <c r="M40" s="33" t="str">
        <f aca="false">IF(H40="","",IF(G40="Verbal Warning",H40+183,IF(OR(G40="First Written Warning",G40="Final Written Warning"),H40+365,"N/A")))</f>
        <v/>
      </c>
      <c r="N40" s="32"/>
    </row>
    <row r="41" customFormat="false" ht="15" hidden="false" customHeight="false" outlineLevel="0" collapsed="false">
      <c r="A41" s="34"/>
      <c r="B41" s="34"/>
      <c r="C41" s="34"/>
      <c r="D41" s="34"/>
      <c r="E41" s="33"/>
      <c r="F41" s="35"/>
      <c r="G41" s="34"/>
      <c r="H41" s="33"/>
      <c r="I41" s="34"/>
      <c r="J41" s="34"/>
      <c r="K41" s="33"/>
      <c r="L41" s="34"/>
      <c r="M41" s="33" t="str">
        <f aca="false">IF(H41="","",IF(G41="Verbal Warning",H41+183,IF(OR(G41="First Written Warning",G41="Final Written Warning"),H41+365,"N/A")))</f>
        <v/>
      </c>
      <c r="N41" s="35"/>
    </row>
    <row r="42" customFormat="false" ht="15" hidden="false" customHeight="false" outlineLevel="0" collapsed="false">
      <c r="A42" s="30"/>
      <c r="B42" s="30"/>
      <c r="C42" s="30"/>
      <c r="D42" s="30"/>
      <c r="E42" s="31"/>
      <c r="F42" s="32"/>
      <c r="G42" s="30"/>
      <c r="H42" s="31"/>
      <c r="I42" s="30"/>
      <c r="J42" s="30"/>
      <c r="K42" s="31"/>
      <c r="L42" s="30"/>
      <c r="M42" s="33" t="str">
        <f aca="false">IF(H42="","",IF(G42="Verbal Warning",H42+183,IF(OR(G42="First Written Warning",G42="Final Written Warning"),H42+365,"N/A")))</f>
        <v/>
      </c>
      <c r="N42" s="32"/>
    </row>
    <row r="43" customFormat="false" ht="15" hidden="false" customHeight="false" outlineLevel="0" collapsed="false">
      <c r="A43" s="34"/>
      <c r="B43" s="34"/>
      <c r="C43" s="34"/>
      <c r="D43" s="34"/>
      <c r="E43" s="33"/>
      <c r="F43" s="35"/>
      <c r="G43" s="34"/>
      <c r="H43" s="33"/>
      <c r="I43" s="34"/>
      <c r="J43" s="34"/>
      <c r="K43" s="33"/>
      <c r="L43" s="34"/>
      <c r="M43" s="33" t="str">
        <f aca="false">IF(H43="","",IF(G43="Verbal Warning",H43+183,IF(OR(G43="First Written Warning",G43="Final Written Warning"),H43+365,"N/A")))</f>
        <v/>
      </c>
      <c r="N43" s="35"/>
    </row>
    <row r="44" customFormat="false" ht="15" hidden="false" customHeight="false" outlineLevel="0" collapsed="false">
      <c r="A44" s="30"/>
      <c r="B44" s="30"/>
      <c r="C44" s="30"/>
      <c r="D44" s="30"/>
      <c r="E44" s="31"/>
      <c r="F44" s="32"/>
      <c r="G44" s="30"/>
      <c r="H44" s="31"/>
      <c r="I44" s="30"/>
      <c r="J44" s="30"/>
      <c r="K44" s="31"/>
      <c r="L44" s="30"/>
      <c r="M44" s="33" t="str">
        <f aca="false">IF(H44="","",IF(G44="Verbal Warning",H44+183,IF(OR(G44="First Written Warning",G44="Final Written Warning"),H44+365,"N/A")))</f>
        <v/>
      </c>
      <c r="N44" s="32"/>
    </row>
    <row r="45" customFormat="false" ht="15" hidden="false" customHeight="false" outlineLevel="0" collapsed="false">
      <c r="A45" s="34"/>
      <c r="B45" s="34"/>
      <c r="C45" s="34"/>
      <c r="D45" s="34"/>
      <c r="E45" s="33"/>
      <c r="F45" s="35"/>
      <c r="G45" s="34"/>
      <c r="H45" s="33"/>
      <c r="I45" s="34"/>
      <c r="J45" s="34"/>
      <c r="K45" s="33"/>
      <c r="L45" s="34"/>
      <c r="M45" s="33" t="str">
        <f aca="false">IF(H45="","",IF(G45="Verbal Warning",H45+183,IF(OR(G45="First Written Warning",G45="Final Written Warning"),H45+365,"N/A")))</f>
        <v/>
      </c>
      <c r="N45" s="35"/>
    </row>
    <row r="46" customFormat="false" ht="15" hidden="false" customHeight="false" outlineLevel="0" collapsed="false">
      <c r="A46" s="30"/>
      <c r="B46" s="30"/>
      <c r="C46" s="30"/>
      <c r="D46" s="30"/>
      <c r="E46" s="31"/>
      <c r="F46" s="32"/>
      <c r="G46" s="30"/>
      <c r="H46" s="31"/>
      <c r="I46" s="30"/>
      <c r="J46" s="30"/>
      <c r="K46" s="31"/>
      <c r="L46" s="30"/>
      <c r="M46" s="33" t="str">
        <f aca="false">IF(H46="","",IF(G46="Verbal Warning",H46+183,IF(OR(G46="First Written Warning",G46="Final Written Warning"),H46+365,"N/A")))</f>
        <v/>
      </c>
      <c r="N46" s="32"/>
    </row>
    <row r="47" customFormat="false" ht="15" hidden="false" customHeight="false" outlineLevel="0" collapsed="false">
      <c r="A47" s="34"/>
      <c r="B47" s="34"/>
      <c r="C47" s="34"/>
      <c r="D47" s="34"/>
      <c r="E47" s="33"/>
      <c r="F47" s="35"/>
      <c r="G47" s="34"/>
      <c r="H47" s="33"/>
      <c r="I47" s="34"/>
      <c r="J47" s="34"/>
      <c r="K47" s="33"/>
      <c r="L47" s="34"/>
      <c r="M47" s="33" t="str">
        <f aca="false">IF(H47="","",IF(G47="Verbal Warning",H47+183,IF(OR(G47="First Written Warning",G47="Final Written Warning"),H47+365,"N/A")))</f>
        <v/>
      </c>
      <c r="N47" s="35"/>
    </row>
    <row r="48" customFormat="false" ht="15" hidden="false" customHeight="false" outlineLevel="0" collapsed="false">
      <c r="A48" s="30"/>
      <c r="B48" s="30"/>
      <c r="C48" s="30"/>
      <c r="D48" s="30"/>
      <c r="E48" s="31"/>
      <c r="F48" s="32"/>
      <c r="G48" s="30"/>
      <c r="H48" s="31"/>
      <c r="I48" s="30"/>
      <c r="J48" s="30"/>
      <c r="K48" s="31"/>
      <c r="L48" s="30"/>
      <c r="M48" s="33" t="str">
        <f aca="false">IF(H48="","",IF(G48="Verbal Warning",H48+183,IF(OR(G48="First Written Warning",G48="Final Written Warning"),H48+365,"N/A")))</f>
        <v/>
      </c>
      <c r="N48" s="32"/>
    </row>
    <row r="49" customFormat="false" ht="15" hidden="false" customHeight="false" outlineLevel="0" collapsed="false">
      <c r="A49" s="34"/>
      <c r="B49" s="34"/>
      <c r="C49" s="34"/>
      <c r="D49" s="34"/>
      <c r="E49" s="33"/>
      <c r="F49" s="35"/>
      <c r="G49" s="34"/>
      <c r="H49" s="33"/>
      <c r="I49" s="34"/>
      <c r="J49" s="34"/>
      <c r="K49" s="33"/>
      <c r="L49" s="34"/>
      <c r="M49" s="33" t="str">
        <f aca="false">IF(H49="","",IF(G49="Verbal Warning",H49+183,IF(OR(G49="First Written Warning",G49="Final Written Warning"),H49+365,"N/A")))</f>
        <v/>
      </c>
      <c r="N49" s="35"/>
    </row>
    <row r="50" customFormat="false" ht="15" hidden="false" customHeight="false" outlineLevel="0" collapsed="false">
      <c r="A50" s="30"/>
      <c r="B50" s="30"/>
      <c r="C50" s="30"/>
      <c r="D50" s="30"/>
      <c r="E50" s="31"/>
      <c r="F50" s="32"/>
      <c r="G50" s="30"/>
      <c r="H50" s="31"/>
      <c r="I50" s="30"/>
      <c r="J50" s="30"/>
      <c r="K50" s="31"/>
      <c r="L50" s="30"/>
      <c r="M50" s="33" t="str">
        <f aca="false">IF(H50="","",IF(G50="Verbal Warning",H50+183,IF(OR(G50="First Written Warning",G50="Final Written Warning"),H50+365,"N/A")))</f>
        <v/>
      </c>
      <c r="N50" s="32"/>
    </row>
    <row r="51" customFormat="false" ht="15" hidden="false" customHeight="false" outlineLevel="0" collapsed="false">
      <c r="A51" s="34"/>
      <c r="B51" s="34"/>
      <c r="C51" s="34"/>
      <c r="D51" s="34"/>
      <c r="E51" s="33"/>
      <c r="F51" s="35"/>
      <c r="G51" s="34"/>
      <c r="H51" s="33"/>
      <c r="I51" s="34"/>
      <c r="J51" s="34"/>
      <c r="K51" s="33"/>
      <c r="L51" s="34"/>
      <c r="M51" s="33" t="str">
        <f aca="false">IF(H51="","",IF(G51="Verbal Warning",H51+183,IF(OR(G51="First Written Warning",G51="Final Written Warning"),H51+365,"N/A")))</f>
        <v/>
      </c>
      <c r="N51" s="35"/>
    </row>
    <row r="52" customFormat="false" ht="15" hidden="false" customHeight="false" outlineLevel="0" collapsed="false">
      <c r="A52" s="30"/>
      <c r="B52" s="30"/>
      <c r="C52" s="30"/>
      <c r="D52" s="30"/>
      <c r="E52" s="31"/>
      <c r="F52" s="32"/>
      <c r="G52" s="30"/>
      <c r="H52" s="31"/>
      <c r="I52" s="30"/>
      <c r="J52" s="30"/>
      <c r="K52" s="31"/>
      <c r="L52" s="30"/>
      <c r="M52" s="33" t="str">
        <f aca="false">IF(H52="","",IF(G52="Verbal Warning",H52+183,IF(OR(G52="First Written Warning",G52="Final Written Warning"),H52+365,"N/A")))</f>
        <v/>
      </c>
      <c r="N52" s="32"/>
    </row>
    <row r="53" customFormat="false" ht="15" hidden="false" customHeight="false" outlineLevel="0" collapsed="false">
      <c r="A53" s="34"/>
      <c r="B53" s="34"/>
      <c r="C53" s="34"/>
      <c r="D53" s="34"/>
      <c r="E53" s="33"/>
      <c r="F53" s="35"/>
      <c r="G53" s="34"/>
      <c r="H53" s="33"/>
      <c r="I53" s="34"/>
      <c r="J53" s="34"/>
      <c r="K53" s="33"/>
      <c r="L53" s="34"/>
      <c r="M53" s="33" t="str">
        <f aca="false">IF(H53="","",IF(G53="Verbal Warning",H53+183,IF(OR(G53="First Written Warning",G53="Final Written Warning"),H53+365,"N/A")))</f>
        <v/>
      </c>
      <c r="N53" s="35"/>
    </row>
    <row r="54" customFormat="false" ht="15" hidden="false" customHeight="false" outlineLevel="0" collapsed="false">
      <c r="A54" s="30"/>
      <c r="B54" s="30"/>
      <c r="C54" s="30"/>
      <c r="D54" s="30"/>
      <c r="E54" s="31"/>
      <c r="F54" s="32"/>
      <c r="G54" s="30"/>
      <c r="H54" s="31"/>
      <c r="I54" s="30"/>
      <c r="J54" s="30"/>
      <c r="K54" s="31"/>
      <c r="L54" s="30"/>
      <c r="M54" s="33" t="str">
        <f aca="false">IF(H54="","",IF(G54="Verbal Warning",H54+183,IF(OR(G54="First Written Warning",G54="Final Written Warning"),H54+365,"N/A")))</f>
        <v/>
      </c>
      <c r="N54" s="32"/>
    </row>
    <row r="55" customFormat="false" ht="15" hidden="false" customHeight="false" outlineLevel="0" collapsed="false">
      <c r="A55" s="34"/>
      <c r="B55" s="34"/>
      <c r="C55" s="34"/>
      <c r="D55" s="34"/>
      <c r="E55" s="33"/>
      <c r="F55" s="35"/>
      <c r="G55" s="34"/>
      <c r="H55" s="33"/>
      <c r="I55" s="34"/>
      <c r="J55" s="34"/>
      <c r="K55" s="33"/>
      <c r="L55" s="34"/>
      <c r="M55" s="33" t="str">
        <f aca="false">IF(H55="","",IF(G55="Verbal Warning",H55+183,IF(OR(G55="First Written Warning",G55="Final Written Warning"),H55+365,"N/A")))</f>
        <v/>
      </c>
      <c r="N55" s="35"/>
    </row>
    <row r="56" customFormat="false" ht="15" hidden="false" customHeight="false" outlineLevel="0" collapsed="false">
      <c r="A56" s="30"/>
      <c r="B56" s="30"/>
      <c r="C56" s="30"/>
      <c r="D56" s="30"/>
      <c r="E56" s="31"/>
      <c r="F56" s="32"/>
      <c r="G56" s="30"/>
      <c r="H56" s="31"/>
      <c r="I56" s="30"/>
      <c r="J56" s="30"/>
      <c r="K56" s="31"/>
      <c r="L56" s="30"/>
      <c r="M56" s="33" t="str">
        <f aca="false">IF(H56="","",IF(G56="Verbal Warning",H56+183,IF(OR(G56="First Written Warning",G56="Final Written Warning"),H56+365,"N/A")))</f>
        <v/>
      </c>
      <c r="N56" s="32"/>
    </row>
    <row r="57" customFormat="false" ht="15" hidden="false" customHeight="false" outlineLevel="0" collapsed="false">
      <c r="A57" s="34"/>
      <c r="B57" s="34"/>
      <c r="C57" s="34"/>
      <c r="D57" s="34"/>
      <c r="E57" s="33"/>
      <c r="F57" s="35"/>
      <c r="G57" s="34"/>
      <c r="H57" s="33"/>
      <c r="I57" s="34"/>
      <c r="J57" s="34"/>
      <c r="K57" s="33"/>
      <c r="L57" s="34"/>
      <c r="M57" s="33" t="str">
        <f aca="false">IF(H57="","",IF(G57="Verbal Warning",H57+183,IF(OR(G57="First Written Warning",G57="Final Written Warning"),H57+365,"N/A")))</f>
        <v/>
      </c>
      <c r="N57" s="35"/>
    </row>
    <row r="58" customFormat="false" ht="15" hidden="false" customHeight="false" outlineLevel="0" collapsed="false">
      <c r="A58" s="30"/>
      <c r="B58" s="30"/>
      <c r="C58" s="30"/>
      <c r="D58" s="30"/>
      <c r="E58" s="31"/>
      <c r="F58" s="32"/>
      <c r="G58" s="30"/>
      <c r="H58" s="31"/>
      <c r="I58" s="30"/>
      <c r="J58" s="30"/>
      <c r="K58" s="31"/>
      <c r="L58" s="30"/>
      <c r="M58" s="33" t="str">
        <f aca="false">IF(H58="","",IF(G58="Verbal Warning",H58+183,IF(OR(G58="First Written Warning",G58="Final Written Warning"),H58+365,"N/A")))</f>
        <v/>
      </c>
      <c r="N58" s="32"/>
    </row>
    <row r="59" customFormat="false" ht="15" hidden="false" customHeight="false" outlineLevel="0" collapsed="false">
      <c r="A59" s="34"/>
      <c r="B59" s="34"/>
      <c r="C59" s="34"/>
      <c r="D59" s="34"/>
      <c r="E59" s="33"/>
      <c r="F59" s="35"/>
      <c r="G59" s="34"/>
      <c r="H59" s="33"/>
      <c r="I59" s="34"/>
      <c r="J59" s="34"/>
      <c r="K59" s="33"/>
      <c r="L59" s="34"/>
      <c r="M59" s="33" t="str">
        <f aca="false">IF(H59="","",IF(G59="Verbal Warning",H59+183,IF(OR(G59="First Written Warning",G59="Final Written Warning"),H59+365,"N/A")))</f>
        <v/>
      </c>
      <c r="N59" s="35"/>
    </row>
  </sheetData>
  <autoFilter ref="A9:N509"/>
  <mergeCells count="8">
    <mergeCell ref="A1:N1"/>
    <mergeCell ref="A2:D2"/>
    <mergeCell ref="F2:H2"/>
    <mergeCell ref="A3:C3"/>
    <mergeCell ref="A4:C4"/>
    <mergeCell ref="A5:C5"/>
    <mergeCell ref="A6:C6"/>
    <mergeCell ref="A8:N8"/>
  </mergeCells>
  <conditionalFormatting sqref="G10:G509">
    <cfRule type="cellIs" priority="2" operator="equal" aboveAverage="0" equalAverage="0" bottom="0" percent="0" rank="0" text="" dxfId="9">
      <formula>"Verbal Warning"</formula>
    </cfRule>
    <cfRule type="cellIs" priority="3" operator="equal" aboveAverage="0" equalAverage="0" bottom="0" percent="0" rank="0" text="" dxfId="10">
      <formula>"First Written Warning"</formula>
    </cfRule>
    <cfRule type="cellIs" priority="4" operator="equal" aboveAverage="0" equalAverage="0" bottom="0" percent="0" rank="0" text="" dxfId="10">
      <formula>"Final Written Warning"</formula>
    </cfRule>
    <cfRule type="cellIs" priority="5" operator="equal" aboveAverage="0" equalAverage="0" bottom="0" percent="0" rank="0" text="" dxfId="11">
      <formula>"Dismissal"</formula>
    </cfRule>
    <cfRule type="cellIs" priority="6" operator="equal" aboveAverage="0" equalAverage="0" bottom="0" percent="0" rank="0" text="" dxfId="12">
      <formula>"No Further Action"</formula>
    </cfRule>
  </conditionalFormatting>
  <conditionalFormatting sqref="I10:I509">
    <cfRule type="cellIs" priority="7" operator="equal" aboveAverage="0" equalAverage="0" bottom="0" percent="0" rank="0" text="" dxfId="10">
      <formula>"Open"</formula>
    </cfRule>
    <cfRule type="cellIs" priority="8" operator="equal" aboveAverage="0" equalAverage="0" bottom="0" percent="0" rank="0" text="" dxfId="12">
      <formula>"Closed"</formula>
    </cfRule>
    <cfRule type="cellIs" priority="9" operator="equal" aboveAverage="0" equalAverage="0" bottom="0" percent="0" rank="0" text="" dxfId="9">
      <formula>"Under Appeal"</formula>
    </cfRule>
    <cfRule type="cellIs" priority="10" operator="equal" aboveAverage="0" equalAverage="0" bottom="0" percent="0" rank="0" text="" dxfId="9">
      <formula>"Under Investigation"</formula>
    </cfRule>
  </conditionalFormatting>
  <conditionalFormatting sqref="M10:M509">
    <cfRule type="expression" priority="11" aboveAverage="0" equalAverage="0" bottom="0" percent="0" rank="0" text="" dxfId="12">
      <formula>AND(ISNUMBER(M10),M10&lt;TODAY())</formula>
    </cfRule>
    <cfRule type="expression" priority="12" aboveAverage="0" equalAverage="0" bottom="0" percent="0" rank="0" text="" dxfId="9">
      <formula>AND(ISNUMBER(M10),M10&gt;=TODAY(),M10&lt;TODAY()+30)</formula>
    </cfRule>
  </conditionalFormatting>
  <dataValidations count="3">
    <dataValidation allowBlank="true" errorStyle="stop" operator="between" showDropDown="false" showErrorMessage="false" showInputMessage="false" sqref="G10:G509" type="list">
      <formula1>"Verbal Warning,First Written Warning,Final Written Warning,Dismissal,No Further Action"</formula1>
      <formula2>0</formula2>
    </dataValidation>
    <dataValidation allowBlank="true" errorStyle="stop" operator="between" showDropDown="false" showErrorMessage="false" showInputMessage="false" sqref="I10:I509" type="list">
      <formula1>"Open,Closed,Under Appeal,Under Investigation"</formula1>
      <formula2>0</formula2>
    </dataValidation>
    <dataValidation allowBlank="true" errorStyle="stop" operator="between" showDropDown="false" showErrorMessage="false" showInputMessage="false" sqref="L10:L509" type="list">
      <formula1>"None,Lodged,Hearing Scheduled,Upheld,Overturned"</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&amp;CDisciplinary / Warning Log — CONFIDENTIAL</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87</v>
      </c>
    </row>
    <row r="2" customFormat="false" ht="15" hidden="false" customHeight="false" outlineLevel="0" collapsed="false">
      <c r="A2" s="20"/>
    </row>
    <row r="3" customFormat="false" ht="15" hidden="false" customHeight="false" outlineLevel="0" collapsed="false">
      <c r="A3" s="20" t="s">
        <v>88</v>
      </c>
    </row>
    <row r="4" customFormat="false" ht="15" hidden="false" customHeight="false" outlineLevel="0" collapsed="false">
      <c r="A4" s="20"/>
    </row>
    <row r="5" customFormat="false" ht="15" hidden="false" customHeight="false" outlineLevel="0" collapsed="false">
      <c r="A5" s="20" t="s">
        <v>89</v>
      </c>
    </row>
    <row r="6" customFormat="false" ht="15" hidden="false" customHeight="false" outlineLevel="0" collapsed="false">
      <c r="A6" s="20"/>
    </row>
    <row r="7" customFormat="false" ht="15" hidden="false" customHeight="false" outlineLevel="0" collapsed="false">
      <c r="A7" s="20" t="s">
        <v>90</v>
      </c>
    </row>
    <row r="8" customFormat="false" ht="15" hidden="false" customHeight="false" outlineLevel="0" collapsed="false">
      <c r="A8" s="20"/>
    </row>
    <row r="9" customFormat="false" ht="15" hidden="false" customHeight="false" outlineLevel="0" collapsed="false">
      <c r="A9" s="20" t="s">
        <v>91</v>
      </c>
    </row>
    <row r="10" customFormat="false" ht="15" hidden="false" customHeight="false" outlineLevel="0" collapsed="false">
      <c r="A10" s="20"/>
    </row>
    <row r="11" customFormat="false" ht="15" hidden="false" customHeight="false" outlineLevel="0" collapsed="false">
      <c r="A11" s="20" t="s">
        <v>92</v>
      </c>
    </row>
    <row r="12" customFormat="false" ht="15" hidden="false" customHeight="false" outlineLevel="0" collapsed="false">
      <c r="A12" s="20"/>
    </row>
    <row r="13" customFormat="false" ht="15" hidden="false" customHeight="false" outlineLevel="0" collapsed="false">
      <c r="A13" s="20" t="s">
        <v>93</v>
      </c>
    </row>
    <row r="14" customFormat="false" ht="15" hidden="false" customHeight="false" outlineLevel="0" collapsed="false">
      <c r="A14" s="20"/>
    </row>
    <row r="15" customFormat="false" ht="15" hidden="false" customHeight="false" outlineLevel="0" collapsed="false">
      <c r="A15" s="20" t="s">
        <v>94</v>
      </c>
    </row>
    <row r="16" customFormat="false" ht="15" hidden="false" customHeight="false" outlineLevel="0" collapsed="false">
      <c r="A16" s="20"/>
    </row>
    <row r="17" customFormat="false" ht="15" hidden="false" customHeight="false" outlineLevel="0" collapsed="false">
      <c r="A17" s="20"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People / HR</cp:category>
  <dcterms:created xsi:type="dcterms:W3CDTF">2026-03-23T07:25:58Z</dcterms:created>
  <dc:creator>Ebrora Ltd</dc:creator>
  <dc:description>Confidential log of disciplinary actions with escalation stage tracking, warning expiry calculation, and appeal status monitoring.
Free professional construction management template from Ebrora Ltd. Visit ebrora.com for our full range of tools and templates.</dc:description>
  <cp:keywords>Ebrora construction disciplinary warning ACAS HR people confidential investigation</cp:keywords>
  <dc:language>en-US</dc:language>
  <cp:lastModifiedBy>Ebrora Ltd</cp:lastModifiedBy>
  <dcterms:modified xsi:type="dcterms:W3CDTF">2026-03-23T07:25:58Z</dcterms:modified>
  <cp:revision>0</cp:revision>
  <dc:subject>Confidential log of disciplinary actions with escalation stage tracking and warning expiry calculation.</dc:subject>
  <dc:title>Disciplinary / Warning Log</dc:title>
</cp:coreProperties>
</file>

<file path=docProps/custom.xml><?xml version="1.0" encoding="utf-8"?>
<Properties xmlns="http://schemas.openxmlformats.org/officeDocument/2006/custom-properties" xmlns:vt="http://schemas.openxmlformats.org/officeDocument/2006/docPropsVTypes"/>
</file>