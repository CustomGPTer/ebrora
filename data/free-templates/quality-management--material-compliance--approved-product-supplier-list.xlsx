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Approved List" sheetId="3" state="visible" r:id="rId5"/>
    <sheet name="Terms of Use" sheetId="4" state="hidden" r:id="rId6"/>
  </sheets>
  <definedNames>
    <definedName function="false" hidden="false" localSheetId="2" name="_xlnm.Print_Area" vbProcedure="false">'Approved List'!$A$1:$M$59</definedName>
    <definedName function="false" hidden="true" localSheetId="2" name="_xlnm._FilterDatabase" vbProcedure="false">'Approved List'!$A$8:$P$59</definedName>
    <definedName function="false" hidden="false" localSheetId="0" name="_xlnm.Print_Area" vbProcedure="false">Cover!$A$1:$H$20</definedName>
    <definedName function="false" hidden="false" name="DataTable" vbProcedure="false">'Approved List'!$A$8:$P$59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<sst xmlns="http://schemas.openxmlformats.org/spreadsheetml/2006/main" count="98" uniqueCount="98">
  <si>
    <t xml:space="preserve">EBRORA</t>
  </si>
  <si>
    <t xml:space="preserve">ebrora.com</t>
  </si>
  <si>
    <t xml:space="preserve">Approved Product /
Supplier List</t>
  </si>
  <si>
    <t xml:space="preserve">Maintain a scored and approved supplier directory with weighted performance ratings across quality, delivery, price, and compliance criteria.</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</si>
  <si>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</si>
  <si>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</si>
  <si>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</si>
  <si>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</si>
  <si>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'Approved List' sheet. The summary panel shows total suppliers, approval breakdown, and average scores.</t>
  </si>
  <si>
    <t xml:space="preserve">2. Enter each supplier/product with its category, product/service description, and contact details.</t>
  </si>
  <si>
    <t xml:space="preserve">3. Score each supplier from 1–5 across four criteria: Quality, Delivery, Price, and Compliance.</t>
  </si>
  <si>
    <t xml:space="preserve">4. The Weighted Score calculates automatically: Quality 30% + Delivery 25% + Price 20% + Compliance 25%.</t>
  </si>
  <si>
    <t xml:space="preserve">5. Approval Status auto-calculates: APPROVED (score ≥ 3.5), CONDITIONAL (2.5–3.4), REJECTED (&lt; 2.5).</t>
  </si>
  <si>
    <t xml:space="preserve">6. Record the review date and set a next review date. Items overdue for review highlight in amber.</t>
  </si>
  <si>
    <t xml:space="preserve">7. Expand optional columns [+] for certifications held, insurance expiry, and internal notes.</t>
  </si>
  <si>
    <t xml:space="preserve">8. Filter by category or status to quickly find approved suppliers for a specific material or trade.</t>
  </si>
  <si>
    <t xml:space="preserve">Colour Key</t>
  </si>
  <si>
    <t xml:space="preserve">Light teal</t>
  </si>
  <si>
    <t xml:space="preserve">Editable cells</t>
  </si>
  <si>
    <t xml:space="preserve">Dark navy</t>
  </si>
  <si>
    <t xml:space="preserve">Headers — do not edit</t>
  </si>
  <si>
    <t xml:space="preserve">Green</t>
  </si>
  <si>
    <t xml:space="preserve">APPROVED — weighted score ≥ 3.5</t>
  </si>
  <si>
    <t xml:space="preserve">Amber</t>
  </si>
  <si>
    <t xml:space="preserve">CONDITIONAL — score 2.5–3.4</t>
  </si>
  <si>
    <t xml:space="preserve">Red</t>
  </si>
  <si>
    <t xml:space="preserve">REJECTED — score below 2.5</t>
  </si>
  <si>
    <t xml:space="preserve">Tips</t>
  </si>
  <si>
    <t xml:space="preserve">• Review suppliers at least annually — set next review dates and use the overdue highlight to stay on top of it.</t>
  </si>
  <si>
    <t xml:space="preserve">• Compliance scores should reflect certification validity, health &amp; safety record, and environmental credentials.</t>
  </si>
  <si>
    <t xml:space="preserve">• Keep this list aligned with your project's procurement plan — if a supplier isn't on here, they shouldn't be ordering.</t>
  </si>
  <si>
    <t xml:space="preserve">APPROVED PRODUCT / SUPPLIER LIST</t>
  </si>
  <si>
    <t xml:space="preserve">Total Suppliers</t>
  </si>
  <si>
    <t xml:space="preserve">Approved</t>
  </si>
  <si>
    <t xml:space="preserve">Conditional</t>
  </si>
  <si>
    <t xml:space="preserve">Rejected</t>
  </si>
  <si>
    <t xml:space="preserve">Avg Score</t>
  </si>
  <si>
    <t xml:space="preserve">Due for Review</t>
  </si>
  <si>
    <t xml:space="preserve">Scoring weights: Quality 30% | Delivery 25% | Price 20% | Compliance 25%</t>
  </si>
  <si>
    <t xml:space="preserve">▸ Optional Fields — Click [+] to expand</t>
  </si>
  <si>
    <t xml:space="preserve">Ref</t>
  </si>
  <si>
    <t xml:space="preserve">Supplier Name</t>
  </si>
  <si>
    <t xml:space="preserve">Category</t>
  </si>
  <si>
    <t xml:space="preserve">Product / Service</t>
  </si>
  <si>
    <t xml:space="preserve">Quality
(1–5)</t>
  </si>
  <si>
    <t xml:space="preserve">Delivery
(1–5)</t>
  </si>
  <si>
    <t xml:space="preserve">Price
(1–5)</t>
  </si>
  <si>
    <t xml:space="preserve">Compliance
(1–5)</t>
  </si>
  <si>
    <t xml:space="preserve">Weighted
Score</t>
  </si>
  <si>
    <t xml:space="preserve">Status</t>
  </si>
  <si>
    <t xml:space="preserve">Last
Review</t>
  </si>
  <si>
    <t xml:space="preserve">Next
Review</t>
  </si>
  <si>
    <t xml:space="preserve">Notes</t>
  </si>
  <si>
    <t xml:space="preserve">Certifications</t>
  </si>
  <si>
    <t xml:space="preserve">Insurance
Expiry</t>
  </si>
  <si>
    <t xml:space="preserve">Internal Notes</t>
  </si>
  <si>
    <t xml:space="preserve">AS-001</t>
  </si>
  <si>
    <t xml:space="preserve">Tata Steel UK</t>
  </si>
  <si>
    <t xml:space="preserve">Steelwork</t>
  </si>
  <si>
    <t xml:space="preserve">Universal beams &amp; columns — S355 J2</t>
  </si>
  <si>
    <t xml:space="preserve">Preferred supplier — excellent quality</t>
  </si>
  <si>
    <t xml:space="preserve">ISO 9001, ISO 14001</t>
  </si>
  <si>
    <t xml:space="preserve">Long-standing relationship</t>
  </si>
  <si>
    <t xml:space="preserve">AS-002</t>
  </si>
  <si>
    <t xml:space="preserve">Hanson Concrete</t>
  </si>
  <si>
    <t xml:space="preserve">Concrete</t>
  </si>
  <si>
    <t xml:space="preserve">Ready-mix C20/25 to C50/60</t>
  </si>
  <si>
    <t xml:space="preserve">Reliable delivery — good batching records</t>
  </si>
  <si>
    <t xml:space="preserve">BSI Kitemark, QSRMC</t>
  </si>
  <si>
    <t xml:space="preserve">AS-003</t>
  </si>
  <si>
    <t xml:space="preserve">Allied Pipework</t>
  </si>
  <si>
    <t xml:space="preserve">Pipework</t>
  </si>
  <si>
    <t xml:space="preserve">Carbon steel pipework &amp; fittings</t>
  </si>
  <si>
    <t xml:space="preserve">Delivery sometimes late — monitor</t>
  </si>
  <si>
    <t xml:space="preserve">ISO 9001</t>
  </si>
  <si>
    <t xml:space="preserve">Review at next order</t>
  </si>
  <si>
    <t xml:space="preserve">AS-004</t>
  </si>
  <si>
    <t xml:space="preserve">Nullifire</t>
  </si>
  <si>
    <t xml:space="preserve">Coatings</t>
  </si>
  <si>
    <t xml:space="preserve">Intumescent fire protection coatings</t>
  </si>
  <si>
    <t xml:space="preserve">S707 system — 60min fire rated</t>
  </si>
  <si>
    <t xml:space="preserve">BBA Cert, ISO 9001</t>
  </si>
  <si>
    <t xml:space="preserve">AS-005</t>
  </si>
  <si>
    <t xml:space="preserve">Bargain Fixings Ltd</t>
  </si>
  <si>
    <t xml:space="preserve">Fixings</t>
  </si>
  <si>
    <t xml:space="preserve">General fixings &amp; anchor bolts</t>
  </si>
  <si>
    <t xml:space="preserve">No MTCs provided — compliance failure</t>
  </si>
  <si>
    <t xml:space="preserve">None</t>
  </si>
  <si>
    <t xml:space="preserve">Do not reorder until certs resolved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</si>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</sst>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0"/>
    <numFmt numFmtId="167"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6"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24"/>
    <col collapsed="false" customWidth="true" hidden="false" outlineLevel="0" max="3" min="3" style="0" width="18"/>
    <col collapsed="false" customWidth="true" hidden="false" outlineLevel="0" max="4" min="4" style="0" width="26"/>
    <col collapsed="false" customWidth="true" hidden="false" outlineLevel="0" max="6" min="5" style="0" width="11"/>
    <col collapsed="false" customWidth="true" hidden="false" outlineLevel="0" max="7" min="7" style="0" width="10"/>
    <col collapsed="false" customWidth="true" hidden="false" outlineLevel="0" max="9" min="8" style="0" width="13"/>
    <col collapsed="false" customWidth="true" hidden="false" outlineLevel="0" max="10" min="10" style="0" width="14"/>
    <col collapsed="false" customWidth="true" hidden="false" outlineLevel="0" max="12" min="11" style="0" width="13"/>
    <col collapsed="false" customWidth="true" hidden="false" outlineLevel="0" max="13" min="13" style="0" width="28"/>
    <col collapsed="false" customWidth="true" hidden="true" outlineLevel="1" max="16" min="14" style="0" width="24"/>
  </cols>
  <sheetData>
    <row r="1" customFormat="false" ht="18.65" hidden="false" customHeight="true" outlineLevel="0" collapsed="false">
      <c r="A1" s="18" t="s">
        <v>31</v>
      </c>
      <c r="B1" s="18"/>
      <c r="C1" s="18"/>
      <c r="D1" s="18"/>
      <c r="E1" s="18"/>
      <c r="F1" s="18"/>
      <c r="G1" s="18"/>
      <c r="H1" s="18"/>
      <c r="I1" s="18"/>
      <c r="J1" s="18"/>
      <c r="K1" s="18"/>
      <c r="L1" s="18"/>
      <c r="M1" s="18"/>
      <c r="N1" s="19"/>
      <c r="O1" s="19"/>
      <c r="P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COUNTA(A9:A59)</f>
        <v>5</v>
      </c>
      <c r="C4" s="22" t="n">
        <f aca="false">COUNTIF(J9:J59,"APPROVED")</f>
        <v>3</v>
      </c>
      <c r="E4" s="21" t="n">
        <f aca="false">COUNTIF(J9:J59,"CONDITIONAL")</f>
        <v>1</v>
      </c>
      <c r="G4" s="23" t="n">
        <f aca="false">COUNTIF(J9:J59,"REJECTED")</f>
        <v>47</v>
      </c>
      <c r="I4" s="24" t="n">
        <f aca="false">IFERROR(AVERAGE(I9:I59),0)</f>
        <v>0.362745098039216</v>
      </c>
      <c r="K4" s="21" t="n">
        <f aca="true">COUNTIF(L9:L59,"&lt;"&amp;TODAY())</f>
        <v>0</v>
      </c>
    </row>
    <row r="5" customFormat="false" ht="15" hidden="false" customHeight="true" outlineLevel="0" collapsed="false">
      <c r="A5" s="25" t="s">
        <v>38</v>
      </c>
      <c r="B5" s="25"/>
      <c r="C5" s="25"/>
      <c r="D5" s="25"/>
      <c r="E5" s="25"/>
      <c r="F5" s="25"/>
      <c r="G5" s="25"/>
      <c r="H5" s="25"/>
      <c r="I5" s="25"/>
      <c r="J5" s="25"/>
      <c r="K5" s="25"/>
      <c r="L5" s="25"/>
      <c r="M5" s="25"/>
    </row>
    <row r="6" customFormat="false" ht="15" hidden="false" customHeight="false" outlineLevel="0" collapsed="false">
      <c r="A6" s="26"/>
      <c r="B6" s="26"/>
      <c r="C6" s="26"/>
      <c r="D6" s="26"/>
      <c r="E6" s="26"/>
      <c r="F6" s="26"/>
      <c r="G6" s="26"/>
      <c r="H6" s="26"/>
      <c r="I6" s="26"/>
      <c r="J6" s="26"/>
      <c r="K6" s="26"/>
      <c r="L6" s="26"/>
      <c r="M6" s="26"/>
      <c r="N6" s="26"/>
      <c r="O6" s="26"/>
      <c r="P6" s="26"/>
    </row>
    <row r="7" customFormat="false" ht="3.75" hidden="false" customHeight="true" outlineLevel="0" collapsed="false">
      <c r="N7" s="27" t="s">
        <v>39</v>
      </c>
      <c r="O7" s="27"/>
      <c r="P7" s="27"/>
    </row>
    <row r="8" customFormat="false" ht="36" hidden="false" customHeight="true" outlineLevel="0" collapsed="false">
      <c r="A8" s="28" t="s">
        <v>40</v>
      </c>
      <c r="B8" s="28" t="s">
        <v>41</v>
      </c>
      <c r="C8" s="28" t="s">
        <v>42</v>
      </c>
      <c r="D8" s="28" t="s">
        <v>43</v>
      </c>
      <c r="E8" s="28" t="s">
        <v>44</v>
      </c>
      <c r="F8" s="28" t="s">
        <v>45</v>
      </c>
      <c r="G8" s="28" t="s">
        <v>46</v>
      </c>
      <c r="H8" s="28" t="s">
        <v>47</v>
      </c>
      <c r="I8" s="28" t="s">
        <v>48</v>
      </c>
      <c r="J8" s="28" t="s">
        <v>49</v>
      </c>
      <c r="K8" s="28" t="s">
        <v>50</v>
      </c>
      <c r="L8" s="28" t="s">
        <v>51</v>
      </c>
      <c r="M8" s="28" t="s">
        <v>52</v>
      </c>
      <c r="N8" s="28" t="s">
        <v>53</v>
      </c>
      <c r="O8" s="28" t="s">
        <v>54</v>
      </c>
      <c r="P8" s="28" t="s">
        <v>55</v>
      </c>
    </row>
    <row r="9" customFormat="false" ht="23.85" hidden="false" customHeight="false" outlineLevel="0" collapsed="false">
      <c r="A9" s="29" t="s">
        <v>56</v>
      </c>
      <c r="B9" s="30" t="s">
        <v>57</v>
      </c>
      <c r="C9" s="29" t="s">
        <v>58</v>
      </c>
      <c r="D9" s="30" t="s">
        <v>59</v>
      </c>
      <c r="E9" s="29" t="n">
        <v>5</v>
      </c>
      <c r="F9" s="29" t="n">
        <v>4</v>
      </c>
      <c r="G9" s="29" t="n">
        <v>3</v>
      </c>
      <c r="H9" s="29" t="n">
        <v>5</v>
      </c>
      <c r="I9" s="31" t="n">
        <f aca="false">IFERROR(E9*0.3+F9*0.25+G9*0.2+H9*0.25,"")</f>
        <v>4.35</v>
      </c>
      <c r="J9" s="32" t="str">
        <f aca="false">IF(I9="","",IF(I9&gt;=3.5,"APPROVED",IF(I9&gt;=2.5,"CONDITIONAL","REJECTED")))</f>
        <v>APPROVED</v>
      </c>
      <c r="K9" s="33" t="n">
        <v>46037</v>
      </c>
      <c r="L9" s="33" t="n">
        <v>46402</v>
      </c>
      <c r="M9" s="30" t="s">
        <v>60</v>
      </c>
      <c r="N9" s="30" t="s">
        <v>61</v>
      </c>
      <c r="O9" s="33" t="n">
        <v>46387</v>
      </c>
      <c r="P9" s="30" t="s">
        <v>62</v>
      </c>
    </row>
    <row r="10" customFormat="false" ht="23.85" hidden="false" customHeight="false" outlineLevel="0" collapsed="false">
      <c r="A10" s="29" t="s">
        <v>63</v>
      </c>
      <c r="B10" s="30" t="s">
        <v>64</v>
      </c>
      <c r="C10" s="29" t="s">
        <v>65</v>
      </c>
      <c r="D10" s="30" t="s">
        <v>66</v>
      </c>
      <c r="E10" s="29" t="n">
        <v>4</v>
      </c>
      <c r="F10" s="29" t="n">
        <v>5</v>
      </c>
      <c r="G10" s="29" t="n">
        <v>4</v>
      </c>
      <c r="H10" s="29" t="n">
        <v>4</v>
      </c>
      <c r="I10" s="31" t="n">
        <f aca="false">IFERROR(E10*0.3+F10*0.25+G10*0.2+H10*0.25,"")</f>
        <v>4.25</v>
      </c>
      <c r="J10" s="32" t="str">
        <f aca="false">IF(I10="","",IF(I10&gt;=3.5,"APPROVED",IF(I10&gt;=2.5,"CONDITIONAL","REJECTED")))</f>
        <v>APPROVED</v>
      </c>
      <c r="K10" s="33" t="n">
        <v>46042</v>
      </c>
      <c r="L10" s="33" t="n">
        <v>46407</v>
      </c>
      <c r="M10" s="30" t="s">
        <v>67</v>
      </c>
      <c r="N10" s="30" t="s">
        <v>68</v>
      </c>
      <c r="O10" s="33" t="n">
        <v>46356</v>
      </c>
      <c r="P10" s="30"/>
    </row>
    <row r="11" customFormat="false" ht="15" hidden="false" customHeight="false" outlineLevel="0" collapsed="false">
      <c r="A11" s="29" t="s">
        <v>69</v>
      </c>
      <c r="B11" s="30" t="s">
        <v>70</v>
      </c>
      <c r="C11" s="29" t="s">
        <v>71</v>
      </c>
      <c r="D11" s="30" t="s">
        <v>72</v>
      </c>
      <c r="E11" s="29" t="n">
        <v>3</v>
      </c>
      <c r="F11" s="29" t="n">
        <v>3</v>
      </c>
      <c r="G11" s="29" t="n">
        <v>4</v>
      </c>
      <c r="H11" s="29" t="n">
        <v>3</v>
      </c>
      <c r="I11" s="31" t="n">
        <f aca="false">IFERROR(E11*0.3+F11*0.25+G11*0.2+H11*0.25,"")</f>
        <v>3.2</v>
      </c>
      <c r="J11" s="32" t="str">
        <f aca="false">IF(I11="","",IF(I11&gt;=3.5,"APPROVED",IF(I11&gt;=2.5,"CONDITIONAL","REJECTED")))</f>
        <v>CONDITIONAL</v>
      </c>
      <c r="K11" s="33" t="n">
        <v>45992</v>
      </c>
      <c r="L11" s="33" t="n">
        <v>46174</v>
      </c>
      <c r="M11" s="30" t="s">
        <v>73</v>
      </c>
      <c r="N11" s="30" t="s">
        <v>74</v>
      </c>
      <c r="O11" s="33" t="n">
        <v>46295</v>
      </c>
      <c r="P11" s="30" t="s">
        <v>75</v>
      </c>
    </row>
    <row r="12" customFormat="false" ht="23.85" hidden="false" customHeight="false" outlineLevel="0" collapsed="false">
      <c r="A12" s="29" t="s">
        <v>76</v>
      </c>
      <c r="B12" s="30" t="s">
        <v>77</v>
      </c>
      <c r="C12" s="29" t="s">
        <v>78</v>
      </c>
      <c r="D12" s="30" t="s">
        <v>79</v>
      </c>
      <c r="E12" s="29" t="n">
        <v>5</v>
      </c>
      <c r="F12" s="29" t="n">
        <v>4</v>
      </c>
      <c r="G12" s="29" t="n">
        <v>3</v>
      </c>
      <c r="H12" s="29" t="n">
        <v>5</v>
      </c>
      <c r="I12" s="31" t="n">
        <f aca="false">IFERROR(E12*0.3+F12*0.25+G12*0.2+H12*0.25,"")</f>
        <v>4.35</v>
      </c>
      <c r="J12" s="32" t="str">
        <f aca="false">IF(I12="","",IF(I12&gt;=3.5,"APPROVED",IF(I12&gt;=2.5,"CONDITIONAL","REJECTED")))</f>
        <v>APPROVED</v>
      </c>
      <c r="K12" s="33" t="n">
        <v>46054</v>
      </c>
      <c r="L12" s="33" t="n">
        <v>46419</v>
      </c>
      <c r="M12" s="30" t="s">
        <v>80</v>
      </c>
      <c r="N12" s="30" t="s">
        <v>81</v>
      </c>
      <c r="O12" s="33" t="n">
        <v>46477</v>
      </c>
      <c r="P12" s="30"/>
    </row>
    <row r="13" customFormat="false" ht="23.85" hidden="false" customHeight="false" outlineLevel="0" collapsed="false">
      <c r="A13" s="29" t="s">
        <v>82</v>
      </c>
      <c r="B13" s="30" t="s">
        <v>83</v>
      </c>
      <c r="C13" s="29" t="s">
        <v>84</v>
      </c>
      <c r="D13" s="30" t="s">
        <v>85</v>
      </c>
      <c r="E13" s="29" t="n">
        <v>2</v>
      </c>
      <c r="F13" s="29" t="n">
        <v>2</v>
      </c>
      <c r="G13" s="29" t="n">
        <v>5</v>
      </c>
      <c r="H13" s="29" t="n">
        <v>1</v>
      </c>
      <c r="I13" s="31" t="n">
        <f aca="false">IFERROR(E13*0.3+F13*0.25+G13*0.2+H13*0.25,"")</f>
        <v>2.35</v>
      </c>
      <c r="J13" s="32" t="str">
        <f aca="false">IF(I13="","",IF(I13&gt;=3.5,"APPROVED",IF(I13&gt;=2.5,"CONDITIONAL","REJECTED")))</f>
        <v>REJECTED</v>
      </c>
      <c r="K13" s="33" t="n">
        <v>46063</v>
      </c>
      <c r="L13" s="33" t="n">
        <v>46244</v>
      </c>
      <c r="M13" s="30" t="s">
        <v>86</v>
      </c>
      <c r="N13" s="30" t="s">
        <v>87</v>
      </c>
      <c r="O13" s="33" t="n">
        <v>46203</v>
      </c>
      <c r="P13" s="30" t="s">
        <v>88</v>
      </c>
    </row>
    <row r="14" customFormat="false" ht="15" hidden="false" customHeight="false" outlineLevel="0" collapsed="false">
      <c r="A14" s="29"/>
      <c r="B14" s="30"/>
      <c r="C14" s="29"/>
      <c r="D14" s="30"/>
      <c r="E14" s="29"/>
      <c r="F14" s="29"/>
      <c r="G14" s="29"/>
      <c r="H14" s="29"/>
      <c r="I14" s="31" t="n">
        <f aca="false">IFERROR(E14*0.3+F14*0.25+G14*0.2+H14*0.25,"")</f>
        <v>0</v>
      </c>
      <c r="J14" s="32" t="str">
        <f aca="false">IF(I14="","",IF(I14&gt;=3.5,"APPROVED",IF(I14&gt;=2.5,"CONDITIONAL","REJECTED")))</f>
        <v>REJECTED</v>
      </c>
      <c r="K14" s="33"/>
      <c r="L14" s="33"/>
      <c r="M14" s="30"/>
      <c r="N14" s="30"/>
      <c r="O14" s="33"/>
      <c r="P14" s="30"/>
    </row>
    <row r="15" customFormat="false" ht="15" hidden="false" customHeight="false" outlineLevel="0" collapsed="false">
      <c r="A15" s="29"/>
      <c r="B15" s="30"/>
      <c r="C15" s="29"/>
      <c r="D15" s="30"/>
      <c r="E15" s="29"/>
      <c r="F15" s="29"/>
      <c r="G15" s="29"/>
      <c r="H15" s="29"/>
      <c r="I15" s="31" t="n">
        <f aca="false">IFERROR(E15*0.3+F15*0.25+G15*0.2+H15*0.25,"")</f>
        <v>0</v>
      </c>
      <c r="J15" s="32" t="str">
        <f aca="false">IF(I15="","",IF(I15&gt;=3.5,"APPROVED",IF(I15&gt;=2.5,"CONDITIONAL","REJECTED")))</f>
        <v>REJECTED</v>
      </c>
      <c r="K15" s="33"/>
      <c r="L15" s="33"/>
      <c r="M15" s="30"/>
      <c r="N15" s="30"/>
      <c r="O15" s="33"/>
      <c r="P15" s="30"/>
    </row>
    <row r="16" customFormat="false" ht="15" hidden="false" customHeight="false" outlineLevel="0" collapsed="false">
      <c r="A16" s="29"/>
      <c r="B16" s="30"/>
      <c r="C16" s="29"/>
      <c r="D16" s="30"/>
      <c r="E16" s="29"/>
      <c r="F16" s="29"/>
      <c r="G16" s="29"/>
      <c r="H16" s="29"/>
      <c r="I16" s="31" t="n">
        <f aca="false">IFERROR(E16*0.3+F16*0.25+G16*0.2+H16*0.25,"")</f>
        <v>0</v>
      </c>
      <c r="J16" s="32" t="str">
        <f aca="false">IF(I16="","",IF(I16&gt;=3.5,"APPROVED",IF(I16&gt;=2.5,"CONDITIONAL","REJECTED")))</f>
        <v>REJECTED</v>
      </c>
      <c r="K16" s="33"/>
      <c r="L16" s="33"/>
      <c r="M16" s="30"/>
      <c r="N16" s="30"/>
      <c r="O16" s="33"/>
      <c r="P16" s="30"/>
    </row>
    <row r="17" customFormat="false" ht="15" hidden="false" customHeight="false" outlineLevel="0" collapsed="false">
      <c r="A17" s="29"/>
      <c r="B17" s="30"/>
      <c r="C17" s="29"/>
      <c r="D17" s="30"/>
      <c r="E17" s="29"/>
      <c r="F17" s="29"/>
      <c r="G17" s="29"/>
      <c r="H17" s="29"/>
      <c r="I17" s="31" t="n">
        <f aca="false">IFERROR(E17*0.3+F17*0.25+G17*0.2+H17*0.25,"")</f>
        <v>0</v>
      </c>
      <c r="J17" s="32" t="str">
        <f aca="false">IF(I17="","",IF(I17&gt;=3.5,"APPROVED",IF(I17&gt;=2.5,"CONDITIONAL","REJECTED")))</f>
        <v>REJECTED</v>
      </c>
      <c r="K17" s="33"/>
      <c r="L17" s="33"/>
      <c r="M17" s="30"/>
      <c r="N17" s="30"/>
      <c r="O17" s="33"/>
      <c r="P17" s="30"/>
    </row>
    <row r="18" customFormat="false" ht="15" hidden="false" customHeight="false" outlineLevel="0" collapsed="false">
      <c r="A18" s="29"/>
      <c r="B18" s="30"/>
      <c r="C18" s="29"/>
      <c r="D18" s="30"/>
      <c r="E18" s="29"/>
      <c r="F18" s="29"/>
      <c r="G18" s="29"/>
      <c r="H18" s="29"/>
      <c r="I18" s="31" t="n">
        <f aca="false">IFERROR(E18*0.3+F18*0.25+G18*0.2+H18*0.25,"")</f>
        <v>0</v>
      </c>
      <c r="J18" s="32" t="str">
        <f aca="false">IF(I18="","",IF(I18&gt;=3.5,"APPROVED",IF(I18&gt;=2.5,"CONDITIONAL","REJECTED")))</f>
        <v>REJECTED</v>
      </c>
      <c r="K18" s="33"/>
      <c r="L18" s="33"/>
      <c r="M18" s="30"/>
      <c r="N18" s="30"/>
      <c r="O18" s="33"/>
      <c r="P18" s="30"/>
    </row>
    <row r="19" customFormat="false" ht="15" hidden="false" customHeight="false" outlineLevel="0" collapsed="false">
      <c r="A19" s="29"/>
      <c r="B19" s="30"/>
      <c r="C19" s="29"/>
      <c r="D19" s="30"/>
      <c r="E19" s="29"/>
      <c r="F19" s="29"/>
      <c r="G19" s="29"/>
      <c r="H19" s="29"/>
      <c r="I19" s="31" t="n">
        <f aca="false">IFERROR(E19*0.3+F19*0.25+G19*0.2+H19*0.25,"")</f>
        <v>0</v>
      </c>
      <c r="J19" s="32" t="str">
        <f aca="false">IF(I19="","",IF(I19&gt;=3.5,"APPROVED",IF(I19&gt;=2.5,"CONDITIONAL","REJECTED")))</f>
        <v>REJECTED</v>
      </c>
      <c r="K19" s="33"/>
      <c r="L19" s="33"/>
      <c r="M19" s="30"/>
      <c r="N19" s="30"/>
      <c r="O19" s="33"/>
      <c r="P19" s="30"/>
    </row>
    <row r="20" customFormat="false" ht="15" hidden="false" customHeight="false" outlineLevel="0" collapsed="false">
      <c r="A20" s="29"/>
      <c r="B20" s="30"/>
      <c r="C20" s="29"/>
      <c r="D20" s="30"/>
      <c r="E20" s="29"/>
      <c r="F20" s="29"/>
      <c r="G20" s="29"/>
      <c r="H20" s="29"/>
      <c r="I20" s="31" t="n">
        <f aca="false">IFERROR(E20*0.3+F20*0.25+G20*0.2+H20*0.25,"")</f>
        <v>0</v>
      </c>
      <c r="J20" s="32" t="str">
        <f aca="false">IF(I20="","",IF(I20&gt;=3.5,"APPROVED",IF(I20&gt;=2.5,"CONDITIONAL","REJECTED")))</f>
        <v>REJECTED</v>
      </c>
      <c r="K20" s="33"/>
      <c r="L20" s="33"/>
      <c r="M20" s="30"/>
      <c r="N20" s="30"/>
      <c r="O20" s="33"/>
      <c r="P20" s="30"/>
    </row>
    <row r="21" customFormat="false" ht="15" hidden="false" customHeight="false" outlineLevel="0" collapsed="false">
      <c r="A21" s="29"/>
      <c r="B21" s="30"/>
      <c r="C21" s="29"/>
      <c r="D21" s="30"/>
      <c r="E21" s="29"/>
      <c r="F21" s="29"/>
      <c r="G21" s="29"/>
      <c r="H21" s="29"/>
      <c r="I21" s="31" t="n">
        <f aca="false">IFERROR(E21*0.3+F21*0.25+G21*0.2+H21*0.25,"")</f>
        <v>0</v>
      </c>
      <c r="J21" s="32" t="str">
        <f aca="false">IF(I21="","",IF(I21&gt;=3.5,"APPROVED",IF(I21&gt;=2.5,"CONDITIONAL","REJECTED")))</f>
        <v>REJECTED</v>
      </c>
      <c r="K21" s="33"/>
      <c r="L21" s="33"/>
      <c r="M21" s="30"/>
      <c r="N21" s="30"/>
      <c r="O21" s="33"/>
      <c r="P21" s="30"/>
    </row>
    <row r="22" customFormat="false" ht="15" hidden="false" customHeight="false" outlineLevel="0" collapsed="false">
      <c r="A22" s="29"/>
      <c r="B22" s="30"/>
      <c r="C22" s="29"/>
      <c r="D22" s="30"/>
      <c r="E22" s="29"/>
      <c r="F22" s="29"/>
      <c r="G22" s="29"/>
      <c r="H22" s="29"/>
      <c r="I22" s="31" t="n">
        <f aca="false">IFERROR(E22*0.3+F22*0.25+G22*0.2+H22*0.25,"")</f>
        <v>0</v>
      </c>
      <c r="J22" s="32" t="str">
        <f aca="false">IF(I22="","",IF(I22&gt;=3.5,"APPROVED",IF(I22&gt;=2.5,"CONDITIONAL","REJECTED")))</f>
        <v>REJECTED</v>
      </c>
      <c r="K22" s="33"/>
      <c r="L22" s="33"/>
      <c r="M22" s="30"/>
      <c r="N22" s="30"/>
      <c r="O22" s="33"/>
      <c r="P22" s="30"/>
    </row>
    <row r="23" customFormat="false" ht="15" hidden="false" customHeight="false" outlineLevel="0" collapsed="false">
      <c r="A23" s="29"/>
      <c r="B23" s="30"/>
      <c r="C23" s="29"/>
      <c r="D23" s="30"/>
      <c r="E23" s="29"/>
      <c r="F23" s="29"/>
      <c r="G23" s="29"/>
      <c r="H23" s="29"/>
      <c r="I23" s="31" t="n">
        <f aca="false">IFERROR(E23*0.3+F23*0.25+G23*0.2+H23*0.25,"")</f>
        <v>0</v>
      </c>
      <c r="J23" s="32" t="str">
        <f aca="false">IF(I23="","",IF(I23&gt;=3.5,"APPROVED",IF(I23&gt;=2.5,"CONDITIONAL","REJECTED")))</f>
        <v>REJECTED</v>
      </c>
      <c r="K23" s="33"/>
      <c r="L23" s="33"/>
      <c r="M23" s="30"/>
      <c r="N23" s="30"/>
      <c r="O23" s="33"/>
      <c r="P23" s="30"/>
    </row>
    <row r="24" customFormat="false" ht="15" hidden="false" customHeight="false" outlineLevel="0" collapsed="false">
      <c r="A24" s="29"/>
      <c r="B24" s="30"/>
      <c r="C24" s="29"/>
      <c r="D24" s="30"/>
      <c r="E24" s="29"/>
      <c r="F24" s="29"/>
      <c r="G24" s="29"/>
      <c r="H24" s="29"/>
      <c r="I24" s="31" t="n">
        <f aca="false">IFERROR(E24*0.3+F24*0.25+G24*0.2+H24*0.25,"")</f>
        <v>0</v>
      </c>
      <c r="J24" s="32" t="str">
        <f aca="false">IF(I24="","",IF(I24&gt;=3.5,"APPROVED",IF(I24&gt;=2.5,"CONDITIONAL","REJECTED")))</f>
        <v>REJECTED</v>
      </c>
      <c r="K24" s="33"/>
      <c r="L24" s="33"/>
      <c r="M24" s="30"/>
      <c r="N24" s="30"/>
      <c r="O24" s="33"/>
      <c r="P24" s="30"/>
    </row>
    <row r="25" customFormat="false" ht="15" hidden="false" customHeight="false" outlineLevel="0" collapsed="false">
      <c r="A25" s="29"/>
      <c r="B25" s="30"/>
      <c r="C25" s="29"/>
      <c r="D25" s="30"/>
      <c r="E25" s="29"/>
      <c r="F25" s="29"/>
      <c r="G25" s="29"/>
      <c r="H25" s="29"/>
      <c r="I25" s="31" t="n">
        <f aca="false">IFERROR(E25*0.3+F25*0.25+G25*0.2+H25*0.25,"")</f>
        <v>0</v>
      </c>
      <c r="J25" s="32" t="str">
        <f aca="false">IF(I25="","",IF(I25&gt;=3.5,"APPROVED",IF(I25&gt;=2.5,"CONDITIONAL","REJECTED")))</f>
        <v>REJECTED</v>
      </c>
      <c r="K25" s="33"/>
      <c r="L25" s="33"/>
      <c r="M25" s="30"/>
      <c r="N25" s="30"/>
      <c r="O25" s="33"/>
      <c r="P25" s="30"/>
    </row>
    <row r="26" customFormat="false" ht="15" hidden="false" customHeight="false" outlineLevel="0" collapsed="false">
      <c r="A26" s="29"/>
      <c r="B26" s="30"/>
      <c r="C26" s="29"/>
      <c r="D26" s="30"/>
      <c r="E26" s="29"/>
      <c r="F26" s="29"/>
      <c r="G26" s="29"/>
      <c r="H26" s="29"/>
      <c r="I26" s="31" t="n">
        <f aca="false">IFERROR(E26*0.3+F26*0.25+G26*0.2+H26*0.25,"")</f>
        <v>0</v>
      </c>
      <c r="J26" s="32" t="str">
        <f aca="false">IF(I26="","",IF(I26&gt;=3.5,"APPROVED",IF(I26&gt;=2.5,"CONDITIONAL","REJECTED")))</f>
        <v>REJECTED</v>
      </c>
      <c r="K26" s="33"/>
      <c r="L26" s="33"/>
      <c r="M26" s="30"/>
      <c r="N26" s="30"/>
      <c r="O26" s="33"/>
      <c r="P26" s="30"/>
    </row>
    <row r="27" customFormat="false" ht="15" hidden="false" customHeight="false" outlineLevel="0" collapsed="false">
      <c r="A27" s="29"/>
      <c r="B27" s="30"/>
      <c r="C27" s="29"/>
      <c r="D27" s="30"/>
      <c r="E27" s="29"/>
      <c r="F27" s="29"/>
      <c r="G27" s="29"/>
      <c r="H27" s="29"/>
      <c r="I27" s="31" t="n">
        <f aca="false">IFERROR(E27*0.3+F27*0.25+G27*0.2+H27*0.25,"")</f>
        <v>0</v>
      </c>
      <c r="J27" s="32" t="str">
        <f aca="false">IF(I27="","",IF(I27&gt;=3.5,"APPROVED",IF(I27&gt;=2.5,"CONDITIONAL","REJECTED")))</f>
        <v>REJECTED</v>
      </c>
      <c r="K27" s="33"/>
      <c r="L27" s="33"/>
      <c r="M27" s="30"/>
      <c r="N27" s="30"/>
      <c r="O27" s="33"/>
      <c r="P27" s="30"/>
    </row>
    <row r="28" customFormat="false" ht="15" hidden="false" customHeight="false" outlineLevel="0" collapsed="false">
      <c r="A28" s="29"/>
      <c r="B28" s="30"/>
      <c r="C28" s="29"/>
      <c r="D28" s="30"/>
      <c r="E28" s="29"/>
      <c r="F28" s="29"/>
      <c r="G28" s="29"/>
      <c r="H28" s="29"/>
      <c r="I28" s="31" t="n">
        <f aca="false">IFERROR(E28*0.3+F28*0.25+G28*0.2+H28*0.25,"")</f>
        <v>0</v>
      </c>
      <c r="J28" s="32" t="str">
        <f aca="false">IF(I28="","",IF(I28&gt;=3.5,"APPROVED",IF(I28&gt;=2.5,"CONDITIONAL","REJECTED")))</f>
        <v>REJECTED</v>
      </c>
      <c r="K28" s="33"/>
      <c r="L28" s="33"/>
      <c r="M28" s="30"/>
      <c r="N28" s="30"/>
      <c r="O28" s="33"/>
      <c r="P28" s="30"/>
    </row>
    <row r="29" customFormat="false" ht="15" hidden="false" customHeight="false" outlineLevel="0" collapsed="false">
      <c r="A29" s="29"/>
      <c r="B29" s="30"/>
      <c r="C29" s="29"/>
      <c r="D29" s="30"/>
      <c r="E29" s="29"/>
      <c r="F29" s="29"/>
      <c r="G29" s="29"/>
      <c r="H29" s="29"/>
      <c r="I29" s="31" t="n">
        <f aca="false">IFERROR(E29*0.3+F29*0.25+G29*0.2+H29*0.25,"")</f>
        <v>0</v>
      </c>
      <c r="J29" s="32" t="str">
        <f aca="false">IF(I29="","",IF(I29&gt;=3.5,"APPROVED",IF(I29&gt;=2.5,"CONDITIONAL","REJECTED")))</f>
        <v>REJECTED</v>
      </c>
      <c r="K29" s="33"/>
      <c r="L29" s="33"/>
      <c r="M29" s="30"/>
      <c r="N29" s="30"/>
      <c r="O29" s="33"/>
      <c r="P29" s="30"/>
    </row>
    <row r="30" customFormat="false" ht="15" hidden="false" customHeight="false" outlineLevel="0" collapsed="false">
      <c r="A30" s="29"/>
      <c r="B30" s="30"/>
      <c r="C30" s="29"/>
      <c r="D30" s="30"/>
      <c r="E30" s="29"/>
      <c r="F30" s="29"/>
      <c r="G30" s="29"/>
      <c r="H30" s="29"/>
      <c r="I30" s="31" t="n">
        <f aca="false">IFERROR(E30*0.3+F30*0.25+G30*0.2+H30*0.25,"")</f>
        <v>0</v>
      </c>
      <c r="J30" s="32" t="str">
        <f aca="false">IF(I30="","",IF(I30&gt;=3.5,"APPROVED",IF(I30&gt;=2.5,"CONDITIONAL","REJECTED")))</f>
        <v>REJECTED</v>
      </c>
      <c r="K30" s="33"/>
      <c r="L30" s="33"/>
      <c r="M30" s="30"/>
      <c r="N30" s="30"/>
      <c r="O30" s="33"/>
      <c r="P30" s="30"/>
    </row>
    <row r="31" customFormat="false" ht="15" hidden="false" customHeight="false" outlineLevel="0" collapsed="false">
      <c r="A31" s="29"/>
      <c r="B31" s="30"/>
      <c r="C31" s="29"/>
      <c r="D31" s="30"/>
      <c r="E31" s="29"/>
      <c r="F31" s="29"/>
      <c r="G31" s="29"/>
      <c r="H31" s="29"/>
      <c r="I31" s="31" t="n">
        <f aca="false">IFERROR(E31*0.3+F31*0.25+G31*0.2+H31*0.25,"")</f>
        <v>0</v>
      </c>
      <c r="J31" s="32" t="str">
        <f aca="false">IF(I31="","",IF(I31&gt;=3.5,"APPROVED",IF(I31&gt;=2.5,"CONDITIONAL","REJECTED")))</f>
        <v>REJECTED</v>
      </c>
      <c r="K31" s="33"/>
      <c r="L31" s="33"/>
      <c r="M31" s="30"/>
      <c r="N31" s="30"/>
      <c r="O31" s="33"/>
      <c r="P31" s="30"/>
    </row>
    <row r="32" customFormat="false" ht="15" hidden="false" customHeight="false" outlineLevel="0" collapsed="false">
      <c r="A32" s="29"/>
      <c r="B32" s="30"/>
      <c r="C32" s="29"/>
      <c r="D32" s="30"/>
      <c r="E32" s="29"/>
      <c r="F32" s="29"/>
      <c r="G32" s="29"/>
      <c r="H32" s="29"/>
      <c r="I32" s="31" t="n">
        <f aca="false">IFERROR(E32*0.3+F32*0.25+G32*0.2+H32*0.25,"")</f>
        <v>0</v>
      </c>
      <c r="J32" s="32" t="str">
        <f aca="false">IF(I32="","",IF(I32&gt;=3.5,"APPROVED",IF(I32&gt;=2.5,"CONDITIONAL","REJECTED")))</f>
        <v>REJECTED</v>
      </c>
      <c r="K32" s="33"/>
      <c r="L32" s="33"/>
      <c r="M32" s="30"/>
      <c r="N32" s="30"/>
      <c r="O32" s="33"/>
      <c r="P32" s="30"/>
    </row>
    <row r="33" customFormat="false" ht="15" hidden="false" customHeight="false" outlineLevel="0" collapsed="false">
      <c r="A33" s="29"/>
      <c r="B33" s="30"/>
      <c r="C33" s="29"/>
      <c r="D33" s="30"/>
      <c r="E33" s="29"/>
      <c r="F33" s="29"/>
      <c r="G33" s="29"/>
      <c r="H33" s="29"/>
      <c r="I33" s="31" t="n">
        <f aca="false">IFERROR(E33*0.3+F33*0.25+G33*0.2+H33*0.25,"")</f>
        <v>0</v>
      </c>
      <c r="J33" s="32" t="str">
        <f aca="false">IF(I33="","",IF(I33&gt;=3.5,"APPROVED",IF(I33&gt;=2.5,"CONDITIONAL","REJECTED")))</f>
        <v>REJECTED</v>
      </c>
      <c r="K33" s="33"/>
      <c r="L33" s="33"/>
      <c r="M33" s="30"/>
      <c r="N33" s="30"/>
      <c r="O33" s="33"/>
      <c r="P33" s="30"/>
    </row>
    <row r="34" customFormat="false" ht="15" hidden="false" customHeight="false" outlineLevel="0" collapsed="false">
      <c r="A34" s="29"/>
      <c r="B34" s="30"/>
      <c r="C34" s="29"/>
      <c r="D34" s="30"/>
      <c r="E34" s="29"/>
      <c r="F34" s="29"/>
      <c r="G34" s="29"/>
      <c r="H34" s="29"/>
      <c r="I34" s="31" t="n">
        <f aca="false">IFERROR(E34*0.3+F34*0.25+G34*0.2+H34*0.25,"")</f>
        <v>0</v>
      </c>
      <c r="J34" s="32" t="str">
        <f aca="false">IF(I34="","",IF(I34&gt;=3.5,"APPROVED",IF(I34&gt;=2.5,"CONDITIONAL","REJECTED")))</f>
        <v>REJECTED</v>
      </c>
      <c r="K34" s="33"/>
      <c r="L34" s="33"/>
      <c r="M34" s="30"/>
      <c r="N34" s="30"/>
      <c r="O34" s="33"/>
      <c r="P34" s="30"/>
    </row>
    <row r="35" customFormat="false" ht="15" hidden="false" customHeight="false" outlineLevel="0" collapsed="false">
      <c r="A35" s="29"/>
      <c r="B35" s="30"/>
      <c r="C35" s="29"/>
      <c r="D35" s="30"/>
      <c r="E35" s="29"/>
      <c r="F35" s="29"/>
      <c r="G35" s="29"/>
      <c r="H35" s="29"/>
      <c r="I35" s="31" t="n">
        <f aca="false">IFERROR(E35*0.3+F35*0.25+G35*0.2+H35*0.25,"")</f>
        <v>0</v>
      </c>
      <c r="J35" s="32" t="str">
        <f aca="false">IF(I35="","",IF(I35&gt;=3.5,"APPROVED",IF(I35&gt;=2.5,"CONDITIONAL","REJECTED")))</f>
        <v>REJECTED</v>
      </c>
      <c r="K35" s="33"/>
      <c r="L35" s="33"/>
      <c r="M35" s="30"/>
      <c r="N35" s="30"/>
      <c r="O35" s="33"/>
      <c r="P35" s="30"/>
    </row>
    <row r="36" customFormat="false" ht="15" hidden="false" customHeight="false" outlineLevel="0" collapsed="false">
      <c r="A36" s="29"/>
      <c r="B36" s="30"/>
      <c r="C36" s="29"/>
      <c r="D36" s="30"/>
      <c r="E36" s="29"/>
      <c r="F36" s="29"/>
      <c r="G36" s="29"/>
      <c r="H36" s="29"/>
      <c r="I36" s="31" t="n">
        <f aca="false">IFERROR(E36*0.3+F36*0.25+G36*0.2+H36*0.25,"")</f>
        <v>0</v>
      </c>
      <c r="J36" s="32" t="str">
        <f aca="false">IF(I36="","",IF(I36&gt;=3.5,"APPROVED",IF(I36&gt;=2.5,"CONDITIONAL","REJECTED")))</f>
        <v>REJECTED</v>
      </c>
      <c r="K36" s="33"/>
      <c r="L36" s="33"/>
      <c r="M36" s="30"/>
      <c r="N36" s="30"/>
      <c r="O36" s="33"/>
      <c r="P36" s="30"/>
    </row>
    <row r="37" customFormat="false" ht="15" hidden="false" customHeight="false" outlineLevel="0" collapsed="false">
      <c r="A37" s="29"/>
      <c r="B37" s="30"/>
      <c r="C37" s="29"/>
      <c r="D37" s="30"/>
      <c r="E37" s="29"/>
      <c r="F37" s="29"/>
      <c r="G37" s="29"/>
      <c r="H37" s="29"/>
      <c r="I37" s="31" t="n">
        <f aca="false">IFERROR(E37*0.3+F37*0.25+G37*0.2+H37*0.25,"")</f>
        <v>0</v>
      </c>
      <c r="J37" s="32" t="str">
        <f aca="false">IF(I37="","",IF(I37&gt;=3.5,"APPROVED",IF(I37&gt;=2.5,"CONDITIONAL","REJECTED")))</f>
        <v>REJECTED</v>
      </c>
      <c r="K37" s="33"/>
      <c r="L37" s="33"/>
      <c r="M37" s="30"/>
      <c r="N37" s="30"/>
      <c r="O37" s="33"/>
      <c r="P37" s="30"/>
    </row>
    <row r="38" customFormat="false" ht="15" hidden="false" customHeight="false" outlineLevel="0" collapsed="false">
      <c r="A38" s="29"/>
      <c r="B38" s="30"/>
      <c r="C38" s="29"/>
      <c r="D38" s="30"/>
      <c r="E38" s="29"/>
      <c r="F38" s="29"/>
      <c r="G38" s="29"/>
      <c r="H38" s="29"/>
      <c r="I38" s="31" t="n">
        <f aca="false">IFERROR(E38*0.3+F38*0.25+G38*0.2+H38*0.25,"")</f>
        <v>0</v>
      </c>
      <c r="J38" s="32" t="str">
        <f aca="false">IF(I38="","",IF(I38&gt;=3.5,"APPROVED",IF(I38&gt;=2.5,"CONDITIONAL","REJECTED")))</f>
        <v>REJECTED</v>
      </c>
      <c r="K38" s="33"/>
      <c r="L38" s="33"/>
      <c r="M38" s="30"/>
      <c r="N38" s="30"/>
      <c r="O38" s="33"/>
      <c r="P38" s="30"/>
    </row>
    <row r="39" customFormat="false" ht="15" hidden="false" customHeight="false" outlineLevel="0" collapsed="false">
      <c r="A39" s="29"/>
      <c r="B39" s="30"/>
      <c r="C39" s="29"/>
      <c r="D39" s="30"/>
      <c r="E39" s="29"/>
      <c r="F39" s="29"/>
      <c r="G39" s="29"/>
      <c r="H39" s="29"/>
      <c r="I39" s="31" t="n">
        <f aca="false">IFERROR(E39*0.3+F39*0.25+G39*0.2+H39*0.25,"")</f>
        <v>0</v>
      </c>
      <c r="J39" s="32" t="str">
        <f aca="false">IF(I39="","",IF(I39&gt;=3.5,"APPROVED",IF(I39&gt;=2.5,"CONDITIONAL","REJECTED")))</f>
        <v>REJECTED</v>
      </c>
      <c r="K39" s="33"/>
      <c r="L39" s="33"/>
      <c r="M39" s="30"/>
      <c r="N39" s="30"/>
      <c r="O39" s="33"/>
      <c r="P39" s="30"/>
    </row>
    <row r="40" customFormat="false" ht="15" hidden="false" customHeight="false" outlineLevel="0" collapsed="false">
      <c r="A40" s="29"/>
      <c r="B40" s="30"/>
      <c r="C40" s="29"/>
      <c r="D40" s="30"/>
      <c r="E40" s="29"/>
      <c r="F40" s="29"/>
      <c r="G40" s="29"/>
      <c r="H40" s="29"/>
      <c r="I40" s="31" t="n">
        <f aca="false">IFERROR(E40*0.3+F40*0.25+G40*0.2+H40*0.25,"")</f>
        <v>0</v>
      </c>
      <c r="J40" s="32" t="str">
        <f aca="false">IF(I40="","",IF(I40&gt;=3.5,"APPROVED",IF(I40&gt;=2.5,"CONDITIONAL","REJECTED")))</f>
        <v>REJECTED</v>
      </c>
      <c r="K40" s="33"/>
      <c r="L40" s="33"/>
      <c r="M40" s="30"/>
      <c r="N40" s="30"/>
      <c r="O40" s="33"/>
      <c r="P40" s="30"/>
    </row>
    <row r="41" customFormat="false" ht="15" hidden="false" customHeight="false" outlineLevel="0" collapsed="false">
      <c r="A41" s="29"/>
      <c r="B41" s="30"/>
      <c r="C41" s="29"/>
      <c r="D41" s="30"/>
      <c r="E41" s="29"/>
      <c r="F41" s="29"/>
      <c r="G41" s="29"/>
      <c r="H41" s="29"/>
      <c r="I41" s="31" t="n">
        <f aca="false">IFERROR(E41*0.3+F41*0.25+G41*0.2+H41*0.25,"")</f>
        <v>0</v>
      </c>
      <c r="J41" s="32" t="str">
        <f aca="false">IF(I41="","",IF(I41&gt;=3.5,"APPROVED",IF(I41&gt;=2.5,"CONDITIONAL","REJECTED")))</f>
        <v>REJECTED</v>
      </c>
      <c r="K41" s="33"/>
      <c r="L41" s="33"/>
      <c r="M41" s="30"/>
      <c r="N41" s="30"/>
      <c r="O41" s="33"/>
      <c r="P41" s="30"/>
    </row>
    <row r="42" customFormat="false" ht="15" hidden="false" customHeight="false" outlineLevel="0" collapsed="false">
      <c r="A42" s="29"/>
      <c r="B42" s="30"/>
      <c r="C42" s="29"/>
      <c r="D42" s="30"/>
      <c r="E42" s="29"/>
      <c r="F42" s="29"/>
      <c r="G42" s="29"/>
      <c r="H42" s="29"/>
      <c r="I42" s="31" t="n">
        <f aca="false">IFERROR(E42*0.3+F42*0.25+G42*0.2+H42*0.25,"")</f>
        <v>0</v>
      </c>
      <c r="J42" s="32" t="str">
        <f aca="false">IF(I42="","",IF(I42&gt;=3.5,"APPROVED",IF(I42&gt;=2.5,"CONDITIONAL","REJECTED")))</f>
        <v>REJECTED</v>
      </c>
      <c r="K42" s="33"/>
      <c r="L42" s="33"/>
      <c r="M42" s="30"/>
      <c r="N42" s="30"/>
      <c r="O42" s="33"/>
      <c r="P42" s="30"/>
    </row>
    <row r="43" customFormat="false" ht="15" hidden="false" customHeight="false" outlineLevel="0" collapsed="false">
      <c r="A43" s="29"/>
      <c r="B43" s="30"/>
      <c r="C43" s="29"/>
      <c r="D43" s="30"/>
      <c r="E43" s="29"/>
      <c r="F43" s="29"/>
      <c r="G43" s="29"/>
      <c r="H43" s="29"/>
      <c r="I43" s="31" t="n">
        <f aca="false">IFERROR(E43*0.3+F43*0.25+G43*0.2+H43*0.25,"")</f>
        <v>0</v>
      </c>
      <c r="J43" s="32" t="str">
        <f aca="false">IF(I43="","",IF(I43&gt;=3.5,"APPROVED",IF(I43&gt;=2.5,"CONDITIONAL","REJECTED")))</f>
        <v>REJECTED</v>
      </c>
      <c r="K43" s="33"/>
      <c r="L43" s="33"/>
      <c r="M43" s="30"/>
      <c r="N43" s="30"/>
      <c r="O43" s="33"/>
      <c r="P43" s="30"/>
    </row>
    <row r="44" customFormat="false" ht="15" hidden="false" customHeight="false" outlineLevel="0" collapsed="false">
      <c r="A44" s="29"/>
      <c r="B44" s="30"/>
      <c r="C44" s="29"/>
      <c r="D44" s="30"/>
      <c r="E44" s="29"/>
      <c r="F44" s="29"/>
      <c r="G44" s="29"/>
      <c r="H44" s="29"/>
      <c r="I44" s="31" t="n">
        <f aca="false">IFERROR(E44*0.3+F44*0.25+G44*0.2+H44*0.25,"")</f>
        <v>0</v>
      </c>
      <c r="J44" s="32" t="str">
        <f aca="false">IF(I44="","",IF(I44&gt;=3.5,"APPROVED",IF(I44&gt;=2.5,"CONDITIONAL","REJECTED")))</f>
        <v>REJECTED</v>
      </c>
      <c r="K44" s="33"/>
      <c r="L44" s="33"/>
      <c r="M44" s="30"/>
      <c r="N44" s="30"/>
      <c r="O44" s="33"/>
      <c r="P44" s="30"/>
    </row>
    <row r="45" customFormat="false" ht="15" hidden="false" customHeight="false" outlineLevel="0" collapsed="false">
      <c r="A45" s="29"/>
      <c r="B45" s="30"/>
      <c r="C45" s="29"/>
      <c r="D45" s="30"/>
      <c r="E45" s="29"/>
      <c r="F45" s="29"/>
      <c r="G45" s="29"/>
      <c r="H45" s="29"/>
      <c r="I45" s="31" t="n">
        <f aca="false">IFERROR(E45*0.3+F45*0.25+G45*0.2+H45*0.25,"")</f>
        <v>0</v>
      </c>
      <c r="J45" s="32" t="str">
        <f aca="false">IF(I45="","",IF(I45&gt;=3.5,"APPROVED",IF(I45&gt;=2.5,"CONDITIONAL","REJECTED")))</f>
        <v>REJECTED</v>
      </c>
      <c r="K45" s="33"/>
      <c r="L45" s="33"/>
      <c r="M45" s="30"/>
      <c r="N45" s="30"/>
      <c r="O45" s="33"/>
      <c r="P45" s="30"/>
    </row>
    <row r="46" customFormat="false" ht="15" hidden="false" customHeight="false" outlineLevel="0" collapsed="false">
      <c r="A46" s="29"/>
      <c r="B46" s="30"/>
      <c r="C46" s="29"/>
      <c r="D46" s="30"/>
      <c r="E46" s="29"/>
      <c r="F46" s="29"/>
      <c r="G46" s="29"/>
      <c r="H46" s="29"/>
      <c r="I46" s="31" t="n">
        <f aca="false">IFERROR(E46*0.3+F46*0.25+G46*0.2+H46*0.25,"")</f>
        <v>0</v>
      </c>
      <c r="J46" s="32" t="str">
        <f aca="false">IF(I46="","",IF(I46&gt;=3.5,"APPROVED",IF(I46&gt;=2.5,"CONDITIONAL","REJECTED")))</f>
        <v>REJECTED</v>
      </c>
      <c r="K46" s="33"/>
      <c r="L46" s="33"/>
      <c r="M46" s="30"/>
      <c r="N46" s="30"/>
      <c r="O46" s="33"/>
      <c r="P46" s="30"/>
    </row>
    <row r="47" customFormat="false" ht="15" hidden="false" customHeight="false" outlineLevel="0" collapsed="false">
      <c r="A47" s="29"/>
      <c r="B47" s="30"/>
      <c r="C47" s="29"/>
      <c r="D47" s="30"/>
      <c r="E47" s="29"/>
      <c r="F47" s="29"/>
      <c r="G47" s="29"/>
      <c r="H47" s="29"/>
      <c r="I47" s="31" t="n">
        <f aca="false">IFERROR(E47*0.3+F47*0.25+G47*0.2+H47*0.25,"")</f>
        <v>0</v>
      </c>
      <c r="J47" s="32" t="str">
        <f aca="false">IF(I47="","",IF(I47&gt;=3.5,"APPROVED",IF(I47&gt;=2.5,"CONDITIONAL","REJECTED")))</f>
        <v>REJECTED</v>
      </c>
      <c r="K47" s="33"/>
      <c r="L47" s="33"/>
      <c r="M47" s="30"/>
      <c r="N47" s="30"/>
      <c r="O47" s="33"/>
      <c r="P47" s="30"/>
    </row>
    <row r="48" customFormat="false" ht="15" hidden="false" customHeight="false" outlineLevel="0" collapsed="false">
      <c r="A48" s="29"/>
      <c r="B48" s="30"/>
      <c r="C48" s="29"/>
      <c r="D48" s="30"/>
      <c r="E48" s="29"/>
      <c r="F48" s="29"/>
      <c r="G48" s="29"/>
      <c r="H48" s="29"/>
      <c r="I48" s="31" t="n">
        <f aca="false">IFERROR(E48*0.3+F48*0.25+G48*0.2+H48*0.25,"")</f>
        <v>0</v>
      </c>
      <c r="J48" s="32" t="str">
        <f aca="false">IF(I48="","",IF(I48&gt;=3.5,"APPROVED",IF(I48&gt;=2.5,"CONDITIONAL","REJECTED")))</f>
        <v>REJECTED</v>
      </c>
      <c r="K48" s="33"/>
      <c r="L48" s="33"/>
      <c r="M48" s="30"/>
      <c r="N48" s="30"/>
      <c r="O48" s="33"/>
      <c r="P48" s="30"/>
    </row>
    <row r="49" customFormat="false" ht="15" hidden="false" customHeight="false" outlineLevel="0" collapsed="false">
      <c r="A49" s="29"/>
      <c r="B49" s="30"/>
      <c r="C49" s="29"/>
      <c r="D49" s="30"/>
      <c r="E49" s="29"/>
      <c r="F49" s="29"/>
      <c r="G49" s="29"/>
      <c r="H49" s="29"/>
      <c r="I49" s="31" t="n">
        <f aca="false">IFERROR(E49*0.3+F49*0.25+G49*0.2+H49*0.25,"")</f>
        <v>0</v>
      </c>
      <c r="J49" s="32" t="str">
        <f aca="false">IF(I49="","",IF(I49&gt;=3.5,"APPROVED",IF(I49&gt;=2.5,"CONDITIONAL","REJECTED")))</f>
        <v>REJECTED</v>
      </c>
      <c r="K49" s="33"/>
      <c r="L49" s="33"/>
      <c r="M49" s="30"/>
      <c r="N49" s="30"/>
      <c r="O49" s="33"/>
      <c r="P49" s="30"/>
    </row>
    <row r="50" customFormat="false" ht="15" hidden="false" customHeight="false" outlineLevel="0" collapsed="false">
      <c r="A50" s="29"/>
      <c r="B50" s="30"/>
      <c r="C50" s="29"/>
      <c r="D50" s="30"/>
      <c r="E50" s="29"/>
      <c r="F50" s="29"/>
      <c r="G50" s="29"/>
      <c r="H50" s="29"/>
      <c r="I50" s="31" t="n">
        <f aca="false">IFERROR(E50*0.3+F50*0.25+G50*0.2+H50*0.25,"")</f>
        <v>0</v>
      </c>
      <c r="J50" s="32" t="str">
        <f aca="false">IF(I50="","",IF(I50&gt;=3.5,"APPROVED",IF(I50&gt;=2.5,"CONDITIONAL","REJECTED")))</f>
        <v>REJECTED</v>
      </c>
      <c r="K50" s="33"/>
      <c r="L50" s="33"/>
      <c r="M50" s="30"/>
      <c r="N50" s="30"/>
      <c r="O50" s="33"/>
      <c r="P50" s="30"/>
    </row>
    <row r="51" customFormat="false" ht="15" hidden="false" customHeight="false" outlineLevel="0" collapsed="false">
      <c r="A51" s="29"/>
      <c r="B51" s="30"/>
      <c r="C51" s="29"/>
      <c r="D51" s="30"/>
      <c r="E51" s="29"/>
      <c r="F51" s="29"/>
      <c r="G51" s="29"/>
      <c r="H51" s="29"/>
      <c r="I51" s="31" t="n">
        <f aca="false">IFERROR(E51*0.3+F51*0.25+G51*0.2+H51*0.25,"")</f>
        <v>0</v>
      </c>
      <c r="J51" s="32" t="str">
        <f aca="false">IF(I51="","",IF(I51&gt;=3.5,"APPROVED",IF(I51&gt;=2.5,"CONDITIONAL","REJECTED")))</f>
        <v>REJECTED</v>
      </c>
      <c r="K51" s="33"/>
      <c r="L51" s="33"/>
      <c r="M51" s="30"/>
      <c r="N51" s="30"/>
      <c r="O51" s="33"/>
      <c r="P51" s="30"/>
    </row>
    <row r="52" customFormat="false" ht="15" hidden="false" customHeight="false" outlineLevel="0" collapsed="false">
      <c r="A52" s="29"/>
      <c r="B52" s="30"/>
      <c r="C52" s="29"/>
      <c r="D52" s="30"/>
      <c r="E52" s="29"/>
      <c r="F52" s="29"/>
      <c r="G52" s="29"/>
      <c r="H52" s="29"/>
      <c r="I52" s="31" t="n">
        <f aca="false">IFERROR(E52*0.3+F52*0.25+G52*0.2+H52*0.25,"")</f>
        <v>0</v>
      </c>
      <c r="J52" s="32" t="str">
        <f aca="false">IF(I52="","",IF(I52&gt;=3.5,"APPROVED",IF(I52&gt;=2.5,"CONDITIONAL","REJECTED")))</f>
        <v>REJECTED</v>
      </c>
      <c r="K52" s="33"/>
      <c r="L52" s="33"/>
      <c r="M52" s="30"/>
      <c r="N52" s="30"/>
      <c r="O52" s="33"/>
      <c r="P52" s="30"/>
    </row>
    <row r="53" customFormat="false" ht="15" hidden="false" customHeight="false" outlineLevel="0" collapsed="false">
      <c r="A53" s="29"/>
      <c r="B53" s="30"/>
      <c r="C53" s="29"/>
      <c r="D53" s="30"/>
      <c r="E53" s="29"/>
      <c r="F53" s="29"/>
      <c r="G53" s="29"/>
      <c r="H53" s="29"/>
      <c r="I53" s="31" t="n">
        <f aca="false">IFERROR(E53*0.3+F53*0.25+G53*0.2+H53*0.25,"")</f>
        <v>0</v>
      </c>
      <c r="J53" s="32" t="str">
        <f aca="false">IF(I53="","",IF(I53&gt;=3.5,"APPROVED",IF(I53&gt;=2.5,"CONDITIONAL","REJECTED")))</f>
        <v>REJECTED</v>
      </c>
      <c r="K53" s="33"/>
      <c r="L53" s="33"/>
      <c r="M53" s="30"/>
      <c r="N53" s="30"/>
      <c r="O53" s="33"/>
      <c r="P53" s="30"/>
    </row>
    <row r="54" customFormat="false" ht="15" hidden="false" customHeight="false" outlineLevel="0" collapsed="false">
      <c r="A54" s="29"/>
      <c r="B54" s="30"/>
      <c r="C54" s="29"/>
      <c r="D54" s="30"/>
      <c r="E54" s="29"/>
      <c r="F54" s="29"/>
      <c r="G54" s="29"/>
      <c r="H54" s="29"/>
      <c r="I54" s="31" t="n">
        <f aca="false">IFERROR(E54*0.3+F54*0.25+G54*0.2+H54*0.25,"")</f>
        <v>0</v>
      </c>
      <c r="J54" s="32" t="str">
        <f aca="false">IF(I54="","",IF(I54&gt;=3.5,"APPROVED",IF(I54&gt;=2.5,"CONDITIONAL","REJECTED")))</f>
        <v>REJECTED</v>
      </c>
      <c r="K54" s="33"/>
      <c r="L54" s="33"/>
      <c r="M54" s="30"/>
      <c r="N54" s="30"/>
      <c r="O54" s="33"/>
      <c r="P54" s="30"/>
    </row>
    <row r="55" customFormat="false" ht="15" hidden="false" customHeight="false" outlineLevel="0" collapsed="false">
      <c r="A55" s="29"/>
      <c r="B55" s="30"/>
      <c r="C55" s="29"/>
      <c r="D55" s="30"/>
      <c r="E55" s="29"/>
      <c r="F55" s="29"/>
      <c r="G55" s="29"/>
      <c r="H55" s="29"/>
      <c r="I55" s="31" t="n">
        <f aca="false">IFERROR(E55*0.3+F55*0.25+G55*0.2+H55*0.25,"")</f>
        <v>0</v>
      </c>
      <c r="J55" s="32" t="str">
        <f aca="false">IF(I55="","",IF(I55&gt;=3.5,"APPROVED",IF(I55&gt;=2.5,"CONDITIONAL","REJECTED")))</f>
        <v>REJECTED</v>
      </c>
      <c r="K55" s="33"/>
      <c r="L55" s="33"/>
      <c r="M55" s="30"/>
      <c r="N55" s="30"/>
      <c r="O55" s="33"/>
      <c r="P55" s="30"/>
    </row>
    <row r="56" customFormat="false" ht="15" hidden="false" customHeight="false" outlineLevel="0" collapsed="false">
      <c r="A56" s="29"/>
      <c r="B56" s="30"/>
      <c r="C56" s="29"/>
      <c r="D56" s="30"/>
      <c r="E56" s="29"/>
      <c r="F56" s="29"/>
      <c r="G56" s="29"/>
      <c r="H56" s="29"/>
      <c r="I56" s="31" t="n">
        <f aca="false">IFERROR(E56*0.3+F56*0.25+G56*0.2+H56*0.25,"")</f>
        <v>0</v>
      </c>
      <c r="J56" s="32" t="str">
        <f aca="false">IF(I56="","",IF(I56&gt;=3.5,"APPROVED",IF(I56&gt;=2.5,"CONDITIONAL","REJECTED")))</f>
        <v>REJECTED</v>
      </c>
      <c r="K56" s="33"/>
      <c r="L56" s="33"/>
      <c r="M56" s="30"/>
      <c r="N56" s="30"/>
      <c r="O56" s="33"/>
      <c r="P56" s="30"/>
    </row>
    <row r="57" customFormat="false" ht="15" hidden="false" customHeight="false" outlineLevel="0" collapsed="false">
      <c r="A57" s="29"/>
      <c r="B57" s="30"/>
      <c r="C57" s="29"/>
      <c r="D57" s="30"/>
      <c r="E57" s="29"/>
      <c r="F57" s="29"/>
      <c r="G57" s="29"/>
      <c r="H57" s="29"/>
      <c r="I57" s="31" t="n">
        <f aca="false">IFERROR(E57*0.3+F57*0.25+G57*0.2+H57*0.25,"")</f>
        <v>0</v>
      </c>
      <c r="J57" s="32" t="str">
        <f aca="false">IF(I57="","",IF(I57&gt;=3.5,"APPROVED",IF(I57&gt;=2.5,"CONDITIONAL","REJECTED")))</f>
        <v>REJECTED</v>
      </c>
      <c r="K57" s="33"/>
      <c r="L57" s="33"/>
      <c r="M57" s="30"/>
      <c r="N57" s="30"/>
      <c r="O57" s="33"/>
      <c r="P57" s="30"/>
    </row>
    <row r="58" customFormat="false" ht="15" hidden="false" customHeight="false" outlineLevel="0" collapsed="false">
      <c r="A58" s="29"/>
      <c r="B58" s="30"/>
      <c r="C58" s="29"/>
      <c r="D58" s="30"/>
      <c r="E58" s="29"/>
      <c r="F58" s="29"/>
      <c r="G58" s="29"/>
      <c r="H58" s="29"/>
      <c r="I58" s="31" t="n">
        <f aca="false">IFERROR(E58*0.3+F58*0.25+G58*0.2+H58*0.25,"")</f>
        <v>0</v>
      </c>
      <c r="J58" s="32" t="str">
        <f aca="false">IF(I58="","",IF(I58&gt;=3.5,"APPROVED",IF(I58&gt;=2.5,"CONDITIONAL","REJECTED")))</f>
        <v>REJECTED</v>
      </c>
      <c r="K58" s="33"/>
      <c r="L58" s="33"/>
      <c r="M58" s="30"/>
      <c r="N58" s="30"/>
      <c r="O58" s="33"/>
      <c r="P58" s="30"/>
    </row>
    <row r="59" customFormat="false" ht="15" hidden="false" customHeight="false" outlineLevel="0" collapsed="false">
      <c r="A59" s="29"/>
      <c r="B59" s="30"/>
      <c r="C59" s="29"/>
      <c r="D59" s="30"/>
      <c r="E59" s="29"/>
      <c r="F59" s="29"/>
      <c r="G59" s="29"/>
      <c r="H59" s="29"/>
      <c r="I59" s="31" t="n">
        <f aca="false">IFERROR(E59*0.3+F59*0.25+G59*0.2+H59*0.25,"")</f>
        <v>0</v>
      </c>
      <c r="J59" s="32" t="str">
        <f aca="false">IF(I59="","",IF(I59&gt;=3.5,"APPROVED",IF(I59&gt;=2.5,"CONDITIONAL","REJECTED")))</f>
        <v>REJECTED</v>
      </c>
      <c r="K59" s="33"/>
      <c r="L59" s="33"/>
      <c r="M59" s="30"/>
      <c r="N59" s="30"/>
      <c r="O59" s="33"/>
      <c r="P59" s="30"/>
    </row>
  </sheetData>
  <autoFilter ref="A8:P59"/>
  <mergeCells count="3">
    <mergeCell ref="A1:M1"/>
    <mergeCell ref="A5:M5"/>
    <mergeCell ref="N7:P7"/>
  </mergeCells>
  <conditionalFormatting sqref="J9:J59">
    <cfRule type="cellIs" priority="2" operator="equal" aboveAverage="0" equalAverage="0" bottom="0" percent="0" rank="0" text="" dxfId="9">
      <formula>"APPROVED"</formula>
    </cfRule>
    <cfRule type="cellIs" priority="3" operator="equal" aboveAverage="0" equalAverage="0" bottom="0" percent="0" rank="0" text="" dxfId="10">
      <formula>"CONDITIONAL"</formula>
    </cfRule>
    <cfRule type="cellIs" priority="4" operator="equal" aboveAverage="0" equalAverage="0" bottom="0" percent="0" rank="0" text="" dxfId="11">
      <formula>"REJECTED"</formula>
    </cfRule>
  </conditionalFormatting>
  <conditionalFormatting sqref="I9:I59">
    <cfRule type="expression" priority="5" aboveAverage="0" equalAverage="0" bottom="0" percent="0" rank="0" text="" dxfId="12">
      <formula>AND(I9&lt;&gt;"",I9&gt;=4)</formula>
    </cfRule>
    <cfRule type="expression" priority="6" aboveAverage="0" equalAverage="0" bottom="0" percent="0" rank="0" text="" dxfId="13">
      <formula>AND(I9&lt;&gt;"",I9&lt;2.5)</formula>
    </cfRule>
  </conditionalFormatting>
  <conditionalFormatting sqref="L9:L59">
    <cfRule type="expression" priority="7" aboveAverage="0" equalAverage="0" bottom="0" percent="0" rank="0" text="" dxfId="10">
      <formula>AND(L9&lt;&gt;"",L9&lt;TODAY())</formula>
    </cfRule>
  </conditionalFormatting>
  <dataValidations count="2">
    <dataValidation allowBlank="true" errorStyle="stop" operator="between" showDropDown="false" showErrorMessage="false" showInputMessage="false" sqref="C9:C59" type="list">
      <formula1>"Steelwork,Concrete,Mechanical,Electrical,Coatings,Fixings,Pipework,Civils,General,Other"</formula1>
      <formula2>0</formula2>
    </dataValidation>
    <dataValidation allowBlank="true" errorStyle="stop" operator="between" prompt="Enter 1–5" promptTitle="Score" showDropDown="false" showErrorMessage="false" showInputMessage="false" sqref="E9:H59" type="whole">
      <formula1>1</formula1>
      <formula2>5</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&amp;CApproved Product / Supplier List</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4" t="s">
        <v>89</v>
      </c>
    </row>
    <row r="2" customFormat="false" ht="15" hidden="false" customHeight="false" outlineLevel="0" collapsed="false">
      <c r="A2" s="34"/>
    </row>
    <row r="3" customFormat="false" ht="15" hidden="false" customHeight="false" outlineLevel="0" collapsed="false">
      <c r="A3" s="34" t="s">
        <v>90</v>
      </c>
    </row>
    <row r="4" customFormat="false" ht="15" hidden="false" customHeight="false" outlineLevel="0" collapsed="false">
      <c r="A4" s="34"/>
    </row>
    <row r="5" customFormat="false" ht="15" hidden="false" customHeight="false" outlineLevel="0" collapsed="false">
      <c r="A5" s="34" t="s">
        <v>91</v>
      </c>
    </row>
    <row r="6" customFormat="false" ht="15" hidden="false" customHeight="false" outlineLevel="0" collapsed="false">
      <c r="A6" s="34"/>
    </row>
    <row r="7" customFormat="false" ht="15" hidden="false" customHeight="false" outlineLevel="0" collapsed="false">
      <c r="A7" s="34" t="s">
        <v>92</v>
      </c>
    </row>
    <row r="8" customFormat="false" ht="15" hidden="false" customHeight="false" outlineLevel="0" collapsed="false">
      <c r="A8" s="34"/>
    </row>
    <row r="9" customFormat="false" ht="15" hidden="false" customHeight="false" outlineLevel="0" collapsed="false">
      <c r="A9" s="34" t="s">
        <v>93</v>
      </c>
    </row>
    <row r="10" customFormat="false" ht="15" hidden="false" customHeight="false" outlineLevel="0" collapsed="false">
      <c r="A10" s="34"/>
    </row>
    <row r="11" customFormat="false" ht="15" hidden="false" customHeight="false" outlineLevel="0" collapsed="false">
      <c r="A11" s="34" t="s">
        <v>94</v>
      </c>
    </row>
    <row r="12" customFormat="false" ht="15" hidden="false" customHeight="false" outlineLevel="0" collapsed="false">
      <c r="A12" s="34"/>
    </row>
    <row r="13" customFormat="false" ht="15" hidden="false" customHeight="false" outlineLevel="0" collapsed="false">
      <c r="A13" s="34" t="s">
        <v>95</v>
      </c>
    </row>
    <row r="14" customFormat="false" ht="15" hidden="false" customHeight="false" outlineLevel="0" collapsed="false">
      <c r="A14" s="34"/>
    </row>
    <row r="15" customFormat="false" ht="15" hidden="false" customHeight="false" outlineLevel="0" collapsed="false">
      <c r="A15" s="34" t="s">
        <v>96</v>
      </c>
    </row>
    <row r="16" customFormat="false" ht="15" hidden="false" customHeight="false" outlineLevel="0" collapsed="false">
      <c r="A16" s="34"/>
    </row>
    <row r="17" customFormat="false" ht="15" hidden="false" customHeight="false" outlineLevel="0" collapsed="false">
      <c r="A17" s="34"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cp:category>
  <dcterms:created xsi:type="dcterms:W3CDTF">2026-03-23T10:04:47Z</dcterms:created>
  <dc:creator>Ebrora Ltd</dc:creator>
  <dc:description>Maintain a scored and approved supplier directory with weighted performance ratings across quality, delivery, price, and compliance criteria.
Free professional construction management template from Ebrora Ltd. Visit ebrora.com for our full range of tools and templates.</dc:description>
  <cp:keywords>Ebrora construction quality approved supplier product list vendor procurement scoring</cp:keywords>
  <dc:language>en-US</dc:language>
  <cp:lastModifiedBy>Ebrora Ltd</cp:lastModifiedBy>
  <dcterms:modified xsi:type="dcterms:W3CDTF">2026-03-23T10:04:47Z</dcterms:modified>
  <cp:revision>0</cp:revision>
  <dc:subject>Maintain a scored and approved supplier directory with weighted performance ratings and review tracking.</dc:subject>
  <dc:title>Approved Product / Supplier List</dc:title>
</cp:coreProperties>
</file>

<file path=docProps/custom.xml><?xml version="1.0" encoding="utf-8"?>
<Properties xmlns="http://schemas.openxmlformats.org/officeDocument/2006/custom-properties" xmlns:vt="http://schemas.openxmlformats.org/officeDocument/2006/docPropsVTypes"/>
</file>