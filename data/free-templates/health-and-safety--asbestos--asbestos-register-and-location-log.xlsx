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bestos Register" sheetId="1" state="visible" r:id="rId3"/>
    <sheet name="Instructions" sheetId="2" state="visible" r:id="rId4"/>
  </sheets>
  <definedNames>
    <definedName function="false" hidden="false" localSheetId="0" name="_xlnm.Print_Area" vbProcedure="false">'Asbestos Register'!$A$1:$P$39</definedName>
    <definedName function="false" hidden="false" localSheetId="0" name="_xlnm.Print_Titles" vbProcedure="false">'Asbestos Register'!$1:$6</definedName>
    <definedName function="false" hidden="true" localSheetId="0" name="_xlnm._FilterDatabase" vbProcedure="false">'Asbestos Register'!$A$6:$P$31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<sst xmlns="http://schemas.openxmlformats.org/spreadsheetml/2006/main" count="50" uniqueCount="49">
  <si>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ebrora.com</t>
  </si>
  <si>
    <t xml:space="preserve">ASBESTOS REGISTER AND LOCATION LOG</t>
  </si>
  <si>
    <t xml:space="preserve">Ref: Control of Asbestos Regulations 2012; HSE HSG264 — Asbestos: The Survey Guide</t>
  </si>
  <si>
    <t xml:space="preserve">Project / Building:</t>
  </si>
  <si>
    <t xml:space="preserve">Survey Date:</t>
  </si>
  <si>
    <t xml:space="preserve">Surveyor:</t>
  </si>
  <si>
    <t xml:space="preserve">Rev:</t>
  </si>
  <si>
    <t xml:space="preserve">No.</t>
  </si>
  <si>
    <t xml:space="preserve">Sample /
Ref No.</t>
  </si>
  <si>
    <t xml:space="preserve">Location
(Building / Room)</t>
  </si>
  <si>
    <t xml:space="preserve">Floor /
Level</t>
  </si>
  <si>
    <t xml:space="preserve">Product /
Material Type</t>
  </si>
  <si>
    <t xml:space="preserve">Asbestos Type
(Chrysotile /
Amosite /
Crocidolite / None)</t>
  </si>
  <si>
    <t xml:space="preserve">Condition
Rating
(1–4)</t>
  </si>
  <si>
    <t xml:space="preserve">Material
Assessment
Score</t>
  </si>
  <si>
    <t xml:space="preserve">Priority
Assessment
Score</t>
  </si>
  <si>
    <t xml:space="preserve">Total Risk
Score</t>
  </si>
  <si>
    <t xml:space="preserve">Risk
Category</t>
  </si>
  <si>
    <t xml:space="preserve">Accessibility</t>
  </si>
  <si>
    <t xml:space="preserve">Recommended
Action</t>
  </si>
  <si>
    <t xml:space="preserve">Action
Status</t>
  </si>
  <si>
    <t xml:space="preserve">Re-Inspection
Date</t>
  </si>
  <si>
    <t xml:space="preserve">Comments /
Photograph Ref</t>
  </si>
  <si>
    <t xml:space="preserve">SUMMARY</t>
  </si>
  <si>
    <t xml:space="preserve">Total ACMs Identified:</t>
  </si>
  <si>
    <t xml:space="preserve">High / Very High Risk:</t>
  </si>
  <si>
    <t xml:space="preserve">Medium Risk:</t>
  </si>
  <si>
    <t xml:space="preserve">Low Risk:</t>
  </si>
  <si>
    <t xml:space="preserve">Removal Planned:</t>
  </si>
  <si>
    <t xml:space="preserve">Removed:</t>
  </si>
  <si>
    <t xml:space="preserve">INSTRUCTIONS — Asbestos Register and Location Log</t>
  </si>
  <si>
    <t xml:space="preserve">How to Use This Template</t>
  </si>
  <si>
    <t xml:space="preserve">1. Record all identified or presumed asbestos-containing materials (ACMs).</t>
  </si>
  <si>
    <t xml:space="preserve">2. Enter sample reference, location, floor, and product/material type.</t>
  </si>
  <si>
    <t xml:space="preserve">3. Select asbestos type from survey results.</t>
  </si>
  <si>
    <t xml:space="preserve">4. Enter condition rating (1=Good to 4=High Damage/Debris).</t>
  </si>
  <si>
    <t xml:space="preserve">5. Enter material assessment score and priority assessment score per HSG264.</t>
  </si>
  <si>
    <t xml:space="preserve">6. Total risk score and risk category are calculated automatically.</t>
  </si>
  <si>
    <t xml:space="preserve">7. Select the recommended action and track the current status.</t>
  </si>
  <si>
    <t xml:space="preserve">8. Set a re-inspection date for managed-in-situ ACMs.</t>
  </si>
  <si>
    <t xml:space="preserve">9. This register must be made available to anyone who may disturb ACMs.</t>
  </si>
  <si>
    <t xml:space="preserve">Duty to Manage (Regulation 4):</t>
  </si>
  <si>
    <t xml:space="preserve">  Duty holders must identify ACMs, assess condition, and manage the risk.</t>
  </si>
  <si>
    <t xml:space="preserve">  The register must be kept up to date and communicated to all relevant parties.</t>
  </si>
  <si>
    <t xml:space="preserve">References:</t>
  </si>
  <si>
    <t xml:space="preserve">  Control of Asbestos Regulations 2012</t>
  </si>
  <si>
    <t xml:space="preserve">  HSE HSG264 — Asbestos: The Survey Guide</t>
  </si>
  <si>
    <t xml:space="preserve">  HSE HSG227 — A Comprehensive Guide to Managing Asbestos in Premises</t>
  </si>
  <si>
    <t xml:space="preserve">  HSE INDG223 — Managing Asbestos in Buildings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</si>
</sst>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8C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12" min="7" style="0" width="10"/>
    <col collapsed="false" customWidth="true" hidden="false" outlineLevel="0" max="13" min="13" style="0" width="16"/>
    <col collapsed="false" customWidth="true" hidden="false" outlineLevel="0" max="15" min="14" style="0" width="12"/>
    <col collapsed="false" customWidth="true" hidden="false" outlineLevel="0" max="16" min="16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true" outlineLevel="0" collapsed="false">
      <c r="A4" s="4" t="s">
        <v>3</v>
      </c>
      <c r="B4" s="4"/>
      <c r="C4" s="5"/>
      <c r="D4" s="5"/>
      <c r="E4" s="5"/>
      <c r="F4" s="5"/>
      <c r="G4" s="4" t="s">
        <v>4</v>
      </c>
      <c r="H4" s="5"/>
      <c r="I4" s="4" t="s">
        <v>5</v>
      </c>
      <c r="J4" s="5"/>
      <c r="K4" s="5"/>
      <c r="L4" s="5"/>
      <c r="M4" s="4" t="s">
        <v>6</v>
      </c>
      <c r="N4" s="5"/>
    </row>
    <row r="6" customFormat="false" ht="51.75" hidden="false" customHeight="true" outlineLevel="0" collapsed="false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  <c r="O6" s="6" t="s">
        <v>21</v>
      </c>
      <c r="P6" s="6" t="s">
        <v>22</v>
      </c>
    </row>
    <row r="7" customFormat="false" ht="24" hidden="false" customHeight="true" outlineLevel="0" collapsed="false">
      <c r="A7" s="7" t="n">
        <v>1</v>
      </c>
      <c r="B7" s="8"/>
      <c r="C7" s="5"/>
      <c r="D7" s="8"/>
      <c r="E7" s="5"/>
      <c r="F7" s="8"/>
      <c r="G7" s="8"/>
      <c r="H7" s="8"/>
      <c r="I7" s="8"/>
      <c r="J7" s="9" t="str">
        <f aca="false">IF(OR(H7="",I7=""),"",H7+I7)</f>
        <v/>
      </c>
      <c r="K7" s="9" t="str">
        <f aca="false">IF(J7="","",IF(J7&lt;=5,"Low",IF(J7&lt;=10,"Medium",IF(J7&lt;=18,"High","Very High"))))</f>
        <v/>
      </c>
      <c r="L7" s="8"/>
      <c r="M7" s="5"/>
      <c r="N7" s="8"/>
      <c r="O7" s="8"/>
      <c r="P7" s="5"/>
    </row>
    <row r="8" customFormat="false" ht="24" hidden="false" customHeight="true" outlineLevel="0" collapsed="false">
      <c r="A8" s="10" t="n">
        <v>2</v>
      </c>
      <c r="B8" s="8"/>
      <c r="C8" s="5"/>
      <c r="D8" s="8"/>
      <c r="E8" s="5"/>
      <c r="F8" s="8"/>
      <c r="G8" s="8"/>
      <c r="H8" s="8"/>
      <c r="I8" s="8"/>
      <c r="J8" s="11" t="str">
        <f aca="false">IF(OR(H8="",I8=""),"",H8+I8)</f>
        <v/>
      </c>
      <c r="K8" s="11" t="str">
        <f aca="false">IF(J8="","",IF(J8&lt;=5,"Low",IF(J8&lt;=10,"Medium",IF(J8&lt;=18,"High","Very High"))))</f>
        <v/>
      </c>
      <c r="L8" s="8"/>
      <c r="M8" s="5"/>
      <c r="N8" s="8"/>
      <c r="O8" s="8"/>
      <c r="P8" s="5"/>
    </row>
    <row r="9" customFormat="false" ht="24" hidden="false" customHeight="true" outlineLevel="0" collapsed="false">
      <c r="A9" s="7" t="n">
        <v>3</v>
      </c>
      <c r="B9" s="8"/>
      <c r="C9" s="5"/>
      <c r="D9" s="8"/>
      <c r="E9" s="5"/>
      <c r="F9" s="8"/>
      <c r="G9" s="8"/>
      <c r="H9" s="8"/>
      <c r="I9" s="8"/>
      <c r="J9" s="9" t="str">
        <f aca="false">IF(OR(H9="",I9=""),"",H9+I9)</f>
        <v/>
      </c>
      <c r="K9" s="9" t="str">
        <f aca="false">IF(J9="","",IF(J9&lt;=5,"Low",IF(J9&lt;=10,"Medium",IF(J9&lt;=18,"High","Very High"))))</f>
        <v/>
      </c>
      <c r="L9" s="8"/>
      <c r="M9" s="5"/>
      <c r="N9" s="8"/>
      <c r="O9" s="8"/>
      <c r="P9" s="5"/>
    </row>
    <row r="10" customFormat="false" ht="24" hidden="false" customHeight="true" outlineLevel="0" collapsed="false">
      <c r="A10" s="10" t="n">
        <v>4</v>
      </c>
      <c r="B10" s="8"/>
      <c r="C10" s="5"/>
      <c r="D10" s="8"/>
      <c r="E10" s="5"/>
      <c r="F10" s="8"/>
      <c r="G10" s="8"/>
      <c r="H10" s="8"/>
      <c r="I10" s="8"/>
      <c r="J10" s="11" t="str">
        <f aca="false">IF(OR(H10="",I10=""),"",H10+I10)</f>
        <v/>
      </c>
      <c r="K10" s="11" t="str">
        <f aca="false">IF(J10="","",IF(J10&lt;=5,"Low",IF(J10&lt;=10,"Medium",IF(J10&lt;=18,"High","Very High"))))</f>
        <v/>
      </c>
      <c r="L10" s="8"/>
      <c r="M10" s="5"/>
      <c r="N10" s="8"/>
      <c r="O10" s="8"/>
      <c r="P10" s="5"/>
    </row>
    <row r="11" customFormat="false" ht="24" hidden="false" customHeight="true" outlineLevel="0" collapsed="false">
      <c r="A11" s="7" t="n">
        <v>5</v>
      </c>
      <c r="B11" s="8"/>
      <c r="C11" s="5"/>
      <c r="D11" s="8"/>
      <c r="E11" s="5"/>
      <c r="F11" s="8"/>
      <c r="G11" s="8"/>
      <c r="H11" s="8"/>
      <c r="I11" s="8"/>
      <c r="J11" s="9" t="str">
        <f aca="false">IF(OR(H11="",I11=""),"",H11+I11)</f>
        <v/>
      </c>
      <c r="K11" s="9" t="str">
        <f aca="false">IF(J11="","",IF(J11&lt;=5,"Low",IF(J11&lt;=10,"Medium",IF(J11&lt;=18,"High","Very High"))))</f>
        <v/>
      </c>
      <c r="L11" s="8"/>
      <c r="M11" s="5"/>
      <c r="N11" s="8"/>
      <c r="O11" s="8"/>
      <c r="P11" s="5"/>
    </row>
    <row r="12" customFormat="false" ht="24" hidden="false" customHeight="true" outlineLevel="0" collapsed="false">
      <c r="A12" s="10" t="n">
        <v>6</v>
      </c>
      <c r="B12" s="8"/>
      <c r="C12" s="5"/>
      <c r="D12" s="8"/>
      <c r="E12" s="5"/>
      <c r="F12" s="8"/>
      <c r="G12" s="8"/>
      <c r="H12" s="8"/>
      <c r="I12" s="8"/>
      <c r="J12" s="11" t="str">
        <f aca="false">IF(OR(H12="",I12=""),"",H12+I12)</f>
        <v/>
      </c>
      <c r="K12" s="11" t="str">
        <f aca="false">IF(J12="","",IF(J12&lt;=5,"Low",IF(J12&lt;=10,"Medium",IF(J12&lt;=18,"High","Very High"))))</f>
        <v/>
      </c>
      <c r="L12" s="8"/>
      <c r="M12" s="5"/>
      <c r="N12" s="8"/>
      <c r="O12" s="8"/>
      <c r="P12" s="5"/>
    </row>
    <row r="13" customFormat="false" ht="24" hidden="false" customHeight="true" outlineLevel="0" collapsed="false">
      <c r="A13" s="7" t="n">
        <v>7</v>
      </c>
      <c r="B13" s="8"/>
      <c r="C13" s="5"/>
      <c r="D13" s="8"/>
      <c r="E13" s="5"/>
      <c r="F13" s="8"/>
      <c r="G13" s="8"/>
      <c r="H13" s="8"/>
      <c r="I13" s="8"/>
      <c r="J13" s="9" t="str">
        <f aca="false">IF(OR(H13="",I13=""),"",H13+I13)</f>
        <v/>
      </c>
      <c r="K13" s="9" t="str">
        <f aca="false">IF(J13="","",IF(J13&lt;=5,"Low",IF(J13&lt;=10,"Medium",IF(J13&lt;=18,"High","Very High"))))</f>
        <v/>
      </c>
      <c r="L13" s="8"/>
      <c r="M13" s="5"/>
      <c r="N13" s="8"/>
      <c r="O13" s="8"/>
      <c r="P13" s="5"/>
    </row>
    <row r="14" customFormat="false" ht="24" hidden="false" customHeight="true" outlineLevel="0" collapsed="false">
      <c r="A14" s="10" t="n">
        <v>8</v>
      </c>
      <c r="B14" s="8"/>
      <c r="C14" s="5"/>
      <c r="D14" s="8"/>
      <c r="E14" s="5"/>
      <c r="F14" s="8"/>
      <c r="G14" s="8"/>
      <c r="H14" s="8"/>
      <c r="I14" s="8"/>
      <c r="J14" s="11" t="str">
        <f aca="false">IF(OR(H14="",I14=""),"",H14+I14)</f>
        <v/>
      </c>
      <c r="K14" s="11" t="str">
        <f aca="false">IF(J14="","",IF(J14&lt;=5,"Low",IF(J14&lt;=10,"Medium",IF(J14&lt;=18,"High","Very High"))))</f>
        <v/>
      </c>
      <c r="L14" s="8"/>
      <c r="M14" s="5"/>
      <c r="N14" s="8"/>
      <c r="O14" s="8"/>
      <c r="P14" s="5"/>
    </row>
    <row r="15" customFormat="false" ht="24" hidden="false" customHeight="true" outlineLevel="0" collapsed="false">
      <c r="A15" s="7" t="n">
        <v>9</v>
      </c>
      <c r="B15" s="8"/>
      <c r="C15" s="5"/>
      <c r="D15" s="8"/>
      <c r="E15" s="5"/>
      <c r="F15" s="8"/>
      <c r="G15" s="8"/>
      <c r="H15" s="8"/>
      <c r="I15" s="8"/>
      <c r="J15" s="9" t="str">
        <f aca="false">IF(OR(H15="",I15=""),"",H15+I15)</f>
        <v/>
      </c>
      <c r="K15" s="9" t="str">
        <f aca="false">IF(J15="","",IF(J15&lt;=5,"Low",IF(J15&lt;=10,"Medium",IF(J15&lt;=18,"High","Very High"))))</f>
        <v/>
      </c>
      <c r="L15" s="8"/>
      <c r="M15" s="5"/>
      <c r="N15" s="8"/>
      <c r="O15" s="8"/>
      <c r="P15" s="5"/>
    </row>
    <row r="16" customFormat="false" ht="24" hidden="false" customHeight="true" outlineLevel="0" collapsed="false">
      <c r="A16" s="10" t="n">
        <v>10</v>
      </c>
      <c r="B16" s="8"/>
      <c r="C16" s="5"/>
      <c r="D16" s="8"/>
      <c r="E16" s="5"/>
      <c r="F16" s="8"/>
      <c r="G16" s="8"/>
      <c r="H16" s="8"/>
      <c r="I16" s="8"/>
      <c r="J16" s="11" t="str">
        <f aca="false">IF(OR(H16="",I16=""),"",H16+I16)</f>
        <v/>
      </c>
      <c r="K16" s="11" t="str">
        <f aca="false">IF(J16="","",IF(J16&lt;=5,"Low",IF(J16&lt;=10,"Medium",IF(J16&lt;=18,"High","Very High"))))</f>
        <v/>
      </c>
      <c r="L16" s="8"/>
      <c r="M16" s="5"/>
      <c r="N16" s="8"/>
      <c r="O16" s="8"/>
      <c r="P16" s="5"/>
    </row>
    <row r="17" customFormat="false" ht="24" hidden="false" customHeight="true" outlineLevel="0" collapsed="false">
      <c r="A17" s="7" t="n">
        <v>11</v>
      </c>
      <c r="B17" s="8"/>
      <c r="C17" s="5"/>
      <c r="D17" s="8"/>
      <c r="E17" s="5"/>
      <c r="F17" s="8"/>
      <c r="G17" s="8"/>
      <c r="H17" s="8"/>
      <c r="I17" s="8"/>
      <c r="J17" s="9" t="str">
        <f aca="false">IF(OR(H17="",I17=""),"",H17+I17)</f>
        <v/>
      </c>
      <c r="K17" s="9" t="str">
        <f aca="false">IF(J17="","",IF(J17&lt;=5,"Low",IF(J17&lt;=10,"Medium",IF(J17&lt;=18,"High","Very High"))))</f>
        <v/>
      </c>
      <c r="L17" s="8"/>
      <c r="M17" s="5"/>
      <c r="N17" s="8"/>
      <c r="O17" s="8"/>
      <c r="P17" s="5"/>
    </row>
    <row r="18" customFormat="false" ht="24" hidden="false" customHeight="true" outlineLevel="0" collapsed="false">
      <c r="A18" s="10" t="n">
        <v>12</v>
      </c>
      <c r="B18" s="8"/>
      <c r="C18" s="5"/>
      <c r="D18" s="8"/>
      <c r="E18" s="5"/>
      <c r="F18" s="8"/>
      <c r="G18" s="8"/>
      <c r="H18" s="8"/>
      <c r="I18" s="8"/>
      <c r="J18" s="11" t="str">
        <f aca="false">IF(OR(H18="",I18=""),"",H18+I18)</f>
        <v/>
      </c>
      <c r="K18" s="11" t="str">
        <f aca="false">IF(J18="","",IF(J18&lt;=5,"Low",IF(J18&lt;=10,"Medium",IF(J18&lt;=18,"High","Very High"))))</f>
        <v/>
      </c>
      <c r="L18" s="8"/>
      <c r="M18" s="5"/>
      <c r="N18" s="8"/>
      <c r="O18" s="8"/>
      <c r="P18" s="5"/>
    </row>
    <row r="19" customFormat="false" ht="24" hidden="false" customHeight="true" outlineLevel="0" collapsed="false">
      <c r="A19" s="7" t="n">
        <v>13</v>
      </c>
      <c r="B19" s="8"/>
      <c r="C19" s="5"/>
      <c r="D19" s="8"/>
      <c r="E19" s="5"/>
      <c r="F19" s="8"/>
      <c r="G19" s="8"/>
      <c r="H19" s="8"/>
      <c r="I19" s="8"/>
      <c r="J19" s="9" t="str">
        <f aca="false">IF(OR(H19="",I19=""),"",H19+I19)</f>
        <v/>
      </c>
      <c r="K19" s="9" t="str">
        <f aca="false">IF(J19="","",IF(J19&lt;=5,"Low",IF(J19&lt;=10,"Medium",IF(J19&lt;=18,"High","Very High"))))</f>
        <v/>
      </c>
      <c r="L19" s="8"/>
      <c r="M19" s="5"/>
      <c r="N19" s="8"/>
      <c r="O19" s="8"/>
      <c r="P19" s="5"/>
    </row>
    <row r="20" customFormat="false" ht="24" hidden="false" customHeight="true" outlineLevel="0" collapsed="false">
      <c r="A20" s="10" t="n">
        <v>14</v>
      </c>
      <c r="B20" s="8"/>
      <c r="C20" s="5"/>
      <c r="D20" s="8"/>
      <c r="E20" s="5"/>
      <c r="F20" s="8"/>
      <c r="G20" s="8"/>
      <c r="H20" s="8"/>
      <c r="I20" s="8"/>
      <c r="J20" s="11" t="str">
        <f aca="false">IF(OR(H20="",I20=""),"",H20+I20)</f>
        <v/>
      </c>
      <c r="K20" s="11" t="str">
        <f aca="false">IF(J20="","",IF(J20&lt;=5,"Low",IF(J20&lt;=10,"Medium",IF(J20&lt;=18,"High","Very High"))))</f>
        <v/>
      </c>
      <c r="L20" s="8"/>
      <c r="M20" s="5"/>
      <c r="N20" s="8"/>
      <c r="O20" s="8"/>
      <c r="P20" s="5"/>
    </row>
    <row r="21" customFormat="false" ht="24" hidden="false" customHeight="true" outlineLevel="0" collapsed="false">
      <c r="A21" s="7" t="n">
        <v>15</v>
      </c>
      <c r="B21" s="8"/>
      <c r="C21" s="5"/>
      <c r="D21" s="8"/>
      <c r="E21" s="5"/>
      <c r="F21" s="8"/>
      <c r="G21" s="8"/>
      <c r="H21" s="8"/>
      <c r="I21" s="8"/>
      <c r="J21" s="9" t="str">
        <f aca="false">IF(OR(H21="",I21=""),"",H21+I21)</f>
        <v/>
      </c>
      <c r="K21" s="9" t="str">
        <f aca="false">IF(J21="","",IF(J21&lt;=5,"Low",IF(J21&lt;=10,"Medium",IF(J21&lt;=18,"High","Very High"))))</f>
        <v/>
      </c>
      <c r="L21" s="8"/>
      <c r="M21" s="5"/>
      <c r="N21" s="8"/>
      <c r="O21" s="8"/>
      <c r="P21" s="5"/>
    </row>
    <row r="22" customFormat="false" ht="24" hidden="false" customHeight="true" outlineLevel="0" collapsed="false">
      <c r="A22" s="10" t="n">
        <v>16</v>
      </c>
      <c r="B22" s="8"/>
      <c r="C22" s="5"/>
      <c r="D22" s="8"/>
      <c r="E22" s="5"/>
      <c r="F22" s="8"/>
      <c r="G22" s="8"/>
      <c r="H22" s="8"/>
      <c r="I22" s="8"/>
      <c r="J22" s="11" t="str">
        <f aca="false">IF(OR(H22="",I22=""),"",H22+I22)</f>
        <v/>
      </c>
      <c r="K22" s="11" t="str">
        <f aca="false">IF(J22="","",IF(J22&lt;=5,"Low",IF(J22&lt;=10,"Medium",IF(J22&lt;=18,"High","Very High"))))</f>
        <v/>
      </c>
      <c r="L22" s="8"/>
      <c r="M22" s="5"/>
      <c r="N22" s="8"/>
      <c r="O22" s="8"/>
      <c r="P22" s="5"/>
    </row>
    <row r="23" customFormat="false" ht="24" hidden="false" customHeight="true" outlineLevel="0" collapsed="false">
      <c r="A23" s="7" t="n">
        <v>17</v>
      </c>
      <c r="B23" s="8"/>
      <c r="C23" s="5"/>
      <c r="D23" s="8"/>
      <c r="E23" s="5"/>
      <c r="F23" s="8"/>
      <c r="G23" s="8"/>
      <c r="H23" s="8"/>
      <c r="I23" s="8"/>
      <c r="J23" s="9" t="str">
        <f aca="false">IF(OR(H23="",I23=""),"",H23+I23)</f>
        <v/>
      </c>
      <c r="K23" s="9" t="str">
        <f aca="false">IF(J23="","",IF(J23&lt;=5,"Low",IF(J23&lt;=10,"Medium",IF(J23&lt;=18,"High","Very High"))))</f>
        <v/>
      </c>
      <c r="L23" s="8"/>
      <c r="M23" s="5"/>
      <c r="N23" s="8"/>
      <c r="O23" s="8"/>
      <c r="P23" s="5"/>
    </row>
    <row r="24" customFormat="false" ht="24" hidden="false" customHeight="true" outlineLevel="0" collapsed="false">
      <c r="A24" s="10" t="n">
        <v>18</v>
      </c>
      <c r="B24" s="8"/>
      <c r="C24" s="5"/>
      <c r="D24" s="8"/>
      <c r="E24" s="5"/>
      <c r="F24" s="8"/>
      <c r="G24" s="8"/>
      <c r="H24" s="8"/>
      <c r="I24" s="8"/>
      <c r="J24" s="11" t="str">
        <f aca="false">IF(OR(H24="",I24=""),"",H24+I24)</f>
        <v/>
      </c>
      <c r="K24" s="11" t="str">
        <f aca="false">IF(J24="","",IF(J24&lt;=5,"Low",IF(J24&lt;=10,"Medium",IF(J24&lt;=18,"High","Very High"))))</f>
        <v/>
      </c>
      <c r="L24" s="8"/>
      <c r="M24" s="5"/>
      <c r="N24" s="8"/>
      <c r="O24" s="8"/>
      <c r="P24" s="5"/>
    </row>
    <row r="25" customFormat="false" ht="24" hidden="false" customHeight="true" outlineLevel="0" collapsed="false">
      <c r="A25" s="7" t="n">
        <v>19</v>
      </c>
      <c r="B25" s="8"/>
      <c r="C25" s="5"/>
      <c r="D25" s="8"/>
      <c r="E25" s="5"/>
      <c r="F25" s="8"/>
      <c r="G25" s="8"/>
      <c r="H25" s="8"/>
      <c r="I25" s="8"/>
      <c r="J25" s="9" t="str">
        <f aca="false">IF(OR(H25="",I25=""),"",H25+I25)</f>
        <v/>
      </c>
      <c r="K25" s="9" t="str">
        <f aca="false">IF(J25="","",IF(J25&lt;=5,"Low",IF(J25&lt;=10,"Medium",IF(J25&lt;=18,"High","Very High"))))</f>
        <v/>
      </c>
      <c r="L25" s="8"/>
      <c r="M25" s="5"/>
      <c r="N25" s="8"/>
      <c r="O25" s="8"/>
      <c r="P25" s="5"/>
    </row>
    <row r="26" customFormat="false" ht="24" hidden="false" customHeight="true" outlineLevel="0" collapsed="false">
      <c r="A26" s="10" t="n">
        <v>20</v>
      </c>
      <c r="B26" s="8"/>
      <c r="C26" s="5"/>
      <c r="D26" s="8"/>
      <c r="E26" s="5"/>
      <c r="F26" s="8"/>
      <c r="G26" s="8"/>
      <c r="H26" s="8"/>
      <c r="I26" s="8"/>
      <c r="J26" s="11" t="str">
        <f aca="false">IF(OR(H26="",I26=""),"",H26+I26)</f>
        <v/>
      </c>
      <c r="K26" s="11" t="str">
        <f aca="false">IF(J26="","",IF(J26&lt;=5,"Low",IF(J26&lt;=10,"Medium",IF(J26&lt;=18,"High","Very High"))))</f>
        <v/>
      </c>
      <c r="L26" s="8"/>
      <c r="M26" s="5"/>
      <c r="N26" s="8"/>
      <c r="O26" s="8"/>
      <c r="P26" s="5"/>
    </row>
    <row r="27" customFormat="false" ht="24" hidden="false" customHeight="true" outlineLevel="0" collapsed="false">
      <c r="A27" s="7" t="n">
        <v>21</v>
      </c>
      <c r="B27" s="8"/>
      <c r="C27" s="5"/>
      <c r="D27" s="8"/>
      <c r="E27" s="5"/>
      <c r="F27" s="8"/>
      <c r="G27" s="8"/>
      <c r="H27" s="8"/>
      <c r="I27" s="8"/>
      <c r="J27" s="9" t="str">
        <f aca="false">IF(OR(H27="",I27=""),"",H27+I27)</f>
        <v/>
      </c>
      <c r="K27" s="9" t="str">
        <f aca="false">IF(J27="","",IF(J27&lt;=5,"Low",IF(J27&lt;=10,"Medium",IF(J27&lt;=18,"High","Very High"))))</f>
        <v/>
      </c>
      <c r="L27" s="8"/>
      <c r="M27" s="5"/>
      <c r="N27" s="8"/>
      <c r="O27" s="8"/>
      <c r="P27" s="5"/>
    </row>
    <row r="28" customFormat="false" ht="24" hidden="false" customHeight="true" outlineLevel="0" collapsed="false">
      <c r="A28" s="10" t="n">
        <v>22</v>
      </c>
      <c r="B28" s="8"/>
      <c r="C28" s="5"/>
      <c r="D28" s="8"/>
      <c r="E28" s="5"/>
      <c r="F28" s="8"/>
      <c r="G28" s="8"/>
      <c r="H28" s="8"/>
      <c r="I28" s="8"/>
      <c r="J28" s="11" t="str">
        <f aca="false">IF(OR(H28="",I28=""),"",H28+I28)</f>
        <v/>
      </c>
      <c r="K28" s="11" t="str">
        <f aca="false">IF(J28="","",IF(J28&lt;=5,"Low",IF(J28&lt;=10,"Medium",IF(J28&lt;=18,"High","Very High"))))</f>
        <v/>
      </c>
      <c r="L28" s="8"/>
      <c r="M28" s="5"/>
      <c r="N28" s="8"/>
      <c r="O28" s="8"/>
      <c r="P28" s="5"/>
    </row>
    <row r="29" customFormat="false" ht="24" hidden="false" customHeight="true" outlineLevel="0" collapsed="false">
      <c r="A29" s="7" t="n">
        <v>23</v>
      </c>
      <c r="B29" s="8"/>
      <c r="C29" s="5"/>
      <c r="D29" s="8"/>
      <c r="E29" s="5"/>
      <c r="F29" s="8"/>
      <c r="G29" s="8"/>
      <c r="H29" s="8"/>
      <c r="I29" s="8"/>
      <c r="J29" s="9" t="str">
        <f aca="false">IF(OR(H29="",I29=""),"",H29+I29)</f>
        <v/>
      </c>
      <c r="K29" s="9" t="str">
        <f aca="false">IF(J29="","",IF(J29&lt;=5,"Low",IF(J29&lt;=10,"Medium",IF(J29&lt;=18,"High","Very High"))))</f>
        <v/>
      </c>
      <c r="L29" s="8"/>
      <c r="M29" s="5"/>
      <c r="N29" s="8"/>
      <c r="O29" s="8"/>
      <c r="P29" s="5"/>
    </row>
    <row r="30" customFormat="false" ht="24" hidden="false" customHeight="true" outlineLevel="0" collapsed="false">
      <c r="A30" s="10" t="n">
        <v>24</v>
      </c>
      <c r="B30" s="8"/>
      <c r="C30" s="5"/>
      <c r="D30" s="8"/>
      <c r="E30" s="5"/>
      <c r="F30" s="8"/>
      <c r="G30" s="8"/>
      <c r="H30" s="8"/>
      <c r="I30" s="8"/>
      <c r="J30" s="11" t="str">
        <f aca="false">IF(OR(H30="",I30=""),"",H30+I30)</f>
        <v/>
      </c>
      <c r="K30" s="11" t="str">
        <f aca="false">IF(J30="","",IF(J30&lt;=5,"Low",IF(J30&lt;=10,"Medium",IF(J30&lt;=18,"High","Very High"))))</f>
        <v/>
      </c>
      <c r="L30" s="8"/>
      <c r="M30" s="5"/>
      <c r="N30" s="8"/>
      <c r="O30" s="8"/>
      <c r="P30" s="5"/>
    </row>
    <row r="31" customFormat="false" ht="24" hidden="false" customHeight="true" outlineLevel="0" collapsed="false">
      <c r="A31" s="7" t="n">
        <v>25</v>
      </c>
      <c r="B31" s="8"/>
      <c r="C31" s="5"/>
      <c r="D31" s="8"/>
      <c r="E31" s="5"/>
      <c r="F31" s="8"/>
      <c r="G31" s="8"/>
      <c r="H31" s="8"/>
      <c r="I31" s="8"/>
      <c r="J31" s="9" t="str">
        <f aca="false">IF(OR(H31="",I31=""),"",H31+I31)</f>
        <v/>
      </c>
      <c r="K31" s="9" t="str">
        <f aca="false">IF(J31="","",IF(J31&lt;=5,"Low",IF(J31&lt;=10,"Medium",IF(J31&lt;=18,"High","Very High"))))</f>
        <v/>
      </c>
      <c r="L31" s="8"/>
      <c r="M31" s="5"/>
      <c r="N31" s="8"/>
      <c r="O31" s="8"/>
      <c r="P31" s="5"/>
    </row>
    <row r="33" customFormat="false" ht="15" hidden="false" customHeight="true" outlineLevel="0" collapsed="false">
      <c r="A33" s="12" t="s">
        <v>23</v>
      </c>
      <c r="B33" s="12"/>
      <c r="C33" s="12"/>
    </row>
    <row r="34" customFormat="false" ht="23.85" hidden="false" customHeight="true" outlineLevel="0" collapsed="false">
      <c r="A34" s="4" t="s">
        <v>24</v>
      </c>
      <c r="B34" s="4"/>
      <c r="C34" s="13" t="n">
        <f aca="false">COUNTA(B7:B31)</f>
        <v>0</v>
      </c>
    </row>
    <row r="35" customFormat="false" ht="23.85" hidden="false" customHeight="true" outlineLevel="0" collapsed="false">
      <c r="A35" s="4" t="s">
        <v>25</v>
      </c>
      <c r="B35" s="4"/>
      <c r="C35" s="13" t="n">
        <f aca="false">COUNTIF(K7:K31,"High")+COUNTIF(K7:K31,"Very High")</f>
        <v>0</v>
      </c>
    </row>
    <row r="36" customFormat="false" ht="15" hidden="false" customHeight="true" outlineLevel="0" collapsed="false">
      <c r="A36" s="4" t="s">
        <v>26</v>
      </c>
      <c r="B36" s="4"/>
      <c r="C36" s="13" t="n">
        <f aca="false">COUNTIF(K7:K31,"Medium")</f>
        <v>0</v>
      </c>
    </row>
    <row r="37" customFormat="false" ht="15" hidden="false" customHeight="true" outlineLevel="0" collapsed="false">
      <c r="A37" s="4" t="s">
        <v>27</v>
      </c>
      <c r="B37" s="4"/>
      <c r="C37" s="13" t="n">
        <f aca="false">COUNTIF(K7:K31,"Low")</f>
        <v>0</v>
      </c>
    </row>
    <row r="38" customFormat="false" ht="23.85" hidden="false" customHeight="true" outlineLevel="0" collapsed="false">
      <c r="A38" s="4" t="s">
        <v>28</v>
      </c>
      <c r="B38" s="4"/>
      <c r="C38" s="13" t="n">
        <f aca="false">COUNTIF(N7:N31,"Removal Planned")</f>
        <v>0</v>
      </c>
    </row>
    <row r="39" customFormat="false" ht="15" hidden="false" customHeight="true" outlineLevel="0" collapsed="false">
      <c r="A39" s="4" t="s">
        <v>29</v>
      </c>
      <c r="B39" s="4"/>
      <c r="C39" s="13" t="n">
        <f aca="false">COUNTIF(N7:N31,"Removed")</f>
        <v>0</v>
      </c>
    </row>
  </sheetData>
  <autoFilter ref="A6:P31"/>
  <mergeCells count="13">
    <mergeCell ref="A1:P1"/>
    <mergeCell ref="A2:P2"/>
    <mergeCell ref="A3:P3"/>
    <mergeCell ref="A4:B4"/>
    <mergeCell ref="C4:F4"/>
    <mergeCell ref="J4:L4"/>
    <mergeCell ref="A33:C33"/>
    <mergeCell ref="A34:B34"/>
    <mergeCell ref="A35:B35"/>
    <mergeCell ref="A36:B36"/>
    <mergeCell ref="A37:B37"/>
    <mergeCell ref="A38:B38"/>
    <mergeCell ref="A39:B39"/>
  </mergeCells>
  <conditionalFormatting sqref="K7:K31">
    <cfRule type="cellIs" priority="2" operator="equal" aboveAverage="0" equalAverage="0" bottom="0" percent="0" rank="0" text="" dxfId="6">
      <formula>"Low"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"High"</formula>
    </cfRule>
    <cfRule type="cellIs" priority="5" operator="equal" aboveAverage="0" equalAverage="0" bottom="0" percent="0" rank="0" text="" dxfId="9">
      <formula>"Very High"</formula>
    </cfRule>
  </conditionalFormatting>
  <dataValidations count="6">
    <dataValidation allowBlank="true" errorStyle="stop" operator="between" showDropDown="false" showErrorMessage="false" showInputMessage="false" sqref="F7:F31" type="list">
      <formula1>"Chrysotile (White),Amosite (Brown),Crocidolite (Blue),Mixed,Presumed ACM,None Detected,Awaiting Results"</formula1>
      <formula2>0</formula2>
    </dataValidation>
    <dataValidation allowBlank="true" errorStyle="stop" operator="between" showDropDown="false" showErrorMessage="false" showInputMessage="false" sqref="G7:G31" type="list">
      <formula1>"1 - Good,2 - Low Damage,3 - Medium Damage,4 - High Damage / Debris"</formula1>
      <formula2>0</formula2>
    </dataValidation>
    <dataValidation allowBlank="true" errorStyle="stop" operator="between" showDropDown="false" showErrorMessage="false" showInputMessage="false" sqref="M7:M31" type="list">
      <formula1>"Manage in Situ,Encapsulate,Enclose,Remove,Monitor,No Action Required"</formula1>
      <formula2>0</formula2>
    </dataValidation>
    <dataValidation allowBlank="true" errorStyle="stop" operator="between" showDropDown="false" showErrorMessage="false" showInputMessage="false" sqref="N7:N31" type="list">
      <formula1>"Managed,Removal Planned,Removed,Encapsulated,Enclosed,Pending Survey"</formula1>
      <formula2>0</formula2>
    </dataValidation>
    <dataValidation allowBlank="true" errorStyle="stop" operator="between" showDropDown="false" showErrorMessage="false" showInputMessage="false" sqref="L7:L31" type="list">
      <formula1>"Readily Accessible,Occasionally Accessed,Rarely Accessed,Not Accessible"</formula1>
      <formula2>0</formula2>
    </dataValidation>
    <dataValidation allowBlank="true" errorStyle="stop" operator="between" showDropDown="false" showErrorMessage="false" showInputMessage="false" sqref="H7:I31" type="whole">
      <formula1>0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30</v>
      </c>
      <c r="B2" s="2"/>
    </row>
    <row r="4" customFormat="false" ht="15" hidden="false" customHeight="false" outlineLevel="0" collapsed="false">
      <c r="B4" s="12" t="s">
        <v>31</v>
      </c>
    </row>
    <row r="5" customFormat="false" ht="15" hidden="false" customHeight="false" outlineLevel="0" collapsed="false">
      <c r="B5" s="14"/>
    </row>
    <row r="6" customFormat="false" ht="15" hidden="false" customHeight="false" outlineLevel="0" collapsed="false">
      <c r="B6" s="14" t="s">
        <v>32</v>
      </c>
    </row>
    <row r="7" customFormat="false" ht="15" hidden="false" customHeight="false" outlineLevel="0" collapsed="false">
      <c r="B7" s="14" t="s">
        <v>33</v>
      </c>
    </row>
    <row r="8" customFormat="false" ht="15" hidden="false" customHeight="false" outlineLevel="0" collapsed="false">
      <c r="B8" s="14" t="s">
        <v>34</v>
      </c>
    </row>
    <row r="9" customFormat="false" ht="15" hidden="false" customHeight="false" outlineLevel="0" collapsed="false">
      <c r="B9" s="14" t="s">
        <v>35</v>
      </c>
    </row>
    <row r="10" customFormat="false" ht="15" hidden="false" customHeight="false" outlineLevel="0" collapsed="false">
      <c r="B10" s="14" t="s">
        <v>36</v>
      </c>
    </row>
    <row r="11" customFormat="false" ht="15" hidden="false" customHeight="false" outlineLevel="0" collapsed="false">
      <c r="B11" s="14" t="s">
        <v>37</v>
      </c>
    </row>
    <row r="12" customFormat="false" ht="15" hidden="false" customHeight="false" outlineLevel="0" collapsed="false">
      <c r="B12" s="14" t="s">
        <v>38</v>
      </c>
    </row>
    <row r="13" customFormat="false" ht="15" hidden="false" customHeight="false" outlineLevel="0" collapsed="false">
      <c r="B13" s="14" t="s">
        <v>39</v>
      </c>
    </row>
    <row r="14" customFormat="false" ht="15" hidden="false" customHeight="false" outlineLevel="0" collapsed="false">
      <c r="B14" s="14" t="s">
        <v>40</v>
      </c>
    </row>
    <row r="15" customFormat="false" ht="15" hidden="false" customHeight="false" outlineLevel="0" collapsed="false">
      <c r="B15" s="14"/>
    </row>
    <row r="16" customFormat="false" ht="15" hidden="false" customHeight="false" outlineLevel="0" collapsed="false">
      <c r="B16" s="12" t="s">
        <v>41</v>
      </c>
    </row>
    <row r="17" customFormat="false" ht="15" hidden="false" customHeight="false" outlineLevel="0" collapsed="false">
      <c r="B17" s="14" t="s">
        <v>42</v>
      </c>
    </row>
    <row r="18" customFormat="false" ht="15" hidden="false" customHeight="false" outlineLevel="0" collapsed="false">
      <c r="B18" s="14" t="s">
        <v>43</v>
      </c>
    </row>
    <row r="19" customFormat="false" ht="15" hidden="false" customHeight="false" outlineLevel="0" collapsed="false">
      <c r="B19" s="14"/>
    </row>
    <row r="20" customFormat="false" ht="15" hidden="false" customHeight="false" outlineLevel="0" collapsed="false">
      <c r="B20" s="12" t="s">
        <v>44</v>
      </c>
    </row>
    <row r="21" customFormat="false" ht="15" hidden="false" customHeight="false" outlineLevel="0" collapsed="false">
      <c r="B21" s="3" t="s">
        <v>45</v>
      </c>
    </row>
    <row r="22" customFormat="false" ht="15" hidden="false" customHeight="false" outlineLevel="0" collapsed="false">
      <c r="B22" s="3" t="s">
        <v>46</v>
      </c>
    </row>
    <row r="23" customFormat="false" ht="15" hidden="false" customHeight="false" outlineLevel="0" collapsed="false">
      <c r="B23" s="3" t="s">
        <v>47</v>
      </c>
    </row>
    <row r="24" customFormat="false" ht="15" hidden="false" customHeight="false" outlineLevel="0" collapsed="false">
      <c r="B24" s="3" t="s">
        <v>48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2026-03-27T16:40:10Z</dcterms:created>
  <dc:creator>openpyxl</dc:creator>
  <dc:description/>
  <dc:language>en-US</dc:language>
  <cp:lastModifiedBy/>
  <dcterms:modified xsi:type="dcterms:W3CDTF">2026-03-27T16:40:10Z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