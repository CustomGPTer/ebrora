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LE INSTALLATION RECORD LOG" sheetId="1" state="visible" r:id="rId3"/>
    <sheet name="Instructions" sheetId="2" state="visible" r:id="rId4"/>
  </sheets>
  <definedNames>
    <definedName function="false" hidden="false" localSheetId="0" name="_xlnm.Print_Area" vbProcedure="false">'PILE INSTALLATION RECORD LOG'!$A$1:$Q$38</definedName>
    <definedName function="false" hidden="false" localSheetId="0" name="_xlnm.Print_Titles" vbProcedure="false">'PILE INSTALLATION RECORD LOG'!$1:$6</definedName>
    <definedName function="false" hidden="true" localSheetId="0" name="_xlnm._FilterDatabase" vbProcedure="false">'PILE INSTALLATION RECORD LOG'!$A$6:$Q$31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<sst xmlns="http://schemas.openxmlformats.org/spreadsheetml/2006/main" count="38" uniqueCount="37">
  <si>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</si>
  <si>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PILE INSTALLATION RECORD LOG</t>
  </si>
  <si>
    <t xml:space="preserve">Ref: BS EN 1997 (Eurocode 7); BS EN 12699 (Displacement Piles); BS EN 1536 (Bored Piles); ICE Specification for Piling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</si>
  <si>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</si>
  <si>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</si>
  <si>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</si>
  <si>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</si>
  <si>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</si>
  <si>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Pile
Ref No.</t>
  </si>
  <si>
    <t xml:space="preserve">Grid
Ref</t>
  </si>
  <si>
    <t xml:space="preserve">Pile
Type</t>
  </si>
  <si>
    <t xml:space="preserve">Pile
Diameter
(mm)</t>
  </si>
  <si>
    <t xml:space="preserve">Designed
Toe Level
(mAOD)</t>
  </si>
  <si>
    <t xml:space="preserve">Actual
Toe Level
(mAOD)</t>
  </si>
  <si>
    <t xml:space="preserve">Cut-Off
Level
(mAOD)</t>
  </si>
  <si>
    <t xml:space="preserve">Pile
Length
(m)</t>
  </si>
  <si>
    <t xml:space="preserve">Concrete
Volume
(m³)</t>
  </si>
  <si>
    <t xml:space="preserve">Theoretical
Volume
(m³)</t>
  </si>
  <si>
    <t xml:space="preserve">Over-
Consumption
(%)</t>
  </si>
  <si>
    <t xml:space="preserve">Cage
Ref</t>
  </si>
  <si>
    <t xml:space="preserve">Integrity
Test Ref</t>
  </si>
  <si>
    <t xml:space="preserve">Result
(Accepted /
Rejected)</t>
  </si>
  <si>
    <t xml:space="preserve">Comments</t>
  </si>
  <si>
    <t xml:space="preserve">SUMMARY</t>
  </si>
  <si>
    <t xml:space="preserve">Total Piles:</t>
  </si>
  <si>
    <t xml:space="preserve">Accepted:</t>
  </si>
  <si>
    <t xml:space="preserve">Rejected:</t>
  </si>
  <si>
    <t xml:space="preserve">Avg Over-Consumption:</t>
  </si>
  <si>
    <t xml:space="preserve">INSTRUCTIONS — PILE INSTALLATION RECORD LOG</t>
  </si>
  <si>
    <t xml:space="preserve">How to Use This Template</t>
  </si>
  <si>
    <t xml:space="preserve">1. Record every pile installed with unique reference and grid location.</t>
  </si>
  <si>
    <t xml:space="preserve">2. Record designed and actual toe levels, cut-off, and pile length.</t>
  </si>
  <si>
    <t xml:space="preserve">3. Over-consumption % auto-calculates from actual vs theoretical concrete volumes.</t>
  </si>
  <si>
    <t xml:space="preserve">4. Track cage installation and integrity test references.</t>
  </si>
  <si>
    <t xml:space="preserve">References:</t>
  </si>
  <si>
    <t xml:space="preserve">  BS EN 1997 — Eurocode 7: Geotechnical Design</t>
  </si>
  <si>
    <t xml:space="preserve">  ICE Specification for Piling and Embedded Retaining Walls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</si>
</sst>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4" min="2" style="1" width="10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8"/>
    <col collapsed="false" customWidth="true" hidden="false" outlineLevel="0" max="13" min="11" style="1" width="9"/>
    <col collapsed="false" customWidth="true" hidden="false" outlineLevel="0" max="15" min="14" style="1" width="10"/>
    <col collapsed="false" customWidth="true" hidden="false" outlineLevel="0" max="16" min="16" style="1" width="12"/>
    <col collapsed="false" customWidth="true" hidden="false" outlineLevel="0" max="17" min="17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10" t="str">
        <f aca="false">IF(OR(K7="",L7="",L7=0),"",ROUND((K7-L7)/L7*100,1))</f>
        <v/>
      </c>
      <c r="N7" s="9"/>
      <c r="O7" s="9"/>
      <c r="P7" s="9"/>
      <c r="Q7" s="9"/>
    </row>
    <row r="8" customFormat="false" ht="21.75" hidden="false" customHeight="true" outlineLevel="0" collapsed="false">
      <c r="A8" s="11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12" t="str">
        <f aca="false">IF(OR(K8="",L8="",L8=0),"",ROUND((K8-L8)/L8*100,1))</f>
        <v/>
      </c>
      <c r="N8" s="9"/>
      <c r="O8" s="9"/>
      <c r="P8" s="9"/>
      <c r="Q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10" t="str">
        <f aca="false">IF(OR(K9="",L9="",L9=0),"",ROUND((K9-L9)/L9*100,1))</f>
        <v/>
      </c>
      <c r="N9" s="9"/>
      <c r="O9" s="9"/>
      <c r="P9" s="9"/>
      <c r="Q9" s="9"/>
    </row>
    <row r="10" customFormat="false" ht="21.75" hidden="false" customHeight="true" outlineLevel="0" collapsed="false">
      <c r="A10" s="11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12" t="str">
        <f aca="false">IF(OR(K10="",L10="",L10=0),"",ROUND((K10-L10)/L10*100,1))</f>
        <v/>
      </c>
      <c r="N10" s="9"/>
      <c r="O10" s="9"/>
      <c r="P10" s="9"/>
      <c r="Q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10" t="str">
        <f aca="false">IF(OR(K11="",L11="",L11=0),"",ROUND((K11-L11)/L11*100,1))</f>
        <v/>
      </c>
      <c r="N11" s="9"/>
      <c r="O11" s="9"/>
      <c r="P11" s="9"/>
      <c r="Q11" s="9"/>
    </row>
    <row r="12" customFormat="false" ht="21.75" hidden="false" customHeight="true" outlineLevel="0" collapsed="false">
      <c r="A12" s="11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12" t="str">
        <f aca="false">IF(OR(K12="",L12="",L12=0),"",ROUND((K12-L12)/L12*100,1))</f>
        <v/>
      </c>
      <c r="N12" s="9"/>
      <c r="O12" s="9"/>
      <c r="P12" s="9"/>
      <c r="Q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10" t="str">
        <f aca="false">IF(OR(K13="",L13="",L13=0),"",ROUND((K13-L13)/L13*100,1))</f>
        <v/>
      </c>
      <c r="N13" s="9"/>
      <c r="O13" s="9"/>
      <c r="P13" s="9"/>
      <c r="Q13" s="9"/>
    </row>
    <row r="14" customFormat="false" ht="21.75" hidden="false" customHeight="true" outlineLevel="0" collapsed="false">
      <c r="A14" s="11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12" t="str">
        <f aca="false">IF(OR(K14="",L14="",L14=0),"",ROUND((K14-L14)/L14*100,1))</f>
        <v/>
      </c>
      <c r="N14" s="9"/>
      <c r="O14" s="9"/>
      <c r="P14" s="9"/>
      <c r="Q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10" t="str">
        <f aca="false">IF(OR(K15="",L15="",L15=0),"",ROUND((K15-L15)/L15*100,1))</f>
        <v/>
      </c>
      <c r="N15" s="9"/>
      <c r="O15" s="9"/>
      <c r="P15" s="9"/>
      <c r="Q15" s="9"/>
    </row>
    <row r="16" customFormat="false" ht="21.75" hidden="false" customHeight="true" outlineLevel="0" collapsed="false">
      <c r="A16" s="11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12" t="str">
        <f aca="false">IF(OR(K16="",L16="",L16=0),"",ROUND((K16-L16)/L16*100,1))</f>
        <v/>
      </c>
      <c r="N16" s="9"/>
      <c r="O16" s="9"/>
      <c r="P16" s="9"/>
      <c r="Q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10" t="str">
        <f aca="false">IF(OR(K17="",L17="",L17=0),"",ROUND((K17-L17)/L17*100,1))</f>
        <v/>
      </c>
      <c r="N17" s="9"/>
      <c r="O17" s="9"/>
      <c r="P17" s="9"/>
      <c r="Q17" s="9"/>
    </row>
    <row r="18" customFormat="false" ht="21.75" hidden="false" customHeight="true" outlineLevel="0" collapsed="false">
      <c r="A18" s="11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12" t="str">
        <f aca="false">IF(OR(K18="",L18="",L18=0),"",ROUND((K18-L18)/L18*100,1))</f>
        <v/>
      </c>
      <c r="N18" s="9"/>
      <c r="O18" s="9"/>
      <c r="P18" s="9"/>
      <c r="Q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10" t="str">
        <f aca="false">IF(OR(K19="",L19="",L19=0),"",ROUND((K19-L19)/L19*100,1))</f>
        <v/>
      </c>
      <c r="N19" s="9"/>
      <c r="O19" s="9"/>
      <c r="P19" s="9"/>
      <c r="Q19" s="9"/>
    </row>
    <row r="20" customFormat="false" ht="21.75" hidden="false" customHeight="true" outlineLevel="0" collapsed="false">
      <c r="A20" s="11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12" t="str">
        <f aca="false">IF(OR(K20="",L20="",L20=0),"",ROUND((K20-L20)/L20*100,1))</f>
        <v/>
      </c>
      <c r="N20" s="9"/>
      <c r="O20" s="9"/>
      <c r="P20" s="9"/>
      <c r="Q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10" t="str">
        <f aca="false">IF(OR(K21="",L21="",L21=0),"",ROUND((K21-L21)/L21*100,1))</f>
        <v/>
      </c>
      <c r="N21" s="9"/>
      <c r="O21" s="9"/>
      <c r="P21" s="9"/>
      <c r="Q21" s="9"/>
    </row>
    <row r="22" customFormat="false" ht="21.75" hidden="false" customHeight="true" outlineLevel="0" collapsed="false">
      <c r="A22" s="11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12" t="str">
        <f aca="false">IF(OR(K22="",L22="",L22=0),"",ROUND((K22-L22)/L22*100,1))</f>
        <v/>
      </c>
      <c r="N22" s="9"/>
      <c r="O22" s="9"/>
      <c r="P22" s="9"/>
      <c r="Q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10" t="str">
        <f aca="false">IF(OR(K23="",L23="",L23=0),"",ROUND((K23-L23)/L23*100,1))</f>
        <v/>
      </c>
      <c r="N23" s="9"/>
      <c r="O23" s="9"/>
      <c r="P23" s="9"/>
      <c r="Q23" s="9"/>
    </row>
    <row r="24" customFormat="false" ht="21.75" hidden="false" customHeight="true" outlineLevel="0" collapsed="false">
      <c r="A24" s="11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12" t="str">
        <f aca="false">IF(OR(K24="",L24="",L24=0),"",ROUND((K24-L24)/L24*100,1))</f>
        <v/>
      </c>
      <c r="N24" s="9"/>
      <c r="O24" s="9"/>
      <c r="P24" s="9"/>
      <c r="Q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10" t="str">
        <f aca="false">IF(OR(K25="",L25="",L25=0),"",ROUND((K25-L25)/L25*100,1))</f>
        <v/>
      </c>
      <c r="N25" s="9"/>
      <c r="O25" s="9"/>
      <c r="P25" s="9"/>
      <c r="Q25" s="9"/>
    </row>
    <row r="26" customFormat="false" ht="21.75" hidden="false" customHeight="true" outlineLevel="0" collapsed="false">
      <c r="A26" s="11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12" t="str">
        <f aca="false">IF(OR(K26="",L26="",L26=0),"",ROUND((K26-L26)/L26*100,1))</f>
        <v/>
      </c>
      <c r="N26" s="9"/>
      <c r="O26" s="9"/>
      <c r="P26" s="9"/>
      <c r="Q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10" t="str">
        <f aca="false">IF(OR(K27="",L27="",L27=0),"",ROUND((K27-L27)/L27*100,1))</f>
        <v/>
      </c>
      <c r="N27" s="9"/>
      <c r="O27" s="9"/>
      <c r="P27" s="9"/>
      <c r="Q27" s="9"/>
    </row>
    <row r="28" customFormat="false" ht="21.75" hidden="false" customHeight="true" outlineLevel="0" collapsed="false">
      <c r="A28" s="11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12" t="str">
        <f aca="false">IF(OR(K28="",L28="",L28=0),"",ROUND((K28-L28)/L28*100,1))</f>
        <v/>
      </c>
      <c r="N28" s="9"/>
      <c r="O28" s="9"/>
      <c r="P28" s="9"/>
      <c r="Q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10" t="str">
        <f aca="false">IF(OR(K29="",L29="",L29=0),"",ROUND((K29-L29)/L29*100,1))</f>
        <v/>
      </c>
      <c r="N29" s="9"/>
      <c r="O29" s="9"/>
      <c r="P29" s="9"/>
      <c r="Q29" s="9"/>
    </row>
    <row r="30" customFormat="false" ht="21.75" hidden="false" customHeight="true" outlineLevel="0" collapsed="false">
      <c r="A30" s="11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12" t="str">
        <f aca="false">IF(OR(K30="",L30="",L30=0),"",ROUND((K30-L30)/L30*100,1))</f>
        <v/>
      </c>
      <c r="N30" s="9"/>
      <c r="O30" s="9"/>
      <c r="P30" s="9"/>
      <c r="Q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10" t="str">
        <f aca="false">IF(OR(K31="",L31="",L31=0),"",ROUND((K31-L31)/L31*100,1))</f>
        <v/>
      </c>
      <c r="N31" s="9"/>
      <c r="O31" s="9"/>
      <c r="P31" s="9"/>
      <c r="Q31" s="9"/>
    </row>
    <row r="33" customFormat="false" ht="15" hidden="false" customHeight="true" outlineLevel="0" collapsed="false">
      <c r="A33" s="13" t="s">
        <v>23</v>
      </c>
      <c r="B33" s="13"/>
      <c r="C33" s="13"/>
    </row>
    <row r="34" customFormat="false" ht="15" hidden="false" customHeight="true" outlineLevel="0" collapsed="false">
      <c r="A34" s="5" t="s">
        <v>24</v>
      </c>
      <c r="B34" s="5"/>
      <c r="C34" s="14" t="n">
        <f aca="false">COUNTA(C7:C31)</f>
        <v>0</v>
      </c>
    </row>
    <row r="35" customFormat="false" ht="15" hidden="false" customHeight="true" outlineLevel="0" collapsed="false">
      <c r="A35" s="5" t="s">
        <v>25</v>
      </c>
      <c r="B35" s="5"/>
      <c r="C35" s="14" t="n">
        <f aca="false">COUNTIF(P7:P31,"Accepted")</f>
        <v>0</v>
      </c>
    </row>
    <row r="36" customFormat="false" ht="15" hidden="false" customHeight="true" outlineLevel="0" collapsed="false">
      <c r="A36" s="5" t="s">
        <v>26</v>
      </c>
      <c r="B36" s="5"/>
      <c r="C36" s="14" t="n">
        <f aca="false">COUNTIF(P7:P31,"Rejected")</f>
        <v>0</v>
      </c>
    </row>
    <row r="37" customFormat="false" ht="23.85" hidden="false" customHeight="true" outlineLevel="0" collapsed="false">
      <c r="A37" s="5" t="s">
        <v>27</v>
      </c>
      <c r="B37" s="5"/>
      <c r="C37" s="14" t="str">
        <f aca="false">IF(COUNT(M7:M31)=0,"",ROUND(AVERAGE(M7:M31),1))</f>
        <v/>
      </c>
    </row>
  </sheetData>
  <autoFilter ref="A6:Q31"/>
  <mergeCells count="10">
    <mergeCell ref="A1:Q1"/>
    <mergeCell ref="A2:Q2"/>
    <mergeCell ref="A3:Q3"/>
    <mergeCell ref="B4:D4"/>
    <mergeCell ref="F4:H4"/>
    <mergeCell ref="A33:C33"/>
    <mergeCell ref="A34:B34"/>
    <mergeCell ref="A35:B35"/>
    <mergeCell ref="A36:B36"/>
    <mergeCell ref="A37:B37"/>
  </mergeCells>
  <conditionalFormatting sqref="P7:P31">
    <cfRule type="cellIs" priority="2" operator="equal" aboveAverage="0" equalAverage="0" bottom="0" percent="0" rank="0" text="" dxfId="6">
      <formula>"Accepted"</formula>
    </cfRule>
    <cfRule type="cellIs" priority="3" operator="equal" aboveAverage="0" equalAverage="0" bottom="0" percent="0" rank="0" text="" dxfId="7">
      <formula>"Rejected"</formula>
    </cfRule>
    <cfRule type="cellIs" priority="4" operator="equal" aboveAverage="0" equalAverage="0" bottom="0" percent="0" rank="0" text="" dxfId="8">
      <formula>"Conditionally Accepted"</formula>
    </cfRule>
  </conditionalFormatting>
  <dataValidations count="2">
    <dataValidation allowBlank="true" errorStyle="stop" operator="between" showDropDown="false" showErrorMessage="false" showInputMessage="false" sqref="E7:E31" type="list">
      <formula1>"CFA,Bored,Driven (Steel),Driven (Precast),Driven (Timber),Mini Pile,Secant,Contiguous,Sheet Pile,Other"</formula1>
      <formula2>0</formula2>
    </dataValidation>
    <dataValidation allowBlank="true" errorStyle="stop" operator="between" showDropDown="false" showErrorMessage="false" showInputMessage="false" sqref="P7:P31" type="list">
      <formula1>"Accepted,Conditionally Accepted,Rejected,Pending Test"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28</v>
      </c>
      <c r="B2" s="3"/>
    </row>
    <row r="4" customFormat="false" ht="15" hidden="false" customHeight="false" outlineLevel="0" collapsed="false">
      <c r="B4" s="13" t="s">
        <v>29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30</v>
      </c>
    </row>
    <row r="7" customFormat="false" ht="15" hidden="false" customHeight="false" outlineLevel="0" collapsed="false">
      <c r="B7" s="15" t="s">
        <v>31</v>
      </c>
    </row>
    <row r="8" customFormat="false" ht="15" hidden="false" customHeight="false" outlineLevel="0" collapsed="false">
      <c r="B8" s="15" t="s">
        <v>32</v>
      </c>
    </row>
    <row r="9" customFormat="false" ht="15" hidden="false" customHeight="false" outlineLevel="0" collapsed="false">
      <c r="B9" s="15" t="s">
        <v>33</v>
      </c>
    </row>
    <row r="10" customFormat="false" ht="15" hidden="false" customHeight="false" outlineLevel="0" collapsed="false">
      <c r="B10" s="15"/>
    </row>
    <row r="11" customFormat="false" ht="15" hidden="false" customHeight="false" outlineLevel="0" collapsed="false">
      <c r="B11" s="13" t="s">
        <v>34</v>
      </c>
    </row>
    <row r="12" customFormat="false" ht="15" hidden="false" customHeight="false" outlineLevel="0" collapsed="false">
      <c r="B12" s="4" t="s">
        <v>35</v>
      </c>
    </row>
    <row r="13" customFormat="false" ht="15" hidden="false" customHeight="false" outlineLevel="0" collapsed="false">
      <c r="B13" s="4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