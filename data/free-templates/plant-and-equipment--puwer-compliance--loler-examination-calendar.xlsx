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Examination Calendar"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'Examination Calendar'!$A$1:$V$30</definedName>
    <definedName function="false" hidden="false" localSheetId="2" name="_xlnm.Print_Titles" vbProcedure="false">'Examination Calendar'!$A:$I,'Examination Calendar'!$1:$1</definedName>
    <definedName function="false" hidden="false" localSheetId="2" name="_xlnm.Print_Titles" vbProcedure="false">'Examination Calendar'!$1:$1,'Examination Calendar'!$A:$I</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<sst xmlns="http://schemas.openxmlformats.org/spreadsheetml/2006/main" count="180" uniqueCount="109">
  <si>
    <t xml:space="preserve">EBRORA</t>
  </si>
  <si>
    <t xml:space="preserve">ebrora.com</t>
  </si>
  <si>
    <t xml:space="preserve">LOLER Thorough</t>
  </si>
  <si>
    <t xml:space="preserve">Examination Calendar</t>
  </si>
  <si>
    <t xml:space="preserve">Schedule and track LOLER thorough examinations for cranes, MEWPs,</t>
  </si>
  <si>
    <t xml:space="preserve">hoists, and lifting accessories with due date alerts.</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</si>
  <si>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</si>
  <si>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</si>
  <si>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</si>
  <si>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</si>
  <si>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</si>
  <si>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</si>
  <si>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Open the 'Examination Calendar' sheet. Each row is one item of lifting equipment or accessory.</t>
  </si>
  <si>
    <t xml:space="preserve">2.</t>
  </si>
  <si>
    <t xml:space="preserve">Record the Equipment ID, Description, Type (Crane, MEWP, Hoist, Passenger Hoist, Goods Lift, Other), and SWL/WLL.</t>
  </si>
  <si>
    <t xml:space="preserve">3.</t>
  </si>
  <si>
    <t xml:space="preserve">Enter the Last Examination Date, Examiner (competent person), and Certificate Number.</t>
  </si>
  <si>
    <t xml:space="preserve">4.</t>
  </si>
  <si>
    <t xml:space="preserve">The Exam Frequency column determines the interval: 6 months for equipment lifting persons, 12 months for other lifting equipment.</t>
  </si>
  <si>
    <t xml:space="preserve">5.</t>
  </si>
  <si>
    <t xml:space="preserve">Monthly columns (Apr 2026 – Mar 2027) show the status. Mark each month as: Due, Booked, Done, N/A.</t>
  </si>
  <si>
    <t xml:space="preserve">6.</t>
  </si>
  <si>
    <t xml:space="preserve">The 'Next Due' column auto-calculates from the last examination date plus the frequency.</t>
  </si>
  <si>
    <t xml:space="preserve">7.</t>
  </si>
  <si>
    <t xml:space="preserve">Items overdue (Next Due in the past) highlight red. Items due within 30 days highlight amber.</t>
  </si>
  <si>
    <t xml:space="preserve">Colour Key</t>
  </si>
  <si>
    <t xml:space="preserve">Light teal cells = User input</t>
  </si>
  <si>
    <t xml:space="preserve">Green = Done (examination complete)</t>
  </si>
  <si>
    <t xml:space="preserve">Amber = Due or Booked this month, or due within 30 days</t>
  </si>
  <si>
    <t xml:space="preserve">Red = Overdue</t>
  </si>
  <si>
    <t xml:space="preserve">Tips</t>
  </si>
  <si>
    <t xml:space="preserve">Tip 1:</t>
  </si>
  <si>
    <t xml:space="preserve">LOLER thorough examinations are a legal requirement. Operating lifting equipment without a valid examination is a criminal offence.</t>
  </si>
  <si>
    <t xml:space="preserve">Tip 2:</t>
  </si>
  <si>
    <t xml:space="preserve">Book examinations 4–6 weeks in advance. Examiners are in high demand — last-minute bookings cause programme delays.</t>
  </si>
  <si>
    <t xml:space="preserve">Tip 3:</t>
  </si>
  <si>
    <t xml:space="preserve">Pin this calendar in the site office. The crane supervisor and lifting coordinator should check it weekly.</t>
  </si>
  <si>
    <t xml:space="preserve">Equipment ID</t>
  </si>
  <si>
    <t xml:space="preserve">Description</t>
  </si>
  <si>
    <t xml:space="preserve">Type</t>
  </si>
  <si>
    <t xml:space="preserve">SWL / WLL</t>
  </si>
  <si>
    <t xml:space="preserve">Last Exam Date</t>
  </si>
  <si>
    <t xml:space="preserve">Examiner</t>
  </si>
  <si>
    <t xml:space="preserve">Certificate No</t>
  </si>
  <si>
    <t xml:space="preserve">Frequency
(months)</t>
  </si>
  <si>
    <t xml:space="preserve">Next Due</t>
  </si>
  <si>
    <t xml:space="preserve">Apr 26</t>
  </si>
  <si>
    <t xml:space="preserve">May 26</t>
  </si>
  <si>
    <t xml:space="preserve">Jun 26</t>
  </si>
  <si>
    <t xml:space="preserve">Jul 26</t>
  </si>
  <si>
    <t xml:space="preserve">Aug 26</t>
  </si>
  <si>
    <t xml:space="preserve">Sep 26</t>
  </si>
  <si>
    <t xml:space="preserve">Oct 26</t>
  </si>
  <si>
    <t xml:space="preserve">Nov 26</t>
  </si>
  <si>
    <t xml:space="preserve">Dec 26</t>
  </si>
  <si>
    <t xml:space="preserve">Jan 27</t>
  </si>
  <si>
    <t xml:space="preserve">Feb 27</t>
  </si>
  <si>
    <t xml:space="preserve">Mar 27</t>
  </si>
  <si>
    <t xml:space="preserve">Overall
Status</t>
  </si>
  <si>
    <t xml:space="preserve">CR-001</t>
  </si>
  <si>
    <t xml:space="preserve">Liebherr LTM 1100 — 100t Mobile Crane</t>
  </si>
  <si>
    <t xml:space="preserve">Crane (Mobile)</t>
  </si>
  <si>
    <t xml:space="preserve">100t</t>
  </si>
  <si>
    <t xml:space="preserve">Zurich Engineering</t>
  </si>
  <si>
    <t xml:space="preserve">TE-2025-4412</t>
  </si>
  <si>
    <t xml:space="preserve">Done</t>
  </si>
  <si>
    <t xml:space="preserve">N/A</t>
  </si>
  <si>
    <t xml:space="preserve">Due</t>
  </si>
  <si>
    <t xml:space="preserve">MEWP-001</t>
  </si>
  <si>
    <t xml:space="preserve">JLG 600AJ — Articulating Boom</t>
  </si>
  <si>
    <t xml:space="preserve">MEWP</t>
  </si>
  <si>
    <t xml:space="preserve">227kg / 20.3m</t>
  </si>
  <si>
    <t xml:space="preserve">CFTS Examiner</t>
  </si>
  <si>
    <t xml:space="preserve">TE-2025-5501</t>
  </si>
  <si>
    <t xml:space="preserve">Booked</t>
  </si>
  <si>
    <t xml:space="preserve">MEWP-002</t>
  </si>
  <si>
    <t xml:space="preserve">Genie GS-2632 — Scissor Lift</t>
  </si>
  <si>
    <t xml:space="preserve">227kg / 9.9m</t>
  </si>
  <si>
    <t xml:space="preserve">TE-2026-0088</t>
  </si>
  <si>
    <t xml:space="preserve">PH-001</t>
  </si>
  <si>
    <t xml:space="preserve">Alimak SC 65/32 — Passenger Hoist</t>
  </si>
  <si>
    <t xml:space="preserve">Hoist (Passenger)</t>
  </si>
  <si>
    <t xml:space="preserve">2000kg / 32m</t>
  </si>
  <si>
    <t xml:space="preserve">Alimak Service</t>
  </si>
  <si>
    <t xml:space="preserve">TE-2025-4998</t>
  </si>
  <si>
    <t xml:space="preserve">TH-001</t>
  </si>
  <si>
    <t xml:space="preserve">JCB 540-170 — Telehandler</t>
  </si>
  <si>
    <t xml:space="preserve">Telehandler</t>
  </si>
  <si>
    <t xml:space="preserve">4t / 17m</t>
  </si>
  <si>
    <t xml:space="preserve">HSB Engineering</t>
  </si>
  <si>
    <t xml:space="preserve">TE-2025-3315</t>
  </si>
  <si>
    <t xml:space="preserve">FLT-001</t>
  </si>
  <si>
    <t xml:space="preserve">Toyota Tonero 3t — Counterbalance</t>
  </si>
  <si>
    <t xml:space="preserve">Forklift</t>
  </si>
  <si>
    <t xml:space="preserve">3t</t>
  </si>
  <si>
    <t xml:space="preserve">TE-2026-0201</t>
  </si>
  <si>
    <t xml:space="preserve">SUMMARY</t>
  </si>
  <si>
    <t xml:space="preserve">Total Equipment:</t>
  </si>
  <si>
    <t xml:space="preserve">Overdue:</t>
  </si>
  <si>
    <t xml:space="preserve">Due Soon:</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</si>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</sst>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2">
    <numFmt numFmtId="164" formatCode="General"/>
    <numFmt numFmtId="165" formatCode="dd/mm/yyyy"/>
  </numFmts>
  <fonts count="18">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b val="true"/>
      <sz val="24"/>
      <color rgb="FFFFFFFF"/>
      <name val="Calibri"/>
      <family val="0"/>
      <charset val="1"/>
    </font>
    <font>
      <sz val="12"/>
      <color rgb="FF1B2A4A"/>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sz val="10"/>
      <color rgb="FF1B2A4A"/>
      <name val="Calibri"/>
      <family val="0"/>
      <charset val="1"/>
    </font>
    <font>
      <b val="true"/>
      <sz val="11"/>
      <color rgb="FF2AABB3"/>
      <name val="Calibri"/>
      <family val="0"/>
      <charset val="1"/>
    </font>
    <font>
      <b val="true"/>
      <sz val="10"/>
      <color rgb="FF1B2A4A"/>
      <name val="Calibri"/>
      <family val="0"/>
      <charset val="1"/>
    </font>
    <font>
      <b val="true"/>
      <sz val="11"/>
      <color rgb="FFFFFFFF"/>
      <name val="Calibri"/>
      <family val="0"/>
      <charset val="1"/>
    </font>
    <font>
      <b val="true"/>
      <sz val="9"/>
      <color rgb="FFFFFFFF"/>
      <name val="Calibri"/>
      <family val="0"/>
      <charset val="1"/>
    </font>
    <font>
      <b val="true"/>
      <sz val="10"/>
      <color rgb="FF2AABB3"/>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8C8C8C"/>
      </left>
      <right style="thin">
        <color rgb="FF8C8C8C"/>
      </right>
      <top style="thin">
        <color rgb="FF8C8C8C"/>
      </top>
      <bottom style="thin">
        <color rgb="FF8C8C8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2" borderId="2" xfId="0" applyFont="true" applyBorder="true" applyAlignment="true" applyProtection="false">
      <alignment horizontal="center" vertical="center" textRotation="0" wrapText="true" indent="0" shrinkToFit="false"/>
      <protection locked="true" hidden="false"/>
    </xf>
    <xf numFmtId="164" fontId="16" fillId="2" borderId="2"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5" fontId="12" fillId="4" borderId="2" xfId="0" applyFont="true" applyBorder="true" applyAlignment="true" applyProtection="false">
      <alignment horizontal="center" vertical="center" textRotation="0" wrapText="true" indent="0" shrinkToFit="false"/>
      <protection locked="true" hidden="false"/>
    </xf>
    <xf numFmtId="165" fontId="12" fillId="3" borderId="2" xfId="0" applyFont="true" applyBorder="true" applyAlignment="true" applyProtection="false">
      <alignment horizontal="center" vertical="center" textRotation="0" wrapText="true" indent="0" shrinkToFit="false"/>
      <protection locked="true" hidden="false"/>
    </xf>
    <xf numFmtId="164" fontId="14" fillId="3" borderId="2"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45.5" hidden="false" customHeight="true" outlineLevel="0" collapsed="false">
      <c r="A1" s="1" t="s">
        <v>0</v>
      </c>
      <c r="B1" s="1"/>
      <c r="C1" s="1"/>
      <c r="D1" s="1"/>
      <c r="E1" s="1"/>
      <c r="F1" s="1"/>
      <c r="G1" s="1"/>
      <c r="H1" s="1"/>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35.05" hidden="false" customHeight="true" outlineLevel="0" collapsed="false">
      <c r="A6" s="5" t="s">
        <v>2</v>
      </c>
      <c r="B6" s="5"/>
      <c r="C6" s="5"/>
      <c r="D6" s="5"/>
      <c r="E6" s="5"/>
      <c r="F6" s="5"/>
      <c r="G6" s="5"/>
      <c r="H6" s="5"/>
    </row>
    <row r="7" customFormat="false" ht="30.55" hidden="false" customHeight="true" outlineLevel="0" collapsed="false">
      <c r="A7" s="6" t="s">
        <v>3</v>
      </c>
      <c r="B7" s="6"/>
      <c r="C7" s="6"/>
      <c r="D7" s="6"/>
      <c r="E7" s="6"/>
      <c r="F7" s="6"/>
      <c r="G7" s="6"/>
      <c r="H7" s="6"/>
    </row>
    <row r="8" customFormat="false" ht="15" hidden="false" customHeight="false" outlineLevel="0" collapsed="false">
      <c r="A8" s="2"/>
      <c r="B8" s="2"/>
      <c r="C8" s="2"/>
      <c r="D8" s="2"/>
      <c r="E8" s="2"/>
      <c r="F8" s="2"/>
      <c r="G8" s="2"/>
      <c r="H8" s="2"/>
    </row>
    <row r="9" customFormat="false" ht="15" hidden="false" customHeight="false" outlineLevel="0" collapsed="false">
      <c r="A9" s="4"/>
      <c r="B9" s="4"/>
      <c r="C9" s="4"/>
      <c r="D9" s="4"/>
      <c r="E9" s="4"/>
      <c r="F9" s="4"/>
      <c r="G9" s="4"/>
      <c r="H9" s="4"/>
    </row>
    <row r="10" customFormat="false" ht="15" hidden="false" customHeight="true" outlineLevel="0" collapsed="false">
      <c r="A10" s="7" t="s">
        <v>4</v>
      </c>
      <c r="B10" s="7"/>
      <c r="C10" s="7"/>
      <c r="D10" s="7"/>
      <c r="E10" s="7"/>
      <c r="F10" s="7"/>
      <c r="G10" s="7"/>
      <c r="H10" s="7"/>
    </row>
    <row r="11" customFormat="false" ht="15" hidden="false" customHeight="true" outlineLevel="0" collapsed="false">
      <c r="A11" s="7" t="s">
        <v>5</v>
      </c>
      <c r="B11" s="7"/>
      <c r="C11" s="7"/>
      <c r="D11" s="7"/>
      <c r="E11" s="7"/>
      <c r="F11" s="7"/>
      <c r="G11" s="7"/>
      <c r="H11" s="7"/>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8"/>
      <c r="B14" s="8"/>
      <c r="C14" s="8"/>
      <c r="D14" s="8"/>
      <c r="E14" s="8"/>
      <c r="F14" s="8"/>
      <c r="G14" s="8"/>
      <c r="H14" s="8"/>
    </row>
    <row r="15" customFormat="false" ht="15" hidden="false" customHeight="true" outlineLevel="0" collapsed="false">
      <c r="A15" s="9" t="s">
        <v>6</v>
      </c>
      <c r="B15" s="9"/>
      <c r="C15" s="9"/>
      <c r="D15" s="9"/>
      <c r="E15" s="9"/>
      <c r="F15" s="9"/>
      <c r="G15" s="9"/>
      <c r="H15" s="9"/>
    </row>
    <row r="16" customFormat="false" ht="15" hidden="false" customHeight="true" outlineLevel="0" collapsed="false">
      <c r="A16" s="9" t="s">
        <v>7</v>
      </c>
      <c r="B16" s="9"/>
      <c r="C16" s="9"/>
      <c r="D16" s="9"/>
      <c r="E16" s="9"/>
      <c r="F16" s="9"/>
      <c r="G16" s="9"/>
      <c r="H16" s="9"/>
    </row>
    <row r="17" customFormat="false" ht="15" hidden="false" customHeight="false" outlineLevel="0" collapsed="false">
      <c r="A17" s="8"/>
      <c r="B17" s="8"/>
      <c r="C17" s="8"/>
      <c r="D17" s="8"/>
      <c r="E17" s="8"/>
      <c r="F17" s="8"/>
      <c r="G17" s="8"/>
      <c r="H17" s="8"/>
    </row>
    <row r="18" customFormat="false" ht="15" hidden="false" customHeight="false" outlineLevel="0" collapsed="false">
      <c r="A18" s="4"/>
      <c r="B18" s="4"/>
      <c r="C18" s="4"/>
      <c r="D18" s="4"/>
      <c r="E18" s="4"/>
      <c r="F18" s="4"/>
      <c r="G18" s="4"/>
      <c r="H18" s="4"/>
    </row>
    <row r="19" customFormat="false" ht="15" hidden="false" customHeight="true" outlineLevel="0" collapsed="false">
      <c r="A19" s="10" t="s">
        <v>8</v>
      </c>
      <c r="B19" s="10"/>
      <c r="C19" s="10"/>
      <c r="D19" s="10"/>
      <c r="E19" s="10"/>
      <c r="F19" s="10"/>
      <c r="G19" s="10"/>
      <c r="H19" s="10"/>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90"/>
  </cols>
  <sheetData>
    <row r="1" customFormat="false" ht="17.35" hidden="false" customHeight="false" outlineLevel="0" collapsed="false">
      <c r="A1" s="11" t="s">
        <v>9</v>
      </c>
      <c r="B1" s="11"/>
      <c r="C1" s="11"/>
      <c r="D1" s="11"/>
      <c r="E1" s="11"/>
      <c r="F1" s="11"/>
    </row>
    <row r="3" customFormat="false" ht="15" hidden="false" customHeight="false" outlineLevel="0" collapsed="false">
      <c r="A3" s="12"/>
      <c r="B3" s="13"/>
    </row>
    <row r="4" customFormat="false" ht="15" hidden="false" customHeight="false" outlineLevel="0" collapsed="false">
      <c r="A4" s="14" t="s">
        <v>10</v>
      </c>
      <c r="B4" s="13"/>
    </row>
    <row r="5" customFormat="false" ht="15" hidden="false" customHeight="false" outlineLevel="0" collapsed="false">
      <c r="A5" s="12" t="s">
        <v>11</v>
      </c>
      <c r="B5" s="13" t="s">
        <v>12</v>
      </c>
    </row>
    <row r="6" customFormat="false" ht="15" hidden="false" customHeight="false" outlineLevel="0" collapsed="false">
      <c r="A6" s="12" t="s">
        <v>13</v>
      </c>
      <c r="B6" s="13" t="s">
        <v>14</v>
      </c>
    </row>
    <row r="7" customFormat="false" ht="15" hidden="false" customHeight="false" outlineLevel="0" collapsed="false">
      <c r="A7" s="12" t="s">
        <v>15</v>
      </c>
      <c r="B7" s="13" t="s">
        <v>16</v>
      </c>
    </row>
    <row r="8" customFormat="false" ht="23.85" hidden="false" customHeight="false" outlineLevel="0" collapsed="false">
      <c r="A8" s="12" t="s">
        <v>17</v>
      </c>
      <c r="B8" s="13" t="s">
        <v>18</v>
      </c>
    </row>
    <row r="9" customFormat="false" ht="15" hidden="false" customHeight="false" outlineLevel="0" collapsed="false">
      <c r="A9" s="12" t="s">
        <v>19</v>
      </c>
      <c r="B9" s="13" t="s">
        <v>20</v>
      </c>
    </row>
    <row r="10" customFormat="false" ht="15" hidden="false" customHeight="false" outlineLevel="0" collapsed="false">
      <c r="A10" s="12" t="s">
        <v>21</v>
      </c>
      <c r="B10" s="13" t="s">
        <v>22</v>
      </c>
    </row>
    <row r="11" customFormat="false" ht="15" hidden="false" customHeight="false" outlineLevel="0" collapsed="false">
      <c r="A11" s="12" t="s">
        <v>23</v>
      </c>
      <c r="B11" s="13" t="s">
        <v>24</v>
      </c>
    </row>
    <row r="12" customFormat="false" ht="15" hidden="false" customHeight="false" outlineLevel="0" collapsed="false">
      <c r="A12" s="12"/>
      <c r="B12" s="13"/>
    </row>
    <row r="13" customFormat="false" ht="15" hidden="false" customHeight="false" outlineLevel="0" collapsed="false">
      <c r="A13" s="14" t="s">
        <v>25</v>
      </c>
      <c r="B13" s="13"/>
    </row>
    <row r="14" customFormat="false" ht="15" hidden="false" customHeight="false" outlineLevel="0" collapsed="false">
      <c r="A14" s="12"/>
      <c r="B14" s="13" t="s">
        <v>26</v>
      </c>
    </row>
    <row r="15" customFormat="false" ht="15" hidden="false" customHeight="false" outlineLevel="0" collapsed="false">
      <c r="A15" s="12"/>
      <c r="B15" s="13" t="s">
        <v>27</v>
      </c>
    </row>
    <row r="16" customFormat="false" ht="15" hidden="false" customHeight="false" outlineLevel="0" collapsed="false">
      <c r="A16" s="12"/>
      <c r="B16" s="13" t="s">
        <v>28</v>
      </c>
    </row>
    <row r="17" customFormat="false" ht="15" hidden="false" customHeight="false" outlineLevel="0" collapsed="false">
      <c r="A17" s="12"/>
      <c r="B17" s="13" t="s">
        <v>29</v>
      </c>
    </row>
    <row r="18" customFormat="false" ht="15" hidden="false" customHeight="false" outlineLevel="0" collapsed="false">
      <c r="A18" s="12"/>
      <c r="B18" s="13"/>
    </row>
    <row r="19" customFormat="false" ht="15" hidden="false" customHeight="false" outlineLevel="0" collapsed="false">
      <c r="A19" s="14" t="s">
        <v>30</v>
      </c>
      <c r="B19" s="13"/>
    </row>
    <row r="20" customFormat="false" ht="23.85" hidden="false" customHeight="false" outlineLevel="0" collapsed="false">
      <c r="A20" s="15" t="s">
        <v>31</v>
      </c>
      <c r="B20" s="13" t="s">
        <v>32</v>
      </c>
    </row>
    <row r="21" customFormat="false" ht="23.85" hidden="false" customHeight="false" outlineLevel="0" collapsed="false">
      <c r="A21" s="15" t="s">
        <v>33</v>
      </c>
      <c r="B21" s="13" t="s">
        <v>34</v>
      </c>
    </row>
    <row r="22" customFormat="false" ht="15" hidden="false" customHeight="false" outlineLevel="0" collapsed="false">
      <c r="A22" s="15" t="s">
        <v>35</v>
      </c>
      <c r="B22" s="13" t="s">
        <v>36</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9" ySplit="1" topLeftCell="J2" activePane="bottomRight" state="frozen"/>
      <selection pane="topLeft" activeCell="A1" activeCellId="0" sqref="A1"/>
      <selection pane="topRight" activeCell="J1" activeCellId="0" sqref="J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3" min="3" style="0" width="16"/>
    <col collapsed="false" customWidth="true" hidden="false" outlineLevel="0" max="4" min="4" style="0" width="12"/>
    <col collapsed="false" customWidth="true" hidden="false" outlineLevel="0" max="5" min="5" style="0" width="14"/>
    <col collapsed="false" customWidth="true" hidden="false" outlineLevel="0" max="6" min="6" style="0" width="18"/>
    <col collapsed="false" customWidth="true" hidden="false" outlineLevel="0" max="7" min="7" style="0" width="16"/>
    <col collapsed="false" customWidth="true" hidden="false" outlineLevel="0" max="8" min="8" style="0" width="12"/>
    <col collapsed="false" customWidth="true" hidden="false" outlineLevel="0" max="9" min="9" style="0" width="14"/>
    <col collapsed="false" customWidth="true" hidden="false" outlineLevel="0" max="21" min="10" style="0" width="10"/>
    <col collapsed="false" customWidth="true" hidden="false" outlineLevel="0" max="22" min="22" style="0" width="14"/>
  </cols>
  <sheetData>
    <row r="1" customFormat="false" ht="28.35" hidden="false" customHeight="false" outlineLevel="0" collapsed="false">
      <c r="A1" s="16" t="s">
        <v>37</v>
      </c>
      <c r="B1" s="16" t="s">
        <v>38</v>
      </c>
      <c r="C1" s="16" t="s">
        <v>39</v>
      </c>
      <c r="D1" s="16" t="s">
        <v>40</v>
      </c>
      <c r="E1" s="16" t="s">
        <v>41</v>
      </c>
      <c r="F1" s="16" t="s">
        <v>42</v>
      </c>
      <c r="G1" s="16" t="s">
        <v>43</v>
      </c>
      <c r="H1" s="16" t="s">
        <v>44</v>
      </c>
      <c r="I1" s="16" t="s">
        <v>45</v>
      </c>
      <c r="J1" s="17" t="s">
        <v>46</v>
      </c>
      <c r="K1" s="17" t="s">
        <v>47</v>
      </c>
      <c r="L1" s="17" t="s">
        <v>48</v>
      </c>
      <c r="M1" s="17" t="s">
        <v>49</v>
      </c>
      <c r="N1" s="17" t="s">
        <v>50</v>
      </c>
      <c r="O1" s="17" t="s">
        <v>51</v>
      </c>
      <c r="P1" s="17" t="s">
        <v>52</v>
      </c>
      <c r="Q1" s="17" t="s">
        <v>53</v>
      </c>
      <c r="R1" s="17" t="s">
        <v>54</v>
      </c>
      <c r="S1" s="17" t="s">
        <v>55</v>
      </c>
      <c r="T1" s="17" t="s">
        <v>56</v>
      </c>
      <c r="U1" s="17" t="s">
        <v>57</v>
      </c>
      <c r="V1" s="16" t="s">
        <v>58</v>
      </c>
    </row>
    <row r="2" customFormat="false" ht="23.85" hidden="false" customHeight="false" outlineLevel="0" collapsed="false">
      <c r="A2" s="18" t="s">
        <v>59</v>
      </c>
      <c r="B2" s="19" t="s">
        <v>60</v>
      </c>
      <c r="C2" s="18" t="s">
        <v>61</v>
      </c>
      <c r="D2" s="18" t="s">
        <v>62</v>
      </c>
      <c r="E2" s="20" t="n">
        <v>45945</v>
      </c>
      <c r="F2" s="18" t="s">
        <v>63</v>
      </c>
      <c r="G2" s="18" t="s">
        <v>64</v>
      </c>
      <c r="H2" s="18" t="n">
        <v>6</v>
      </c>
      <c r="I2" s="21" t="n">
        <f aca="false">IF(OR(E2="",H2=""),"",DATE(YEAR(E2),MONTH(E2)+H2,DAY(E2)))</f>
        <v>46127</v>
      </c>
      <c r="J2" s="18" t="s">
        <v>65</v>
      </c>
      <c r="K2" s="18" t="s">
        <v>66</v>
      </c>
      <c r="L2" s="18" t="s">
        <v>66</v>
      </c>
      <c r="M2" s="18" t="s">
        <v>67</v>
      </c>
      <c r="N2" s="18" t="s">
        <v>66</v>
      </c>
      <c r="O2" s="18" t="s">
        <v>66</v>
      </c>
      <c r="P2" s="18" t="s">
        <v>66</v>
      </c>
      <c r="Q2" s="18" t="s">
        <v>66</v>
      </c>
      <c r="R2" s="18" t="s">
        <v>66</v>
      </c>
      <c r="S2" s="18" t="s">
        <v>66</v>
      </c>
      <c r="T2" s="18" t="s">
        <v>66</v>
      </c>
      <c r="U2" s="18" t="s">
        <v>66</v>
      </c>
      <c r="V2" s="22" t="str">
        <f aca="true">IF(I2="","",IF(I2&lt;TODAY(),"OVERDUE",IF(I2&lt;=TODAY()+30,"DUE SOON","Current")))</f>
        <v>DUE SOON</v>
      </c>
    </row>
    <row r="3" customFormat="false" ht="15" hidden="false" customHeight="false" outlineLevel="0" collapsed="false">
      <c r="A3" s="18" t="s">
        <v>68</v>
      </c>
      <c r="B3" s="19" t="s">
        <v>69</v>
      </c>
      <c r="C3" s="18" t="s">
        <v>70</v>
      </c>
      <c r="D3" s="18" t="s">
        <v>71</v>
      </c>
      <c r="E3" s="20" t="n">
        <v>45992</v>
      </c>
      <c r="F3" s="18" t="s">
        <v>72</v>
      </c>
      <c r="G3" s="18" t="s">
        <v>73</v>
      </c>
      <c r="H3" s="18" t="n">
        <v>6</v>
      </c>
      <c r="I3" s="21" t="n">
        <f aca="false">IF(OR(E3="",H3=""),"",DATE(YEAR(E3),MONTH(E3)+H3,DAY(E3)))</f>
        <v>46174</v>
      </c>
      <c r="J3" s="18" t="s">
        <v>66</v>
      </c>
      <c r="K3" s="18" t="s">
        <v>66</v>
      </c>
      <c r="L3" s="18" t="s">
        <v>65</v>
      </c>
      <c r="M3" s="18" t="s">
        <v>66</v>
      </c>
      <c r="N3" s="18" t="s">
        <v>66</v>
      </c>
      <c r="O3" s="18" t="s">
        <v>74</v>
      </c>
      <c r="P3" s="18" t="s">
        <v>66</v>
      </c>
      <c r="Q3" s="18" t="s">
        <v>66</v>
      </c>
      <c r="R3" s="18" t="s">
        <v>66</v>
      </c>
      <c r="S3" s="18" t="s">
        <v>66</v>
      </c>
      <c r="T3" s="18" t="s">
        <v>66</v>
      </c>
      <c r="U3" s="18" t="s">
        <v>66</v>
      </c>
      <c r="V3" s="22" t="str">
        <f aca="true">IF(I3="","",IF(I3&lt;TODAY(),"OVERDUE",IF(I3&lt;=TODAY()+30,"DUE SOON","Current")))</f>
        <v>Current</v>
      </c>
    </row>
    <row r="4" customFormat="false" ht="15" hidden="false" customHeight="false" outlineLevel="0" collapsed="false">
      <c r="A4" s="18" t="s">
        <v>75</v>
      </c>
      <c r="B4" s="19" t="s">
        <v>76</v>
      </c>
      <c r="C4" s="18" t="s">
        <v>70</v>
      </c>
      <c r="D4" s="18" t="s">
        <v>77</v>
      </c>
      <c r="E4" s="20" t="n">
        <v>46042</v>
      </c>
      <c r="F4" s="18" t="s">
        <v>72</v>
      </c>
      <c r="G4" s="18" t="s">
        <v>78</v>
      </c>
      <c r="H4" s="18" t="n">
        <v>6</v>
      </c>
      <c r="I4" s="21" t="n">
        <f aca="false">IF(OR(E4="",H4=""),"",DATE(YEAR(E4),MONTH(E4)+H4,DAY(E4)))</f>
        <v>46223</v>
      </c>
      <c r="J4" s="18" t="s">
        <v>66</v>
      </c>
      <c r="K4" s="18" t="s">
        <v>66</v>
      </c>
      <c r="L4" s="18" t="s">
        <v>66</v>
      </c>
      <c r="M4" s="18" t="s">
        <v>66</v>
      </c>
      <c r="N4" s="18" t="s">
        <v>66</v>
      </c>
      <c r="O4" s="18" t="s">
        <v>66</v>
      </c>
      <c r="P4" s="18" t="s">
        <v>66</v>
      </c>
      <c r="Q4" s="18" t="s">
        <v>67</v>
      </c>
      <c r="R4" s="18" t="s">
        <v>66</v>
      </c>
      <c r="S4" s="18" t="s">
        <v>66</v>
      </c>
      <c r="T4" s="18" t="s">
        <v>66</v>
      </c>
      <c r="U4" s="18" t="s">
        <v>66</v>
      </c>
      <c r="V4" s="22" t="str">
        <f aca="true">IF(I4="","",IF(I4&lt;TODAY(),"OVERDUE",IF(I4&lt;=TODAY()+30,"DUE SOON","Current")))</f>
        <v>Current</v>
      </c>
    </row>
    <row r="5" customFormat="false" ht="15" hidden="false" customHeight="false" outlineLevel="0" collapsed="false">
      <c r="A5" s="18" t="s">
        <v>79</v>
      </c>
      <c r="B5" s="19" t="s">
        <v>80</v>
      </c>
      <c r="C5" s="18" t="s">
        <v>81</v>
      </c>
      <c r="D5" s="18" t="s">
        <v>82</v>
      </c>
      <c r="E5" s="20" t="n">
        <v>45971</v>
      </c>
      <c r="F5" s="18" t="s">
        <v>83</v>
      </c>
      <c r="G5" s="18" t="s">
        <v>84</v>
      </c>
      <c r="H5" s="18" t="n">
        <v>6</v>
      </c>
      <c r="I5" s="21" t="n">
        <f aca="false">IF(OR(E5="",H5=""),"",DATE(YEAR(E5),MONTH(E5)+H5,DAY(E5)))</f>
        <v>46152</v>
      </c>
      <c r="J5" s="18" t="s">
        <v>66</v>
      </c>
      <c r="K5" s="18" t="s">
        <v>66</v>
      </c>
      <c r="L5" s="18" t="s">
        <v>66</v>
      </c>
      <c r="M5" s="18" t="s">
        <v>66</v>
      </c>
      <c r="N5" s="18" t="s">
        <v>67</v>
      </c>
      <c r="O5" s="18" t="s">
        <v>66</v>
      </c>
      <c r="P5" s="18" t="s">
        <v>66</v>
      </c>
      <c r="Q5" s="18" t="s">
        <v>66</v>
      </c>
      <c r="R5" s="18" t="s">
        <v>66</v>
      </c>
      <c r="S5" s="18" t="s">
        <v>66</v>
      </c>
      <c r="T5" s="18" t="s">
        <v>66</v>
      </c>
      <c r="U5" s="18" t="s">
        <v>66</v>
      </c>
      <c r="V5" s="22" t="str">
        <f aca="true">IF(I5="","",IF(I5&lt;TODAY(),"OVERDUE",IF(I5&lt;=TODAY()+30,"DUE SOON","Current")))</f>
        <v>Current</v>
      </c>
    </row>
    <row r="6" customFormat="false" ht="15" hidden="false" customHeight="false" outlineLevel="0" collapsed="false">
      <c r="A6" s="18" t="s">
        <v>85</v>
      </c>
      <c r="B6" s="19" t="s">
        <v>86</v>
      </c>
      <c r="C6" s="18" t="s">
        <v>87</v>
      </c>
      <c r="D6" s="18" t="s">
        <v>88</v>
      </c>
      <c r="E6" s="20" t="n">
        <v>45874</v>
      </c>
      <c r="F6" s="18" t="s">
        <v>89</v>
      </c>
      <c r="G6" s="18" t="s">
        <v>90</v>
      </c>
      <c r="H6" s="18" t="n">
        <v>12</v>
      </c>
      <c r="I6" s="21" t="n">
        <f aca="false">IF(OR(E6="",H6=""),"",DATE(YEAR(E6),MONTH(E6)+H6,DAY(E6)))</f>
        <v>46239</v>
      </c>
      <c r="J6" s="18" t="s">
        <v>66</v>
      </c>
      <c r="K6" s="18" t="s">
        <v>66</v>
      </c>
      <c r="L6" s="18" t="s">
        <v>66</v>
      </c>
      <c r="M6" s="18" t="s">
        <v>66</v>
      </c>
      <c r="N6" s="18" t="s">
        <v>66</v>
      </c>
      <c r="O6" s="18" t="s">
        <v>66</v>
      </c>
      <c r="P6" s="18" t="s">
        <v>66</v>
      </c>
      <c r="Q6" s="18" t="s">
        <v>67</v>
      </c>
      <c r="R6" s="18" t="s">
        <v>66</v>
      </c>
      <c r="S6" s="18" t="s">
        <v>66</v>
      </c>
      <c r="T6" s="18" t="s">
        <v>66</v>
      </c>
      <c r="U6" s="18" t="s">
        <v>66</v>
      </c>
      <c r="V6" s="22" t="str">
        <f aca="true">IF(I6="","",IF(I6&lt;TODAY(),"OVERDUE",IF(I6&lt;=TODAY()+30,"DUE SOON","Current")))</f>
        <v>Current</v>
      </c>
    </row>
    <row r="7" customFormat="false" ht="15" hidden="false" customHeight="false" outlineLevel="0" collapsed="false">
      <c r="A7" s="18" t="s">
        <v>91</v>
      </c>
      <c r="B7" s="19" t="s">
        <v>92</v>
      </c>
      <c r="C7" s="18" t="s">
        <v>93</v>
      </c>
      <c r="D7" s="18" t="s">
        <v>94</v>
      </c>
      <c r="E7" s="20" t="n">
        <v>46081</v>
      </c>
      <c r="F7" s="18" t="s">
        <v>63</v>
      </c>
      <c r="G7" s="18" t="s">
        <v>95</v>
      </c>
      <c r="H7" s="18" t="n">
        <v>12</v>
      </c>
      <c r="I7" s="21" t="n">
        <f aca="false">IF(OR(E7="",H7=""),"",DATE(YEAR(E7),MONTH(E7)+H7,DAY(E7)))</f>
        <v>46446</v>
      </c>
      <c r="J7" s="18" t="s">
        <v>66</v>
      </c>
      <c r="K7" s="18" t="s">
        <v>66</v>
      </c>
      <c r="L7" s="18" t="s">
        <v>66</v>
      </c>
      <c r="M7" s="18" t="s">
        <v>66</v>
      </c>
      <c r="N7" s="18" t="s">
        <v>66</v>
      </c>
      <c r="O7" s="18" t="s">
        <v>66</v>
      </c>
      <c r="P7" s="18" t="s">
        <v>66</v>
      </c>
      <c r="Q7" s="18" t="s">
        <v>66</v>
      </c>
      <c r="R7" s="18" t="s">
        <v>66</v>
      </c>
      <c r="S7" s="18" t="s">
        <v>66</v>
      </c>
      <c r="T7" s="18" t="s">
        <v>66</v>
      </c>
      <c r="U7" s="18" t="s">
        <v>67</v>
      </c>
      <c r="V7" s="22" t="str">
        <f aca="true">IF(I7="","",IF(I7&lt;TODAY(),"OVERDUE",IF(I7&lt;=TODAY()+30,"DUE SOON","Current")))</f>
        <v>Current</v>
      </c>
    </row>
    <row r="8" customFormat="false" ht="15" hidden="false" customHeight="false" outlineLevel="0" collapsed="false">
      <c r="A8" s="18"/>
      <c r="B8" s="19"/>
      <c r="C8" s="18"/>
      <c r="D8" s="18"/>
      <c r="E8" s="20"/>
      <c r="F8" s="18"/>
      <c r="G8" s="18"/>
      <c r="H8" s="18"/>
      <c r="I8" s="21" t="str">
        <f aca="false">IF(OR(E8="",H8=""),"",DATE(YEAR(E8),MONTH(E8)+H8,DAY(E8)))</f>
        <v/>
      </c>
      <c r="J8" s="18"/>
      <c r="K8" s="18"/>
      <c r="L8" s="18"/>
      <c r="M8" s="18"/>
      <c r="N8" s="18"/>
      <c r="O8" s="18"/>
      <c r="P8" s="18"/>
      <c r="Q8" s="18"/>
      <c r="R8" s="18"/>
      <c r="S8" s="18"/>
      <c r="T8" s="18"/>
      <c r="U8" s="18"/>
      <c r="V8" s="22" t="str">
        <f aca="true">IF(I8="","",IF(I8&lt;TODAY(),"OVERDUE",IF(I8&lt;=TODAY()+30,"DUE SOON","Current")))</f>
        <v/>
      </c>
    </row>
    <row r="9" customFormat="false" ht="15" hidden="false" customHeight="false" outlineLevel="0" collapsed="false">
      <c r="A9" s="18"/>
      <c r="B9" s="19"/>
      <c r="C9" s="18"/>
      <c r="D9" s="18"/>
      <c r="E9" s="20"/>
      <c r="F9" s="18"/>
      <c r="G9" s="18"/>
      <c r="H9" s="18"/>
      <c r="I9" s="21" t="str">
        <f aca="false">IF(OR(E9="",H9=""),"",DATE(YEAR(E9),MONTH(E9)+H9,DAY(E9)))</f>
        <v/>
      </c>
      <c r="J9" s="18"/>
      <c r="K9" s="18"/>
      <c r="L9" s="18"/>
      <c r="M9" s="18"/>
      <c r="N9" s="18"/>
      <c r="O9" s="18"/>
      <c r="P9" s="18"/>
      <c r="Q9" s="18"/>
      <c r="R9" s="18"/>
      <c r="S9" s="18"/>
      <c r="T9" s="18"/>
      <c r="U9" s="18"/>
      <c r="V9" s="22" t="str">
        <f aca="true">IF(I9="","",IF(I9&lt;TODAY(),"OVERDUE",IF(I9&lt;=TODAY()+30,"DUE SOON","Current")))</f>
        <v/>
      </c>
    </row>
    <row r="10" customFormat="false" ht="15" hidden="false" customHeight="false" outlineLevel="0" collapsed="false">
      <c r="A10" s="18"/>
      <c r="B10" s="19"/>
      <c r="C10" s="18"/>
      <c r="D10" s="18"/>
      <c r="E10" s="20"/>
      <c r="F10" s="18"/>
      <c r="G10" s="18"/>
      <c r="H10" s="18"/>
      <c r="I10" s="21" t="str">
        <f aca="false">IF(OR(E10="",H10=""),"",DATE(YEAR(E10),MONTH(E10)+H10,DAY(E10)))</f>
        <v/>
      </c>
      <c r="J10" s="18"/>
      <c r="K10" s="18"/>
      <c r="L10" s="18"/>
      <c r="M10" s="18"/>
      <c r="N10" s="18"/>
      <c r="O10" s="18"/>
      <c r="P10" s="18"/>
      <c r="Q10" s="18"/>
      <c r="R10" s="18"/>
      <c r="S10" s="18"/>
      <c r="T10" s="18"/>
      <c r="U10" s="18"/>
      <c r="V10" s="22" t="str">
        <f aca="true">IF(I10="","",IF(I10&lt;TODAY(),"OVERDUE",IF(I10&lt;=TODAY()+30,"DUE SOON","Current")))</f>
        <v/>
      </c>
    </row>
    <row r="11" customFormat="false" ht="15" hidden="false" customHeight="false" outlineLevel="0" collapsed="false">
      <c r="A11" s="18"/>
      <c r="B11" s="19"/>
      <c r="C11" s="18"/>
      <c r="D11" s="18"/>
      <c r="E11" s="20"/>
      <c r="F11" s="18"/>
      <c r="G11" s="18"/>
      <c r="H11" s="18"/>
      <c r="I11" s="21" t="str">
        <f aca="false">IF(OR(E11="",H11=""),"",DATE(YEAR(E11),MONTH(E11)+H11,DAY(E11)))</f>
        <v/>
      </c>
      <c r="J11" s="18"/>
      <c r="K11" s="18"/>
      <c r="L11" s="18"/>
      <c r="M11" s="18"/>
      <c r="N11" s="18"/>
      <c r="O11" s="18"/>
      <c r="P11" s="18"/>
      <c r="Q11" s="18"/>
      <c r="R11" s="18"/>
      <c r="S11" s="18"/>
      <c r="T11" s="18"/>
      <c r="U11" s="18"/>
      <c r="V11" s="22" t="str">
        <f aca="true">IF(I11="","",IF(I11&lt;TODAY(),"OVERDUE",IF(I11&lt;=TODAY()+30,"DUE SOON","Current")))</f>
        <v/>
      </c>
    </row>
    <row r="12" customFormat="false" ht="15" hidden="false" customHeight="false" outlineLevel="0" collapsed="false">
      <c r="A12" s="18"/>
      <c r="B12" s="19"/>
      <c r="C12" s="18"/>
      <c r="D12" s="18"/>
      <c r="E12" s="20"/>
      <c r="F12" s="18"/>
      <c r="G12" s="18"/>
      <c r="H12" s="18"/>
      <c r="I12" s="21" t="str">
        <f aca="false">IF(OR(E12="",H12=""),"",DATE(YEAR(E12),MONTH(E12)+H12,DAY(E12)))</f>
        <v/>
      </c>
      <c r="J12" s="18"/>
      <c r="K12" s="18"/>
      <c r="L12" s="18"/>
      <c r="M12" s="18"/>
      <c r="N12" s="18"/>
      <c r="O12" s="18"/>
      <c r="P12" s="18"/>
      <c r="Q12" s="18"/>
      <c r="R12" s="18"/>
      <c r="S12" s="18"/>
      <c r="T12" s="18"/>
      <c r="U12" s="18"/>
      <c r="V12" s="22" t="str">
        <f aca="true">IF(I12="","",IF(I12&lt;TODAY(),"OVERDUE",IF(I12&lt;=TODAY()+30,"DUE SOON","Current")))</f>
        <v/>
      </c>
    </row>
    <row r="13" customFormat="false" ht="15" hidden="false" customHeight="false" outlineLevel="0" collapsed="false">
      <c r="A13" s="18"/>
      <c r="B13" s="19"/>
      <c r="C13" s="18"/>
      <c r="D13" s="18"/>
      <c r="E13" s="20"/>
      <c r="F13" s="18"/>
      <c r="G13" s="18"/>
      <c r="H13" s="18"/>
      <c r="I13" s="21" t="str">
        <f aca="false">IF(OR(E13="",H13=""),"",DATE(YEAR(E13),MONTH(E13)+H13,DAY(E13)))</f>
        <v/>
      </c>
      <c r="J13" s="18"/>
      <c r="K13" s="18"/>
      <c r="L13" s="18"/>
      <c r="M13" s="18"/>
      <c r="N13" s="18"/>
      <c r="O13" s="18"/>
      <c r="P13" s="18"/>
      <c r="Q13" s="18"/>
      <c r="R13" s="18"/>
      <c r="S13" s="18"/>
      <c r="T13" s="18"/>
      <c r="U13" s="18"/>
      <c r="V13" s="22" t="str">
        <f aca="true">IF(I13="","",IF(I13&lt;TODAY(),"OVERDUE",IF(I13&lt;=TODAY()+30,"DUE SOON","Current")))</f>
        <v/>
      </c>
    </row>
    <row r="14" customFormat="false" ht="15" hidden="false" customHeight="false" outlineLevel="0" collapsed="false">
      <c r="A14" s="18"/>
      <c r="B14" s="19"/>
      <c r="C14" s="18"/>
      <c r="D14" s="18"/>
      <c r="E14" s="20"/>
      <c r="F14" s="18"/>
      <c r="G14" s="18"/>
      <c r="H14" s="18"/>
      <c r="I14" s="21" t="str">
        <f aca="false">IF(OR(E14="",H14=""),"",DATE(YEAR(E14),MONTH(E14)+H14,DAY(E14)))</f>
        <v/>
      </c>
      <c r="J14" s="18"/>
      <c r="K14" s="18"/>
      <c r="L14" s="18"/>
      <c r="M14" s="18"/>
      <c r="N14" s="18"/>
      <c r="O14" s="18"/>
      <c r="P14" s="18"/>
      <c r="Q14" s="18"/>
      <c r="R14" s="18"/>
      <c r="S14" s="18"/>
      <c r="T14" s="18"/>
      <c r="U14" s="18"/>
      <c r="V14" s="22" t="str">
        <f aca="true">IF(I14="","",IF(I14&lt;TODAY(),"OVERDUE",IF(I14&lt;=TODAY()+30,"DUE SOON","Current")))</f>
        <v/>
      </c>
    </row>
    <row r="15" customFormat="false" ht="15" hidden="false" customHeight="false" outlineLevel="0" collapsed="false">
      <c r="A15" s="18"/>
      <c r="B15" s="19"/>
      <c r="C15" s="18"/>
      <c r="D15" s="18"/>
      <c r="E15" s="20"/>
      <c r="F15" s="18"/>
      <c r="G15" s="18"/>
      <c r="H15" s="18"/>
      <c r="I15" s="21" t="str">
        <f aca="false">IF(OR(E15="",H15=""),"",DATE(YEAR(E15),MONTH(E15)+H15,DAY(E15)))</f>
        <v/>
      </c>
      <c r="J15" s="18"/>
      <c r="K15" s="18"/>
      <c r="L15" s="18"/>
      <c r="M15" s="18"/>
      <c r="N15" s="18"/>
      <c r="O15" s="18"/>
      <c r="P15" s="18"/>
      <c r="Q15" s="18"/>
      <c r="R15" s="18"/>
      <c r="S15" s="18"/>
      <c r="T15" s="18"/>
      <c r="U15" s="18"/>
      <c r="V15" s="22" t="str">
        <f aca="true">IF(I15="","",IF(I15&lt;TODAY(),"OVERDUE",IF(I15&lt;=TODAY()+30,"DUE SOON","Current")))</f>
        <v/>
      </c>
    </row>
    <row r="16" customFormat="false" ht="15" hidden="false" customHeight="false" outlineLevel="0" collapsed="false">
      <c r="A16" s="18"/>
      <c r="B16" s="19"/>
      <c r="C16" s="18"/>
      <c r="D16" s="18"/>
      <c r="E16" s="20"/>
      <c r="F16" s="18"/>
      <c r="G16" s="18"/>
      <c r="H16" s="18"/>
      <c r="I16" s="21" t="str">
        <f aca="false">IF(OR(E16="",H16=""),"",DATE(YEAR(E16),MONTH(E16)+H16,DAY(E16)))</f>
        <v/>
      </c>
      <c r="J16" s="18"/>
      <c r="K16" s="18"/>
      <c r="L16" s="18"/>
      <c r="M16" s="18"/>
      <c r="N16" s="18"/>
      <c r="O16" s="18"/>
      <c r="P16" s="18"/>
      <c r="Q16" s="18"/>
      <c r="R16" s="18"/>
      <c r="S16" s="18"/>
      <c r="T16" s="18"/>
      <c r="U16" s="18"/>
      <c r="V16" s="22" t="str">
        <f aca="true">IF(I16="","",IF(I16&lt;TODAY(),"OVERDUE",IF(I16&lt;=TODAY()+30,"DUE SOON","Current")))</f>
        <v/>
      </c>
    </row>
    <row r="17" customFormat="false" ht="15" hidden="false" customHeight="false" outlineLevel="0" collapsed="false">
      <c r="A17" s="18"/>
      <c r="B17" s="19"/>
      <c r="C17" s="18"/>
      <c r="D17" s="18"/>
      <c r="E17" s="20"/>
      <c r="F17" s="18"/>
      <c r="G17" s="18"/>
      <c r="H17" s="18"/>
      <c r="I17" s="21" t="str">
        <f aca="false">IF(OR(E17="",H17=""),"",DATE(YEAR(E17),MONTH(E17)+H17,DAY(E17)))</f>
        <v/>
      </c>
      <c r="J17" s="18"/>
      <c r="K17" s="18"/>
      <c r="L17" s="18"/>
      <c r="M17" s="18"/>
      <c r="N17" s="18"/>
      <c r="O17" s="18"/>
      <c r="P17" s="18"/>
      <c r="Q17" s="18"/>
      <c r="R17" s="18"/>
      <c r="S17" s="18"/>
      <c r="T17" s="18"/>
      <c r="U17" s="18"/>
      <c r="V17" s="22" t="str">
        <f aca="true">IF(I17="","",IF(I17&lt;TODAY(),"OVERDUE",IF(I17&lt;=TODAY()+30,"DUE SOON","Current")))</f>
        <v/>
      </c>
    </row>
    <row r="18" customFormat="false" ht="15" hidden="false" customHeight="false" outlineLevel="0" collapsed="false">
      <c r="A18" s="18"/>
      <c r="B18" s="19"/>
      <c r="C18" s="18"/>
      <c r="D18" s="18"/>
      <c r="E18" s="20"/>
      <c r="F18" s="18"/>
      <c r="G18" s="18"/>
      <c r="H18" s="18"/>
      <c r="I18" s="21" t="str">
        <f aca="false">IF(OR(E18="",H18=""),"",DATE(YEAR(E18),MONTH(E18)+H18,DAY(E18)))</f>
        <v/>
      </c>
      <c r="J18" s="18"/>
      <c r="K18" s="18"/>
      <c r="L18" s="18"/>
      <c r="M18" s="18"/>
      <c r="N18" s="18"/>
      <c r="O18" s="18"/>
      <c r="P18" s="18"/>
      <c r="Q18" s="18"/>
      <c r="R18" s="18"/>
      <c r="S18" s="18"/>
      <c r="T18" s="18"/>
      <c r="U18" s="18"/>
      <c r="V18" s="22" t="str">
        <f aca="true">IF(I18="","",IF(I18&lt;TODAY(),"OVERDUE",IF(I18&lt;=TODAY()+30,"DUE SOON","Current")))</f>
        <v/>
      </c>
    </row>
    <row r="19" customFormat="false" ht="15" hidden="false" customHeight="false" outlineLevel="0" collapsed="false">
      <c r="A19" s="18"/>
      <c r="B19" s="19"/>
      <c r="C19" s="18"/>
      <c r="D19" s="18"/>
      <c r="E19" s="20"/>
      <c r="F19" s="18"/>
      <c r="G19" s="18"/>
      <c r="H19" s="18"/>
      <c r="I19" s="21" t="str">
        <f aca="false">IF(OR(E19="",H19=""),"",DATE(YEAR(E19),MONTH(E19)+H19,DAY(E19)))</f>
        <v/>
      </c>
      <c r="J19" s="18"/>
      <c r="K19" s="18"/>
      <c r="L19" s="18"/>
      <c r="M19" s="18"/>
      <c r="N19" s="18"/>
      <c r="O19" s="18"/>
      <c r="P19" s="18"/>
      <c r="Q19" s="18"/>
      <c r="R19" s="18"/>
      <c r="S19" s="18"/>
      <c r="T19" s="18"/>
      <c r="U19" s="18"/>
      <c r="V19" s="22" t="str">
        <f aca="true">IF(I19="","",IF(I19&lt;TODAY(),"OVERDUE",IF(I19&lt;=TODAY()+30,"DUE SOON","Current")))</f>
        <v/>
      </c>
    </row>
    <row r="20" customFormat="false" ht="15" hidden="false" customHeight="false" outlineLevel="0" collapsed="false">
      <c r="A20" s="18"/>
      <c r="B20" s="19"/>
      <c r="C20" s="18"/>
      <c r="D20" s="18"/>
      <c r="E20" s="20"/>
      <c r="F20" s="18"/>
      <c r="G20" s="18"/>
      <c r="H20" s="18"/>
      <c r="I20" s="21" t="str">
        <f aca="false">IF(OR(E20="",H20=""),"",DATE(YEAR(E20),MONTH(E20)+H20,DAY(E20)))</f>
        <v/>
      </c>
      <c r="J20" s="18"/>
      <c r="K20" s="18"/>
      <c r="L20" s="18"/>
      <c r="M20" s="18"/>
      <c r="N20" s="18"/>
      <c r="O20" s="18"/>
      <c r="P20" s="18"/>
      <c r="Q20" s="18"/>
      <c r="R20" s="18"/>
      <c r="S20" s="18"/>
      <c r="T20" s="18"/>
      <c r="U20" s="18"/>
      <c r="V20" s="22" t="str">
        <f aca="true">IF(I20="","",IF(I20&lt;TODAY(),"OVERDUE",IF(I20&lt;=TODAY()+30,"DUE SOON","Current")))</f>
        <v/>
      </c>
    </row>
    <row r="21" customFormat="false" ht="15" hidden="false" customHeight="false" outlineLevel="0" collapsed="false">
      <c r="A21" s="18"/>
      <c r="B21" s="19"/>
      <c r="C21" s="18"/>
      <c r="D21" s="18"/>
      <c r="E21" s="20"/>
      <c r="F21" s="18"/>
      <c r="G21" s="18"/>
      <c r="H21" s="18"/>
      <c r="I21" s="21" t="str">
        <f aca="false">IF(OR(E21="",H21=""),"",DATE(YEAR(E21),MONTH(E21)+H21,DAY(E21)))</f>
        <v/>
      </c>
      <c r="J21" s="18"/>
      <c r="K21" s="18"/>
      <c r="L21" s="18"/>
      <c r="M21" s="18"/>
      <c r="N21" s="18"/>
      <c r="O21" s="18"/>
      <c r="P21" s="18"/>
      <c r="Q21" s="18"/>
      <c r="R21" s="18"/>
      <c r="S21" s="18"/>
      <c r="T21" s="18"/>
      <c r="U21" s="18"/>
      <c r="V21" s="22" t="str">
        <f aca="true">IF(I21="","",IF(I21&lt;TODAY(),"OVERDUE",IF(I21&lt;=TODAY()+30,"DUE SOON","Current")))</f>
        <v/>
      </c>
    </row>
    <row r="22" customFormat="false" ht="15" hidden="false" customHeight="false" outlineLevel="0" collapsed="false">
      <c r="A22" s="18"/>
      <c r="B22" s="19"/>
      <c r="C22" s="18"/>
      <c r="D22" s="18"/>
      <c r="E22" s="20"/>
      <c r="F22" s="18"/>
      <c r="G22" s="18"/>
      <c r="H22" s="18"/>
      <c r="I22" s="21" t="str">
        <f aca="false">IF(OR(E22="",H22=""),"",DATE(YEAR(E22),MONTH(E22)+H22,DAY(E22)))</f>
        <v/>
      </c>
      <c r="J22" s="18"/>
      <c r="K22" s="18"/>
      <c r="L22" s="18"/>
      <c r="M22" s="18"/>
      <c r="N22" s="18"/>
      <c r="O22" s="18"/>
      <c r="P22" s="18"/>
      <c r="Q22" s="18"/>
      <c r="R22" s="18"/>
      <c r="S22" s="18"/>
      <c r="T22" s="18"/>
      <c r="U22" s="18"/>
      <c r="V22" s="22" t="str">
        <f aca="true">IF(I22="","",IF(I22&lt;TODAY(),"OVERDUE",IF(I22&lt;=TODAY()+30,"DUE SOON","Current")))</f>
        <v/>
      </c>
    </row>
    <row r="23" customFormat="false" ht="15" hidden="false" customHeight="false" outlineLevel="0" collapsed="false">
      <c r="A23" s="18"/>
      <c r="B23" s="19"/>
      <c r="C23" s="18"/>
      <c r="D23" s="18"/>
      <c r="E23" s="20"/>
      <c r="F23" s="18"/>
      <c r="G23" s="18"/>
      <c r="H23" s="18"/>
      <c r="I23" s="21" t="str">
        <f aca="false">IF(OR(E23="",H23=""),"",DATE(YEAR(E23),MONTH(E23)+H23,DAY(E23)))</f>
        <v/>
      </c>
      <c r="J23" s="18"/>
      <c r="K23" s="18"/>
      <c r="L23" s="18"/>
      <c r="M23" s="18"/>
      <c r="N23" s="18"/>
      <c r="O23" s="18"/>
      <c r="P23" s="18"/>
      <c r="Q23" s="18"/>
      <c r="R23" s="18"/>
      <c r="S23" s="18"/>
      <c r="T23" s="18"/>
      <c r="U23" s="18"/>
      <c r="V23" s="22" t="str">
        <f aca="true">IF(I23="","",IF(I23&lt;TODAY(),"OVERDUE",IF(I23&lt;=TODAY()+30,"DUE SOON","Current")))</f>
        <v/>
      </c>
    </row>
    <row r="24" customFormat="false" ht="15" hidden="false" customHeight="false" outlineLevel="0" collapsed="false">
      <c r="A24" s="18"/>
      <c r="B24" s="19"/>
      <c r="C24" s="18"/>
      <c r="D24" s="18"/>
      <c r="E24" s="20"/>
      <c r="F24" s="18"/>
      <c r="G24" s="18"/>
      <c r="H24" s="18"/>
      <c r="I24" s="21" t="str">
        <f aca="false">IF(OR(E24="",H24=""),"",DATE(YEAR(E24),MONTH(E24)+H24,DAY(E24)))</f>
        <v/>
      </c>
      <c r="J24" s="18"/>
      <c r="K24" s="18"/>
      <c r="L24" s="18"/>
      <c r="M24" s="18"/>
      <c r="N24" s="18"/>
      <c r="O24" s="18"/>
      <c r="P24" s="18"/>
      <c r="Q24" s="18"/>
      <c r="R24" s="18"/>
      <c r="S24" s="18"/>
      <c r="T24" s="18"/>
      <c r="U24" s="18"/>
      <c r="V24" s="22" t="str">
        <f aca="true">IF(I24="","",IF(I24&lt;TODAY(),"OVERDUE",IF(I24&lt;=TODAY()+30,"DUE SOON","Current")))</f>
        <v/>
      </c>
    </row>
    <row r="25" customFormat="false" ht="15" hidden="false" customHeight="false" outlineLevel="0" collapsed="false">
      <c r="A25" s="18"/>
      <c r="B25" s="19"/>
      <c r="C25" s="18"/>
      <c r="D25" s="18"/>
      <c r="E25" s="20"/>
      <c r="F25" s="18"/>
      <c r="G25" s="18"/>
      <c r="H25" s="18"/>
      <c r="I25" s="21" t="str">
        <f aca="false">IF(OR(E25="",H25=""),"",DATE(YEAR(E25),MONTH(E25)+H25,DAY(E25)))</f>
        <v/>
      </c>
      <c r="J25" s="18"/>
      <c r="K25" s="18"/>
      <c r="L25" s="18"/>
      <c r="M25" s="18"/>
      <c r="N25" s="18"/>
      <c r="O25" s="18"/>
      <c r="P25" s="18"/>
      <c r="Q25" s="18"/>
      <c r="R25" s="18"/>
      <c r="S25" s="18"/>
      <c r="T25" s="18"/>
      <c r="U25" s="18"/>
      <c r="V25" s="22" t="str">
        <f aca="true">IF(I25="","",IF(I25&lt;TODAY(),"OVERDUE",IF(I25&lt;=TODAY()+30,"DUE SOON","Current")))</f>
        <v/>
      </c>
    </row>
    <row r="26" customFormat="false" ht="15" hidden="false" customHeight="false" outlineLevel="0" collapsed="false">
      <c r="A26" s="18"/>
      <c r="B26" s="19"/>
      <c r="C26" s="18"/>
      <c r="D26" s="18"/>
      <c r="E26" s="20"/>
      <c r="F26" s="18"/>
      <c r="G26" s="18"/>
      <c r="H26" s="18"/>
      <c r="I26" s="21" t="str">
        <f aca="false">IF(OR(E26="",H26=""),"",DATE(YEAR(E26),MONTH(E26)+H26,DAY(E26)))</f>
        <v/>
      </c>
      <c r="J26" s="18"/>
      <c r="K26" s="18"/>
      <c r="L26" s="18"/>
      <c r="M26" s="18"/>
      <c r="N26" s="18"/>
      <c r="O26" s="18"/>
      <c r="P26" s="18"/>
      <c r="Q26" s="18"/>
      <c r="R26" s="18"/>
      <c r="S26" s="18"/>
      <c r="T26" s="18"/>
      <c r="U26" s="18"/>
      <c r="V26" s="22" t="str">
        <f aca="true">IF(I26="","",IF(I26&lt;TODAY(),"OVERDUE",IF(I26&lt;=TODAY()+30,"DUE SOON","Current")))</f>
        <v/>
      </c>
    </row>
    <row r="27" customFormat="false" ht="15" hidden="false" customHeight="false" outlineLevel="0" collapsed="false">
      <c r="A27" s="18"/>
      <c r="B27" s="19"/>
      <c r="C27" s="18"/>
      <c r="D27" s="18"/>
      <c r="E27" s="20"/>
      <c r="F27" s="18"/>
      <c r="G27" s="18"/>
      <c r="H27" s="18"/>
      <c r="I27" s="21" t="str">
        <f aca="false">IF(OR(E27="",H27=""),"",DATE(YEAR(E27),MONTH(E27)+H27,DAY(E27)))</f>
        <v/>
      </c>
      <c r="J27" s="18"/>
      <c r="K27" s="18"/>
      <c r="L27" s="18"/>
      <c r="M27" s="18"/>
      <c r="N27" s="18"/>
      <c r="O27" s="18"/>
      <c r="P27" s="18"/>
      <c r="Q27" s="18"/>
      <c r="R27" s="18"/>
      <c r="S27" s="18"/>
      <c r="T27" s="18"/>
      <c r="U27" s="18"/>
      <c r="V27" s="22" t="str">
        <f aca="true">IF(I27="","",IF(I27&lt;TODAY(),"OVERDUE",IF(I27&lt;=TODAY()+30,"DUE SOON","Current")))</f>
        <v/>
      </c>
    </row>
    <row r="28" customFormat="false" ht="15" hidden="false" customHeight="false" outlineLevel="0" collapsed="false">
      <c r="A28" s="18"/>
      <c r="B28" s="19"/>
      <c r="C28" s="18"/>
      <c r="D28" s="18"/>
      <c r="E28" s="20"/>
      <c r="F28" s="18"/>
      <c r="G28" s="18"/>
      <c r="H28" s="18"/>
      <c r="I28" s="21" t="str">
        <f aca="false">IF(OR(E28="",H28=""),"",DATE(YEAR(E28),MONTH(E28)+H28,DAY(E28)))</f>
        <v/>
      </c>
      <c r="J28" s="18"/>
      <c r="K28" s="18"/>
      <c r="L28" s="18"/>
      <c r="M28" s="18"/>
      <c r="N28" s="18"/>
      <c r="O28" s="18"/>
      <c r="P28" s="18"/>
      <c r="Q28" s="18"/>
      <c r="R28" s="18"/>
      <c r="S28" s="18"/>
      <c r="T28" s="18"/>
      <c r="U28" s="18"/>
      <c r="V28" s="22" t="str">
        <f aca="true">IF(I28="","",IF(I28&lt;TODAY(),"OVERDUE",IF(I28&lt;=TODAY()+30,"DUE SOON","Current")))</f>
        <v/>
      </c>
    </row>
    <row r="29" customFormat="false" ht="15" hidden="false" customHeight="false" outlineLevel="0" collapsed="false">
      <c r="A29" s="18"/>
      <c r="B29" s="19"/>
      <c r="C29" s="18"/>
      <c r="D29" s="18"/>
      <c r="E29" s="20"/>
      <c r="F29" s="18"/>
      <c r="G29" s="18"/>
      <c r="H29" s="18"/>
      <c r="I29" s="21" t="str">
        <f aca="false">IF(OR(E29="",H29=""),"",DATE(YEAR(E29),MONTH(E29)+H29,DAY(E29)))</f>
        <v/>
      </c>
      <c r="J29" s="18"/>
      <c r="K29" s="18"/>
      <c r="L29" s="18"/>
      <c r="M29" s="18"/>
      <c r="N29" s="18"/>
      <c r="O29" s="18"/>
      <c r="P29" s="18"/>
      <c r="Q29" s="18"/>
      <c r="R29" s="18"/>
      <c r="S29" s="18"/>
      <c r="T29" s="18"/>
      <c r="U29" s="18"/>
      <c r="V29" s="22" t="str">
        <f aca="true">IF(I29="","",IF(I29&lt;TODAY(),"OVERDUE",IF(I29&lt;=TODAY()+30,"DUE SOON","Current")))</f>
        <v/>
      </c>
    </row>
    <row r="30" customFormat="false" ht="15" hidden="false" customHeight="false" outlineLevel="0" collapsed="false">
      <c r="A30" s="18"/>
      <c r="B30" s="19"/>
      <c r="C30" s="18"/>
      <c r="D30" s="18"/>
      <c r="E30" s="20"/>
      <c r="F30" s="18"/>
      <c r="G30" s="18"/>
      <c r="H30" s="18"/>
      <c r="I30" s="21" t="str">
        <f aca="false">IF(OR(E30="",H30=""),"",DATE(YEAR(E30),MONTH(E30)+H30,DAY(E30)))</f>
        <v/>
      </c>
      <c r="J30" s="18"/>
      <c r="K30" s="18"/>
      <c r="L30" s="18"/>
      <c r="M30" s="18"/>
      <c r="N30" s="18"/>
      <c r="O30" s="18"/>
      <c r="P30" s="18"/>
      <c r="Q30" s="18"/>
      <c r="R30" s="18"/>
      <c r="S30" s="18"/>
      <c r="T30" s="18"/>
      <c r="U30" s="18"/>
      <c r="V30" s="22" t="str">
        <f aca="true">IF(I30="","",IF(I30&lt;TODAY(),"OVERDUE",IF(I30&lt;=TODAY()+30,"DUE SOON","Current")))</f>
        <v/>
      </c>
    </row>
    <row r="32" customFormat="false" ht="15" hidden="false" customHeight="false" outlineLevel="0" collapsed="false">
      <c r="A32" s="23" t="s">
        <v>96</v>
      </c>
      <c r="B32" s="15" t="s">
        <v>97</v>
      </c>
      <c r="C32" s="15" t="n">
        <f aca="false">COUNTA(A2:A30)</f>
        <v>6</v>
      </c>
      <c r="D32" s="15" t="s">
        <v>98</v>
      </c>
      <c r="E32" s="15" t="n">
        <f aca="false">COUNTIF(V2:V30,"OVERDUE")</f>
        <v>0</v>
      </c>
      <c r="F32" s="15" t="s">
        <v>99</v>
      </c>
      <c r="G32" s="15" t="n">
        <f aca="false">COUNTIF(V2:V30,"DUE SOON")</f>
        <v>1</v>
      </c>
    </row>
  </sheetData>
  <conditionalFormatting sqref="J2:U30">
    <cfRule type="cellIs" priority="2" operator="equal" aboveAverage="0" equalAverage="0" bottom="0" percent="0" rank="0" text="" dxfId="0">
      <formula>"Done"</formula>
    </cfRule>
    <cfRule type="cellIs" priority="3" operator="equal" aboveAverage="0" equalAverage="0" bottom="0" percent="0" rank="0" text="" dxfId="1">
      <formula>"Due"</formula>
    </cfRule>
    <cfRule type="cellIs" priority="4" operator="equal" aboveAverage="0" equalAverage="0" bottom="0" percent="0" rank="0" text="" dxfId="1">
      <formula>"Booked"</formula>
    </cfRule>
  </conditionalFormatting>
  <conditionalFormatting sqref="V2:V30">
    <cfRule type="cellIs" priority="5" operator="equal" aboveAverage="0" equalAverage="0" bottom="0" percent="0" rank="0" text="" dxfId="2">
      <formula>"OVERDUE"</formula>
    </cfRule>
    <cfRule type="cellIs" priority="6" operator="equal" aboveAverage="0" equalAverage="0" bottom="0" percent="0" rank="0" text="" dxfId="1">
      <formula>"DUE SOON"</formula>
    </cfRule>
    <cfRule type="cellIs" priority="7" operator="equal" aboveAverage="0" equalAverage="0" bottom="0" percent="0" rank="0" text="" dxfId="0">
      <formula>"Current"</formula>
    </cfRule>
  </conditionalFormatting>
  <conditionalFormatting sqref="I2:I30">
    <cfRule type="expression" priority="8" aboveAverage="0" equalAverage="0" bottom="0" percent="0" rank="0" text="" dxfId="2">
      <formula>AND(I2&lt;TODAY(),I2&lt;&gt;"")</formula>
    </cfRule>
    <cfRule type="expression" priority="9" aboveAverage="0" equalAverage="0" bottom="0" percent="0" rank="0" text="" dxfId="1">
      <formula>AND(I2&gt;=TODAY(),I2&lt;=TODAY()+30,I2&lt;&gt;"")</formula>
    </cfRule>
  </conditionalFormatting>
  <dataValidations count="4">
    <dataValidation allowBlank="true" errorStyle="stop" operator="between" showDropDown="false" showErrorMessage="false" showInputMessage="false" sqref="C2:C30" type="list">
      <formula1>"Crane (Mobile),Crane (Tower),MEWP,Hoist (Passenger),Hoist (Goods),Forklift,Telehandler,Overhead Crane,Lifting Beam,Other"</formula1>
      <formula2>0</formula2>
    </dataValidation>
    <dataValidation allowBlank="true" errorStyle="stop" operator="between" showDropDown="false" showErrorMessage="false" showInputMessage="false" sqref="H2:H30" type="list">
      <formula1>"6,12"</formula1>
      <formula2>0</formula2>
    </dataValidation>
    <dataValidation allowBlank="true" errorStyle="stop" operator="between" showDropDown="false" showErrorMessage="false" showInputMessage="false" sqref="J2:U30" type="list">
      <formula1>"Due,Booked,Done,N/A"</formula1>
      <formula2>0</formula2>
    </dataValidation>
    <dataValidation allowBlank="true" errorStyle="stop" operator="between" showDropDown="false" showErrorMessage="false" showInputMessage="false" sqref="E2:E30" type="date">
      <formula1>0</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&amp;CLOLER Thorough Examination Calendar</oddHeader>
    <oddFooter>&amp;Rebrora.com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8.65" hidden="false" customHeight="false" outlineLevel="0" collapsed="false">
      <c r="A1" s="24" t="s">
        <v>100</v>
      </c>
    </row>
    <row r="2" customFormat="false" ht="15" hidden="false" customHeight="false" outlineLevel="0" collapsed="false">
      <c r="A2" s="25"/>
    </row>
    <row r="3" customFormat="false" ht="15" hidden="false" customHeight="false" outlineLevel="0" collapsed="false">
      <c r="A3" s="25" t="s">
        <v>101</v>
      </c>
    </row>
    <row r="4" customFormat="false" ht="15" hidden="false" customHeight="false" outlineLevel="0" collapsed="false">
      <c r="A4" s="25"/>
    </row>
    <row r="5" customFormat="false" ht="15" hidden="false" customHeight="false" outlineLevel="0" collapsed="false">
      <c r="A5" s="26" t="s">
        <v>102</v>
      </c>
    </row>
    <row r="6" customFormat="false" ht="23.85" hidden="false" customHeight="false" outlineLevel="0" collapsed="false">
      <c r="A6" s="26" t="s">
        <v>103</v>
      </c>
    </row>
    <row r="7" customFormat="false" ht="15" hidden="false" customHeight="false" outlineLevel="0" collapsed="false">
      <c r="A7" s="26" t="s">
        <v>104</v>
      </c>
    </row>
    <row r="8" customFormat="false" ht="15" hidden="false" customHeight="false" outlineLevel="0" collapsed="false">
      <c r="A8" s="26" t="s">
        <v>105</v>
      </c>
    </row>
    <row r="9" customFormat="false" ht="23.85" hidden="false" customHeight="false" outlineLevel="0" collapsed="false">
      <c r="A9" s="26" t="s">
        <v>106</v>
      </c>
    </row>
    <row r="10" customFormat="false" ht="15" hidden="false" customHeight="false" outlineLevel="0" collapsed="false">
      <c r="A10" s="26" t="s">
        <v>107</v>
      </c>
    </row>
    <row r="11" customFormat="false" ht="15" hidden="false" customHeight="false" outlineLevel="0" collapsed="false">
      <c r="A11" s="25"/>
    </row>
    <row r="12" customFormat="false" ht="15" hidden="false" customHeight="false" outlineLevel="0" collapsed="false">
      <c r="A12" s="25" t="s">
        <v>108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Health, Safety &amp; Statutory</cp:category>
  <dcterms:created xsi:type="dcterms:W3CDTF">2026-03-24T17:00:07Z</dcterms:created>
  <dc:creator>Ebrora Ltd</dc:creator>
  <dc:description>Schedule and track LOLER thorough examinations for all lifting equipment including cranes, MEWPs, hoists, and telehandlers with due date alerts and examination status tracking.
Free professional construction management template from Ebrora Ltd. Visit ebrora.com for our full range of tools and templates.</dc:description>
  <cp:keywords>Ebrora construction LOLER thorough examination lifting crane MEWP safety statutory</cp:keywords>
  <dc:language>en-US</dc:language>
  <cp:lastModifiedBy>Ebrora Ltd</cp:lastModifiedBy>
  <dcterms:modified xsi:type="dcterms:W3CDTF">2026-03-24T17:00:07Z</dcterms:modified>
  <cp:revision>0</cp:revision>
  <dc:subject>Schedule and track LOLER thorough examinations for cranes, MEWPs, hoists, and lifting equipment.</dc:subject>
  <dc:title>LOLER Thorough Examination Calendar</dc:title>
</cp:coreProperties>
</file>

<file path=docProps/custom.xml><?xml version="1.0" encoding="utf-8"?>
<Properties xmlns="http://schemas.openxmlformats.org/officeDocument/2006/custom-properties" xmlns:vt="http://schemas.openxmlformats.org/officeDocument/2006/docPropsVTypes"/>
</file>