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EW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'EW Register'!$A$1:$J$64</definedName>
    <definedName function="false" hidden="true" localSheetId="2" name="_xlnm._FilterDatabase" vbProcedure="false">'EW Register'!$A$13:$P$64</definedName>
    <definedName function="false" hidden="false" localSheetId="1" name="_xlnm.Print_Area" vbProcedure="false">Instructions!$A$1:$F$35</definedName>
    <definedName function="false" hidden="false" name="EWRegister" vbProcedure="false">'EW Register'!$A$13:$P$64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<sst xmlns="http://schemas.openxmlformats.org/spreadsheetml/2006/main" count="121" uniqueCount="113">
  <si>
    <t xml:space="preserve">EBRORA</t>
  </si>
  <si>
    <t xml:space="preserve">ebrora.com</t>
  </si>
  <si>
    <t xml:space="preserve">Early Warning Register</t>
  </si>
  <si>
    <t xml:space="preserve">Log and risk-score early warnings under NEC Clause 15</t>
  </si>
  <si>
    <t xml:space="preserve">with automatic risk rating and risk reduction meeting tracking.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</si>
  <si>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</si>
  <si>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</si>
  <si>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</si>
  <si>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</si>
  <si>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</si>
  <si>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</si>
  <si>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'EW Register' sheet. The top section has two panels: a Risk Summary (left) showing counts by risk level and a Status Summary (right) showing early warnings by current status.</t>
  </si>
  <si>
    <t xml:space="preserve">2.</t>
  </si>
  <si>
    <t xml:space="preserve">Each row is one early warning. Enter the EW Ref, Date Raised, who raised it, a clear description of the risk or matter that could increase cost/delay/impair performance, and the current Status.</t>
  </si>
  <si>
    <t xml:space="preserve">3.</t>
  </si>
  <si>
    <t xml:space="preserve">Score each early warning using the Likelihood (1–5) and Impact (1–5) dropdowns. The Risk Score calculates automatically as Likelihood × Impact, and the Risk Rating assigns High / Medium / Low based on the score.</t>
  </si>
  <si>
    <t xml:space="preserve">4.</t>
  </si>
  <si>
    <t xml:space="preserve">The scoring thresholds are: High = 15–25, Medium = 6–14, Low = 1–5. These match common 5×5 risk matrix conventions.</t>
  </si>
  <si>
    <t xml:space="preserve">5.</t>
  </si>
  <si>
    <t xml:space="preserve">Update the Status as the early warning progresses: Open → Discussed at RRM → Mitigated / Closed / Escalated to CE. Enter the Date of next or last Risk Reduction Meeting.</t>
  </si>
  <si>
    <t xml:space="preserve">Risk Scoring Guide</t>
  </si>
  <si>
    <t xml:space="preserve">Likelihood: 1 = Very unlikely, 2 = Unlikely, 3 = Possible, 4 = Likely, 5 = Very likely</t>
  </si>
  <si>
    <t xml:space="preserve">Impact: 1 = Negligible, 2 = Minor, 3 = Moderate, 4 = Major, 5 = Critical</t>
  </si>
  <si>
    <t xml:space="preserve">Risk Score = Likelihood × Impact (auto-calculated)</t>
  </si>
  <si>
    <t xml:space="preserve">Risk Rating: 1–5 = Low (green), 6–14 = Medium (amber), 15–25 = High (red)</t>
  </si>
  <si>
    <t xml:space="preserve">Optional Fields</t>
  </si>
  <si>
    <t xml:space="preserve">6.</t>
  </si>
  <si>
    <t xml:space="preserve">Click [+] to expand optional fields: Risk Owner, Mitigation Action, Date RRM Discussed, Residual Risk Score (post-mitigation), Linked CE Ref, and Estimated Cost Impact (£).</t>
  </si>
  <si>
    <t xml:space="preserve">7.</t>
  </si>
  <si>
    <t xml:space="preserve">The Residual Risk Score lets you track how effective your mitigation has been by re-scoring after the Risk Reduction Meeting.</t>
  </si>
  <si>
    <t xml:space="preserve">Colour Key</t>
  </si>
  <si>
    <t xml:space="preserve">Light teal cells (#E8F6F7) — User input.</t>
  </si>
  <si>
    <t xml:space="preserve">Dark navy headers — Do not edit.</t>
  </si>
  <si>
    <t xml:space="preserve">Red risk rating — High risk (score 15–25).</t>
  </si>
  <si>
    <t xml:space="preserve">Amber risk rating — Medium risk (score 6–14).</t>
  </si>
  <si>
    <t xml:space="preserve">Green risk rating — Low risk (score 1–5).</t>
  </si>
  <si>
    <t xml:space="preserve">Blue status — Open (new, not yet discussed).</t>
  </si>
  <si>
    <t xml:space="preserve">Amber status — Discussed at RRM (under active management).</t>
  </si>
  <si>
    <t xml:space="preserve">Green status — Mitigated or Closed.</t>
  </si>
  <si>
    <t xml:space="preserve">Red status — Escalated to CE (compensation event raised).</t>
  </si>
  <si>
    <t xml:space="preserve">Tips</t>
  </si>
  <si>
    <t xml:space="preserve">Tip 1:</t>
  </si>
  <si>
    <t xml:space="preserve">Under NEC4 Clause 15.1, both the PM and Contractor must notify early warnings. Log them immediately — proactive early warning management is a contractual obligation, not optional.</t>
  </si>
  <si>
    <t xml:space="preserve">Tip 2:</t>
  </si>
  <si>
    <t xml:space="preserve">Hold Risk Reduction Meetings fortnightly as a minimum. Review all Open and Discussed items. Record outcomes and update the Mitigation Action column.</t>
  </si>
  <si>
    <t xml:space="preserve">Tip 3:</t>
  </si>
  <si>
    <t xml:space="preserve">When an early warning materialises into a compensation event, update the status to 'Escalated to CE' and enter the linked CE Ref. This creates a clear audit trail between the EW and CE registers.</t>
  </si>
  <si>
    <t xml:space="preserve">EARLY WARNING REGISTER — NEC RISK SCORING</t>
  </si>
  <si>
    <t xml:space="preserve">RISK LEVEL SUMMARY</t>
  </si>
  <si>
    <t xml:space="preserve">STATUS SUMMARY</t>
  </si>
  <si>
    <t xml:space="preserve">High (15–25)</t>
  </si>
  <si>
    <t xml:space="preserve">Open</t>
  </si>
  <si>
    <t xml:space="preserve">Medium (6–14)</t>
  </si>
  <si>
    <t xml:space="preserve">Discussed at RRM</t>
  </si>
  <si>
    <t xml:space="preserve">Low (1–5)</t>
  </si>
  <si>
    <t xml:space="preserve">Mitigated</t>
  </si>
  <si>
    <t xml:space="preserve">Total Active</t>
  </si>
  <si>
    <t xml:space="preserve">Closed</t>
  </si>
  <si>
    <t xml:space="preserve">Escalated to CE</t>
  </si>
  <si>
    <t xml:space="preserve">Scoring: Likelihood (1=Very Unlikely → 5=Very Likely) × Impact (1=Negligible → 5=Critical)  |  High = 15–25  |  Medium = 6–14  |  Low = 1–5</t>
  </si>
  <si>
    <t xml:space="preserve">▸ Optional Fields — Click [+] to expand</t>
  </si>
  <si>
    <t xml:space="preserve">EW Ref</t>
  </si>
  <si>
    <t xml:space="preserve">Date
Raised</t>
  </si>
  <si>
    <t xml:space="preserve">Raised By</t>
  </si>
  <si>
    <t xml:space="preserve">Description</t>
  </si>
  <si>
    <t xml:space="preserve">Likelihood
(1–5)</t>
  </si>
  <si>
    <t xml:space="preserve">Impact
(1–5)</t>
  </si>
  <si>
    <t xml:space="preserve">Risk
Score</t>
  </si>
  <si>
    <t xml:space="preserve">Risk
Rating</t>
  </si>
  <si>
    <t xml:space="preserve">Status</t>
  </si>
  <si>
    <t xml:space="preserve">Notes</t>
  </si>
  <si>
    <t xml:space="preserve">Risk
Owner</t>
  </si>
  <si>
    <t xml:space="preserve">Mitigation Action</t>
  </si>
  <si>
    <t xml:space="preserve">Date RRM
Discussed</t>
  </si>
  <si>
    <t xml:space="preserve">Residual
Risk Score</t>
  </si>
  <si>
    <t xml:space="preserve">Linked
CE Ref</t>
  </si>
  <si>
    <t xml:space="preserve">Est. Cost
Impact (£)</t>
  </si>
  <si>
    <t xml:space="preserve">EW-001</t>
  </si>
  <si>
    <t xml:space="preserve">Contractor</t>
  </si>
  <si>
    <t xml:space="preserve">Ground investigation indicates potential soft spots in Zone A. Risk of additional piling if confirmed during excavation.</t>
  </si>
  <si>
    <t xml:space="preserve">Materialised — see CE-001</t>
  </si>
  <si>
    <t xml:space="preserve">Site Agent</t>
  </si>
  <si>
    <t xml:space="preserve">Instructed additional trial pits. Results confirmed soft ground.</t>
  </si>
  <si>
    <t xml:space="preserve">CE-001</t>
  </si>
  <si>
    <t xml:space="preserve">EW-002</t>
  </si>
  <si>
    <t xml:space="preserve">PM</t>
  </si>
  <si>
    <t xml:space="preserve">Utility diversion by UKPN running 4 weeks behind programme. Risk of delayed access to Zone D for substructure works.</t>
  </si>
  <si>
    <t xml:space="preserve">UKPN latest update: 2-week delay remains. Monitoring weekly.</t>
  </si>
  <si>
    <t xml:space="preserve">Project Manager</t>
  </si>
  <si>
    <t xml:space="preserve">Weekly liaison with UKPN. Resequencing Zone D to mitigate.</t>
  </si>
  <si>
    <t xml:space="preserve">EW-003</t>
  </si>
  <si>
    <t xml:space="preserve">Cladding manufacturer reports global aluminium shortage. Risk of 6–8 week lead time extension on curtain wall system.</t>
  </si>
  <si>
    <t xml:space="preserve">Alternative supplier approved. Lead time confirmed at 12 weeks.</t>
  </si>
  <si>
    <t xml:space="preserve">Procurement Manager</t>
  </si>
  <si>
    <t xml:space="preserve">Sourced Kawneer alternative. Approved by architect.</t>
  </si>
  <si>
    <t xml:space="preserve">EW-004</t>
  </si>
  <si>
    <t xml:space="preserve">Designer</t>
  </si>
  <si>
    <t xml:space="preserve">Revised Building Regulations Part L requirements may apply to north elevation glazing. Potential cost impact if U-values need upgrading.</t>
  </si>
  <si>
    <t xml:space="preserve">Design team reviewing options. Decision due by end of month.</t>
  </si>
  <si>
    <t xml:space="preserve">Design Manager</t>
  </si>
  <si>
    <t xml:space="preserve">Commission thermal modelling study. Review at next RRM.</t>
  </si>
  <si>
    <t xml:space="preserve">EW-005</t>
  </si>
  <si>
    <t xml:space="preserve">Specialist fire stopping subcontractor has limited capacity in Q1 2026. Risk of delay to internal fit-out if not secured early.</t>
  </si>
  <si>
    <t xml:space="preserve">Procurement to issue enquiry this week.</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</si>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</sst>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FC7CE"/>
        <bgColor rgb="FFFFEB9C"/>
      </patternFill>
    </fill>
    <fill>
      <patternFill patternType="solid">
        <fgColor rgb="FFBDD7EE"/>
        <bgColor rgb="FFC6EFCE"/>
      </patternFill>
    </fill>
    <fill>
      <patternFill patternType="solid">
        <fgColor rgb="FFFFEB9C"/>
        <bgColor rgb="FFF2F2F2"/>
      </patternFill>
    </fill>
    <fill>
      <patternFill patternType="solid">
        <fgColor rgb="FFC6EFCE"/>
        <bgColor rgb="FFCCFFFF"/>
      </patternFill>
    </fill>
    <fill>
      <patternFill patternType="solid">
        <fgColor rgb="FFA9D08E"/>
        <bgColor rgb="FFBDD7EE"/>
      </patternFill>
    </fill>
    <fill>
      <patternFill patternType="solid">
        <fgColor rgb="FFF2F2F2"/>
        <bgColor rgb="FFE8F6F7"/>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5" fontId="15" fillId="3" borderId="2" xfId="0" applyFont="true" applyBorder="tru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12" fillId="10" borderId="2" xfId="0" applyFont="true" applyBorder="true" applyAlignment="true" applyProtection="false">
      <alignment horizontal="left" vertical="center" textRotation="0" wrapText="true" indent="0" shrinkToFit="false"/>
      <protection locked="true" hidden="false"/>
    </xf>
    <xf numFmtId="164" fontId="16" fillId="4" borderId="0"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6"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5" fontId="13" fillId="3"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7" fontId="13" fillId="4" borderId="2" xfId="0" applyFont="true" applyBorder="true" applyAlignment="true" applyProtection="false">
      <alignment horizontal="left" vertical="center" textRotation="0" wrapText="true" indent="0" shrinkToFit="false"/>
      <protection locked="true" hidden="false"/>
    </xf>
    <xf numFmtId="167" fontId="13" fillId="4"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A9D08E"/>
          <bgColor rgb="FF000000"/>
        </patternFill>
      </fill>
    </dxf>
    <dxf>
      <fill>
        <patternFill patternType="solid">
          <fgColor rgb="FFBDD7EE"/>
          <bgColor rgb="FF000000"/>
        </patternFill>
      </fill>
    </dxf>
    <dxf>
      <fill>
        <patternFill patternType="solid">
          <fgColor rgb="FFC6EFCE"/>
          <bgColor rgb="FF000000"/>
        </patternFill>
      </fill>
    </dxf>
    <dxf>
      <fill>
        <patternFill>
          <bgColor rgb="FFFFC7CE"/>
        </patternFill>
      </fill>
    </dxf>
    <dxf>
      <fill>
        <patternFill>
          <bgColor rgb="FFFFEB9C"/>
        </patternFill>
      </fill>
    </dxf>
    <dxf>
      <fill>
        <patternFill>
          <bgColor rgb="FFC6EFCE"/>
        </patternFill>
      </fill>
    </dxf>
    <dxf>
      <fill>
        <patternFill>
          <bgColor rgb="FFBDD7EE"/>
        </patternFill>
      </fill>
    </dxf>
    <dxf>
      <fill>
        <patternFill>
          <bgColor rgb="FFA9D08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15" hidden="false" customHeight="true" outlineLevel="0" collapsed="false">
      <c r="A7" s="12" t="s">
        <v>16</v>
      </c>
      <c r="B7" s="13" t="s">
        <v>17</v>
      </c>
      <c r="C7" s="13"/>
      <c r="D7" s="13"/>
      <c r="E7" s="13"/>
      <c r="F7" s="13"/>
    </row>
    <row r="8" customFormat="false" ht="23.8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15" hidden="false" customHeight="true" outlineLevel="0" collapsed="false">
      <c r="A11" s="14" t="s">
        <v>21</v>
      </c>
      <c r="B11" s="14"/>
      <c r="C11" s="14"/>
      <c r="D11" s="14"/>
      <c r="E11" s="14"/>
      <c r="F11" s="14"/>
    </row>
    <row r="12" customFormat="false" ht="15" hidden="false" customHeight="true" outlineLevel="0" collapsed="false">
      <c r="A12" s="14" t="s">
        <v>22</v>
      </c>
      <c r="B12" s="14"/>
      <c r="C12" s="14"/>
      <c r="D12" s="14"/>
      <c r="E12" s="14"/>
      <c r="F12" s="14"/>
    </row>
    <row r="13" customFormat="false" ht="15" hidden="false" customHeight="true" outlineLevel="0" collapsed="false">
      <c r="A13" s="14" t="s">
        <v>23</v>
      </c>
      <c r="B13" s="14"/>
      <c r="C13" s="14"/>
      <c r="D13" s="14"/>
      <c r="E13" s="14"/>
      <c r="F13" s="14"/>
    </row>
    <row r="14" customFormat="false" ht="15" hidden="false" customHeight="true" outlineLevel="0" collapsed="false">
      <c r="A14" s="14" t="s">
        <v>24</v>
      </c>
      <c r="B14" s="14"/>
      <c r="C14" s="14"/>
      <c r="D14" s="14"/>
      <c r="E14" s="14"/>
      <c r="F14" s="14"/>
    </row>
    <row r="16" customFormat="false" ht="15" hidden="false" customHeight="true" outlineLevel="0" collapsed="false">
      <c r="A16" s="11" t="s">
        <v>25</v>
      </c>
      <c r="B16" s="11"/>
      <c r="C16" s="11"/>
      <c r="D16" s="11"/>
      <c r="E16" s="11"/>
      <c r="F16" s="11"/>
    </row>
    <row r="17" customFormat="false" ht="23.85" hidden="false" customHeight="true" outlineLevel="0" collapsed="false">
      <c r="A17" s="12" t="s">
        <v>26</v>
      </c>
      <c r="B17" s="13" t="s">
        <v>27</v>
      </c>
      <c r="C17" s="13"/>
      <c r="D17" s="13"/>
      <c r="E17" s="13"/>
      <c r="F17" s="13"/>
    </row>
    <row r="18" customFormat="false" ht="23.85" hidden="false" customHeight="true" outlineLevel="0" collapsed="false">
      <c r="A18" s="12" t="s">
        <v>28</v>
      </c>
      <c r="B18" s="13" t="s">
        <v>29</v>
      </c>
      <c r="C18" s="13"/>
      <c r="D18" s="13"/>
      <c r="E18" s="13"/>
      <c r="F18" s="13"/>
    </row>
    <row r="20" customFormat="false" ht="15" hidden="false" customHeight="true" outlineLevel="0" collapsed="false">
      <c r="A20" s="11" t="s">
        <v>30</v>
      </c>
      <c r="B20" s="11"/>
      <c r="C20" s="11"/>
      <c r="D20" s="11"/>
      <c r="E20" s="11"/>
      <c r="F20" s="11"/>
    </row>
    <row r="21" customFormat="false" ht="15" hidden="false" customHeight="true" outlineLevel="0" collapsed="false">
      <c r="A21" s="14" t="s">
        <v>31</v>
      </c>
      <c r="B21" s="14"/>
      <c r="C21" s="14"/>
      <c r="D21" s="14"/>
      <c r="E21" s="14"/>
      <c r="F21" s="14"/>
    </row>
    <row r="22" customFormat="false" ht="15" hidden="false" customHeight="true" outlineLevel="0" collapsed="false">
      <c r="A22" s="14" t="s">
        <v>32</v>
      </c>
      <c r="B22" s="14"/>
      <c r="C22" s="14"/>
      <c r="D22" s="14"/>
      <c r="E22" s="14"/>
      <c r="F22" s="14"/>
    </row>
    <row r="23" customFormat="false" ht="15" hidden="false" customHeight="true" outlineLevel="0" collapsed="false">
      <c r="A23" s="14" t="s">
        <v>33</v>
      </c>
      <c r="B23" s="14"/>
      <c r="C23" s="14"/>
      <c r="D23" s="14"/>
      <c r="E23" s="14"/>
      <c r="F23" s="14"/>
    </row>
    <row r="24" customFormat="false" ht="15" hidden="false" customHeight="true" outlineLevel="0" collapsed="false">
      <c r="A24" s="14" t="s">
        <v>34</v>
      </c>
      <c r="B24" s="14"/>
      <c r="C24" s="14"/>
      <c r="D24" s="14"/>
      <c r="E24" s="14"/>
      <c r="F24" s="14"/>
    </row>
    <row r="25" customFormat="false" ht="15" hidden="false" customHeight="true" outlineLevel="0" collapsed="false">
      <c r="A25" s="14" t="s">
        <v>35</v>
      </c>
      <c r="B25" s="14"/>
      <c r="C25" s="14"/>
      <c r="D25" s="14"/>
      <c r="E25" s="14"/>
      <c r="F25" s="14"/>
    </row>
    <row r="26" customFormat="false" ht="15" hidden="false" customHeight="true" outlineLevel="0" collapsed="false">
      <c r="A26" s="14" t="s">
        <v>36</v>
      </c>
      <c r="B26" s="14"/>
      <c r="C26" s="14"/>
      <c r="D26" s="14"/>
      <c r="E26" s="14"/>
      <c r="F26" s="14"/>
    </row>
    <row r="27" customFormat="false" ht="15" hidden="false" customHeight="true" outlineLevel="0" collapsed="false">
      <c r="A27" s="14" t="s">
        <v>37</v>
      </c>
      <c r="B27" s="14"/>
      <c r="C27" s="14"/>
      <c r="D27" s="14"/>
      <c r="E27" s="14"/>
      <c r="F27" s="14"/>
    </row>
    <row r="28" customFormat="false" ht="15" hidden="false" customHeight="true" outlineLevel="0" collapsed="false">
      <c r="A28" s="14" t="s">
        <v>38</v>
      </c>
      <c r="B28" s="14"/>
      <c r="C28" s="14"/>
      <c r="D28" s="14"/>
      <c r="E28" s="14"/>
      <c r="F28" s="14"/>
    </row>
    <row r="29" customFormat="false" ht="15" hidden="false" customHeight="true" outlineLevel="0" collapsed="false">
      <c r="A29" s="14" t="s">
        <v>39</v>
      </c>
      <c r="B29" s="14"/>
      <c r="C29" s="14"/>
      <c r="D29" s="14"/>
      <c r="E29" s="14"/>
      <c r="F29" s="14"/>
    </row>
    <row r="31" customFormat="false" ht="15" hidden="false" customHeight="true" outlineLevel="0" collapsed="false">
      <c r="A31" s="11" t="s">
        <v>40</v>
      </c>
      <c r="B31" s="11"/>
      <c r="C31" s="11"/>
      <c r="D31" s="11"/>
      <c r="E31" s="11"/>
      <c r="F31" s="11"/>
    </row>
    <row r="32" customFormat="false" ht="23.85" hidden="false" customHeight="true" outlineLevel="0" collapsed="false">
      <c r="A32" s="12" t="s">
        <v>41</v>
      </c>
      <c r="B32" s="13" t="s">
        <v>42</v>
      </c>
      <c r="C32" s="13"/>
      <c r="D32" s="13"/>
      <c r="E32" s="13"/>
      <c r="F32" s="13"/>
    </row>
    <row r="33" customFormat="false" ht="23.85" hidden="false" customHeight="true" outlineLevel="0" collapsed="false">
      <c r="A33" s="12" t="s">
        <v>43</v>
      </c>
      <c r="B33" s="13" t="s">
        <v>44</v>
      </c>
      <c r="C33" s="13"/>
      <c r="D33" s="13"/>
      <c r="E33" s="13"/>
      <c r="F33" s="13"/>
    </row>
    <row r="34" customFormat="false" ht="23.85" hidden="false" customHeight="true" outlineLevel="0" collapsed="false">
      <c r="A34" s="12" t="s">
        <v>45</v>
      </c>
      <c r="B34" s="13" t="s">
        <v>46</v>
      </c>
      <c r="C34" s="13"/>
      <c r="D34" s="13"/>
      <c r="E34" s="13"/>
      <c r="F34" s="13"/>
    </row>
  </sheetData>
  <mergeCells count="29">
    <mergeCell ref="A1:F1"/>
    <mergeCell ref="A3:F3"/>
    <mergeCell ref="B4:F4"/>
    <mergeCell ref="B5:F5"/>
    <mergeCell ref="B6:F6"/>
    <mergeCell ref="B7:F7"/>
    <mergeCell ref="B8:F8"/>
    <mergeCell ref="A10:F10"/>
    <mergeCell ref="A11:F11"/>
    <mergeCell ref="A12:F12"/>
    <mergeCell ref="A13:F13"/>
    <mergeCell ref="A14:F14"/>
    <mergeCell ref="A16:F16"/>
    <mergeCell ref="B17:F17"/>
    <mergeCell ref="B18:F18"/>
    <mergeCell ref="A20:F20"/>
    <mergeCell ref="A21:F21"/>
    <mergeCell ref="A22:F22"/>
    <mergeCell ref="A23:F23"/>
    <mergeCell ref="A24:F24"/>
    <mergeCell ref="A25:F25"/>
    <mergeCell ref="A26:F26"/>
    <mergeCell ref="A27:F27"/>
    <mergeCell ref="A28:F28"/>
    <mergeCell ref="A29:F29"/>
    <mergeCell ref="A31:F31"/>
    <mergeCell ref="B32:F32"/>
    <mergeCell ref="B33:F33"/>
    <mergeCell ref="B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15"/>
    <col collapsed="false" customWidth="true" hidden="false" outlineLevel="0" max="4" min="4" style="0" width="42"/>
    <col collapsed="false" customWidth="true" hidden="false" outlineLevel="0" max="6" min="5" style="0" width="11"/>
    <col collapsed="false" customWidth="true" hidden="false" outlineLevel="0" max="7" min="7" style="0" width="10"/>
    <col collapsed="false" customWidth="true" hidden="false" outlineLevel="0" max="8" min="8" style="0" width="12"/>
    <col collapsed="false" customWidth="true" hidden="false" outlineLevel="0" max="9" min="9" style="0" width="16"/>
    <col collapsed="false" customWidth="true" hidden="false" outlineLevel="0" max="10" min="10" style="0" width="32"/>
    <col collapsed="false" customWidth="true" hidden="true" outlineLevel="1" max="16" min="11" style="0" width="15"/>
  </cols>
  <sheetData>
    <row r="1" customFormat="false" ht="15" hidden="false" customHeight="true" outlineLevel="0" collapsed="false">
      <c r="A1" s="15" t="s">
        <v>47</v>
      </c>
      <c r="B1" s="15"/>
      <c r="C1" s="15"/>
      <c r="D1" s="15"/>
      <c r="E1" s="15"/>
      <c r="F1" s="15"/>
      <c r="G1" s="15"/>
      <c r="H1" s="15"/>
      <c r="I1" s="15"/>
      <c r="J1" s="15"/>
      <c r="K1" s="15"/>
      <c r="L1" s="15"/>
      <c r="M1" s="15"/>
      <c r="N1" s="15"/>
      <c r="O1" s="15"/>
      <c r="P1" s="15"/>
    </row>
    <row r="3" customFormat="false" ht="15" hidden="false" customHeight="true" outlineLevel="0" collapsed="false">
      <c r="A3" s="15" t="s">
        <v>48</v>
      </c>
      <c r="B3" s="15"/>
      <c r="C3" s="15"/>
      <c r="D3" s="15"/>
      <c r="E3" s="15"/>
      <c r="G3" s="15" t="s">
        <v>49</v>
      </c>
      <c r="H3" s="15"/>
      <c r="I3" s="15"/>
      <c r="J3" s="15"/>
    </row>
    <row r="5" customFormat="false" ht="15" hidden="false" customHeight="true" outlineLevel="0" collapsed="false">
      <c r="A5" s="16" t="s">
        <v>50</v>
      </c>
      <c r="B5" s="16"/>
      <c r="C5" s="16"/>
      <c r="D5" s="17" t="n">
        <f aca="false">COUNTIF(H14:H64,"High")</f>
        <v>2</v>
      </c>
      <c r="E5" s="17"/>
      <c r="G5" s="18" t="s">
        <v>51</v>
      </c>
      <c r="H5" s="18"/>
      <c r="I5" s="17" t="n">
        <f aca="false">COUNTIF(I14:I64,"Open")</f>
        <v>1</v>
      </c>
      <c r="J5" s="17"/>
    </row>
    <row r="6" customFormat="false" ht="15" hidden="false" customHeight="true" outlineLevel="0" collapsed="false">
      <c r="A6" s="19" t="s">
        <v>52</v>
      </c>
      <c r="B6" s="19"/>
      <c r="C6" s="19"/>
      <c r="D6" s="17" t="n">
        <f aca="false">COUNTIF(H14:H64,"Medium")</f>
        <v>3</v>
      </c>
      <c r="E6" s="17"/>
      <c r="G6" s="19" t="s">
        <v>53</v>
      </c>
      <c r="H6" s="19"/>
      <c r="I6" s="17" t="n">
        <f aca="false">COUNTIF(I14:I64,"Discussed at RRM")</f>
        <v>2</v>
      </c>
      <c r="J6" s="17"/>
    </row>
    <row r="7" customFormat="false" ht="15" hidden="false" customHeight="true" outlineLevel="0" collapsed="false">
      <c r="A7" s="20" t="s">
        <v>54</v>
      </c>
      <c r="B7" s="20"/>
      <c r="C7" s="20"/>
      <c r="D7" s="17" t="n">
        <f aca="false">COUNTIF(H14:H64,"Low")</f>
        <v>0</v>
      </c>
      <c r="E7" s="17"/>
      <c r="G7" s="21" t="s">
        <v>55</v>
      </c>
      <c r="H7" s="21"/>
      <c r="I7" s="17" t="n">
        <f aca="false">COUNTIF(I14:I64,"Mitigated")</f>
        <v>1</v>
      </c>
      <c r="J7" s="17"/>
    </row>
    <row r="8" customFormat="false" ht="15" hidden="false" customHeight="true" outlineLevel="0" collapsed="false">
      <c r="A8" s="22" t="s">
        <v>56</v>
      </c>
      <c r="B8" s="22"/>
      <c r="C8" s="22"/>
      <c r="D8" s="17" t="n">
        <f aca="false">COUNTIFS(I14:I64,"&lt;&gt;Closed",I14:I64,"&lt;&gt;",I14:I64,"&lt;&gt;Escalated to CE")</f>
        <v>4</v>
      </c>
      <c r="E8" s="17"/>
      <c r="G8" s="20" t="s">
        <v>57</v>
      </c>
      <c r="H8" s="20"/>
      <c r="I8" s="17" t="n">
        <f aca="false">COUNTIF(I14:I64,"Closed")</f>
        <v>0</v>
      </c>
      <c r="J8" s="17"/>
    </row>
    <row r="9" customFormat="false" ht="15" hidden="false" customHeight="true" outlineLevel="0" collapsed="false">
      <c r="G9" s="16" t="s">
        <v>58</v>
      </c>
      <c r="H9" s="16"/>
      <c r="I9" s="17" t="n">
        <f aca="false">COUNTIF(I14:I64,"Escalated to CE")</f>
        <v>1</v>
      </c>
      <c r="J9" s="17"/>
    </row>
    <row r="10" customFormat="false" ht="15" hidden="false" customHeight="true" outlineLevel="0" collapsed="false">
      <c r="A10" s="23" t="s">
        <v>59</v>
      </c>
      <c r="B10" s="23"/>
      <c r="C10" s="23"/>
      <c r="D10" s="23"/>
      <c r="E10" s="23"/>
      <c r="F10" s="23"/>
      <c r="G10" s="23"/>
      <c r="H10" s="23"/>
      <c r="I10" s="23"/>
      <c r="J10" s="23"/>
      <c r="K10" s="24"/>
      <c r="L10" s="24"/>
      <c r="M10" s="24"/>
      <c r="N10" s="24"/>
      <c r="O10" s="24"/>
      <c r="P10" s="24"/>
    </row>
    <row r="11" customFormat="false" ht="22.35" hidden="false" customHeight="true" outlineLevel="0" collapsed="false">
      <c r="A11" s="25"/>
      <c r="B11" s="25"/>
      <c r="C11" s="25"/>
      <c r="D11" s="25"/>
      <c r="E11" s="25"/>
      <c r="F11" s="25"/>
      <c r="G11" s="25"/>
      <c r="H11" s="25"/>
      <c r="I11" s="25"/>
      <c r="J11" s="25"/>
      <c r="K11" s="26" t="s">
        <v>60</v>
      </c>
      <c r="L11" s="26"/>
      <c r="M11" s="26"/>
      <c r="N11" s="26"/>
      <c r="O11" s="26"/>
      <c r="P11" s="26"/>
    </row>
    <row r="13" customFormat="false" ht="41.75" hidden="false" customHeight="false" outlineLevel="0" collapsed="false">
      <c r="A13" s="27" t="s">
        <v>61</v>
      </c>
      <c r="B13" s="27" t="s">
        <v>62</v>
      </c>
      <c r="C13" s="27" t="s">
        <v>63</v>
      </c>
      <c r="D13" s="27" t="s">
        <v>64</v>
      </c>
      <c r="E13" s="27" t="s">
        <v>65</v>
      </c>
      <c r="F13" s="27" t="s">
        <v>66</v>
      </c>
      <c r="G13" s="27" t="s">
        <v>67</v>
      </c>
      <c r="H13" s="27" t="s">
        <v>68</v>
      </c>
      <c r="I13" s="27" t="s">
        <v>69</v>
      </c>
      <c r="J13" s="27" t="s">
        <v>70</v>
      </c>
      <c r="K13" s="27" t="s">
        <v>71</v>
      </c>
      <c r="L13" s="27" t="s">
        <v>72</v>
      </c>
      <c r="M13" s="27" t="s">
        <v>73</v>
      </c>
      <c r="N13" s="27" t="s">
        <v>74</v>
      </c>
      <c r="O13" s="27" t="s">
        <v>75</v>
      </c>
      <c r="P13" s="27" t="s">
        <v>76</v>
      </c>
    </row>
    <row r="14" customFormat="false" ht="46.25" hidden="false" customHeight="false" outlineLevel="0" collapsed="false">
      <c r="A14" s="28" t="s">
        <v>77</v>
      </c>
      <c r="B14" s="29" t="n">
        <v>45823</v>
      </c>
      <c r="C14" s="28" t="s">
        <v>78</v>
      </c>
      <c r="D14" s="30" t="s">
        <v>79</v>
      </c>
      <c r="E14" s="28" t="n">
        <v>4</v>
      </c>
      <c r="F14" s="28" t="n">
        <v>5</v>
      </c>
      <c r="G14" s="31" t="n">
        <f aca="false">IF(AND(E14&lt;&gt;"",F14&lt;&gt;""),E14*F14,"")</f>
        <v>20</v>
      </c>
      <c r="H14" s="32" t="str">
        <f aca="false">IF(G14="","",IF(G14&gt;=15,"High",IF(G14&gt;=6,"Medium","Low")))</f>
        <v>High</v>
      </c>
      <c r="I14" s="28" t="s">
        <v>58</v>
      </c>
      <c r="J14" s="30" t="s">
        <v>80</v>
      </c>
      <c r="K14" s="28" t="s">
        <v>81</v>
      </c>
      <c r="L14" s="30" t="s">
        <v>82</v>
      </c>
      <c r="M14" s="29" t="n">
        <v>45839</v>
      </c>
      <c r="N14" s="28" t="n">
        <v>8</v>
      </c>
      <c r="O14" s="28" t="s">
        <v>83</v>
      </c>
      <c r="P14" s="33" t="n">
        <v>48000</v>
      </c>
    </row>
    <row r="15" customFormat="false" ht="46.25" hidden="false" customHeight="false" outlineLevel="0" collapsed="false">
      <c r="A15" s="28" t="s">
        <v>84</v>
      </c>
      <c r="B15" s="29" t="n">
        <v>45860</v>
      </c>
      <c r="C15" s="28" t="s">
        <v>85</v>
      </c>
      <c r="D15" s="30" t="s">
        <v>86</v>
      </c>
      <c r="E15" s="28" t="n">
        <v>4</v>
      </c>
      <c r="F15" s="28" t="n">
        <v>4</v>
      </c>
      <c r="G15" s="31" t="n">
        <f aca="false">IF(AND(E15&lt;&gt;"",F15&lt;&gt;""),E15*F15,"")</f>
        <v>16</v>
      </c>
      <c r="H15" s="32" t="str">
        <f aca="false">IF(G15="","",IF(G15&gt;=15,"High",IF(G15&gt;=6,"Medium","Low")))</f>
        <v>High</v>
      </c>
      <c r="I15" s="28" t="s">
        <v>53</v>
      </c>
      <c r="J15" s="30" t="s">
        <v>87</v>
      </c>
      <c r="K15" s="28" t="s">
        <v>88</v>
      </c>
      <c r="L15" s="30" t="s">
        <v>89</v>
      </c>
      <c r="M15" s="29" t="n">
        <v>45874</v>
      </c>
      <c r="N15" s="28" t="n">
        <v>9</v>
      </c>
      <c r="O15" s="28"/>
      <c r="P15" s="33" t="n">
        <v>0</v>
      </c>
    </row>
    <row r="16" customFormat="false" ht="46.25" hidden="false" customHeight="false" outlineLevel="0" collapsed="false">
      <c r="A16" s="28" t="s">
        <v>90</v>
      </c>
      <c r="B16" s="29" t="n">
        <v>45879</v>
      </c>
      <c r="C16" s="28" t="s">
        <v>78</v>
      </c>
      <c r="D16" s="30" t="s">
        <v>91</v>
      </c>
      <c r="E16" s="28" t="n">
        <v>3</v>
      </c>
      <c r="F16" s="28" t="n">
        <v>4</v>
      </c>
      <c r="G16" s="31" t="n">
        <f aca="false">IF(AND(E16&lt;&gt;"",F16&lt;&gt;""),E16*F16,"")</f>
        <v>12</v>
      </c>
      <c r="H16" s="32" t="str">
        <f aca="false">IF(G16="","",IF(G16&gt;=15,"High",IF(G16&gt;=6,"Medium","Low")))</f>
        <v>Medium</v>
      </c>
      <c r="I16" s="28" t="s">
        <v>55</v>
      </c>
      <c r="J16" s="30" t="s">
        <v>92</v>
      </c>
      <c r="K16" s="28" t="s">
        <v>93</v>
      </c>
      <c r="L16" s="30" t="s">
        <v>94</v>
      </c>
      <c r="M16" s="29" t="n">
        <v>45888</v>
      </c>
      <c r="N16" s="28" t="n">
        <v>4</v>
      </c>
      <c r="O16" s="28"/>
      <c r="P16" s="33" t="n">
        <v>0</v>
      </c>
    </row>
    <row r="17" customFormat="false" ht="46.25" hidden="false" customHeight="false" outlineLevel="0" collapsed="false">
      <c r="A17" s="28" t="s">
        <v>95</v>
      </c>
      <c r="B17" s="29" t="n">
        <v>45935</v>
      </c>
      <c r="C17" s="28" t="s">
        <v>96</v>
      </c>
      <c r="D17" s="30" t="s">
        <v>97</v>
      </c>
      <c r="E17" s="28" t="n">
        <v>3</v>
      </c>
      <c r="F17" s="28" t="n">
        <v>3</v>
      </c>
      <c r="G17" s="31" t="n">
        <f aca="false">IF(AND(E17&lt;&gt;"",F17&lt;&gt;""),E17*F17,"")</f>
        <v>9</v>
      </c>
      <c r="H17" s="32" t="str">
        <f aca="false">IF(G17="","",IF(G17&gt;=15,"High",IF(G17&gt;=6,"Medium","Low")))</f>
        <v>Medium</v>
      </c>
      <c r="I17" s="28" t="s">
        <v>53</v>
      </c>
      <c r="J17" s="30" t="s">
        <v>98</v>
      </c>
      <c r="K17" s="28" t="s">
        <v>99</v>
      </c>
      <c r="L17" s="30" t="s">
        <v>100</v>
      </c>
      <c r="M17" s="29" t="n">
        <v>45949</v>
      </c>
      <c r="N17" s="28"/>
      <c r="O17" s="28"/>
      <c r="P17" s="33" t="n">
        <v>15000</v>
      </c>
    </row>
    <row r="18" customFormat="false" ht="35.05" hidden="false" customHeight="false" outlineLevel="0" collapsed="false">
      <c r="A18" s="28" t="s">
        <v>101</v>
      </c>
      <c r="B18" s="29" t="n">
        <v>45981</v>
      </c>
      <c r="C18" s="28" t="s">
        <v>78</v>
      </c>
      <c r="D18" s="30" t="s">
        <v>102</v>
      </c>
      <c r="E18" s="28" t="n">
        <v>3</v>
      </c>
      <c r="F18" s="28" t="n">
        <v>3</v>
      </c>
      <c r="G18" s="31" t="n">
        <f aca="false">IF(AND(E18&lt;&gt;"",F18&lt;&gt;""),E18*F18,"")</f>
        <v>9</v>
      </c>
      <c r="H18" s="32" t="str">
        <f aca="false">IF(G18="","",IF(G18&gt;=15,"High",IF(G18&gt;=6,"Medium","Low")))</f>
        <v>Medium</v>
      </c>
      <c r="I18" s="28" t="s">
        <v>51</v>
      </c>
      <c r="J18" s="30" t="s">
        <v>103</v>
      </c>
      <c r="K18" s="28" t="s">
        <v>93</v>
      </c>
      <c r="L18" s="30"/>
      <c r="M18" s="29"/>
      <c r="N18" s="28"/>
      <c r="O18" s="28"/>
      <c r="P18" s="33" t="n">
        <v>0</v>
      </c>
    </row>
    <row r="19" customFormat="false" ht="15" hidden="false" customHeight="false" outlineLevel="0" collapsed="false">
      <c r="A19" s="28"/>
      <c r="B19" s="29"/>
      <c r="C19" s="28"/>
      <c r="D19" s="30"/>
      <c r="E19" s="28"/>
      <c r="F19" s="28"/>
      <c r="G19" s="31" t="str">
        <f aca="false">IF(AND(E19&lt;&gt;"",F19&lt;&gt;""),E19*F19,"")</f>
        <v/>
      </c>
      <c r="H19" s="32" t="str">
        <f aca="false">IF(G19="","",IF(G19&gt;=15,"High",IF(G19&gt;=6,"Medium","Low")))</f>
        <v/>
      </c>
      <c r="I19" s="28"/>
      <c r="J19" s="30"/>
      <c r="K19" s="28"/>
      <c r="L19" s="30"/>
      <c r="M19" s="29"/>
      <c r="N19" s="28"/>
      <c r="O19" s="28"/>
      <c r="P19" s="34"/>
    </row>
    <row r="20" customFormat="false" ht="15" hidden="false" customHeight="false" outlineLevel="0" collapsed="false">
      <c r="A20" s="28"/>
      <c r="B20" s="29"/>
      <c r="C20" s="28"/>
      <c r="D20" s="30"/>
      <c r="E20" s="28"/>
      <c r="F20" s="28"/>
      <c r="G20" s="31" t="str">
        <f aca="false">IF(AND(E20&lt;&gt;"",F20&lt;&gt;""),E20*F20,"")</f>
        <v/>
      </c>
      <c r="H20" s="32" t="str">
        <f aca="false">IF(G20="","",IF(G20&gt;=15,"High",IF(G20&gt;=6,"Medium","Low")))</f>
        <v/>
      </c>
      <c r="I20" s="28"/>
      <c r="J20" s="30"/>
      <c r="K20" s="28"/>
      <c r="L20" s="30"/>
      <c r="M20" s="29"/>
      <c r="N20" s="28"/>
      <c r="O20" s="28"/>
      <c r="P20" s="34"/>
    </row>
    <row r="21" customFormat="false" ht="15" hidden="false" customHeight="false" outlineLevel="0" collapsed="false">
      <c r="A21" s="28"/>
      <c r="B21" s="29"/>
      <c r="C21" s="28"/>
      <c r="D21" s="30"/>
      <c r="E21" s="28"/>
      <c r="F21" s="28"/>
      <c r="G21" s="31" t="str">
        <f aca="false">IF(AND(E21&lt;&gt;"",F21&lt;&gt;""),E21*F21,"")</f>
        <v/>
      </c>
      <c r="H21" s="32" t="str">
        <f aca="false">IF(G21="","",IF(G21&gt;=15,"High",IF(G21&gt;=6,"Medium","Low")))</f>
        <v/>
      </c>
      <c r="I21" s="28"/>
      <c r="J21" s="30"/>
      <c r="K21" s="28"/>
      <c r="L21" s="30"/>
      <c r="M21" s="29"/>
      <c r="N21" s="28"/>
      <c r="O21" s="28"/>
      <c r="P21" s="34"/>
    </row>
    <row r="22" customFormat="false" ht="15" hidden="false" customHeight="false" outlineLevel="0" collapsed="false">
      <c r="A22" s="28"/>
      <c r="B22" s="29"/>
      <c r="C22" s="28"/>
      <c r="D22" s="30"/>
      <c r="E22" s="28"/>
      <c r="F22" s="28"/>
      <c r="G22" s="31" t="str">
        <f aca="false">IF(AND(E22&lt;&gt;"",F22&lt;&gt;""),E22*F22,"")</f>
        <v/>
      </c>
      <c r="H22" s="32" t="str">
        <f aca="false">IF(G22="","",IF(G22&gt;=15,"High",IF(G22&gt;=6,"Medium","Low")))</f>
        <v/>
      </c>
      <c r="I22" s="28"/>
      <c r="J22" s="30"/>
      <c r="K22" s="28"/>
      <c r="L22" s="30"/>
      <c r="M22" s="29"/>
      <c r="N22" s="28"/>
      <c r="O22" s="28"/>
      <c r="P22" s="34"/>
    </row>
    <row r="23" customFormat="false" ht="15" hidden="false" customHeight="false" outlineLevel="0" collapsed="false">
      <c r="A23" s="28"/>
      <c r="B23" s="29"/>
      <c r="C23" s="28"/>
      <c r="D23" s="30"/>
      <c r="E23" s="28"/>
      <c r="F23" s="28"/>
      <c r="G23" s="31" t="str">
        <f aca="false">IF(AND(E23&lt;&gt;"",F23&lt;&gt;""),E23*F23,"")</f>
        <v/>
      </c>
      <c r="H23" s="32" t="str">
        <f aca="false">IF(G23="","",IF(G23&gt;=15,"High",IF(G23&gt;=6,"Medium","Low")))</f>
        <v/>
      </c>
      <c r="I23" s="28"/>
      <c r="J23" s="30"/>
      <c r="K23" s="28"/>
      <c r="L23" s="30"/>
      <c r="M23" s="29"/>
      <c r="N23" s="28"/>
      <c r="O23" s="28"/>
      <c r="P23" s="34"/>
    </row>
    <row r="24" customFormat="false" ht="15" hidden="false" customHeight="false" outlineLevel="0" collapsed="false">
      <c r="A24" s="28"/>
      <c r="B24" s="29"/>
      <c r="C24" s="28"/>
      <c r="D24" s="30"/>
      <c r="E24" s="28"/>
      <c r="F24" s="28"/>
      <c r="G24" s="31" t="str">
        <f aca="false">IF(AND(E24&lt;&gt;"",F24&lt;&gt;""),E24*F24,"")</f>
        <v/>
      </c>
      <c r="H24" s="32" t="str">
        <f aca="false">IF(G24="","",IF(G24&gt;=15,"High",IF(G24&gt;=6,"Medium","Low")))</f>
        <v/>
      </c>
      <c r="I24" s="28"/>
      <c r="J24" s="30"/>
      <c r="K24" s="28"/>
      <c r="L24" s="30"/>
      <c r="M24" s="29"/>
      <c r="N24" s="28"/>
      <c r="O24" s="28"/>
      <c r="P24" s="34"/>
    </row>
    <row r="25" customFormat="false" ht="15" hidden="false" customHeight="false" outlineLevel="0" collapsed="false">
      <c r="A25" s="28"/>
      <c r="B25" s="29"/>
      <c r="C25" s="28"/>
      <c r="D25" s="30"/>
      <c r="E25" s="28"/>
      <c r="F25" s="28"/>
      <c r="G25" s="31" t="str">
        <f aca="false">IF(AND(E25&lt;&gt;"",F25&lt;&gt;""),E25*F25,"")</f>
        <v/>
      </c>
      <c r="H25" s="32" t="str">
        <f aca="false">IF(G25="","",IF(G25&gt;=15,"High",IF(G25&gt;=6,"Medium","Low")))</f>
        <v/>
      </c>
      <c r="I25" s="28"/>
      <c r="J25" s="30"/>
      <c r="K25" s="28"/>
      <c r="L25" s="30"/>
      <c r="M25" s="29"/>
      <c r="N25" s="28"/>
      <c r="O25" s="28"/>
      <c r="P25" s="34"/>
    </row>
    <row r="26" customFormat="false" ht="15" hidden="false" customHeight="false" outlineLevel="0" collapsed="false">
      <c r="A26" s="28"/>
      <c r="B26" s="29"/>
      <c r="C26" s="28"/>
      <c r="D26" s="30"/>
      <c r="E26" s="28"/>
      <c r="F26" s="28"/>
      <c r="G26" s="31" t="str">
        <f aca="false">IF(AND(E26&lt;&gt;"",F26&lt;&gt;""),E26*F26,"")</f>
        <v/>
      </c>
      <c r="H26" s="32" t="str">
        <f aca="false">IF(G26="","",IF(G26&gt;=15,"High",IF(G26&gt;=6,"Medium","Low")))</f>
        <v/>
      </c>
      <c r="I26" s="28"/>
      <c r="J26" s="30"/>
      <c r="K26" s="28"/>
      <c r="L26" s="30"/>
      <c r="M26" s="29"/>
      <c r="N26" s="28"/>
      <c r="O26" s="28"/>
      <c r="P26" s="34"/>
    </row>
    <row r="27" customFormat="false" ht="15" hidden="false" customHeight="false" outlineLevel="0" collapsed="false">
      <c r="A27" s="28"/>
      <c r="B27" s="29"/>
      <c r="C27" s="28"/>
      <c r="D27" s="30"/>
      <c r="E27" s="28"/>
      <c r="F27" s="28"/>
      <c r="G27" s="31" t="str">
        <f aca="false">IF(AND(E27&lt;&gt;"",F27&lt;&gt;""),E27*F27,"")</f>
        <v/>
      </c>
      <c r="H27" s="32" t="str">
        <f aca="false">IF(G27="","",IF(G27&gt;=15,"High",IF(G27&gt;=6,"Medium","Low")))</f>
        <v/>
      </c>
      <c r="I27" s="28"/>
      <c r="J27" s="30"/>
      <c r="K27" s="28"/>
      <c r="L27" s="30"/>
      <c r="M27" s="29"/>
      <c r="N27" s="28"/>
      <c r="O27" s="28"/>
      <c r="P27" s="34"/>
    </row>
    <row r="28" customFormat="false" ht="15" hidden="false" customHeight="false" outlineLevel="0" collapsed="false">
      <c r="A28" s="28"/>
      <c r="B28" s="29"/>
      <c r="C28" s="28"/>
      <c r="D28" s="30"/>
      <c r="E28" s="28"/>
      <c r="F28" s="28"/>
      <c r="G28" s="31" t="str">
        <f aca="false">IF(AND(E28&lt;&gt;"",F28&lt;&gt;""),E28*F28,"")</f>
        <v/>
      </c>
      <c r="H28" s="32" t="str">
        <f aca="false">IF(G28="","",IF(G28&gt;=15,"High",IF(G28&gt;=6,"Medium","Low")))</f>
        <v/>
      </c>
      <c r="I28" s="28"/>
      <c r="J28" s="30"/>
      <c r="K28" s="28"/>
      <c r="L28" s="30"/>
      <c r="M28" s="29"/>
      <c r="N28" s="28"/>
      <c r="O28" s="28"/>
      <c r="P28" s="34"/>
    </row>
    <row r="29" customFormat="false" ht="15" hidden="false" customHeight="false" outlineLevel="0" collapsed="false">
      <c r="A29" s="28"/>
      <c r="B29" s="29"/>
      <c r="C29" s="28"/>
      <c r="D29" s="30"/>
      <c r="E29" s="28"/>
      <c r="F29" s="28"/>
      <c r="G29" s="31" t="str">
        <f aca="false">IF(AND(E29&lt;&gt;"",F29&lt;&gt;""),E29*F29,"")</f>
        <v/>
      </c>
      <c r="H29" s="32" t="str">
        <f aca="false">IF(G29="","",IF(G29&gt;=15,"High",IF(G29&gt;=6,"Medium","Low")))</f>
        <v/>
      </c>
      <c r="I29" s="28"/>
      <c r="J29" s="30"/>
      <c r="K29" s="28"/>
      <c r="L29" s="30"/>
      <c r="M29" s="29"/>
      <c r="N29" s="28"/>
      <c r="O29" s="28"/>
      <c r="P29" s="34"/>
    </row>
    <row r="30" customFormat="false" ht="15" hidden="false" customHeight="false" outlineLevel="0" collapsed="false">
      <c r="A30" s="28"/>
      <c r="B30" s="29"/>
      <c r="C30" s="28"/>
      <c r="D30" s="30"/>
      <c r="E30" s="28"/>
      <c r="F30" s="28"/>
      <c r="G30" s="31" t="str">
        <f aca="false">IF(AND(E30&lt;&gt;"",F30&lt;&gt;""),E30*F30,"")</f>
        <v/>
      </c>
      <c r="H30" s="32" t="str">
        <f aca="false">IF(G30="","",IF(G30&gt;=15,"High",IF(G30&gt;=6,"Medium","Low")))</f>
        <v/>
      </c>
      <c r="I30" s="28"/>
      <c r="J30" s="30"/>
      <c r="K30" s="28"/>
      <c r="L30" s="30"/>
      <c r="M30" s="29"/>
      <c r="N30" s="28"/>
      <c r="O30" s="28"/>
      <c r="P30" s="34"/>
    </row>
    <row r="31" customFormat="false" ht="15" hidden="false" customHeight="false" outlineLevel="0" collapsed="false">
      <c r="A31" s="28"/>
      <c r="B31" s="29"/>
      <c r="C31" s="28"/>
      <c r="D31" s="30"/>
      <c r="E31" s="28"/>
      <c r="F31" s="28"/>
      <c r="G31" s="31" t="str">
        <f aca="false">IF(AND(E31&lt;&gt;"",F31&lt;&gt;""),E31*F31,"")</f>
        <v/>
      </c>
      <c r="H31" s="32" t="str">
        <f aca="false">IF(G31="","",IF(G31&gt;=15,"High",IF(G31&gt;=6,"Medium","Low")))</f>
        <v/>
      </c>
      <c r="I31" s="28"/>
      <c r="J31" s="30"/>
      <c r="K31" s="28"/>
      <c r="L31" s="30"/>
      <c r="M31" s="29"/>
      <c r="N31" s="28"/>
      <c r="O31" s="28"/>
      <c r="P31" s="34"/>
    </row>
    <row r="32" customFormat="false" ht="15" hidden="false" customHeight="false" outlineLevel="0" collapsed="false">
      <c r="A32" s="28"/>
      <c r="B32" s="29"/>
      <c r="C32" s="28"/>
      <c r="D32" s="30"/>
      <c r="E32" s="28"/>
      <c r="F32" s="28"/>
      <c r="G32" s="31" t="str">
        <f aca="false">IF(AND(E32&lt;&gt;"",F32&lt;&gt;""),E32*F32,"")</f>
        <v/>
      </c>
      <c r="H32" s="32" t="str">
        <f aca="false">IF(G32="","",IF(G32&gt;=15,"High",IF(G32&gt;=6,"Medium","Low")))</f>
        <v/>
      </c>
      <c r="I32" s="28"/>
      <c r="J32" s="30"/>
      <c r="K32" s="28"/>
      <c r="L32" s="30"/>
      <c r="M32" s="29"/>
      <c r="N32" s="28"/>
      <c r="O32" s="28"/>
      <c r="P32" s="34"/>
    </row>
    <row r="33" customFormat="false" ht="15" hidden="false" customHeight="false" outlineLevel="0" collapsed="false">
      <c r="A33" s="28"/>
      <c r="B33" s="29"/>
      <c r="C33" s="28"/>
      <c r="D33" s="30"/>
      <c r="E33" s="28"/>
      <c r="F33" s="28"/>
      <c r="G33" s="31" t="str">
        <f aca="false">IF(AND(E33&lt;&gt;"",F33&lt;&gt;""),E33*F33,"")</f>
        <v/>
      </c>
      <c r="H33" s="32" t="str">
        <f aca="false">IF(G33="","",IF(G33&gt;=15,"High",IF(G33&gt;=6,"Medium","Low")))</f>
        <v/>
      </c>
      <c r="I33" s="28"/>
      <c r="J33" s="30"/>
      <c r="K33" s="28"/>
      <c r="L33" s="30"/>
      <c r="M33" s="29"/>
      <c r="N33" s="28"/>
      <c r="O33" s="28"/>
      <c r="P33" s="34"/>
    </row>
    <row r="34" customFormat="false" ht="15" hidden="false" customHeight="false" outlineLevel="0" collapsed="false">
      <c r="A34" s="28"/>
      <c r="B34" s="29"/>
      <c r="C34" s="28"/>
      <c r="D34" s="30"/>
      <c r="E34" s="28"/>
      <c r="F34" s="28"/>
      <c r="G34" s="31" t="str">
        <f aca="false">IF(AND(E34&lt;&gt;"",F34&lt;&gt;""),E34*F34,"")</f>
        <v/>
      </c>
      <c r="H34" s="32" t="str">
        <f aca="false">IF(G34="","",IF(G34&gt;=15,"High",IF(G34&gt;=6,"Medium","Low")))</f>
        <v/>
      </c>
      <c r="I34" s="28"/>
      <c r="J34" s="30"/>
      <c r="K34" s="28"/>
      <c r="L34" s="30"/>
      <c r="M34" s="29"/>
      <c r="N34" s="28"/>
      <c r="O34" s="28"/>
      <c r="P34" s="34"/>
    </row>
    <row r="35" customFormat="false" ht="15" hidden="false" customHeight="false" outlineLevel="0" collapsed="false">
      <c r="A35" s="28"/>
      <c r="B35" s="29"/>
      <c r="C35" s="28"/>
      <c r="D35" s="30"/>
      <c r="E35" s="28"/>
      <c r="F35" s="28"/>
      <c r="G35" s="31" t="str">
        <f aca="false">IF(AND(E35&lt;&gt;"",F35&lt;&gt;""),E35*F35,"")</f>
        <v/>
      </c>
      <c r="H35" s="32" t="str">
        <f aca="false">IF(G35="","",IF(G35&gt;=15,"High",IF(G35&gt;=6,"Medium","Low")))</f>
        <v/>
      </c>
      <c r="I35" s="28"/>
      <c r="J35" s="30"/>
      <c r="K35" s="28"/>
      <c r="L35" s="30"/>
      <c r="M35" s="29"/>
      <c r="N35" s="28"/>
      <c r="O35" s="28"/>
      <c r="P35" s="34"/>
    </row>
    <row r="36" customFormat="false" ht="15" hidden="false" customHeight="false" outlineLevel="0" collapsed="false">
      <c r="A36" s="28"/>
      <c r="B36" s="29"/>
      <c r="C36" s="28"/>
      <c r="D36" s="30"/>
      <c r="E36" s="28"/>
      <c r="F36" s="28"/>
      <c r="G36" s="31" t="str">
        <f aca="false">IF(AND(E36&lt;&gt;"",F36&lt;&gt;""),E36*F36,"")</f>
        <v/>
      </c>
      <c r="H36" s="32" t="str">
        <f aca="false">IF(G36="","",IF(G36&gt;=15,"High",IF(G36&gt;=6,"Medium","Low")))</f>
        <v/>
      </c>
      <c r="I36" s="28"/>
      <c r="J36" s="30"/>
      <c r="K36" s="28"/>
      <c r="L36" s="30"/>
      <c r="M36" s="29"/>
      <c r="N36" s="28"/>
      <c r="O36" s="28"/>
      <c r="P36" s="34"/>
    </row>
    <row r="37" customFormat="false" ht="15" hidden="false" customHeight="false" outlineLevel="0" collapsed="false">
      <c r="A37" s="28"/>
      <c r="B37" s="29"/>
      <c r="C37" s="28"/>
      <c r="D37" s="30"/>
      <c r="E37" s="28"/>
      <c r="F37" s="28"/>
      <c r="G37" s="31" t="str">
        <f aca="false">IF(AND(E37&lt;&gt;"",F37&lt;&gt;""),E37*F37,"")</f>
        <v/>
      </c>
      <c r="H37" s="32" t="str">
        <f aca="false">IF(G37="","",IF(G37&gt;=15,"High",IF(G37&gt;=6,"Medium","Low")))</f>
        <v/>
      </c>
      <c r="I37" s="28"/>
      <c r="J37" s="30"/>
      <c r="K37" s="28"/>
      <c r="L37" s="30"/>
      <c r="M37" s="29"/>
      <c r="N37" s="28"/>
      <c r="O37" s="28"/>
      <c r="P37" s="34"/>
    </row>
    <row r="38" customFormat="false" ht="15" hidden="false" customHeight="false" outlineLevel="0" collapsed="false">
      <c r="A38" s="28"/>
      <c r="B38" s="29"/>
      <c r="C38" s="28"/>
      <c r="D38" s="30"/>
      <c r="E38" s="28"/>
      <c r="F38" s="28"/>
      <c r="G38" s="31" t="str">
        <f aca="false">IF(AND(E38&lt;&gt;"",F38&lt;&gt;""),E38*F38,"")</f>
        <v/>
      </c>
      <c r="H38" s="32" t="str">
        <f aca="false">IF(G38="","",IF(G38&gt;=15,"High",IF(G38&gt;=6,"Medium","Low")))</f>
        <v/>
      </c>
      <c r="I38" s="28"/>
      <c r="J38" s="30"/>
      <c r="K38" s="28"/>
      <c r="L38" s="30"/>
      <c r="M38" s="29"/>
      <c r="N38" s="28"/>
      <c r="O38" s="28"/>
      <c r="P38" s="34"/>
    </row>
    <row r="39" customFormat="false" ht="15" hidden="false" customHeight="false" outlineLevel="0" collapsed="false">
      <c r="A39" s="28"/>
      <c r="B39" s="29"/>
      <c r="C39" s="28"/>
      <c r="D39" s="30"/>
      <c r="E39" s="28"/>
      <c r="F39" s="28"/>
      <c r="G39" s="31" t="str">
        <f aca="false">IF(AND(E39&lt;&gt;"",F39&lt;&gt;""),E39*F39,"")</f>
        <v/>
      </c>
      <c r="H39" s="32" t="str">
        <f aca="false">IF(G39="","",IF(G39&gt;=15,"High",IF(G39&gt;=6,"Medium","Low")))</f>
        <v/>
      </c>
      <c r="I39" s="28"/>
      <c r="J39" s="30"/>
      <c r="K39" s="28"/>
      <c r="L39" s="30"/>
      <c r="M39" s="29"/>
      <c r="N39" s="28"/>
      <c r="O39" s="28"/>
      <c r="P39" s="34"/>
    </row>
    <row r="40" customFormat="false" ht="15" hidden="false" customHeight="false" outlineLevel="0" collapsed="false">
      <c r="A40" s="28"/>
      <c r="B40" s="29"/>
      <c r="C40" s="28"/>
      <c r="D40" s="30"/>
      <c r="E40" s="28"/>
      <c r="F40" s="28"/>
      <c r="G40" s="31" t="str">
        <f aca="false">IF(AND(E40&lt;&gt;"",F40&lt;&gt;""),E40*F40,"")</f>
        <v/>
      </c>
      <c r="H40" s="32" t="str">
        <f aca="false">IF(G40="","",IF(G40&gt;=15,"High",IF(G40&gt;=6,"Medium","Low")))</f>
        <v/>
      </c>
      <c r="I40" s="28"/>
      <c r="J40" s="30"/>
      <c r="K40" s="28"/>
      <c r="L40" s="30"/>
      <c r="M40" s="29"/>
      <c r="N40" s="28"/>
      <c r="O40" s="28"/>
      <c r="P40" s="34"/>
    </row>
    <row r="41" customFormat="false" ht="15" hidden="false" customHeight="false" outlineLevel="0" collapsed="false">
      <c r="A41" s="28"/>
      <c r="B41" s="29"/>
      <c r="C41" s="28"/>
      <c r="D41" s="30"/>
      <c r="E41" s="28"/>
      <c r="F41" s="28"/>
      <c r="G41" s="31" t="str">
        <f aca="false">IF(AND(E41&lt;&gt;"",F41&lt;&gt;""),E41*F41,"")</f>
        <v/>
      </c>
      <c r="H41" s="32" t="str">
        <f aca="false">IF(G41="","",IF(G41&gt;=15,"High",IF(G41&gt;=6,"Medium","Low")))</f>
        <v/>
      </c>
      <c r="I41" s="28"/>
      <c r="J41" s="30"/>
      <c r="K41" s="28"/>
      <c r="L41" s="30"/>
      <c r="M41" s="29"/>
      <c r="N41" s="28"/>
      <c r="O41" s="28"/>
      <c r="P41" s="34"/>
    </row>
    <row r="42" customFormat="false" ht="15" hidden="false" customHeight="false" outlineLevel="0" collapsed="false">
      <c r="A42" s="28"/>
      <c r="B42" s="29"/>
      <c r="C42" s="28"/>
      <c r="D42" s="30"/>
      <c r="E42" s="28"/>
      <c r="F42" s="28"/>
      <c r="G42" s="31" t="str">
        <f aca="false">IF(AND(E42&lt;&gt;"",F42&lt;&gt;""),E42*F42,"")</f>
        <v/>
      </c>
      <c r="H42" s="32" t="str">
        <f aca="false">IF(G42="","",IF(G42&gt;=15,"High",IF(G42&gt;=6,"Medium","Low")))</f>
        <v/>
      </c>
      <c r="I42" s="28"/>
      <c r="J42" s="30"/>
      <c r="K42" s="28"/>
      <c r="L42" s="30"/>
      <c r="M42" s="29"/>
      <c r="N42" s="28"/>
      <c r="O42" s="28"/>
      <c r="P42" s="34"/>
    </row>
    <row r="43" customFormat="false" ht="15" hidden="false" customHeight="false" outlineLevel="0" collapsed="false">
      <c r="A43" s="28"/>
      <c r="B43" s="29"/>
      <c r="C43" s="28"/>
      <c r="D43" s="30"/>
      <c r="E43" s="28"/>
      <c r="F43" s="28"/>
      <c r="G43" s="31" t="str">
        <f aca="false">IF(AND(E43&lt;&gt;"",F43&lt;&gt;""),E43*F43,"")</f>
        <v/>
      </c>
      <c r="H43" s="32" t="str">
        <f aca="false">IF(G43="","",IF(G43&gt;=15,"High",IF(G43&gt;=6,"Medium","Low")))</f>
        <v/>
      </c>
      <c r="I43" s="28"/>
      <c r="J43" s="30"/>
      <c r="K43" s="28"/>
      <c r="L43" s="30"/>
      <c r="M43" s="29"/>
      <c r="N43" s="28"/>
      <c r="O43" s="28"/>
      <c r="P43" s="34"/>
    </row>
    <row r="44" customFormat="false" ht="15" hidden="false" customHeight="false" outlineLevel="0" collapsed="false">
      <c r="A44" s="28"/>
      <c r="B44" s="29"/>
      <c r="C44" s="28"/>
      <c r="D44" s="30"/>
      <c r="E44" s="28"/>
      <c r="F44" s="28"/>
      <c r="G44" s="31" t="str">
        <f aca="false">IF(AND(E44&lt;&gt;"",F44&lt;&gt;""),E44*F44,"")</f>
        <v/>
      </c>
      <c r="H44" s="32" t="str">
        <f aca="false">IF(G44="","",IF(G44&gt;=15,"High",IF(G44&gt;=6,"Medium","Low")))</f>
        <v/>
      </c>
      <c r="I44" s="28"/>
      <c r="J44" s="30"/>
      <c r="K44" s="28"/>
      <c r="L44" s="30"/>
      <c r="M44" s="29"/>
      <c r="N44" s="28"/>
      <c r="O44" s="28"/>
      <c r="P44" s="34"/>
    </row>
    <row r="45" customFormat="false" ht="15" hidden="false" customHeight="false" outlineLevel="0" collapsed="false">
      <c r="A45" s="28"/>
      <c r="B45" s="29"/>
      <c r="C45" s="28"/>
      <c r="D45" s="30"/>
      <c r="E45" s="28"/>
      <c r="F45" s="28"/>
      <c r="G45" s="31" t="str">
        <f aca="false">IF(AND(E45&lt;&gt;"",F45&lt;&gt;""),E45*F45,"")</f>
        <v/>
      </c>
      <c r="H45" s="32" t="str">
        <f aca="false">IF(G45="","",IF(G45&gt;=15,"High",IF(G45&gt;=6,"Medium","Low")))</f>
        <v/>
      </c>
      <c r="I45" s="28"/>
      <c r="J45" s="30"/>
      <c r="K45" s="28"/>
      <c r="L45" s="30"/>
      <c r="M45" s="29"/>
      <c r="N45" s="28"/>
      <c r="O45" s="28"/>
      <c r="P45" s="34"/>
    </row>
    <row r="46" customFormat="false" ht="15" hidden="false" customHeight="false" outlineLevel="0" collapsed="false">
      <c r="A46" s="28"/>
      <c r="B46" s="29"/>
      <c r="C46" s="28"/>
      <c r="D46" s="30"/>
      <c r="E46" s="28"/>
      <c r="F46" s="28"/>
      <c r="G46" s="31" t="str">
        <f aca="false">IF(AND(E46&lt;&gt;"",F46&lt;&gt;""),E46*F46,"")</f>
        <v/>
      </c>
      <c r="H46" s="32" t="str">
        <f aca="false">IF(G46="","",IF(G46&gt;=15,"High",IF(G46&gt;=6,"Medium","Low")))</f>
        <v/>
      </c>
      <c r="I46" s="28"/>
      <c r="J46" s="30"/>
      <c r="K46" s="28"/>
      <c r="L46" s="30"/>
      <c r="M46" s="29"/>
      <c r="N46" s="28"/>
      <c r="O46" s="28"/>
      <c r="P46" s="34"/>
    </row>
    <row r="47" customFormat="false" ht="15" hidden="false" customHeight="false" outlineLevel="0" collapsed="false">
      <c r="A47" s="28"/>
      <c r="B47" s="29"/>
      <c r="C47" s="28"/>
      <c r="D47" s="30"/>
      <c r="E47" s="28"/>
      <c r="F47" s="28"/>
      <c r="G47" s="31" t="str">
        <f aca="false">IF(AND(E47&lt;&gt;"",F47&lt;&gt;""),E47*F47,"")</f>
        <v/>
      </c>
      <c r="H47" s="32" t="str">
        <f aca="false">IF(G47="","",IF(G47&gt;=15,"High",IF(G47&gt;=6,"Medium","Low")))</f>
        <v/>
      </c>
      <c r="I47" s="28"/>
      <c r="J47" s="30"/>
      <c r="K47" s="28"/>
      <c r="L47" s="30"/>
      <c r="M47" s="29"/>
      <c r="N47" s="28"/>
      <c r="O47" s="28"/>
      <c r="P47" s="34"/>
    </row>
    <row r="48" customFormat="false" ht="15" hidden="false" customHeight="false" outlineLevel="0" collapsed="false">
      <c r="A48" s="28"/>
      <c r="B48" s="29"/>
      <c r="C48" s="28"/>
      <c r="D48" s="30"/>
      <c r="E48" s="28"/>
      <c r="F48" s="28"/>
      <c r="G48" s="31" t="str">
        <f aca="false">IF(AND(E48&lt;&gt;"",F48&lt;&gt;""),E48*F48,"")</f>
        <v/>
      </c>
      <c r="H48" s="32" t="str">
        <f aca="false">IF(G48="","",IF(G48&gt;=15,"High",IF(G48&gt;=6,"Medium","Low")))</f>
        <v/>
      </c>
      <c r="I48" s="28"/>
      <c r="J48" s="30"/>
      <c r="K48" s="28"/>
      <c r="L48" s="30"/>
      <c r="M48" s="29"/>
      <c r="N48" s="28"/>
      <c r="O48" s="28"/>
      <c r="P48" s="34"/>
    </row>
    <row r="49" customFormat="false" ht="15" hidden="false" customHeight="false" outlineLevel="0" collapsed="false">
      <c r="A49" s="28"/>
      <c r="B49" s="29"/>
      <c r="C49" s="28"/>
      <c r="D49" s="30"/>
      <c r="E49" s="28"/>
      <c r="F49" s="28"/>
      <c r="G49" s="31" t="str">
        <f aca="false">IF(AND(E49&lt;&gt;"",F49&lt;&gt;""),E49*F49,"")</f>
        <v/>
      </c>
      <c r="H49" s="32" t="str">
        <f aca="false">IF(G49="","",IF(G49&gt;=15,"High",IF(G49&gt;=6,"Medium","Low")))</f>
        <v/>
      </c>
      <c r="I49" s="28"/>
      <c r="J49" s="30"/>
      <c r="K49" s="28"/>
      <c r="L49" s="30"/>
      <c r="M49" s="29"/>
      <c r="N49" s="28"/>
      <c r="O49" s="28"/>
      <c r="P49" s="34"/>
    </row>
    <row r="50" customFormat="false" ht="15" hidden="false" customHeight="false" outlineLevel="0" collapsed="false">
      <c r="A50" s="28"/>
      <c r="B50" s="29"/>
      <c r="C50" s="28"/>
      <c r="D50" s="30"/>
      <c r="E50" s="28"/>
      <c r="F50" s="28"/>
      <c r="G50" s="31" t="str">
        <f aca="false">IF(AND(E50&lt;&gt;"",F50&lt;&gt;""),E50*F50,"")</f>
        <v/>
      </c>
      <c r="H50" s="32" t="str">
        <f aca="false">IF(G50="","",IF(G50&gt;=15,"High",IF(G50&gt;=6,"Medium","Low")))</f>
        <v/>
      </c>
      <c r="I50" s="28"/>
      <c r="J50" s="30"/>
      <c r="K50" s="28"/>
      <c r="L50" s="30"/>
      <c r="M50" s="29"/>
      <c r="N50" s="28"/>
      <c r="O50" s="28"/>
      <c r="P50" s="34"/>
    </row>
    <row r="51" customFormat="false" ht="15" hidden="false" customHeight="false" outlineLevel="0" collapsed="false">
      <c r="A51" s="28"/>
      <c r="B51" s="29"/>
      <c r="C51" s="28"/>
      <c r="D51" s="30"/>
      <c r="E51" s="28"/>
      <c r="F51" s="28"/>
      <c r="G51" s="31" t="str">
        <f aca="false">IF(AND(E51&lt;&gt;"",F51&lt;&gt;""),E51*F51,"")</f>
        <v/>
      </c>
      <c r="H51" s="32" t="str">
        <f aca="false">IF(G51="","",IF(G51&gt;=15,"High",IF(G51&gt;=6,"Medium","Low")))</f>
        <v/>
      </c>
      <c r="I51" s="28"/>
      <c r="J51" s="30"/>
      <c r="K51" s="28"/>
      <c r="L51" s="30"/>
      <c r="M51" s="29"/>
      <c r="N51" s="28"/>
      <c r="O51" s="28"/>
      <c r="P51" s="34"/>
    </row>
    <row r="52" customFormat="false" ht="15" hidden="false" customHeight="false" outlineLevel="0" collapsed="false">
      <c r="A52" s="28"/>
      <c r="B52" s="29"/>
      <c r="C52" s="28"/>
      <c r="D52" s="30"/>
      <c r="E52" s="28"/>
      <c r="F52" s="28"/>
      <c r="G52" s="31" t="str">
        <f aca="false">IF(AND(E52&lt;&gt;"",F52&lt;&gt;""),E52*F52,"")</f>
        <v/>
      </c>
      <c r="H52" s="32" t="str">
        <f aca="false">IF(G52="","",IF(G52&gt;=15,"High",IF(G52&gt;=6,"Medium","Low")))</f>
        <v/>
      </c>
      <c r="I52" s="28"/>
      <c r="J52" s="30"/>
      <c r="K52" s="28"/>
      <c r="L52" s="30"/>
      <c r="M52" s="29"/>
      <c r="N52" s="28"/>
      <c r="O52" s="28"/>
      <c r="P52" s="34"/>
    </row>
    <row r="53" customFormat="false" ht="15" hidden="false" customHeight="false" outlineLevel="0" collapsed="false">
      <c r="A53" s="28"/>
      <c r="B53" s="29"/>
      <c r="C53" s="28"/>
      <c r="D53" s="30"/>
      <c r="E53" s="28"/>
      <c r="F53" s="28"/>
      <c r="G53" s="31" t="str">
        <f aca="false">IF(AND(E53&lt;&gt;"",F53&lt;&gt;""),E53*F53,"")</f>
        <v/>
      </c>
      <c r="H53" s="32" t="str">
        <f aca="false">IF(G53="","",IF(G53&gt;=15,"High",IF(G53&gt;=6,"Medium","Low")))</f>
        <v/>
      </c>
      <c r="I53" s="28"/>
      <c r="J53" s="30"/>
      <c r="K53" s="28"/>
      <c r="L53" s="30"/>
      <c r="M53" s="29"/>
      <c r="N53" s="28"/>
      <c r="O53" s="28"/>
      <c r="P53" s="34"/>
    </row>
    <row r="54" customFormat="false" ht="15" hidden="false" customHeight="false" outlineLevel="0" collapsed="false">
      <c r="A54" s="28"/>
      <c r="B54" s="29"/>
      <c r="C54" s="28"/>
      <c r="D54" s="30"/>
      <c r="E54" s="28"/>
      <c r="F54" s="28"/>
      <c r="G54" s="31" t="str">
        <f aca="false">IF(AND(E54&lt;&gt;"",F54&lt;&gt;""),E54*F54,"")</f>
        <v/>
      </c>
      <c r="H54" s="32" t="str">
        <f aca="false">IF(G54="","",IF(G54&gt;=15,"High",IF(G54&gt;=6,"Medium","Low")))</f>
        <v/>
      </c>
      <c r="I54" s="28"/>
      <c r="J54" s="30"/>
      <c r="K54" s="28"/>
      <c r="L54" s="30"/>
      <c r="M54" s="29"/>
      <c r="N54" s="28"/>
      <c r="O54" s="28"/>
      <c r="P54" s="34"/>
    </row>
    <row r="55" customFormat="false" ht="15" hidden="false" customHeight="false" outlineLevel="0" collapsed="false">
      <c r="A55" s="28"/>
      <c r="B55" s="29"/>
      <c r="C55" s="28"/>
      <c r="D55" s="30"/>
      <c r="E55" s="28"/>
      <c r="F55" s="28"/>
      <c r="G55" s="31" t="str">
        <f aca="false">IF(AND(E55&lt;&gt;"",F55&lt;&gt;""),E55*F55,"")</f>
        <v/>
      </c>
      <c r="H55" s="32" t="str">
        <f aca="false">IF(G55="","",IF(G55&gt;=15,"High",IF(G55&gt;=6,"Medium","Low")))</f>
        <v/>
      </c>
      <c r="I55" s="28"/>
      <c r="J55" s="30"/>
      <c r="K55" s="28"/>
      <c r="L55" s="30"/>
      <c r="M55" s="29"/>
      <c r="N55" s="28"/>
      <c r="O55" s="28"/>
      <c r="P55" s="34"/>
    </row>
    <row r="56" customFormat="false" ht="15" hidden="false" customHeight="false" outlineLevel="0" collapsed="false">
      <c r="A56" s="28"/>
      <c r="B56" s="29"/>
      <c r="C56" s="28"/>
      <c r="D56" s="30"/>
      <c r="E56" s="28"/>
      <c r="F56" s="28"/>
      <c r="G56" s="31" t="str">
        <f aca="false">IF(AND(E56&lt;&gt;"",F56&lt;&gt;""),E56*F56,"")</f>
        <v/>
      </c>
      <c r="H56" s="32" t="str">
        <f aca="false">IF(G56="","",IF(G56&gt;=15,"High",IF(G56&gt;=6,"Medium","Low")))</f>
        <v/>
      </c>
      <c r="I56" s="28"/>
      <c r="J56" s="30"/>
      <c r="K56" s="28"/>
      <c r="L56" s="30"/>
      <c r="M56" s="29"/>
      <c r="N56" s="28"/>
      <c r="O56" s="28"/>
      <c r="P56" s="34"/>
    </row>
    <row r="57" customFormat="false" ht="15" hidden="false" customHeight="false" outlineLevel="0" collapsed="false">
      <c r="A57" s="28"/>
      <c r="B57" s="29"/>
      <c r="C57" s="28"/>
      <c r="D57" s="30"/>
      <c r="E57" s="28"/>
      <c r="F57" s="28"/>
      <c r="G57" s="31" t="str">
        <f aca="false">IF(AND(E57&lt;&gt;"",F57&lt;&gt;""),E57*F57,"")</f>
        <v/>
      </c>
      <c r="H57" s="32" t="str">
        <f aca="false">IF(G57="","",IF(G57&gt;=15,"High",IF(G57&gt;=6,"Medium","Low")))</f>
        <v/>
      </c>
      <c r="I57" s="28"/>
      <c r="J57" s="30"/>
      <c r="K57" s="28"/>
      <c r="L57" s="30"/>
      <c r="M57" s="29"/>
      <c r="N57" s="28"/>
      <c r="O57" s="28"/>
      <c r="P57" s="34"/>
    </row>
    <row r="58" customFormat="false" ht="15" hidden="false" customHeight="false" outlineLevel="0" collapsed="false">
      <c r="A58" s="28"/>
      <c r="B58" s="29"/>
      <c r="C58" s="28"/>
      <c r="D58" s="30"/>
      <c r="E58" s="28"/>
      <c r="F58" s="28"/>
      <c r="G58" s="31" t="str">
        <f aca="false">IF(AND(E58&lt;&gt;"",F58&lt;&gt;""),E58*F58,"")</f>
        <v/>
      </c>
      <c r="H58" s="32" t="str">
        <f aca="false">IF(G58="","",IF(G58&gt;=15,"High",IF(G58&gt;=6,"Medium","Low")))</f>
        <v/>
      </c>
      <c r="I58" s="28"/>
      <c r="J58" s="30"/>
      <c r="K58" s="28"/>
      <c r="L58" s="30"/>
      <c r="M58" s="29"/>
      <c r="N58" s="28"/>
      <c r="O58" s="28"/>
      <c r="P58" s="34"/>
    </row>
    <row r="59" customFormat="false" ht="15" hidden="false" customHeight="false" outlineLevel="0" collapsed="false">
      <c r="A59" s="28"/>
      <c r="B59" s="29"/>
      <c r="C59" s="28"/>
      <c r="D59" s="30"/>
      <c r="E59" s="28"/>
      <c r="F59" s="28"/>
      <c r="G59" s="31" t="str">
        <f aca="false">IF(AND(E59&lt;&gt;"",F59&lt;&gt;""),E59*F59,"")</f>
        <v/>
      </c>
      <c r="H59" s="32" t="str">
        <f aca="false">IF(G59="","",IF(G59&gt;=15,"High",IF(G59&gt;=6,"Medium","Low")))</f>
        <v/>
      </c>
      <c r="I59" s="28"/>
      <c r="J59" s="30"/>
      <c r="K59" s="28"/>
      <c r="L59" s="30"/>
      <c r="M59" s="29"/>
      <c r="N59" s="28"/>
      <c r="O59" s="28"/>
      <c r="P59" s="34"/>
    </row>
    <row r="60" customFormat="false" ht="15" hidden="false" customHeight="false" outlineLevel="0" collapsed="false">
      <c r="A60" s="28"/>
      <c r="B60" s="29"/>
      <c r="C60" s="28"/>
      <c r="D60" s="30"/>
      <c r="E60" s="28"/>
      <c r="F60" s="28"/>
      <c r="G60" s="31" t="str">
        <f aca="false">IF(AND(E60&lt;&gt;"",F60&lt;&gt;""),E60*F60,"")</f>
        <v/>
      </c>
      <c r="H60" s="32" t="str">
        <f aca="false">IF(G60="","",IF(G60&gt;=15,"High",IF(G60&gt;=6,"Medium","Low")))</f>
        <v/>
      </c>
      <c r="I60" s="28"/>
      <c r="J60" s="30"/>
      <c r="K60" s="28"/>
      <c r="L60" s="30"/>
      <c r="M60" s="29"/>
      <c r="N60" s="28"/>
      <c r="O60" s="28"/>
      <c r="P60" s="34"/>
    </row>
    <row r="61" customFormat="false" ht="15" hidden="false" customHeight="false" outlineLevel="0" collapsed="false">
      <c r="A61" s="28"/>
      <c r="B61" s="29"/>
      <c r="C61" s="28"/>
      <c r="D61" s="30"/>
      <c r="E61" s="28"/>
      <c r="F61" s="28"/>
      <c r="G61" s="31" t="str">
        <f aca="false">IF(AND(E61&lt;&gt;"",F61&lt;&gt;""),E61*F61,"")</f>
        <v/>
      </c>
      <c r="H61" s="32" t="str">
        <f aca="false">IF(G61="","",IF(G61&gt;=15,"High",IF(G61&gt;=6,"Medium","Low")))</f>
        <v/>
      </c>
      <c r="I61" s="28"/>
      <c r="J61" s="30"/>
      <c r="K61" s="28"/>
      <c r="L61" s="30"/>
      <c r="M61" s="29"/>
      <c r="N61" s="28"/>
      <c r="O61" s="28"/>
      <c r="P61" s="34"/>
    </row>
    <row r="62" customFormat="false" ht="15" hidden="false" customHeight="false" outlineLevel="0" collapsed="false">
      <c r="A62" s="28"/>
      <c r="B62" s="29"/>
      <c r="C62" s="28"/>
      <c r="D62" s="30"/>
      <c r="E62" s="28"/>
      <c r="F62" s="28"/>
      <c r="G62" s="31" t="str">
        <f aca="false">IF(AND(E62&lt;&gt;"",F62&lt;&gt;""),E62*F62,"")</f>
        <v/>
      </c>
      <c r="H62" s="32" t="str">
        <f aca="false">IF(G62="","",IF(G62&gt;=15,"High",IF(G62&gt;=6,"Medium","Low")))</f>
        <v/>
      </c>
      <c r="I62" s="28"/>
      <c r="J62" s="30"/>
      <c r="K62" s="28"/>
      <c r="L62" s="30"/>
      <c r="M62" s="29"/>
      <c r="N62" s="28"/>
      <c r="O62" s="28"/>
      <c r="P62" s="34"/>
    </row>
    <row r="63" customFormat="false" ht="15" hidden="false" customHeight="false" outlineLevel="0" collapsed="false">
      <c r="A63" s="28"/>
      <c r="B63" s="29"/>
      <c r="C63" s="28"/>
      <c r="D63" s="30"/>
      <c r="E63" s="28"/>
      <c r="F63" s="28"/>
      <c r="G63" s="31" t="str">
        <f aca="false">IF(AND(E63&lt;&gt;"",F63&lt;&gt;""),E63*F63,"")</f>
        <v/>
      </c>
      <c r="H63" s="32" t="str">
        <f aca="false">IF(G63="","",IF(G63&gt;=15,"High",IF(G63&gt;=6,"Medium","Low")))</f>
        <v/>
      </c>
      <c r="I63" s="28"/>
      <c r="J63" s="30"/>
      <c r="K63" s="28"/>
      <c r="L63" s="30"/>
      <c r="M63" s="29"/>
      <c r="N63" s="28"/>
      <c r="O63" s="28"/>
      <c r="P63" s="34"/>
    </row>
    <row r="64" customFormat="false" ht="15" hidden="false" customHeight="false" outlineLevel="0" collapsed="false">
      <c r="A64" s="28"/>
      <c r="B64" s="29"/>
      <c r="C64" s="28"/>
      <c r="D64" s="30"/>
      <c r="E64" s="28"/>
      <c r="F64" s="28"/>
      <c r="G64" s="31" t="str">
        <f aca="false">IF(AND(E64&lt;&gt;"",F64&lt;&gt;""),E64*F64,"")</f>
        <v/>
      </c>
      <c r="H64" s="32" t="str">
        <f aca="false">IF(G64="","",IF(G64&gt;=15,"High",IF(G64&gt;=6,"Medium","Low")))</f>
        <v/>
      </c>
      <c r="I64" s="28"/>
      <c r="J64" s="30"/>
      <c r="K64" s="28"/>
      <c r="L64" s="30"/>
      <c r="M64" s="29"/>
      <c r="N64" s="28"/>
      <c r="O64" s="28"/>
      <c r="P64" s="34"/>
    </row>
  </sheetData>
  <autoFilter ref="A13:P64"/>
  <mergeCells count="23">
    <mergeCell ref="A1:P1"/>
    <mergeCell ref="A3:E3"/>
    <mergeCell ref="G3:J3"/>
    <mergeCell ref="A5:C5"/>
    <mergeCell ref="D5:E5"/>
    <mergeCell ref="G5:H5"/>
    <mergeCell ref="I5:J5"/>
    <mergeCell ref="A6:C6"/>
    <mergeCell ref="D6:E6"/>
    <mergeCell ref="G6:H6"/>
    <mergeCell ref="I6:J6"/>
    <mergeCell ref="A7:C7"/>
    <mergeCell ref="D7:E7"/>
    <mergeCell ref="G7:H7"/>
    <mergeCell ref="I7:J7"/>
    <mergeCell ref="A8:C8"/>
    <mergeCell ref="D8:E8"/>
    <mergeCell ref="G8:H8"/>
    <mergeCell ref="I8:J8"/>
    <mergeCell ref="G9:H9"/>
    <mergeCell ref="I9:J9"/>
    <mergeCell ref="A10:J10"/>
    <mergeCell ref="K11:P11"/>
  </mergeCells>
  <conditionalFormatting sqref="H14:H64">
    <cfRule type="cellIs" priority="2" operator="equal" aboveAverage="0" equalAverage="0" bottom="0" percent="0" rank="0" text="" dxfId="8">
      <formula>"High"</formula>
    </cfRule>
    <cfRule type="cellIs" priority="3" operator="equal" aboveAverage="0" equalAverage="0" bottom="0" percent="0" rank="0" text="" dxfId="9">
      <formula>"Medium"</formula>
    </cfRule>
    <cfRule type="cellIs" priority="4" operator="equal" aboveAverage="0" equalAverage="0" bottom="0" percent="0" rank="0" text="" dxfId="10">
      <formula>"Low"</formula>
    </cfRule>
  </conditionalFormatting>
  <conditionalFormatting sqref="G14:G64">
    <cfRule type="expression" priority="5" aboveAverage="0" equalAverage="0" bottom="0" percent="0" rank="0" text="" dxfId="8">
      <formula>AND(G14&lt;&gt;"",G14&gt;=15)</formula>
    </cfRule>
    <cfRule type="expression" priority="6" aboveAverage="0" equalAverage="0" bottom="0" percent="0" rank="0" text="" dxfId="9">
      <formula>AND(G14&lt;&gt;"",G14&gt;=6,G14&lt;15)</formula>
    </cfRule>
    <cfRule type="expression" priority="7" aboveAverage="0" equalAverage="0" bottom="0" percent="0" rank="0" text="" dxfId="10">
      <formula>AND(G14&lt;&gt;"",G14&gt;=1,G14&lt;6)</formula>
    </cfRule>
  </conditionalFormatting>
  <conditionalFormatting sqref="I14:I64">
    <cfRule type="cellIs" priority="8" operator="equal" aboveAverage="0" equalAverage="0" bottom="0" percent="0" rank="0" text="" dxfId="11">
      <formula>"Open"</formula>
    </cfRule>
    <cfRule type="cellIs" priority="9" operator="equal" aboveAverage="0" equalAverage="0" bottom="0" percent="0" rank="0" text="" dxfId="9">
      <formula>"Discussed at RRM"</formula>
    </cfRule>
    <cfRule type="cellIs" priority="10" operator="equal" aboveAverage="0" equalAverage="0" bottom="0" percent="0" rank="0" text="" dxfId="12">
      <formula>"Mitigated"</formula>
    </cfRule>
    <cfRule type="cellIs" priority="11" operator="equal" aboveAverage="0" equalAverage="0" bottom="0" percent="0" rank="0" text="" dxfId="10">
      <formula>"Closed"</formula>
    </cfRule>
    <cfRule type="cellIs" priority="12" operator="equal" aboveAverage="0" equalAverage="0" bottom="0" percent="0" rank="0" text="" dxfId="8">
      <formula>"Escalated to CE"</formula>
    </cfRule>
  </conditionalFormatting>
  <conditionalFormatting sqref="N14:N64">
    <cfRule type="expression" priority="13" aboveAverage="0" equalAverage="0" bottom="0" percent="0" rank="0" text="" dxfId="8">
      <formula>AND(N14&lt;&gt;"",N14&gt;=15)</formula>
    </cfRule>
    <cfRule type="expression" priority="14" aboveAverage="0" equalAverage="0" bottom="0" percent="0" rank="0" text="" dxfId="9">
      <formula>AND(N14&lt;&gt;"",N14&gt;=6,N14&lt;15)</formula>
    </cfRule>
    <cfRule type="expression" priority="15" aboveAverage="0" equalAverage="0" bottom="0" percent="0" rank="0" text="" dxfId="10">
      <formula>AND(N14&lt;&gt;"",N14&gt;=1,N14&lt;6)</formula>
    </cfRule>
  </conditionalFormatting>
  <dataValidations count="5">
    <dataValidation allowBlank="true" error="Enter 1–5" errorStyle="stop" errorTitle="Invalid Score" operator="between" showDropDown="false" showErrorMessage="false" showInputMessage="false" sqref="E14:E64" type="whole">
      <formula1>1</formula1>
      <formula2>5</formula2>
    </dataValidation>
    <dataValidation allowBlank="true" error="Enter 1–5" errorStyle="stop" operator="between" showDropDown="false" showErrorMessage="false" showInputMessage="false" sqref="F14:F64" type="whole">
      <formula1>1</formula1>
      <formula2>5</formula2>
    </dataValidation>
    <dataValidation allowBlank="true" errorStyle="stop" operator="between" showDropDown="false" showErrorMessage="false" showInputMessage="false" sqref="I14:I64" type="list">
      <formula1>"Open,Discussed at RRM,Mitigated,Closed,Escalated to CE"</formula1>
      <formula2>0</formula2>
    </dataValidation>
    <dataValidation allowBlank="true" errorStyle="stop" operator="between" showDropDown="false" showErrorMessage="false" showInputMessage="false" sqref="C14:C64" type="list">
      <formula1>"PM,Contractor,Subcontractor,Client,Designer,CDM Advisor"</formula1>
      <formula2>0</formula2>
    </dataValidation>
    <dataValidation allowBlank="true" errorStyle="stop" operator="between" showDropDown="false" showErrorMessage="false" showInputMessage="false" sqref="N14:N64" type="whole">
      <formula1>1</formula1>
      <formula2>25</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&amp;CEarly Warning Register (NEC)</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5" t="s">
        <v>104</v>
      </c>
    </row>
    <row r="2" customFormat="false" ht="15" hidden="false" customHeight="false" outlineLevel="0" collapsed="false">
      <c r="A2" s="35"/>
    </row>
    <row r="3" customFormat="false" ht="15" hidden="false" customHeight="false" outlineLevel="0" collapsed="false">
      <c r="A3" s="35" t="s">
        <v>105</v>
      </c>
    </row>
    <row r="4" customFormat="false" ht="15" hidden="false" customHeight="false" outlineLevel="0" collapsed="false">
      <c r="A4" s="35"/>
    </row>
    <row r="5" customFormat="false" ht="15" hidden="false" customHeight="false" outlineLevel="0" collapsed="false">
      <c r="A5" s="35" t="s">
        <v>106</v>
      </c>
    </row>
    <row r="6" customFormat="false" ht="15" hidden="false" customHeight="false" outlineLevel="0" collapsed="false">
      <c r="A6" s="35"/>
    </row>
    <row r="7" customFormat="false" ht="15" hidden="false" customHeight="false" outlineLevel="0" collapsed="false">
      <c r="A7" s="35" t="s">
        <v>107</v>
      </c>
    </row>
    <row r="8" customFormat="false" ht="15" hidden="false" customHeight="false" outlineLevel="0" collapsed="false">
      <c r="A8" s="35"/>
    </row>
    <row r="9" customFormat="false" ht="15" hidden="false" customHeight="false" outlineLevel="0" collapsed="false">
      <c r="A9" s="35" t="s">
        <v>108</v>
      </c>
    </row>
    <row r="10" customFormat="false" ht="15" hidden="false" customHeight="false" outlineLevel="0" collapsed="false">
      <c r="A10" s="35"/>
    </row>
    <row r="11" customFormat="false" ht="15" hidden="false" customHeight="false" outlineLevel="0" collapsed="false">
      <c r="A11" s="35" t="s">
        <v>109</v>
      </c>
    </row>
    <row r="12" customFormat="false" ht="15" hidden="false" customHeight="false" outlineLevel="0" collapsed="false">
      <c r="A12" s="35"/>
    </row>
    <row r="13" customFormat="false" ht="15" hidden="false" customHeight="false" outlineLevel="0" collapsed="false">
      <c r="A13" s="35" t="s">
        <v>110</v>
      </c>
    </row>
    <row r="14" customFormat="false" ht="15" hidden="false" customHeight="false" outlineLevel="0" collapsed="false">
      <c r="A14" s="35"/>
    </row>
    <row r="15" customFormat="false" ht="15" hidden="false" customHeight="false" outlineLevel="0" collapsed="false">
      <c r="A15" s="35" t="s">
        <v>111</v>
      </c>
    </row>
    <row r="16" customFormat="false" ht="15" hidden="false" customHeight="false" outlineLevel="0" collapsed="false">
      <c r="A16" s="35"/>
    </row>
    <row r="17" customFormat="false" ht="15" hidden="false" customHeight="false" outlineLevel="0" collapsed="false">
      <c r="A17" s="35"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2026-03-22T21:47:54Z</dcterms:created>
  <dc:creator>Ebrora Ltd</dc:creator>
  <dc:description>Log and risk-score NEC early warnings with automatic Likelihood x Impact calculation, RAG risk rating, status tracking through risk reduction meetings, and links to the CE register, designed for UK construction teams working under NEC contracts.
Free professional construction management template from Ebrora Ltd. Visit ebrora.com for our full range of tools and templates.</dc:description>
  <cp:keywords>Ebrora construction NEC early warning risk register NEC4 risk reduction meeting commercial ECC</cp:keywords>
  <dc:language>en-US</dc:language>
  <cp:lastModifiedBy>Ebrora Ltd</cp:lastModifiedBy>
  <dcterms:modified xsi:type="dcterms:W3CDTF">2026-03-22T21:47:54Z</dcterms:modified>
  <cp:revision>0</cp:revision>
  <dc:subject>NEC early warning register with risk scoring (Likelihood x Impact), risk rating, and risk reduction meeting tracking.</dc:subject>
  <dc:title>Early Warning Register</dc:title>
</cp:coreProperties>
</file>

<file path=docProps/custom.xml><?xml version="1.0" encoding="utf-8"?>
<Properties xmlns="http://schemas.openxmlformats.org/officeDocument/2006/custom-properties" xmlns:vt="http://schemas.openxmlformats.org/officeDocument/2006/docPropsVTypes"/>
</file>