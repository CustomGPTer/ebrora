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Y CHAIN SAFETY PERFORMANCE" sheetId="1" state="visible" r:id="rId3"/>
    <sheet name="Instructions" sheetId="2" state="visible" r:id="rId4"/>
  </sheets>
  <definedNames>
    <definedName function="false" hidden="false" localSheetId="0" name="_xlnm.Print_Area" vbProcedure="false">'SUPPLY CHAIN SAFETY PERFORMANCE'!$A$1:$P$40</definedName>
    <definedName function="false" hidden="false" localSheetId="0" name="_xlnm.Print_Titles" vbProcedure="false">'SUPPLY CHAIN SAFETY PERFORMANCE'!$1:$6</definedName>
    <definedName function="false" hidden="true" localSheetId="0" name="_xlnm._FilterDatabase" vbProcedure="false">'SUPPLY CHAIN SAFETY PERFORMANCE'!$A$6:$P$31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<sst xmlns="http://schemas.openxmlformats.org/spreadsheetml/2006/main" count="42" uniqueCount="41">
  <si>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ebrora.com</t>
  </si>
  <si>
    <t xml:space="preserve">SUPPLY CHAIN SAFETY PERFORMANCE TRACKER</t>
  </si>
  <si>
    <t xml:space="preserve">Ref: CDM 2015; ISO 45001:2018; Principal Contractor Duties</t>
  </si>
  <si>
    <t xml:space="preserve">Project:</t>
  </si>
  <si>
    <t xml:space="preserve">Prepared By:</t>
  </si>
  <si>
    <t xml:space="preserve">Rev:</t>
  </si>
  <si>
    <t xml:space="preserve">No.</t>
  </si>
  <si>
    <t xml:space="preserve">Subcontractor
Name</t>
  </si>
  <si>
    <t xml:space="preserve">Package /
Trade</t>
  </si>
  <si>
    <t xml:space="preserve">No. of
Workers</t>
  </si>
  <si>
    <t xml:space="preserve">Hours
Worked
(Period)</t>
  </si>
  <si>
    <t xml:space="preserve">RIDDOR
Incidents</t>
  </si>
  <si>
    <t xml:space="preserve">Lost Time
Injuries</t>
  </si>
  <si>
    <t xml:space="preserve">First Aid
Cases</t>
  </si>
  <si>
    <t xml:space="preserve">Near
Misses</t>
  </si>
  <si>
    <t xml:space="preserve">Safety
Observations
(Positive)</t>
  </si>
  <si>
    <t xml:space="preserve">Safety
Observations
(Negative)</t>
  </si>
  <si>
    <t xml:space="preserve">AFR
(Accident
Frequency
Rate)</t>
  </si>
  <si>
    <t xml:space="preserve">LTIFR</t>
  </si>
  <si>
    <t xml:space="preserve">Review
Period</t>
  </si>
  <si>
    <t xml:space="preserve">RAG
Status</t>
  </si>
  <si>
    <t xml:space="preserve">Comments /
Actions</t>
  </si>
  <si>
    <t xml:space="preserve">SUMMARY</t>
  </si>
  <si>
    <t xml:space="preserve">Total Subcontractors:</t>
  </si>
  <si>
    <t xml:space="preserve">Total Hours:</t>
  </si>
  <si>
    <t xml:space="preserve">Total RIDDOR:</t>
  </si>
  <si>
    <t xml:space="preserve">Total LTIs:</t>
  </si>
  <si>
    <t xml:space="preserve">Green:</t>
  </si>
  <si>
    <t xml:space="preserve">Red:</t>
  </si>
  <si>
    <t xml:space="preserve">INSTRUCTIONS — SUPPLY CHAIN SAFETY PERFORMANCE TRACKER</t>
  </si>
  <si>
    <t xml:space="preserve">How to Use This Template</t>
  </si>
  <si>
    <t xml:space="preserve">1. Track safety performance for each subcontractor per review period.</t>
  </si>
  <si>
    <t xml:space="preserve">2. Record worker numbers, hours worked, incidents, and observations.</t>
  </si>
  <si>
    <t xml:space="preserve">3. AFR and LTIFR auto-calculate from the data entered.</t>
  </si>
  <si>
    <t xml:space="preserve">4. AFR = (RIDDOR incidents × 100,000) ÷ Hours worked.</t>
  </si>
  <si>
    <t xml:space="preserve">5. LTIFR = (Lost time injuries × 1,000,000) ÷ Hours worked.</t>
  </si>
  <si>
    <t xml:space="preserve">6. Set RAG status based on performance — Red requires improvement plan.</t>
  </si>
  <si>
    <t xml:space="preserve">References:</t>
  </si>
  <si>
    <t xml:space="preserve">  CDM Regulations 2015</t>
  </si>
  <si>
    <t xml:space="preserve">  ISO 45001:2018</t>
  </si>
  <si>
    <t xml:space="preserve">  HSE statistics and reporting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</si>
</sst>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9" min="6" style="0" width="9"/>
    <col collapsed="false" customWidth="true" hidden="false" outlineLevel="0" max="14" min="10" style="0" width="10"/>
    <col collapsed="false" customWidth="true" hidden="false" outlineLevel="0" max="15" min="15" style="0" width="9"/>
    <col collapsed="false" customWidth="true" hidden="false" outlineLevel="0" max="16" min="16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8"/>
      <c r="E7" s="8"/>
      <c r="F7" s="8"/>
      <c r="G7" s="8"/>
      <c r="H7" s="8"/>
      <c r="I7" s="8"/>
      <c r="J7" s="8"/>
      <c r="K7" s="8"/>
      <c r="L7" s="9" t="str">
        <f aca="false">IF(OR(F7="",E7="",E7=0),"",ROUND(F7*100000/E7,1))</f>
        <v/>
      </c>
      <c r="M7" s="9" t="str">
        <f aca="false">IF(OR(G7="",E7="",E7=0),"",ROUND(G7*1000000/E7,1))</f>
        <v/>
      </c>
      <c r="N7" s="8"/>
      <c r="O7" s="8"/>
      <c r="P7" s="8"/>
    </row>
    <row r="8" customFormat="false" ht="21.75" hidden="false" customHeight="true" outlineLevel="0" collapsed="false">
      <c r="A8" s="10" t="n">
        <v>2</v>
      </c>
      <c r="B8" s="5"/>
      <c r="C8" s="5"/>
      <c r="D8" s="8"/>
      <c r="E8" s="8"/>
      <c r="F8" s="8"/>
      <c r="G8" s="8"/>
      <c r="H8" s="8"/>
      <c r="I8" s="8"/>
      <c r="J8" s="8"/>
      <c r="K8" s="8"/>
      <c r="L8" s="11" t="str">
        <f aca="false">IF(OR(F8="",E8="",E8=0),"",ROUND(F8*100000/E8,1))</f>
        <v/>
      </c>
      <c r="M8" s="11" t="str">
        <f aca="false">IF(OR(G8="",E8="",E8=0),"",ROUND(G8*1000000/E8,1))</f>
        <v/>
      </c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8"/>
      <c r="E9" s="8"/>
      <c r="F9" s="8"/>
      <c r="G9" s="8"/>
      <c r="H9" s="8"/>
      <c r="I9" s="8"/>
      <c r="J9" s="8"/>
      <c r="K9" s="8"/>
      <c r="L9" s="9" t="str">
        <f aca="false">IF(OR(F9="",E9="",E9=0),"",ROUND(F9*100000/E9,1))</f>
        <v/>
      </c>
      <c r="M9" s="9" t="str">
        <f aca="false">IF(OR(G9="",E9="",E9=0),"",ROUND(G9*1000000/E9,1))</f>
        <v/>
      </c>
      <c r="N9" s="8"/>
      <c r="O9" s="8"/>
      <c r="P9" s="8"/>
    </row>
    <row r="10" customFormat="false" ht="21.75" hidden="false" customHeight="true" outlineLevel="0" collapsed="false">
      <c r="A10" s="10" t="n">
        <v>4</v>
      </c>
      <c r="B10" s="5"/>
      <c r="C10" s="5"/>
      <c r="D10" s="8"/>
      <c r="E10" s="8"/>
      <c r="F10" s="8"/>
      <c r="G10" s="8"/>
      <c r="H10" s="8"/>
      <c r="I10" s="8"/>
      <c r="J10" s="8"/>
      <c r="K10" s="8"/>
      <c r="L10" s="11" t="str">
        <f aca="false">IF(OR(F10="",E10="",E10=0),"",ROUND(F10*100000/E10,1))</f>
        <v/>
      </c>
      <c r="M10" s="11" t="str">
        <f aca="false">IF(OR(G10="",E10="",E10=0),"",ROUND(G10*1000000/E10,1))</f>
        <v/>
      </c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8"/>
      <c r="E11" s="8"/>
      <c r="F11" s="8"/>
      <c r="G11" s="8"/>
      <c r="H11" s="8"/>
      <c r="I11" s="8"/>
      <c r="J11" s="8"/>
      <c r="K11" s="8"/>
      <c r="L11" s="9" t="str">
        <f aca="false">IF(OR(F11="",E11="",E11=0),"",ROUND(F11*100000/E11,1))</f>
        <v/>
      </c>
      <c r="M11" s="9" t="str">
        <f aca="false">IF(OR(G11="",E11="",E11=0),"",ROUND(G11*1000000/E11,1))</f>
        <v/>
      </c>
      <c r="N11" s="8"/>
      <c r="O11" s="8"/>
      <c r="P11" s="8"/>
    </row>
    <row r="12" customFormat="false" ht="21.75" hidden="false" customHeight="true" outlineLevel="0" collapsed="false">
      <c r="A12" s="10" t="n">
        <v>6</v>
      </c>
      <c r="B12" s="5"/>
      <c r="C12" s="5"/>
      <c r="D12" s="8"/>
      <c r="E12" s="8"/>
      <c r="F12" s="8"/>
      <c r="G12" s="8"/>
      <c r="H12" s="8"/>
      <c r="I12" s="8"/>
      <c r="J12" s="8"/>
      <c r="K12" s="8"/>
      <c r="L12" s="11" t="str">
        <f aca="false">IF(OR(F12="",E12="",E12=0),"",ROUND(F12*100000/E12,1))</f>
        <v/>
      </c>
      <c r="M12" s="11" t="str">
        <f aca="false">IF(OR(G12="",E12="",E12=0),"",ROUND(G12*1000000/E12,1))</f>
        <v/>
      </c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8"/>
      <c r="E13" s="8"/>
      <c r="F13" s="8"/>
      <c r="G13" s="8"/>
      <c r="H13" s="8"/>
      <c r="I13" s="8"/>
      <c r="J13" s="8"/>
      <c r="K13" s="8"/>
      <c r="L13" s="9" t="str">
        <f aca="false">IF(OR(F13="",E13="",E13=0),"",ROUND(F13*100000/E13,1))</f>
        <v/>
      </c>
      <c r="M13" s="9" t="str">
        <f aca="false">IF(OR(G13="",E13="",E13=0),"",ROUND(G13*1000000/E13,1))</f>
        <v/>
      </c>
      <c r="N13" s="8"/>
      <c r="O13" s="8"/>
      <c r="P13" s="8"/>
    </row>
    <row r="14" customFormat="false" ht="21.75" hidden="false" customHeight="true" outlineLevel="0" collapsed="false">
      <c r="A14" s="10" t="n">
        <v>8</v>
      </c>
      <c r="B14" s="5"/>
      <c r="C14" s="5"/>
      <c r="D14" s="8"/>
      <c r="E14" s="8"/>
      <c r="F14" s="8"/>
      <c r="G14" s="8"/>
      <c r="H14" s="8"/>
      <c r="I14" s="8"/>
      <c r="J14" s="8"/>
      <c r="K14" s="8"/>
      <c r="L14" s="11" t="str">
        <f aca="false">IF(OR(F14="",E14="",E14=0),"",ROUND(F14*100000/E14,1))</f>
        <v/>
      </c>
      <c r="M14" s="11" t="str">
        <f aca="false">IF(OR(G14="",E14="",E14=0),"",ROUND(G14*1000000/E14,1))</f>
        <v/>
      </c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8"/>
      <c r="E15" s="8"/>
      <c r="F15" s="8"/>
      <c r="G15" s="8"/>
      <c r="H15" s="8"/>
      <c r="I15" s="8"/>
      <c r="J15" s="8"/>
      <c r="K15" s="8"/>
      <c r="L15" s="9" t="str">
        <f aca="false">IF(OR(F15="",E15="",E15=0),"",ROUND(F15*100000/E15,1))</f>
        <v/>
      </c>
      <c r="M15" s="9" t="str">
        <f aca="false">IF(OR(G15="",E15="",E15=0),"",ROUND(G15*1000000/E15,1))</f>
        <v/>
      </c>
      <c r="N15" s="8"/>
      <c r="O15" s="8"/>
      <c r="P15" s="8"/>
    </row>
    <row r="16" customFormat="false" ht="21.75" hidden="false" customHeight="true" outlineLevel="0" collapsed="false">
      <c r="A16" s="10" t="n">
        <v>10</v>
      </c>
      <c r="B16" s="5"/>
      <c r="C16" s="5"/>
      <c r="D16" s="8"/>
      <c r="E16" s="8"/>
      <c r="F16" s="8"/>
      <c r="G16" s="8"/>
      <c r="H16" s="8"/>
      <c r="I16" s="8"/>
      <c r="J16" s="8"/>
      <c r="K16" s="8"/>
      <c r="L16" s="11" t="str">
        <f aca="false">IF(OR(F16="",E16="",E16=0),"",ROUND(F16*100000/E16,1))</f>
        <v/>
      </c>
      <c r="M16" s="11" t="str">
        <f aca="false">IF(OR(G16="",E16="",E16=0),"",ROUND(G16*1000000/E16,1))</f>
        <v/>
      </c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8"/>
      <c r="E17" s="8"/>
      <c r="F17" s="8"/>
      <c r="G17" s="8"/>
      <c r="H17" s="8"/>
      <c r="I17" s="8"/>
      <c r="J17" s="8"/>
      <c r="K17" s="8"/>
      <c r="L17" s="9" t="str">
        <f aca="false">IF(OR(F17="",E17="",E17=0),"",ROUND(F17*100000/E17,1))</f>
        <v/>
      </c>
      <c r="M17" s="9" t="str">
        <f aca="false">IF(OR(G17="",E17="",E17=0),"",ROUND(G17*1000000/E17,1))</f>
        <v/>
      </c>
      <c r="N17" s="8"/>
      <c r="O17" s="8"/>
      <c r="P17" s="8"/>
    </row>
    <row r="18" customFormat="false" ht="21.75" hidden="false" customHeight="true" outlineLevel="0" collapsed="false">
      <c r="A18" s="10" t="n">
        <v>12</v>
      </c>
      <c r="B18" s="5"/>
      <c r="C18" s="5"/>
      <c r="D18" s="8"/>
      <c r="E18" s="8"/>
      <c r="F18" s="8"/>
      <c r="G18" s="8"/>
      <c r="H18" s="8"/>
      <c r="I18" s="8"/>
      <c r="J18" s="8"/>
      <c r="K18" s="8"/>
      <c r="L18" s="11" t="str">
        <f aca="false">IF(OR(F18="",E18="",E18=0),"",ROUND(F18*100000/E18,1))</f>
        <v/>
      </c>
      <c r="M18" s="11" t="str">
        <f aca="false">IF(OR(G18="",E18="",E18=0),"",ROUND(G18*1000000/E18,1))</f>
        <v/>
      </c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8"/>
      <c r="E19" s="8"/>
      <c r="F19" s="8"/>
      <c r="G19" s="8"/>
      <c r="H19" s="8"/>
      <c r="I19" s="8"/>
      <c r="J19" s="8"/>
      <c r="K19" s="8"/>
      <c r="L19" s="9" t="str">
        <f aca="false">IF(OR(F19="",E19="",E19=0),"",ROUND(F19*100000/E19,1))</f>
        <v/>
      </c>
      <c r="M19" s="9" t="str">
        <f aca="false">IF(OR(G19="",E19="",E19=0),"",ROUND(G19*1000000/E19,1))</f>
        <v/>
      </c>
      <c r="N19" s="8"/>
      <c r="O19" s="8"/>
      <c r="P19" s="8"/>
    </row>
    <row r="20" customFormat="false" ht="21.75" hidden="false" customHeight="true" outlineLevel="0" collapsed="false">
      <c r="A20" s="10" t="n">
        <v>14</v>
      </c>
      <c r="B20" s="5"/>
      <c r="C20" s="5"/>
      <c r="D20" s="8"/>
      <c r="E20" s="8"/>
      <c r="F20" s="8"/>
      <c r="G20" s="8"/>
      <c r="H20" s="8"/>
      <c r="I20" s="8"/>
      <c r="J20" s="8"/>
      <c r="K20" s="8"/>
      <c r="L20" s="11" t="str">
        <f aca="false">IF(OR(F20="",E20="",E20=0),"",ROUND(F20*100000/E20,1))</f>
        <v/>
      </c>
      <c r="M20" s="11" t="str">
        <f aca="false">IF(OR(G20="",E20="",E20=0),"",ROUND(G20*1000000/E20,1))</f>
        <v/>
      </c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8"/>
      <c r="E21" s="8"/>
      <c r="F21" s="8"/>
      <c r="G21" s="8"/>
      <c r="H21" s="8"/>
      <c r="I21" s="8"/>
      <c r="J21" s="8"/>
      <c r="K21" s="8"/>
      <c r="L21" s="9" t="str">
        <f aca="false">IF(OR(F21="",E21="",E21=0),"",ROUND(F21*100000/E21,1))</f>
        <v/>
      </c>
      <c r="M21" s="9" t="str">
        <f aca="false">IF(OR(G21="",E21="",E21=0),"",ROUND(G21*1000000/E21,1))</f>
        <v/>
      </c>
      <c r="N21" s="8"/>
      <c r="O21" s="8"/>
      <c r="P21" s="8"/>
    </row>
    <row r="22" customFormat="false" ht="21.75" hidden="false" customHeight="true" outlineLevel="0" collapsed="false">
      <c r="A22" s="10" t="n">
        <v>16</v>
      </c>
      <c r="B22" s="5"/>
      <c r="C22" s="5"/>
      <c r="D22" s="8"/>
      <c r="E22" s="8"/>
      <c r="F22" s="8"/>
      <c r="G22" s="8"/>
      <c r="H22" s="8"/>
      <c r="I22" s="8"/>
      <c r="J22" s="8"/>
      <c r="K22" s="8"/>
      <c r="L22" s="11" t="str">
        <f aca="false">IF(OR(F22="",E22="",E22=0),"",ROUND(F22*100000/E22,1))</f>
        <v/>
      </c>
      <c r="M22" s="11" t="str">
        <f aca="false">IF(OR(G22="",E22="",E22=0),"",ROUND(G22*1000000/E22,1))</f>
        <v/>
      </c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8"/>
      <c r="E23" s="8"/>
      <c r="F23" s="8"/>
      <c r="G23" s="8"/>
      <c r="H23" s="8"/>
      <c r="I23" s="8"/>
      <c r="J23" s="8"/>
      <c r="K23" s="8"/>
      <c r="L23" s="9" t="str">
        <f aca="false">IF(OR(F23="",E23="",E23=0),"",ROUND(F23*100000/E23,1))</f>
        <v/>
      </c>
      <c r="M23" s="9" t="str">
        <f aca="false">IF(OR(G23="",E23="",E23=0),"",ROUND(G23*1000000/E23,1))</f>
        <v/>
      </c>
      <c r="N23" s="8"/>
      <c r="O23" s="8"/>
      <c r="P23" s="8"/>
    </row>
    <row r="24" customFormat="false" ht="21.75" hidden="false" customHeight="true" outlineLevel="0" collapsed="false">
      <c r="A24" s="10" t="n">
        <v>18</v>
      </c>
      <c r="B24" s="5"/>
      <c r="C24" s="5"/>
      <c r="D24" s="8"/>
      <c r="E24" s="8"/>
      <c r="F24" s="8"/>
      <c r="G24" s="8"/>
      <c r="H24" s="8"/>
      <c r="I24" s="8"/>
      <c r="J24" s="8"/>
      <c r="K24" s="8"/>
      <c r="L24" s="11" t="str">
        <f aca="false">IF(OR(F24="",E24="",E24=0),"",ROUND(F24*100000/E24,1))</f>
        <v/>
      </c>
      <c r="M24" s="11" t="str">
        <f aca="false">IF(OR(G24="",E24="",E24=0),"",ROUND(G24*1000000/E24,1))</f>
        <v/>
      </c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8"/>
      <c r="E25" s="8"/>
      <c r="F25" s="8"/>
      <c r="G25" s="8"/>
      <c r="H25" s="8"/>
      <c r="I25" s="8"/>
      <c r="J25" s="8"/>
      <c r="K25" s="8"/>
      <c r="L25" s="9" t="str">
        <f aca="false">IF(OR(F25="",E25="",E25=0),"",ROUND(F25*100000/E25,1))</f>
        <v/>
      </c>
      <c r="M25" s="9" t="str">
        <f aca="false">IF(OR(G25="",E25="",E25=0),"",ROUND(G25*1000000/E25,1))</f>
        <v/>
      </c>
      <c r="N25" s="8"/>
      <c r="O25" s="8"/>
      <c r="P25" s="8"/>
    </row>
    <row r="26" customFormat="false" ht="21.75" hidden="false" customHeight="true" outlineLevel="0" collapsed="false">
      <c r="A26" s="10" t="n">
        <v>20</v>
      </c>
      <c r="B26" s="5"/>
      <c r="C26" s="5"/>
      <c r="D26" s="8"/>
      <c r="E26" s="8"/>
      <c r="F26" s="8"/>
      <c r="G26" s="8"/>
      <c r="H26" s="8"/>
      <c r="I26" s="8"/>
      <c r="J26" s="8"/>
      <c r="K26" s="8"/>
      <c r="L26" s="11" t="str">
        <f aca="false">IF(OR(F26="",E26="",E26=0),"",ROUND(F26*100000/E26,1))</f>
        <v/>
      </c>
      <c r="M26" s="11" t="str">
        <f aca="false">IF(OR(G26="",E26="",E26=0),"",ROUND(G26*1000000/E26,1))</f>
        <v/>
      </c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8"/>
      <c r="E27" s="8"/>
      <c r="F27" s="8"/>
      <c r="G27" s="8"/>
      <c r="H27" s="8"/>
      <c r="I27" s="8"/>
      <c r="J27" s="8"/>
      <c r="K27" s="8"/>
      <c r="L27" s="9" t="str">
        <f aca="false">IF(OR(F27="",E27="",E27=0),"",ROUND(F27*100000/E27,1))</f>
        <v/>
      </c>
      <c r="M27" s="9" t="str">
        <f aca="false">IF(OR(G27="",E27="",E27=0),"",ROUND(G27*1000000/E27,1))</f>
        <v/>
      </c>
      <c r="N27" s="8"/>
      <c r="O27" s="8"/>
      <c r="P27" s="8"/>
    </row>
    <row r="28" customFormat="false" ht="21.75" hidden="false" customHeight="true" outlineLevel="0" collapsed="false">
      <c r="A28" s="10" t="n">
        <v>22</v>
      </c>
      <c r="B28" s="5"/>
      <c r="C28" s="5"/>
      <c r="D28" s="8"/>
      <c r="E28" s="8"/>
      <c r="F28" s="8"/>
      <c r="G28" s="8"/>
      <c r="H28" s="8"/>
      <c r="I28" s="8"/>
      <c r="J28" s="8"/>
      <c r="K28" s="8"/>
      <c r="L28" s="11" t="str">
        <f aca="false">IF(OR(F28="",E28="",E28=0),"",ROUND(F28*100000/E28,1))</f>
        <v/>
      </c>
      <c r="M28" s="11" t="str">
        <f aca="false">IF(OR(G28="",E28="",E28=0),"",ROUND(G28*1000000/E28,1))</f>
        <v/>
      </c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8"/>
      <c r="E29" s="8"/>
      <c r="F29" s="8"/>
      <c r="G29" s="8"/>
      <c r="H29" s="8"/>
      <c r="I29" s="8"/>
      <c r="J29" s="8"/>
      <c r="K29" s="8"/>
      <c r="L29" s="9" t="str">
        <f aca="false">IF(OR(F29="",E29="",E29=0),"",ROUND(F29*100000/E29,1))</f>
        <v/>
      </c>
      <c r="M29" s="9" t="str">
        <f aca="false">IF(OR(G29="",E29="",E29=0),"",ROUND(G29*1000000/E29,1))</f>
        <v/>
      </c>
      <c r="N29" s="8"/>
      <c r="O29" s="8"/>
      <c r="P29" s="8"/>
    </row>
    <row r="30" customFormat="false" ht="21.75" hidden="false" customHeight="true" outlineLevel="0" collapsed="false">
      <c r="A30" s="10" t="n">
        <v>24</v>
      </c>
      <c r="B30" s="5"/>
      <c r="C30" s="5"/>
      <c r="D30" s="8"/>
      <c r="E30" s="8"/>
      <c r="F30" s="8"/>
      <c r="G30" s="8"/>
      <c r="H30" s="8"/>
      <c r="I30" s="8"/>
      <c r="J30" s="8"/>
      <c r="K30" s="8"/>
      <c r="L30" s="11" t="str">
        <f aca="false">IF(OR(F30="",E30="",E30=0),"",ROUND(F30*100000/E30,1))</f>
        <v/>
      </c>
      <c r="M30" s="11" t="str">
        <f aca="false">IF(OR(G30="",E30="",E30=0),"",ROUND(G30*1000000/E30,1))</f>
        <v/>
      </c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8"/>
      <c r="E31" s="8"/>
      <c r="F31" s="8"/>
      <c r="G31" s="8"/>
      <c r="H31" s="8"/>
      <c r="I31" s="8"/>
      <c r="J31" s="8"/>
      <c r="K31" s="8"/>
      <c r="L31" s="9" t="str">
        <f aca="false">IF(OR(F31="",E31="",E31=0),"",ROUND(F31*100000/E31,1))</f>
        <v/>
      </c>
      <c r="M31" s="9" t="str">
        <f aca="false">IF(OR(G31="",E31="",E31=0),"",ROUND(G31*1000000/E31,1))</f>
        <v/>
      </c>
      <c r="N31" s="8"/>
      <c r="O31" s="8"/>
      <c r="P31" s="8"/>
    </row>
    <row r="33" customFormat="false" ht="15" hidden="false" customHeight="true" outlineLevel="0" collapsed="false">
      <c r="A33" s="12" t="s">
        <v>22</v>
      </c>
      <c r="B33" s="12"/>
      <c r="C33" s="12"/>
    </row>
    <row r="34" customFormat="false" ht="15" hidden="false" customHeight="true" outlineLevel="0" collapsed="false">
      <c r="A34" s="4" t="s">
        <v>23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24</v>
      </c>
      <c r="B35" s="4"/>
      <c r="C35" s="13" t="n">
        <f aca="false">SUM(E7:E31)</f>
        <v>0</v>
      </c>
    </row>
    <row r="36" customFormat="false" ht="15" hidden="false" customHeight="true" outlineLevel="0" collapsed="false">
      <c r="A36" s="4" t="s">
        <v>25</v>
      </c>
      <c r="B36" s="4"/>
      <c r="C36" s="13" t="n">
        <f aca="false">SUM(F7:F31)</f>
        <v>0</v>
      </c>
    </row>
    <row r="37" customFormat="false" ht="15" hidden="false" customHeight="true" outlineLevel="0" collapsed="false">
      <c r="A37" s="4" t="s">
        <v>26</v>
      </c>
      <c r="B37" s="4"/>
      <c r="C37" s="13" t="n">
        <f aca="false">SUM(G7:G31)</f>
        <v>0</v>
      </c>
    </row>
    <row r="38" customFormat="false" ht="15" hidden="false" customHeight="true" outlineLevel="0" collapsed="false">
      <c r="A38" s="4" t="s">
        <v>27</v>
      </c>
      <c r="B38" s="4"/>
      <c r="C38" s="13" t="n">
        <f aca="false">COUNTIF(O7:O31,"Green")</f>
        <v>0</v>
      </c>
    </row>
    <row r="39" customFormat="false" ht="15" hidden="false" customHeight="true" outlineLevel="0" collapsed="false">
      <c r="A39" s="4" t="s">
        <v>28</v>
      </c>
      <c r="B39" s="4"/>
      <c r="C39" s="13" t="n">
        <f aca="false">COUNTIF(O7:O31,"Red")</f>
        <v>0</v>
      </c>
    </row>
  </sheetData>
  <autoFilter ref="A6:P31"/>
  <mergeCells count="12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  <mergeCell ref="A38:B38"/>
    <mergeCell ref="A39:B39"/>
  </mergeCells>
  <conditionalFormatting sqref="O7:O31">
    <cfRule type="cellIs" priority="2" operator="equal" aboveAverage="0" equalAverage="0" bottom="0" percent="0" rank="0" text="" dxfId="6">
      <formula>"Green"</formula>
    </cfRule>
    <cfRule type="cellIs" priority="3" operator="equal" aboveAverage="0" equalAverage="0" bottom="0" percent="0" rank="0" text="" dxfId="7">
      <formula>"Amber"</formula>
    </cfRule>
    <cfRule type="cellIs" priority="4" operator="equal" aboveAverage="0" equalAverage="0" bottom="0" percent="0" rank="0" text="" dxfId="8">
      <formula>"Red"</formula>
    </cfRule>
  </conditionalFormatting>
  <dataValidations count="1">
    <dataValidation allowBlank="true" errorStyle="stop" operator="between" showDropDown="false" showErrorMessage="false" showInputMessage="false" sqref="O7:O31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29</v>
      </c>
      <c r="B2" s="2"/>
    </row>
    <row r="4" customFormat="false" ht="15" hidden="false" customHeight="false" outlineLevel="0" collapsed="false">
      <c r="B4" s="12" t="s">
        <v>30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31</v>
      </c>
    </row>
    <row r="7" customFormat="false" ht="15" hidden="false" customHeight="false" outlineLevel="0" collapsed="false">
      <c r="B7" s="14" t="s">
        <v>32</v>
      </c>
    </row>
    <row r="8" customFormat="false" ht="15" hidden="false" customHeight="false" outlineLevel="0" collapsed="false">
      <c r="B8" s="14" t="s">
        <v>33</v>
      </c>
    </row>
    <row r="9" customFormat="false" ht="15" hidden="false" customHeight="false" outlineLevel="0" collapsed="false">
      <c r="B9" s="14" t="s">
        <v>34</v>
      </c>
    </row>
    <row r="10" customFormat="false" ht="15" hidden="false" customHeight="false" outlineLevel="0" collapsed="false">
      <c r="B10" s="14" t="s">
        <v>35</v>
      </c>
    </row>
    <row r="11" customFormat="false" ht="15" hidden="false" customHeight="false" outlineLevel="0" collapsed="false">
      <c r="B11" s="14" t="s">
        <v>36</v>
      </c>
    </row>
    <row r="12" customFormat="false" ht="15" hidden="false" customHeight="false" outlineLevel="0" collapsed="false">
      <c r="B12" s="14"/>
    </row>
    <row r="13" customFormat="false" ht="15" hidden="false" customHeight="false" outlineLevel="0" collapsed="false">
      <c r="B13" s="12" t="s">
        <v>37</v>
      </c>
    </row>
    <row r="14" customFormat="false" ht="15" hidden="false" customHeight="false" outlineLevel="0" collapsed="false">
      <c r="B14" s="3" t="s">
        <v>38</v>
      </c>
    </row>
    <row r="15" customFormat="false" ht="15" hidden="false" customHeight="false" outlineLevel="0" collapsed="false">
      <c r="B15" s="3" t="s">
        <v>39</v>
      </c>
    </row>
    <row r="16" customFormat="false" ht="15" hidden="false" customHeight="false" outlineLevel="0" collapsed="false">
      <c r="B16" s="3" t="s">
        <v>40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2026-03-27T17:10:06Z</dcterms:created>
  <dc:creator>openpyxl</dc:creator>
  <dc:description/>
  <dc:language>en-US</dc:language>
  <cp:lastModifiedBy/>
  <dcterms:modified xsi:type="dcterms:W3CDTF">2026-03-27T17:10:06Z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