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0E8F0AF73F3F259C90CCCD713C0DB6FF1A773F1A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Cover" sheetId="1" r:id="rId1"/>
    <sheet name="Instructions" sheetId="2" r:id="rId2"/>
    <sheet name="Milestone Register" sheetId="3" r:id="rId3"/>
    <sheet name="Terms of Use" sheetId="4" state="hidden" r:id="rId4"/>
  </sheets>
  <definedNames>
    <definedName name="_xlnm._FilterDatabase" localSheetId="2" hidden="1">'Milestone Register'!$A$9:$M$34</definedName>
    <definedName name="DataTable">'Milestone Register'!$A$9:$M$34</definedName>
    <definedName name="_xlnm.Print_Area" localSheetId="0">Cover!$A$1:$H$20</definedName>
    <definedName name="_xlnm.Print_Area" localSheetId="2">'Milestone Register'!$A$1:$I$34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3" l="1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M7" i="3"/>
  <c r="L7" i="3"/>
  <c r="K7" i="3"/>
  <c r="J7" i="3"/>
  <c r="I7" i="3"/>
  <c r="H7" i="3"/>
  <c r="G7" i="3"/>
  <c r="F7" i="3"/>
  <c r="E7" i="3"/>
  <c r="D7" i="3"/>
  <c r="C7" i="3"/>
  <c r="B7" i="3"/>
  <c r="I4" i="3"/>
  <c r="G4" i="3"/>
  <c r="I3" i="3"/>
</calcChain>
</file>

<file path=xl/sharedStrings.xml><?xml version="1.0" encoding="utf-8"?>
<sst xmlns="http://schemas.openxmlformats.org/spreadsheetml/2006/main" count="160" uniqueCount="128">
  <si>
    <t>EBRORA</t>
  </si>
  <si>
    <t>ebrora.com</t>
  </si>
  <si>
    <t>Key Dates &amp;
Milestone Register</t>
  </si>
  <si>
    <t>Track every key date and milestone across your project — with variance monitoring, status RAG, and a visual 12-month calendar strip.</t>
  </si>
  <si>
    <t>This is a free template from Ebrora. For our full range of professional-grade construction management tools, visit ebrora.com</t>
  </si>
  <si>
    <t>© Ebrora 2026 — All rights reserved</t>
  </si>
  <si>
    <t>How to Use This Template</t>
  </si>
  <si>
    <t>Getting Started</t>
  </si>
  <si>
    <t>1.</t>
  </si>
  <si>
    <t>Open the 'Milestone Register' sheet. The calendar strip at the top shows 12 months with milestone counts per month — giving a visual distribution of your key dates.</t>
  </si>
  <si>
    <t>2.</t>
  </si>
  <si>
    <t>Each row represents one milestone or key date. Enter the Ref, Description, select the Category, and set the Planned Date.</t>
  </si>
  <si>
    <t>3.</t>
  </si>
  <si>
    <t>As the project progresses, update the Forecast Date (your current best estimate) and eventually the Actual Date (when it was achieved or missed).</t>
  </si>
  <si>
    <t>4.</t>
  </si>
  <si>
    <t>The Variance column auto-calculates: Forecast minus Planned in days. Positive = late, negative = early, zero = on programme.</t>
  </si>
  <si>
    <t>5.</t>
  </si>
  <si>
    <t>Set the Status: On Track, At Risk, Missed, or Achieved. The conditional formatting provides instant RAG visibility.</t>
  </si>
  <si>
    <t>6.</t>
  </si>
  <si>
    <t>Expand optional columns for Owner, Dependencies, Linked Documents, and Notes.</t>
  </si>
  <si>
    <t>Colour Key</t>
  </si>
  <si>
    <t>Green — Status 'Achieved' or 'On Track'. Variance ≤ 0.</t>
  </si>
  <si>
    <t>Amber — Status 'At Risk'. Variance 1–14 days.</t>
  </si>
  <si>
    <t>Red — Status 'Missed'. Variance &gt;14 days.</t>
  </si>
  <si>
    <t>Calendar strip — Darker shading indicates more milestones that month.</t>
  </si>
  <si>
    <t>Tips</t>
  </si>
  <si>
    <t>Tip 1:</t>
  </si>
  <si>
    <t>Review this register at every monthly progress meeting. It's your early warning system — a milestone forecast slipping by even a few days should trigger action, not just a note.</t>
  </si>
  <si>
    <t>Tip 2:</t>
  </si>
  <si>
    <t>Include contractual key dates (from the contract conditions), programme milestones (from your master programme), and client/regulatory dates. Categorise them so you can filter by type.</t>
  </si>
  <si>
    <t>Tip 3:</t>
  </si>
  <si>
    <t>When a milestone is missed, record the Actual Date and change Status to 'Missed'. Don't delete or adjust the Planned Date — the variance record is your audit trail for delay analysis.</t>
  </si>
  <si>
    <t>KEY DATES &amp; MILESTONE REGISTER</t>
  </si>
  <si>
    <t>Project:</t>
  </si>
  <si>
    <t>Riverside Gateway Phase 2</t>
  </si>
  <si>
    <t>Contract Start:</t>
  </si>
  <si>
    <t>Contract End:</t>
  </si>
  <si>
    <t>On Track:</t>
  </si>
  <si>
    <t>Prepared By:</t>
  </si>
  <si>
    <t>S. Patel</t>
  </si>
  <si>
    <t>Rev:</t>
  </si>
  <si>
    <t>Rev 06 — March 2026</t>
  </si>
  <si>
    <t>Missed:</t>
  </si>
  <si>
    <t>At Risk:</t>
  </si>
  <si>
    <t>MILESTONE
CALENDAR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</si>
  <si>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</si>
  <si>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</si>
  <si>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</si>
  <si>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</si>
  <si>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</si>
  <si>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</si>
  <si>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</si>
  <si>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</si>
  <si>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</si>
  <si>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</si>
  <si>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</si>
  <si>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</si>
  <si>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▸ Optional Fields — Click [+] to expand</t>
  </si>
  <si>
    <t>Ref</t>
  </si>
  <si>
    <t>Milestone Description</t>
  </si>
  <si>
    <t>Category</t>
  </si>
  <si>
    <t>Planned Date</t>
  </si>
  <si>
    <t>Forecast Date</t>
  </si>
  <si>
    <t>Actual Date</t>
  </si>
  <si>
    <t>Variance (days)</t>
  </si>
  <si>
    <t>Status</t>
  </si>
  <si>
    <t>Priority</t>
  </si>
  <si>
    <t>Owner</t>
  </si>
  <si>
    <t>Dependencies</t>
  </si>
  <si>
    <t>Linked Document</t>
  </si>
  <si>
    <t>Notes</t>
  </si>
  <si>
    <t>KD-001</t>
  </si>
  <si>
    <t>Contract award / possession of site</t>
  </si>
  <si>
    <t>Contractual</t>
  </si>
  <si>
    <t>Achieved</t>
  </si>
  <si>
    <t>Critical</t>
  </si>
  <si>
    <t>Contract doc ref</t>
  </si>
  <si>
    <t>Complete on time</t>
  </si>
  <si>
    <t>KD-002</t>
  </si>
  <si>
    <t>Piling works complete</t>
  </si>
  <si>
    <t>Programme</t>
  </si>
  <si>
    <t>High</t>
  </si>
  <si>
    <t>Briggs GW</t>
  </si>
  <si>
    <t>Completed 3 days early</t>
  </si>
  <si>
    <t>KD-003</t>
  </si>
  <si>
    <t>Substructure complete (all foundations)</t>
  </si>
  <si>
    <t>On Track</t>
  </si>
  <si>
    <t>Programme Rev 08</t>
  </si>
  <si>
    <t>KD-004</t>
  </si>
  <si>
    <t>Building control Stage 2 sign-off</t>
  </si>
  <si>
    <t>Regulatory</t>
  </si>
  <si>
    <t>J. Hartley</t>
  </si>
  <si>
    <t>KD-003 partial</t>
  </si>
  <si>
    <t>BC application ref</t>
  </si>
  <si>
    <t>Inspector visit booked 10/04</t>
  </si>
  <si>
    <t>KD-005</t>
  </si>
  <si>
    <t>Steel frame Level 3 complete</t>
  </si>
  <si>
    <t>At Risk</t>
  </si>
  <si>
    <t>SteelFix</t>
  </si>
  <si>
    <t>Steel delivery 2 weeks late — mitigation plan in progress</t>
  </si>
  <si>
    <t>KD-006</t>
  </si>
  <si>
    <t>Watertight building envelope</t>
  </si>
  <si>
    <t>FacadeTech</t>
  </si>
  <si>
    <t>Dependent on steel frame — may slip if KD-005 not recovered</t>
  </si>
  <si>
    <t>KD-007</t>
  </si>
  <si>
    <t>Section 278 highways works complete</t>
  </si>
  <si>
    <t>S278 agreement</t>
  </si>
  <si>
    <t>KD-008</t>
  </si>
  <si>
    <t>M&amp;E first fix complete</t>
  </si>
  <si>
    <t>Northern M&amp;E</t>
  </si>
  <si>
    <t>Tracking 7 days late due to envelope dependency</t>
  </si>
  <si>
    <t>KD-009</t>
  </si>
  <si>
    <t>Practical completion — Block A</t>
  </si>
  <si>
    <t>All</t>
  </si>
  <si>
    <t>7 days forecast slip — recovery plan under review</t>
  </si>
  <si>
    <t>KD-010</t>
  </si>
  <si>
    <t>Defects liability period ends</t>
  </si>
  <si>
    <t>Medium</t>
  </si>
  <si>
    <t>12 months from PC</t>
  </si>
  <si>
    <t>EBRORA — TERMS OF USE</t>
  </si>
  <si>
    <t>This template is provided free of charge by Ebrora (ebrora.com) for personal and professional use.</t>
  </si>
  <si>
    <t>1. LICENCE: You may use this template for your own projects. You may not resell, redistribute, or claim authorship of this template.</t>
  </si>
  <si>
    <t>2. NO WARRANTY: This template is provided "as is" without warranty of any kind. Ebrora accepts no liability for errors, omissions, or losses arising from use of this template.</t>
  </si>
  <si>
    <t>3. INTELLECTUAL PROPERTY: All design, layout, branding, and content remain the intellectual property of Ebrora.</t>
  </si>
  <si>
    <t>4. MODIFICATIONS: You may modify this template for your own use. Modified versions may not be distributed or sold.</t>
  </si>
  <si>
    <t>5. ATTRIBUTION: If you share outputs generated using this template, attribution to Ebrora (ebrora.com) is appreciated but not required.</t>
  </si>
  <si>
    <t>6. SUPPORT: For queries, feedback, or to report errors, contact support@ebrora.com.</t>
  </si>
  <si>
    <t>For our full range of professional construction management tools, visit ebrora.com.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</si>
</sst>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36"/>
      <color rgb="FFFFFFFF"/>
      <name val="Calibri"/>
      <charset val="1"/>
    </font>
    <font>
      <sz val="12"/>
      <color rgb="FF2AABB3"/>
      <name val="Calibri"/>
      <charset val="1"/>
    </font>
    <font>
      <b/>
      <sz val="28"/>
      <color rgb="FFFFFFFF"/>
      <name val="Calibri"/>
      <charset val="1"/>
    </font>
    <font>
      <sz val="12"/>
      <color rgb="FFFFFFFF"/>
      <name val="Calibri"/>
      <charset val="1"/>
    </font>
    <font>
      <sz val="11"/>
      <color rgb="FF1B2A4A"/>
      <name val="Calibri"/>
      <charset val="1"/>
    </font>
    <font>
      <i/>
      <sz val="9"/>
      <color rgb="FF8C8C8C"/>
      <name val="Calibri"/>
      <charset val="1"/>
    </font>
    <font>
      <b/>
      <sz val="14"/>
      <color rgb="FF1B2A4A"/>
      <name val="Calibri"/>
      <charset val="1"/>
    </font>
    <font>
      <sz val="10"/>
      <color rgb="FF1B2A4A"/>
      <name val="Calibri"/>
      <charset val="1"/>
    </font>
    <font>
      <b/>
      <sz val="11"/>
      <color rgb="FF2AABB3"/>
      <name val="Calibri"/>
      <charset val="1"/>
    </font>
    <font>
      <b/>
      <sz val="10"/>
      <color rgb="FF1B2A4A"/>
      <name val="Calibri"/>
      <charset val="1"/>
    </font>
    <font>
      <b/>
      <sz val="14"/>
      <color rgb="FFFFFFFF"/>
      <name val="Calibri"/>
      <charset val="1"/>
    </font>
    <font>
      <b/>
      <sz val="12"/>
      <color rgb="FF228B22"/>
      <name val="Calibri"/>
      <charset val="1"/>
    </font>
    <font>
      <b/>
      <sz val="12"/>
      <color rgb="FFCC0000"/>
      <name val="Calibri"/>
      <charset val="1"/>
    </font>
    <font>
      <b/>
      <sz val="12"/>
      <color rgb="FFCC8800"/>
      <name val="Calibri"/>
      <charset val="1"/>
    </font>
    <font>
      <b/>
      <sz val="8"/>
      <color rgb="FF1B2A4A"/>
      <name val="Calibri"/>
      <charset val="1"/>
    </font>
    <font>
      <b/>
      <sz val="8"/>
      <color rgb="FFFFFFFF"/>
      <name val="Calibri"/>
      <charset val="1"/>
    </font>
    <font>
      <b/>
      <sz val="11"/>
      <color rgb="FF1B2A4A"/>
      <name val="Calibri"/>
      <charset val="1"/>
    </font>
    <font>
      <i/>
      <sz val="9"/>
      <color rgb="FF2AABB3"/>
      <name val="Calibri"/>
      <charset val="1"/>
    </font>
    <font>
      <b/>
      <sz val="11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</fills>
  <borders count="7">
    <border>
      <left/>
      <right/>
      <top/>
      <bottom/>
      <diagonal/>
    </border>
    <border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>
      <left/>
      <right/>
      <top/>
      <bottom style="thin">
        <color rgb="FF2AABB3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/>
      <bottom style="thick">
        <color rgb="FF1B2A4A"/>
      </bottom>
      <diagonal/>
    </border>
    <border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>
      <left/>
      <right style="hair">
        <color rgb="FF8C8C8C"/>
      </right>
      <top/>
      <bottom style="hair">
        <color rgb="FF8C8C8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8" fillId="0" borderId="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8" fillId="4" borderId="2" xfId="0" applyFont="1" applyFill="1" applyBorder="1"/>
    <xf numFmtId="0" fontId="11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ill="1"/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2" borderId="0" xfId="0" applyFill="1"/>
    <xf numFmtId="0" fontId="10" fillId="0" borderId="0" xfId="0" applyFont="1" applyAlignment="1">
      <alignment horizontal="right" vertical="center"/>
    </xf>
    <xf numFmtId="0" fontId="8" fillId="4" borderId="2" xfId="0" applyFont="1" applyFill="1" applyBorder="1"/>
    <xf numFmtId="14" fontId="8" fillId="4" borderId="2" xfId="0" applyNumberFormat="1" applyFont="1" applyFill="1" applyBorder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9" fillId="2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center" wrapText="1"/>
    </xf>
    <xf numFmtId="14" fontId="8" fillId="5" borderId="6" xfId="0" applyNumberFormat="1" applyFont="1" applyFill="1" applyBorder="1" applyAlignment="1">
      <alignment horizontal="left" vertical="center" wrapText="1"/>
    </xf>
    <xf numFmtId="1" fontId="8" fillId="3" borderId="6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14" fontId="8" fillId="4" borderId="6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8F6F7"/>
        </patternFill>
      </fill>
    </dxf>
    <dxf>
      <fill>
        <patternFill>
          <bgColor rgb="FF2AABB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CC88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24"/>
  <sheetViews>
    <sheetView showGridLines="0" zoomScaleNormal="100" workbookViewId="0"/>
  </sheetViews>
  <sheetFormatPr defaultColWidth="8.7421875" defaultRowHeight="15" x14ac:dyDescent="0.2"/>
  <cols>
    <col min="1" max="8" width="13.98828125" customWidth="1"/>
  </cols>
  <sheetData>
    <row r="1" spans="1:8" ht="1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13"/>
      <c r="B2" s="13"/>
      <c r="C2" s="13"/>
      <c r="D2" s="13"/>
      <c r="E2" s="13"/>
      <c r="F2" s="13"/>
      <c r="G2" s="13"/>
      <c r="H2" s="13"/>
    </row>
    <row r="3" spans="1:8" x14ac:dyDescent="0.2">
      <c r="A3" s="13"/>
      <c r="B3" s="13"/>
      <c r="C3" s="13"/>
      <c r="D3" s="13"/>
      <c r="E3" s="13"/>
      <c r="F3" s="13"/>
      <c r="G3" s="13"/>
      <c r="H3" s="13"/>
    </row>
    <row r="4" spans="1:8" ht="15" customHeight="1" x14ac:dyDescent="0.2">
      <c r="A4" s="12" t="s">
        <v>1</v>
      </c>
      <c r="B4" s="12"/>
      <c r="C4" s="12"/>
      <c r="D4" s="12"/>
      <c r="E4" s="12"/>
      <c r="F4" s="12"/>
      <c r="G4" s="12"/>
      <c r="H4" s="12"/>
    </row>
    <row r="5" spans="1:8" x14ac:dyDescent="0.2">
      <c r="A5" s="14"/>
      <c r="B5" s="14"/>
      <c r="C5" s="14"/>
      <c r="D5" s="14"/>
      <c r="E5" s="14"/>
      <c r="F5" s="14"/>
      <c r="G5" s="14"/>
      <c r="H5" s="14"/>
    </row>
    <row r="6" spans="1:8" ht="15" customHeight="1" x14ac:dyDescent="0.2">
      <c r="A6" s="11" t="s">
        <v>2</v>
      </c>
      <c r="B6" s="11"/>
      <c r="C6" s="11"/>
      <c r="D6" s="11"/>
      <c r="E6" s="11"/>
      <c r="F6" s="11"/>
      <c r="G6" s="11"/>
      <c r="H6" s="11"/>
    </row>
    <row r="7" spans="1:8" x14ac:dyDescent="0.2">
      <c r="A7" s="11"/>
      <c r="B7" s="11"/>
      <c r="C7" s="11"/>
      <c r="D7" s="11"/>
      <c r="E7" s="11"/>
      <c r="F7" s="11"/>
      <c r="G7" s="11"/>
      <c r="H7" s="11"/>
    </row>
    <row r="8" spans="1:8" x14ac:dyDescent="0.2">
      <c r="A8" s="11"/>
      <c r="B8" s="11"/>
      <c r="C8" s="11"/>
      <c r="D8" s="11"/>
      <c r="E8" s="11"/>
      <c r="F8" s="11"/>
      <c r="G8" s="11"/>
      <c r="H8" s="11"/>
    </row>
    <row r="9" spans="1:8" x14ac:dyDescent="0.2">
      <c r="A9" s="14"/>
      <c r="B9" s="14"/>
      <c r="C9" s="14"/>
      <c r="D9" s="14"/>
      <c r="E9" s="14"/>
      <c r="F9" s="14"/>
      <c r="G9" s="14"/>
      <c r="H9" s="14"/>
    </row>
    <row r="10" spans="1:8" ht="15" customHeight="1" x14ac:dyDescent="0.2">
      <c r="A10" s="10" t="s">
        <v>3</v>
      </c>
      <c r="B10" s="10"/>
      <c r="C10" s="10"/>
      <c r="D10" s="10"/>
      <c r="E10" s="10"/>
      <c r="F10" s="10"/>
      <c r="G10" s="10"/>
      <c r="H10" s="10"/>
    </row>
    <row r="11" spans="1:8" x14ac:dyDescent="0.2">
      <c r="A11" s="10"/>
      <c r="B11" s="10"/>
      <c r="C11" s="10"/>
      <c r="D11" s="10"/>
      <c r="E11" s="10"/>
      <c r="F11" s="10"/>
      <c r="G11" s="10"/>
      <c r="H11" s="10"/>
    </row>
    <row r="12" spans="1:8" x14ac:dyDescent="0.2">
      <c r="A12" s="14"/>
      <c r="B12" s="14"/>
      <c r="C12" s="14"/>
      <c r="D12" s="14"/>
      <c r="E12" s="14"/>
      <c r="F12" s="14"/>
      <c r="G12" s="14"/>
      <c r="H12" s="14"/>
    </row>
    <row r="13" spans="1:8" x14ac:dyDescent="0.2">
      <c r="A13" s="14"/>
      <c r="B13" s="14"/>
      <c r="C13" s="14"/>
      <c r="D13" s="14"/>
      <c r="E13" s="14"/>
      <c r="F13" s="14"/>
      <c r="G13" s="14"/>
      <c r="H13" s="14"/>
    </row>
    <row r="14" spans="1:8" ht="15" customHeight="1" x14ac:dyDescent="0.2">
      <c r="A14" s="9" t="s">
        <v>4</v>
      </c>
      <c r="B14" s="9"/>
      <c r="C14" s="9"/>
      <c r="D14" s="9"/>
      <c r="E14" s="9"/>
      <c r="F14" s="9"/>
      <c r="G14" s="9"/>
      <c r="H14" s="9"/>
    </row>
    <row r="15" spans="1:8" x14ac:dyDescent="0.2">
      <c r="A15" s="9"/>
      <c r="B15" s="9"/>
      <c r="C15" s="9"/>
      <c r="D15" s="9"/>
      <c r="E15" s="9"/>
      <c r="F15" s="9"/>
      <c r="G15" s="9"/>
      <c r="H15" s="9"/>
    </row>
    <row r="16" spans="1:8" x14ac:dyDescent="0.2">
      <c r="A16" s="9"/>
      <c r="B16" s="9"/>
      <c r="C16" s="9"/>
      <c r="D16" s="9"/>
      <c r="E16" s="9"/>
      <c r="F16" s="9"/>
      <c r="G16" s="9"/>
      <c r="H16" s="9"/>
    </row>
    <row r="17" spans="1:8" x14ac:dyDescent="0.2">
      <c r="A17" s="9"/>
      <c r="B17" s="9"/>
      <c r="C17" s="9"/>
      <c r="D17" s="9"/>
      <c r="E17" s="9"/>
      <c r="F17" s="9"/>
      <c r="G17" s="9"/>
      <c r="H17" s="9"/>
    </row>
    <row r="18" spans="1:8" x14ac:dyDescent="0.2">
      <c r="A18" s="14"/>
      <c r="B18" s="14"/>
      <c r="C18" s="14"/>
      <c r="D18" s="14"/>
      <c r="E18" s="14"/>
      <c r="F18" s="14"/>
      <c r="G18" s="14"/>
      <c r="H18" s="14"/>
    </row>
    <row r="19" spans="1:8" ht="15" customHeight="1" x14ac:dyDescent="0.2">
      <c r="A19" s="8" t="s">
        <v>5</v>
      </c>
      <c r="B19" s="8"/>
      <c r="C19" s="8"/>
      <c r="D19" s="8"/>
      <c r="E19" s="8"/>
      <c r="F19" s="8"/>
      <c r="G19" s="8"/>
      <c r="H19" s="8"/>
    </row>
    <row r="20" spans="1:8" x14ac:dyDescent="0.2">
      <c r="A20" s="14"/>
      <c r="B20" s="14"/>
      <c r="C20" s="14"/>
      <c r="D20" s="14"/>
      <c r="E20" s="14"/>
      <c r="F20" s="14"/>
      <c r="G20" s="14"/>
      <c r="H20" s="14"/>
    </row>
    <row r="21" spans="1:8" x14ac:dyDescent="0.2">
      <c r="A21" s="14"/>
      <c r="B21" s="14"/>
      <c r="C21" s="14"/>
      <c r="D21" s="14"/>
      <c r="E21" s="14"/>
      <c r="F21" s="14"/>
      <c r="G21" s="14"/>
      <c r="H21" s="14"/>
    </row>
    <row r="22" spans="1:8" x14ac:dyDescent="0.2">
      <c r="A22" s="14"/>
      <c r="B22" s="14"/>
      <c r="C22" s="14"/>
      <c r="D22" s="14"/>
      <c r="E22" s="14"/>
      <c r="F22" s="14"/>
      <c r="G22" s="14"/>
      <c r="H22" s="14"/>
    </row>
    <row r="23" spans="1:8" x14ac:dyDescent="0.2">
      <c r="A23" s="14"/>
      <c r="B23" s="14"/>
      <c r="C23" s="14"/>
      <c r="D23" s="14"/>
      <c r="E23" s="14"/>
      <c r="F23" s="14"/>
      <c r="G23" s="14"/>
      <c r="H23" s="14"/>
    </row>
    <row r="24" spans="1:8" x14ac:dyDescent="0.2">
      <c r="A24" s="14"/>
      <c r="B24" s="14"/>
      <c r="C24" s="14"/>
      <c r="D24" s="14"/>
      <c r="E24" s="14"/>
      <c r="F24" s="14"/>
      <c r="G24" s="14"/>
      <c r="H24" s="14"/>
    </row>
  </sheetData>
  <mergeCells count="6">
    <mergeCell ref="A19:H19"/>
    <mergeCell ref="A1:H3"/>
    <mergeCell ref="A4:H4"/>
    <mergeCell ref="A6:H8"/>
    <mergeCell ref="A10:H11"/>
    <mergeCell ref="A14:H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ABB3"/>
  </sheetPr>
  <dimension ref="A1:F21"/>
  <sheetViews>
    <sheetView showGridLines="0" zoomScaleNormal="100" workbookViewId="0"/>
  </sheetViews>
  <sheetFormatPr defaultColWidth="8.7421875" defaultRowHeight="15" x14ac:dyDescent="0.2"/>
  <cols>
    <col min="1" max="1" width="7.93359375" customWidth="1"/>
    <col min="2" max="6" width="16.0078125" customWidth="1"/>
  </cols>
  <sheetData>
    <row r="1" spans="1:6" ht="18.600000000000001" customHeight="1" x14ac:dyDescent="0.2">
      <c r="A1" s="7" t="s">
        <v>6</v>
      </c>
      <c r="B1" s="7"/>
      <c r="C1" s="7"/>
      <c r="D1" s="7"/>
      <c r="E1" s="7"/>
      <c r="F1" s="7"/>
    </row>
    <row r="3" spans="1:6" x14ac:dyDescent="0.2">
      <c r="A3" s="15"/>
      <c r="B3" s="6"/>
      <c r="C3" s="6"/>
      <c r="D3" s="6"/>
      <c r="E3" s="6"/>
      <c r="F3" s="6"/>
    </row>
    <row r="4" spans="1:6" ht="15" customHeight="1" x14ac:dyDescent="0.2">
      <c r="A4" s="5" t="s">
        <v>7</v>
      </c>
      <c r="B4" s="5"/>
      <c r="C4" s="5"/>
      <c r="D4" s="5"/>
      <c r="E4" s="5"/>
      <c r="F4" s="5"/>
    </row>
    <row r="5" spans="1:6" ht="23.85" customHeight="1" x14ac:dyDescent="0.2">
      <c r="A5" s="15" t="s">
        <v>8</v>
      </c>
      <c r="B5" s="6" t="s">
        <v>9</v>
      </c>
      <c r="C5" s="6"/>
      <c r="D5" s="6"/>
      <c r="E5" s="6"/>
      <c r="F5" s="6"/>
    </row>
    <row r="6" spans="1:6" ht="23.85" customHeight="1" x14ac:dyDescent="0.2">
      <c r="A6" s="15" t="s">
        <v>10</v>
      </c>
      <c r="B6" s="6" t="s">
        <v>11</v>
      </c>
      <c r="C6" s="6"/>
      <c r="D6" s="6"/>
      <c r="E6" s="6"/>
      <c r="F6" s="6"/>
    </row>
    <row r="7" spans="1:6" ht="23.85" customHeight="1" x14ac:dyDescent="0.2">
      <c r="A7" s="15" t="s">
        <v>12</v>
      </c>
      <c r="B7" s="6" t="s">
        <v>13</v>
      </c>
      <c r="C7" s="6"/>
      <c r="D7" s="6"/>
      <c r="E7" s="6"/>
      <c r="F7" s="6"/>
    </row>
    <row r="8" spans="1:6" ht="23.85" customHeight="1" x14ac:dyDescent="0.2">
      <c r="A8" s="15" t="s">
        <v>14</v>
      </c>
      <c r="B8" s="6" t="s">
        <v>15</v>
      </c>
      <c r="C8" s="6"/>
      <c r="D8" s="6"/>
      <c r="E8" s="6"/>
      <c r="F8" s="6"/>
    </row>
    <row r="9" spans="1:6" ht="23.85" customHeight="1" x14ac:dyDescent="0.2">
      <c r="A9" s="15" t="s">
        <v>16</v>
      </c>
      <c r="B9" s="6" t="s">
        <v>17</v>
      </c>
      <c r="C9" s="6"/>
      <c r="D9" s="6"/>
      <c r="E9" s="6"/>
      <c r="F9" s="6"/>
    </row>
    <row r="10" spans="1:6" ht="15" customHeight="1" x14ac:dyDescent="0.2">
      <c r="A10" s="15" t="s">
        <v>18</v>
      </c>
      <c r="B10" s="6" t="s">
        <v>19</v>
      </c>
      <c r="C10" s="6"/>
      <c r="D10" s="6"/>
      <c r="E10" s="6"/>
      <c r="F10" s="6"/>
    </row>
    <row r="11" spans="1:6" x14ac:dyDescent="0.2">
      <c r="A11" s="15"/>
      <c r="B11" s="6"/>
      <c r="C11" s="6"/>
      <c r="D11" s="6"/>
      <c r="E11" s="6"/>
      <c r="F11" s="6"/>
    </row>
    <row r="12" spans="1:6" ht="15" customHeight="1" x14ac:dyDescent="0.2">
      <c r="A12" s="5" t="s">
        <v>20</v>
      </c>
      <c r="B12" s="5"/>
      <c r="C12" s="5"/>
      <c r="D12" s="5"/>
      <c r="E12" s="5"/>
      <c r="F12" s="5"/>
    </row>
    <row r="13" spans="1:6" ht="15" customHeight="1" x14ac:dyDescent="0.2">
      <c r="A13" s="15"/>
      <c r="B13" s="6" t="s">
        <v>21</v>
      </c>
      <c r="C13" s="6"/>
      <c r="D13" s="6"/>
      <c r="E13" s="6"/>
      <c r="F13" s="6"/>
    </row>
    <row r="14" spans="1:6" ht="15" customHeight="1" x14ac:dyDescent="0.2">
      <c r="A14" s="15"/>
      <c r="B14" s="6" t="s">
        <v>22</v>
      </c>
      <c r="C14" s="6"/>
      <c r="D14" s="6"/>
      <c r="E14" s="6"/>
      <c r="F14" s="6"/>
    </row>
    <row r="15" spans="1:6" ht="15" customHeight="1" x14ac:dyDescent="0.2">
      <c r="A15" s="15"/>
      <c r="B15" s="6" t="s">
        <v>23</v>
      </c>
      <c r="C15" s="6"/>
      <c r="D15" s="6"/>
      <c r="E15" s="6"/>
      <c r="F15" s="6"/>
    </row>
    <row r="16" spans="1:6" ht="15" customHeight="1" x14ac:dyDescent="0.2">
      <c r="A16" s="15"/>
      <c r="B16" s="6" t="s">
        <v>24</v>
      </c>
      <c r="C16" s="6"/>
      <c r="D16" s="6"/>
      <c r="E16" s="6"/>
      <c r="F16" s="6"/>
    </row>
    <row r="17" spans="1:6" x14ac:dyDescent="0.2">
      <c r="A17" s="15"/>
      <c r="B17" s="6"/>
      <c r="C17" s="6"/>
      <c r="D17" s="6"/>
      <c r="E17" s="6"/>
      <c r="F17" s="6"/>
    </row>
    <row r="18" spans="1:6" ht="15" customHeight="1" x14ac:dyDescent="0.2">
      <c r="A18" s="5" t="s">
        <v>25</v>
      </c>
      <c r="B18" s="5"/>
      <c r="C18" s="5"/>
      <c r="D18" s="5"/>
      <c r="E18" s="5"/>
      <c r="F18" s="5"/>
    </row>
    <row r="19" spans="1:6" ht="23.85" customHeight="1" x14ac:dyDescent="0.2">
      <c r="A19" s="16" t="s">
        <v>26</v>
      </c>
      <c r="B19" s="6" t="s">
        <v>27</v>
      </c>
      <c r="C19" s="6"/>
      <c r="D19" s="6"/>
      <c r="E19" s="6"/>
      <c r="F19" s="6"/>
    </row>
    <row r="20" spans="1:6" ht="23.85" customHeight="1" x14ac:dyDescent="0.2">
      <c r="A20" s="16" t="s">
        <v>28</v>
      </c>
      <c r="B20" s="6" t="s">
        <v>29</v>
      </c>
      <c r="C20" s="6"/>
      <c r="D20" s="6"/>
      <c r="E20" s="6"/>
      <c r="F20" s="6"/>
    </row>
    <row r="21" spans="1:6" ht="23.85" customHeight="1" x14ac:dyDescent="0.2">
      <c r="A21" s="16" t="s">
        <v>30</v>
      </c>
      <c r="B21" s="6" t="s">
        <v>31</v>
      </c>
      <c r="C21" s="6"/>
      <c r="D21" s="6"/>
      <c r="E21" s="6"/>
      <c r="F21" s="6"/>
    </row>
  </sheetData>
  <mergeCells count="20">
    <mergeCell ref="B17:F17"/>
    <mergeCell ref="A18:F18"/>
    <mergeCell ref="B19:F19"/>
    <mergeCell ref="B20:F20"/>
    <mergeCell ref="B21:F21"/>
    <mergeCell ref="A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B3:F3"/>
    <mergeCell ref="A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abSelected="1" zoomScaleNormal="100" workbookViewId="0">
      <pane ySplit="9" topLeftCell="A10" activePane="bottomLeft" state="frozen"/>
      <selection pane="bottomLeft"/>
    </sheetView>
  </sheetViews>
  <sheetFormatPr defaultColWidth="8.7421875" defaultRowHeight="15" outlineLevelCol="1" x14ac:dyDescent="0.2"/>
  <cols>
    <col min="1" max="1" width="9.953125" customWidth="1"/>
    <col min="2" max="2" width="37.93359375" customWidth="1"/>
    <col min="3" max="3" width="13.98828125" customWidth="1"/>
    <col min="4" max="6" width="13.046875" customWidth="1"/>
    <col min="7" max="7" width="13.98828125" customWidth="1"/>
    <col min="8" max="8" width="11.97265625" customWidth="1"/>
    <col min="9" max="9" width="9.953125" customWidth="1"/>
    <col min="10" max="13" width="16.0078125" customWidth="1" outlineLevel="1"/>
  </cols>
  <sheetData>
    <row r="1" spans="1:13" ht="18.600000000000001" customHeight="1" x14ac:dyDescent="0.2">
      <c r="A1" s="4" t="s">
        <v>32</v>
      </c>
      <c r="B1" s="4"/>
      <c r="C1" s="4"/>
      <c r="D1" s="4"/>
      <c r="E1" s="4"/>
      <c r="F1" s="4"/>
      <c r="G1" s="4"/>
      <c r="H1" s="4"/>
      <c r="I1" s="4"/>
      <c r="J1" s="17"/>
      <c r="K1" s="17"/>
      <c r="L1" s="17"/>
      <c r="M1" s="17"/>
    </row>
    <row r="3" spans="1:13" ht="15.75" x14ac:dyDescent="0.2">
      <c r="A3" s="18" t="s">
        <v>33</v>
      </c>
      <c r="B3" s="3" t="s">
        <v>34</v>
      </c>
      <c r="C3" s="3"/>
      <c r="D3" s="18" t="s">
        <v>35</v>
      </c>
      <c r="E3" s="20">
        <v>46027</v>
      </c>
      <c r="F3" s="18" t="s">
        <v>36</v>
      </c>
      <c r="G3" s="20">
        <v>46477</v>
      </c>
      <c r="H3" s="18" t="s">
        <v>37</v>
      </c>
      <c r="I3" s="21">
        <f>COUNTIF(H10:H34,"On Track")+COUNTIF(H10:H34,"Achieved")</f>
        <v>6</v>
      </c>
    </row>
    <row r="4" spans="1:13" ht="15.75" x14ac:dyDescent="0.2">
      <c r="A4" s="18" t="s">
        <v>38</v>
      </c>
      <c r="B4" s="19" t="s">
        <v>39</v>
      </c>
      <c r="D4" s="18" t="s">
        <v>40</v>
      </c>
      <c r="E4" s="19" t="s">
        <v>41</v>
      </c>
      <c r="F4" s="18" t="s">
        <v>42</v>
      </c>
      <c r="G4" s="22">
        <f>COUNTIF(H10:H34,"Missed")</f>
        <v>0</v>
      </c>
      <c r="H4" s="18" t="s">
        <v>43</v>
      </c>
      <c r="I4" s="23">
        <f>COUNTIF(H10:H34,"At Risk")</f>
        <v>4</v>
      </c>
    </row>
    <row r="6" spans="1:13" ht="15" customHeight="1" x14ac:dyDescent="0.2">
      <c r="A6" s="2" t="s">
        <v>44</v>
      </c>
      <c r="B6" s="24" t="s">
        <v>45</v>
      </c>
      <c r="C6" s="24" t="s">
        <v>46</v>
      </c>
      <c r="D6" s="24" t="s">
        <v>47</v>
      </c>
      <c r="E6" s="24" t="s">
        <v>48</v>
      </c>
      <c r="F6" s="24" t="s">
        <v>49</v>
      </c>
      <c r="G6" s="24" t="s">
        <v>50</v>
      </c>
      <c r="H6" s="24" t="s">
        <v>51</v>
      </c>
      <c r="I6" s="24" t="s">
        <v>52</v>
      </c>
      <c r="J6" s="24" t="s">
        <v>53</v>
      </c>
      <c r="K6" s="24" t="s">
        <v>54</v>
      </c>
      <c r="L6" s="24" t="s">
        <v>55</v>
      </c>
      <c r="M6" s="24" t="s">
        <v>56</v>
      </c>
    </row>
    <row r="7" spans="1:13" x14ac:dyDescent="0.2">
      <c r="A7" s="2"/>
      <c r="B7" s="25">
        <f>SUMPRODUCT((MONTH(D10:D34)=1)*(D10:D34&lt;&gt;""))</f>
        <v>1</v>
      </c>
      <c r="C7" s="25">
        <f>SUMPRODUCT((MONTH(D10:D34)=2)*(D10:D34&lt;&gt;""))</f>
        <v>2</v>
      </c>
      <c r="D7" s="25">
        <f>SUMPRODUCT((MONTH(D10:D34)=3)*(D10:D34&lt;&gt;""))</f>
        <v>1</v>
      </c>
      <c r="E7" s="25">
        <f>SUMPRODUCT((MONTH(D10:D34)=4)*(D10:D34&lt;&gt;""))</f>
        <v>1</v>
      </c>
      <c r="F7" s="25">
        <f>SUMPRODUCT((MONTH(D10:D34)=5)*(D10:D34&lt;&gt;""))</f>
        <v>1</v>
      </c>
      <c r="G7" s="25">
        <f>SUMPRODUCT((MONTH(D10:D34)=6)*(D10:D34&lt;&gt;""))</f>
        <v>1</v>
      </c>
      <c r="H7" s="25">
        <f>SUMPRODUCT((MONTH(D10:D34)=7)*(D10:D34&lt;&gt;""))</f>
        <v>1</v>
      </c>
      <c r="I7" s="25">
        <f>SUMPRODUCT((MONTH(D10:D34)=8)*(D10:D34&lt;&gt;""))</f>
        <v>0</v>
      </c>
      <c r="J7" s="25">
        <f>SUMPRODUCT((MONTH(D10:D34)=9)*(D10:D34&lt;&gt;""))</f>
        <v>1</v>
      </c>
      <c r="K7" s="25">
        <f>SUMPRODUCT((MONTH(D10:D34)=10)*(D10:D34&lt;&gt;""))</f>
        <v>1</v>
      </c>
      <c r="L7" s="25">
        <f>SUMPRODUCT((MONTH(D10:D34)=11)*(D10:D34&lt;&gt;""))</f>
        <v>0</v>
      </c>
      <c r="M7" s="25">
        <f>SUMPRODUCT((MONTH(D10:D34)=12)*(D10:D34&lt;&gt;""))</f>
        <v>0</v>
      </c>
    </row>
    <row r="8" spans="1:13" ht="22.35" customHeight="1" x14ac:dyDescent="0.2">
      <c r="A8" s="26"/>
      <c r="B8" s="26"/>
      <c r="C8" s="26"/>
      <c r="D8" s="26"/>
      <c r="E8" s="26"/>
      <c r="F8" s="26"/>
      <c r="G8" s="26"/>
      <c r="H8" s="26"/>
      <c r="I8" s="26"/>
      <c r="J8" s="1" t="s">
        <v>57</v>
      </c>
      <c r="K8" s="1"/>
      <c r="L8" s="1"/>
      <c r="M8" s="1"/>
    </row>
    <row r="9" spans="1:13" ht="27.75" x14ac:dyDescent="0.2">
      <c r="A9" s="27" t="s">
        <v>58</v>
      </c>
      <c r="B9" s="27" t="s">
        <v>59</v>
      </c>
      <c r="C9" s="27" t="s">
        <v>60</v>
      </c>
      <c r="D9" s="27" t="s">
        <v>61</v>
      </c>
      <c r="E9" s="27" t="s">
        <v>62</v>
      </c>
      <c r="F9" s="27" t="s">
        <v>63</v>
      </c>
      <c r="G9" s="27" t="s">
        <v>64</v>
      </c>
      <c r="H9" s="27" t="s">
        <v>65</v>
      </c>
      <c r="I9" s="27" t="s">
        <v>66</v>
      </c>
      <c r="J9" s="27" t="s">
        <v>67</v>
      </c>
      <c r="K9" s="27" t="s">
        <v>68</v>
      </c>
      <c r="L9" s="27" t="s">
        <v>69</v>
      </c>
      <c r="M9" s="27" t="s">
        <v>70</v>
      </c>
    </row>
    <row r="10" spans="1:13" x14ac:dyDescent="0.2">
      <c r="A10" s="28" t="s">
        <v>71</v>
      </c>
      <c r="B10" s="29" t="s">
        <v>72</v>
      </c>
      <c r="C10" s="29" t="s">
        <v>73</v>
      </c>
      <c r="D10" s="30">
        <v>46027</v>
      </c>
      <c r="E10" s="30">
        <v>46027</v>
      </c>
      <c r="F10" s="30">
        <v>46027</v>
      </c>
      <c r="G10" s="31">
        <f>IF(F10&lt;&gt;"",F10-D10,IF(E10&lt;&gt;"",E10-D10,""))</f>
        <v>0</v>
      </c>
      <c r="H10" s="28" t="s">
        <v>74</v>
      </c>
      <c r="I10" s="28" t="s">
        <v>75</v>
      </c>
      <c r="J10" s="32" t="s">
        <v>39</v>
      </c>
      <c r="K10" s="32"/>
      <c r="L10" s="32" t="s">
        <v>76</v>
      </c>
      <c r="M10" s="32" t="s">
        <v>77</v>
      </c>
    </row>
    <row r="11" spans="1:13" ht="25.5" x14ac:dyDescent="0.2">
      <c r="A11" s="33" t="s">
        <v>78</v>
      </c>
      <c r="B11" s="32" t="s">
        <v>79</v>
      </c>
      <c r="C11" s="32" t="s">
        <v>80</v>
      </c>
      <c r="D11" s="34">
        <v>46096</v>
      </c>
      <c r="E11" s="34">
        <v>46093</v>
      </c>
      <c r="F11" s="34">
        <v>46093</v>
      </c>
      <c r="G11" s="31">
        <f>IF(F11&lt;&gt;"",F11-D11,IF(E11&lt;&gt;"",E11-D11,""))</f>
        <v>-3</v>
      </c>
      <c r="H11" s="33" t="s">
        <v>74</v>
      </c>
      <c r="I11" s="33" t="s">
        <v>81</v>
      </c>
      <c r="J11" s="32" t="s">
        <v>82</v>
      </c>
      <c r="K11" s="32" t="s">
        <v>71</v>
      </c>
      <c r="L11" s="32"/>
      <c r="M11" s="32" t="s">
        <v>83</v>
      </c>
    </row>
    <row r="12" spans="1:13" x14ac:dyDescent="0.2">
      <c r="A12" s="28" t="s">
        <v>84</v>
      </c>
      <c r="B12" s="29" t="s">
        <v>85</v>
      </c>
      <c r="C12" s="29" t="s">
        <v>80</v>
      </c>
      <c r="D12" s="30">
        <v>46172</v>
      </c>
      <c r="E12" s="30">
        <v>46172</v>
      </c>
      <c r="F12" s="30"/>
      <c r="G12" s="31">
        <f>IF(F12&lt;&gt;"",F12-D12,IF(E12&lt;&gt;"",E12-D12,""))</f>
        <v>0</v>
      </c>
      <c r="H12" s="28" t="s">
        <v>86</v>
      </c>
      <c r="I12" s="28" t="s">
        <v>75</v>
      </c>
      <c r="J12" s="32" t="s">
        <v>39</v>
      </c>
      <c r="K12" s="32" t="s">
        <v>78</v>
      </c>
      <c r="L12" s="32" t="s">
        <v>87</v>
      </c>
      <c r="M12" s="32"/>
    </row>
    <row r="13" spans="1:13" ht="25.5" x14ac:dyDescent="0.2">
      <c r="A13" s="33" t="s">
        <v>88</v>
      </c>
      <c r="B13" s="32" t="s">
        <v>89</v>
      </c>
      <c r="C13" s="32" t="s">
        <v>90</v>
      </c>
      <c r="D13" s="34">
        <v>46127</v>
      </c>
      <c r="E13" s="34">
        <v>46127</v>
      </c>
      <c r="F13" s="34"/>
      <c r="G13" s="31">
        <f>IF(F13&lt;&gt;"",F13-D13,IF(E13&lt;&gt;"",E13-D13,""))</f>
        <v>0</v>
      </c>
      <c r="H13" s="33" t="s">
        <v>86</v>
      </c>
      <c r="I13" s="33" t="s">
        <v>81</v>
      </c>
      <c r="J13" s="32" t="s">
        <v>91</v>
      </c>
      <c r="K13" s="32" t="s">
        <v>92</v>
      </c>
      <c r="L13" s="32" t="s">
        <v>93</v>
      </c>
      <c r="M13" s="32" t="s">
        <v>94</v>
      </c>
    </row>
    <row r="14" spans="1:13" ht="49.5" x14ac:dyDescent="0.2">
      <c r="A14" s="28" t="s">
        <v>95</v>
      </c>
      <c r="B14" s="29" t="s">
        <v>96</v>
      </c>
      <c r="C14" s="29" t="s">
        <v>80</v>
      </c>
      <c r="D14" s="30">
        <v>46234</v>
      </c>
      <c r="E14" s="30">
        <v>46248</v>
      </c>
      <c r="F14" s="30"/>
      <c r="G14" s="31">
        <f>IF(F14&lt;&gt;"",F14-D14,IF(E14&lt;&gt;"",E14-D14,""))</f>
        <v>14</v>
      </c>
      <c r="H14" s="28" t="s">
        <v>97</v>
      </c>
      <c r="I14" s="28" t="s">
        <v>75</v>
      </c>
      <c r="J14" s="32" t="s">
        <v>98</v>
      </c>
      <c r="K14" s="32" t="s">
        <v>84</v>
      </c>
      <c r="L14" s="32"/>
      <c r="M14" s="32" t="s">
        <v>99</v>
      </c>
    </row>
    <row r="15" spans="1:13" ht="49.5" x14ac:dyDescent="0.2">
      <c r="A15" s="33" t="s">
        <v>100</v>
      </c>
      <c r="B15" s="32" t="s">
        <v>101</v>
      </c>
      <c r="C15" s="32" t="s">
        <v>80</v>
      </c>
      <c r="D15" s="34">
        <v>46295</v>
      </c>
      <c r="E15" s="34">
        <v>46302</v>
      </c>
      <c r="F15" s="34"/>
      <c r="G15" s="31">
        <f>IF(F15&lt;&gt;"",F15-D15,IF(E15&lt;&gt;"",E15-D15,""))</f>
        <v>7</v>
      </c>
      <c r="H15" s="33" t="s">
        <v>97</v>
      </c>
      <c r="I15" s="33" t="s">
        <v>75</v>
      </c>
      <c r="J15" s="32" t="s">
        <v>102</v>
      </c>
      <c r="K15" s="32" t="s">
        <v>95</v>
      </c>
      <c r="L15" s="32"/>
      <c r="M15" s="32" t="s">
        <v>103</v>
      </c>
    </row>
    <row r="16" spans="1:13" x14ac:dyDescent="0.2">
      <c r="A16" s="28" t="s">
        <v>104</v>
      </c>
      <c r="B16" s="29" t="s">
        <v>105</v>
      </c>
      <c r="C16" s="29" t="s">
        <v>73</v>
      </c>
      <c r="D16" s="30">
        <v>46203</v>
      </c>
      <c r="E16" s="30">
        <v>46203</v>
      </c>
      <c r="F16" s="30"/>
      <c r="G16" s="31">
        <f>IF(F16&lt;&gt;"",F16-D16,IF(E16&lt;&gt;"",E16-D16,""))</f>
        <v>0</v>
      </c>
      <c r="H16" s="28" t="s">
        <v>86</v>
      </c>
      <c r="I16" s="28" t="s">
        <v>81</v>
      </c>
      <c r="J16" s="32" t="s">
        <v>82</v>
      </c>
      <c r="K16" s="32"/>
      <c r="L16" s="32" t="s">
        <v>106</v>
      </c>
      <c r="M16" s="32"/>
    </row>
    <row r="17" spans="1:13" ht="37.5" x14ac:dyDescent="0.2">
      <c r="A17" s="33" t="s">
        <v>107</v>
      </c>
      <c r="B17" s="32" t="s">
        <v>108</v>
      </c>
      <c r="C17" s="32" t="s">
        <v>80</v>
      </c>
      <c r="D17" s="34">
        <v>46326</v>
      </c>
      <c r="E17" s="34">
        <v>46333</v>
      </c>
      <c r="F17" s="34"/>
      <c r="G17" s="31">
        <f>IF(F17&lt;&gt;"",F17-D17,IF(E17&lt;&gt;"",E17-D17,""))</f>
        <v>7</v>
      </c>
      <c r="H17" s="33" t="s">
        <v>97</v>
      </c>
      <c r="I17" s="33" t="s">
        <v>81</v>
      </c>
      <c r="J17" s="32" t="s">
        <v>109</v>
      </c>
      <c r="K17" s="32" t="s">
        <v>100</v>
      </c>
      <c r="L17" s="32"/>
      <c r="M17" s="32" t="s">
        <v>110</v>
      </c>
    </row>
    <row r="18" spans="1:13" ht="37.5" x14ac:dyDescent="0.2">
      <c r="A18" s="28" t="s">
        <v>111</v>
      </c>
      <c r="B18" s="29" t="s">
        <v>112</v>
      </c>
      <c r="C18" s="29" t="s">
        <v>73</v>
      </c>
      <c r="D18" s="30">
        <v>46446</v>
      </c>
      <c r="E18" s="30">
        <v>46453</v>
      </c>
      <c r="F18" s="30"/>
      <c r="G18" s="31">
        <f>IF(F18&lt;&gt;"",F18-D18,IF(E18&lt;&gt;"",E18-D18,""))</f>
        <v>7</v>
      </c>
      <c r="H18" s="28" t="s">
        <v>97</v>
      </c>
      <c r="I18" s="28" t="s">
        <v>75</v>
      </c>
      <c r="J18" s="32" t="s">
        <v>39</v>
      </c>
      <c r="K18" s="32" t="s">
        <v>113</v>
      </c>
      <c r="L18" s="32"/>
      <c r="M18" s="32" t="s">
        <v>114</v>
      </c>
    </row>
    <row r="19" spans="1:13" x14ac:dyDescent="0.2">
      <c r="A19" s="33" t="s">
        <v>115</v>
      </c>
      <c r="B19" s="32" t="s">
        <v>116</v>
      </c>
      <c r="C19" s="32" t="s">
        <v>73</v>
      </c>
      <c r="D19" s="34">
        <v>46811</v>
      </c>
      <c r="E19" s="34">
        <v>46811</v>
      </c>
      <c r="F19" s="34"/>
      <c r="G19" s="31">
        <f>IF(F19&lt;&gt;"",F19-D19,IF(E19&lt;&gt;"",E19-D19,""))</f>
        <v>0</v>
      </c>
      <c r="H19" s="33" t="s">
        <v>86</v>
      </c>
      <c r="I19" s="33" t="s">
        <v>117</v>
      </c>
      <c r="J19" s="32" t="s">
        <v>39</v>
      </c>
      <c r="K19" s="32" t="s">
        <v>111</v>
      </c>
      <c r="L19" s="32"/>
      <c r="M19" s="32" t="s">
        <v>118</v>
      </c>
    </row>
    <row r="20" spans="1:13" x14ac:dyDescent="0.2">
      <c r="A20" s="28"/>
      <c r="B20" s="29"/>
      <c r="C20" s="29"/>
      <c r="D20" s="30"/>
      <c r="E20" s="30"/>
      <c r="F20" s="30"/>
      <c r="G20" s="31" t="str">
        <f>IF(F20&lt;&gt;"",F20-D20,IF(E20&lt;&gt;"",E20-D20,""))</f>
        <v/>
      </c>
      <c r="H20" s="28"/>
      <c r="I20" s="28"/>
      <c r="J20" s="32"/>
      <c r="K20" s="32"/>
      <c r="L20" s="32"/>
      <c r="M20" s="32"/>
    </row>
    <row r="21" spans="1:13" x14ac:dyDescent="0.2">
      <c r="A21" s="33"/>
      <c r="B21" s="32"/>
      <c r="C21" s="32"/>
      <c r="D21" s="34"/>
      <c r="E21" s="34"/>
      <c r="F21" s="34"/>
      <c r="G21" s="31" t="str">
        <f>IF(F21&lt;&gt;"",F21-D21,IF(E21&lt;&gt;"",E21-D21,""))</f>
        <v/>
      </c>
      <c r="H21" s="33"/>
      <c r="I21" s="33"/>
      <c r="J21" s="32"/>
      <c r="K21" s="32"/>
      <c r="L21" s="32"/>
      <c r="M21" s="32"/>
    </row>
    <row r="22" spans="1:13" x14ac:dyDescent="0.2">
      <c r="A22" s="28"/>
      <c r="B22" s="29"/>
      <c r="C22" s="29"/>
      <c r="D22" s="30"/>
      <c r="E22" s="30"/>
      <c r="F22" s="30"/>
      <c r="G22" s="31" t="str">
        <f>IF(F22&lt;&gt;"",F22-D22,IF(E22&lt;&gt;"",E22-D22,""))</f>
        <v/>
      </c>
      <c r="H22" s="28"/>
      <c r="I22" s="28"/>
      <c r="J22" s="32"/>
      <c r="K22" s="32"/>
      <c r="L22" s="32"/>
      <c r="M22" s="32"/>
    </row>
    <row r="23" spans="1:13" x14ac:dyDescent="0.2">
      <c r="A23" s="33"/>
      <c r="B23" s="32"/>
      <c r="C23" s="32"/>
      <c r="D23" s="34"/>
      <c r="E23" s="34"/>
      <c r="F23" s="34"/>
      <c r="G23" s="31" t="str">
        <f>IF(F23&lt;&gt;"",F23-D23,IF(E23&lt;&gt;"",E23-D23,""))</f>
        <v/>
      </c>
      <c r="H23" s="33"/>
      <c r="I23" s="33"/>
      <c r="J23" s="32"/>
      <c r="K23" s="32"/>
      <c r="L23" s="32"/>
      <c r="M23" s="32"/>
    </row>
    <row r="24" spans="1:13" x14ac:dyDescent="0.2">
      <c r="A24" s="28"/>
      <c r="B24" s="29"/>
      <c r="C24" s="29"/>
      <c r="D24" s="30"/>
      <c r="E24" s="30"/>
      <c r="F24" s="30"/>
      <c r="G24" s="31" t="str">
        <f>IF(F24&lt;&gt;"",F24-D24,IF(E24&lt;&gt;"",E24-D24,""))</f>
        <v/>
      </c>
      <c r="H24" s="28"/>
      <c r="I24" s="28"/>
      <c r="J24" s="32"/>
      <c r="K24" s="32"/>
      <c r="L24" s="32"/>
      <c r="M24" s="32"/>
    </row>
    <row r="25" spans="1:13" x14ac:dyDescent="0.2">
      <c r="A25" s="33"/>
      <c r="B25" s="32"/>
      <c r="C25" s="32"/>
      <c r="D25" s="34"/>
      <c r="E25" s="34"/>
      <c r="F25" s="34"/>
      <c r="G25" s="31" t="str">
        <f>IF(F25&lt;&gt;"",F25-D25,IF(E25&lt;&gt;"",E25-D25,""))</f>
        <v/>
      </c>
      <c r="H25" s="33"/>
      <c r="I25" s="33"/>
      <c r="J25" s="32"/>
      <c r="K25" s="32"/>
      <c r="L25" s="32"/>
      <c r="M25" s="32"/>
    </row>
    <row r="26" spans="1:13" x14ac:dyDescent="0.2">
      <c r="A26" s="28"/>
      <c r="B26" s="29"/>
      <c r="C26" s="29"/>
      <c r="D26" s="30"/>
      <c r="E26" s="30"/>
      <c r="F26" s="30"/>
      <c r="G26" s="31" t="str">
        <f>IF(F26&lt;&gt;"",F26-D26,IF(E26&lt;&gt;"",E26-D26,""))</f>
        <v/>
      </c>
      <c r="H26" s="28"/>
      <c r="I26" s="28"/>
      <c r="J26" s="32"/>
      <c r="K26" s="32"/>
      <c r="L26" s="32"/>
      <c r="M26" s="32"/>
    </row>
    <row r="27" spans="1:13" x14ac:dyDescent="0.2">
      <c r="A27" s="33"/>
      <c r="B27" s="32"/>
      <c r="C27" s="32"/>
      <c r="D27" s="34"/>
      <c r="E27" s="34"/>
      <c r="F27" s="34"/>
      <c r="G27" s="31" t="str">
        <f>IF(F27&lt;&gt;"",F27-D27,IF(E27&lt;&gt;"",E27-D27,""))</f>
        <v/>
      </c>
      <c r="H27" s="33"/>
      <c r="I27" s="33"/>
      <c r="J27" s="32"/>
      <c r="K27" s="32"/>
      <c r="L27" s="32"/>
      <c r="M27" s="32"/>
    </row>
    <row r="28" spans="1:13" x14ac:dyDescent="0.2">
      <c r="A28" s="28"/>
      <c r="B28" s="29"/>
      <c r="C28" s="29"/>
      <c r="D28" s="30"/>
      <c r="E28" s="30"/>
      <c r="F28" s="30"/>
      <c r="G28" s="31" t="str">
        <f>IF(F28&lt;&gt;"",F28-D28,IF(E28&lt;&gt;"",E28-D28,""))</f>
        <v/>
      </c>
      <c r="H28" s="28"/>
      <c r="I28" s="28"/>
      <c r="J28" s="32"/>
      <c r="K28" s="32"/>
      <c r="L28" s="32"/>
      <c r="M28" s="32"/>
    </row>
    <row r="29" spans="1:13" x14ac:dyDescent="0.2">
      <c r="A29" s="33"/>
      <c r="B29" s="32"/>
      <c r="C29" s="32"/>
      <c r="D29" s="34"/>
      <c r="E29" s="34"/>
      <c r="F29" s="34"/>
      <c r="G29" s="31" t="str">
        <f>IF(F29&lt;&gt;"",F29-D29,IF(E29&lt;&gt;"",E29-D29,""))</f>
        <v/>
      </c>
      <c r="H29" s="33"/>
      <c r="I29" s="33"/>
      <c r="J29" s="32"/>
      <c r="K29" s="32"/>
      <c r="L29" s="32"/>
      <c r="M29" s="32"/>
    </row>
    <row r="30" spans="1:13" x14ac:dyDescent="0.2">
      <c r="A30" s="28"/>
      <c r="B30" s="29"/>
      <c r="C30" s="29"/>
      <c r="D30" s="30"/>
      <c r="E30" s="30"/>
      <c r="F30" s="30"/>
      <c r="G30" s="31" t="str">
        <f>IF(F30&lt;&gt;"",F30-D30,IF(E30&lt;&gt;"",E30-D30,""))</f>
        <v/>
      </c>
      <c r="H30" s="28"/>
      <c r="I30" s="28"/>
      <c r="J30" s="32"/>
      <c r="K30" s="32"/>
      <c r="L30" s="32"/>
      <c r="M30" s="32"/>
    </row>
    <row r="31" spans="1:13" x14ac:dyDescent="0.2">
      <c r="A31" s="33"/>
      <c r="B31" s="32"/>
      <c r="C31" s="32"/>
      <c r="D31" s="34"/>
      <c r="E31" s="34"/>
      <c r="F31" s="34"/>
      <c r="G31" s="31" t="str">
        <f>IF(F31&lt;&gt;"",F31-D31,IF(E31&lt;&gt;"",E31-D31,""))</f>
        <v/>
      </c>
      <c r="H31" s="33"/>
      <c r="I31" s="33"/>
      <c r="J31" s="32"/>
      <c r="K31" s="32"/>
      <c r="L31" s="32"/>
      <c r="M31" s="32"/>
    </row>
    <row r="32" spans="1:13" x14ac:dyDescent="0.2">
      <c r="A32" s="28"/>
      <c r="B32" s="29"/>
      <c r="C32" s="29"/>
      <c r="D32" s="30"/>
      <c r="E32" s="30"/>
      <c r="F32" s="30"/>
      <c r="G32" s="31" t="str">
        <f>IF(F32&lt;&gt;"",F32-D32,IF(E32&lt;&gt;"",E32-D32,""))</f>
        <v/>
      </c>
      <c r="H32" s="28"/>
      <c r="I32" s="28"/>
      <c r="J32" s="32"/>
      <c r="K32" s="32"/>
      <c r="L32" s="32"/>
      <c r="M32" s="32"/>
    </row>
    <row r="33" spans="1:13" x14ac:dyDescent="0.2">
      <c r="A33" s="33"/>
      <c r="B33" s="32"/>
      <c r="C33" s="32"/>
      <c r="D33" s="34"/>
      <c r="E33" s="34"/>
      <c r="F33" s="34"/>
      <c r="G33" s="31" t="str">
        <f>IF(F33&lt;&gt;"",F33-D33,IF(E33&lt;&gt;"",E33-D33,""))</f>
        <v/>
      </c>
      <c r="H33" s="33"/>
      <c r="I33" s="33"/>
      <c r="J33" s="32"/>
      <c r="K33" s="32"/>
      <c r="L33" s="32"/>
      <c r="M33" s="32"/>
    </row>
    <row r="34" spans="1:13" x14ac:dyDescent="0.2">
      <c r="A34" s="28"/>
      <c r="B34" s="29"/>
      <c r="C34" s="29"/>
      <c r="D34" s="30"/>
      <c r="E34" s="30"/>
      <c r="F34" s="30"/>
      <c r="G34" s="31" t="str">
        <f>IF(F34&lt;&gt;"",F34-D34,IF(E34&lt;&gt;"",E34-D34,""))</f>
        <v/>
      </c>
      <c r="H34" s="28"/>
      <c r="I34" s="28"/>
      <c r="J34" s="32"/>
      <c r="K34" s="32"/>
      <c r="L34" s="32"/>
      <c r="M34" s="32"/>
    </row>
  </sheetData>
  <autoFilter ref="A9:M34" xr:uid="{00000000-0009-0000-0000-000002000000}"/>
  <mergeCells count="4">
    <mergeCell ref="A1:I1"/>
    <mergeCell ref="B3:C3"/>
    <mergeCell ref="A6:A7"/>
    <mergeCell ref="J8:M8"/>
  </mergeCells>
  <conditionalFormatting sqref="B7:M7">
    <cfRule type="expression" dxfId="10" priority="2">
      <formula>B7&gt;=3</formula>
    </cfRule>
    <cfRule type="expression" dxfId="9" priority="3">
      <formula>AND(B7&gt;=1,B7&lt;3)</formula>
    </cfRule>
  </conditionalFormatting>
  <conditionalFormatting sqref="G10:G34">
    <cfRule type="expression" dxfId="8" priority="8">
      <formula>AND(G10&lt;&gt;"",G10&gt;14)</formula>
    </cfRule>
    <cfRule type="expression" dxfId="7" priority="9">
      <formula>AND(G10&lt;&gt;"",G10&gt;0,G10&lt;=14)</formula>
    </cfRule>
    <cfRule type="expression" dxfId="6" priority="10">
      <formula>AND(G10&lt;&gt;"",G10&lt;=0)</formula>
    </cfRule>
  </conditionalFormatting>
  <conditionalFormatting sqref="H10:H34">
    <cfRule type="cellIs" dxfId="5" priority="4" operator="equal">
      <formula>"Achieved"</formula>
    </cfRule>
    <cfRule type="cellIs" dxfId="4" priority="5" operator="equal">
      <formula>"On Track"</formula>
    </cfRule>
    <cfRule type="cellIs" dxfId="3" priority="6" operator="equal">
      <formula>"At Risk"</formula>
    </cfRule>
    <cfRule type="cellIs" dxfId="2" priority="7" operator="equal">
      <formula>"Missed"</formula>
    </cfRule>
  </conditionalFormatting>
  <conditionalFormatting sqref="I10:I34">
    <cfRule type="cellIs" dxfId="1" priority="11" operator="equal">
      <formula>"Critical"</formula>
    </cfRule>
    <cfRule type="cellIs" dxfId="0" priority="12" operator="equal">
      <formula>"High"</formula>
    </cfRule>
  </conditionalFormatting>
  <dataValidations count="4">
    <dataValidation type="list" allowBlank="1" sqref="C10:C34" xr:uid="{00000000-0002-0000-0200-000000000000}">
      <formula1>"Contractual,Programme,Client,Regulatory,Commercial,Internal"</formula1>
      <formula2>0</formula2>
    </dataValidation>
    <dataValidation type="list" allowBlank="1" sqref="H10:H34" xr:uid="{00000000-0002-0000-0200-000001000000}">
      <formula1>"On Track,At Risk,Missed,Achieved"</formula1>
      <formula2>0</formula2>
    </dataValidation>
    <dataValidation type="list" allowBlank="1" sqref="I10:I34" xr:uid="{00000000-0002-0000-0200-000002000000}">
      <formula1>"Critical,High,Medium,Low"</formula1>
      <formula2>0</formula2>
    </dataValidation>
    <dataValidation type="date" allowBlank="1" sqref="D10:F34" xr:uid="{00000000-0002-0000-0200-000003000000}">
      <formula1>0</formula1>
      <formula2>0</formula2>
    </dataValidation>
  </dataValidations>
  <pageMargins left="0.75" right="0.75" top="1" bottom="1" header="0.5" footer="0.5"/>
  <pageSetup paperSize="9" fitToHeight="0" orientation="landscape" horizontalDpi="300" verticalDpi="300"/>
  <headerFooter>
    <oddHeader>&amp;CKey Dates Milestone Register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A17"/>
  <sheetViews>
    <sheetView zoomScaleNormal="100" workbookViewId="0"/>
  </sheetViews>
  <sheetFormatPr defaultColWidth="8.7421875" defaultRowHeight="15" x14ac:dyDescent="0.2"/>
  <cols>
    <col min="1" max="1" width="89.99609375" customWidth="1"/>
  </cols>
  <sheetData>
    <row r="1" spans="1:1" ht="18" x14ac:dyDescent="0.25">
      <c r="A1" s="35" t="s">
        <v>119</v>
      </c>
    </row>
    <row r="2" spans="1:1" x14ac:dyDescent="0.2">
      <c r="A2" s="15"/>
    </row>
    <row r="3" spans="1:1" x14ac:dyDescent="0.2">
      <c r="A3" s="15" t="s">
        <v>120</v>
      </c>
    </row>
    <row r="4" spans="1:1" x14ac:dyDescent="0.2">
      <c r="A4" s="15"/>
    </row>
    <row r="5" spans="1:1" ht="25.5" x14ac:dyDescent="0.2">
      <c r="A5" s="15" t="s">
        <v>121</v>
      </c>
    </row>
    <row r="6" spans="1:1" x14ac:dyDescent="0.2">
      <c r="A6" s="15"/>
    </row>
    <row r="7" spans="1:1" ht="25.5" x14ac:dyDescent="0.2">
      <c r="A7" s="15" t="s">
        <v>122</v>
      </c>
    </row>
    <row r="8" spans="1:1" x14ac:dyDescent="0.2">
      <c r="A8" s="15"/>
    </row>
    <row r="9" spans="1:1" x14ac:dyDescent="0.2">
      <c r="A9" s="15" t="s">
        <v>123</v>
      </c>
    </row>
    <row r="10" spans="1:1" x14ac:dyDescent="0.2">
      <c r="A10" s="15"/>
    </row>
    <row r="11" spans="1:1" x14ac:dyDescent="0.2">
      <c r="A11" s="15" t="s">
        <v>124</v>
      </c>
    </row>
    <row r="12" spans="1:1" x14ac:dyDescent="0.2">
      <c r="A12" s="15"/>
    </row>
    <row r="13" spans="1:1" ht="25.5" x14ac:dyDescent="0.2">
      <c r="A13" s="15" t="s">
        <v>125</v>
      </c>
    </row>
    <row r="14" spans="1:1" x14ac:dyDescent="0.2">
      <c r="A14" s="15"/>
    </row>
    <row r="15" spans="1:1" x14ac:dyDescent="0.2">
      <c r="A15" s="15" t="s">
        <v>126</v>
      </c>
    </row>
    <row r="16" spans="1:1" x14ac:dyDescent="0.2">
      <c r="A16" s="15"/>
    </row>
    <row r="17" spans="1:1" x14ac:dyDescent="0.2">
      <c r="A17" s="15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Cover</vt:lpstr>
      <vt:lpstr>Instructions</vt:lpstr>
      <vt:lpstr>Milestone Register</vt:lpstr>
      <vt:lpstr>Terms of Use</vt:lpstr>
      <vt:lpstr>DataTable</vt:lpstr>
      <vt:lpstr>Cover!Print_Area</vt:lpstr>
      <vt:lpstr>Milestone Register!Print_Area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Key Dates &amp; Milestone Register</dc:title>
  <dc:subject>Project milestone register with variance tracking, status RAG rating, and 12-month calendar strip for construction project management.</dc:subject>
  <dc:creator>Ebrora Ltd</dc:creator>
  <cp:keywords>Ebrora construction milestones key dates programme variance project controls site management</cp:keywords>
  <dc:description>Track every key date and milestone with planned vs forecast vs actual dates, automatic variance calculation, and a 12-month calendar overview — designed for UK construction project managers.
Free professional construction management template from Ebrora Ltd. Visit ebrora.com for our full range of tools and templates.</dc:description>
  <cp:lastModifiedBy>Ebrora Ltd</cp:lastModifiedBy>
  <cp:revision>0</cp:revision>
  <dcterms:created xsi:type="dcterms:W3CDTF">2026-03-22T19:44:20Z</dcterms:created>
  <dcterms:modified xsi:type="dcterms:W3CDTF">2026-03-22T19:44:20Z</dcterms:modified>
  <cp:category>Site Management &amp; Planning</cp:category>
  <dc:language>en-US</dc:language>
</cp:coreProperties>
</file>