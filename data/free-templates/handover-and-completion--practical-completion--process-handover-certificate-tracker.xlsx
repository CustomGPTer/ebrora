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Handover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'Handover Tracker'!$A$1:$N$63</definedName>
    <definedName function="false" hidden="true" localSheetId="2" name="_xlnm._FilterDatabase" vbProcedure="false">'Handover Tracker'!$A$13:$R$200</definedName>
    <definedName function="false" hidden="false" name="DataTable" vbProcedure="false">'Handover Tracker'!$A$13:$R$200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<sst xmlns="http://schemas.openxmlformats.org/spreadsheetml/2006/main" count="105" uniqueCount="99">
  <si>
    <t xml:space="preserve">EBRORA</t>
  </si>
  <si>
    <t xml:space="preserve">ebrora.com</t>
  </si>
  <si>
    <t xml:space="preserve">Process Handover
Certificate Tracker</t>
  </si>
  <si>
    <t xml:space="preserve">Track the formal handover of systems and processes from construction through commissioning to operations — managing certificates, stage-gate approvals, and outstanding items at each handover milestone.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</si>
  <si>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</si>
  <si>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</si>
  <si>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</si>
  <si>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 Open the 'Handover Tracker' sheet. The top section shows a Pipeline Dashboard summarising how many systems are at each handover stage.</t>
  </si>
  <si>
    <t xml:space="preserve">2. Each row in the main tracker represents one system, sub-system, or process area that requires formal handover from construction to operations.</t>
  </si>
  <si>
    <t xml:space="preserve">3. Enter the System Tag, system description, and discipline. Then work through the stage-gate columns from left to right as the system progresses.</t>
  </si>
  <si>
    <t xml:space="preserve">4. The five handover stages are: Construction Complete → Pre-Commissioning Complete → Commissioning Complete → Handover Certificate Issued → Handover Accepted by Client.</t>
  </si>
  <si>
    <t xml:space="preserve">5. For each stage, enter the date achieved. The Current Stage and Pipeline Position auto-calculate based on which dates have been filled in.</t>
  </si>
  <si>
    <t xml:space="preserve">6. Track outstanding items (punch list count and critical items) — these must typically reach zero before the client accepts handover.</t>
  </si>
  <si>
    <t xml:space="preserve">7. Expand the optional columns for certificate reference numbers, witness sign-off, and conditional acceptance details.</t>
  </si>
  <si>
    <t xml:space="preserve">8. The Pipeline Dashboard updates live — use it in progress meetings to show the overall handover status across all systems.</t>
  </si>
  <si>
    <t xml:space="preserve">Colour Key</t>
  </si>
  <si>
    <t xml:space="preserve">Light teal cells = user input / editable fields</t>
  </si>
  <si>
    <t xml:space="preserve">Dark navy headers = do not edit</t>
  </si>
  <si>
    <t xml:space="preserve">Green = Handover accepted / stage complete</t>
  </si>
  <si>
    <t xml:space="preserve">Amber = In progress / partially complete</t>
  </si>
  <si>
    <t xml:space="preserve">Red = Not started or blocked</t>
  </si>
  <si>
    <t xml:space="preserve">Light blue = Pipeline stage indicator (auto-calculated)</t>
  </si>
  <si>
    <t xml:space="preserve">Tips</t>
  </si>
  <si>
    <t xml:space="preserve">• Align your system list with the project's system breakdown structure (SBS) — each row should correspond to a handover-able package, not individual equipment items.</t>
  </si>
  <si>
    <t xml:space="preserve">• Don't issue handover certificates until punch items are genuinely closed or formally accepted as outstanding — conditional acceptances should be the exception, not the rule.</t>
  </si>
  <si>
    <t xml:space="preserve">• Use the certificate reference column to cross-reference your formal handover documentation filing system.</t>
  </si>
  <si>
    <t xml:space="preserve">Process Handover Certificate Tracker — Pipeline Dashboard</t>
  </si>
  <si>
    <t xml:space="preserve">Stage</t>
  </si>
  <si>
    <t xml:space="preserve">Construction
Complete</t>
  </si>
  <si>
    <t xml:space="preserve">Pre-Comm
Complete</t>
  </si>
  <si>
    <t xml:space="preserve">Commissioning
Complete</t>
  </si>
  <si>
    <t xml:space="preserve">Handover
Cert Issued</t>
  </si>
  <si>
    <t xml:space="preserve">Handover
Accepted</t>
  </si>
  <si>
    <t xml:space="preserve">Count</t>
  </si>
  <si>
    <t xml:space="preserve">% of Total</t>
  </si>
  <si>
    <t xml:space="preserve">Summary Statistics</t>
  </si>
  <si>
    <t xml:space="preserve">Outstanding Items</t>
  </si>
  <si>
    <t xml:space="preserve">Total Systems:</t>
  </si>
  <si>
    <t xml:space="preserve">Total Punch Items:</t>
  </si>
  <si>
    <t xml:space="preserve">Not Started:</t>
  </si>
  <si>
    <t xml:space="preserve">Critical Items:</t>
  </si>
  <si>
    <t xml:space="preserve">Fully Handed Over:</t>
  </si>
  <si>
    <t xml:space="preserve">Systems Blocked:</t>
  </si>
  <si>
    <t xml:space="preserve">Handover Rate:</t>
  </si>
  <si>
    <t xml:space="preserve">System Identification</t>
  </si>
  <si>
    <t xml:space="preserve">Stage-Gate Dates (enter date when stage achieved)</t>
  </si>
  <si>
    <t xml:space="preserve">Status &amp; Outstanding Items</t>
  </si>
  <si>
    <t xml:space="preserve">▸ Optional Fields — Click [+] to expand</t>
  </si>
  <si>
    <t xml:space="preserve">Item No.</t>
  </si>
  <si>
    <t xml:space="preserve">System Tag</t>
  </si>
  <si>
    <t xml:space="preserve">System Description</t>
  </si>
  <si>
    <t xml:space="preserve">Discipline</t>
  </si>
  <si>
    <t xml:space="preserve">Handover Cert
Issued</t>
  </si>
  <si>
    <t xml:space="preserve">Current Stage</t>
  </si>
  <si>
    <t xml:space="preserve">Punch Items
(Open)</t>
  </si>
  <si>
    <t xml:space="preserve">Critical
Items</t>
  </si>
  <si>
    <t xml:space="preserve">Handover
Status</t>
  </si>
  <si>
    <t xml:space="preserve">Notes / Actions</t>
  </si>
  <si>
    <t xml:space="preserve">Certificate Ref</t>
  </si>
  <si>
    <t xml:space="preserve">Witness / Signatory</t>
  </si>
  <si>
    <t xml:space="preserve">Conditional
Acceptance?</t>
  </si>
  <si>
    <t xml:space="preserve">Conditions / Caveats</t>
  </si>
  <si>
    <t xml:space="preserve">SYS-RWP-01</t>
  </si>
  <si>
    <t xml:space="preserve">Raw Water Pumping System</t>
  </si>
  <si>
    <t xml:space="preserve">MEICA</t>
  </si>
  <si>
    <t xml:space="preserve">Complete</t>
  </si>
  <si>
    <t xml:space="preserve">Fully handed over to client operations team</t>
  </si>
  <si>
    <t xml:space="preserve">SYS-PCT-01</t>
  </si>
  <si>
    <t xml:space="preserve">Primary Clarifier Tank 1</t>
  </si>
  <si>
    <t xml:space="preserve">Civils</t>
  </si>
  <si>
    <t xml:space="preserve">Blocked</t>
  </si>
  <si>
    <t xml:space="preserve">1 critical punch item on scraper mechanism — bearing replacement due 22/03</t>
  </si>
  <si>
    <t xml:space="preserve">SYS-FLT-01</t>
  </si>
  <si>
    <t xml:space="preserve">Rapid Gravity Filters 1–4</t>
  </si>
  <si>
    <t xml:space="preserve">Multi-Discipline</t>
  </si>
  <si>
    <t xml:space="preserve">On Track</t>
  </si>
  <si>
    <t xml:space="preserve">Handover cert in preparation — target issue 25/03</t>
  </si>
  <si>
    <t xml:space="preserve">SYS-CDS-01</t>
  </si>
  <si>
    <t xml:space="preserve">Chemical Dosing — Chlorine</t>
  </si>
  <si>
    <t xml:space="preserve">Process</t>
  </si>
  <si>
    <t xml:space="preserve">Commissioning scheduled week commencing 24/03</t>
  </si>
  <si>
    <t xml:space="preserve">SYS-SLG-01</t>
  </si>
  <si>
    <t xml:space="preserve">Sludge Thickening &amp; Dewatering</t>
  </si>
  <si>
    <t xml:space="preserve">Delayed</t>
  </si>
  <si>
    <t xml:space="preserve">Pre-comm delayed — awaiting polymer dosing pump delivery</t>
  </si>
  <si>
    <t xml:space="preserve">SYS-SCADA</t>
  </si>
  <si>
    <t xml:space="preserve">SCADA &amp; Control System</t>
  </si>
  <si>
    <t xml:space="preserve">Electrical</t>
  </si>
  <si>
    <t xml:space="preserve">Not Started</t>
  </si>
  <si>
    <t xml:space="preserve">Dependent on all process systems completing commissioning first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</si>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</sst>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i val="true"/>
      <sz val="9"/>
      <color rgb="FF2AABB3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39.7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39.75" hidden="false" customHeight="true" outlineLevel="0" collapsed="false">
      <c r="A4" s="9" t="s">
        <v>8</v>
      </c>
      <c r="B4" s="9"/>
      <c r="C4" s="9"/>
      <c r="D4" s="9"/>
      <c r="E4" s="9"/>
      <c r="F4" s="9"/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</row>
    <row r="6" customFormat="false" ht="39.75" hidden="false" customHeight="true" outlineLevel="0" collapsed="false">
      <c r="A6" s="9" t="s">
        <v>10</v>
      </c>
      <c r="B6" s="9"/>
      <c r="C6" s="9"/>
      <c r="D6" s="9"/>
      <c r="E6" s="9"/>
      <c r="F6" s="9"/>
    </row>
    <row r="7" customFormat="false" ht="39.75" hidden="false" customHeight="true" outlineLevel="0" collapsed="false">
      <c r="A7" s="9" t="s">
        <v>11</v>
      </c>
      <c r="B7" s="9"/>
      <c r="C7" s="9"/>
      <c r="D7" s="9"/>
      <c r="E7" s="9"/>
      <c r="F7" s="9"/>
    </row>
    <row r="8" customFormat="false" ht="39.75" hidden="false" customHeight="true" outlineLevel="0" collapsed="false">
      <c r="A8" s="9" t="s">
        <v>12</v>
      </c>
      <c r="B8" s="9"/>
      <c r="C8" s="9"/>
      <c r="D8" s="9"/>
      <c r="E8" s="9"/>
      <c r="F8" s="9"/>
    </row>
    <row r="9" customFormat="false" ht="39.75" hidden="false" customHeight="true" outlineLevel="0" collapsed="false">
      <c r="A9" s="9" t="s">
        <v>13</v>
      </c>
      <c r="B9" s="9"/>
      <c r="C9" s="9"/>
      <c r="D9" s="9"/>
      <c r="E9" s="9"/>
      <c r="F9" s="9"/>
    </row>
    <row r="10" customFormat="false" ht="39.75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15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/>
      <c r="B13" s="9" t="s">
        <v>16</v>
      </c>
      <c r="C13" s="9"/>
      <c r="D13" s="9"/>
      <c r="E13" s="9"/>
      <c r="F13" s="9"/>
    </row>
    <row r="14" customFormat="false" ht="15" hidden="false" customHeight="true" outlineLevel="0" collapsed="false">
      <c r="A14" s="12"/>
      <c r="B14" s="9" t="s">
        <v>17</v>
      </c>
      <c r="C14" s="9"/>
      <c r="D14" s="9"/>
      <c r="E14" s="9"/>
      <c r="F14" s="9"/>
    </row>
    <row r="15" customFormat="false" ht="15" hidden="false" customHeight="true" outlineLevel="0" collapsed="false">
      <c r="A15" s="13"/>
      <c r="B15" s="9" t="s">
        <v>18</v>
      </c>
      <c r="C15" s="9"/>
      <c r="D15" s="9"/>
      <c r="E15" s="9"/>
      <c r="F15" s="9"/>
    </row>
    <row r="16" customFormat="false" ht="15" hidden="false" customHeight="true" outlineLevel="0" collapsed="false">
      <c r="A16" s="14"/>
      <c r="B16" s="9" t="s">
        <v>19</v>
      </c>
      <c r="C16" s="9"/>
      <c r="D16" s="9"/>
      <c r="E16" s="9"/>
      <c r="F16" s="9"/>
    </row>
    <row r="17" customFormat="false" ht="15" hidden="false" customHeight="true" outlineLevel="0" collapsed="false">
      <c r="A17" s="15"/>
      <c r="B17" s="9" t="s">
        <v>20</v>
      </c>
      <c r="C17" s="9"/>
      <c r="D17" s="9"/>
      <c r="E17" s="9"/>
      <c r="F17" s="9"/>
    </row>
    <row r="18" customFormat="false" ht="15" hidden="false" customHeight="true" outlineLevel="0" collapsed="false">
      <c r="A18" s="16"/>
      <c r="B18" s="9" t="s">
        <v>21</v>
      </c>
      <c r="C18" s="9"/>
      <c r="D18" s="9"/>
      <c r="E18" s="9"/>
      <c r="F18" s="9"/>
    </row>
    <row r="20" customFormat="false" ht="15" hidden="false" customHeight="false" outlineLevel="0" collapsed="false">
      <c r="A20" s="10" t="s">
        <v>22</v>
      </c>
      <c r="B20" s="10"/>
      <c r="C20" s="10"/>
      <c r="D20" s="10"/>
      <c r="E20" s="10"/>
      <c r="F20" s="10"/>
    </row>
    <row r="21" customFormat="false" ht="34.5" hidden="false" customHeight="true" outlineLevel="0" collapsed="false">
      <c r="A21" s="9" t="s">
        <v>23</v>
      </c>
      <c r="B21" s="9"/>
      <c r="C21" s="9"/>
      <c r="D21" s="9"/>
      <c r="E21" s="9"/>
      <c r="F21" s="9"/>
    </row>
    <row r="22" customFormat="false" ht="34.5" hidden="false" customHeight="true" outlineLevel="0" collapsed="false">
      <c r="A22" s="9" t="s">
        <v>24</v>
      </c>
      <c r="B22" s="9"/>
      <c r="C22" s="9"/>
      <c r="D22" s="9"/>
      <c r="E22" s="9"/>
      <c r="F22" s="9"/>
    </row>
    <row r="23" customFormat="false" ht="34.5" hidden="false" customHeight="true" outlineLevel="0" collapsed="false">
      <c r="A23" s="9" t="s">
        <v>25</v>
      </c>
      <c r="B23" s="9"/>
      <c r="C23" s="9"/>
      <c r="D23" s="9"/>
      <c r="E23" s="9"/>
      <c r="F23" s="9"/>
    </row>
  </sheetData>
  <mergeCells count="20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B16:F16"/>
    <mergeCell ref="B17:F17"/>
    <mergeCell ref="B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true" outlineLevel="1" max="18" min="15" style="0" width="18"/>
  </cols>
  <sheetData>
    <row r="1" customFormat="false" ht="15" hidden="false" customHeight="true" outlineLevel="0" collapsed="false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3" customFormat="false" ht="23.85" hidden="false" customHeight="true" outlineLevel="0" collapsed="false">
      <c r="A3" s="18" t="s">
        <v>27</v>
      </c>
      <c r="B3" s="19" t="s">
        <v>28</v>
      </c>
      <c r="C3" s="19"/>
      <c r="D3" s="19"/>
      <c r="E3" s="19" t="s">
        <v>29</v>
      </c>
      <c r="F3" s="19"/>
      <c r="G3" s="19"/>
      <c r="H3" s="19" t="s">
        <v>30</v>
      </c>
      <c r="I3" s="19"/>
      <c r="J3" s="19"/>
      <c r="K3" s="19" t="s">
        <v>31</v>
      </c>
      <c r="L3" s="19"/>
      <c r="M3" s="19"/>
      <c r="N3" s="19" t="s">
        <v>32</v>
      </c>
      <c r="O3" s="19"/>
      <c r="P3" s="19"/>
    </row>
    <row r="4" customFormat="false" ht="20.85" hidden="false" customHeight="false" outlineLevel="0" collapsed="false">
      <c r="A4" s="18" t="s">
        <v>33</v>
      </c>
      <c r="B4" s="20" t="n">
        <f aca="false">COUNTIF(J14:J200,"Construction Complete")</f>
        <v>1</v>
      </c>
      <c r="C4" s="20"/>
      <c r="D4" s="20"/>
      <c r="E4" s="20" t="n">
        <f aca="false">COUNTIF(J14:J200,"Pre-Comm Complete")</f>
        <v>1</v>
      </c>
      <c r="F4" s="20"/>
      <c r="G4" s="20"/>
      <c r="H4" s="20" t="n">
        <f aca="false">COUNTIF(J14:J200,"Commissioning Complete")</f>
        <v>1</v>
      </c>
      <c r="I4" s="20"/>
      <c r="J4" s="20"/>
      <c r="K4" s="20" t="n">
        <f aca="false">COUNTIF(J14:J200,"Handover Cert Issued")</f>
        <v>1</v>
      </c>
      <c r="L4" s="20"/>
      <c r="M4" s="20"/>
      <c r="N4" s="20" t="n">
        <f aca="false">COUNTIF(J14:J200,"Handover Accepted")</f>
        <v>1</v>
      </c>
      <c r="O4" s="20"/>
      <c r="P4" s="20"/>
    </row>
    <row r="5" customFormat="false" ht="15" hidden="false" customHeight="false" outlineLevel="0" collapsed="false">
      <c r="A5" s="18" t="s">
        <v>34</v>
      </c>
      <c r="B5" s="21" t="n">
        <f aca="false">IF(COUNTA(B14:B200)=0,"",COUNTIF(J14:J200,"Construction Complete")/COUNTA(B14:B200))</f>
        <v>0.166666666666667</v>
      </c>
      <c r="C5" s="21"/>
      <c r="D5" s="21"/>
      <c r="E5" s="21" t="n">
        <f aca="false">IF(COUNTA(B14:B200)=0,"",COUNTIF(J14:J200,"Pre-Comm Complete")/COUNTA(B14:B200))</f>
        <v>0.166666666666667</v>
      </c>
      <c r="F5" s="21"/>
      <c r="G5" s="21"/>
      <c r="H5" s="21" t="n">
        <f aca="false">IF(COUNTA(B14:B200)=0,"",COUNTIF(J14:J200,"Commissioning Complete")/COUNTA(B14:B200))</f>
        <v>0.166666666666667</v>
      </c>
      <c r="I5" s="21"/>
      <c r="J5" s="21"/>
      <c r="K5" s="21" t="n">
        <f aca="false">IF(COUNTA(B14:B200)=0,"",COUNTIF(J14:J200,"Handover Cert Issued")/COUNTA(B14:B200))</f>
        <v>0.166666666666667</v>
      </c>
      <c r="L5" s="21"/>
      <c r="M5" s="21"/>
      <c r="N5" s="21" t="n">
        <f aca="false">IF(COUNTA(B14:B200)=0,"",COUNTIF(J14:J200,"Handover Accepted")/COUNTA(B14:B200))</f>
        <v>0.166666666666667</v>
      </c>
      <c r="O5" s="21"/>
      <c r="P5" s="21"/>
    </row>
    <row r="7" customFormat="false" ht="15" hidden="false" customHeight="false" outlineLevel="0" collapsed="false">
      <c r="A7" s="10" t="s">
        <v>35</v>
      </c>
      <c r="B7" s="10"/>
      <c r="C7" s="10"/>
      <c r="D7" s="10" t="s">
        <v>36</v>
      </c>
      <c r="E7" s="10"/>
      <c r="F7" s="10"/>
    </row>
    <row r="8" customFormat="false" ht="23.85" hidden="false" customHeight="false" outlineLevel="0" collapsed="false">
      <c r="A8" s="22" t="s">
        <v>37</v>
      </c>
      <c r="B8" s="23" t="n">
        <f aca="false">COUNTA(B14:B200)</f>
        <v>6</v>
      </c>
      <c r="D8" s="22" t="s">
        <v>38</v>
      </c>
      <c r="E8" s="23" t="n">
        <f aca="false">SUM(K14:K200)</f>
        <v>18</v>
      </c>
    </row>
    <row r="9" customFormat="false" ht="23.85" hidden="false" customHeight="false" outlineLevel="0" collapsed="false">
      <c r="A9" s="22" t="s">
        <v>39</v>
      </c>
      <c r="B9" s="23" t="n">
        <f aca="false">COUNTIF(J14:J200,"Not Started")</f>
        <v>45</v>
      </c>
      <c r="D9" s="22" t="s">
        <v>40</v>
      </c>
      <c r="E9" s="23" t="n">
        <f aca="false">SUM(L14:L200)</f>
        <v>1</v>
      </c>
    </row>
    <row r="10" customFormat="false" ht="35.05" hidden="false" customHeight="false" outlineLevel="0" collapsed="false">
      <c r="A10" s="22" t="s">
        <v>41</v>
      </c>
      <c r="B10" s="23" t="n">
        <f aca="false">COUNTIF(J14:J200,"Handover Accepted")</f>
        <v>1</v>
      </c>
      <c r="D10" s="22" t="s">
        <v>42</v>
      </c>
      <c r="E10" s="23" t="n">
        <f aca="false">COUNTIF(M14:M200,"Blocked")</f>
        <v>1</v>
      </c>
    </row>
    <row r="11" customFormat="false" ht="23.85" hidden="false" customHeight="false" outlineLevel="0" collapsed="false">
      <c r="A11" s="22" t="s">
        <v>43</v>
      </c>
      <c r="B11" s="21" t="n">
        <f aca="false">IF(COUNTA(B14:B200)=0,"",COUNTIF(J14:J200,"Handover Accepted")/COUNTA(B14:B200))</f>
        <v>0.166666666666667</v>
      </c>
    </row>
    <row r="12" customFormat="false" ht="22.35" hidden="false" customHeight="true" outlineLevel="0" collapsed="false">
      <c r="A12" s="24" t="s">
        <v>44</v>
      </c>
      <c r="B12" s="24"/>
      <c r="C12" s="24"/>
      <c r="D12" s="24"/>
      <c r="E12" s="24" t="s">
        <v>45</v>
      </c>
      <c r="F12" s="24"/>
      <c r="G12" s="24"/>
      <c r="H12" s="24"/>
      <c r="I12" s="24"/>
      <c r="J12" s="24" t="s">
        <v>46</v>
      </c>
      <c r="K12" s="24"/>
      <c r="L12" s="24"/>
      <c r="M12" s="24"/>
      <c r="N12" s="24"/>
      <c r="O12" s="25" t="s">
        <v>47</v>
      </c>
      <c r="P12" s="25"/>
      <c r="Q12" s="25"/>
      <c r="R12" s="25"/>
    </row>
    <row r="13" customFormat="false" ht="36" hidden="false" customHeight="true" outlineLevel="0" collapsed="false">
      <c r="A13" s="26" t="s">
        <v>48</v>
      </c>
      <c r="B13" s="26" t="s">
        <v>49</v>
      </c>
      <c r="C13" s="26" t="s">
        <v>50</v>
      </c>
      <c r="D13" s="26" t="s">
        <v>51</v>
      </c>
      <c r="E13" s="26" t="s">
        <v>28</v>
      </c>
      <c r="F13" s="26" t="s">
        <v>29</v>
      </c>
      <c r="G13" s="26" t="s">
        <v>30</v>
      </c>
      <c r="H13" s="26" t="s">
        <v>52</v>
      </c>
      <c r="I13" s="26" t="s">
        <v>32</v>
      </c>
      <c r="J13" s="26" t="s">
        <v>53</v>
      </c>
      <c r="K13" s="26" t="s">
        <v>54</v>
      </c>
      <c r="L13" s="26" t="s">
        <v>55</v>
      </c>
      <c r="M13" s="26" t="s">
        <v>56</v>
      </c>
      <c r="N13" s="26" t="s">
        <v>57</v>
      </c>
      <c r="O13" s="26" t="s">
        <v>58</v>
      </c>
      <c r="P13" s="26" t="s">
        <v>59</v>
      </c>
      <c r="Q13" s="26" t="s">
        <v>60</v>
      </c>
      <c r="R13" s="26" t="s">
        <v>61</v>
      </c>
    </row>
    <row r="14" customFormat="false" ht="25.5" hidden="false" customHeight="true" outlineLevel="0" collapsed="false">
      <c r="A14" s="27" t="n">
        <f aca="false">IF(COUNTA(B14:N14)=0,"",ROW()-13)</f>
        <v>1</v>
      </c>
      <c r="B14" s="28" t="s">
        <v>62</v>
      </c>
      <c r="C14" s="29" t="s">
        <v>63</v>
      </c>
      <c r="D14" s="28" t="s">
        <v>64</v>
      </c>
      <c r="E14" s="30" t="n">
        <v>46037</v>
      </c>
      <c r="F14" s="30" t="n">
        <v>46063</v>
      </c>
      <c r="G14" s="30" t="n">
        <v>46086</v>
      </c>
      <c r="H14" s="30" t="n">
        <v>46093</v>
      </c>
      <c r="I14" s="30" t="n">
        <v>46099</v>
      </c>
      <c r="J14" s="31" t="str">
        <f aca="false">IF(I14&lt;&gt;"","Handover Accepted",IF(H14&lt;&gt;"","Handover Cert Issued",IF(G14&lt;&gt;"","Commissioning Complete",IF(F14&lt;&gt;"","Pre-Comm Complete",IF(E14&lt;&gt;"","Construction Complete","Not Started")))))</f>
        <v>Handover Accepted</v>
      </c>
      <c r="K14" s="28" t="n">
        <v>2</v>
      </c>
      <c r="L14" s="28" t="n">
        <v>0</v>
      </c>
      <c r="M14" s="28" t="s">
        <v>65</v>
      </c>
      <c r="N14" s="29" t="s">
        <v>66</v>
      </c>
      <c r="O14" s="28"/>
      <c r="P14" s="28"/>
      <c r="Q14" s="28"/>
      <c r="R14" s="28"/>
    </row>
    <row r="15" customFormat="false" ht="25.5" hidden="false" customHeight="true" outlineLevel="0" collapsed="false">
      <c r="A15" s="27" t="n">
        <f aca="false">IF(COUNTA(B15:N15)=0,"",ROW()-13)</f>
        <v>2</v>
      </c>
      <c r="B15" s="28" t="s">
        <v>67</v>
      </c>
      <c r="C15" s="29" t="s">
        <v>68</v>
      </c>
      <c r="D15" s="28" t="s">
        <v>69</v>
      </c>
      <c r="E15" s="30" t="n">
        <v>46042</v>
      </c>
      <c r="F15" s="30" t="n">
        <v>46071</v>
      </c>
      <c r="G15" s="30" t="n">
        <v>46091</v>
      </c>
      <c r="H15" s="30" t="n">
        <v>46097</v>
      </c>
      <c r="I15" s="30"/>
      <c r="J15" s="31" t="str">
        <f aca="false">IF(I15&lt;&gt;"","Handover Accepted",IF(H15&lt;&gt;"","Handover Cert Issued",IF(G15&lt;&gt;"","Commissioning Complete",IF(F15&lt;&gt;"","Pre-Comm Complete",IF(E15&lt;&gt;"","Construction Complete","Not Started")))))</f>
        <v>Handover Cert Issued</v>
      </c>
      <c r="K15" s="28" t="n">
        <v>5</v>
      </c>
      <c r="L15" s="28" t="n">
        <v>1</v>
      </c>
      <c r="M15" s="28" t="s">
        <v>70</v>
      </c>
      <c r="N15" s="29" t="s">
        <v>71</v>
      </c>
      <c r="O15" s="28"/>
      <c r="P15" s="28"/>
      <c r="Q15" s="28"/>
      <c r="R15" s="28"/>
    </row>
    <row r="16" customFormat="false" ht="25.5" hidden="false" customHeight="true" outlineLevel="0" collapsed="false">
      <c r="A16" s="27" t="n">
        <f aca="false">IF(COUNTA(B16:N16)=0,"",ROW()-13)</f>
        <v>3</v>
      </c>
      <c r="B16" s="28" t="s">
        <v>72</v>
      </c>
      <c r="C16" s="29" t="s">
        <v>73</v>
      </c>
      <c r="D16" s="28" t="s">
        <v>74</v>
      </c>
      <c r="E16" s="30" t="n">
        <v>46058</v>
      </c>
      <c r="F16" s="30" t="n">
        <v>46082</v>
      </c>
      <c r="G16" s="30" t="n">
        <v>46095</v>
      </c>
      <c r="H16" s="30"/>
      <c r="I16" s="30"/>
      <c r="J16" s="31" t="str">
        <f aca="false">IF(I16&lt;&gt;"","Handover Accepted",IF(H16&lt;&gt;"","Handover Cert Issued",IF(G16&lt;&gt;"","Commissioning Complete",IF(F16&lt;&gt;"","Pre-Comm Complete",IF(E16&lt;&gt;"","Construction Complete","Not Started")))))</f>
        <v>Commissioning Complete</v>
      </c>
      <c r="K16" s="28" t="n">
        <v>8</v>
      </c>
      <c r="L16" s="28" t="n">
        <v>0</v>
      </c>
      <c r="M16" s="28" t="s">
        <v>75</v>
      </c>
      <c r="N16" s="29" t="s">
        <v>76</v>
      </c>
      <c r="O16" s="28"/>
      <c r="P16" s="28"/>
      <c r="Q16" s="28"/>
      <c r="R16" s="28"/>
    </row>
    <row r="17" customFormat="false" ht="25.5" hidden="false" customHeight="true" outlineLevel="0" collapsed="false">
      <c r="A17" s="27" t="n">
        <f aca="false">IF(COUNTA(B17:N17)=0,"",ROW()-13)</f>
        <v>4</v>
      </c>
      <c r="B17" s="28" t="s">
        <v>77</v>
      </c>
      <c r="C17" s="29" t="s">
        <v>78</v>
      </c>
      <c r="D17" s="28" t="s">
        <v>79</v>
      </c>
      <c r="E17" s="30" t="n">
        <v>46065</v>
      </c>
      <c r="F17" s="30" t="n">
        <v>46089</v>
      </c>
      <c r="G17" s="30"/>
      <c r="H17" s="30"/>
      <c r="I17" s="30"/>
      <c r="J17" s="31" t="str">
        <f aca="false">IF(I17&lt;&gt;"","Handover Accepted",IF(H17&lt;&gt;"","Handover Cert Issued",IF(G17&lt;&gt;"","Commissioning Complete",IF(F17&lt;&gt;"","Pre-Comm Complete",IF(E17&lt;&gt;"","Construction Complete","Not Started")))))</f>
        <v>Pre-Comm Complete</v>
      </c>
      <c r="K17" s="28" t="n">
        <v>3</v>
      </c>
      <c r="L17" s="28" t="n">
        <v>0</v>
      </c>
      <c r="M17" s="28" t="s">
        <v>75</v>
      </c>
      <c r="N17" s="29" t="s">
        <v>80</v>
      </c>
      <c r="O17" s="28"/>
      <c r="P17" s="28"/>
      <c r="Q17" s="28"/>
      <c r="R17" s="28"/>
    </row>
    <row r="18" customFormat="false" ht="25.5" hidden="false" customHeight="true" outlineLevel="0" collapsed="false">
      <c r="A18" s="27" t="n">
        <f aca="false">IF(COUNTA(B18:N18)=0,"",ROW()-13)</f>
        <v>5</v>
      </c>
      <c r="B18" s="28" t="s">
        <v>81</v>
      </c>
      <c r="C18" s="29" t="s">
        <v>82</v>
      </c>
      <c r="D18" s="28" t="s">
        <v>64</v>
      </c>
      <c r="E18" s="30" t="n">
        <v>46073</v>
      </c>
      <c r="F18" s="30"/>
      <c r="G18" s="30"/>
      <c r="H18" s="30"/>
      <c r="I18" s="30"/>
      <c r="J18" s="31" t="str">
        <f aca="false">IF(I18&lt;&gt;"","Handover Accepted",IF(H18&lt;&gt;"","Handover Cert Issued",IF(G18&lt;&gt;"","Commissioning Complete",IF(F18&lt;&gt;"","Pre-Comm Complete",IF(E18&lt;&gt;"","Construction Complete","Not Started")))))</f>
        <v>Construction Complete</v>
      </c>
      <c r="K18" s="28" t="n">
        <v>0</v>
      </c>
      <c r="L18" s="28" t="n">
        <v>0</v>
      </c>
      <c r="M18" s="28" t="s">
        <v>83</v>
      </c>
      <c r="N18" s="29" t="s">
        <v>84</v>
      </c>
      <c r="O18" s="28"/>
      <c r="P18" s="28"/>
      <c r="Q18" s="28"/>
      <c r="R18" s="28"/>
    </row>
    <row r="19" customFormat="false" ht="25.5" hidden="false" customHeight="true" outlineLevel="0" collapsed="false">
      <c r="A19" s="27" t="n">
        <f aca="false">IF(COUNTA(B19:N19)=0,"",ROW()-13)</f>
        <v>6</v>
      </c>
      <c r="B19" s="28" t="s">
        <v>85</v>
      </c>
      <c r="C19" s="29" t="s">
        <v>86</v>
      </c>
      <c r="D19" s="28" t="s">
        <v>87</v>
      </c>
      <c r="E19" s="30"/>
      <c r="F19" s="30"/>
      <c r="G19" s="30"/>
      <c r="H19" s="30"/>
      <c r="I19" s="30"/>
      <c r="J19" s="31" t="str">
        <f aca="false">IF(I19&lt;&gt;"","Handover Accepted",IF(H19&lt;&gt;"","Handover Cert Issued",IF(G19&lt;&gt;"","Commissioning Complete",IF(F19&lt;&gt;"","Pre-Comm Complete",IF(E19&lt;&gt;"","Construction Complete","Not Started")))))</f>
        <v>Not Started</v>
      </c>
      <c r="K19" s="28" t="n">
        <v>0</v>
      </c>
      <c r="L19" s="28" t="n">
        <v>0</v>
      </c>
      <c r="M19" s="28" t="s">
        <v>88</v>
      </c>
      <c r="N19" s="29" t="s">
        <v>89</v>
      </c>
      <c r="O19" s="28"/>
      <c r="P19" s="28"/>
      <c r="Q19" s="28"/>
      <c r="R19" s="28"/>
    </row>
    <row r="20" customFormat="false" ht="15" hidden="false" customHeight="false" outlineLevel="0" collapsed="false">
      <c r="A20" s="27" t="n">
        <f aca="false">IF(COUNTA(B20:N20)=0,"",ROW()-13)</f>
        <v>7</v>
      </c>
      <c r="B20" s="28"/>
      <c r="C20" s="28"/>
      <c r="D20" s="28"/>
      <c r="E20" s="30"/>
      <c r="F20" s="30"/>
      <c r="G20" s="30"/>
      <c r="H20" s="30"/>
      <c r="I20" s="30"/>
      <c r="J20" s="32" t="str">
        <f aca="false">IF(I20&lt;&gt;"","Handover Accepted",IF(H20&lt;&gt;"","Handover Cert Issued",IF(G20&lt;&gt;"","Commissioning Complete",IF(F20&lt;&gt;"","Pre-Comm Complete",IF(E20&lt;&gt;"","Construction Complete","Not Started")))))</f>
        <v>Not Started</v>
      </c>
      <c r="K20" s="28"/>
      <c r="L20" s="28"/>
      <c r="M20" s="28"/>
      <c r="N20" s="28"/>
      <c r="O20" s="28"/>
      <c r="P20" s="28"/>
      <c r="Q20" s="28"/>
      <c r="R20" s="28"/>
    </row>
    <row r="21" customFormat="false" ht="15" hidden="false" customHeight="false" outlineLevel="0" collapsed="false">
      <c r="A21" s="27" t="n">
        <f aca="false">IF(COUNTA(B21:N21)=0,"",ROW()-13)</f>
        <v>8</v>
      </c>
      <c r="B21" s="28"/>
      <c r="C21" s="28"/>
      <c r="D21" s="28"/>
      <c r="E21" s="30"/>
      <c r="F21" s="30"/>
      <c r="G21" s="30"/>
      <c r="H21" s="30"/>
      <c r="I21" s="30"/>
      <c r="J21" s="32" t="str">
        <f aca="false">IF(I21&lt;&gt;"","Handover Accepted",IF(H21&lt;&gt;"","Handover Cert Issued",IF(G21&lt;&gt;"","Commissioning Complete",IF(F21&lt;&gt;"","Pre-Comm Complete",IF(E21&lt;&gt;"","Construction Complete","Not Started")))))</f>
        <v>Not Started</v>
      </c>
      <c r="K21" s="28"/>
      <c r="L21" s="28"/>
      <c r="M21" s="28"/>
      <c r="N21" s="28"/>
      <c r="O21" s="28"/>
      <c r="P21" s="28"/>
      <c r="Q21" s="28"/>
      <c r="R21" s="28"/>
    </row>
    <row r="22" customFormat="false" ht="15" hidden="false" customHeight="false" outlineLevel="0" collapsed="false">
      <c r="A22" s="27" t="n">
        <f aca="false">IF(COUNTA(B22:N22)=0,"",ROW()-13)</f>
        <v>9</v>
      </c>
      <c r="B22" s="28"/>
      <c r="C22" s="28"/>
      <c r="D22" s="28"/>
      <c r="E22" s="30"/>
      <c r="F22" s="30"/>
      <c r="G22" s="30"/>
      <c r="H22" s="30"/>
      <c r="I22" s="30"/>
      <c r="J22" s="32" t="str">
        <f aca="false">IF(I22&lt;&gt;"","Handover Accepted",IF(H22&lt;&gt;"","Handover Cert Issued",IF(G22&lt;&gt;"","Commissioning Complete",IF(F22&lt;&gt;"","Pre-Comm Complete",IF(E22&lt;&gt;"","Construction Complete","Not Started")))))</f>
        <v>Not Started</v>
      </c>
      <c r="K22" s="28"/>
      <c r="L22" s="28"/>
      <c r="M22" s="28"/>
      <c r="N22" s="28"/>
      <c r="O22" s="28"/>
      <c r="P22" s="28"/>
      <c r="Q22" s="28"/>
      <c r="R22" s="28"/>
    </row>
    <row r="23" customFormat="false" ht="15" hidden="false" customHeight="false" outlineLevel="0" collapsed="false">
      <c r="A23" s="27" t="n">
        <f aca="false">IF(COUNTA(B23:N23)=0,"",ROW()-13)</f>
        <v>10</v>
      </c>
      <c r="B23" s="28"/>
      <c r="C23" s="28"/>
      <c r="D23" s="28"/>
      <c r="E23" s="30"/>
      <c r="F23" s="30"/>
      <c r="G23" s="30"/>
      <c r="H23" s="30"/>
      <c r="I23" s="30"/>
      <c r="J23" s="32" t="str">
        <f aca="false">IF(I23&lt;&gt;"","Handover Accepted",IF(H23&lt;&gt;"","Handover Cert Issued",IF(G23&lt;&gt;"","Commissioning Complete",IF(F23&lt;&gt;"","Pre-Comm Complete",IF(E23&lt;&gt;"","Construction Complete","Not Started")))))</f>
        <v>Not Started</v>
      </c>
      <c r="K23" s="28"/>
      <c r="L23" s="28"/>
      <c r="M23" s="28"/>
      <c r="N23" s="28"/>
      <c r="O23" s="28"/>
      <c r="P23" s="28"/>
      <c r="Q23" s="28"/>
      <c r="R23" s="28"/>
    </row>
    <row r="24" customFormat="false" ht="15" hidden="false" customHeight="false" outlineLevel="0" collapsed="false">
      <c r="A24" s="27" t="n">
        <f aca="false">IF(COUNTA(B24:N24)=0,"",ROW()-13)</f>
        <v>11</v>
      </c>
      <c r="B24" s="28"/>
      <c r="C24" s="28"/>
      <c r="D24" s="28"/>
      <c r="E24" s="30"/>
      <c r="F24" s="30"/>
      <c r="G24" s="30"/>
      <c r="H24" s="30"/>
      <c r="I24" s="30"/>
      <c r="J24" s="32" t="str">
        <f aca="false">IF(I24&lt;&gt;"","Handover Accepted",IF(H24&lt;&gt;"","Handover Cert Issued",IF(G24&lt;&gt;"","Commissioning Complete",IF(F24&lt;&gt;"","Pre-Comm Complete",IF(E24&lt;&gt;"","Construction Complete","Not Started")))))</f>
        <v>Not Started</v>
      </c>
      <c r="K24" s="28"/>
      <c r="L24" s="28"/>
      <c r="M24" s="28"/>
      <c r="N24" s="28"/>
      <c r="O24" s="28"/>
      <c r="P24" s="28"/>
      <c r="Q24" s="28"/>
      <c r="R24" s="28"/>
    </row>
    <row r="25" customFormat="false" ht="15" hidden="false" customHeight="false" outlineLevel="0" collapsed="false">
      <c r="A25" s="27" t="n">
        <f aca="false">IF(COUNTA(B25:N25)=0,"",ROW()-13)</f>
        <v>12</v>
      </c>
      <c r="B25" s="28"/>
      <c r="C25" s="28"/>
      <c r="D25" s="28"/>
      <c r="E25" s="30"/>
      <c r="F25" s="30"/>
      <c r="G25" s="30"/>
      <c r="H25" s="30"/>
      <c r="I25" s="30"/>
      <c r="J25" s="32" t="str">
        <f aca="false">IF(I25&lt;&gt;"","Handover Accepted",IF(H25&lt;&gt;"","Handover Cert Issued",IF(G25&lt;&gt;"","Commissioning Complete",IF(F25&lt;&gt;"","Pre-Comm Complete",IF(E25&lt;&gt;"","Construction Complete","Not Started")))))</f>
        <v>Not Started</v>
      </c>
      <c r="K25" s="28"/>
      <c r="L25" s="28"/>
      <c r="M25" s="28"/>
      <c r="N25" s="28"/>
      <c r="O25" s="28"/>
      <c r="P25" s="28"/>
      <c r="Q25" s="28"/>
      <c r="R25" s="28"/>
    </row>
    <row r="26" customFormat="false" ht="15" hidden="false" customHeight="false" outlineLevel="0" collapsed="false">
      <c r="A26" s="27" t="n">
        <f aca="false">IF(COUNTA(B26:N26)=0,"",ROW()-13)</f>
        <v>13</v>
      </c>
      <c r="B26" s="28"/>
      <c r="C26" s="28"/>
      <c r="D26" s="28"/>
      <c r="E26" s="30"/>
      <c r="F26" s="30"/>
      <c r="G26" s="30"/>
      <c r="H26" s="30"/>
      <c r="I26" s="30"/>
      <c r="J26" s="32" t="str">
        <f aca="false">IF(I26&lt;&gt;"","Handover Accepted",IF(H26&lt;&gt;"","Handover Cert Issued",IF(G26&lt;&gt;"","Commissioning Complete",IF(F26&lt;&gt;"","Pre-Comm Complete",IF(E26&lt;&gt;"","Construction Complete","Not Started")))))</f>
        <v>Not Started</v>
      </c>
      <c r="K26" s="28"/>
      <c r="L26" s="28"/>
      <c r="M26" s="28"/>
      <c r="N26" s="28"/>
      <c r="O26" s="28"/>
      <c r="P26" s="28"/>
      <c r="Q26" s="28"/>
      <c r="R26" s="28"/>
    </row>
    <row r="27" customFormat="false" ht="15" hidden="false" customHeight="false" outlineLevel="0" collapsed="false">
      <c r="A27" s="27" t="n">
        <f aca="false">IF(COUNTA(B27:N27)=0,"",ROW()-13)</f>
        <v>14</v>
      </c>
      <c r="B27" s="28"/>
      <c r="C27" s="28"/>
      <c r="D27" s="28"/>
      <c r="E27" s="30"/>
      <c r="F27" s="30"/>
      <c r="G27" s="30"/>
      <c r="H27" s="30"/>
      <c r="I27" s="30"/>
      <c r="J27" s="32" t="str">
        <f aca="false">IF(I27&lt;&gt;"","Handover Accepted",IF(H27&lt;&gt;"","Handover Cert Issued",IF(G27&lt;&gt;"","Commissioning Complete",IF(F27&lt;&gt;"","Pre-Comm Complete",IF(E27&lt;&gt;"","Construction Complete","Not Started")))))</f>
        <v>Not Started</v>
      </c>
      <c r="K27" s="28"/>
      <c r="L27" s="28"/>
      <c r="M27" s="28"/>
      <c r="N27" s="28"/>
      <c r="O27" s="28"/>
      <c r="P27" s="28"/>
      <c r="Q27" s="28"/>
      <c r="R27" s="28"/>
    </row>
    <row r="28" customFormat="false" ht="15" hidden="false" customHeight="false" outlineLevel="0" collapsed="false">
      <c r="A28" s="27" t="n">
        <f aca="false">IF(COUNTA(B28:N28)=0,"",ROW()-13)</f>
        <v>15</v>
      </c>
      <c r="B28" s="28"/>
      <c r="C28" s="28"/>
      <c r="D28" s="28"/>
      <c r="E28" s="30"/>
      <c r="F28" s="30"/>
      <c r="G28" s="30"/>
      <c r="H28" s="30"/>
      <c r="I28" s="30"/>
      <c r="J28" s="32" t="str">
        <f aca="false">IF(I28&lt;&gt;"","Handover Accepted",IF(H28&lt;&gt;"","Handover Cert Issued",IF(G28&lt;&gt;"","Commissioning Complete",IF(F28&lt;&gt;"","Pre-Comm Complete",IF(E28&lt;&gt;"","Construction Complete","Not Started")))))</f>
        <v>Not Started</v>
      </c>
      <c r="K28" s="28"/>
      <c r="L28" s="28"/>
      <c r="M28" s="28"/>
      <c r="N28" s="28"/>
      <c r="O28" s="28"/>
      <c r="P28" s="28"/>
      <c r="Q28" s="28"/>
      <c r="R28" s="28"/>
    </row>
    <row r="29" customFormat="false" ht="15" hidden="false" customHeight="false" outlineLevel="0" collapsed="false">
      <c r="A29" s="27" t="n">
        <f aca="false">IF(COUNTA(B29:N29)=0,"",ROW()-13)</f>
        <v>16</v>
      </c>
      <c r="B29" s="28"/>
      <c r="C29" s="28"/>
      <c r="D29" s="28"/>
      <c r="E29" s="30"/>
      <c r="F29" s="30"/>
      <c r="G29" s="30"/>
      <c r="H29" s="30"/>
      <c r="I29" s="30"/>
      <c r="J29" s="32" t="str">
        <f aca="false">IF(I29&lt;&gt;"","Handover Accepted",IF(H29&lt;&gt;"","Handover Cert Issued",IF(G29&lt;&gt;"","Commissioning Complete",IF(F29&lt;&gt;"","Pre-Comm Complete",IF(E29&lt;&gt;"","Construction Complete","Not Started")))))</f>
        <v>Not Started</v>
      </c>
      <c r="K29" s="28"/>
      <c r="L29" s="28"/>
      <c r="M29" s="28"/>
      <c r="N29" s="28"/>
      <c r="O29" s="28"/>
      <c r="P29" s="28"/>
      <c r="Q29" s="28"/>
      <c r="R29" s="28"/>
    </row>
    <row r="30" customFormat="false" ht="15" hidden="false" customHeight="false" outlineLevel="0" collapsed="false">
      <c r="A30" s="27" t="n">
        <f aca="false">IF(COUNTA(B30:N30)=0,"",ROW()-13)</f>
        <v>17</v>
      </c>
      <c r="B30" s="28"/>
      <c r="C30" s="28"/>
      <c r="D30" s="28"/>
      <c r="E30" s="30"/>
      <c r="F30" s="30"/>
      <c r="G30" s="30"/>
      <c r="H30" s="30"/>
      <c r="I30" s="30"/>
      <c r="J30" s="32" t="str">
        <f aca="false">IF(I30&lt;&gt;"","Handover Accepted",IF(H30&lt;&gt;"","Handover Cert Issued",IF(G30&lt;&gt;"","Commissioning Complete",IF(F30&lt;&gt;"","Pre-Comm Complete",IF(E30&lt;&gt;"","Construction Complete","Not Started")))))</f>
        <v>Not Started</v>
      </c>
      <c r="K30" s="28"/>
      <c r="L30" s="28"/>
      <c r="M30" s="28"/>
      <c r="N30" s="28"/>
      <c r="O30" s="28"/>
      <c r="P30" s="28"/>
      <c r="Q30" s="28"/>
      <c r="R30" s="28"/>
    </row>
    <row r="31" customFormat="false" ht="15" hidden="false" customHeight="false" outlineLevel="0" collapsed="false">
      <c r="A31" s="27" t="n">
        <f aca="false">IF(COUNTA(B31:N31)=0,"",ROW()-13)</f>
        <v>18</v>
      </c>
      <c r="B31" s="28"/>
      <c r="C31" s="28"/>
      <c r="D31" s="28"/>
      <c r="E31" s="30"/>
      <c r="F31" s="30"/>
      <c r="G31" s="30"/>
      <c r="H31" s="30"/>
      <c r="I31" s="30"/>
      <c r="J31" s="32" t="str">
        <f aca="false">IF(I31&lt;&gt;"","Handover Accepted",IF(H31&lt;&gt;"","Handover Cert Issued",IF(G31&lt;&gt;"","Commissioning Complete",IF(F31&lt;&gt;"","Pre-Comm Complete",IF(E31&lt;&gt;"","Construction Complete","Not Started")))))</f>
        <v>Not Started</v>
      </c>
      <c r="K31" s="28"/>
      <c r="L31" s="28"/>
      <c r="M31" s="28"/>
      <c r="N31" s="28"/>
      <c r="O31" s="28"/>
      <c r="P31" s="28"/>
      <c r="Q31" s="28"/>
      <c r="R31" s="28"/>
    </row>
    <row r="32" customFormat="false" ht="15" hidden="false" customHeight="false" outlineLevel="0" collapsed="false">
      <c r="A32" s="27" t="n">
        <f aca="false">IF(COUNTA(B32:N32)=0,"",ROW()-13)</f>
        <v>19</v>
      </c>
      <c r="B32" s="28"/>
      <c r="C32" s="28"/>
      <c r="D32" s="28"/>
      <c r="E32" s="30"/>
      <c r="F32" s="30"/>
      <c r="G32" s="30"/>
      <c r="H32" s="30"/>
      <c r="I32" s="30"/>
      <c r="J32" s="32" t="str">
        <f aca="false">IF(I32&lt;&gt;"","Handover Accepted",IF(H32&lt;&gt;"","Handover Cert Issued",IF(G32&lt;&gt;"","Commissioning Complete",IF(F32&lt;&gt;"","Pre-Comm Complete",IF(E32&lt;&gt;"","Construction Complete","Not Started")))))</f>
        <v>Not Started</v>
      </c>
      <c r="K32" s="28"/>
      <c r="L32" s="28"/>
      <c r="M32" s="28"/>
      <c r="N32" s="28"/>
      <c r="O32" s="28"/>
      <c r="P32" s="28"/>
      <c r="Q32" s="28"/>
      <c r="R32" s="28"/>
    </row>
    <row r="33" customFormat="false" ht="15" hidden="false" customHeight="false" outlineLevel="0" collapsed="false">
      <c r="A33" s="27" t="n">
        <f aca="false">IF(COUNTA(B33:N33)=0,"",ROW()-13)</f>
        <v>20</v>
      </c>
      <c r="B33" s="28"/>
      <c r="C33" s="28"/>
      <c r="D33" s="28"/>
      <c r="E33" s="30"/>
      <c r="F33" s="30"/>
      <c r="G33" s="30"/>
      <c r="H33" s="30"/>
      <c r="I33" s="30"/>
      <c r="J33" s="32" t="str">
        <f aca="false">IF(I33&lt;&gt;"","Handover Accepted",IF(H33&lt;&gt;"","Handover Cert Issued",IF(G33&lt;&gt;"","Commissioning Complete",IF(F33&lt;&gt;"","Pre-Comm Complete",IF(E33&lt;&gt;"","Construction Complete","Not Started")))))</f>
        <v>Not Started</v>
      </c>
      <c r="K33" s="28"/>
      <c r="L33" s="28"/>
      <c r="M33" s="28"/>
      <c r="N33" s="28"/>
      <c r="O33" s="28"/>
      <c r="P33" s="28"/>
      <c r="Q33" s="28"/>
      <c r="R33" s="28"/>
    </row>
    <row r="34" customFormat="false" ht="15" hidden="false" customHeight="false" outlineLevel="0" collapsed="false">
      <c r="A34" s="27" t="n">
        <f aca="false">IF(COUNTA(B34:N34)=0,"",ROW()-13)</f>
        <v>21</v>
      </c>
      <c r="B34" s="28"/>
      <c r="C34" s="28"/>
      <c r="D34" s="28"/>
      <c r="E34" s="30"/>
      <c r="F34" s="30"/>
      <c r="G34" s="30"/>
      <c r="H34" s="30"/>
      <c r="I34" s="30"/>
      <c r="J34" s="32" t="str">
        <f aca="false">IF(I34&lt;&gt;"","Handover Accepted",IF(H34&lt;&gt;"","Handover Cert Issued",IF(G34&lt;&gt;"","Commissioning Complete",IF(F34&lt;&gt;"","Pre-Comm Complete",IF(E34&lt;&gt;"","Construction Complete","Not Started")))))</f>
        <v>Not Started</v>
      </c>
      <c r="K34" s="28"/>
      <c r="L34" s="28"/>
      <c r="M34" s="28"/>
      <c r="N34" s="28"/>
      <c r="O34" s="28"/>
      <c r="P34" s="28"/>
      <c r="Q34" s="28"/>
      <c r="R34" s="28"/>
    </row>
    <row r="35" customFormat="false" ht="15" hidden="false" customHeight="false" outlineLevel="0" collapsed="false">
      <c r="A35" s="27" t="n">
        <f aca="false">IF(COUNTA(B35:N35)=0,"",ROW()-13)</f>
        <v>22</v>
      </c>
      <c r="B35" s="28"/>
      <c r="C35" s="28"/>
      <c r="D35" s="28"/>
      <c r="E35" s="30"/>
      <c r="F35" s="30"/>
      <c r="G35" s="30"/>
      <c r="H35" s="30"/>
      <c r="I35" s="30"/>
      <c r="J35" s="32" t="str">
        <f aca="false">IF(I35&lt;&gt;"","Handover Accepted",IF(H35&lt;&gt;"","Handover Cert Issued",IF(G35&lt;&gt;"","Commissioning Complete",IF(F35&lt;&gt;"","Pre-Comm Complete",IF(E35&lt;&gt;"","Construction Complete","Not Started")))))</f>
        <v>Not Started</v>
      </c>
      <c r="K35" s="28"/>
      <c r="L35" s="28"/>
      <c r="M35" s="28"/>
      <c r="N35" s="28"/>
      <c r="O35" s="28"/>
      <c r="P35" s="28"/>
      <c r="Q35" s="28"/>
      <c r="R35" s="28"/>
    </row>
    <row r="36" customFormat="false" ht="15" hidden="false" customHeight="false" outlineLevel="0" collapsed="false">
      <c r="A36" s="27" t="n">
        <f aca="false">IF(COUNTA(B36:N36)=0,"",ROW()-13)</f>
        <v>23</v>
      </c>
      <c r="B36" s="28"/>
      <c r="C36" s="28"/>
      <c r="D36" s="28"/>
      <c r="E36" s="30"/>
      <c r="F36" s="30"/>
      <c r="G36" s="30"/>
      <c r="H36" s="30"/>
      <c r="I36" s="30"/>
      <c r="J36" s="32" t="str">
        <f aca="false">IF(I36&lt;&gt;"","Handover Accepted",IF(H36&lt;&gt;"","Handover Cert Issued",IF(G36&lt;&gt;"","Commissioning Complete",IF(F36&lt;&gt;"","Pre-Comm Complete",IF(E36&lt;&gt;"","Construction Complete","Not Started")))))</f>
        <v>Not Started</v>
      </c>
      <c r="K36" s="28"/>
      <c r="L36" s="28"/>
      <c r="M36" s="28"/>
      <c r="N36" s="28"/>
      <c r="O36" s="28"/>
      <c r="P36" s="28"/>
      <c r="Q36" s="28"/>
      <c r="R36" s="28"/>
    </row>
    <row r="37" customFormat="false" ht="15" hidden="false" customHeight="false" outlineLevel="0" collapsed="false">
      <c r="A37" s="27" t="n">
        <f aca="false">IF(COUNTA(B37:N37)=0,"",ROW()-13)</f>
        <v>24</v>
      </c>
      <c r="B37" s="28"/>
      <c r="C37" s="28"/>
      <c r="D37" s="28"/>
      <c r="E37" s="30"/>
      <c r="F37" s="30"/>
      <c r="G37" s="30"/>
      <c r="H37" s="30"/>
      <c r="I37" s="30"/>
      <c r="J37" s="32" t="str">
        <f aca="false">IF(I37&lt;&gt;"","Handover Accepted",IF(H37&lt;&gt;"","Handover Cert Issued",IF(G37&lt;&gt;"","Commissioning Complete",IF(F37&lt;&gt;"","Pre-Comm Complete",IF(E37&lt;&gt;"","Construction Complete","Not Started")))))</f>
        <v>Not Started</v>
      </c>
      <c r="K37" s="28"/>
      <c r="L37" s="28"/>
      <c r="M37" s="28"/>
      <c r="N37" s="28"/>
      <c r="O37" s="28"/>
      <c r="P37" s="28"/>
      <c r="Q37" s="28"/>
      <c r="R37" s="28"/>
    </row>
    <row r="38" customFormat="false" ht="15" hidden="false" customHeight="false" outlineLevel="0" collapsed="false">
      <c r="A38" s="27" t="n">
        <f aca="false">IF(COUNTA(B38:N38)=0,"",ROW()-13)</f>
        <v>25</v>
      </c>
      <c r="B38" s="28"/>
      <c r="C38" s="28"/>
      <c r="D38" s="28"/>
      <c r="E38" s="30"/>
      <c r="F38" s="30"/>
      <c r="G38" s="30"/>
      <c r="H38" s="30"/>
      <c r="I38" s="30"/>
      <c r="J38" s="32" t="str">
        <f aca="false">IF(I38&lt;&gt;"","Handover Accepted",IF(H38&lt;&gt;"","Handover Cert Issued",IF(G38&lt;&gt;"","Commissioning Complete",IF(F38&lt;&gt;"","Pre-Comm Complete",IF(E38&lt;&gt;"","Construction Complete","Not Started")))))</f>
        <v>Not Started</v>
      </c>
      <c r="K38" s="28"/>
      <c r="L38" s="28"/>
      <c r="M38" s="28"/>
      <c r="N38" s="28"/>
      <c r="O38" s="28"/>
      <c r="P38" s="28"/>
      <c r="Q38" s="28"/>
      <c r="R38" s="28"/>
    </row>
    <row r="39" customFormat="false" ht="15" hidden="false" customHeight="false" outlineLevel="0" collapsed="false">
      <c r="A39" s="27" t="n">
        <f aca="false">IF(COUNTA(B39:N39)=0,"",ROW()-13)</f>
        <v>26</v>
      </c>
      <c r="B39" s="28"/>
      <c r="C39" s="28"/>
      <c r="D39" s="28"/>
      <c r="E39" s="30"/>
      <c r="F39" s="30"/>
      <c r="G39" s="30"/>
      <c r="H39" s="30"/>
      <c r="I39" s="30"/>
      <c r="J39" s="32" t="str">
        <f aca="false">IF(I39&lt;&gt;"","Handover Accepted",IF(H39&lt;&gt;"","Handover Cert Issued",IF(G39&lt;&gt;"","Commissioning Complete",IF(F39&lt;&gt;"","Pre-Comm Complete",IF(E39&lt;&gt;"","Construction Complete","Not Started")))))</f>
        <v>Not Started</v>
      </c>
      <c r="K39" s="28"/>
      <c r="L39" s="28"/>
      <c r="M39" s="28"/>
      <c r="N39" s="28"/>
      <c r="O39" s="28"/>
      <c r="P39" s="28"/>
      <c r="Q39" s="28"/>
      <c r="R39" s="28"/>
    </row>
    <row r="40" customFormat="false" ht="15" hidden="false" customHeight="false" outlineLevel="0" collapsed="false">
      <c r="A40" s="27" t="n">
        <f aca="false">IF(COUNTA(B40:N40)=0,"",ROW()-13)</f>
        <v>27</v>
      </c>
      <c r="B40" s="28"/>
      <c r="C40" s="28"/>
      <c r="D40" s="28"/>
      <c r="E40" s="30"/>
      <c r="F40" s="30"/>
      <c r="G40" s="30"/>
      <c r="H40" s="30"/>
      <c r="I40" s="30"/>
      <c r="J40" s="32" t="str">
        <f aca="false">IF(I40&lt;&gt;"","Handover Accepted",IF(H40&lt;&gt;"","Handover Cert Issued",IF(G40&lt;&gt;"","Commissioning Complete",IF(F40&lt;&gt;"","Pre-Comm Complete",IF(E40&lt;&gt;"","Construction Complete","Not Started")))))</f>
        <v>Not Started</v>
      </c>
      <c r="K40" s="28"/>
      <c r="L40" s="28"/>
      <c r="M40" s="28"/>
      <c r="N40" s="28"/>
      <c r="O40" s="28"/>
      <c r="P40" s="28"/>
      <c r="Q40" s="28"/>
      <c r="R40" s="28"/>
    </row>
    <row r="41" customFormat="false" ht="15" hidden="false" customHeight="false" outlineLevel="0" collapsed="false">
      <c r="A41" s="27" t="n">
        <f aca="false">IF(COUNTA(B41:N41)=0,"",ROW()-13)</f>
        <v>28</v>
      </c>
      <c r="B41" s="28"/>
      <c r="C41" s="28"/>
      <c r="D41" s="28"/>
      <c r="E41" s="30"/>
      <c r="F41" s="30"/>
      <c r="G41" s="30"/>
      <c r="H41" s="30"/>
      <c r="I41" s="30"/>
      <c r="J41" s="32" t="str">
        <f aca="false">IF(I41&lt;&gt;"","Handover Accepted",IF(H41&lt;&gt;"","Handover Cert Issued",IF(G41&lt;&gt;"","Commissioning Complete",IF(F41&lt;&gt;"","Pre-Comm Complete",IF(E41&lt;&gt;"","Construction Complete","Not Started")))))</f>
        <v>Not Started</v>
      </c>
      <c r="K41" s="28"/>
      <c r="L41" s="28"/>
      <c r="M41" s="28"/>
      <c r="N41" s="28"/>
      <c r="O41" s="28"/>
      <c r="P41" s="28"/>
      <c r="Q41" s="28"/>
      <c r="R41" s="28"/>
    </row>
    <row r="42" customFormat="false" ht="15" hidden="false" customHeight="false" outlineLevel="0" collapsed="false">
      <c r="A42" s="27" t="n">
        <f aca="false">IF(COUNTA(B42:N42)=0,"",ROW()-13)</f>
        <v>29</v>
      </c>
      <c r="B42" s="28"/>
      <c r="C42" s="28"/>
      <c r="D42" s="28"/>
      <c r="E42" s="30"/>
      <c r="F42" s="30"/>
      <c r="G42" s="30"/>
      <c r="H42" s="30"/>
      <c r="I42" s="30"/>
      <c r="J42" s="32" t="str">
        <f aca="false">IF(I42&lt;&gt;"","Handover Accepted",IF(H42&lt;&gt;"","Handover Cert Issued",IF(G42&lt;&gt;"","Commissioning Complete",IF(F42&lt;&gt;"","Pre-Comm Complete",IF(E42&lt;&gt;"","Construction Complete","Not Started")))))</f>
        <v>Not Started</v>
      </c>
      <c r="K42" s="28"/>
      <c r="L42" s="28"/>
      <c r="M42" s="28"/>
      <c r="N42" s="28"/>
      <c r="O42" s="28"/>
      <c r="P42" s="28"/>
      <c r="Q42" s="28"/>
      <c r="R42" s="28"/>
    </row>
    <row r="43" customFormat="false" ht="15" hidden="false" customHeight="false" outlineLevel="0" collapsed="false">
      <c r="A43" s="27" t="n">
        <f aca="false">IF(COUNTA(B43:N43)=0,"",ROW()-13)</f>
        <v>30</v>
      </c>
      <c r="B43" s="28"/>
      <c r="C43" s="28"/>
      <c r="D43" s="28"/>
      <c r="E43" s="30"/>
      <c r="F43" s="30"/>
      <c r="G43" s="30"/>
      <c r="H43" s="30"/>
      <c r="I43" s="30"/>
      <c r="J43" s="32" t="str">
        <f aca="false">IF(I43&lt;&gt;"","Handover Accepted",IF(H43&lt;&gt;"","Handover Cert Issued",IF(G43&lt;&gt;"","Commissioning Complete",IF(F43&lt;&gt;"","Pre-Comm Complete",IF(E43&lt;&gt;"","Construction Complete","Not Started")))))</f>
        <v>Not Started</v>
      </c>
      <c r="K43" s="28"/>
      <c r="L43" s="28"/>
      <c r="M43" s="28"/>
      <c r="N43" s="28"/>
      <c r="O43" s="28"/>
      <c r="P43" s="28"/>
      <c r="Q43" s="28"/>
      <c r="R43" s="28"/>
    </row>
    <row r="44" customFormat="false" ht="15" hidden="false" customHeight="false" outlineLevel="0" collapsed="false">
      <c r="A44" s="27" t="n">
        <f aca="false">IF(COUNTA(B44:N44)=0,"",ROW()-13)</f>
        <v>31</v>
      </c>
      <c r="B44" s="28"/>
      <c r="C44" s="28"/>
      <c r="D44" s="28"/>
      <c r="E44" s="30"/>
      <c r="F44" s="30"/>
      <c r="G44" s="30"/>
      <c r="H44" s="30"/>
      <c r="I44" s="30"/>
      <c r="J44" s="32" t="str">
        <f aca="false">IF(I44&lt;&gt;"","Handover Accepted",IF(H44&lt;&gt;"","Handover Cert Issued",IF(G44&lt;&gt;"","Commissioning Complete",IF(F44&lt;&gt;"","Pre-Comm Complete",IF(E44&lt;&gt;"","Construction Complete","Not Started")))))</f>
        <v>Not Started</v>
      </c>
      <c r="K44" s="28"/>
      <c r="L44" s="28"/>
      <c r="M44" s="28"/>
      <c r="N44" s="28"/>
      <c r="O44" s="28"/>
      <c r="P44" s="28"/>
      <c r="Q44" s="28"/>
      <c r="R44" s="28"/>
    </row>
    <row r="45" customFormat="false" ht="15" hidden="false" customHeight="false" outlineLevel="0" collapsed="false">
      <c r="A45" s="27" t="n">
        <f aca="false">IF(COUNTA(B45:N45)=0,"",ROW()-13)</f>
        <v>32</v>
      </c>
      <c r="B45" s="28"/>
      <c r="C45" s="28"/>
      <c r="D45" s="28"/>
      <c r="E45" s="30"/>
      <c r="F45" s="30"/>
      <c r="G45" s="30"/>
      <c r="H45" s="30"/>
      <c r="I45" s="30"/>
      <c r="J45" s="32" t="str">
        <f aca="false">IF(I45&lt;&gt;"","Handover Accepted",IF(H45&lt;&gt;"","Handover Cert Issued",IF(G45&lt;&gt;"","Commissioning Complete",IF(F45&lt;&gt;"","Pre-Comm Complete",IF(E45&lt;&gt;"","Construction Complete","Not Started")))))</f>
        <v>Not Started</v>
      </c>
      <c r="K45" s="28"/>
      <c r="L45" s="28"/>
      <c r="M45" s="28"/>
      <c r="N45" s="28"/>
      <c r="O45" s="28"/>
      <c r="P45" s="28"/>
      <c r="Q45" s="28"/>
      <c r="R45" s="28"/>
    </row>
    <row r="46" customFormat="false" ht="15" hidden="false" customHeight="false" outlineLevel="0" collapsed="false">
      <c r="A46" s="27" t="n">
        <f aca="false">IF(COUNTA(B46:N46)=0,"",ROW()-13)</f>
        <v>33</v>
      </c>
      <c r="B46" s="28"/>
      <c r="C46" s="28"/>
      <c r="D46" s="28"/>
      <c r="E46" s="30"/>
      <c r="F46" s="30"/>
      <c r="G46" s="30"/>
      <c r="H46" s="30"/>
      <c r="I46" s="30"/>
      <c r="J46" s="32" t="str">
        <f aca="false">IF(I46&lt;&gt;"","Handover Accepted",IF(H46&lt;&gt;"","Handover Cert Issued",IF(G46&lt;&gt;"","Commissioning Complete",IF(F46&lt;&gt;"","Pre-Comm Complete",IF(E46&lt;&gt;"","Construction Complete","Not Started")))))</f>
        <v>Not Started</v>
      </c>
      <c r="K46" s="28"/>
      <c r="L46" s="28"/>
      <c r="M46" s="28"/>
      <c r="N46" s="28"/>
      <c r="O46" s="28"/>
      <c r="P46" s="28"/>
      <c r="Q46" s="28"/>
      <c r="R46" s="28"/>
    </row>
    <row r="47" customFormat="false" ht="15" hidden="false" customHeight="false" outlineLevel="0" collapsed="false">
      <c r="A47" s="27" t="n">
        <f aca="false">IF(COUNTA(B47:N47)=0,"",ROW()-13)</f>
        <v>34</v>
      </c>
      <c r="B47" s="28"/>
      <c r="C47" s="28"/>
      <c r="D47" s="28"/>
      <c r="E47" s="30"/>
      <c r="F47" s="30"/>
      <c r="G47" s="30"/>
      <c r="H47" s="30"/>
      <c r="I47" s="30"/>
      <c r="J47" s="32" t="str">
        <f aca="false">IF(I47&lt;&gt;"","Handover Accepted",IF(H47&lt;&gt;"","Handover Cert Issued",IF(G47&lt;&gt;"","Commissioning Complete",IF(F47&lt;&gt;"","Pre-Comm Complete",IF(E47&lt;&gt;"","Construction Complete","Not Started")))))</f>
        <v>Not Started</v>
      </c>
      <c r="K47" s="28"/>
      <c r="L47" s="28"/>
      <c r="M47" s="28"/>
      <c r="N47" s="28"/>
      <c r="O47" s="28"/>
      <c r="P47" s="28"/>
      <c r="Q47" s="28"/>
      <c r="R47" s="28"/>
    </row>
    <row r="48" customFormat="false" ht="15" hidden="false" customHeight="false" outlineLevel="0" collapsed="false">
      <c r="A48" s="27" t="n">
        <f aca="false">IF(COUNTA(B48:N48)=0,"",ROW()-13)</f>
        <v>35</v>
      </c>
      <c r="B48" s="28"/>
      <c r="C48" s="28"/>
      <c r="D48" s="28"/>
      <c r="E48" s="30"/>
      <c r="F48" s="30"/>
      <c r="G48" s="30"/>
      <c r="H48" s="30"/>
      <c r="I48" s="30"/>
      <c r="J48" s="32" t="str">
        <f aca="false">IF(I48&lt;&gt;"","Handover Accepted",IF(H48&lt;&gt;"","Handover Cert Issued",IF(G48&lt;&gt;"","Commissioning Complete",IF(F48&lt;&gt;"","Pre-Comm Complete",IF(E48&lt;&gt;"","Construction Complete","Not Started")))))</f>
        <v>Not Started</v>
      </c>
      <c r="K48" s="28"/>
      <c r="L48" s="28"/>
      <c r="M48" s="28"/>
      <c r="N48" s="28"/>
      <c r="O48" s="28"/>
      <c r="P48" s="28"/>
      <c r="Q48" s="28"/>
      <c r="R48" s="28"/>
    </row>
    <row r="49" customFormat="false" ht="15" hidden="false" customHeight="false" outlineLevel="0" collapsed="false">
      <c r="A49" s="27" t="n">
        <f aca="false">IF(COUNTA(B49:N49)=0,"",ROW()-13)</f>
        <v>36</v>
      </c>
      <c r="B49" s="28"/>
      <c r="C49" s="28"/>
      <c r="D49" s="28"/>
      <c r="E49" s="30"/>
      <c r="F49" s="30"/>
      <c r="G49" s="30"/>
      <c r="H49" s="30"/>
      <c r="I49" s="30"/>
      <c r="J49" s="32" t="str">
        <f aca="false">IF(I49&lt;&gt;"","Handover Accepted",IF(H49&lt;&gt;"","Handover Cert Issued",IF(G49&lt;&gt;"","Commissioning Complete",IF(F49&lt;&gt;"","Pre-Comm Complete",IF(E49&lt;&gt;"","Construction Complete","Not Started")))))</f>
        <v>Not Started</v>
      </c>
      <c r="K49" s="28"/>
      <c r="L49" s="28"/>
      <c r="M49" s="28"/>
      <c r="N49" s="28"/>
      <c r="O49" s="28"/>
      <c r="P49" s="28"/>
      <c r="Q49" s="28"/>
      <c r="R49" s="28"/>
    </row>
    <row r="50" customFormat="false" ht="15" hidden="false" customHeight="false" outlineLevel="0" collapsed="false">
      <c r="A50" s="27" t="n">
        <f aca="false">IF(COUNTA(B50:N50)=0,"",ROW()-13)</f>
        <v>37</v>
      </c>
      <c r="B50" s="28"/>
      <c r="C50" s="28"/>
      <c r="D50" s="28"/>
      <c r="E50" s="30"/>
      <c r="F50" s="30"/>
      <c r="G50" s="30"/>
      <c r="H50" s="30"/>
      <c r="I50" s="30"/>
      <c r="J50" s="32" t="str">
        <f aca="false">IF(I50&lt;&gt;"","Handover Accepted",IF(H50&lt;&gt;"","Handover Cert Issued",IF(G50&lt;&gt;"","Commissioning Complete",IF(F50&lt;&gt;"","Pre-Comm Complete",IF(E50&lt;&gt;"","Construction Complete","Not Started")))))</f>
        <v>Not Started</v>
      </c>
      <c r="K50" s="28"/>
      <c r="L50" s="28"/>
      <c r="M50" s="28"/>
      <c r="N50" s="28"/>
      <c r="O50" s="28"/>
      <c r="P50" s="28"/>
      <c r="Q50" s="28"/>
      <c r="R50" s="28"/>
    </row>
    <row r="51" customFormat="false" ht="15" hidden="false" customHeight="false" outlineLevel="0" collapsed="false">
      <c r="A51" s="27" t="n">
        <f aca="false">IF(COUNTA(B51:N51)=0,"",ROW()-13)</f>
        <v>38</v>
      </c>
      <c r="B51" s="28"/>
      <c r="C51" s="28"/>
      <c r="D51" s="28"/>
      <c r="E51" s="30"/>
      <c r="F51" s="30"/>
      <c r="G51" s="30"/>
      <c r="H51" s="30"/>
      <c r="I51" s="30"/>
      <c r="J51" s="32" t="str">
        <f aca="false">IF(I51&lt;&gt;"","Handover Accepted",IF(H51&lt;&gt;"","Handover Cert Issued",IF(G51&lt;&gt;"","Commissioning Complete",IF(F51&lt;&gt;"","Pre-Comm Complete",IF(E51&lt;&gt;"","Construction Complete","Not Started")))))</f>
        <v>Not Started</v>
      </c>
      <c r="K51" s="28"/>
      <c r="L51" s="28"/>
      <c r="M51" s="28"/>
      <c r="N51" s="28"/>
      <c r="O51" s="28"/>
      <c r="P51" s="28"/>
      <c r="Q51" s="28"/>
      <c r="R51" s="28"/>
    </row>
    <row r="52" customFormat="false" ht="15" hidden="false" customHeight="false" outlineLevel="0" collapsed="false">
      <c r="A52" s="27" t="n">
        <f aca="false">IF(COUNTA(B52:N52)=0,"",ROW()-13)</f>
        <v>39</v>
      </c>
      <c r="B52" s="28"/>
      <c r="C52" s="28"/>
      <c r="D52" s="28"/>
      <c r="E52" s="30"/>
      <c r="F52" s="30"/>
      <c r="G52" s="30"/>
      <c r="H52" s="30"/>
      <c r="I52" s="30"/>
      <c r="J52" s="32" t="str">
        <f aca="false">IF(I52&lt;&gt;"","Handover Accepted",IF(H52&lt;&gt;"","Handover Cert Issued",IF(G52&lt;&gt;"","Commissioning Complete",IF(F52&lt;&gt;"","Pre-Comm Complete",IF(E52&lt;&gt;"","Construction Complete","Not Started")))))</f>
        <v>Not Started</v>
      </c>
      <c r="K52" s="28"/>
      <c r="L52" s="28"/>
      <c r="M52" s="28"/>
      <c r="N52" s="28"/>
      <c r="O52" s="28"/>
      <c r="P52" s="28"/>
      <c r="Q52" s="28"/>
      <c r="R52" s="28"/>
    </row>
    <row r="53" customFormat="false" ht="15" hidden="false" customHeight="false" outlineLevel="0" collapsed="false">
      <c r="A53" s="27" t="n">
        <f aca="false">IF(COUNTA(B53:N53)=0,"",ROW()-13)</f>
        <v>40</v>
      </c>
      <c r="B53" s="28"/>
      <c r="C53" s="28"/>
      <c r="D53" s="28"/>
      <c r="E53" s="30"/>
      <c r="F53" s="30"/>
      <c r="G53" s="30"/>
      <c r="H53" s="30"/>
      <c r="I53" s="30"/>
      <c r="J53" s="32" t="str">
        <f aca="false">IF(I53&lt;&gt;"","Handover Accepted",IF(H53&lt;&gt;"","Handover Cert Issued",IF(G53&lt;&gt;"","Commissioning Complete",IF(F53&lt;&gt;"","Pre-Comm Complete",IF(E53&lt;&gt;"","Construction Complete","Not Started")))))</f>
        <v>Not Started</v>
      </c>
      <c r="K53" s="28"/>
      <c r="L53" s="28"/>
      <c r="M53" s="28"/>
      <c r="N53" s="28"/>
      <c r="O53" s="28"/>
      <c r="P53" s="28"/>
      <c r="Q53" s="28"/>
      <c r="R53" s="28"/>
    </row>
    <row r="54" customFormat="false" ht="15" hidden="false" customHeight="false" outlineLevel="0" collapsed="false">
      <c r="A54" s="27" t="n">
        <f aca="false">IF(COUNTA(B54:N54)=0,"",ROW()-13)</f>
        <v>41</v>
      </c>
      <c r="B54" s="28"/>
      <c r="C54" s="28"/>
      <c r="D54" s="28"/>
      <c r="E54" s="30"/>
      <c r="F54" s="30"/>
      <c r="G54" s="30"/>
      <c r="H54" s="30"/>
      <c r="I54" s="30"/>
      <c r="J54" s="32" t="str">
        <f aca="false">IF(I54&lt;&gt;"","Handover Accepted",IF(H54&lt;&gt;"","Handover Cert Issued",IF(G54&lt;&gt;"","Commissioning Complete",IF(F54&lt;&gt;"","Pre-Comm Complete",IF(E54&lt;&gt;"","Construction Complete","Not Started")))))</f>
        <v>Not Started</v>
      </c>
      <c r="K54" s="28"/>
      <c r="L54" s="28"/>
      <c r="M54" s="28"/>
      <c r="N54" s="28"/>
      <c r="O54" s="28"/>
      <c r="P54" s="28"/>
      <c r="Q54" s="28"/>
      <c r="R54" s="28"/>
    </row>
    <row r="55" customFormat="false" ht="15" hidden="false" customHeight="false" outlineLevel="0" collapsed="false">
      <c r="A55" s="27" t="n">
        <f aca="false">IF(COUNTA(B55:N55)=0,"",ROW()-13)</f>
        <v>42</v>
      </c>
      <c r="B55" s="28"/>
      <c r="C55" s="28"/>
      <c r="D55" s="28"/>
      <c r="E55" s="30"/>
      <c r="F55" s="30"/>
      <c r="G55" s="30"/>
      <c r="H55" s="30"/>
      <c r="I55" s="30"/>
      <c r="J55" s="32" t="str">
        <f aca="false">IF(I55&lt;&gt;"","Handover Accepted",IF(H55&lt;&gt;"","Handover Cert Issued",IF(G55&lt;&gt;"","Commissioning Complete",IF(F55&lt;&gt;"","Pre-Comm Complete",IF(E55&lt;&gt;"","Construction Complete","Not Started")))))</f>
        <v>Not Started</v>
      </c>
      <c r="K55" s="28"/>
      <c r="L55" s="28"/>
      <c r="M55" s="28"/>
      <c r="N55" s="28"/>
      <c r="O55" s="28"/>
      <c r="P55" s="28"/>
      <c r="Q55" s="28"/>
      <c r="R55" s="28"/>
    </row>
    <row r="56" customFormat="false" ht="15" hidden="false" customHeight="false" outlineLevel="0" collapsed="false">
      <c r="A56" s="27" t="n">
        <f aca="false">IF(COUNTA(B56:N56)=0,"",ROW()-13)</f>
        <v>43</v>
      </c>
      <c r="B56" s="28"/>
      <c r="C56" s="28"/>
      <c r="D56" s="28"/>
      <c r="E56" s="30"/>
      <c r="F56" s="30"/>
      <c r="G56" s="30"/>
      <c r="H56" s="30"/>
      <c r="I56" s="30"/>
      <c r="J56" s="32" t="str">
        <f aca="false">IF(I56&lt;&gt;"","Handover Accepted",IF(H56&lt;&gt;"","Handover Cert Issued",IF(G56&lt;&gt;"","Commissioning Complete",IF(F56&lt;&gt;"","Pre-Comm Complete",IF(E56&lt;&gt;"","Construction Complete","Not Started")))))</f>
        <v>Not Started</v>
      </c>
      <c r="K56" s="28"/>
      <c r="L56" s="28"/>
      <c r="M56" s="28"/>
      <c r="N56" s="28"/>
      <c r="O56" s="28"/>
      <c r="P56" s="28"/>
      <c r="Q56" s="28"/>
      <c r="R56" s="28"/>
    </row>
    <row r="57" customFormat="false" ht="15" hidden="false" customHeight="false" outlineLevel="0" collapsed="false">
      <c r="A57" s="27" t="n">
        <f aca="false">IF(COUNTA(B57:N57)=0,"",ROW()-13)</f>
        <v>44</v>
      </c>
      <c r="B57" s="28"/>
      <c r="C57" s="28"/>
      <c r="D57" s="28"/>
      <c r="E57" s="30"/>
      <c r="F57" s="30"/>
      <c r="G57" s="30"/>
      <c r="H57" s="30"/>
      <c r="I57" s="30"/>
      <c r="J57" s="32" t="str">
        <f aca="false">IF(I57&lt;&gt;"","Handover Accepted",IF(H57&lt;&gt;"","Handover Cert Issued",IF(G57&lt;&gt;"","Commissioning Complete",IF(F57&lt;&gt;"","Pre-Comm Complete",IF(E57&lt;&gt;"","Construction Complete","Not Started")))))</f>
        <v>Not Started</v>
      </c>
      <c r="K57" s="28"/>
      <c r="L57" s="28"/>
      <c r="M57" s="28"/>
      <c r="N57" s="28"/>
      <c r="O57" s="28"/>
      <c r="P57" s="28"/>
      <c r="Q57" s="28"/>
      <c r="R57" s="28"/>
    </row>
    <row r="58" customFormat="false" ht="15" hidden="false" customHeight="false" outlineLevel="0" collapsed="false">
      <c r="A58" s="27" t="n">
        <f aca="false">IF(COUNTA(B58:N58)=0,"",ROW()-13)</f>
        <v>45</v>
      </c>
      <c r="B58" s="28"/>
      <c r="C58" s="28"/>
      <c r="D58" s="28"/>
      <c r="E58" s="30"/>
      <c r="F58" s="30"/>
      <c r="G58" s="30"/>
      <c r="H58" s="30"/>
      <c r="I58" s="30"/>
      <c r="J58" s="32" t="str">
        <f aca="false">IF(I58&lt;&gt;"","Handover Accepted",IF(H58&lt;&gt;"","Handover Cert Issued",IF(G58&lt;&gt;"","Commissioning Complete",IF(F58&lt;&gt;"","Pre-Comm Complete",IF(E58&lt;&gt;"","Construction Complete","Not Started")))))</f>
        <v>Not Started</v>
      </c>
      <c r="K58" s="28"/>
      <c r="L58" s="28"/>
      <c r="M58" s="28"/>
      <c r="N58" s="28"/>
      <c r="O58" s="28"/>
      <c r="P58" s="28"/>
      <c r="Q58" s="28"/>
      <c r="R58" s="28"/>
    </row>
    <row r="59" customFormat="false" ht="15" hidden="false" customHeight="false" outlineLevel="0" collapsed="false">
      <c r="A59" s="27" t="n">
        <f aca="false">IF(COUNTA(B59:N59)=0,"",ROW()-13)</f>
        <v>46</v>
      </c>
      <c r="B59" s="28"/>
      <c r="C59" s="28"/>
      <c r="D59" s="28"/>
      <c r="E59" s="30"/>
      <c r="F59" s="30"/>
      <c r="G59" s="30"/>
      <c r="H59" s="30"/>
      <c r="I59" s="30"/>
      <c r="J59" s="32" t="str">
        <f aca="false">IF(I59&lt;&gt;"","Handover Accepted",IF(H59&lt;&gt;"","Handover Cert Issued",IF(G59&lt;&gt;"","Commissioning Complete",IF(F59&lt;&gt;"","Pre-Comm Complete",IF(E59&lt;&gt;"","Construction Complete","Not Started")))))</f>
        <v>Not Started</v>
      </c>
      <c r="K59" s="28"/>
      <c r="L59" s="28"/>
      <c r="M59" s="28"/>
      <c r="N59" s="28"/>
      <c r="O59" s="28"/>
      <c r="P59" s="28"/>
      <c r="Q59" s="28"/>
      <c r="R59" s="28"/>
    </row>
    <row r="60" customFormat="false" ht="15" hidden="false" customHeight="false" outlineLevel="0" collapsed="false">
      <c r="A60" s="27" t="n">
        <f aca="false">IF(COUNTA(B60:N60)=0,"",ROW()-13)</f>
        <v>47</v>
      </c>
      <c r="B60" s="28"/>
      <c r="C60" s="28"/>
      <c r="D60" s="28"/>
      <c r="E60" s="30"/>
      <c r="F60" s="30"/>
      <c r="G60" s="30"/>
      <c r="H60" s="30"/>
      <c r="I60" s="30"/>
      <c r="J60" s="32" t="str">
        <f aca="false">IF(I60&lt;&gt;"","Handover Accepted",IF(H60&lt;&gt;"","Handover Cert Issued",IF(G60&lt;&gt;"","Commissioning Complete",IF(F60&lt;&gt;"","Pre-Comm Complete",IF(E60&lt;&gt;"","Construction Complete","Not Started")))))</f>
        <v>Not Started</v>
      </c>
      <c r="K60" s="28"/>
      <c r="L60" s="28"/>
      <c r="M60" s="28"/>
      <c r="N60" s="28"/>
      <c r="O60" s="28"/>
      <c r="P60" s="28"/>
      <c r="Q60" s="28"/>
      <c r="R60" s="28"/>
    </row>
    <row r="61" customFormat="false" ht="15" hidden="false" customHeight="false" outlineLevel="0" collapsed="false">
      <c r="A61" s="27" t="n">
        <f aca="false">IF(COUNTA(B61:N61)=0,"",ROW()-13)</f>
        <v>48</v>
      </c>
      <c r="B61" s="28"/>
      <c r="C61" s="28"/>
      <c r="D61" s="28"/>
      <c r="E61" s="30"/>
      <c r="F61" s="30"/>
      <c r="G61" s="30"/>
      <c r="H61" s="30"/>
      <c r="I61" s="30"/>
      <c r="J61" s="32" t="str">
        <f aca="false">IF(I61&lt;&gt;"","Handover Accepted",IF(H61&lt;&gt;"","Handover Cert Issued",IF(G61&lt;&gt;"","Commissioning Complete",IF(F61&lt;&gt;"","Pre-Comm Complete",IF(E61&lt;&gt;"","Construction Complete","Not Started")))))</f>
        <v>Not Started</v>
      </c>
      <c r="K61" s="28"/>
      <c r="L61" s="28"/>
      <c r="M61" s="28"/>
      <c r="N61" s="28"/>
      <c r="O61" s="28"/>
      <c r="P61" s="28"/>
      <c r="Q61" s="28"/>
      <c r="R61" s="28"/>
    </row>
    <row r="62" customFormat="false" ht="15" hidden="false" customHeight="false" outlineLevel="0" collapsed="false">
      <c r="A62" s="27" t="n">
        <f aca="false">IF(COUNTA(B62:N62)=0,"",ROW()-13)</f>
        <v>49</v>
      </c>
      <c r="B62" s="28"/>
      <c r="C62" s="28"/>
      <c r="D62" s="28"/>
      <c r="E62" s="30"/>
      <c r="F62" s="30"/>
      <c r="G62" s="30"/>
      <c r="H62" s="30"/>
      <c r="I62" s="30"/>
      <c r="J62" s="32" t="str">
        <f aca="false">IF(I62&lt;&gt;"","Handover Accepted",IF(H62&lt;&gt;"","Handover Cert Issued",IF(G62&lt;&gt;"","Commissioning Complete",IF(F62&lt;&gt;"","Pre-Comm Complete",IF(E62&lt;&gt;"","Construction Complete","Not Started")))))</f>
        <v>Not Started</v>
      </c>
      <c r="K62" s="28"/>
      <c r="L62" s="28"/>
      <c r="M62" s="28"/>
      <c r="N62" s="28"/>
      <c r="O62" s="28"/>
      <c r="P62" s="28"/>
      <c r="Q62" s="28"/>
      <c r="R62" s="28"/>
    </row>
    <row r="63" customFormat="false" ht="15" hidden="false" customHeight="false" outlineLevel="0" collapsed="false">
      <c r="A63" s="27" t="n">
        <f aca="false">IF(COUNTA(B63:N63)=0,"",ROW()-13)</f>
        <v>50</v>
      </c>
      <c r="B63" s="28"/>
      <c r="C63" s="28"/>
      <c r="D63" s="28"/>
      <c r="E63" s="30"/>
      <c r="F63" s="30"/>
      <c r="G63" s="30"/>
      <c r="H63" s="30"/>
      <c r="I63" s="30"/>
      <c r="J63" s="32" t="str">
        <f aca="false">IF(I63&lt;&gt;"","Handover Accepted",IF(H63&lt;&gt;"","Handover Cert Issued",IF(G63&lt;&gt;"","Commissioning Complete",IF(F63&lt;&gt;"","Pre-Comm Complete",IF(E63&lt;&gt;"","Construction Complete","Not Started")))))</f>
        <v>Not Started</v>
      </c>
      <c r="K63" s="28"/>
      <c r="L63" s="28"/>
      <c r="M63" s="28"/>
      <c r="N63" s="28"/>
      <c r="O63" s="28"/>
      <c r="P63" s="28"/>
      <c r="Q63" s="28"/>
      <c r="R63" s="28"/>
    </row>
  </sheetData>
  <autoFilter ref="A13:R200"/>
  <mergeCells count="22">
    <mergeCell ref="A1:R1"/>
    <mergeCell ref="B3:D3"/>
    <mergeCell ref="E3:G3"/>
    <mergeCell ref="H3:J3"/>
    <mergeCell ref="K3:M3"/>
    <mergeCell ref="N3:P3"/>
    <mergeCell ref="B4:D4"/>
    <mergeCell ref="E4:G4"/>
    <mergeCell ref="H4:J4"/>
    <mergeCell ref="K4:M4"/>
    <mergeCell ref="N4:P4"/>
    <mergeCell ref="B5:D5"/>
    <mergeCell ref="E5:G5"/>
    <mergeCell ref="H5:J5"/>
    <mergeCell ref="K5:M5"/>
    <mergeCell ref="N5:P5"/>
    <mergeCell ref="A7:C7"/>
    <mergeCell ref="D7:F7"/>
    <mergeCell ref="A12:D12"/>
    <mergeCell ref="E12:I12"/>
    <mergeCell ref="J12:N12"/>
    <mergeCell ref="O12:R12"/>
  </mergeCells>
  <conditionalFormatting sqref="B11">
    <cfRule type="cellIs" priority="2" operator="greaterThanOrEqual" aboveAverage="0" equalAverage="0" bottom="0" percent="0" rank="0" text="" dxfId="9">
      <formula>0.8</formula>
    </cfRule>
    <cfRule type="cellIs" priority="3" operator="between" aboveAverage="0" equalAverage="0" bottom="0" percent="0" rank="0" text="" dxfId="10">
      <formula>0.4</formula>
      <formula>0.79</formula>
    </cfRule>
    <cfRule type="cellIs" priority="4" operator="lessThan" aboveAverage="0" equalAverage="0" bottom="0" percent="0" rank="0" text="" dxfId="11">
      <formula>0.4</formula>
    </cfRule>
  </conditionalFormatting>
  <conditionalFormatting sqref="E9">
    <cfRule type="cellIs" priority="5" operator="greaterThan" aboveAverage="0" equalAverage="0" bottom="0" percent="0" rank="0" text="" dxfId="11">
      <formula>0</formula>
    </cfRule>
  </conditionalFormatting>
  <conditionalFormatting sqref="J14:J200">
    <cfRule type="cellIs" priority="6" operator="equal" aboveAverage="0" equalAverage="0" bottom="0" percent="0" rank="0" text="" dxfId="9">
      <formula>"Handover Accepted"</formula>
    </cfRule>
    <cfRule type="cellIs" priority="7" operator="equal" aboveAverage="0" equalAverage="0" bottom="0" percent="0" rank="0" text="" dxfId="9">
      <formula>"Handover Cert Issued"</formula>
    </cfRule>
    <cfRule type="cellIs" priority="8" operator="equal" aboveAverage="0" equalAverage="0" bottom="0" percent="0" rank="0" text="" dxfId="10">
      <formula>"Commissioning Complete"</formula>
    </cfRule>
    <cfRule type="cellIs" priority="9" operator="equal" aboveAverage="0" equalAverage="0" bottom="0" percent="0" rank="0" text="" dxfId="10">
      <formula>"Pre-Comm Complete"</formula>
    </cfRule>
    <cfRule type="cellIs" priority="10" operator="equal" aboveAverage="0" equalAverage="0" bottom="0" percent="0" rank="0" text="" dxfId="10">
      <formula>"Construction Complete"</formula>
    </cfRule>
    <cfRule type="cellIs" priority="11" operator="equal" aboveAverage="0" equalAverage="0" bottom="0" percent="0" rank="0" text="" dxfId="11">
      <formula>"Not Started"</formula>
    </cfRule>
  </conditionalFormatting>
  <conditionalFormatting sqref="M14:M200">
    <cfRule type="cellIs" priority="12" operator="equal" aboveAverage="0" equalAverage="0" bottom="0" percent="0" rank="0" text="" dxfId="9">
      <formula>"Complete"</formula>
    </cfRule>
    <cfRule type="cellIs" priority="13" operator="equal" aboveAverage="0" equalAverage="0" bottom="0" percent="0" rank="0" text="" dxfId="9">
      <formula>"On Track"</formula>
    </cfRule>
    <cfRule type="cellIs" priority="14" operator="equal" aboveAverage="0" equalAverage="0" bottom="0" percent="0" rank="0" text="" dxfId="11">
      <formula>"Blocked"</formula>
    </cfRule>
    <cfRule type="cellIs" priority="15" operator="equal" aboveAverage="0" equalAverage="0" bottom="0" percent="0" rank="0" text="" dxfId="11">
      <formula>"Delayed"</formula>
    </cfRule>
    <cfRule type="cellIs" priority="16" operator="equal" aboveAverage="0" equalAverage="0" bottom="0" percent="0" rank="0" text="" dxfId="12">
      <formula>"Not Started"</formula>
    </cfRule>
  </conditionalFormatting>
  <conditionalFormatting sqref="L14:L200">
    <cfRule type="cellIs" priority="17" operator="greaterThan" aboveAverage="0" equalAverage="0" bottom="0" percent="0" rank="0" text="" dxfId="11">
      <formula>0</formula>
    </cfRule>
  </conditionalFormatting>
  <conditionalFormatting sqref="K14:K200">
    <cfRule type="cellIs" priority="18" operator="greaterThan" aboveAverage="0" equalAverage="0" bottom="0" percent="0" rank="0" text="" dxfId="10">
      <formula>5</formula>
    </cfRule>
    <cfRule type="cellIs" priority="19" operator="greaterThan" aboveAverage="0" equalAverage="0" bottom="0" percent="0" rank="0" text="" dxfId="11">
      <formula>10</formula>
    </cfRule>
  </conditionalFormatting>
  <dataValidations count="3">
    <dataValidation allowBlank="true" errorStyle="stop" operator="between" showDropDown="false" showErrorMessage="false" showInputMessage="false" sqref="D14:D200" type="list">
      <formula1>"Mechanical,Electrical,MEICA,Civils,Process,HVAC,Building Services,Multi-Discipline"</formula1>
      <formula2>0</formula2>
    </dataValidation>
    <dataValidation allowBlank="true" errorStyle="stop" operator="between" showDropDown="false" showErrorMessage="false" showInputMessage="false" sqref="M14:M200" type="list">
      <formula1>"On Track,Blocked,Delayed,Complete,Not Started"</formula1>
      <formula2>0</formula2>
    </dataValidation>
    <dataValidation allowBlank="true" errorStyle="stop" operator="between" showDropDown="false" showErrorMessage="false" showInputMessage="false" sqref="Q14:Q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&amp;CProcess Handover Certificate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3" t="s">
        <v>90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91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3" t="s">
        <v>92</v>
      </c>
    </row>
    <row r="6" customFormat="false" ht="15" hidden="false" customHeight="false" outlineLevel="0" collapsed="false">
      <c r="A6" s="33"/>
    </row>
    <row r="7" customFormat="false" ht="15" hidden="false" customHeight="false" outlineLevel="0" collapsed="false">
      <c r="A7" s="33" t="s">
        <v>93</v>
      </c>
    </row>
    <row r="8" customFormat="false" ht="15" hidden="false" customHeight="false" outlineLevel="0" collapsed="false">
      <c r="A8" s="33"/>
    </row>
    <row r="9" customFormat="false" ht="15" hidden="false" customHeight="false" outlineLevel="0" collapsed="false">
      <c r="A9" s="33" t="s">
        <v>94</v>
      </c>
    </row>
    <row r="10" customFormat="false" ht="15" hidden="false" customHeight="false" outlineLevel="0" collapsed="false">
      <c r="A10" s="33"/>
    </row>
    <row r="11" customFormat="false" ht="15" hidden="false" customHeight="false" outlineLevel="0" collapsed="false">
      <c r="A11" s="33" t="s">
        <v>95</v>
      </c>
    </row>
    <row r="12" customFormat="false" ht="15" hidden="false" customHeight="false" outlineLevel="0" collapsed="false">
      <c r="A12" s="33"/>
    </row>
    <row r="13" customFormat="false" ht="15" hidden="false" customHeight="false" outlineLevel="0" collapsed="false">
      <c r="A13" s="33" t="s">
        <v>96</v>
      </c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33" t="s">
        <v>97</v>
      </c>
    </row>
    <row r="16" customFormat="false" ht="15" hidden="false" customHeight="false" outlineLevel="0" collapsed="false">
      <c r="A16" s="33"/>
    </row>
    <row r="17" customFormat="false" ht="15" hidden="false" customHeight="false" outlineLevel="0" collapsed="false">
      <c r="A17" s="3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2026-03-22T20:49:35Z</dcterms:created>
  <dc:creator>Ebrora Ltd</dc:creator>
  <dc:description>Track the formal handover of systems and processes from construction through commissioning to operations — managing certificates, stage-gate approvals, and outstanding items at each handover milestone.
Free professional construction management template from Ebrora Ltd. Visit ebrora.com for our full range of tools and templates.</dc:description>
  <cp:keywords>Ebrora construction MEICA commissioning handover certificate process handover pipeline tracker</cp:keywords>
  <dc:language>en-US</dc:language>
  <cp:lastModifiedBy>Ebrora Ltd</cp:lastModifiedBy>
  <dcterms:modified xsi:type="dcterms:W3CDTF">2026-03-22T20:49:35Z</dcterms:modified>
  <cp:revision>0</cp:revision>
  <dc:subject>Pipeline tracker for formal handover of systems from construction through commissioning to operations, with stage-gate dates, outstanding items tracking, and certificate management.</dc:subject>
  <dc:title>Process Handover Certificate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