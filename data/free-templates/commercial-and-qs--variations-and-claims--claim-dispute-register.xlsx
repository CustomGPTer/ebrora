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xr:revisionPtr revIDLastSave="0" documentId="11_6F44E1C93E25250412A9064E794B0BD3F3261551" xr6:coauthVersionLast="47" xr6:coauthVersionMax="47" xr10:uidLastSave="{00000000-0000-0000-0000-000000000000}"/>
  <bookViews>
    <workbookView xWindow="0" yWindow="0" windowWidth="16384" windowHeight="8192" tabRatio="500" activeTab="2" xr2:uid="{00000000-000D-0000-FFFF-FFFF00000000}"/>
  </bookViews>
  <sheets>
    <sheet name="Cover" sheetId="1" r:id="rId1"/>
    <sheet name="Instructions" sheetId="2" r:id="rId2"/>
    <sheet name="Claim Register" sheetId="3" r:id="rId3"/>
    <sheet name="Terms of Use" sheetId="4" state="hidden" r:id="rId4"/>
  </sheets>
  <definedNames>
    <definedName name="_xlnm._FilterDatabase" localSheetId="2" hidden="1">'Claim Register'!$A$13:$U$44</definedName>
    <definedName name="ClaimData">'Claim Register'!$A$13:$U$44</definedName>
    <definedName name="_xlnm.Print_Area" localSheetId="2">'Claim Register'!$A$1:$M$44</definedName>
    <definedName name="_xlnm.Print_Area" localSheetId="0">Cover!$A$1:$H$20</definedName>
    <definedName name="_xlnm.Print_Area" localSheetId="1">Instructions!$A$1:$F$34</definedName>
  </definedNames>
  <calcPr calcId="191028"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T44" i="3" l="1"/>
  <c r="L44" i="3"/>
  <c r="T43" i="3"/>
  <c r="L43" i="3"/>
  <c r="T42" i="3"/>
  <c r="L42" i="3"/>
  <c r="T41" i="3"/>
  <c r="L41" i="3"/>
  <c r="T40" i="3"/>
  <c r="L40" i="3"/>
  <c r="T39" i="3"/>
  <c r="L39" i="3"/>
  <c r="T38" i="3"/>
  <c r="L38" i="3"/>
  <c r="T37" i="3"/>
  <c r="L37" i="3"/>
  <c r="T36" i="3"/>
  <c r="L36" i="3"/>
  <c r="T35" i="3"/>
  <c r="L35" i="3"/>
  <c r="T34" i="3"/>
  <c r="L34" i="3"/>
  <c r="T33" i="3"/>
  <c r="L33" i="3"/>
  <c r="T32" i="3"/>
  <c r="L32" i="3"/>
  <c r="T31" i="3"/>
  <c r="L31" i="3"/>
  <c r="T30" i="3"/>
  <c r="L30" i="3"/>
  <c r="T29" i="3"/>
  <c r="L29" i="3"/>
  <c r="T28" i="3"/>
  <c r="L28" i="3"/>
  <c r="T27" i="3"/>
  <c r="L27" i="3"/>
  <c r="T26" i="3"/>
  <c r="L26" i="3"/>
  <c r="T25" i="3"/>
  <c r="L25" i="3"/>
  <c r="T24" i="3"/>
  <c r="L24" i="3"/>
  <c r="T23" i="3"/>
  <c r="L23" i="3"/>
  <c r="T22" i="3"/>
  <c r="L22" i="3"/>
  <c r="T21" i="3"/>
  <c r="L21" i="3"/>
  <c r="T20" i="3"/>
  <c r="L20" i="3"/>
  <c r="T19" i="3"/>
  <c r="L19" i="3"/>
  <c r="T18" i="3"/>
  <c r="L18" i="3"/>
  <c r="U17" i="3"/>
  <c r="L17" i="3"/>
  <c r="U16" i="3"/>
  <c r="L16" i="3"/>
  <c r="U15" i="3"/>
  <c r="L15" i="3"/>
  <c r="U14" i="3"/>
  <c r="L14" i="3"/>
  <c r="L8" i="3"/>
  <c r="H8" i="3"/>
  <c r="G8" i="3"/>
  <c r="F8" i="3"/>
  <c r="C8" i="3"/>
  <c r="L7" i="3"/>
  <c r="C7" i="3"/>
  <c r="L6" i="3"/>
  <c r="I6" i="3"/>
  <c r="H6" i="3"/>
  <c r="G6" i="3"/>
  <c r="F6" i="3"/>
  <c r="C6" i="3"/>
  <c r="L5" i="3"/>
  <c r="C5" i="3"/>
</calcChain>
</file>

<file path=xl/sharedStrings.xml><?xml version="1.0" encoding="utf-8"?>
<sst xmlns="http://schemas.openxmlformats.org/spreadsheetml/2006/main" count="142" uniqueCount="131">
  <si>
    <t>EBRORA</t>
  </si>
  <si>
    <t>ebrora.com</t>
  </si>
  <si>
    <t>Claim / Dispute Register</t>
  </si>
  <si>
    <t>Track claims and disputes through escalation stages with</t>
  </si>
  <si>
    <t>three-tier financial exposure analysis and resolution monitoring.</t>
  </si>
  <si>
    <t>This is a free template from Ebrora.</t>
  </si>
  <si>
    <t>For our full range of professional-grade construction management tools, visit ebrora.com</t>
  </si>
  <si>
    <t>© Ebrora 2026 — All rights reserved</t>
  </si>
  <si>
    <t>How to Use This Template</t>
  </si>
  <si>
    <t>Getting Started</t>
  </si>
  <si>
    <t>1.</t>
  </si>
  <si>
    <t>Open the 'Claim Register' sheet. The top section has three panels: a Financial Exposure Summary (left) showing best/likely/worst case totals, an Escalation Stage Pipeline (centre), and a Resolution Summary (right).</t>
  </si>
  <si>
    <t>2.</t>
  </si>
  <si>
    <t>Each row represents one claim or dispute. Enter the Claim Ref, Date Identified, Claimant (who is making the claim), Respondent (who the claim is against), Direction (By Us / Against Us), and a clear description.</t>
  </si>
  <si>
    <t>3.</t>
  </si>
  <si>
    <t>Set the Escalation Stage as the claim progresses: Identified → Notified → Negotiation → Adjudication → Arbitration / Litigation → Settled / Withdrawn.</t>
  </si>
  <si>
    <t>4.</t>
  </si>
  <si>
    <t>For each claim, enter the three-tier financial exposure: Best Case (£), Likely Case (£), and Worst Case (£). These feed the exposure summary at the top for board reporting.</t>
  </si>
  <si>
    <t>5.</t>
  </si>
  <si>
    <t>When a claim is resolved, enter the Settled Amount and update the stage to 'Settled'. The Variance column shows the difference between the Settled and Likely amounts.</t>
  </si>
  <si>
    <t>Financial Exposure Explained</t>
  </si>
  <si>
    <t>Best Case — The minimum realistic exposure. Assumes all arguments succeed and the most favourable interpretation applies.</t>
  </si>
  <si>
    <t>Likely Case — The most probable outcome based on current evidence and legal/commercial advice. Use this for management reporting.</t>
  </si>
  <si>
    <t>Worst Case — The maximum realistic exposure. Assumes all arguments fail and adverse findings apply.</t>
  </si>
  <si>
    <t>Direction matters: 'By Us' claims are potential income; 'Against Us' claims are potential cost.</t>
  </si>
  <si>
    <t>Optional Fields</t>
  </si>
  <si>
    <t>6.</t>
  </si>
  <si>
    <t>Click [+] to expand: Contract Clause, Claim Category, Date Notified, Legal Advisor, Next Action, Next Action Date, Days Open, and Linked CE/VO/Correspondence Refs.</t>
  </si>
  <si>
    <t>7.</t>
  </si>
  <si>
    <t>The Days Open column auto-calculates from Date Identified. Claims open for &gt;90 days flag amber; &gt;180 days flag red.</t>
  </si>
  <si>
    <t>Colour Key</t>
  </si>
  <si>
    <t>Light teal cells (#E8F6F7) — User input.</t>
  </si>
  <si>
    <t>Dark navy headers — Do not edit.</t>
  </si>
  <si>
    <t>Blue — Stage is 'Identified' or 'Notified' (early stage).</t>
  </si>
  <si>
    <t>Amber — Stage is 'Negotiation' (active discussion).</t>
  </si>
  <si>
    <t>Orange — Stage is 'Adjudication' (formal dispute).</t>
  </si>
  <si>
    <t>Red — Stage is 'Arbitration / Litigation' (escalated).</t>
  </si>
  <si>
    <t>Green — Stage is 'Settled'.</t>
  </si>
  <si>
    <t>Grey — Stage is 'Withdrawn'.</t>
  </si>
  <si>
    <t>Tips</t>
  </si>
  <si>
    <t>Tip 1:</t>
  </si>
  <si>
    <t>Review this register monthly at board level. The Likely Case total is the figure that should be reflected in your project cost report as a risk-adjusted allowance.</t>
  </si>
  <si>
    <t>Tip 2:</t>
  </si>
  <si>
    <t>Keep detailed claim files separate from this register. This template is a summary tracker — the evidence, chronology and quantum should sit in the claim file referenced in the Linked Refs column.</t>
  </si>
  <si>
    <t>Tip 3:</t>
  </si>
  <si>
    <t>Always take legal advice before referring a dispute to adjudication. The 28-day adjudication timetable is extremely compressed — preparation must be complete before the Notice of Adjudication is issued.</t>
  </si>
  <si>
    <t>CLAIM / DISPUTE REGISTER — FINANCIAL EXPOSURE TRACKER</t>
  </si>
  <si>
    <t>FINANCIAL EXPOSURE SUMMARY</t>
  </si>
  <si>
    <t>ESCALATION STAGE PIPELINE</t>
  </si>
  <si>
    <t>DIRECTION SUMMARY</t>
  </si>
  <si>
    <t>Best Case Total (£)</t>
  </si>
  <si>
    <t>Identified</t>
  </si>
  <si>
    <t>Notified</t>
  </si>
  <si>
    <t>Negotiation</t>
  </si>
  <si>
    <t>Adjudication</t>
  </si>
  <si>
    <t>Claims By Us</t>
  </si>
  <si>
    <t>Likely Case Total (£)</t>
  </si>
  <si>
    <t>Claims Against Us</t>
  </si>
  <si>
    <t>Worst Case Total (£)</t>
  </si>
  <si>
    <t>Arbitration /
Litigation</t>
  </si>
  <si>
    <t>Settled</t>
  </si>
  <si>
    <t>Withdrawn</t>
  </si>
  <si>
    <t>Active (not settled)</t>
  </si>
  <si>
    <t>Total Settled (£)</t>
  </si>
  <si>
    <t>Total Claims</t>
  </si>
  <si>
    <t>▸ Optional Fields — Click [+] to expand</t>
  </si>
  <si>
    <t>CLAIM DETAILS</t>
  </si>
  <si>
    <t>FINANCIAL EXPOSURE MATRIX</t>
  </si>
  <si>
    <t>● Best</t>
  </si>
  <si>
    <t>● Likely</t>
  </si>
  <si>
    <t>● Worst</t>
  </si>
  <si>
    <t>Claim
Ref</t>
  </si>
  <si>
    <t>Date
Identified</t>
  </si>
  <si>
    <t>Claimant</t>
  </si>
  <si>
    <t>Respondent</t>
  </si>
  <si>
    <t>Direction</t>
  </si>
  <si>
    <t>Description</t>
  </si>
  <si>
    <t>Escalation
Stage</t>
  </si>
  <si>
    <t>Best Case
(£)</t>
  </si>
  <si>
    <t>Likely Case
(£)</t>
  </si>
  <si>
    <t>Worst Case
(£)</t>
  </si>
  <si>
    <t>Settled
Amount (£)</t>
  </si>
  <si>
    <t>Variance
(£)</t>
  </si>
  <si>
    <t>Notes</t>
  </si>
  <si>
    <t>Contract
Clause</t>
  </si>
  <si>
    <t>Claim
Category</t>
  </si>
  <si>
    <t>Date
Notified</t>
  </si>
  <si>
    <t>Legal
Advisor</t>
  </si>
  <si>
    <t>Next Action</t>
  </si>
  <si>
    <t>Next Action
Date</t>
  </si>
  <si>
    <t>Days
Open</t>
  </si>
  <si>
    <t>Linked
Refs</t>
  </si>
  <si>
    <t>CLM-001</t>
  </si>
  <si>
    <t>Kier Construction</t>
  </si>
  <si>
    <t>Riverside Developments</t>
  </si>
  <si>
    <t>By Us</t>
  </si>
  <si>
    <t>Extension of time claim — 3 weeks delay due to unforeseen ground conditions in Zone A requiring additional piling</t>
  </si>
  <si>
    <t>Settled as part of CE-001. Final account agreed.</t>
  </si>
  <si>
    <t>Cl 60.1(12)</t>
  </si>
  <si>
    <t>Extension of Time</t>
  </si>
  <si>
    <t>Beale &amp; Company</t>
  </si>
  <si>
    <t>File closed</t>
  </si>
  <si>
    <t>CLM-002</t>
  </si>
  <si>
    <t>Prolongation costs — 3-week weather delay (Storm Éowyn) impacting prelims and programme</t>
  </si>
  <si>
    <t>Quotation CE-002 submitted. QS assessing.</t>
  </si>
  <si>
    <t>Cl 60.1(13)</t>
  </si>
  <si>
    <t>Loss &amp; Expense</t>
  </si>
  <si>
    <t>Chase PM for assessment response</t>
  </si>
  <si>
    <t>CLM-003</t>
  </si>
  <si>
    <t>Against Us</t>
  </si>
  <si>
    <t>Defects claim — alleged water ingress through curtain wall system at Level 3 north elevation</t>
  </si>
  <si>
    <t>Investigation underway. Kawneer attending site next week.</t>
  </si>
  <si>
    <t>Defects</t>
  </si>
  <si>
    <t>Kennedys Law</t>
  </si>
  <si>
    <t>Attend joint inspection with Kawneer</t>
  </si>
  <si>
    <t>CLM-004</t>
  </si>
  <si>
    <t>Murphy Ground Engineering</t>
  </si>
  <si>
    <t>Subcontractor claim for additional prelims during extended piling programme</t>
  </si>
  <si>
    <t>Reviewing subcontract terms and daywork records.</t>
  </si>
  <si>
    <t>SC Cl 4.3</t>
  </si>
  <si>
    <t>Payment</t>
  </si>
  <si>
    <t>Review DW records DW-001 to DW-012</t>
  </si>
  <si>
    <t>EBRORA — TERMS OF USE</t>
  </si>
  <si>
    <t>This template is provided free of charge by Ebrora (ebrora.com) for personal and professional use.</t>
  </si>
  <si>
    <t>1. LICENCE: You may use this template for your own projects. You may not resell, redistribute, or claim authorship of this template.</t>
  </si>
  <si>
    <t>2. NO WARRANTY: This template is provided "as is" without warranty of any kind. Ebrora accepts no liability for errors, omissions, or losses arising from use of this template.</t>
  </si>
  <si>
    <t>3. INTELLECTUAL PROPERTY: All design, layout, branding, and content remain the intellectual property of Ebrora.</t>
  </si>
  <si>
    <t>4. MODIFICATIONS: You may modify this template for your own use. Modified versions may not be distributed or sold.</t>
  </si>
  <si>
    <t>5. ATTRIBUTION: If you share outputs generated using this template, attribution to Ebrora (ebrora.com) is appreciated but not required.</t>
  </si>
  <si>
    <t>6. SUPPORT: For queries, feedback, or to report errors, contact support@ebrora.com.</t>
  </si>
  <si>
    <t>For our full range of professional construction management tools, visit ebrora.com.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</si>
</sst>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
    <numFmt numFmtId="165" formatCode="\£#,##0;[Red]&quot;(£&quot;#,##0\);\-"/>
    <numFmt numFmtId="166" formatCode="yyyy\-mm\-dd"/>
  </numFmts>
  <fonts count="19" x14ac:knownFonts="1">
    <font>
      <sz val="11"/>
      <color theme="1"/>
      <name val="Calibri"/>
      <family val="2"/>
      <charset val="1"/>
    </font>
    <font>
      <b/>
      <sz val="36"/>
      <color rgb="FFFFFFFF"/>
      <name val="Calibri"/>
      <charset val="1"/>
    </font>
    <font>
      <sz val="12"/>
      <color rgb="FF2AABB3"/>
      <name val="Calibri"/>
      <charset val="1"/>
    </font>
    <font>
      <b/>
      <sz val="28"/>
      <color rgb="FFFFFFFF"/>
      <name val="Calibri"/>
      <charset val="1"/>
    </font>
    <font>
      <sz val="12"/>
      <color rgb="FFFFFFFF"/>
      <name val="Calibri"/>
      <charset val="1"/>
    </font>
    <font>
      <b/>
      <sz val="11"/>
      <color rgb="FF1B2A4A"/>
      <name val="Calibri"/>
      <charset val="1"/>
    </font>
    <font>
      <i/>
      <sz val="9"/>
      <color rgb="FF8C8C8C"/>
      <name val="Calibri"/>
      <charset val="1"/>
    </font>
    <font>
      <b/>
      <sz val="14"/>
      <color rgb="FF1B2A4A"/>
      <name val="Calibri"/>
      <charset val="1"/>
    </font>
    <font>
      <b/>
      <sz val="11"/>
      <color rgb="FF2AABB3"/>
      <name val="Calibri"/>
      <charset val="1"/>
    </font>
    <font>
      <b/>
      <sz val="10"/>
      <color rgb="FF1B2A4A"/>
      <name val="Calibri"/>
      <charset val="1"/>
    </font>
    <font>
      <sz val="10"/>
      <color rgb="FF1B2A4A"/>
      <name val="Calibri"/>
      <charset val="1"/>
    </font>
    <font>
      <b/>
      <sz val="11"/>
      <color rgb="FFFFFFFF"/>
      <name val="Calibri"/>
      <charset val="1"/>
    </font>
    <font>
      <b/>
      <sz val="12"/>
      <color rgb="FF1B2A4A"/>
      <name val="Calibri"/>
      <charset val="1"/>
    </font>
    <font>
      <b/>
      <sz val="8"/>
      <color rgb="FF1B2A4A"/>
      <name val="Calibri"/>
      <charset val="1"/>
    </font>
    <font>
      <i/>
      <sz val="9"/>
      <color rgb="FF2AABB3"/>
      <name val="Calibri"/>
      <charset val="1"/>
    </font>
    <font>
      <b/>
      <sz val="9"/>
      <color rgb="FF2AABB3"/>
      <name val="Calibri"/>
      <charset val="1"/>
    </font>
    <font>
      <b/>
      <sz val="9"/>
      <color rgb="FF548235"/>
      <name val="Calibri"/>
      <charset val="1"/>
    </font>
    <font>
      <b/>
      <sz val="9"/>
      <color rgb="FFBF8F00"/>
      <name val="Calibri"/>
      <charset val="1"/>
    </font>
    <font>
      <b/>
      <sz val="9"/>
      <color rgb="FFC00000"/>
      <name val="Calibri"/>
      <charset val="1"/>
    </font>
  </fonts>
  <fills count="11">
    <fill>
      <patternFill patternType="none"/>
    </fill>
    <fill>
      <patternFill patternType="gray125"/>
    </fill>
    <fill>
      <patternFill patternType="solid">
        <fgColor rgb="FF1B2A4A"/>
        <bgColor rgb="FF003366"/>
      </patternFill>
    </fill>
    <fill>
      <patternFill patternType="solid">
        <fgColor rgb="FFFFFFFF"/>
        <bgColor rgb="FFF2F2F2"/>
      </patternFill>
    </fill>
    <fill>
      <patternFill patternType="solid">
        <fgColor rgb="FFE8F6F7"/>
        <bgColor rgb="FFF2F2F2"/>
      </patternFill>
    </fill>
    <fill>
      <patternFill patternType="solid">
        <fgColor rgb="FFC6EFCE"/>
        <bgColor rgb="FFCCFFFF"/>
      </patternFill>
    </fill>
    <fill>
      <patternFill patternType="solid">
        <fgColor rgb="FFBDD7EE"/>
        <bgColor rgb="FFC6EFCE"/>
      </patternFill>
    </fill>
    <fill>
      <patternFill patternType="solid">
        <fgColor rgb="FFFFEB9C"/>
        <bgColor rgb="FFF2F2F2"/>
      </patternFill>
    </fill>
    <fill>
      <patternFill patternType="solid">
        <fgColor rgb="FFF4B084"/>
        <bgColor rgb="FFFFC7CE"/>
      </patternFill>
    </fill>
    <fill>
      <patternFill patternType="solid">
        <fgColor rgb="FFFFC7CE"/>
        <bgColor rgb="FFF4B084"/>
      </patternFill>
    </fill>
    <fill>
      <patternFill patternType="solid">
        <fgColor rgb="FFF2F2F2"/>
        <bgColor rgb="FFE8F6F7"/>
      </patternFill>
    </fill>
  </fills>
  <borders count="4">
    <border>
      <left/>
      <right/>
      <top/>
      <bottom/>
      <diagonal/>
    </border>
    <border>
      <left style="thin">
        <color rgb="FF2AABB3"/>
      </left>
      <right style="thin">
        <color rgb="FF2AABB3"/>
      </right>
      <top style="thin">
        <color rgb="FF2AABB3"/>
      </top>
      <bottom style="thin">
        <color rgb="FF2AABB3"/>
      </bottom>
      <diagonal/>
    </border>
    <border>
      <left style="thin">
        <color rgb="FF8C8C8C"/>
      </left>
      <right style="thin">
        <color rgb="FF8C8C8C"/>
      </right>
      <top style="thin">
        <color rgb="FF8C8C8C"/>
      </top>
      <bottom style="thin">
        <color rgb="FF8C8C8C"/>
      </bottom>
      <diagonal/>
    </border>
    <border>
      <left/>
      <right/>
      <top/>
      <bottom style="medium">
        <color rgb="FF2AABB3"/>
      </bottom>
      <diagonal/>
    </border>
  </borders>
  <cellStyleXfs count="1">
    <xf numFmtId="0" fontId="0" fillId="0" borderId="0"/>
  </cellStyleXfs>
  <cellXfs count="47">
    <xf numFmtId="0" fontId="0" fillId="0" borderId="0" xfId="0"/>
    <xf numFmtId="0" fontId="9" fillId="5" borderId="2" xfId="0" applyFont="1" applyFill="1" applyBorder="1" applyAlignment="1">
      <alignment horizontal="left" vertical="center" wrapText="1"/>
    </xf>
    <xf numFmtId="0" fontId="11" fillId="2" borderId="0" xfId="0" applyFont="1" applyFill="1" applyBorder="1" applyAlignment="1">
      <alignment horizontal="center" vertical="center" wrapText="1"/>
    </xf>
    <xf numFmtId="0" fontId="10" fillId="0" borderId="0" xfId="0" applyFont="1" applyBorder="1" applyAlignment="1">
      <alignment horizontal="left" vertical="center" wrapText="1"/>
    </xf>
    <xf numFmtId="0" fontId="10" fillId="0" borderId="0" xfId="0" applyFont="1" applyBorder="1" applyAlignment="1">
      <alignment horizontal="left" vertical="top" wrapText="1"/>
    </xf>
    <xf numFmtId="0" fontId="8" fillId="0" borderId="0" xfId="0" applyFont="1" applyBorder="1" applyAlignment="1">
      <alignment horizontal="left" vertical="center" wrapText="1"/>
    </xf>
    <xf numFmtId="0" fontId="7" fillId="0" borderId="0" xfId="0" applyFont="1" applyBorder="1" applyAlignment="1">
      <alignment horizontal="left" vertical="center" wrapText="1"/>
    </xf>
    <xf numFmtId="0" fontId="6" fillId="3" borderId="0"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0" fillId="4" borderId="1" xfId="0" applyFill="1" applyBorder="1"/>
    <xf numFmtId="0" fontId="4" fillId="2" borderId="0" xfId="0" applyFont="1" applyFill="1" applyBorder="1" applyAlignment="1">
      <alignment horizontal="center" vertical="center" wrapText="1"/>
    </xf>
    <xf numFmtId="0" fontId="3" fillId="2" borderId="0"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1" fillId="2" borderId="0" xfId="0" applyFont="1" applyFill="1" applyBorder="1" applyAlignment="1">
      <alignment horizontal="center" vertical="center" wrapText="1"/>
    </xf>
    <xf numFmtId="0" fontId="0" fillId="2" borderId="0" xfId="0" applyFill="1" applyBorder="1"/>
    <xf numFmtId="0" fontId="0" fillId="3" borderId="0" xfId="0" applyFill="1"/>
    <xf numFmtId="0" fontId="9" fillId="0" borderId="0" xfId="0" applyFont="1" applyAlignment="1">
      <alignment horizontal="right" vertical="top"/>
    </xf>
    <xf numFmtId="0" fontId="9" fillId="5" borderId="2" xfId="0" applyFont="1" applyFill="1" applyBorder="1" applyAlignment="1">
      <alignment horizontal="left" vertical="center" wrapText="1"/>
    </xf>
    <xf numFmtId="0" fontId="13" fillId="6" borderId="2" xfId="0"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8" borderId="2" xfId="0" applyFont="1" applyFill="1" applyBorder="1" applyAlignment="1">
      <alignment horizontal="center" vertical="center" wrapText="1"/>
    </xf>
    <xf numFmtId="0" fontId="12" fillId="3" borderId="2" xfId="0" applyFont="1" applyFill="1" applyBorder="1" applyAlignment="1">
      <alignment horizontal="center" vertical="center" wrapText="1"/>
    </xf>
    <xf numFmtId="0" fontId="9" fillId="9" borderId="2" xfId="0" applyFont="1" applyFill="1" applyBorder="1" applyAlignment="1">
      <alignment horizontal="left" vertical="center" wrapText="1"/>
    </xf>
    <xf numFmtId="0" fontId="13" fillId="9" borderId="2" xfId="0" applyFont="1" applyFill="1" applyBorder="1" applyAlignment="1">
      <alignment horizontal="center" vertical="center" wrapText="1"/>
    </xf>
    <xf numFmtId="0" fontId="13" fillId="5" borderId="2" xfId="0" applyFont="1" applyFill="1" applyBorder="1" applyAlignment="1">
      <alignment horizontal="center" vertical="center" wrapText="1"/>
    </xf>
    <xf numFmtId="0" fontId="13" fillId="10" borderId="2" xfId="0" applyFont="1" applyFill="1" applyBorder="1" applyAlignment="1">
      <alignment horizontal="center" vertical="center" wrapText="1"/>
    </xf>
    <xf numFmtId="0" fontId="9" fillId="10" borderId="2" xfId="0" applyFont="1" applyFill="1" applyBorder="1" applyAlignment="1">
      <alignment horizontal="left" vertical="center" wrapText="1"/>
    </xf>
    <xf numFmtId="0" fontId="0" fillId="0" borderId="3" xfId="0" applyBorder="1"/>
    <xf numFmtId="0" fontId="16" fillId="5" borderId="0" xfId="0" applyFont="1" applyFill="1" applyAlignment="1">
      <alignment horizontal="center" vertical="center" wrapText="1"/>
    </xf>
    <xf numFmtId="0" fontId="17" fillId="7" borderId="0" xfId="0" applyFont="1" applyFill="1" applyAlignment="1">
      <alignment horizontal="center" vertical="center" wrapText="1"/>
    </xf>
    <xf numFmtId="0" fontId="18" fillId="9"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0" fillId="4" borderId="2" xfId="0" applyFont="1" applyFill="1" applyBorder="1" applyAlignment="1">
      <alignment horizontal="center" vertical="center" wrapText="1"/>
    </xf>
    <xf numFmtId="14" fontId="10" fillId="4" borderId="2" xfId="0" applyNumberFormat="1" applyFont="1" applyFill="1" applyBorder="1" applyAlignment="1">
      <alignment horizontal="center" vertical="center" wrapText="1"/>
    </xf>
    <xf numFmtId="0" fontId="10" fillId="4" borderId="2" xfId="0" applyFont="1" applyFill="1" applyBorder="1" applyAlignment="1">
      <alignment horizontal="left" vertical="center" wrapText="1"/>
    </xf>
    <xf numFmtId="164" fontId="10" fillId="4" borderId="2" xfId="0" applyNumberFormat="1" applyFont="1" applyFill="1" applyBorder="1" applyAlignment="1">
      <alignment horizontal="right" vertical="center" wrapText="1"/>
    </xf>
    <xf numFmtId="165" fontId="10" fillId="3" borderId="2" xfId="0" applyNumberFormat="1" applyFont="1" applyFill="1" applyBorder="1" applyAlignment="1">
      <alignment horizontal="right" vertical="center" wrapText="1"/>
    </xf>
    <xf numFmtId="1" fontId="10" fillId="3" borderId="2" xfId="0" applyNumberFormat="1" applyFont="1" applyFill="1" applyBorder="1" applyAlignment="1">
      <alignment horizontal="center" vertical="center" wrapText="1"/>
    </xf>
    <xf numFmtId="166" fontId="10" fillId="4" borderId="2" xfId="0" applyNumberFormat="1" applyFont="1" applyFill="1" applyBorder="1" applyAlignment="1">
      <alignment horizontal="left" vertical="center" wrapText="1"/>
    </xf>
    <xf numFmtId="0" fontId="10" fillId="0" borderId="0" xfId="0" applyFont="1"/>
    <xf numFmtId="164" fontId="12" fillId="3" borderId="2" xfId="0" applyNumberFormat="1" applyFont="1" applyFill="1" applyBorder="1" applyAlignment="1">
      <alignment horizontal="right" vertical="center" wrapText="1"/>
    </xf>
    <xf numFmtId="0" fontId="12" fillId="3" borderId="2" xfId="0" applyFont="1" applyFill="1" applyBorder="1" applyAlignment="1">
      <alignment horizontal="center" vertical="center" wrapText="1"/>
    </xf>
    <xf numFmtId="0" fontId="9" fillId="7" borderId="2" xfId="0" applyFont="1" applyFill="1" applyBorder="1" applyAlignment="1">
      <alignment horizontal="left" vertical="center" wrapText="1"/>
    </xf>
    <xf numFmtId="0" fontId="9" fillId="9" borderId="2" xfId="0" applyFont="1" applyFill="1" applyBorder="1" applyAlignment="1">
      <alignment horizontal="left" vertical="center" wrapText="1"/>
    </xf>
    <xf numFmtId="0" fontId="9" fillId="10" borderId="2" xfId="0" applyFont="1" applyFill="1" applyBorder="1" applyAlignment="1">
      <alignment horizontal="left" vertical="center" wrapText="1"/>
    </xf>
    <xf numFmtId="0" fontId="14" fillId="0" borderId="3" xfId="0" applyFont="1" applyBorder="1" applyAlignment="1">
      <alignment horizontal="center" vertical="center" wrapText="1"/>
    </xf>
    <xf numFmtId="0" fontId="15" fillId="0" borderId="0" xfId="0" applyFont="1" applyBorder="1" applyAlignment="1">
      <alignment horizontal="center" vertical="center" wrapText="1"/>
    </xf>
  </cellXfs>
  <cellStyles count="1">
    <cellStyle name="Normal" xfId="0" builtinId="0"/>
  </cellStyles>
  <dxfs count="14">
    <dxf>
      <fill>
        <patternFill>
          <bgColor rgb="FFFFEB9C"/>
        </patternFill>
      </fill>
    </dxf>
    <dxf>
      <fill>
        <patternFill>
          <bgColor rgb="FFFFC7CE"/>
        </patternFill>
      </fill>
    </dxf>
    <dxf>
      <fill>
        <patternFill>
          <bgColor rgb="FFFFC7CE"/>
        </patternFill>
      </fill>
    </dxf>
    <dxf>
      <fill>
        <patternFill>
          <bgColor rgb="FFC6EFCE"/>
        </patternFill>
      </fill>
    </dxf>
    <dxf>
      <fill>
        <patternFill>
          <bgColor rgb="FFFFC7CE"/>
        </patternFill>
      </fill>
    </dxf>
    <dxf>
      <fill>
        <patternFill>
          <bgColor rgb="FFF2F2F2"/>
        </patternFill>
      </fill>
    </dxf>
    <dxf>
      <fill>
        <patternFill>
          <bgColor rgb="FFC6EFCE"/>
        </patternFill>
      </fill>
    </dxf>
    <dxf>
      <fill>
        <patternFill>
          <bgColor rgb="FFFFC7CE"/>
        </patternFill>
      </fill>
    </dxf>
    <dxf>
      <fill>
        <patternFill>
          <bgColor rgb="FFF4B084"/>
        </patternFill>
      </fill>
    </dxf>
    <dxf>
      <fill>
        <patternFill>
          <bgColor rgb="FFFFEB9C"/>
        </patternFill>
      </fill>
    </dxf>
    <dxf>
      <fill>
        <patternFill>
          <bgColor rgb="FFBDD7EE"/>
        </patternFill>
      </fill>
    </dxf>
    <dxf>
      <fill>
        <patternFill>
          <bgColor rgb="FFBDD7EE"/>
        </patternFill>
      </fill>
    </dxf>
    <dxf>
      <fill>
        <patternFill>
          <bgColor rgb="FFFFC7CE"/>
        </patternFill>
      </fill>
    </dxf>
    <dxf>
      <fill>
        <patternFill>
          <bgColor rgb="FFC6EFCE"/>
        </patternFill>
      </fill>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C0C0C0"/>
      <rgbColor rgb="FF808080"/>
      <rgbColor rgb="FF9999FF"/>
      <rgbColor rgb="FF993366"/>
      <rgbColor rgb="FFF2F2F2"/>
      <rgbColor rgb="FFE8F6F7"/>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4B084"/>
      <rgbColor rgb="FFCC99FF"/>
      <rgbColor rgb="FFFFC7CE"/>
      <rgbColor rgb="FF3366FF"/>
      <rgbColor rgb="FF2AABB3"/>
      <rgbColor rgb="FF99CC00"/>
      <rgbColor rgb="FFFFCC00"/>
      <rgbColor rgb="FFBF8F00"/>
      <rgbColor rgb="FFFF6600"/>
      <rgbColor rgb="FF666699"/>
      <rgbColor rgb="FF8C8C8C"/>
      <rgbColor rgb="FF003366"/>
      <rgbColor rgb="FF339966"/>
      <rgbColor rgb="FF003300"/>
      <rgbColor rgb="FF333300"/>
      <rgbColor rgb="FF993300"/>
      <rgbColor rgb="FF993366"/>
      <rgbColor rgb="FF333399"/>
      <rgbColor rgb="FF1B2A4A"/>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 /><Relationship Id="rId3" Type="http://schemas.openxmlformats.org/officeDocument/2006/relationships/worksheet" Target="worksheets/sheet3.xml" /><Relationship Id="rId7" Type="http://schemas.openxmlformats.org/officeDocument/2006/relationships/sharedStrings" Target="sharedStrings.xml" /><Relationship Id="rId2" Type="http://schemas.openxmlformats.org/officeDocument/2006/relationships/worksheet" Target="worksheets/sheet2.xml" /><Relationship Id="rId1" Type="http://schemas.openxmlformats.org/officeDocument/2006/relationships/worksheet" Target="worksheets/sheet1.xml" /><Relationship Id="rId6" Type="http://schemas.openxmlformats.org/officeDocument/2006/relationships/styles" Target="styles.xml" /><Relationship Id="rId5" Type="http://schemas.openxmlformats.org/officeDocument/2006/relationships/theme" Target="theme/theme1.xml" /><Relationship Id="rId4" Type="http://schemas.openxmlformats.org/officeDocument/2006/relationships/worksheet" Target="worksheets/sheet4.xml" /></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1B2A4A"/>
  </sheetPr>
  <dimension ref="A1:H24"/>
  <sheetViews>
    <sheetView showGridLines="0" zoomScaleNormal="100" workbookViewId="0"/>
  </sheetViews>
  <sheetFormatPr defaultColWidth="8.7421875" defaultRowHeight="15" x14ac:dyDescent="0.2"/>
  <cols>
    <col min="1" max="8" width="13.98828125" customWidth="1"/>
  </cols>
  <sheetData>
    <row r="1" spans="1:8" x14ac:dyDescent="0.2">
      <c r="A1" s="14"/>
      <c r="B1" s="14"/>
      <c r="C1" s="14"/>
      <c r="D1" s="14"/>
      <c r="E1" s="14"/>
      <c r="F1" s="14"/>
      <c r="G1" s="14"/>
      <c r="H1" s="14"/>
    </row>
    <row r="2" spans="1:8" ht="45.6" customHeight="1" x14ac:dyDescent="0.2">
      <c r="A2" s="13" t="s">
        <v>0</v>
      </c>
      <c r="B2" s="13"/>
      <c r="C2" s="13"/>
      <c r="D2" s="13"/>
      <c r="E2" s="13"/>
      <c r="F2" s="13"/>
      <c r="G2" s="13"/>
      <c r="H2" s="13"/>
    </row>
    <row r="3" spans="1:8" x14ac:dyDescent="0.2">
      <c r="A3" s="14"/>
      <c r="B3" s="14"/>
      <c r="C3" s="14"/>
      <c r="D3" s="14"/>
      <c r="E3" s="14"/>
      <c r="F3" s="14"/>
      <c r="G3" s="14"/>
      <c r="H3" s="14"/>
    </row>
    <row r="4" spans="1:8" ht="15" customHeight="1" x14ac:dyDescent="0.2">
      <c r="A4" s="12" t="s">
        <v>1</v>
      </c>
      <c r="B4" s="12"/>
      <c r="C4" s="12"/>
      <c r="D4" s="12"/>
      <c r="E4" s="12"/>
      <c r="F4" s="12"/>
      <c r="G4" s="12"/>
      <c r="H4" s="12"/>
    </row>
    <row r="5" spans="1:8" x14ac:dyDescent="0.2">
      <c r="A5" s="15"/>
      <c r="B5" s="15"/>
      <c r="C5" s="15"/>
      <c r="D5" s="15"/>
      <c r="E5" s="15"/>
      <c r="F5" s="15"/>
      <c r="G5" s="15"/>
      <c r="H5" s="15"/>
    </row>
    <row r="6" spans="1:8" x14ac:dyDescent="0.2">
      <c r="A6" s="14"/>
      <c r="B6" s="14"/>
      <c r="C6" s="14"/>
      <c r="D6" s="14"/>
      <c r="E6" s="14"/>
      <c r="F6" s="14"/>
      <c r="G6" s="14"/>
      <c r="H6" s="14"/>
    </row>
    <row r="7" spans="1:8" ht="35.1" customHeight="1" x14ac:dyDescent="0.2">
      <c r="A7" s="11" t="s">
        <v>2</v>
      </c>
      <c r="B7" s="11"/>
      <c r="C7" s="11"/>
      <c r="D7" s="11"/>
      <c r="E7" s="11"/>
      <c r="F7" s="11"/>
      <c r="G7" s="11"/>
      <c r="H7" s="11"/>
    </row>
    <row r="8" spans="1:8" x14ac:dyDescent="0.2">
      <c r="A8" s="14"/>
      <c r="B8" s="14"/>
      <c r="C8" s="14"/>
      <c r="D8" s="14"/>
      <c r="E8" s="14"/>
      <c r="F8" s="14"/>
      <c r="G8" s="14"/>
      <c r="H8" s="14"/>
    </row>
    <row r="9" spans="1:8" x14ac:dyDescent="0.2">
      <c r="A9" s="15"/>
      <c r="B9" s="15"/>
      <c r="C9" s="15"/>
      <c r="D9" s="15"/>
      <c r="E9" s="15"/>
      <c r="F9" s="15"/>
      <c r="G9" s="15"/>
      <c r="H9" s="15"/>
    </row>
    <row r="10" spans="1:8" ht="15" customHeight="1" x14ac:dyDescent="0.2">
      <c r="A10" s="10" t="s">
        <v>3</v>
      </c>
      <c r="B10" s="10"/>
      <c r="C10" s="10"/>
      <c r="D10" s="10"/>
      <c r="E10" s="10"/>
      <c r="F10" s="10"/>
      <c r="G10" s="10"/>
      <c r="H10" s="10"/>
    </row>
    <row r="11" spans="1:8" ht="15" customHeight="1" x14ac:dyDescent="0.2">
      <c r="A11" s="10" t="s">
        <v>4</v>
      </c>
      <c r="B11" s="10"/>
      <c r="C11" s="10"/>
      <c r="D11" s="10"/>
      <c r="E11" s="10"/>
      <c r="F11" s="10"/>
      <c r="G11" s="10"/>
      <c r="H11" s="10"/>
    </row>
    <row r="12" spans="1:8" x14ac:dyDescent="0.2">
      <c r="A12" s="15"/>
      <c r="B12" s="15"/>
      <c r="C12" s="15"/>
      <c r="D12" s="15"/>
      <c r="E12" s="15"/>
      <c r="F12" s="15"/>
      <c r="G12" s="15"/>
      <c r="H12" s="15"/>
    </row>
    <row r="13" spans="1:8" x14ac:dyDescent="0.2">
      <c r="A13" s="15"/>
      <c r="B13" s="15"/>
      <c r="C13" s="15"/>
      <c r="D13" s="15"/>
      <c r="E13" s="15"/>
      <c r="F13" s="15"/>
      <c r="G13" s="15"/>
      <c r="H13" s="15"/>
    </row>
    <row r="14" spans="1:8" x14ac:dyDescent="0.2">
      <c r="A14" s="9"/>
      <c r="B14" s="9"/>
      <c r="C14" s="9"/>
      <c r="D14" s="9"/>
      <c r="E14" s="9"/>
      <c r="F14" s="9"/>
      <c r="G14" s="9"/>
      <c r="H14" s="9"/>
    </row>
    <row r="15" spans="1:8" ht="15" customHeight="1" x14ac:dyDescent="0.2">
      <c r="A15" s="8" t="s">
        <v>5</v>
      </c>
      <c r="B15" s="8"/>
      <c r="C15" s="8"/>
      <c r="D15" s="8"/>
      <c r="E15" s="8"/>
      <c r="F15" s="8"/>
      <c r="G15" s="8"/>
      <c r="H15" s="8"/>
    </row>
    <row r="16" spans="1:8" ht="15" customHeight="1" x14ac:dyDescent="0.2">
      <c r="A16" s="8" t="s">
        <v>6</v>
      </c>
      <c r="B16" s="8"/>
      <c r="C16" s="8"/>
      <c r="D16" s="8"/>
      <c r="E16" s="8"/>
      <c r="F16" s="8"/>
      <c r="G16" s="8"/>
      <c r="H16" s="8"/>
    </row>
    <row r="17" spans="1:8" x14ac:dyDescent="0.2">
      <c r="A17" s="9"/>
      <c r="B17" s="9"/>
      <c r="C17" s="9"/>
      <c r="D17" s="9"/>
      <c r="E17" s="9"/>
      <c r="F17" s="9"/>
      <c r="G17" s="9"/>
      <c r="H17" s="9"/>
    </row>
    <row r="18" spans="1:8" x14ac:dyDescent="0.2">
      <c r="A18" s="15"/>
      <c r="B18" s="15"/>
      <c r="C18" s="15"/>
      <c r="D18" s="15"/>
      <c r="E18" s="15"/>
      <c r="F18" s="15"/>
      <c r="G18" s="15"/>
      <c r="H18" s="15"/>
    </row>
    <row r="19" spans="1:8" ht="15" customHeight="1" x14ac:dyDescent="0.2">
      <c r="A19" s="7" t="s">
        <v>7</v>
      </c>
      <c r="B19" s="7"/>
      <c r="C19" s="7"/>
      <c r="D19" s="7"/>
      <c r="E19" s="7"/>
      <c r="F19" s="7"/>
      <c r="G19" s="7"/>
      <c r="H19" s="7"/>
    </row>
    <row r="20" spans="1:8" x14ac:dyDescent="0.2">
      <c r="A20" s="15"/>
      <c r="B20" s="15"/>
      <c r="C20" s="15"/>
      <c r="D20" s="15"/>
      <c r="E20" s="15"/>
      <c r="F20" s="15"/>
      <c r="G20" s="15"/>
      <c r="H20" s="15"/>
    </row>
    <row r="21" spans="1:8" x14ac:dyDescent="0.2">
      <c r="A21" s="15"/>
      <c r="B21" s="15"/>
      <c r="C21" s="15"/>
      <c r="D21" s="15"/>
      <c r="E21" s="15"/>
      <c r="F21" s="15"/>
      <c r="G21" s="15"/>
      <c r="H21" s="15"/>
    </row>
    <row r="22" spans="1:8" x14ac:dyDescent="0.2">
      <c r="A22" s="15"/>
      <c r="B22" s="15"/>
      <c r="C22" s="15"/>
      <c r="D22" s="15"/>
      <c r="E22" s="15"/>
      <c r="F22" s="15"/>
      <c r="G22" s="15"/>
      <c r="H22" s="15"/>
    </row>
    <row r="23" spans="1:8" x14ac:dyDescent="0.2">
      <c r="A23" s="15"/>
      <c r="B23" s="15"/>
      <c r="C23" s="15"/>
      <c r="D23" s="15"/>
      <c r="E23" s="15"/>
      <c r="F23" s="15"/>
      <c r="G23" s="15"/>
      <c r="H23" s="15"/>
    </row>
    <row r="24" spans="1:8" x14ac:dyDescent="0.2">
      <c r="A24" s="15"/>
      <c r="B24" s="15"/>
      <c r="C24" s="15"/>
      <c r="D24" s="15"/>
      <c r="E24" s="15"/>
      <c r="F24" s="15"/>
      <c r="G24" s="15"/>
      <c r="H24" s="15"/>
    </row>
  </sheetData>
  <mergeCells count="14">
    <mergeCell ref="A15:H15"/>
    <mergeCell ref="A16:H16"/>
    <mergeCell ref="A17:H17"/>
    <mergeCell ref="A19:H19"/>
    <mergeCell ref="A7:H7"/>
    <mergeCell ref="A8:H8"/>
    <mergeCell ref="A10:H10"/>
    <mergeCell ref="A11:H11"/>
    <mergeCell ref="A14:H14"/>
    <mergeCell ref="A1:H1"/>
    <mergeCell ref="A2:H2"/>
    <mergeCell ref="A3:H3"/>
    <mergeCell ref="A4:H4"/>
    <mergeCell ref="A6:H6"/>
  </mergeCells>
  <pageMargins left="0.75" right="0.75" top="1" bottom="1"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AABB3"/>
  </sheetPr>
  <dimension ref="A1:F33"/>
  <sheetViews>
    <sheetView showGridLines="0" zoomScaleNormal="100" workbookViewId="0"/>
  </sheetViews>
  <sheetFormatPr defaultColWidth="8.7421875" defaultRowHeight="15" x14ac:dyDescent="0.2"/>
  <cols>
    <col min="1" max="1" width="7.93359375" customWidth="1"/>
    <col min="2" max="6" width="18.0234375" customWidth="1"/>
  </cols>
  <sheetData>
    <row r="1" spans="1:6" ht="18.600000000000001" customHeight="1" x14ac:dyDescent="0.2">
      <c r="A1" s="6" t="s">
        <v>8</v>
      </c>
      <c r="B1" s="6"/>
      <c r="C1" s="6"/>
      <c r="D1" s="6"/>
      <c r="E1" s="6"/>
      <c r="F1" s="6"/>
    </row>
    <row r="3" spans="1:6" ht="15" customHeight="1" x14ac:dyDescent="0.2">
      <c r="A3" s="5" t="s">
        <v>9</v>
      </c>
      <c r="B3" s="5"/>
      <c r="C3" s="5"/>
      <c r="D3" s="5"/>
      <c r="E3" s="5"/>
      <c r="F3" s="5"/>
    </row>
    <row r="4" spans="1:6" ht="23.85" customHeight="1" x14ac:dyDescent="0.2">
      <c r="A4" s="16" t="s">
        <v>10</v>
      </c>
      <c r="B4" s="4" t="s">
        <v>11</v>
      </c>
      <c r="C4" s="4"/>
      <c r="D4" s="4"/>
      <c r="E4" s="4"/>
      <c r="F4" s="4"/>
    </row>
    <row r="5" spans="1:6" ht="23.85" customHeight="1" x14ac:dyDescent="0.2">
      <c r="A5" s="16" t="s">
        <v>12</v>
      </c>
      <c r="B5" s="4" t="s">
        <v>13</v>
      </c>
      <c r="C5" s="4"/>
      <c r="D5" s="4"/>
      <c r="E5" s="4"/>
      <c r="F5" s="4"/>
    </row>
    <row r="6" spans="1:6" ht="23.85" customHeight="1" x14ac:dyDescent="0.2">
      <c r="A6" s="16" t="s">
        <v>14</v>
      </c>
      <c r="B6" s="4" t="s">
        <v>15</v>
      </c>
      <c r="C6" s="4"/>
      <c r="D6" s="4"/>
      <c r="E6" s="4"/>
      <c r="F6" s="4"/>
    </row>
    <row r="7" spans="1:6" ht="23.85" customHeight="1" x14ac:dyDescent="0.2">
      <c r="A7" s="16" t="s">
        <v>16</v>
      </c>
      <c r="B7" s="4" t="s">
        <v>17</v>
      </c>
      <c r="C7" s="4"/>
      <c r="D7" s="4"/>
      <c r="E7" s="4"/>
      <c r="F7" s="4"/>
    </row>
    <row r="8" spans="1:6" ht="23.85" customHeight="1" x14ac:dyDescent="0.2">
      <c r="A8" s="16" t="s">
        <v>18</v>
      </c>
      <c r="B8" s="4" t="s">
        <v>19</v>
      </c>
      <c r="C8" s="4"/>
      <c r="D8" s="4"/>
      <c r="E8" s="4"/>
      <c r="F8" s="4"/>
    </row>
    <row r="10" spans="1:6" ht="15" customHeight="1" x14ac:dyDescent="0.2">
      <c r="A10" s="5" t="s">
        <v>20</v>
      </c>
      <c r="B10" s="5"/>
      <c r="C10" s="5"/>
      <c r="D10" s="5"/>
      <c r="E10" s="5"/>
      <c r="F10" s="5"/>
    </row>
    <row r="11" spans="1:6" ht="15" customHeight="1" x14ac:dyDescent="0.2">
      <c r="A11" s="3" t="s">
        <v>21</v>
      </c>
      <c r="B11" s="3"/>
      <c r="C11" s="3"/>
      <c r="D11" s="3"/>
      <c r="E11" s="3"/>
      <c r="F11" s="3"/>
    </row>
    <row r="12" spans="1:6" ht="23.85" customHeight="1" x14ac:dyDescent="0.2">
      <c r="A12" s="3" t="s">
        <v>22</v>
      </c>
      <c r="B12" s="3"/>
      <c r="C12" s="3"/>
      <c r="D12" s="3"/>
      <c r="E12" s="3"/>
      <c r="F12" s="3"/>
    </row>
    <row r="13" spans="1:6" ht="15" customHeight="1" x14ac:dyDescent="0.2">
      <c r="A13" s="3" t="s">
        <v>23</v>
      </c>
      <c r="B13" s="3"/>
      <c r="C13" s="3"/>
      <c r="D13" s="3"/>
      <c r="E13" s="3"/>
      <c r="F13" s="3"/>
    </row>
    <row r="14" spans="1:6" ht="15" customHeight="1" x14ac:dyDescent="0.2">
      <c r="A14" s="3" t="s">
        <v>24</v>
      </c>
      <c r="B14" s="3"/>
      <c r="C14" s="3"/>
      <c r="D14" s="3"/>
      <c r="E14" s="3"/>
      <c r="F14" s="3"/>
    </row>
    <row r="16" spans="1:6" ht="15" customHeight="1" x14ac:dyDescent="0.2">
      <c r="A16" s="5" t="s">
        <v>25</v>
      </c>
      <c r="B16" s="5"/>
      <c r="C16" s="5"/>
      <c r="D16" s="5"/>
      <c r="E16" s="5"/>
      <c r="F16" s="5"/>
    </row>
    <row r="17" spans="1:6" ht="23.85" customHeight="1" x14ac:dyDescent="0.2">
      <c r="A17" s="16" t="s">
        <v>26</v>
      </c>
      <c r="B17" s="4" t="s">
        <v>27</v>
      </c>
      <c r="C17" s="4"/>
      <c r="D17" s="4"/>
      <c r="E17" s="4"/>
      <c r="F17" s="4"/>
    </row>
    <row r="18" spans="1:6" ht="15" customHeight="1" x14ac:dyDescent="0.2">
      <c r="A18" s="16" t="s">
        <v>28</v>
      </c>
      <c r="B18" s="4" t="s">
        <v>29</v>
      </c>
      <c r="C18" s="4"/>
      <c r="D18" s="4"/>
      <c r="E18" s="4"/>
      <c r="F18" s="4"/>
    </row>
    <row r="20" spans="1:6" ht="15" customHeight="1" x14ac:dyDescent="0.2">
      <c r="A20" s="5" t="s">
        <v>30</v>
      </c>
      <c r="B20" s="5"/>
      <c r="C20" s="5"/>
      <c r="D20" s="5"/>
      <c r="E20" s="5"/>
      <c r="F20" s="5"/>
    </row>
    <row r="21" spans="1:6" ht="15" customHeight="1" x14ac:dyDescent="0.2">
      <c r="A21" s="3" t="s">
        <v>31</v>
      </c>
      <c r="B21" s="3"/>
      <c r="C21" s="3"/>
      <c r="D21" s="3"/>
      <c r="E21" s="3"/>
      <c r="F21" s="3"/>
    </row>
    <row r="22" spans="1:6" ht="15" customHeight="1" x14ac:dyDescent="0.2">
      <c r="A22" s="3" t="s">
        <v>32</v>
      </c>
      <c r="B22" s="3"/>
      <c r="C22" s="3"/>
      <c r="D22" s="3"/>
      <c r="E22" s="3"/>
      <c r="F22" s="3"/>
    </row>
    <row r="23" spans="1:6" ht="15" customHeight="1" x14ac:dyDescent="0.2">
      <c r="A23" s="3" t="s">
        <v>33</v>
      </c>
      <c r="B23" s="3"/>
      <c r="C23" s="3"/>
      <c r="D23" s="3"/>
      <c r="E23" s="3"/>
      <c r="F23" s="3"/>
    </row>
    <row r="24" spans="1:6" ht="15" customHeight="1" x14ac:dyDescent="0.2">
      <c r="A24" s="3" t="s">
        <v>34</v>
      </c>
      <c r="B24" s="3"/>
      <c r="C24" s="3"/>
      <c r="D24" s="3"/>
      <c r="E24" s="3"/>
      <c r="F24" s="3"/>
    </row>
    <row r="25" spans="1:6" ht="15" customHeight="1" x14ac:dyDescent="0.2">
      <c r="A25" s="3" t="s">
        <v>35</v>
      </c>
      <c r="B25" s="3"/>
      <c r="C25" s="3"/>
      <c r="D25" s="3"/>
      <c r="E25" s="3"/>
      <c r="F25" s="3"/>
    </row>
    <row r="26" spans="1:6" ht="15" customHeight="1" x14ac:dyDescent="0.2">
      <c r="A26" s="3" t="s">
        <v>36</v>
      </c>
      <c r="B26" s="3"/>
      <c r="C26" s="3"/>
      <c r="D26" s="3"/>
      <c r="E26" s="3"/>
      <c r="F26" s="3"/>
    </row>
    <row r="27" spans="1:6" ht="15" customHeight="1" x14ac:dyDescent="0.2">
      <c r="A27" s="3" t="s">
        <v>37</v>
      </c>
      <c r="B27" s="3"/>
      <c r="C27" s="3"/>
      <c r="D27" s="3"/>
      <c r="E27" s="3"/>
      <c r="F27" s="3"/>
    </row>
    <row r="28" spans="1:6" ht="15" customHeight="1" x14ac:dyDescent="0.2">
      <c r="A28" s="3" t="s">
        <v>38</v>
      </c>
      <c r="B28" s="3"/>
      <c r="C28" s="3"/>
      <c r="D28" s="3"/>
      <c r="E28" s="3"/>
      <c r="F28" s="3"/>
    </row>
    <row r="30" spans="1:6" ht="15" customHeight="1" x14ac:dyDescent="0.2">
      <c r="A30" s="5" t="s">
        <v>39</v>
      </c>
      <c r="B30" s="5"/>
      <c r="C30" s="5"/>
      <c r="D30" s="5"/>
      <c r="E30" s="5"/>
      <c r="F30" s="5"/>
    </row>
    <row r="31" spans="1:6" ht="23.85" customHeight="1" x14ac:dyDescent="0.2">
      <c r="A31" s="16" t="s">
        <v>40</v>
      </c>
      <c r="B31" s="4" t="s">
        <v>41</v>
      </c>
      <c r="C31" s="4"/>
      <c r="D31" s="4"/>
      <c r="E31" s="4"/>
      <c r="F31" s="4"/>
    </row>
    <row r="32" spans="1:6" ht="23.85" customHeight="1" x14ac:dyDescent="0.2">
      <c r="A32" s="16" t="s">
        <v>42</v>
      </c>
      <c r="B32" s="4" t="s">
        <v>43</v>
      </c>
      <c r="C32" s="4"/>
      <c r="D32" s="4"/>
      <c r="E32" s="4"/>
      <c r="F32" s="4"/>
    </row>
    <row r="33" spans="1:6" ht="23.85" customHeight="1" x14ac:dyDescent="0.2">
      <c r="A33" s="16" t="s">
        <v>44</v>
      </c>
      <c r="B33" s="4" t="s">
        <v>45</v>
      </c>
      <c r="C33" s="4"/>
      <c r="D33" s="4"/>
      <c r="E33" s="4"/>
      <c r="F33" s="4"/>
    </row>
  </sheetData>
  <mergeCells count="28">
    <mergeCell ref="B31:F31"/>
    <mergeCell ref="B32:F32"/>
    <mergeCell ref="B33:F33"/>
    <mergeCell ref="A25:F25"/>
    <mergeCell ref="A26:F26"/>
    <mergeCell ref="A27:F27"/>
    <mergeCell ref="A28:F28"/>
    <mergeCell ref="A30:F30"/>
    <mergeCell ref="A20:F20"/>
    <mergeCell ref="A21:F21"/>
    <mergeCell ref="A22:F22"/>
    <mergeCell ref="A23:F23"/>
    <mergeCell ref="A24:F24"/>
    <mergeCell ref="A13:F13"/>
    <mergeCell ref="A14:F14"/>
    <mergeCell ref="A16:F16"/>
    <mergeCell ref="B17:F17"/>
    <mergeCell ref="B18:F18"/>
    <mergeCell ref="B7:F7"/>
    <mergeCell ref="B8:F8"/>
    <mergeCell ref="A10:F10"/>
    <mergeCell ref="A11:F11"/>
    <mergeCell ref="A12:F12"/>
    <mergeCell ref="A1:F1"/>
    <mergeCell ref="A3:F3"/>
    <mergeCell ref="B4:F4"/>
    <mergeCell ref="B5:F5"/>
    <mergeCell ref="B6:F6"/>
  </mergeCells>
  <pageMargins left="0.75" right="0.75" top="1" bottom="1" header="0.511811023622047" footer="0.511811023622047"/>
  <pageSetup paperSize="9" orientation="landscape"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4"/>
  <sheetViews>
    <sheetView tabSelected="1" zoomScaleNormal="100" workbookViewId="0">
      <pane xSplit="1" ySplit="13" topLeftCell="J14" activePane="bottomRight" state="frozen"/>
      <selection pane="bottomLeft" activeCell="A14" sqref="A14"/>
      <selection pane="topRight" activeCell="B1" sqref="B1"/>
      <selection pane="bottomRight"/>
    </sheetView>
  </sheetViews>
  <sheetFormatPr defaultColWidth="8.7421875" defaultRowHeight="15" outlineLevelCol="1" x14ac:dyDescent="0.2"/>
  <cols>
    <col min="1" max="1" width="9.953125" customWidth="1"/>
    <col min="2" max="2" width="11.97265625" customWidth="1"/>
    <col min="3" max="4" width="20.04296875" customWidth="1"/>
    <col min="5" max="5" width="11.02734375" customWidth="1"/>
    <col min="6" max="6" width="39.953125" customWidth="1"/>
    <col min="7" max="7" width="16.0078125" customWidth="1"/>
    <col min="8" max="11" width="13.98828125" customWidth="1"/>
    <col min="12" max="12" width="13.046875" customWidth="1"/>
    <col min="13" max="13" width="29.99609375" customWidth="1"/>
    <col min="14" max="21" width="11.97265625" hidden="1" customWidth="1" outlineLevel="1"/>
  </cols>
  <sheetData>
    <row r="1" spans="1:21" ht="15" customHeight="1" x14ac:dyDescent="0.2">
      <c r="A1" s="2" t="s">
        <v>46</v>
      </c>
      <c r="B1" s="2"/>
      <c r="C1" s="2"/>
      <c r="D1" s="2"/>
      <c r="E1" s="2"/>
      <c r="F1" s="2"/>
      <c r="G1" s="2"/>
      <c r="H1" s="2"/>
      <c r="I1" s="2"/>
      <c r="J1" s="2"/>
      <c r="K1" s="2"/>
      <c r="L1" s="2"/>
      <c r="M1" s="2"/>
      <c r="N1" s="2"/>
      <c r="O1" s="2"/>
      <c r="P1" s="2"/>
      <c r="Q1" s="2"/>
      <c r="R1" s="2"/>
      <c r="S1" s="2"/>
      <c r="T1" s="2"/>
      <c r="U1" s="2"/>
    </row>
    <row r="3" spans="1:21" ht="15" customHeight="1" x14ac:dyDescent="0.2">
      <c r="A3" s="2" t="s">
        <v>47</v>
      </c>
      <c r="B3" s="2"/>
      <c r="C3" s="2"/>
      <c r="D3" s="2"/>
      <c r="F3" s="2" t="s">
        <v>48</v>
      </c>
      <c r="G3" s="2"/>
      <c r="H3" s="2"/>
      <c r="I3" s="2"/>
      <c r="K3" s="2" t="s">
        <v>49</v>
      </c>
      <c r="L3" s="2"/>
      <c r="M3" s="2"/>
    </row>
    <row r="5" spans="1:21" ht="15" customHeight="1" x14ac:dyDescent="0.2">
      <c r="A5" s="1" t="s">
        <v>50</v>
      </c>
      <c r="B5" s="1"/>
      <c r="C5" s="40">
        <f>SUM(H14:H44)</f>
        <v>54000</v>
      </c>
      <c r="D5" s="40"/>
      <c r="F5" s="18" t="s">
        <v>51</v>
      </c>
      <c r="G5" s="18" t="s">
        <v>52</v>
      </c>
      <c r="H5" s="19" t="s">
        <v>53</v>
      </c>
      <c r="I5" s="20" t="s">
        <v>54</v>
      </c>
      <c r="K5" s="17" t="s">
        <v>55</v>
      </c>
      <c r="L5" s="41">
        <f>COUNTIF(E14:E44,"By Us")</f>
        <v>2</v>
      </c>
      <c r="M5" s="41"/>
    </row>
    <row r="6" spans="1:21" ht="15" customHeight="1" x14ac:dyDescent="0.2">
      <c r="A6" s="42" t="s">
        <v>56</v>
      </c>
      <c r="B6" s="42"/>
      <c r="C6" s="40">
        <f>SUM(I14:I44)</f>
        <v>101500</v>
      </c>
      <c r="D6" s="40"/>
      <c r="F6" s="21">
        <f>COUNTIF(G14:G44,"Identified")</f>
        <v>1</v>
      </c>
      <c r="G6" s="21">
        <f>COUNTIF(G14:G44,"Notified")</f>
        <v>1</v>
      </c>
      <c r="H6" s="21">
        <f>COUNTIF(G14:G44,"Negotiation")</f>
        <v>1</v>
      </c>
      <c r="I6" s="21">
        <f>COUNTIF(G14:G44,"Adjudication")</f>
        <v>0</v>
      </c>
      <c r="K6" s="22" t="s">
        <v>57</v>
      </c>
      <c r="L6" s="41">
        <f>COUNTIF(E14:E44,"Against Us")</f>
        <v>2</v>
      </c>
      <c r="M6" s="41"/>
    </row>
    <row r="7" spans="1:21" ht="23.85" customHeight="1" x14ac:dyDescent="0.2">
      <c r="A7" s="43" t="s">
        <v>58</v>
      </c>
      <c r="B7" s="43"/>
      <c r="C7" s="40">
        <f>SUM(J14:J44)</f>
        <v>153000</v>
      </c>
      <c r="D7" s="40"/>
      <c r="F7" s="23" t="s">
        <v>59</v>
      </c>
      <c r="G7" s="24" t="s">
        <v>60</v>
      </c>
      <c r="H7" s="25" t="s">
        <v>61</v>
      </c>
      <c r="I7" s="15"/>
      <c r="K7" s="26" t="s">
        <v>62</v>
      </c>
      <c r="L7" s="41">
        <f>COUNTIFS(G14:G44,"&lt;&gt;Settled",G14:G44,"&lt;&gt;Withdrawn",G14:G44,"&lt;&gt;")</f>
        <v>3</v>
      </c>
      <c r="M7" s="41"/>
    </row>
    <row r="8" spans="1:21" ht="15" customHeight="1" x14ac:dyDescent="0.2">
      <c r="A8" s="44" t="s">
        <v>63</v>
      </c>
      <c r="B8" s="44"/>
      <c r="C8" s="40">
        <f>SUM(K14:K44)</f>
        <v>42500</v>
      </c>
      <c r="D8" s="40"/>
      <c r="F8" s="21">
        <f>COUNTIF(G14:G44,"Arbitration / Litigation")</f>
        <v>0</v>
      </c>
      <c r="G8" s="21">
        <f>COUNTIF(G14:G44,"Settled")</f>
        <v>1</v>
      </c>
      <c r="H8" s="21">
        <f>COUNTIF(G14:G44,"Withdrawn")</f>
        <v>0</v>
      </c>
      <c r="I8" s="15"/>
      <c r="K8" s="26" t="s">
        <v>64</v>
      </c>
      <c r="L8" s="41">
        <f>COUNTA(A14:A44)</f>
        <v>4</v>
      </c>
      <c r="M8" s="41"/>
    </row>
    <row r="10" spans="1:21" ht="32.85" customHeight="1" x14ac:dyDescent="0.2">
      <c r="A10" s="27"/>
      <c r="B10" s="27"/>
      <c r="C10" s="27"/>
      <c r="D10" s="27"/>
      <c r="E10" s="27"/>
      <c r="F10" s="27"/>
      <c r="G10" s="27"/>
      <c r="H10" s="27"/>
      <c r="I10" s="27"/>
      <c r="J10" s="27"/>
      <c r="K10" s="27"/>
      <c r="L10" s="27"/>
      <c r="M10" s="27"/>
      <c r="N10" s="45" t="s">
        <v>65</v>
      </c>
      <c r="O10" s="45"/>
      <c r="P10" s="45"/>
      <c r="Q10" s="45"/>
      <c r="R10" s="45"/>
      <c r="S10" s="45"/>
      <c r="T10" s="45"/>
      <c r="U10" s="45"/>
    </row>
    <row r="11" spans="1:21" ht="15" customHeight="1" x14ac:dyDescent="0.2">
      <c r="A11" s="46" t="s">
        <v>66</v>
      </c>
      <c r="B11" s="46"/>
      <c r="C11" s="46"/>
      <c r="D11" s="46"/>
      <c r="E11" s="46"/>
      <c r="F11" s="46"/>
      <c r="H11" s="46" t="s">
        <v>67</v>
      </c>
      <c r="I11" s="46"/>
      <c r="J11" s="46"/>
      <c r="K11" s="46"/>
      <c r="L11" s="46"/>
    </row>
    <row r="12" spans="1:21" x14ac:dyDescent="0.2">
      <c r="H12" s="28" t="s">
        <v>68</v>
      </c>
      <c r="I12" s="29" t="s">
        <v>69</v>
      </c>
      <c r="J12" s="30" t="s">
        <v>70</v>
      </c>
    </row>
    <row r="13" spans="1:21" ht="41.25" x14ac:dyDescent="0.2">
      <c r="A13" s="31" t="s">
        <v>71</v>
      </c>
      <c r="B13" s="31" t="s">
        <v>72</v>
      </c>
      <c r="C13" s="31" t="s">
        <v>73</v>
      </c>
      <c r="D13" s="31" t="s">
        <v>74</v>
      </c>
      <c r="E13" s="31" t="s">
        <v>75</v>
      </c>
      <c r="F13" s="31" t="s">
        <v>76</v>
      </c>
      <c r="G13" s="31" t="s">
        <v>77</v>
      </c>
      <c r="H13" s="31" t="s">
        <v>78</v>
      </c>
      <c r="I13" s="31" t="s">
        <v>79</v>
      </c>
      <c r="J13" s="31" t="s">
        <v>80</v>
      </c>
      <c r="K13" s="31" t="s">
        <v>81</v>
      </c>
      <c r="L13" s="31" t="s">
        <v>82</v>
      </c>
      <c r="M13" s="31" t="s">
        <v>83</v>
      </c>
      <c r="N13" s="31" t="s">
        <v>84</v>
      </c>
      <c r="O13" s="31" t="s">
        <v>85</v>
      </c>
      <c r="P13" s="31" t="s">
        <v>86</v>
      </c>
      <c r="Q13" s="31" t="s">
        <v>87</v>
      </c>
      <c r="R13" s="31" t="s">
        <v>88</v>
      </c>
      <c r="S13" s="31" t="s">
        <v>89</v>
      </c>
      <c r="T13" s="31" t="s">
        <v>90</v>
      </c>
      <c r="U13" s="31" t="s">
        <v>91</v>
      </c>
    </row>
    <row r="14" spans="1:21" ht="37.5" x14ac:dyDescent="0.2">
      <c r="A14" s="32" t="s">
        <v>92</v>
      </c>
      <c r="B14" s="33">
        <v>45853</v>
      </c>
      <c r="C14" s="32" t="s">
        <v>93</v>
      </c>
      <c r="D14" s="32" t="s">
        <v>94</v>
      </c>
      <c r="E14" s="32" t="s">
        <v>95</v>
      </c>
      <c r="F14" s="34" t="s">
        <v>96</v>
      </c>
      <c r="G14" s="32" t="s">
        <v>60</v>
      </c>
      <c r="H14" s="35">
        <v>28000</v>
      </c>
      <c r="I14" s="35">
        <v>42500</v>
      </c>
      <c r="J14" s="35">
        <v>55000</v>
      </c>
      <c r="K14" s="35">
        <v>42500</v>
      </c>
      <c r="L14" s="36">
        <f>IF(K14&lt;&gt;"",K14-I14,"")</f>
        <v>0</v>
      </c>
      <c r="M14" s="34" t="s">
        <v>97</v>
      </c>
      <c r="N14" s="32" t="s">
        <v>98</v>
      </c>
      <c r="O14" s="32" t="s">
        <v>99</v>
      </c>
      <c r="P14" s="33">
        <v>45860</v>
      </c>
      <c r="Q14" s="32" t="s">
        <v>100</v>
      </c>
      <c r="R14" s="32" t="s">
        <v>101</v>
      </c>
      <c r="S14" s="34"/>
      <c r="T14" s="33"/>
      <c r="U14" s="37" t="str">
        <f ca="1">IF(AND(B14&lt;&gt;"",G14&lt;&gt;"Settled",G14&lt;&gt;"Withdrawn"),TODAY()-B14,IF(B14&lt;&gt;"","Closed",""))</f>
        <v>Closed</v>
      </c>
    </row>
    <row r="15" spans="1:21" ht="37.5" x14ac:dyDescent="0.2">
      <c r="A15" s="32" t="s">
        <v>102</v>
      </c>
      <c r="B15" s="33">
        <v>45938</v>
      </c>
      <c r="C15" s="32" t="s">
        <v>93</v>
      </c>
      <c r="D15" s="32" t="s">
        <v>94</v>
      </c>
      <c r="E15" s="32" t="s">
        <v>95</v>
      </c>
      <c r="F15" s="34" t="s">
        <v>103</v>
      </c>
      <c r="G15" s="32" t="s">
        <v>53</v>
      </c>
      <c r="H15" s="35">
        <v>18000</v>
      </c>
      <c r="I15" s="35">
        <v>32000</v>
      </c>
      <c r="J15" s="35">
        <v>45000</v>
      </c>
      <c r="K15" s="35">
        <v>0</v>
      </c>
      <c r="L15" s="36">
        <f>IF(K15&lt;&gt;"",K15-I15,"")</f>
        <v>-32000</v>
      </c>
      <c r="M15" s="34" t="s">
        <v>104</v>
      </c>
      <c r="N15" s="32" t="s">
        <v>105</v>
      </c>
      <c r="O15" s="32" t="s">
        <v>106</v>
      </c>
      <c r="P15" s="33">
        <v>45945</v>
      </c>
      <c r="Q15" s="32"/>
      <c r="R15" s="32" t="s">
        <v>107</v>
      </c>
      <c r="S15" s="38">
        <v>46109</v>
      </c>
      <c r="T15" s="33"/>
      <c r="U15" s="37">
        <f ca="1">IF(AND(B15&lt;&gt;"",G15&lt;&gt;"Settled",G15&lt;&gt;"Withdrawn"),TODAY()-B15,IF(B15&lt;&gt;"","Closed",""))</f>
        <v>165</v>
      </c>
    </row>
    <row r="16" spans="1:21" ht="37.5" x14ac:dyDescent="0.2">
      <c r="A16" s="32" t="s">
        <v>108</v>
      </c>
      <c r="B16" s="33">
        <v>45992</v>
      </c>
      <c r="C16" s="32" t="s">
        <v>94</v>
      </c>
      <c r="D16" s="32" t="s">
        <v>93</v>
      </c>
      <c r="E16" s="32" t="s">
        <v>109</v>
      </c>
      <c r="F16" s="34" t="s">
        <v>110</v>
      </c>
      <c r="G16" s="32" t="s">
        <v>52</v>
      </c>
      <c r="H16" s="35">
        <v>0</v>
      </c>
      <c r="I16" s="35">
        <v>15000</v>
      </c>
      <c r="J16" s="35">
        <v>35000</v>
      </c>
      <c r="K16" s="35">
        <v>0</v>
      </c>
      <c r="L16" s="36">
        <f>IF(K16&lt;&gt;"",K16-I16,"")</f>
        <v>-15000</v>
      </c>
      <c r="M16" s="34" t="s">
        <v>111</v>
      </c>
      <c r="N16" s="32"/>
      <c r="O16" s="32" t="s">
        <v>112</v>
      </c>
      <c r="P16" s="33">
        <v>45996</v>
      </c>
      <c r="Q16" s="32" t="s">
        <v>113</v>
      </c>
      <c r="R16" s="32" t="s">
        <v>114</v>
      </c>
      <c r="S16" s="38">
        <v>46114</v>
      </c>
      <c r="T16" s="33"/>
      <c r="U16" s="37">
        <f ca="1">IF(AND(B16&lt;&gt;"",G16&lt;&gt;"Settled",G16&lt;&gt;"Withdrawn"),TODAY()-B16,IF(B16&lt;&gt;"","Closed",""))</f>
        <v>111</v>
      </c>
    </row>
    <row r="17" spans="1:21" ht="49.5" x14ac:dyDescent="0.2">
      <c r="A17" s="32" t="s">
        <v>115</v>
      </c>
      <c r="B17" s="33">
        <v>46042</v>
      </c>
      <c r="C17" s="32" t="s">
        <v>116</v>
      </c>
      <c r="D17" s="32" t="s">
        <v>93</v>
      </c>
      <c r="E17" s="32" t="s">
        <v>109</v>
      </c>
      <c r="F17" s="34" t="s">
        <v>117</v>
      </c>
      <c r="G17" s="32" t="s">
        <v>51</v>
      </c>
      <c r="H17" s="35">
        <v>8000</v>
      </c>
      <c r="I17" s="35">
        <v>12000</v>
      </c>
      <c r="J17" s="35">
        <v>18000</v>
      </c>
      <c r="K17" s="35">
        <v>0</v>
      </c>
      <c r="L17" s="36">
        <f>IF(K17&lt;&gt;"",K17-I17,"")</f>
        <v>-12000</v>
      </c>
      <c r="M17" s="34" t="s">
        <v>118</v>
      </c>
      <c r="N17" s="32" t="s">
        <v>119</v>
      </c>
      <c r="O17" s="32" t="s">
        <v>120</v>
      </c>
      <c r="P17" s="33"/>
      <c r="Q17" s="32"/>
      <c r="R17" s="32" t="s">
        <v>121</v>
      </c>
      <c r="S17" s="38">
        <v>46106</v>
      </c>
      <c r="T17" s="33"/>
      <c r="U17" s="37">
        <f ca="1">IF(AND(B17&lt;&gt;"",G17&lt;&gt;"Settled",G17&lt;&gt;"Withdrawn"),TODAY()-B17,IF(B17&lt;&gt;"","Closed",""))</f>
        <v>61</v>
      </c>
    </row>
    <row r="18" spans="1:21" x14ac:dyDescent="0.2">
      <c r="A18" s="32"/>
      <c r="B18" s="33"/>
      <c r="C18" s="32"/>
      <c r="D18" s="32"/>
      <c r="E18" s="32"/>
      <c r="F18" s="34"/>
      <c r="G18" s="32"/>
      <c r="H18" s="35"/>
      <c r="I18" s="35"/>
      <c r="J18" s="35"/>
      <c r="K18" s="35"/>
      <c r="L18" s="36" t="str">
        <f>IF(K18&lt;&gt;"",K18-I18,"")</f>
        <v/>
      </c>
      <c r="M18" s="34"/>
      <c r="N18" s="32"/>
      <c r="O18" s="32"/>
      <c r="P18" s="33"/>
      <c r="Q18" s="32"/>
      <c r="R18" s="34"/>
      <c r="S18" s="33"/>
      <c r="T18" s="37" t="str">
        <f ca="1">IF(AND(B18&lt;&gt;"",G18&lt;&gt;"Settled",G18&lt;&gt;"Withdrawn"),TODAY()-B18,IF(B18&lt;&gt;"","Closed",""))</f>
        <v/>
      </c>
      <c r="U18" s="32"/>
    </row>
    <row r="19" spans="1:21" x14ac:dyDescent="0.2">
      <c r="A19" s="32"/>
      <c r="B19" s="33"/>
      <c r="C19" s="32"/>
      <c r="D19" s="32"/>
      <c r="E19" s="32"/>
      <c r="F19" s="34"/>
      <c r="G19" s="32"/>
      <c r="H19" s="35"/>
      <c r="I19" s="35"/>
      <c r="J19" s="35"/>
      <c r="K19" s="35"/>
      <c r="L19" s="36" t="str">
        <f>IF(K19&lt;&gt;"",K19-I19,"")</f>
        <v/>
      </c>
      <c r="M19" s="34"/>
      <c r="N19" s="32"/>
      <c r="O19" s="32"/>
      <c r="P19" s="33"/>
      <c r="Q19" s="32"/>
      <c r="R19" s="34"/>
      <c r="S19" s="33"/>
      <c r="T19" s="37" t="str">
        <f ca="1">IF(AND(B19&lt;&gt;"",G19&lt;&gt;"Settled",G19&lt;&gt;"Withdrawn"),TODAY()-B19,IF(B19&lt;&gt;"","Closed",""))</f>
        <v/>
      </c>
      <c r="U19" s="32"/>
    </row>
    <row r="20" spans="1:21" x14ac:dyDescent="0.2">
      <c r="A20" s="32"/>
      <c r="B20" s="33"/>
      <c r="C20" s="32"/>
      <c r="D20" s="32"/>
      <c r="E20" s="32"/>
      <c r="F20" s="34"/>
      <c r="G20" s="32"/>
      <c r="H20" s="35"/>
      <c r="I20" s="35"/>
      <c r="J20" s="35"/>
      <c r="K20" s="35"/>
      <c r="L20" s="36" t="str">
        <f>IF(K20&lt;&gt;"",K20-I20,"")</f>
        <v/>
      </c>
      <c r="M20" s="34"/>
      <c r="N20" s="32"/>
      <c r="O20" s="32"/>
      <c r="P20" s="33"/>
      <c r="Q20" s="32"/>
      <c r="R20" s="34"/>
      <c r="S20" s="33"/>
      <c r="T20" s="37" t="str">
        <f ca="1">IF(AND(B20&lt;&gt;"",G20&lt;&gt;"Settled",G20&lt;&gt;"Withdrawn"),TODAY()-B20,IF(B20&lt;&gt;"","Closed",""))</f>
        <v/>
      </c>
      <c r="U20" s="32"/>
    </row>
    <row r="21" spans="1:21" x14ac:dyDescent="0.2">
      <c r="A21" s="32"/>
      <c r="B21" s="33"/>
      <c r="C21" s="32"/>
      <c r="D21" s="32"/>
      <c r="E21" s="32"/>
      <c r="F21" s="34"/>
      <c r="G21" s="32"/>
      <c r="H21" s="35"/>
      <c r="I21" s="35"/>
      <c r="J21" s="35"/>
      <c r="K21" s="35"/>
      <c r="L21" s="36" t="str">
        <f>IF(K21&lt;&gt;"",K21-I21,"")</f>
        <v/>
      </c>
      <c r="M21" s="34"/>
      <c r="N21" s="32"/>
      <c r="O21" s="32"/>
      <c r="P21" s="33"/>
      <c r="Q21" s="32"/>
      <c r="R21" s="34"/>
      <c r="S21" s="33"/>
      <c r="T21" s="37" t="str">
        <f ca="1">IF(AND(B21&lt;&gt;"",G21&lt;&gt;"Settled",G21&lt;&gt;"Withdrawn"),TODAY()-B21,IF(B21&lt;&gt;"","Closed",""))</f>
        <v/>
      </c>
      <c r="U21" s="32"/>
    </row>
    <row r="22" spans="1:21" x14ac:dyDescent="0.2">
      <c r="A22" s="32"/>
      <c r="B22" s="33"/>
      <c r="C22" s="32"/>
      <c r="D22" s="32"/>
      <c r="E22" s="32"/>
      <c r="F22" s="34"/>
      <c r="G22" s="32"/>
      <c r="H22" s="35"/>
      <c r="I22" s="35"/>
      <c r="J22" s="35"/>
      <c r="K22" s="35"/>
      <c r="L22" s="36" t="str">
        <f>IF(K22&lt;&gt;"",K22-I22,"")</f>
        <v/>
      </c>
      <c r="M22" s="34"/>
      <c r="N22" s="32"/>
      <c r="O22" s="32"/>
      <c r="P22" s="33"/>
      <c r="Q22" s="32"/>
      <c r="R22" s="34"/>
      <c r="S22" s="33"/>
      <c r="T22" s="37" t="str">
        <f ca="1">IF(AND(B22&lt;&gt;"",G22&lt;&gt;"Settled",G22&lt;&gt;"Withdrawn"),TODAY()-B22,IF(B22&lt;&gt;"","Closed",""))</f>
        <v/>
      </c>
      <c r="U22" s="32"/>
    </row>
    <row r="23" spans="1:21" x14ac:dyDescent="0.2">
      <c r="A23" s="32"/>
      <c r="B23" s="33"/>
      <c r="C23" s="32"/>
      <c r="D23" s="32"/>
      <c r="E23" s="32"/>
      <c r="F23" s="34"/>
      <c r="G23" s="32"/>
      <c r="H23" s="35"/>
      <c r="I23" s="35"/>
      <c r="J23" s="35"/>
      <c r="K23" s="35"/>
      <c r="L23" s="36" t="str">
        <f>IF(K23&lt;&gt;"",K23-I23,"")</f>
        <v/>
      </c>
      <c r="M23" s="34"/>
      <c r="N23" s="32"/>
      <c r="O23" s="32"/>
      <c r="P23" s="33"/>
      <c r="Q23" s="32"/>
      <c r="R23" s="34"/>
      <c r="S23" s="33"/>
      <c r="T23" s="37" t="str">
        <f ca="1">IF(AND(B23&lt;&gt;"",G23&lt;&gt;"Settled",G23&lt;&gt;"Withdrawn"),TODAY()-B23,IF(B23&lt;&gt;"","Closed",""))</f>
        <v/>
      </c>
      <c r="U23" s="32"/>
    </row>
    <row r="24" spans="1:21" x14ac:dyDescent="0.2">
      <c r="A24" s="32"/>
      <c r="B24" s="33"/>
      <c r="C24" s="32"/>
      <c r="D24" s="32"/>
      <c r="E24" s="32"/>
      <c r="F24" s="34"/>
      <c r="G24" s="32"/>
      <c r="H24" s="35"/>
      <c r="I24" s="35"/>
      <c r="J24" s="35"/>
      <c r="K24" s="35"/>
      <c r="L24" s="36" t="str">
        <f>IF(K24&lt;&gt;"",K24-I24,"")</f>
        <v/>
      </c>
      <c r="M24" s="34"/>
      <c r="N24" s="32"/>
      <c r="O24" s="32"/>
      <c r="P24" s="33"/>
      <c r="Q24" s="32"/>
      <c r="R24" s="34"/>
      <c r="S24" s="33"/>
      <c r="T24" s="37" t="str">
        <f ca="1">IF(AND(B24&lt;&gt;"",G24&lt;&gt;"Settled",G24&lt;&gt;"Withdrawn"),TODAY()-B24,IF(B24&lt;&gt;"","Closed",""))</f>
        <v/>
      </c>
      <c r="U24" s="32"/>
    </row>
    <row r="25" spans="1:21" x14ac:dyDescent="0.2">
      <c r="A25" s="32"/>
      <c r="B25" s="33"/>
      <c r="C25" s="32"/>
      <c r="D25" s="32"/>
      <c r="E25" s="32"/>
      <c r="F25" s="34"/>
      <c r="G25" s="32"/>
      <c r="H25" s="35"/>
      <c r="I25" s="35"/>
      <c r="J25" s="35"/>
      <c r="K25" s="35"/>
      <c r="L25" s="36" t="str">
        <f>IF(K25&lt;&gt;"",K25-I25,"")</f>
        <v/>
      </c>
      <c r="M25" s="34"/>
      <c r="N25" s="32"/>
      <c r="O25" s="32"/>
      <c r="P25" s="33"/>
      <c r="Q25" s="32"/>
      <c r="R25" s="34"/>
      <c r="S25" s="33"/>
      <c r="T25" s="37" t="str">
        <f ca="1">IF(AND(B25&lt;&gt;"",G25&lt;&gt;"Settled",G25&lt;&gt;"Withdrawn"),TODAY()-B25,IF(B25&lt;&gt;"","Closed",""))</f>
        <v/>
      </c>
      <c r="U25" s="32"/>
    </row>
    <row r="26" spans="1:21" x14ac:dyDescent="0.2">
      <c r="A26" s="32"/>
      <c r="B26" s="33"/>
      <c r="C26" s="32"/>
      <c r="D26" s="32"/>
      <c r="E26" s="32"/>
      <c r="F26" s="34"/>
      <c r="G26" s="32"/>
      <c r="H26" s="35"/>
      <c r="I26" s="35"/>
      <c r="J26" s="35"/>
      <c r="K26" s="35"/>
      <c r="L26" s="36" t="str">
        <f>IF(K26&lt;&gt;"",K26-I26,"")</f>
        <v/>
      </c>
      <c r="M26" s="34"/>
      <c r="N26" s="32"/>
      <c r="O26" s="32"/>
      <c r="P26" s="33"/>
      <c r="Q26" s="32"/>
      <c r="R26" s="34"/>
      <c r="S26" s="33"/>
      <c r="T26" s="37" t="str">
        <f ca="1">IF(AND(B26&lt;&gt;"",G26&lt;&gt;"Settled",G26&lt;&gt;"Withdrawn"),TODAY()-B26,IF(B26&lt;&gt;"","Closed",""))</f>
        <v/>
      </c>
      <c r="U26" s="32"/>
    </row>
    <row r="27" spans="1:21" x14ac:dyDescent="0.2">
      <c r="A27" s="32"/>
      <c r="B27" s="33"/>
      <c r="C27" s="32"/>
      <c r="D27" s="32"/>
      <c r="E27" s="32"/>
      <c r="F27" s="34"/>
      <c r="G27" s="32"/>
      <c r="H27" s="35"/>
      <c r="I27" s="35"/>
      <c r="J27" s="35"/>
      <c r="K27" s="35"/>
      <c r="L27" s="36" t="str">
        <f>IF(K27&lt;&gt;"",K27-I27,"")</f>
        <v/>
      </c>
      <c r="M27" s="34"/>
      <c r="N27" s="32"/>
      <c r="O27" s="32"/>
      <c r="P27" s="33"/>
      <c r="Q27" s="32"/>
      <c r="R27" s="34"/>
      <c r="S27" s="33"/>
      <c r="T27" s="37" t="str">
        <f ca="1">IF(AND(B27&lt;&gt;"",G27&lt;&gt;"Settled",G27&lt;&gt;"Withdrawn"),TODAY()-B27,IF(B27&lt;&gt;"","Closed",""))</f>
        <v/>
      </c>
      <c r="U27" s="32"/>
    </row>
    <row r="28" spans="1:21" x14ac:dyDescent="0.2">
      <c r="A28" s="32"/>
      <c r="B28" s="33"/>
      <c r="C28" s="32"/>
      <c r="D28" s="32"/>
      <c r="E28" s="32"/>
      <c r="F28" s="34"/>
      <c r="G28" s="32"/>
      <c r="H28" s="35"/>
      <c r="I28" s="35"/>
      <c r="J28" s="35"/>
      <c r="K28" s="35"/>
      <c r="L28" s="36" t="str">
        <f>IF(K28&lt;&gt;"",K28-I28,"")</f>
        <v/>
      </c>
      <c r="M28" s="34"/>
      <c r="N28" s="32"/>
      <c r="O28" s="32"/>
      <c r="P28" s="33"/>
      <c r="Q28" s="32"/>
      <c r="R28" s="34"/>
      <c r="S28" s="33"/>
      <c r="T28" s="37" t="str">
        <f ca="1">IF(AND(B28&lt;&gt;"",G28&lt;&gt;"Settled",G28&lt;&gt;"Withdrawn"),TODAY()-B28,IF(B28&lt;&gt;"","Closed",""))</f>
        <v/>
      </c>
      <c r="U28" s="32"/>
    </row>
    <row r="29" spans="1:21" x14ac:dyDescent="0.2">
      <c r="A29" s="32"/>
      <c r="B29" s="33"/>
      <c r="C29" s="32"/>
      <c r="D29" s="32"/>
      <c r="E29" s="32"/>
      <c r="F29" s="34"/>
      <c r="G29" s="32"/>
      <c r="H29" s="35"/>
      <c r="I29" s="35"/>
      <c r="J29" s="35"/>
      <c r="K29" s="35"/>
      <c r="L29" s="36" t="str">
        <f>IF(K29&lt;&gt;"",K29-I29,"")</f>
        <v/>
      </c>
      <c r="M29" s="34"/>
      <c r="N29" s="32"/>
      <c r="O29" s="32"/>
      <c r="P29" s="33"/>
      <c r="Q29" s="32"/>
      <c r="R29" s="34"/>
      <c r="S29" s="33"/>
      <c r="T29" s="37" t="str">
        <f ca="1">IF(AND(B29&lt;&gt;"",G29&lt;&gt;"Settled",G29&lt;&gt;"Withdrawn"),TODAY()-B29,IF(B29&lt;&gt;"","Closed",""))</f>
        <v/>
      </c>
      <c r="U29" s="32"/>
    </row>
    <row r="30" spans="1:21" x14ac:dyDescent="0.2">
      <c r="A30" s="32"/>
      <c r="B30" s="33"/>
      <c r="C30" s="32"/>
      <c r="D30" s="32"/>
      <c r="E30" s="32"/>
      <c r="F30" s="34"/>
      <c r="G30" s="32"/>
      <c r="H30" s="35"/>
      <c r="I30" s="35"/>
      <c r="J30" s="35"/>
      <c r="K30" s="35"/>
      <c r="L30" s="36" t="str">
        <f>IF(K30&lt;&gt;"",K30-I30,"")</f>
        <v/>
      </c>
      <c r="M30" s="34"/>
      <c r="N30" s="32"/>
      <c r="O30" s="32"/>
      <c r="P30" s="33"/>
      <c r="Q30" s="32"/>
      <c r="R30" s="34"/>
      <c r="S30" s="33"/>
      <c r="T30" s="37" t="str">
        <f ca="1">IF(AND(B30&lt;&gt;"",G30&lt;&gt;"Settled",G30&lt;&gt;"Withdrawn"),TODAY()-B30,IF(B30&lt;&gt;"","Closed",""))</f>
        <v/>
      </c>
      <c r="U30" s="32"/>
    </row>
    <row r="31" spans="1:21" x14ac:dyDescent="0.2">
      <c r="A31" s="32"/>
      <c r="B31" s="33"/>
      <c r="C31" s="32"/>
      <c r="D31" s="32"/>
      <c r="E31" s="32"/>
      <c r="F31" s="34"/>
      <c r="G31" s="32"/>
      <c r="H31" s="35"/>
      <c r="I31" s="35"/>
      <c r="J31" s="35"/>
      <c r="K31" s="35"/>
      <c r="L31" s="36" t="str">
        <f>IF(K31&lt;&gt;"",K31-I31,"")</f>
        <v/>
      </c>
      <c r="M31" s="34"/>
      <c r="N31" s="32"/>
      <c r="O31" s="32"/>
      <c r="P31" s="33"/>
      <c r="Q31" s="32"/>
      <c r="R31" s="34"/>
      <c r="S31" s="33"/>
      <c r="T31" s="37" t="str">
        <f ca="1">IF(AND(B31&lt;&gt;"",G31&lt;&gt;"Settled",G31&lt;&gt;"Withdrawn"),TODAY()-B31,IF(B31&lt;&gt;"","Closed",""))</f>
        <v/>
      </c>
      <c r="U31" s="32"/>
    </row>
    <row r="32" spans="1:21" x14ac:dyDescent="0.2">
      <c r="A32" s="32"/>
      <c r="B32" s="33"/>
      <c r="C32" s="32"/>
      <c r="D32" s="32"/>
      <c r="E32" s="32"/>
      <c r="F32" s="34"/>
      <c r="G32" s="32"/>
      <c r="H32" s="35"/>
      <c r="I32" s="35"/>
      <c r="J32" s="35"/>
      <c r="K32" s="35"/>
      <c r="L32" s="36" t="str">
        <f>IF(K32&lt;&gt;"",K32-I32,"")</f>
        <v/>
      </c>
      <c r="M32" s="34"/>
      <c r="N32" s="32"/>
      <c r="O32" s="32"/>
      <c r="P32" s="33"/>
      <c r="Q32" s="32"/>
      <c r="R32" s="34"/>
      <c r="S32" s="33"/>
      <c r="T32" s="37" t="str">
        <f ca="1">IF(AND(B32&lt;&gt;"",G32&lt;&gt;"Settled",G32&lt;&gt;"Withdrawn"),TODAY()-B32,IF(B32&lt;&gt;"","Closed",""))</f>
        <v/>
      </c>
      <c r="U32" s="32"/>
    </row>
    <row r="33" spans="1:21" x14ac:dyDescent="0.2">
      <c r="A33" s="32"/>
      <c r="B33" s="33"/>
      <c r="C33" s="32"/>
      <c r="D33" s="32"/>
      <c r="E33" s="32"/>
      <c r="F33" s="34"/>
      <c r="G33" s="32"/>
      <c r="H33" s="35"/>
      <c r="I33" s="35"/>
      <c r="J33" s="35"/>
      <c r="K33" s="35"/>
      <c r="L33" s="36" t="str">
        <f>IF(K33&lt;&gt;"",K33-I33,"")</f>
        <v/>
      </c>
      <c r="M33" s="34"/>
      <c r="N33" s="32"/>
      <c r="O33" s="32"/>
      <c r="P33" s="33"/>
      <c r="Q33" s="32"/>
      <c r="R33" s="34"/>
      <c r="S33" s="33"/>
      <c r="T33" s="37" t="str">
        <f ca="1">IF(AND(B33&lt;&gt;"",G33&lt;&gt;"Settled",G33&lt;&gt;"Withdrawn"),TODAY()-B33,IF(B33&lt;&gt;"","Closed",""))</f>
        <v/>
      </c>
      <c r="U33" s="32"/>
    </row>
    <row r="34" spans="1:21" x14ac:dyDescent="0.2">
      <c r="A34" s="32"/>
      <c r="B34" s="33"/>
      <c r="C34" s="32"/>
      <c r="D34" s="32"/>
      <c r="E34" s="32"/>
      <c r="F34" s="34"/>
      <c r="G34" s="32"/>
      <c r="H34" s="35"/>
      <c r="I34" s="35"/>
      <c r="J34" s="35"/>
      <c r="K34" s="35"/>
      <c r="L34" s="36" t="str">
        <f>IF(K34&lt;&gt;"",K34-I34,"")</f>
        <v/>
      </c>
      <c r="M34" s="34"/>
      <c r="N34" s="32"/>
      <c r="O34" s="32"/>
      <c r="P34" s="33"/>
      <c r="Q34" s="32"/>
      <c r="R34" s="34"/>
      <c r="S34" s="33"/>
      <c r="T34" s="37" t="str">
        <f ca="1">IF(AND(B34&lt;&gt;"",G34&lt;&gt;"Settled",G34&lt;&gt;"Withdrawn"),TODAY()-B34,IF(B34&lt;&gt;"","Closed",""))</f>
        <v/>
      </c>
      <c r="U34" s="32"/>
    </row>
    <row r="35" spans="1:21" x14ac:dyDescent="0.2">
      <c r="A35" s="32"/>
      <c r="B35" s="33"/>
      <c r="C35" s="32"/>
      <c r="D35" s="32"/>
      <c r="E35" s="32"/>
      <c r="F35" s="34"/>
      <c r="G35" s="32"/>
      <c r="H35" s="35"/>
      <c r="I35" s="35"/>
      <c r="J35" s="35"/>
      <c r="K35" s="35"/>
      <c r="L35" s="36" t="str">
        <f>IF(K35&lt;&gt;"",K35-I35,"")</f>
        <v/>
      </c>
      <c r="M35" s="34"/>
      <c r="N35" s="32"/>
      <c r="O35" s="32"/>
      <c r="P35" s="33"/>
      <c r="Q35" s="32"/>
      <c r="R35" s="34"/>
      <c r="S35" s="33"/>
      <c r="T35" s="37" t="str">
        <f ca="1">IF(AND(B35&lt;&gt;"",G35&lt;&gt;"Settled",G35&lt;&gt;"Withdrawn"),TODAY()-B35,IF(B35&lt;&gt;"","Closed",""))</f>
        <v/>
      </c>
      <c r="U35" s="32"/>
    </row>
    <row r="36" spans="1:21" x14ac:dyDescent="0.2">
      <c r="A36" s="32"/>
      <c r="B36" s="33"/>
      <c r="C36" s="32"/>
      <c r="D36" s="32"/>
      <c r="E36" s="32"/>
      <c r="F36" s="34"/>
      <c r="G36" s="32"/>
      <c r="H36" s="35"/>
      <c r="I36" s="35"/>
      <c r="J36" s="35"/>
      <c r="K36" s="35"/>
      <c r="L36" s="36" t="str">
        <f>IF(K36&lt;&gt;"",K36-I36,"")</f>
        <v/>
      </c>
      <c r="M36" s="34"/>
      <c r="N36" s="32"/>
      <c r="O36" s="32"/>
      <c r="P36" s="33"/>
      <c r="Q36" s="32"/>
      <c r="R36" s="34"/>
      <c r="S36" s="33"/>
      <c r="T36" s="37" t="str">
        <f ca="1">IF(AND(B36&lt;&gt;"",G36&lt;&gt;"Settled",G36&lt;&gt;"Withdrawn"),TODAY()-B36,IF(B36&lt;&gt;"","Closed",""))</f>
        <v/>
      </c>
      <c r="U36" s="32"/>
    </row>
    <row r="37" spans="1:21" x14ac:dyDescent="0.2">
      <c r="A37" s="32"/>
      <c r="B37" s="33"/>
      <c r="C37" s="32"/>
      <c r="D37" s="32"/>
      <c r="E37" s="32"/>
      <c r="F37" s="34"/>
      <c r="G37" s="32"/>
      <c r="H37" s="35"/>
      <c r="I37" s="35"/>
      <c r="J37" s="35"/>
      <c r="K37" s="35"/>
      <c r="L37" s="36" t="str">
        <f>IF(K37&lt;&gt;"",K37-I37,"")</f>
        <v/>
      </c>
      <c r="M37" s="34"/>
      <c r="N37" s="32"/>
      <c r="O37" s="32"/>
      <c r="P37" s="33"/>
      <c r="Q37" s="32"/>
      <c r="R37" s="34"/>
      <c r="S37" s="33"/>
      <c r="T37" s="37" t="str">
        <f ca="1">IF(AND(B37&lt;&gt;"",G37&lt;&gt;"Settled",G37&lt;&gt;"Withdrawn"),TODAY()-B37,IF(B37&lt;&gt;"","Closed",""))</f>
        <v/>
      </c>
      <c r="U37" s="32"/>
    </row>
    <row r="38" spans="1:21" x14ac:dyDescent="0.2">
      <c r="A38" s="32"/>
      <c r="B38" s="33"/>
      <c r="C38" s="32"/>
      <c r="D38" s="32"/>
      <c r="E38" s="32"/>
      <c r="F38" s="34"/>
      <c r="G38" s="32"/>
      <c r="H38" s="35"/>
      <c r="I38" s="35"/>
      <c r="J38" s="35"/>
      <c r="K38" s="35"/>
      <c r="L38" s="36" t="str">
        <f>IF(K38&lt;&gt;"",K38-I38,"")</f>
        <v/>
      </c>
      <c r="M38" s="34"/>
      <c r="N38" s="32"/>
      <c r="O38" s="32"/>
      <c r="P38" s="33"/>
      <c r="Q38" s="32"/>
      <c r="R38" s="34"/>
      <c r="S38" s="33"/>
      <c r="T38" s="37" t="str">
        <f ca="1">IF(AND(B38&lt;&gt;"",G38&lt;&gt;"Settled",G38&lt;&gt;"Withdrawn"),TODAY()-B38,IF(B38&lt;&gt;"","Closed",""))</f>
        <v/>
      </c>
      <c r="U38" s="32"/>
    </row>
    <row r="39" spans="1:21" x14ac:dyDescent="0.2">
      <c r="A39" s="32"/>
      <c r="B39" s="33"/>
      <c r="C39" s="32"/>
      <c r="D39" s="32"/>
      <c r="E39" s="32"/>
      <c r="F39" s="34"/>
      <c r="G39" s="32"/>
      <c r="H39" s="35"/>
      <c r="I39" s="35"/>
      <c r="J39" s="35"/>
      <c r="K39" s="35"/>
      <c r="L39" s="36" t="str">
        <f>IF(K39&lt;&gt;"",K39-I39,"")</f>
        <v/>
      </c>
      <c r="M39" s="34"/>
      <c r="N39" s="32"/>
      <c r="O39" s="32"/>
      <c r="P39" s="33"/>
      <c r="Q39" s="32"/>
      <c r="R39" s="34"/>
      <c r="S39" s="33"/>
      <c r="T39" s="37" t="str">
        <f ca="1">IF(AND(B39&lt;&gt;"",G39&lt;&gt;"Settled",G39&lt;&gt;"Withdrawn"),TODAY()-B39,IF(B39&lt;&gt;"","Closed",""))</f>
        <v/>
      </c>
      <c r="U39" s="32"/>
    </row>
    <row r="40" spans="1:21" x14ac:dyDescent="0.2">
      <c r="A40" s="32"/>
      <c r="B40" s="33"/>
      <c r="C40" s="32"/>
      <c r="D40" s="32"/>
      <c r="E40" s="32"/>
      <c r="F40" s="34"/>
      <c r="G40" s="32"/>
      <c r="H40" s="35"/>
      <c r="I40" s="35"/>
      <c r="J40" s="35"/>
      <c r="K40" s="35"/>
      <c r="L40" s="36" t="str">
        <f>IF(K40&lt;&gt;"",K40-I40,"")</f>
        <v/>
      </c>
      <c r="M40" s="34"/>
      <c r="N40" s="32"/>
      <c r="O40" s="32"/>
      <c r="P40" s="33"/>
      <c r="Q40" s="32"/>
      <c r="R40" s="34"/>
      <c r="S40" s="33"/>
      <c r="T40" s="37" t="str">
        <f ca="1">IF(AND(B40&lt;&gt;"",G40&lt;&gt;"Settled",G40&lt;&gt;"Withdrawn"),TODAY()-B40,IF(B40&lt;&gt;"","Closed",""))</f>
        <v/>
      </c>
      <c r="U40" s="32"/>
    </row>
    <row r="41" spans="1:21" x14ac:dyDescent="0.2">
      <c r="A41" s="32"/>
      <c r="B41" s="33"/>
      <c r="C41" s="32"/>
      <c r="D41" s="32"/>
      <c r="E41" s="32"/>
      <c r="F41" s="34"/>
      <c r="G41" s="32"/>
      <c r="H41" s="35"/>
      <c r="I41" s="35"/>
      <c r="J41" s="35"/>
      <c r="K41" s="35"/>
      <c r="L41" s="36" t="str">
        <f>IF(K41&lt;&gt;"",K41-I41,"")</f>
        <v/>
      </c>
      <c r="M41" s="34"/>
      <c r="N41" s="32"/>
      <c r="O41" s="32"/>
      <c r="P41" s="33"/>
      <c r="Q41" s="32"/>
      <c r="R41" s="34"/>
      <c r="S41" s="33"/>
      <c r="T41" s="37" t="str">
        <f ca="1">IF(AND(B41&lt;&gt;"",G41&lt;&gt;"Settled",G41&lt;&gt;"Withdrawn"),TODAY()-B41,IF(B41&lt;&gt;"","Closed",""))</f>
        <v/>
      </c>
      <c r="U41" s="32"/>
    </row>
    <row r="42" spans="1:21" x14ac:dyDescent="0.2">
      <c r="A42" s="32"/>
      <c r="B42" s="33"/>
      <c r="C42" s="32"/>
      <c r="D42" s="32"/>
      <c r="E42" s="32"/>
      <c r="F42" s="34"/>
      <c r="G42" s="32"/>
      <c r="H42" s="35"/>
      <c r="I42" s="35"/>
      <c r="J42" s="35"/>
      <c r="K42" s="35"/>
      <c r="L42" s="36" t="str">
        <f>IF(K42&lt;&gt;"",K42-I42,"")</f>
        <v/>
      </c>
      <c r="M42" s="34"/>
      <c r="N42" s="32"/>
      <c r="O42" s="32"/>
      <c r="P42" s="33"/>
      <c r="Q42" s="32"/>
      <c r="R42" s="34"/>
      <c r="S42" s="33"/>
      <c r="T42" s="37" t="str">
        <f ca="1">IF(AND(B42&lt;&gt;"",G42&lt;&gt;"Settled",G42&lt;&gt;"Withdrawn"),TODAY()-B42,IF(B42&lt;&gt;"","Closed",""))</f>
        <v/>
      </c>
      <c r="U42" s="32"/>
    </row>
    <row r="43" spans="1:21" x14ac:dyDescent="0.2">
      <c r="A43" s="32"/>
      <c r="B43" s="33"/>
      <c r="C43" s="32"/>
      <c r="D43" s="32"/>
      <c r="E43" s="32"/>
      <c r="F43" s="34"/>
      <c r="G43" s="32"/>
      <c r="H43" s="35"/>
      <c r="I43" s="35"/>
      <c r="J43" s="35"/>
      <c r="K43" s="35"/>
      <c r="L43" s="36" t="str">
        <f>IF(K43&lt;&gt;"",K43-I43,"")</f>
        <v/>
      </c>
      <c r="M43" s="34"/>
      <c r="N43" s="32"/>
      <c r="O43" s="32"/>
      <c r="P43" s="33"/>
      <c r="Q43" s="32"/>
      <c r="R43" s="34"/>
      <c r="S43" s="33"/>
      <c r="T43" s="37" t="str">
        <f ca="1">IF(AND(B43&lt;&gt;"",G43&lt;&gt;"Settled",G43&lt;&gt;"Withdrawn"),TODAY()-B43,IF(B43&lt;&gt;"","Closed",""))</f>
        <v/>
      </c>
      <c r="U43" s="32"/>
    </row>
    <row r="44" spans="1:21" x14ac:dyDescent="0.2">
      <c r="A44" s="32"/>
      <c r="B44" s="33"/>
      <c r="C44" s="32"/>
      <c r="D44" s="32"/>
      <c r="E44" s="32"/>
      <c r="F44" s="34"/>
      <c r="G44" s="32"/>
      <c r="H44" s="35"/>
      <c r="I44" s="35"/>
      <c r="J44" s="35"/>
      <c r="K44" s="35"/>
      <c r="L44" s="36" t="str">
        <f>IF(K44&lt;&gt;"",K44-I44,"")</f>
        <v/>
      </c>
      <c r="M44" s="34"/>
      <c r="N44" s="32"/>
      <c r="O44" s="32"/>
      <c r="P44" s="33"/>
      <c r="Q44" s="32"/>
      <c r="R44" s="34"/>
      <c r="S44" s="33"/>
      <c r="T44" s="37" t="str">
        <f ca="1">IF(AND(B44&lt;&gt;"",G44&lt;&gt;"Settled",G44&lt;&gt;"Withdrawn"),TODAY()-B44,IF(B44&lt;&gt;"","Closed",""))</f>
        <v/>
      </c>
      <c r="U44" s="32"/>
    </row>
  </sheetData>
  <autoFilter ref="A13:U44" xr:uid="{00000000-0009-0000-0000-000002000000}"/>
  <mergeCells count="19">
    <mergeCell ref="A8:B8"/>
    <mergeCell ref="C8:D8"/>
    <mergeCell ref="L8:M8"/>
    <mergeCell ref="N10:U10"/>
    <mergeCell ref="A11:F11"/>
    <mergeCell ref="H11:L11"/>
    <mergeCell ref="A6:B6"/>
    <mergeCell ref="C6:D6"/>
    <mergeCell ref="L6:M6"/>
    <mergeCell ref="A7:B7"/>
    <mergeCell ref="C7:D7"/>
    <mergeCell ref="L7:M7"/>
    <mergeCell ref="A1:U1"/>
    <mergeCell ref="A3:D3"/>
    <mergeCell ref="F3:I3"/>
    <mergeCell ref="K3:M3"/>
    <mergeCell ref="A5:B5"/>
    <mergeCell ref="C5:D5"/>
    <mergeCell ref="L5:M5"/>
  </mergeCells>
  <conditionalFormatting sqref="E14:E44">
    <cfRule type="cellIs" dxfId="13" priority="9" operator="equal">
      <formula>"By Us"</formula>
    </cfRule>
    <cfRule type="cellIs" dxfId="12" priority="10" operator="equal">
      <formula>"Against Us"</formula>
    </cfRule>
  </conditionalFormatting>
  <conditionalFormatting sqref="G14:G44">
    <cfRule type="cellIs" dxfId="11" priority="2" operator="equal">
      <formula>"Identified"</formula>
    </cfRule>
    <cfRule type="cellIs" dxfId="10" priority="3" operator="equal">
      <formula>"Notified"</formula>
    </cfRule>
    <cfRule type="cellIs" dxfId="9" priority="4" operator="equal">
      <formula>"Negotiation"</formula>
    </cfRule>
    <cfRule type="cellIs" dxfId="8" priority="5" operator="equal">
      <formula>"Adjudication"</formula>
    </cfRule>
    <cfRule type="cellIs" dxfId="7" priority="6" operator="equal">
      <formula>"Arbitration / Litigation"</formula>
    </cfRule>
    <cfRule type="cellIs" dxfId="6" priority="7" operator="equal">
      <formula>"Settled"</formula>
    </cfRule>
    <cfRule type="cellIs" dxfId="5" priority="8" operator="equal">
      <formula>"Withdrawn"</formula>
    </cfRule>
  </conditionalFormatting>
  <conditionalFormatting sqref="L14:L44">
    <cfRule type="expression" dxfId="4" priority="11">
      <formula>AND(L14&lt;&gt;"",L14&lt;0)</formula>
    </cfRule>
    <cfRule type="expression" dxfId="3" priority="12">
      <formula>AND(L14&lt;&gt;"",L14&gt;=0)</formula>
    </cfRule>
  </conditionalFormatting>
  <conditionalFormatting sqref="S14:S44">
    <cfRule type="expression" dxfId="2" priority="15">
      <formula>AND(S14&lt;&gt;"",S14&lt;TODAY())</formula>
    </cfRule>
  </conditionalFormatting>
  <conditionalFormatting sqref="T14:T44">
    <cfRule type="expression" dxfId="1" priority="13">
      <formula>AND(ISNUMBER(T14),T14&gt;180)</formula>
    </cfRule>
    <cfRule type="expression" dxfId="0" priority="14">
      <formula>AND(ISNUMBER(T14),T14&gt;90,T14&lt;=180)</formula>
    </cfRule>
  </conditionalFormatting>
  <dataValidations count="3">
    <dataValidation type="list" allowBlank="1" sqref="G14:G44" xr:uid="{00000000-0002-0000-0200-000000000000}">
      <formula1>"Identified,Notified,Negotiation,Adjudication,Arbitration / Litigation,Settled,Withdrawn"</formula1>
      <formula2>0</formula2>
    </dataValidation>
    <dataValidation type="list" allowBlank="1" sqref="E14:E44" xr:uid="{00000000-0002-0000-0200-000001000000}">
      <formula1>"By Us,Against Us"</formula1>
      <formula2>0</formula2>
    </dataValidation>
    <dataValidation type="list" allowBlank="1" sqref="O14:O44" xr:uid="{00000000-0002-0000-0200-000002000000}">
      <formula1>"Extension of Time,Loss &amp; Expense,Defects,Payment,Variations,Termination,Third Party,Design Liability,Other"</formula1>
      <formula2>0</formula2>
    </dataValidation>
  </dataValidations>
  <pageMargins left="0.75" right="0.75" top="1" bottom="1" header="0.5" footer="0.5"/>
  <pageSetup paperSize="9" orientation="landscape" horizontalDpi="300" verticalDpi="300"/>
  <headerFooter>
    <oddHeader>&amp;CClaim / Dispute Register</oddHeader>
    <oddFooter>&amp;Rebrora.com</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B2A4A"/>
  </sheetPr>
  <dimension ref="A1:A17"/>
  <sheetViews>
    <sheetView zoomScaleNormal="100" workbookViewId="0"/>
  </sheetViews>
  <sheetFormatPr defaultColWidth="8.7421875" defaultRowHeight="15" x14ac:dyDescent="0.2"/>
  <sheetData>
    <row r="1" spans="1:1" x14ac:dyDescent="0.2">
      <c r="A1" s="39" t="s">
        <v>122</v>
      </c>
    </row>
    <row r="2" spans="1:1" x14ac:dyDescent="0.2">
      <c r="A2" s="39"/>
    </row>
    <row r="3" spans="1:1" x14ac:dyDescent="0.2">
      <c r="A3" s="39" t="s">
        <v>123</v>
      </c>
    </row>
    <row r="4" spans="1:1" x14ac:dyDescent="0.2">
      <c r="A4" s="39"/>
    </row>
    <row r="5" spans="1:1" x14ac:dyDescent="0.2">
      <c r="A5" s="39" t="s">
        <v>124</v>
      </c>
    </row>
    <row r="6" spans="1:1" x14ac:dyDescent="0.2">
      <c r="A6" s="39"/>
    </row>
    <row r="7" spans="1:1" x14ac:dyDescent="0.2">
      <c r="A7" s="39" t="s">
        <v>125</v>
      </c>
    </row>
    <row r="8" spans="1:1" x14ac:dyDescent="0.2">
      <c r="A8" s="39"/>
    </row>
    <row r="9" spans="1:1" x14ac:dyDescent="0.2">
      <c r="A9" s="39" t="s">
        <v>126</v>
      </c>
    </row>
    <row r="10" spans="1:1" x14ac:dyDescent="0.2">
      <c r="A10" s="39"/>
    </row>
    <row r="11" spans="1:1" x14ac:dyDescent="0.2">
      <c r="A11" s="39" t="s">
        <v>127</v>
      </c>
    </row>
    <row r="12" spans="1:1" x14ac:dyDescent="0.2">
      <c r="A12" s="39"/>
    </row>
    <row r="13" spans="1:1" x14ac:dyDescent="0.2">
      <c r="A13" s="39" t="s">
        <v>128</v>
      </c>
    </row>
    <row r="14" spans="1:1" x14ac:dyDescent="0.2">
      <c r="A14" s="39"/>
    </row>
    <row r="15" spans="1:1" x14ac:dyDescent="0.2">
      <c r="A15" s="39" t="s">
        <v>129</v>
      </c>
    </row>
    <row r="16" spans="1:1" x14ac:dyDescent="0.2">
      <c r="A16" s="39"/>
    </row>
    <row r="17" spans="1:1" x14ac:dyDescent="0.2">
      <c r="A17" s="39" t="s">
        <v>130</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Excel Android</Application>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Cover</vt:lpstr>
      <vt:lpstr>Instructions</vt:lpstr>
      <vt:lpstr>Claim Register</vt:lpstr>
      <vt:lpstr>Terms of Use</vt:lpstr>
      <vt:lpstr>ClaimData</vt:lpstr>
      <vt:lpstr>Claim Register!Print_Area</vt:lpstr>
      <vt:lpstr>Cover!Print_Area</vt:lpstr>
      <vt:lpstr>Instructions!Print_Area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Claim / Dispute Register</dc:title>
  <dc:subject>Register for tracking claims and disputes through escalation stages with three-tier financial exposure analysis and resolution monitoring.</dc:subject>
  <dc:creator>Ebrora Ltd</dc:creator>
  <cp:keywords>Ebrora construction claim dispute adjudication arbitration exposure commercial contract resolution</cp:keywords>
  <dc:description>Track claims and disputes through escalation stages with best/likely/worst case financial exposure matrix, direction-based summary, and resolution monitoring, designed for UK construction commercial and legal teams.
Free professional construction management template from Ebrora Ltd. Visit ebrora.com for our full range of tools and templates.</dc:description>
  <cp:lastModifiedBy>Ebrora Ltd</cp:lastModifiedBy>
  <cp:revision>0</cp:revision>
  <dcterms:created xsi:type="dcterms:W3CDTF">2026-03-22T22:12:52Z</dcterms:created>
  <dcterms:modified xsi:type="dcterms:W3CDTF">2026-03-22T22:12:52Z</dcterms:modified>
  <cp:category>Commercial &amp; Project Controls</cp:category>
  <dc:language>en-US</dc:language>
</cp:coreProperties>
</file>