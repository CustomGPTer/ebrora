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illance Register" sheetId="1" state="visible" r:id="rId3"/>
    <sheet name="Instructions" sheetId="2" state="visible" r:id="rId4"/>
  </sheets>
  <definedNames>
    <definedName function="false" hidden="false" localSheetId="0" name="_xlnm.Print_Area" vbProcedure="false">'Surveillance Register'!$A$1:$O$39</definedName>
    <definedName function="false" hidden="false" localSheetId="0" name="_xlnm.Print_Titles" vbProcedure="false">'Surveillance Register'!$1:$6</definedName>
    <definedName function="false" hidden="true" localSheetId="0" name="_xlnm._FilterDatabase" vbProcedure="false">'Surveillance Register'!$A$6:$O$31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<sst xmlns="http://schemas.openxmlformats.org/spreadsheetml/2006/main" count="52" uniqueCount="51">
  <si>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ebrora.com</t>
  </si>
  <si>
    <t xml:space="preserve">HEALTH SURVEILLANCE REGISTER</t>
  </si>
  <si>
    <t xml:space="preserve">Ref: COSHH 2002 Reg.11; Control of Noise at Work Regs 2005; Control of Vibration at Work Regs 2005; Management of H&amp;S at Work Regs 1999</t>
  </si>
  <si>
    <t xml:space="preserve">Project:</t>
  </si>
  <si>
    <t xml:space="preserve">OH Provider:</t>
  </si>
  <si>
    <t xml:space="preserve">Rev:</t>
  </si>
  <si>
    <t xml:space="preserve">No.</t>
  </si>
  <si>
    <t xml:space="preserve">Worker Name</t>
  </si>
  <si>
    <t xml:space="preserve">Company /
Employer</t>
  </si>
  <si>
    <t xml:space="preserve">Occupation /
Role</t>
  </si>
  <si>
    <t xml:space="preserve">Hazard
Exposure Type</t>
  </si>
  <si>
    <t xml:space="preserve">Surveillance
Type Required</t>
  </si>
  <si>
    <t xml:space="preserve">Date of Last
Surveillance</t>
  </si>
  <si>
    <t xml:space="preserve">Result /
Outcome</t>
  </si>
  <si>
    <t xml:space="preserve">Fit for
Duty?
(Yes/No/Restricted)</t>
  </si>
  <si>
    <t xml:space="preserve">Restrictions /
Recommendations</t>
  </si>
  <si>
    <t xml:space="preserve">Next
Surveillance
Due</t>
  </si>
  <si>
    <t xml:space="preserve">Days Until
Due</t>
  </si>
  <si>
    <t xml:space="preserve">Status</t>
  </si>
  <si>
    <t xml:space="preserve">Provider /
Clinician</t>
  </si>
  <si>
    <t xml:space="preserve">Comments</t>
  </si>
  <si>
    <t xml:space="preserve">SUMMARY</t>
  </si>
  <si>
    <t xml:space="preserve">Total Workers:</t>
  </si>
  <si>
    <t xml:space="preserve">Current:</t>
  </si>
  <si>
    <t xml:space="preserve">Due:</t>
  </si>
  <si>
    <t xml:space="preserve">Overdue:</t>
  </si>
  <si>
    <t xml:space="preserve">Unfit for Duty:</t>
  </si>
  <si>
    <t xml:space="preserve">Restricted Duties:</t>
  </si>
  <si>
    <t xml:space="preserve">INSTRUCTIONS — Health Surveillance Register</t>
  </si>
  <si>
    <t xml:space="preserve">How to Use This Template</t>
  </si>
  <si>
    <t xml:space="preserve">1. Record all workers requiring health surveillance based on hazard exposure.</t>
  </si>
  <si>
    <t xml:space="preserve">2. Select the hazard exposure type and surveillance type from the dropdowns.</t>
  </si>
  <si>
    <t xml:space="preserve">3. Enter the date of last surveillance and the result/outcome.</t>
  </si>
  <si>
    <t xml:space="preserve">4. Record fitness for duty status — 'No' and 'Restricted' are flagged.</t>
  </si>
  <si>
    <t xml:space="preserve">5. Enter the next surveillance due date — the 'Days Until Due' auto-calculates.</t>
  </si>
  <si>
    <t xml:space="preserve">6. Overdue dates flag red; due within 30 days flags amber.</t>
  </si>
  <si>
    <t xml:space="preserve">7. Update the status as surveillance is completed.</t>
  </si>
  <si>
    <t xml:space="preserve">When is Health Surveillance Required?</t>
  </si>
  <si>
    <t xml:space="preserve">  Noise exposure above upper EAV (85 dB(A)) — audiometry</t>
  </si>
  <si>
    <t xml:space="preserve">  HAVS exposure above EAV (2.5 m/s²) — tiered assessment</t>
  </si>
  <si>
    <t xml:space="preserve">  COSHH substances with known health effects — as per assessment</t>
  </si>
  <si>
    <t xml:space="preserve">  Lead exposure — blood lead monitoring</t>
  </si>
  <si>
    <t xml:space="preserve">  Asbestos exposure — medical examination every 2 years</t>
  </si>
  <si>
    <t xml:space="preserve">  Night workers — initial and periodic assessment</t>
  </si>
  <si>
    <t xml:space="preserve">References:</t>
  </si>
  <si>
    <t xml:space="preserve">  COSHH Regulations 2002, Regulation 11</t>
  </si>
  <si>
    <t xml:space="preserve">  Control of Noise at Work Regulations 2005</t>
  </si>
  <si>
    <t xml:space="preserve">  Control of Vibration at Work Regulations 2005</t>
  </si>
  <si>
    <t xml:space="preserve">  Control of Lead at Work Regulations 2002</t>
  </si>
  <si>
    <t xml:space="preserve">  Control of Asbestos Regulations 2012</t>
  </si>
  <si>
    <t xml:space="preserve">  HSE guidance G247 — Health Surveillance at Work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</si>
</sst>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4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5"/>
      <c r="K7" s="8"/>
      <c r="L7" s="9" t="str">
        <f aca="true">IF(K7="","",K7-TODAY())</f>
        <v/>
      </c>
      <c r="M7" s="8"/>
      <c r="N7" s="8"/>
      <c r="O7" s="5"/>
    </row>
    <row r="8" customFormat="false" ht="24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8"/>
      <c r="I8" s="8"/>
      <c r="J8" s="5"/>
      <c r="K8" s="8"/>
      <c r="L8" s="11" t="str">
        <f aca="true">IF(K8="","",K8-TODAY())</f>
        <v/>
      </c>
      <c r="M8" s="8"/>
      <c r="N8" s="8"/>
      <c r="O8" s="5"/>
    </row>
    <row r="9" customFormat="false" ht="24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5"/>
      <c r="K9" s="8"/>
      <c r="L9" s="9" t="str">
        <f aca="true">IF(K9="","",K9-TODAY())</f>
        <v/>
      </c>
      <c r="M9" s="8"/>
      <c r="N9" s="8"/>
      <c r="O9" s="5"/>
    </row>
    <row r="10" customFormat="false" ht="24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8"/>
      <c r="I10" s="8"/>
      <c r="J10" s="5"/>
      <c r="K10" s="8"/>
      <c r="L10" s="11" t="str">
        <f aca="true">IF(K10="","",K10-TODAY())</f>
        <v/>
      </c>
      <c r="M10" s="8"/>
      <c r="N10" s="8"/>
      <c r="O10" s="5"/>
    </row>
    <row r="11" customFormat="false" ht="24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5"/>
      <c r="K11" s="8"/>
      <c r="L11" s="9" t="str">
        <f aca="true">IF(K11="","",K11-TODAY())</f>
        <v/>
      </c>
      <c r="M11" s="8"/>
      <c r="N11" s="8"/>
      <c r="O11" s="5"/>
    </row>
    <row r="12" customFormat="false" ht="24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8"/>
      <c r="I12" s="8"/>
      <c r="J12" s="5"/>
      <c r="K12" s="8"/>
      <c r="L12" s="11" t="str">
        <f aca="true">IF(K12="","",K12-TODAY())</f>
        <v/>
      </c>
      <c r="M12" s="8"/>
      <c r="N12" s="8"/>
      <c r="O12" s="5"/>
    </row>
    <row r="13" customFormat="false" ht="24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5"/>
      <c r="K13" s="8"/>
      <c r="L13" s="9" t="str">
        <f aca="true">IF(K13="","",K13-TODAY())</f>
        <v/>
      </c>
      <c r="M13" s="8"/>
      <c r="N13" s="8"/>
      <c r="O13" s="5"/>
    </row>
    <row r="14" customFormat="false" ht="24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8"/>
      <c r="I14" s="8"/>
      <c r="J14" s="5"/>
      <c r="K14" s="8"/>
      <c r="L14" s="11" t="str">
        <f aca="true">IF(K14="","",K14-TODAY())</f>
        <v/>
      </c>
      <c r="M14" s="8"/>
      <c r="N14" s="8"/>
      <c r="O14" s="5"/>
    </row>
    <row r="15" customFormat="false" ht="24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5"/>
      <c r="K15" s="8"/>
      <c r="L15" s="9" t="str">
        <f aca="true">IF(K15="","",K15-TODAY())</f>
        <v/>
      </c>
      <c r="M15" s="8"/>
      <c r="N15" s="8"/>
      <c r="O15" s="5"/>
    </row>
    <row r="16" customFormat="false" ht="24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8"/>
      <c r="I16" s="8"/>
      <c r="J16" s="5"/>
      <c r="K16" s="8"/>
      <c r="L16" s="11" t="str">
        <f aca="true">IF(K16="","",K16-TODAY())</f>
        <v/>
      </c>
      <c r="M16" s="8"/>
      <c r="N16" s="8"/>
      <c r="O16" s="5"/>
    </row>
    <row r="17" customFormat="false" ht="24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5"/>
      <c r="K17" s="8"/>
      <c r="L17" s="9" t="str">
        <f aca="true">IF(K17="","",K17-TODAY())</f>
        <v/>
      </c>
      <c r="M17" s="8"/>
      <c r="N17" s="8"/>
      <c r="O17" s="5"/>
    </row>
    <row r="18" customFormat="false" ht="24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8"/>
      <c r="I18" s="8"/>
      <c r="J18" s="5"/>
      <c r="K18" s="8"/>
      <c r="L18" s="11" t="str">
        <f aca="true">IF(K18="","",K18-TODAY())</f>
        <v/>
      </c>
      <c r="M18" s="8"/>
      <c r="N18" s="8"/>
      <c r="O18" s="5"/>
    </row>
    <row r="19" customFormat="false" ht="24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5"/>
      <c r="K19" s="8"/>
      <c r="L19" s="9" t="str">
        <f aca="true">IF(K19="","",K19-TODAY())</f>
        <v/>
      </c>
      <c r="M19" s="8"/>
      <c r="N19" s="8"/>
      <c r="O19" s="5"/>
    </row>
    <row r="20" customFormat="false" ht="24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8"/>
      <c r="I20" s="8"/>
      <c r="J20" s="5"/>
      <c r="K20" s="8"/>
      <c r="L20" s="11" t="str">
        <f aca="true">IF(K20="","",K20-TODAY())</f>
        <v/>
      </c>
      <c r="M20" s="8"/>
      <c r="N20" s="8"/>
      <c r="O20" s="5"/>
    </row>
    <row r="21" customFormat="false" ht="24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5"/>
      <c r="K21" s="8"/>
      <c r="L21" s="9" t="str">
        <f aca="true">IF(K21="","",K21-TODAY())</f>
        <v/>
      </c>
      <c r="M21" s="8"/>
      <c r="N21" s="8"/>
      <c r="O21" s="5"/>
    </row>
    <row r="22" customFormat="false" ht="24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8"/>
      <c r="I22" s="8"/>
      <c r="J22" s="5"/>
      <c r="K22" s="8"/>
      <c r="L22" s="11" t="str">
        <f aca="true">IF(K22="","",K22-TODAY())</f>
        <v/>
      </c>
      <c r="M22" s="8"/>
      <c r="N22" s="8"/>
      <c r="O22" s="5"/>
    </row>
    <row r="23" customFormat="false" ht="24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5"/>
      <c r="K23" s="8"/>
      <c r="L23" s="9" t="str">
        <f aca="true">IF(K23="","",K23-TODAY())</f>
        <v/>
      </c>
      <c r="M23" s="8"/>
      <c r="N23" s="8"/>
      <c r="O23" s="5"/>
    </row>
    <row r="24" customFormat="false" ht="24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8"/>
      <c r="I24" s="8"/>
      <c r="J24" s="5"/>
      <c r="K24" s="8"/>
      <c r="L24" s="11" t="str">
        <f aca="true">IF(K24="","",K24-TODAY())</f>
        <v/>
      </c>
      <c r="M24" s="8"/>
      <c r="N24" s="8"/>
      <c r="O24" s="5"/>
    </row>
    <row r="25" customFormat="false" ht="24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5"/>
      <c r="K25" s="8"/>
      <c r="L25" s="9" t="str">
        <f aca="true">IF(K25="","",K25-TODAY())</f>
        <v/>
      </c>
      <c r="M25" s="8"/>
      <c r="N25" s="8"/>
      <c r="O25" s="5"/>
    </row>
    <row r="26" customFormat="false" ht="24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8"/>
      <c r="I26" s="8"/>
      <c r="J26" s="5"/>
      <c r="K26" s="8"/>
      <c r="L26" s="11" t="str">
        <f aca="true">IF(K26="","",K26-TODAY())</f>
        <v/>
      </c>
      <c r="M26" s="8"/>
      <c r="N26" s="8"/>
      <c r="O26" s="5"/>
    </row>
    <row r="27" customFormat="false" ht="24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5"/>
      <c r="K27" s="8"/>
      <c r="L27" s="9" t="str">
        <f aca="true">IF(K27="","",K27-TODAY())</f>
        <v/>
      </c>
      <c r="M27" s="8"/>
      <c r="N27" s="8"/>
      <c r="O27" s="5"/>
    </row>
    <row r="28" customFormat="false" ht="24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8"/>
      <c r="I28" s="8"/>
      <c r="J28" s="5"/>
      <c r="K28" s="8"/>
      <c r="L28" s="11" t="str">
        <f aca="true">IF(K28="","",K28-TODAY())</f>
        <v/>
      </c>
      <c r="M28" s="8"/>
      <c r="N28" s="8"/>
      <c r="O28" s="5"/>
    </row>
    <row r="29" customFormat="false" ht="24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5"/>
      <c r="K29" s="8"/>
      <c r="L29" s="9" t="str">
        <f aca="true">IF(K29="","",K29-TODAY())</f>
        <v/>
      </c>
      <c r="M29" s="8"/>
      <c r="N29" s="8"/>
      <c r="O29" s="5"/>
    </row>
    <row r="30" customFormat="false" ht="24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8"/>
      <c r="I30" s="8"/>
      <c r="J30" s="5"/>
      <c r="K30" s="8"/>
      <c r="L30" s="11" t="str">
        <f aca="true">IF(K30="","",K30-TODAY())</f>
        <v/>
      </c>
      <c r="M30" s="8"/>
      <c r="N30" s="8"/>
      <c r="O30" s="5"/>
    </row>
    <row r="31" customFormat="false" ht="24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5"/>
      <c r="K31" s="8"/>
      <c r="L31" s="9" t="str">
        <f aca="true">IF(K31="","",K31-TODAY())</f>
        <v/>
      </c>
      <c r="M31" s="8"/>
      <c r="N31" s="8"/>
      <c r="O31" s="5"/>
    </row>
    <row r="33" customFormat="false" ht="15" hidden="false" customHeight="true" outlineLevel="0" collapsed="false">
      <c r="A33" s="12" t="s">
        <v>21</v>
      </c>
      <c r="B33" s="12"/>
      <c r="C33" s="12"/>
    </row>
    <row r="34" customFormat="false" ht="15" hidden="false" customHeight="true" outlineLevel="0" collapsed="false">
      <c r="A34" s="4" t="s">
        <v>22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3" t="n">
        <f aca="false">COUNTIF(M7:M31,"Current")</f>
        <v>0</v>
      </c>
    </row>
    <row r="36" customFormat="false" ht="15" hidden="false" customHeight="true" outlineLevel="0" collapsed="false">
      <c r="A36" s="4" t="s">
        <v>24</v>
      </c>
      <c r="B36" s="4"/>
      <c r="C36" s="13" t="n">
        <f aca="false">COUNTIF(M7:M31,"Due")</f>
        <v>0</v>
      </c>
    </row>
    <row r="37" customFormat="false" ht="15" hidden="false" customHeight="true" outlineLevel="0" collapsed="false">
      <c r="A37" s="4" t="s">
        <v>25</v>
      </c>
      <c r="B37" s="4"/>
      <c r="C37" s="13" t="n">
        <f aca="false">COUNTIF(M7:M31,"Overdue")</f>
        <v>0</v>
      </c>
    </row>
    <row r="38" customFormat="false" ht="15" hidden="false" customHeight="true" outlineLevel="0" collapsed="false">
      <c r="A38" s="4" t="s">
        <v>26</v>
      </c>
      <c r="B38" s="4"/>
      <c r="C38" s="13" t="n">
        <f aca="false">COUNTIF(I7:I31,"No")</f>
        <v>0</v>
      </c>
    </row>
    <row r="39" customFormat="false" ht="15" hidden="false" customHeight="true" outlineLevel="0" collapsed="false">
      <c r="A39" s="4" t="s">
        <v>27</v>
      </c>
      <c r="B39" s="4"/>
      <c r="C39" s="13" t="n">
        <f aca="false">COUNTIF(I7:I31,"Restricted")</f>
        <v>0</v>
      </c>
    </row>
  </sheetData>
  <autoFilter ref="A6:O31"/>
  <mergeCells count="12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  <mergeCell ref="A38:B38"/>
    <mergeCell ref="A39:B39"/>
  </mergeCells>
  <conditionalFormatting sqref="M7:M31">
    <cfRule type="cellIs" priority="2" operator="equal" aboveAverage="0" equalAverage="0" bottom="0" percent="0" rank="0" text="" dxfId="6">
      <formula>"Current"</formula>
    </cfRule>
    <cfRule type="cellIs" priority="3" operator="equal" aboveAverage="0" equalAverage="0" bottom="0" percent="0" rank="0" text="" dxfId="7">
      <formula>"Due"</formula>
    </cfRule>
    <cfRule type="cellIs" priority="4" operator="equal" aboveAverage="0" equalAverage="0" bottom="0" percent="0" rank="0" text="" dxfId="8">
      <formula>"Overdue"</formula>
    </cfRule>
    <cfRule type="cellIs" priority="5" operator="equal" aboveAverage="0" equalAverage="0" bottom="0" percent="0" rank="0" text="" dxfId="9">
      <formula>"Not Started"</formula>
    </cfRule>
  </conditionalFormatting>
  <conditionalFormatting sqref="I7:I31">
    <cfRule type="cellIs" priority="6" operator="equal" aboveAverage="0" equalAverage="0" bottom="0" percent="0" rank="0" text="" dxfId="8">
      <formula>"No"</formula>
    </cfRule>
    <cfRule type="cellIs" priority="7" operator="equal" aboveAverage="0" equalAverage="0" bottom="0" percent="0" rank="0" text="" dxfId="7">
      <formula>"Restricted"</formula>
    </cfRule>
  </conditionalFormatting>
  <conditionalFormatting sqref="L7:L31">
    <cfRule type="expression" priority="8" aboveAverage="0" equalAverage="0" bottom="0" percent="0" rank="0" text="" dxfId="8">
      <formula>AND(L7&lt;&gt;"",L7&lt;0)</formula>
    </cfRule>
    <cfRule type="expression" priority="9" aboveAverage="0" equalAverage="0" bottom="0" percent="0" rank="0" text="" dxfId="7">
      <formula>AND(L7&lt;&gt;"",L7&gt;=0,L7&lt;=30)</formula>
    </cfRule>
  </conditionalFormatting>
  <dataValidations count="5">
    <dataValidation allowBlank="true" errorStyle="stop" operator="between" showDropDown="false" showErrorMessage="false" showInputMessage="false" sqref="E7:E31" type="list">
      <formula1>"Noise,Hand-Arm Vibration,Whole Body Vibration,Dust / Silica,Asbestos,Lead,Isocyanates,Solvents,COSHH Substances,Respiratory Sensitisers,Skin Sensitisers,Ionising Radiation,Night Work,Other"</formula1>
      <formula2>0</formula2>
    </dataValidation>
    <dataValidation allowBlank="true" errorStyle="stop" operator="between" showDropDown="false" showErrorMessage="false" showInputMessage="false" sqref="F7:F31" type="list">
      <formula1>"Audiometry,HAVS Tier Assessment,Lung Function (Spirometry),Skin Check,Blood Test,Urine Test,Night Worker Assessment,General OH Assessment,RPE Face Fit,Other"</formula1>
      <formula2>0</formula2>
    </dataValidation>
    <dataValidation allowBlank="true" errorStyle="stop" operator="between" showDropDown="false" showErrorMessage="false" showInputMessage="false" sqref="H7:H31" type="list">
      <formula1>"Normal,Abnormal - Refer,Abnormal - Monitor,Pending,Not Attended"</formula1>
      <formula2>0</formula2>
    </dataValidation>
    <dataValidation allowBlank="true" errorStyle="stop" operator="between" showDropDown="false" showErrorMessage="false" showInputMessage="false" sqref="I7:I31" type="list">
      <formula1>"Yes,No,Restricted"</formula1>
      <formula2>0</formula2>
    </dataValidation>
    <dataValidation allowBlank="true" errorStyle="stop" operator="between" showDropDown="false" showErrorMessage="false" showInputMessage="false" sqref="M7:M31" type="list">
      <formula1>"Current,Due,Overdue,Not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28</v>
      </c>
      <c r="B2" s="2"/>
    </row>
    <row r="4" customFormat="false" ht="15" hidden="false" customHeight="false" outlineLevel="0" collapsed="false">
      <c r="B4" s="12" t="s">
        <v>29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30</v>
      </c>
    </row>
    <row r="7" customFormat="false" ht="15" hidden="false" customHeight="false" outlineLevel="0" collapsed="false">
      <c r="B7" s="14" t="s">
        <v>31</v>
      </c>
    </row>
    <row r="8" customFormat="false" ht="15" hidden="false" customHeight="false" outlineLevel="0" collapsed="false">
      <c r="B8" s="14" t="s">
        <v>32</v>
      </c>
    </row>
    <row r="9" customFormat="false" ht="15" hidden="false" customHeight="false" outlineLevel="0" collapsed="false">
      <c r="B9" s="14" t="s">
        <v>33</v>
      </c>
    </row>
    <row r="10" customFormat="false" ht="15" hidden="false" customHeight="false" outlineLevel="0" collapsed="false">
      <c r="B10" s="14" t="s">
        <v>34</v>
      </c>
    </row>
    <row r="11" customFormat="false" ht="15" hidden="false" customHeight="false" outlineLevel="0" collapsed="false">
      <c r="B11" s="14" t="s">
        <v>35</v>
      </c>
    </row>
    <row r="12" customFormat="false" ht="15" hidden="false" customHeight="false" outlineLevel="0" collapsed="false">
      <c r="B12" s="14" t="s">
        <v>36</v>
      </c>
    </row>
    <row r="13" customFormat="false" ht="15" hidden="false" customHeight="false" outlineLevel="0" collapsed="false">
      <c r="B13" s="14"/>
    </row>
    <row r="14" customFormat="false" ht="15" hidden="false" customHeight="false" outlineLevel="0" collapsed="false">
      <c r="B14" s="12" t="s">
        <v>37</v>
      </c>
    </row>
    <row r="15" customFormat="false" ht="15" hidden="false" customHeight="false" outlineLevel="0" collapsed="false">
      <c r="B15" s="14" t="s">
        <v>38</v>
      </c>
    </row>
    <row r="16" customFormat="false" ht="15" hidden="false" customHeight="false" outlineLevel="0" collapsed="false">
      <c r="B16" s="14" t="s">
        <v>39</v>
      </c>
    </row>
    <row r="17" customFormat="false" ht="15" hidden="false" customHeight="false" outlineLevel="0" collapsed="false">
      <c r="B17" s="14" t="s">
        <v>40</v>
      </c>
    </row>
    <row r="18" customFormat="false" ht="15" hidden="false" customHeight="false" outlineLevel="0" collapsed="false">
      <c r="B18" s="14" t="s">
        <v>41</v>
      </c>
    </row>
    <row r="19" customFormat="false" ht="15" hidden="false" customHeight="false" outlineLevel="0" collapsed="false">
      <c r="B19" s="14" t="s">
        <v>42</v>
      </c>
    </row>
    <row r="20" customFormat="false" ht="15" hidden="false" customHeight="false" outlineLevel="0" collapsed="false">
      <c r="B20" s="14" t="s">
        <v>43</v>
      </c>
    </row>
    <row r="21" customFormat="false" ht="15" hidden="false" customHeight="false" outlineLevel="0" collapsed="false">
      <c r="B21" s="14"/>
    </row>
    <row r="22" customFormat="false" ht="15" hidden="false" customHeight="false" outlineLevel="0" collapsed="false">
      <c r="B22" s="12" t="s">
        <v>44</v>
      </c>
    </row>
    <row r="23" customFormat="false" ht="15" hidden="false" customHeight="false" outlineLevel="0" collapsed="false">
      <c r="B23" s="3" t="s">
        <v>45</v>
      </c>
    </row>
    <row r="24" customFormat="false" ht="15" hidden="false" customHeight="false" outlineLevel="0" collapsed="false">
      <c r="B24" s="3" t="s">
        <v>46</v>
      </c>
    </row>
    <row r="25" customFormat="false" ht="15" hidden="false" customHeight="false" outlineLevel="0" collapsed="false">
      <c r="B25" s="3" t="s">
        <v>47</v>
      </c>
    </row>
    <row r="26" customFormat="false" ht="15" hidden="false" customHeight="false" outlineLevel="0" collapsed="false">
      <c r="B26" s="3" t="s">
        <v>48</v>
      </c>
    </row>
    <row r="27" customFormat="false" ht="15" hidden="false" customHeight="false" outlineLevel="0" collapsed="false">
      <c r="B27" s="3" t="s">
        <v>49</v>
      </c>
    </row>
    <row r="28" customFormat="false" ht="15" hidden="false" customHeight="false" outlineLevel="0" collapsed="false">
      <c r="B28" s="3" t="s">
        <v>50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2026-03-27T16:36:29Z</dcterms:created>
  <dc:creator>openpyxl</dc:creator>
  <dc:description/>
  <dc:language>en-US</dc:language>
  <cp:lastModifiedBy/>
  <dcterms:modified xsi:type="dcterms:W3CDTF">2026-03-27T16:36:29Z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