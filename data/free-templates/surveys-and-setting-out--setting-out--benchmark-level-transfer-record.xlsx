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Benchmarks &amp; Transfers" sheetId="3" state="visible" r:id="rId5"/>
    <sheet name="Terms of Use" sheetId="4" state="hidden" r:id="rId6"/>
  </sheets>
  <definedNames>
    <definedName function="false" hidden="false" localSheetId="2" name="_xlnm.Print_Area" vbProcedure="false">'Benchmarks &amp; Transfers'!$A$1:$M$55</definedName>
    <definedName function="false" hidden="true" localSheetId="2" name="_xlnm._FilterDatabase" vbProcedure="false">'Benchmarks &amp; Transfers'!$A$15:$M$55</definedName>
    <definedName function="false" hidden="false" localSheetId="0" name="_xlnm.Print_Area" vbProcedure="false">Cover!$A$1:$H$20</definedName>
    <definedName function="false" hidden="false" name="TBMRegister" vbProcedure="false">'Benchmarks &amp; Transfers'!$A$2:$H$12</definedName>
    <definedName function="false" hidden="false" name="TransferLog" vbProcedure="false">'Benchmarks &amp; Transfers'!$A$15:$M$55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<sst xmlns="http://schemas.openxmlformats.org/spreadsheetml/2006/main" count="109" uniqueCount="97">
  <si>
    <t xml:space="preserve">EBRORA</t>
  </si>
  <si>
    <t xml:space="preserve">ebrora.com</t>
  </si>
  <si>
    <t xml:space="preserve">Benchmark / Level
Transfer Record</t>
  </si>
  <si>
    <t xml:space="preserve">Record established benchmarks and level transfer runs with automatic closing error calculation and tolerance checking.</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</si>
  <si>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</si>
  <si>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</si>
  <si>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</si>
  <si>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Step-by-Step Instructions</t>
  </si>
  <si>
    <t xml:space="preserve">1. Go to the 'Benchmarks &amp; Transfers' sheet. It has two sections: the TBM Register (top) and the Level Transfer Log (below).</t>
  </si>
  <si>
    <t xml:space="preserve">2. SECTION 1 — TBM REGISTER: List all established benchmarks on site with their known reduced levels, source, and location.</t>
  </si>
  <si>
    <t xml:space="preserve">3. Record who established each TBM, the date, and its current status (Active/Destroyed/Superseded).</t>
  </si>
  <si>
    <t xml:space="preserve">4. SECTION 2 — LEVEL TRANSFER LOG: Each time you transfer a level from one TBM to a new point, log the run here.</t>
  </si>
  <si>
    <t xml:space="preserve">5. Enter the starting TBM, backsight reading, foresight reading, and the resulting transferred level.</t>
  </si>
  <si>
    <t xml:space="preserve">6. The Closing Error (mm) auto-calculates if you enter a closing backsight to a known benchmark — it compares the derived level with the known level.</t>
  </si>
  <si>
    <t xml:space="preserve">7. Within Tolerance auto-checks: ±5mm is typical for construction levelling. Adjust the tolerance in column K if your spec differs.</t>
  </si>
  <si>
    <t xml:space="preserve">8. Always close your level runs back to a known TBM — open-ended runs cannot be verified.</t>
  </si>
  <si>
    <t xml:space="preserve">Colour Key</t>
  </si>
  <si>
    <t xml:space="preserve">Light teal</t>
  </si>
  <si>
    <t xml:space="preserve">Editable cells</t>
  </si>
  <si>
    <t xml:space="preserve">Dark navy</t>
  </si>
  <si>
    <t xml:space="preserve">Headers / section dividers</t>
  </si>
  <si>
    <t xml:space="preserve">Teal band</t>
  </si>
  <si>
    <t xml:space="preserve">Section header — TBM Register / Transfer Log</t>
  </si>
  <si>
    <t xml:space="preserve">Green</t>
  </si>
  <si>
    <t xml:space="preserve">Within tolerance / Active TBM</t>
  </si>
  <si>
    <t xml:space="preserve">Red</t>
  </si>
  <si>
    <t xml:space="preserve">Over tolerance / Destroyed TBM</t>
  </si>
  <si>
    <t xml:space="preserve">Amber</t>
  </si>
  <si>
    <t xml:space="preserve">Superseded TBM</t>
  </si>
  <si>
    <t xml:space="preserve">Tips</t>
  </si>
  <si>
    <t xml:space="preserve">• Establish at least 3 TBMs on site and cross-check them regularly — if one gets disturbed, you need backups.</t>
  </si>
  <si>
    <t xml:space="preserve">• Paint TBMs clearly and protect them from construction traffic. Record their physical location precisely.</t>
  </si>
  <si>
    <t xml:space="preserve">• Closing errors above ±5mm on a short run suggest instrument issues — recalibrate and re-run before using that data.</t>
  </si>
  <si>
    <t xml:space="preserve">SECTION 1 — TEMPORARY BENCH MARK (TBM) REGISTER</t>
  </si>
  <si>
    <t xml:space="preserve">TBM
Ref</t>
  </si>
  <si>
    <t xml:space="preserve">Location / Description</t>
  </si>
  <si>
    <t xml:space="preserve">Known Level
(m AOD)</t>
  </si>
  <si>
    <t xml:space="preserve">Date
Established</t>
  </si>
  <si>
    <t xml:space="preserve">Established By</t>
  </si>
  <si>
    <t xml:space="preserve">Source</t>
  </si>
  <si>
    <t xml:space="preserve">Status</t>
  </si>
  <si>
    <t xml:space="preserve">Notes</t>
  </si>
  <si>
    <t xml:space="preserve">TBM-01</t>
  </si>
  <si>
    <t xml:space="preserve">Concrete plinth — NE corner of site compound</t>
  </si>
  <si>
    <t xml:space="preserve">R. Khan</t>
  </si>
  <si>
    <t xml:space="preserve">OS Benchmark</t>
  </si>
  <si>
    <t xml:space="preserve">Active</t>
  </si>
  <si>
    <t xml:space="preserve">OS flush bracket on boundary wall</t>
  </si>
  <si>
    <t xml:space="preserve">TBM-02</t>
  </si>
  <si>
    <t xml:space="preserve">Steel pin in kerb — Main access road junction</t>
  </si>
  <si>
    <t xml:space="preserve">Transferred</t>
  </si>
  <si>
    <t xml:space="preserve">Transferred from TBM-01</t>
  </si>
  <si>
    <t xml:space="preserve">TBM-03</t>
  </si>
  <si>
    <t xml:space="preserve">Nail in timber post — South boundary fence</t>
  </si>
  <si>
    <t xml:space="preserve">S. Okonkwo</t>
  </si>
  <si>
    <t xml:space="preserve">GPS Survey</t>
  </si>
  <si>
    <t xml:space="preserve">GPS RTK fix</t>
  </si>
  <si>
    <t xml:space="preserve">TBM-04</t>
  </si>
  <si>
    <t xml:space="preserve">Bolt head on gate post — West entrance</t>
  </si>
  <si>
    <t xml:space="preserve">Destroyed</t>
  </si>
  <si>
    <t xml:space="preserve">Demolished during site clearance</t>
  </si>
  <si>
    <t xml:space="preserve">SECTION 2 — LEVEL TRANSFER LOG</t>
  </si>
  <si>
    <t xml:space="preserve">Run
Ref</t>
  </si>
  <si>
    <t xml:space="preserve">Date</t>
  </si>
  <si>
    <t xml:space="preserve">From TBM</t>
  </si>
  <si>
    <t xml:space="preserve">To Point</t>
  </si>
  <si>
    <t xml:space="preserve">Backsight
(m)</t>
  </si>
  <si>
    <t xml:space="preserve">Foresight
(m)</t>
  </si>
  <si>
    <t xml:space="preserve">Rise (+)
Fall (-)</t>
  </si>
  <si>
    <t xml:space="preserve">Transferred
Level (m)</t>
  </si>
  <si>
    <t xml:space="preserve">Closing TBM
Known Level</t>
  </si>
  <si>
    <t xml:space="preserve">Closing
Error (mm)</t>
  </si>
  <si>
    <t xml:space="preserve">Tolerance
(mm)</t>
  </si>
  <si>
    <t xml:space="preserve">Within
Tol.</t>
  </si>
  <si>
    <t xml:space="preserve">Surveyor / Notes</t>
  </si>
  <si>
    <t xml:space="preserve">LT-001</t>
  </si>
  <si>
    <t xml:space="preserve">Pad Found PF-01 FGL</t>
  </si>
  <si>
    <t xml:space="preserve">R. Khan — level for formwork</t>
  </si>
  <si>
    <t xml:space="preserve">LT-002</t>
  </si>
  <si>
    <t xml:space="preserve">TBM-02 (closure check)</t>
  </si>
  <si>
    <t xml:space="preserve">R. Khan — TBM-02 verified OK</t>
  </si>
  <si>
    <t xml:space="preserve">LT-003</t>
  </si>
  <si>
    <t xml:space="preserve">Ground Slab FFL Bay 1</t>
  </si>
  <si>
    <t xml:space="preserve">LT-004</t>
  </si>
  <si>
    <t xml:space="preserve">Column C4 base level</t>
  </si>
  <si>
    <t xml:space="preserve">LT-005</t>
  </si>
  <si>
    <t xml:space="preserve">TBM-01 (closure check)</t>
  </si>
  <si>
    <t xml:space="preserve">R. Khan — closed to TBM-01, within tol</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</si>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</sst>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0.000"/>
    <numFmt numFmtId="166" formatCode="dd/mm/yyyy"/>
    <numFmt numFmtId="167" formatCode="0.0"/>
  </numFmts>
  <fonts count="16">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2"/>
      <color rgb="FFFFFFFF"/>
      <name val="Calibri"/>
      <family val="0"/>
      <charset val="1"/>
    </font>
    <font>
      <b val="true"/>
      <sz val="11"/>
      <color rgb="FFFFFFFF"/>
      <name val="Calibri"/>
      <family val="0"/>
      <charset val="1"/>
    </font>
  </fonts>
  <fills count="9">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2AABB3"/>
        <bgColor rgb="FF339966"/>
      </patternFill>
    </fill>
    <fill>
      <patternFill patternType="solid">
        <fgColor rgb="FFC6EFCE"/>
        <bgColor rgb="FFCCFFFF"/>
      </patternFill>
    </fill>
    <fill>
      <patternFill patternType="solid">
        <fgColor rgb="FFFFC7CE"/>
        <bgColor rgb="FFFFEB9C"/>
      </patternFill>
    </fill>
    <fill>
      <patternFill patternType="solid">
        <fgColor rgb="FFFFEB9C"/>
        <bgColor rgb="FFFFFFCC"/>
      </patternFill>
    </fill>
  </fills>
  <borders count="2">
    <border diagonalUp="false" diagonalDown="false">
      <left/>
      <right/>
      <top/>
      <bottom/>
      <diagonal/>
    </border>
    <border diagonalUp="false" diagonalDown="false">
      <left style="thin">
        <color rgb="FF1B2A4A"/>
      </left>
      <right style="thin">
        <color rgb="FF1B2A4A"/>
      </right>
      <top style="thin">
        <color rgb="FF1B2A4A"/>
      </top>
      <bottom style="thin">
        <color rgb="FF1B2A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14" fillId="5" borderId="0"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5" fontId="12" fillId="4" borderId="1" xfId="0" applyFont="true" applyBorder="true" applyAlignment="true" applyProtection="false">
      <alignment horizontal="center" vertical="center" textRotation="0" wrapText="true" indent="0" shrinkToFit="false"/>
      <protection locked="true" hidden="false"/>
    </xf>
    <xf numFmtId="166" fontId="12" fillId="4" borderId="1" xfId="0" applyFont="true" applyBorder="true" applyAlignment="true" applyProtection="false">
      <alignment horizontal="center" vertical="center" textRotation="0" wrapText="true" indent="0" shrinkToFit="false"/>
      <protection locked="true" hidden="false"/>
    </xf>
    <xf numFmtId="165" fontId="12" fillId="3" borderId="1" xfId="0" applyFont="true" applyBorder="true" applyAlignment="true" applyProtection="false">
      <alignment horizontal="center" vertical="center" textRotation="0" wrapText="true" indent="0" shrinkToFit="false"/>
      <protection locked="true" hidden="false"/>
    </xf>
    <xf numFmtId="167" fontId="12" fillId="3"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006100"/>
          <bgColor rgb="FF000000"/>
        </patternFill>
      </fill>
    </dxf>
    <dxf>
      <font>
        <name val="Calibri"/>
        <charset val="1"/>
        <family val="0"/>
        <b val="1"/>
        <color rgb="FF006100"/>
      </font>
      <fill>
        <patternFill>
          <bgColor rgb="FFC6EFCE"/>
        </patternFill>
      </fill>
    </dxf>
    <dxf>
      <font>
        <name val="Calibri"/>
        <charset val="1"/>
        <family val="0"/>
        <b val="1"/>
        <color rgb="FF9C0006"/>
      </font>
      <fill>
        <patternFill>
          <bgColor rgb="FFFFC7CE"/>
        </patternFill>
      </fill>
    </dxf>
    <dxf>
      <font>
        <name val="Calibri"/>
        <charset val="1"/>
        <family val="0"/>
        <b val="1"/>
        <color rgb="FF9C6500"/>
      </font>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2"/>
  </cols>
  <sheetData>
    <row r="1" customFormat="false" ht="17.35" hidden="false" customHeight="false" outlineLevel="0" collapsed="false">
      <c r="A1" s="8" t="s">
        <v>6</v>
      </c>
      <c r="B1" s="8"/>
      <c r="C1" s="8"/>
      <c r="D1" s="8"/>
      <c r="E1" s="8"/>
      <c r="F1" s="8"/>
    </row>
    <row r="3" customFormat="false" ht="15" hidden="false" customHeight="false" outlineLevel="0" collapsed="false">
      <c r="A3" s="9" t="s">
        <v>7</v>
      </c>
      <c r="B3" s="9"/>
      <c r="C3" s="9"/>
      <c r="D3" s="9"/>
      <c r="E3" s="9"/>
      <c r="F3" s="9"/>
    </row>
    <row r="4" customFormat="false" ht="30" hidden="false" customHeight="true" outlineLevel="0" collapsed="false">
      <c r="A4" s="10" t="s">
        <v>8</v>
      </c>
      <c r="B4" s="10"/>
      <c r="C4" s="10"/>
      <c r="D4" s="10"/>
      <c r="E4" s="10"/>
      <c r="F4" s="10"/>
    </row>
    <row r="5" customFormat="false" ht="30" hidden="false" customHeight="true" outlineLevel="0" collapsed="false">
      <c r="A5" s="10" t="s">
        <v>9</v>
      </c>
      <c r="B5" s="10"/>
      <c r="C5" s="10"/>
      <c r="D5" s="10"/>
      <c r="E5" s="10"/>
      <c r="F5" s="10"/>
    </row>
    <row r="6" customFormat="false" ht="30" hidden="false" customHeight="true" outlineLevel="0" collapsed="false">
      <c r="A6" s="10" t="s">
        <v>10</v>
      </c>
      <c r="B6" s="10"/>
      <c r="C6" s="10"/>
      <c r="D6" s="10"/>
      <c r="E6" s="10"/>
      <c r="F6" s="10"/>
    </row>
    <row r="7" customFormat="false" ht="30" hidden="false" customHeight="true" outlineLevel="0" collapsed="false">
      <c r="A7" s="10" t="s">
        <v>11</v>
      </c>
      <c r="B7" s="10"/>
      <c r="C7" s="10"/>
      <c r="D7" s="10"/>
      <c r="E7" s="10"/>
      <c r="F7" s="10"/>
    </row>
    <row r="8" customFormat="false" ht="30" hidden="false" customHeight="true" outlineLevel="0" collapsed="false">
      <c r="A8" s="10" t="s">
        <v>12</v>
      </c>
      <c r="B8" s="10"/>
      <c r="C8" s="10"/>
      <c r="D8" s="10"/>
      <c r="E8" s="10"/>
      <c r="F8" s="10"/>
    </row>
    <row r="9" customFormat="false" ht="30" hidden="false" customHeight="true" outlineLevel="0" collapsed="false">
      <c r="A9" s="10" t="s">
        <v>13</v>
      </c>
      <c r="B9" s="10"/>
      <c r="C9" s="10"/>
      <c r="D9" s="10"/>
      <c r="E9" s="10"/>
      <c r="F9" s="10"/>
    </row>
    <row r="10" customFormat="false" ht="30" hidden="false" customHeight="true" outlineLevel="0" collapsed="false">
      <c r="A10" s="10" t="s">
        <v>14</v>
      </c>
      <c r="B10" s="10"/>
      <c r="C10" s="10"/>
      <c r="D10" s="10"/>
      <c r="E10" s="10"/>
      <c r="F10" s="10"/>
    </row>
    <row r="11" customFormat="false" ht="30" hidden="false" customHeight="true" outlineLevel="0" collapsed="false">
      <c r="A11" s="10" t="s">
        <v>15</v>
      </c>
      <c r="B11" s="10"/>
      <c r="C11" s="10"/>
      <c r="D11" s="10"/>
      <c r="E11" s="10"/>
      <c r="F11" s="10"/>
    </row>
    <row r="13" customFormat="false" ht="15" hidden="false" customHeight="false" outlineLevel="0" collapsed="false">
      <c r="A13" s="9" t="s">
        <v>16</v>
      </c>
      <c r="B13" s="9"/>
      <c r="C13" s="9"/>
      <c r="D13" s="9"/>
      <c r="E13" s="9"/>
      <c r="F13" s="9"/>
    </row>
    <row r="14" customFormat="false" ht="15" hidden="false" customHeight="false" outlineLevel="0" collapsed="false">
      <c r="A14" s="11"/>
      <c r="B14" s="12" t="s">
        <v>17</v>
      </c>
      <c r="C14" s="12"/>
      <c r="D14" s="13" t="s">
        <v>18</v>
      </c>
      <c r="E14" s="13"/>
      <c r="F14" s="13"/>
    </row>
    <row r="15" customFormat="false" ht="15" hidden="false" customHeight="false" outlineLevel="0" collapsed="false">
      <c r="A15" s="14"/>
      <c r="B15" s="12" t="s">
        <v>19</v>
      </c>
      <c r="C15" s="12"/>
      <c r="D15" s="13" t="s">
        <v>20</v>
      </c>
      <c r="E15" s="13"/>
      <c r="F15" s="13"/>
    </row>
    <row r="16" customFormat="false" ht="15" hidden="false" customHeight="false" outlineLevel="0" collapsed="false">
      <c r="A16" s="15"/>
      <c r="B16" s="12" t="s">
        <v>21</v>
      </c>
      <c r="C16" s="12"/>
      <c r="D16" s="13" t="s">
        <v>22</v>
      </c>
      <c r="E16" s="13"/>
      <c r="F16" s="13"/>
    </row>
    <row r="17" customFormat="false" ht="15" hidden="false" customHeight="false" outlineLevel="0" collapsed="false">
      <c r="A17" s="16"/>
      <c r="B17" s="12" t="s">
        <v>23</v>
      </c>
      <c r="C17" s="12"/>
      <c r="D17" s="13" t="s">
        <v>24</v>
      </c>
      <c r="E17" s="13"/>
      <c r="F17" s="13"/>
    </row>
    <row r="18" customFormat="false" ht="15" hidden="false" customHeight="false" outlineLevel="0" collapsed="false">
      <c r="A18" s="17"/>
      <c r="B18" s="12" t="s">
        <v>25</v>
      </c>
      <c r="C18" s="12"/>
      <c r="D18" s="13" t="s">
        <v>26</v>
      </c>
      <c r="E18" s="13"/>
      <c r="F18" s="13"/>
    </row>
    <row r="19" customFormat="false" ht="15" hidden="false" customHeight="false" outlineLevel="0" collapsed="false">
      <c r="A19" s="18"/>
      <c r="B19" s="12" t="s">
        <v>27</v>
      </c>
      <c r="C19" s="12"/>
      <c r="D19" s="13" t="s">
        <v>28</v>
      </c>
      <c r="E19" s="13"/>
      <c r="F19" s="13"/>
    </row>
    <row r="21" customFormat="false" ht="15" hidden="false" customHeight="false" outlineLevel="0" collapsed="false">
      <c r="A21" s="9" t="s">
        <v>29</v>
      </c>
      <c r="B21" s="9"/>
      <c r="C21" s="9"/>
      <c r="D21" s="9"/>
      <c r="E21" s="9"/>
      <c r="F21" s="9"/>
    </row>
    <row r="22" customFormat="false" ht="30" hidden="false" customHeight="true" outlineLevel="0" collapsed="false">
      <c r="A22" s="10" t="s">
        <v>30</v>
      </c>
      <c r="B22" s="10"/>
      <c r="C22" s="10"/>
      <c r="D22" s="10"/>
      <c r="E22" s="10"/>
      <c r="F22" s="10"/>
    </row>
    <row r="23" customFormat="false" ht="30" hidden="false" customHeight="true" outlineLevel="0" collapsed="false">
      <c r="A23" s="10" t="s">
        <v>31</v>
      </c>
      <c r="B23" s="10"/>
      <c r="C23" s="10"/>
      <c r="D23" s="10"/>
      <c r="E23" s="10"/>
      <c r="F23" s="10"/>
    </row>
    <row r="24" customFormat="false" ht="30" hidden="false" customHeight="true" outlineLevel="0" collapsed="false">
      <c r="A24" s="10" t="s">
        <v>32</v>
      </c>
      <c r="B24" s="10"/>
      <c r="C24" s="10"/>
      <c r="D24" s="10"/>
      <c r="E24" s="10"/>
      <c r="F24" s="10"/>
    </row>
  </sheetData>
  <mergeCells count="27">
    <mergeCell ref="A1:F1"/>
    <mergeCell ref="A3:F3"/>
    <mergeCell ref="A4:F4"/>
    <mergeCell ref="A5:F5"/>
    <mergeCell ref="A6:F6"/>
    <mergeCell ref="A7:F7"/>
    <mergeCell ref="A8:F8"/>
    <mergeCell ref="A9:F9"/>
    <mergeCell ref="A10:F10"/>
    <mergeCell ref="A11:F11"/>
    <mergeCell ref="A13:F13"/>
    <mergeCell ref="B14:C14"/>
    <mergeCell ref="D14:F14"/>
    <mergeCell ref="B15:C15"/>
    <mergeCell ref="D15:F15"/>
    <mergeCell ref="B16:C16"/>
    <mergeCell ref="D16:F16"/>
    <mergeCell ref="B17:C17"/>
    <mergeCell ref="D17:F17"/>
    <mergeCell ref="B18:C18"/>
    <mergeCell ref="D18:F18"/>
    <mergeCell ref="B19:C19"/>
    <mergeCell ref="D19:F19"/>
    <mergeCell ref="A21:F21"/>
    <mergeCell ref="A22:F22"/>
    <mergeCell ref="A23:F23"/>
    <mergeCell ref="A24: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6" min="6" style="0" width="14"/>
    <col collapsed="false" customWidth="true" hidden="false" outlineLevel="0" max="7" min="7" style="0" width="12"/>
    <col collapsed="false" customWidth="true" hidden="false" outlineLevel="0" max="10" min="8" style="0" width="14"/>
    <col collapsed="false" customWidth="true" hidden="false" outlineLevel="0" max="11" min="11" style="0" width="13"/>
    <col collapsed="false" customWidth="true" hidden="false" outlineLevel="0" max="12" min="12" style="0" width="12"/>
    <col collapsed="false" customWidth="true" hidden="false" outlineLevel="0" max="13" min="13" style="0" width="28"/>
  </cols>
  <sheetData>
    <row r="1" customFormat="false" ht="15" hidden="false" customHeight="true" outlineLevel="0" collapsed="false">
      <c r="A1" s="19" t="s">
        <v>33</v>
      </c>
      <c r="B1" s="19"/>
      <c r="C1" s="19"/>
      <c r="D1" s="19"/>
      <c r="E1" s="19"/>
      <c r="F1" s="19"/>
      <c r="G1" s="19"/>
      <c r="H1" s="19"/>
      <c r="I1" s="19"/>
      <c r="J1" s="19"/>
      <c r="K1" s="19"/>
      <c r="L1" s="19"/>
      <c r="M1" s="19"/>
    </row>
    <row r="2" customFormat="false" ht="33.75" hidden="false" customHeight="true" outlineLevel="0" collapsed="false">
      <c r="A2" s="20" t="s">
        <v>34</v>
      </c>
      <c r="B2" s="20" t="s">
        <v>35</v>
      </c>
      <c r="C2" s="20" t="s">
        <v>36</v>
      </c>
      <c r="D2" s="20" t="s">
        <v>37</v>
      </c>
      <c r="E2" s="20" t="s">
        <v>38</v>
      </c>
      <c r="F2" s="20" t="s">
        <v>39</v>
      </c>
      <c r="G2" s="20" t="s">
        <v>40</v>
      </c>
      <c r="H2" s="20" t="s">
        <v>41</v>
      </c>
    </row>
    <row r="3" customFormat="false" ht="23.85" hidden="false" customHeight="false" outlineLevel="0" collapsed="false">
      <c r="A3" s="21" t="s">
        <v>42</v>
      </c>
      <c r="B3" s="22" t="s">
        <v>43</v>
      </c>
      <c r="C3" s="23" t="n">
        <v>42.15</v>
      </c>
      <c r="D3" s="24" t="n">
        <v>46037</v>
      </c>
      <c r="E3" s="21" t="s">
        <v>44</v>
      </c>
      <c r="F3" s="21" t="s">
        <v>45</v>
      </c>
      <c r="G3" s="21" t="s">
        <v>46</v>
      </c>
      <c r="H3" s="22" t="s">
        <v>47</v>
      </c>
    </row>
    <row r="4" customFormat="false" ht="23.85" hidden="false" customHeight="false" outlineLevel="0" collapsed="false">
      <c r="A4" s="21" t="s">
        <v>48</v>
      </c>
      <c r="B4" s="22" t="s">
        <v>49</v>
      </c>
      <c r="C4" s="23" t="n">
        <v>41.875</v>
      </c>
      <c r="D4" s="24" t="n">
        <v>46037</v>
      </c>
      <c r="E4" s="21" t="s">
        <v>44</v>
      </c>
      <c r="F4" s="21" t="s">
        <v>50</v>
      </c>
      <c r="G4" s="21" t="s">
        <v>46</v>
      </c>
      <c r="H4" s="22" t="s">
        <v>51</v>
      </c>
    </row>
    <row r="5" customFormat="false" ht="23.85" hidden="false" customHeight="false" outlineLevel="0" collapsed="false">
      <c r="A5" s="21" t="s">
        <v>52</v>
      </c>
      <c r="B5" s="22" t="s">
        <v>53</v>
      </c>
      <c r="C5" s="23" t="n">
        <v>42.32</v>
      </c>
      <c r="D5" s="24" t="n">
        <v>46042</v>
      </c>
      <c r="E5" s="21" t="s">
        <v>54</v>
      </c>
      <c r="F5" s="21" t="s">
        <v>55</v>
      </c>
      <c r="G5" s="21" t="s">
        <v>46</v>
      </c>
      <c r="H5" s="22" t="s">
        <v>56</v>
      </c>
    </row>
    <row r="6" customFormat="false" ht="35.05" hidden="false" customHeight="false" outlineLevel="0" collapsed="false">
      <c r="A6" s="21" t="s">
        <v>57</v>
      </c>
      <c r="B6" s="22" t="s">
        <v>58</v>
      </c>
      <c r="C6" s="23" t="n">
        <v>41.99</v>
      </c>
      <c r="D6" s="24" t="n">
        <v>46054</v>
      </c>
      <c r="E6" s="21" t="s">
        <v>44</v>
      </c>
      <c r="F6" s="21" t="s">
        <v>50</v>
      </c>
      <c r="G6" s="21" t="s">
        <v>59</v>
      </c>
      <c r="H6" s="22" t="s">
        <v>60</v>
      </c>
    </row>
    <row r="7" customFormat="false" ht="15" hidden="false" customHeight="false" outlineLevel="0" collapsed="false">
      <c r="A7" s="21"/>
      <c r="B7" s="22"/>
      <c r="C7" s="23"/>
      <c r="D7" s="24"/>
      <c r="E7" s="21"/>
      <c r="F7" s="21"/>
      <c r="G7" s="21"/>
      <c r="H7" s="22"/>
    </row>
    <row r="8" customFormat="false" ht="15" hidden="false" customHeight="false" outlineLevel="0" collapsed="false">
      <c r="A8" s="21"/>
      <c r="B8" s="22"/>
      <c r="C8" s="23"/>
      <c r="D8" s="24"/>
      <c r="E8" s="21"/>
      <c r="F8" s="21"/>
      <c r="G8" s="21"/>
      <c r="H8" s="22"/>
    </row>
    <row r="9" customFormat="false" ht="15" hidden="false" customHeight="false" outlineLevel="0" collapsed="false">
      <c r="A9" s="21"/>
      <c r="B9" s="22"/>
      <c r="C9" s="23"/>
      <c r="D9" s="24"/>
      <c r="E9" s="21"/>
      <c r="F9" s="21"/>
      <c r="G9" s="21"/>
      <c r="H9" s="22"/>
    </row>
    <row r="10" customFormat="false" ht="15" hidden="false" customHeight="false" outlineLevel="0" collapsed="false">
      <c r="A10" s="21"/>
      <c r="B10" s="22"/>
      <c r="C10" s="23"/>
      <c r="D10" s="24"/>
      <c r="E10" s="21"/>
      <c r="F10" s="21"/>
      <c r="G10" s="21"/>
      <c r="H10" s="22"/>
    </row>
    <row r="11" customFormat="false" ht="15" hidden="false" customHeight="false" outlineLevel="0" collapsed="false">
      <c r="A11" s="21"/>
      <c r="B11" s="22"/>
      <c r="C11" s="23"/>
      <c r="D11" s="24"/>
      <c r="E11" s="21"/>
      <c r="F11" s="21"/>
      <c r="G11" s="21"/>
      <c r="H11" s="22"/>
    </row>
    <row r="12" customFormat="false" ht="15" hidden="false" customHeight="false" outlineLevel="0" collapsed="false">
      <c r="A12" s="21"/>
      <c r="B12" s="22"/>
      <c r="C12" s="23"/>
      <c r="D12" s="24"/>
      <c r="E12" s="21"/>
      <c r="F12" s="21"/>
      <c r="G12" s="21"/>
      <c r="H12" s="22"/>
    </row>
    <row r="13" customFormat="false" ht="7.5" hidden="false" customHeight="true" outlineLevel="0" collapsed="false"/>
    <row r="14" customFormat="false" ht="15" hidden="false" customHeight="true" outlineLevel="0" collapsed="false">
      <c r="A14" s="19" t="s">
        <v>61</v>
      </c>
      <c r="B14" s="19"/>
      <c r="C14" s="19"/>
      <c r="D14" s="19"/>
      <c r="E14" s="19"/>
      <c r="F14" s="19"/>
      <c r="G14" s="19"/>
      <c r="H14" s="19"/>
      <c r="I14" s="19"/>
      <c r="J14" s="19"/>
      <c r="K14" s="19"/>
      <c r="L14" s="19"/>
      <c r="M14" s="19"/>
    </row>
    <row r="15" customFormat="false" ht="37.5" hidden="false" customHeight="true" outlineLevel="0" collapsed="false">
      <c r="A15" s="20" t="s">
        <v>62</v>
      </c>
      <c r="B15" s="20" t="s">
        <v>63</v>
      </c>
      <c r="C15" s="20" t="s">
        <v>64</v>
      </c>
      <c r="D15" s="20" t="s">
        <v>65</v>
      </c>
      <c r="E15" s="20" t="s">
        <v>66</v>
      </c>
      <c r="F15" s="20" t="s">
        <v>67</v>
      </c>
      <c r="G15" s="20" t="s">
        <v>68</v>
      </c>
      <c r="H15" s="20" t="s">
        <v>69</v>
      </c>
      <c r="I15" s="20" t="s">
        <v>70</v>
      </c>
      <c r="J15" s="20" t="s">
        <v>71</v>
      </c>
      <c r="K15" s="20" t="s">
        <v>72</v>
      </c>
      <c r="L15" s="20" t="s">
        <v>73</v>
      </c>
      <c r="M15" s="20" t="s">
        <v>74</v>
      </c>
    </row>
    <row r="16" customFormat="false" ht="23.85" hidden="false" customHeight="false" outlineLevel="0" collapsed="false">
      <c r="A16" s="21" t="s">
        <v>75</v>
      </c>
      <c r="B16" s="24" t="n">
        <v>46063</v>
      </c>
      <c r="C16" s="21" t="s">
        <v>42</v>
      </c>
      <c r="D16" s="22" t="s">
        <v>76</v>
      </c>
      <c r="E16" s="23" t="n">
        <v>1.425</v>
      </c>
      <c r="F16" s="23" t="n">
        <v>1.295</v>
      </c>
      <c r="G16" s="25" t="n">
        <f aca="false">IFERROR(E16-F16,"")</f>
        <v>0.13</v>
      </c>
      <c r="H16" s="23" t="n">
        <v>42.28</v>
      </c>
      <c r="I16" s="23"/>
      <c r="J16" s="26" t="n">
        <f aca="false">IFERROR((H16-I16)*1000,"")</f>
        <v>42280</v>
      </c>
      <c r="K16" s="21" t="n">
        <v>5</v>
      </c>
      <c r="L16" s="27" t="str">
        <f aca="false">IF(J16="","",IF(ABS(J16)&lt;=K16,"OK","OVER"))</f>
        <v>OVER</v>
      </c>
      <c r="M16" s="22" t="s">
        <v>77</v>
      </c>
    </row>
    <row r="17" customFormat="false" ht="23.85" hidden="false" customHeight="false" outlineLevel="0" collapsed="false">
      <c r="A17" s="21" t="s">
        <v>78</v>
      </c>
      <c r="B17" s="24" t="n">
        <v>46063</v>
      </c>
      <c r="C17" s="21" t="s">
        <v>42</v>
      </c>
      <c r="D17" s="22" t="s">
        <v>79</v>
      </c>
      <c r="E17" s="23" t="n">
        <v>1.425</v>
      </c>
      <c r="F17" s="23" t="n">
        <v>1.7</v>
      </c>
      <c r="G17" s="25" t="n">
        <f aca="false">IFERROR(E17-F17,"")</f>
        <v>-0.275</v>
      </c>
      <c r="H17" s="23" t="n">
        <v>41.875</v>
      </c>
      <c r="I17" s="23" t="n">
        <v>41.875</v>
      </c>
      <c r="J17" s="26" t="n">
        <f aca="false">IFERROR((H17-I17)*1000,"")</f>
        <v>0</v>
      </c>
      <c r="K17" s="21" t="n">
        <v>5</v>
      </c>
      <c r="L17" s="27" t="str">
        <f aca="false">IF(J17="","",IF(ABS(J17)&lt;=K17,"OK","OVER"))</f>
        <v>OK</v>
      </c>
      <c r="M17" s="22" t="s">
        <v>80</v>
      </c>
    </row>
    <row r="18" customFormat="false" ht="23.85" hidden="false" customHeight="false" outlineLevel="0" collapsed="false">
      <c r="A18" s="21" t="s">
        <v>81</v>
      </c>
      <c r="B18" s="24" t="n">
        <v>46065</v>
      </c>
      <c r="C18" s="21" t="s">
        <v>48</v>
      </c>
      <c r="D18" s="22" t="s">
        <v>82</v>
      </c>
      <c r="E18" s="23" t="n">
        <v>1.56</v>
      </c>
      <c r="F18" s="23" t="n">
        <v>1.435</v>
      </c>
      <c r="G18" s="25" t="n">
        <f aca="false">IFERROR(E18-F18,"")</f>
        <v>0.125</v>
      </c>
      <c r="H18" s="23" t="n">
        <v>42</v>
      </c>
      <c r="I18" s="23"/>
      <c r="J18" s="26" t="n">
        <f aca="false">IFERROR((H18-I18)*1000,"")</f>
        <v>42000</v>
      </c>
      <c r="K18" s="21" t="n">
        <v>5</v>
      </c>
      <c r="L18" s="27" t="str">
        <f aca="false">IF(J18="","",IF(ABS(J18)&lt;=K18,"OK","OVER"))</f>
        <v>OVER</v>
      </c>
      <c r="M18" s="22" t="s">
        <v>54</v>
      </c>
    </row>
    <row r="19" customFormat="false" ht="23.85" hidden="false" customHeight="false" outlineLevel="0" collapsed="false">
      <c r="A19" s="21" t="s">
        <v>83</v>
      </c>
      <c r="B19" s="24" t="n">
        <v>46067</v>
      </c>
      <c r="C19" s="21" t="s">
        <v>52</v>
      </c>
      <c r="D19" s="22" t="s">
        <v>84</v>
      </c>
      <c r="E19" s="23" t="n">
        <v>1.32</v>
      </c>
      <c r="F19" s="23" t="n">
        <v>1.15</v>
      </c>
      <c r="G19" s="25" t="n">
        <f aca="false">IFERROR(E19-F19,"")</f>
        <v>0.17</v>
      </c>
      <c r="H19" s="23" t="n">
        <v>42.49</v>
      </c>
      <c r="I19" s="23"/>
      <c r="J19" s="26" t="n">
        <f aca="false">IFERROR((H19-I19)*1000,"")</f>
        <v>42490</v>
      </c>
      <c r="K19" s="21" t="n">
        <v>5</v>
      </c>
      <c r="L19" s="27" t="str">
        <f aca="false">IF(J19="","",IF(ABS(J19)&lt;=K19,"OK","OVER"))</f>
        <v>OVER</v>
      </c>
      <c r="M19" s="22" t="s">
        <v>44</v>
      </c>
    </row>
    <row r="20" customFormat="false" ht="23.85" hidden="false" customHeight="false" outlineLevel="0" collapsed="false">
      <c r="A20" s="21" t="s">
        <v>85</v>
      </c>
      <c r="B20" s="24" t="n">
        <v>46067</v>
      </c>
      <c r="C20" s="21" t="s">
        <v>52</v>
      </c>
      <c r="D20" s="22" t="s">
        <v>86</v>
      </c>
      <c r="E20" s="23" t="n">
        <v>1.32</v>
      </c>
      <c r="F20" s="23" t="n">
        <v>1.49</v>
      </c>
      <c r="G20" s="25" t="n">
        <f aca="false">IFERROR(E20-F20,"")</f>
        <v>-0.17</v>
      </c>
      <c r="H20" s="23" t="n">
        <v>42.15</v>
      </c>
      <c r="I20" s="23" t="n">
        <v>42.15</v>
      </c>
      <c r="J20" s="26" t="n">
        <f aca="false">IFERROR((H20-I20)*1000,"")</f>
        <v>0</v>
      </c>
      <c r="K20" s="21" t="n">
        <v>5</v>
      </c>
      <c r="L20" s="27" t="str">
        <f aca="false">IF(J20="","",IF(ABS(J20)&lt;=K20,"OK","OVER"))</f>
        <v>OK</v>
      </c>
      <c r="M20" s="22" t="s">
        <v>87</v>
      </c>
    </row>
    <row r="21" customFormat="false" ht="15" hidden="false" customHeight="false" outlineLevel="0" collapsed="false">
      <c r="A21" s="21"/>
      <c r="B21" s="24"/>
      <c r="C21" s="21"/>
      <c r="D21" s="22"/>
      <c r="E21" s="23"/>
      <c r="F21" s="23"/>
      <c r="G21" s="25" t="n">
        <f aca="false">IFERROR(E21-F21,"")</f>
        <v>0</v>
      </c>
      <c r="H21" s="23"/>
      <c r="I21" s="23"/>
      <c r="J21" s="26" t="n">
        <f aca="false">IFERROR((H21-I21)*1000,"")</f>
        <v>0</v>
      </c>
      <c r="K21" s="21"/>
      <c r="L21" s="27" t="str">
        <f aca="false">IF(J21="","",IF(ABS(J21)&lt;=K21,"OK","OVER"))</f>
        <v>OK</v>
      </c>
      <c r="M21" s="22"/>
    </row>
    <row r="22" customFormat="false" ht="15" hidden="false" customHeight="false" outlineLevel="0" collapsed="false">
      <c r="A22" s="21"/>
      <c r="B22" s="24"/>
      <c r="C22" s="21"/>
      <c r="D22" s="22"/>
      <c r="E22" s="23"/>
      <c r="F22" s="23"/>
      <c r="G22" s="25" t="n">
        <f aca="false">IFERROR(E22-F22,"")</f>
        <v>0</v>
      </c>
      <c r="H22" s="23"/>
      <c r="I22" s="23"/>
      <c r="J22" s="26" t="n">
        <f aca="false">IFERROR((H22-I22)*1000,"")</f>
        <v>0</v>
      </c>
      <c r="K22" s="21"/>
      <c r="L22" s="27" t="str">
        <f aca="false">IF(J22="","",IF(ABS(J22)&lt;=K22,"OK","OVER"))</f>
        <v>OK</v>
      </c>
      <c r="M22" s="22"/>
    </row>
    <row r="23" customFormat="false" ht="15" hidden="false" customHeight="false" outlineLevel="0" collapsed="false">
      <c r="A23" s="21"/>
      <c r="B23" s="24"/>
      <c r="C23" s="21"/>
      <c r="D23" s="22"/>
      <c r="E23" s="23"/>
      <c r="F23" s="23"/>
      <c r="G23" s="25" t="n">
        <f aca="false">IFERROR(E23-F23,"")</f>
        <v>0</v>
      </c>
      <c r="H23" s="23"/>
      <c r="I23" s="23"/>
      <c r="J23" s="26" t="n">
        <f aca="false">IFERROR((H23-I23)*1000,"")</f>
        <v>0</v>
      </c>
      <c r="K23" s="21"/>
      <c r="L23" s="27" t="str">
        <f aca="false">IF(J23="","",IF(ABS(J23)&lt;=K23,"OK","OVER"))</f>
        <v>OK</v>
      </c>
      <c r="M23" s="22"/>
    </row>
    <row r="24" customFormat="false" ht="15" hidden="false" customHeight="false" outlineLevel="0" collapsed="false">
      <c r="A24" s="21"/>
      <c r="B24" s="24"/>
      <c r="C24" s="21"/>
      <c r="D24" s="22"/>
      <c r="E24" s="23"/>
      <c r="F24" s="23"/>
      <c r="G24" s="25" t="n">
        <f aca="false">IFERROR(E24-F24,"")</f>
        <v>0</v>
      </c>
      <c r="H24" s="23"/>
      <c r="I24" s="23"/>
      <c r="J24" s="26" t="n">
        <f aca="false">IFERROR((H24-I24)*1000,"")</f>
        <v>0</v>
      </c>
      <c r="K24" s="21"/>
      <c r="L24" s="27" t="str">
        <f aca="false">IF(J24="","",IF(ABS(J24)&lt;=K24,"OK","OVER"))</f>
        <v>OK</v>
      </c>
      <c r="M24" s="22"/>
    </row>
    <row r="25" customFormat="false" ht="15" hidden="false" customHeight="false" outlineLevel="0" collapsed="false">
      <c r="A25" s="21"/>
      <c r="B25" s="24"/>
      <c r="C25" s="21"/>
      <c r="D25" s="22"/>
      <c r="E25" s="23"/>
      <c r="F25" s="23"/>
      <c r="G25" s="25" t="n">
        <f aca="false">IFERROR(E25-F25,"")</f>
        <v>0</v>
      </c>
      <c r="H25" s="23"/>
      <c r="I25" s="23"/>
      <c r="J25" s="26" t="n">
        <f aca="false">IFERROR((H25-I25)*1000,"")</f>
        <v>0</v>
      </c>
      <c r="K25" s="21"/>
      <c r="L25" s="27" t="str">
        <f aca="false">IF(J25="","",IF(ABS(J25)&lt;=K25,"OK","OVER"))</f>
        <v>OK</v>
      </c>
      <c r="M25" s="22"/>
    </row>
    <row r="26" customFormat="false" ht="15" hidden="false" customHeight="false" outlineLevel="0" collapsed="false">
      <c r="A26" s="21"/>
      <c r="B26" s="24"/>
      <c r="C26" s="21"/>
      <c r="D26" s="22"/>
      <c r="E26" s="23"/>
      <c r="F26" s="23"/>
      <c r="G26" s="25" t="n">
        <f aca="false">IFERROR(E26-F26,"")</f>
        <v>0</v>
      </c>
      <c r="H26" s="23"/>
      <c r="I26" s="23"/>
      <c r="J26" s="26" t="n">
        <f aca="false">IFERROR((H26-I26)*1000,"")</f>
        <v>0</v>
      </c>
      <c r="K26" s="21"/>
      <c r="L26" s="27" t="str">
        <f aca="false">IF(J26="","",IF(ABS(J26)&lt;=K26,"OK","OVER"))</f>
        <v>OK</v>
      </c>
      <c r="M26" s="22"/>
    </row>
    <row r="27" customFormat="false" ht="15" hidden="false" customHeight="false" outlineLevel="0" collapsed="false">
      <c r="A27" s="21"/>
      <c r="B27" s="24"/>
      <c r="C27" s="21"/>
      <c r="D27" s="22"/>
      <c r="E27" s="23"/>
      <c r="F27" s="23"/>
      <c r="G27" s="25" t="n">
        <f aca="false">IFERROR(E27-F27,"")</f>
        <v>0</v>
      </c>
      <c r="H27" s="23"/>
      <c r="I27" s="23"/>
      <c r="J27" s="26" t="n">
        <f aca="false">IFERROR((H27-I27)*1000,"")</f>
        <v>0</v>
      </c>
      <c r="K27" s="21"/>
      <c r="L27" s="27" t="str">
        <f aca="false">IF(J27="","",IF(ABS(J27)&lt;=K27,"OK","OVER"))</f>
        <v>OK</v>
      </c>
      <c r="M27" s="22"/>
    </row>
    <row r="28" customFormat="false" ht="15" hidden="false" customHeight="false" outlineLevel="0" collapsed="false">
      <c r="A28" s="21"/>
      <c r="B28" s="24"/>
      <c r="C28" s="21"/>
      <c r="D28" s="22"/>
      <c r="E28" s="23"/>
      <c r="F28" s="23"/>
      <c r="G28" s="25" t="n">
        <f aca="false">IFERROR(E28-F28,"")</f>
        <v>0</v>
      </c>
      <c r="H28" s="23"/>
      <c r="I28" s="23"/>
      <c r="J28" s="26" t="n">
        <f aca="false">IFERROR((H28-I28)*1000,"")</f>
        <v>0</v>
      </c>
      <c r="K28" s="21"/>
      <c r="L28" s="27" t="str">
        <f aca="false">IF(J28="","",IF(ABS(J28)&lt;=K28,"OK","OVER"))</f>
        <v>OK</v>
      </c>
      <c r="M28" s="22"/>
    </row>
    <row r="29" customFormat="false" ht="15" hidden="false" customHeight="false" outlineLevel="0" collapsed="false">
      <c r="A29" s="21"/>
      <c r="B29" s="24"/>
      <c r="C29" s="21"/>
      <c r="D29" s="22"/>
      <c r="E29" s="23"/>
      <c r="F29" s="23"/>
      <c r="G29" s="25" t="n">
        <f aca="false">IFERROR(E29-F29,"")</f>
        <v>0</v>
      </c>
      <c r="H29" s="23"/>
      <c r="I29" s="23"/>
      <c r="J29" s="26" t="n">
        <f aca="false">IFERROR((H29-I29)*1000,"")</f>
        <v>0</v>
      </c>
      <c r="K29" s="21"/>
      <c r="L29" s="27" t="str">
        <f aca="false">IF(J29="","",IF(ABS(J29)&lt;=K29,"OK","OVER"))</f>
        <v>OK</v>
      </c>
      <c r="M29" s="22"/>
    </row>
    <row r="30" customFormat="false" ht="15" hidden="false" customHeight="false" outlineLevel="0" collapsed="false">
      <c r="A30" s="21"/>
      <c r="B30" s="24"/>
      <c r="C30" s="21"/>
      <c r="D30" s="22"/>
      <c r="E30" s="23"/>
      <c r="F30" s="23"/>
      <c r="G30" s="25" t="n">
        <f aca="false">IFERROR(E30-F30,"")</f>
        <v>0</v>
      </c>
      <c r="H30" s="23"/>
      <c r="I30" s="23"/>
      <c r="J30" s="26" t="n">
        <f aca="false">IFERROR((H30-I30)*1000,"")</f>
        <v>0</v>
      </c>
      <c r="K30" s="21"/>
      <c r="L30" s="27" t="str">
        <f aca="false">IF(J30="","",IF(ABS(J30)&lt;=K30,"OK","OVER"))</f>
        <v>OK</v>
      </c>
      <c r="M30" s="22"/>
    </row>
    <row r="31" customFormat="false" ht="15" hidden="false" customHeight="false" outlineLevel="0" collapsed="false">
      <c r="A31" s="21"/>
      <c r="B31" s="24"/>
      <c r="C31" s="21"/>
      <c r="D31" s="22"/>
      <c r="E31" s="23"/>
      <c r="F31" s="23"/>
      <c r="G31" s="25" t="n">
        <f aca="false">IFERROR(E31-F31,"")</f>
        <v>0</v>
      </c>
      <c r="H31" s="23"/>
      <c r="I31" s="23"/>
      <c r="J31" s="26" t="n">
        <f aca="false">IFERROR((H31-I31)*1000,"")</f>
        <v>0</v>
      </c>
      <c r="K31" s="21"/>
      <c r="L31" s="27" t="str">
        <f aca="false">IF(J31="","",IF(ABS(J31)&lt;=K31,"OK","OVER"))</f>
        <v>OK</v>
      </c>
      <c r="M31" s="22"/>
    </row>
    <row r="32" customFormat="false" ht="15" hidden="false" customHeight="false" outlineLevel="0" collapsed="false">
      <c r="A32" s="21"/>
      <c r="B32" s="24"/>
      <c r="C32" s="21"/>
      <c r="D32" s="22"/>
      <c r="E32" s="23"/>
      <c r="F32" s="23"/>
      <c r="G32" s="25" t="n">
        <f aca="false">IFERROR(E32-F32,"")</f>
        <v>0</v>
      </c>
      <c r="H32" s="23"/>
      <c r="I32" s="23"/>
      <c r="J32" s="26" t="n">
        <f aca="false">IFERROR((H32-I32)*1000,"")</f>
        <v>0</v>
      </c>
      <c r="K32" s="21"/>
      <c r="L32" s="27" t="str">
        <f aca="false">IF(J32="","",IF(ABS(J32)&lt;=K32,"OK","OVER"))</f>
        <v>OK</v>
      </c>
      <c r="M32" s="22"/>
    </row>
    <row r="33" customFormat="false" ht="15" hidden="false" customHeight="false" outlineLevel="0" collapsed="false">
      <c r="A33" s="21"/>
      <c r="B33" s="24"/>
      <c r="C33" s="21"/>
      <c r="D33" s="22"/>
      <c r="E33" s="23"/>
      <c r="F33" s="23"/>
      <c r="G33" s="25" t="n">
        <f aca="false">IFERROR(E33-F33,"")</f>
        <v>0</v>
      </c>
      <c r="H33" s="23"/>
      <c r="I33" s="23"/>
      <c r="J33" s="26" t="n">
        <f aca="false">IFERROR((H33-I33)*1000,"")</f>
        <v>0</v>
      </c>
      <c r="K33" s="21"/>
      <c r="L33" s="27" t="str">
        <f aca="false">IF(J33="","",IF(ABS(J33)&lt;=K33,"OK","OVER"))</f>
        <v>OK</v>
      </c>
      <c r="M33" s="22"/>
    </row>
    <row r="34" customFormat="false" ht="15" hidden="false" customHeight="false" outlineLevel="0" collapsed="false">
      <c r="A34" s="21"/>
      <c r="B34" s="24"/>
      <c r="C34" s="21"/>
      <c r="D34" s="22"/>
      <c r="E34" s="23"/>
      <c r="F34" s="23"/>
      <c r="G34" s="25" t="n">
        <f aca="false">IFERROR(E34-F34,"")</f>
        <v>0</v>
      </c>
      <c r="H34" s="23"/>
      <c r="I34" s="23"/>
      <c r="J34" s="26" t="n">
        <f aca="false">IFERROR((H34-I34)*1000,"")</f>
        <v>0</v>
      </c>
      <c r="K34" s="21"/>
      <c r="L34" s="27" t="str">
        <f aca="false">IF(J34="","",IF(ABS(J34)&lt;=K34,"OK","OVER"))</f>
        <v>OK</v>
      </c>
      <c r="M34" s="22"/>
    </row>
    <row r="35" customFormat="false" ht="15" hidden="false" customHeight="false" outlineLevel="0" collapsed="false">
      <c r="A35" s="21"/>
      <c r="B35" s="24"/>
      <c r="C35" s="21"/>
      <c r="D35" s="22"/>
      <c r="E35" s="23"/>
      <c r="F35" s="23"/>
      <c r="G35" s="25" t="n">
        <f aca="false">IFERROR(E35-F35,"")</f>
        <v>0</v>
      </c>
      <c r="H35" s="23"/>
      <c r="I35" s="23"/>
      <c r="J35" s="26" t="n">
        <f aca="false">IFERROR((H35-I35)*1000,"")</f>
        <v>0</v>
      </c>
      <c r="K35" s="21"/>
      <c r="L35" s="27" t="str">
        <f aca="false">IF(J35="","",IF(ABS(J35)&lt;=K35,"OK","OVER"))</f>
        <v>OK</v>
      </c>
      <c r="M35" s="22"/>
    </row>
    <row r="36" customFormat="false" ht="15" hidden="false" customHeight="false" outlineLevel="0" collapsed="false">
      <c r="A36" s="21"/>
      <c r="B36" s="24"/>
      <c r="C36" s="21"/>
      <c r="D36" s="22"/>
      <c r="E36" s="23"/>
      <c r="F36" s="23"/>
      <c r="G36" s="25" t="n">
        <f aca="false">IFERROR(E36-F36,"")</f>
        <v>0</v>
      </c>
      <c r="H36" s="23"/>
      <c r="I36" s="23"/>
      <c r="J36" s="26" t="n">
        <f aca="false">IFERROR((H36-I36)*1000,"")</f>
        <v>0</v>
      </c>
      <c r="K36" s="21"/>
      <c r="L36" s="27" t="str">
        <f aca="false">IF(J36="","",IF(ABS(J36)&lt;=K36,"OK","OVER"))</f>
        <v>OK</v>
      </c>
      <c r="M36" s="22"/>
    </row>
    <row r="37" customFormat="false" ht="15" hidden="false" customHeight="false" outlineLevel="0" collapsed="false">
      <c r="A37" s="21"/>
      <c r="B37" s="24"/>
      <c r="C37" s="21"/>
      <c r="D37" s="22"/>
      <c r="E37" s="23"/>
      <c r="F37" s="23"/>
      <c r="G37" s="25" t="n">
        <f aca="false">IFERROR(E37-F37,"")</f>
        <v>0</v>
      </c>
      <c r="H37" s="23"/>
      <c r="I37" s="23"/>
      <c r="J37" s="26" t="n">
        <f aca="false">IFERROR((H37-I37)*1000,"")</f>
        <v>0</v>
      </c>
      <c r="K37" s="21"/>
      <c r="L37" s="27" t="str">
        <f aca="false">IF(J37="","",IF(ABS(J37)&lt;=K37,"OK","OVER"))</f>
        <v>OK</v>
      </c>
      <c r="M37" s="22"/>
    </row>
    <row r="38" customFormat="false" ht="15" hidden="false" customHeight="false" outlineLevel="0" collapsed="false">
      <c r="A38" s="21"/>
      <c r="B38" s="24"/>
      <c r="C38" s="21"/>
      <c r="D38" s="22"/>
      <c r="E38" s="23"/>
      <c r="F38" s="23"/>
      <c r="G38" s="25" t="n">
        <f aca="false">IFERROR(E38-F38,"")</f>
        <v>0</v>
      </c>
      <c r="H38" s="23"/>
      <c r="I38" s="23"/>
      <c r="J38" s="26" t="n">
        <f aca="false">IFERROR((H38-I38)*1000,"")</f>
        <v>0</v>
      </c>
      <c r="K38" s="21"/>
      <c r="L38" s="27" t="str">
        <f aca="false">IF(J38="","",IF(ABS(J38)&lt;=K38,"OK","OVER"))</f>
        <v>OK</v>
      </c>
      <c r="M38" s="22"/>
    </row>
    <row r="39" customFormat="false" ht="15" hidden="false" customHeight="false" outlineLevel="0" collapsed="false">
      <c r="A39" s="21"/>
      <c r="B39" s="24"/>
      <c r="C39" s="21"/>
      <c r="D39" s="22"/>
      <c r="E39" s="23"/>
      <c r="F39" s="23"/>
      <c r="G39" s="25" t="n">
        <f aca="false">IFERROR(E39-F39,"")</f>
        <v>0</v>
      </c>
      <c r="H39" s="23"/>
      <c r="I39" s="23"/>
      <c r="J39" s="26" t="n">
        <f aca="false">IFERROR((H39-I39)*1000,"")</f>
        <v>0</v>
      </c>
      <c r="K39" s="21"/>
      <c r="L39" s="27" t="str">
        <f aca="false">IF(J39="","",IF(ABS(J39)&lt;=K39,"OK","OVER"))</f>
        <v>OK</v>
      </c>
      <c r="M39" s="22"/>
    </row>
    <row r="40" customFormat="false" ht="15" hidden="false" customHeight="false" outlineLevel="0" collapsed="false">
      <c r="A40" s="21"/>
      <c r="B40" s="24"/>
      <c r="C40" s="21"/>
      <c r="D40" s="22"/>
      <c r="E40" s="23"/>
      <c r="F40" s="23"/>
      <c r="G40" s="25" t="n">
        <f aca="false">IFERROR(E40-F40,"")</f>
        <v>0</v>
      </c>
      <c r="H40" s="23"/>
      <c r="I40" s="23"/>
      <c r="J40" s="26" t="n">
        <f aca="false">IFERROR((H40-I40)*1000,"")</f>
        <v>0</v>
      </c>
      <c r="K40" s="21"/>
      <c r="L40" s="27" t="str">
        <f aca="false">IF(J40="","",IF(ABS(J40)&lt;=K40,"OK","OVER"))</f>
        <v>OK</v>
      </c>
      <c r="M40" s="22"/>
    </row>
    <row r="41" customFormat="false" ht="15" hidden="false" customHeight="false" outlineLevel="0" collapsed="false">
      <c r="A41" s="21"/>
      <c r="B41" s="24"/>
      <c r="C41" s="21"/>
      <c r="D41" s="22"/>
      <c r="E41" s="23"/>
      <c r="F41" s="23"/>
      <c r="G41" s="25" t="n">
        <f aca="false">IFERROR(E41-F41,"")</f>
        <v>0</v>
      </c>
      <c r="H41" s="23"/>
      <c r="I41" s="23"/>
      <c r="J41" s="26" t="n">
        <f aca="false">IFERROR((H41-I41)*1000,"")</f>
        <v>0</v>
      </c>
      <c r="K41" s="21"/>
      <c r="L41" s="27" t="str">
        <f aca="false">IF(J41="","",IF(ABS(J41)&lt;=K41,"OK","OVER"))</f>
        <v>OK</v>
      </c>
      <c r="M41" s="22"/>
    </row>
    <row r="42" customFormat="false" ht="15" hidden="false" customHeight="false" outlineLevel="0" collapsed="false">
      <c r="A42" s="21"/>
      <c r="B42" s="24"/>
      <c r="C42" s="21"/>
      <c r="D42" s="22"/>
      <c r="E42" s="23"/>
      <c r="F42" s="23"/>
      <c r="G42" s="25" t="n">
        <f aca="false">IFERROR(E42-F42,"")</f>
        <v>0</v>
      </c>
      <c r="H42" s="23"/>
      <c r="I42" s="23"/>
      <c r="J42" s="26" t="n">
        <f aca="false">IFERROR((H42-I42)*1000,"")</f>
        <v>0</v>
      </c>
      <c r="K42" s="21"/>
      <c r="L42" s="27" t="str">
        <f aca="false">IF(J42="","",IF(ABS(J42)&lt;=K42,"OK","OVER"))</f>
        <v>OK</v>
      </c>
      <c r="M42" s="22"/>
    </row>
    <row r="43" customFormat="false" ht="15" hidden="false" customHeight="false" outlineLevel="0" collapsed="false">
      <c r="A43" s="21"/>
      <c r="B43" s="24"/>
      <c r="C43" s="21"/>
      <c r="D43" s="22"/>
      <c r="E43" s="23"/>
      <c r="F43" s="23"/>
      <c r="G43" s="25" t="n">
        <f aca="false">IFERROR(E43-F43,"")</f>
        <v>0</v>
      </c>
      <c r="H43" s="23"/>
      <c r="I43" s="23"/>
      <c r="J43" s="26" t="n">
        <f aca="false">IFERROR((H43-I43)*1000,"")</f>
        <v>0</v>
      </c>
      <c r="K43" s="21"/>
      <c r="L43" s="27" t="str">
        <f aca="false">IF(J43="","",IF(ABS(J43)&lt;=K43,"OK","OVER"))</f>
        <v>OK</v>
      </c>
      <c r="M43" s="22"/>
    </row>
    <row r="44" customFormat="false" ht="15" hidden="false" customHeight="false" outlineLevel="0" collapsed="false">
      <c r="A44" s="21"/>
      <c r="B44" s="24"/>
      <c r="C44" s="21"/>
      <c r="D44" s="22"/>
      <c r="E44" s="23"/>
      <c r="F44" s="23"/>
      <c r="G44" s="25" t="n">
        <f aca="false">IFERROR(E44-F44,"")</f>
        <v>0</v>
      </c>
      <c r="H44" s="23"/>
      <c r="I44" s="23"/>
      <c r="J44" s="26" t="n">
        <f aca="false">IFERROR((H44-I44)*1000,"")</f>
        <v>0</v>
      </c>
      <c r="K44" s="21"/>
      <c r="L44" s="27" t="str">
        <f aca="false">IF(J44="","",IF(ABS(J44)&lt;=K44,"OK","OVER"))</f>
        <v>OK</v>
      </c>
      <c r="M44" s="22"/>
    </row>
    <row r="45" customFormat="false" ht="15" hidden="false" customHeight="false" outlineLevel="0" collapsed="false">
      <c r="A45" s="21"/>
      <c r="B45" s="24"/>
      <c r="C45" s="21"/>
      <c r="D45" s="22"/>
      <c r="E45" s="23"/>
      <c r="F45" s="23"/>
      <c r="G45" s="25" t="n">
        <f aca="false">IFERROR(E45-F45,"")</f>
        <v>0</v>
      </c>
      <c r="H45" s="23"/>
      <c r="I45" s="23"/>
      <c r="J45" s="26" t="n">
        <f aca="false">IFERROR((H45-I45)*1000,"")</f>
        <v>0</v>
      </c>
      <c r="K45" s="21"/>
      <c r="L45" s="27" t="str">
        <f aca="false">IF(J45="","",IF(ABS(J45)&lt;=K45,"OK","OVER"))</f>
        <v>OK</v>
      </c>
      <c r="M45" s="22"/>
    </row>
    <row r="46" customFormat="false" ht="15" hidden="false" customHeight="false" outlineLevel="0" collapsed="false">
      <c r="A46" s="21"/>
      <c r="B46" s="24"/>
      <c r="C46" s="21"/>
      <c r="D46" s="22"/>
      <c r="E46" s="23"/>
      <c r="F46" s="23"/>
      <c r="G46" s="25" t="n">
        <f aca="false">IFERROR(E46-F46,"")</f>
        <v>0</v>
      </c>
      <c r="H46" s="23"/>
      <c r="I46" s="23"/>
      <c r="J46" s="26" t="n">
        <f aca="false">IFERROR((H46-I46)*1000,"")</f>
        <v>0</v>
      </c>
      <c r="K46" s="21"/>
      <c r="L46" s="27" t="str">
        <f aca="false">IF(J46="","",IF(ABS(J46)&lt;=K46,"OK","OVER"))</f>
        <v>OK</v>
      </c>
      <c r="M46" s="22"/>
    </row>
    <row r="47" customFormat="false" ht="15" hidden="false" customHeight="false" outlineLevel="0" collapsed="false">
      <c r="A47" s="21"/>
      <c r="B47" s="24"/>
      <c r="C47" s="21"/>
      <c r="D47" s="22"/>
      <c r="E47" s="23"/>
      <c r="F47" s="23"/>
      <c r="G47" s="25" t="n">
        <f aca="false">IFERROR(E47-F47,"")</f>
        <v>0</v>
      </c>
      <c r="H47" s="23"/>
      <c r="I47" s="23"/>
      <c r="J47" s="26" t="n">
        <f aca="false">IFERROR((H47-I47)*1000,"")</f>
        <v>0</v>
      </c>
      <c r="K47" s="21"/>
      <c r="L47" s="27" t="str">
        <f aca="false">IF(J47="","",IF(ABS(J47)&lt;=K47,"OK","OVER"))</f>
        <v>OK</v>
      </c>
      <c r="M47" s="22"/>
    </row>
    <row r="48" customFormat="false" ht="15" hidden="false" customHeight="false" outlineLevel="0" collapsed="false">
      <c r="A48" s="21"/>
      <c r="B48" s="24"/>
      <c r="C48" s="21"/>
      <c r="D48" s="22"/>
      <c r="E48" s="23"/>
      <c r="F48" s="23"/>
      <c r="G48" s="25" t="n">
        <f aca="false">IFERROR(E48-F48,"")</f>
        <v>0</v>
      </c>
      <c r="H48" s="23"/>
      <c r="I48" s="23"/>
      <c r="J48" s="26" t="n">
        <f aca="false">IFERROR((H48-I48)*1000,"")</f>
        <v>0</v>
      </c>
      <c r="K48" s="21"/>
      <c r="L48" s="27" t="str">
        <f aca="false">IF(J48="","",IF(ABS(J48)&lt;=K48,"OK","OVER"))</f>
        <v>OK</v>
      </c>
      <c r="M48" s="22"/>
    </row>
    <row r="49" customFormat="false" ht="15" hidden="false" customHeight="false" outlineLevel="0" collapsed="false">
      <c r="A49" s="21"/>
      <c r="B49" s="24"/>
      <c r="C49" s="21"/>
      <c r="D49" s="22"/>
      <c r="E49" s="23"/>
      <c r="F49" s="23"/>
      <c r="G49" s="25" t="n">
        <f aca="false">IFERROR(E49-F49,"")</f>
        <v>0</v>
      </c>
      <c r="H49" s="23"/>
      <c r="I49" s="23"/>
      <c r="J49" s="26" t="n">
        <f aca="false">IFERROR((H49-I49)*1000,"")</f>
        <v>0</v>
      </c>
      <c r="K49" s="21"/>
      <c r="L49" s="27" t="str">
        <f aca="false">IF(J49="","",IF(ABS(J49)&lt;=K49,"OK","OVER"))</f>
        <v>OK</v>
      </c>
      <c r="M49" s="22"/>
    </row>
    <row r="50" customFormat="false" ht="15" hidden="false" customHeight="false" outlineLevel="0" collapsed="false">
      <c r="A50" s="21"/>
      <c r="B50" s="24"/>
      <c r="C50" s="21"/>
      <c r="D50" s="22"/>
      <c r="E50" s="23"/>
      <c r="F50" s="23"/>
      <c r="G50" s="25" t="n">
        <f aca="false">IFERROR(E50-F50,"")</f>
        <v>0</v>
      </c>
      <c r="H50" s="23"/>
      <c r="I50" s="23"/>
      <c r="J50" s="26" t="n">
        <f aca="false">IFERROR((H50-I50)*1000,"")</f>
        <v>0</v>
      </c>
      <c r="K50" s="21"/>
      <c r="L50" s="27" t="str">
        <f aca="false">IF(J50="","",IF(ABS(J50)&lt;=K50,"OK","OVER"))</f>
        <v>OK</v>
      </c>
      <c r="M50" s="22"/>
    </row>
    <row r="51" customFormat="false" ht="15" hidden="false" customHeight="false" outlineLevel="0" collapsed="false">
      <c r="A51" s="21"/>
      <c r="B51" s="24"/>
      <c r="C51" s="21"/>
      <c r="D51" s="22"/>
      <c r="E51" s="23"/>
      <c r="F51" s="23"/>
      <c r="G51" s="25" t="n">
        <f aca="false">IFERROR(E51-F51,"")</f>
        <v>0</v>
      </c>
      <c r="H51" s="23"/>
      <c r="I51" s="23"/>
      <c r="J51" s="26" t="n">
        <f aca="false">IFERROR((H51-I51)*1000,"")</f>
        <v>0</v>
      </c>
      <c r="K51" s="21"/>
      <c r="L51" s="27" t="str">
        <f aca="false">IF(J51="","",IF(ABS(J51)&lt;=K51,"OK","OVER"))</f>
        <v>OK</v>
      </c>
      <c r="M51" s="22"/>
    </row>
    <row r="52" customFormat="false" ht="15" hidden="false" customHeight="false" outlineLevel="0" collapsed="false">
      <c r="A52" s="21"/>
      <c r="B52" s="24"/>
      <c r="C52" s="21"/>
      <c r="D52" s="22"/>
      <c r="E52" s="23"/>
      <c r="F52" s="23"/>
      <c r="G52" s="25" t="n">
        <f aca="false">IFERROR(E52-F52,"")</f>
        <v>0</v>
      </c>
      <c r="H52" s="23"/>
      <c r="I52" s="23"/>
      <c r="J52" s="26" t="n">
        <f aca="false">IFERROR((H52-I52)*1000,"")</f>
        <v>0</v>
      </c>
      <c r="K52" s="21"/>
      <c r="L52" s="27" t="str">
        <f aca="false">IF(J52="","",IF(ABS(J52)&lt;=K52,"OK","OVER"))</f>
        <v>OK</v>
      </c>
      <c r="M52" s="22"/>
    </row>
    <row r="53" customFormat="false" ht="15" hidden="false" customHeight="false" outlineLevel="0" collapsed="false">
      <c r="A53" s="21"/>
      <c r="B53" s="24"/>
      <c r="C53" s="21"/>
      <c r="D53" s="22"/>
      <c r="E53" s="23"/>
      <c r="F53" s="23"/>
      <c r="G53" s="25" t="n">
        <f aca="false">IFERROR(E53-F53,"")</f>
        <v>0</v>
      </c>
      <c r="H53" s="23"/>
      <c r="I53" s="23"/>
      <c r="J53" s="26" t="n">
        <f aca="false">IFERROR((H53-I53)*1000,"")</f>
        <v>0</v>
      </c>
      <c r="K53" s="21"/>
      <c r="L53" s="27" t="str">
        <f aca="false">IF(J53="","",IF(ABS(J53)&lt;=K53,"OK","OVER"))</f>
        <v>OK</v>
      </c>
      <c r="M53" s="22"/>
    </row>
    <row r="54" customFormat="false" ht="15" hidden="false" customHeight="false" outlineLevel="0" collapsed="false">
      <c r="A54" s="21"/>
      <c r="B54" s="24"/>
      <c r="C54" s="21"/>
      <c r="D54" s="22"/>
      <c r="E54" s="23"/>
      <c r="F54" s="23"/>
      <c r="G54" s="25" t="n">
        <f aca="false">IFERROR(E54-F54,"")</f>
        <v>0</v>
      </c>
      <c r="H54" s="23"/>
      <c r="I54" s="23"/>
      <c r="J54" s="26" t="n">
        <f aca="false">IFERROR((H54-I54)*1000,"")</f>
        <v>0</v>
      </c>
      <c r="K54" s="21"/>
      <c r="L54" s="27" t="str">
        <f aca="false">IF(J54="","",IF(ABS(J54)&lt;=K54,"OK","OVER"))</f>
        <v>OK</v>
      </c>
      <c r="M54" s="22"/>
    </row>
    <row r="55" customFormat="false" ht="15" hidden="false" customHeight="false" outlineLevel="0" collapsed="false">
      <c r="A55" s="21"/>
      <c r="B55" s="24"/>
      <c r="C55" s="21"/>
      <c r="D55" s="22"/>
      <c r="E55" s="23"/>
      <c r="F55" s="23"/>
      <c r="G55" s="25" t="n">
        <f aca="false">IFERROR(E55-F55,"")</f>
        <v>0</v>
      </c>
      <c r="H55" s="23"/>
      <c r="I55" s="23"/>
      <c r="J55" s="26" t="n">
        <f aca="false">IFERROR((H55-I55)*1000,"")</f>
        <v>0</v>
      </c>
      <c r="K55" s="21"/>
      <c r="L55" s="27" t="str">
        <f aca="false">IF(J55="","",IF(ABS(J55)&lt;=K55,"OK","OVER"))</f>
        <v>OK</v>
      </c>
      <c r="M55" s="22"/>
    </row>
  </sheetData>
  <autoFilter ref="A15:M55"/>
  <mergeCells count="2">
    <mergeCell ref="A1:M1"/>
    <mergeCell ref="A14:M14"/>
  </mergeCells>
  <conditionalFormatting sqref="G3:G12">
    <cfRule type="cellIs" priority="2" operator="equal" aboveAverage="0" equalAverage="0" bottom="0" percent="0" rank="0" text="" dxfId="7">
      <formula>"Active"</formula>
    </cfRule>
    <cfRule type="cellIs" priority="3" operator="equal" aboveAverage="0" equalAverage="0" bottom="0" percent="0" rank="0" text="" dxfId="8">
      <formula>"Destroyed"</formula>
    </cfRule>
    <cfRule type="cellIs" priority="4" operator="equal" aboveAverage="0" equalAverage="0" bottom="0" percent="0" rank="0" text="" dxfId="9">
      <formula>"Superseded"</formula>
    </cfRule>
  </conditionalFormatting>
  <conditionalFormatting sqref="L16:L55">
    <cfRule type="cellIs" priority="5" operator="equal" aboveAverage="0" equalAverage="0" bottom="0" percent="0" rank="0" text="" dxfId="7">
      <formula>"OK"</formula>
    </cfRule>
    <cfRule type="cellIs" priority="6" operator="equal" aboveAverage="0" equalAverage="0" bottom="0" percent="0" rank="0" text="" dxfId="8">
      <formula>"OVER"</formula>
    </cfRule>
  </conditionalFormatting>
  <conditionalFormatting sqref="J16:J55">
    <cfRule type="expression" priority="7" aboveAverage="0" equalAverage="0" bottom="0" percent="0" rank="0" text="" dxfId="8">
      <formula>AND(J16&lt;&gt;"",ABS(J16)&gt;K16)</formula>
    </cfRule>
    <cfRule type="expression" priority="8" aboveAverage="0" equalAverage="0" bottom="0" percent="0" rank="0" text="" dxfId="10">
      <formula>AND(J16&lt;&gt;"",ABS(J16)&lt;=K16)</formula>
    </cfRule>
  </conditionalFormatting>
  <dataValidations count="2">
    <dataValidation allowBlank="true" errorStyle="stop" operator="between" showDropDown="false" showErrorMessage="false" showInputMessage="false" sqref="G3:G12" type="list">
      <formula1>"Active,Destroyed,Superseded"</formula1>
      <formula2>0</formula2>
    </dataValidation>
    <dataValidation allowBlank="true" errorStyle="stop" operator="between" showDropDown="false" showErrorMessage="false" showInputMessage="false" sqref="F3:F12" type="list">
      <formula1>"OS Benchmark,GPS Survey,Total Station,Transferred,Other"</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&amp;CBenchmark / Level Transfer Record</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5" hidden="false" customHeight="false" outlineLevel="0" collapsed="false">
      <c r="A1" s="28" t="s">
        <v>88</v>
      </c>
    </row>
    <row r="2" customFormat="false" ht="15" hidden="false" customHeight="false" outlineLevel="0" collapsed="false">
      <c r="A2" s="28"/>
    </row>
    <row r="3" customFormat="false" ht="15" hidden="false" customHeight="false" outlineLevel="0" collapsed="false">
      <c r="A3" s="28" t="s">
        <v>89</v>
      </c>
    </row>
    <row r="4" customFormat="false" ht="15" hidden="false" customHeight="false" outlineLevel="0" collapsed="false">
      <c r="A4" s="28"/>
    </row>
    <row r="5" customFormat="false" ht="15" hidden="false" customHeight="false" outlineLevel="0" collapsed="false">
      <c r="A5" s="28" t="s">
        <v>90</v>
      </c>
    </row>
    <row r="6" customFormat="false" ht="15" hidden="false" customHeight="false" outlineLevel="0" collapsed="false">
      <c r="A6" s="28"/>
    </row>
    <row r="7" customFormat="false" ht="15" hidden="false" customHeight="false" outlineLevel="0" collapsed="false">
      <c r="A7" s="28" t="s">
        <v>91</v>
      </c>
    </row>
    <row r="8" customFormat="false" ht="15" hidden="false" customHeight="false" outlineLevel="0" collapsed="false">
      <c r="A8" s="28"/>
    </row>
    <row r="9" customFormat="false" ht="15" hidden="false" customHeight="false" outlineLevel="0" collapsed="false">
      <c r="A9" s="28" t="s">
        <v>92</v>
      </c>
    </row>
    <row r="10" customFormat="false" ht="15" hidden="false" customHeight="false" outlineLevel="0" collapsed="false">
      <c r="A10" s="28"/>
    </row>
    <row r="11" customFormat="false" ht="15" hidden="false" customHeight="false" outlineLevel="0" collapsed="false">
      <c r="A11" s="28" t="s">
        <v>93</v>
      </c>
    </row>
    <row r="12" customFormat="false" ht="15" hidden="false" customHeight="false" outlineLevel="0" collapsed="false">
      <c r="A12" s="28"/>
    </row>
    <row r="13" customFormat="false" ht="15" hidden="false" customHeight="false" outlineLevel="0" collapsed="false">
      <c r="A13" s="28" t="s">
        <v>94</v>
      </c>
    </row>
    <row r="14" customFormat="false" ht="15" hidden="false" customHeight="false" outlineLevel="0" collapsed="false">
      <c r="A14" s="28"/>
    </row>
    <row r="15" customFormat="false" ht="15" hidden="false" customHeight="false" outlineLevel="0" collapsed="false">
      <c r="A15" s="28" t="s">
        <v>95</v>
      </c>
    </row>
    <row r="16" customFormat="false" ht="15" hidden="false" customHeight="false" outlineLevel="0" collapsed="false">
      <c r="A16" s="28"/>
    </row>
    <row r="17" customFormat="false" ht="15" hidden="false" customHeight="false" outlineLevel="0" collapsed="false">
      <c r="A17" s="28" t="s">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Quality</cp:category>
  <dcterms:created xsi:type="dcterms:W3CDTF">2026-03-23T10:10:11Z</dcterms:created>
  <dc:creator>Ebrora Ltd</dc:creator>
  <dc:description>Record established benchmarks and level transfer runs with automatic closing error calculation and tolerance checking.
Free professional construction management template from Ebrora Ltd. Visit ebrora.com for our full range of tools and templates.</dc:description>
  <cp:keywords>Ebrora construction quality benchmark TBM level transfer survey setting out</cp:keywords>
  <dc:language>en-US</dc:language>
  <cp:lastModifiedBy>Ebrora Ltd</cp:lastModifiedBy>
  <dcterms:modified xsi:type="dcterms:W3CDTF">2026-03-23T10:10:11Z</dcterms:modified>
  <cp:revision>0</cp:revision>
  <dc:subject>Record established benchmarks and level transfer runs with automatic closing error calculation and tolerance checking.</dc:subject>
  <dc:title>Benchmark / Level Transfer Record</dc:title>
</cp:coreProperties>
</file>

<file path=docProps/custom.xml><?xml version="1.0" encoding="utf-8"?>
<Properties xmlns="http://schemas.openxmlformats.org/officeDocument/2006/custom-properties" xmlns:vt="http://schemas.openxmlformats.org/officeDocument/2006/docPropsVTypes"/>
</file>