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ructions" sheetId="2" state="visible" r:id="rId4"/>
    <sheet name="Carbon Calculator" sheetId="3" state="visible" r:id="rId5"/>
    <sheet name="Terms of Use" sheetId="4" state="hidden" r:id="rId6"/>
  </sheets>
  <definedNames>
    <definedName function="false" hidden="false" localSheetId="2" name="_xlnm.Print_Area" vbProcedure="false">'Carbon Calculator'!$A$1:$E$39</definedName>
    <definedName function="false" hidden="false" localSheetId="0" name="_xlnm.Print_Area" vbProcedure="false">Cover!$A$1:$H$20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<sst xmlns="http://schemas.openxmlformats.org/spreadsheetml/2006/main" count="109" uniqueCount="86">
  <si>
    <t xml:space="preserve">EBRORA</t>
  </si>
  <si>
    <t xml:space="preserve">ebrora.com</t>
  </si>
  <si>
    <t xml:space="preserve">Carbon Footprint Calculator</t>
  </si>
  <si>
    <t xml:space="preserve">Calculate project-level carbon emissions by scope using DEFRA/BEIS conversion factors.</t>
  </si>
  <si>
    <t xml:space="preserve">Dashboard summary with Scope 1, 2 and 3 breakdowns for construction projects.</t>
  </si>
  <si>
    <t xml:space="preserve">This is a free template from Ebrora.</t>
  </si>
  <si>
    <t xml:space="preserve">For our full range of professional-grade construction management tools, visit ebrora.com</t>
  </si>
  <si>
    <t xml:space="preserve">© Ebrora 2026 — All rights reserved</t>
  </si>
  <si>
    <t xml:space="preserve">How to Use This Template</t>
  </si>
  <si>
    <t xml:space="preserve">1.</t>
  </si>
  <si>
    <t xml:space="preserve">Open the 'Carbon Calculator' sheet. The top section is a summary dashboard showing total tCO₂e by scope. It updates automatically.</t>
  </si>
  <si>
    <t xml:space="preserve">2.</t>
  </si>
  <si>
    <t xml:space="preserve">Fill in the project details (name, site, reporting period) in the header fields.</t>
  </si>
  <si>
    <t xml:space="preserve">3.</t>
  </si>
  <si>
    <t xml:space="preserve">Each scope section contains an input table. Enter your activity data (e.g. litres of diesel, kWh of electricity, tonnes of material) in the 'Quantity' column.</t>
  </si>
  <si>
    <t xml:space="preserve">4.</t>
  </si>
  <si>
    <t xml:space="preserve">Emission factors are pre-populated from DEFRA/BEIS 2025 guidelines. Adjust them in the 'Factor' column if you have project-specific values.</t>
  </si>
  <si>
    <t xml:space="preserve">5.</t>
  </si>
  <si>
    <t xml:space="preserve">The tCO₂e column calculates automatically: Quantity × Emission Factor. The dashboard totals update in real time.</t>
  </si>
  <si>
    <t xml:space="preserve">6.</t>
  </si>
  <si>
    <t xml:space="preserve">Scope 1 covers direct emissions (fuel, gas). Scope 2 covers electricity. Scope 3 covers embodied carbon in materials and transport.</t>
  </si>
  <si>
    <t xml:space="preserve">7.</t>
  </si>
  <si>
    <t xml:space="preserve">Use the totals to benchmark against PAS 2080 targets or client carbon KPIs.</t>
  </si>
  <si>
    <t xml:space="preserve">Colour Key</t>
  </si>
  <si>
    <t xml:space="preserve">Light teal — user input / editable (Quantity column)</t>
  </si>
  <si>
    <t xml:space="preserve">  </t>
  </si>
  <si>
    <t xml:space="preserve">Dark navy — headers, do not edit</t>
  </si>
  <si>
    <t xml:space="preserve">Light grey — emission factors (editable if needed)</t>
  </si>
  <si>
    <t xml:space="preserve">Teal — calculated totals (auto-formula)</t>
  </si>
  <si>
    <t xml:space="preserve">Tips</t>
  </si>
  <si>
    <t xml:space="preserve">•</t>
  </si>
  <si>
    <t xml:space="preserve">Emission factors change annually — check the latest DEFRA GHG Conversion Factors at gov.uk before final reporting.</t>
  </si>
  <si>
    <t xml:space="preserve">For PAS 2080 compliance, track Scope 3 (materials) as this typically accounts for 60-80% of a construction project's carbon.</t>
  </si>
  <si>
    <t xml:space="preserve">Record data monthly to identify trends and target reductions before project completion.</t>
  </si>
  <si>
    <t xml:space="preserve">Project:</t>
  </si>
  <si>
    <t xml:space="preserve">Example Infrastructure Project</t>
  </si>
  <si>
    <t xml:space="preserve">Reporting Period: Q1 2026</t>
  </si>
  <si>
    <t xml:space="preserve">CARBON SUMMARY DASHBOARD (tCO₂e)</t>
  </si>
  <si>
    <t xml:space="preserve">Scope 1 — Direct</t>
  </si>
  <si>
    <t xml:space="preserve">Scope 2 — Electricity</t>
  </si>
  <si>
    <t xml:space="preserve">Scope 3 — Materials</t>
  </si>
  <si>
    <t xml:space="preserve">TOTAL tCO₂e</t>
  </si>
  <si>
    <t xml:space="preserve">SCOPE 1 — DIRECT EMISSIONS (fuel, gas on site)</t>
  </si>
  <si>
    <t xml:space="preserve">Emission Source</t>
  </si>
  <si>
    <t xml:space="preserve">Unit</t>
  </si>
  <si>
    <t xml:space="preserve">Quantity</t>
  </si>
  <si>
    <t xml:space="preserve">Factor (kgCO₂e)</t>
  </si>
  <si>
    <t xml:space="preserve">tCO₂e</t>
  </si>
  <si>
    <t xml:space="preserve">Diesel (site plant &amp; generators)</t>
  </si>
  <si>
    <t xml:space="preserve">Litres</t>
  </si>
  <si>
    <t xml:space="preserve">Petrol (small tools &amp; vehicles)</t>
  </si>
  <si>
    <t xml:space="preserve">Gas oil (heating)</t>
  </si>
  <si>
    <t xml:space="preserve">LPG (welfare / drying out)</t>
  </si>
  <si>
    <t xml:space="preserve">kg</t>
  </si>
  <si>
    <t xml:space="preserve">Natural gas (if piped)</t>
  </si>
  <si>
    <t xml:space="preserve">kWh</t>
  </si>
  <si>
    <t xml:space="preserve">Site vehicles — diesel</t>
  </si>
  <si>
    <t xml:space="preserve">Refrigerant losses (if applicable)</t>
  </si>
  <si>
    <t xml:space="preserve">SCOPE 1 TOTAL</t>
  </si>
  <si>
    <t xml:space="preserve">SCOPE 2 — PURCHASED ELECTRICITY</t>
  </si>
  <si>
    <t xml:space="preserve">Grid electricity — site offices</t>
  </si>
  <si>
    <t xml:space="preserve">Grid electricity — welfare</t>
  </si>
  <si>
    <t xml:space="preserve">SCOPE 2 TOTAL</t>
  </si>
  <si>
    <t xml:space="preserve">SCOPE 3 — EMBODIED CARBON (materials, transport, waste)</t>
  </si>
  <si>
    <t xml:space="preserve">Concrete (ready-mix)</t>
  </si>
  <si>
    <t xml:space="preserve">m³</t>
  </si>
  <si>
    <t xml:space="preserve">Steel reinforcement</t>
  </si>
  <si>
    <t xml:space="preserve">Tonnes</t>
  </si>
  <si>
    <t xml:space="preserve">Structural steel</t>
  </si>
  <si>
    <t xml:space="preserve">Brickwork / blockwork</t>
  </si>
  <si>
    <t xml:space="preserve">Timber</t>
  </si>
  <si>
    <t xml:space="preserve">Waste to landfill</t>
  </si>
  <si>
    <t xml:space="preserve">HGV deliveries to site</t>
  </si>
  <si>
    <t xml:space="preserve">km</t>
  </si>
  <si>
    <t xml:space="preserve">SCOPE 3 TOTAL</t>
  </si>
  <si>
    <t xml:space="preserve">GRAND TOTAL (tCO₂e)</t>
  </si>
  <si>
    <t xml:space="preserve">Note: Emission factors sourced from DEFRA/BEIS GHG Conversion Factors 2025. Adjust column D for project-specific or updated values.</t>
  </si>
  <si>
    <t xml:space="preserve">EBRORA — TERMS OF USE</t>
  </si>
  <si>
    <t xml:space="preserve">This template is provided free of charge by Ebrora (ebrora.com) for personal and professional use.</t>
  </si>
  <si>
    <t xml:space="preserve">1. LICENCE: You may use this template for your own projects. You may not resell, redistribute, or claim authorship of this template.</t>
  </si>
  <si>
    <t xml:space="preserve">2. NO WARRANTY: This template is provided "as is" without warranty of any kind. Ebrora accepts no liability for errors, omissions, or losses arising from use of this template.</t>
  </si>
  <si>
    <t xml:space="preserve">3. INTELLECTUAL PROPERTY: All design, layout, branding, and content remain the intellectual property of Ebrora.</t>
  </si>
  <si>
    <t xml:space="preserve">4. MODIFICATIONS: You may modify this template for your own use. Modified versions may not be distributed or sold.</t>
  </si>
  <si>
    <t xml:space="preserve">5. ATTRIBUTION: If you share outputs generated using this template, attribution to Ebrora (ebrora.com) is appreciated but not required.</t>
  </si>
  <si>
    <t xml:space="preserve">6. SUPPORT: For queries, feedback, or to report errors, contact support@ebrora.com.</t>
  </si>
  <si>
    <t xml:space="preserve">For our full range of professional construction management tools, visit ebrora.com.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</si>
</sst>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0.0%"/>
    <numFmt numFmtId="167" formatCode="#,##0"/>
    <numFmt numFmtId="168" formatCode="0.000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6"/>
      <color rgb="FFFFFFFF"/>
      <name val="Calibri"/>
      <family val="0"/>
      <charset val="1"/>
    </font>
    <font>
      <sz val="12"/>
      <color rgb="FF2AABB3"/>
      <name val="Calibri"/>
      <family val="0"/>
      <charset val="1"/>
    </font>
    <font>
      <b val="true"/>
      <sz val="28"/>
      <color rgb="FFFFFFFF"/>
      <name val="Calibri"/>
      <family val="0"/>
      <charset val="1"/>
    </font>
    <font>
      <sz val="12"/>
      <color rgb="FFFFFFFF"/>
      <name val="Calibri"/>
      <family val="0"/>
      <charset val="1"/>
    </font>
    <font>
      <sz val="11"/>
      <color rgb="FF1B2A4A"/>
      <name val="Calibri"/>
      <family val="0"/>
      <charset val="1"/>
    </font>
    <font>
      <i val="true"/>
      <sz val="9"/>
      <color rgb="FF8C8C8C"/>
      <name val="Calibri"/>
      <family val="0"/>
      <charset val="1"/>
    </font>
    <font>
      <b val="true"/>
      <sz val="14"/>
      <color rgb="FF1B2A4A"/>
      <name val="Calibri"/>
      <family val="0"/>
      <charset val="1"/>
    </font>
    <font>
      <b val="true"/>
      <sz val="11"/>
      <color rgb="FF1B2A4A"/>
      <name val="Calibri"/>
      <family val="0"/>
      <charset val="1"/>
    </font>
    <font>
      <sz val="10"/>
      <color rgb="FF1B2A4A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b val="true"/>
      <sz val="11"/>
      <color rgb="FF2AABB3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8"/>
      <color rgb="FF2AABB3"/>
      <name val="Calibri"/>
      <family val="0"/>
      <charset val="1"/>
    </font>
    <font>
      <b val="true"/>
      <sz val="20"/>
      <color rgb="FFFFFFFF"/>
      <name val="Calibri"/>
      <family val="0"/>
      <charset val="1"/>
    </font>
    <font>
      <b val="true"/>
      <sz val="10"/>
      <color rgb="FF2AABB3"/>
      <name val="Calibri"/>
      <family val="0"/>
      <charset val="1"/>
    </font>
    <font>
      <b val="true"/>
      <sz val="12"/>
      <color rgb="FF2AABB3"/>
      <name val="Calibri"/>
      <family val="0"/>
      <charset val="1"/>
    </font>
    <font>
      <b val="true"/>
      <sz val="14"/>
      <color rgb="FFFFFFFF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FFF"/>
        <bgColor rgb="FFF2F2F2"/>
      </patternFill>
    </fill>
    <fill>
      <patternFill patternType="solid">
        <fgColor rgb="FFE8F6F7"/>
        <bgColor rgb="FFF2F2F2"/>
      </patternFill>
    </fill>
    <fill>
      <patternFill patternType="solid">
        <fgColor rgb="FFF2F2F2"/>
        <bgColor rgb="FFE8F6F7"/>
      </patternFill>
    </fill>
    <fill>
      <patternFill patternType="solid">
        <fgColor rgb="FF2AABB3"/>
        <bgColor rgb="FF339966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2AABB3"/>
      </left>
      <right style="medium">
        <color rgb="FF2AABB3"/>
      </right>
      <top style="medium">
        <color rgb="FF2AABB3"/>
      </top>
      <bottom style="medium">
        <color rgb="FF2AABB3"/>
      </bottom>
      <diagonal/>
    </border>
    <border diagonalUp="false" diagonalDown="false">
      <left style="thin">
        <color rgb="FF1B2A4A"/>
      </left>
      <right style="thin">
        <color rgb="FF1B2A4A"/>
      </right>
      <top style="thin">
        <color rgb="FF1B2A4A"/>
      </top>
      <bottom style="thin">
        <color rgb="FF1B2A4A"/>
      </bottom>
      <diagonal/>
    </border>
    <border diagonalUp="false" diagonalDown="false">
      <left/>
      <right/>
      <top/>
      <bottom style="thin">
        <color rgb="FFD9D9D9"/>
      </bottom>
      <diagonal/>
    </border>
    <border diagonalUp="false" diagonalDown="false">
      <left/>
      <right/>
      <top style="medium">
        <color rgb="FF2AABB3"/>
      </top>
      <bottom style="medium">
        <color rgb="FF2AABB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4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9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6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2AABB3"/>
      <rgbColor rgb="FF99CC00"/>
      <rgbColor rgb="FFFFCC00"/>
      <rgbColor rgb="FFFF9900"/>
      <rgbColor rgb="FFFF6600"/>
      <rgbColor rgb="FF666699"/>
      <rgbColor rgb="FF8C8C8C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H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4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</row>
    <row r="2" customFormat="false" ht="45.5" hidden="false" customHeight="true" outlineLevel="0" collapsed="false">
      <c r="A2" s="2" t="s">
        <v>0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15" hidden="false" customHeight="true" outlineLevel="0" collapsed="false">
      <c r="A4" s="3" t="s">
        <v>1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</row>
    <row r="6" customFormat="false" ht="15" hidden="false" customHeight="false" outlineLevel="0" collapsed="false">
      <c r="A6" s="1"/>
      <c r="B6" s="1"/>
      <c r="C6" s="1"/>
      <c r="D6" s="1"/>
      <c r="E6" s="1"/>
      <c r="F6" s="1"/>
      <c r="G6" s="1"/>
      <c r="H6" s="1"/>
    </row>
    <row r="7" customFormat="false" ht="35.05" hidden="false" customHeight="true" outlineLevel="0" collapsed="false">
      <c r="A7" s="5" t="s">
        <v>2</v>
      </c>
      <c r="B7" s="5"/>
      <c r="C7" s="5"/>
      <c r="D7" s="5"/>
      <c r="E7" s="5"/>
      <c r="F7" s="5"/>
      <c r="G7" s="5"/>
      <c r="H7" s="5"/>
    </row>
    <row r="8" customFormat="false" ht="15" hidden="false" customHeight="false" outlineLevel="0" collapsed="false">
      <c r="A8" s="1"/>
      <c r="B8" s="1"/>
      <c r="C8" s="1"/>
      <c r="D8" s="1"/>
      <c r="E8" s="1"/>
      <c r="F8" s="1"/>
      <c r="G8" s="1"/>
      <c r="H8" s="1"/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4"/>
      <c r="H9" s="4"/>
    </row>
    <row r="10" customFormat="false" ht="15" hidden="false" customHeight="true" outlineLevel="0" collapsed="false">
      <c r="A10" s="6" t="s">
        <v>3</v>
      </c>
      <c r="B10" s="6"/>
      <c r="C10" s="6"/>
      <c r="D10" s="6"/>
      <c r="E10" s="6"/>
      <c r="F10" s="6"/>
      <c r="G10" s="6"/>
      <c r="H10" s="6"/>
    </row>
    <row r="11" customFormat="false" ht="15" hidden="false" customHeight="true" outlineLevel="0" collapsed="false">
      <c r="A11" s="6" t="s">
        <v>4</v>
      </c>
      <c r="B11" s="6"/>
      <c r="C11" s="6"/>
      <c r="D11" s="6"/>
      <c r="E11" s="6"/>
      <c r="F11" s="6"/>
      <c r="G11" s="6"/>
      <c r="H11" s="6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  <c r="H12" s="4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  <c r="H13" s="4"/>
    </row>
    <row r="14" customFormat="false" ht="15" hidden="false" customHeight="false" outlineLevel="0" collapsed="false">
      <c r="A14" s="7"/>
      <c r="B14" s="7"/>
      <c r="C14" s="7"/>
      <c r="D14" s="7"/>
      <c r="E14" s="7"/>
      <c r="F14" s="7"/>
      <c r="G14" s="7"/>
      <c r="H14" s="7"/>
    </row>
    <row r="15" customFormat="false" ht="15" hidden="false" customHeight="true" outlineLevel="0" collapsed="false">
      <c r="A15" s="8" t="s">
        <v>5</v>
      </c>
      <c r="B15" s="8"/>
      <c r="C15" s="8"/>
      <c r="D15" s="8"/>
      <c r="E15" s="8"/>
      <c r="F15" s="8"/>
      <c r="G15" s="8"/>
      <c r="H15" s="8"/>
    </row>
    <row r="16" customFormat="false" ht="15" hidden="false" customHeight="true" outlineLevel="0" collapsed="false">
      <c r="A16" s="8" t="s">
        <v>6</v>
      </c>
      <c r="B16" s="8"/>
      <c r="C16" s="8"/>
      <c r="D16" s="8"/>
      <c r="E16" s="8"/>
      <c r="F16" s="8"/>
      <c r="G16" s="8"/>
      <c r="H16" s="8"/>
    </row>
    <row r="17" customFormat="false" ht="15" hidden="false" customHeight="false" outlineLevel="0" collapsed="false">
      <c r="A17" s="7"/>
      <c r="B17" s="7"/>
      <c r="C17" s="7"/>
      <c r="D17" s="7"/>
      <c r="E17" s="7"/>
      <c r="F17" s="7"/>
      <c r="G17" s="7"/>
      <c r="H17" s="7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4"/>
      <c r="H18" s="4"/>
    </row>
    <row r="19" customFormat="false" ht="15" hidden="false" customHeight="true" outlineLevel="0" collapsed="false">
      <c r="A19" s="9" t="s">
        <v>7</v>
      </c>
      <c r="B19" s="9"/>
      <c r="C19" s="9"/>
      <c r="D19" s="9"/>
      <c r="E19" s="9"/>
      <c r="F19" s="9"/>
      <c r="G19" s="9"/>
      <c r="H19" s="9"/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4"/>
      <c r="H20" s="4"/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4"/>
      <c r="H21" s="4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4"/>
      <c r="H22" s="4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4"/>
      <c r="H23" s="4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4"/>
      <c r="H24" s="4"/>
    </row>
    <row r="25" customFormat="false" ht="15" hidden="false" customHeight="false" outlineLevel="0" collapsed="false">
      <c r="A25" s="4"/>
      <c r="B25" s="4"/>
      <c r="C25" s="4"/>
      <c r="D25" s="4"/>
      <c r="E25" s="4"/>
      <c r="F25" s="4"/>
      <c r="G25" s="4"/>
      <c r="H25" s="4"/>
    </row>
  </sheetData>
  <mergeCells count="14">
    <mergeCell ref="A1:H1"/>
    <mergeCell ref="A2:H2"/>
    <mergeCell ref="A3:H3"/>
    <mergeCell ref="A4:H4"/>
    <mergeCell ref="A6:H6"/>
    <mergeCell ref="A7:H7"/>
    <mergeCell ref="A8:H8"/>
    <mergeCell ref="A10:H10"/>
    <mergeCell ref="A11:H11"/>
    <mergeCell ref="A14:H14"/>
    <mergeCell ref="A15:H15"/>
    <mergeCell ref="A16:H16"/>
    <mergeCell ref="A17:H17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ABB3"/>
    <pageSetUpPr fitToPage="fals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6" min="2" style="0" width="22"/>
  </cols>
  <sheetData>
    <row r="1" customFormat="false" ht="17.35" hidden="false" customHeight="false" outlineLevel="0" collapsed="false">
      <c r="A1" s="10" t="s">
        <v>8</v>
      </c>
      <c r="B1" s="10"/>
      <c r="C1" s="10"/>
      <c r="D1" s="10"/>
      <c r="E1" s="10"/>
      <c r="F1" s="10"/>
    </row>
    <row r="3" customFormat="false" ht="36" hidden="false" customHeight="true" outlineLevel="0" collapsed="false">
      <c r="A3" s="11" t="s">
        <v>9</v>
      </c>
      <c r="B3" s="12" t="s">
        <v>10</v>
      </c>
      <c r="C3" s="12"/>
      <c r="D3" s="12"/>
      <c r="E3" s="12"/>
      <c r="F3" s="12"/>
    </row>
    <row r="4" customFormat="false" ht="36" hidden="false" customHeight="true" outlineLevel="0" collapsed="false">
      <c r="A4" s="11" t="s">
        <v>11</v>
      </c>
      <c r="B4" s="12" t="s">
        <v>12</v>
      </c>
      <c r="C4" s="12"/>
      <c r="D4" s="12"/>
      <c r="E4" s="12"/>
      <c r="F4" s="12"/>
    </row>
    <row r="5" customFormat="false" ht="36" hidden="false" customHeight="true" outlineLevel="0" collapsed="false">
      <c r="A5" s="11" t="s">
        <v>13</v>
      </c>
      <c r="B5" s="12" t="s">
        <v>14</v>
      </c>
      <c r="C5" s="12"/>
      <c r="D5" s="12"/>
      <c r="E5" s="12"/>
      <c r="F5" s="12"/>
    </row>
    <row r="6" customFormat="false" ht="36" hidden="false" customHeight="true" outlineLevel="0" collapsed="false">
      <c r="A6" s="11" t="s">
        <v>15</v>
      </c>
      <c r="B6" s="12" t="s">
        <v>16</v>
      </c>
      <c r="C6" s="12"/>
      <c r="D6" s="12"/>
      <c r="E6" s="12"/>
      <c r="F6" s="12"/>
    </row>
    <row r="7" customFormat="false" ht="36" hidden="false" customHeight="true" outlineLevel="0" collapsed="false">
      <c r="A7" s="11" t="s">
        <v>17</v>
      </c>
      <c r="B7" s="12" t="s">
        <v>18</v>
      </c>
      <c r="C7" s="12"/>
      <c r="D7" s="12"/>
      <c r="E7" s="12"/>
      <c r="F7" s="12"/>
    </row>
    <row r="8" customFormat="false" ht="36" hidden="false" customHeight="true" outlineLevel="0" collapsed="false">
      <c r="A8" s="11" t="s">
        <v>19</v>
      </c>
      <c r="B8" s="12" t="s">
        <v>20</v>
      </c>
      <c r="C8" s="12"/>
      <c r="D8" s="12"/>
      <c r="E8" s="12"/>
      <c r="F8" s="12"/>
    </row>
    <row r="9" customFormat="false" ht="36" hidden="false" customHeight="true" outlineLevel="0" collapsed="false">
      <c r="A9" s="11" t="s">
        <v>21</v>
      </c>
      <c r="B9" s="12" t="s">
        <v>22</v>
      </c>
      <c r="C9" s="12"/>
      <c r="D9" s="12"/>
      <c r="E9" s="12"/>
      <c r="F9" s="12"/>
    </row>
    <row r="11" customFormat="false" ht="15" hidden="false" customHeight="false" outlineLevel="0" collapsed="false">
      <c r="A11" s="13" t="s">
        <v>23</v>
      </c>
      <c r="B11" s="13"/>
      <c r="C11" s="13"/>
      <c r="D11" s="13"/>
      <c r="E11" s="13"/>
      <c r="F11" s="13"/>
    </row>
    <row r="12" customFormat="false" ht="15" hidden="false" customHeight="false" outlineLevel="0" collapsed="false">
      <c r="A12" s="14"/>
      <c r="B12" s="15" t="s">
        <v>24</v>
      </c>
      <c r="C12" s="15"/>
      <c r="D12" s="15"/>
      <c r="E12" s="15"/>
      <c r="F12" s="15"/>
    </row>
    <row r="13" customFormat="false" ht="15" hidden="false" customHeight="false" outlineLevel="0" collapsed="false">
      <c r="A13" s="16" t="s">
        <v>25</v>
      </c>
      <c r="B13" s="15" t="s">
        <v>26</v>
      </c>
      <c r="C13" s="15"/>
      <c r="D13" s="15"/>
      <c r="E13" s="15"/>
      <c r="F13" s="15"/>
    </row>
    <row r="14" customFormat="false" ht="15" hidden="false" customHeight="false" outlineLevel="0" collapsed="false">
      <c r="A14" s="17"/>
      <c r="B14" s="15" t="s">
        <v>27</v>
      </c>
      <c r="C14" s="15"/>
      <c r="D14" s="15"/>
      <c r="E14" s="15"/>
      <c r="F14" s="15"/>
    </row>
    <row r="15" customFormat="false" ht="15" hidden="false" customHeight="false" outlineLevel="0" collapsed="false">
      <c r="A15" s="18" t="s">
        <v>25</v>
      </c>
      <c r="B15" s="15" t="s">
        <v>28</v>
      </c>
      <c r="C15" s="15"/>
      <c r="D15" s="15"/>
      <c r="E15" s="15"/>
      <c r="F15" s="15"/>
    </row>
    <row r="17" customFormat="false" ht="15" hidden="false" customHeight="false" outlineLevel="0" collapsed="false">
      <c r="A17" s="13" t="s">
        <v>29</v>
      </c>
      <c r="B17" s="13"/>
      <c r="C17" s="13"/>
      <c r="D17" s="13"/>
      <c r="E17" s="13"/>
      <c r="F17" s="13"/>
    </row>
    <row r="18" customFormat="false" ht="30" hidden="false" customHeight="true" outlineLevel="0" collapsed="false">
      <c r="A18" s="19" t="s">
        <v>30</v>
      </c>
      <c r="B18" s="12" t="s">
        <v>31</v>
      </c>
      <c r="C18" s="12"/>
      <c r="D18" s="12"/>
      <c r="E18" s="12"/>
      <c r="F18" s="12"/>
    </row>
    <row r="19" customFormat="false" ht="30" hidden="false" customHeight="true" outlineLevel="0" collapsed="false">
      <c r="A19" s="19" t="s">
        <v>30</v>
      </c>
      <c r="B19" s="12" t="s">
        <v>32</v>
      </c>
      <c r="C19" s="12"/>
      <c r="D19" s="12"/>
      <c r="E19" s="12"/>
      <c r="F19" s="12"/>
    </row>
    <row r="20" customFormat="false" ht="30" hidden="false" customHeight="true" outlineLevel="0" collapsed="false">
      <c r="A20" s="19" t="s">
        <v>30</v>
      </c>
      <c r="B20" s="12" t="s">
        <v>33</v>
      </c>
      <c r="C20" s="12"/>
      <c r="D20" s="12"/>
      <c r="E20" s="12"/>
      <c r="F20" s="12"/>
    </row>
  </sheetData>
  <mergeCells count="17">
    <mergeCell ref="A1:F1"/>
    <mergeCell ref="B3:F3"/>
    <mergeCell ref="B4:F4"/>
    <mergeCell ref="B5:F5"/>
    <mergeCell ref="B6:F6"/>
    <mergeCell ref="B7:F7"/>
    <mergeCell ref="B8:F8"/>
    <mergeCell ref="B9:F9"/>
    <mergeCell ref="A11:F11"/>
    <mergeCell ref="B12:F12"/>
    <mergeCell ref="B13:F13"/>
    <mergeCell ref="B14:F14"/>
    <mergeCell ref="B15:F15"/>
    <mergeCell ref="A17:F17"/>
    <mergeCell ref="B18:F18"/>
    <mergeCell ref="B19:F19"/>
    <mergeCell ref="B20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5" min="4" style="0" width="16"/>
    <col collapsed="false" customWidth="true" hidden="false" outlineLevel="0" max="6" min="6" style="0" width="5"/>
    <col collapsed="false" customWidth="true" hidden="false" outlineLevel="0" max="7" min="7" style="0" width="22"/>
    <col collapsed="false" customWidth="true" hidden="false" outlineLevel="0" max="8" min="8" style="0" width="16"/>
  </cols>
  <sheetData>
    <row r="1" customFormat="false" ht="15" hidden="false" customHeight="true" outlineLevel="0" collapsed="false">
      <c r="A1" s="13" t="s">
        <v>34</v>
      </c>
      <c r="B1" s="13"/>
      <c r="C1" s="20" t="s">
        <v>35</v>
      </c>
      <c r="D1" s="20"/>
      <c r="E1" s="20"/>
      <c r="G1" s="20" t="s">
        <v>36</v>
      </c>
      <c r="H1" s="20"/>
    </row>
    <row r="2" customFormat="false" ht="6" hidden="false" customHeight="true" outlineLevel="0" collapsed="false"/>
    <row r="3" customFormat="false" ht="30" hidden="false" customHeight="true" outlineLevel="0" collapsed="false">
      <c r="A3" s="21" t="s">
        <v>37</v>
      </c>
      <c r="B3" s="21"/>
      <c r="C3" s="21"/>
      <c r="D3" s="21"/>
      <c r="E3" s="21"/>
      <c r="F3" s="21"/>
      <c r="G3" s="21"/>
      <c r="H3" s="21"/>
    </row>
    <row r="4" customFormat="false" ht="15" hidden="false" customHeight="true" outlineLevel="0" collapsed="false">
      <c r="A4" s="22" t="s">
        <v>38</v>
      </c>
      <c r="B4" s="22"/>
      <c r="C4" s="22" t="s">
        <v>39</v>
      </c>
      <c r="D4" s="22"/>
      <c r="E4" s="22" t="s">
        <v>40</v>
      </c>
      <c r="F4" s="22"/>
      <c r="G4" s="23" t="s">
        <v>41</v>
      </c>
      <c r="H4" s="23"/>
    </row>
    <row r="5" customFormat="false" ht="26.1" hidden="false" customHeight="false" outlineLevel="0" collapsed="false">
      <c r="A5" s="24" t="n">
        <f aca="false">E18</f>
        <v>53.899488</v>
      </c>
      <c r="B5" s="24"/>
      <c r="C5" s="24" t="n">
        <f aca="false">E24</f>
        <v>2.42658</v>
      </c>
      <c r="D5" s="24"/>
      <c r="E5" s="24" t="n">
        <f aca="false">E35</f>
        <v>441.3297</v>
      </c>
      <c r="F5" s="24"/>
      <c r="G5" s="25" t="n">
        <f aca="false">A5+C5+E5</f>
        <v>497.655768</v>
      </c>
      <c r="H5" s="25"/>
    </row>
    <row r="7" customFormat="false" ht="15" hidden="false" customHeight="false" outlineLevel="0" collapsed="false">
      <c r="A7" s="26" t="n">
        <f aca="false">IF(G5&gt;0,A5/G5,0)</f>
        <v>0.108306768384527</v>
      </c>
      <c r="B7" s="26"/>
      <c r="C7" s="26" t="n">
        <f aca="false">IF(G5&gt;0,C5/G5,0)</f>
        <v>0.00487602104915219</v>
      </c>
      <c r="D7" s="26"/>
      <c r="E7" s="26" t="n">
        <f aca="false">IF(G5&gt;0,E5/G5,0)</f>
        <v>0.886817210566321</v>
      </c>
      <c r="F7" s="26"/>
    </row>
    <row r="8" customFormat="false" ht="6" hidden="false" customHeight="true" outlineLevel="0" collapsed="false"/>
    <row r="9" customFormat="false" ht="25.5" hidden="false" customHeight="true" outlineLevel="0" collapsed="false">
      <c r="A9" s="23" t="s">
        <v>42</v>
      </c>
      <c r="B9" s="23"/>
      <c r="C9" s="23"/>
      <c r="D9" s="23"/>
      <c r="E9" s="23"/>
    </row>
    <row r="10" customFormat="false" ht="15" hidden="false" customHeight="false" outlineLevel="0" collapsed="false">
      <c r="A10" s="27" t="s">
        <v>43</v>
      </c>
      <c r="B10" s="27" t="s">
        <v>44</v>
      </c>
      <c r="C10" s="27" t="s">
        <v>45</v>
      </c>
      <c r="D10" s="27" t="s">
        <v>46</v>
      </c>
      <c r="E10" s="27" t="s">
        <v>47</v>
      </c>
    </row>
    <row r="11" customFormat="false" ht="15" hidden="false" customHeight="false" outlineLevel="0" collapsed="false">
      <c r="A11" s="28" t="s">
        <v>48</v>
      </c>
      <c r="B11" s="29" t="s">
        <v>49</v>
      </c>
      <c r="C11" s="30" t="n">
        <v>12500</v>
      </c>
      <c r="D11" s="31" t="n">
        <v>2.5121</v>
      </c>
      <c r="E11" s="32" t="n">
        <f aca="false">C11*D11/1000</f>
        <v>31.40125</v>
      </c>
    </row>
    <row r="12" customFormat="false" ht="15" hidden="false" customHeight="false" outlineLevel="0" collapsed="false">
      <c r="A12" s="28" t="s">
        <v>50</v>
      </c>
      <c r="B12" s="29" t="s">
        <v>49</v>
      </c>
      <c r="C12" s="30" t="n">
        <v>850</v>
      </c>
      <c r="D12" s="31" t="n">
        <v>2.1622</v>
      </c>
      <c r="E12" s="32" t="n">
        <f aca="false">C12*D12/1000</f>
        <v>1.83787</v>
      </c>
    </row>
    <row r="13" customFormat="false" ht="15" hidden="false" customHeight="false" outlineLevel="0" collapsed="false">
      <c r="A13" s="28" t="s">
        <v>51</v>
      </c>
      <c r="B13" s="29" t="s">
        <v>49</v>
      </c>
      <c r="C13" s="30" t="n">
        <v>3200</v>
      </c>
      <c r="D13" s="31" t="n">
        <v>2.7584</v>
      </c>
      <c r="E13" s="32" t="n">
        <f aca="false">C13*D13/1000</f>
        <v>8.82688</v>
      </c>
    </row>
    <row r="14" customFormat="false" ht="15" hidden="false" customHeight="false" outlineLevel="0" collapsed="false">
      <c r="A14" s="28" t="s">
        <v>52</v>
      </c>
      <c r="B14" s="29" t="s">
        <v>53</v>
      </c>
      <c r="C14" s="30" t="n">
        <v>180</v>
      </c>
      <c r="D14" s="31" t="n">
        <v>2.9391</v>
      </c>
      <c r="E14" s="32" t="n">
        <f aca="false">C14*D14/1000</f>
        <v>0.529038</v>
      </c>
    </row>
    <row r="15" customFormat="false" ht="15" hidden="false" customHeight="false" outlineLevel="0" collapsed="false">
      <c r="A15" s="28" t="s">
        <v>54</v>
      </c>
      <c r="B15" s="29" t="s">
        <v>55</v>
      </c>
      <c r="C15" s="30" t="n">
        <v>0</v>
      </c>
      <c r="D15" s="31" t="n">
        <v>0.1827</v>
      </c>
      <c r="E15" s="32" t="n">
        <f aca="false">C15*D15/1000</f>
        <v>0</v>
      </c>
    </row>
    <row r="16" customFormat="false" ht="15" hidden="false" customHeight="false" outlineLevel="0" collapsed="false">
      <c r="A16" s="28" t="s">
        <v>56</v>
      </c>
      <c r="B16" s="29" t="s">
        <v>49</v>
      </c>
      <c r="C16" s="30" t="n">
        <v>4500</v>
      </c>
      <c r="D16" s="31" t="n">
        <v>2.5121</v>
      </c>
      <c r="E16" s="32" t="n">
        <f aca="false">C16*D16/1000</f>
        <v>11.30445</v>
      </c>
    </row>
    <row r="17" customFormat="false" ht="15" hidden="false" customHeight="false" outlineLevel="0" collapsed="false">
      <c r="A17" s="28" t="s">
        <v>57</v>
      </c>
      <c r="B17" s="29" t="s">
        <v>53</v>
      </c>
      <c r="C17" s="30" t="n">
        <v>0</v>
      </c>
      <c r="D17" s="31" t="n">
        <v>1810</v>
      </c>
      <c r="E17" s="32" t="n">
        <f aca="false">C17*D17/1000</f>
        <v>0</v>
      </c>
    </row>
    <row r="18" customFormat="false" ht="15" hidden="false" customHeight="true" outlineLevel="0" collapsed="false">
      <c r="A18" s="33" t="s">
        <v>58</v>
      </c>
      <c r="B18" s="33"/>
      <c r="C18" s="33"/>
      <c r="D18" s="33"/>
      <c r="E18" s="34" t="n">
        <f aca="false">SUM(E11:E17)</f>
        <v>53.899488</v>
      </c>
    </row>
    <row r="19" customFormat="false" ht="6" hidden="false" customHeight="true" outlineLevel="0" collapsed="false"/>
    <row r="20" customFormat="false" ht="25.5" hidden="false" customHeight="true" outlineLevel="0" collapsed="false">
      <c r="A20" s="23" t="s">
        <v>59</v>
      </c>
      <c r="B20" s="23"/>
      <c r="C20" s="23"/>
      <c r="D20" s="23"/>
      <c r="E20" s="23"/>
    </row>
    <row r="21" customFormat="false" ht="15" hidden="false" customHeight="false" outlineLevel="0" collapsed="false">
      <c r="A21" s="27" t="s">
        <v>43</v>
      </c>
      <c r="B21" s="27" t="s">
        <v>44</v>
      </c>
      <c r="C21" s="27" t="s">
        <v>45</v>
      </c>
      <c r="D21" s="27" t="s">
        <v>46</v>
      </c>
      <c r="E21" s="27" t="s">
        <v>47</v>
      </c>
    </row>
    <row r="22" customFormat="false" ht="15" hidden="false" customHeight="false" outlineLevel="0" collapsed="false">
      <c r="A22" s="28" t="s">
        <v>60</v>
      </c>
      <c r="B22" s="29" t="s">
        <v>55</v>
      </c>
      <c r="C22" s="30" t="n">
        <v>8500</v>
      </c>
      <c r="D22" s="31" t="n">
        <v>0.2074</v>
      </c>
      <c r="E22" s="32" t="n">
        <f aca="false">C22*D22/1000</f>
        <v>1.7629</v>
      </c>
    </row>
    <row r="23" customFormat="false" ht="15" hidden="false" customHeight="false" outlineLevel="0" collapsed="false">
      <c r="A23" s="28" t="s">
        <v>61</v>
      </c>
      <c r="B23" s="29" t="s">
        <v>55</v>
      </c>
      <c r="C23" s="30" t="n">
        <v>3200</v>
      </c>
      <c r="D23" s="31" t="n">
        <v>0.2074</v>
      </c>
      <c r="E23" s="32" t="n">
        <f aca="false">C23*D23/1000</f>
        <v>0.66368</v>
      </c>
    </row>
    <row r="24" customFormat="false" ht="15" hidden="false" customHeight="true" outlineLevel="0" collapsed="false">
      <c r="A24" s="33" t="s">
        <v>62</v>
      </c>
      <c r="B24" s="33"/>
      <c r="C24" s="33"/>
      <c r="D24" s="33"/>
      <c r="E24" s="34" t="n">
        <f aca="false">SUM(E22:E23)</f>
        <v>2.42658</v>
      </c>
    </row>
    <row r="25" customFormat="false" ht="6" hidden="false" customHeight="true" outlineLevel="0" collapsed="false"/>
    <row r="26" customFormat="false" ht="25.5" hidden="false" customHeight="true" outlineLevel="0" collapsed="false">
      <c r="A26" s="23" t="s">
        <v>63</v>
      </c>
      <c r="B26" s="23"/>
      <c r="C26" s="23"/>
      <c r="D26" s="23"/>
      <c r="E26" s="23"/>
    </row>
    <row r="27" customFormat="false" ht="15" hidden="false" customHeight="false" outlineLevel="0" collapsed="false">
      <c r="A27" s="27" t="s">
        <v>43</v>
      </c>
      <c r="B27" s="27" t="s">
        <v>44</v>
      </c>
      <c r="C27" s="27" t="s">
        <v>45</v>
      </c>
      <c r="D27" s="27" t="s">
        <v>46</v>
      </c>
      <c r="E27" s="27" t="s">
        <v>47</v>
      </c>
    </row>
    <row r="28" customFormat="false" ht="15" hidden="false" customHeight="false" outlineLevel="0" collapsed="false">
      <c r="A28" s="28" t="s">
        <v>64</v>
      </c>
      <c r="B28" s="29" t="s">
        <v>65</v>
      </c>
      <c r="C28" s="30" t="n">
        <v>450</v>
      </c>
      <c r="D28" s="31" t="n">
        <v>242</v>
      </c>
      <c r="E28" s="32" t="n">
        <f aca="false">C28*D28/1000</f>
        <v>108.9</v>
      </c>
    </row>
    <row r="29" customFormat="false" ht="15" hidden="false" customHeight="false" outlineLevel="0" collapsed="false">
      <c r="A29" s="28" t="s">
        <v>66</v>
      </c>
      <c r="B29" s="29" t="s">
        <v>67</v>
      </c>
      <c r="C29" s="30" t="n">
        <v>85</v>
      </c>
      <c r="D29" s="31" t="n">
        <v>1460</v>
      </c>
      <c r="E29" s="32" t="n">
        <f aca="false">C29*D29/1000</f>
        <v>124.1</v>
      </c>
    </row>
    <row r="30" customFormat="false" ht="15" hidden="false" customHeight="false" outlineLevel="0" collapsed="false">
      <c r="A30" s="28" t="s">
        <v>68</v>
      </c>
      <c r="B30" s="29" t="s">
        <v>67</v>
      </c>
      <c r="C30" s="30" t="n">
        <v>120</v>
      </c>
      <c r="D30" s="31" t="n">
        <v>1550</v>
      </c>
      <c r="E30" s="32" t="n">
        <f aca="false">C30*D30/1000</f>
        <v>186</v>
      </c>
    </row>
    <row r="31" customFormat="false" ht="15" hidden="false" customHeight="false" outlineLevel="0" collapsed="false">
      <c r="A31" s="28" t="s">
        <v>69</v>
      </c>
      <c r="B31" s="29" t="s">
        <v>67</v>
      </c>
      <c r="C31" s="30" t="n">
        <v>60</v>
      </c>
      <c r="D31" s="31" t="n">
        <v>64</v>
      </c>
      <c r="E31" s="32" t="n">
        <f aca="false">C31*D31/1000</f>
        <v>3.84</v>
      </c>
    </row>
    <row r="32" customFormat="false" ht="15" hidden="false" customHeight="false" outlineLevel="0" collapsed="false">
      <c r="A32" s="28" t="s">
        <v>70</v>
      </c>
      <c r="B32" s="29" t="s">
        <v>65</v>
      </c>
      <c r="C32" s="30" t="n">
        <v>25</v>
      </c>
      <c r="D32" s="31" t="n">
        <v>46</v>
      </c>
      <c r="E32" s="32" t="n">
        <f aca="false">C32*D32/1000</f>
        <v>1.15</v>
      </c>
    </row>
    <row r="33" customFormat="false" ht="15" hidden="false" customHeight="false" outlineLevel="0" collapsed="false">
      <c r="A33" s="28" t="s">
        <v>71</v>
      </c>
      <c r="B33" s="29" t="s">
        <v>67</v>
      </c>
      <c r="C33" s="30" t="n">
        <v>35</v>
      </c>
      <c r="D33" s="31" t="n">
        <v>21.3</v>
      </c>
      <c r="E33" s="32" t="n">
        <f aca="false">C33*D33/1000</f>
        <v>0.7455</v>
      </c>
    </row>
    <row r="34" customFormat="false" ht="15" hidden="false" customHeight="false" outlineLevel="0" collapsed="false">
      <c r="A34" s="28" t="s">
        <v>72</v>
      </c>
      <c r="B34" s="29" t="s">
        <v>73</v>
      </c>
      <c r="C34" s="30" t="n">
        <v>18000</v>
      </c>
      <c r="D34" s="31" t="n">
        <v>0.9219</v>
      </c>
      <c r="E34" s="32" t="n">
        <f aca="false">C34*D34/1000</f>
        <v>16.5942</v>
      </c>
    </row>
    <row r="35" customFormat="false" ht="15" hidden="false" customHeight="true" outlineLevel="0" collapsed="false">
      <c r="A35" s="33" t="s">
        <v>74</v>
      </c>
      <c r="B35" s="33"/>
      <c r="C35" s="33"/>
      <c r="D35" s="33"/>
      <c r="E35" s="34" t="n">
        <f aca="false">SUM(E28:E34)</f>
        <v>441.3297</v>
      </c>
    </row>
    <row r="37" customFormat="false" ht="30" hidden="false" customHeight="true" outlineLevel="0" collapsed="false">
      <c r="A37" s="35" t="s">
        <v>75</v>
      </c>
      <c r="B37" s="35"/>
      <c r="C37" s="35"/>
      <c r="D37" s="35"/>
      <c r="E37" s="36" t="n">
        <f aca="false">E18+E24+E35</f>
        <v>497.655768</v>
      </c>
    </row>
    <row r="39" customFormat="false" ht="15" hidden="false" customHeight="true" outlineLevel="0" collapsed="false">
      <c r="A39" s="37" t="s">
        <v>76</v>
      </c>
      <c r="B39" s="37"/>
      <c r="C39" s="37"/>
      <c r="D39" s="37"/>
      <c r="E39" s="37"/>
    </row>
  </sheetData>
  <mergeCells count="23">
    <mergeCell ref="A1:B1"/>
    <mergeCell ref="C1:E1"/>
    <mergeCell ref="G1:H1"/>
    <mergeCell ref="A3:H3"/>
    <mergeCell ref="A4:B4"/>
    <mergeCell ref="C4:D4"/>
    <mergeCell ref="E4:F4"/>
    <mergeCell ref="G4:H4"/>
    <mergeCell ref="A5:B5"/>
    <mergeCell ref="C5:D5"/>
    <mergeCell ref="E5:F5"/>
    <mergeCell ref="G5:H5"/>
    <mergeCell ref="A7:B7"/>
    <mergeCell ref="C7:D7"/>
    <mergeCell ref="E7:F7"/>
    <mergeCell ref="A9:E9"/>
    <mergeCell ref="A18:D18"/>
    <mergeCell ref="A20:E20"/>
    <mergeCell ref="A24:D24"/>
    <mergeCell ref="A26:E26"/>
    <mergeCell ref="A35:D35"/>
    <mergeCell ref="A37:D37"/>
    <mergeCell ref="A39:E39"/>
  </mergeCell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&amp;CCarbon Footprint Calculator</oddHeader>
    <oddFooter>&amp;Rebrora.com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</cols>
  <sheetData>
    <row r="1" customFormat="false" ht="15" hidden="false" customHeight="false" outlineLevel="0" collapsed="false">
      <c r="A1" s="19" t="s">
        <v>77</v>
      </c>
    </row>
    <row r="2" customFormat="false" ht="15" hidden="false" customHeight="false" outlineLevel="0" collapsed="false">
      <c r="A2" s="19"/>
    </row>
    <row r="3" customFormat="false" ht="15" hidden="false" customHeight="false" outlineLevel="0" collapsed="false">
      <c r="A3" s="19" t="s">
        <v>78</v>
      </c>
    </row>
    <row r="4" customFormat="false" ht="15" hidden="false" customHeight="false" outlineLevel="0" collapsed="false">
      <c r="A4" s="19"/>
    </row>
    <row r="5" customFormat="false" ht="15" hidden="false" customHeight="false" outlineLevel="0" collapsed="false">
      <c r="A5" s="19" t="s">
        <v>79</v>
      </c>
    </row>
    <row r="6" customFormat="false" ht="15" hidden="false" customHeight="false" outlineLevel="0" collapsed="false">
      <c r="A6" s="19"/>
    </row>
    <row r="7" customFormat="false" ht="15" hidden="false" customHeight="false" outlineLevel="0" collapsed="false">
      <c r="A7" s="19" t="s">
        <v>80</v>
      </c>
    </row>
    <row r="8" customFormat="false" ht="15" hidden="false" customHeight="false" outlineLevel="0" collapsed="false">
      <c r="A8" s="19"/>
    </row>
    <row r="9" customFormat="false" ht="15" hidden="false" customHeight="false" outlineLevel="0" collapsed="false">
      <c r="A9" s="19" t="s">
        <v>81</v>
      </c>
    </row>
    <row r="10" customFormat="false" ht="15" hidden="false" customHeight="false" outlineLevel="0" collapsed="false">
      <c r="A10" s="19"/>
    </row>
    <row r="11" customFormat="false" ht="15" hidden="false" customHeight="false" outlineLevel="0" collapsed="false">
      <c r="A11" s="19" t="s">
        <v>82</v>
      </c>
    </row>
    <row r="12" customFormat="false" ht="15" hidden="false" customHeight="false" outlineLevel="0" collapsed="false">
      <c r="A12" s="19"/>
    </row>
    <row r="13" customFormat="false" ht="15" hidden="false" customHeight="false" outlineLevel="0" collapsed="false">
      <c r="A13" s="19" t="s">
        <v>83</v>
      </c>
    </row>
    <row r="14" customFormat="false" ht="15" hidden="false" customHeight="false" outlineLevel="0" collapsed="false">
      <c r="A14" s="19"/>
    </row>
    <row r="15" customFormat="false" ht="15" hidden="false" customHeight="false" outlineLevel="0" collapsed="false">
      <c r="A15" s="19" t="s">
        <v>84</v>
      </c>
    </row>
    <row r="16" customFormat="false" ht="15" hidden="false" customHeight="false" outlineLevel="0" collapsed="false">
      <c r="A16" s="19"/>
    </row>
    <row r="17" customFormat="false" ht="15" hidden="false" customHeight="false" outlineLevel="0" collapsed="false">
      <c r="A17" s="19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Environmental</cp:category>
  <dcterms:created xsi:type="dcterms:W3CDTF">2026-03-23T06:12:39Z</dcterms:created>
  <dc:creator>Ebrora Ltd</dc:creator>
  <dc:description>Calculate project-level carbon emissions across Scope 1, 2 and 3 using DEFRA/BEIS conversion factors for UK construction projects.
Free professional construction management template from Ebrora Ltd. Visit ebrora.com for our full range of tools and templates.</dc:description>
  <cp:keywords>Ebrora construction carbon footprint tCO2e PAS 2080 Scope 1 Scope 2 Scope 3 DEFRA environmental</cp:keywords>
  <dc:language>en-US</dc:language>
  <cp:lastModifiedBy>Ebrora Ltd</cp:lastModifiedBy>
  <dcterms:modified xsi:type="dcterms:W3CDTF">2026-03-23T06:12:39Z</dcterms:modified>
  <cp:revision>0</cp:revision>
  <dc:subject>Calculate project-level carbon emissions (tCO₂e) across Scope 1, 2 and 3 using DEFRA/BEIS conversion factors.</dc:subject>
  <dc:title>Carbon Footprint Calculator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