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NCR Log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'NCR Log'!$A$1:$N$59</definedName>
    <definedName function="false" hidden="true" localSheetId="2" name="_xlnm._FilterDatabase" vbProcedure="false">'NCR Log'!$A$9:$N$509</definedName>
    <definedName function="false" hidden="false" name="NCRLog" vbProcedure="false">'NCR Log'!$A$9:$N$509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<sst xmlns="http://schemas.openxmlformats.org/spreadsheetml/2006/main" count="121" uniqueCount="101">
  <si>
    <t xml:space="preserve">EBRORA</t>
  </si>
  <si>
    <t xml:space="preserve">ebrora.com</t>
  </si>
  <si>
    <t xml:space="preserve">Non-Conformance Report Log</t>
  </si>
  <si>
    <t xml:space="preserve">Log, track and close out non-conformance reports with root cause analysis.</t>
  </si>
  <si>
    <t xml:space="preserve">Dashboard showing NCR status, severity breakdown, and average close-out time.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</si>
  <si>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</si>
  <si>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</si>
  <si>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</si>
  <si>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</si>
  <si>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1.</t>
  </si>
  <si>
    <t xml:space="preserve">Open the 'NCR Log' sheet. The dashboard shows open/closed NCRs, severity breakdown, and average days to close.</t>
  </si>
  <si>
    <t xml:space="preserve">2.</t>
  </si>
  <si>
    <t xml:space="preserve">Raise an NCR for any work that doesn't meet the specification, drawing, or quality standard. Assign a unique reference.</t>
  </si>
  <si>
    <t xml:space="preserve">3.</t>
  </si>
  <si>
    <t xml:space="preserve">Enter the date raised, description of the non-conformance, location, severity (Critical/Major/Minor), and the discipline/trade responsible.</t>
  </si>
  <si>
    <t xml:space="preserve">4.</t>
  </si>
  <si>
    <t xml:space="preserve">Select the root cause category from the dropdown: Workmanship, Material, Design, Supervision, Method, or Other.</t>
  </si>
  <si>
    <t xml:space="preserve">5.</t>
  </si>
  <si>
    <t xml:space="preserve">Record the corrective action required and assign it to a responsible person with a target close-out date.</t>
  </si>
  <si>
    <t xml:space="preserve">6.</t>
  </si>
  <si>
    <t xml:space="preserve">When the corrective action is verified, enter the close-out date. Days Open auto-calculates. The status updates to Closed.</t>
  </si>
  <si>
    <t xml:space="preserve">7.</t>
  </si>
  <si>
    <t xml:space="preserve">Review open NCRs weekly at the quality meeting. Any NCR open &gt;14 days should be escalated.</t>
  </si>
  <si>
    <t xml:space="preserve">Colour Key</t>
  </si>
  <si>
    <t xml:space="preserve">Light teal — user input</t>
  </si>
  <si>
    <t xml:space="preserve">  </t>
  </si>
  <si>
    <t xml:space="preserve">Dark navy — headers</t>
  </si>
  <si>
    <t xml:space="preserve">Green — Closed / Minor severity</t>
  </si>
  <si>
    <t xml:space="preserve">Amber — Major severity / corrective action in progress</t>
  </si>
  <si>
    <t xml:space="preserve">Red — Critical severity / overdue / open</t>
  </si>
  <si>
    <t xml:space="preserve">Tips</t>
  </si>
  <si>
    <t xml:space="preserve">•</t>
  </si>
  <si>
    <t xml:space="preserve">Photograph every NCR — visual evidence is essential for root cause analysis and for demonstrating corrective action.</t>
  </si>
  <si>
    <t xml:space="preserve">Track root cause categories over time. If 'Workmanship' dominates, your briefing or supervision needs improving.</t>
  </si>
  <si>
    <t xml:space="preserve">Close NCRs with verified evidence, not just a verbal confirmation. Re-inspect and document.</t>
  </si>
  <si>
    <t xml:space="preserve">NON-CONFORMANCE REPORT LOG</t>
  </si>
  <si>
    <t xml:space="preserve">NCR Status</t>
  </si>
  <si>
    <t xml:space="preserve">Severity Breakdown</t>
  </si>
  <si>
    <t xml:space="preserve">Metrics</t>
  </si>
  <si>
    <t xml:space="preserve">Open</t>
  </si>
  <si>
    <t xml:space="preserve">Critical</t>
  </si>
  <si>
    <t xml:space="preserve">Total NCRs:</t>
  </si>
  <si>
    <t xml:space="preserve">Corrective Action</t>
  </si>
  <si>
    <t xml:space="preserve">Major</t>
  </si>
  <si>
    <t xml:space="preserve">Close-Out Rate:</t>
  </si>
  <si>
    <t xml:space="preserve">Closed</t>
  </si>
  <si>
    <t xml:space="preserve">Minor</t>
  </si>
  <si>
    <t xml:space="preserve">Avg Days to Close:</t>
  </si>
  <si>
    <t xml:space="preserve">NCR REGISTER</t>
  </si>
  <si>
    <t xml:space="preserve">NCR Ref</t>
  </si>
  <si>
    <t xml:space="preserve">Date Raised</t>
  </si>
  <si>
    <t xml:space="preserve">Description</t>
  </si>
  <si>
    <t xml:space="preserve">Location</t>
  </si>
  <si>
    <t xml:space="preserve">Discipline</t>
  </si>
  <si>
    <t xml:space="preserve">Severity</t>
  </si>
  <si>
    <t xml:space="preserve">Root Cause</t>
  </si>
  <si>
    <t xml:space="preserve">Status</t>
  </si>
  <si>
    <t xml:space="preserve">Days Open</t>
  </si>
  <si>
    <t xml:space="preserve">Raised By</t>
  </si>
  <si>
    <t xml:space="preserve">Target Date</t>
  </si>
  <si>
    <t xml:space="preserve">Close-Out Date</t>
  </si>
  <si>
    <t xml:space="preserve">Verified By</t>
  </si>
  <si>
    <t xml:space="preserve">NCR-001</t>
  </si>
  <si>
    <t xml:space="preserve">Foundation rebar cover insufficient — measured 35mm against 50mm minimum spec.</t>
  </si>
  <si>
    <t xml:space="preserve">Grid A3-A5, Foundation F04</t>
  </si>
  <si>
    <t xml:space="preserve">Structural</t>
  </si>
  <si>
    <t xml:space="preserve">Workmanship</t>
  </si>
  <si>
    <t xml:space="preserve">Strip and re-fix rebar with correct spacers. Re-inspect before pour.</t>
  </si>
  <si>
    <t xml:space="preserve">M. Khan</t>
  </si>
  <si>
    <t xml:space="preserve">T. Henderson</t>
  </si>
  <si>
    <t xml:space="preserve">NCR-002</t>
  </si>
  <si>
    <t xml:space="preserve">Concrete cube test results at 7 days below 70% of characteristic strength.</t>
  </si>
  <si>
    <t xml:space="preserve">Phase 1, Pour P-012</t>
  </si>
  <si>
    <t xml:space="preserve">Material Defect</t>
  </si>
  <si>
    <t xml:space="preserve">Commission independent core testing. If confirmed, structural review required.</t>
  </si>
  <si>
    <t xml:space="preserve">NCR-003</t>
  </si>
  <si>
    <t xml:space="preserve">Drainage pipe laid at incorrect gradient — 1:120 vs specified 1:80.</t>
  </si>
  <si>
    <t xml:space="preserve">Foul drain run FD-04, MH3 to MH4</t>
  </si>
  <si>
    <t xml:space="preserve">Civil</t>
  </si>
  <si>
    <t xml:space="preserve">Supervision</t>
  </si>
  <si>
    <t xml:space="preserve">Lift and re-lay to correct fall. Re-survey before backfill.</t>
  </si>
  <si>
    <t xml:space="preserve">J. Williams</t>
  </si>
  <si>
    <t xml:space="preserve">NCR-004</t>
  </si>
  <si>
    <t xml:space="preserve">Blockwork mortar joint thickness inconsistent — 15-20mm vs 10mm spec.</t>
  </si>
  <si>
    <t xml:space="preserve">Building 2, Level 1, Elevation B</t>
  </si>
  <si>
    <t xml:space="preserve">Architectural</t>
  </si>
  <si>
    <t xml:space="preserve">Rake out and repoint affected area. Brief bricklaying gang on joint spec.</t>
  </si>
  <si>
    <t xml:space="preserve">NCR-005</t>
  </si>
  <si>
    <t xml:space="preserve">Fire stopping missing at service penetrations through fire-rated wall.</t>
  </si>
  <si>
    <t xml:space="preserve">Building 1, Riser R3, Level 2</t>
  </si>
  <si>
    <t xml:space="preserve">M&amp;E</t>
  </si>
  <si>
    <t xml:space="preserve">Install approved fire stop system per detail FS-101. Third-party inspection required.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</si>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</sst>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%"/>
    <numFmt numFmtId="167" formatCode="0"/>
    <numFmt numFmtId="168" formatCode="dd/mm/yy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4"/>
      <color rgb="FF2AABB3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B2A4A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8F6F7"/>
        <bgColor rgb="FFF2F2F2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FF2AABB3"/>
        <bgColor rgb="FF339966"/>
      </patternFill>
    </fill>
    <fill>
      <patternFill patternType="solid">
        <fgColor rgb="FFF2F2F2"/>
        <bgColor rgb="FFE8F6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B2A4A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6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45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</row>
    <row r="7" customFormat="false" ht="35.05" hidden="false" customHeight="true" outlineLevel="0" collapsed="false">
      <c r="A7" s="5" t="s">
        <v>2</v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6" t="s">
        <v>3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6" t="s">
        <v>4</v>
      </c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8" t="s">
        <v>5</v>
      </c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8" t="s">
        <v>6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9" t="s">
        <v>7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10" t="s">
        <v>8</v>
      </c>
      <c r="B1" s="10"/>
      <c r="C1" s="10"/>
      <c r="D1" s="10"/>
      <c r="E1" s="10"/>
      <c r="F1" s="10"/>
    </row>
    <row r="3" customFormat="false" ht="36" hidden="false" customHeight="true" outlineLevel="0" collapsed="false">
      <c r="A3" s="11" t="s">
        <v>9</v>
      </c>
      <c r="B3" s="12" t="s">
        <v>10</v>
      </c>
      <c r="C3" s="12"/>
      <c r="D3" s="12"/>
      <c r="E3" s="12"/>
      <c r="F3" s="12"/>
    </row>
    <row r="4" customFormat="false" ht="36" hidden="false" customHeight="true" outlineLevel="0" collapsed="false">
      <c r="A4" s="11" t="s">
        <v>11</v>
      </c>
      <c r="B4" s="12" t="s">
        <v>12</v>
      </c>
      <c r="C4" s="12"/>
      <c r="D4" s="12"/>
      <c r="E4" s="12"/>
      <c r="F4" s="12"/>
    </row>
    <row r="5" customFormat="false" ht="36" hidden="false" customHeight="true" outlineLevel="0" collapsed="false">
      <c r="A5" s="11" t="s">
        <v>13</v>
      </c>
      <c r="B5" s="12" t="s">
        <v>14</v>
      </c>
      <c r="C5" s="12"/>
      <c r="D5" s="12"/>
      <c r="E5" s="12"/>
      <c r="F5" s="12"/>
    </row>
    <row r="6" customFormat="false" ht="36" hidden="false" customHeight="true" outlineLevel="0" collapsed="false">
      <c r="A6" s="11" t="s">
        <v>15</v>
      </c>
      <c r="B6" s="12" t="s">
        <v>16</v>
      </c>
      <c r="C6" s="12"/>
      <c r="D6" s="12"/>
      <c r="E6" s="12"/>
      <c r="F6" s="12"/>
    </row>
    <row r="7" customFormat="false" ht="36" hidden="false" customHeight="true" outlineLevel="0" collapsed="false">
      <c r="A7" s="11" t="s">
        <v>17</v>
      </c>
      <c r="B7" s="12" t="s">
        <v>18</v>
      </c>
      <c r="C7" s="12"/>
      <c r="D7" s="12"/>
      <c r="E7" s="12"/>
      <c r="F7" s="12"/>
    </row>
    <row r="8" customFormat="false" ht="36" hidden="false" customHeight="true" outlineLevel="0" collapsed="false">
      <c r="A8" s="11" t="s">
        <v>19</v>
      </c>
      <c r="B8" s="12" t="s">
        <v>20</v>
      </c>
      <c r="C8" s="12"/>
      <c r="D8" s="12"/>
      <c r="E8" s="12"/>
      <c r="F8" s="12"/>
    </row>
    <row r="9" customFormat="false" ht="36" hidden="false" customHeight="true" outlineLevel="0" collapsed="false">
      <c r="A9" s="11" t="s">
        <v>21</v>
      </c>
      <c r="B9" s="12" t="s">
        <v>22</v>
      </c>
      <c r="C9" s="12"/>
      <c r="D9" s="12"/>
      <c r="E9" s="12"/>
      <c r="F9" s="12"/>
    </row>
    <row r="11" customFormat="false" ht="15" hidden="false" customHeight="false" outlineLevel="0" collapsed="false">
      <c r="A11" s="13" t="s">
        <v>23</v>
      </c>
      <c r="B11" s="13"/>
      <c r="C11" s="13"/>
      <c r="D11" s="13"/>
      <c r="E11" s="13"/>
      <c r="F11" s="13"/>
    </row>
    <row r="12" customFormat="false" ht="15" hidden="false" customHeight="false" outlineLevel="0" collapsed="false">
      <c r="A12" s="14"/>
      <c r="B12" s="15" t="s">
        <v>24</v>
      </c>
      <c r="C12" s="15"/>
      <c r="D12" s="15"/>
      <c r="E12" s="15"/>
      <c r="F12" s="15"/>
    </row>
    <row r="13" customFormat="false" ht="15" hidden="false" customHeight="false" outlineLevel="0" collapsed="false">
      <c r="A13" s="16" t="s">
        <v>25</v>
      </c>
      <c r="B13" s="15" t="s">
        <v>26</v>
      </c>
      <c r="C13" s="15"/>
      <c r="D13" s="15"/>
      <c r="E13" s="15"/>
      <c r="F13" s="15"/>
    </row>
    <row r="14" customFormat="false" ht="15" hidden="false" customHeight="false" outlineLevel="0" collapsed="false">
      <c r="A14" s="17"/>
      <c r="B14" s="15" t="s">
        <v>27</v>
      </c>
      <c r="C14" s="15"/>
      <c r="D14" s="15"/>
      <c r="E14" s="15"/>
      <c r="F14" s="15"/>
    </row>
    <row r="15" customFormat="false" ht="15" hidden="false" customHeight="false" outlineLevel="0" collapsed="false">
      <c r="A15" s="18"/>
      <c r="B15" s="15" t="s">
        <v>28</v>
      </c>
      <c r="C15" s="15"/>
      <c r="D15" s="15"/>
      <c r="E15" s="15"/>
      <c r="F15" s="15"/>
    </row>
    <row r="16" customFormat="false" ht="15" hidden="false" customHeight="false" outlineLevel="0" collapsed="false">
      <c r="A16" s="19"/>
      <c r="B16" s="15" t="s">
        <v>29</v>
      </c>
      <c r="C16" s="15"/>
      <c r="D16" s="15"/>
      <c r="E16" s="15"/>
      <c r="F16" s="15"/>
    </row>
    <row r="18" customFormat="false" ht="15" hidden="false" customHeight="false" outlineLevel="0" collapsed="false">
      <c r="A18" s="13" t="s">
        <v>30</v>
      </c>
      <c r="B18" s="13"/>
      <c r="C18" s="13"/>
      <c r="D18" s="13"/>
      <c r="E18" s="13"/>
      <c r="F18" s="13"/>
    </row>
    <row r="19" customFormat="false" ht="30" hidden="false" customHeight="true" outlineLevel="0" collapsed="false">
      <c r="A19" s="20" t="s">
        <v>31</v>
      </c>
      <c r="B19" s="12" t="s">
        <v>32</v>
      </c>
      <c r="C19" s="12"/>
      <c r="D19" s="12"/>
      <c r="E19" s="12"/>
      <c r="F19" s="12"/>
    </row>
    <row r="20" customFormat="false" ht="30" hidden="false" customHeight="true" outlineLevel="0" collapsed="false">
      <c r="A20" s="20" t="s">
        <v>31</v>
      </c>
      <c r="B20" s="12" t="s">
        <v>33</v>
      </c>
      <c r="C20" s="12"/>
      <c r="D20" s="12"/>
      <c r="E20" s="12"/>
      <c r="F20" s="12"/>
    </row>
    <row r="21" customFormat="false" ht="30" hidden="false" customHeight="true" outlineLevel="0" collapsed="false">
      <c r="A21" s="20" t="s">
        <v>31</v>
      </c>
      <c r="B21" s="12" t="s">
        <v>34</v>
      </c>
      <c r="C21" s="12"/>
      <c r="D21" s="12"/>
      <c r="E21" s="12"/>
      <c r="F21" s="12"/>
    </row>
  </sheetData>
  <mergeCells count="18">
    <mergeCell ref="A1:F1"/>
    <mergeCell ref="B3:F3"/>
    <mergeCell ref="B4:F4"/>
    <mergeCell ref="B5:F5"/>
    <mergeCell ref="B6:F6"/>
    <mergeCell ref="B7:F7"/>
    <mergeCell ref="B8:F8"/>
    <mergeCell ref="B9:F9"/>
    <mergeCell ref="A11:F11"/>
    <mergeCell ref="B12:F12"/>
    <mergeCell ref="B13:F13"/>
    <mergeCell ref="B14:F14"/>
    <mergeCell ref="B15:F15"/>
    <mergeCell ref="B16:F16"/>
    <mergeCell ref="A18:F18"/>
    <mergeCell ref="B19:F19"/>
    <mergeCell ref="B20:F20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32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true" outlineLevel="1" max="14" min="11" style="0" width="14"/>
  </cols>
  <sheetData>
    <row r="1" customFormat="false" ht="30" hidden="false" customHeight="true" outlineLevel="0" collapsed="false">
      <c r="A1" s="21" t="s">
        <v>35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customFormat="false" ht="15" hidden="false" customHeight="true" outlineLevel="0" collapsed="false">
      <c r="A2" s="22" t="s">
        <v>36</v>
      </c>
      <c r="B2" s="22"/>
      <c r="C2" s="22"/>
      <c r="D2" s="22"/>
      <c r="F2" s="22" t="s">
        <v>37</v>
      </c>
      <c r="G2" s="22"/>
      <c r="H2" s="22"/>
      <c r="I2" s="22"/>
      <c r="K2" s="22" t="s">
        <v>38</v>
      </c>
      <c r="L2" s="22"/>
      <c r="M2" s="22"/>
      <c r="N2" s="22"/>
    </row>
    <row r="3" customFormat="false" ht="18.65" hidden="false" customHeight="false" outlineLevel="0" collapsed="false">
      <c r="A3" s="23" t="s">
        <v>39</v>
      </c>
      <c r="B3" s="23"/>
      <c r="C3" s="23"/>
      <c r="D3" s="24" t="n">
        <f aca="false">COUNTIF(I10:I509,A3)</f>
        <v>1</v>
      </c>
      <c r="F3" s="23" t="s">
        <v>40</v>
      </c>
      <c r="G3" s="23"/>
      <c r="H3" s="23"/>
      <c r="I3" s="24" t="n">
        <f aca="false">COUNTIF(F10:F509,F3)</f>
        <v>2</v>
      </c>
      <c r="K3" s="20" t="s">
        <v>41</v>
      </c>
      <c r="L3" s="25" t="n">
        <f aca="false">COUNTA(A10:A509)</f>
        <v>5</v>
      </c>
    </row>
    <row r="4" customFormat="false" ht="18.65" hidden="false" customHeight="false" outlineLevel="0" collapsed="false">
      <c r="A4" s="26" t="s">
        <v>42</v>
      </c>
      <c r="B4" s="26"/>
      <c r="C4" s="26"/>
      <c r="D4" s="24" t="n">
        <f aca="false">COUNTIF(I10:I509,A4)</f>
        <v>2</v>
      </c>
      <c r="F4" s="26" t="s">
        <v>43</v>
      </c>
      <c r="G4" s="26"/>
      <c r="H4" s="26"/>
      <c r="I4" s="24" t="n">
        <f aca="false">COUNTIF(F10:F509,F4)</f>
        <v>2</v>
      </c>
      <c r="K4" s="20" t="s">
        <v>44</v>
      </c>
      <c r="L4" s="27" t="n">
        <f aca="false">IF(L3&gt;0,COUNTIF(I10:I509,"Closed")/L3,0)</f>
        <v>0.4</v>
      </c>
    </row>
    <row r="5" customFormat="false" ht="18.65" hidden="false" customHeight="false" outlineLevel="0" collapsed="false">
      <c r="A5" s="28" t="s">
        <v>45</v>
      </c>
      <c r="B5" s="28"/>
      <c r="C5" s="28"/>
      <c r="D5" s="24" t="n">
        <f aca="false">COUNTIF(I10:I509,A5)</f>
        <v>2</v>
      </c>
      <c r="F5" s="28" t="s">
        <v>46</v>
      </c>
      <c r="G5" s="28"/>
      <c r="H5" s="28"/>
      <c r="I5" s="24" t="n">
        <f aca="false">COUNTIF(F10:F509,F5)</f>
        <v>1</v>
      </c>
      <c r="K5" s="20" t="s">
        <v>47</v>
      </c>
      <c r="L5" s="29" t="n">
        <f aca="false">IFERROR(AVERAGEIF(J10:J509,"&lt;&gt;""",J10:J509),"—")</f>
        <v>14.2</v>
      </c>
    </row>
    <row r="7" customFormat="false" ht="6" hidden="false" customHeight="true" outlineLevel="0" collapsed="false"/>
    <row r="8" customFormat="false" ht="25.5" hidden="false" customHeight="true" outlineLevel="0" collapsed="false">
      <c r="A8" s="30" t="s">
        <v>48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</row>
    <row r="9" customFormat="false" ht="28.35" hidden="false" customHeight="false" outlineLevel="0" collapsed="false">
      <c r="A9" s="31" t="s">
        <v>49</v>
      </c>
      <c r="B9" s="31" t="s">
        <v>50</v>
      </c>
      <c r="C9" s="31" t="s">
        <v>51</v>
      </c>
      <c r="D9" s="31" t="s">
        <v>52</v>
      </c>
      <c r="E9" s="31" t="s">
        <v>53</v>
      </c>
      <c r="F9" s="31" t="s">
        <v>54</v>
      </c>
      <c r="G9" s="31" t="s">
        <v>55</v>
      </c>
      <c r="H9" s="31" t="s">
        <v>42</v>
      </c>
      <c r="I9" s="31" t="s">
        <v>56</v>
      </c>
      <c r="J9" s="31" t="s">
        <v>57</v>
      </c>
      <c r="K9" s="31" t="s">
        <v>58</v>
      </c>
      <c r="L9" s="31" t="s">
        <v>59</v>
      </c>
      <c r="M9" s="31" t="s">
        <v>60</v>
      </c>
      <c r="N9" s="31" t="s">
        <v>61</v>
      </c>
    </row>
    <row r="10" customFormat="false" ht="49.5" hidden="false" customHeight="true" outlineLevel="0" collapsed="false">
      <c r="A10" s="32" t="s">
        <v>62</v>
      </c>
      <c r="B10" s="33" t="n">
        <v>46063</v>
      </c>
      <c r="C10" s="34" t="s">
        <v>63</v>
      </c>
      <c r="D10" s="32" t="s">
        <v>64</v>
      </c>
      <c r="E10" s="32" t="s">
        <v>65</v>
      </c>
      <c r="F10" s="32" t="s">
        <v>43</v>
      </c>
      <c r="G10" s="32" t="s">
        <v>66</v>
      </c>
      <c r="H10" s="34" t="s">
        <v>67</v>
      </c>
      <c r="I10" s="32" t="s">
        <v>45</v>
      </c>
      <c r="J10" s="35" t="n">
        <f aca="true">IF(B10="","",IF(I10="Closed",IF(M10&lt;&gt;"",M10-B10,"Closed"),TODAY()-B10))</f>
        <v>3</v>
      </c>
      <c r="K10" s="32" t="s">
        <v>68</v>
      </c>
      <c r="L10" s="33" t="n">
        <v>46067</v>
      </c>
      <c r="M10" s="33" t="n">
        <v>46066</v>
      </c>
      <c r="N10" s="32" t="s">
        <v>69</v>
      </c>
    </row>
    <row r="11" customFormat="false" ht="49.5" hidden="false" customHeight="true" outlineLevel="0" collapsed="false">
      <c r="A11" s="36" t="s">
        <v>70</v>
      </c>
      <c r="B11" s="37" t="n">
        <v>46071</v>
      </c>
      <c r="C11" s="38" t="s">
        <v>71</v>
      </c>
      <c r="D11" s="36" t="s">
        <v>72</v>
      </c>
      <c r="E11" s="36" t="s">
        <v>65</v>
      </c>
      <c r="F11" s="36" t="s">
        <v>40</v>
      </c>
      <c r="G11" s="36" t="s">
        <v>73</v>
      </c>
      <c r="H11" s="38" t="s">
        <v>74</v>
      </c>
      <c r="I11" s="36" t="s">
        <v>42</v>
      </c>
      <c r="J11" s="35" t="n">
        <f aca="true">IF(B11="","",IF(I11="Closed",IF(M11&lt;&gt;"",M11-B11,"Closed"),TODAY()-B11))</f>
        <v>33</v>
      </c>
      <c r="K11" s="36" t="s">
        <v>69</v>
      </c>
      <c r="L11" s="37" t="n">
        <v>46078</v>
      </c>
      <c r="M11" s="37"/>
      <c r="N11" s="36"/>
    </row>
    <row r="12" customFormat="false" ht="49.5" hidden="false" customHeight="true" outlineLevel="0" collapsed="false">
      <c r="A12" s="32" t="s">
        <v>75</v>
      </c>
      <c r="B12" s="33" t="n">
        <v>46078</v>
      </c>
      <c r="C12" s="34" t="s">
        <v>76</v>
      </c>
      <c r="D12" s="32" t="s">
        <v>77</v>
      </c>
      <c r="E12" s="32" t="s">
        <v>78</v>
      </c>
      <c r="F12" s="32" t="s">
        <v>43</v>
      </c>
      <c r="G12" s="32" t="s">
        <v>79</v>
      </c>
      <c r="H12" s="34" t="s">
        <v>80</v>
      </c>
      <c r="I12" s="32" t="s">
        <v>45</v>
      </c>
      <c r="J12" s="35" t="n">
        <f aca="true">IF(B12="","",IF(I12="Closed",IF(M12&lt;&gt;"",M12-B12,"Closed"),TODAY()-B12))</f>
        <v>6</v>
      </c>
      <c r="K12" s="32" t="s">
        <v>81</v>
      </c>
      <c r="L12" s="33" t="n">
        <v>46085</v>
      </c>
      <c r="M12" s="33" t="n">
        <v>46084</v>
      </c>
      <c r="N12" s="32" t="s">
        <v>69</v>
      </c>
    </row>
    <row r="13" customFormat="false" ht="49.5" hidden="false" customHeight="true" outlineLevel="0" collapsed="false">
      <c r="A13" s="36" t="s">
        <v>82</v>
      </c>
      <c r="B13" s="37" t="n">
        <v>46086</v>
      </c>
      <c r="C13" s="38" t="s">
        <v>83</v>
      </c>
      <c r="D13" s="36" t="s">
        <v>84</v>
      </c>
      <c r="E13" s="36" t="s">
        <v>85</v>
      </c>
      <c r="F13" s="36" t="s">
        <v>46</v>
      </c>
      <c r="G13" s="36" t="s">
        <v>66</v>
      </c>
      <c r="H13" s="38" t="s">
        <v>86</v>
      </c>
      <c r="I13" s="36" t="s">
        <v>42</v>
      </c>
      <c r="J13" s="35" t="n">
        <f aca="true">IF(B13="","",IF(I13="Closed",IF(M13&lt;&gt;"",M13-B13,"Closed"),TODAY()-B13))</f>
        <v>18</v>
      </c>
      <c r="K13" s="36" t="s">
        <v>68</v>
      </c>
      <c r="L13" s="37" t="n">
        <v>46093</v>
      </c>
      <c r="M13" s="37"/>
      <c r="N13" s="36"/>
    </row>
    <row r="14" customFormat="false" ht="49.5" hidden="false" customHeight="true" outlineLevel="0" collapsed="false">
      <c r="A14" s="32" t="s">
        <v>87</v>
      </c>
      <c r="B14" s="33" t="n">
        <v>46093</v>
      </c>
      <c r="C14" s="34" t="s">
        <v>88</v>
      </c>
      <c r="D14" s="32" t="s">
        <v>89</v>
      </c>
      <c r="E14" s="32" t="s">
        <v>90</v>
      </c>
      <c r="F14" s="32" t="s">
        <v>40</v>
      </c>
      <c r="G14" s="32" t="s">
        <v>79</v>
      </c>
      <c r="H14" s="34" t="s">
        <v>91</v>
      </c>
      <c r="I14" s="32" t="s">
        <v>39</v>
      </c>
      <c r="J14" s="35" t="n">
        <f aca="true">IF(B14="","",IF(I14="Closed",IF(M14&lt;&gt;"",M14-B14,"Closed"),TODAY()-B14))</f>
        <v>11</v>
      </c>
      <c r="K14" s="32" t="s">
        <v>69</v>
      </c>
      <c r="L14" s="33" t="n">
        <v>46100</v>
      </c>
      <c r="M14" s="33"/>
      <c r="N14" s="32"/>
    </row>
    <row r="15" customFormat="false" ht="15" hidden="false" customHeight="false" outlineLevel="0" collapsed="false">
      <c r="A15" s="36"/>
      <c r="B15" s="37"/>
      <c r="C15" s="38"/>
      <c r="D15" s="36"/>
      <c r="E15" s="36"/>
      <c r="F15" s="36"/>
      <c r="G15" s="36"/>
      <c r="H15" s="38"/>
      <c r="I15" s="36"/>
      <c r="J15" s="35" t="str">
        <f aca="true">IF(B15="","",IF(I15="Closed",IF(M15&lt;&gt;"",M15-B15,"Closed"),TODAY()-B15))</f>
        <v/>
      </c>
      <c r="K15" s="36"/>
      <c r="L15" s="37"/>
      <c r="M15" s="37"/>
      <c r="N15" s="36"/>
    </row>
    <row r="16" customFormat="false" ht="15" hidden="false" customHeight="false" outlineLevel="0" collapsed="false">
      <c r="A16" s="32"/>
      <c r="B16" s="33"/>
      <c r="C16" s="34"/>
      <c r="D16" s="32"/>
      <c r="E16" s="32"/>
      <c r="F16" s="32"/>
      <c r="G16" s="32"/>
      <c r="H16" s="34"/>
      <c r="I16" s="32"/>
      <c r="J16" s="35" t="str">
        <f aca="true">IF(B16="","",IF(I16="Closed",IF(M16&lt;&gt;"",M16-B16,"Closed"),TODAY()-B16))</f>
        <v/>
      </c>
      <c r="K16" s="32"/>
      <c r="L16" s="33"/>
      <c r="M16" s="33"/>
      <c r="N16" s="32"/>
    </row>
    <row r="17" customFormat="false" ht="15" hidden="false" customHeight="false" outlineLevel="0" collapsed="false">
      <c r="A17" s="36"/>
      <c r="B17" s="37"/>
      <c r="C17" s="38"/>
      <c r="D17" s="36"/>
      <c r="E17" s="36"/>
      <c r="F17" s="36"/>
      <c r="G17" s="36"/>
      <c r="H17" s="38"/>
      <c r="I17" s="36"/>
      <c r="J17" s="35" t="str">
        <f aca="true">IF(B17="","",IF(I17="Closed",IF(M17&lt;&gt;"",M17-B17,"Closed"),TODAY()-B17))</f>
        <v/>
      </c>
      <c r="K17" s="36"/>
      <c r="L17" s="37"/>
      <c r="M17" s="37"/>
      <c r="N17" s="36"/>
    </row>
    <row r="18" customFormat="false" ht="15" hidden="false" customHeight="false" outlineLevel="0" collapsed="false">
      <c r="A18" s="32"/>
      <c r="B18" s="33"/>
      <c r="C18" s="34"/>
      <c r="D18" s="32"/>
      <c r="E18" s="32"/>
      <c r="F18" s="32"/>
      <c r="G18" s="32"/>
      <c r="H18" s="34"/>
      <c r="I18" s="32"/>
      <c r="J18" s="35" t="str">
        <f aca="true">IF(B18="","",IF(I18="Closed",IF(M18&lt;&gt;"",M18-B18,"Closed"),TODAY()-B18))</f>
        <v/>
      </c>
      <c r="K18" s="32"/>
      <c r="L18" s="33"/>
      <c r="M18" s="33"/>
      <c r="N18" s="32"/>
    </row>
    <row r="19" customFormat="false" ht="15" hidden="false" customHeight="false" outlineLevel="0" collapsed="false">
      <c r="A19" s="36"/>
      <c r="B19" s="37"/>
      <c r="C19" s="38"/>
      <c r="D19" s="36"/>
      <c r="E19" s="36"/>
      <c r="F19" s="36"/>
      <c r="G19" s="36"/>
      <c r="H19" s="38"/>
      <c r="I19" s="36"/>
      <c r="J19" s="35" t="str">
        <f aca="true">IF(B19="","",IF(I19="Closed",IF(M19&lt;&gt;"",M19-B19,"Closed"),TODAY()-B19))</f>
        <v/>
      </c>
      <c r="K19" s="36"/>
      <c r="L19" s="37"/>
      <c r="M19" s="37"/>
      <c r="N19" s="36"/>
    </row>
    <row r="20" customFormat="false" ht="15" hidden="false" customHeight="false" outlineLevel="0" collapsed="false">
      <c r="A20" s="32"/>
      <c r="B20" s="33"/>
      <c r="C20" s="34"/>
      <c r="D20" s="32"/>
      <c r="E20" s="32"/>
      <c r="F20" s="32"/>
      <c r="G20" s="32"/>
      <c r="H20" s="34"/>
      <c r="I20" s="32"/>
      <c r="J20" s="35" t="str">
        <f aca="true">IF(B20="","",IF(I20="Closed",IF(M20&lt;&gt;"",M20-B20,"Closed"),TODAY()-B20))</f>
        <v/>
      </c>
      <c r="K20" s="32"/>
      <c r="L20" s="33"/>
      <c r="M20" s="33"/>
      <c r="N20" s="32"/>
    </row>
    <row r="21" customFormat="false" ht="15" hidden="false" customHeight="false" outlineLevel="0" collapsed="false">
      <c r="A21" s="36"/>
      <c r="B21" s="37"/>
      <c r="C21" s="38"/>
      <c r="D21" s="36"/>
      <c r="E21" s="36"/>
      <c r="F21" s="36"/>
      <c r="G21" s="36"/>
      <c r="H21" s="38"/>
      <c r="I21" s="36"/>
      <c r="J21" s="35" t="str">
        <f aca="true">IF(B21="","",IF(I21="Closed",IF(M21&lt;&gt;"",M21-B21,"Closed"),TODAY()-B21))</f>
        <v/>
      </c>
      <c r="K21" s="36"/>
      <c r="L21" s="37"/>
      <c r="M21" s="37"/>
      <c r="N21" s="36"/>
    </row>
    <row r="22" customFormat="false" ht="15" hidden="false" customHeight="false" outlineLevel="0" collapsed="false">
      <c r="A22" s="32"/>
      <c r="B22" s="33"/>
      <c r="C22" s="34"/>
      <c r="D22" s="32"/>
      <c r="E22" s="32"/>
      <c r="F22" s="32"/>
      <c r="G22" s="32"/>
      <c r="H22" s="34"/>
      <c r="I22" s="32"/>
      <c r="J22" s="35" t="str">
        <f aca="true">IF(B22="","",IF(I22="Closed",IF(M22&lt;&gt;"",M22-B22,"Closed"),TODAY()-B22))</f>
        <v/>
      </c>
      <c r="K22" s="32"/>
      <c r="L22" s="33"/>
      <c r="M22" s="33"/>
      <c r="N22" s="32"/>
    </row>
    <row r="23" customFormat="false" ht="15" hidden="false" customHeight="false" outlineLevel="0" collapsed="false">
      <c r="A23" s="36"/>
      <c r="B23" s="37"/>
      <c r="C23" s="38"/>
      <c r="D23" s="36"/>
      <c r="E23" s="36"/>
      <c r="F23" s="36"/>
      <c r="G23" s="36"/>
      <c r="H23" s="38"/>
      <c r="I23" s="36"/>
      <c r="J23" s="35" t="str">
        <f aca="true">IF(B23="","",IF(I23="Closed",IF(M23&lt;&gt;"",M23-B23,"Closed"),TODAY()-B23))</f>
        <v/>
      </c>
      <c r="K23" s="36"/>
      <c r="L23" s="37"/>
      <c r="M23" s="37"/>
      <c r="N23" s="36"/>
    </row>
    <row r="24" customFormat="false" ht="15" hidden="false" customHeight="false" outlineLevel="0" collapsed="false">
      <c r="A24" s="32"/>
      <c r="B24" s="33"/>
      <c r="C24" s="34"/>
      <c r="D24" s="32"/>
      <c r="E24" s="32"/>
      <c r="F24" s="32"/>
      <c r="G24" s="32"/>
      <c r="H24" s="34"/>
      <c r="I24" s="32"/>
      <c r="J24" s="35" t="str">
        <f aca="true">IF(B24="","",IF(I24="Closed",IF(M24&lt;&gt;"",M24-B24,"Closed"),TODAY()-B24))</f>
        <v/>
      </c>
      <c r="K24" s="32"/>
      <c r="L24" s="33"/>
      <c r="M24" s="33"/>
      <c r="N24" s="32"/>
    </row>
    <row r="25" customFormat="false" ht="15" hidden="false" customHeight="false" outlineLevel="0" collapsed="false">
      <c r="A25" s="36"/>
      <c r="B25" s="37"/>
      <c r="C25" s="38"/>
      <c r="D25" s="36"/>
      <c r="E25" s="36"/>
      <c r="F25" s="36"/>
      <c r="G25" s="36"/>
      <c r="H25" s="38"/>
      <c r="I25" s="36"/>
      <c r="J25" s="35" t="str">
        <f aca="true">IF(B25="","",IF(I25="Closed",IF(M25&lt;&gt;"",M25-B25,"Closed"),TODAY()-B25))</f>
        <v/>
      </c>
      <c r="K25" s="36"/>
      <c r="L25" s="37"/>
      <c r="M25" s="37"/>
      <c r="N25" s="36"/>
    </row>
    <row r="26" customFormat="false" ht="15" hidden="false" customHeight="false" outlineLevel="0" collapsed="false">
      <c r="A26" s="32"/>
      <c r="B26" s="33"/>
      <c r="C26" s="34"/>
      <c r="D26" s="32"/>
      <c r="E26" s="32"/>
      <c r="F26" s="32"/>
      <c r="G26" s="32"/>
      <c r="H26" s="34"/>
      <c r="I26" s="32"/>
      <c r="J26" s="35" t="str">
        <f aca="true">IF(B26="","",IF(I26="Closed",IF(M26&lt;&gt;"",M26-B26,"Closed"),TODAY()-B26))</f>
        <v/>
      </c>
      <c r="K26" s="32"/>
      <c r="L26" s="33"/>
      <c r="M26" s="33"/>
      <c r="N26" s="32"/>
    </row>
    <row r="27" customFormat="false" ht="15" hidden="false" customHeight="false" outlineLevel="0" collapsed="false">
      <c r="A27" s="36"/>
      <c r="B27" s="37"/>
      <c r="C27" s="38"/>
      <c r="D27" s="36"/>
      <c r="E27" s="36"/>
      <c r="F27" s="36"/>
      <c r="G27" s="36"/>
      <c r="H27" s="38"/>
      <c r="I27" s="36"/>
      <c r="J27" s="35" t="str">
        <f aca="true">IF(B27="","",IF(I27="Closed",IF(M27&lt;&gt;"",M27-B27,"Closed"),TODAY()-B27))</f>
        <v/>
      </c>
      <c r="K27" s="36"/>
      <c r="L27" s="37"/>
      <c r="M27" s="37"/>
      <c r="N27" s="36"/>
    </row>
    <row r="28" customFormat="false" ht="15" hidden="false" customHeight="false" outlineLevel="0" collapsed="false">
      <c r="A28" s="32"/>
      <c r="B28" s="33"/>
      <c r="C28" s="34"/>
      <c r="D28" s="32"/>
      <c r="E28" s="32"/>
      <c r="F28" s="32"/>
      <c r="G28" s="32"/>
      <c r="H28" s="34"/>
      <c r="I28" s="32"/>
      <c r="J28" s="35" t="str">
        <f aca="true">IF(B28="","",IF(I28="Closed",IF(M28&lt;&gt;"",M28-B28,"Closed"),TODAY()-B28))</f>
        <v/>
      </c>
      <c r="K28" s="32"/>
      <c r="L28" s="33"/>
      <c r="M28" s="33"/>
      <c r="N28" s="32"/>
    </row>
    <row r="29" customFormat="false" ht="15" hidden="false" customHeight="false" outlineLevel="0" collapsed="false">
      <c r="A29" s="36"/>
      <c r="B29" s="37"/>
      <c r="C29" s="38"/>
      <c r="D29" s="36"/>
      <c r="E29" s="36"/>
      <c r="F29" s="36"/>
      <c r="G29" s="36"/>
      <c r="H29" s="38"/>
      <c r="I29" s="36"/>
      <c r="J29" s="35" t="str">
        <f aca="true">IF(B29="","",IF(I29="Closed",IF(M29&lt;&gt;"",M29-B29,"Closed"),TODAY()-B29))</f>
        <v/>
      </c>
      <c r="K29" s="36"/>
      <c r="L29" s="37"/>
      <c r="M29" s="37"/>
      <c r="N29" s="36"/>
    </row>
    <row r="30" customFormat="false" ht="15" hidden="false" customHeight="false" outlineLevel="0" collapsed="false">
      <c r="A30" s="32"/>
      <c r="B30" s="33"/>
      <c r="C30" s="34"/>
      <c r="D30" s="32"/>
      <c r="E30" s="32"/>
      <c r="F30" s="32"/>
      <c r="G30" s="32"/>
      <c r="H30" s="34"/>
      <c r="I30" s="32"/>
      <c r="J30" s="35" t="str">
        <f aca="true">IF(B30="","",IF(I30="Closed",IF(M30&lt;&gt;"",M30-B30,"Closed"),TODAY()-B30))</f>
        <v/>
      </c>
      <c r="K30" s="32"/>
      <c r="L30" s="33"/>
      <c r="M30" s="33"/>
      <c r="N30" s="32"/>
    </row>
    <row r="31" customFormat="false" ht="15" hidden="false" customHeight="false" outlineLevel="0" collapsed="false">
      <c r="A31" s="36"/>
      <c r="B31" s="37"/>
      <c r="C31" s="38"/>
      <c r="D31" s="36"/>
      <c r="E31" s="36"/>
      <c r="F31" s="36"/>
      <c r="G31" s="36"/>
      <c r="H31" s="38"/>
      <c r="I31" s="36"/>
      <c r="J31" s="35" t="str">
        <f aca="true">IF(B31="","",IF(I31="Closed",IF(M31&lt;&gt;"",M31-B31,"Closed"),TODAY()-B31))</f>
        <v/>
      </c>
      <c r="K31" s="36"/>
      <c r="L31" s="37"/>
      <c r="M31" s="37"/>
      <c r="N31" s="36"/>
    </row>
    <row r="32" customFormat="false" ht="15" hidden="false" customHeight="false" outlineLevel="0" collapsed="false">
      <c r="A32" s="32"/>
      <c r="B32" s="33"/>
      <c r="C32" s="34"/>
      <c r="D32" s="32"/>
      <c r="E32" s="32"/>
      <c r="F32" s="32"/>
      <c r="G32" s="32"/>
      <c r="H32" s="34"/>
      <c r="I32" s="32"/>
      <c r="J32" s="35" t="str">
        <f aca="true">IF(B32="","",IF(I32="Closed",IF(M32&lt;&gt;"",M32-B32,"Closed"),TODAY()-B32))</f>
        <v/>
      </c>
      <c r="K32" s="32"/>
      <c r="L32" s="33"/>
      <c r="M32" s="33"/>
      <c r="N32" s="32"/>
    </row>
    <row r="33" customFormat="false" ht="15" hidden="false" customHeight="false" outlineLevel="0" collapsed="false">
      <c r="A33" s="36"/>
      <c r="B33" s="37"/>
      <c r="C33" s="38"/>
      <c r="D33" s="36"/>
      <c r="E33" s="36"/>
      <c r="F33" s="36"/>
      <c r="G33" s="36"/>
      <c r="H33" s="38"/>
      <c r="I33" s="36"/>
      <c r="J33" s="35" t="str">
        <f aca="true">IF(B33="","",IF(I33="Closed",IF(M33&lt;&gt;"",M33-B33,"Closed"),TODAY()-B33))</f>
        <v/>
      </c>
      <c r="K33" s="36"/>
      <c r="L33" s="37"/>
      <c r="M33" s="37"/>
      <c r="N33" s="36"/>
    </row>
    <row r="34" customFormat="false" ht="15" hidden="false" customHeight="false" outlineLevel="0" collapsed="false">
      <c r="A34" s="32"/>
      <c r="B34" s="33"/>
      <c r="C34" s="34"/>
      <c r="D34" s="32"/>
      <c r="E34" s="32"/>
      <c r="F34" s="32"/>
      <c r="G34" s="32"/>
      <c r="H34" s="34"/>
      <c r="I34" s="32"/>
      <c r="J34" s="35" t="str">
        <f aca="true">IF(B34="","",IF(I34="Closed",IF(M34&lt;&gt;"",M34-B34,"Closed"),TODAY()-B34))</f>
        <v/>
      </c>
      <c r="K34" s="32"/>
      <c r="L34" s="33"/>
      <c r="M34" s="33"/>
      <c r="N34" s="32"/>
    </row>
    <row r="35" customFormat="false" ht="15" hidden="false" customHeight="false" outlineLevel="0" collapsed="false">
      <c r="A35" s="36"/>
      <c r="B35" s="37"/>
      <c r="C35" s="38"/>
      <c r="D35" s="36"/>
      <c r="E35" s="36"/>
      <c r="F35" s="36"/>
      <c r="G35" s="36"/>
      <c r="H35" s="38"/>
      <c r="I35" s="36"/>
      <c r="J35" s="35" t="str">
        <f aca="true">IF(B35="","",IF(I35="Closed",IF(M35&lt;&gt;"",M35-B35,"Closed"),TODAY()-B35))</f>
        <v/>
      </c>
      <c r="K35" s="36"/>
      <c r="L35" s="37"/>
      <c r="M35" s="37"/>
      <c r="N35" s="36"/>
    </row>
    <row r="36" customFormat="false" ht="15" hidden="false" customHeight="false" outlineLevel="0" collapsed="false">
      <c r="A36" s="32"/>
      <c r="B36" s="33"/>
      <c r="C36" s="34"/>
      <c r="D36" s="32"/>
      <c r="E36" s="32"/>
      <c r="F36" s="32"/>
      <c r="G36" s="32"/>
      <c r="H36" s="34"/>
      <c r="I36" s="32"/>
      <c r="J36" s="35" t="str">
        <f aca="true">IF(B36="","",IF(I36="Closed",IF(M36&lt;&gt;"",M36-B36,"Closed"),TODAY()-B36))</f>
        <v/>
      </c>
      <c r="K36" s="32"/>
      <c r="L36" s="33"/>
      <c r="M36" s="33"/>
      <c r="N36" s="32"/>
    </row>
    <row r="37" customFormat="false" ht="15" hidden="false" customHeight="false" outlineLevel="0" collapsed="false">
      <c r="A37" s="36"/>
      <c r="B37" s="37"/>
      <c r="C37" s="38"/>
      <c r="D37" s="36"/>
      <c r="E37" s="36"/>
      <c r="F37" s="36"/>
      <c r="G37" s="36"/>
      <c r="H37" s="38"/>
      <c r="I37" s="36"/>
      <c r="J37" s="35" t="str">
        <f aca="true">IF(B37="","",IF(I37="Closed",IF(M37&lt;&gt;"",M37-B37,"Closed"),TODAY()-B37))</f>
        <v/>
      </c>
      <c r="K37" s="36"/>
      <c r="L37" s="37"/>
      <c r="M37" s="37"/>
      <c r="N37" s="36"/>
    </row>
    <row r="38" customFormat="false" ht="15" hidden="false" customHeight="false" outlineLevel="0" collapsed="false">
      <c r="A38" s="32"/>
      <c r="B38" s="33"/>
      <c r="C38" s="34"/>
      <c r="D38" s="32"/>
      <c r="E38" s="32"/>
      <c r="F38" s="32"/>
      <c r="G38" s="32"/>
      <c r="H38" s="34"/>
      <c r="I38" s="32"/>
      <c r="J38" s="35" t="str">
        <f aca="true">IF(B38="","",IF(I38="Closed",IF(M38&lt;&gt;"",M38-B38,"Closed"),TODAY()-B38))</f>
        <v/>
      </c>
      <c r="K38" s="32"/>
      <c r="L38" s="33"/>
      <c r="M38" s="33"/>
      <c r="N38" s="32"/>
    </row>
    <row r="39" customFormat="false" ht="15" hidden="false" customHeight="false" outlineLevel="0" collapsed="false">
      <c r="A39" s="36"/>
      <c r="B39" s="37"/>
      <c r="C39" s="38"/>
      <c r="D39" s="36"/>
      <c r="E39" s="36"/>
      <c r="F39" s="36"/>
      <c r="G39" s="36"/>
      <c r="H39" s="38"/>
      <c r="I39" s="36"/>
      <c r="J39" s="35" t="str">
        <f aca="true">IF(B39="","",IF(I39="Closed",IF(M39&lt;&gt;"",M39-B39,"Closed"),TODAY()-B39))</f>
        <v/>
      </c>
      <c r="K39" s="36"/>
      <c r="L39" s="37"/>
      <c r="M39" s="37"/>
      <c r="N39" s="36"/>
    </row>
    <row r="40" customFormat="false" ht="15" hidden="false" customHeight="false" outlineLevel="0" collapsed="false">
      <c r="A40" s="32"/>
      <c r="B40" s="33"/>
      <c r="C40" s="34"/>
      <c r="D40" s="32"/>
      <c r="E40" s="32"/>
      <c r="F40" s="32"/>
      <c r="G40" s="32"/>
      <c r="H40" s="34"/>
      <c r="I40" s="32"/>
      <c r="J40" s="35" t="str">
        <f aca="true">IF(B40="","",IF(I40="Closed",IF(M40&lt;&gt;"",M40-B40,"Closed"),TODAY()-B40))</f>
        <v/>
      </c>
      <c r="K40" s="32"/>
      <c r="L40" s="33"/>
      <c r="M40" s="33"/>
      <c r="N40" s="32"/>
    </row>
    <row r="41" customFormat="false" ht="15" hidden="false" customHeight="false" outlineLevel="0" collapsed="false">
      <c r="A41" s="36"/>
      <c r="B41" s="37"/>
      <c r="C41" s="38"/>
      <c r="D41" s="36"/>
      <c r="E41" s="36"/>
      <c r="F41" s="36"/>
      <c r="G41" s="36"/>
      <c r="H41" s="38"/>
      <c r="I41" s="36"/>
      <c r="J41" s="35" t="str">
        <f aca="true">IF(B41="","",IF(I41="Closed",IF(M41&lt;&gt;"",M41-B41,"Closed"),TODAY()-B41))</f>
        <v/>
      </c>
      <c r="K41" s="36"/>
      <c r="L41" s="37"/>
      <c r="M41" s="37"/>
      <c r="N41" s="36"/>
    </row>
    <row r="42" customFormat="false" ht="15" hidden="false" customHeight="false" outlineLevel="0" collapsed="false">
      <c r="A42" s="32"/>
      <c r="B42" s="33"/>
      <c r="C42" s="34"/>
      <c r="D42" s="32"/>
      <c r="E42" s="32"/>
      <c r="F42" s="32"/>
      <c r="G42" s="32"/>
      <c r="H42" s="34"/>
      <c r="I42" s="32"/>
      <c r="J42" s="35" t="str">
        <f aca="true">IF(B42="","",IF(I42="Closed",IF(M42&lt;&gt;"",M42-B42,"Closed"),TODAY()-B42))</f>
        <v/>
      </c>
      <c r="K42" s="32"/>
      <c r="L42" s="33"/>
      <c r="M42" s="33"/>
      <c r="N42" s="32"/>
    </row>
    <row r="43" customFormat="false" ht="15" hidden="false" customHeight="false" outlineLevel="0" collapsed="false">
      <c r="A43" s="36"/>
      <c r="B43" s="37"/>
      <c r="C43" s="38"/>
      <c r="D43" s="36"/>
      <c r="E43" s="36"/>
      <c r="F43" s="36"/>
      <c r="G43" s="36"/>
      <c r="H43" s="38"/>
      <c r="I43" s="36"/>
      <c r="J43" s="35" t="str">
        <f aca="true">IF(B43="","",IF(I43="Closed",IF(M43&lt;&gt;"",M43-B43,"Closed"),TODAY()-B43))</f>
        <v/>
      </c>
      <c r="K43" s="36"/>
      <c r="L43" s="37"/>
      <c r="M43" s="37"/>
      <c r="N43" s="36"/>
    </row>
    <row r="44" customFormat="false" ht="15" hidden="false" customHeight="false" outlineLevel="0" collapsed="false">
      <c r="A44" s="32"/>
      <c r="B44" s="33"/>
      <c r="C44" s="34"/>
      <c r="D44" s="32"/>
      <c r="E44" s="32"/>
      <c r="F44" s="32"/>
      <c r="G44" s="32"/>
      <c r="H44" s="34"/>
      <c r="I44" s="32"/>
      <c r="J44" s="35" t="str">
        <f aca="true">IF(B44="","",IF(I44="Closed",IF(M44&lt;&gt;"",M44-B44,"Closed"),TODAY()-B44))</f>
        <v/>
      </c>
      <c r="K44" s="32"/>
      <c r="L44" s="33"/>
      <c r="M44" s="33"/>
      <c r="N44" s="32"/>
    </row>
    <row r="45" customFormat="false" ht="15" hidden="false" customHeight="false" outlineLevel="0" collapsed="false">
      <c r="A45" s="36"/>
      <c r="B45" s="37"/>
      <c r="C45" s="38"/>
      <c r="D45" s="36"/>
      <c r="E45" s="36"/>
      <c r="F45" s="36"/>
      <c r="G45" s="36"/>
      <c r="H45" s="38"/>
      <c r="I45" s="36"/>
      <c r="J45" s="35" t="str">
        <f aca="true">IF(B45="","",IF(I45="Closed",IF(M45&lt;&gt;"",M45-B45,"Closed"),TODAY()-B45))</f>
        <v/>
      </c>
      <c r="K45" s="36"/>
      <c r="L45" s="37"/>
      <c r="M45" s="37"/>
      <c r="N45" s="36"/>
    </row>
    <row r="46" customFormat="false" ht="15" hidden="false" customHeight="false" outlineLevel="0" collapsed="false">
      <c r="A46" s="32"/>
      <c r="B46" s="33"/>
      <c r="C46" s="34"/>
      <c r="D46" s="32"/>
      <c r="E46" s="32"/>
      <c r="F46" s="32"/>
      <c r="G46" s="32"/>
      <c r="H46" s="34"/>
      <c r="I46" s="32"/>
      <c r="J46" s="35" t="str">
        <f aca="true">IF(B46="","",IF(I46="Closed",IF(M46&lt;&gt;"",M46-B46,"Closed"),TODAY()-B46))</f>
        <v/>
      </c>
      <c r="K46" s="32"/>
      <c r="L46" s="33"/>
      <c r="M46" s="33"/>
      <c r="N46" s="32"/>
    </row>
    <row r="47" customFormat="false" ht="15" hidden="false" customHeight="false" outlineLevel="0" collapsed="false">
      <c r="A47" s="36"/>
      <c r="B47" s="37"/>
      <c r="C47" s="38"/>
      <c r="D47" s="36"/>
      <c r="E47" s="36"/>
      <c r="F47" s="36"/>
      <c r="G47" s="36"/>
      <c r="H47" s="38"/>
      <c r="I47" s="36"/>
      <c r="J47" s="35" t="str">
        <f aca="true">IF(B47="","",IF(I47="Closed",IF(M47&lt;&gt;"",M47-B47,"Closed"),TODAY()-B47))</f>
        <v/>
      </c>
      <c r="K47" s="36"/>
      <c r="L47" s="37"/>
      <c r="M47" s="37"/>
      <c r="N47" s="36"/>
    </row>
    <row r="48" customFormat="false" ht="15" hidden="false" customHeight="false" outlineLevel="0" collapsed="false">
      <c r="A48" s="32"/>
      <c r="B48" s="33"/>
      <c r="C48" s="34"/>
      <c r="D48" s="32"/>
      <c r="E48" s="32"/>
      <c r="F48" s="32"/>
      <c r="G48" s="32"/>
      <c r="H48" s="34"/>
      <c r="I48" s="32"/>
      <c r="J48" s="35" t="str">
        <f aca="true">IF(B48="","",IF(I48="Closed",IF(M48&lt;&gt;"",M48-B48,"Closed"),TODAY()-B48))</f>
        <v/>
      </c>
      <c r="K48" s="32"/>
      <c r="L48" s="33"/>
      <c r="M48" s="33"/>
      <c r="N48" s="32"/>
    </row>
    <row r="49" customFormat="false" ht="15" hidden="false" customHeight="false" outlineLevel="0" collapsed="false">
      <c r="A49" s="36"/>
      <c r="B49" s="37"/>
      <c r="C49" s="38"/>
      <c r="D49" s="36"/>
      <c r="E49" s="36"/>
      <c r="F49" s="36"/>
      <c r="G49" s="36"/>
      <c r="H49" s="38"/>
      <c r="I49" s="36"/>
      <c r="J49" s="35" t="str">
        <f aca="true">IF(B49="","",IF(I49="Closed",IF(M49&lt;&gt;"",M49-B49,"Closed"),TODAY()-B49))</f>
        <v/>
      </c>
      <c r="K49" s="36"/>
      <c r="L49" s="37"/>
      <c r="M49" s="37"/>
      <c r="N49" s="36"/>
    </row>
    <row r="50" customFormat="false" ht="15" hidden="false" customHeight="false" outlineLevel="0" collapsed="false">
      <c r="A50" s="32"/>
      <c r="B50" s="33"/>
      <c r="C50" s="34"/>
      <c r="D50" s="32"/>
      <c r="E50" s="32"/>
      <c r="F50" s="32"/>
      <c r="G50" s="32"/>
      <c r="H50" s="34"/>
      <c r="I50" s="32"/>
      <c r="J50" s="35" t="str">
        <f aca="true">IF(B50="","",IF(I50="Closed",IF(M50&lt;&gt;"",M50-B50,"Closed"),TODAY()-B50))</f>
        <v/>
      </c>
      <c r="K50" s="32"/>
      <c r="L50" s="33"/>
      <c r="M50" s="33"/>
      <c r="N50" s="32"/>
    </row>
    <row r="51" customFormat="false" ht="15" hidden="false" customHeight="false" outlineLevel="0" collapsed="false">
      <c r="A51" s="36"/>
      <c r="B51" s="37"/>
      <c r="C51" s="38"/>
      <c r="D51" s="36"/>
      <c r="E51" s="36"/>
      <c r="F51" s="36"/>
      <c r="G51" s="36"/>
      <c r="H51" s="38"/>
      <c r="I51" s="36"/>
      <c r="J51" s="35" t="str">
        <f aca="true">IF(B51="","",IF(I51="Closed",IF(M51&lt;&gt;"",M51-B51,"Closed"),TODAY()-B51))</f>
        <v/>
      </c>
      <c r="K51" s="36"/>
      <c r="L51" s="37"/>
      <c r="M51" s="37"/>
      <c r="N51" s="36"/>
    </row>
    <row r="52" customFormat="false" ht="15" hidden="false" customHeight="false" outlineLevel="0" collapsed="false">
      <c r="A52" s="32"/>
      <c r="B52" s="33"/>
      <c r="C52" s="34"/>
      <c r="D52" s="32"/>
      <c r="E52" s="32"/>
      <c r="F52" s="32"/>
      <c r="G52" s="32"/>
      <c r="H52" s="34"/>
      <c r="I52" s="32"/>
      <c r="J52" s="35" t="str">
        <f aca="true">IF(B52="","",IF(I52="Closed",IF(M52&lt;&gt;"",M52-B52,"Closed"),TODAY()-B52))</f>
        <v/>
      </c>
      <c r="K52" s="32"/>
      <c r="L52" s="33"/>
      <c r="M52" s="33"/>
      <c r="N52" s="32"/>
    </row>
    <row r="53" customFormat="false" ht="15" hidden="false" customHeight="false" outlineLevel="0" collapsed="false">
      <c r="A53" s="36"/>
      <c r="B53" s="37"/>
      <c r="C53" s="38"/>
      <c r="D53" s="36"/>
      <c r="E53" s="36"/>
      <c r="F53" s="36"/>
      <c r="G53" s="36"/>
      <c r="H53" s="38"/>
      <c r="I53" s="36"/>
      <c r="J53" s="35" t="str">
        <f aca="true">IF(B53="","",IF(I53="Closed",IF(M53&lt;&gt;"",M53-B53,"Closed"),TODAY()-B53))</f>
        <v/>
      </c>
      <c r="K53" s="36"/>
      <c r="L53" s="37"/>
      <c r="M53" s="37"/>
      <c r="N53" s="36"/>
    </row>
    <row r="54" customFormat="false" ht="15" hidden="false" customHeight="false" outlineLevel="0" collapsed="false">
      <c r="A54" s="32"/>
      <c r="B54" s="33"/>
      <c r="C54" s="34"/>
      <c r="D54" s="32"/>
      <c r="E54" s="32"/>
      <c r="F54" s="32"/>
      <c r="G54" s="32"/>
      <c r="H54" s="34"/>
      <c r="I54" s="32"/>
      <c r="J54" s="35" t="str">
        <f aca="true">IF(B54="","",IF(I54="Closed",IF(M54&lt;&gt;"",M54-B54,"Closed"),TODAY()-B54))</f>
        <v/>
      </c>
      <c r="K54" s="32"/>
      <c r="L54" s="33"/>
      <c r="M54" s="33"/>
      <c r="N54" s="32"/>
    </row>
    <row r="55" customFormat="false" ht="15" hidden="false" customHeight="false" outlineLevel="0" collapsed="false">
      <c r="A55" s="36"/>
      <c r="B55" s="37"/>
      <c r="C55" s="38"/>
      <c r="D55" s="36"/>
      <c r="E55" s="36"/>
      <c r="F55" s="36"/>
      <c r="G55" s="36"/>
      <c r="H55" s="38"/>
      <c r="I55" s="36"/>
      <c r="J55" s="35" t="str">
        <f aca="true">IF(B55="","",IF(I55="Closed",IF(M55&lt;&gt;"",M55-B55,"Closed"),TODAY()-B55))</f>
        <v/>
      </c>
      <c r="K55" s="36"/>
      <c r="L55" s="37"/>
      <c r="M55" s="37"/>
      <c r="N55" s="36"/>
    </row>
    <row r="56" customFormat="false" ht="15" hidden="false" customHeight="false" outlineLevel="0" collapsed="false">
      <c r="A56" s="32"/>
      <c r="B56" s="33"/>
      <c r="C56" s="34"/>
      <c r="D56" s="32"/>
      <c r="E56" s="32"/>
      <c r="F56" s="32"/>
      <c r="G56" s="32"/>
      <c r="H56" s="34"/>
      <c r="I56" s="32"/>
      <c r="J56" s="35" t="str">
        <f aca="true">IF(B56="","",IF(I56="Closed",IF(M56&lt;&gt;"",M56-B56,"Closed"),TODAY()-B56))</f>
        <v/>
      </c>
      <c r="K56" s="32"/>
      <c r="L56" s="33"/>
      <c r="M56" s="33"/>
      <c r="N56" s="32"/>
    </row>
    <row r="57" customFormat="false" ht="15" hidden="false" customHeight="false" outlineLevel="0" collapsed="false">
      <c r="A57" s="36"/>
      <c r="B57" s="37"/>
      <c r="C57" s="38"/>
      <c r="D57" s="36"/>
      <c r="E57" s="36"/>
      <c r="F57" s="36"/>
      <c r="G57" s="36"/>
      <c r="H57" s="38"/>
      <c r="I57" s="36"/>
      <c r="J57" s="35" t="str">
        <f aca="true">IF(B57="","",IF(I57="Closed",IF(M57&lt;&gt;"",M57-B57,"Closed"),TODAY()-B57))</f>
        <v/>
      </c>
      <c r="K57" s="36"/>
      <c r="L57" s="37"/>
      <c r="M57" s="37"/>
      <c r="N57" s="36"/>
    </row>
    <row r="58" customFormat="false" ht="15" hidden="false" customHeight="false" outlineLevel="0" collapsed="false">
      <c r="A58" s="32"/>
      <c r="B58" s="33"/>
      <c r="C58" s="34"/>
      <c r="D58" s="32"/>
      <c r="E58" s="32"/>
      <c r="F58" s="32"/>
      <c r="G58" s="32"/>
      <c r="H58" s="34"/>
      <c r="I58" s="32"/>
      <c r="J58" s="35" t="str">
        <f aca="true">IF(B58="","",IF(I58="Closed",IF(M58&lt;&gt;"",M58-B58,"Closed"),TODAY()-B58))</f>
        <v/>
      </c>
      <c r="K58" s="32"/>
      <c r="L58" s="33"/>
      <c r="M58" s="33"/>
      <c r="N58" s="32"/>
    </row>
    <row r="59" customFormat="false" ht="15" hidden="false" customHeight="false" outlineLevel="0" collapsed="false">
      <c r="A59" s="36"/>
      <c r="B59" s="37"/>
      <c r="C59" s="38"/>
      <c r="D59" s="36"/>
      <c r="E59" s="36"/>
      <c r="F59" s="36"/>
      <c r="G59" s="36"/>
      <c r="H59" s="38"/>
      <c r="I59" s="36"/>
      <c r="J59" s="35" t="str">
        <f aca="true">IF(B59="","",IF(I59="Closed",IF(M59&lt;&gt;"",M59-B59,"Closed"),TODAY()-B59))</f>
        <v/>
      </c>
      <c r="K59" s="36"/>
      <c r="L59" s="37"/>
      <c r="M59" s="37"/>
      <c r="N59" s="36"/>
    </row>
  </sheetData>
  <autoFilter ref="A9:N509"/>
  <mergeCells count="11">
    <mergeCell ref="A1:N1"/>
    <mergeCell ref="A2:D2"/>
    <mergeCell ref="F2:I2"/>
    <mergeCell ref="K2:N2"/>
    <mergeCell ref="A3:C3"/>
    <mergeCell ref="F3:H3"/>
    <mergeCell ref="A4:C4"/>
    <mergeCell ref="F4:H4"/>
    <mergeCell ref="A5:C5"/>
    <mergeCell ref="F5:H5"/>
    <mergeCell ref="A8:N8"/>
  </mergeCells>
  <conditionalFormatting sqref="F10:F509">
    <cfRule type="cellIs" priority="2" operator="equal" aboveAverage="0" equalAverage="0" bottom="0" percent="0" rank="0" text="" dxfId="9">
      <formula>"Critical"</formula>
    </cfRule>
    <cfRule type="cellIs" priority="3" operator="equal" aboveAverage="0" equalAverage="0" bottom="0" percent="0" rank="0" text="" dxfId="10">
      <formula>"Major"</formula>
    </cfRule>
    <cfRule type="cellIs" priority="4" operator="equal" aboveAverage="0" equalAverage="0" bottom="0" percent="0" rank="0" text="" dxfId="11">
      <formula>"Minor"</formula>
    </cfRule>
  </conditionalFormatting>
  <conditionalFormatting sqref="I10:I509">
    <cfRule type="cellIs" priority="5" operator="equal" aboveAverage="0" equalAverage="0" bottom="0" percent="0" rank="0" text="" dxfId="9">
      <formula>"Open"</formula>
    </cfRule>
    <cfRule type="cellIs" priority="6" operator="equal" aboveAverage="0" equalAverage="0" bottom="0" percent="0" rank="0" text="" dxfId="10">
      <formula>"Corrective Action"</formula>
    </cfRule>
    <cfRule type="cellIs" priority="7" operator="equal" aboveAverage="0" equalAverage="0" bottom="0" percent="0" rank="0" text="" dxfId="11">
      <formula>"Closed"</formula>
    </cfRule>
  </conditionalFormatting>
  <conditionalFormatting sqref="J10:J509">
    <cfRule type="expression" priority="8" aboveAverage="0" equalAverage="0" bottom="0" percent="0" rank="0" text="" dxfId="9">
      <formula>AND(ISNUMBER(J10),J10&gt;28)</formula>
    </cfRule>
    <cfRule type="expression" priority="9" aboveAverage="0" equalAverage="0" bottom="0" percent="0" rank="0" text="" dxfId="10">
      <formula>AND(ISNUMBER(J10),J10&gt;14,J10&lt;=28)</formula>
    </cfRule>
  </conditionalFormatting>
  <dataValidations count="4">
    <dataValidation allowBlank="true" errorStyle="stop" operator="between" showDropDown="false" showErrorMessage="false" showInputMessage="false" sqref="F10:F509" type="list">
      <formula1>"Critical,Major,Minor"</formula1>
      <formula2>0</formula2>
    </dataValidation>
    <dataValidation allowBlank="true" errorStyle="stop" operator="between" showDropDown="false" showErrorMessage="false" showInputMessage="false" sqref="I10:I509" type="list">
      <formula1>"Open,Corrective Action,Closed,Void"</formula1>
      <formula2>0</formula2>
    </dataValidation>
    <dataValidation allowBlank="true" errorStyle="stop" operator="between" showDropDown="false" showErrorMessage="false" showInputMessage="false" sqref="G10:G509" type="list">
      <formula1>"Workmanship,Material Defect,Design Error,Supervision,Method / Procedure,Documentation,Other"</formula1>
      <formula2>0</formula2>
    </dataValidation>
    <dataValidation allowBlank="true" errorStyle="stop" operator="between" showDropDown="false" showErrorMessage="false" showInputMessage="false" sqref="E10:E509" type="list">
      <formula1>"Civil,Structural,M&amp;E,Architectural,Groundworks,Landscaping,Other"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&amp;CNon-Conformance Report Log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20" t="s">
        <v>92</v>
      </c>
    </row>
    <row r="2" customFormat="false" ht="15" hidden="false" customHeight="false" outlineLevel="0" collapsed="false">
      <c r="A2" s="20"/>
    </row>
    <row r="3" customFormat="false" ht="15" hidden="false" customHeight="false" outlineLevel="0" collapsed="false">
      <c r="A3" s="20" t="s">
        <v>93</v>
      </c>
    </row>
    <row r="4" customFormat="false" ht="15" hidden="false" customHeight="false" outlineLevel="0" collapsed="false">
      <c r="A4" s="20"/>
    </row>
    <row r="5" customFormat="false" ht="15" hidden="false" customHeight="false" outlineLevel="0" collapsed="false">
      <c r="A5" s="20" t="s">
        <v>94</v>
      </c>
    </row>
    <row r="6" customFormat="false" ht="15" hidden="false" customHeight="false" outlineLevel="0" collapsed="false">
      <c r="A6" s="20"/>
    </row>
    <row r="7" customFormat="false" ht="15" hidden="false" customHeight="false" outlineLevel="0" collapsed="false">
      <c r="A7" s="20" t="s">
        <v>95</v>
      </c>
    </row>
    <row r="8" customFormat="false" ht="15" hidden="false" customHeight="false" outlineLevel="0" collapsed="false">
      <c r="A8" s="20"/>
    </row>
    <row r="9" customFormat="false" ht="15" hidden="false" customHeight="false" outlineLevel="0" collapsed="false">
      <c r="A9" s="20" t="s">
        <v>96</v>
      </c>
    </row>
    <row r="10" customFormat="false" ht="15" hidden="false" customHeight="false" outlineLevel="0" collapsed="false">
      <c r="A10" s="20"/>
    </row>
    <row r="11" customFormat="false" ht="15" hidden="false" customHeight="false" outlineLevel="0" collapsed="false">
      <c r="A11" s="20" t="s">
        <v>97</v>
      </c>
    </row>
    <row r="12" customFormat="false" ht="15" hidden="false" customHeight="false" outlineLevel="0" collapsed="false">
      <c r="A12" s="20"/>
    </row>
    <row r="13" customFormat="false" ht="15" hidden="false" customHeight="false" outlineLevel="0" collapsed="false">
      <c r="A13" s="20" t="s">
        <v>98</v>
      </c>
    </row>
    <row r="14" customFormat="false" ht="15" hidden="false" customHeight="false" outlineLevel="0" collapsed="false">
      <c r="A14" s="20"/>
    </row>
    <row r="15" customFormat="false" ht="15" hidden="false" customHeight="false" outlineLevel="0" collapsed="false">
      <c r="A15" s="20" t="s">
        <v>99</v>
      </c>
    </row>
    <row r="16" customFormat="false" ht="15" hidden="false" customHeight="false" outlineLevel="0" collapsed="false">
      <c r="A16" s="20"/>
    </row>
    <row r="17" customFormat="false" ht="15" hidden="false" customHeight="false" outlineLevel="0" collapsed="false">
      <c r="A17" s="2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Quality</cp:category>
  <dcterms:created xsi:type="dcterms:W3CDTF">2026-03-23T09:04:21Z</dcterms:created>
  <dc:creator>Ebrora Ltd</dc:creator>
  <dc:description>Log, track and close out non-conformance reports with root cause analysis, severity scoring, and corrective action tracking.
Free professional construction management template from Ebrora Ltd. Visit ebrora.com for our full range of tools and templates.</dc:description>
  <cp:keywords>Ebrora construction NCR non-conformance quality defect corrective action root cause</cp:keywords>
  <dc:language>en-US</dc:language>
  <cp:lastModifiedBy>Ebrora Ltd</cp:lastModifiedBy>
  <dcterms:modified xsi:type="dcterms:W3CDTF">2026-03-23T09:04:21Z</dcterms:modified>
  <cp:revision>0</cp:revision>
  <dc:subject>Log, track and close out non-conformance reports with root cause analysis and severity scoring.</dc:subject>
  <dc:title>Non-Conformance Report Log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