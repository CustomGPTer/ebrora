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Storage Plan"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'Storage Plan'!$A$1:$L$28</definedName>
    <definedName function="false" hidden="true" localSheetId="2" name="_xlnm._FilterDatabase" vbProcedure="false">'Storage Plan'!$A$7:$L$28</definedName>
    <definedName function="false" hidden="false" name="DataTable" vbProcedure="false">'Storage Plan'!$A$7:$L$28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<sst xmlns="http://schemas.openxmlformats.org/spreadsheetml/2006/main" count="101" uniqueCount="96">
  <si>
    <t xml:space="preserve">EBRORA</t>
  </si>
  <si>
    <t xml:space="preserve">ebrora.com</t>
  </si>
  <si>
    <t xml:space="preserve">Storage Area
Allocation Plan</t>
  </si>
  <si>
    <t xml:space="preserve">Plan and manage site storage zones with material assignments, capacity tracking, utilisation monitoring, and access requirements.</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</si>
  <si>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</si>
  <si>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</si>
  <si>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</si>
  <si>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Step-by-Step Instructions</t>
  </si>
  <si>
    <t xml:space="preserve">1. Go to the 'Storage Plan' sheet. The summary shows total storage area, overall utilisation, and zone count.</t>
  </si>
  <si>
    <t xml:space="preserve">2. Define each storage zone with its reference, description, area (m²), and type (covered, open, secure, etc.).</t>
  </si>
  <si>
    <t xml:space="preserve">3. Assign materials/items to each zone and record the responsible person or subcontractor.</t>
  </si>
  <si>
    <t xml:space="preserve">4. Enter the capacity as a percentage estimate of how full the zone is. Utilisation auto-colours: green/amber/red.</t>
  </si>
  <si>
    <t xml:space="preserve">5. Record any access restrictions (COSHH, locked, permit required) and the zone's availability dates.</t>
  </si>
  <si>
    <t xml:space="preserve">6. Status auto-calculates: AVAILABLE (&lt;50% full), BUSY (50–80%), FULL (&gt;80%), or CLOSED.</t>
  </si>
  <si>
    <t xml:space="preserve">7. Review and update weekly as materials arrive and get used — zones should turn over, not stay permanently full.</t>
  </si>
  <si>
    <t xml:space="preserve">8. Pair this with the site layout drawing — number zones on the drawing to match this register.</t>
  </si>
  <si>
    <t xml:space="preserve">Colour Key</t>
  </si>
  <si>
    <t xml:space="preserve">Light teal</t>
  </si>
  <si>
    <t xml:space="preserve">Editable cells</t>
  </si>
  <si>
    <t xml:space="preserve">Dark navy</t>
  </si>
  <si>
    <t xml:space="preserve">Headers</t>
  </si>
  <si>
    <t xml:space="preserve">Green</t>
  </si>
  <si>
    <t xml:space="preserve">Available — zone has capacity</t>
  </si>
  <si>
    <t xml:space="preserve">Amber</t>
  </si>
  <si>
    <t xml:space="preserve">Busy — 50–80% full</t>
  </si>
  <si>
    <t xml:space="preserve">Red</t>
  </si>
  <si>
    <t xml:space="preserve">Full (&gt;80%) or Closed</t>
  </si>
  <si>
    <t xml:space="preserve">Tips</t>
  </si>
  <si>
    <t xml:space="preserve">• Keep high-value and theft-attractive materials (copper, tools, fuel) in locked/secure zones only.</t>
  </si>
  <si>
    <t xml:space="preserve">• Plan storage around the construction sequence — don't store materials far from where they'll be used.</t>
  </si>
  <si>
    <t xml:space="preserve">• COSHH materials must have dedicated, bunded storage with spill kits — never co-locate with general materials.</t>
  </si>
  <si>
    <t xml:space="preserve">STORAGE AREA ALLOCATION PLAN</t>
  </si>
  <si>
    <t xml:space="preserve">Total Zones</t>
  </si>
  <si>
    <t xml:space="preserve">Total Area (m²)</t>
  </si>
  <si>
    <t xml:space="preserve">Avg Utilisation</t>
  </si>
  <si>
    <t xml:space="preserve">Full Zones</t>
  </si>
  <si>
    <t xml:space="preserve">Available Zones</t>
  </si>
  <si>
    <t xml:space="preserve">Closed Zones</t>
  </si>
  <si>
    <t xml:space="preserve">Zone
Ref</t>
  </si>
  <si>
    <t xml:space="preserve">Zone Description</t>
  </si>
  <si>
    <t xml:space="preserve">Type</t>
  </si>
  <si>
    <t xml:space="preserve">Area
(m²)</t>
  </si>
  <si>
    <t xml:space="preserve">Materials / Items Assigned</t>
  </si>
  <si>
    <t xml:space="preserve">Responsible
Person</t>
  </si>
  <si>
    <t xml:space="preserve">Utilisation
(%)</t>
  </si>
  <si>
    <t xml:space="preserve">Status</t>
  </si>
  <si>
    <t xml:space="preserve">Access Restrictions</t>
  </si>
  <si>
    <t xml:space="preserve">Available
From</t>
  </si>
  <si>
    <t xml:space="preserve">Available
To</t>
  </si>
  <si>
    <t xml:space="preserve">Notes</t>
  </si>
  <si>
    <t xml:space="preserve">SA-01</t>
  </si>
  <si>
    <t xml:space="preserve">Steel Laydown Area — North</t>
  </si>
  <si>
    <t xml:space="preserve">Open Laydown</t>
  </si>
  <si>
    <t xml:space="preserve">UC sections, UB beams, base plates, holding down bolts</t>
  </si>
  <si>
    <t xml:space="preserve">Kev O'Brien (Steel Foreman)</t>
  </si>
  <si>
    <t xml:space="preserve">Open Access</t>
  </si>
  <si>
    <t xml:space="preserve">Crane access required for offloading</t>
  </si>
  <si>
    <t xml:space="preserve">SA-02</t>
  </si>
  <si>
    <t xml:space="preserve">Secure Tool &amp; Material Store</t>
  </si>
  <si>
    <t xml:space="preserve">Container</t>
  </si>
  <si>
    <t xml:space="preserve">Power tools, laser levels, torque wrenches, fixings</t>
  </si>
  <si>
    <t xml:space="preserve">Site Manager</t>
  </si>
  <si>
    <t xml:space="preserve">Locked</t>
  </si>
  <si>
    <t xml:space="preserve">Double-locked — key with SM and stores</t>
  </si>
  <si>
    <t xml:space="preserve">SA-03</t>
  </si>
  <si>
    <t xml:space="preserve">COSHH Store</t>
  </si>
  <si>
    <t xml:space="preserve">Paints, solvents, adhesives, release agents, fuel additives</t>
  </si>
  <si>
    <t xml:space="preserve">H&amp;S Advisor</t>
  </si>
  <si>
    <t xml:space="preserve">COSHH Trained Only</t>
  </si>
  <si>
    <t xml:space="preserve">Bunded, ventilated. Spill kit on site.</t>
  </si>
  <si>
    <t xml:space="preserve">SA-04</t>
  </si>
  <si>
    <t xml:space="preserve">Pipe &amp; Fittings Laydown</t>
  </si>
  <si>
    <t xml:space="preserve">DN100–DN300 pipe, fittings, valves, gaskets</t>
  </si>
  <si>
    <t xml:space="preserve">Pipework Foreman</t>
  </si>
  <si>
    <t xml:space="preserve">Dunnage provided — keep off ground</t>
  </si>
  <si>
    <t xml:space="preserve">SA-05</t>
  </si>
  <si>
    <t xml:space="preserve">Waste &amp; Skip Area</t>
  </si>
  <si>
    <t xml:space="preserve">Waste Area</t>
  </si>
  <si>
    <t xml:space="preserve">Skips (general, timber, inert), waste bins</t>
  </si>
  <si>
    <t xml:space="preserve">Waste Coordinator</t>
  </si>
  <si>
    <t xml:space="preserve">Segregated streams — signage in place</t>
  </si>
  <si>
    <t xml:space="preserve">SA-06</t>
  </si>
  <si>
    <t xml:space="preserve">Temporary Material Store — South</t>
  </si>
  <si>
    <t xml:space="preserve">Temporary</t>
  </si>
  <si>
    <t xml:space="preserve">Bricks, blocks, bagged aggregates, cement</t>
  </si>
  <si>
    <t xml:space="preserve">Bricklaying Gang</t>
  </si>
  <si>
    <t xml:space="preserve">Temporary — relocates when groundworks reach south end</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</si>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</sst>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5">
    <numFmt numFmtId="164" formatCode="General"/>
    <numFmt numFmtId="165" formatCode="General"/>
    <numFmt numFmtId="166" formatCode="#,##0"/>
    <numFmt numFmtId="167" formatCode="0%"/>
    <numFmt numFmtId="168" formatCode="dd/mm/yyyy"/>
  </numFmts>
  <fonts count="20">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4"/>
      <color rgb="FFFFFFFF"/>
      <name val="Calibri"/>
      <family val="0"/>
      <charset val="1"/>
    </font>
    <font>
      <b val="true"/>
      <sz val="10"/>
      <color rgb="FF2AABB3"/>
      <name val="Calibri"/>
      <family val="0"/>
      <charset val="1"/>
    </font>
    <font>
      <b val="true"/>
      <sz val="16"/>
      <color rgb="FF1B2A4A"/>
      <name val="Calibri"/>
      <family val="0"/>
      <charset val="1"/>
    </font>
    <font>
      <b val="true"/>
      <sz val="16"/>
      <color rgb="FF9C0006"/>
      <name val="Calibri"/>
      <family val="0"/>
      <charset val="1"/>
    </font>
    <font>
      <b val="true"/>
      <sz val="16"/>
      <color rgb="FF006100"/>
      <name val="Calibri"/>
      <family val="0"/>
      <charset val="1"/>
    </font>
    <font>
      <b val="true"/>
      <sz val="11"/>
      <color rgb="FFFFFFFF"/>
      <name val="Calibri"/>
      <family val="0"/>
      <charset val="1"/>
    </font>
  </fonts>
  <fills count="8">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C6EFCE"/>
        <bgColor rgb="FFD9D9D9"/>
      </patternFill>
    </fill>
    <fill>
      <patternFill patternType="solid">
        <fgColor rgb="FFFFEB9C"/>
        <bgColor rgb="FFFFFFCC"/>
      </patternFill>
    </fill>
    <fill>
      <patternFill patternType="solid">
        <fgColor rgb="FFFFC7CE"/>
        <bgColor rgb="FFD9D9D9"/>
      </patternFill>
    </fill>
  </fills>
  <borders count="3">
    <border diagonalUp="false" diagonalDown="false">
      <left/>
      <right/>
      <top/>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0"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5" fontId="16" fillId="0" borderId="0" xfId="0" applyFont="true" applyBorder="false" applyAlignment="true" applyProtection="false">
      <alignment horizontal="center" vertical="center" textRotation="0" wrapText="true" indent="0" shrinkToFit="false"/>
      <protection locked="true" hidden="false"/>
    </xf>
    <xf numFmtId="166" fontId="16" fillId="0" borderId="0" xfId="0" applyFont="true" applyBorder="false" applyAlignment="true" applyProtection="false">
      <alignment horizontal="center" vertical="center" textRotation="0" wrapText="true" indent="0" shrinkToFit="false"/>
      <protection locked="true" hidden="false"/>
    </xf>
    <xf numFmtId="167" fontId="16" fillId="0" borderId="0" xfId="0" applyFont="true" applyBorder="false" applyAlignment="true" applyProtection="false">
      <alignment horizontal="center" vertical="center" textRotation="0" wrapText="true" indent="0" shrinkToFit="false"/>
      <protection locked="true" hidden="false"/>
    </xf>
    <xf numFmtId="165" fontId="17" fillId="0" borderId="0" xfId="0" applyFont="true" applyBorder="false" applyAlignment="true" applyProtection="false">
      <alignment horizontal="center" vertical="center" textRotation="0" wrapText="true" indent="0" shrinkToFit="false"/>
      <protection locked="true" hidden="false"/>
    </xf>
    <xf numFmtId="165" fontId="18" fillId="0" borderId="0" xfId="0" applyFont="true" applyBorder="fals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9" fillId="2"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7" fontId="12" fillId="4"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8" fontId="12" fillId="4"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B2A4A"/>
          <bgColor rgb="FF000000"/>
        </patternFill>
      </fill>
    </dxf>
    <dxf>
      <fill>
        <patternFill patternType="solid">
          <fgColor rgb="FFE8F6F7"/>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9C6500"/>
          <bgColor rgb="FF000000"/>
        </patternFill>
      </fill>
    </dxf>
    <dxf>
      <font>
        <name val="Calibri"/>
        <charset val="1"/>
        <family val="0"/>
        <b val="1"/>
        <color rgb="FF006100"/>
      </font>
      <fill>
        <patternFill>
          <bgColor rgb="FFC6EFCE"/>
        </patternFill>
      </fill>
    </dxf>
    <dxf>
      <font>
        <name val="Calibri"/>
        <charset val="1"/>
        <family val="0"/>
        <b val="1"/>
        <color rgb="FF9C6500"/>
      </font>
      <fill>
        <patternFill>
          <bgColor rgb="FFFFEB9C"/>
        </patternFill>
      </fill>
    </dxf>
    <dxf>
      <font>
        <name val="Calibri"/>
        <charset val="1"/>
        <family val="0"/>
        <b val="1"/>
        <color rgb="FF9C0006"/>
      </font>
      <fill>
        <patternFill>
          <bgColor rgb="FFFFC7CE"/>
        </patternFill>
      </fill>
    </dxf>
    <dxf>
      <font>
        <name val="Calibri"/>
        <charset val="1"/>
        <family val="0"/>
        <i val="1"/>
        <color rgb="FF8C8C8C"/>
      </font>
      <fill>
        <patternFill>
          <bgColor rgb="FFD9D9D9"/>
        </patternFill>
      </fill>
    </dxf>
    <dxf>
      <fill>
        <patternFill>
          <bgColor rgb="FFFFC7CE"/>
        </patternFill>
      </fill>
    </dxf>
    <dxf>
      <fill>
        <patternFill>
          <bgColor rgb="FFFFEB9C"/>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FFFCC"/>
      <rgbColor rgb="FFE8F6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true" outlineLevel="0" collapsed="false">
      <c r="A1" s="1" t="s">
        <v>0</v>
      </c>
      <c r="B1" s="1"/>
      <c r="C1" s="1"/>
      <c r="D1" s="1"/>
      <c r="E1" s="1"/>
      <c r="F1" s="1"/>
      <c r="G1" s="1"/>
      <c r="H1" s="1"/>
    </row>
    <row r="2" customFormat="false" ht="15" hidden="false" customHeight="false" outlineLevel="0" collapsed="false">
      <c r="A2" s="1"/>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true" outlineLevel="0" collapsed="false">
      <c r="A4" s="2" t="s">
        <v>1</v>
      </c>
      <c r="B4" s="2"/>
      <c r="C4" s="2"/>
      <c r="D4" s="2"/>
      <c r="E4" s="2"/>
      <c r="F4" s="2"/>
      <c r="G4" s="2"/>
      <c r="H4" s="2"/>
    </row>
    <row r="5" customFormat="false" ht="15" hidden="false" customHeight="false" outlineLevel="0" collapsed="false">
      <c r="A5" s="3"/>
      <c r="B5" s="3"/>
      <c r="C5" s="3"/>
      <c r="D5" s="3"/>
      <c r="E5" s="3"/>
      <c r="F5" s="3"/>
      <c r="G5" s="3"/>
      <c r="H5" s="3"/>
    </row>
    <row r="6" customFormat="false" ht="15" hidden="false" customHeight="true" outlineLevel="0" collapsed="false">
      <c r="A6" s="4" t="s">
        <v>2</v>
      </c>
      <c r="B6" s="4"/>
      <c r="C6" s="4"/>
      <c r="D6" s="4"/>
      <c r="E6" s="4"/>
      <c r="F6" s="4"/>
      <c r="G6" s="4"/>
      <c r="H6" s="4"/>
    </row>
    <row r="7" customFormat="false" ht="15" hidden="false" customHeight="false" outlineLevel="0" collapsed="false">
      <c r="A7" s="4"/>
      <c r="B7" s="4"/>
      <c r="C7" s="4"/>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3"/>
      <c r="B9" s="3"/>
      <c r="C9" s="3"/>
      <c r="D9" s="3"/>
      <c r="E9" s="3"/>
      <c r="F9" s="3"/>
      <c r="G9" s="3"/>
      <c r="H9" s="3"/>
    </row>
    <row r="10" customFormat="false" ht="15" hidden="false" customHeight="true" outlineLevel="0" collapsed="false">
      <c r="A10" s="5" t="s">
        <v>3</v>
      </c>
      <c r="B10" s="5"/>
      <c r="C10" s="5"/>
      <c r="D10" s="5"/>
      <c r="E10" s="5"/>
      <c r="F10" s="5"/>
      <c r="G10" s="5"/>
      <c r="H10" s="5"/>
    </row>
    <row r="11" customFormat="false" ht="15" hidden="false" customHeight="false" outlineLevel="0" collapsed="false">
      <c r="A11" s="5"/>
      <c r="B11" s="5"/>
      <c r="C11" s="5"/>
      <c r="D11" s="5"/>
      <c r="E11" s="5"/>
      <c r="F11" s="5"/>
      <c r="G11" s="5"/>
      <c r="H11" s="5"/>
    </row>
    <row r="12" customFormat="false" ht="15" hidden="false" customHeight="false" outlineLevel="0" collapsed="false">
      <c r="A12" s="3"/>
      <c r="B12" s="3"/>
      <c r="C12" s="3"/>
      <c r="D12" s="3"/>
      <c r="E12" s="3"/>
      <c r="F12" s="3"/>
      <c r="G12" s="3"/>
      <c r="H12" s="3"/>
    </row>
    <row r="13" customFormat="false" ht="15" hidden="false" customHeight="false" outlineLevel="0" collapsed="false">
      <c r="A13" s="3"/>
      <c r="B13" s="3"/>
      <c r="C13" s="3"/>
      <c r="D13" s="3"/>
      <c r="E13" s="3"/>
      <c r="F13" s="3"/>
      <c r="G13" s="3"/>
      <c r="H13" s="3"/>
    </row>
    <row r="14" customFormat="false" ht="15" hidden="false" customHeight="true" outlineLevel="0" collapsed="false">
      <c r="A14" s="6" t="s">
        <v>4</v>
      </c>
      <c r="B14" s="6"/>
      <c r="C14" s="6"/>
      <c r="D14" s="6"/>
      <c r="E14" s="6"/>
      <c r="F14" s="6"/>
      <c r="G14" s="6"/>
      <c r="H14" s="6"/>
    </row>
    <row r="15" customFormat="false" ht="15" hidden="false" customHeight="false" outlineLevel="0" collapsed="false">
      <c r="A15" s="6"/>
      <c r="B15" s="6"/>
      <c r="C15" s="6"/>
      <c r="D15" s="6"/>
      <c r="E15" s="6"/>
      <c r="F15" s="6"/>
      <c r="G15" s="6"/>
      <c r="H15" s="6"/>
    </row>
    <row r="16" customFormat="false" ht="15" hidden="false" customHeight="false" outlineLevel="0" collapsed="false">
      <c r="A16" s="6"/>
      <c r="B16" s="6"/>
      <c r="C16" s="6"/>
      <c r="D16" s="6"/>
      <c r="E16" s="6"/>
      <c r="F16" s="6"/>
      <c r="G16" s="6"/>
      <c r="H16" s="6"/>
    </row>
    <row r="17" customFormat="false" ht="15" hidden="false" customHeight="false" outlineLevel="0" collapsed="false">
      <c r="A17" s="6"/>
      <c r="B17" s="6"/>
      <c r="C17" s="6"/>
      <c r="D17" s="6"/>
      <c r="E17" s="6"/>
      <c r="F17" s="6"/>
      <c r="G17" s="6"/>
      <c r="H17" s="6"/>
    </row>
    <row r="18" customFormat="false" ht="15" hidden="false" customHeight="false" outlineLevel="0" collapsed="false">
      <c r="A18" s="3"/>
      <c r="B18" s="3"/>
      <c r="C18" s="3"/>
      <c r="D18" s="3"/>
      <c r="E18" s="3"/>
      <c r="F18" s="3"/>
      <c r="G18" s="3"/>
      <c r="H18" s="3"/>
    </row>
    <row r="19" customFormat="false" ht="15" hidden="false" customHeight="true" outlineLevel="0" collapsed="false">
      <c r="A19" s="7" t="s">
        <v>5</v>
      </c>
      <c r="B19" s="7"/>
      <c r="C19" s="7"/>
      <c r="D19" s="7"/>
      <c r="E19" s="7"/>
      <c r="F19" s="7"/>
      <c r="G19" s="7"/>
      <c r="H19" s="7"/>
    </row>
    <row r="20" customFormat="false" ht="15" hidden="false" customHeight="false" outlineLevel="0" collapsed="false">
      <c r="A20" s="3"/>
      <c r="B20" s="3"/>
      <c r="C20" s="3"/>
      <c r="D20" s="3"/>
      <c r="E20" s="3"/>
      <c r="F20" s="3"/>
      <c r="G20" s="3"/>
      <c r="H20" s="3"/>
    </row>
    <row r="21" customFormat="false" ht="15" hidden="false" customHeight="false" outlineLevel="0" collapsed="false">
      <c r="A21" s="3"/>
      <c r="B21" s="3"/>
      <c r="C21" s="3"/>
      <c r="D21" s="3"/>
      <c r="E21" s="3"/>
      <c r="F21" s="3"/>
      <c r="G21" s="3"/>
      <c r="H21" s="3"/>
    </row>
    <row r="22" customFormat="false" ht="15" hidden="false" customHeight="false" outlineLevel="0" collapsed="false">
      <c r="A22" s="3"/>
      <c r="B22" s="3"/>
      <c r="C22" s="3"/>
      <c r="D22" s="3"/>
      <c r="E22" s="3"/>
      <c r="F22" s="3"/>
      <c r="G22" s="3"/>
      <c r="H22" s="3"/>
    </row>
    <row r="23" customFormat="false" ht="15" hidden="false" customHeight="false" outlineLevel="0" collapsed="false">
      <c r="A23" s="3"/>
      <c r="B23" s="3"/>
      <c r="C23" s="3"/>
      <c r="D23" s="3"/>
      <c r="E23" s="3"/>
      <c r="F23" s="3"/>
      <c r="G23" s="3"/>
      <c r="H23" s="3"/>
    </row>
    <row r="24" customFormat="false" ht="15" hidden="false" customHeight="false" outlineLevel="0" collapsed="false">
      <c r="A24" s="3"/>
      <c r="B24" s="3"/>
      <c r="C24" s="3"/>
      <c r="D24" s="3"/>
      <c r="E24" s="3"/>
      <c r="F24" s="3"/>
      <c r="G24" s="3"/>
      <c r="H24" s="3"/>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6" min="2" style="0" width="22"/>
  </cols>
  <sheetData>
    <row r="1" customFormat="false" ht="17.35" hidden="false" customHeight="false" outlineLevel="0" collapsed="false">
      <c r="A1" s="8" t="s">
        <v>6</v>
      </c>
      <c r="B1" s="8"/>
      <c r="C1" s="8"/>
      <c r="D1" s="8"/>
      <c r="E1" s="8"/>
      <c r="F1" s="8"/>
    </row>
    <row r="3" customFormat="false" ht="15" hidden="false" customHeight="false" outlineLevel="0" collapsed="false">
      <c r="A3" s="9" t="s">
        <v>7</v>
      </c>
      <c r="B3" s="9"/>
      <c r="C3" s="9"/>
      <c r="D3" s="9"/>
      <c r="E3" s="9"/>
      <c r="F3" s="9"/>
    </row>
    <row r="4" customFormat="false" ht="30" hidden="false" customHeight="true" outlineLevel="0" collapsed="false">
      <c r="A4" s="10" t="s">
        <v>8</v>
      </c>
      <c r="B4" s="10"/>
      <c r="C4" s="10"/>
      <c r="D4" s="10"/>
      <c r="E4" s="10"/>
      <c r="F4" s="10"/>
    </row>
    <row r="5" customFormat="false" ht="30" hidden="false" customHeight="true" outlineLevel="0" collapsed="false">
      <c r="A5" s="10" t="s">
        <v>9</v>
      </c>
      <c r="B5" s="10"/>
      <c r="C5" s="10"/>
      <c r="D5" s="10"/>
      <c r="E5" s="10"/>
      <c r="F5" s="10"/>
    </row>
    <row r="6" customFormat="false" ht="30" hidden="false" customHeight="true" outlineLevel="0" collapsed="false">
      <c r="A6" s="10" t="s">
        <v>10</v>
      </c>
      <c r="B6" s="10"/>
      <c r="C6" s="10"/>
      <c r="D6" s="10"/>
      <c r="E6" s="10"/>
      <c r="F6" s="10"/>
    </row>
    <row r="7" customFormat="false" ht="30" hidden="false" customHeight="true" outlineLevel="0" collapsed="false">
      <c r="A7" s="10" t="s">
        <v>11</v>
      </c>
      <c r="B7" s="10"/>
      <c r="C7" s="10"/>
      <c r="D7" s="10"/>
      <c r="E7" s="10"/>
      <c r="F7" s="10"/>
    </row>
    <row r="8" customFormat="false" ht="30" hidden="false" customHeight="true" outlineLevel="0" collapsed="false">
      <c r="A8" s="10" t="s">
        <v>12</v>
      </c>
      <c r="B8" s="10"/>
      <c r="C8" s="10"/>
      <c r="D8" s="10"/>
      <c r="E8" s="10"/>
      <c r="F8" s="10"/>
    </row>
    <row r="9" customFormat="false" ht="30" hidden="false" customHeight="true" outlineLevel="0" collapsed="false">
      <c r="A9" s="10" t="s">
        <v>13</v>
      </c>
      <c r="B9" s="10"/>
      <c r="C9" s="10"/>
      <c r="D9" s="10"/>
      <c r="E9" s="10"/>
      <c r="F9" s="10"/>
    </row>
    <row r="10" customFormat="false" ht="30" hidden="false" customHeight="true" outlineLevel="0" collapsed="false">
      <c r="A10" s="10" t="s">
        <v>14</v>
      </c>
      <c r="B10" s="10"/>
      <c r="C10" s="10"/>
      <c r="D10" s="10"/>
      <c r="E10" s="10"/>
      <c r="F10" s="10"/>
    </row>
    <row r="11" customFormat="false" ht="30" hidden="false" customHeight="true" outlineLevel="0" collapsed="false">
      <c r="A11" s="10" t="s">
        <v>15</v>
      </c>
      <c r="B11" s="10"/>
      <c r="C11" s="10"/>
      <c r="D11" s="10"/>
      <c r="E11" s="10"/>
      <c r="F11" s="10"/>
    </row>
    <row r="13" customFormat="false" ht="15" hidden="false" customHeight="false" outlineLevel="0" collapsed="false">
      <c r="A13" s="9" t="s">
        <v>16</v>
      </c>
      <c r="B13" s="9"/>
      <c r="C13" s="9"/>
      <c r="D13" s="9"/>
      <c r="E13" s="9"/>
      <c r="F13" s="9"/>
    </row>
    <row r="14" customFormat="false" ht="15" hidden="false" customHeight="false" outlineLevel="0" collapsed="false">
      <c r="A14" s="11"/>
      <c r="B14" s="12" t="s">
        <v>17</v>
      </c>
      <c r="C14" s="12"/>
      <c r="D14" s="13" t="s">
        <v>18</v>
      </c>
      <c r="E14" s="13"/>
      <c r="F14" s="13"/>
    </row>
    <row r="15" customFormat="false" ht="15" hidden="false" customHeight="false" outlineLevel="0" collapsed="false">
      <c r="A15" s="14"/>
      <c r="B15" s="12" t="s">
        <v>19</v>
      </c>
      <c r="C15" s="12"/>
      <c r="D15" s="13" t="s">
        <v>20</v>
      </c>
      <c r="E15" s="13"/>
      <c r="F15" s="13"/>
    </row>
    <row r="16" customFormat="false" ht="15" hidden="false" customHeight="false" outlineLevel="0" collapsed="false">
      <c r="A16" s="15"/>
      <c r="B16" s="12" t="s">
        <v>21</v>
      </c>
      <c r="C16" s="12"/>
      <c r="D16" s="13" t="s">
        <v>22</v>
      </c>
      <c r="E16" s="13"/>
      <c r="F16" s="13"/>
    </row>
    <row r="17" customFormat="false" ht="15" hidden="false" customHeight="false" outlineLevel="0" collapsed="false">
      <c r="A17" s="16"/>
      <c r="B17" s="12" t="s">
        <v>23</v>
      </c>
      <c r="C17" s="12"/>
      <c r="D17" s="13" t="s">
        <v>24</v>
      </c>
      <c r="E17" s="13"/>
      <c r="F17" s="13"/>
    </row>
    <row r="18" customFormat="false" ht="15" hidden="false" customHeight="false" outlineLevel="0" collapsed="false">
      <c r="A18" s="17"/>
      <c r="B18" s="12" t="s">
        <v>25</v>
      </c>
      <c r="C18" s="12"/>
      <c r="D18" s="13" t="s">
        <v>26</v>
      </c>
      <c r="E18" s="13"/>
      <c r="F18" s="13"/>
    </row>
    <row r="20" customFormat="false" ht="15" hidden="false" customHeight="false" outlineLevel="0" collapsed="false">
      <c r="A20" s="9" t="s">
        <v>27</v>
      </c>
      <c r="B20" s="9"/>
      <c r="C20" s="9"/>
      <c r="D20" s="9"/>
      <c r="E20" s="9"/>
      <c r="F20" s="9"/>
    </row>
    <row r="21" customFormat="false" ht="30" hidden="false" customHeight="true" outlineLevel="0" collapsed="false">
      <c r="A21" s="10" t="s">
        <v>28</v>
      </c>
      <c r="B21" s="10"/>
      <c r="C21" s="10"/>
      <c r="D21" s="10"/>
      <c r="E21" s="10"/>
      <c r="F21" s="10"/>
    </row>
    <row r="22" customFormat="false" ht="30" hidden="false" customHeight="true" outlineLevel="0" collapsed="false">
      <c r="A22" s="10" t="s">
        <v>29</v>
      </c>
      <c r="B22" s="10"/>
      <c r="C22" s="10"/>
      <c r="D22" s="10"/>
      <c r="E22" s="10"/>
      <c r="F22" s="10"/>
    </row>
    <row r="23" customFormat="false" ht="30" hidden="false" customHeight="true" outlineLevel="0" collapsed="false">
      <c r="A23" s="10" t="s">
        <v>30</v>
      </c>
      <c r="B23" s="10"/>
      <c r="C23" s="10"/>
      <c r="D23" s="10"/>
      <c r="E23" s="10"/>
      <c r="F23" s="10"/>
    </row>
  </sheetData>
  <mergeCells count="25">
    <mergeCell ref="A1:F1"/>
    <mergeCell ref="A3:F3"/>
    <mergeCell ref="A4:F4"/>
    <mergeCell ref="A5:F5"/>
    <mergeCell ref="A6:F6"/>
    <mergeCell ref="A7:F7"/>
    <mergeCell ref="A8:F8"/>
    <mergeCell ref="A9:F9"/>
    <mergeCell ref="A10:F10"/>
    <mergeCell ref="A11:F11"/>
    <mergeCell ref="A13:F13"/>
    <mergeCell ref="B14:C14"/>
    <mergeCell ref="D14:F14"/>
    <mergeCell ref="B15:C15"/>
    <mergeCell ref="D15:F15"/>
    <mergeCell ref="B16:C16"/>
    <mergeCell ref="D16:F16"/>
    <mergeCell ref="B17:C17"/>
    <mergeCell ref="D17:F17"/>
    <mergeCell ref="B18:C18"/>
    <mergeCell ref="D18:F18"/>
    <mergeCell ref="A20:F20"/>
    <mergeCell ref="A21:F21"/>
    <mergeCell ref="A22:F22"/>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14"/>
    <col collapsed="false" customWidth="true" hidden="false" outlineLevel="0" max="4" min="4" style="0" width="10"/>
    <col collapsed="false" customWidth="true" hidden="false" outlineLevel="0" max="5" min="5" style="0" width="30"/>
    <col collapsed="false" customWidth="true" hidden="false" outlineLevel="0" max="6" min="6" style="0" width="16"/>
    <col collapsed="false" customWidth="true" hidden="false" outlineLevel="0" max="8" min="7" style="0" width="12"/>
    <col collapsed="false" customWidth="true" hidden="false" outlineLevel="0" max="9" min="9" style="0" width="20"/>
    <col collapsed="false" customWidth="true" hidden="false" outlineLevel="0" max="11" min="10" style="0" width="13"/>
    <col collapsed="false" customWidth="true" hidden="false" outlineLevel="0" max="12" min="12" style="0" width="28"/>
  </cols>
  <sheetData>
    <row r="1" customFormat="false" ht="18.65" hidden="false" customHeight="true" outlineLevel="0" collapsed="false">
      <c r="A1" s="18" t="s">
        <v>31</v>
      </c>
      <c r="B1" s="18"/>
      <c r="C1" s="18"/>
      <c r="D1" s="18"/>
      <c r="E1" s="18"/>
      <c r="F1" s="18"/>
      <c r="G1" s="18"/>
      <c r="H1" s="18"/>
      <c r="I1" s="18"/>
      <c r="J1" s="18"/>
      <c r="K1" s="18"/>
      <c r="L1" s="18"/>
    </row>
    <row r="2" customFormat="false" ht="6" hidden="false" customHeight="true" outlineLevel="0" collapsed="false"/>
    <row r="3" customFormat="false" ht="15" hidden="false" customHeight="false" outlineLevel="0" collapsed="false">
      <c r="A3" s="19" t="s">
        <v>32</v>
      </c>
      <c r="C3" s="19" t="s">
        <v>33</v>
      </c>
      <c r="E3" s="19" t="s">
        <v>34</v>
      </c>
      <c r="G3" s="19" t="s">
        <v>35</v>
      </c>
      <c r="I3" s="19" t="s">
        <v>36</v>
      </c>
      <c r="K3" s="19" t="s">
        <v>37</v>
      </c>
    </row>
    <row r="4" customFormat="false" ht="20.85" hidden="false" customHeight="false" outlineLevel="0" collapsed="false">
      <c r="A4" s="20" t="n">
        <f aca="false">COUNTA(A8:A28)</f>
        <v>6</v>
      </c>
      <c r="C4" s="21" t="n">
        <f aca="false">SUM(D8:D28)</f>
        <v>572</v>
      </c>
      <c r="E4" s="22" t="n">
        <f aca="false">IFERROR(AVERAGE(G8:G28),0)</f>
        <v>0.55</v>
      </c>
      <c r="G4" s="23" t="n">
        <f aca="false">COUNTIF(H8:H28,"FULL")</f>
        <v>1</v>
      </c>
      <c r="I4" s="24" t="n">
        <f aca="false">COUNTIF(H8:H28,"AVAILABLE")</f>
        <v>3</v>
      </c>
      <c r="K4" s="20" t="n">
        <f aca="false">COUNTIF(H8:H28,"CLOSED")</f>
        <v>0</v>
      </c>
    </row>
    <row r="5" customFormat="false" ht="15" hidden="false" customHeight="false" outlineLevel="0" collapsed="false">
      <c r="A5" s="25"/>
      <c r="B5" s="25"/>
      <c r="C5" s="25"/>
      <c r="D5" s="25"/>
      <c r="E5" s="25"/>
      <c r="F5" s="25"/>
      <c r="G5" s="25"/>
      <c r="H5" s="25"/>
      <c r="I5" s="25"/>
      <c r="J5" s="25"/>
      <c r="K5" s="25"/>
      <c r="L5" s="25"/>
    </row>
    <row r="6" customFormat="false" ht="3.75" hidden="false" customHeight="true" outlineLevel="0" collapsed="false"/>
    <row r="7" customFormat="false" ht="37.5" hidden="false" customHeight="true" outlineLevel="0" collapsed="false">
      <c r="A7" s="26" t="s">
        <v>38</v>
      </c>
      <c r="B7" s="26" t="s">
        <v>39</v>
      </c>
      <c r="C7" s="26" t="s">
        <v>40</v>
      </c>
      <c r="D7" s="26" t="s">
        <v>41</v>
      </c>
      <c r="E7" s="26" t="s">
        <v>42</v>
      </c>
      <c r="F7" s="26" t="s">
        <v>43</v>
      </c>
      <c r="G7" s="26" t="s">
        <v>44</v>
      </c>
      <c r="H7" s="26" t="s">
        <v>45</v>
      </c>
      <c r="I7" s="26" t="s">
        <v>46</v>
      </c>
      <c r="J7" s="26" t="s">
        <v>47</v>
      </c>
      <c r="K7" s="26" t="s">
        <v>48</v>
      </c>
      <c r="L7" s="26" t="s">
        <v>49</v>
      </c>
    </row>
    <row r="8" customFormat="false" ht="23.85" hidden="false" customHeight="false" outlineLevel="0" collapsed="false">
      <c r="A8" s="27" t="s">
        <v>50</v>
      </c>
      <c r="B8" s="28" t="s">
        <v>51</v>
      </c>
      <c r="C8" s="27" t="s">
        <v>52</v>
      </c>
      <c r="D8" s="27" t="n">
        <v>200</v>
      </c>
      <c r="E8" s="28" t="s">
        <v>53</v>
      </c>
      <c r="F8" s="28" t="s">
        <v>54</v>
      </c>
      <c r="G8" s="29" t="n">
        <v>0.65</v>
      </c>
      <c r="H8" s="30" t="str">
        <f aca="true">IF(A8="","",IF(K8&lt;&gt;"",IF(K8&lt;TODAY(),"CLOSED",IF(G8&gt;0.8,"FULL",IF(G8&gt;0.5,"BUSY","AVAILABLE"))),IF(G8&gt;0.8,"FULL",IF(G8&gt;0.5,"BUSY","AVAILABLE"))))</f>
        <v>BUSY</v>
      </c>
      <c r="I8" s="28" t="s">
        <v>55</v>
      </c>
      <c r="J8" s="31" t="n">
        <v>46037</v>
      </c>
      <c r="K8" s="31" t="n">
        <v>46203</v>
      </c>
      <c r="L8" s="28" t="s">
        <v>56</v>
      </c>
    </row>
    <row r="9" customFormat="false" ht="23.85" hidden="false" customHeight="false" outlineLevel="0" collapsed="false">
      <c r="A9" s="27" t="s">
        <v>57</v>
      </c>
      <c r="B9" s="28" t="s">
        <v>58</v>
      </c>
      <c r="C9" s="27" t="s">
        <v>59</v>
      </c>
      <c r="D9" s="27" t="n">
        <v>30</v>
      </c>
      <c r="E9" s="28" t="s">
        <v>60</v>
      </c>
      <c r="F9" s="28" t="s">
        <v>61</v>
      </c>
      <c r="G9" s="29" t="n">
        <v>0.8</v>
      </c>
      <c r="H9" s="30" t="str">
        <f aca="true">IF(A9="","",IF(K9&lt;&gt;"",IF(K9&lt;TODAY(),"CLOSED",IF(G9&gt;0.8,"FULL",IF(G9&gt;0.5,"BUSY","AVAILABLE"))),IF(G9&gt;0.8,"FULL",IF(G9&gt;0.5,"BUSY","AVAILABLE"))))</f>
        <v>BUSY</v>
      </c>
      <c r="I9" s="28" t="s">
        <v>62</v>
      </c>
      <c r="J9" s="31" t="n">
        <v>46037</v>
      </c>
      <c r="K9" s="31"/>
      <c r="L9" s="28" t="s">
        <v>63</v>
      </c>
    </row>
    <row r="10" customFormat="false" ht="23.85" hidden="false" customHeight="false" outlineLevel="0" collapsed="false">
      <c r="A10" s="27" t="s">
        <v>64</v>
      </c>
      <c r="B10" s="28" t="s">
        <v>65</v>
      </c>
      <c r="C10" s="27" t="s">
        <v>65</v>
      </c>
      <c r="D10" s="27" t="n">
        <v>12</v>
      </c>
      <c r="E10" s="28" t="s">
        <v>66</v>
      </c>
      <c r="F10" s="28" t="s">
        <v>67</v>
      </c>
      <c r="G10" s="29" t="n">
        <v>0.45</v>
      </c>
      <c r="H10" s="30" t="str">
        <f aca="true">IF(A10="","",IF(K10&lt;&gt;"",IF(K10&lt;TODAY(),"CLOSED",IF(G10&gt;0.8,"FULL",IF(G10&gt;0.5,"BUSY","AVAILABLE"))),IF(G10&gt;0.8,"FULL",IF(G10&gt;0.5,"BUSY","AVAILABLE"))))</f>
        <v>AVAILABLE</v>
      </c>
      <c r="I10" s="28" t="s">
        <v>68</v>
      </c>
      <c r="J10" s="31" t="n">
        <v>46037</v>
      </c>
      <c r="K10" s="31"/>
      <c r="L10" s="28" t="s">
        <v>69</v>
      </c>
    </row>
    <row r="11" customFormat="false" ht="23.85" hidden="false" customHeight="false" outlineLevel="0" collapsed="false">
      <c r="A11" s="27" t="s">
        <v>70</v>
      </c>
      <c r="B11" s="28" t="s">
        <v>71</v>
      </c>
      <c r="C11" s="27" t="s">
        <v>52</v>
      </c>
      <c r="D11" s="27" t="n">
        <v>150</v>
      </c>
      <c r="E11" s="28" t="s">
        <v>72</v>
      </c>
      <c r="F11" s="28" t="s">
        <v>73</v>
      </c>
      <c r="G11" s="29" t="n">
        <v>0.3</v>
      </c>
      <c r="H11" s="30" t="str">
        <f aca="true">IF(A11="","",IF(K11&lt;&gt;"",IF(K11&lt;TODAY(),"CLOSED",IF(G11&gt;0.8,"FULL",IF(G11&gt;0.5,"BUSY","AVAILABLE"))),IF(G11&gt;0.8,"FULL",IF(G11&gt;0.5,"BUSY","AVAILABLE"))))</f>
        <v>AVAILABLE</v>
      </c>
      <c r="I11" s="28" t="s">
        <v>55</v>
      </c>
      <c r="J11" s="31" t="n">
        <v>46054</v>
      </c>
      <c r="K11" s="31" t="n">
        <v>46173</v>
      </c>
      <c r="L11" s="28" t="s">
        <v>74</v>
      </c>
    </row>
    <row r="12" customFormat="false" ht="23.85" hidden="false" customHeight="false" outlineLevel="0" collapsed="false">
      <c r="A12" s="27" t="s">
        <v>75</v>
      </c>
      <c r="B12" s="28" t="s">
        <v>76</v>
      </c>
      <c r="C12" s="27" t="s">
        <v>77</v>
      </c>
      <c r="D12" s="27" t="n">
        <v>100</v>
      </c>
      <c r="E12" s="28" t="s">
        <v>78</v>
      </c>
      <c r="F12" s="28" t="s">
        <v>79</v>
      </c>
      <c r="G12" s="29" t="n">
        <v>0.9</v>
      </c>
      <c r="H12" s="30" t="str">
        <f aca="true">IF(A12="","",IF(K12&lt;&gt;"",IF(K12&lt;TODAY(),"CLOSED",IF(G12&gt;0.8,"FULL",IF(G12&gt;0.5,"BUSY","AVAILABLE"))),IF(G12&gt;0.8,"FULL",IF(G12&gt;0.5,"BUSY","AVAILABLE"))))</f>
        <v>FULL</v>
      </c>
      <c r="I12" s="28" t="s">
        <v>55</v>
      </c>
      <c r="J12" s="31" t="n">
        <v>46037</v>
      </c>
      <c r="K12" s="31"/>
      <c r="L12" s="28" t="s">
        <v>80</v>
      </c>
    </row>
    <row r="13" customFormat="false" ht="23.85" hidden="false" customHeight="false" outlineLevel="0" collapsed="false">
      <c r="A13" s="27" t="s">
        <v>81</v>
      </c>
      <c r="B13" s="28" t="s">
        <v>82</v>
      </c>
      <c r="C13" s="27" t="s">
        <v>83</v>
      </c>
      <c r="D13" s="27" t="n">
        <v>80</v>
      </c>
      <c r="E13" s="28" t="s">
        <v>84</v>
      </c>
      <c r="F13" s="28" t="s">
        <v>85</v>
      </c>
      <c r="G13" s="29" t="n">
        <v>0.2</v>
      </c>
      <c r="H13" s="30" t="str">
        <f aca="true">IF(A13="","",IF(K13&lt;&gt;"",IF(K13&lt;TODAY(),"CLOSED",IF(G13&gt;0.8,"FULL",IF(G13&gt;0.5,"BUSY","AVAILABLE"))),IF(G13&gt;0.8,"FULL",IF(G13&gt;0.5,"BUSY","AVAILABLE"))))</f>
        <v>AVAILABLE</v>
      </c>
      <c r="I13" s="28" t="s">
        <v>55</v>
      </c>
      <c r="J13" s="31" t="n">
        <v>46082</v>
      </c>
      <c r="K13" s="31" t="n">
        <v>46142</v>
      </c>
      <c r="L13" s="28" t="s">
        <v>86</v>
      </c>
    </row>
    <row r="14" customFormat="false" ht="15" hidden="false" customHeight="false" outlineLevel="0" collapsed="false">
      <c r="A14" s="27"/>
      <c r="B14" s="28"/>
      <c r="C14" s="27"/>
      <c r="D14" s="27"/>
      <c r="E14" s="28"/>
      <c r="F14" s="28"/>
      <c r="G14" s="29"/>
      <c r="H14" s="30" t="str">
        <f aca="true">IF(A14="","",IF(K14&lt;&gt;"",IF(K14&lt;TODAY(),"CLOSED",IF(G14&gt;0.8,"FULL",IF(G14&gt;0.5,"BUSY","AVAILABLE"))),IF(G14&gt;0.8,"FULL",IF(G14&gt;0.5,"BUSY","AVAILABLE"))))</f>
        <v/>
      </c>
      <c r="I14" s="28"/>
      <c r="J14" s="31"/>
      <c r="K14" s="31"/>
      <c r="L14" s="28"/>
    </row>
    <row r="15" customFormat="false" ht="15" hidden="false" customHeight="false" outlineLevel="0" collapsed="false">
      <c r="A15" s="27"/>
      <c r="B15" s="28"/>
      <c r="C15" s="27"/>
      <c r="D15" s="27"/>
      <c r="E15" s="28"/>
      <c r="F15" s="28"/>
      <c r="G15" s="29"/>
      <c r="H15" s="30" t="str">
        <f aca="true">IF(A15="","",IF(K15&lt;&gt;"",IF(K15&lt;TODAY(),"CLOSED",IF(G15&gt;0.8,"FULL",IF(G15&gt;0.5,"BUSY","AVAILABLE"))),IF(G15&gt;0.8,"FULL",IF(G15&gt;0.5,"BUSY","AVAILABLE"))))</f>
        <v/>
      </c>
      <c r="I15" s="28"/>
      <c r="J15" s="31"/>
      <c r="K15" s="31"/>
      <c r="L15" s="28"/>
    </row>
    <row r="16" customFormat="false" ht="15" hidden="false" customHeight="false" outlineLevel="0" collapsed="false">
      <c r="A16" s="27"/>
      <c r="B16" s="28"/>
      <c r="C16" s="27"/>
      <c r="D16" s="27"/>
      <c r="E16" s="28"/>
      <c r="F16" s="28"/>
      <c r="G16" s="29"/>
      <c r="H16" s="30" t="str">
        <f aca="true">IF(A16="","",IF(K16&lt;&gt;"",IF(K16&lt;TODAY(),"CLOSED",IF(G16&gt;0.8,"FULL",IF(G16&gt;0.5,"BUSY","AVAILABLE"))),IF(G16&gt;0.8,"FULL",IF(G16&gt;0.5,"BUSY","AVAILABLE"))))</f>
        <v/>
      </c>
      <c r="I16" s="28"/>
      <c r="J16" s="31"/>
      <c r="K16" s="31"/>
      <c r="L16" s="28"/>
    </row>
    <row r="17" customFormat="false" ht="15" hidden="false" customHeight="false" outlineLevel="0" collapsed="false">
      <c r="A17" s="27"/>
      <c r="B17" s="28"/>
      <c r="C17" s="27"/>
      <c r="D17" s="27"/>
      <c r="E17" s="28"/>
      <c r="F17" s="28"/>
      <c r="G17" s="29"/>
      <c r="H17" s="30" t="str">
        <f aca="true">IF(A17="","",IF(K17&lt;&gt;"",IF(K17&lt;TODAY(),"CLOSED",IF(G17&gt;0.8,"FULL",IF(G17&gt;0.5,"BUSY","AVAILABLE"))),IF(G17&gt;0.8,"FULL",IF(G17&gt;0.5,"BUSY","AVAILABLE"))))</f>
        <v/>
      </c>
      <c r="I17" s="28"/>
      <c r="J17" s="31"/>
      <c r="K17" s="31"/>
      <c r="L17" s="28"/>
    </row>
    <row r="18" customFormat="false" ht="15" hidden="false" customHeight="false" outlineLevel="0" collapsed="false">
      <c r="A18" s="27"/>
      <c r="B18" s="28"/>
      <c r="C18" s="27"/>
      <c r="D18" s="27"/>
      <c r="E18" s="28"/>
      <c r="F18" s="28"/>
      <c r="G18" s="29"/>
      <c r="H18" s="30" t="str">
        <f aca="true">IF(A18="","",IF(K18&lt;&gt;"",IF(K18&lt;TODAY(),"CLOSED",IF(G18&gt;0.8,"FULL",IF(G18&gt;0.5,"BUSY","AVAILABLE"))),IF(G18&gt;0.8,"FULL",IF(G18&gt;0.5,"BUSY","AVAILABLE"))))</f>
        <v/>
      </c>
      <c r="I18" s="28"/>
      <c r="J18" s="31"/>
      <c r="K18" s="31"/>
      <c r="L18" s="28"/>
    </row>
    <row r="19" customFormat="false" ht="15" hidden="false" customHeight="false" outlineLevel="0" collapsed="false">
      <c r="A19" s="27"/>
      <c r="B19" s="28"/>
      <c r="C19" s="27"/>
      <c r="D19" s="27"/>
      <c r="E19" s="28"/>
      <c r="F19" s="28"/>
      <c r="G19" s="29"/>
      <c r="H19" s="30" t="str">
        <f aca="true">IF(A19="","",IF(K19&lt;&gt;"",IF(K19&lt;TODAY(),"CLOSED",IF(G19&gt;0.8,"FULL",IF(G19&gt;0.5,"BUSY","AVAILABLE"))),IF(G19&gt;0.8,"FULL",IF(G19&gt;0.5,"BUSY","AVAILABLE"))))</f>
        <v/>
      </c>
      <c r="I19" s="28"/>
      <c r="J19" s="31"/>
      <c r="K19" s="31"/>
      <c r="L19" s="28"/>
    </row>
    <row r="20" customFormat="false" ht="15" hidden="false" customHeight="false" outlineLevel="0" collapsed="false">
      <c r="A20" s="27"/>
      <c r="B20" s="28"/>
      <c r="C20" s="27"/>
      <c r="D20" s="27"/>
      <c r="E20" s="28"/>
      <c r="F20" s="28"/>
      <c r="G20" s="29"/>
      <c r="H20" s="30" t="str">
        <f aca="true">IF(A20="","",IF(K20&lt;&gt;"",IF(K20&lt;TODAY(),"CLOSED",IF(G20&gt;0.8,"FULL",IF(G20&gt;0.5,"BUSY","AVAILABLE"))),IF(G20&gt;0.8,"FULL",IF(G20&gt;0.5,"BUSY","AVAILABLE"))))</f>
        <v/>
      </c>
      <c r="I20" s="28"/>
      <c r="J20" s="31"/>
      <c r="K20" s="31"/>
      <c r="L20" s="28"/>
    </row>
    <row r="21" customFormat="false" ht="15" hidden="false" customHeight="false" outlineLevel="0" collapsed="false">
      <c r="A21" s="27"/>
      <c r="B21" s="28"/>
      <c r="C21" s="27"/>
      <c r="D21" s="27"/>
      <c r="E21" s="28"/>
      <c r="F21" s="28"/>
      <c r="G21" s="29"/>
      <c r="H21" s="30" t="str">
        <f aca="true">IF(A21="","",IF(K21&lt;&gt;"",IF(K21&lt;TODAY(),"CLOSED",IF(G21&gt;0.8,"FULL",IF(G21&gt;0.5,"BUSY","AVAILABLE"))),IF(G21&gt;0.8,"FULL",IF(G21&gt;0.5,"BUSY","AVAILABLE"))))</f>
        <v/>
      </c>
      <c r="I21" s="28"/>
      <c r="J21" s="31"/>
      <c r="K21" s="31"/>
      <c r="L21" s="28"/>
    </row>
    <row r="22" customFormat="false" ht="15" hidden="false" customHeight="false" outlineLevel="0" collapsed="false">
      <c r="A22" s="27"/>
      <c r="B22" s="28"/>
      <c r="C22" s="27"/>
      <c r="D22" s="27"/>
      <c r="E22" s="28"/>
      <c r="F22" s="28"/>
      <c r="G22" s="29"/>
      <c r="H22" s="30" t="str">
        <f aca="true">IF(A22="","",IF(K22&lt;&gt;"",IF(K22&lt;TODAY(),"CLOSED",IF(G22&gt;0.8,"FULL",IF(G22&gt;0.5,"BUSY","AVAILABLE"))),IF(G22&gt;0.8,"FULL",IF(G22&gt;0.5,"BUSY","AVAILABLE"))))</f>
        <v/>
      </c>
      <c r="I22" s="28"/>
      <c r="J22" s="31"/>
      <c r="K22" s="31"/>
      <c r="L22" s="28"/>
    </row>
    <row r="23" customFormat="false" ht="15" hidden="false" customHeight="false" outlineLevel="0" collapsed="false">
      <c r="A23" s="27"/>
      <c r="B23" s="28"/>
      <c r="C23" s="27"/>
      <c r="D23" s="27"/>
      <c r="E23" s="28"/>
      <c r="F23" s="28"/>
      <c r="G23" s="29"/>
      <c r="H23" s="30" t="str">
        <f aca="true">IF(A23="","",IF(K23&lt;&gt;"",IF(K23&lt;TODAY(),"CLOSED",IF(G23&gt;0.8,"FULL",IF(G23&gt;0.5,"BUSY","AVAILABLE"))),IF(G23&gt;0.8,"FULL",IF(G23&gt;0.5,"BUSY","AVAILABLE"))))</f>
        <v/>
      </c>
      <c r="I23" s="28"/>
      <c r="J23" s="31"/>
      <c r="K23" s="31"/>
      <c r="L23" s="28"/>
    </row>
    <row r="24" customFormat="false" ht="15" hidden="false" customHeight="false" outlineLevel="0" collapsed="false">
      <c r="A24" s="27"/>
      <c r="B24" s="28"/>
      <c r="C24" s="27"/>
      <c r="D24" s="27"/>
      <c r="E24" s="28"/>
      <c r="F24" s="28"/>
      <c r="G24" s="29"/>
      <c r="H24" s="30" t="str">
        <f aca="true">IF(A24="","",IF(K24&lt;&gt;"",IF(K24&lt;TODAY(),"CLOSED",IF(G24&gt;0.8,"FULL",IF(G24&gt;0.5,"BUSY","AVAILABLE"))),IF(G24&gt;0.8,"FULL",IF(G24&gt;0.5,"BUSY","AVAILABLE"))))</f>
        <v/>
      </c>
      <c r="I24" s="28"/>
      <c r="J24" s="31"/>
      <c r="K24" s="31"/>
      <c r="L24" s="28"/>
    </row>
    <row r="25" customFormat="false" ht="15" hidden="false" customHeight="false" outlineLevel="0" collapsed="false">
      <c r="A25" s="27"/>
      <c r="B25" s="28"/>
      <c r="C25" s="27"/>
      <c r="D25" s="27"/>
      <c r="E25" s="28"/>
      <c r="F25" s="28"/>
      <c r="G25" s="29"/>
      <c r="H25" s="30" t="str">
        <f aca="true">IF(A25="","",IF(K25&lt;&gt;"",IF(K25&lt;TODAY(),"CLOSED",IF(G25&gt;0.8,"FULL",IF(G25&gt;0.5,"BUSY","AVAILABLE"))),IF(G25&gt;0.8,"FULL",IF(G25&gt;0.5,"BUSY","AVAILABLE"))))</f>
        <v/>
      </c>
      <c r="I25" s="28"/>
      <c r="J25" s="31"/>
      <c r="K25" s="31"/>
      <c r="L25" s="28"/>
    </row>
    <row r="26" customFormat="false" ht="15" hidden="false" customHeight="false" outlineLevel="0" collapsed="false">
      <c r="A26" s="27"/>
      <c r="B26" s="28"/>
      <c r="C26" s="27"/>
      <c r="D26" s="27"/>
      <c r="E26" s="28"/>
      <c r="F26" s="28"/>
      <c r="G26" s="29"/>
      <c r="H26" s="30" t="str">
        <f aca="true">IF(A26="","",IF(K26&lt;&gt;"",IF(K26&lt;TODAY(),"CLOSED",IF(G26&gt;0.8,"FULL",IF(G26&gt;0.5,"BUSY","AVAILABLE"))),IF(G26&gt;0.8,"FULL",IF(G26&gt;0.5,"BUSY","AVAILABLE"))))</f>
        <v/>
      </c>
      <c r="I26" s="28"/>
      <c r="J26" s="31"/>
      <c r="K26" s="31"/>
      <c r="L26" s="28"/>
    </row>
    <row r="27" customFormat="false" ht="15" hidden="false" customHeight="false" outlineLevel="0" collapsed="false">
      <c r="A27" s="27"/>
      <c r="B27" s="28"/>
      <c r="C27" s="27"/>
      <c r="D27" s="27"/>
      <c r="E27" s="28"/>
      <c r="F27" s="28"/>
      <c r="G27" s="29"/>
      <c r="H27" s="30" t="str">
        <f aca="true">IF(A27="","",IF(K27&lt;&gt;"",IF(K27&lt;TODAY(),"CLOSED",IF(G27&gt;0.8,"FULL",IF(G27&gt;0.5,"BUSY","AVAILABLE"))),IF(G27&gt;0.8,"FULL",IF(G27&gt;0.5,"BUSY","AVAILABLE"))))</f>
        <v/>
      </c>
      <c r="I27" s="28"/>
      <c r="J27" s="31"/>
      <c r="K27" s="31"/>
      <c r="L27" s="28"/>
    </row>
    <row r="28" customFormat="false" ht="15" hidden="false" customHeight="false" outlineLevel="0" collapsed="false">
      <c r="A28" s="27"/>
      <c r="B28" s="28"/>
      <c r="C28" s="27"/>
      <c r="D28" s="27"/>
      <c r="E28" s="28"/>
      <c r="F28" s="28"/>
      <c r="G28" s="29"/>
      <c r="H28" s="30" t="str">
        <f aca="true">IF(A28="","",IF(K28&lt;&gt;"",IF(K28&lt;TODAY(),"CLOSED",IF(G28&gt;0.8,"FULL",IF(G28&gt;0.5,"BUSY","AVAILABLE"))),IF(G28&gt;0.8,"FULL",IF(G28&gt;0.5,"BUSY","AVAILABLE"))))</f>
        <v/>
      </c>
      <c r="I28" s="28"/>
      <c r="J28" s="31"/>
      <c r="K28" s="31"/>
      <c r="L28" s="28"/>
    </row>
  </sheetData>
  <autoFilter ref="A7:L28"/>
  <mergeCells count="1">
    <mergeCell ref="A1:L1"/>
  </mergeCells>
  <conditionalFormatting sqref="H8:H28">
    <cfRule type="cellIs" priority="2" operator="equal" aboveAverage="0" equalAverage="0" bottom="0" percent="0" rank="0" text="" dxfId="9">
      <formula>"AVAILABLE"</formula>
    </cfRule>
    <cfRule type="cellIs" priority="3" operator="equal" aboveAverage="0" equalAverage="0" bottom="0" percent="0" rank="0" text="" dxfId="10">
      <formula>"BUSY"</formula>
    </cfRule>
    <cfRule type="cellIs" priority="4" operator="equal" aboveAverage="0" equalAverage="0" bottom="0" percent="0" rank="0" text="" dxfId="11">
      <formula>"FULL"</formula>
    </cfRule>
    <cfRule type="cellIs" priority="5" operator="equal" aboveAverage="0" equalAverage="0" bottom="0" percent="0" rank="0" text="" dxfId="12">
      <formula>"CLOSED"</formula>
    </cfRule>
  </conditionalFormatting>
  <conditionalFormatting sqref="G8:G28">
    <cfRule type="expression" priority="6" aboveAverage="0" equalAverage="0" bottom="0" percent="0" rank="0" text="" dxfId="13">
      <formula>AND(G8&lt;&gt;"",G8&gt;0.8)</formula>
    </cfRule>
    <cfRule type="expression" priority="7" aboveAverage="0" equalAverage="0" bottom="0" percent="0" rank="0" text="" dxfId="14">
      <formula>AND(G8&lt;&gt;"",G8&gt;0.5,G8&lt;=0.8)</formula>
    </cfRule>
    <cfRule type="expression" priority="8" aboveAverage="0" equalAverage="0" bottom="0" percent="0" rank="0" text="" dxfId="15">
      <formula>AND(G8&lt;&gt;"",G8&lt;=0.5)</formula>
    </cfRule>
  </conditionalFormatting>
  <dataValidations count="2">
    <dataValidation allowBlank="true" errorStyle="stop" operator="between" showDropDown="false" showErrorMessage="false" showInputMessage="false" sqref="C8:C28" type="list">
      <formula1>"Open Laydown,Covered Store,Secure Compound,Container,COSHH Store,Fuel Point,Waste Area,Temporary,Other"</formula1>
      <formula2>0</formula2>
    </dataValidation>
    <dataValidation allowBlank="true" errorStyle="stop" operator="between" showDropDown="false" showErrorMessage="false" showInputMessage="false" sqref="I8:I28" type="list">
      <formula1>"Open Access,Locked,Permit Required,COSHH Trained Only,Supervisor Only,Key Holder Only"</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&amp;CStorage Area Allocation Plan</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s>
  <sheetData>
    <row r="1" customFormat="false" ht="15" hidden="false" customHeight="false" outlineLevel="0" collapsed="false">
      <c r="A1" s="32" t="s">
        <v>87</v>
      </c>
    </row>
    <row r="2" customFormat="false" ht="15" hidden="false" customHeight="false" outlineLevel="0" collapsed="false">
      <c r="A2" s="32"/>
    </row>
    <row r="3" customFormat="false" ht="15" hidden="false" customHeight="false" outlineLevel="0" collapsed="false">
      <c r="A3" s="32" t="s">
        <v>88</v>
      </c>
    </row>
    <row r="4" customFormat="false" ht="15" hidden="false" customHeight="false" outlineLevel="0" collapsed="false">
      <c r="A4" s="32"/>
    </row>
    <row r="5" customFormat="false" ht="15" hidden="false" customHeight="false" outlineLevel="0" collapsed="false">
      <c r="A5" s="32" t="s">
        <v>89</v>
      </c>
    </row>
    <row r="6" customFormat="false" ht="15" hidden="false" customHeight="false" outlineLevel="0" collapsed="false">
      <c r="A6" s="32"/>
    </row>
    <row r="7" customFormat="false" ht="15" hidden="false" customHeight="false" outlineLevel="0" collapsed="false">
      <c r="A7" s="32" t="s">
        <v>90</v>
      </c>
    </row>
    <row r="8" customFormat="false" ht="15" hidden="false" customHeight="false" outlineLevel="0" collapsed="false">
      <c r="A8" s="32"/>
    </row>
    <row r="9" customFormat="false" ht="15" hidden="false" customHeight="false" outlineLevel="0" collapsed="false">
      <c r="A9" s="32" t="s">
        <v>91</v>
      </c>
    </row>
    <row r="10" customFormat="false" ht="15" hidden="false" customHeight="false" outlineLevel="0" collapsed="false">
      <c r="A10" s="32"/>
    </row>
    <row r="11" customFormat="false" ht="15" hidden="false" customHeight="false" outlineLevel="0" collapsed="false">
      <c r="A11" s="32" t="s">
        <v>92</v>
      </c>
    </row>
    <row r="12" customFormat="false" ht="15" hidden="false" customHeight="false" outlineLevel="0" collapsed="false">
      <c r="A12" s="32"/>
    </row>
    <row r="13" customFormat="false" ht="15" hidden="false" customHeight="false" outlineLevel="0" collapsed="false">
      <c r="A13" s="32" t="s">
        <v>93</v>
      </c>
    </row>
    <row r="14" customFormat="false" ht="15" hidden="false" customHeight="false" outlineLevel="0" collapsed="false">
      <c r="A14" s="32"/>
    </row>
    <row r="15" customFormat="false" ht="15" hidden="false" customHeight="false" outlineLevel="0" collapsed="false">
      <c r="A15" s="32" t="s">
        <v>94</v>
      </c>
    </row>
    <row r="16" customFormat="false" ht="15" hidden="false" customHeight="false" outlineLevel="0" collapsed="false">
      <c r="A16" s="32"/>
    </row>
    <row r="17" customFormat="false" ht="15" hidden="false" customHeight="false" outlineLevel="0" collapsed="false">
      <c r="A17" s="32"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Logistics, Plant &amp; Procurement</cp:category>
  <dcterms:created xsi:type="dcterms:W3CDTF">2026-03-23T17:30:49Z</dcterms:created>
  <dc:creator>Ebrora Ltd</dc:creator>
  <dc:description>Plan and manage site storage zones with material assignments, capacity tracking, utilisation monitoring, and access requirements.
Free professional construction management template from Ebrora Ltd. Visit ebrora.com for our full range of tools and templates.</dc:description>
  <cp:keywords>Ebrora construction logistics storage laydown allocation materials site management</cp:keywords>
  <dc:language>en-US</dc:language>
  <cp:lastModifiedBy>Ebrora Ltd</cp:lastModifiedBy>
  <dcterms:modified xsi:type="dcterms:W3CDTF">2026-03-23T17:30:49Z</dcterms:modified>
  <cp:revision>0</cp:revision>
  <dc:subject>Plan and manage site storage zones with material assignments, capacity tracking, and utilisation monitoring.</dc:subject>
  <dc:title>Storage Area Allocation Plan</dc:title>
</cp:coreProperties>
</file>

<file path=docProps/custom.xml><?xml version="1.0" encoding="utf-8"?>
<Properties xmlns="http://schemas.openxmlformats.org/officeDocument/2006/custom-properties" xmlns:vt="http://schemas.openxmlformats.org/officeDocument/2006/docPropsVTypes"/>
</file>