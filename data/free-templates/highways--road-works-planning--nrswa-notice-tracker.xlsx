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RSWA NOTICE TRACKER" sheetId="1" state="visible" r:id="rId3"/>
    <sheet name="Instructions" sheetId="2" state="visible" r:id="rId4"/>
  </sheets>
  <definedNames>
    <definedName function="false" hidden="false" localSheetId="0" name="_xlnm.Print_Area" vbProcedure="false">'NRSWA NOTICE TRACKER'!$A$1:$P$37</definedName>
    <definedName function="false" hidden="false" localSheetId="0" name="_xlnm.Print_Titles" vbProcedure="false">'NRSWA NOTICE TRACKER'!$1:$6</definedName>
    <definedName function="false" hidden="true" localSheetId="0" name="_xlnm._FilterDatabase" vbProcedure="false">'NRSWA NOTICE TRACKER'!$A$6:$P$31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<sst xmlns="http://schemas.openxmlformats.org/spreadsheetml/2006/main" count="34" uniqueCount="33">
  <si>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</si>
  <si>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NRSWA NOTICE TRACKER</t>
  </si>
  <si>
    <t xml:space="preserve">Ref: New Roads and Street Works Act 1991; Traffic Management Act 2004</t>
  </si>
  <si>
    <t xml:space="preserve">Project:</t>
  </si>
  <si>
    <t xml:space="preserve">Prepared By:</t>
  </si>
  <si>
    <t xml:space="preserve">Rev:</t>
  </si>
  <si>
    <t xml:space="preserve">No.</t>
  </si>
  <si>
    <t xml:space="preserve">Notice
Ref</t>
  </si>
  <si>
    <t xml:space="preserve">Notice
Type</t>
  </si>
  <si>
    <t xml:space="preserve">Street /
Location</t>
  </si>
  <si>
    <t xml:space="preserve">Local
Authority</t>
  </si>
  <si>
    <t xml:space="preserve">Works
Description</t>
  </si>
  <si>
    <t xml:space="preserve">Promoter</t>
  </si>
  <si>
    <t xml:space="preserve">Notice
Served Date</t>
  </si>
  <si>
    <t xml:space="preserve">Works
Start Date</t>
  </si>
  <si>
    <t xml:space="preserve">Works
End Date</t>
  </si>
  <si>
    <t xml:space="preserve">Duration
(Days)</t>
  </si>
  <si>
    <t xml:space="preserve">S.74 Charge
Risk?
(Yes/No)</t>
  </si>
  <si>
    <t xml:space="preserve">Actual
End Date</t>
  </si>
  <si>
    <t xml:space="preserve">Overrun
(Days)</t>
  </si>
  <si>
    <t xml:space="preserve">Status</t>
  </si>
  <si>
    <t xml:space="preserve">Comments</t>
  </si>
  <si>
    <t xml:space="preserve">SUMMARY</t>
  </si>
  <si>
    <t xml:space="preserve">Total Notices:</t>
  </si>
  <si>
    <t xml:space="preserve">Active:</t>
  </si>
  <si>
    <t xml:space="preserve">Overrun:</t>
  </si>
  <si>
    <t xml:space="preserve">INSTRUCTIONS — NRSWA NOTICE TRACKER</t>
  </si>
  <si>
    <t xml:space="preserve">How to Use</t>
  </si>
  <si>
    <t xml:space="preserve">1. Track all NRSWA/permit notices served to local authorities.</t>
  </si>
  <si>
    <t xml:space="preserve">2. Flag S.74 charge risk for overruns — daily charges apply.</t>
  </si>
  <si>
    <t xml:space="preserve">References:</t>
  </si>
  <si>
    <t xml:space="preserve">  NRSWA 1991</t>
  </si>
  <si>
    <t xml:space="preserve">  Traffic Management Act 2004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</si>
</sst>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10" min="8" style="1" width="10"/>
    <col collapsed="false" customWidth="true" hidden="false" outlineLevel="0" max="11" min="11" style="1" width="8"/>
    <col collapsed="false" customWidth="true" hidden="false" outlineLevel="0" max="13" min="12" style="1" width="10"/>
    <col collapsed="false" customWidth="true" hidden="false" outlineLevel="0" max="14" min="14" style="1" width="8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10" t="str">
        <f aca="false">IF(OR(I7="",J7=""),"",J7-I7)</f>
        <v/>
      </c>
      <c r="L7" s="9"/>
      <c r="M7" s="9"/>
      <c r="N7" s="10" t="str">
        <f aca="false">IF(OR(J7="",M7=""),"",MAX(M7-J7,0))</f>
        <v/>
      </c>
      <c r="O7" s="9"/>
      <c r="P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9"/>
      <c r="K8" s="12" t="str">
        <f aca="false">IF(OR(I8="",J8=""),"",J8-I8)</f>
        <v/>
      </c>
      <c r="L8" s="9"/>
      <c r="M8" s="9"/>
      <c r="N8" s="12" t="str">
        <f aca="false">IF(OR(J8="",M8=""),"",MAX(M8-J8,0))</f>
        <v/>
      </c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10" t="str">
        <f aca="false">IF(OR(I9="",J9=""),"",J9-I9)</f>
        <v/>
      </c>
      <c r="L9" s="9"/>
      <c r="M9" s="9"/>
      <c r="N9" s="10" t="str">
        <f aca="false">IF(OR(J9="",M9=""),"",MAX(M9-J9,0))</f>
        <v/>
      </c>
      <c r="O9" s="9"/>
      <c r="P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12" t="str">
        <f aca="false">IF(OR(I10="",J10=""),"",J10-I10)</f>
        <v/>
      </c>
      <c r="L10" s="9"/>
      <c r="M10" s="9"/>
      <c r="N10" s="12" t="str">
        <f aca="false">IF(OR(J10="",M10=""),"",MAX(M10-J10,0))</f>
        <v/>
      </c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10" t="str">
        <f aca="false">IF(OR(I11="",J11=""),"",J11-I11)</f>
        <v/>
      </c>
      <c r="L11" s="9"/>
      <c r="M11" s="9"/>
      <c r="N11" s="10" t="str">
        <f aca="false">IF(OR(J11="",M11=""),"",MAX(M11-J11,0))</f>
        <v/>
      </c>
      <c r="O11" s="9"/>
      <c r="P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12" t="str">
        <f aca="false">IF(OR(I12="",J12=""),"",J12-I12)</f>
        <v/>
      </c>
      <c r="L12" s="9"/>
      <c r="M12" s="9"/>
      <c r="N12" s="12" t="str">
        <f aca="false">IF(OR(J12="",M12=""),"",MAX(M12-J12,0))</f>
        <v/>
      </c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10" t="str">
        <f aca="false">IF(OR(I13="",J13=""),"",J13-I13)</f>
        <v/>
      </c>
      <c r="L13" s="9"/>
      <c r="M13" s="9"/>
      <c r="N13" s="10" t="str">
        <f aca="false">IF(OR(J13="",M13=""),"",MAX(M13-J13,0))</f>
        <v/>
      </c>
      <c r="O13" s="9"/>
      <c r="P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12" t="str">
        <f aca="false">IF(OR(I14="",J14=""),"",J14-I14)</f>
        <v/>
      </c>
      <c r="L14" s="9"/>
      <c r="M14" s="9"/>
      <c r="N14" s="12" t="str">
        <f aca="false">IF(OR(J14="",M14=""),"",MAX(M14-J14,0))</f>
        <v/>
      </c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10" t="str">
        <f aca="false">IF(OR(I15="",J15=""),"",J15-I15)</f>
        <v/>
      </c>
      <c r="L15" s="9"/>
      <c r="M15" s="9"/>
      <c r="N15" s="10" t="str">
        <f aca="false">IF(OR(J15="",M15=""),"",MAX(M15-J15,0))</f>
        <v/>
      </c>
      <c r="O15" s="9"/>
      <c r="P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12" t="str">
        <f aca="false">IF(OR(I16="",J16=""),"",J16-I16)</f>
        <v/>
      </c>
      <c r="L16" s="9"/>
      <c r="M16" s="9"/>
      <c r="N16" s="12" t="str">
        <f aca="false">IF(OR(J16="",M16=""),"",MAX(M16-J16,0))</f>
        <v/>
      </c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10" t="str">
        <f aca="false">IF(OR(I17="",J17=""),"",J17-I17)</f>
        <v/>
      </c>
      <c r="L17" s="9"/>
      <c r="M17" s="9"/>
      <c r="N17" s="10" t="str">
        <f aca="false">IF(OR(J17="",M17=""),"",MAX(M17-J17,0))</f>
        <v/>
      </c>
      <c r="O17" s="9"/>
      <c r="P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12" t="str">
        <f aca="false">IF(OR(I18="",J18=""),"",J18-I18)</f>
        <v/>
      </c>
      <c r="L18" s="9"/>
      <c r="M18" s="9"/>
      <c r="N18" s="12" t="str">
        <f aca="false">IF(OR(J18="",M18=""),"",MAX(M18-J18,0))</f>
        <v/>
      </c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10" t="str">
        <f aca="false">IF(OR(I19="",J19=""),"",J19-I19)</f>
        <v/>
      </c>
      <c r="L19" s="9"/>
      <c r="M19" s="9"/>
      <c r="N19" s="10" t="str">
        <f aca="false">IF(OR(J19="",M19=""),"",MAX(M19-J19,0))</f>
        <v/>
      </c>
      <c r="O19" s="9"/>
      <c r="P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12" t="str">
        <f aca="false">IF(OR(I20="",J20=""),"",J20-I20)</f>
        <v/>
      </c>
      <c r="L20" s="9"/>
      <c r="M20" s="9"/>
      <c r="N20" s="12" t="str">
        <f aca="false">IF(OR(J20="",M20=""),"",MAX(M20-J20,0))</f>
        <v/>
      </c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10" t="str">
        <f aca="false">IF(OR(I21="",J21=""),"",J21-I21)</f>
        <v/>
      </c>
      <c r="L21" s="9"/>
      <c r="M21" s="9"/>
      <c r="N21" s="10" t="str">
        <f aca="false">IF(OR(J21="",M21=""),"",MAX(M21-J21,0))</f>
        <v/>
      </c>
      <c r="O21" s="9"/>
      <c r="P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12" t="str">
        <f aca="false">IF(OR(I22="",J22=""),"",J22-I22)</f>
        <v/>
      </c>
      <c r="L22" s="9"/>
      <c r="M22" s="9"/>
      <c r="N22" s="12" t="str">
        <f aca="false">IF(OR(J22="",M22=""),"",MAX(M22-J22,0))</f>
        <v/>
      </c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10" t="str">
        <f aca="false">IF(OR(I23="",J23=""),"",J23-I23)</f>
        <v/>
      </c>
      <c r="L23" s="9"/>
      <c r="M23" s="9"/>
      <c r="N23" s="10" t="str">
        <f aca="false">IF(OR(J23="",M23=""),"",MAX(M23-J23,0))</f>
        <v/>
      </c>
      <c r="O23" s="9"/>
      <c r="P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12" t="str">
        <f aca="false">IF(OR(I24="",J24=""),"",J24-I24)</f>
        <v/>
      </c>
      <c r="L24" s="9"/>
      <c r="M24" s="9"/>
      <c r="N24" s="12" t="str">
        <f aca="false">IF(OR(J24="",M24=""),"",MAX(M24-J24,0))</f>
        <v/>
      </c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10" t="str">
        <f aca="false">IF(OR(I25="",J25=""),"",J25-I25)</f>
        <v/>
      </c>
      <c r="L25" s="9"/>
      <c r="M25" s="9"/>
      <c r="N25" s="10" t="str">
        <f aca="false">IF(OR(J25="",M25=""),"",MAX(M25-J25,0))</f>
        <v/>
      </c>
      <c r="O25" s="9"/>
      <c r="P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12" t="str">
        <f aca="false">IF(OR(I26="",J26=""),"",J26-I26)</f>
        <v/>
      </c>
      <c r="L26" s="9"/>
      <c r="M26" s="9"/>
      <c r="N26" s="12" t="str">
        <f aca="false">IF(OR(J26="",M26=""),"",MAX(M26-J26,0))</f>
        <v/>
      </c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10" t="str">
        <f aca="false">IF(OR(I27="",J27=""),"",J27-I27)</f>
        <v/>
      </c>
      <c r="L27" s="9"/>
      <c r="M27" s="9"/>
      <c r="N27" s="10" t="str">
        <f aca="false">IF(OR(J27="",M27=""),"",MAX(M27-J27,0))</f>
        <v/>
      </c>
      <c r="O27" s="9"/>
      <c r="P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12" t="str">
        <f aca="false">IF(OR(I28="",J28=""),"",J28-I28)</f>
        <v/>
      </c>
      <c r="L28" s="9"/>
      <c r="M28" s="9"/>
      <c r="N28" s="12" t="str">
        <f aca="false">IF(OR(J28="",M28=""),"",MAX(M28-J28,0))</f>
        <v/>
      </c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10" t="str">
        <f aca="false">IF(OR(I29="",J29=""),"",J29-I29)</f>
        <v/>
      </c>
      <c r="L29" s="9"/>
      <c r="M29" s="9"/>
      <c r="N29" s="10" t="str">
        <f aca="false">IF(OR(J29="",M29=""),"",MAX(M29-J29,0))</f>
        <v/>
      </c>
      <c r="O29" s="9"/>
      <c r="P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12" t="str">
        <f aca="false">IF(OR(I30="",J30=""),"",J30-I30)</f>
        <v/>
      </c>
      <c r="L30" s="9"/>
      <c r="M30" s="9"/>
      <c r="N30" s="12" t="str">
        <f aca="false">IF(OR(J30="",M30=""),"",MAX(M30-J30,0))</f>
        <v/>
      </c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10" t="str">
        <f aca="false">IF(OR(I31="",J31=""),"",J31-I31)</f>
        <v/>
      </c>
      <c r="L31" s="9"/>
      <c r="M31" s="9"/>
      <c r="N31" s="10" t="str">
        <f aca="false">IF(OR(J31="",M31=""),"",MAX(M31-J31,0))</f>
        <v/>
      </c>
      <c r="O31" s="9"/>
      <c r="P31" s="9"/>
    </row>
    <row r="33" customFormat="false" ht="15" hidden="false" customHeight="true" outlineLevel="0" collapsed="false">
      <c r="A33" s="13" t="s">
        <v>22</v>
      </c>
      <c r="B33" s="13"/>
      <c r="C33" s="13"/>
    </row>
    <row r="34" customFormat="false" ht="15" hidden="false" customHeight="true" outlineLevel="0" collapsed="false">
      <c r="A34" s="5" t="s">
        <v>23</v>
      </c>
      <c r="B34" s="5"/>
      <c r="C34" s="14" t="n">
        <f aca="false">COUNTA(B7:B31)</f>
        <v>0</v>
      </c>
    </row>
    <row r="35" customFormat="false" ht="15" hidden="false" customHeight="true" outlineLevel="0" collapsed="false">
      <c r="A35" s="5" t="s">
        <v>24</v>
      </c>
      <c r="B35" s="5"/>
      <c r="C35" s="14" t="n">
        <f aca="false">COUNTIF(O7:O31,"Active")</f>
        <v>0</v>
      </c>
    </row>
    <row r="36" customFormat="false" ht="15" hidden="false" customHeight="true" outlineLevel="0" collapsed="false">
      <c r="A36" s="5" t="s">
        <v>25</v>
      </c>
      <c r="B36" s="5"/>
      <c r="C36" s="14" t="n">
        <f aca="false">COUNTIF(O7:O31,"Overrun")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6">
      <formula>"Complete"</formula>
    </cfRule>
    <cfRule type="cellIs" priority="3" operator="equal" aboveAverage="0" equalAverage="0" bottom="0" percent="0" rank="0" text="" dxfId="7">
      <formula>"Overrun"</formula>
    </cfRule>
    <cfRule type="cellIs" priority="4" operator="equal" aboveAverage="0" equalAverage="0" bottom="0" percent="0" rank="0" text="" dxfId="8">
      <formula>"Active"</formula>
    </cfRule>
  </conditionalFormatting>
  <dataValidations count="3">
    <dataValidation allowBlank="true" errorStyle="stop" operator="between" showDropDown="false" showErrorMessage="false" showInputMessage="false" sqref="C7:C31" type="list">
      <formula1>"Advance Notice (S.54),Starting Notice (S.55),Emergency Notice,Permit Application,Permit Variation,Cancellation"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"Served,Active,Complete,Overrun,Cancelled"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3" t="s">
        <v>27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28</v>
      </c>
    </row>
    <row r="7" customFormat="false" ht="15" hidden="false" customHeight="false" outlineLevel="0" collapsed="false">
      <c r="B7" s="15" t="s">
        <v>29</v>
      </c>
    </row>
    <row r="8" customFormat="false" ht="15" hidden="false" customHeight="false" outlineLevel="0" collapsed="false">
      <c r="B8" s="15"/>
    </row>
    <row r="9" customFormat="false" ht="15" hidden="false" customHeight="false" outlineLevel="0" collapsed="false">
      <c r="B9" s="13" t="s">
        <v>30</v>
      </c>
    </row>
    <row r="10" customFormat="false" ht="15" hidden="false" customHeight="false" outlineLevel="0" collapsed="false">
      <c r="B10" s="4" t="s">
        <v>31</v>
      </c>
    </row>
    <row r="11" customFormat="false" ht="15" hidden="false" customHeight="false" outlineLevel="0" collapsed="false">
      <c r="B11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