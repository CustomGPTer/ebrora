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ervices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'Services Register'!$A$1:$G$39</definedName>
    <definedName function="false" hidden="false" name="DataTable" vbProcedure="false">'Services Register'!$A$1:$L$39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<sst xmlns="http://schemas.openxmlformats.org/spreadsheetml/2006/main" count="208" uniqueCount="158">
  <si>
    <t xml:space="preserve">EBRORA</t>
  </si>
  <si>
    <t xml:space="preserve">ebrora.com</t>
  </si>
  <si>
    <t xml:space="preserve">Temporary Services Register</t>
  </si>
  <si>
    <t xml:space="preserve">Track all temporary site services — power, water, and welfare facilities — with supplier details, inspection scheduling, and cost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</si>
  <si>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</si>
  <si>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</si>
  <si>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</si>
  <si>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</si>
  <si>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</si>
  <si>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'Services Register' sheet. Services are grouped into three colour-coded bands: Power (amber), Water (blue), and Welfare (purple).</t>
  </si>
  <si>
    <t xml:space="preserve">2.</t>
  </si>
  <si>
    <t xml:space="preserve">Each row represents one temporary service item. Enter the Ref, description, location on site, supplier, and installation date.</t>
  </si>
  <si>
    <t xml:space="preserve">3.</t>
  </si>
  <si>
    <t xml:space="preserve">Set the Status using the dropdown: Active, Planned (not yet installed), Disconnected, or Fault.</t>
  </si>
  <si>
    <t xml:space="preserve">4.</t>
  </si>
  <si>
    <t xml:space="preserve">Enter the Next Inspection date. This column highlights red if the date has passed and amber if it's within 7 days.</t>
  </si>
  <si>
    <t xml:space="preserve">5.</t>
  </si>
  <si>
    <t xml:space="preserve">Expand the optional columns (click [+]) for weekly cost, contract reference, meter readings, capacity, and planned removal date.</t>
  </si>
  <si>
    <t xml:space="preserve">6.</t>
  </si>
  <si>
    <t xml:space="preserve">Each category band has a mini-counter showing total items and how many are currently active.</t>
  </si>
  <si>
    <t xml:space="preserve">7.</t>
  </si>
  <si>
    <t xml:space="preserve">Add rows within any band as needed. Keep items in the correct category band for clarity.</t>
  </si>
  <si>
    <t xml:space="preserve">Colour Key</t>
  </si>
  <si>
    <t xml:space="preserve">Amber-tinted rows — Power services.</t>
  </si>
  <si>
    <t xml:space="preserve">Blue-tinted rows — Water services.</t>
  </si>
  <si>
    <t xml:space="preserve">Purple-tinted rows — Welfare facilities.</t>
  </si>
  <si>
    <t xml:space="preserve">Green status — Active.</t>
  </si>
  <si>
    <t xml:space="preserve">Amber status — Planned.</t>
  </si>
  <si>
    <t xml:space="preserve">Red status — Fault.</t>
  </si>
  <si>
    <t xml:space="preserve">Grey status — Disconnected.</t>
  </si>
  <si>
    <t xml:space="preserve">Tips</t>
  </si>
  <si>
    <t xml:space="preserve">Tip 1:</t>
  </si>
  <si>
    <t xml:space="preserve">Review this register monthly with your commercial team. Temporary services are a significant prelims cost — disconnect anything you no longer need promptly.</t>
  </si>
  <si>
    <t xml:space="preserve">Tip 2:</t>
  </si>
  <si>
    <t xml:space="preserve">Set calendar reminders for inspection dates. Temporary electrical installations must be inspected every 3 months under BS 7671. Water systems need regular Legionella checks.</t>
  </si>
  <si>
    <t xml:space="preserve">Tip 3:</t>
  </si>
  <si>
    <t xml:space="preserve">Before any service disconnection, confirm with all trades on site. An unexpected power cut during a concrete pour or curing cycle can be extremely costly.</t>
  </si>
  <si>
    <t xml:space="preserve">TEMPORARY SERVICES REGISTER</t>
  </si>
  <si>
    <t xml:space="preserve">Project:</t>
  </si>
  <si>
    <t xml:space="preserve">Riverside Gateway Phase 2</t>
  </si>
  <si>
    <t xml:space="preserve">Site Address:</t>
  </si>
  <si>
    <t xml:space="preserve">Regent Road, Salford, M5 4QT</t>
  </si>
  <si>
    <t xml:space="preserve">Last Updated:</t>
  </si>
  <si>
    <t xml:space="preserve">Updated By:</t>
  </si>
  <si>
    <t xml:space="preserve">S. Patel</t>
  </si>
  <si>
    <t xml:space="preserve">▸ Optional Fields — Click [+] to expand</t>
  </si>
  <si>
    <t xml:space="preserve">⚡ POWER &amp; ELECTRICAL</t>
  </si>
  <si>
    <t xml:space="preserve">Items:</t>
  </si>
  <si>
    <t xml:space="preserve">Active:</t>
  </si>
  <si>
    <t xml:space="preserve">Ref</t>
  </si>
  <si>
    <t xml:space="preserve">Service / Item</t>
  </si>
  <si>
    <t xml:space="preserve">Location</t>
  </si>
  <si>
    <t xml:space="preserve">Supplier</t>
  </si>
  <si>
    <t xml:space="preserve">Install Date</t>
  </si>
  <si>
    <t xml:space="preserve">Status</t>
  </si>
  <si>
    <t xml:space="preserve">Next Inspection</t>
  </si>
  <si>
    <t xml:space="preserve">Cost / Week (£)</t>
  </si>
  <si>
    <t xml:space="preserve">Contract Ref</t>
  </si>
  <si>
    <t xml:space="preserve">Meter Reading</t>
  </si>
  <si>
    <t xml:space="preserve">Capacity</t>
  </si>
  <si>
    <t xml:space="preserve">Removal Date</t>
  </si>
  <si>
    <t xml:space="preserve">PWR-001</t>
  </si>
  <si>
    <t xml:space="preserve">Temporary distribution board — Main DB-01</t>
  </si>
  <si>
    <t xml:space="preserve">Site compound</t>
  </si>
  <si>
    <t xml:space="preserve">Aggreko</t>
  </si>
  <si>
    <t xml:space="preserve">Active</t>
  </si>
  <si>
    <t xml:space="preserve">AGG-20261</t>
  </si>
  <si>
    <t xml:space="preserve">320A</t>
  </si>
  <si>
    <t xml:space="preserve">400A</t>
  </si>
  <si>
    <t xml:space="preserve">PWR-002</t>
  </si>
  <si>
    <t xml:space="preserve">Generator 100kVA (diesel)</t>
  </si>
  <si>
    <t xml:space="preserve">South compound</t>
  </si>
  <si>
    <t xml:space="preserve">Speedy Hire</t>
  </si>
  <si>
    <t xml:space="preserve">SPD-44012</t>
  </si>
  <si>
    <t xml:space="preserve">1,842 hrs</t>
  </si>
  <si>
    <t xml:space="preserve">100kVA</t>
  </si>
  <si>
    <t xml:space="preserve">PWR-003</t>
  </si>
  <si>
    <t xml:space="preserve">Temporary lighting — tower crane area</t>
  </si>
  <si>
    <t xml:space="preserve">Crane base</t>
  </si>
  <si>
    <t xml:space="preserve">HSS</t>
  </si>
  <si>
    <t xml:space="preserve">HSS-7890</t>
  </si>
  <si>
    <t xml:space="preserve">4x 1000W</t>
  </si>
  <si>
    <t xml:space="preserve">PWR-004</t>
  </si>
  <si>
    <t xml:space="preserve">Festoon lighting — Block A internal</t>
  </si>
  <si>
    <t xml:space="preserve">Block A L0-L2</t>
  </si>
  <si>
    <t xml:space="preserve">Site team</t>
  </si>
  <si>
    <t xml:space="preserve">110V</t>
  </si>
  <si>
    <t xml:space="preserve">PWR-005</t>
  </si>
  <si>
    <t xml:space="preserve">Temporary DB — Block B sub-dist</t>
  </si>
  <si>
    <t xml:space="preserve">Block B L1</t>
  </si>
  <si>
    <t xml:space="preserve">Planned</t>
  </si>
  <si>
    <t xml:space="preserve">AGG-20262</t>
  </si>
  <si>
    <t xml:space="preserve">200A</t>
  </si>
  <si>
    <t xml:space="preserve">WATER SERVICES</t>
  </si>
  <si>
    <t xml:space="preserve">WTR-001</t>
  </si>
  <si>
    <t xml:space="preserve">Temporary mains connection — 25mm MDPE</t>
  </si>
  <si>
    <t xml:space="preserve">Site boundary (south)</t>
  </si>
  <si>
    <t xml:space="preserve">United Utilities</t>
  </si>
  <si>
    <t xml:space="preserve">UU-TEMP-4401</t>
  </si>
  <si>
    <t xml:space="preserve">142 m³</t>
  </si>
  <si>
    <t xml:space="preserve">25mm</t>
  </si>
  <si>
    <t xml:space="preserve">WTR-002</t>
  </si>
  <si>
    <t xml:space="preserve">Bowser — 1000L potable water tank</t>
  </si>
  <si>
    <t xml:space="preserve">Welfare block</t>
  </si>
  <si>
    <t xml:space="preserve">GAP Hire</t>
  </si>
  <si>
    <t xml:space="preserve">GAP-1122</t>
  </si>
  <si>
    <t xml:space="preserve">1000L</t>
  </si>
  <si>
    <t xml:space="preserve">WTR-003</t>
  </si>
  <si>
    <t xml:space="preserve">Dewatering pump — excavation PF area</t>
  </si>
  <si>
    <t xml:space="preserve">Grid A1-A6</t>
  </si>
  <si>
    <t xml:space="preserve">Selwood Pumps</t>
  </si>
  <si>
    <t xml:space="preserve">SEL-5567</t>
  </si>
  <si>
    <t xml:space="preserve">Running 24hr</t>
  </si>
  <si>
    <t xml:space="preserve">6"/150mm</t>
  </si>
  <si>
    <t xml:space="preserve">WTR-004</t>
  </si>
  <si>
    <t xml:space="preserve">Temporary drainage — silt settlement tank</t>
  </si>
  <si>
    <t xml:space="preserve">South outfall</t>
  </si>
  <si>
    <t xml:space="preserve">10,000L</t>
  </si>
  <si>
    <t xml:space="preserve">WELFARE FACILITIES</t>
  </si>
  <si>
    <t xml:space="preserve">WEL-001</t>
  </si>
  <si>
    <t xml:space="preserve">Site office — 24ft x 10ft portable cabin</t>
  </si>
  <si>
    <t xml:space="preserve">Main compound</t>
  </si>
  <si>
    <t xml:space="preserve">Portakabin</t>
  </si>
  <si>
    <t xml:space="preserve">PK-88901</t>
  </si>
  <si>
    <t xml:space="preserve">6 desks</t>
  </si>
  <si>
    <t xml:space="preserve">WEL-002</t>
  </si>
  <si>
    <t xml:space="preserve">Canteen / drying room — 32ft x 10ft</t>
  </si>
  <si>
    <t xml:space="preserve">PK-88902</t>
  </si>
  <si>
    <t xml:space="preserve">30 persons</t>
  </si>
  <si>
    <t xml:space="preserve">WEL-003</t>
  </si>
  <si>
    <t xml:space="preserve">Toilet block — 4+2 unit</t>
  </si>
  <si>
    <t xml:space="preserve">Tardis Hire</t>
  </si>
  <si>
    <t xml:space="preserve">TAR-3301</t>
  </si>
  <si>
    <t xml:space="preserve">4M + 2F</t>
  </si>
  <si>
    <t xml:space="preserve">WEL-004</t>
  </si>
  <si>
    <t xml:space="preserve">Changing / locker unit — 20ft</t>
  </si>
  <si>
    <t xml:space="preserve">PK-88903</t>
  </si>
  <si>
    <t xml:space="preserve">20 lockers</t>
  </si>
  <si>
    <t xml:space="preserve">WEL-005</t>
  </si>
  <si>
    <t xml:space="preserve">First aid room — 10ft x 8ft</t>
  </si>
  <si>
    <t xml:space="preserve">PK-88904</t>
  </si>
  <si>
    <t xml:space="preserve">1 bed + sink</t>
  </si>
  <si>
    <t xml:space="preserve">WEL-006</t>
  </si>
  <si>
    <t xml:space="preserve">Security gatehouse — 8ft x 6ft</t>
  </si>
  <si>
    <t xml:space="preserve">Main entrance</t>
  </si>
  <si>
    <t xml:space="preserve">Fault</t>
  </si>
  <si>
    <t xml:space="preserve">PK-88905</t>
  </si>
  <si>
    <t xml:space="preserve">1 person</t>
  </si>
  <si>
    <t xml:space="preserve">Heating fault — repair booked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</si>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</sst>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4"/>
      <color rgb="FFFFFFFF"/>
      <name val="Calibri"/>
      <family val="0"/>
      <charset val="1"/>
    </font>
    <font>
      <i val="true"/>
      <sz val="9"/>
      <color rgb="FF2AABB3"/>
      <name val="Calibri"/>
      <family val="0"/>
      <charset val="1"/>
    </font>
    <font>
      <b val="true"/>
      <sz val="11"/>
      <color rgb="FFFFFFFF"/>
      <name val="Calibri"/>
      <family val="0"/>
      <charset val="1"/>
    </font>
    <font>
      <b val="true"/>
      <sz val="9"/>
      <color rgb="FFFFFFFF"/>
      <name val="Calibri"/>
      <family val="0"/>
      <charset val="1"/>
    </font>
    <font>
      <b val="true"/>
      <sz val="10"/>
      <color rgb="FFFFFFFF"/>
      <name val="Calibri"/>
      <family val="0"/>
      <charset val="1"/>
    </font>
    <font>
      <b val="true"/>
      <sz val="9"/>
      <color rgb="FF1B2A4A"/>
      <name val="Calibri"/>
      <family val="0"/>
      <charset val="1"/>
    </font>
  </fonts>
  <fills count="12">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E3F2FD"/>
      </patternFill>
    </fill>
    <fill>
      <patternFill patternType="solid">
        <fgColor rgb="FFE65100"/>
        <bgColor rgb="FF993300"/>
      </patternFill>
    </fill>
    <fill>
      <patternFill patternType="solid">
        <fgColor rgb="FFF2F2F2"/>
        <bgColor rgb="FFE8F6F7"/>
      </patternFill>
    </fill>
    <fill>
      <patternFill patternType="solid">
        <fgColor rgb="FFFFF3E0"/>
        <bgColor rgb="FFF2F2F2"/>
      </patternFill>
    </fill>
    <fill>
      <patternFill patternType="solid">
        <fgColor rgb="FF1565C0"/>
        <bgColor rgb="FF3366FF"/>
      </patternFill>
    </fill>
    <fill>
      <patternFill patternType="solid">
        <fgColor rgb="FFE3F2FD"/>
        <bgColor rgb="FFE8F6F7"/>
      </patternFill>
    </fill>
    <fill>
      <patternFill patternType="solid">
        <fgColor rgb="FF6A1B9A"/>
        <bgColor rgb="FF800080"/>
      </patternFill>
    </fill>
    <fill>
      <patternFill patternType="solid">
        <fgColor rgb="FFF3E5F5"/>
        <bgColor rgb="FFF2F2F2"/>
      </patternFill>
    </fill>
  </fills>
  <borders count="5">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right/>
      <top/>
      <bottom style="thin">
        <color rgb="FF2AABB3"/>
      </bottom>
      <diagonal/>
    </border>
    <border diagonalUp="false" diagonalDown="false">
      <left/>
      <right/>
      <top/>
      <bottom style="thin">
        <color rgb="FF1B2A4A"/>
      </bottom>
      <diagonal/>
    </border>
    <border diagonalUp="false" diagonalDown="false">
      <left/>
      <right style="hair">
        <color rgb="FF8C8C8C"/>
      </right>
      <top/>
      <bottom style="hair">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5" fontId="11" fillId="4" borderId="2"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true" applyAlignment="true" applyProtection="false">
      <alignment horizontal="left" vertical="center" textRotation="0" wrapText="true" indent="0" shrinkToFit="false"/>
      <protection locked="true" hidden="false"/>
    </xf>
    <xf numFmtId="164" fontId="17" fillId="5" borderId="0" xfId="0" applyFont="true" applyBorder="false" applyAlignment="true" applyProtection="false">
      <alignment horizontal="right"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9" fillId="6" borderId="3" xfId="0" applyFont="true" applyBorder="true" applyAlignment="true" applyProtection="false">
      <alignment horizontal="center" vertical="center" textRotation="0" wrapText="true" indent="0" shrinkToFit="false"/>
      <protection locked="true" hidden="false"/>
    </xf>
    <xf numFmtId="164" fontId="11" fillId="7" borderId="4" xfId="0" applyFont="true" applyBorder="true" applyAlignment="true" applyProtection="false">
      <alignment horizontal="left" vertical="center" textRotation="0" wrapText="true" indent="0" shrinkToFit="false"/>
      <protection locked="true" hidden="false"/>
    </xf>
    <xf numFmtId="165" fontId="11" fillId="7" borderId="4" xfId="0" applyFont="true" applyBorder="true" applyAlignment="true" applyProtection="false">
      <alignment horizontal="left" vertical="center" textRotation="0" wrapText="true" indent="0" shrinkToFit="false"/>
      <protection locked="true" hidden="false"/>
    </xf>
    <xf numFmtId="167" fontId="11" fillId="7" borderId="4" xfId="0" applyFont="true" applyBorder="true" applyAlignment="true" applyProtection="false">
      <alignment horizontal="left" vertical="center" textRotation="0" wrapText="true" indent="0" shrinkToFit="false"/>
      <protection locked="true" hidden="false"/>
    </xf>
    <xf numFmtId="164" fontId="16" fillId="8" borderId="0" xfId="0" applyFont="true" applyBorder="true" applyAlignment="true" applyProtection="false">
      <alignment horizontal="left" vertical="center" textRotation="0" wrapText="true" indent="0" shrinkToFit="false"/>
      <protection locked="true" hidden="false"/>
    </xf>
    <xf numFmtId="164" fontId="17" fillId="8" borderId="0" xfId="0" applyFont="true" applyBorder="false" applyAlignment="true" applyProtection="false">
      <alignment horizontal="right" vertical="center" textRotation="0" wrapText="false" indent="0" shrinkToFit="false"/>
      <protection locked="true" hidden="false"/>
    </xf>
    <xf numFmtId="166" fontId="18" fillId="8" borderId="0" xfId="0" applyFont="true" applyBorder="false" applyAlignment="true" applyProtection="false">
      <alignment horizontal="center" vertical="center" textRotation="0" wrapText="tru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1" fillId="9" borderId="4" xfId="0" applyFont="true" applyBorder="true" applyAlignment="true" applyProtection="false">
      <alignment horizontal="left" vertical="center" textRotation="0" wrapText="true" indent="0" shrinkToFit="false"/>
      <protection locked="true" hidden="false"/>
    </xf>
    <xf numFmtId="165" fontId="11" fillId="9" borderId="4" xfId="0" applyFont="true" applyBorder="true" applyAlignment="true" applyProtection="false">
      <alignment horizontal="left" vertical="center" textRotation="0" wrapText="true" indent="0" shrinkToFit="false"/>
      <protection locked="true" hidden="false"/>
    </xf>
    <xf numFmtId="167" fontId="11" fillId="9" borderId="4" xfId="0" applyFont="true" applyBorder="true" applyAlignment="true" applyProtection="false">
      <alignment horizontal="left" vertical="center" textRotation="0" wrapText="true" indent="0" shrinkToFit="false"/>
      <protection locked="true" hidden="false"/>
    </xf>
    <xf numFmtId="164" fontId="16" fillId="10" borderId="0" xfId="0" applyFont="true" applyBorder="true" applyAlignment="true" applyProtection="false">
      <alignment horizontal="left" vertical="center" textRotation="0" wrapText="true" indent="0" shrinkToFit="false"/>
      <protection locked="true" hidden="false"/>
    </xf>
    <xf numFmtId="164" fontId="17" fillId="10" borderId="0" xfId="0" applyFont="true" applyBorder="false" applyAlignment="true" applyProtection="false">
      <alignment horizontal="right" vertical="center" textRotation="0" wrapText="false" indent="0" shrinkToFit="false"/>
      <protection locked="true" hidden="false"/>
    </xf>
    <xf numFmtId="166" fontId="18" fillId="10" borderId="0" xfId="0" applyFont="true" applyBorder="false" applyAlignment="true" applyProtection="false">
      <alignment horizontal="center" vertical="center" textRotation="0" wrapText="tru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1" fillId="11" borderId="4" xfId="0" applyFont="true" applyBorder="true" applyAlignment="true" applyProtection="false">
      <alignment horizontal="left" vertical="center" textRotation="0" wrapText="true" indent="0" shrinkToFit="false"/>
      <protection locked="true" hidden="false"/>
    </xf>
    <xf numFmtId="165" fontId="11" fillId="11" borderId="4" xfId="0" applyFont="true" applyBorder="true" applyAlignment="true" applyProtection="false">
      <alignment horizontal="left" vertical="center" textRotation="0" wrapText="true" indent="0" shrinkToFit="false"/>
      <protection locked="true" hidden="false"/>
    </xf>
    <xf numFmtId="167" fontId="11" fillId="11" borderId="4"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EB9C"/>
        </patternFill>
      </fill>
    </dxf>
    <dxf>
      <fill>
        <patternFill>
          <bgColor rgb="FFFFC7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A1B9A"/>
      <rgbColor rgb="FF008080"/>
      <rgbColor rgb="FFF2F2F2"/>
      <rgbColor rgb="FF808080"/>
      <rgbColor rgb="FF9999FF"/>
      <rgbColor rgb="FF993366"/>
      <rgbColor rgb="FFFFF3E0"/>
      <rgbColor rgb="FFE3F2FD"/>
      <rgbColor rgb="FF660066"/>
      <rgbColor rgb="FFFF8080"/>
      <rgbColor rgb="FF1565C0"/>
      <rgbColor rgb="FFF3E5F5"/>
      <rgbColor rgb="FF000080"/>
      <rgbColor rgb="FFFF00FF"/>
      <rgbColor rgb="FFFFFF00"/>
      <rgbColor rgb="FF00FFFF"/>
      <rgbColor rgb="FF800080"/>
      <rgbColor rgb="FF800000"/>
      <rgbColor rgb="FF008080"/>
      <rgbColor rgb="FF0000FF"/>
      <rgbColor rgb="FF00CCFF"/>
      <rgbColor rgb="FFE8F6F7"/>
      <rgbColor rgb="FFC6EFCE"/>
      <rgbColor rgb="FFFFEB9C"/>
      <rgbColor rgb="FF99CCFF"/>
      <rgbColor rgb="FFFF99CC"/>
      <rgbColor rgb="FFCC99FF"/>
      <rgbColor rgb="FFFFC7CE"/>
      <rgbColor rgb="FF3366FF"/>
      <rgbColor rgb="FF2AABB3"/>
      <rgbColor rgb="FF99CC00"/>
      <rgbColor rgb="FFFFCC00"/>
      <rgbColor rgb="FFFF9900"/>
      <rgbColor rgb="FFE651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6"/>
  </cols>
  <sheetData>
    <row r="1" customFormat="false" ht="18.65" hidden="false" customHeight="true" outlineLevel="0" collapsed="false">
      <c r="A1" s="8" t="s">
        <v>6</v>
      </c>
      <c r="B1" s="8"/>
      <c r="C1" s="8"/>
      <c r="D1" s="8"/>
      <c r="E1" s="8"/>
      <c r="F1" s="8"/>
    </row>
    <row r="3" customFormat="false" ht="15" hidden="false" customHeight="false" outlineLevel="0" collapsed="false">
      <c r="A3" s="9"/>
      <c r="B3" s="10"/>
      <c r="C3" s="10"/>
      <c r="D3" s="10"/>
      <c r="E3" s="10"/>
      <c r="F3" s="10"/>
    </row>
    <row r="4" customFormat="false" ht="15" hidden="false" customHeight="true" outlineLevel="0" collapsed="false">
      <c r="A4" s="11" t="s">
        <v>7</v>
      </c>
      <c r="B4" s="11"/>
      <c r="C4" s="11"/>
      <c r="D4" s="11"/>
      <c r="E4" s="11"/>
      <c r="F4" s="11"/>
    </row>
    <row r="5" customFormat="false" ht="23.85" hidden="false" customHeight="true" outlineLevel="0" collapsed="false">
      <c r="A5" s="9" t="s">
        <v>8</v>
      </c>
      <c r="B5" s="10" t="s">
        <v>9</v>
      </c>
      <c r="C5" s="10"/>
      <c r="D5" s="10"/>
      <c r="E5" s="10"/>
      <c r="F5" s="10"/>
    </row>
    <row r="6" customFormat="false" ht="23.85" hidden="false" customHeight="true" outlineLevel="0" collapsed="false">
      <c r="A6" s="9" t="s">
        <v>10</v>
      </c>
      <c r="B6" s="10" t="s">
        <v>11</v>
      </c>
      <c r="C6" s="10"/>
      <c r="D6" s="10"/>
      <c r="E6" s="10"/>
      <c r="F6" s="10"/>
    </row>
    <row r="7" customFormat="false" ht="15" hidden="false" customHeight="true" outlineLevel="0" collapsed="false">
      <c r="A7" s="9" t="s">
        <v>12</v>
      </c>
      <c r="B7" s="10" t="s">
        <v>13</v>
      </c>
      <c r="C7" s="10"/>
      <c r="D7" s="10"/>
      <c r="E7" s="10"/>
      <c r="F7" s="10"/>
    </row>
    <row r="8" customFormat="false" ht="23.85" hidden="false" customHeight="true" outlineLevel="0" collapsed="false">
      <c r="A8" s="9" t="s">
        <v>14</v>
      </c>
      <c r="B8" s="10" t="s">
        <v>15</v>
      </c>
      <c r="C8" s="10"/>
      <c r="D8" s="10"/>
      <c r="E8" s="10"/>
      <c r="F8" s="10"/>
    </row>
    <row r="9" customFormat="false" ht="23.85" hidden="false" customHeight="true" outlineLevel="0" collapsed="false">
      <c r="A9" s="9" t="s">
        <v>16</v>
      </c>
      <c r="B9" s="10" t="s">
        <v>17</v>
      </c>
      <c r="C9" s="10"/>
      <c r="D9" s="10"/>
      <c r="E9" s="10"/>
      <c r="F9" s="10"/>
    </row>
    <row r="10" customFormat="false" ht="15" hidden="false" customHeight="true" outlineLevel="0" collapsed="false">
      <c r="A10" s="9" t="s">
        <v>18</v>
      </c>
      <c r="B10" s="10" t="s">
        <v>19</v>
      </c>
      <c r="C10" s="10"/>
      <c r="D10" s="10"/>
      <c r="E10" s="10"/>
      <c r="F10" s="10"/>
    </row>
    <row r="11" customFormat="false" ht="15" hidden="false" customHeight="true" outlineLevel="0" collapsed="false">
      <c r="A11" s="9" t="s">
        <v>20</v>
      </c>
      <c r="B11" s="10" t="s">
        <v>21</v>
      </c>
      <c r="C11" s="10"/>
      <c r="D11" s="10"/>
      <c r="E11" s="10"/>
      <c r="F11" s="10"/>
    </row>
    <row r="12" customFormat="false" ht="15" hidden="false" customHeight="false" outlineLevel="0" collapsed="false">
      <c r="A12" s="9"/>
      <c r="B12" s="10"/>
      <c r="C12" s="10"/>
      <c r="D12" s="10"/>
      <c r="E12" s="10"/>
      <c r="F12" s="10"/>
    </row>
    <row r="13" customFormat="false" ht="15" hidden="false" customHeight="true" outlineLevel="0" collapsed="false">
      <c r="A13" s="11" t="s">
        <v>22</v>
      </c>
      <c r="B13" s="11"/>
      <c r="C13" s="11"/>
      <c r="D13" s="11"/>
      <c r="E13" s="11"/>
      <c r="F13" s="11"/>
    </row>
    <row r="14" customFormat="false" ht="15" hidden="false" customHeight="true" outlineLevel="0" collapsed="false">
      <c r="A14" s="9"/>
      <c r="B14" s="10" t="s">
        <v>23</v>
      </c>
      <c r="C14" s="10"/>
      <c r="D14" s="10"/>
      <c r="E14" s="10"/>
      <c r="F14" s="10"/>
    </row>
    <row r="15" customFormat="false" ht="15" hidden="false" customHeight="true" outlineLevel="0" collapsed="false">
      <c r="A15" s="9"/>
      <c r="B15" s="10" t="s">
        <v>24</v>
      </c>
      <c r="C15" s="10"/>
      <c r="D15" s="10"/>
      <c r="E15" s="10"/>
      <c r="F15" s="10"/>
    </row>
    <row r="16" customFormat="false" ht="15" hidden="false" customHeight="true" outlineLevel="0" collapsed="false">
      <c r="A16" s="9"/>
      <c r="B16" s="10" t="s">
        <v>25</v>
      </c>
      <c r="C16" s="10"/>
      <c r="D16" s="10"/>
      <c r="E16" s="10"/>
      <c r="F16" s="10"/>
    </row>
    <row r="17" customFormat="false" ht="15" hidden="false" customHeight="true" outlineLevel="0" collapsed="false">
      <c r="A17" s="9"/>
      <c r="B17" s="10" t="s">
        <v>26</v>
      </c>
      <c r="C17" s="10"/>
      <c r="D17" s="10"/>
      <c r="E17" s="10"/>
      <c r="F17" s="10"/>
    </row>
    <row r="18" customFormat="false" ht="15" hidden="false" customHeight="true" outlineLevel="0" collapsed="false">
      <c r="A18" s="9"/>
      <c r="B18" s="10" t="s">
        <v>27</v>
      </c>
      <c r="C18" s="10"/>
      <c r="D18" s="10"/>
      <c r="E18" s="10"/>
      <c r="F18" s="10"/>
    </row>
    <row r="19" customFormat="false" ht="15" hidden="false" customHeight="true" outlineLevel="0" collapsed="false">
      <c r="A19" s="9"/>
      <c r="B19" s="10" t="s">
        <v>28</v>
      </c>
      <c r="C19" s="10"/>
      <c r="D19" s="10"/>
      <c r="E19" s="10"/>
      <c r="F19" s="10"/>
    </row>
    <row r="20" customFormat="false" ht="15" hidden="false" customHeight="true" outlineLevel="0" collapsed="false">
      <c r="A20" s="9"/>
      <c r="B20" s="10" t="s">
        <v>29</v>
      </c>
      <c r="C20" s="10"/>
      <c r="D20" s="10"/>
      <c r="E20" s="10"/>
      <c r="F20" s="10"/>
    </row>
    <row r="21" customFormat="false" ht="15" hidden="false" customHeight="false" outlineLevel="0" collapsed="false">
      <c r="A21" s="9"/>
      <c r="B21" s="10"/>
      <c r="C21" s="10"/>
      <c r="D21" s="10"/>
      <c r="E21" s="10"/>
      <c r="F21" s="10"/>
    </row>
    <row r="22" customFormat="false" ht="15" hidden="false" customHeight="true" outlineLevel="0" collapsed="false">
      <c r="A22" s="11" t="s">
        <v>30</v>
      </c>
      <c r="B22" s="11"/>
      <c r="C22" s="11"/>
      <c r="D22" s="11"/>
      <c r="E22" s="11"/>
      <c r="F22" s="11"/>
    </row>
    <row r="23" customFormat="false" ht="23.85" hidden="false" customHeight="true" outlineLevel="0" collapsed="false">
      <c r="A23" s="12" t="s">
        <v>31</v>
      </c>
      <c r="B23" s="10" t="s">
        <v>32</v>
      </c>
      <c r="C23" s="10"/>
      <c r="D23" s="10"/>
      <c r="E23" s="10"/>
      <c r="F23" s="10"/>
    </row>
    <row r="24" customFormat="false" ht="23.85" hidden="false" customHeight="true" outlineLevel="0" collapsed="false">
      <c r="A24" s="12" t="s">
        <v>33</v>
      </c>
      <c r="B24" s="10" t="s">
        <v>34</v>
      </c>
      <c r="C24" s="10"/>
      <c r="D24" s="10"/>
      <c r="E24" s="10"/>
      <c r="F24" s="10"/>
    </row>
    <row r="25" customFormat="false" ht="23.85" hidden="false" customHeight="true" outlineLevel="0" collapsed="false">
      <c r="A25" s="12" t="s">
        <v>35</v>
      </c>
      <c r="B25" s="10" t="s">
        <v>36</v>
      </c>
      <c r="C25" s="10"/>
      <c r="D25" s="10"/>
      <c r="E25" s="10"/>
      <c r="F25" s="10"/>
    </row>
  </sheetData>
  <mergeCells count="24">
    <mergeCell ref="A1:F1"/>
    <mergeCell ref="B3:F3"/>
    <mergeCell ref="A4:F4"/>
    <mergeCell ref="B5:F5"/>
    <mergeCell ref="B6:F6"/>
    <mergeCell ref="B7:F7"/>
    <mergeCell ref="B8:F8"/>
    <mergeCell ref="B9:F9"/>
    <mergeCell ref="B10:F10"/>
    <mergeCell ref="B11:F11"/>
    <mergeCell ref="B12:F12"/>
    <mergeCell ref="A13:F13"/>
    <mergeCell ref="B14:F14"/>
    <mergeCell ref="B15:F15"/>
    <mergeCell ref="B16:F16"/>
    <mergeCell ref="B17:F17"/>
    <mergeCell ref="B18:F18"/>
    <mergeCell ref="B19:F19"/>
    <mergeCell ref="B20:F20"/>
    <mergeCell ref="B21:F21"/>
    <mergeCell ref="A22:F22"/>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30"/>
    <col collapsed="false" customWidth="true" hidden="false" outlineLevel="0" max="4" min="3" style="0" width="20"/>
    <col collapsed="false" customWidth="true" hidden="false" outlineLevel="0" max="6" min="5" style="0" width="13"/>
    <col collapsed="false" customWidth="true" hidden="false" outlineLevel="0" max="7" min="7" style="0" width="14"/>
    <col collapsed="false" customWidth="true" hidden="true" outlineLevel="1" max="12" min="8" style="0" width="13"/>
  </cols>
  <sheetData>
    <row r="1" customFormat="false" ht="18.65" hidden="false" customHeight="true" outlineLevel="0" collapsed="false">
      <c r="A1" s="13" t="s">
        <v>37</v>
      </c>
      <c r="B1" s="13"/>
      <c r="C1" s="13"/>
      <c r="D1" s="13"/>
      <c r="E1" s="13"/>
      <c r="F1" s="13"/>
      <c r="G1" s="13"/>
      <c r="H1" s="14"/>
      <c r="I1" s="14"/>
      <c r="J1" s="14"/>
      <c r="K1" s="14"/>
      <c r="L1" s="14"/>
    </row>
    <row r="3" customFormat="false" ht="15" hidden="false" customHeight="false" outlineLevel="0" collapsed="false">
      <c r="A3" s="15" t="s">
        <v>38</v>
      </c>
      <c r="B3" s="16" t="s">
        <v>39</v>
      </c>
      <c r="C3" s="16"/>
      <c r="D3" s="15" t="s">
        <v>40</v>
      </c>
      <c r="E3" s="16" t="s">
        <v>41</v>
      </c>
      <c r="F3" s="16"/>
      <c r="G3" s="16"/>
    </row>
    <row r="4" customFormat="false" ht="15" hidden="false" customHeight="false" outlineLevel="0" collapsed="false">
      <c r="A4" s="15" t="s">
        <v>42</v>
      </c>
      <c r="B4" s="17" t="n">
        <v>46103</v>
      </c>
      <c r="D4" s="15" t="s">
        <v>43</v>
      </c>
      <c r="E4" s="16" t="s">
        <v>44</v>
      </c>
    </row>
    <row r="5" customFormat="false" ht="32.8" hidden="false" customHeight="true" outlineLevel="0" collapsed="false">
      <c r="H5" s="18" t="s">
        <v>45</v>
      </c>
      <c r="I5" s="18"/>
      <c r="J5" s="18"/>
      <c r="K5" s="18"/>
      <c r="L5" s="18"/>
    </row>
    <row r="7" customFormat="false" ht="15" hidden="false" customHeight="true" outlineLevel="0" collapsed="false">
      <c r="A7" s="19" t="s">
        <v>46</v>
      </c>
      <c r="B7" s="19"/>
      <c r="C7" s="19"/>
      <c r="D7" s="19"/>
      <c r="E7" s="19"/>
      <c r="F7" s="19"/>
      <c r="G7" s="19"/>
      <c r="H7" s="20" t="s">
        <v>47</v>
      </c>
      <c r="I7" s="21" t="n">
        <f aca="false">COUNTA(A9:A16)</f>
        <v>5</v>
      </c>
      <c r="J7" s="20" t="s">
        <v>48</v>
      </c>
      <c r="K7" s="21" t="n">
        <f aca="false">COUNTIF(F9:F16,"Active")</f>
        <v>4</v>
      </c>
      <c r="L7" s="22"/>
    </row>
    <row r="8" customFormat="false" ht="15" hidden="false" customHeight="false" outlineLevel="0" collapsed="false">
      <c r="A8" s="23" t="s">
        <v>49</v>
      </c>
      <c r="B8" s="23" t="s">
        <v>50</v>
      </c>
      <c r="C8" s="23" t="s">
        <v>51</v>
      </c>
      <c r="D8" s="23" t="s">
        <v>52</v>
      </c>
      <c r="E8" s="23" t="s">
        <v>53</v>
      </c>
      <c r="F8" s="23" t="s">
        <v>54</v>
      </c>
      <c r="G8" s="23" t="s">
        <v>55</v>
      </c>
      <c r="H8" s="23" t="s">
        <v>56</v>
      </c>
      <c r="I8" s="23" t="s">
        <v>57</v>
      </c>
      <c r="J8" s="23" t="s">
        <v>58</v>
      </c>
      <c r="K8" s="23" t="s">
        <v>59</v>
      </c>
      <c r="L8" s="23" t="s">
        <v>60</v>
      </c>
    </row>
    <row r="9" customFormat="false" ht="23.85" hidden="false" customHeight="false" outlineLevel="0" collapsed="false">
      <c r="A9" s="24" t="s">
        <v>61</v>
      </c>
      <c r="B9" s="24" t="s">
        <v>62</v>
      </c>
      <c r="C9" s="24" t="s">
        <v>63</v>
      </c>
      <c r="D9" s="24" t="s">
        <v>64</v>
      </c>
      <c r="E9" s="25" t="n">
        <v>46032</v>
      </c>
      <c r="F9" s="24" t="s">
        <v>65</v>
      </c>
      <c r="G9" s="25" t="n">
        <v>46122</v>
      </c>
      <c r="H9" s="26" t="n">
        <v>85</v>
      </c>
      <c r="I9" s="24" t="s">
        <v>66</v>
      </c>
      <c r="J9" s="24" t="s">
        <v>67</v>
      </c>
      <c r="K9" s="24" t="s">
        <v>68</v>
      </c>
      <c r="L9" s="25"/>
    </row>
    <row r="10" customFormat="false" ht="15" hidden="false" customHeight="false" outlineLevel="0" collapsed="false">
      <c r="A10" s="24" t="s">
        <v>69</v>
      </c>
      <c r="B10" s="24" t="s">
        <v>70</v>
      </c>
      <c r="C10" s="24" t="s">
        <v>71</v>
      </c>
      <c r="D10" s="24" t="s">
        <v>72</v>
      </c>
      <c r="E10" s="25" t="n">
        <v>46032</v>
      </c>
      <c r="F10" s="24" t="s">
        <v>65</v>
      </c>
      <c r="G10" s="25" t="n">
        <v>46122</v>
      </c>
      <c r="H10" s="26" t="n">
        <v>420</v>
      </c>
      <c r="I10" s="24" t="s">
        <v>73</v>
      </c>
      <c r="J10" s="24" t="s">
        <v>74</v>
      </c>
      <c r="K10" s="24" t="s">
        <v>75</v>
      </c>
      <c r="L10" s="25"/>
    </row>
    <row r="11" customFormat="false" ht="15" hidden="false" customHeight="false" outlineLevel="0" collapsed="false">
      <c r="A11" s="24" t="s">
        <v>76</v>
      </c>
      <c r="B11" s="24" t="s">
        <v>77</v>
      </c>
      <c r="C11" s="24" t="s">
        <v>78</v>
      </c>
      <c r="D11" s="24" t="s">
        <v>79</v>
      </c>
      <c r="E11" s="25" t="n">
        <v>46054</v>
      </c>
      <c r="F11" s="24" t="s">
        <v>65</v>
      </c>
      <c r="G11" s="25" t="n">
        <v>46143</v>
      </c>
      <c r="H11" s="26" t="n">
        <v>65</v>
      </c>
      <c r="I11" s="24" t="s">
        <v>80</v>
      </c>
      <c r="J11" s="24"/>
      <c r="K11" s="24" t="s">
        <v>81</v>
      </c>
      <c r="L11" s="25"/>
    </row>
    <row r="12" customFormat="false" ht="15" hidden="false" customHeight="false" outlineLevel="0" collapsed="false">
      <c r="A12" s="24" t="s">
        <v>82</v>
      </c>
      <c r="B12" s="24" t="s">
        <v>83</v>
      </c>
      <c r="C12" s="24" t="s">
        <v>84</v>
      </c>
      <c r="D12" s="24" t="s">
        <v>85</v>
      </c>
      <c r="E12" s="25" t="n">
        <v>46068</v>
      </c>
      <c r="F12" s="24" t="s">
        <v>65</v>
      </c>
      <c r="G12" s="25" t="n">
        <v>46157</v>
      </c>
      <c r="H12" s="26"/>
      <c r="I12" s="24"/>
      <c r="J12" s="24"/>
      <c r="K12" s="24" t="s">
        <v>86</v>
      </c>
      <c r="L12" s="25"/>
    </row>
    <row r="13" customFormat="false" ht="15" hidden="false" customHeight="false" outlineLevel="0" collapsed="false">
      <c r="A13" s="24" t="s">
        <v>87</v>
      </c>
      <c r="B13" s="24" t="s">
        <v>88</v>
      </c>
      <c r="C13" s="24" t="s">
        <v>89</v>
      </c>
      <c r="D13" s="24" t="s">
        <v>64</v>
      </c>
      <c r="E13" s="25" t="n">
        <v>46086</v>
      </c>
      <c r="F13" s="24" t="s">
        <v>90</v>
      </c>
      <c r="G13" s="25" t="n">
        <v>46178</v>
      </c>
      <c r="H13" s="26" t="n">
        <v>45</v>
      </c>
      <c r="I13" s="24" t="s">
        <v>91</v>
      </c>
      <c r="J13" s="24"/>
      <c r="K13" s="24" t="s">
        <v>92</v>
      </c>
      <c r="L13" s="25"/>
    </row>
    <row r="14" customFormat="false" ht="15" hidden="false" customHeight="false" outlineLevel="0" collapsed="false">
      <c r="A14" s="24"/>
      <c r="B14" s="24"/>
      <c r="C14" s="24"/>
      <c r="D14" s="24"/>
      <c r="E14" s="25"/>
      <c r="F14" s="24"/>
      <c r="G14" s="25"/>
      <c r="H14" s="26"/>
      <c r="I14" s="24"/>
      <c r="J14" s="24"/>
      <c r="K14" s="24"/>
      <c r="L14" s="25"/>
    </row>
    <row r="15" customFormat="false" ht="15" hidden="false" customHeight="false" outlineLevel="0" collapsed="false">
      <c r="A15" s="24"/>
      <c r="B15" s="24"/>
      <c r="C15" s="24"/>
      <c r="D15" s="24"/>
      <c r="E15" s="25"/>
      <c r="F15" s="24"/>
      <c r="G15" s="25"/>
      <c r="H15" s="26"/>
      <c r="I15" s="24"/>
      <c r="J15" s="24"/>
      <c r="K15" s="24"/>
      <c r="L15" s="25"/>
    </row>
    <row r="16" customFormat="false" ht="15" hidden="false" customHeight="false" outlineLevel="0" collapsed="false">
      <c r="A16" s="24"/>
      <c r="B16" s="24"/>
      <c r="C16" s="24"/>
      <c r="D16" s="24"/>
      <c r="E16" s="25"/>
      <c r="F16" s="24"/>
      <c r="G16" s="25"/>
      <c r="H16" s="26"/>
      <c r="I16" s="24"/>
      <c r="J16" s="24"/>
      <c r="K16" s="24"/>
      <c r="L16" s="25"/>
    </row>
    <row r="18" customFormat="false" ht="15" hidden="false" customHeight="true" outlineLevel="0" collapsed="false">
      <c r="A18" s="27" t="s">
        <v>93</v>
      </c>
      <c r="B18" s="27"/>
      <c r="C18" s="27"/>
      <c r="D18" s="27"/>
      <c r="E18" s="27"/>
      <c r="F18" s="27"/>
      <c r="G18" s="27"/>
      <c r="H18" s="28" t="s">
        <v>47</v>
      </c>
      <c r="I18" s="29" t="n">
        <f aca="false">COUNTA(A20:A26)</f>
        <v>4</v>
      </c>
      <c r="J18" s="28" t="s">
        <v>48</v>
      </c>
      <c r="K18" s="29" t="n">
        <f aca="false">COUNTIF(F20:F26,"Active")</f>
        <v>4</v>
      </c>
      <c r="L18" s="30"/>
    </row>
    <row r="19" customFormat="false" ht="15" hidden="false" customHeight="false" outlineLevel="0" collapsed="false">
      <c r="A19" s="23" t="s">
        <v>49</v>
      </c>
      <c r="B19" s="23" t="s">
        <v>50</v>
      </c>
      <c r="C19" s="23" t="s">
        <v>51</v>
      </c>
      <c r="D19" s="23" t="s">
        <v>52</v>
      </c>
      <c r="E19" s="23" t="s">
        <v>53</v>
      </c>
      <c r="F19" s="23" t="s">
        <v>54</v>
      </c>
      <c r="G19" s="23" t="s">
        <v>55</v>
      </c>
      <c r="H19" s="23" t="s">
        <v>56</v>
      </c>
      <c r="I19" s="23" t="s">
        <v>57</v>
      </c>
      <c r="J19" s="23" t="s">
        <v>58</v>
      </c>
      <c r="K19" s="23" t="s">
        <v>59</v>
      </c>
      <c r="L19" s="23" t="s">
        <v>60</v>
      </c>
    </row>
    <row r="20" customFormat="false" ht="23.85" hidden="false" customHeight="false" outlineLevel="0" collapsed="false">
      <c r="A20" s="31" t="s">
        <v>94</v>
      </c>
      <c r="B20" s="31" t="s">
        <v>95</v>
      </c>
      <c r="C20" s="31" t="s">
        <v>96</v>
      </c>
      <c r="D20" s="31" t="s">
        <v>97</v>
      </c>
      <c r="E20" s="32" t="n">
        <v>46030</v>
      </c>
      <c r="F20" s="31" t="s">
        <v>65</v>
      </c>
      <c r="G20" s="32" t="n">
        <v>46211</v>
      </c>
      <c r="H20" s="33"/>
      <c r="I20" s="31" t="s">
        <v>98</v>
      </c>
      <c r="J20" s="31" t="s">
        <v>99</v>
      </c>
      <c r="K20" s="31" t="s">
        <v>100</v>
      </c>
      <c r="L20" s="32"/>
    </row>
    <row r="21" customFormat="false" ht="15" hidden="false" customHeight="false" outlineLevel="0" collapsed="false">
      <c r="A21" s="31" t="s">
        <v>101</v>
      </c>
      <c r="B21" s="31" t="s">
        <v>102</v>
      </c>
      <c r="C21" s="31" t="s">
        <v>103</v>
      </c>
      <c r="D21" s="31" t="s">
        <v>104</v>
      </c>
      <c r="E21" s="32" t="n">
        <v>46030</v>
      </c>
      <c r="F21" s="31" t="s">
        <v>65</v>
      </c>
      <c r="G21" s="32" t="n">
        <v>46120</v>
      </c>
      <c r="H21" s="33" t="n">
        <v>35</v>
      </c>
      <c r="I21" s="31" t="s">
        <v>105</v>
      </c>
      <c r="J21" s="31"/>
      <c r="K21" s="31" t="s">
        <v>106</v>
      </c>
      <c r="L21" s="32"/>
    </row>
    <row r="22" customFormat="false" ht="15" hidden="false" customHeight="false" outlineLevel="0" collapsed="false">
      <c r="A22" s="31" t="s">
        <v>107</v>
      </c>
      <c r="B22" s="31" t="s">
        <v>108</v>
      </c>
      <c r="C22" s="31" t="s">
        <v>109</v>
      </c>
      <c r="D22" s="31" t="s">
        <v>110</v>
      </c>
      <c r="E22" s="32" t="n">
        <v>46073</v>
      </c>
      <c r="F22" s="31" t="s">
        <v>65</v>
      </c>
      <c r="G22" s="32" t="n">
        <v>46101</v>
      </c>
      <c r="H22" s="33" t="n">
        <v>180</v>
      </c>
      <c r="I22" s="31" t="s">
        <v>111</v>
      </c>
      <c r="J22" s="31" t="s">
        <v>112</v>
      </c>
      <c r="K22" s="31" t="s">
        <v>113</v>
      </c>
      <c r="L22" s="32"/>
    </row>
    <row r="23" customFormat="false" ht="23.85" hidden="false" customHeight="false" outlineLevel="0" collapsed="false">
      <c r="A23" s="31" t="s">
        <v>114</v>
      </c>
      <c r="B23" s="31" t="s">
        <v>115</v>
      </c>
      <c r="C23" s="31" t="s">
        <v>116</v>
      </c>
      <c r="D23" s="31" t="s">
        <v>85</v>
      </c>
      <c r="E23" s="32" t="n">
        <v>46037</v>
      </c>
      <c r="F23" s="31" t="s">
        <v>65</v>
      </c>
      <c r="G23" s="32" t="n">
        <v>46127</v>
      </c>
      <c r="H23" s="33"/>
      <c r="I23" s="31"/>
      <c r="J23" s="31"/>
      <c r="K23" s="31" t="s">
        <v>117</v>
      </c>
      <c r="L23" s="32"/>
    </row>
    <row r="24" customFormat="false" ht="15" hidden="false" customHeight="false" outlineLevel="0" collapsed="false">
      <c r="A24" s="31"/>
      <c r="B24" s="31"/>
      <c r="C24" s="31"/>
      <c r="D24" s="31"/>
      <c r="E24" s="32"/>
      <c r="F24" s="31"/>
      <c r="G24" s="32"/>
      <c r="H24" s="33"/>
      <c r="I24" s="31"/>
      <c r="J24" s="31"/>
      <c r="K24" s="31"/>
      <c r="L24" s="32"/>
    </row>
    <row r="25" customFormat="false" ht="15" hidden="false" customHeight="false" outlineLevel="0" collapsed="false">
      <c r="A25" s="31"/>
      <c r="B25" s="31"/>
      <c r="C25" s="31"/>
      <c r="D25" s="31"/>
      <c r="E25" s="32"/>
      <c r="F25" s="31"/>
      <c r="G25" s="32"/>
      <c r="H25" s="33"/>
      <c r="I25" s="31"/>
      <c r="J25" s="31"/>
      <c r="K25" s="31"/>
      <c r="L25" s="32"/>
    </row>
    <row r="26" customFormat="false" ht="15" hidden="false" customHeight="false" outlineLevel="0" collapsed="false">
      <c r="A26" s="31"/>
      <c r="B26" s="31"/>
      <c r="C26" s="31"/>
      <c r="D26" s="31"/>
      <c r="E26" s="32"/>
      <c r="F26" s="31"/>
      <c r="G26" s="32"/>
      <c r="H26" s="33"/>
      <c r="I26" s="31"/>
      <c r="J26" s="31"/>
      <c r="K26" s="31"/>
      <c r="L26" s="32"/>
    </row>
    <row r="28" customFormat="false" ht="15" hidden="false" customHeight="true" outlineLevel="0" collapsed="false">
      <c r="A28" s="34" t="s">
        <v>118</v>
      </c>
      <c r="B28" s="34"/>
      <c r="C28" s="34"/>
      <c r="D28" s="34"/>
      <c r="E28" s="34"/>
      <c r="F28" s="34"/>
      <c r="G28" s="34"/>
      <c r="H28" s="35" t="s">
        <v>47</v>
      </c>
      <c r="I28" s="36" t="n">
        <f aca="false">COUNTA(A30:A37)</f>
        <v>6</v>
      </c>
      <c r="J28" s="35" t="s">
        <v>48</v>
      </c>
      <c r="K28" s="36" t="n">
        <f aca="false">COUNTIF(F30:F37,"Active")</f>
        <v>5</v>
      </c>
      <c r="L28" s="37"/>
    </row>
    <row r="29" customFormat="false" ht="15" hidden="false" customHeight="false" outlineLevel="0" collapsed="false">
      <c r="A29" s="23" t="s">
        <v>49</v>
      </c>
      <c r="B29" s="23" t="s">
        <v>50</v>
      </c>
      <c r="C29" s="23" t="s">
        <v>51</v>
      </c>
      <c r="D29" s="23" t="s">
        <v>52</v>
      </c>
      <c r="E29" s="23" t="s">
        <v>53</v>
      </c>
      <c r="F29" s="23" t="s">
        <v>54</v>
      </c>
      <c r="G29" s="23" t="s">
        <v>55</v>
      </c>
      <c r="H29" s="23" t="s">
        <v>56</v>
      </c>
      <c r="I29" s="23" t="s">
        <v>57</v>
      </c>
      <c r="J29" s="23" t="s">
        <v>58</v>
      </c>
      <c r="K29" s="23" t="s">
        <v>59</v>
      </c>
      <c r="L29" s="23" t="s">
        <v>60</v>
      </c>
    </row>
    <row r="30" customFormat="false" ht="15" hidden="false" customHeight="false" outlineLevel="0" collapsed="false">
      <c r="A30" s="38" t="s">
        <v>119</v>
      </c>
      <c r="B30" s="38" t="s">
        <v>120</v>
      </c>
      <c r="C30" s="38" t="s">
        <v>121</v>
      </c>
      <c r="D30" s="38" t="s">
        <v>122</v>
      </c>
      <c r="E30" s="39" t="n">
        <v>46027</v>
      </c>
      <c r="F30" s="38" t="s">
        <v>65</v>
      </c>
      <c r="G30" s="39"/>
      <c r="H30" s="40" t="n">
        <v>110</v>
      </c>
      <c r="I30" s="38" t="s">
        <v>123</v>
      </c>
      <c r="J30" s="38"/>
      <c r="K30" s="38" t="s">
        <v>124</v>
      </c>
      <c r="L30" s="39"/>
    </row>
    <row r="31" customFormat="false" ht="15" hidden="false" customHeight="false" outlineLevel="0" collapsed="false">
      <c r="A31" s="38" t="s">
        <v>125</v>
      </c>
      <c r="B31" s="38" t="s">
        <v>126</v>
      </c>
      <c r="C31" s="38" t="s">
        <v>121</v>
      </c>
      <c r="D31" s="38" t="s">
        <v>122</v>
      </c>
      <c r="E31" s="39" t="n">
        <v>46027</v>
      </c>
      <c r="F31" s="38" t="s">
        <v>65</v>
      </c>
      <c r="G31" s="39"/>
      <c r="H31" s="40" t="n">
        <v>130</v>
      </c>
      <c r="I31" s="38" t="s">
        <v>127</v>
      </c>
      <c r="J31" s="38"/>
      <c r="K31" s="38" t="s">
        <v>128</v>
      </c>
      <c r="L31" s="39"/>
    </row>
    <row r="32" customFormat="false" ht="15" hidden="false" customHeight="false" outlineLevel="0" collapsed="false">
      <c r="A32" s="38" t="s">
        <v>129</v>
      </c>
      <c r="B32" s="38" t="s">
        <v>130</v>
      </c>
      <c r="C32" s="38" t="s">
        <v>121</v>
      </c>
      <c r="D32" s="38" t="s">
        <v>131</v>
      </c>
      <c r="E32" s="39" t="n">
        <v>46027</v>
      </c>
      <c r="F32" s="38" t="s">
        <v>65</v>
      </c>
      <c r="G32" s="39" t="n">
        <v>46110</v>
      </c>
      <c r="H32" s="40" t="n">
        <v>95</v>
      </c>
      <c r="I32" s="38" t="s">
        <v>132</v>
      </c>
      <c r="J32" s="38"/>
      <c r="K32" s="38" t="s">
        <v>133</v>
      </c>
      <c r="L32" s="39"/>
    </row>
    <row r="33" customFormat="false" ht="15" hidden="false" customHeight="false" outlineLevel="0" collapsed="false">
      <c r="A33" s="38" t="s">
        <v>134</v>
      </c>
      <c r="B33" s="38" t="s">
        <v>135</v>
      </c>
      <c r="C33" s="38" t="s">
        <v>121</v>
      </c>
      <c r="D33" s="38" t="s">
        <v>122</v>
      </c>
      <c r="E33" s="39" t="n">
        <v>46027</v>
      </c>
      <c r="F33" s="38" t="s">
        <v>65</v>
      </c>
      <c r="G33" s="39"/>
      <c r="H33" s="40" t="n">
        <v>75</v>
      </c>
      <c r="I33" s="38" t="s">
        <v>136</v>
      </c>
      <c r="J33" s="38"/>
      <c r="K33" s="38" t="s">
        <v>137</v>
      </c>
      <c r="L33" s="39"/>
    </row>
    <row r="34" customFormat="false" ht="15" hidden="false" customHeight="false" outlineLevel="0" collapsed="false">
      <c r="A34" s="38" t="s">
        <v>138</v>
      </c>
      <c r="B34" s="38" t="s">
        <v>139</v>
      </c>
      <c r="C34" s="38" t="s">
        <v>121</v>
      </c>
      <c r="D34" s="38" t="s">
        <v>122</v>
      </c>
      <c r="E34" s="39" t="n">
        <v>46027</v>
      </c>
      <c r="F34" s="38" t="s">
        <v>65</v>
      </c>
      <c r="G34" s="39"/>
      <c r="H34" s="40" t="n">
        <v>65</v>
      </c>
      <c r="I34" s="38" t="s">
        <v>140</v>
      </c>
      <c r="J34" s="38"/>
      <c r="K34" s="38" t="s">
        <v>141</v>
      </c>
      <c r="L34" s="39"/>
    </row>
    <row r="35" customFormat="false" ht="23.85" hidden="false" customHeight="false" outlineLevel="0" collapsed="false">
      <c r="A35" s="38" t="s">
        <v>142</v>
      </c>
      <c r="B35" s="38" t="s">
        <v>143</v>
      </c>
      <c r="C35" s="38" t="s">
        <v>144</v>
      </c>
      <c r="D35" s="38" t="s">
        <v>122</v>
      </c>
      <c r="E35" s="39" t="n">
        <v>46027</v>
      </c>
      <c r="F35" s="38" t="s">
        <v>145</v>
      </c>
      <c r="G35" s="39" t="n">
        <v>46106</v>
      </c>
      <c r="H35" s="40" t="n">
        <v>55</v>
      </c>
      <c r="I35" s="38" t="s">
        <v>146</v>
      </c>
      <c r="J35" s="38"/>
      <c r="K35" s="38" t="s">
        <v>147</v>
      </c>
      <c r="L35" s="39" t="s">
        <v>148</v>
      </c>
    </row>
    <row r="36" customFormat="false" ht="15" hidden="false" customHeight="false" outlineLevel="0" collapsed="false">
      <c r="A36" s="38"/>
      <c r="B36" s="38"/>
      <c r="C36" s="38"/>
      <c r="D36" s="38"/>
      <c r="E36" s="39"/>
      <c r="F36" s="38"/>
      <c r="G36" s="39"/>
      <c r="H36" s="40"/>
      <c r="I36" s="38"/>
      <c r="J36" s="38"/>
      <c r="K36" s="38"/>
      <c r="L36" s="39"/>
    </row>
    <row r="37" customFormat="false" ht="15" hidden="false" customHeight="false" outlineLevel="0" collapsed="false">
      <c r="A37" s="38"/>
      <c r="B37" s="38"/>
      <c r="C37" s="38"/>
      <c r="D37" s="38"/>
      <c r="E37" s="39"/>
      <c r="F37" s="38"/>
      <c r="G37" s="39"/>
      <c r="H37" s="40"/>
      <c r="I37" s="38"/>
      <c r="J37" s="38"/>
      <c r="K37" s="38"/>
      <c r="L37" s="39"/>
    </row>
  </sheetData>
  <mergeCells count="7">
    <mergeCell ref="A1:G1"/>
    <mergeCell ref="B3:C3"/>
    <mergeCell ref="E3:G3"/>
    <mergeCell ref="H5:L5"/>
    <mergeCell ref="A7:G7"/>
    <mergeCell ref="A18:G18"/>
    <mergeCell ref="A28:G28"/>
  </mergeCells>
  <conditionalFormatting sqref="F9:F16">
    <cfRule type="cellIs" priority="2" operator="equal" aboveAverage="0" equalAverage="0" bottom="0" percent="0" rank="0" text="" dxfId="0">
      <formula>"Active"</formula>
    </cfRule>
    <cfRule type="cellIs" priority="3" operator="equal" aboveAverage="0" equalAverage="0" bottom="0" percent="0" rank="0" text="" dxfId="1">
      <formula>"Planned"</formula>
    </cfRule>
    <cfRule type="cellIs" priority="4" operator="equal" aboveAverage="0" equalAverage="0" bottom="0" percent="0" rank="0" text="" dxfId="2">
      <formula>"Fault"</formula>
    </cfRule>
    <cfRule type="cellIs" priority="5" operator="equal" aboveAverage="0" equalAverage="0" bottom="0" percent="0" rank="0" text="" dxfId="3">
      <formula>"Disconnected"</formula>
    </cfRule>
  </conditionalFormatting>
  <conditionalFormatting sqref="G9:G16">
    <cfRule type="expression" priority="6" aboveAverage="0" equalAverage="0" bottom="0" percent="0" rank="0" text="" dxfId="2">
      <formula>AND(G9&lt;&gt;"",G9&lt;TODAY())</formula>
    </cfRule>
    <cfRule type="expression" priority="7" aboveAverage="0" equalAverage="0" bottom="0" percent="0" rank="0" text="" dxfId="1">
      <formula>AND(G9&lt;&gt;"",G9&gt;=TODAY(),G9&lt;TODAY()+7)</formula>
    </cfRule>
  </conditionalFormatting>
  <conditionalFormatting sqref="F20:F26">
    <cfRule type="cellIs" priority="8" operator="equal" aboveAverage="0" equalAverage="0" bottom="0" percent="0" rank="0" text="" dxfId="0">
      <formula>"Active"</formula>
    </cfRule>
    <cfRule type="cellIs" priority="9" operator="equal" aboveAverage="0" equalAverage="0" bottom="0" percent="0" rank="0" text="" dxfId="1">
      <formula>"Planned"</formula>
    </cfRule>
    <cfRule type="cellIs" priority="10" operator="equal" aboveAverage="0" equalAverage="0" bottom="0" percent="0" rank="0" text="" dxfId="2">
      <formula>"Fault"</formula>
    </cfRule>
    <cfRule type="cellIs" priority="11" operator="equal" aboveAverage="0" equalAverage="0" bottom="0" percent="0" rank="0" text="" dxfId="3">
      <formula>"Disconnected"</formula>
    </cfRule>
  </conditionalFormatting>
  <conditionalFormatting sqref="G20:G26">
    <cfRule type="expression" priority="12" aboveAverage="0" equalAverage="0" bottom="0" percent="0" rank="0" text="" dxfId="2">
      <formula>AND(G20&lt;&gt;"",G20&lt;TODAY())</formula>
    </cfRule>
    <cfRule type="expression" priority="13" aboveAverage="0" equalAverage="0" bottom="0" percent="0" rank="0" text="" dxfId="1">
      <formula>AND(G20&lt;&gt;"",G20&gt;=TODAY(),G20&lt;TODAY()+7)</formula>
    </cfRule>
  </conditionalFormatting>
  <conditionalFormatting sqref="F30:F37">
    <cfRule type="cellIs" priority="14" operator="equal" aboveAverage="0" equalAverage="0" bottom="0" percent="0" rank="0" text="" dxfId="0">
      <formula>"Active"</formula>
    </cfRule>
    <cfRule type="cellIs" priority="15" operator="equal" aboveAverage="0" equalAverage="0" bottom="0" percent="0" rank="0" text="" dxfId="1">
      <formula>"Planned"</formula>
    </cfRule>
    <cfRule type="cellIs" priority="16" operator="equal" aboveAverage="0" equalAverage="0" bottom="0" percent="0" rank="0" text="" dxfId="2">
      <formula>"Fault"</formula>
    </cfRule>
    <cfRule type="cellIs" priority="17" operator="equal" aboveAverage="0" equalAverage="0" bottom="0" percent="0" rank="0" text="" dxfId="3">
      <formula>"Disconnected"</formula>
    </cfRule>
  </conditionalFormatting>
  <conditionalFormatting sqref="G30:G37">
    <cfRule type="expression" priority="18" aboveAverage="0" equalAverage="0" bottom="0" percent="0" rank="0" text="" dxfId="2">
      <formula>AND(G30&lt;&gt;"",G30&lt;TODAY())</formula>
    </cfRule>
    <cfRule type="expression" priority="19" aboveAverage="0" equalAverage="0" bottom="0" percent="0" rank="0" text="" dxfId="1">
      <formula>AND(G30&lt;&gt;"",G30&gt;=TODAY(),G30&lt;TODAY()+7)</formula>
    </cfRule>
  </conditionalFormatting>
  <dataValidations count="2">
    <dataValidation allowBlank="true" errorStyle="stop" operator="between" showDropDown="false" showErrorMessage="false" showInputMessage="false" sqref="F9:F16 F20:F26 F30:F37" type="list">
      <formula1>"Active,Planned,Disconnected,Fault"</formula1>
      <formula2>0</formula2>
    </dataValidation>
    <dataValidation allowBlank="true" errorStyle="stop" operator="between" showDropDown="false" showErrorMessage="false" showInputMessage="false" sqref="E9:E16 G9:G16 E20:E26 G20:G26 E30:E37 G30:G37"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&amp;CTemporary Services Register</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8.65" hidden="false" customHeight="false" outlineLevel="0" collapsed="false">
      <c r="A1" s="41" t="s">
        <v>149</v>
      </c>
    </row>
    <row r="2" customFormat="false" ht="15" hidden="false" customHeight="false" outlineLevel="0" collapsed="false">
      <c r="A2" s="9"/>
    </row>
    <row r="3" customFormat="false" ht="15" hidden="false" customHeight="false" outlineLevel="0" collapsed="false">
      <c r="A3" s="9" t="s">
        <v>150</v>
      </c>
    </row>
    <row r="4" customFormat="false" ht="15" hidden="false" customHeight="false" outlineLevel="0" collapsed="false">
      <c r="A4" s="9"/>
    </row>
    <row r="5" customFormat="false" ht="23.85" hidden="false" customHeight="false" outlineLevel="0" collapsed="false">
      <c r="A5" s="9" t="s">
        <v>151</v>
      </c>
    </row>
    <row r="6" customFormat="false" ht="15" hidden="false" customHeight="false" outlineLevel="0" collapsed="false">
      <c r="A6" s="9"/>
    </row>
    <row r="7" customFormat="false" ht="23.85" hidden="false" customHeight="false" outlineLevel="0" collapsed="false">
      <c r="A7" s="9" t="s">
        <v>152</v>
      </c>
    </row>
    <row r="8" customFormat="false" ht="15" hidden="false" customHeight="false" outlineLevel="0" collapsed="false">
      <c r="A8" s="9"/>
    </row>
    <row r="9" customFormat="false" ht="15" hidden="false" customHeight="false" outlineLevel="0" collapsed="false">
      <c r="A9" s="9" t="s">
        <v>153</v>
      </c>
    </row>
    <row r="10" customFormat="false" ht="15" hidden="false" customHeight="false" outlineLevel="0" collapsed="false">
      <c r="A10" s="9"/>
    </row>
    <row r="11" customFormat="false" ht="15" hidden="false" customHeight="false" outlineLevel="0" collapsed="false">
      <c r="A11" s="9" t="s">
        <v>154</v>
      </c>
    </row>
    <row r="12" customFormat="false" ht="15" hidden="false" customHeight="false" outlineLevel="0" collapsed="false">
      <c r="A12" s="9"/>
    </row>
    <row r="13" customFormat="false" ht="23.85" hidden="false" customHeight="false" outlineLevel="0" collapsed="false">
      <c r="A13" s="9" t="s">
        <v>155</v>
      </c>
    </row>
    <row r="14" customFormat="false" ht="15" hidden="false" customHeight="false" outlineLevel="0" collapsed="false">
      <c r="A14" s="9"/>
    </row>
    <row r="15" customFormat="false" ht="15" hidden="false" customHeight="false" outlineLevel="0" collapsed="false">
      <c r="A15" s="9" t="s">
        <v>156</v>
      </c>
    </row>
    <row r="16" customFormat="false" ht="15" hidden="false" customHeight="false" outlineLevel="0" collapsed="false">
      <c r="A16" s="9"/>
    </row>
    <row r="17" customFormat="false" ht="15" hidden="false" customHeight="false" outlineLevel="0" collapsed="false">
      <c r="A17" s="9"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Site Management &amp; Planning</cp:category>
  <dcterms:created xsi:type="dcterms:W3CDTF">2026-03-22T19:24:29Z</dcterms:created>
  <dc:creator>Ebrora Ltd</dc:creator>
  <dc:description>Track all temporary site services — power, water, and welfare — with inspection scheduling, status monitoring, and weekly cost tracking. Designed for UK construction site managers.
Free professional construction management template from Ebrora Ltd. Visit ebrora.com for our full range of tools and templates.</dc:description>
  <cp:keywords>Ebrora construction temporary services power water welfare site management prelims utilities</cp:keywords>
  <dc:language>en-US</dc:language>
  <cp:lastModifiedBy>Ebrora Ltd</cp:lastModifiedBy>
  <dcterms:modified xsi:type="dcterms:W3CDTF">2026-03-22T19:24:29Z</dcterms:modified>
  <cp:revision>0</cp:revision>
  <dc:subject>Register of all temporary site services including power, water, and welfare facilities with inspection tracking and cost monitoring.</dc:subject>
  <dc:title>Temporary Services Register</dc:title>
</cp:coreProperties>
</file>

<file path=docProps/custom.xml><?xml version="1.0" encoding="utf-8"?>
<Properties xmlns="http://schemas.openxmlformats.org/officeDocument/2006/custom-properties" xmlns:vt="http://schemas.openxmlformats.org/officeDocument/2006/docPropsVTypes"/>
</file>