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CTION TEST RESULTS LOG" sheetId="1" state="visible" r:id="rId3"/>
    <sheet name="Instructions" sheetId="2" state="visible" r:id="rId4"/>
  </sheets>
  <definedNames>
    <definedName function="false" hidden="false" localSheetId="0" name="_xlnm.Print_Area" vbProcedure="false">'COMPACTION TEST RESULTS LOG'!$A$1:$P$38</definedName>
    <definedName function="false" hidden="false" localSheetId="0" name="_xlnm.Print_Titles" vbProcedure="false">'COMPACTION TEST RESULTS LOG'!$1:$6</definedName>
    <definedName function="false" hidden="true" localSheetId="0" name="_xlnm._FilterDatabase" vbProcedure="false">'COMPACTION TEST RESULTS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<sst xmlns="http://schemas.openxmlformats.org/spreadsheetml/2006/main" count="38" uniqueCount="37">
  <si>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ebrora.com</t>
  </si>
  <si>
    <t xml:space="preserve">COMPACTION TEST RESULTS LOG</t>
  </si>
  <si>
    <t xml:space="preserve">Ref: BS 6031; Specification for Highway Works (SHW) Series 600; BS 1377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</si>
  <si>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</si>
  <si>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</si>
  <si>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</si>
  <si>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</si>
  <si>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</si>
  <si>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Location /
Chainage</t>
  </si>
  <si>
    <t xml:space="preserve">Layer /
Lift No.</t>
  </si>
  <si>
    <t xml:space="preserve">Material
Type</t>
  </si>
  <si>
    <t xml:space="preserve">Layer
Thickness
(mm)</t>
  </si>
  <si>
    <t xml:space="preserve">Test
Method</t>
  </si>
  <si>
    <t xml:space="preserve">Field Dry
Density
(Mg/m³)</t>
  </si>
  <si>
    <t xml:space="preserve">MDD
(Mg/m³)</t>
  </si>
  <si>
    <t xml:space="preserve">Relative
Compaction
(%)</t>
  </si>
  <si>
    <t xml:space="preserve">Optimum
Moisture
Content (%)</t>
  </si>
  <si>
    <t xml:space="preserve">Actual
Moisture
(%)</t>
  </si>
  <si>
    <t xml:space="preserve">Specification
Requirement
(%)</t>
  </si>
  <si>
    <t xml:space="preserve">Result
(Pass/Fail)</t>
  </si>
  <si>
    <t xml:space="preserve">Tested By</t>
  </si>
  <si>
    <t xml:space="preserve">Comments</t>
  </si>
  <si>
    <t xml:space="preserve">SUMMARY</t>
  </si>
  <si>
    <t xml:space="preserve">Total Tests:</t>
  </si>
  <si>
    <t xml:space="preserve">Pass:</t>
  </si>
  <si>
    <t xml:space="preserve">Fail:</t>
  </si>
  <si>
    <t xml:space="preserve">Avg Compaction %:</t>
  </si>
  <si>
    <t xml:space="preserve">INSTRUCTIONS — COMPACTION TEST RESULTS LOG</t>
  </si>
  <si>
    <t xml:space="preserve">How to Use This Template</t>
  </si>
  <si>
    <t xml:space="preserve">1. Record all compaction test results for earthworks layers.</t>
  </si>
  <si>
    <t xml:space="preserve">2. Enter field density, MDD, and relative compaction percentage.</t>
  </si>
  <si>
    <t xml:space="preserve">3. Relative compaction auto-calculates if you enter field density and MDD.</t>
  </si>
  <si>
    <t xml:space="preserve">4. Compare against specification requirement — typically 95% for structures, 90% for general fill.</t>
  </si>
  <si>
    <t xml:space="preserve">References:</t>
  </si>
  <si>
    <t xml:space="preserve">  BS 6031 — Earthworks</t>
  </si>
  <si>
    <t xml:space="preserve">  SHW Series 600 — Earthworks</t>
  </si>
  <si>
    <t xml:space="preserve">  BS 1377 — Soils for Civil Engineering Purposes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</si>
</sst>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13" min="8" style="1" width="10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10" t="str">
        <f aca="false">IF(OR(H7="",I7="",I7=0),"",ROUND(H7/I7*100,1))</f>
        <v/>
      </c>
      <c r="K7" s="9"/>
      <c r="L7" s="9"/>
      <c r="M7" s="9"/>
      <c r="N7" s="9"/>
      <c r="O7" s="9"/>
      <c r="P7" s="9"/>
    </row>
    <row r="8" customFormat="false" ht="21.75" hidden="false" customHeight="true" outlineLevel="0" collapsed="false">
      <c r="A8" s="11" t="n">
        <v>2</v>
      </c>
      <c r="B8" s="6"/>
      <c r="C8" s="6"/>
      <c r="D8" s="6"/>
      <c r="E8" s="9"/>
      <c r="F8" s="9"/>
      <c r="G8" s="9"/>
      <c r="H8" s="9"/>
      <c r="I8" s="9"/>
      <c r="J8" s="12" t="str">
        <f aca="false">IF(OR(H8="",I8="",I8=0),"",ROUND(H8/I8*100,1))</f>
        <v/>
      </c>
      <c r="K8" s="9"/>
      <c r="L8" s="9"/>
      <c r="M8" s="9"/>
      <c r="N8" s="9"/>
      <c r="O8" s="9"/>
      <c r="P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10" t="str">
        <f aca="false">IF(OR(H9="",I9="",I9=0),"",ROUND(H9/I9*100,1))</f>
        <v/>
      </c>
      <c r="K9" s="9"/>
      <c r="L9" s="9"/>
      <c r="M9" s="9"/>
      <c r="N9" s="9"/>
      <c r="O9" s="9"/>
      <c r="P9" s="9"/>
    </row>
    <row r="10" customFormat="false" ht="21.75" hidden="false" customHeight="true" outlineLevel="0" collapsed="false">
      <c r="A10" s="11" t="n">
        <v>4</v>
      </c>
      <c r="B10" s="6"/>
      <c r="C10" s="6"/>
      <c r="D10" s="6"/>
      <c r="E10" s="9"/>
      <c r="F10" s="9"/>
      <c r="G10" s="9"/>
      <c r="H10" s="9"/>
      <c r="I10" s="9"/>
      <c r="J10" s="12" t="str">
        <f aca="false">IF(OR(H10="",I10="",I10=0),"",ROUND(H10/I10*100,1))</f>
        <v/>
      </c>
      <c r="K10" s="9"/>
      <c r="L10" s="9"/>
      <c r="M10" s="9"/>
      <c r="N10" s="9"/>
      <c r="O10" s="9"/>
      <c r="P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10" t="str">
        <f aca="false">IF(OR(H11="",I11="",I11=0),"",ROUND(H11/I11*100,1))</f>
        <v/>
      </c>
      <c r="K11" s="9"/>
      <c r="L11" s="9"/>
      <c r="M11" s="9"/>
      <c r="N11" s="9"/>
      <c r="O11" s="9"/>
      <c r="P11" s="9"/>
    </row>
    <row r="12" customFormat="false" ht="21.75" hidden="false" customHeight="true" outlineLevel="0" collapsed="false">
      <c r="A12" s="11" t="n">
        <v>6</v>
      </c>
      <c r="B12" s="6"/>
      <c r="C12" s="6"/>
      <c r="D12" s="6"/>
      <c r="E12" s="9"/>
      <c r="F12" s="9"/>
      <c r="G12" s="9"/>
      <c r="H12" s="9"/>
      <c r="I12" s="9"/>
      <c r="J12" s="12" t="str">
        <f aca="false">IF(OR(H12="",I12="",I12=0),"",ROUND(H12/I12*100,1))</f>
        <v/>
      </c>
      <c r="K12" s="9"/>
      <c r="L12" s="9"/>
      <c r="M12" s="9"/>
      <c r="N12" s="9"/>
      <c r="O12" s="9"/>
      <c r="P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10" t="str">
        <f aca="false">IF(OR(H13="",I13="",I13=0),"",ROUND(H13/I13*100,1))</f>
        <v/>
      </c>
      <c r="K13" s="9"/>
      <c r="L13" s="9"/>
      <c r="M13" s="9"/>
      <c r="N13" s="9"/>
      <c r="O13" s="9"/>
      <c r="P13" s="9"/>
    </row>
    <row r="14" customFormat="false" ht="21.75" hidden="false" customHeight="true" outlineLevel="0" collapsed="false">
      <c r="A14" s="11" t="n">
        <v>8</v>
      </c>
      <c r="B14" s="6"/>
      <c r="C14" s="6"/>
      <c r="D14" s="6"/>
      <c r="E14" s="9"/>
      <c r="F14" s="9"/>
      <c r="G14" s="9"/>
      <c r="H14" s="9"/>
      <c r="I14" s="9"/>
      <c r="J14" s="12" t="str">
        <f aca="false">IF(OR(H14="",I14="",I14=0),"",ROUND(H14/I14*100,1))</f>
        <v/>
      </c>
      <c r="K14" s="9"/>
      <c r="L14" s="9"/>
      <c r="M14" s="9"/>
      <c r="N14" s="9"/>
      <c r="O14" s="9"/>
      <c r="P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10" t="str">
        <f aca="false">IF(OR(H15="",I15="",I15=0),"",ROUND(H15/I15*100,1))</f>
        <v/>
      </c>
      <c r="K15" s="9"/>
      <c r="L15" s="9"/>
      <c r="M15" s="9"/>
      <c r="N15" s="9"/>
      <c r="O15" s="9"/>
      <c r="P15" s="9"/>
    </row>
    <row r="16" customFormat="false" ht="21.75" hidden="false" customHeight="true" outlineLevel="0" collapsed="false">
      <c r="A16" s="11" t="n">
        <v>10</v>
      </c>
      <c r="B16" s="6"/>
      <c r="C16" s="6"/>
      <c r="D16" s="6"/>
      <c r="E16" s="9"/>
      <c r="F16" s="9"/>
      <c r="G16" s="9"/>
      <c r="H16" s="9"/>
      <c r="I16" s="9"/>
      <c r="J16" s="12" t="str">
        <f aca="false">IF(OR(H16="",I16="",I16=0),"",ROUND(H16/I16*100,1))</f>
        <v/>
      </c>
      <c r="K16" s="9"/>
      <c r="L16" s="9"/>
      <c r="M16" s="9"/>
      <c r="N16" s="9"/>
      <c r="O16" s="9"/>
      <c r="P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10" t="str">
        <f aca="false">IF(OR(H17="",I17="",I17=0),"",ROUND(H17/I17*100,1))</f>
        <v/>
      </c>
      <c r="K17" s="9"/>
      <c r="L17" s="9"/>
      <c r="M17" s="9"/>
      <c r="N17" s="9"/>
      <c r="O17" s="9"/>
      <c r="P17" s="9"/>
    </row>
    <row r="18" customFormat="false" ht="21.75" hidden="false" customHeight="true" outlineLevel="0" collapsed="false">
      <c r="A18" s="11" t="n">
        <v>12</v>
      </c>
      <c r="B18" s="6"/>
      <c r="C18" s="6"/>
      <c r="D18" s="6"/>
      <c r="E18" s="9"/>
      <c r="F18" s="9"/>
      <c r="G18" s="9"/>
      <c r="H18" s="9"/>
      <c r="I18" s="9"/>
      <c r="J18" s="12" t="str">
        <f aca="false">IF(OR(H18="",I18="",I18=0),"",ROUND(H18/I18*100,1))</f>
        <v/>
      </c>
      <c r="K18" s="9"/>
      <c r="L18" s="9"/>
      <c r="M18" s="9"/>
      <c r="N18" s="9"/>
      <c r="O18" s="9"/>
      <c r="P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10" t="str">
        <f aca="false">IF(OR(H19="",I19="",I19=0),"",ROUND(H19/I19*100,1))</f>
        <v/>
      </c>
      <c r="K19" s="9"/>
      <c r="L19" s="9"/>
      <c r="M19" s="9"/>
      <c r="N19" s="9"/>
      <c r="O19" s="9"/>
      <c r="P19" s="9"/>
    </row>
    <row r="20" customFormat="false" ht="21.75" hidden="false" customHeight="true" outlineLevel="0" collapsed="false">
      <c r="A20" s="11" t="n">
        <v>14</v>
      </c>
      <c r="B20" s="6"/>
      <c r="C20" s="6"/>
      <c r="D20" s="6"/>
      <c r="E20" s="9"/>
      <c r="F20" s="9"/>
      <c r="G20" s="9"/>
      <c r="H20" s="9"/>
      <c r="I20" s="9"/>
      <c r="J20" s="12" t="str">
        <f aca="false">IF(OR(H20="",I20="",I20=0),"",ROUND(H20/I20*100,1))</f>
        <v/>
      </c>
      <c r="K20" s="9"/>
      <c r="L20" s="9"/>
      <c r="M20" s="9"/>
      <c r="N20" s="9"/>
      <c r="O20" s="9"/>
      <c r="P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10" t="str">
        <f aca="false">IF(OR(H21="",I21="",I21=0),"",ROUND(H21/I21*100,1))</f>
        <v/>
      </c>
      <c r="K21" s="9"/>
      <c r="L21" s="9"/>
      <c r="M21" s="9"/>
      <c r="N21" s="9"/>
      <c r="O21" s="9"/>
      <c r="P21" s="9"/>
    </row>
    <row r="22" customFormat="false" ht="21.75" hidden="false" customHeight="true" outlineLevel="0" collapsed="false">
      <c r="A22" s="11" t="n">
        <v>16</v>
      </c>
      <c r="B22" s="6"/>
      <c r="C22" s="6"/>
      <c r="D22" s="6"/>
      <c r="E22" s="9"/>
      <c r="F22" s="9"/>
      <c r="G22" s="9"/>
      <c r="H22" s="9"/>
      <c r="I22" s="9"/>
      <c r="J22" s="12" t="str">
        <f aca="false">IF(OR(H22="",I22="",I22=0),"",ROUND(H22/I22*100,1))</f>
        <v/>
      </c>
      <c r="K22" s="9"/>
      <c r="L22" s="9"/>
      <c r="M22" s="9"/>
      <c r="N22" s="9"/>
      <c r="O22" s="9"/>
      <c r="P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10" t="str">
        <f aca="false">IF(OR(H23="",I23="",I23=0),"",ROUND(H23/I23*100,1))</f>
        <v/>
      </c>
      <c r="K23" s="9"/>
      <c r="L23" s="9"/>
      <c r="M23" s="9"/>
      <c r="N23" s="9"/>
      <c r="O23" s="9"/>
      <c r="P23" s="9"/>
    </row>
    <row r="24" customFormat="false" ht="21.75" hidden="false" customHeight="true" outlineLevel="0" collapsed="false">
      <c r="A24" s="11" t="n">
        <v>18</v>
      </c>
      <c r="B24" s="6"/>
      <c r="C24" s="6"/>
      <c r="D24" s="6"/>
      <c r="E24" s="9"/>
      <c r="F24" s="9"/>
      <c r="G24" s="9"/>
      <c r="H24" s="9"/>
      <c r="I24" s="9"/>
      <c r="J24" s="12" t="str">
        <f aca="false">IF(OR(H24="",I24="",I24=0),"",ROUND(H24/I24*100,1))</f>
        <v/>
      </c>
      <c r="K24" s="9"/>
      <c r="L24" s="9"/>
      <c r="M24" s="9"/>
      <c r="N24" s="9"/>
      <c r="O24" s="9"/>
      <c r="P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10" t="str">
        <f aca="false">IF(OR(H25="",I25="",I25=0),"",ROUND(H25/I25*100,1))</f>
        <v/>
      </c>
      <c r="K25" s="9"/>
      <c r="L25" s="9"/>
      <c r="M25" s="9"/>
      <c r="N25" s="9"/>
      <c r="O25" s="9"/>
      <c r="P25" s="9"/>
    </row>
    <row r="26" customFormat="false" ht="21.75" hidden="false" customHeight="true" outlineLevel="0" collapsed="false">
      <c r="A26" s="11" t="n">
        <v>20</v>
      </c>
      <c r="B26" s="6"/>
      <c r="C26" s="6"/>
      <c r="D26" s="6"/>
      <c r="E26" s="9"/>
      <c r="F26" s="9"/>
      <c r="G26" s="9"/>
      <c r="H26" s="9"/>
      <c r="I26" s="9"/>
      <c r="J26" s="12" t="str">
        <f aca="false">IF(OR(H26="",I26="",I26=0),"",ROUND(H26/I26*100,1))</f>
        <v/>
      </c>
      <c r="K26" s="9"/>
      <c r="L26" s="9"/>
      <c r="M26" s="9"/>
      <c r="N26" s="9"/>
      <c r="O26" s="9"/>
      <c r="P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10" t="str">
        <f aca="false">IF(OR(H27="",I27="",I27=0),"",ROUND(H27/I27*100,1))</f>
        <v/>
      </c>
      <c r="K27" s="9"/>
      <c r="L27" s="9"/>
      <c r="M27" s="9"/>
      <c r="N27" s="9"/>
      <c r="O27" s="9"/>
      <c r="P27" s="9"/>
    </row>
    <row r="28" customFormat="false" ht="21.75" hidden="false" customHeight="true" outlineLevel="0" collapsed="false">
      <c r="A28" s="11" t="n">
        <v>22</v>
      </c>
      <c r="B28" s="6"/>
      <c r="C28" s="6"/>
      <c r="D28" s="6"/>
      <c r="E28" s="9"/>
      <c r="F28" s="9"/>
      <c r="G28" s="9"/>
      <c r="H28" s="9"/>
      <c r="I28" s="9"/>
      <c r="J28" s="12" t="str">
        <f aca="false">IF(OR(H28="",I28="",I28=0),"",ROUND(H28/I28*100,1))</f>
        <v/>
      </c>
      <c r="K28" s="9"/>
      <c r="L28" s="9"/>
      <c r="M28" s="9"/>
      <c r="N28" s="9"/>
      <c r="O28" s="9"/>
      <c r="P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10" t="str">
        <f aca="false">IF(OR(H29="",I29="",I29=0),"",ROUND(H29/I29*100,1))</f>
        <v/>
      </c>
      <c r="K29" s="9"/>
      <c r="L29" s="9"/>
      <c r="M29" s="9"/>
      <c r="N29" s="9"/>
      <c r="O29" s="9"/>
      <c r="P29" s="9"/>
    </row>
    <row r="30" customFormat="false" ht="21.75" hidden="false" customHeight="true" outlineLevel="0" collapsed="false">
      <c r="A30" s="11" t="n">
        <v>24</v>
      </c>
      <c r="B30" s="6"/>
      <c r="C30" s="6"/>
      <c r="D30" s="6"/>
      <c r="E30" s="9"/>
      <c r="F30" s="9"/>
      <c r="G30" s="9"/>
      <c r="H30" s="9"/>
      <c r="I30" s="9"/>
      <c r="J30" s="12" t="str">
        <f aca="false">IF(OR(H30="",I30="",I30=0),"",ROUND(H30/I30*100,1))</f>
        <v/>
      </c>
      <c r="K30" s="9"/>
      <c r="L30" s="9"/>
      <c r="M30" s="9"/>
      <c r="N30" s="9"/>
      <c r="O30" s="9"/>
      <c r="P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10" t="str">
        <f aca="false">IF(OR(H31="",I31="",I31=0),"",ROUND(H31/I31*100,1))</f>
        <v/>
      </c>
      <c r="K31" s="9"/>
      <c r="L31" s="9"/>
      <c r="M31" s="9"/>
      <c r="N31" s="9"/>
      <c r="O31" s="9"/>
      <c r="P31" s="9"/>
    </row>
    <row r="33" customFormat="false" ht="15" hidden="false" customHeight="true" outlineLevel="0" collapsed="false">
      <c r="A33" s="13" t="s">
        <v>22</v>
      </c>
      <c r="B33" s="13"/>
      <c r="C33" s="13"/>
    </row>
    <row r="34" customFormat="false" ht="15" hidden="false" customHeight="true" outlineLevel="0" collapsed="false">
      <c r="A34" s="5" t="s">
        <v>23</v>
      </c>
      <c r="B34" s="5"/>
      <c r="C34" s="14" t="n">
        <f aca="false">COUNTA(C7:C31)</f>
        <v>0</v>
      </c>
    </row>
    <row r="35" customFormat="false" ht="15" hidden="false" customHeight="true" outlineLevel="0" collapsed="false">
      <c r="A35" s="5" t="s">
        <v>24</v>
      </c>
      <c r="B35" s="5"/>
      <c r="C35" s="14" t="n">
        <f aca="false">COUNTIF(N7:N31,"Pass")</f>
        <v>0</v>
      </c>
    </row>
    <row r="36" customFormat="false" ht="15" hidden="false" customHeight="true" outlineLevel="0" collapsed="false">
      <c r="A36" s="5" t="s">
        <v>25</v>
      </c>
      <c r="B36" s="5"/>
      <c r="C36" s="14" t="n">
        <f aca="false">COUNTIF(N7:N31,"Fail")</f>
        <v>0</v>
      </c>
    </row>
    <row r="37" customFormat="false" ht="23.85" hidden="false" customHeight="true" outlineLevel="0" collapsed="false">
      <c r="A37" s="5" t="s">
        <v>26</v>
      </c>
      <c r="B37" s="5"/>
      <c r="C37" s="14" t="str">
        <f aca="false">IF(COUNT(J7:J31)=0,"",ROUND(AVERAGE(J7:J31),1))</f>
        <v/>
      </c>
    </row>
  </sheetData>
  <autoFilter ref="A6:P31"/>
  <mergeCells count="10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</mergeCells>
  <conditionalFormatting sqref="N7:N31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</conditionalFormatting>
  <dataValidations count="3">
    <dataValidation allowBlank="true" errorStyle="stop" operator="between" showDropDown="false" showErrorMessage="false" showInputMessage="false" sqref="E7:E31" type="list">
      <formula1>"Class 1 (Well Graded Granular),Class 2 (Wet Cohesive),Class 6A/B/C/D,Type 1 Sub-Base,Type 2 Sub-Base,Capping,General Fill,Selected Fill,Other"</formula1>
      <formula2>0</formula2>
    </dataValidation>
    <dataValidation allowBlank="true" errorStyle="stop" operator="between" showDropDown="false" showErrorMessage="false" showInputMessage="false" sqref="G7:G31" type="list">
      <formula1>"Nuclear Density Gauge,Sand Replacement,Core Cutter,Plate Bearing,Dynamic Plate,Other"</formula1>
      <formula2>0</formula2>
    </dataValidation>
    <dataValidation allowBlank="true" errorStyle="stop" operator="between" showDropDown="false" showErrorMessage="false" showInputMessage="false" sqref="N7:N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27</v>
      </c>
      <c r="B2" s="3"/>
    </row>
    <row r="4" customFormat="false" ht="15" hidden="false" customHeight="false" outlineLevel="0" collapsed="false">
      <c r="B4" s="13" t="s">
        <v>28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29</v>
      </c>
    </row>
    <row r="7" customFormat="false" ht="15" hidden="false" customHeight="false" outlineLevel="0" collapsed="false">
      <c r="B7" s="15" t="s">
        <v>30</v>
      </c>
    </row>
    <row r="8" customFormat="false" ht="15" hidden="false" customHeight="false" outlineLevel="0" collapsed="false">
      <c r="B8" s="15" t="s">
        <v>31</v>
      </c>
    </row>
    <row r="9" customFormat="false" ht="15" hidden="false" customHeight="false" outlineLevel="0" collapsed="false">
      <c r="B9" s="15" t="s">
        <v>32</v>
      </c>
    </row>
    <row r="10" customFormat="false" ht="15" hidden="false" customHeight="false" outlineLevel="0" collapsed="false">
      <c r="B10" s="15"/>
    </row>
    <row r="11" customFormat="false" ht="15" hidden="false" customHeight="false" outlineLevel="0" collapsed="false">
      <c r="B11" s="13" t="s">
        <v>33</v>
      </c>
    </row>
    <row r="12" customFormat="false" ht="15" hidden="false" customHeight="false" outlineLevel="0" collapsed="false">
      <c r="B12" s="4" t="s">
        <v>34</v>
      </c>
    </row>
    <row r="13" customFormat="false" ht="15" hidden="false" customHeight="false" outlineLevel="0" collapsed="false">
      <c r="B13" s="4" t="s">
        <v>35</v>
      </c>
    </row>
    <row r="14" customFormat="false" ht="15" hidden="false" customHeight="false" outlineLevel="0" collapsed="false">
      <c r="B14" s="4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2026-03-27T17:32:38Z</dcterms:created>
  <dc:creator>openpyxl</dc:creator>
  <dc:description/>
  <dc:language>en-US</dc:language>
  <cp:lastModifiedBy/>
  <dcterms:modified xsi:type="dcterms:W3CDTF">2026-03-27T17:32:38Z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