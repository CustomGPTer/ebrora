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Reinstatement Tracker" sheetId="3" state="visible" r:id="rId5"/>
    <sheet name="Terms of Use" sheetId="4" state="hidden" r:id="rId6"/>
  </sheets>
  <definedNames>
    <definedName function="false" hidden="false" localSheetId="0" name="_xlnm.Print_Area" vbProcedure="false">Cover!$A$1:$H$20</definedName>
    <definedName function="false" hidden="false" localSheetId="2" name="_xlnm.Print_Area" vbProcedure="false">'Reinstatement Tracker'!$A$1:$I$33</definedName>
    <definedName function="false" hidden="true" localSheetId="2" name="_xlnm._FilterDatabase" vbProcedure="false">'Reinstatement Tracker'!$A$8:$O$33</definedName>
    <definedName function="false" hidden="false" name="DataTable" vbProcedure="false">'Reinstatement Tracker'!$A$8:$O$33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<sst xmlns="http://schemas.openxmlformats.org/spreadsheetml/2006/main" count="118" uniqueCount="102">
  <si>
    <t xml:space="preserve">EBRORA</t>
  </si>
  <si>
    <t xml:space="preserve">ebrora.com</t>
  </si>
  <si>
    <t xml:space="preserve">Reinstatement Works Tracker</t>
  </si>
  <si>
    <t xml:space="preserve">Track reinstatement of excavations through every stage from dig to sign-off — with NRSWA compliance tracking, defect liability monitoring, and days-remaining alerts.</t>
  </si>
  <si>
    <t xml:space="preserve">This is a free template from Ebrora. For our full range of professional-grade construction management tools, visit ebrora.com</t>
  </si>
  <si>
    <t xml:space="preserve">© Ebrora 2026 — All rights reserved</t>
  </si>
  <si>
    <t xml:space="preserve">How to Use This Template</t>
  </si>
  <si>
    <t xml:space="preserve">Getting Started</t>
  </si>
  <si>
    <t xml:space="preserve">1.</t>
  </si>
  <si>
    <t xml:space="preserve">Open the 'Reinstatement Tracker' sheet. The pipeline summary at the top shows how many reinstatements are at each stage — from Excavated through to Signed Off.</t>
  </si>
  <si>
    <t xml:space="preserve">2.</t>
  </si>
  <si>
    <t xml:space="preserve">Each row tracks one excavation/reinstatement. Enter the Ref, Location, Works Type, and Permit Reference.</t>
  </si>
  <si>
    <t xml:space="preserve">3.</t>
  </si>
  <si>
    <t xml:space="preserve">Set the Current Stage using the dropdown. The six stages are: Excavated, Backfilled, Temp Reinstatement, Perm Reinstatement, Inspected, Signed Off.</t>
  </si>
  <si>
    <t xml:space="preserve">4.</t>
  </si>
  <si>
    <t xml:space="preserve">Enter the Excavation Date and Target Completion. The 'Days Remaining' column calculates automatically and highlights red when overdue.</t>
  </si>
  <si>
    <t xml:space="preserve">5.</t>
  </si>
  <si>
    <t xml:space="preserve">Expand optional columns for backfill material, compaction test results, surface type, final inspection date, defect liability end date, and cost.</t>
  </si>
  <si>
    <t xml:space="preserve">6.</t>
  </si>
  <si>
    <t xml:space="preserve">Under NRSWA, you typically have specific timeframes for interim and permanent reinstatement. Use this tracker to ensure you don't miss those deadlines.</t>
  </si>
  <si>
    <t xml:space="preserve">Stage Pipeline</t>
  </si>
  <si>
    <t xml:space="preserve">1. Excavated — Dig complete, works in progress. (Red tint)</t>
  </si>
  <si>
    <t xml:space="preserve">2. Backfilled — Excavation backfilled and compacted. (Orange tint)</t>
  </si>
  <si>
    <t xml:space="preserve">3. Temp Reinstatement — Temporary surface applied. (Yellow tint)</t>
  </si>
  <si>
    <t xml:space="preserve">4. Perm Reinstatement — Permanent surface laid. (Green tint)</t>
  </si>
  <si>
    <t xml:space="preserve">5. Inspected — Final inspection completed. (Blue tint)</t>
  </si>
  <si>
    <t xml:space="preserve">6. Signed Off — Accepted by authority / client. (Purple tint)</t>
  </si>
  <si>
    <t xml:space="preserve">Tips</t>
  </si>
  <si>
    <t xml:space="preserve">Tip 1:</t>
  </si>
  <si>
    <t xml:space="preserve">Under NRSWA Section 71, interim reinstatement must typically be completed within a set period after backfilling. Use the Target Completion date to track this — overdue reinstatements attract penalty charges from the highway authority.</t>
  </si>
  <si>
    <t xml:space="preserve">Tip 2:</t>
  </si>
  <si>
    <t xml:space="preserve">Filter by Current Stage = 'Temp Reinstatement' to identify all sites waiting for permanent reinstatement. Programme these into your look-ahead to avoid a backlog.</t>
  </si>
  <si>
    <t xml:space="preserve">Tip 3:</t>
  </si>
  <si>
    <t xml:space="preserve">The Defect Liability End date in the optional columns tracks the guarantee period (typically 2–3 years for permanent reinstatements). Set a reminder to inspect before this date expires.</t>
  </si>
  <si>
    <t xml:space="preserve">REINSTATEMENT WORKS TRACKER</t>
  </si>
  <si>
    <t xml:space="preserve">Project:</t>
  </si>
  <si>
    <t xml:space="preserve">Riverside Gateway — Highways Works</t>
  </si>
  <si>
    <t xml:space="preserve">Authority:</t>
  </si>
  <si>
    <t xml:space="preserve">Salford City Council Highways</t>
  </si>
  <si>
    <t xml:space="preserve">Updated:</t>
  </si>
  <si>
    <t xml:space="preserve">PIPELINE SUMMARY</t>
  </si>
  <si>
    <t xml:space="preserve">Overdue:</t>
  </si>
  <si>
    <t xml:space="preserve">Excavated</t>
  </si>
  <si>
    <t xml:space="preserve">Backfilled</t>
  </si>
  <si>
    <t xml:space="preserve">Temp Reinstatement</t>
  </si>
  <si>
    <t xml:space="preserve">Perm Reinstatement</t>
  </si>
  <si>
    <t xml:space="preserve">Inspected</t>
  </si>
  <si>
    <t xml:space="preserve">Signed Off</t>
  </si>
  <si>
    <t xml:space="preserve">Ref</t>
  </si>
  <si>
    <t xml:space="preserve">Location / Street</t>
  </si>
  <si>
    <t xml:space="preserve">Works Type</t>
  </si>
  <si>
    <t xml:space="preserve">Permit Ref</t>
  </si>
  <si>
    <t xml:space="preserve">Excavation Date</t>
  </si>
  <si>
    <t xml:space="preserve">Current Stage</t>
  </si>
  <si>
    <t xml:space="preserve">Target Completion</t>
  </si>
  <si>
    <t xml:space="preserve">Responsible</t>
  </si>
  <si>
    <t xml:space="preserve">Days Remaining</t>
  </si>
  <si>
    <t xml:space="preserve">▸ Optional Fields — Click [+] to expand</t>
  </si>
  <si>
    <t xml:space="preserve">RW-001</t>
  </si>
  <si>
    <t xml:space="preserve">Regent Road — outside No. 42-48</t>
  </si>
  <si>
    <t xml:space="preserve">Carriageway</t>
  </si>
  <si>
    <t xml:space="preserve">SP-2026-0441</t>
  </si>
  <si>
    <t xml:space="preserve">Briggs GW</t>
  </si>
  <si>
    <t xml:space="preserve">Type 1 sub-base + AC20</t>
  </si>
  <si>
    <t xml:space="preserve">Pass</t>
  </si>
  <si>
    <t xml:space="preserve">Asphalt</t>
  </si>
  <si>
    <t xml:space="preserve">RW-002</t>
  </si>
  <si>
    <t xml:space="preserve">Chapel Street — junction with Irwell St</t>
  </si>
  <si>
    <t xml:space="preserve">Footway</t>
  </si>
  <si>
    <t xml:space="preserve">SP-2026-0442</t>
  </si>
  <si>
    <t xml:space="preserve">Type 1 sub-base</t>
  </si>
  <si>
    <t xml:space="preserve">Cold-lay tarmac (temp)</t>
  </si>
  <si>
    <t xml:space="preserve">RW-003</t>
  </si>
  <si>
    <t xml:space="preserve">Irwell Street — northbound lane</t>
  </si>
  <si>
    <t xml:space="preserve">SP-2026-0443</t>
  </si>
  <si>
    <t xml:space="preserve">6F5 recycled aggregate</t>
  </si>
  <si>
    <t xml:space="preserve">Pending</t>
  </si>
  <si>
    <t xml:space="preserve">RW-004</t>
  </si>
  <si>
    <t xml:space="preserve">Site access road — south gate verge</t>
  </si>
  <si>
    <t xml:space="preserve">Verge</t>
  </si>
  <si>
    <t xml:space="preserve">N/A (private)</t>
  </si>
  <si>
    <t xml:space="preserve">Site team</t>
  </si>
  <si>
    <t xml:space="preserve">Topsoil/Turf</t>
  </si>
  <si>
    <t xml:space="preserve">RW-005</t>
  </si>
  <si>
    <t xml:space="preserve">Regent Road — service trench (gas)</t>
  </si>
  <si>
    <t xml:space="preserve">Service Trench</t>
  </si>
  <si>
    <t xml:space="preserve">SP-2026-0445</t>
  </si>
  <si>
    <t xml:space="preserve">Cadent Gas</t>
  </si>
  <si>
    <t xml:space="preserve">Type 1 + sand surround</t>
  </si>
  <si>
    <t xml:space="preserve">RW-006</t>
  </si>
  <si>
    <t xml:space="preserve">Chapel Street — footway crossing reinstatement</t>
  </si>
  <si>
    <t xml:space="preserve">SP-2026-0446</t>
  </si>
  <si>
    <t xml:space="preserve">Flags</t>
  </si>
  <si>
    <t xml:space="preserve">EBRORA — TERMS OF USE</t>
  </si>
  <si>
    <t xml:space="preserve">This template is provided free of charge by Ebrora (ebrora.com) for personal and professional use.</t>
  </si>
  <si>
    <t xml:space="preserve">1. LICENCE: You may use this template for your own projects. You may not resell, redistribute, or claim authorship of this template.</t>
  </si>
  <si>
    <t xml:space="preserve">2. NO WARRANTY: This template is provided "as is" without warranty of any kind. Ebrora accepts no liability for errors, omissions, or losses arising from use of this template.</t>
  </si>
  <si>
    <t xml:space="preserve">3. INTELLECTUAL PROPERTY: All design, layout, branding, and content remain the intellectual property of Ebrora.</t>
  </si>
  <si>
    <t xml:space="preserve">4. MODIFICATIONS: You may modify this template for your own use. Modified versions may not be distributed or sold.</t>
  </si>
  <si>
    <t xml:space="preserve">5. ATTRIBUTION: If you share outputs generated using this template, attribution to Ebrora (ebrora.com) is appreciated but not required.</t>
  </si>
  <si>
    <t xml:space="preserve">6. 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</si>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</sst>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General"/>
    <numFmt numFmtId="167" formatCode="0"/>
    <numFmt numFmtId="168" formatCode="\£#,##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8"/>
      <color rgb="FF1B2A4A"/>
      <name val="Calibri"/>
      <family val="0"/>
      <charset val="1"/>
    </font>
    <font>
      <b val="true"/>
      <sz val="18"/>
      <color rgb="FFCC000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i val="true"/>
      <sz val="9"/>
      <color rgb="FF2AABB3"/>
      <name val="Calibri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F2F2F2"/>
      </patternFill>
    </fill>
    <fill>
      <patternFill patternType="solid">
        <fgColor rgb="FFE8F6F7"/>
        <bgColor rgb="FFF2F2F2"/>
      </patternFill>
    </fill>
    <fill>
      <patternFill patternType="solid">
        <fgColor rgb="FFFFCDD2"/>
        <bgColor rgb="FFFFC7CE"/>
      </patternFill>
    </fill>
    <fill>
      <patternFill patternType="solid">
        <fgColor rgb="FFFFE0B2"/>
        <bgColor rgb="FFFFEB9C"/>
      </patternFill>
    </fill>
    <fill>
      <patternFill patternType="solid">
        <fgColor rgb="FFFFF9C4"/>
        <bgColor rgb="FFFFEB9C"/>
      </patternFill>
    </fill>
    <fill>
      <patternFill patternType="solid">
        <fgColor rgb="FFC8E6C9"/>
        <bgColor rgb="FFC6EFCE"/>
      </patternFill>
    </fill>
    <fill>
      <patternFill patternType="solid">
        <fgColor rgb="FFB3E5FC"/>
        <bgColor rgb="FFC6EFCE"/>
      </patternFill>
    </fill>
    <fill>
      <patternFill patternType="solid">
        <fgColor rgb="FFE1BEE7"/>
        <bgColor rgb="FFFFC7CE"/>
      </patternFill>
    </fill>
    <fill>
      <patternFill patternType="solid">
        <fgColor rgb="FFFFC7CE"/>
        <bgColor rgb="FFFFCDD2"/>
      </patternFill>
    </fill>
    <fill>
      <patternFill patternType="solid">
        <fgColor rgb="FFF2F2F2"/>
        <bgColor rgb="FFE8F6F7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2AABB3"/>
      </left>
      <right style="medium">
        <color rgb="FF2AABB3"/>
      </right>
      <top style="medium">
        <color rgb="FF2AABB3"/>
      </top>
      <bottom style="medium">
        <color rgb="FF2AABB3"/>
      </bottom>
      <diagonal/>
    </border>
    <border diagonalUp="false" diagonalDown="false">
      <left/>
      <right/>
      <top/>
      <bottom style="thin">
        <color rgb="FF2AABB3"/>
      </bottom>
      <diagonal/>
    </border>
    <border diagonalUp="false" diagonalDown="false">
      <left style="thin">
        <color rgb="FF2AABB3"/>
      </left>
      <right style="thin">
        <color rgb="FF2AABB3"/>
      </right>
      <top style="thin">
        <color rgb="FF2AABB3"/>
      </top>
      <bottom style="thin">
        <color rgb="FF2AABB3"/>
      </bottom>
      <diagonal/>
    </border>
    <border diagonalUp="false" diagonalDown="false">
      <left/>
      <right style="hair">
        <color rgb="FF8C8C8C"/>
      </right>
      <top/>
      <bottom style="hair">
        <color rgb="FF8C8C8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6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0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0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1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1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4">
    <dxf>
      <fill>
        <patternFill patternType="solid">
          <fgColor rgb="FF1B2A4A"/>
          <bgColor rgb="FF000000"/>
        </patternFill>
      </fill>
    </dxf>
    <dxf>
      <fill>
        <patternFill patternType="solid">
          <fgColor rgb="FFE8F6F7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3E5FC"/>
          <bgColor rgb="FF000000"/>
        </patternFill>
      </fill>
    </dxf>
    <dxf>
      <fill>
        <patternFill patternType="solid">
          <fgColor rgb="FFC8E6C9"/>
          <bgColor rgb="FF000000"/>
        </patternFill>
      </fill>
    </dxf>
    <dxf>
      <fill>
        <patternFill patternType="solid">
          <fgColor rgb="FFE1BEE7"/>
          <bgColor rgb="FF000000"/>
        </patternFill>
      </fill>
    </dxf>
    <dxf>
      <fill>
        <patternFill patternType="solid">
          <fgColor rgb="FFFFCDD2"/>
          <bgColor rgb="FF000000"/>
        </patternFill>
      </fill>
    </dxf>
    <dxf>
      <fill>
        <patternFill patternType="solid">
          <fgColor rgb="FFFFE0B2"/>
          <bgColor rgb="FF000000"/>
        </patternFill>
      </fill>
    </dxf>
    <dxf>
      <fill>
        <patternFill patternType="solid">
          <fgColor rgb="FFFFF9C4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2AABB3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FFCDD2"/>
        </patternFill>
      </fill>
    </dxf>
    <dxf>
      <fill>
        <patternFill>
          <bgColor rgb="FFFFE0B2"/>
        </patternFill>
      </fill>
    </dxf>
    <dxf>
      <fill>
        <patternFill>
          <bgColor rgb="FFFFF9C4"/>
        </patternFill>
      </fill>
    </dxf>
    <dxf>
      <fill>
        <patternFill>
          <bgColor rgb="FFC8E6C9"/>
        </patternFill>
      </fill>
    </dxf>
    <dxf>
      <fill>
        <patternFill>
          <bgColor rgb="FFB3E5FC"/>
        </patternFill>
      </fill>
    </dxf>
    <dxf>
      <fill>
        <patternFill>
          <bgColor rgb="FFE1BEE7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E6C9"/>
      <rgbColor rgb="FF808080"/>
      <rgbColor rgb="FF9999FF"/>
      <rgbColor rgb="FF993366"/>
      <rgbColor rgb="FFFFF9C4"/>
      <rgbColor rgb="FFE8F6F7"/>
      <rgbColor rgb="FF660066"/>
      <rgbColor rgb="FFFF8080"/>
      <rgbColor rgb="FF0066CC"/>
      <rgbColor rgb="FFE1B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B3E5FC"/>
      <rgbColor rgb="FFFFC7CE"/>
      <rgbColor rgb="FFFFCDD2"/>
      <rgbColor rgb="FFFFE0B2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A4" s="2" t="s">
        <v>1</v>
      </c>
      <c r="B4" s="2"/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</row>
    <row r="6" customFormat="false" ht="15" hidden="false" customHeight="true" outlineLevel="0" collapsed="false">
      <c r="A6" s="4" t="s">
        <v>2</v>
      </c>
      <c r="B6" s="4"/>
      <c r="C6" s="4"/>
      <c r="D6" s="4"/>
      <c r="E6" s="4"/>
      <c r="F6" s="4"/>
      <c r="G6" s="4"/>
      <c r="H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</row>
    <row r="10" customFormat="false" ht="15" hidden="false" customHeight="true" outlineLevel="0" collapsed="false">
      <c r="A10" s="5" t="s">
        <v>3</v>
      </c>
      <c r="B10" s="5"/>
      <c r="C10" s="5"/>
      <c r="D10" s="5"/>
      <c r="E10" s="5"/>
      <c r="F10" s="5"/>
      <c r="G10" s="5"/>
      <c r="H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</row>
    <row r="14" customFormat="false" ht="15" hidden="false" customHeight="true" outlineLevel="0" collapsed="false">
      <c r="A14" s="6" t="s">
        <v>4</v>
      </c>
      <c r="B14" s="6"/>
      <c r="C14" s="6"/>
      <c r="D14" s="6"/>
      <c r="E14" s="6"/>
      <c r="F14" s="6"/>
      <c r="G14" s="6"/>
      <c r="H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</row>
    <row r="19" customFormat="false" ht="15" hidden="false" customHeight="true" outlineLevel="0" collapsed="false">
      <c r="A19" s="7" t="s">
        <v>5</v>
      </c>
      <c r="B19" s="7"/>
      <c r="C19" s="7"/>
      <c r="D19" s="7"/>
      <c r="E19" s="7"/>
      <c r="F19" s="7"/>
      <c r="G19" s="7"/>
      <c r="H19" s="7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</row>
  </sheetData>
  <mergeCells count="6">
    <mergeCell ref="A1:H3"/>
    <mergeCell ref="A4:H4"/>
    <mergeCell ref="A6:H8"/>
    <mergeCell ref="A10:H11"/>
    <mergeCell ref="A14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6" min="2" style="0" width="16"/>
  </cols>
  <sheetData>
    <row r="1" customFormat="false" ht="18.65" hidden="false" customHeight="true" outlineLevel="0" collapsed="false">
      <c r="A1" s="8" t="s">
        <v>6</v>
      </c>
      <c r="B1" s="8"/>
      <c r="C1" s="8"/>
      <c r="D1" s="8"/>
      <c r="E1" s="8"/>
      <c r="F1" s="8"/>
    </row>
    <row r="3" customFormat="false" ht="15" hidden="false" customHeight="false" outlineLevel="0" collapsed="false">
      <c r="A3" s="9"/>
      <c r="B3" s="10"/>
      <c r="C3" s="10"/>
      <c r="D3" s="10"/>
      <c r="E3" s="10"/>
      <c r="F3" s="10"/>
    </row>
    <row r="4" customFormat="false" ht="15" hidden="false" customHeight="true" outlineLevel="0" collapsed="false">
      <c r="A4" s="11" t="s">
        <v>7</v>
      </c>
      <c r="B4" s="11"/>
      <c r="C4" s="11"/>
      <c r="D4" s="11"/>
      <c r="E4" s="11"/>
      <c r="F4" s="11"/>
    </row>
    <row r="5" customFormat="false" ht="23.85" hidden="false" customHeight="true" outlineLevel="0" collapsed="false">
      <c r="A5" s="9" t="s">
        <v>8</v>
      </c>
      <c r="B5" s="10" t="s">
        <v>9</v>
      </c>
      <c r="C5" s="10"/>
      <c r="D5" s="10"/>
      <c r="E5" s="10"/>
      <c r="F5" s="10"/>
    </row>
    <row r="6" customFormat="false" ht="15" hidden="false" customHeight="true" outlineLevel="0" collapsed="false">
      <c r="A6" s="9" t="s">
        <v>10</v>
      </c>
      <c r="B6" s="10" t="s">
        <v>11</v>
      </c>
      <c r="C6" s="10"/>
      <c r="D6" s="10"/>
      <c r="E6" s="10"/>
      <c r="F6" s="10"/>
    </row>
    <row r="7" customFormat="false" ht="23.85" hidden="false" customHeight="true" outlineLevel="0" collapsed="false">
      <c r="A7" s="9" t="s">
        <v>12</v>
      </c>
      <c r="B7" s="10" t="s">
        <v>13</v>
      </c>
      <c r="C7" s="10"/>
      <c r="D7" s="10"/>
      <c r="E7" s="10"/>
      <c r="F7" s="10"/>
    </row>
    <row r="8" customFormat="false" ht="23.85" hidden="false" customHeight="true" outlineLevel="0" collapsed="false">
      <c r="A8" s="9" t="s">
        <v>14</v>
      </c>
      <c r="B8" s="10" t="s">
        <v>15</v>
      </c>
      <c r="C8" s="10"/>
      <c r="D8" s="10"/>
      <c r="E8" s="10"/>
      <c r="F8" s="10"/>
    </row>
    <row r="9" customFormat="false" ht="23.85" hidden="false" customHeight="true" outlineLevel="0" collapsed="false">
      <c r="A9" s="9" t="s">
        <v>16</v>
      </c>
      <c r="B9" s="10" t="s">
        <v>17</v>
      </c>
      <c r="C9" s="10"/>
      <c r="D9" s="10"/>
      <c r="E9" s="10"/>
      <c r="F9" s="10"/>
    </row>
    <row r="10" customFormat="false" ht="23.85" hidden="false" customHeight="true" outlineLevel="0" collapsed="false">
      <c r="A10" s="9" t="s">
        <v>18</v>
      </c>
      <c r="B10" s="10" t="s">
        <v>19</v>
      </c>
      <c r="C10" s="10"/>
      <c r="D10" s="10"/>
      <c r="E10" s="10"/>
      <c r="F10" s="10"/>
    </row>
    <row r="11" customFormat="false" ht="15" hidden="false" customHeight="false" outlineLevel="0" collapsed="false">
      <c r="A11" s="9"/>
      <c r="B11" s="10"/>
      <c r="C11" s="10"/>
      <c r="D11" s="10"/>
      <c r="E11" s="10"/>
      <c r="F11" s="10"/>
    </row>
    <row r="12" customFormat="false" ht="15" hidden="false" customHeight="true" outlineLevel="0" collapsed="false">
      <c r="A12" s="11" t="s">
        <v>20</v>
      </c>
      <c r="B12" s="11"/>
      <c r="C12" s="11"/>
      <c r="D12" s="11"/>
      <c r="E12" s="11"/>
      <c r="F12" s="11"/>
    </row>
    <row r="13" customFormat="false" ht="15" hidden="false" customHeight="true" outlineLevel="0" collapsed="false">
      <c r="A13" s="9"/>
      <c r="B13" s="10" t="s">
        <v>21</v>
      </c>
      <c r="C13" s="10"/>
      <c r="D13" s="10"/>
      <c r="E13" s="10"/>
      <c r="F13" s="10"/>
    </row>
    <row r="14" customFormat="false" ht="15" hidden="false" customHeight="true" outlineLevel="0" collapsed="false">
      <c r="A14" s="9"/>
      <c r="B14" s="10" t="s">
        <v>22</v>
      </c>
      <c r="C14" s="10"/>
      <c r="D14" s="10"/>
      <c r="E14" s="10"/>
      <c r="F14" s="10"/>
    </row>
    <row r="15" customFormat="false" ht="15" hidden="false" customHeight="true" outlineLevel="0" collapsed="false">
      <c r="A15" s="9"/>
      <c r="B15" s="10" t="s">
        <v>23</v>
      </c>
      <c r="C15" s="10"/>
      <c r="D15" s="10"/>
      <c r="E15" s="10"/>
      <c r="F15" s="10"/>
    </row>
    <row r="16" customFormat="false" ht="15" hidden="false" customHeight="true" outlineLevel="0" collapsed="false">
      <c r="A16" s="9"/>
      <c r="B16" s="10" t="s">
        <v>24</v>
      </c>
      <c r="C16" s="10"/>
      <c r="D16" s="10"/>
      <c r="E16" s="10"/>
      <c r="F16" s="10"/>
    </row>
    <row r="17" customFormat="false" ht="15" hidden="false" customHeight="true" outlineLevel="0" collapsed="false">
      <c r="A17" s="9"/>
      <c r="B17" s="10" t="s">
        <v>25</v>
      </c>
      <c r="C17" s="10"/>
      <c r="D17" s="10"/>
      <c r="E17" s="10"/>
      <c r="F17" s="10"/>
    </row>
    <row r="18" customFormat="false" ht="15" hidden="false" customHeight="true" outlineLevel="0" collapsed="false">
      <c r="A18" s="9"/>
      <c r="B18" s="10" t="s">
        <v>26</v>
      </c>
      <c r="C18" s="10"/>
      <c r="D18" s="10"/>
      <c r="E18" s="10"/>
      <c r="F18" s="10"/>
    </row>
    <row r="19" customFormat="false" ht="15" hidden="false" customHeight="false" outlineLevel="0" collapsed="false">
      <c r="A19" s="9"/>
      <c r="B19" s="10"/>
      <c r="C19" s="10"/>
      <c r="D19" s="10"/>
      <c r="E19" s="10"/>
      <c r="F19" s="10"/>
    </row>
    <row r="20" customFormat="false" ht="15" hidden="false" customHeight="true" outlineLevel="0" collapsed="false">
      <c r="A20" s="11" t="s">
        <v>27</v>
      </c>
      <c r="B20" s="11"/>
      <c r="C20" s="11"/>
      <c r="D20" s="11"/>
      <c r="E20" s="11"/>
      <c r="F20" s="11"/>
    </row>
    <row r="21" customFormat="false" ht="35.05" hidden="false" customHeight="true" outlineLevel="0" collapsed="false">
      <c r="A21" s="12" t="s">
        <v>28</v>
      </c>
      <c r="B21" s="10" t="s">
        <v>29</v>
      </c>
      <c r="C21" s="10"/>
      <c r="D21" s="10"/>
      <c r="E21" s="10"/>
      <c r="F21" s="10"/>
    </row>
    <row r="22" customFormat="false" ht="23.85" hidden="false" customHeight="true" outlineLevel="0" collapsed="false">
      <c r="A22" s="12" t="s">
        <v>30</v>
      </c>
      <c r="B22" s="10" t="s">
        <v>31</v>
      </c>
      <c r="C22" s="10"/>
      <c r="D22" s="10"/>
      <c r="E22" s="10"/>
      <c r="F22" s="10"/>
    </row>
    <row r="23" customFormat="false" ht="23.85" hidden="false" customHeight="true" outlineLevel="0" collapsed="false">
      <c r="A23" s="12" t="s">
        <v>32</v>
      </c>
      <c r="B23" s="10" t="s">
        <v>33</v>
      </c>
      <c r="C23" s="10"/>
      <c r="D23" s="10"/>
      <c r="E23" s="10"/>
      <c r="F23" s="10"/>
    </row>
  </sheetData>
  <mergeCells count="22">
    <mergeCell ref="A1:F1"/>
    <mergeCell ref="B3:F3"/>
    <mergeCell ref="A4:F4"/>
    <mergeCell ref="B5:F5"/>
    <mergeCell ref="B6:F6"/>
    <mergeCell ref="B7:F7"/>
    <mergeCell ref="B8:F8"/>
    <mergeCell ref="B9:F9"/>
    <mergeCell ref="B10:F10"/>
    <mergeCell ref="B11:F11"/>
    <mergeCell ref="A12:F12"/>
    <mergeCell ref="B13:F13"/>
    <mergeCell ref="B14:F14"/>
    <mergeCell ref="B15:F15"/>
    <mergeCell ref="B16:F16"/>
    <mergeCell ref="B17:F17"/>
    <mergeCell ref="B18:F18"/>
    <mergeCell ref="B19:F19"/>
    <mergeCell ref="A20:F20"/>
    <mergeCell ref="B21:F21"/>
    <mergeCell ref="B22:F22"/>
    <mergeCell ref="B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17"/>
    <col collapsed="false" customWidth="true" hidden="false" outlineLevel="0" max="7" min="7" style="0" width="15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true" outlineLevel="1" max="15" min="10" style="0" width="16"/>
  </cols>
  <sheetData>
    <row r="1" customFormat="false" ht="18.65" hidden="false" customHeight="true" outlineLevel="0" collapsed="false">
      <c r="A1" s="13" t="s">
        <v>34</v>
      </c>
      <c r="B1" s="13"/>
      <c r="C1" s="13"/>
      <c r="D1" s="13"/>
      <c r="E1" s="13"/>
      <c r="F1" s="13"/>
      <c r="G1" s="13"/>
      <c r="H1" s="13"/>
      <c r="I1" s="13"/>
      <c r="J1" s="14"/>
      <c r="K1" s="14"/>
      <c r="L1" s="14"/>
      <c r="M1" s="14"/>
      <c r="N1" s="14"/>
      <c r="O1" s="14"/>
    </row>
    <row r="3" customFormat="false" ht="15" hidden="false" customHeight="false" outlineLevel="0" collapsed="false">
      <c r="A3" s="15" t="s">
        <v>35</v>
      </c>
      <c r="B3" s="16" t="s">
        <v>36</v>
      </c>
      <c r="C3" s="16"/>
      <c r="D3" s="15" t="s">
        <v>37</v>
      </c>
      <c r="E3" s="16" t="s">
        <v>38</v>
      </c>
      <c r="F3" s="16"/>
      <c r="G3" s="15" t="s">
        <v>39</v>
      </c>
      <c r="H3" s="17" t="n">
        <v>46103</v>
      </c>
    </row>
    <row r="5" customFormat="false" ht="15" hidden="false" customHeight="true" outlineLevel="0" collapsed="false">
      <c r="A5" s="18" t="s">
        <v>40</v>
      </c>
      <c r="B5" s="18"/>
      <c r="C5" s="18"/>
      <c r="D5" s="18"/>
      <c r="E5" s="18"/>
      <c r="F5" s="18"/>
      <c r="G5" s="18"/>
      <c r="H5" s="18"/>
      <c r="I5" s="18"/>
      <c r="J5" s="15" t="s">
        <v>41</v>
      </c>
    </row>
    <row r="6" customFormat="false" ht="15" hidden="false" customHeight="true" outlineLevel="0" collapsed="false">
      <c r="A6" s="19" t="s">
        <v>42</v>
      </c>
      <c r="B6" s="19"/>
      <c r="C6" s="20" t="s">
        <v>43</v>
      </c>
      <c r="D6" s="21" t="s">
        <v>44</v>
      </c>
      <c r="E6" s="21"/>
      <c r="F6" s="22" t="s">
        <v>45</v>
      </c>
      <c r="G6" s="23" t="s">
        <v>46</v>
      </c>
      <c r="H6" s="23"/>
      <c r="I6" s="24" t="s">
        <v>47</v>
      </c>
      <c r="J6" s="25" t="n">
        <f aca="false">COUNTIF(I9:I33,"&lt;0")</f>
        <v>0</v>
      </c>
    </row>
    <row r="7" customFormat="false" ht="18.65" hidden="false" customHeight="false" outlineLevel="0" collapsed="false">
      <c r="A7" s="26" t="n">
        <f aca="false">COUNTIF(F9:F33,"Excavated")</f>
        <v>1</v>
      </c>
      <c r="B7" s="26"/>
      <c r="C7" s="27" t="n">
        <f aca="false">COUNTIF(F9:F33,"Backfilled")</f>
        <v>1</v>
      </c>
      <c r="D7" s="28" t="n">
        <f aca="false">COUNTIF(F9:F33,"Temp Reinstatement")</f>
        <v>1</v>
      </c>
      <c r="E7" s="28"/>
      <c r="F7" s="29" t="n">
        <f aca="false">COUNTIF(F9:F33,"Perm Reinstatement")</f>
        <v>1</v>
      </c>
      <c r="G7" s="30" t="n">
        <f aca="false">COUNTIF(F9:F33,"Inspected")</f>
        <v>1</v>
      </c>
      <c r="H7" s="30"/>
      <c r="I7" s="31" t="n">
        <f aca="false">COUNTIF(F9:F33,"Signed Off")</f>
        <v>1</v>
      </c>
      <c r="J7" s="25"/>
    </row>
    <row r="8" customFormat="false" ht="32.8" hidden="false" customHeight="true" outlineLevel="0" collapsed="false">
      <c r="A8" s="32" t="s">
        <v>48</v>
      </c>
      <c r="B8" s="32" t="s">
        <v>49</v>
      </c>
      <c r="C8" s="32" t="s">
        <v>50</v>
      </c>
      <c r="D8" s="32" t="s">
        <v>51</v>
      </c>
      <c r="E8" s="32" t="s">
        <v>52</v>
      </c>
      <c r="F8" s="32" t="s">
        <v>53</v>
      </c>
      <c r="G8" s="32" t="s">
        <v>54</v>
      </c>
      <c r="H8" s="32" t="s">
        <v>55</v>
      </c>
      <c r="I8" s="32" t="s">
        <v>56</v>
      </c>
      <c r="J8" s="33" t="s">
        <v>57</v>
      </c>
      <c r="K8" s="33"/>
      <c r="L8" s="33"/>
      <c r="M8" s="33"/>
      <c r="N8" s="33"/>
      <c r="O8" s="33"/>
    </row>
    <row r="9" customFormat="false" ht="23.85" hidden="false" customHeight="false" outlineLevel="0" collapsed="false">
      <c r="A9" s="34" t="s">
        <v>58</v>
      </c>
      <c r="B9" s="35" t="s">
        <v>59</v>
      </c>
      <c r="C9" s="35" t="s">
        <v>60</v>
      </c>
      <c r="D9" s="35" t="s">
        <v>61</v>
      </c>
      <c r="E9" s="36" t="n">
        <v>46063</v>
      </c>
      <c r="F9" s="34" t="s">
        <v>45</v>
      </c>
      <c r="G9" s="36" t="n">
        <v>46122</v>
      </c>
      <c r="H9" s="35" t="s">
        <v>62</v>
      </c>
      <c r="I9" s="37" t="n">
        <f aca="true">IF(AND(G9&lt;&gt;"",F9&lt;&gt;"Signed Off"),G9-TODAY(),"")</f>
        <v>19</v>
      </c>
      <c r="J9" s="35" t="s">
        <v>63</v>
      </c>
      <c r="K9" s="35" t="s">
        <v>64</v>
      </c>
      <c r="L9" s="35" t="s">
        <v>65</v>
      </c>
      <c r="M9" s="36"/>
      <c r="N9" s="36"/>
      <c r="O9" s="38" t="n">
        <v>3200</v>
      </c>
    </row>
    <row r="10" customFormat="false" ht="23.85" hidden="false" customHeight="false" outlineLevel="0" collapsed="false">
      <c r="A10" s="39" t="s">
        <v>66</v>
      </c>
      <c r="B10" s="40" t="s">
        <v>67</v>
      </c>
      <c r="C10" s="40" t="s">
        <v>68</v>
      </c>
      <c r="D10" s="40" t="s">
        <v>69</v>
      </c>
      <c r="E10" s="41" t="n">
        <v>46071</v>
      </c>
      <c r="F10" s="39" t="s">
        <v>44</v>
      </c>
      <c r="G10" s="41" t="n">
        <v>46111</v>
      </c>
      <c r="H10" s="40" t="s">
        <v>62</v>
      </c>
      <c r="I10" s="37" t="n">
        <f aca="true">IF(AND(G10&lt;&gt;"",F10&lt;&gt;"Signed Off"),G10-TODAY(),"")</f>
        <v>8</v>
      </c>
      <c r="J10" s="35" t="s">
        <v>70</v>
      </c>
      <c r="K10" s="35" t="s">
        <v>64</v>
      </c>
      <c r="L10" s="35" t="s">
        <v>71</v>
      </c>
      <c r="M10" s="36"/>
      <c r="N10" s="36"/>
      <c r="O10" s="38" t="n">
        <v>850</v>
      </c>
    </row>
    <row r="11" customFormat="false" ht="23.85" hidden="false" customHeight="false" outlineLevel="0" collapsed="false">
      <c r="A11" s="34" t="s">
        <v>72</v>
      </c>
      <c r="B11" s="35" t="s">
        <v>73</v>
      </c>
      <c r="C11" s="35" t="s">
        <v>60</v>
      </c>
      <c r="D11" s="35" t="s">
        <v>74</v>
      </c>
      <c r="E11" s="36" t="n">
        <v>46082</v>
      </c>
      <c r="F11" s="34" t="s">
        <v>43</v>
      </c>
      <c r="G11" s="36" t="n">
        <v>46106</v>
      </c>
      <c r="H11" s="35" t="s">
        <v>62</v>
      </c>
      <c r="I11" s="37" t="n">
        <f aca="true">IF(AND(G11&lt;&gt;"",F11&lt;&gt;"Signed Off"),G11-TODAY(),"")</f>
        <v>3</v>
      </c>
      <c r="J11" s="35" t="s">
        <v>75</v>
      </c>
      <c r="K11" s="35" t="s">
        <v>76</v>
      </c>
      <c r="L11" s="35"/>
      <c r="M11" s="36"/>
      <c r="N11" s="36"/>
      <c r="O11" s="38"/>
    </row>
    <row r="12" customFormat="false" ht="15" hidden="false" customHeight="false" outlineLevel="0" collapsed="false">
      <c r="A12" s="39" t="s">
        <v>77</v>
      </c>
      <c r="B12" s="40" t="s">
        <v>78</v>
      </c>
      <c r="C12" s="40" t="s">
        <v>79</v>
      </c>
      <c r="D12" s="40" t="s">
        <v>80</v>
      </c>
      <c r="E12" s="41" t="n">
        <v>46086</v>
      </c>
      <c r="F12" s="39" t="s">
        <v>42</v>
      </c>
      <c r="G12" s="41" t="n">
        <v>46117</v>
      </c>
      <c r="H12" s="40" t="s">
        <v>81</v>
      </c>
      <c r="I12" s="37" t="n">
        <f aca="true">IF(AND(G12&lt;&gt;"",F12&lt;&gt;"Signed Off"),G12-TODAY(),"")</f>
        <v>14</v>
      </c>
      <c r="J12" s="35"/>
      <c r="K12" s="35"/>
      <c r="L12" s="35" t="s">
        <v>82</v>
      </c>
      <c r="M12" s="36"/>
      <c r="N12" s="36"/>
      <c r="O12" s="38"/>
    </row>
    <row r="13" customFormat="false" ht="23.85" hidden="false" customHeight="false" outlineLevel="0" collapsed="false">
      <c r="A13" s="34" t="s">
        <v>83</v>
      </c>
      <c r="B13" s="35" t="s">
        <v>84</v>
      </c>
      <c r="C13" s="35" t="s">
        <v>85</v>
      </c>
      <c r="D13" s="35" t="s">
        <v>86</v>
      </c>
      <c r="E13" s="36" t="n">
        <v>46042</v>
      </c>
      <c r="F13" s="34" t="s">
        <v>47</v>
      </c>
      <c r="G13" s="36" t="n">
        <v>46101</v>
      </c>
      <c r="H13" s="35" t="s">
        <v>87</v>
      </c>
      <c r="I13" s="37" t="str">
        <f aca="true">IF(AND(G13&lt;&gt;"",F13&lt;&gt;"Signed Off"),G13-TODAY(),"")</f>
        <v/>
      </c>
      <c r="J13" s="35" t="s">
        <v>88</v>
      </c>
      <c r="K13" s="35" t="s">
        <v>64</v>
      </c>
      <c r="L13" s="35" t="s">
        <v>65</v>
      </c>
      <c r="M13" s="36" t="n">
        <v>46096</v>
      </c>
      <c r="N13" s="36" t="n">
        <v>46827</v>
      </c>
      <c r="O13" s="38" t="n">
        <v>4100</v>
      </c>
    </row>
    <row r="14" customFormat="false" ht="23.85" hidden="false" customHeight="false" outlineLevel="0" collapsed="false">
      <c r="A14" s="39" t="s">
        <v>89</v>
      </c>
      <c r="B14" s="40" t="s">
        <v>90</v>
      </c>
      <c r="C14" s="40" t="s">
        <v>68</v>
      </c>
      <c r="D14" s="40" t="s">
        <v>91</v>
      </c>
      <c r="E14" s="41" t="n">
        <v>46078</v>
      </c>
      <c r="F14" s="39" t="s">
        <v>46</v>
      </c>
      <c r="G14" s="41" t="n">
        <v>46106</v>
      </c>
      <c r="H14" s="40" t="s">
        <v>62</v>
      </c>
      <c r="I14" s="37" t="n">
        <f aca="true">IF(AND(G14&lt;&gt;"",F14&lt;&gt;"Signed Off"),G14-TODAY(),"")</f>
        <v>3</v>
      </c>
      <c r="J14" s="35" t="s">
        <v>70</v>
      </c>
      <c r="K14" s="35" t="s">
        <v>64</v>
      </c>
      <c r="L14" s="35" t="s">
        <v>92</v>
      </c>
      <c r="M14" s="36" t="n">
        <v>46101</v>
      </c>
      <c r="N14" s="36" t="n">
        <v>46832</v>
      </c>
      <c r="O14" s="38" t="n">
        <v>1650</v>
      </c>
    </row>
    <row r="15" customFormat="false" ht="15" hidden="false" customHeight="false" outlineLevel="0" collapsed="false">
      <c r="A15" s="34"/>
      <c r="B15" s="35"/>
      <c r="C15" s="35"/>
      <c r="D15" s="35"/>
      <c r="E15" s="36"/>
      <c r="F15" s="34"/>
      <c r="G15" s="36"/>
      <c r="H15" s="35"/>
      <c r="I15" s="37" t="str">
        <f aca="true">IF(AND(G15&lt;&gt;"",F15&lt;&gt;"Signed Off"),G15-TODAY(),"")</f>
        <v/>
      </c>
      <c r="J15" s="35"/>
      <c r="K15" s="35"/>
      <c r="L15" s="35"/>
      <c r="M15" s="36"/>
      <c r="N15" s="36"/>
      <c r="O15" s="38"/>
    </row>
    <row r="16" customFormat="false" ht="15" hidden="false" customHeight="false" outlineLevel="0" collapsed="false">
      <c r="A16" s="39"/>
      <c r="B16" s="40"/>
      <c r="C16" s="40"/>
      <c r="D16" s="40"/>
      <c r="E16" s="41"/>
      <c r="F16" s="39"/>
      <c r="G16" s="41"/>
      <c r="H16" s="40"/>
      <c r="I16" s="37" t="str">
        <f aca="true">IF(AND(G16&lt;&gt;"",F16&lt;&gt;"Signed Off"),G16-TODAY(),"")</f>
        <v/>
      </c>
      <c r="J16" s="35"/>
      <c r="K16" s="35"/>
      <c r="L16" s="35"/>
      <c r="M16" s="36"/>
      <c r="N16" s="36"/>
      <c r="O16" s="38"/>
    </row>
    <row r="17" customFormat="false" ht="15" hidden="false" customHeight="false" outlineLevel="0" collapsed="false">
      <c r="A17" s="34"/>
      <c r="B17" s="35"/>
      <c r="C17" s="35"/>
      <c r="D17" s="35"/>
      <c r="E17" s="36"/>
      <c r="F17" s="34"/>
      <c r="G17" s="36"/>
      <c r="H17" s="35"/>
      <c r="I17" s="37" t="str">
        <f aca="true">IF(AND(G17&lt;&gt;"",F17&lt;&gt;"Signed Off"),G17-TODAY(),"")</f>
        <v/>
      </c>
      <c r="J17" s="35"/>
      <c r="K17" s="35"/>
      <c r="L17" s="35"/>
      <c r="M17" s="36"/>
      <c r="N17" s="36"/>
      <c r="O17" s="38"/>
    </row>
    <row r="18" customFormat="false" ht="15" hidden="false" customHeight="false" outlineLevel="0" collapsed="false">
      <c r="A18" s="39"/>
      <c r="B18" s="40"/>
      <c r="C18" s="40"/>
      <c r="D18" s="40"/>
      <c r="E18" s="41"/>
      <c r="F18" s="39"/>
      <c r="G18" s="41"/>
      <c r="H18" s="40"/>
      <c r="I18" s="37" t="str">
        <f aca="true">IF(AND(G18&lt;&gt;"",F18&lt;&gt;"Signed Off"),G18-TODAY(),"")</f>
        <v/>
      </c>
      <c r="J18" s="35"/>
      <c r="K18" s="35"/>
      <c r="L18" s="35"/>
      <c r="M18" s="36"/>
      <c r="N18" s="36"/>
      <c r="O18" s="38"/>
    </row>
    <row r="19" customFormat="false" ht="15" hidden="false" customHeight="false" outlineLevel="0" collapsed="false">
      <c r="A19" s="34"/>
      <c r="B19" s="35"/>
      <c r="C19" s="35"/>
      <c r="D19" s="35"/>
      <c r="E19" s="36"/>
      <c r="F19" s="34"/>
      <c r="G19" s="36"/>
      <c r="H19" s="35"/>
      <c r="I19" s="37" t="str">
        <f aca="true">IF(AND(G19&lt;&gt;"",F19&lt;&gt;"Signed Off"),G19-TODAY(),"")</f>
        <v/>
      </c>
      <c r="J19" s="35"/>
      <c r="K19" s="35"/>
      <c r="L19" s="35"/>
      <c r="M19" s="36"/>
      <c r="N19" s="36"/>
      <c r="O19" s="38"/>
    </row>
    <row r="20" customFormat="false" ht="15" hidden="false" customHeight="false" outlineLevel="0" collapsed="false">
      <c r="A20" s="39"/>
      <c r="B20" s="40"/>
      <c r="C20" s="40"/>
      <c r="D20" s="40"/>
      <c r="E20" s="41"/>
      <c r="F20" s="39"/>
      <c r="G20" s="41"/>
      <c r="H20" s="40"/>
      <c r="I20" s="37" t="str">
        <f aca="true">IF(AND(G20&lt;&gt;"",F20&lt;&gt;"Signed Off"),G20-TODAY(),"")</f>
        <v/>
      </c>
      <c r="J20" s="35"/>
      <c r="K20" s="35"/>
      <c r="L20" s="35"/>
      <c r="M20" s="36"/>
      <c r="N20" s="36"/>
      <c r="O20" s="38"/>
    </row>
    <row r="21" customFormat="false" ht="15" hidden="false" customHeight="false" outlineLevel="0" collapsed="false">
      <c r="A21" s="34"/>
      <c r="B21" s="35"/>
      <c r="C21" s="35"/>
      <c r="D21" s="35"/>
      <c r="E21" s="36"/>
      <c r="F21" s="34"/>
      <c r="G21" s="36"/>
      <c r="H21" s="35"/>
      <c r="I21" s="37" t="str">
        <f aca="true">IF(AND(G21&lt;&gt;"",F21&lt;&gt;"Signed Off"),G21-TODAY(),"")</f>
        <v/>
      </c>
      <c r="J21" s="35"/>
      <c r="K21" s="35"/>
      <c r="L21" s="35"/>
      <c r="M21" s="36"/>
      <c r="N21" s="36"/>
      <c r="O21" s="38"/>
    </row>
    <row r="22" customFormat="false" ht="15" hidden="false" customHeight="false" outlineLevel="0" collapsed="false">
      <c r="A22" s="39"/>
      <c r="B22" s="40"/>
      <c r="C22" s="40"/>
      <c r="D22" s="40"/>
      <c r="E22" s="41"/>
      <c r="F22" s="39"/>
      <c r="G22" s="41"/>
      <c r="H22" s="40"/>
      <c r="I22" s="37" t="str">
        <f aca="true">IF(AND(G22&lt;&gt;"",F22&lt;&gt;"Signed Off"),G22-TODAY(),"")</f>
        <v/>
      </c>
      <c r="J22" s="35"/>
      <c r="K22" s="35"/>
      <c r="L22" s="35"/>
      <c r="M22" s="36"/>
      <c r="N22" s="36"/>
      <c r="O22" s="38"/>
    </row>
    <row r="23" customFormat="false" ht="15" hidden="false" customHeight="false" outlineLevel="0" collapsed="false">
      <c r="A23" s="34"/>
      <c r="B23" s="35"/>
      <c r="C23" s="35"/>
      <c r="D23" s="35"/>
      <c r="E23" s="36"/>
      <c r="F23" s="34"/>
      <c r="G23" s="36"/>
      <c r="H23" s="35"/>
      <c r="I23" s="37" t="str">
        <f aca="true">IF(AND(G23&lt;&gt;"",F23&lt;&gt;"Signed Off"),G23-TODAY(),"")</f>
        <v/>
      </c>
      <c r="J23" s="35"/>
      <c r="K23" s="35"/>
      <c r="L23" s="35"/>
      <c r="M23" s="36"/>
      <c r="N23" s="36"/>
      <c r="O23" s="38"/>
    </row>
    <row r="24" customFormat="false" ht="15" hidden="false" customHeight="false" outlineLevel="0" collapsed="false">
      <c r="A24" s="39"/>
      <c r="B24" s="40"/>
      <c r="C24" s="40"/>
      <c r="D24" s="40"/>
      <c r="E24" s="41"/>
      <c r="F24" s="39"/>
      <c r="G24" s="41"/>
      <c r="H24" s="40"/>
      <c r="I24" s="37" t="str">
        <f aca="true">IF(AND(G24&lt;&gt;"",F24&lt;&gt;"Signed Off"),G24-TODAY(),"")</f>
        <v/>
      </c>
      <c r="J24" s="35"/>
      <c r="K24" s="35"/>
      <c r="L24" s="35"/>
      <c r="M24" s="36"/>
      <c r="N24" s="36"/>
      <c r="O24" s="38"/>
    </row>
    <row r="25" customFormat="false" ht="15" hidden="false" customHeight="false" outlineLevel="0" collapsed="false">
      <c r="A25" s="34"/>
      <c r="B25" s="35"/>
      <c r="C25" s="35"/>
      <c r="D25" s="35"/>
      <c r="E25" s="36"/>
      <c r="F25" s="34"/>
      <c r="G25" s="36"/>
      <c r="H25" s="35"/>
      <c r="I25" s="37" t="str">
        <f aca="true">IF(AND(G25&lt;&gt;"",F25&lt;&gt;"Signed Off"),G25-TODAY(),"")</f>
        <v/>
      </c>
      <c r="J25" s="35"/>
      <c r="K25" s="35"/>
      <c r="L25" s="35"/>
      <c r="M25" s="36"/>
      <c r="N25" s="36"/>
      <c r="O25" s="38"/>
    </row>
    <row r="26" customFormat="false" ht="15" hidden="false" customHeight="false" outlineLevel="0" collapsed="false">
      <c r="A26" s="39"/>
      <c r="B26" s="40"/>
      <c r="C26" s="40"/>
      <c r="D26" s="40"/>
      <c r="E26" s="41"/>
      <c r="F26" s="39"/>
      <c r="G26" s="41"/>
      <c r="H26" s="40"/>
      <c r="I26" s="37" t="str">
        <f aca="true">IF(AND(G26&lt;&gt;"",F26&lt;&gt;"Signed Off"),G26-TODAY(),"")</f>
        <v/>
      </c>
      <c r="J26" s="35"/>
      <c r="K26" s="35"/>
      <c r="L26" s="35"/>
      <c r="M26" s="36"/>
      <c r="N26" s="36"/>
      <c r="O26" s="38"/>
    </row>
    <row r="27" customFormat="false" ht="15" hidden="false" customHeight="false" outlineLevel="0" collapsed="false">
      <c r="A27" s="34"/>
      <c r="B27" s="35"/>
      <c r="C27" s="35"/>
      <c r="D27" s="35"/>
      <c r="E27" s="36"/>
      <c r="F27" s="34"/>
      <c r="G27" s="36"/>
      <c r="H27" s="35"/>
      <c r="I27" s="37" t="str">
        <f aca="true">IF(AND(G27&lt;&gt;"",F27&lt;&gt;"Signed Off"),G27-TODAY(),"")</f>
        <v/>
      </c>
      <c r="J27" s="35"/>
      <c r="K27" s="35"/>
      <c r="L27" s="35"/>
      <c r="M27" s="36"/>
      <c r="N27" s="36"/>
      <c r="O27" s="38"/>
    </row>
    <row r="28" customFormat="false" ht="15" hidden="false" customHeight="false" outlineLevel="0" collapsed="false">
      <c r="A28" s="39"/>
      <c r="B28" s="40"/>
      <c r="C28" s="40"/>
      <c r="D28" s="40"/>
      <c r="E28" s="41"/>
      <c r="F28" s="39"/>
      <c r="G28" s="41"/>
      <c r="H28" s="40"/>
      <c r="I28" s="37" t="str">
        <f aca="true">IF(AND(G28&lt;&gt;"",F28&lt;&gt;"Signed Off"),G28-TODAY(),"")</f>
        <v/>
      </c>
      <c r="J28" s="35"/>
      <c r="K28" s="35"/>
      <c r="L28" s="35"/>
      <c r="M28" s="36"/>
      <c r="N28" s="36"/>
      <c r="O28" s="38"/>
    </row>
    <row r="29" customFormat="false" ht="15" hidden="false" customHeight="false" outlineLevel="0" collapsed="false">
      <c r="A29" s="34"/>
      <c r="B29" s="35"/>
      <c r="C29" s="35"/>
      <c r="D29" s="35"/>
      <c r="E29" s="36"/>
      <c r="F29" s="34"/>
      <c r="G29" s="36"/>
      <c r="H29" s="35"/>
      <c r="I29" s="37" t="str">
        <f aca="true">IF(AND(G29&lt;&gt;"",F29&lt;&gt;"Signed Off"),G29-TODAY(),"")</f>
        <v/>
      </c>
      <c r="J29" s="35"/>
      <c r="K29" s="35"/>
      <c r="L29" s="35"/>
      <c r="M29" s="36"/>
      <c r="N29" s="36"/>
      <c r="O29" s="38"/>
    </row>
    <row r="30" customFormat="false" ht="15" hidden="false" customHeight="false" outlineLevel="0" collapsed="false">
      <c r="A30" s="39"/>
      <c r="B30" s="40"/>
      <c r="C30" s="40"/>
      <c r="D30" s="40"/>
      <c r="E30" s="41"/>
      <c r="F30" s="39"/>
      <c r="G30" s="41"/>
      <c r="H30" s="40"/>
      <c r="I30" s="37" t="str">
        <f aca="true">IF(AND(G30&lt;&gt;"",F30&lt;&gt;"Signed Off"),G30-TODAY(),"")</f>
        <v/>
      </c>
      <c r="J30" s="35"/>
      <c r="K30" s="35"/>
      <c r="L30" s="35"/>
      <c r="M30" s="36"/>
      <c r="N30" s="36"/>
      <c r="O30" s="38"/>
    </row>
    <row r="31" customFormat="false" ht="15" hidden="false" customHeight="false" outlineLevel="0" collapsed="false">
      <c r="A31" s="34"/>
      <c r="B31" s="35"/>
      <c r="C31" s="35"/>
      <c r="D31" s="35"/>
      <c r="E31" s="36"/>
      <c r="F31" s="34"/>
      <c r="G31" s="36"/>
      <c r="H31" s="35"/>
      <c r="I31" s="37" t="str">
        <f aca="true">IF(AND(G31&lt;&gt;"",F31&lt;&gt;"Signed Off"),G31-TODAY(),"")</f>
        <v/>
      </c>
      <c r="J31" s="35"/>
      <c r="K31" s="35"/>
      <c r="L31" s="35"/>
      <c r="M31" s="36"/>
      <c r="N31" s="36"/>
      <c r="O31" s="38"/>
    </row>
    <row r="32" customFormat="false" ht="15" hidden="false" customHeight="false" outlineLevel="0" collapsed="false">
      <c r="A32" s="39"/>
      <c r="B32" s="40"/>
      <c r="C32" s="40"/>
      <c r="D32" s="40"/>
      <c r="E32" s="41"/>
      <c r="F32" s="39"/>
      <c r="G32" s="41"/>
      <c r="H32" s="40"/>
      <c r="I32" s="37" t="str">
        <f aca="true">IF(AND(G32&lt;&gt;"",F32&lt;&gt;"Signed Off"),G32-TODAY(),"")</f>
        <v/>
      </c>
      <c r="J32" s="35"/>
      <c r="K32" s="35"/>
      <c r="L32" s="35"/>
      <c r="M32" s="36"/>
      <c r="N32" s="36"/>
      <c r="O32" s="38"/>
    </row>
    <row r="33" customFormat="false" ht="15" hidden="false" customHeight="false" outlineLevel="0" collapsed="false">
      <c r="A33" s="34"/>
      <c r="B33" s="35"/>
      <c r="C33" s="35"/>
      <c r="D33" s="35"/>
      <c r="E33" s="36"/>
      <c r="F33" s="34"/>
      <c r="G33" s="36"/>
      <c r="H33" s="35"/>
      <c r="I33" s="37" t="str">
        <f aca="true">IF(AND(G33&lt;&gt;"",F33&lt;&gt;"Signed Off"),G33-TODAY(),"")</f>
        <v/>
      </c>
      <c r="J33" s="35"/>
      <c r="K33" s="35"/>
      <c r="L33" s="35"/>
      <c r="M33" s="36"/>
      <c r="N33" s="36"/>
      <c r="O33" s="38"/>
    </row>
  </sheetData>
  <autoFilter ref="A8:O33"/>
  <mergeCells count="12">
    <mergeCell ref="A1:I1"/>
    <mergeCell ref="B3:C3"/>
    <mergeCell ref="E3:F3"/>
    <mergeCell ref="A5:I5"/>
    <mergeCell ref="A6:B6"/>
    <mergeCell ref="D6:E6"/>
    <mergeCell ref="G6:H6"/>
    <mergeCell ref="J6:J7"/>
    <mergeCell ref="A7:B7"/>
    <mergeCell ref="D7:E7"/>
    <mergeCell ref="G7:H7"/>
    <mergeCell ref="J8:O8"/>
  </mergeCells>
  <conditionalFormatting sqref="F9:F33">
    <cfRule type="cellIs" priority="2" operator="equal" aboveAverage="0" equalAverage="0" bottom="0" percent="0" rank="0" text="" dxfId="15">
      <formula>"Excavated"</formula>
    </cfRule>
    <cfRule type="cellIs" priority="3" operator="equal" aboveAverage="0" equalAverage="0" bottom="0" percent="0" rank="0" text="" dxfId="16">
      <formula>"Backfilled"</formula>
    </cfRule>
    <cfRule type="cellIs" priority="4" operator="equal" aboveAverage="0" equalAverage="0" bottom="0" percent="0" rank="0" text="" dxfId="17">
      <formula>"Temp Reinstatement"</formula>
    </cfRule>
    <cfRule type="cellIs" priority="5" operator="equal" aboveAverage="0" equalAverage="0" bottom="0" percent="0" rank="0" text="" dxfId="18">
      <formula>"Perm Reinstatement"</formula>
    </cfRule>
    <cfRule type="cellIs" priority="6" operator="equal" aboveAverage="0" equalAverage="0" bottom="0" percent="0" rank="0" text="" dxfId="19">
      <formula>"Inspected"</formula>
    </cfRule>
    <cfRule type="cellIs" priority="7" operator="equal" aboveAverage="0" equalAverage="0" bottom="0" percent="0" rank="0" text="" dxfId="20">
      <formula>"Signed Off"</formula>
    </cfRule>
  </conditionalFormatting>
  <conditionalFormatting sqref="I9:I33">
    <cfRule type="expression" priority="8" aboveAverage="0" equalAverage="0" bottom="0" percent="0" rank="0" text="" dxfId="21">
      <formula>AND(I9&lt;&gt;"",I9&lt;0)</formula>
    </cfRule>
    <cfRule type="expression" priority="9" aboveAverage="0" equalAverage="0" bottom="0" percent="0" rank="0" text="" dxfId="22">
      <formula>AND(I9&lt;&gt;"",I9&gt;=0,I9&lt;=7)</formula>
    </cfRule>
  </conditionalFormatting>
  <conditionalFormatting sqref="K9:K33">
    <cfRule type="cellIs" priority="10" operator="equal" aboveAverage="0" equalAverage="0" bottom="0" percent="0" rank="0" text="" dxfId="21">
      <formula>"Fail"</formula>
    </cfRule>
    <cfRule type="cellIs" priority="11" operator="equal" aboveAverage="0" equalAverage="0" bottom="0" percent="0" rank="0" text="" dxfId="23">
      <formula>"Pass"</formula>
    </cfRule>
  </conditionalFormatting>
  <dataValidations count="4">
    <dataValidation allowBlank="true" errorStyle="stop" operator="between" prompt="Select current stage" showDropDown="false" showErrorMessage="false" showInputMessage="false" sqref="F9:F33" type="list">
      <formula1>"Excavated,Backfilled,Temp Reinstatement,Perm Reinstatement,Inspected,Signed Off"</formula1>
      <formula2>0</formula2>
    </dataValidation>
    <dataValidation allowBlank="true" errorStyle="stop" operator="between" showDropDown="false" showErrorMessage="false" showInputMessage="false" sqref="C9:C33" type="list">
      <formula1>"Carriageway,Footway,Verge,Shared Surface,Cycleway,Private Road,Service Trench,Connection,Other"</formula1>
      <formula2>0</formula2>
    </dataValidation>
    <dataValidation allowBlank="true" errorStyle="stop" operator="between" showDropDown="false" showErrorMessage="false" showInputMessage="false" sqref="L9:L33" type="list">
      <formula1>"Asphalt,Concrete,Block Paving,Flags,Gravel,Topsoil/Turf,Resin Bound,Other"</formula1>
      <formula2>0</formula2>
    </dataValidation>
    <dataValidation allowBlank="true" errorStyle="stop" operator="between" showDropDown="false" showErrorMessage="false" showInputMessage="false" sqref="K9:K33" type="list">
      <formula1>"Pass,Fail,Pending,N/A"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&amp;CReinstatement Works Tracker</oddHeader>
    <oddFooter>&amp;Rebrora.com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8.65" hidden="false" customHeight="false" outlineLevel="0" collapsed="false">
      <c r="A1" s="42" t="s">
        <v>93</v>
      </c>
    </row>
    <row r="2" customFormat="false" ht="15" hidden="false" customHeight="false" outlineLevel="0" collapsed="false">
      <c r="A2" s="9"/>
    </row>
    <row r="3" customFormat="false" ht="15" hidden="false" customHeight="false" outlineLevel="0" collapsed="false">
      <c r="A3" s="9" t="s">
        <v>94</v>
      </c>
    </row>
    <row r="4" customFormat="false" ht="15" hidden="false" customHeight="false" outlineLevel="0" collapsed="false">
      <c r="A4" s="9"/>
    </row>
    <row r="5" customFormat="false" ht="23.85" hidden="false" customHeight="false" outlineLevel="0" collapsed="false">
      <c r="A5" s="9" t="s">
        <v>95</v>
      </c>
    </row>
    <row r="6" customFormat="false" ht="15" hidden="false" customHeight="false" outlineLevel="0" collapsed="false">
      <c r="A6" s="9"/>
    </row>
    <row r="7" customFormat="false" ht="23.85" hidden="false" customHeight="false" outlineLevel="0" collapsed="false">
      <c r="A7" s="9" t="s">
        <v>96</v>
      </c>
    </row>
    <row r="8" customFormat="false" ht="15" hidden="false" customHeight="false" outlineLevel="0" collapsed="false">
      <c r="A8" s="9"/>
    </row>
    <row r="9" customFormat="false" ht="15" hidden="false" customHeight="false" outlineLevel="0" collapsed="false">
      <c r="A9" s="9" t="s">
        <v>97</v>
      </c>
    </row>
    <row r="10" customFormat="false" ht="15" hidden="false" customHeight="false" outlineLevel="0" collapsed="false">
      <c r="A10" s="9"/>
    </row>
    <row r="11" customFormat="false" ht="15" hidden="false" customHeight="false" outlineLevel="0" collapsed="false">
      <c r="A11" s="9" t="s">
        <v>98</v>
      </c>
    </row>
    <row r="12" customFormat="false" ht="15" hidden="false" customHeight="false" outlineLevel="0" collapsed="false">
      <c r="A12" s="9"/>
    </row>
    <row r="13" customFormat="false" ht="23.85" hidden="false" customHeight="false" outlineLevel="0" collapsed="false">
      <c r="A13" s="9" t="s">
        <v>99</v>
      </c>
    </row>
    <row r="14" customFormat="false" ht="15" hidden="false" customHeight="false" outlineLevel="0" collapsed="false">
      <c r="A14" s="9"/>
    </row>
    <row r="15" customFormat="false" ht="15" hidden="false" customHeight="false" outlineLevel="0" collapsed="false">
      <c r="A15" s="9" t="s">
        <v>100</v>
      </c>
    </row>
    <row r="16" customFormat="false" ht="15" hidden="false" customHeight="false" outlineLevel="0" collapsed="false">
      <c r="A16" s="9"/>
    </row>
    <row r="17" customFormat="false" ht="15" hidden="false" customHeight="false" outlineLevel="0" collapsed="false">
      <c r="A17" s="9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Site Management &amp; Planning</cp:category>
  <dcterms:created xsi:type="dcterms:W3CDTF">2026-03-22T19:40:19Z</dcterms:created>
  <dc:creator>Ebrora Ltd</dc:creator>
  <dc:description>Track reinstatement works through six stages from excavation to sign-off, with days-remaining alerts, compaction test records, and defect liability tracking — designed for UK highways and utilities contractors.
Free professional construction management template from Ebrora Ltd. Visit ebrora.com for our full range of tools and templates.</dc:description>
  <cp:keywords>Ebrora construction reinstatement NRSWA highways excavation utilities defect liability site management</cp:keywords>
  <dc:language>en-US</dc:language>
  <cp:lastModifiedBy>Ebrora Ltd</cp:lastModifiedBy>
  <dcterms:modified xsi:type="dcterms:W3CDTF">2026-03-22T19:40:19Z</dcterms:modified>
  <cp:revision>0</cp:revision>
  <dc:subject>Tracker for reinstatement of excavations through six stages from dig to sign-off, with NRSWA compliance tracking and defect liability monitoring.</dc:subject>
  <dc:title>Reinstatement Works Tracker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