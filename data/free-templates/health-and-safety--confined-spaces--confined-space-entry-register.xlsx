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nfined Space Register" sheetId="3" state="visible" r:id="rId5"/>
    <sheet name="Terms of Use" sheetId="4" state="hidden" r:id="rId6"/>
  </sheets>
  <definedNames>
    <definedName function="false" hidden="false" localSheetId="2" name="_xlnm.Print_Area" vbProcedure="false">'Confined Space Register'!$A$1:$J$58</definedName>
    <definedName function="false" hidden="true" localSheetId="2" name="_xlnm._FilterDatabase" vbProcedure="false">'Confined Space Register'!$A$8:$T$8</definedName>
    <definedName function="false" hidden="false" localSheetId="0" name="_xlnm.Print_Area" vbProcedure="false">Cover!$A$1:$H$20</definedName>
    <definedName function="false" hidden="false" localSheetId="1" name="_xlnm.Print_Area" vbProcedure="false">Instructions!$A$1:$F$26</definedName>
    <definedName function="false" hidden="false" name="DataTable" vbProcedure="false">'Confined Space Register'!$A$8:$T$508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<sst xmlns="http://schemas.openxmlformats.org/spreadsheetml/2006/main" count="138" uniqueCount="107">
  <si>
    <t xml:space="preserve">EBRORA</t>
  </si>
  <si>
    <t xml:space="preserve">ebrora.com</t>
  </si>
  <si>
    <t xml:space="preserve">Confined Space Entry Register</t>
  </si>
  <si>
    <t xml:space="preserve">Manage all confined space entries on site — track entrants, standby persons, gas testing, entry/exit times, and rescue arrangements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</si>
  <si>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</si>
  <si>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</si>
  <si>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</si>
  <si>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</si>
  <si>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</si>
  <si>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“Confined Space Register” tab. Each row records one confined space entry.</t>
  </si>
  <si>
    <t xml:space="preserve">2.</t>
  </si>
  <si>
    <t xml:space="preserve">Enter the Date and the Confined Space Location / Ref (e.g. “Manhole MH-07, Drainage Run DR-03” or “Tank T-02, Plant Room Basement”).</t>
  </si>
  <si>
    <t xml:space="preserve">3.</t>
  </si>
  <si>
    <t xml:space="preserve">Describe the work being carried out inside the confined space.</t>
  </si>
  <si>
    <t xml:space="preserve">4.</t>
  </si>
  <si>
    <t xml:space="preserve">Record the Entrant Name (the person entering), the Standby Person (who remains outside at the entry point at all times), and the Supervisor / Competent Person overseeing the entry.</t>
  </si>
  <si>
    <t xml:space="preserve">5.</t>
  </si>
  <si>
    <t xml:space="preserve">Log the Entry Time when the person enters and the Exit Time when they leave. The optional columns include an auto-calculated Duration.</t>
  </si>
  <si>
    <t xml:space="preserve">6.</t>
  </si>
  <si>
    <t xml:space="preserve">Set the Status: Planned (not yet started), Active (person currently inside), Completed (entry finished safely), or Aborted (entry stopped due to a hazard).</t>
  </si>
  <si>
    <t xml:space="preserve">7.</t>
  </si>
  <si>
    <t xml:space="preserve">For additional detail, expand the optional columns: Permit Ref, Gas Test Results (O₂ / LEL / CO / H₂S), Ventilation Required, Rescue Plan Ref, Emergency Services Notified, Duration (auto-calculated), and Notes.</t>
  </si>
  <si>
    <t xml:space="preserve">8.</t>
  </si>
  <si>
    <t xml:space="preserve">Gas testing must be carried out before every entry. Record the results in the optional columns. If any reading is outside safe limits, do NOT enter — set Status to Aborted.</t>
  </si>
  <si>
    <t xml:space="preserve">9.</t>
  </si>
  <si>
    <t xml:space="preserve">The dashboard at the top auto-calculates total entries, status breakdown, average duration, and aborted entry count.</t>
  </si>
  <si>
    <t xml:space="preserve">Colour Key</t>
  </si>
  <si>
    <t xml:space="preserve">•</t>
  </si>
  <si>
    <t xml:space="preserve">Light teal cells = User input / editable fields.</t>
  </si>
  <si>
    <t xml:space="preserve">Dark navy headers = Column headers. Do not edit.</t>
  </si>
  <si>
    <t xml:space="preserve">Status: Amber = Active (person currently inside), Green = Completed, Red = Aborted, Grey = Planned.</t>
  </si>
  <si>
    <t xml:space="preserve">Full-row amber highlight = Entry is Active (person currently inside the confined space).</t>
  </si>
  <si>
    <t xml:space="preserve">Red in Gas Test columns = Reading outside safe limits.</t>
  </si>
  <si>
    <t xml:space="preserve">Tips</t>
  </si>
  <si>
    <t xml:space="preserve">Under the Confined Spaces Regulations 1997, no person may enter a confined space unless a suitable and sufficient risk assessment has been carried out and a safe system of work is in place. This register supports your compliance records but does not replace a full confined space risk assessment and permit to work.</t>
  </si>
  <si>
    <t xml:space="preserve">The standby person must remain at the entry point at all times while the entrant is inside. They must never enter the confined space to attempt a rescue — that is for the trained rescue team.</t>
  </si>
  <si>
    <t xml:space="preserve">Safe atmospheric limits: O₂ 19.5–23.5%, LEL &lt;10%, CO &lt;30 ppm, H₂S &lt;5 ppm. Any reading outside these limits means NO ENTRY.</t>
  </si>
  <si>
    <t xml:space="preserve">CONFINED SPACE ENTRY REGISTER</t>
  </si>
  <si>
    <t xml:space="preserve">Total Entries:</t>
  </si>
  <si>
    <t xml:space="preserve">Completed:</t>
  </si>
  <si>
    <t xml:space="preserve">Active Now:</t>
  </si>
  <si>
    <t xml:space="preserve">Aborted:</t>
  </si>
  <si>
    <t xml:space="preserve">Planned:</t>
  </si>
  <si>
    <t xml:space="preserve">Avg Duration (mins):</t>
  </si>
  <si>
    <t xml:space="preserve">Entries This Month:</t>
  </si>
  <si>
    <t xml:space="preserve">Unique Spaces Used:</t>
  </si>
  <si>
    <t xml:space="preserve">▸ Optional Fields — Click [+] to expand</t>
  </si>
  <si>
    <t xml:space="preserve">Entry No.</t>
  </si>
  <si>
    <t xml:space="preserve">Date</t>
  </si>
  <si>
    <t xml:space="preserve">Confined Space Location / Ref</t>
  </si>
  <si>
    <t xml:space="preserve">Description of Work</t>
  </si>
  <si>
    <t xml:space="preserve">Entrant Name</t>
  </si>
  <si>
    <t xml:space="preserve">Standby Person</t>
  </si>
  <si>
    <t xml:space="preserve">Supervisor / CP</t>
  </si>
  <si>
    <t xml:space="preserve">Entry Time</t>
  </si>
  <si>
    <t xml:space="preserve">Exit Time</t>
  </si>
  <si>
    <t xml:space="preserve">Status</t>
  </si>
  <si>
    <t xml:space="preserve">Permit Ref</t>
  </si>
  <si>
    <t xml:space="preserve">O₂ (%)</t>
  </si>
  <si>
    <t xml:space="preserve">LEL (%)</t>
  </si>
  <si>
    <t xml:space="preserve">CO (ppm)</t>
  </si>
  <si>
    <t xml:space="preserve">H₂S (ppm)</t>
  </si>
  <si>
    <t xml:space="preserve">Ventilation Req</t>
  </si>
  <si>
    <t xml:space="preserve">Rescue Plan Ref</t>
  </si>
  <si>
    <t xml:space="preserve">Emergency Svcs Notified</t>
  </si>
  <si>
    <t xml:space="preserve">Duration (mins)</t>
  </si>
  <si>
    <t xml:space="preserve">Notes</t>
  </si>
  <si>
    <t xml:space="preserve">Manhole MH-07, Drainage Run DR-03</t>
  </si>
  <si>
    <t xml:space="preserve">Install new pipework connection and benching</t>
  </si>
  <si>
    <t xml:space="preserve">P. Morgan</t>
  </si>
  <si>
    <t xml:space="preserve">S. Hall</t>
  </si>
  <si>
    <t xml:space="preserve">R. Thomas</t>
  </si>
  <si>
    <t xml:space="preserve">Completed</t>
  </si>
  <si>
    <t xml:space="preserve">CSP-041</t>
  </si>
  <si>
    <t xml:space="preserve">Yes</t>
  </si>
  <si>
    <t xml:space="preserve">RP-CS-007</t>
  </si>
  <si>
    <t xml:space="preserve">No</t>
  </si>
  <si>
    <t xml:space="preserve">Entry completed without incident. Continuous gas monitoring throughout.</t>
  </si>
  <si>
    <t xml:space="preserve">Chamber CH-12, Foul Water Pump Station</t>
  </si>
  <si>
    <t xml:space="preserve">Inspect and clean pump impeller, check float switches</t>
  </si>
  <si>
    <t xml:space="preserve">D. Evans</t>
  </si>
  <si>
    <t xml:space="preserve">K. Price</t>
  </si>
  <si>
    <t xml:space="preserve">CSP-042</t>
  </si>
  <si>
    <t xml:space="preserve">Foul atmosphere detected at pre-entry test but within safe limits after 20 mins ventilation.</t>
  </si>
  <si>
    <t xml:space="preserve">Tank T-02, Plant Room Basement</t>
  </si>
  <si>
    <t xml:space="preserve">Internal coating inspection and thickness testing</t>
  </si>
  <si>
    <t xml:space="preserve">T. Williams</t>
  </si>
  <si>
    <t xml:space="preserve">Aborted</t>
  </si>
  <si>
    <t xml:space="preserve">CSP-043</t>
  </si>
  <si>
    <t xml:space="preserve">RP-CS-008</t>
  </si>
  <si>
    <t xml:space="preserve">O₂ below 19.5% and LEL above 10% on initial gas test. Entry refused. Space purged and re-tested — rescheduled to 20/03.</t>
  </si>
  <si>
    <t xml:space="preserve">Manhole MH-03, Storm Water Outfall</t>
  </si>
  <si>
    <t xml:space="preserve">CCTV survey preparation and jetting nozzle installation</t>
  </si>
  <si>
    <t xml:space="preserve">CSP-044</t>
  </si>
  <si>
    <t xml:space="preserve">Shallow manhole, natural ventilation adequate. Short-duration entry.</t>
  </si>
  <si>
    <t xml:space="preserve">Internal coating inspection (rescheduled from 18/03)</t>
  </si>
  <si>
    <t xml:space="preserve">CSP-045</t>
  </si>
  <si>
    <t xml:space="preserve">Space fully purged overnight. All gas readings within safe limits. Coating thickness measurements completed.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</si>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</sst>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General"/>
    <numFmt numFmtId="166" formatCode="0"/>
    <numFmt numFmtId="167" formatCode="dd/mm/yyyy"/>
    <numFmt numFmtId="168" formatCode="hh:mm"/>
    <numFmt numFmtId="169" formatCode="0.0"/>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9C6500"/>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true" applyAlignment="true" applyProtection="false">
      <alignment horizontal="center" vertical="center" textRotation="0" wrapText="true" indent="0" shrinkToFit="false"/>
      <protection locked="true" hidden="false"/>
    </xf>
    <xf numFmtId="164" fontId="18"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8" fontId="12" fillId="4"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9" fontId="12" fillId="4" borderId="2" xfId="0" applyFont="true" applyBorder="true" applyAlignment="true" applyProtection="false">
      <alignment horizontal="center" vertical="center" textRotation="0" wrapText="true" indent="0" shrinkToFit="false"/>
      <protection locked="true" hidden="false"/>
    </xf>
    <xf numFmtId="166" fontId="12" fillId="4" borderId="2" xfId="0" applyFont="true" applyBorder="true" applyAlignment="true" applyProtection="false">
      <alignment horizontal="center" vertical="center" textRotation="0" wrapText="true" indent="0" shrinkToFit="false"/>
      <protection locked="true" hidden="false"/>
    </xf>
    <xf numFmtId="166" fontId="12" fillId="3"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23.8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23.8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9" t="s">
        <v>26</v>
      </c>
      <c r="B15" s="2"/>
      <c r="C15" s="2"/>
      <c r="D15" s="2"/>
      <c r="E15" s="2"/>
      <c r="F15" s="2"/>
      <c r="G15" s="2"/>
      <c r="H15" s="2"/>
    </row>
    <row r="16" customFormat="false" ht="15" hidden="false" customHeight="true" outlineLevel="0" collapsed="false">
      <c r="A16" s="10" t="s">
        <v>27</v>
      </c>
      <c r="B16" s="11" t="s">
        <v>28</v>
      </c>
      <c r="C16" s="11"/>
      <c r="D16" s="11"/>
      <c r="E16" s="11"/>
      <c r="F16" s="11"/>
      <c r="G16" s="2"/>
      <c r="H16" s="2"/>
    </row>
    <row r="17" customFormat="false" ht="15" hidden="false" customHeight="true" outlineLevel="0" collapsed="false">
      <c r="A17" s="10" t="s">
        <v>27</v>
      </c>
      <c r="B17" s="11" t="s">
        <v>29</v>
      </c>
      <c r="C17" s="11"/>
      <c r="D17" s="11"/>
      <c r="E17" s="11"/>
      <c r="F17" s="11"/>
      <c r="G17" s="2"/>
      <c r="H17" s="2"/>
    </row>
    <row r="18" customFormat="false" ht="15" hidden="false" customHeight="true" outlineLevel="0" collapsed="false">
      <c r="A18" s="10" t="s">
        <v>27</v>
      </c>
      <c r="B18" s="11" t="s">
        <v>30</v>
      </c>
      <c r="C18" s="11"/>
      <c r="D18" s="11"/>
      <c r="E18" s="11"/>
      <c r="F18" s="11"/>
      <c r="G18" s="2"/>
      <c r="H18" s="2"/>
    </row>
    <row r="19" customFormat="false" ht="15" hidden="false" customHeight="true" outlineLevel="0" collapsed="false">
      <c r="A19" s="10" t="s">
        <v>27</v>
      </c>
      <c r="B19" s="11" t="s">
        <v>31</v>
      </c>
      <c r="C19" s="11"/>
      <c r="D19" s="11"/>
      <c r="E19" s="11"/>
      <c r="F19" s="11"/>
      <c r="G19" s="2"/>
      <c r="H19" s="2"/>
    </row>
    <row r="20" customFormat="false" ht="15" hidden="false" customHeight="true" outlineLevel="0" collapsed="false">
      <c r="A20" s="10" t="s">
        <v>27</v>
      </c>
      <c r="B20" s="11" t="s">
        <v>32</v>
      </c>
      <c r="C20" s="11"/>
      <c r="D20" s="11"/>
      <c r="E20" s="11"/>
      <c r="F20" s="11"/>
      <c r="G20" s="2"/>
      <c r="H20" s="2"/>
    </row>
    <row r="21" customFormat="false" ht="15" hidden="false" customHeight="false" outlineLevel="0" collapsed="false">
      <c r="A21" s="2"/>
      <c r="B21" s="2"/>
      <c r="C21" s="2"/>
      <c r="D21" s="2"/>
      <c r="E21" s="2"/>
      <c r="F21" s="2"/>
      <c r="G21" s="2"/>
      <c r="H21" s="2"/>
    </row>
    <row r="22" customFormat="false" ht="15" hidden="false" customHeight="false" outlineLevel="0" collapsed="false">
      <c r="A22" s="9" t="s">
        <v>33</v>
      </c>
      <c r="B22" s="2"/>
      <c r="C22" s="2"/>
      <c r="D22" s="2"/>
      <c r="E22" s="2"/>
      <c r="F22" s="2"/>
      <c r="G22" s="2"/>
      <c r="H22" s="2"/>
    </row>
    <row r="23" customFormat="false" ht="23.85" hidden="false" customHeight="true" outlineLevel="0" collapsed="false">
      <c r="A23" s="10" t="s">
        <v>27</v>
      </c>
      <c r="B23" s="11" t="s">
        <v>34</v>
      </c>
      <c r="C23" s="11"/>
      <c r="D23" s="11"/>
      <c r="E23" s="11"/>
      <c r="F23" s="11"/>
      <c r="G23" s="2"/>
      <c r="H23" s="2"/>
    </row>
    <row r="24" customFormat="false" ht="23.85" hidden="false" customHeight="true" outlineLevel="0" collapsed="false">
      <c r="A24" s="10" t="s">
        <v>27</v>
      </c>
      <c r="B24" s="11" t="s">
        <v>35</v>
      </c>
      <c r="C24" s="11"/>
      <c r="D24" s="11"/>
      <c r="E24" s="11"/>
      <c r="F24" s="11"/>
      <c r="G24" s="2"/>
      <c r="H24" s="2"/>
    </row>
    <row r="25" customFormat="false" ht="15" hidden="false" customHeight="true" outlineLevel="0" collapsed="false">
      <c r="A25" s="10" t="s">
        <v>27</v>
      </c>
      <c r="B25" s="11" t="s">
        <v>36</v>
      </c>
      <c r="C25" s="11"/>
      <c r="D25" s="11"/>
      <c r="E25" s="11"/>
      <c r="F25" s="11"/>
      <c r="G25" s="2"/>
      <c r="H25" s="2"/>
    </row>
    <row r="26" customFormat="false" ht="15" hidden="false" customHeight="false" outlineLevel="0" collapsed="false">
      <c r="A26" s="2"/>
      <c r="B26" s="2"/>
      <c r="C26" s="2"/>
      <c r="D26" s="2"/>
      <c r="E26" s="2"/>
      <c r="F26" s="2"/>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sheetData>
  <mergeCells count="18">
    <mergeCell ref="A1:F1"/>
    <mergeCell ref="B5:F5"/>
    <mergeCell ref="B6:F6"/>
    <mergeCell ref="B7:F7"/>
    <mergeCell ref="B8:F8"/>
    <mergeCell ref="B9:F9"/>
    <mergeCell ref="B10:F10"/>
    <mergeCell ref="B11:F11"/>
    <mergeCell ref="B12:F12"/>
    <mergeCell ref="B13:F13"/>
    <mergeCell ref="B16:F16"/>
    <mergeCell ref="B17:F17"/>
    <mergeCell ref="B18:F18"/>
    <mergeCell ref="B19:F19"/>
    <mergeCell ref="B20:F20"/>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28"/>
    <col collapsed="false" customWidth="true" hidden="false" outlineLevel="0" max="4" min="4" style="0" width="32"/>
    <col collapsed="false" customWidth="true" hidden="false" outlineLevel="0" max="5" min="5" style="0" width="20"/>
    <col collapsed="false" customWidth="true" hidden="false" outlineLevel="0" max="7" min="6" style="0" width="18"/>
    <col collapsed="false" customWidth="true" hidden="false" outlineLevel="0" max="9" min="8" style="0" width="12"/>
    <col collapsed="false" customWidth="true" hidden="false" outlineLevel="0" max="10" min="10" style="0" width="14"/>
    <col collapsed="false" customWidth="true" hidden="true" outlineLevel="1" max="20" min="11" style="0" width="14"/>
  </cols>
  <sheetData>
    <row r="1" customFormat="false" ht="17.35" hidden="false" customHeight="false" outlineLevel="0" collapsed="false">
      <c r="A1" s="12" t="s">
        <v>37</v>
      </c>
      <c r="B1" s="12"/>
      <c r="C1" s="12"/>
      <c r="E1" s="13" t="s">
        <v>38</v>
      </c>
      <c r="F1" s="14" t="n">
        <f aca="false">COUNTA(B9:B508)</f>
        <v>5</v>
      </c>
      <c r="H1" s="13" t="s">
        <v>39</v>
      </c>
      <c r="I1" s="14" t="n">
        <f aca="false">COUNTIF(J9:J508,"Completed")</f>
        <v>4</v>
      </c>
    </row>
    <row r="2" customFormat="false" ht="15" hidden="false" customHeight="false" outlineLevel="0" collapsed="false">
      <c r="E2" s="13" t="s">
        <v>40</v>
      </c>
      <c r="F2" s="15" t="n">
        <f aca="false">COUNTIF(J9:J508,"Active")</f>
        <v>0</v>
      </c>
      <c r="H2" s="13" t="s">
        <v>41</v>
      </c>
      <c r="I2" s="16" t="n">
        <f aca="false">COUNTIF(J9:J508,"Aborted")</f>
        <v>1</v>
      </c>
    </row>
    <row r="3" customFormat="false" ht="15" hidden="false" customHeight="false" outlineLevel="0" collapsed="false">
      <c r="E3" s="13" t="s">
        <v>42</v>
      </c>
      <c r="F3" s="14" t="n">
        <f aca="false">COUNTIF(J9:J508,"Planned")</f>
        <v>0</v>
      </c>
      <c r="H3" s="13" t="s">
        <v>43</v>
      </c>
      <c r="I3" s="17" t="n">
        <f aca="false">IFERROR(AVERAGE(S9:S508),"")</f>
        <v>123</v>
      </c>
    </row>
    <row r="4" customFormat="false" ht="15" hidden="false" customHeight="false" outlineLevel="0" collapsed="false">
      <c r="E4" s="13" t="s">
        <v>44</v>
      </c>
      <c r="F4" s="14" t="n">
        <f aca="true">COUNTIFS(B9:B508,"&gt;="&amp;DATE(YEAR(TODAY()),MONTH(TODAY()),1),B9:B508,"&lt;="&amp;TODAY())</f>
        <v>5</v>
      </c>
      <c r="H4" s="13" t="s">
        <v>45</v>
      </c>
      <c r="I4" s="14" t="n">
        <f aca="false">SUMPRODUCT(1/COUNTIF(C9:C13,C9:C13))</f>
        <v>4</v>
      </c>
    </row>
    <row r="7" customFormat="false" ht="22.35" hidden="false" customHeight="true" outlineLevel="0" collapsed="false">
      <c r="K7" s="18" t="s">
        <v>46</v>
      </c>
      <c r="L7" s="18"/>
      <c r="M7" s="18"/>
      <c r="N7" s="18"/>
      <c r="O7" s="18"/>
      <c r="P7" s="18"/>
      <c r="Q7" s="18"/>
      <c r="R7" s="18"/>
      <c r="S7" s="18"/>
      <c r="T7" s="18"/>
    </row>
    <row r="8" customFormat="false" ht="41.75" hidden="false" customHeight="false" outlineLevel="0" collapsed="false">
      <c r="A8" s="19" t="s">
        <v>47</v>
      </c>
      <c r="B8" s="19" t="s">
        <v>48</v>
      </c>
      <c r="C8" s="19" t="s">
        <v>49</v>
      </c>
      <c r="D8" s="19" t="s">
        <v>50</v>
      </c>
      <c r="E8" s="19" t="s">
        <v>51</v>
      </c>
      <c r="F8" s="19" t="s">
        <v>52</v>
      </c>
      <c r="G8" s="19" t="s">
        <v>53</v>
      </c>
      <c r="H8" s="19" t="s">
        <v>54</v>
      </c>
      <c r="I8" s="19" t="s">
        <v>55</v>
      </c>
      <c r="J8" s="19" t="s">
        <v>56</v>
      </c>
      <c r="K8" s="19" t="s">
        <v>57</v>
      </c>
      <c r="L8" s="19" t="s">
        <v>58</v>
      </c>
      <c r="M8" s="19" t="s">
        <v>59</v>
      </c>
      <c r="N8" s="19" t="s">
        <v>60</v>
      </c>
      <c r="O8" s="19" t="s">
        <v>61</v>
      </c>
      <c r="P8" s="19" t="s">
        <v>62</v>
      </c>
      <c r="Q8" s="19" t="s">
        <v>63</v>
      </c>
      <c r="R8" s="19" t="s">
        <v>64</v>
      </c>
      <c r="S8" s="19" t="s">
        <v>65</v>
      </c>
      <c r="T8" s="19" t="s">
        <v>66</v>
      </c>
    </row>
    <row r="9" customFormat="false" ht="30" hidden="false" customHeight="true" outlineLevel="0" collapsed="false">
      <c r="A9" s="20" t="n">
        <f aca="false">IF(B9="","",ROW()-8)</f>
        <v>1</v>
      </c>
      <c r="B9" s="21" t="n">
        <v>46097</v>
      </c>
      <c r="C9" s="22" t="s">
        <v>67</v>
      </c>
      <c r="D9" s="22" t="s">
        <v>68</v>
      </c>
      <c r="E9" s="22" t="s">
        <v>69</v>
      </c>
      <c r="F9" s="22" t="s">
        <v>70</v>
      </c>
      <c r="G9" s="22" t="s">
        <v>71</v>
      </c>
      <c r="H9" s="23" t="n">
        <v>0.354166666666667</v>
      </c>
      <c r="I9" s="23" t="n">
        <v>0.427083333333333</v>
      </c>
      <c r="J9" s="24" t="s">
        <v>72</v>
      </c>
      <c r="K9" s="22" t="s">
        <v>73</v>
      </c>
      <c r="L9" s="25" t="n">
        <v>20.9</v>
      </c>
      <c r="M9" s="26" t="n">
        <v>0</v>
      </c>
      <c r="N9" s="26" t="n">
        <v>2</v>
      </c>
      <c r="O9" s="25" t="n">
        <v>0</v>
      </c>
      <c r="P9" s="24" t="s">
        <v>74</v>
      </c>
      <c r="Q9" s="22" t="s">
        <v>75</v>
      </c>
      <c r="R9" s="24" t="s">
        <v>76</v>
      </c>
      <c r="S9" s="27" t="n">
        <f aca="false">IF(OR(H9="",I9=""),"",(I9-H9)*24*60)</f>
        <v>105</v>
      </c>
      <c r="T9" s="22" t="s">
        <v>77</v>
      </c>
    </row>
    <row r="10" customFormat="false" ht="30" hidden="false" customHeight="true" outlineLevel="0" collapsed="false">
      <c r="A10" s="20" t="n">
        <f aca="false">IF(B10="","",ROW()-8)</f>
        <v>2</v>
      </c>
      <c r="B10" s="21" t="n">
        <v>46098</v>
      </c>
      <c r="C10" s="22" t="s">
        <v>78</v>
      </c>
      <c r="D10" s="22" t="s">
        <v>79</v>
      </c>
      <c r="E10" s="22" t="s">
        <v>80</v>
      </c>
      <c r="F10" s="22" t="s">
        <v>81</v>
      </c>
      <c r="G10" s="22" t="s">
        <v>71</v>
      </c>
      <c r="H10" s="23" t="n">
        <v>0.375</v>
      </c>
      <c r="I10" s="23" t="n">
        <v>0.479166666666667</v>
      </c>
      <c r="J10" s="24" t="s">
        <v>72</v>
      </c>
      <c r="K10" s="22" t="s">
        <v>82</v>
      </c>
      <c r="L10" s="25" t="n">
        <v>20.8</v>
      </c>
      <c r="M10" s="26" t="n">
        <v>2</v>
      </c>
      <c r="N10" s="26" t="n">
        <v>5</v>
      </c>
      <c r="O10" s="25" t="n">
        <v>0.5</v>
      </c>
      <c r="P10" s="24" t="s">
        <v>74</v>
      </c>
      <c r="Q10" s="22" t="s">
        <v>75</v>
      </c>
      <c r="R10" s="24" t="s">
        <v>76</v>
      </c>
      <c r="S10" s="27" t="n">
        <f aca="false">IF(OR(H10="",I10=""),"",(I10-H10)*24*60)</f>
        <v>150</v>
      </c>
      <c r="T10" s="22" t="s">
        <v>83</v>
      </c>
    </row>
    <row r="11" customFormat="false" ht="30" hidden="false" customHeight="true" outlineLevel="0" collapsed="false">
      <c r="A11" s="20" t="n">
        <f aca="false">IF(B11="","",ROW()-8)</f>
        <v>3</v>
      </c>
      <c r="B11" s="21" t="n">
        <v>46099</v>
      </c>
      <c r="C11" s="22" t="s">
        <v>84</v>
      </c>
      <c r="D11" s="22" t="s">
        <v>85</v>
      </c>
      <c r="E11" s="22" t="s">
        <v>86</v>
      </c>
      <c r="F11" s="22" t="s">
        <v>70</v>
      </c>
      <c r="G11" s="22" t="s">
        <v>71</v>
      </c>
      <c r="H11" s="23" t="n">
        <v>0.541666666666667</v>
      </c>
      <c r="I11" s="23" t="n">
        <v>0.552083333333333</v>
      </c>
      <c r="J11" s="24" t="s">
        <v>87</v>
      </c>
      <c r="K11" s="22" t="s">
        <v>88</v>
      </c>
      <c r="L11" s="25" t="n">
        <v>18.2</v>
      </c>
      <c r="M11" s="26" t="n">
        <v>15</v>
      </c>
      <c r="N11" s="26" t="n">
        <v>42</v>
      </c>
      <c r="O11" s="25" t="n">
        <v>1</v>
      </c>
      <c r="P11" s="24" t="s">
        <v>74</v>
      </c>
      <c r="Q11" s="22" t="s">
        <v>89</v>
      </c>
      <c r="R11" s="24" t="s">
        <v>74</v>
      </c>
      <c r="S11" s="27" t="n">
        <f aca="false">IF(OR(H11="",I11=""),"",(I11-H11)*24*60)</f>
        <v>15</v>
      </c>
      <c r="T11" s="22" t="s">
        <v>90</v>
      </c>
    </row>
    <row r="12" customFormat="false" ht="30" hidden="false" customHeight="true" outlineLevel="0" collapsed="false">
      <c r="A12" s="20" t="n">
        <f aca="false">IF(B12="","",ROW()-8)</f>
        <v>4</v>
      </c>
      <c r="B12" s="21" t="n">
        <v>46100</v>
      </c>
      <c r="C12" s="22" t="s">
        <v>91</v>
      </c>
      <c r="D12" s="22" t="s">
        <v>92</v>
      </c>
      <c r="E12" s="22" t="s">
        <v>69</v>
      </c>
      <c r="F12" s="22" t="s">
        <v>81</v>
      </c>
      <c r="G12" s="22" t="s">
        <v>71</v>
      </c>
      <c r="H12" s="23" t="n">
        <v>0.322916666666667</v>
      </c>
      <c r="I12" s="23" t="n">
        <v>0.375</v>
      </c>
      <c r="J12" s="24" t="s">
        <v>72</v>
      </c>
      <c r="K12" s="22" t="s">
        <v>93</v>
      </c>
      <c r="L12" s="25" t="n">
        <v>20.9</v>
      </c>
      <c r="M12" s="26" t="n">
        <v>0</v>
      </c>
      <c r="N12" s="26" t="n">
        <v>3</v>
      </c>
      <c r="O12" s="25" t="n">
        <v>0</v>
      </c>
      <c r="P12" s="24" t="s">
        <v>76</v>
      </c>
      <c r="Q12" s="22" t="s">
        <v>75</v>
      </c>
      <c r="R12" s="24" t="s">
        <v>76</v>
      </c>
      <c r="S12" s="27" t="n">
        <f aca="false">IF(OR(H12="",I12=""),"",(I12-H12)*24*60)</f>
        <v>75</v>
      </c>
      <c r="T12" s="22" t="s">
        <v>94</v>
      </c>
    </row>
    <row r="13" customFormat="false" ht="30" hidden="false" customHeight="true" outlineLevel="0" collapsed="false">
      <c r="A13" s="20" t="n">
        <f aca="false">IF(B13="","",ROW()-8)</f>
        <v>5</v>
      </c>
      <c r="B13" s="21" t="n">
        <v>46101</v>
      </c>
      <c r="C13" s="22" t="s">
        <v>84</v>
      </c>
      <c r="D13" s="22" t="s">
        <v>95</v>
      </c>
      <c r="E13" s="22" t="s">
        <v>86</v>
      </c>
      <c r="F13" s="22" t="s">
        <v>70</v>
      </c>
      <c r="G13" s="22" t="s">
        <v>71</v>
      </c>
      <c r="H13" s="23" t="n">
        <v>0.333333333333333</v>
      </c>
      <c r="I13" s="23" t="n">
        <v>0.520833333333333</v>
      </c>
      <c r="J13" s="24" t="s">
        <v>72</v>
      </c>
      <c r="K13" s="22" t="s">
        <v>96</v>
      </c>
      <c r="L13" s="25" t="n">
        <v>20.7</v>
      </c>
      <c r="M13" s="26" t="n">
        <v>0</v>
      </c>
      <c r="N13" s="26" t="n">
        <v>8</v>
      </c>
      <c r="O13" s="25" t="n">
        <v>0.2</v>
      </c>
      <c r="P13" s="24" t="s">
        <v>74</v>
      </c>
      <c r="Q13" s="22" t="s">
        <v>89</v>
      </c>
      <c r="R13" s="24" t="s">
        <v>74</v>
      </c>
      <c r="S13" s="27" t="n">
        <f aca="false">IF(OR(H13="",I13=""),"",(I13-H13)*24*60)</f>
        <v>270</v>
      </c>
      <c r="T13" s="22" t="s">
        <v>97</v>
      </c>
    </row>
    <row r="14" customFormat="false" ht="30" hidden="false" customHeight="true" outlineLevel="0" collapsed="false">
      <c r="A14" s="20" t="str">
        <f aca="false">IF(B14="","",ROW()-8)</f>
        <v/>
      </c>
      <c r="B14" s="21"/>
      <c r="C14" s="22"/>
      <c r="D14" s="22"/>
      <c r="E14" s="22"/>
      <c r="F14" s="22"/>
      <c r="G14" s="22"/>
      <c r="H14" s="23"/>
      <c r="I14" s="23"/>
      <c r="J14" s="24"/>
      <c r="K14" s="22"/>
      <c r="L14" s="25"/>
      <c r="M14" s="26"/>
      <c r="N14" s="26"/>
      <c r="O14" s="25"/>
      <c r="P14" s="24"/>
      <c r="Q14" s="22"/>
      <c r="R14" s="24"/>
      <c r="S14" s="27" t="str">
        <f aca="false">IF(OR(H14="",I14=""),"",(I14-H14)*24*60)</f>
        <v/>
      </c>
      <c r="T14" s="22"/>
    </row>
    <row r="15" customFormat="false" ht="30" hidden="false" customHeight="true" outlineLevel="0" collapsed="false">
      <c r="A15" s="20" t="str">
        <f aca="false">IF(B15="","",ROW()-8)</f>
        <v/>
      </c>
      <c r="B15" s="21"/>
      <c r="C15" s="22"/>
      <c r="D15" s="22"/>
      <c r="E15" s="22"/>
      <c r="F15" s="22"/>
      <c r="G15" s="22"/>
      <c r="H15" s="23"/>
      <c r="I15" s="23"/>
      <c r="J15" s="24"/>
      <c r="K15" s="22"/>
      <c r="L15" s="25"/>
      <c r="M15" s="26"/>
      <c r="N15" s="26"/>
      <c r="O15" s="25"/>
      <c r="P15" s="24"/>
      <c r="Q15" s="22"/>
      <c r="R15" s="24"/>
      <c r="S15" s="27" t="str">
        <f aca="false">IF(OR(H15="",I15=""),"",(I15-H15)*24*60)</f>
        <v/>
      </c>
      <c r="T15" s="22"/>
    </row>
    <row r="16" customFormat="false" ht="30" hidden="false" customHeight="true" outlineLevel="0" collapsed="false">
      <c r="A16" s="20" t="str">
        <f aca="false">IF(B16="","",ROW()-8)</f>
        <v/>
      </c>
      <c r="B16" s="21"/>
      <c r="C16" s="22"/>
      <c r="D16" s="22"/>
      <c r="E16" s="22"/>
      <c r="F16" s="22"/>
      <c r="G16" s="22"/>
      <c r="H16" s="23"/>
      <c r="I16" s="23"/>
      <c r="J16" s="24"/>
      <c r="K16" s="22"/>
      <c r="L16" s="25"/>
      <c r="M16" s="26"/>
      <c r="N16" s="26"/>
      <c r="O16" s="25"/>
      <c r="P16" s="24"/>
      <c r="Q16" s="22"/>
      <c r="R16" s="24"/>
      <c r="S16" s="27" t="str">
        <f aca="false">IF(OR(H16="",I16=""),"",(I16-H16)*24*60)</f>
        <v/>
      </c>
      <c r="T16" s="22"/>
    </row>
    <row r="17" customFormat="false" ht="30" hidden="false" customHeight="true" outlineLevel="0" collapsed="false">
      <c r="A17" s="20" t="str">
        <f aca="false">IF(B17="","",ROW()-8)</f>
        <v/>
      </c>
      <c r="B17" s="21"/>
      <c r="C17" s="22"/>
      <c r="D17" s="22"/>
      <c r="E17" s="22"/>
      <c r="F17" s="22"/>
      <c r="G17" s="22"/>
      <c r="H17" s="23"/>
      <c r="I17" s="23"/>
      <c r="J17" s="24"/>
      <c r="K17" s="22"/>
      <c r="L17" s="25"/>
      <c r="M17" s="26"/>
      <c r="N17" s="26"/>
      <c r="O17" s="25"/>
      <c r="P17" s="24"/>
      <c r="Q17" s="22"/>
      <c r="R17" s="24"/>
      <c r="S17" s="27" t="str">
        <f aca="false">IF(OR(H17="",I17=""),"",(I17-H17)*24*60)</f>
        <v/>
      </c>
      <c r="T17" s="22"/>
    </row>
    <row r="18" customFormat="false" ht="30" hidden="false" customHeight="true" outlineLevel="0" collapsed="false">
      <c r="A18" s="20" t="str">
        <f aca="false">IF(B18="","",ROW()-8)</f>
        <v/>
      </c>
      <c r="B18" s="21"/>
      <c r="C18" s="22"/>
      <c r="D18" s="22"/>
      <c r="E18" s="22"/>
      <c r="F18" s="22"/>
      <c r="G18" s="22"/>
      <c r="H18" s="23"/>
      <c r="I18" s="23"/>
      <c r="J18" s="24"/>
      <c r="K18" s="22"/>
      <c r="L18" s="25"/>
      <c r="M18" s="26"/>
      <c r="N18" s="26"/>
      <c r="O18" s="25"/>
      <c r="P18" s="24"/>
      <c r="Q18" s="22"/>
      <c r="R18" s="24"/>
      <c r="S18" s="27" t="str">
        <f aca="false">IF(OR(H18="",I18=""),"",(I18-H18)*24*60)</f>
        <v/>
      </c>
      <c r="T18" s="22"/>
    </row>
    <row r="19" customFormat="false" ht="30" hidden="false" customHeight="true" outlineLevel="0" collapsed="false">
      <c r="A19" s="20" t="str">
        <f aca="false">IF(B19="","",ROW()-8)</f>
        <v/>
      </c>
      <c r="B19" s="21"/>
      <c r="C19" s="22"/>
      <c r="D19" s="22"/>
      <c r="E19" s="22"/>
      <c r="F19" s="22"/>
      <c r="G19" s="22"/>
      <c r="H19" s="23"/>
      <c r="I19" s="23"/>
      <c r="J19" s="24"/>
      <c r="K19" s="22"/>
      <c r="L19" s="25"/>
      <c r="M19" s="26"/>
      <c r="N19" s="26"/>
      <c r="O19" s="25"/>
      <c r="P19" s="24"/>
      <c r="Q19" s="22"/>
      <c r="R19" s="24"/>
      <c r="S19" s="27" t="str">
        <f aca="false">IF(OR(H19="",I19=""),"",(I19-H19)*24*60)</f>
        <v/>
      </c>
      <c r="T19" s="22"/>
    </row>
    <row r="20" customFormat="false" ht="30" hidden="false" customHeight="true" outlineLevel="0" collapsed="false">
      <c r="A20" s="20" t="str">
        <f aca="false">IF(B20="","",ROW()-8)</f>
        <v/>
      </c>
      <c r="B20" s="21"/>
      <c r="C20" s="22"/>
      <c r="D20" s="22"/>
      <c r="E20" s="22"/>
      <c r="F20" s="22"/>
      <c r="G20" s="22"/>
      <c r="H20" s="23"/>
      <c r="I20" s="23"/>
      <c r="J20" s="24"/>
      <c r="K20" s="22"/>
      <c r="L20" s="25"/>
      <c r="M20" s="26"/>
      <c r="N20" s="26"/>
      <c r="O20" s="25"/>
      <c r="P20" s="24"/>
      <c r="Q20" s="22"/>
      <c r="R20" s="24"/>
      <c r="S20" s="27" t="str">
        <f aca="false">IF(OR(H20="",I20=""),"",(I20-H20)*24*60)</f>
        <v/>
      </c>
      <c r="T20" s="22"/>
    </row>
    <row r="21" customFormat="false" ht="30" hidden="false" customHeight="true" outlineLevel="0" collapsed="false">
      <c r="A21" s="20" t="str">
        <f aca="false">IF(B21="","",ROW()-8)</f>
        <v/>
      </c>
      <c r="B21" s="21"/>
      <c r="C21" s="22"/>
      <c r="D21" s="22"/>
      <c r="E21" s="22"/>
      <c r="F21" s="22"/>
      <c r="G21" s="22"/>
      <c r="H21" s="23"/>
      <c r="I21" s="23"/>
      <c r="J21" s="24"/>
      <c r="K21" s="22"/>
      <c r="L21" s="25"/>
      <c r="M21" s="26"/>
      <c r="N21" s="26"/>
      <c r="O21" s="25"/>
      <c r="P21" s="24"/>
      <c r="Q21" s="22"/>
      <c r="R21" s="24"/>
      <c r="S21" s="27" t="str">
        <f aca="false">IF(OR(H21="",I21=""),"",(I21-H21)*24*60)</f>
        <v/>
      </c>
      <c r="T21" s="22"/>
    </row>
    <row r="22" customFormat="false" ht="30" hidden="false" customHeight="true" outlineLevel="0" collapsed="false">
      <c r="A22" s="20" t="str">
        <f aca="false">IF(B22="","",ROW()-8)</f>
        <v/>
      </c>
      <c r="B22" s="21"/>
      <c r="C22" s="22"/>
      <c r="D22" s="22"/>
      <c r="E22" s="22"/>
      <c r="F22" s="22"/>
      <c r="G22" s="22"/>
      <c r="H22" s="23"/>
      <c r="I22" s="23"/>
      <c r="J22" s="24"/>
      <c r="K22" s="22"/>
      <c r="L22" s="25"/>
      <c r="M22" s="26"/>
      <c r="N22" s="26"/>
      <c r="O22" s="25"/>
      <c r="P22" s="24"/>
      <c r="Q22" s="22"/>
      <c r="R22" s="24"/>
      <c r="S22" s="27" t="str">
        <f aca="false">IF(OR(H22="",I22=""),"",(I22-H22)*24*60)</f>
        <v/>
      </c>
      <c r="T22" s="22"/>
    </row>
    <row r="23" customFormat="false" ht="30" hidden="false" customHeight="true" outlineLevel="0" collapsed="false">
      <c r="A23" s="20" t="str">
        <f aca="false">IF(B23="","",ROW()-8)</f>
        <v/>
      </c>
      <c r="B23" s="21"/>
      <c r="C23" s="22"/>
      <c r="D23" s="22"/>
      <c r="E23" s="22"/>
      <c r="F23" s="22"/>
      <c r="G23" s="22"/>
      <c r="H23" s="23"/>
      <c r="I23" s="23"/>
      <c r="J23" s="24"/>
      <c r="K23" s="22"/>
      <c r="L23" s="25"/>
      <c r="M23" s="26"/>
      <c r="N23" s="26"/>
      <c r="O23" s="25"/>
      <c r="P23" s="24"/>
      <c r="Q23" s="22"/>
      <c r="R23" s="24"/>
      <c r="S23" s="27" t="str">
        <f aca="false">IF(OR(H23="",I23=""),"",(I23-H23)*24*60)</f>
        <v/>
      </c>
      <c r="T23" s="22"/>
    </row>
    <row r="24" customFormat="false" ht="30" hidden="false" customHeight="true" outlineLevel="0" collapsed="false">
      <c r="A24" s="20" t="str">
        <f aca="false">IF(B24="","",ROW()-8)</f>
        <v/>
      </c>
      <c r="B24" s="21"/>
      <c r="C24" s="22"/>
      <c r="D24" s="22"/>
      <c r="E24" s="22"/>
      <c r="F24" s="22"/>
      <c r="G24" s="22"/>
      <c r="H24" s="23"/>
      <c r="I24" s="23"/>
      <c r="J24" s="24"/>
      <c r="K24" s="22"/>
      <c r="L24" s="25"/>
      <c r="M24" s="26"/>
      <c r="N24" s="26"/>
      <c r="O24" s="25"/>
      <c r="P24" s="24"/>
      <c r="Q24" s="22"/>
      <c r="R24" s="24"/>
      <c r="S24" s="27" t="str">
        <f aca="false">IF(OR(H24="",I24=""),"",(I24-H24)*24*60)</f>
        <v/>
      </c>
      <c r="T24" s="22"/>
    </row>
    <row r="25" customFormat="false" ht="30" hidden="false" customHeight="true" outlineLevel="0" collapsed="false">
      <c r="A25" s="20" t="str">
        <f aca="false">IF(B25="","",ROW()-8)</f>
        <v/>
      </c>
      <c r="B25" s="21"/>
      <c r="C25" s="22"/>
      <c r="D25" s="22"/>
      <c r="E25" s="22"/>
      <c r="F25" s="22"/>
      <c r="G25" s="22"/>
      <c r="H25" s="23"/>
      <c r="I25" s="23"/>
      <c r="J25" s="24"/>
      <c r="K25" s="22"/>
      <c r="L25" s="25"/>
      <c r="M25" s="26"/>
      <c r="N25" s="26"/>
      <c r="O25" s="25"/>
      <c r="P25" s="24"/>
      <c r="Q25" s="22"/>
      <c r="R25" s="24"/>
      <c r="S25" s="27" t="str">
        <f aca="false">IF(OR(H25="",I25=""),"",(I25-H25)*24*60)</f>
        <v/>
      </c>
      <c r="T25" s="22"/>
    </row>
    <row r="26" customFormat="false" ht="30" hidden="false" customHeight="true" outlineLevel="0" collapsed="false">
      <c r="A26" s="20" t="str">
        <f aca="false">IF(B26="","",ROW()-8)</f>
        <v/>
      </c>
      <c r="B26" s="21"/>
      <c r="C26" s="22"/>
      <c r="D26" s="22"/>
      <c r="E26" s="22"/>
      <c r="F26" s="22"/>
      <c r="G26" s="22"/>
      <c r="H26" s="23"/>
      <c r="I26" s="23"/>
      <c r="J26" s="24"/>
      <c r="K26" s="22"/>
      <c r="L26" s="25"/>
      <c r="M26" s="26"/>
      <c r="N26" s="26"/>
      <c r="O26" s="25"/>
      <c r="P26" s="24"/>
      <c r="Q26" s="22"/>
      <c r="R26" s="24"/>
      <c r="S26" s="27" t="str">
        <f aca="false">IF(OR(H26="",I26=""),"",(I26-H26)*24*60)</f>
        <v/>
      </c>
      <c r="T26" s="22"/>
    </row>
    <row r="27" customFormat="false" ht="30" hidden="false" customHeight="true" outlineLevel="0" collapsed="false">
      <c r="A27" s="20" t="str">
        <f aca="false">IF(B27="","",ROW()-8)</f>
        <v/>
      </c>
      <c r="B27" s="21"/>
      <c r="C27" s="22"/>
      <c r="D27" s="22"/>
      <c r="E27" s="22"/>
      <c r="F27" s="22"/>
      <c r="G27" s="22"/>
      <c r="H27" s="23"/>
      <c r="I27" s="23"/>
      <c r="J27" s="24"/>
      <c r="K27" s="22"/>
      <c r="L27" s="25"/>
      <c r="M27" s="26"/>
      <c r="N27" s="26"/>
      <c r="O27" s="25"/>
      <c r="P27" s="24"/>
      <c r="Q27" s="22"/>
      <c r="R27" s="24"/>
      <c r="S27" s="27" t="str">
        <f aca="false">IF(OR(H27="",I27=""),"",(I27-H27)*24*60)</f>
        <v/>
      </c>
      <c r="T27" s="22"/>
    </row>
    <row r="28" customFormat="false" ht="30" hidden="false" customHeight="true" outlineLevel="0" collapsed="false">
      <c r="A28" s="20" t="str">
        <f aca="false">IF(B28="","",ROW()-8)</f>
        <v/>
      </c>
      <c r="B28" s="21"/>
      <c r="C28" s="22"/>
      <c r="D28" s="22"/>
      <c r="E28" s="22"/>
      <c r="F28" s="22"/>
      <c r="G28" s="22"/>
      <c r="H28" s="23"/>
      <c r="I28" s="23"/>
      <c r="J28" s="24"/>
      <c r="K28" s="22"/>
      <c r="L28" s="25"/>
      <c r="M28" s="26"/>
      <c r="N28" s="26"/>
      <c r="O28" s="25"/>
      <c r="P28" s="24"/>
      <c r="Q28" s="22"/>
      <c r="R28" s="24"/>
      <c r="S28" s="27" t="str">
        <f aca="false">IF(OR(H28="",I28=""),"",(I28-H28)*24*60)</f>
        <v/>
      </c>
      <c r="T28" s="22"/>
    </row>
    <row r="29" customFormat="false" ht="30" hidden="false" customHeight="true" outlineLevel="0" collapsed="false">
      <c r="A29" s="20" t="str">
        <f aca="false">IF(B29="","",ROW()-8)</f>
        <v/>
      </c>
      <c r="B29" s="21"/>
      <c r="C29" s="22"/>
      <c r="D29" s="22"/>
      <c r="E29" s="22"/>
      <c r="F29" s="22"/>
      <c r="G29" s="22"/>
      <c r="H29" s="23"/>
      <c r="I29" s="23"/>
      <c r="J29" s="24"/>
      <c r="K29" s="22"/>
      <c r="L29" s="25"/>
      <c r="M29" s="26"/>
      <c r="N29" s="26"/>
      <c r="O29" s="25"/>
      <c r="P29" s="24"/>
      <c r="Q29" s="22"/>
      <c r="R29" s="24"/>
      <c r="S29" s="27" t="str">
        <f aca="false">IF(OR(H29="",I29=""),"",(I29-H29)*24*60)</f>
        <v/>
      </c>
      <c r="T29" s="22"/>
    </row>
    <row r="30" customFormat="false" ht="30" hidden="false" customHeight="true" outlineLevel="0" collapsed="false">
      <c r="A30" s="20" t="str">
        <f aca="false">IF(B30="","",ROW()-8)</f>
        <v/>
      </c>
      <c r="B30" s="21"/>
      <c r="C30" s="22"/>
      <c r="D30" s="22"/>
      <c r="E30" s="22"/>
      <c r="F30" s="22"/>
      <c r="G30" s="22"/>
      <c r="H30" s="23"/>
      <c r="I30" s="23"/>
      <c r="J30" s="24"/>
      <c r="K30" s="22"/>
      <c r="L30" s="25"/>
      <c r="M30" s="26"/>
      <c r="N30" s="26"/>
      <c r="O30" s="25"/>
      <c r="P30" s="24"/>
      <c r="Q30" s="22"/>
      <c r="R30" s="24"/>
      <c r="S30" s="27" t="str">
        <f aca="false">IF(OR(H30="",I30=""),"",(I30-H30)*24*60)</f>
        <v/>
      </c>
      <c r="T30" s="22"/>
    </row>
    <row r="31" customFormat="false" ht="30" hidden="false" customHeight="true" outlineLevel="0" collapsed="false">
      <c r="A31" s="20" t="str">
        <f aca="false">IF(B31="","",ROW()-8)</f>
        <v/>
      </c>
      <c r="B31" s="21"/>
      <c r="C31" s="22"/>
      <c r="D31" s="22"/>
      <c r="E31" s="22"/>
      <c r="F31" s="22"/>
      <c r="G31" s="22"/>
      <c r="H31" s="23"/>
      <c r="I31" s="23"/>
      <c r="J31" s="24"/>
      <c r="K31" s="22"/>
      <c r="L31" s="25"/>
      <c r="M31" s="26"/>
      <c r="N31" s="26"/>
      <c r="O31" s="25"/>
      <c r="P31" s="24"/>
      <c r="Q31" s="22"/>
      <c r="R31" s="24"/>
      <c r="S31" s="27" t="str">
        <f aca="false">IF(OR(H31="",I31=""),"",(I31-H31)*24*60)</f>
        <v/>
      </c>
      <c r="T31" s="22"/>
    </row>
    <row r="32" customFormat="false" ht="30" hidden="false" customHeight="true" outlineLevel="0" collapsed="false">
      <c r="A32" s="20" t="str">
        <f aca="false">IF(B32="","",ROW()-8)</f>
        <v/>
      </c>
      <c r="B32" s="21"/>
      <c r="C32" s="22"/>
      <c r="D32" s="22"/>
      <c r="E32" s="22"/>
      <c r="F32" s="22"/>
      <c r="G32" s="22"/>
      <c r="H32" s="23"/>
      <c r="I32" s="23"/>
      <c r="J32" s="24"/>
      <c r="K32" s="22"/>
      <c r="L32" s="25"/>
      <c r="M32" s="26"/>
      <c r="N32" s="26"/>
      <c r="O32" s="25"/>
      <c r="P32" s="24"/>
      <c r="Q32" s="22"/>
      <c r="R32" s="24"/>
      <c r="S32" s="27" t="str">
        <f aca="false">IF(OR(H32="",I32=""),"",(I32-H32)*24*60)</f>
        <v/>
      </c>
      <c r="T32" s="22"/>
    </row>
    <row r="33" customFormat="false" ht="30" hidden="false" customHeight="true" outlineLevel="0" collapsed="false">
      <c r="A33" s="20" t="str">
        <f aca="false">IF(B33="","",ROW()-8)</f>
        <v/>
      </c>
      <c r="B33" s="21"/>
      <c r="C33" s="22"/>
      <c r="D33" s="22"/>
      <c r="E33" s="22"/>
      <c r="F33" s="22"/>
      <c r="G33" s="22"/>
      <c r="H33" s="23"/>
      <c r="I33" s="23"/>
      <c r="J33" s="24"/>
      <c r="K33" s="22"/>
      <c r="L33" s="25"/>
      <c r="M33" s="26"/>
      <c r="N33" s="26"/>
      <c r="O33" s="25"/>
      <c r="P33" s="24"/>
      <c r="Q33" s="22"/>
      <c r="R33" s="24"/>
      <c r="S33" s="27" t="str">
        <f aca="false">IF(OR(H33="",I33=""),"",(I33-H33)*24*60)</f>
        <v/>
      </c>
      <c r="T33" s="22"/>
    </row>
    <row r="34" customFormat="false" ht="30" hidden="false" customHeight="true" outlineLevel="0" collapsed="false">
      <c r="A34" s="20" t="str">
        <f aca="false">IF(B34="","",ROW()-8)</f>
        <v/>
      </c>
      <c r="B34" s="21"/>
      <c r="C34" s="22"/>
      <c r="D34" s="22"/>
      <c r="E34" s="22"/>
      <c r="F34" s="22"/>
      <c r="G34" s="22"/>
      <c r="H34" s="23"/>
      <c r="I34" s="23"/>
      <c r="J34" s="24"/>
      <c r="K34" s="22"/>
      <c r="L34" s="25"/>
      <c r="M34" s="26"/>
      <c r="N34" s="26"/>
      <c r="O34" s="25"/>
      <c r="P34" s="24"/>
      <c r="Q34" s="22"/>
      <c r="R34" s="24"/>
      <c r="S34" s="27" t="str">
        <f aca="false">IF(OR(H34="",I34=""),"",(I34-H34)*24*60)</f>
        <v/>
      </c>
      <c r="T34" s="22"/>
    </row>
    <row r="35" customFormat="false" ht="30" hidden="false" customHeight="true" outlineLevel="0" collapsed="false">
      <c r="A35" s="20" t="str">
        <f aca="false">IF(B35="","",ROW()-8)</f>
        <v/>
      </c>
      <c r="B35" s="21"/>
      <c r="C35" s="22"/>
      <c r="D35" s="22"/>
      <c r="E35" s="22"/>
      <c r="F35" s="22"/>
      <c r="G35" s="22"/>
      <c r="H35" s="23"/>
      <c r="I35" s="23"/>
      <c r="J35" s="24"/>
      <c r="K35" s="22"/>
      <c r="L35" s="25"/>
      <c r="M35" s="26"/>
      <c r="N35" s="26"/>
      <c r="O35" s="25"/>
      <c r="P35" s="24"/>
      <c r="Q35" s="22"/>
      <c r="R35" s="24"/>
      <c r="S35" s="27" t="str">
        <f aca="false">IF(OR(H35="",I35=""),"",(I35-H35)*24*60)</f>
        <v/>
      </c>
      <c r="T35" s="22"/>
    </row>
    <row r="36" customFormat="false" ht="30" hidden="false" customHeight="true" outlineLevel="0" collapsed="false">
      <c r="A36" s="20" t="str">
        <f aca="false">IF(B36="","",ROW()-8)</f>
        <v/>
      </c>
      <c r="B36" s="21"/>
      <c r="C36" s="22"/>
      <c r="D36" s="22"/>
      <c r="E36" s="22"/>
      <c r="F36" s="22"/>
      <c r="G36" s="22"/>
      <c r="H36" s="23"/>
      <c r="I36" s="23"/>
      <c r="J36" s="24"/>
      <c r="K36" s="22"/>
      <c r="L36" s="25"/>
      <c r="M36" s="26"/>
      <c r="N36" s="26"/>
      <c r="O36" s="25"/>
      <c r="P36" s="24"/>
      <c r="Q36" s="22"/>
      <c r="R36" s="24"/>
      <c r="S36" s="27" t="str">
        <f aca="false">IF(OR(H36="",I36=""),"",(I36-H36)*24*60)</f>
        <v/>
      </c>
      <c r="T36" s="22"/>
    </row>
    <row r="37" customFormat="false" ht="30" hidden="false" customHeight="true" outlineLevel="0" collapsed="false">
      <c r="A37" s="20" t="str">
        <f aca="false">IF(B37="","",ROW()-8)</f>
        <v/>
      </c>
      <c r="B37" s="21"/>
      <c r="C37" s="22"/>
      <c r="D37" s="22"/>
      <c r="E37" s="22"/>
      <c r="F37" s="22"/>
      <c r="G37" s="22"/>
      <c r="H37" s="23"/>
      <c r="I37" s="23"/>
      <c r="J37" s="24"/>
      <c r="K37" s="22"/>
      <c r="L37" s="25"/>
      <c r="M37" s="26"/>
      <c r="N37" s="26"/>
      <c r="O37" s="25"/>
      <c r="P37" s="24"/>
      <c r="Q37" s="22"/>
      <c r="R37" s="24"/>
      <c r="S37" s="27" t="str">
        <f aca="false">IF(OR(H37="",I37=""),"",(I37-H37)*24*60)</f>
        <v/>
      </c>
      <c r="T37" s="22"/>
    </row>
    <row r="38" customFormat="false" ht="30" hidden="false" customHeight="true" outlineLevel="0" collapsed="false">
      <c r="A38" s="20" t="str">
        <f aca="false">IF(B38="","",ROW()-8)</f>
        <v/>
      </c>
      <c r="B38" s="21"/>
      <c r="C38" s="22"/>
      <c r="D38" s="22"/>
      <c r="E38" s="22"/>
      <c r="F38" s="22"/>
      <c r="G38" s="22"/>
      <c r="H38" s="23"/>
      <c r="I38" s="23"/>
      <c r="J38" s="24"/>
      <c r="K38" s="22"/>
      <c r="L38" s="25"/>
      <c r="M38" s="26"/>
      <c r="N38" s="26"/>
      <c r="O38" s="25"/>
      <c r="P38" s="24"/>
      <c r="Q38" s="22"/>
      <c r="R38" s="24"/>
      <c r="S38" s="27" t="str">
        <f aca="false">IF(OR(H38="",I38=""),"",(I38-H38)*24*60)</f>
        <v/>
      </c>
      <c r="T38" s="22"/>
    </row>
    <row r="39" customFormat="false" ht="30" hidden="false" customHeight="true" outlineLevel="0" collapsed="false">
      <c r="A39" s="20" t="str">
        <f aca="false">IF(B39="","",ROW()-8)</f>
        <v/>
      </c>
      <c r="B39" s="21"/>
      <c r="C39" s="22"/>
      <c r="D39" s="22"/>
      <c r="E39" s="22"/>
      <c r="F39" s="22"/>
      <c r="G39" s="22"/>
      <c r="H39" s="23"/>
      <c r="I39" s="23"/>
      <c r="J39" s="24"/>
      <c r="K39" s="22"/>
      <c r="L39" s="25"/>
      <c r="M39" s="26"/>
      <c r="N39" s="26"/>
      <c r="O39" s="25"/>
      <c r="P39" s="24"/>
      <c r="Q39" s="22"/>
      <c r="R39" s="24"/>
      <c r="S39" s="27" t="str">
        <f aca="false">IF(OR(H39="",I39=""),"",(I39-H39)*24*60)</f>
        <v/>
      </c>
      <c r="T39" s="22"/>
    </row>
    <row r="40" customFormat="false" ht="30" hidden="false" customHeight="true" outlineLevel="0" collapsed="false">
      <c r="A40" s="20" t="str">
        <f aca="false">IF(B40="","",ROW()-8)</f>
        <v/>
      </c>
      <c r="B40" s="21"/>
      <c r="C40" s="22"/>
      <c r="D40" s="22"/>
      <c r="E40" s="22"/>
      <c r="F40" s="22"/>
      <c r="G40" s="22"/>
      <c r="H40" s="23"/>
      <c r="I40" s="23"/>
      <c r="J40" s="24"/>
      <c r="K40" s="22"/>
      <c r="L40" s="25"/>
      <c r="M40" s="26"/>
      <c r="N40" s="26"/>
      <c r="O40" s="25"/>
      <c r="P40" s="24"/>
      <c r="Q40" s="22"/>
      <c r="R40" s="24"/>
      <c r="S40" s="27" t="str">
        <f aca="false">IF(OR(H40="",I40=""),"",(I40-H40)*24*60)</f>
        <v/>
      </c>
      <c r="T40" s="22"/>
    </row>
    <row r="41" customFormat="false" ht="30" hidden="false" customHeight="true" outlineLevel="0" collapsed="false">
      <c r="A41" s="20" t="str">
        <f aca="false">IF(B41="","",ROW()-8)</f>
        <v/>
      </c>
      <c r="B41" s="21"/>
      <c r="C41" s="22"/>
      <c r="D41" s="22"/>
      <c r="E41" s="22"/>
      <c r="F41" s="22"/>
      <c r="G41" s="22"/>
      <c r="H41" s="23"/>
      <c r="I41" s="23"/>
      <c r="J41" s="24"/>
      <c r="K41" s="22"/>
      <c r="L41" s="25"/>
      <c r="M41" s="26"/>
      <c r="N41" s="26"/>
      <c r="O41" s="25"/>
      <c r="P41" s="24"/>
      <c r="Q41" s="22"/>
      <c r="R41" s="24"/>
      <c r="S41" s="27" t="str">
        <f aca="false">IF(OR(H41="",I41=""),"",(I41-H41)*24*60)</f>
        <v/>
      </c>
      <c r="T41" s="22"/>
    </row>
    <row r="42" customFormat="false" ht="30" hidden="false" customHeight="true" outlineLevel="0" collapsed="false">
      <c r="A42" s="20" t="str">
        <f aca="false">IF(B42="","",ROW()-8)</f>
        <v/>
      </c>
      <c r="B42" s="21"/>
      <c r="C42" s="22"/>
      <c r="D42" s="22"/>
      <c r="E42" s="22"/>
      <c r="F42" s="22"/>
      <c r="G42" s="22"/>
      <c r="H42" s="23"/>
      <c r="I42" s="23"/>
      <c r="J42" s="24"/>
      <c r="K42" s="22"/>
      <c r="L42" s="25"/>
      <c r="M42" s="26"/>
      <c r="N42" s="26"/>
      <c r="O42" s="25"/>
      <c r="P42" s="24"/>
      <c r="Q42" s="22"/>
      <c r="R42" s="24"/>
      <c r="S42" s="27" t="str">
        <f aca="false">IF(OR(H42="",I42=""),"",(I42-H42)*24*60)</f>
        <v/>
      </c>
      <c r="T42" s="22"/>
    </row>
    <row r="43" customFormat="false" ht="30" hidden="false" customHeight="true" outlineLevel="0" collapsed="false">
      <c r="A43" s="20" t="str">
        <f aca="false">IF(B43="","",ROW()-8)</f>
        <v/>
      </c>
      <c r="B43" s="21"/>
      <c r="C43" s="22"/>
      <c r="D43" s="22"/>
      <c r="E43" s="22"/>
      <c r="F43" s="22"/>
      <c r="G43" s="22"/>
      <c r="H43" s="23"/>
      <c r="I43" s="23"/>
      <c r="J43" s="24"/>
      <c r="K43" s="22"/>
      <c r="L43" s="25"/>
      <c r="M43" s="26"/>
      <c r="N43" s="26"/>
      <c r="O43" s="25"/>
      <c r="P43" s="24"/>
      <c r="Q43" s="22"/>
      <c r="R43" s="24"/>
      <c r="S43" s="27" t="str">
        <f aca="false">IF(OR(H43="",I43=""),"",(I43-H43)*24*60)</f>
        <v/>
      </c>
      <c r="T43" s="22"/>
    </row>
    <row r="44" customFormat="false" ht="30" hidden="false" customHeight="true" outlineLevel="0" collapsed="false">
      <c r="A44" s="20" t="str">
        <f aca="false">IF(B44="","",ROW()-8)</f>
        <v/>
      </c>
      <c r="B44" s="21"/>
      <c r="C44" s="22"/>
      <c r="D44" s="22"/>
      <c r="E44" s="22"/>
      <c r="F44" s="22"/>
      <c r="G44" s="22"/>
      <c r="H44" s="23"/>
      <c r="I44" s="23"/>
      <c r="J44" s="24"/>
      <c r="K44" s="22"/>
      <c r="L44" s="25"/>
      <c r="M44" s="26"/>
      <c r="N44" s="26"/>
      <c r="O44" s="25"/>
      <c r="P44" s="24"/>
      <c r="Q44" s="22"/>
      <c r="R44" s="24"/>
      <c r="S44" s="27" t="str">
        <f aca="false">IF(OR(H44="",I44=""),"",(I44-H44)*24*60)</f>
        <v/>
      </c>
      <c r="T44" s="22"/>
    </row>
    <row r="45" customFormat="false" ht="30" hidden="false" customHeight="true" outlineLevel="0" collapsed="false">
      <c r="A45" s="20" t="str">
        <f aca="false">IF(B45="","",ROW()-8)</f>
        <v/>
      </c>
      <c r="B45" s="21"/>
      <c r="C45" s="22"/>
      <c r="D45" s="22"/>
      <c r="E45" s="22"/>
      <c r="F45" s="22"/>
      <c r="G45" s="22"/>
      <c r="H45" s="23"/>
      <c r="I45" s="23"/>
      <c r="J45" s="24"/>
      <c r="K45" s="22"/>
      <c r="L45" s="25"/>
      <c r="M45" s="26"/>
      <c r="N45" s="26"/>
      <c r="O45" s="25"/>
      <c r="P45" s="24"/>
      <c r="Q45" s="22"/>
      <c r="R45" s="24"/>
      <c r="S45" s="27" t="str">
        <f aca="false">IF(OR(H45="",I45=""),"",(I45-H45)*24*60)</f>
        <v/>
      </c>
      <c r="T45" s="22"/>
    </row>
    <row r="46" customFormat="false" ht="30" hidden="false" customHeight="true" outlineLevel="0" collapsed="false">
      <c r="A46" s="20" t="str">
        <f aca="false">IF(B46="","",ROW()-8)</f>
        <v/>
      </c>
      <c r="B46" s="21"/>
      <c r="C46" s="22"/>
      <c r="D46" s="22"/>
      <c r="E46" s="22"/>
      <c r="F46" s="22"/>
      <c r="G46" s="22"/>
      <c r="H46" s="23"/>
      <c r="I46" s="23"/>
      <c r="J46" s="24"/>
      <c r="K46" s="22"/>
      <c r="L46" s="25"/>
      <c r="M46" s="26"/>
      <c r="N46" s="26"/>
      <c r="O46" s="25"/>
      <c r="P46" s="24"/>
      <c r="Q46" s="22"/>
      <c r="R46" s="24"/>
      <c r="S46" s="27" t="str">
        <f aca="false">IF(OR(H46="",I46=""),"",(I46-H46)*24*60)</f>
        <v/>
      </c>
      <c r="T46" s="22"/>
    </row>
    <row r="47" customFormat="false" ht="30" hidden="false" customHeight="true" outlineLevel="0" collapsed="false">
      <c r="A47" s="20" t="str">
        <f aca="false">IF(B47="","",ROW()-8)</f>
        <v/>
      </c>
      <c r="B47" s="21"/>
      <c r="C47" s="22"/>
      <c r="D47" s="22"/>
      <c r="E47" s="22"/>
      <c r="F47" s="22"/>
      <c r="G47" s="22"/>
      <c r="H47" s="23"/>
      <c r="I47" s="23"/>
      <c r="J47" s="24"/>
      <c r="K47" s="22"/>
      <c r="L47" s="25"/>
      <c r="M47" s="26"/>
      <c r="N47" s="26"/>
      <c r="O47" s="25"/>
      <c r="P47" s="24"/>
      <c r="Q47" s="22"/>
      <c r="R47" s="24"/>
      <c r="S47" s="27" t="str">
        <f aca="false">IF(OR(H47="",I47=""),"",(I47-H47)*24*60)</f>
        <v/>
      </c>
      <c r="T47" s="22"/>
    </row>
    <row r="48" customFormat="false" ht="30" hidden="false" customHeight="true" outlineLevel="0" collapsed="false">
      <c r="A48" s="20" t="str">
        <f aca="false">IF(B48="","",ROW()-8)</f>
        <v/>
      </c>
      <c r="B48" s="21"/>
      <c r="C48" s="22"/>
      <c r="D48" s="22"/>
      <c r="E48" s="22"/>
      <c r="F48" s="22"/>
      <c r="G48" s="22"/>
      <c r="H48" s="23"/>
      <c r="I48" s="23"/>
      <c r="J48" s="24"/>
      <c r="K48" s="22"/>
      <c r="L48" s="25"/>
      <c r="M48" s="26"/>
      <c r="N48" s="26"/>
      <c r="O48" s="25"/>
      <c r="P48" s="24"/>
      <c r="Q48" s="22"/>
      <c r="R48" s="24"/>
      <c r="S48" s="27" t="str">
        <f aca="false">IF(OR(H48="",I48=""),"",(I48-H48)*24*60)</f>
        <v/>
      </c>
      <c r="T48" s="22"/>
    </row>
    <row r="49" customFormat="false" ht="30" hidden="false" customHeight="true" outlineLevel="0" collapsed="false">
      <c r="A49" s="20" t="str">
        <f aca="false">IF(B49="","",ROW()-8)</f>
        <v/>
      </c>
      <c r="B49" s="21"/>
      <c r="C49" s="22"/>
      <c r="D49" s="22"/>
      <c r="E49" s="22"/>
      <c r="F49" s="22"/>
      <c r="G49" s="22"/>
      <c r="H49" s="23"/>
      <c r="I49" s="23"/>
      <c r="J49" s="24"/>
      <c r="K49" s="22"/>
      <c r="L49" s="25"/>
      <c r="M49" s="26"/>
      <c r="N49" s="26"/>
      <c r="O49" s="25"/>
      <c r="P49" s="24"/>
      <c r="Q49" s="22"/>
      <c r="R49" s="24"/>
      <c r="S49" s="27" t="str">
        <f aca="false">IF(OR(H49="",I49=""),"",(I49-H49)*24*60)</f>
        <v/>
      </c>
      <c r="T49" s="22"/>
    </row>
    <row r="50" customFormat="false" ht="30" hidden="false" customHeight="true" outlineLevel="0" collapsed="false">
      <c r="A50" s="20" t="str">
        <f aca="false">IF(B50="","",ROW()-8)</f>
        <v/>
      </c>
      <c r="B50" s="21"/>
      <c r="C50" s="22"/>
      <c r="D50" s="22"/>
      <c r="E50" s="22"/>
      <c r="F50" s="22"/>
      <c r="G50" s="22"/>
      <c r="H50" s="23"/>
      <c r="I50" s="23"/>
      <c r="J50" s="24"/>
      <c r="K50" s="22"/>
      <c r="L50" s="25"/>
      <c r="M50" s="26"/>
      <c r="N50" s="26"/>
      <c r="O50" s="25"/>
      <c r="P50" s="24"/>
      <c r="Q50" s="22"/>
      <c r="R50" s="24"/>
      <c r="S50" s="27" t="str">
        <f aca="false">IF(OR(H50="",I50=""),"",(I50-H50)*24*60)</f>
        <v/>
      </c>
      <c r="T50" s="22"/>
    </row>
    <row r="51" customFormat="false" ht="30" hidden="false" customHeight="true" outlineLevel="0" collapsed="false">
      <c r="A51" s="20" t="str">
        <f aca="false">IF(B51="","",ROW()-8)</f>
        <v/>
      </c>
      <c r="B51" s="21"/>
      <c r="C51" s="22"/>
      <c r="D51" s="22"/>
      <c r="E51" s="22"/>
      <c r="F51" s="22"/>
      <c r="G51" s="22"/>
      <c r="H51" s="23"/>
      <c r="I51" s="23"/>
      <c r="J51" s="24"/>
      <c r="K51" s="22"/>
      <c r="L51" s="25"/>
      <c r="M51" s="26"/>
      <c r="N51" s="26"/>
      <c r="O51" s="25"/>
      <c r="P51" s="24"/>
      <c r="Q51" s="22"/>
      <c r="R51" s="24"/>
      <c r="S51" s="27" t="str">
        <f aca="false">IF(OR(H51="",I51=""),"",(I51-H51)*24*60)</f>
        <v/>
      </c>
      <c r="T51" s="22"/>
    </row>
    <row r="52" customFormat="false" ht="30" hidden="false" customHeight="true" outlineLevel="0" collapsed="false">
      <c r="A52" s="20" t="str">
        <f aca="false">IF(B52="","",ROW()-8)</f>
        <v/>
      </c>
      <c r="B52" s="21"/>
      <c r="C52" s="22"/>
      <c r="D52" s="22"/>
      <c r="E52" s="22"/>
      <c r="F52" s="22"/>
      <c r="G52" s="22"/>
      <c r="H52" s="23"/>
      <c r="I52" s="23"/>
      <c r="J52" s="24"/>
      <c r="K52" s="22"/>
      <c r="L52" s="25"/>
      <c r="M52" s="26"/>
      <c r="N52" s="26"/>
      <c r="O52" s="25"/>
      <c r="P52" s="24"/>
      <c r="Q52" s="22"/>
      <c r="R52" s="24"/>
      <c r="S52" s="27" t="str">
        <f aca="false">IF(OR(H52="",I52=""),"",(I52-H52)*24*60)</f>
        <v/>
      </c>
      <c r="T52" s="22"/>
    </row>
    <row r="53" customFormat="false" ht="30" hidden="false" customHeight="true" outlineLevel="0" collapsed="false">
      <c r="A53" s="20" t="str">
        <f aca="false">IF(B53="","",ROW()-8)</f>
        <v/>
      </c>
      <c r="B53" s="21"/>
      <c r="C53" s="22"/>
      <c r="D53" s="22"/>
      <c r="E53" s="22"/>
      <c r="F53" s="22"/>
      <c r="G53" s="22"/>
      <c r="H53" s="23"/>
      <c r="I53" s="23"/>
      <c r="J53" s="24"/>
      <c r="K53" s="22"/>
      <c r="L53" s="25"/>
      <c r="M53" s="26"/>
      <c r="N53" s="26"/>
      <c r="O53" s="25"/>
      <c r="P53" s="24"/>
      <c r="Q53" s="22"/>
      <c r="R53" s="24"/>
      <c r="S53" s="27" t="str">
        <f aca="false">IF(OR(H53="",I53=""),"",(I53-H53)*24*60)</f>
        <v/>
      </c>
      <c r="T53" s="22"/>
    </row>
    <row r="54" customFormat="false" ht="30" hidden="false" customHeight="true" outlineLevel="0" collapsed="false">
      <c r="A54" s="20" t="str">
        <f aca="false">IF(B54="","",ROW()-8)</f>
        <v/>
      </c>
      <c r="B54" s="21"/>
      <c r="C54" s="22"/>
      <c r="D54" s="22"/>
      <c r="E54" s="22"/>
      <c r="F54" s="22"/>
      <c r="G54" s="22"/>
      <c r="H54" s="23"/>
      <c r="I54" s="23"/>
      <c r="J54" s="24"/>
      <c r="K54" s="22"/>
      <c r="L54" s="25"/>
      <c r="M54" s="26"/>
      <c r="N54" s="26"/>
      <c r="O54" s="25"/>
      <c r="P54" s="24"/>
      <c r="Q54" s="22"/>
      <c r="R54" s="24"/>
      <c r="S54" s="27" t="str">
        <f aca="false">IF(OR(H54="",I54=""),"",(I54-H54)*24*60)</f>
        <v/>
      </c>
      <c r="T54" s="22"/>
    </row>
    <row r="55" customFormat="false" ht="30" hidden="false" customHeight="true" outlineLevel="0" collapsed="false">
      <c r="A55" s="20" t="str">
        <f aca="false">IF(B55="","",ROW()-8)</f>
        <v/>
      </c>
      <c r="B55" s="21"/>
      <c r="C55" s="22"/>
      <c r="D55" s="22"/>
      <c r="E55" s="22"/>
      <c r="F55" s="22"/>
      <c r="G55" s="22"/>
      <c r="H55" s="23"/>
      <c r="I55" s="23"/>
      <c r="J55" s="24"/>
      <c r="K55" s="22"/>
      <c r="L55" s="25"/>
      <c r="M55" s="26"/>
      <c r="N55" s="26"/>
      <c r="O55" s="25"/>
      <c r="P55" s="24"/>
      <c r="Q55" s="22"/>
      <c r="R55" s="24"/>
      <c r="S55" s="27" t="str">
        <f aca="false">IF(OR(H55="",I55=""),"",(I55-H55)*24*60)</f>
        <v/>
      </c>
      <c r="T55" s="22"/>
    </row>
    <row r="56" customFormat="false" ht="30" hidden="false" customHeight="true" outlineLevel="0" collapsed="false">
      <c r="A56" s="20" t="str">
        <f aca="false">IF(B56="","",ROW()-8)</f>
        <v/>
      </c>
      <c r="B56" s="21"/>
      <c r="C56" s="22"/>
      <c r="D56" s="22"/>
      <c r="E56" s="22"/>
      <c r="F56" s="22"/>
      <c r="G56" s="22"/>
      <c r="H56" s="23"/>
      <c r="I56" s="23"/>
      <c r="J56" s="24"/>
      <c r="K56" s="22"/>
      <c r="L56" s="25"/>
      <c r="M56" s="26"/>
      <c r="N56" s="26"/>
      <c r="O56" s="25"/>
      <c r="P56" s="24"/>
      <c r="Q56" s="22"/>
      <c r="R56" s="24"/>
      <c r="S56" s="27" t="str">
        <f aca="false">IF(OR(H56="",I56=""),"",(I56-H56)*24*60)</f>
        <v/>
      </c>
      <c r="T56" s="22"/>
    </row>
    <row r="57" customFormat="false" ht="30" hidden="false" customHeight="true" outlineLevel="0" collapsed="false">
      <c r="A57" s="20" t="str">
        <f aca="false">IF(B57="","",ROW()-8)</f>
        <v/>
      </c>
      <c r="B57" s="21"/>
      <c r="C57" s="22"/>
      <c r="D57" s="22"/>
      <c r="E57" s="22"/>
      <c r="F57" s="22"/>
      <c r="G57" s="22"/>
      <c r="H57" s="23"/>
      <c r="I57" s="23"/>
      <c r="J57" s="24"/>
      <c r="K57" s="22"/>
      <c r="L57" s="25"/>
      <c r="M57" s="26"/>
      <c r="N57" s="26"/>
      <c r="O57" s="25"/>
      <c r="P57" s="24"/>
      <c r="Q57" s="22"/>
      <c r="R57" s="24"/>
      <c r="S57" s="27" t="str">
        <f aca="false">IF(OR(H57="",I57=""),"",(I57-H57)*24*60)</f>
        <v/>
      </c>
      <c r="T57" s="22"/>
    </row>
    <row r="58" customFormat="false" ht="30" hidden="false" customHeight="true" outlineLevel="0" collapsed="false">
      <c r="A58" s="20" t="str">
        <f aca="false">IF(B58="","",ROW()-8)</f>
        <v/>
      </c>
      <c r="B58" s="21"/>
      <c r="C58" s="22"/>
      <c r="D58" s="22"/>
      <c r="E58" s="22"/>
      <c r="F58" s="22"/>
      <c r="G58" s="22"/>
      <c r="H58" s="23"/>
      <c r="I58" s="23"/>
      <c r="J58" s="24"/>
      <c r="K58" s="22"/>
      <c r="L58" s="25"/>
      <c r="M58" s="26"/>
      <c r="N58" s="26"/>
      <c r="O58" s="25"/>
      <c r="P58" s="24"/>
      <c r="Q58" s="22"/>
      <c r="R58" s="24"/>
      <c r="S58" s="27" t="str">
        <f aca="false">IF(OR(H58="",I58=""),"",(I58-H58)*24*60)</f>
        <v/>
      </c>
      <c r="T58" s="22"/>
    </row>
  </sheetData>
  <autoFilter ref="A8:T8"/>
  <mergeCells count="2">
    <mergeCell ref="A1:C1"/>
    <mergeCell ref="K7:T7"/>
  </mergeCells>
  <conditionalFormatting sqref="J9:J508">
    <cfRule type="expression" priority="2" aboveAverage="0" equalAverage="0" bottom="0" percent="0" rank="0" text="" dxfId="3">
      <formula>$J9="Completed"</formula>
    </cfRule>
    <cfRule type="expression" priority="3" aboveAverage="0" equalAverage="0" bottom="0" percent="0" rank="0" text="" dxfId="4">
      <formula>$J9="Active"</formula>
    </cfRule>
    <cfRule type="expression" priority="4" aboveAverage="0" equalAverage="0" bottom="0" percent="0" rank="0" text="" dxfId="5">
      <formula>$J9="Aborted"</formula>
    </cfRule>
    <cfRule type="expression" priority="5" aboveAverage="0" equalAverage="0" bottom="0" percent="0" rank="0" text="" dxfId="6">
      <formula>$J9="Planned"</formula>
    </cfRule>
  </conditionalFormatting>
  <conditionalFormatting sqref="A9:I508">
    <cfRule type="expression" priority="6" aboveAverage="0" equalAverage="0" bottom="0" percent="0" rank="0" text="" dxfId="4">
      <formula>$J9="Active"</formula>
    </cfRule>
    <cfRule type="expression" priority="7" aboveAverage="0" equalAverage="0" bottom="0" percent="0" rank="0" text="" dxfId="5">
      <formula>$J9="Aborted"</formula>
    </cfRule>
  </conditionalFormatting>
  <conditionalFormatting sqref="L9:L508">
    <cfRule type="expression" priority="8" aboveAverage="0" equalAverage="0" bottom="0" percent="0" rank="0" text="" dxfId="5">
      <formula>AND($L9&lt;&gt;"",OR($L9&lt;19.5,$L9&gt;23.5))</formula>
    </cfRule>
    <cfRule type="expression" priority="9" aboveAverage="0" equalAverage="0" bottom="0" percent="0" rank="0" text="" dxfId="3">
      <formula>AND($L9&lt;&gt;"", $L9&gt;=19.5, $L9&lt;=23.5)</formula>
    </cfRule>
  </conditionalFormatting>
  <conditionalFormatting sqref="M9:M508">
    <cfRule type="expression" priority="10" aboveAverage="0" equalAverage="0" bottom="0" percent="0" rank="0" text="" dxfId="5">
      <formula>AND($M9&lt;&gt;"",$M9&gt;=10)</formula>
    </cfRule>
    <cfRule type="expression" priority="11" aboveAverage="0" equalAverage="0" bottom="0" percent="0" rank="0" text="" dxfId="3">
      <formula>AND($M9&lt;&gt;"",$M9&lt;10)</formula>
    </cfRule>
  </conditionalFormatting>
  <conditionalFormatting sqref="N9:N508">
    <cfRule type="expression" priority="12" aboveAverage="0" equalAverage="0" bottom="0" percent="0" rank="0" text="" dxfId="5">
      <formula>AND($N9&lt;&gt;"",$N9&gt;=30)</formula>
    </cfRule>
    <cfRule type="expression" priority="13" aboveAverage="0" equalAverage="0" bottom="0" percent="0" rank="0" text="" dxfId="3">
      <formula>AND($N9&lt;&gt;"",$N9&lt;30)</formula>
    </cfRule>
  </conditionalFormatting>
  <conditionalFormatting sqref="O9:O508">
    <cfRule type="expression" priority="14" aboveAverage="0" equalAverage="0" bottom="0" percent="0" rank="0" text="" dxfId="5">
      <formula>AND($O9&lt;&gt;"",$O9&gt;=5)</formula>
    </cfRule>
    <cfRule type="expression" priority="15" aboveAverage="0" equalAverage="0" bottom="0" percent="0" rank="0" text="" dxfId="3">
      <formula>AND($O9&lt;&gt;"",$O9&lt;5)</formula>
    </cfRule>
  </conditionalFormatting>
  <dataValidations count="8">
    <dataValidation allowBlank="true" errorStyle="stop" operator="between" prompt="Select entry status" showDropDown="false" showErrorMessage="false" showInputMessage="false" sqref="J9:J508" type="list">
      <formula1>"Planned,Active,Completed,Aborted"</formula1>
      <formula2>0</formula2>
    </dataValidation>
    <dataValidation allowBlank="true" errorStyle="stop" operator="between" showDropDown="false" showErrorMessage="false" showInputMessage="false" sqref="P9:P508" type="list">
      <formula1>"Yes,No"</formula1>
      <formula2>0</formula2>
    </dataValidation>
    <dataValidation allowBlank="true" errorStyle="stop" operator="between" showDropDown="false" showErrorMessage="false" showInputMessage="false" sqref="R9:R508" type="list">
      <formula1>"Yes,No,N/A"</formula1>
      <formula2>0</formula2>
    </dataValidation>
    <dataValidation allowBlank="true" errorStyle="stop" operator="between" showDropDown="false" showErrorMessage="false" showInputMessage="false" sqref="B9:B508" type="date">
      <formula1>0</formula1>
      <formula2>0</formula2>
    </dataValidation>
    <dataValidation allowBlank="true" error="Enter O₂ reading as % (0–25)" errorStyle="stop" operator="between" showDropDown="false" showErrorMessage="false" showInputMessage="false" sqref="L9:L508" type="decimal">
      <formula1>0</formula1>
      <formula2>25</formula2>
    </dataValidation>
    <dataValidation allowBlank="true" error="Enter LEL reading as % (0–100)" errorStyle="stop" operator="between" showDropDown="false" showErrorMessage="false" showInputMessage="false" sqref="M9:M508" type="decimal">
      <formula1>0</formula1>
      <formula2>100</formula2>
    </dataValidation>
    <dataValidation allowBlank="true" error="Enter CO reading in ppm (0–1000)" errorStyle="stop" operator="between" showDropDown="false" showErrorMessage="false" showInputMessage="false" sqref="N9:N508" type="decimal">
      <formula1>0</formula1>
      <formula2>1000</formula2>
    </dataValidation>
    <dataValidation allowBlank="true" error="Enter H₂S reading in ppm (0–500)" errorStyle="stop" operator="between" showDropDown="false" showErrorMessage="false" showInputMessage="false" sqref="O9:O508" type="decimal">
      <formula1>0</formula1>
      <formula2>500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&amp;CConfined Space Entry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8" t="s">
        <v>98</v>
      </c>
    </row>
    <row r="2" customFormat="false" ht="15" hidden="false" customHeight="false" outlineLevel="0" collapsed="false">
      <c r="A2" s="28"/>
    </row>
    <row r="3" customFormat="false" ht="15" hidden="false" customHeight="false" outlineLevel="0" collapsed="false">
      <c r="A3" s="28" t="s">
        <v>99</v>
      </c>
    </row>
    <row r="4" customFormat="false" ht="15" hidden="false" customHeight="false" outlineLevel="0" collapsed="false">
      <c r="A4" s="28"/>
    </row>
    <row r="5" customFormat="false" ht="15" hidden="false" customHeight="false" outlineLevel="0" collapsed="false">
      <c r="A5" s="28" t="s">
        <v>100</v>
      </c>
    </row>
    <row r="6" customFormat="false" ht="15" hidden="false" customHeight="false" outlineLevel="0" collapsed="false">
      <c r="A6" s="28"/>
    </row>
    <row r="7" customFormat="false" ht="15" hidden="false" customHeight="false" outlineLevel="0" collapsed="false">
      <c r="A7" s="28" t="s">
        <v>101</v>
      </c>
    </row>
    <row r="8" customFormat="false" ht="15" hidden="false" customHeight="false" outlineLevel="0" collapsed="false">
      <c r="A8" s="28"/>
    </row>
    <row r="9" customFormat="false" ht="15" hidden="false" customHeight="false" outlineLevel="0" collapsed="false">
      <c r="A9" s="28" t="s">
        <v>102</v>
      </c>
    </row>
    <row r="10" customFormat="false" ht="15" hidden="false" customHeight="false" outlineLevel="0" collapsed="false">
      <c r="A10" s="28"/>
    </row>
    <row r="11" customFormat="false" ht="15" hidden="false" customHeight="false" outlineLevel="0" collapsed="false">
      <c r="A11" s="28" t="s">
        <v>103</v>
      </c>
    </row>
    <row r="12" customFormat="false" ht="15" hidden="false" customHeight="false" outlineLevel="0" collapsed="false">
      <c r="A12" s="28"/>
    </row>
    <row r="13" customFormat="false" ht="15" hidden="false" customHeight="false" outlineLevel="0" collapsed="false">
      <c r="A13" s="28" t="s">
        <v>104</v>
      </c>
    </row>
    <row r="14" customFormat="false" ht="15" hidden="false" customHeight="false" outlineLevel="0" collapsed="false">
      <c r="A14" s="28"/>
    </row>
    <row r="15" customFormat="false" ht="15" hidden="false" customHeight="false" outlineLevel="0" collapsed="false">
      <c r="A15" s="28" t="s">
        <v>105</v>
      </c>
    </row>
    <row r="16" customFormat="false" ht="15" hidden="false" customHeight="false" outlineLevel="0" collapsed="false">
      <c r="A16" s="28"/>
    </row>
    <row r="17" customFormat="false" ht="15" hidden="false" customHeight="false" outlineLevel="0" collapsed="false">
      <c r="A17" s="28"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2026-03-22T17:13:28Z</dcterms:created>
  <dc:creator>Ebrora Ltd</dc:creator>
  <dc:description>Manage all confined space entries on site with gas test recording, entry/exit time tracking, auto-calculated duration, rescue plan references, and status monitoring. Designed for UK construction site managers, confined space supervisors, and safety coordinators.
Free professional construction management template from Ebrora Ltd. Visit ebrora.com for our full range of tools and templates.</dc:description>
  <cp:keywords>Ebrora construction confined space entry register gas testing COSHH health and safety site management permit to work</cp:keywords>
  <dc:language>en-US</dc:language>
  <cp:lastModifiedBy>Ebrora Ltd</cp:lastModifiedBy>
  <dcterms:modified xsi:type="dcterms:W3CDTF">2026-03-22T17:13:29Z</dcterms:modified>
  <cp:revision>0</cp:revision>
  <dc:subject>Register for managing all confined space entries on construction sites in compliance with the Confined Spaces Regulations 1997.</dc:subject>
  <dc:title>Confined Space Entry Register</dc:title>
</cp:coreProperties>
</file>

<file path=docProps/custom.xml><?xml version="1.0" encoding="utf-8"?>
<Properties xmlns="http://schemas.openxmlformats.org/officeDocument/2006/custom-properties" xmlns:vt="http://schemas.openxmlformats.org/officeDocument/2006/docPropsVTypes"/>
</file>