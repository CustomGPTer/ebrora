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Wastage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'Wastage Log'!$A$1:$L$49</definedName>
    <definedName function="false" hidden="true" localSheetId="2" name="_xlnm._FilterDatabase" vbProcedure="false">'Wastage Log'!$A$8:$O$49</definedName>
    <definedName function="false" hidden="false" name="DataTable" vbProcedure="false">'Wastage Log'!$A$8:$O$49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<sst xmlns="http://schemas.openxmlformats.org/spreadsheetml/2006/main" count="103" uniqueCount="101">
  <si>
    <t xml:space="preserve">EBRORA</t>
  </si>
  <si>
    <t xml:space="preserve">ebrora.com</t>
  </si>
  <si>
    <t xml:space="preserve">Material Wastage /
Damage Log</t>
  </si>
  <si>
    <t xml:space="preserve">Log material wastage and damage events with cost quantification, cause analysis, and responsibility assignment to reduce project waste.</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</si>
  <si>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</si>
  <si>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</si>
  <si>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</si>
  <si>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</si>
  <si>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'Wastage Log' sheet. The summary shows total wastage cost and a cause-category breakdown.</t>
  </si>
  <si>
    <t xml:space="preserve">2. Log each event with the date, material description, quantity wasted, and the unit cost to calculate total loss.</t>
  </si>
  <si>
    <t xml:space="preserve">3. Select the cause category from the dropdown (Damage, Over-order, Cutting Waste, Theft, Weather, etc.).</t>
  </si>
  <si>
    <t xml:space="preserve">4. Assign responsibility — this is key for back-charging subcontractors or identifying training needs.</t>
  </si>
  <si>
    <t xml:space="preserve">5. Record the resolution: Salvaged, Replaced, Written Off, or Back-Charged.</t>
  </si>
  <si>
    <t xml:space="preserve">6. Total Loss (£) auto-calculates from quantity × unit cost. The running total tracks cumulative waste spend.</t>
  </si>
  <si>
    <t xml:space="preserve">7. The cause breakdown in the summary panel uses COUNTIF to show which categories are costing the most.</t>
  </si>
  <si>
    <t xml:space="preserve">8. Review this log monthly with the site team — wastage trends drive corrective actions and cost savings.</t>
  </si>
  <si>
    <t xml:space="preserve">Colour Key</t>
  </si>
  <si>
    <t xml:space="preserve">Light teal</t>
  </si>
  <si>
    <t xml:space="preserve">Editable cells</t>
  </si>
  <si>
    <t xml:space="preserve">Dark navy</t>
  </si>
  <si>
    <t xml:space="preserve">Headers</t>
  </si>
  <si>
    <t xml:space="preserve">Green</t>
  </si>
  <si>
    <t xml:space="preserve">Salvaged or Back-Charged — cost recovered</t>
  </si>
  <si>
    <t xml:space="preserve">Amber</t>
  </si>
  <si>
    <t xml:space="preserve">Replaced — cost incurred but work continues</t>
  </si>
  <si>
    <t xml:space="preserve">Red</t>
  </si>
  <si>
    <t xml:space="preserve">Written Off — total loss</t>
  </si>
  <si>
    <t xml:space="preserve">Tips</t>
  </si>
  <si>
    <t xml:space="preserve">• Photograph all damaged materials before disposal — photos support insurance claims and back-charges.</t>
  </si>
  <si>
    <t xml:space="preserve">• Over-ordering is the single biggest source of material waste on most sites — check quantities before ordering.</t>
  </si>
  <si>
    <t xml:space="preserve">• Set a monthly wastage target (e.g. &lt;2% of material cost) and track against it using the running total.</t>
  </si>
  <si>
    <t xml:space="preserve">MATERIAL WASTAGE / DAMAGE LOG</t>
  </si>
  <si>
    <t xml:space="preserve">Total Events</t>
  </si>
  <si>
    <t xml:space="preserve">Total Loss (£)</t>
  </si>
  <si>
    <t xml:space="preserve">Avg Loss/Event</t>
  </si>
  <si>
    <t xml:space="preserve">Written Off (£)</t>
  </si>
  <si>
    <t xml:space="preserve">Back-Charged (£)</t>
  </si>
  <si>
    <t xml:space="preserve">Salvaged (£)</t>
  </si>
  <si>
    <t xml:space="preserve">▸ Optional Fields — Click [+] to expand</t>
  </si>
  <si>
    <t xml:space="preserve">Ref</t>
  </si>
  <si>
    <t xml:space="preserve">Date</t>
  </si>
  <si>
    <t xml:space="preserve">Material Description</t>
  </si>
  <si>
    <t xml:space="preserve">Qty
Wasted</t>
  </si>
  <si>
    <t xml:space="preserve">Unit</t>
  </si>
  <si>
    <t xml:space="preserve">Unit Cost
(£)</t>
  </si>
  <si>
    <t xml:space="preserve">Total Loss
(£)</t>
  </si>
  <si>
    <t xml:space="preserve">Cause
Category</t>
  </si>
  <si>
    <t xml:space="preserve">Responsible Party</t>
  </si>
  <si>
    <t xml:space="preserve">Resolution</t>
  </si>
  <si>
    <t xml:space="preserve">Running
Total (£)</t>
  </si>
  <si>
    <t xml:space="preserve">Notes</t>
  </si>
  <si>
    <t xml:space="preserve">Photo
Ref</t>
  </si>
  <si>
    <t xml:space="preserve">Back-Charge
Ref</t>
  </si>
  <si>
    <t xml:space="preserve">Insurance
Claim</t>
  </si>
  <si>
    <t xml:space="preserve">WD-001</t>
  </si>
  <si>
    <t xml:space="preserve">18mm Formwork Plywood (2440×1220)</t>
  </si>
  <si>
    <t xml:space="preserve">Sheet</t>
  </si>
  <si>
    <t xml:space="preserve">Damage</t>
  </si>
  <si>
    <t xml:space="preserve">Concreting Gang</t>
  </si>
  <si>
    <t xml:space="preserve">Written Off</t>
  </si>
  <si>
    <t xml:space="preserve">Sheets damaged during stripping — not recoverable</t>
  </si>
  <si>
    <t xml:space="preserve">PH-041</t>
  </si>
  <si>
    <t xml:space="preserve">WD-002</t>
  </si>
  <si>
    <t xml:space="preserve">Rebar B500B 16mm — 6m lengths</t>
  </si>
  <si>
    <t xml:space="preserve">Bar</t>
  </si>
  <si>
    <t xml:space="preserve">Cutting Waste</t>
  </si>
  <si>
    <t xml:space="preserve">Steel Fixers</t>
  </si>
  <si>
    <t xml:space="preserve">Salvaged</t>
  </si>
  <si>
    <t xml:space="preserve">Offcuts too short for use — recycled as scrap</t>
  </si>
  <si>
    <t xml:space="preserve">WD-003</t>
  </si>
  <si>
    <t xml:space="preserve">Intumescent Paint — 20L drums</t>
  </si>
  <si>
    <t xml:space="preserve">Drum</t>
  </si>
  <si>
    <t xml:space="preserve">Over-Order</t>
  </si>
  <si>
    <t xml:space="preserve">Main Contractor</t>
  </si>
  <si>
    <t xml:space="preserve">Replaced</t>
  </si>
  <si>
    <t xml:space="preserve">Excess ordered — supplier accepted return minus restocking fee</t>
  </si>
  <si>
    <t xml:space="preserve">WD-004</t>
  </si>
  <si>
    <t xml:space="preserve">Aggregate Type 1 Sub-base</t>
  </si>
  <si>
    <t xml:space="preserve">Tonne</t>
  </si>
  <si>
    <t xml:space="preserve">Weather Damage</t>
  </si>
  <si>
    <t xml:space="preserve">N/A</t>
  </si>
  <si>
    <t xml:space="preserve">Stockpile contaminated by flooding</t>
  </si>
  <si>
    <t xml:space="preserve">PH-045</t>
  </si>
  <si>
    <t xml:space="preserve">INS-2026-003</t>
  </si>
  <si>
    <t xml:space="preserve">WD-005</t>
  </si>
  <si>
    <t xml:space="preserve">Copper Pipe 22mm — 3m lengths</t>
  </si>
  <si>
    <t xml:space="preserve">Length</t>
  </si>
  <si>
    <t xml:space="preserve">Theft/Loss</t>
  </si>
  <si>
    <t xml:space="preserve">Unknown</t>
  </si>
  <si>
    <t xml:space="preserve">Overnight theft from materials store — police ref 4421</t>
  </si>
  <si>
    <t xml:space="preserve">PH-048</t>
  </si>
  <si>
    <t xml:space="preserve">INS-2026-004</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</si>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</sst>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0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Calibri"/>
        <charset val="1"/>
        <family val="0"/>
        <b val="1"/>
        <color rgb="FF9C0006"/>
      </font>
      <fill>
        <patternFill>
          <bgColor rgb="FFFFC7CE"/>
        </patternFill>
      </fill>
    </dxf>
    <dxf>
      <font>
        <name val="Calibri"/>
        <charset val="1"/>
        <family val="0"/>
        <b val="1"/>
        <color rgb="FF9C6500"/>
      </font>
      <fill>
        <patternFill>
          <bgColor rgb="FFFFEB9C"/>
        </patternFill>
      </fill>
    </dxf>
    <dxf>
      <font>
        <name val="Calibri"/>
        <charset val="1"/>
        <family val="0"/>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8"/>
    <col collapsed="false" customWidth="true" hidden="false" outlineLevel="0" max="4" min="4" style="0" width="10"/>
    <col collapsed="false" customWidth="true" hidden="false" outlineLevel="0" max="5" min="5" style="0" width="8"/>
    <col collapsed="false" customWidth="true" hidden="false" outlineLevel="0" max="6" min="6" style="0" width="11"/>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4"/>
    <col collapsed="false" customWidth="true" hidden="false" outlineLevel="0" max="11" min="11" style="0" width="13"/>
    <col collapsed="false" customWidth="true" hidden="false" outlineLevel="0" max="12" min="12" style="0" width="28"/>
    <col collapsed="false" customWidth="true" hidden="true" outlineLevel="1" max="15" min="13" style="0" width="12"/>
  </cols>
  <sheetData>
    <row r="1" customFormat="false" ht="18.65" hidden="false" customHeight="true" outlineLevel="0" collapsed="false">
      <c r="A1" s="18" t="s">
        <v>31</v>
      </c>
      <c r="B1" s="18"/>
      <c r="C1" s="18"/>
      <c r="D1" s="18"/>
      <c r="E1" s="18"/>
      <c r="F1" s="18"/>
      <c r="G1" s="18"/>
      <c r="H1" s="18"/>
      <c r="I1" s="18"/>
      <c r="J1" s="18"/>
      <c r="K1" s="18"/>
      <c r="L1" s="18"/>
      <c r="M1" s="19"/>
      <c r="N1" s="19"/>
      <c r="O1" s="19"/>
    </row>
    <row r="2" customFormat="false" ht="6" hidden="false" customHeight="true" outlineLevel="0" collapsed="false"/>
    <row r="3" customFormat="false" ht="35.0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COUNTA(A9:A49)</f>
        <v>5</v>
      </c>
      <c r="C4" s="22" t="n">
        <f aca="false">SUM(G9:G49)</f>
        <v>1750.5</v>
      </c>
      <c r="E4" s="23" t="n">
        <f aca="false">IFERROR(C4/A4,0)</f>
        <v>350.1</v>
      </c>
      <c r="G4" s="23" t="n">
        <f aca="false">SUMIF(J9:J49,"Written Off",G9:G49)</f>
        <v>618</v>
      </c>
      <c r="I4" s="23" t="n">
        <f aca="false">SUMIF(J9:J49,"Back-Charged",G9:G49)</f>
        <v>0</v>
      </c>
      <c r="K4" s="23" t="n">
        <f aca="false">SUMIF(J9:J49,"Salvaged",G9:G49)</f>
        <v>277.5</v>
      </c>
    </row>
    <row r="5" customFormat="false" ht="15" hidden="false" customHeight="false" outlineLevel="0" collapsed="false">
      <c r="A5" s="24" t="str">
        <f aca="false">CONCATENATE("Causes: Damage ",COUNTIF(H9:H49,"Damage")," | Over-Order ",COUNTIF(H9:H49,"Over-Order")," | Cutting ",COUNTIF(H9:H49,"Cutting Waste")," | Theft ",COUNTIF(H9:H49,"Theft/Loss")," | Weather ",COUNTIF(H9:H49,"Weather Damage")," | Other ",COUNTIF(H9:H49,"Other"))</f>
        <v>Causes: Damage 1 | Over-Order 1 | Cutting 1 | Theft 1 | Weather 1 | Other 0</v>
      </c>
      <c r="B5" s="24"/>
      <c r="C5" s="24"/>
      <c r="D5" s="24"/>
      <c r="E5" s="24"/>
      <c r="F5" s="24"/>
      <c r="G5" s="24"/>
      <c r="H5" s="24"/>
      <c r="I5" s="24"/>
      <c r="J5" s="24"/>
      <c r="K5" s="24"/>
      <c r="L5" s="24"/>
    </row>
    <row r="6" customFormat="false" ht="15" hidden="false" customHeight="false" outlineLevel="0" collapsed="false">
      <c r="A6" s="25"/>
      <c r="B6" s="25"/>
      <c r="C6" s="25"/>
      <c r="D6" s="25"/>
      <c r="E6" s="25"/>
      <c r="F6" s="25"/>
      <c r="G6" s="25"/>
      <c r="H6" s="25"/>
      <c r="I6" s="25"/>
      <c r="J6" s="25"/>
      <c r="K6" s="25"/>
      <c r="L6" s="25"/>
      <c r="M6" s="25"/>
      <c r="N6" s="25"/>
      <c r="O6" s="25"/>
    </row>
    <row r="7" customFormat="false" ht="3.75" hidden="false" customHeight="true" outlineLevel="0" collapsed="false">
      <c r="M7" s="26" t="s">
        <v>38</v>
      </c>
      <c r="N7" s="26"/>
      <c r="O7" s="26"/>
    </row>
    <row r="8" customFormat="false" ht="37.5" hidden="false" customHeight="true" outlineLevel="0" collapsed="false">
      <c r="A8" s="27" t="s">
        <v>39</v>
      </c>
      <c r="B8" s="27" t="s">
        <v>40</v>
      </c>
      <c r="C8" s="27" t="s">
        <v>41</v>
      </c>
      <c r="D8" s="27" t="s">
        <v>42</v>
      </c>
      <c r="E8" s="27" t="s">
        <v>43</v>
      </c>
      <c r="F8" s="27" t="s">
        <v>44</v>
      </c>
      <c r="G8" s="27" t="s">
        <v>45</v>
      </c>
      <c r="H8" s="27" t="s">
        <v>46</v>
      </c>
      <c r="I8" s="27" t="s">
        <v>47</v>
      </c>
      <c r="J8" s="27" t="s">
        <v>48</v>
      </c>
      <c r="K8" s="27" t="s">
        <v>49</v>
      </c>
      <c r="L8" s="27" t="s">
        <v>50</v>
      </c>
      <c r="M8" s="27" t="s">
        <v>51</v>
      </c>
      <c r="N8" s="27" t="s">
        <v>52</v>
      </c>
      <c r="O8" s="27" t="s">
        <v>53</v>
      </c>
    </row>
    <row r="9" customFormat="false" ht="23.85" hidden="false" customHeight="false" outlineLevel="0" collapsed="false">
      <c r="A9" s="28" t="s">
        <v>54</v>
      </c>
      <c r="B9" s="29" t="n">
        <v>46065</v>
      </c>
      <c r="C9" s="30" t="s">
        <v>55</v>
      </c>
      <c r="D9" s="28" t="n">
        <v>8</v>
      </c>
      <c r="E9" s="28" t="s">
        <v>56</v>
      </c>
      <c r="F9" s="31" t="n">
        <v>32</v>
      </c>
      <c r="G9" s="32" t="n">
        <f aca="false">IFERROR(D9*F9,"")</f>
        <v>256</v>
      </c>
      <c r="H9" s="28" t="s">
        <v>57</v>
      </c>
      <c r="I9" s="30" t="s">
        <v>58</v>
      </c>
      <c r="J9" s="28" t="s">
        <v>59</v>
      </c>
      <c r="K9" s="32" t="n">
        <f aca="false">IFERROR(G9,"")</f>
        <v>256</v>
      </c>
      <c r="L9" s="30" t="s">
        <v>60</v>
      </c>
      <c r="M9" s="28" t="s">
        <v>61</v>
      </c>
      <c r="N9" s="28"/>
      <c r="O9" s="28"/>
    </row>
    <row r="10" customFormat="false" ht="23.85" hidden="false" customHeight="false" outlineLevel="0" collapsed="false">
      <c r="A10" s="28" t="s">
        <v>62</v>
      </c>
      <c r="B10" s="29" t="n">
        <v>46067</v>
      </c>
      <c r="C10" s="30" t="s">
        <v>63</v>
      </c>
      <c r="D10" s="28" t="n">
        <v>15</v>
      </c>
      <c r="E10" s="28" t="s">
        <v>64</v>
      </c>
      <c r="F10" s="31" t="n">
        <v>18.5</v>
      </c>
      <c r="G10" s="32" t="n">
        <f aca="false">IFERROR(D10*F10,"")</f>
        <v>277.5</v>
      </c>
      <c r="H10" s="28" t="s">
        <v>65</v>
      </c>
      <c r="I10" s="30" t="s">
        <v>66</v>
      </c>
      <c r="J10" s="28" t="s">
        <v>67</v>
      </c>
      <c r="K10" s="32" t="n">
        <f aca="false">IFERROR(IF(A10="","",K9+G10),"")</f>
        <v>533.5</v>
      </c>
      <c r="L10" s="30" t="s">
        <v>68</v>
      </c>
      <c r="M10" s="28"/>
      <c r="N10" s="28"/>
      <c r="O10" s="28"/>
    </row>
    <row r="11" customFormat="false" ht="23.85" hidden="false" customHeight="false" outlineLevel="0" collapsed="false">
      <c r="A11" s="28" t="s">
        <v>69</v>
      </c>
      <c r="B11" s="29" t="n">
        <v>46069</v>
      </c>
      <c r="C11" s="30" t="s">
        <v>70</v>
      </c>
      <c r="D11" s="28" t="n">
        <v>3</v>
      </c>
      <c r="E11" s="28" t="s">
        <v>71</v>
      </c>
      <c r="F11" s="31" t="n">
        <v>285</v>
      </c>
      <c r="G11" s="32" t="n">
        <f aca="false">IFERROR(D11*F11,"")</f>
        <v>855</v>
      </c>
      <c r="H11" s="28" t="s">
        <v>72</v>
      </c>
      <c r="I11" s="30" t="s">
        <v>73</v>
      </c>
      <c r="J11" s="28" t="s">
        <v>74</v>
      </c>
      <c r="K11" s="32" t="n">
        <f aca="false">IFERROR(IF(A11="","",K10+G11),"")</f>
        <v>1388.5</v>
      </c>
      <c r="L11" s="30" t="s">
        <v>75</v>
      </c>
      <c r="M11" s="28"/>
      <c r="N11" s="28"/>
      <c r="O11" s="28"/>
    </row>
    <row r="12" customFormat="false" ht="15" hidden="false" customHeight="false" outlineLevel="0" collapsed="false">
      <c r="A12" s="28" t="s">
        <v>76</v>
      </c>
      <c r="B12" s="29" t="n">
        <v>46071</v>
      </c>
      <c r="C12" s="30" t="s">
        <v>77</v>
      </c>
      <c r="D12" s="28" t="n">
        <v>8</v>
      </c>
      <c r="E12" s="28" t="s">
        <v>78</v>
      </c>
      <c r="F12" s="31" t="n">
        <v>24</v>
      </c>
      <c r="G12" s="32" t="n">
        <f aca="false">IFERROR(D12*F12,"")</f>
        <v>192</v>
      </c>
      <c r="H12" s="28" t="s">
        <v>79</v>
      </c>
      <c r="I12" s="30" t="s">
        <v>80</v>
      </c>
      <c r="J12" s="28" t="s">
        <v>59</v>
      </c>
      <c r="K12" s="32" t="n">
        <f aca="false">IFERROR(IF(A12="","",K11+G12),"")</f>
        <v>1580.5</v>
      </c>
      <c r="L12" s="30" t="s">
        <v>81</v>
      </c>
      <c r="M12" s="28" t="s">
        <v>82</v>
      </c>
      <c r="N12" s="28"/>
      <c r="O12" s="28" t="s">
        <v>83</v>
      </c>
    </row>
    <row r="13" customFormat="false" ht="23.85" hidden="false" customHeight="false" outlineLevel="0" collapsed="false">
      <c r="A13" s="28" t="s">
        <v>84</v>
      </c>
      <c r="B13" s="29" t="n">
        <v>46073</v>
      </c>
      <c r="C13" s="30" t="s">
        <v>85</v>
      </c>
      <c r="D13" s="28" t="n">
        <v>20</v>
      </c>
      <c r="E13" s="28" t="s">
        <v>86</v>
      </c>
      <c r="F13" s="31" t="n">
        <v>8.5</v>
      </c>
      <c r="G13" s="32" t="n">
        <f aca="false">IFERROR(D13*F13,"")</f>
        <v>170</v>
      </c>
      <c r="H13" s="28" t="s">
        <v>87</v>
      </c>
      <c r="I13" s="30" t="s">
        <v>88</v>
      </c>
      <c r="J13" s="28" t="s">
        <v>59</v>
      </c>
      <c r="K13" s="32" t="n">
        <f aca="false">IFERROR(IF(A13="","",K12+G13),"")</f>
        <v>1750.5</v>
      </c>
      <c r="L13" s="30" t="s">
        <v>89</v>
      </c>
      <c r="M13" s="28" t="s">
        <v>90</v>
      </c>
      <c r="N13" s="28"/>
      <c r="O13" s="28" t="s">
        <v>91</v>
      </c>
    </row>
    <row r="14" customFormat="false" ht="15" hidden="false" customHeight="false" outlineLevel="0" collapsed="false">
      <c r="A14" s="28"/>
      <c r="B14" s="29"/>
      <c r="C14" s="30"/>
      <c r="D14" s="28"/>
      <c r="E14" s="28"/>
      <c r="F14" s="31"/>
      <c r="G14" s="32" t="n">
        <f aca="false">IFERROR(D14*F14,"")</f>
        <v>0</v>
      </c>
      <c r="H14" s="28"/>
      <c r="I14" s="30"/>
      <c r="J14" s="28"/>
      <c r="K14" s="32" t="str">
        <f aca="false">IFERROR(IF(A14="","",K13+G14),"")</f>
        <v/>
      </c>
      <c r="L14" s="30"/>
      <c r="M14" s="28"/>
      <c r="N14" s="28"/>
      <c r="O14" s="28"/>
    </row>
    <row r="15" customFormat="false" ht="15" hidden="false" customHeight="false" outlineLevel="0" collapsed="false">
      <c r="A15" s="28"/>
      <c r="B15" s="29"/>
      <c r="C15" s="30"/>
      <c r="D15" s="28"/>
      <c r="E15" s="28"/>
      <c r="F15" s="31"/>
      <c r="G15" s="32" t="n">
        <f aca="false">IFERROR(D15*F15,"")</f>
        <v>0</v>
      </c>
      <c r="H15" s="28"/>
      <c r="I15" s="30"/>
      <c r="J15" s="28"/>
      <c r="K15" s="32" t="str">
        <f aca="false">IFERROR(IF(A15="","",K14+G15),"")</f>
        <v/>
      </c>
      <c r="L15" s="30"/>
      <c r="M15" s="28"/>
      <c r="N15" s="28"/>
      <c r="O15" s="28"/>
    </row>
    <row r="16" customFormat="false" ht="15" hidden="false" customHeight="false" outlineLevel="0" collapsed="false">
      <c r="A16" s="28"/>
      <c r="B16" s="29"/>
      <c r="C16" s="30"/>
      <c r="D16" s="28"/>
      <c r="E16" s="28"/>
      <c r="F16" s="31"/>
      <c r="G16" s="32" t="n">
        <f aca="false">IFERROR(D16*F16,"")</f>
        <v>0</v>
      </c>
      <c r="H16" s="28"/>
      <c r="I16" s="30"/>
      <c r="J16" s="28"/>
      <c r="K16" s="32" t="str">
        <f aca="false">IFERROR(IF(A16="","",K15+G16),"")</f>
        <v/>
      </c>
      <c r="L16" s="30"/>
      <c r="M16" s="28"/>
      <c r="N16" s="28"/>
      <c r="O16" s="28"/>
    </row>
    <row r="17" customFormat="false" ht="15" hidden="false" customHeight="false" outlineLevel="0" collapsed="false">
      <c r="A17" s="28"/>
      <c r="B17" s="29"/>
      <c r="C17" s="30"/>
      <c r="D17" s="28"/>
      <c r="E17" s="28"/>
      <c r="F17" s="31"/>
      <c r="G17" s="32" t="n">
        <f aca="false">IFERROR(D17*F17,"")</f>
        <v>0</v>
      </c>
      <c r="H17" s="28"/>
      <c r="I17" s="30"/>
      <c r="J17" s="28"/>
      <c r="K17" s="32" t="str">
        <f aca="false">IFERROR(IF(A17="","",K16+G17),"")</f>
        <v/>
      </c>
      <c r="L17" s="30"/>
      <c r="M17" s="28"/>
      <c r="N17" s="28"/>
      <c r="O17" s="28"/>
    </row>
    <row r="18" customFormat="false" ht="15" hidden="false" customHeight="false" outlineLevel="0" collapsed="false">
      <c r="A18" s="28"/>
      <c r="B18" s="29"/>
      <c r="C18" s="30"/>
      <c r="D18" s="28"/>
      <c r="E18" s="28"/>
      <c r="F18" s="31"/>
      <c r="G18" s="32" t="n">
        <f aca="false">IFERROR(D18*F18,"")</f>
        <v>0</v>
      </c>
      <c r="H18" s="28"/>
      <c r="I18" s="30"/>
      <c r="J18" s="28"/>
      <c r="K18" s="32" t="str">
        <f aca="false">IFERROR(IF(A18="","",K17+G18),"")</f>
        <v/>
      </c>
      <c r="L18" s="30"/>
      <c r="M18" s="28"/>
      <c r="N18" s="28"/>
      <c r="O18" s="28"/>
    </row>
    <row r="19" customFormat="false" ht="15" hidden="false" customHeight="false" outlineLevel="0" collapsed="false">
      <c r="A19" s="28"/>
      <c r="B19" s="29"/>
      <c r="C19" s="30"/>
      <c r="D19" s="28"/>
      <c r="E19" s="28"/>
      <c r="F19" s="31"/>
      <c r="G19" s="32" t="n">
        <f aca="false">IFERROR(D19*F19,"")</f>
        <v>0</v>
      </c>
      <c r="H19" s="28"/>
      <c r="I19" s="30"/>
      <c r="J19" s="28"/>
      <c r="K19" s="32" t="str">
        <f aca="false">IFERROR(IF(A19="","",K18+G19),"")</f>
        <v/>
      </c>
      <c r="L19" s="30"/>
      <c r="M19" s="28"/>
      <c r="N19" s="28"/>
      <c r="O19" s="28"/>
    </row>
    <row r="20" customFormat="false" ht="15" hidden="false" customHeight="false" outlineLevel="0" collapsed="false">
      <c r="A20" s="28"/>
      <c r="B20" s="29"/>
      <c r="C20" s="30"/>
      <c r="D20" s="28"/>
      <c r="E20" s="28"/>
      <c r="F20" s="31"/>
      <c r="G20" s="32" t="n">
        <f aca="false">IFERROR(D20*F20,"")</f>
        <v>0</v>
      </c>
      <c r="H20" s="28"/>
      <c r="I20" s="30"/>
      <c r="J20" s="28"/>
      <c r="K20" s="32" t="str">
        <f aca="false">IFERROR(IF(A20="","",K19+G20),"")</f>
        <v/>
      </c>
      <c r="L20" s="30"/>
      <c r="M20" s="28"/>
      <c r="N20" s="28"/>
      <c r="O20" s="28"/>
    </row>
    <row r="21" customFormat="false" ht="15" hidden="false" customHeight="false" outlineLevel="0" collapsed="false">
      <c r="A21" s="28"/>
      <c r="B21" s="29"/>
      <c r="C21" s="30"/>
      <c r="D21" s="28"/>
      <c r="E21" s="28"/>
      <c r="F21" s="31"/>
      <c r="G21" s="32" t="n">
        <f aca="false">IFERROR(D21*F21,"")</f>
        <v>0</v>
      </c>
      <c r="H21" s="28"/>
      <c r="I21" s="30"/>
      <c r="J21" s="28"/>
      <c r="K21" s="32" t="str">
        <f aca="false">IFERROR(IF(A21="","",K20+G21),"")</f>
        <v/>
      </c>
      <c r="L21" s="30"/>
      <c r="M21" s="28"/>
      <c r="N21" s="28"/>
      <c r="O21" s="28"/>
    </row>
    <row r="22" customFormat="false" ht="15" hidden="false" customHeight="false" outlineLevel="0" collapsed="false">
      <c r="A22" s="28"/>
      <c r="B22" s="29"/>
      <c r="C22" s="30"/>
      <c r="D22" s="28"/>
      <c r="E22" s="28"/>
      <c r="F22" s="31"/>
      <c r="G22" s="32" t="n">
        <f aca="false">IFERROR(D22*F22,"")</f>
        <v>0</v>
      </c>
      <c r="H22" s="28"/>
      <c r="I22" s="30"/>
      <c r="J22" s="28"/>
      <c r="K22" s="32" t="str">
        <f aca="false">IFERROR(IF(A22="","",K21+G22),"")</f>
        <v/>
      </c>
      <c r="L22" s="30"/>
      <c r="M22" s="28"/>
      <c r="N22" s="28"/>
      <c r="O22" s="28"/>
    </row>
    <row r="23" customFormat="false" ht="15" hidden="false" customHeight="false" outlineLevel="0" collapsed="false">
      <c r="A23" s="28"/>
      <c r="B23" s="29"/>
      <c r="C23" s="30"/>
      <c r="D23" s="28"/>
      <c r="E23" s="28"/>
      <c r="F23" s="31"/>
      <c r="G23" s="32" t="n">
        <f aca="false">IFERROR(D23*F23,"")</f>
        <v>0</v>
      </c>
      <c r="H23" s="28"/>
      <c r="I23" s="30"/>
      <c r="J23" s="28"/>
      <c r="K23" s="32" t="str">
        <f aca="false">IFERROR(IF(A23="","",K22+G23),"")</f>
        <v/>
      </c>
      <c r="L23" s="30"/>
      <c r="M23" s="28"/>
      <c r="N23" s="28"/>
      <c r="O23" s="28"/>
    </row>
    <row r="24" customFormat="false" ht="15" hidden="false" customHeight="false" outlineLevel="0" collapsed="false">
      <c r="A24" s="28"/>
      <c r="B24" s="29"/>
      <c r="C24" s="30"/>
      <c r="D24" s="28"/>
      <c r="E24" s="28"/>
      <c r="F24" s="31"/>
      <c r="G24" s="32" t="n">
        <f aca="false">IFERROR(D24*F24,"")</f>
        <v>0</v>
      </c>
      <c r="H24" s="28"/>
      <c r="I24" s="30"/>
      <c r="J24" s="28"/>
      <c r="K24" s="32" t="str">
        <f aca="false">IFERROR(IF(A24="","",K23+G24),"")</f>
        <v/>
      </c>
      <c r="L24" s="30"/>
      <c r="M24" s="28"/>
      <c r="N24" s="28"/>
      <c r="O24" s="28"/>
    </row>
    <row r="25" customFormat="false" ht="15" hidden="false" customHeight="false" outlineLevel="0" collapsed="false">
      <c r="A25" s="28"/>
      <c r="B25" s="29"/>
      <c r="C25" s="30"/>
      <c r="D25" s="28"/>
      <c r="E25" s="28"/>
      <c r="F25" s="31"/>
      <c r="G25" s="32" t="n">
        <f aca="false">IFERROR(D25*F25,"")</f>
        <v>0</v>
      </c>
      <c r="H25" s="28"/>
      <c r="I25" s="30"/>
      <c r="J25" s="28"/>
      <c r="K25" s="32" t="str">
        <f aca="false">IFERROR(IF(A25="","",K24+G25),"")</f>
        <v/>
      </c>
      <c r="L25" s="30"/>
      <c r="M25" s="28"/>
      <c r="N25" s="28"/>
      <c r="O25" s="28"/>
    </row>
    <row r="26" customFormat="false" ht="15" hidden="false" customHeight="false" outlineLevel="0" collapsed="false">
      <c r="A26" s="28"/>
      <c r="B26" s="29"/>
      <c r="C26" s="30"/>
      <c r="D26" s="28"/>
      <c r="E26" s="28"/>
      <c r="F26" s="31"/>
      <c r="G26" s="32" t="n">
        <f aca="false">IFERROR(D26*F26,"")</f>
        <v>0</v>
      </c>
      <c r="H26" s="28"/>
      <c r="I26" s="30"/>
      <c r="J26" s="28"/>
      <c r="K26" s="32" t="str">
        <f aca="false">IFERROR(IF(A26="","",K25+G26),"")</f>
        <v/>
      </c>
      <c r="L26" s="30"/>
      <c r="M26" s="28"/>
      <c r="N26" s="28"/>
      <c r="O26" s="28"/>
    </row>
    <row r="27" customFormat="false" ht="15" hidden="false" customHeight="false" outlineLevel="0" collapsed="false">
      <c r="A27" s="28"/>
      <c r="B27" s="29"/>
      <c r="C27" s="30"/>
      <c r="D27" s="28"/>
      <c r="E27" s="28"/>
      <c r="F27" s="31"/>
      <c r="G27" s="32" t="n">
        <f aca="false">IFERROR(D27*F27,"")</f>
        <v>0</v>
      </c>
      <c r="H27" s="28"/>
      <c r="I27" s="30"/>
      <c r="J27" s="28"/>
      <c r="K27" s="32" t="str">
        <f aca="false">IFERROR(IF(A27="","",K26+G27),"")</f>
        <v/>
      </c>
      <c r="L27" s="30"/>
      <c r="M27" s="28"/>
      <c r="N27" s="28"/>
      <c r="O27" s="28"/>
    </row>
    <row r="28" customFormat="false" ht="15" hidden="false" customHeight="false" outlineLevel="0" collapsed="false">
      <c r="A28" s="28"/>
      <c r="B28" s="29"/>
      <c r="C28" s="30"/>
      <c r="D28" s="28"/>
      <c r="E28" s="28"/>
      <c r="F28" s="31"/>
      <c r="G28" s="32" t="n">
        <f aca="false">IFERROR(D28*F28,"")</f>
        <v>0</v>
      </c>
      <c r="H28" s="28"/>
      <c r="I28" s="30"/>
      <c r="J28" s="28"/>
      <c r="K28" s="32" t="str">
        <f aca="false">IFERROR(IF(A28="","",K27+G28),"")</f>
        <v/>
      </c>
      <c r="L28" s="30"/>
      <c r="M28" s="28"/>
      <c r="N28" s="28"/>
      <c r="O28" s="28"/>
    </row>
    <row r="29" customFormat="false" ht="15" hidden="false" customHeight="false" outlineLevel="0" collapsed="false">
      <c r="A29" s="28"/>
      <c r="B29" s="29"/>
      <c r="C29" s="30"/>
      <c r="D29" s="28"/>
      <c r="E29" s="28"/>
      <c r="F29" s="31"/>
      <c r="G29" s="32" t="n">
        <f aca="false">IFERROR(D29*F29,"")</f>
        <v>0</v>
      </c>
      <c r="H29" s="28"/>
      <c r="I29" s="30"/>
      <c r="J29" s="28"/>
      <c r="K29" s="32" t="str">
        <f aca="false">IFERROR(IF(A29="","",K28+G29),"")</f>
        <v/>
      </c>
      <c r="L29" s="30"/>
      <c r="M29" s="28"/>
      <c r="N29" s="28"/>
      <c r="O29" s="28"/>
    </row>
    <row r="30" customFormat="false" ht="15" hidden="false" customHeight="false" outlineLevel="0" collapsed="false">
      <c r="A30" s="28"/>
      <c r="B30" s="29"/>
      <c r="C30" s="30"/>
      <c r="D30" s="28"/>
      <c r="E30" s="28"/>
      <c r="F30" s="31"/>
      <c r="G30" s="32" t="n">
        <f aca="false">IFERROR(D30*F30,"")</f>
        <v>0</v>
      </c>
      <c r="H30" s="28"/>
      <c r="I30" s="30"/>
      <c r="J30" s="28"/>
      <c r="K30" s="32" t="str">
        <f aca="false">IFERROR(IF(A30="","",K29+G30),"")</f>
        <v/>
      </c>
      <c r="L30" s="30"/>
      <c r="M30" s="28"/>
      <c r="N30" s="28"/>
      <c r="O30" s="28"/>
    </row>
    <row r="31" customFormat="false" ht="15" hidden="false" customHeight="false" outlineLevel="0" collapsed="false">
      <c r="A31" s="28"/>
      <c r="B31" s="29"/>
      <c r="C31" s="30"/>
      <c r="D31" s="28"/>
      <c r="E31" s="28"/>
      <c r="F31" s="31"/>
      <c r="G31" s="32" t="n">
        <f aca="false">IFERROR(D31*F31,"")</f>
        <v>0</v>
      </c>
      <c r="H31" s="28"/>
      <c r="I31" s="30"/>
      <c r="J31" s="28"/>
      <c r="K31" s="32" t="str">
        <f aca="false">IFERROR(IF(A31="","",K30+G31),"")</f>
        <v/>
      </c>
      <c r="L31" s="30"/>
      <c r="M31" s="28"/>
      <c r="N31" s="28"/>
      <c r="O31" s="28"/>
    </row>
    <row r="32" customFormat="false" ht="15" hidden="false" customHeight="false" outlineLevel="0" collapsed="false">
      <c r="A32" s="28"/>
      <c r="B32" s="29"/>
      <c r="C32" s="30"/>
      <c r="D32" s="28"/>
      <c r="E32" s="28"/>
      <c r="F32" s="31"/>
      <c r="G32" s="32" t="n">
        <f aca="false">IFERROR(D32*F32,"")</f>
        <v>0</v>
      </c>
      <c r="H32" s="28"/>
      <c r="I32" s="30"/>
      <c r="J32" s="28"/>
      <c r="K32" s="32" t="str">
        <f aca="false">IFERROR(IF(A32="","",K31+G32),"")</f>
        <v/>
      </c>
      <c r="L32" s="30"/>
      <c r="M32" s="28"/>
      <c r="N32" s="28"/>
      <c r="O32" s="28"/>
    </row>
    <row r="33" customFormat="false" ht="15" hidden="false" customHeight="false" outlineLevel="0" collapsed="false">
      <c r="A33" s="28"/>
      <c r="B33" s="29"/>
      <c r="C33" s="30"/>
      <c r="D33" s="28"/>
      <c r="E33" s="28"/>
      <c r="F33" s="31"/>
      <c r="G33" s="32" t="n">
        <f aca="false">IFERROR(D33*F33,"")</f>
        <v>0</v>
      </c>
      <c r="H33" s="28"/>
      <c r="I33" s="30"/>
      <c r="J33" s="28"/>
      <c r="K33" s="32" t="str">
        <f aca="false">IFERROR(IF(A33="","",K32+G33),"")</f>
        <v/>
      </c>
      <c r="L33" s="30"/>
      <c r="M33" s="28"/>
      <c r="N33" s="28"/>
      <c r="O33" s="28"/>
    </row>
    <row r="34" customFormat="false" ht="15" hidden="false" customHeight="false" outlineLevel="0" collapsed="false">
      <c r="A34" s="28"/>
      <c r="B34" s="29"/>
      <c r="C34" s="30"/>
      <c r="D34" s="28"/>
      <c r="E34" s="28"/>
      <c r="F34" s="31"/>
      <c r="G34" s="32" t="n">
        <f aca="false">IFERROR(D34*F34,"")</f>
        <v>0</v>
      </c>
      <c r="H34" s="28"/>
      <c r="I34" s="30"/>
      <c r="J34" s="28"/>
      <c r="K34" s="32" t="str">
        <f aca="false">IFERROR(IF(A34="","",K33+G34),"")</f>
        <v/>
      </c>
      <c r="L34" s="30"/>
      <c r="M34" s="28"/>
      <c r="N34" s="28"/>
      <c r="O34" s="28"/>
    </row>
    <row r="35" customFormat="false" ht="15" hidden="false" customHeight="false" outlineLevel="0" collapsed="false">
      <c r="A35" s="28"/>
      <c r="B35" s="29"/>
      <c r="C35" s="30"/>
      <c r="D35" s="28"/>
      <c r="E35" s="28"/>
      <c r="F35" s="31"/>
      <c r="G35" s="32" t="n">
        <f aca="false">IFERROR(D35*F35,"")</f>
        <v>0</v>
      </c>
      <c r="H35" s="28"/>
      <c r="I35" s="30"/>
      <c r="J35" s="28"/>
      <c r="K35" s="32" t="str">
        <f aca="false">IFERROR(IF(A35="","",K34+G35),"")</f>
        <v/>
      </c>
      <c r="L35" s="30"/>
      <c r="M35" s="28"/>
      <c r="N35" s="28"/>
      <c r="O35" s="28"/>
    </row>
    <row r="36" customFormat="false" ht="15" hidden="false" customHeight="false" outlineLevel="0" collapsed="false">
      <c r="A36" s="28"/>
      <c r="B36" s="29"/>
      <c r="C36" s="30"/>
      <c r="D36" s="28"/>
      <c r="E36" s="28"/>
      <c r="F36" s="31"/>
      <c r="G36" s="32" t="n">
        <f aca="false">IFERROR(D36*F36,"")</f>
        <v>0</v>
      </c>
      <c r="H36" s="28"/>
      <c r="I36" s="30"/>
      <c r="J36" s="28"/>
      <c r="K36" s="32" t="str">
        <f aca="false">IFERROR(IF(A36="","",K35+G36),"")</f>
        <v/>
      </c>
      <c r="L36" s="30"/>
      <c r="M36" s="28"/>
      <c r="N36" s="28"/>
      <c r="O36" s="28"/>
    </row>
    <row r="37" customFormat="false" ht="15" hidden="false" customHeight="false" outlineLevel="0" collapsed="false">
      <c r="A37" s="28"/>
      <c r="B37" s="29"/>
      <c r="C37" s="30"/>
      <c r="D37" s="28"/>
      <c r="E37" s="28"/>
      <c r="F37" s="31"/>
      <c r="G37" s="32" t="n">
        <f aca="false">IFERROR(D37*F37,"")</f>
        <v>0</v>
      </c>
      <c r="H37" s="28"/>
      <c r="I37" s="30"/>
      <c r="J37" s="28"/>
      <c r="K37" s="32" t="str">
        <f aca="false">IFERROR(IF(A37="","",K36+G37),"")</f>
        <v/>
      </c>
      <c r="L37" s="30"/>
      <c r="M37" s="28"/>
      <c r="N37" s="28"/>
      <c r="O37" s="28"/>
    </row>
    <row r="38" customFormat="false" ht="15" hidden="false" customHeight="false" outlineLevel="0" collapsed="false">
      <c r="A38" s="28"/>
      <c r="B38" s="29"/>
      <c r="C38" s="30"/>
      <c r="D38" s="28"/>
      <c r="E38" s="28"/>
      <c r="F38" s="31"/>
      <c r="G38" s="32" t="n">
        <f aca="false">IFERROR(D38*F38,"")</f>
        <v>0</v>
      </c>
      <c r="H38" s="28"/>
      <c r="I38" s="30"/>
      <c r="J38" s="28"/>
      <c r="K38" s="32" t="str">
        <f aca="false">IFERROR(IF(A38="","",K37+G38),"")</f>
        <v/>
      </c>
      <c r="L38" s="30"/>
      <c r="M38" s="28"/>
      <c r="N38" s="28"/>
      <c r="O38" s="28"/>
    </row>
    <row r="39" customFormat="false" ht="15" hidden="false" customHeight="false" outlineLevel="0" collapsed="false">
      <c r="A39" s="28"/>
      <c r="B39" s="29"/>
      <c r="C39" s="30"/>
      <c r="D39" s="28"/>
      <c r="E39" s="28"/>
      <c r="F39" s="31"/>
      <c r="G39" s="32" t="n">
        <f aca="false">IFERROR(D39*F39,"")</f>
        <v>0</v>
      </c>
      <c r="H39" s="28"/>
      <c r="I39" s="30"/>
      <c r="J39" s="28"/>
      <c r="K39" s="32" t="str">
        <f aca="false">IFERROR(IF(A39="","",K38+G39),"")</f>
        <v/>
      </c>
      <c r="L39" s="30"/>
      <c r="M39" s="28"/>
      <c r="N39" s="28"/>
      <c r="O39" s="28"/>
    </row>
    <row r="40" customFormat="false" ht="15" hidden="false" customHeight="false" outlineLevel="0" collapsed="false">
      <c r="A40" s="28"/>
      <c r="B40" s="29"/>
      <c r="C40" s="30"/>
      <c r="D40" s="28"/>
      <c r="E40" s="28"/>
      <c r="F40" s="31"/>
      <c r="G40" s="32" t="n">
        <f aca="false">IFERROR(D40*F40,"")</f>
        <v>0</v>
      </c>
      <c r="H40" s="28"/>
      <c r="I40" s="30"/>
      <c r="J40" s="28"/>
      <c r="K40" s="32" t="str">
        <f aca="false">IFERROR(IF(A40="","",K39+G40),"")</f>
        <v/>
      </c>
      <c r="L40" s="30"/>
      <c r="M40" s="28"/>
      <c r="N40" s="28"/>
      <c r="O40" s="28"/>
    </row>
    <row r="41" customFormat="false" ht="15" hidden="false" customHeight="false" outlineLevel="0" collapsed="false">
      <c r="A41" s="28"/>
      <c r="B41" s="29"/>
      <c r="C41" s="30"/>
      <c r="D41" s="28"/>
      <c r="E41" s="28"/>
      <c r="F41" s="31"/>
      <c r="G41" s="32" t="n">
        <f aca="false">IFERROR(D41*F41,"")</f>
        <v>0</v>
      </c>
      <c r="H41" s="28"/>
      <c r="I41" s="30"/>
      <c r="J41" s="28"/>
      <c r="K41" s="32" t="str">
        <f aca="false">IFERROR(IF(A41="","",K40+G41),"")</f>
        <v/>
      </c>
      <c r="L41" s="30"/>
      <c r="M41" s="28"/>
      <c r="N41" s="28"/>
      <c r="O41" s="28"/>
    </row>
    <row r="42" customFormat="false" ht="15" hidden="false" customHeight="false" outlineLevel="0" collapsed="false">
      <c r="A42" s="28"/>
      <c r="B42" s="29"/>
      <c r="C42" s="30"/>
      <c r="D42" s="28"/>
      <c r="E42" s="28"/>
      <c r="F42" s="31"/>
      <c r="G42" s="32" t="n">
        <f aca="false">IFERROR(D42*F42,"")</f>
        <v>0</v>
      </c>
      <c r="H42" s="28"/>
      <c r="I42" s="30"/>
      <c r="J42" s="28"/>
      <c r="K42" s="32" t="str">
        <f aca="false">IFERROR(IF(A42="","",K41+G42),"")</f>
        <v/>
      </c>
      <c r="L42" s="30"/>
      <c r="M42" s="28"/>
      <c r="N42" s="28"/>
      <c r="O42" s="28"/>
    </row>
    <row r="43" customFormat="false" ht="15" hidden="false" customHeight="false" outlineLevel="0" collapsed="false">
      <c r="A43" s="28"/>
      <c r="B43" s="29"/>
      <c r="C43" s="30"/>
      <c r="D43" s="28"/>
      <c r="E43" s="28"/>
      <c r="F43" s="31"/>
      <c r="G43" s="32" t="n">
        <f aca="false">IFERROR(D43*F43,"")</f>
        <v>0</v>
      </c>
      <c r="H43" s="28"/>
      <c r="I43" s="30"/>
      <c r="J43" s="28"/>
      <c r="K43" s="32" t="str">
        <f aca="false">IFERROR(IF(A43="","",K42+G43),"")</f>
        <v/>
      </c>
      <c r="L43" s="30"/>
      <c r="M43" s="28"/>
      <c r="N43" s="28"/>
      <c r="O43" s="28"/>
    </row>
    <row r="44" customFormat="false" ht="15" hidden="false" customHeight="false" outlineLevel="0" collapsed="false">
      <c r="A44" s="28"/>
      <c r="B44" s="29"/>
      <c r="C44" s="30"/>
      <c r="D44" s="28"/>
      <c r="E44" s="28"/>
      <c r="F44" s="31"/>
      <c r="G44" s="32" t="n">
        <f aca="false">IFERROR(D44*F44,"")</f>
        <v>0</v>
      </c>
      <c r="H44" s="28"/>
      <c r="I44" s="30"/>
      <c r="J44" s="28"/>
      <c r="K44" s="32" t="str">
        <f aca="false">IFERROR(IF(A44="","",K43+G44),"")</f>
        <v/>
      </c>
      <c r="L44" s="30"/>
      <c r="M44" s="28"/>
      <c r="N44" s="28"/>
      <c r="O44" s="28"/>
    </row>
    <row r="45" customFormat="false" ht="15" hidden="false" customHeight="false" outlineLevel="0" collapsed="false">
      <c r="A45" s="28"/>
      <c r="B45" s="29"/>
      <c r="C45" s="30"/>
      <c r="D45" s="28"/>
      <c r="E45" s="28"/>
      <c r="F45" s="31"/>
      <c r="G45" s="32" t="n">
        <f aca="false">IFERROR(D45*F45,"")</f>
        <v>0</v>
      </c>
      <c r="H45" s="28"/>
      <c r="I45" s="30"/>
      <c r="J45" s="28"/>
      <c r="K45" s="32" t="str">
        <f aca="false">IFERROR(IF(A45="","",K44+G45),"")</f>
        <v/>
      </c>
      <c r="L45" s="30"/>
      <c r="M45" s="28"/>
      <c r="N45" s="28"/>
      <c r="O45" s="28"/>
    </row>
    <row r="46" customFormat="false" ht="15" hidden="false" customHeight="false" outlineLevel="0" collapsed="false">
      <c r="A46" s="28"/>
      <c r="B46" s="29"/>
      <c r="C46" s="30"/>
      <c r="D46" s="28"/>
      <c r="E46" s="28"/>
      <c r="F46" s="31"/>
      <c r="G46" s="32" t="n">
        <f aca="false">IFERROR(D46*F46,"")</f>
        <v>0</v>
      </c>
      <c r="H46" s="28"/>
      <c r="I46" s="30"/>
      <c r="J46" s="28"/>
      <c r="K46" s="32" t="str">
        <f aca="false">IFERROR(IF(A46="","",K45+G46),"")</f>
        <v/>
      </c>
      <c r="L46" s="30"/>
      <c r="M46" s="28"/>
      <c r="N46" s="28"/>
      <c r="O46" s="28"/>
    </row>
    <row r="47" customFormat="false" ht="15" hidden="false" customHeight="false" outlineLevel="0" collapsed="false">
      <c r="A47" s="28"/>
      <c r="B47" s="29"/>
      <c r="C47" s="30"/>
      <c r="D47" s="28"/>
      <c r="E47" s="28"/>
      <c r="F47" s="31"/>
      <c r="G47" s="32" t="n">
        <f aca="false">IFERROR(D47*F47,"")</f>
        <v>0</v>
      </c>
      <c r="H47" s="28"/>
      <c r="I47" s="30"/>
      <c r="J47" s="28"/>
      <c r="K47" s="32" t="str">
        <f aca="false">IFERROR(IF(A47="","",K46+G47),"")</f>
        <v/>
      </c>
      <c r="L47" s="30"/>
      <c r="M47" s="28"/>
      <c r="N47" s="28"/>
      <c r="O47" s="28"/>
    </row>
    <row r="48" customFormat="false" ht="15" hidden="false" customHeight="false" outlineLevel="0" collapsed="false">
      <c r="A48" s="28"/>
      <c r="B48" s="29"/>
      <c r="C48" s="30"/>
      <c r="D48" s="28"/>
      <c r="E48" s="28"/>
      <c r="F48" s="31"/>
      <c r="G48" s="32" t="n">
        <f aca="false">IFERROR(D48*F48,"")</f>
        <v>0</v>
      </c>
      <c r="H48" s="28"/>
      <c r="I48" s="30"/>
      <c r="J48" s="28"/>
      <c r="K48" s="32" t="str">
        <f aca="false">IFERROR(IF(A48="","",K47+G48),"")</f>
        <v/>
      </c>
      <c r="L48" s="30"/>
      <c r="M48" s="28"/>
      <c r="N48" s="28"/>
      <c r="O48" s="28"/>
    </row>
    <row r="49" customFormat="false" ht="15" hidden="false" customHeight="false" outlineLevel="0" collapsed="false">
      <c r="A49" s="28"/>
      <c r="B49" s="29"/>
      <c r="C49" s="30"/>
      <c r="D49" s="28"/>
      <c r="E49" s="28"/>
      <c r="F49" s="31"/>
      <c r="G49" s="32" t="n">
        <f aca="false">IFERROR(D49*F49,"")</f>
        <v>0</v>
      </c>
      <c r="H49" s="28"/>
      <c r="I49" s="30"/>
      <c r="J49" s="28"/>
      <c r="K49" s="32" t="str">
        <f aca="false">IFERROR(IF(A49="","",K48+G49),"")</f>
        <v/>
      </c>
      <c r="L49" s="30"/>
      <c r="M49" s="28"/>
      <c r="N49" s="28"/>
      <c r="O49" s="28"/>
    </row>
  </sheetData>
  <autoFilter ref="A8:O49"/>
  <mergeCells count="3">
    <mergeCell ref="A1:L1"/>
    <mergeCell ref="A5:L5"/>
    <mergeCell ref="M7:O7"/>
  </mergeCells>
  <conditionalFormatting sqref="J9:J49">
    <cfRule type="cellIs" priority="2" operator="equal" aboveAverage="0" equalAverage="0" bottom="0" percent="0" rank="0" text="" dxfId="9">
      <formula>"Written Off"</formula>
    </cfRule>
    <cfRule type="cellIs" priority="3" operator="equal" aboveAverage="0" equalAverage="0" bottom="0" percent="0" rank="0" text="" dxfId="10">
      <formula>"Replaced"</formula>
    </cfRule>
    <cfRule type="cellIs" priority="4" operator="equal" aboveAverage="0" equalAverage="0" bottom="0" percent="0" rank="0" text="" dxfId="11">
      <formula>"Salvaged"</formula>
    </cfRule>
    <cfRule type="cellIs" priority="5" operator="equal" aboveAverage="0" equalAverage="0" bottom="0" percent="0" rank="0" text="" dxfId="11">
      <formula>"Back-Charged"</formula>
    </cfRule>
  </conditionalFormatting>
  <conditionalFormatting sqref="G9:G49">
    <cfRule type="expression" priority="6" aboveAverage="0" equalAverage="0" bottom="0" percent="0" rank="0" text="" dxfId="9">
      <formula>AND(G9&lt;&gt;"",G9&gt;500)</formula>
    </cfRule>
  </conditionalFormatting>
  <dataValidations count="2">
    <dataValidation allowBlank="true" errorStyle="stop" operator="between" showDropDown="false" showErrorMessage="false" showInputMessage="false" sqref="H9:H49" type="list">
      <formula1>"Damage,Over-Order,Cutting Waste,Theft/Loss,Weather Damage,Incorrect Spec,Handling Error,Expiry/Shelf Life,Other"</formula1>
      <formula2>0</formula2>
    </dataValidation>
    <dataValidation allowBlank="true" errorStyle="stop" operator="between" showDropDown="false" showErrorMessage="false" showInputMessage="false" sqref="J9:J49" type="list">
      <formula1>"Salvaged,Replaced,Written Off,Back-Charged,Pending"</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&amp;CMaterial Wastage / Damage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3" t="s">
        <v>92</v>
      </c>
    </row>
    <row r="2" customFormat="false" ht="15" hidden="false" customHeight="false" outlineLevel="0" collapsed="false">
      <c r="A2" s="33"/>
    </row>
    <row r="3" customFormat="false" ht="15" hidden="false" customHeight="false" outlineLevel="0" collapsed="false">
      <c r="A3" s="33" t="s">
        <v>93</v>
      </c>
    </row>
    <row r="4" customFormat="false" ht="15" hidden="false" customHeight="false" outlineLevel="0" collapsed="false">
      <c r="A4" s="33"/>
    </row>
    <row r="5" customFormat="false" ht="15" hidden="false" customHeight="false" outlineLevel="0" collapsed="false">
      <c r="A5" s="33" t="s">
        <v>94</v>
      </c>
    </row>
    <row r="6" customFormat="false" ht="15" hidden="false" customHeight="false" outlineLevel="0" collapsed="false">
      <c r="A6" s="33"/>
    </row>
    <row r="7" customFormat="false" ht="15" hidden="false" customHeight="false" outlineLevel="0" collapsed="false">
      <c r="A7" s="33" t="s">
        <v>95</v>
      </c>
    </row>
    <row r="8" customFormat="false" ht="15" hidden="false" customHeight="false" outlineLevel="0" collapsed="false">
      <c r="A8" s="33"/>
    </row>
    <row r="9" customFormat="false" ht="15" hidden="false" customHeight="false" outlineLevel="0" collapsed="false">
      <c r="A9" s="33" t="s">
        <v>96</v>
      </c>
    </row>
    <row r="10" customFormat="false" ht="15" hidden="false" customHeight="false" outlineLevel="0" collapsed="false">
      <c r="A10" s="33"/>
    </row>
    <row r="11" customFormat="false" ht="15" hidden="false" customHeight="false" outlineLevel="0" collapsed="false">
      <c r="A11" s="33" t="s">
        <v>97</v>
      </c>
    </row>
    <row r="12" customFormat="false" ht="15" hidden="false" customHeight="false" outlineLevel="0" collapsed="false">
      <c r="A12" s="33"/>
    </row>
    <row r="13" customFormat="false" ht="15" hidden="false" customHeight="false" outlineLevel="0" collapsed="false">
      <c r="A13" s="33" t="s">
        <v>98</v>
      </c>
    </row>
    <row r="14" customFormat="false" ht="15" hidden="false" customHeight="false" outlineLevel="0" collapsed="false">
      <c r="A14" s="33"/>
    </row>
    <row r="15" customFormat="false" ht="15" hidden="false" customHeight="false" outlineLevel="0" collapsed="false">
      <c r="A15" s="33" t="s">
        <v>99</v>
      </c>
    </row>
    <row r="16" customFormat="false" ht="15" hidden="false" customHeight="false" outlineLevel="0" collapsed="false">
      <c r="A16" s="33"/>
    </row>
    <row r="17" customFormat="false" ht="15" hidden="false" customHeight="false" outlineLevel="0" collapsed="false">
      <c r="A17" s="33"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Logistics, Plant &amp; Procurement</cp:category>
  <dcterms:created xsi:type="dcterms:W3CDTF">2026-03-23T17:28:56Z</dcterms:created>
  <dc:creator>Ebrora Ltd</dc:creator>
  <dc:description>Log material wastage and damage events with cost quantification, cause analysis, and responsibility assignment to reduce project waste.
Free professional construction management template from Ebrora Ltd. Visit ebrora.com for our full range of tools and templates.</dc:description>
  <cp:keywords>Ebrora construction logistics wastage damage materials cost waste management</cp:keywords>
  <dc:language>en-US</dc:language>
  <cp:lastModifiedBy>Ebrora Ltd</cp:lastModifiedBy>
  <dcterms:modified xsi:type="dcterms:W3CDTF">2026-03-23T17:28:56Z</dcterms:modified>
  <cp:revision>0</cp:revision>
  <dc:subject>Log material wastage and damage events with cost quantification, cause analysis, and responsibility assignment.</dc:subject>
  <dc:title>Material Wastage / Damage Log</dc:title>
</cp:coreProperties>
</file>

<file path=docProps/custom.xml><?xml version="1.0" encoding="utf-8"?>
<Properties xmlns="http://schemas.openxmlformats.org/officeDocument/2006/custom-properties" xmlns:vt="http://schemas.openxmlformats.org/officeDocument/2006/docPropsVTypes"/>
</file>