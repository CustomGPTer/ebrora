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RFI Log"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Instructions!$A$1:$F$26</definedName>
    <definedName function="false" hidden="false" localSheetId="2" name="_xlnm.Print_Area" vbProcedure="false">'RFI Log'!$A$1:$H$60</definedName>
    <definedName function="false" hidden="true" localSheetId="2" name="_xlnm._FilterDatabase" vbProcedure="false">'RFI Log'!$A$9:$N$60</definedName>
    <definedName function="false" hidden="false" name="DataTable" vbProcedure="false">'RFI Log'!$A$9:$N$60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<sst xmlns="http://schemas.openxmlformats.org/spreadsheetml/2006/main" count="118" uniqueCount="108">
  <si>
    <t xml:space="preserve">EBRORA</t>
  </si>
  <si>
    <t xml:space="preserve">ebrora.com</t>
  </si>
  <si>
    <t xml:space="preserve">RFI Log</t>
  </si>
  <si>
    <t xml:space="preserve">Track all Requests for Information from submission to response,</t>
  </si>
  <si>
    <t xml:space="preserve">with built-in response time monitoring and overdue alerts.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</si>
  <si>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</si>
  <si>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</si>
  <si>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</si>
  <si>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</si>
  <si>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</si>
  <si>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</si>
  <si>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'RFI Log' sheet. The top band (rows 1–7) shows live KPIs: total RFIs, open count, overdue count, and average response time in days.</t>
  </si>
  <si>
    <t xml:space="preserve">2.</t>
  </si>
  <si>
    <t xml:space="preserve">Enter each new RFI on a fresh row in the register (starting row 10). Fill in the light teal cells — RFI Ref, Date Raised, Subject, Raised By, Addressed To, Priority, and Status.</t>
  </si>
  <si>
    <t xml:space="preserve">3.</t>
  </si>
  <si>
    <t xml:space="preserve">Set the Date Response Required — this is the contractual or agreed deadline for a response. The template will automatically flag overdue items.</t>
  </si>
  <si>
    <t xml:space="preserve">4.</t>
  </si>
  <si>
    <t xml:space="preserve">When a response is received, enter the Date Response Received. The Days to Respond column calculates automatically.</t>
  </si>
  <si>
    <t xml:space="preserve">5.</t>
  </si>
  <si>
    <t xml:space="preserve">Update the Status dropdown as the RFI progresses: Open → Responded → Closed. Mark as Void if withdrawn.</t>
  </si>
  <si>
    <t xml:space="preserve">Optional Fields</t>
  </si>
  <si>
    <t xml:space="preserve">6.</t>
  </si>
  <si>
    <t xml:space="preserve">Click the [+] button above the right-hand columns to expand optional fields: Discipline, Drawing/Doc Ref, Response Summary, Impact on Programme, Impact on Cost, and Linked VO Ref.</t>
  </si>
  <si>
    <t xml:space="preserve">7.</t>
  </si>
  <si>
    <t xml:space="preserve">Use these for detailed tracking and cross-referencing with your variation order register.</t>
  </si>
  <si>
    <t xml:space="preserve">Colour Key</t>
  </si>
  <si>
    <t xml:space="preserve">Light teal cells (#E8F6F7) — User input. Enter your data here.</t>
  </si>
  <si>
    <t xml:space="preserve">Dark navy headers — Do not edit. Column headers and KPI labels.</t>
  </si>
  <si>
    <t xml:space="preserve">Green — Priority 'Low', or Status 'Closed'.</t>
  </si>
  <si>
    <t xml:space="preserve">Amber — Priority 'Medium', or Status 'Responded' (awaiting close-out).</t>
  </si>
  <si>
    <t xml:space="preserve">Red — Priority 'High', Status 'Overdue', or Date Response Required has passed with no response.</t>
  </si>
  <si>
    <t xml:space="preserve">Blue — Status is 'Open' (awaiting response).</t>
  </si>
  <si>
    <t xml:space="preserve">Tips</t>
  </si>
  <si>
    <t xml:space="preserve">Tip 1:</t>
  </si>
  <si>
    <t xml:space="preserve">Review the RFI Log weekly. Filter by Status = 'Open' and sort by Date Response Required to prioritise chasing.</t>
  </si>
  <si>
    <t xml:space="preserve">Tip 2:</t>
  </si>
  <si>
    <t xml:space="preserve">Always record the RFI even if you get a verbal response — log it, then follow up in writing. The log is your audit trail.</t>
  </si>
  <si>
    <t xml:space="preserve">Tip 3:</t>
  </si>
  <si>
    <t xml:space="preserve">Use the Linked VO Ref optional field to connect RFIs that result in variations. This makes final account reconciliation much easier.</t>
  </si>
  <si>
    <t xml:space="preserve">RFI LOG — PERFORMANCE TRACKER</t>
  </si>
  <si>
    <t xml:space="preserve">Total RFIs</t>
  </si>
  <si>
    <t xml:space="preserve">Open</t>
  </si>
  <si>
    <t xml:space="preserve">Overdue</t>
  </si>
  <si>
    <t xml:space="preserve">Avg Response (Days)</t>
  </si>
  <si>
    <t xml:space="preserve">Responded</t>
  </si>
  <si>
    <t xml:space="preserve">Closed</t>
  </si>
  <si>
    <t xml:space="preserve">Void</t>
  </si>
  <si>
    <t xml:space="preserve">▸ Optional Fields — Click [+] to expand</t>
  </si>
  <si>
    <t xml:space="preserve">RFI Ref</t>
  </si>
  <si>
    <t xml:space="preserve">Date Raised</t>
  </si>
  <si>
    <t xml:space="preserve">Subject</t>
  </si>
  <si>
    <t xml:space="preserve">Raised By</t>
  </si>
  <si>
    <t xml:space="preserve">Addressed To</t>
  </si>
  <si>
    <t xml:space="preserve">Priority</t>
  </si>
  <si>
    <t xml:space="preserve">Status</t>
  </si>
  <si>
    <t xml:space="preserve">Notes</t>
  </si>
  <si>
    <t xml:space="preserve">Discipline</t>
  </si>
  <si>
    <t xml:space="preserve">Date Response
Required</t>
  </si>
  <si>
    <t xml:space="preserve">Date Response
Received</t>
  </si>
  <si>
    <t xml:space="preserve">Days to
Respond</t>
  </si>
  <si>
    <t xml:space="preserve">Drawing /
Doc Ref</t>
  </si>
  <si>
    <t xml:space="preserve">Linked
VO Ref</t>
  </si>
  <si>
    <t xml:space="preserve">RFI-001</t>
  </si>
  <si>
    <t xml:space="preserve">Confirmation of structural steel connection detail at Grid J7-K8</t>
  </si>
  <si>
    <t xml:space="preserve">Site Engineer</t>
  </si>
  <si>
    <t xml:space="preserve">Structural Designer</t>
  </si>
  <si>
    <t xml:space="preserve">High</t>
  </si>
  <si>
    <t xml:space="preserve">Response confirmed bolted connection per Rev P3</t>
  </si>
  <si>
    <t xml:space="preserve">Structural</t>
  </si>
  <si>
    <t xml:space="preserve">SK-2045-Rev-P3</t>
  </si>
  <si>
    <t xml:space="preserve">RFI-002</t>
  </si>
  <si>
    <t xml:space="preserve">Clarification on finished floor level tolerance for raised access flooring</t>
  </si>
  <si>
    <t xml:space="preserve">M&amp;E Coordinator</t>
  </si>
  <si>
    <t xml:space="preserve">Architect</t>
  </si>
  <si>
    <t xml:space="preserve">Medium</t>
  </si>
  <si>
    <t xml:space="preserve">±5mm confirmed per spec clause 3.4.2</t>
  </si>
  <si>
    <t xml:space="preserve">Architectural</t>
  </si>
  <si>
    <t xml:space="preserve">DRG-A-201</t>
  </si>
  <si>
    <t xml:space="preserve">RFI-003</t>
  </si>
  <si>
    <t xml:space="preserve">Drainage invert levels conflict between civil and structural drawings</t>
  </si>
  <si>
    <t xml:space="preserve">Setting Out Engineer</t>
  </si>
  <si>
    <t xml:space="preserve">Civil Designer</t>
  </si>
  <si>
    <t xml:space="preserve">Revised levels issued — awaiting updated drawing</t>
  </si>
  <si>
    <t xml:space="preserve">Civil</t>
  </si>
  <si>
    <t xml:space="preserve">DRG-C-410</t>
  </si>
  <si>
    <t xml:space="preserve">VO-003</t>
  </si>
  <si>
    <t xml:space="preserve">RFI-004</t>
  </si>
  <si>
    <t xml:space="preserve">Specification for fire stopping material to service penetrations in risers</t>
  </si>
  <si>
    <t xml:space="preserve">Fire Stopping Sub</t>
  </si>
  <si>
    <t xml:space="preserve">Fire Engineer</t>
  </si>
  <si>
    <t xml:space="preserve">Chased 15/12, 22/12, 05/01</t>
  </si>
  <si>
    <t xml:space="preserve">Fire</t>
  </si>
  <si>
    <t xml:space="preserve">SPEC-FS-001</t>
  </si>
  <si>
    <t xml:space="preserve">VO-004</t>
  </si>
  <si>
    <t xml:space="preserve">RFI-005</t>
  </si>
  <si>
    <t xml:space="preserve">Confirmation of external paint colour RAL reference for cladding panels</t>
  </si>
  <si>
    <t xml:space="preserve">Site Manager</t>
  </si>
  <si>
    <t xml:space="preserve">Low</t>
  </si>
  <si>
    <t xml:space="preserve">DRG-A-305</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</si>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</sst>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dd/mm/yyyy"/>
    <numFmt numFmtId="167" formatCode="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2"/>
      <color rgb="FF1B2A4A"/>
      <name val="Calibri"/>
      <family val="0"/>
      <charset val="1"/>
    </font>
    <font>
      <i val="true"/>
      <sz val="9"/>
      <color rgb="FF2AABB3"/>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BDD7EE"/>
        <bgColor rgb="FFC6EFCE"/>
      </patternFill>
    </fill>
    <fill>
      <patternFill patternType="solid">
        <fgColor rgb="FFFFEB9C"/>
        <bgColor rgb="FFF2F2F2"/>
      </patternFill>
    </fill>
    <fill>
      <patternFill patternType="solid">
        <fgColor rgb="FFC6EFCE"/>
        <bgColor rgb="FFCCFFFF"/>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right/>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5" fontId="15" fillId="3"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4" fontId="12" fillId="8"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14" fillId="2"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center" vertical="center" textRotation="0" wrapText="true" indent="0" shrinkToFit="false"/>
      <protection locked="true" hidden="false"/>
    </xf>
    <xf numFmtId="166" fontId="13" fillId="4"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left" vertical="center" textRotation="0" wrapText="true" indent="0" shrinkToFit="false"/>
      <protection locked="true" hidden="false"/>
    </xf>
    <xf numFmtId="167" fontId="13" fillId="3" borderId="3"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BDD7EE"/>
          <bgColor rgb="FF000000"/>
        </patternFill>
      </fill>
    </dxf>
    <dxf>
      <fill>
        <patternFill>
          <bgColor rgb="FFFFC7CE"/>
        </patternFill>
      </fill>
    </dxf>
    <dxf>
      <fill>
        <patternFill>
          <bgColor rgb="FFFFEB9C"/>
        </patternFill>
      </fill>
    </dxf>
    <dxf>
      <fill>
        <patternFill>
          <bgColor rgb="FFC6EFCE"/>
        </patternFill>
      </fill>
    </dxf>
    <dxf>
      <fill>
        <patternFill>
          <bgColor rgb="FFBDD7EE"/>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8"/>
  </cols>
  <sheetData>
    <row r="1" customFormat="false" ht="18.65" hidden="false" customHeight="true" outlineLevel="0" collapsed="false">
      <c r="A1" s="10" t="s">
        <v>8</v>
      </c>
      <c r="B1" s="10"/>
      <c r="C1" s="10"/>
      <c r="D1" s="10"/>
      <c r="E1" s="10"/>
      <c r="F1" s="10"/>
    </row>
    <row r="3" customFormat="false" ht="15" hidden="false" customHeight="true" outlineLevel="0" collapsed="false">
      <c r="A3" s="11" t="s">
        <v>9</v>
      </c>
      <c r="B3" s="11"/>
      <c r="C3" s="11"/>
      <c r="D3" s="11"/>
      <c r="E3" s="11"/>
      <c r="F3" s="11"/>
    </row>
    <row r="4" customFormat="false" ht="23.85" hidden="false" customHeight="true" outlineLevel="0" collapsed="false">
      <c r="A4" s="12" t="s">
        <v>10</v>
      </c>
      <c r="B4" s="13" t="s">
        <v>11</v>
      </c>
      <c r="C4" s="13"/>
      <c r="D4" s="13"/>
      <c r="E4" s="13"/>
      <c r="F4" s="13"/>
    </row>
    <row r="5" customFormat="false" ht="23.85" hidden="false" customHeight="true" outlineLevel="0" collapsed="false">
      <c r="A5" s="12" t="s">
        <v>12</v>
      </c>
      <c r="B5" s="13" t="s">
        <v>13</v>
      </c>
      <c r="C5" s="13"/>
      <c r="D5" s="13"/>
      <c r="E5" s="13"/>
      <c r="F5" s="13"/>
    </row>
    <row r="6" customFormat="false" ht="23.85" hidden="false" customHeight="true" outlineLevel="0" collapsed="false">
      <c r="A6" s="12" t="s">
        <v>14</v>
      </c>
      <c r="B6" s="13" t="s">
        <v>15</v>
      </c>
      <c r="C6" s="13"/>
      <c r="D6" s="13"/>
      <c r="E6" s="13"/>
      <c r="F6" s="13"/>
    </row>
    <row r="7" customFormat="false" ht="15" hidden="false" customHeight="true" outlineLevel="0" collapsed="false">
      <c r="A7" s="12" t="s">
        <v>16</v>
      </c>
      <c r="B7" s="13" t="s">
        <v>17</v>
      </c>
      <c r="C7" s="13"/>
      <c r="D7" s="13"/>
      <c r="E7" s="13"/>
      <c r="F7" s="13"/>
    </row>
    <row r="8" customFormat="false" ht="15" hidden="false" customHeight="true" outlineLevel="0" collapsed="false">
      <c r="A8" s="12" t="s">
        <v>18</v>
      </c>
      <c r="B8" s="13" t="s">
        <v>19</v>
      </c>
      <c r="C8" s="13"/>
      <c r="D8" s="13"/>
      <c r="E8" s="13"/>
      <c r="F8" s="13"/>
    </row>
    <row r="10" customFormat="false" ht="15" hidden="false" customHeight="true" outlineLevel="0" collapsed="false">
      <c r="A10" s="11" t="s">
        <v>20</v>
      </c>
      <c r="B10" s="11"/>
      <c r="C10" s="11"/>
      <c r="D10" s="11"/>
      <c r="E10" s="11"/>
      <c r="F10" s="11"/>
    </row>
    <row r="11" customFormat="false" ht="23.85" hidden="false" customHeight="true" outlineLevel="0" collapsed="false">
      <c r="A11" s="12" t="s">
        <v>21</v>
      </c>
      <c r="B11" s="13" t="s">
        <v>22</v>
      </c>
      <c r="C11" s="13"/>
      <c r="D11" s="13"/>
      <c r="E11" s="13"/>
      <c r="F11" s="13"/>
    </row>
    <row r="12" customFormat="false" ht="15" hidden="false" customHeight="true" outlineLevel="0" collapsed="false">
      <c r="A12" s="12" t="s">
        <v>23</v>
      </c>
      <c r="B12" s="13" t="s">
        <v>24</v>
      </c>
      <c r="C12" s="13"/>
      <c r="D12" s="13"/>
      <c r="E12" s="13"/>
      <c r="F12" s="13"/>
    </row>
    <row r="14" customFormat="false" ht="15" hidden="false" customHeight="true" outlineLevel="0" collapsed="false">
      <c r="A14" s="11" t="s">
        <v>25</v>
      </c>
      <c r="B14" s="11"/>
      <c r="C14" s="11"/>
      <c r="D14" s="11"/>
      <c r="E14" s="11"/>
      <c r="F14" s="11"/>
    </row>
    <row r="15" customFormat="false" ht="15" hidden="false" customHeight="true" outlineLevel="0" collapsed="false">
      <c r="A15" s="14" t="s">
        <v>26</v>
      </c>
      <c r="B15" s="14"/>
      <c r="C15" s="14"/>
      <c r="D15" s="14"/>
      <c r="E15" s="14"/>
      <c r="F15" s="14"/>
    </row>
    <row r="16" customFormat="false" ht="15" hidden="false" customHeight="true" outlineLevel="0" collapsed="false">
      <c r="A16" s="14" t="s">
        <v>27</v>
      </c>
      <c r="B16" s="14"/>
      <c r="C16" s="14"/>
      <c r="D16" s="14"/>
      <c r="E16" s="14"/>
      <c r="F16" s="14"/>
    </row>
    <row r="17" customFormat="false" ht="15" hidden="false" customHeight="true" outlineLevel="0" collapsed="false">
      <c r="A17" s="14" t="s">
        <v>28</v>
      </c>
      <c r="B17" s="14"/>
      <c r="C17" s="14"/>
      <c r="D17" s="14"/>
      <c r="E17" s="14"/>
      <c r="F17" s="14"/>
    </row>
    <row r="18" customFormat="false" ht="15" hidden="false" customHeight="true" outlineLevel="0" collapsed="false">
      <c r="A18" s="14" t="s">
        <v>29</v>
      </c>
      <c r="B18" s="14"/>
      <c r="C18" s="14"/>
      <c r="D18" s="14"/>
      <c r="E18" s="14"/>
      <c r="F18" s="14"/>
    </row>
    <row r="19" customFormat="false" ht="15" hidden="false" customHeight="true" outlineLevel="0" collapsed="false">
      <c r="A19" s="14" t="s">
        <v>30</v>
      </c>
      <c r="B19" s="14"/>
      <c r="C19" s="14"/>
      <c r="D19" s="14"/>
      <c r="E19" s="14"/>
      <c r="F19" s="14"/>
    </row>
    <row r="20" customFormat="false" ht="15" hidden="false" customHeight="true" outlineLevel="0" collapsed="false">
      <c r="A20" s="14" t="s">
        <v>31</v>
      </c>
      <c r="B20" s="14"/>
      <c r="C20" s="14"/>
      <c r="D20" s="14"/>
      <c r="E20" s="14"/>
      <c r="F20" s="14"/>
    </row>
    <row r="22" customFormat="false" ht="15" hidden="false" customHeight="true" outlineLevel="0" collapsed="false">
      <c r="A22" s="11" t="s">
        <v>32</v>
      </c>
      <c r="B22" s="11"/>
      <c r="C22" s="11"/>
      <c r="D22" s="11"/>
      <c r="E22" s="11"/>
      <c r="F22" s="11"/>
    </row>
    <row r="23" customFormat="false" ht="15" hidden="false" customHeight="true" outlineLevel="0" collapsed="false">
      <c r="A23" s="12" t="s">
        <v>33</v>
      </c>
      <c r="B23" s="13" t="s">
        <v>34</v>
      </c>
      <c r="C23" s="13"/>
      <c r="D23" s="13"/>
      <c r="E23" s="13"/>
      <c r="F23" s="13"/>
    </row>
    <row r="24" customFormat="false" ht="15" hidden="false" customHeight="true" outlineLevel="0" collapsed="false">
      <c r="A24" s="12" t="s">
        <v>35</v>
      </c>
      <c r="B24" s="13" t="s">
        <v>36</v>
      </c>
      <c r="C24" s="13"/>
      <c r="D24" s="13"/>
      <c r="E24" s="13"/>
      <c r="F24" s="13"/>
    </row>
    <row r="25" customFormat="false" ht="23.85" hidden="false" customHeight="true" outlineLevel="0" collapsed="false">
      <c r="A25" s="12" t="s">
        <v>37</v>
      </c>
      <c r="B25" s="13" t="s">
        <v>38</v>
      </c>
      <c r="C25" s="13"/>
      <c r="D25" s="13"/>
      <c r="E25" s="13"/>
      <c r="F25" s="13"/>
    </row>
  </sheetData>
  <mergeCells count="21">
    <mergeCell ref="A1:F1"/>
    <mergeCell ref="A3:F3"/>
    <mergeCell ref="B4:F4"/>
    <mergeCell ref="B5:F5"/>
    <mergeCell ref="B6:F6"/>
    <mergeCell ref="B7:F7"/>
    <mergeCell ref="B8:F8"/>
    <mergeCell ref="A10:F10"/>
    <mergeCell ref="B11:F11"/>
    <mergeCell ref="B12:F12"/>
    <mergeCell ref="A14:F14"/>
    <mergeCell ref="A15:F15"/>
    <mergeCell ref="A16:F16"/>
    <mergeCell ref="A17:F17"/>
    <mergeCell ref="A18:F18"/>
    <mergeCell ref="A19:F19"/>
    <mergeCell ref="A20:F20"/>
    <mergeCell ref="A22:F22"/>
    <mergeCell ref="B23:F23"/>
    <mergeCell ref="B24:F24"/>
    <mergeCell ref="B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3"/>
    <col collapsed="false" customWidth="true" hidden="false" outlineLevel="0" max="3" min="3" style="0" width="40"/>
    <col collapsed="false" customWidth="true" hidden="false" outlineLevel="0" max="5" min="4" style="0" width="16"/>
    <col collapsed="false" customWidth="true" hidden="false" outlineLevel="0" max="6" min="6" style="0" width="12"/>
    <col collapsed="false" customWidth="true" hidden="false" outlineLevel="0" max="7" min="7" style="0" width="14"/>
    <col collapsed="false" customWidth="true" hidden="false" outlineLevel="0" max="8" min="8" style="0" width="35"/>
    <col collapsed="false" customWidth="true" hidden="true" outlineLevel="1" max="14" min="9" style="0" width="15"/>
  </cols>
  <sheetData>
    <row r="1" customFormat="false" ht="15" hidden="false" customHeight="true" outlineLevel="0" collapsed="false">
      <c r="A1" s="15" t="s">
        <v>39</v>
      </c>
      <c r="B1" s="15"/>
      <c r="C1" s="15"/>
      <c r="D1" s="15"/>
      <c r="E1" s="15"/>
      <c r="F1" s="15"/>
      <c r="G1" s="15"/>
      <c r="H1" s="15"/>
      <c r="I1" s="15"/>
      <c r="J1" s="15"/>
      <c r="K1" s="15"/>
      <c r="L1" s="15"/>
      <c r="M1" s="15"/>
      <c r="N1" s="15"/>
    </row>
    <row r="3" customFormat="false" ht="15" hidden="false" customHeight="true" outlineLevel="0" collapsed="false">
      <c r="A3" s="16" t="s">
        <v>40</v>
      </c>
      <c r="B3" s="16"/>
      <c r="C3" s="16" t="s">
        <v>41</v>
      </c>
      <c r="D3" s="16"/>
      <c r="E3" s="16" t="s">
        <v>42</v>
      </c>
      <c r="F3" s="16"/>
      <c r="G3" s="16" t="s">
        <v>43</v>
      </c>
      <c r="H3" s="16"/>
    </row>
    <row r="4" customFormat="false" ht="15" hidden="false" customHeight="false" outlineLevel="0" collapsed="false">
      <c r="A4" s="17" t="n">
        <f aca="false">COUNTA(A10:A60)</f>
        <v>5</v>
      </c>
      <c r="B4" s="17"/>
      <c r="C4" s="17" t="n">
        <f aca="false">COUNTIF(G10:G60,"Open")</f>
        <v>2</v>
      </c>
      <c r="D4" s="17"/>
      <c r="E4" s="17" t="n">
        <f aca="true">COUNTIFS(G10:G60,"Open",H10:H60,"&lt;"&amp;TODAY())</f>
        <v>0</v>
      </c>
      <c r="F4" s="17"/>
      <c r="G4" s="17" t="n">
        <f aca="false">IFERROR(AVERAGEIFS(L10:L60,L10:L60,"&gt;0"),"—")</f>
        <v>9</v>
      </c>
      <c r="H4" s="17"/>
    </row>
    <row r="6" customFormat="false" ht="15" hidden="false" customHeight="true" outlineLevel="0" collapsed="false">
      <c r="A6" s="18" t="s">
        <v>41</v>
      </c>
      <c r="B6" s="18"/>
      <c r="C6" s="19" t="s">
        <v>44</v>
      </c>
      <c r="D6" s="19"/>
      <c r="E6" s="20" t="s">
        <v>45</v>
      </c>
      <c r="F6" s="20"/>
      <c r="G6" s="16" t="s">
        <v>46</v>
      </c>
      <c r="H6" s="16"/>
    </row>
    <row r="7" customFormat="false" ht="15" hidden="false" customHeight="false" outlineLevel="0" collapsed="false">
      <c r="A7" s="17" t="n">
        <f aca="false">COUNTIF(G10:G60,"Open")</f>
        <v>2</v>
      </c>
      <c r="B7" s="17"/>
      <c r="C7" s="17" t="n">
        <f aca="false">COUNTIF(G10:G60,"Responded")</f>
        <v>1</v>
      </c>
      <c r="D7" s="17"/>
      <c r="E7" s="17" t="n">
        <f aca="false">COUNTIF(G10:G60,"Closed")</f>
        <v>2</v>
      </c>
      <c r="F7" s="17"/>
      <c r="G7" s="17" t="n">
        <f aca="false">COUNTIF(G10:G60,"Void")</f>
        <v>0</v>
      </c>
      <c r="H7" s="17"/>
    </row>
    <row r="8" customFormat="false" ht="22.35" hidden="false" customHeight="true" outlineLevel="0" collapsed="false">
      <c r="A8" s="21"/>
      <c r="B8" s="21"/>
      <c r="C8" s="21"/>
      <c r="D8" s="21"/>
      <c r="E8" s="21"/>
      <c r="F8" s="21"/>
      <c r="G8" s="21"/>
      <c r="H8" s="21"/>
      <c r="I8" s="22" t="s">
        <v>47</v>
      </c>
      <c r="J8" s="22"/>
      <c r="K8" s="22"/>
      <c r="L8" s="22"/>
      <c r="M8" s="22"/>
      <c r="N8" s="22"/>
    </row>
    <row r="9" customFormat="false" ht="41.75" hidden="false" customHeight="false" outlineLevel="0" collapsed="false">
      <c r="A9" s="23" t="s">
        <v>48</v>
      </c>
      <c r="B9" s="23" t="s">
        <v>49</v>
      </c>
      <c r="C9" s="23" t="s">
        <v>50</v>
      </c>
      <c r="D9" s="23" t="s">
        <v>51</v>
      </c>
      <c r="E9" s="23" t="s">
        <v>52</v>
      </c>
      <c r="F9" s="23" t="s">
        <v>53</v>
      </c>
      <c r="G9" s="23" t="s">
        <v>54</v>
      </c>
      <c r="H9" s="23" t="s">
        <v>55</v>
      </c>
      <c r="I9" s="23" t="s">
        <v>56</v>
      </c>
      <c r="J9" s="23" t="s">
        <v>57</v>
      </c>
      <c r="K9" s="23" t="s">
        <v>58</v>
      </c>
      <c r="L9" s="23" t="s">
        <v>59</v>
      </c>
      <c r="M9" s="23" t="s">
        <v>60</v>
      </c>
      <c r="N9" s="23" t="s">
        <v>61</v>
      </c>
    </row>
    <row r="10" customFormat="false" ht="23.85" hidden="false" customHeight="false" outlineLevel="0" collapsed="false">
      <c r="A10" s="24" t="s">
        <v>62</v>
      </c>
      <c r="B10" s="25" t="n">
        <v>45874</v>
      </c>
      <c r="C10" s="26" t="s">
        <v>63</v>
      </c>
      <c r="D10" s="24" t="s">
        <v>64</v>
      </c>
      <c r="E10" s="24" t="s">
        <v>65</v>
      </c>
      <c r="F10" s="24" t="s">
        <v>66</v>
      </c>
      <c r="G10" s="24" t="s">
        <v>45</v>
      </c>
      <c r="H10" s="26" t="s">
        <v>67</v>
      </c>
      <c r="I10" s="24" t="s">
        <v>68</v>
      </c>
      <c r="J10" s="25" t="n">
        <v>45881</v>
      </c>
      <c r="K10" s="25" t="n">
        <v>45880</v>
      </c>
      <c r="L10" s="27" t="n">
        <f aca="false">IF(AND(B10&lt;&gt;"",K10&lt;&gt;""),K10-B10,"")</f>
        <v>6</v>
      </c>
      <c r="M10" s="24" t="s">
        <v>69</v>
      </c>
      <c r="N10" s="24"/>
    </row>
    <row r="11" customFormat="false" ht="23.85" hidden="false" customHeight="false" outlineLevel="0" collapsed="false">
      <c r="A11" s="24" t="s">
        <v>70</v>
      </c>
      <c r="B11" s="25" t="n">
        <v>45918</v>
      </c>
      <c r="C11" s="26" t="s">
        <v>71</v>
      </c>
      <c r="D11" s="24" t="s">
        <v>72</v>
      </c>
      <c r="E11" s="24" t="s">
        <v>73</v>
      </c>
      <c r="F11" s="24" t="s">
        <v>74</v>
      </c>
      <c r="G11" s="24" t="s">
        <v>45</v>
      </c>
      <c r="H11" s="26" t="s">
        <v>75</v>
      </c>
      <c r="I11" s="24" t="s">
        <v>76</v>
      </c>
      <c r="J11" s="25" t="n">
        <v>45925</v>
      </c>
      <c r="K11" s="25" t="n">
        <v>45927</v>
      </c>
      <c r="L11" s="27" t="n">
        <f aca="false">IF(AND(B11&lt;&gt;"",K11&lt;&gt;""),K11-B11,"")</f>
        <v>9</v>
      </c>
      <c r="M11" s="24" t="s">
        <v>77</v>
      </c>
      <c r="N11" s="24"/>
    </row>
    <row r="12" customFormat="false" ht="23.85" hidden="false" customHeight="false" outlineLevel="0" collapsed="false">
      <c r="A12" s="24" t="s">
        <v>78</v>
      </c>
      <c r="B12" s="25" t="n">
        <v>45963</v>
      </c>
      <c r="C12" s="26" t="s">
        <v>79</v>
      </c>
      <c r="D12" s="24" t="s">
        <v>80</v>
      </c>
      <c r="E12" s="24" t="s">
        <v>81</v>
      </c>
      <c r="F12" s="24" t="s">
        <v>66</v>
      </c>
      <c r="G12" s="24" t="s">
        <v>44</v>
      </c>
      <c r="H12" s="26" t="s">
        <v>82</v>
      </c>
      <c r="I12" s="24" t="s">
        <v>83</v>
      </c>
      <c r="J12" s="25" t="n">
        <v>45970</v>
      </c>
      <c r="K12" s="25" t="n">
        <v>45975</v>
      </c>
      <c r="L12" s="27" t="n">
        <f aca="false">IF(AND(B12&lt;&gt;"",K12&lt;&gt;""),K12-B12,"")</f>
        <v>12</v>
      </c>
      <c r="M12" s="24" t="s">
        <v>84</v>
      </c>
      <c r="N12" s="24" t="s">
        <v>85</v>
      </c>
    </row>
    <row r="13" customFormat="false" ht="23.85" hidden="false" customHeight="false" outlineLevel="0" collapsed="false">
      <c r="A13" s="24" t="s">
        <v>86</v>
      </c>
      <c r="B13" s="25" t="n">
        <v>46001</v>
      </c>
      <c r="C13" s="26" t="s">
        <v>87</v>
      </c>
      <c r="D13" s="24" t="s">
        <v>88</v>
      </c>
      <c r="E13" s="24" t="s">
        <v>89</v>
      </c>
      <c r="F13" s="24" t="s">
        <v>66</v>
      </c>
      <c r="G13" s="24" t="s">
        <v>41</v>
      </c>
      <c r="H13" s="26" t="s">
        <v>90</v>
      </c>
      <c r="I13" s="24" t="s">
        <v>91</v>
      </c>
      <c r="J13" s="25" t="n">
        <v>46008</v>
      </c>
      <c r="K13" s="25"/>
      <c r="L13" s="27" t="str">
        <f aca="false">IF(AND(B13&lt;&gt;"",K13&lt;&gt;""),K13-B13,"")</f>
        <v/>
      </c>
      <c r="M13" s="24" t="s">
        <v>92</v>
      </c>
      <c r="N13" s="24" t="s">
        <v>93</v>
      </c>
    </row>
    <row r="14" customFormat="false" ht="23.85" hidden="false" customHeight="false" outlineLevel="0" collapsed="false">
      <c r="A14" s="24" t="s">
        <v>94</v>
      </c>
      <c r="B14" s="25" t="n">
        <v>46030</v>
      </c>
      <c r="C14" s="26" t="s">
        <v>95</v>
      </c>
      <c r="D14" s="24" t="s">
        <v>96</v>
      </c>
      <c r="E14" s="24" t="s">
        <v>73</v>
      </c>
      <c r="F14" s="24" t="s">
        <v>97</v>
      </c>
      <c r="G14" s="24" t="s">
        <v>41</v>
      </c>
      <c r="H14" s="26"/>
      <c r="I14" s="24" t="s">
        <v>76</v>
      </c>
      <c r="J14" s="25" t="n">
        <v>46044</v>
      </c>
      <c r="K14" s="25"/>
      <c r="L14" s="27" t="str">
        <f aca="false">IF(AND(B14&lt;&gt;"",K14&lt;&gt;""),K14-B14,"")</f>
        <v/>
      </c>
      <c r="M14" s="24" t="s">
        <v>98</v>
      </c>
      <c r="N14" s="24"/>
    </row>
    <row r="15" customFormat="false" ht="15" hidden="false" customHeight="false" outlineLevel="0" collapsed="false">
      <c r="A15" s="24"/>
      <c r="B15" s="25"/>
      <c r="C15" s="26"/>
      <c r="D15" s="24"/>
      <c r="E15" s="24"/>
      <c r="F15" s="24"/>
      <c r="G15" s="24"/>
      <c r="H15" s="26"/>
      <c r="I15" s="24"/>
      <c r="J15" s="25"/>
      <c r="K15" s="25"/>
      <c r="L15" s="27" t="str">
        <f aca="false">IF(AND(B15&lt;&gt;"",K15&lt;&gt;""),K15-B15,"")</f>
        <v/>
      </c>
      <c r="M15" s="24"/>
      <c r="N15" s="24"/>
    </row>
    <row r="16" customFormat="false" ht="15" hidden="false" customHeight="false" outlineLevel="0" collapsed="false">
      <c r="A16" s="24"/>
      <c r="B16" s="25"/>
      <c r="C16" s="26"/>
      <c r="D16" s="24"/>
      <c r="E16" s="24"/>
      <c r="F16" s="24"/>
      <c r="G16" s="24"/>
      <c r="H16" s="26"/>
      <c r="I16" s="24"/>
      <c r="J16" s="25"/>
      <c r="K16" s="25"/>
      <c r="L16" s="27" t="str">
        <f aca="false">IF(AND(B16&lt;&gt;"",K16&lt;&gt;""),K16-B16,"")</f>
        <v/>
      </c>
      <c r="M16" s="24"/>
      <c r="N16" s="24"/>
    </row>
    <row r="17" customFormat="false" ht="15" hidden="false" customHeight="false" outlineLevel="0" collapsed="false">
      <c r="A17" s="24"/>
      <c r="B17" s="25"/>
      <c r="C17" s="26"/>
      <c r="D17" s="24"/>
      <c r="E17" s="24"/>
      <c r="F17" s="24"/>
      <c r="G17" s="24"/>
      <c r="H17" s="26"/>
      <c r="I17" s="24"/>
      <c r="J17" s="25"/>
      <c r="K17" s="25"/>
      <c r="L17" s="27" t="str">
        <f aca="false">IF(AND(B17&lt;&gt;"",K17&lt;&gt;""),K17-B17,"")</f>
        <v/>
      </c>
      <c r="M17" s="24"/>
      <c r="N17" s="24"/>
    </row>
    <row r="18" customFormat="false" ht="15" hidden="false" customHeight="false" outlineLevel="0" collapsed="false">
      <c r="A18" s="24"/>
      <c r="B18" s="25"/>
      <c r="C18" s="26"/>
      <c r="D18" s="24"/>
      <c r="E18" s="24"/>
      <c r="F18" s="24"/>
      <c r="G18" s="24"/>
      <c r="H18" s="26"/>
      <c r="I18" s="24"/>
      <c r="J18" s="25"/>
      <c r="K18" s="25"/>
      <c r="L18" s="27" t="str">
        <f aca="false">IF(AND(B18&lt;&gt;"",K18&lt;&gt;""),K18-B18,"")</f>
        <v/>
      </c>
      <c r="M18" s="24"/>
      <c r="N18" s="24"/>
    </row>
    <row r="19" customFormat="false" ht="15" hidden="false" customHeight="false" outlineLevel="0" collapsed="false">
      <c r="A19" s="24"/>
      <c r="B19" s="25"/>
      <c r="C19" s="26"/>
      <c r="D19" s="24"/>
      <c r="E19" s="24"/>
      <c r="F19" s="24"/>
      <c r="G19" s="24"/>
      <c r="H19" s="26"/>
      <c r="I19" s="24"/>
      <c r="J19" s="25"/>
      <c r="K19" s="25"/>
      <c r="L19" s="27" t="str">
        <f aca="false">IF(AND(B19&lt;&gt;"",K19&lt;&gt;""),K19-B19,"")</f>
        <v/>
      </c>
      <c r="M19" s="24"/>
      <c r="N19" s="24"/>
    </row>
    <row r="20" customFormat="false" ht="15" hidden="false" customHeight="false" outlineLevel="0" collapsed="false">
      <c r="A20" s="24"/>
      <c r="B20" s="25"/>
      <c r="C20" s="26"/>
      <c r="D20" s="24"/>
      <c r="E20" s="24"/>
      <c r="F20" s="24"/>
      <c r="G20" s="24"/>
      <c r="H20" s="26"/>
      <c r="I20" s="24"/>
      <c r="J20" s="25"/>
      <c r="K20" s="25"/>
      <c r="L20" s="27" t="str">
        <f aca="false">IF(AND(B20&lt;&gt;"",K20&lt;&gt;""),K20-B20,"")</f>
        <v/>
      </c>
      <c r="M20" s="24"/>
      <c r="N20" s="24"/>
    </row>
    <row r="21" customFormat="false" ht="15" hidden="false" customHeight="false" outlineLevel="0" collapsed="false">
      <c r="A21" s="24"/>
      <c r="B21" s="25"/>
      <c r="C21" s="26"/>
      <c r="D21" s="24"/>
      <c r="E21" s="24"/>
      <c r="F21" s="24"/>
      <c r="G21" s="24"/>
      <c r="H21" s="26"/>
      <c r="I21" s="24"/>
      <c r="J21" s="25"/>
      <c r="K21" s="25"/>
      <c r="L21" s="27" t="str">
        <f aca="false">IF(AND(B21&lt;&gt;"",K21&lt;&gt;""),K21-B21,"")</f>
        <v/>
      </c>
      <c r="M21" s="24"/>
      <c r="N21" s="24"/>
    </row>
    <row r="22" customFormat="false" ht="15" hidden="false" customHeight="false" outlineLevel="0" collapsed="false">
      <c r="A22" s="24"/>
      <c r="B22" s="25"/>
      <c r="C22" s="26"/>
      <c r="D22" s="24"/>
      <c r="E22" s="24"/>
      <c r="F22" s="24"/>
      <c r="G22" s="24"/>
      <c r="H22" s="26"/>
      <c r="I22" s="24"/>
      <c r="J22" s="25"/>
      <c r="K22" s="25"/>
      <c r="L22" s="27" t="str">
        <f aca="false">IF(AND(B22&lt;&gt;"",K22&lt;&gt;""),K22-B22,"")</f>
        <v/>
      </c>
      <c r="M22" s="24"/>
      <c r="N22" s="24"/>
    </row>
    <row r="23" customFormat="false" ht="15" hidden="false" customHeight="false" outlineLevel="0" collapsed="false">
      <c r="A23" s="24"/>
      <c r="B23" s="25"/>
      <c r="C23" s="26"/>
      <c r="D23" s="24"/>
      <c r="E23" s="24"/>
      <c r="F23" s="24"/>
      <c r="G23" s="24"/>
      <c r="H23" s="26"/>
      <c r="I23" s="24"/>
      <c r="J23" s="25"/>
      <c r="K23" s="25"/>
      <c r="L23" s="27" t="str">
        <f aca="false">IF(AND(B23&lt;&gt;"",K23&lt;&gt;""),K23-B23,"")</f>
        <v/>
      </c>
      <c r="M23" s="24"/>
      <c r="N23" s="24"/>
    </row>
    <row r="24" customFormat="false" ht="15" hidden="false" customHeight="false" outlineLevel="0" collapsed="false">
      <c r="A24" s="24"/>
      <c r="B24" s="25"/>
      <c r="C24" s="26"/>
      <c r="D24" s="24"/>
      <c r="E24" s="24"/>
      <c r="F24" s="24"/>
      <c r="G24" s="24"/>
      <c r="H24" s="26"/>
      <c r="I24" s="24"/>
      <c r="J24" s="25"/>
      <c r="K24" s="25"/>
      <c r="L24" s="27" t="str">
        <f aca="false">IF(AND(B24&lt;&gt;"",K24&lt;&gt;""),K24-B24,"")</f>
        <v/>
      </c>
      <c r="M24" s="24"/>
      <c r="N24" s="24"/>
    </row>
    <row r="25" customFormat="false" ht="15" hidden="false" customHeight="false" outlineLevel="0" collapsed="false">
      <c r="A25" s="24"/>
      <c r="B25" s="25"/>
      <c r="C25" s="26"/>
      <c r="D25" s="24"/>
      <c r="E25" s="24"/>
      <c r="F25" s="24"/>
      <c r="G25" s="24"/>
      <c r="H25" s="26"/>
      <c r="I25" s="24"/>
      <c r="J25" s="25"/>
      <c r="K25" s="25"/>
      <c r="L25" s="27" t="str">
        <f aca="false">IF(AND(B25&lt;&gt;"",K25&lt;&gt;""),K25-B25,"")</f>
        <v/>
      </c>
      <c r="M25" s="24"/>
      <c r="N25" s="24"/>
    </row>
    <row r="26" customFormat="false" ht="15" hidden="false" customHeight="false" outlineLevel="0" collapsed="false">
      <c r="A26" s="24"/>
      <c r="B26" s="25"/>
      <c r="C26" s="26"/>
      <c r="D26" s="24"/>
      <c r="E26" s="24"/>
      <c r="F26" s="24"/>
      <c r="G26" s="24"/>
      <c r="H26" s="26"/>
      <c r="I26" s="24"/>
      <c r="J26" s="25"/>
      <c r="K26" s="25"/>
      <c r="L26" s="27" t="str">
        <f aca="false">IF(AND(B26&lt;&gt;"",K26&lt;&gt;""),K26-B26,"")</f>
        <v/>
      </c>
      <c r="M26" s="24"/>
      <c r="N26" s="24"/>
    </row>
    <row r="27" customFormat="false" ht="15" hidden="false" customHeight="false" outlineLevel="0" collapsed="false">
      <c r="A27" s="24"/>
      <c r="B27" s="25"/>
      <c r="C27" s="26"/>
      <c r="D27" s="24"/>
      <c r="E27" s="24"/>
      <c r="F27" s="24"/>
      <c r="G27" s="24"/>
      <c r="H27" s="26"/>
      <c r="I27" s="24"/>
      <c r="J27" s="25"/>
      <c r="K27" s="25"/>
      <c r="L27" s="27" t="str">
        <f aca="false">IF(AND(B27&lt;&gt;"",K27&lt;&gt;""),K27-B27,"")</f>
        <v/>
      </c>
      <c r="M27" s="24"/>
      <c r="N27" s="24"/>
    </row>
    <row r="28" customFormat="false" ht="15" hidden="false" customHeight="false" outlineLevel="0" collapsed="false">
      <c r="A28" s="24"/>
      <c r="B28" s="25"/>
      <c r="C28" s="26"/>
      <c r="D28" s="24"/>
      <c r="E28" s="24"/>
      <c r="F28" s="24"/>
      <c r="G28" s="24"/>
      <c r="H28" s="26"/>
      <c r="I28" s="24"/>
      <c r="J28" s="25"/>
      <c r="K28" s="25"/>
      <c r="L28" s="27" t="str">
        <f aca="false">IF(AND(B28&lt;&gt;"",K28&lt;&gt;""),K28-B28,"")</f>
        <v/>
      </c>
      <c r="M28" s="24"/>
      <c r="N28" s="24"/>
    </row>
    <row r="29" customFormat="false" ht="15" hidden="false" customHeight="false" outlineLevel="0" collapsed="false">
      <c r="A29" s="24"/>
      <c r="B29" s="25"/>
      <c r="C29" s="26"/>
      <c r="D29" s="24"/>
      <c r="E29" s="24"/>
      <c r="F29" s="24"/>
      <c r="G29" s="24"/>
      <c r="H29" s="26"/>
      <c r="I29" s="24"/>
      <c r="J29" s="25"/>
      <c r="K29" s="25"/>
      <c r="L29" s="27" t="str">
        <f aca="false">IF(AND(B29&lt;&gt;"",K29&lt;&gt;""),K29-B29,"")</f>
        <v/>
      </c>
      <c r="M29" s="24"/>
      <c r="N29" s="24"/>
    </row>
    <row r="30" customFormat="false" ht="15" hidden="false" customHeight="false" outlineLevel="0" collapsed="false">
      <c r="A30" s="24"/>
      <c r="B30" s="25"/>
      <c r="C30" s="26"/>
      <c r="D30" s="24"/>
      <c r="E30" s="24"/>
      <c r="F30" s="24"/>
      <c r="G30" s="24"/>
      <c r="H30" s="26"/>
      <c r="I30" s="24"/>
      <c r="J30" s="25"/>
      <c r="K30" s="25"/>
      <c r="L30" s="27" t="str">
        <f aca="false">IF(AND(B30&lt;&gt;"",K30&lt;&gt;""),K30-B30,"")</f>
        <v/>
      </c>
      <c r="M30" s="24"/>
      <c r="N30" s="24"/>
    </row>
    <row r="31" customFormat="false" ht="15" hidden="false" customHeight="false" outlineLevel="0" collapsed="false">
      <c r="A31" s="24"/>
      <c r="B31" s="25"/>
      <c r="C31" s="26"/>
      <c r="D31" s="24"/>
      <c r="E31" s="24"/>
      <c r="F31" s="24"/>
      <c r="G31" s="24"/>
      <c r="H31" s="26"/>
      <c r="I31" s="24"/>
      <c r="J31" s="25"/>
      <c r="K31" s="25"/>
      <c r="L31" s="27" t="str">
        <f aca="false">IF(AND(B31&lt;&gt;"",K31&lt;&gt;""),K31-B31,"")</f>
        <v/>
      </c>
      <c r="M31" s="24"/>
      <c r="N31" s="24"/>
    </row>
    <row r="32" customFormat="false" ht="15" hidden="false" customHeight="false" outlineLevel="0" collapsed="false">
      <c r="A32" s="24"/>
      <c r="B32" s="25"/>
      <c r="C32" s="26"/>
      <c r="D32" s="24"/>
      <c r="E32" s="24"/>
      <c r="F32" s="24"/>
      <c r="G32" s="24"/>
      <c r="H32" s="26"/>
      <c r="I32" s="24"/>
      <c r="J32" s="25"/>
      <c r="K32" s="25"/>
      <c r="L32" s="27" t="str">
        <f aca="false">IF(AND(B32&lt;&gt;"",K32&lt;&gt;""),K32-B32,"")</f>
        <v/>
      </c>
      <c r="M32" s="24"/>
      <c r="N32" s="24"/>
    </row>
    <row r="33" customFormat="false" ht="15" hidden="false" customHeight="false" outlineLevel="0" collapsed="false">
      <c r="A33" s="24"/>
      <c r="B33" s="25"/>
      <c r="C33" s="26"/>
      <c r="D33" s="24"/>
      <c r="E33" s="24"/>
      <c r="F33" s="24"/>
      <c r="G33" s="24"/>
      <c r="H33" s="26"/>
      <c r="I33" s="24"/>
      <c r="J33" s="25"/>
      <c r="K33" s="25"/>
      <c r="L33" s="27" t="str">
        <f aca="false">IF(AND(B33&lt;&gt;"",K33&lt;&gt;""),K33-B33,"")</f>
        <v/>
      </c>
      <c r="M33" s="24"/>
      <c r="N33" s="24"/>
    </row>
    <row r="34" customFormat="false" ht="15" hidden="false" customHeight="false" outlineLevel="0" collapsed="false">
      <c r="A34" s="24"/>
      <c r="B34" s="25"/>
      <c r="C34" s="26"/>
      <c r="D34" s="24"/>
      <c r="E34" s="24"/>
      <c r="F34" s="24"/>
      <c r="G34" s="24"/>
      <c r="H34" s="26"/>
      <c r="I34" s="24"/>
      <c r="J34" s="25"/>
      <c r="K34" s="25"/>
      <c r="L34" s="27" t="str">
        <f aca="false">IF(AND(B34&lt;&gt;"",K34&lt;&gt;""),K34-B34,"")</f>
        <v/>
      </c>
      <c r="M34" s="24"/>
      <c r="N34" s="24"/>
    </row>
    <row r="35" customFormat="false" ht="15" hidden="false" customHeight="false" outlineLevel="0" collapsed="false">
      <c r="A35" s="24"/>
      <c r="B35" s="25"/>
      <c r="C35" s="26"/>
      <c r="D35" s="24"/>
      <c r="E35" s="24"/>
      <c r="F35" s="24"/>
      <c r="G35" s="24"/>
      <c r="H35" s="26"/>
      <c r="I35" s="24"/>
      <c r="J35" s="25"/>
      <c r="K35" s="25"/>
      <c r="L35" s="27" t="str">
        <f aca="false">IF(AND(B35&lt;&gt;"",K35&lt;&gt;""),K35-B35,"")</f>
        <v/>
      </c>
      <c r="M35" s="24"/>
      <c r="N35" s="24"/>
    </row>
    <row r="36" customFormat="false" ht="15" hidden="false" customHeight="false" outlineLevel="0" collapsed="false">
      <c r="A36" s="24"/>
      <c r="B36" s="25"/>
      <c r="C36" s="26"/>
      <c r="D36" s="24"/>
      <c r="E36" s="24"/>
      <c r="F36" s="24"/>
      <c r="G36" s="24"/>
      <c r="H36" s="26"/>
      <c r="I36" s="24"/>
      <c r="J36" s="25"/>
      <c r="K36" s="25"/>
      <c r="L36" s="27" t="str">
        <f aca="false">IF(AND(B36&lt;&gt;"",K36&lt;&gt;""),K36-B36,"")</f>
        <v/>
      </c>
      <c r="M36" s="24"/>
      <c r="N36" s="24"/>
    </row>
    <row r="37" customFormat="false" ht="15" hidden="false" customHeight="false" outlineLevel="0" collapsed="false">
      <c r="A37" s="24"/>
      <c r="B37" s="25"/>
      <c r="C37" s="26"/>
      <c r="D37" s="24"/>
      <c r="E37" s="24"/>
      <c r="F37" s="24"/>
      <c r="G37" s="24"/>
      <c r="H37" s="26"/>
      <c r="I37" s="24"/>
      <c r="J37" s="25"/>
      <c r="K37" s="25"/>
      <c r="L37" s="27" t="str">
        <f aca="false">IF(AND(B37&lt;&gt;"",K37&lt;&gt;""),K37-B37,"")</f>
        <v/>
      </c>
      <c r="M37" s="24"/>
      <c r="N37" s="24"/>
    </row>
    <row r="38" customFormat="false" ht="15" hidden="false" customHeight="false" outlineLevel="0" collapsed="false">
      <c r="A38" s="24"/>
      <c r="B38" s="25"/>
      <c r="C38" s="26"/>
      <c r="D38" s="24"/>
      <c r="E38" s="24"/>
      <c r="F38" s="24"/>
      <c r="G38" s="24"/>
      <c r="H38" s="26"/>
      <c r="I38" s="24"/>
      <c r="J38" s="25"/>
      <c r="K38" s="25"/>
      <c r="L38" s="27" t="str">
        <f aca="false">IF(AND(B38&lt;&gt;"",K38&lt;&gt;""),K38-B38,"")</f>
        <v/>
      </c>
      <c r="M38" s="24"/>
      <c r="N38" s="24"/>
    </row>
    <row r="39" customFormat="false" ht="15" hidden="false" customHeight="false" outlineLevel="0" collapsed="false">
      <c r="A39" s="24"/>
      <c r="B39" s="25"/>
      <c r="C39" s="26"/>
      <c r="D39" s="24"/>
      <c r="E39" s="24"/>
      <c r="F39" s="24"/>
      <c r="G39" s="24"/>
      <c r="H39" s="26"/>
      <c r="I39" s="24"/>
      <c r="J39" s="25"/>
      <c r="K39" s="25"/>
      <c r="L39" s="27" t="str">
        <f aca="false">IF(AND(B39&lt;&gt;"",K39&lt;&gt;""),K39-B39,"")</f>
        <v/>
      </c>
      <c r="M39" s="24"/>
      <c r="N39" s="24"/>
    </row>
    <row r="40" customFormat="false" ht="15" hidden="false" customHeight="false" outlineLevel="0" collapsed="false">
      <c r="A40" s="24"/>
      <c r="B40" s="25"/>
      <c r="C40" s="26"/>
      <c r="D40" s="24"/>
      <c r="E40" s="24"/>
      <c r="F40" s="24"/>
      <c r="G40" s="24"/>
      <c r="H40" s="26"/>
      <c r="I40" s="24"/>
      <c r="J40" s="25"/>
      <c r="K40" s="25"/>
      <c r="L40" s="27" t="str">
        <f aca="false">IF(AND(B40&lt;&gt;"",K40&lt;&gt;""),K40-B40,"")</f>
        <v/>
      </c>
      <c r="M40" s="24"/>
      <c r="N40" s="24"/>
    </row>
    <row r="41" customFormat="false" ht="15" hidden="false" customHeight="false" outlineLevel="0" collapsed="false">
      <c r="A41" s="24"/>
      <c r="B41" s="25"/>
      <c r="C41" s="26"/>
      <c r="D41" s="24"/>
      <c r="E41" s="24"/>
      <c r="F41" s="24"/>
      <c r="G41" s="24"/>
      <c r="H41" s="26"/>
      <c r="I41" s="24"/>
      <c r="J41" s="25"/>
      <c r="K41" s="25"/>
      <c r="L41" s="27" t="str">
        <f aca="false">IF(AND(B41&lt;&gt;"",K41&lt;&gt;""),K41-B41,"")</f>
        <v/>
      </c>
      <c r="M41" s="24"/>
      <c r="N41" s="24"/>
    </row>
    <row r="42" customFormat="false" ht="15" hidden="false" customHeight="false" outlineLevel="0" collapsed="false">
      <c r="A42" s="24"/>
      <c r="B42" s="25"/>
      <c r="C42" s="26"/>
      <c r="D42" s="24"/>
      <c r="E42" s="24"/>
      <c r="F42" s="24"/>
      <c r="G42" s="24"/>
      <c r="H42" s="26"/>
      <c r="I42" s="24"/>
      <c r="J42" s="25"/>
      <c r="K42" s="25"/>
      <c r="L42" s="27" t="str">
        <f aca="false">IF(AND(B42&lt;&gt;"",K42&lt;&gt;""),K42-B42,"")</f>
        <v/>
      </c>
      <c r="M42" s="24"/>
      <c r="N42" s="24"/>
    </row>
    <row r="43" customFormat="false" ht="15" hidden="false" customHeight="false" outlineLevel="0" collapsed="false">
      <c r="A43" s="24"/>
      <c r="B43" s="25"/>
      <c r="C43" s="26"/>
      <c r="D43" s="24"/>
      <c r="E43" s="24"/>
      <c r="F43" s="24"/>
      <c r="G43" s="24"/>
      <c r="H43" s="26"/>
      <c r="I43" s="24"/>
      <c r="J43" s="25"/>
      <c r="K43" s="25"/>
      <c r="L43" s="27" t="str">
        <f aca="false">IF(AND(B43&lt;&gt;"",K43&lt;&gt;""),K43-B43,"")</f>
        <v/>
      </c>
      <c r="M43" s="24"/>
      <c r="N43" s="24"/>
    </row>
    <row r="44" customFormat="false" ht="15" hidden="false" customHeight="false" outlineLevel="0" collapsed="false">
      <c r="A44" s="24"/>
      <c r="B44" s="25"/>
      <c r="C44" s="26"/>
      <c r="D44" s="24"/>
      <c r="E44" s="24"/>
      <c r="F44" s="24"/>
      <c r="G44" s="24"/>
      <c r="H44" s="26"/>
      <c r="I44" s="24"/>
      <c r="J44" s="25"/>
      <c r="K44" s="25"/>
      <c r="L44" s="27" t="str">
        <f aca="false">IF(AND(B44&lt;&gt;"",K44&lt;&gt;""),K44-B44,"")</f>
        <v/>
      </c>
      <c r="M44" s="24"/>
      <c r="N44" s="24"/>
    </row>
    <row r="45" customFormat="false" ht="15" hidden="false" customHeight="false" outlineLevel="0" collapsed="false">
      <c r="A45" s="24"/>
      <c r="B45" s="25"/>
      <c r="C45" s="26"/>
      <c r="D45" s="24"/>
      <c r="E45" s="24"/>
      <c r="F45" s="24"/>
      <c r="G45" s="24"/>
      <c r="H45" s="26"/>
      <c r="I45" s="24"/>
      <c r="J45" s="25"/>
      <c r="K45" s="25"/>
      <c r="L45" s="27" t="str">
        <f aca="false">IF(AND(B45&lt;&gt;"",K45&lt;&gt;""),K45-B45,"")</f>
        <v/>
      </c>
      <c r="M45" s="24"/>
      <c r="N45" s="24"/>
    </row>
    <row r="46" customFormat="false" ht="15" hidden="false" customHeight="false" outlineLevel="0" collapsed="false">
      <c r="A46" s="24"/>
      <c r="B46" s="25"/>
      <c r="C46" s="26"/>
      <c r="D46" s="24"/>
      <c r="E46" s="24"/>
      <c r="F46" s="24"/>
      <c r="G46" s="24"/>
      <c r="H46" s="26"/>
      <c r="I46" s="24"/>
      <c r="J46" s="25"/>
      <c r="K46" s="25"/>
      <c r="L46" s="27" t="str">
        <f aca="false">IF(AND(B46&lt;&gt;"",K46&lt;&gt;""),K46-B46,"")</f>
        <v/>
      </c>
      <c r="M46" s="24"/>
      <c r="N46" s="24"/>
    </row>
    <row r="47" customFormat="false" ht="15" hidden="false" customHeight="false" outlineLevel="0" collapsed="false">
      <c r="A47" s="24"/>
      <c r="B47" s="25"/>
      <c r="C47" s="26"/>
      <c r="D47" s="24"/>
      <c r="E47" s="24"/>
      <c r="F47" s="24"/>
      <c r="G47" s="24"/>
      <c r="H47" s="26"/>
      <c r="I47" s="24"/>
      <c r="J47" s="25"/>
      <c r="K47" s="25"/>
      <c r="L47" s="27" t="str">
        <f aca="false">IF(AND(B47&lt;&gt;"",K47&lt;&gt;""),K47-B47,"")</f>
        <v/>
      </c>
      <c r="M47" s="24"/>
      <c r="N47" s="24"/>
    </row>
    <row r="48" customFormat="false" ht="15" hidden="false" customHeight="false" outlineLevel="0" collapsed="false">
      <c r="A48" s="24"/>
      <c r="B48" s="25"/>
      <c r="C48" s="26"/>
      <c r="D48" s="24"/>
      <c r="E48" s="24"/>
      <c r="F48" s="24"/>
      <c r="G48" s="24"/>
      <c r="H48" s="26"/>
      <c r="I48" s="24"/>
      <c r="J48" s="25"/>
      <c r="K48" s="25"/>
      <c r="L48" s="27" t="str">
        <f aca="false">IF(AND(B48&lt;&gt;"",K48&lt;&gt;""),K48-B48,"")</f>
        <v/>
      </c>
      <c r="M48" s="24"/>
      <c r="N48" s="24"/>
    </row>
    <row r="49" customFormat="false" ht="15" hidden="false" customHeight="false" outlineLevel="0" collapsed="false">
      <c r="A49" s="24"/>
      <c r="B49" s="25"/>
      <c r="C49" s="26"/>
      <c r="D49" s="24"/>
      <c r="E49" s="24"/>
      <c r="F49" s="24"/>
      <c r="G49" s="24"/>
      <c r="H49" s="26"/>
      <c r="I49" s="24"/>
      <c r="J49" s="25"/>
      <c r="K49" s="25"/>
      <c r="L49" s="27" t="str">
        <f aca="false">IF(AND(B49&lt;&gt;"",K49&lt;&gt;""),K49-B49,"")</f>
        <v/>
      </c>
      <c r="M49" s="24"/>
      <c r="N49" s="24"/>
    </row>
    <row r="50" customFormat="false" ht="15" hidden="false" customHeight="false" outlineLevel="0" collapsed="false">
      <c r="A50" s="24"/>
      <c r="B50" s="25"/>
      <c r="C50" s="26"/>
      <c r="D50" s="24"/>
      <c r="E50" s="24"/>
      <c r="F50" s="24"/>
      <c r="G50" s="24"/>
      <c r="H50" s="26"/>
      <c r="I50" s="24"/>
      <c r="J50" s="25"/>
      <c r="K50" s="25"/>
      <c r="L50" s="27" t="str">
        <f aca="false">IF(AND(B50&lt;&gt;"",K50&lt;&gt;""),K50-B50,"")</f>
        <v/>
      </c>
      <c r="M50" s="24"/>
      <c r="N50" s="24"/>
    </row>
    <row r="51" customFormat="false" ht="15" hidden="false" customHeight="false" outlineLevel="0" collapsed="false">
      <c r="A51" s="24"/>
      <c r="B51" s="25"/>
      <c r="C51" s="26"/>
      <c r="D51" s="24"/>
      <c r="E51" s="24"/>
      <c r="F51" s="24"/>
      <c r="G51" s="24"/>
      <c r="H51" s="26"/>
      <c r="I51" s="24"/>
      <c r="J51" s="25"/>
      <c r="K51" s="25"/>
      <c r="L51" s="27" t="str">
        <f aca="false">IF(AND(B51&lt;&gt;"",K51&lt;&gt;""),K51-B51,"")</f>
        <v/>
      </c>
      <c r="M51" s="24"/>
      <c r="N51" s="24"/>
    </row>
    <row r="52" customFormat="false" ht="15" hidden="false" customHeight="false" outlineLevel="0" collapsed="false">
      <c r="A52" s="24"/>
      <c r="B52" s="25"/>
      <c r="C52" s="26"/>
      <c r="D52" s="24"/>
      <c r="E52" s="24"/>
      <c r="F52" s="24"/>
      <c r="G52" s="24"/>
      <c r="H52" s="26"/>
      <c r="I52" s="24"/>
      <c r="J52" s="25"/>
      <c r="K52" s="25"/>
      <c r="L52" s="27" t="str">
        <f aca="false">IF(AND(B52&lt;&gt;"",K52&lt;&gt;""),K52-B52,"")</f>
        <v/>
      </c>
      <c r="M52" s="24"/>
      <c r="N52" s="24"/>
    </row>
    <row r="53" customFormat="false" ht="15" hidden="false" customHeight="false" outlineLevel="0" collapsed="false">
      <c r="A53" s="24"/>
      <c r="B53" s="25"/>
      <c r="C53" s="26"/>
      <c r="D53" s="24"/>
      <c r="E53" s="24"/>
      <c r="F53" s="24"/>
      <c r="G53" s="24"/>
      <c r="H53" s="26"/>
      <c r="I53" s="24"/>
      <c r="J53" s="25"/>
      <c r="K53" s="25"/>
      <c r="L53" s="27" t="str">
        <f aca="false">IF(AND(B53&lt;&gt;"",K53&lt;&gt;""),K53-B53,"")</f>
        <v/>
      </c>
      <c r="M53" s="24"/>
      <c r="N53" s="24"/>
    </row>
    <row r="54" customFormat="false" ht="15" hidden="false" customHeight="false" outlineLevel="0" collapsed="false">
      <c r="A54" s="24"/>
      <c r="B54" s="25"/>
      <c r="C54" s="26"/>
      <c r="D54" s="24"/>
      <c r="E54" s="24"/>
      <c r="F54" s="24"/>
      <c r="G54" s="24"/>
      <c r="H54" s="26"/>
      <c r="I54" s="24"/>
      <c r="J54" s="25"/>
      <c r="K54" s="25"/>
      <c r="L54" s="27" t="str">
        <f aca="false">IF(AND(B54&lt;&gt;"",K54&lt;&gt;""),K54-B54,"")</f>
        <v/>
      </c>
      <c r="M54" s="24"/>
      <c r="N54" s="24"/>
    </row>
    <row r="55" customFormat="false" ht="15" hidden="false" customHeight="false" outlineLevel="0" collapsed="false">
      <c r="A55" s="24"/>
      <c r="B55" s="25"/>
      <c r="C55" s="26"/>
      <c r="D55" s="24"/>
      <c r="E55" s="24"/>
      <c r="F55" s="24"/>
      <c r="G55" s="24"/>
      <c r="H55" s="26"/>
      <c r="I55" s="24"/>
      <c r="J55" s="25"/>
      <c r="K55" s="25"/>
      <c r="L55" s="27" t="str">
        <f aca="false">IF(AND(B55&lt;&gt;"",K55&lt;&gt;""),K55-B55,"")</f>
        <v/>
      </c>
      <c r="M55" s="24"/>
      <c r="N55" s="24"/>
    </row>
    <row r="56" customFormat="false" ht="15" hidden="false" customHeight="false" outlineLevel="0" collapsed="false">
      <c r="A56" s="24"/>
      <c r="B56" s="25"/>
      <c r="C56" s="26"/>
      <c r="D56" s="24"/>
      <c r="E56" s="24"/>
      <c r="F56" s="24"/>
      <c r="G56" s="24"/>
      <c r="H56" s="26"/>
      <c r="I56" s="24"/>
      <c r="J56" s="25"/>
      <c r="K56" s="25"/>
      <c r="L56" s="27" t="str">
        <f aca="false">IF(AND(B56&lt;&gt;"",K56&lt;&gt;""),K56-B56,"")</f>
        <v/>
      </c>
      <c r="M56" s="24"/>
      <c r="N56" s="24"/>
    </row>
    <row r="57" customFormat="false" ht="15" hidden="false" customHeight="false" outlineLevel="0" collapsed="false">
      <c r="A57" s="24"/>
      <c r="B57" s="25"/>
      <c r="C57" s="26"/>
      <c r="D57" s="24"/>
      <c r="E57" s="24"/>
      <c r="F57" s="24"/>
      <c r="G57" s="24"/>
      <c r="H57" s="26"/>
      <c r="I57" s="24"/>
      <c r="J57" s="25"/>
      <c r="K57" s="25"/>
      <c r="L57" s="27" t="str">
        <f aca="false">IF(AND(B57&lt;&gt;"",K57&lt;&gt;""),K57-B57,"")</f>
        <v/>
      </c>
      <c r="M57" s="24"/>
      <c r="N57" s="24"/>
    </row>
    <row r="58" customFormat="false" ht="15" hidden="false" customHeight="false" outlineLevel="0" collapsed="false">
      <c r="A58" s="24"/>
      <c r="B58" s="25"/>
      <c r="C58" s="26"/>
      <c r="D58" s="24"/>
      <c r="E58" s="24"/>
      <c r="F58" s="24"/>
      <c r="G58" s="24"/>
      <c r="H58" s="26"/>
      <c r="I58" s="24"/>
      <c r="J58" s="25"/>
      <c r="K58" s="25"/>
      <c r="L58" s="27" t="str">
        <f aca="false">IF(AND(B58&lt;&gt;"",K58&lt;&gt;""),K58-B58,"")</f>
        <v/>
      </c>
      <c r="M58" s="24"/>
      <c r="N58" s="24"/>
    </row>
    <row r="59" customFormat="false" ht="15" hidden="false" customHeight="false" outlineLevel="0" collapsed="false">
      <c r="A59" s="24"/>
      <c r="B59" s="25"/>
      <c r="C59" s="26"/>
      <c r="D59" s="24"/>
      <c r="E59" s="24"/>
      <c r="F59" s="24"/>
      <c r="G59" s="24"/>
      <c r="H59" s="26"/>
      <c r="I59" s="24"/>
      <c r="J59" s="25"/>
      <c r="K59" s="25"/>
      <c r="L59" s="27" t="str">
        <f aca="false">IF(AND(B59&lt;&gt;"",K59&lt;&gt;""),K59-B59,"")</f>
        <v/>
      </c>
      <c r="M59" s="24"/>
      <c r="N59" s="24"/>
    </row>
    <row r="60" customFormat="false" ht="15" hidden="false" customHeight="false" outlineLevel="0" collapsed="false">
      <c r="A60" s="24"/>
      <c r="B60" s="25"/>
      <c r="C60" s="26"/>
      <c r="D60" s="24"/>
      <c r="E60" s="24"/>
      <c r="F60" s="24"/>
      <c r="G60" s="24"/>
      <c r="H60" s="26"/>
      <c r="I60" s="24"/>
      <c r="J60" s="25"/>
      <c r="K60" s="25"/>
      <c r="L60" s="27" t="str">
        <f aca="false">IF(AND(B60&lt;&gt;"",K60&lt;&gt;""),K60-B60,"")</f>
        <v/>
      </c>
      <c r="M60" s="24"/>
      <c r="N60" s="24"/>
    </row>
  </sheetData>
  <autoFilter ref="A9:N60"/>
  <mergeCells count="18">
    <mergeCell ref="A1:N1"/>
    <mergeCell ref="A3:B3"/>
    <mergeCell ref="C3:D3"/>
    <mergeCell ref="E3:F3"/>
    <mergeCell ref="G3:H3"/>
    <mergeCell ref="A4:B4"/>
    <mergeCell ref="C4:D4"/>
    <mergeCell ref="E4:F4"/>
    <mergeCell ref="G4:H4"/>
    <mergeCell ref="A6:B6"/>
    <mergeCell ref="C6:D6"/>
    <mergeCell ref="E6:F6"/>
    <mergeCell ref="G6:H6"/>
    <mergeCell ref="A7:B7"/>
    <mergeCell ref="C7:D7"/>
    <mergeCell ref="E7:F7"/>
    <mergeCell ref="G7:H7"/>
    <mergeCell ref="I8:N8"/>
  </mergeCells>
  <conditionalFormatting sqref="F10:F60">
    <cfRule type="cellIs" priority="2" operator="equal" aboveAverage="0" equalAverage="0" bottom="0" percent="0" rank="0" text="" dxfId="7">
      <formula>"High"</formula>
    </cfRule>
    <cfRule type="cellIs" priority="3" operator="equal" aboveAverage="0" equalAverage="0" bottom="0" percent="0" rank="0" text="" dxfId="8">
      <formula>"Medium"</formula>
    </cfRule>
    <cfRule type="cellIs" priority="4" operator="equal" aboveAverage="0" equalAverage="0" bottom="0" percent="0" rank="0" text="" dxfId="9">
      <formula>"Low"</formula>
    </cfRule>
  </conditionalFormatting>
  <conditionalFormatting sqref="G10:G60">
    <cfRule type="cellIs" priority="5" operator="equal" aboveAverage="0" equalAverage="0" bottom="0" percent="0" rank="0" text="" dxfId="10">
      <formula>"Open"</formula>
    </cfRule>
    <cfRule type="cellIs" priority="6" operator="equal" aboveAverage="0" equalAverage="0" bottom="0" percent="0" rank="0" text="" dxfId="8">
      <formula>"Responded"</formula>
    </cfRule>
    <cfRule type="cellIs" priority="7" operator="equal" aboveAverage="0" equalAverage="0" bottom="0" percent="0" rank="0" text="" dxfId="9">
      <formula>"Closed"</formula>
    </cfRule>
    <cfRule type="cellIs" priority="8" operator="equal" aboveAverage="0" equalAverage="0" bottom="0" percent="0" rank="0" text="" dxfId="11">
      <formula>"Void"</formula>
    </cfRule>
  </conditionalFormatting>
  <conditionalFormatting sqref="J10:J60">
    <cfRule type="expression" priority="9" aboveAverage="0" equalAverage="0" bottom="0" percent="0" rank="0" text="" dxfId="7">
      <formula>AND(J10&lt;&gt;"",J10&lt;TODAY(),G10="Open")</formula>
    </cfRule>
  </conditionalFormatting>
  <conditionalFormatting sqref="E4:F4">
    <cfRule type="expression" priority="10" aboveAverage="0" equalAverage="0" bottom="0" percent="0" rank="0" text="" dxfId="7">
      <formula>E4&gt;0</formula>
    </cfRule>
  </conditionalFormatting>
  <dataValidations count="3">
    <dataValidation allowBlank="true" error="Select High, Medium, or Low" errorStyle="stop" operator="between" showDropDown="false" showErrorMessage="false" showInputMessage="false" sqref="F10:F60" type="list">
      <formula1>"High,Medium,Low"</formula1>
      <formula2>0</formula2>
    </dataValidation>
    <dataValidation allowBlank="true" error="Select a valid status" errorStyle="stop" operator="between" showDropDown="false" showErrorMessage="false" showInputMessage="false" sqref="G10:G60" type="list">
      <formula1>"Open,Responded,Closed,Void"</formula1>
      <formula2>0</formula2>
    </dataValidation>
    <dataValidation allowBlank="true" errorStyle="stop" operator="between" showDropDown="false" showErrorMessage="false" showInputMessage="false" sqref="I10:I60" type="list">
      <formula1>"Architectural,Structural,Mechanical,Electrical,Civil,Landscape,Fire,Planning,Client,Other"</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&amp;CRFI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28" t="s">
        <v>99</v>
      </c>
    </row>
    <row r="2" customFormat="false" ht="15" hidden="false" customHeight="false" outlineLevel="0" collapsed="false">
      <c r="A2" s="28"/>
    </row>
    <row r="3" customFormat="false" ht="15" hidden="false" customHeight="false" outlineLevel="0" collapsed="false">
      <c r="A3" s="28" t="s">
        <v>100</v>
      </c>
    </row>
    <row r="4" customFormat="false" ht="15" hidden="false" customHeight="false" outlineLevel="0" collapsed="false">
      <c r="A4" s="28"/>
    </row>
    <row r="5" customFormat="false" ht="15" hidden="false" customHeight="false" outlineLevel="0" collapsed="false">
      <c r="A5" s="28" t="s">
        <v>101</v>
      </c>
    </row>
    <row r="6" customFormat="false" ht="15" hidden="false" customHeight="false" outlineLevel="0" collapsed="false">
      <c r="A6" s="28"/>
    </row>
    <row r="7" customFormat="false" ht="15" hidden="false" customHeight="false" outlineLevel="0" collapsed="false">
      <c r="A7" s="28" t="s">
        <v>102</v>
      </c>
    </row>
    <row r="8" customFormat="false" ht="15" hidden="false" customHeight="false" outlineLevel="0" collapsed="false">
      <c r="A8" s="28"/>
    </row>
    <row r="9" customFormat="false" ht="15" hidden="false" customHeight="false" outlineLevel="0" collapsed="false">
      <c r="A9" s="28" t="s">
        <v>103</v>
      </c>
    </row>
    <row r="10" customFormat="false" ht="15" hidden="false" customHeight="false" outlineLevel="0" collapsed="false">
      <c r="A10" s="28"/>
    </row>
    <row r="11" customFormat="false" ht="15" hidden="false" customHeight="false" outlineLevel="0" collapsed="false">
      <c r="A11" s="28" t="s">
        <v>104</v>
      </c>
    </row>
    <row r="12" customFormat="false" ht="15" hidden="false" customHeight="false" outlineLevel="0" collapsed="false">
      <c r="A12" s="28"/>
    </row>
    <row r="13" customFormat="false" ht="15" hidden="false" customHeight="false" outlineLevel="0" collapsed="false">
      <c r="A13" s="28" t="s">
        <v>105</v>
      </c>
    </row>
    <row r="14" customFormat="false" ht="15" hidden="false" customHeight="false" outlineLevel="0" collapsed="false">
      <c r="A14" s="28"/>
    </row>
    <row r="15" customFormat="false" ht="15" hidden="false" customHeight="false" outlineLevel="0" collapsed="false">
      <c r="A15" s="28" t="s">
        <v>106</v>
      </c>
    </row>
    <row r="16" customFormat="false" ht="15" hidden="false" customHeight="false" outlineLevel="0" collapsed="false">
      <c r="A16" s="28"/>
    </row>
    <row r="17" customFormat="false" ht="15" hidden="false" customHeight="false" outlineLevel="0" collapsed="false">
      <c r="A17" s="28"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2026-03-22T21:11:45Z</dcterms:created>
  <dc:creator>Ebrora Ltd</dc:creator>
  <dc:description>Track and manage all project RFIs with response time monitoring, priority flagging and overdue alerts, designed for UK construction project teams.
Free professional construction management template from Ebrora Ltd. Visit ebrora.com for our full range of tools and templates.</dc:description>
  <cp:keywords>Ebrora construction RFI request for information design query commercial project controls</cp:keywords>
  <dc:language>en-US</dc:language>
  <cp:lastModifiedBy>Ebrora Ltd</cp:lastModifiedBy>
  <dcterms:modified xsi:type="dcterms:W3CDTF">2026-03-22T21:11:45Z</dcterms:modified>
  <cp:revision>0</cp:revision>
  <dc:subject>Log for tracking Requests for Information from submission through to response and close-out.</dc:subject>
  <dc:title>RFI Log</dc:title>
</cp:coreProperties>
</file>

<file path=docProps/custom.xml><?xml version="1.0" encoding="utf-8"?>
<Properties xmlns="http://schemas.openxmlformats.org/officeDocument/2006/custom-properties" xmlns:vt="http://schemas.openxmlformats.org/officeDocument/2006/docPropsVTypes"/>
</file>