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Test Pack Regist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Instructions!$A$1:$F$27</definedName>
    <definedName function="false" hidden="false" localSheetId="2" name="_xlnm.Print_Area" vbProcedure="false">'Test Pack Register'!$A$1:$N$22</definedName>
    <definedName function="false" hidden="false" localSheetId="2" name="_xlnm.Print_Titles" vbProcedure="false">'Test Pack Register'!$1:$3</definedName>
    <definedName function="false" hidden="true" localSheetId="2" name="_xlnm._FilterDatabase" vbProcedure="false">'Test Pack Register'!$A$3:$N$3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<sst xmlns="http://schemas.openxmlformats.org/spreadsheetml/2006/main" count="166" uniqueCount="129">
  <si>
    <t xml:space="preserve">EBRORA</t>
  </si>
  <si>
    <t xml:space="preserve">ebrora.com</t>
  </si>
  <si>
    <t xml:space="preserve">Pressure / Hydro / Air Test Pack Register</t>
  </si>
  <si>
    <t xml:space="preserve">Index every pressure, hydraulic and air test pack — pipes, manholes, tanks and chambers — with test parameters, results and certificates.</t>
  </si>
  <si>
    <t xml:space="preserve">This is a free template from Ebrora.
For our full range of professional-grade construction management tools, visit ebrora.com</t>
  </si>
  <si>
    <t xml:space="preserve">© Ebrora 2026 — All rights reserved</t>
  </si>
  <si>
    <t xml:space="preserve">How to Use This Template — Pressure / Hydro / Air Test Pack Register</t>
  </si>
  <si>
    <t xml:space="preserve">Step-by-Step Instructions</t>
  </si>
  <si>
    <t xml:space="preserve">1.</t>
  </si>
  <si>
    <t xml:space="preserve">Go to the 'Test Pack Register' sheet. Enter the Project Name and Contract Number in the info strip at the top.</t>
  </si>
  <si>
    <t xml:space="preserve">2.</t>
  </si>
  <si>
    <t xml:space="preserve">The register is organised into sections by test type: Hydraulic Pressure Tests, Air Pressure Tests (low-pressure), and Manhole &amp; Chamber Tests. Add rows within the relevant section.</t>
  </si>
  <si>
    <t xml:space="preserve">3.</t>
  </si>
  <si>
    <t xml:space="preserve">Enter the Test Pack Reference in column A — this should match the reference on the physical test record document.</t>
  </si>
  <si>
    <t xml:space="preserve">4.</t>
  </si>
  <si>
    <t xml:space="preserve">Enter a clear description of the system or asset being tested in column B: pipe diameter, route, chainage, or structure reference.</t>
  </si>
  <si>
    <t xml:space="preserve">5.</t>
  </si>
  <si>
    <t xml:space="preserve">Select the Test Type in column C (Hydraulic, Air, Manhole/Chamber, or Leakage) and the Test Medium in column D (Water, Air, or Nitrogen).</t>
  </si>
  <si>
    <t xml:space="preserve">6.</t>
  </si>
  <si>
    <t xml:space="preserve">Record the Test Pressure in column E (bar gauge) and the Hold Duration in column F (e.g., '1 hour', '30 min').</t>
  </si>
  <si>
    <t xml:space="preserve">7.</t>
  </si>
  <si>
    <t xml:space="preserve">Enter the Test Date in column G. Update the Result (column H) to Pass or Fail once the test is complete.</t>
  </si>
  <si>
    <t xml:space="preserve">8.</t>
  </si>
  <si>
    <t xml:space="preserve">Record the Certificate Reference in column I — this is the unique reference on the signed test record sheet.</t>
  </si>
  <si>
    <t xml:space="preserve">9.</t>
  </si>
  <si>
    <t xml:space="preserve">Log the Inspector's name in column J and the Employer's Representative or Witnessing Party in column K.</t>
  </si>
  <si>
    <t xml:space="preserve">10.</t>
  </si>
  <si>
    <t xml:space="preserve">Section subtotal rows auto-calculate pass/fail counts and completion percentages. The grand total at the top summarises the whole project test pack status.</t>
  </si>
  <si>
    <t xml:space="preserve">Colour Key</t>
  </si>
  <si>
    <t xml:space="preserve">  </t>
  </si>
  <si>
    <t xml:space="preserve">Pass — Test completed successfully. Result within specified limits.</t>
  </si>
  <si>
    <t xml:space="preserve">Fail — Test failed. Investigate, rectify and retest. Record retest with new pack reference.</t>
  </si>
  <si>
    <t xml:space="preserve">Scheduled — Test date booked but not yet carried out.</t>
  </si>
  <si>
    <t xml:space="preserve">Waived — Test formally waived by Employer's Representative (e.g., pre-existing pipe).</t>
  </si>
  <si>
    <t xml:space="preserve">Teal section headers — Test type group divider.</t>
  </si>
  <si>
    <t xml:space="preserve">Light teal subtotal rows — Auto-calculated. Do not edit.</t>
  </si>
  <si>
    <t xml:space="preserve">Tips</t>
  </si>
  <si>
    <t xml:space="preserve">*</t>
  </si>
  <si>
    <t xml:space="preserve">Every failed test must result in a new test pack reference for the retest — never overwrite a fail result with the retest outcome. The fail record is part of your quality audit trail.</t>
  </si>
  <si>
    <t xml:space="preserve">For water mains and process pipework, the test pressure is typically 1.5× the working pressure for a minimum of 1 hour. Always check the specification — some clients require 2-hour or overnight holds.</t>
  </si>
  <si>
    <t xml:space="preserve">The Employer's Representative must witness pressure tests on critical sections (potable water, effluent discharge). Give formal written notice of the test date at least 24 hours in advance, and record their attendance or 'not in attendance — proceeded' in column K.</t>
  </si>
  <si>
    <t xml:space="preserve">Project Name:</t>
  </si>
  <si>
    <t xml:space="preserve">[Enter Project Name]</t>
  </si>
  <si>
    <t xml:space="preserve">Contract No:</t>
  </si>
  <si>
    <t xml:space="preserve">[Contract No]</t>
  </si>
  <si>
    <t xml:space="preserve">PROJECT TEST PACK SUMMARY</t>
  </si>
  <si>
    <t xml:space="preserve">TOTAL PACKS</t>
  </si>
  <si>
    <t xml:space="preserve">PASS</t>
  </si>
  <si>
    <t xml:space="preserve">FAIL</t>
  </si>
  <si>
    <t xml:space="preserve">% PASS</t>
  </si>
  <si>
    <t xml:space="preserve">Test Pack Ref</t>
  </si>
  <si>
    <t xml:space="preserve">System / Asset Description</t>
  </si>
  <si>
    <t xml:space="preserve">Test Type</t>
  </si>
  <si>
    <t xml:space="preserve">Test Medium</t>
  </si>
  <si>
    <t xml:space="preserve">Test Pressure
(bar g)</t>
  </si>
  <si>
    <t xml:space="preserve">Hold Duration</t>
  </si>
  <si>
    <t xml:space="preserve">Test Date</t>
  </si>
  <si>
    <t xml:space="preserve">Result</t>
  </si>
  <si>
    <t xml:space="preserve">Certificate Ref</t>
  </si>
  <si>
    <t xml:space="preserve">Inspector</t>
  </si>
  <si>
    <t xml:space="preserve">Witnessed By</t>
  </si>
  <si>
    <t xml:space="preserve">Notes</t>
  </si>
  <si>
    <t xml:space="preserve">Drawing Ref</t>
  </si>
  <si>
    <t xml:space="preserve">Retest Pack Ref</t>
  </si>
  <si>
    <t xml:space="preserve">Section 1 — Hydraulic Pressure Tests (Water)</t>
  </si>
  <si>
    <t xml:space="preserve">HP-001</t>
  </si>
  <si>
    <t xml:space="preserve">DN300 DI Inlet Main — Ch0+000 to Ch0+120 (Zone 3)</t>
  </si>
  <si>
    <t xml:space="preserve">Hydraulic</t>
  </si>
  <si>
    <t xml:space="preserve">Water</t>
  </si>
  <si>
    <t xml:space="preserve">1 hour</t>
  </si>
  <si>
    <t xml:space="preserve">Pass</t>
  </si>
  <si>
    <t xml:space="preserve">CERT-HP-001</t>
  </si>
  <si>
    <t xml:space="preserve">T. Walsh</t>
  </si>
  <si>
    <t xml:space="preserve">J. Hargreaves (ER)</t>
  </si>
  <si>
    <t xml:space="preserve">Test pressure 24 bar = 1.5× WP. Zero pressure drop.</t>
  </si>
  <si>
    <t xml:space="preserve">HP-002</t>
  </si>
  <si>
    <t xml:space="preserve">DN200 DI Rising Main — Pump Station PST-01 to MH-007</t>
  </si>
  <si>
    <t xml:space="preserve">CERT-HP-002</t>
  </si>
  <si>
    <t xml:space="preserve">Test pressure 18 bar. Max drop 0.1 bar. Pass.</t>
  </si>
  <si>
    <t xml:space="preserve">HP-003</t>
  </si>
  <si>
    <t xml:space="preserve">DN150 Recirculation Loop — Aeration Lane 1</t>
  </si>
  <si>
    <t xml:space="preserve">Scheduled</t>
  </si>
  <si>
    <t xml:space="preserve">Test scheduled w/c 10/03/25.</t>
  </si>
  <si>
    <t xml:space="preserve">HP-004</t>
  </si>
  <si>
    <t xml:space="preserve">DN100 Sludge Rising Main — Digester to Cake Store</t>
  </si>
  <si>
    <t xml:space="preserve">Fail</t>
  </si>
  <si>
    <t xml:space="preserve">CERT-HP-004-FAIL</t>
  </si>
  <si>
    <t xml:space="preserve">Pressure drop 0.8 bar at 45 min. Joint at Ch0+080 identified — retest HP-004R.</t>
  </si>
  <si>
    <t xml:space="preserve">Section totals:</t>
  </si>
  <si>
    <t xml:space="preserve">Section 2 — Air Pressure Tests (Low-Pressure)</t>
  </si>
  <si>
    <t xml:space="preserve">AP-001</t>
  </si>
  <si>
    <t xml:space="preserve">UPVC Gravity Sewer — MH-001 to MH-005, 225mm Ø</t>
  </si>
  <si>
    <t xml:space="preserve">Air</t>
  </si>
  <si>
    <t xml:space="preserve">5 min</t>
  </si>
  <si>
    <t xml:space="preserve">CERT-AP-001</t>
  </si>
  <si>
    <t xml:space="preserve">S. Patel</t>
  </si>
  <si>
    <t xml:space="preserve">WIS-005 referenced. Air test per BS EN 1610.</t>
  </si>
  <si>
    <t xml:space="preserve">AP-002</t>
  </si>
  <si>
    <t xml:space="preserve">HDPE Duct Run — Route MCC to Inlet Works, 110mm Ø</t>
  </si>
  <si>
    <t xml:space="preserve">15 min</t>
  </si>
  <si>
    <t xml:space="preserve">CERT-AP-002-FAIL</t>
  </si>
  <si>
    <t xml:space="preserve">C. Roberts</t>
  </si>
  <si>
    <t xml:space="preserve">Depth issue Ch0+045. NCR-031. Retest AP-002R pending.</t>
  </si>
  <si>
    <t xml:space="preserve">Section 3 — Manhole, Chamber &amp; Structure Tests</t>
  </si>
  <si>
    <t xml:space="preserve">MH-001</t>
  </si>
  <si>
    <t xml:space="preserve">MH-001 — Inlet Chamber, 1200mm Ø Precast</t>
  </si>
  <si>
    <t xml:space="preserve">Manhole / Chamber</t>
  </si>
  <si>
    <t xml:space="preserve">30 min</t>
  </si>
  <si>
    <t xml:space="preserve">CERT-MH-001</t>
  </si>
  <si>
    <t xml:space="preserve">J. Hargreaves</t>
  </si>
  <si>
    <t xml:space="preserve">Exfiltration test per BS EN 1610. Water level drop &lt; 1mm. Pass.</t>
  </si>
  <si>
    <t xml:space="preserve">MH-002</t>
  </si>
  <si>
    <t xml:space="preserve">Primary Tank Inlet Channel — Cast In-Situ RC</t>
  </si>
  <si>
    <t xml:space="preserve">CERT-MH-002</t>
  </si>
  <si>
    <t xml:space="preserve">B. Kowalski (ER)</t>
  </si>
  <si>
    <t xml:space="preserve">Channel filled and held 24 hours. No visible leaks.</t>
  </si>
  <si>
    <t xml:space="preserve">MH-003</t>
  </si>
  <si>
    <t xml:space="preserve">Aeration Tank — 24hr Water Retention Test</t>
  </si>
  <si>
    <t xml:space="preserve">24 hours</t>
  </si>
  <si>
    <t xml:space="preserve">Pre-commissioning test — scheduled post-concrete cure w/c 17/03/25.</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</si>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</sst>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dd/mm/yyyy"/>
  </numFmts>
  <fonts count="19">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b val="true"/>
      <sz val="11"/>
      <color rgb="FFFFFFFF"/>
      <name val="Calibri"/>
      <family val="0"/>
      <charset val="1"/>
    </font>
    <font>
      <b val="true"/>
      <sz val="9"/>
      <color rgb="FF2AABB3"/>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D9D9D9"/>
      </patternFill>
    </fill>
    <fill>
      <patternFill patternType="solid">
        <fgColor rgb="FFFFC7CE"/>
        <bgColor rgb="FFD9D9D9"/>
      </patternFill>
    </fill>
    <fill>
      <patternFill patternType="solid">
        <fgColor rgb="FFFFEB9C"/>
        <bgColor rgb="FFFFFFCC"/>
      </patternFill>
    </fill>
    <fill>
      <patternFill patternType="solid">
        <fgColor rgb="FFD9D9D9"/>
        <bgColor rgb="FFC6EFCE"/>
      </patternFill>
    </fill>
    <fill>
      <patternFill patternType="solid">
        <fgColor rgb="FF2AABB3"/>
        <bgColor rgb="FF339966"/>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5" fillId="2" borderId="0" xfId="0" applyFont="true" applyBorder="true" applyAlignment="true" applyProtection="false">
      <alignment horizontal="left" vertical="center" textRotation="0" wrapText="fals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5" fontId="14" fillId="2" borderId="0" xfId="0" applyFont="true" applyBorder="false" applyAlignment="true" applyProtection="false">
      <alignment horizontal="center" vertical="center" textRotation="0" wrapText="false" indent="0" shrinkToFit="false"/>
      <protection locked="true" hidden="false"/>
    </xf>
    <xf numFmtId="166" fontId="14" fillId="2" borderId="0" xfId="0" applyFont="true" applyBorder="fals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true" applyProtection="false">
      <alignment horizontal="center" vertical="center" textRotation="0" wrapText="true" indent="0" shrinkToFit="false"/>
      <protection locked="true" hidden="false"/>
    </xf>
    <xf numFmtId="164" fontId="17" fillId="9" borderId="0" xfId="0" applyFont="true" applyBorder="true" applyAlignment="true" applyProtection="false">
      <alignment horizontal="left" vertical="center" textRotation="0" wrapText="fals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7" fontId="13" fillId="4" borderId="0" xfId="0" applyFont="true" applyBorder="false" applyAlignment="true" applyProtection="false">
      <alignment horizontal="left" vertical="center" textRotation="0" wrapText="true" indent="0" shrinkToFit="false"/>
      <protection locked="true" hidden="false"/>
    </xf>
    <xf numFmtId="168" fontId="13" fillId="4" borderId="0" xfId="0" applyFont="true" applyBorder="false" applyAlignment="true" applyProtection="false">
      <alignment horizontal="left" vertical="center" textRotation="0" wrapText="true" indent="0" shrinkToFit="false"/>
      <protection locked="true" hidden="false"/>
    </xf>
    <xf numFmtId="164" fontId="18" fillId="4" borderId="0" xfId="0" applyFont="true" applyBorder="true" applyAlignment="true" applyProtection="false">
      <alignment horizontal="right"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B2A4A"/>
          <bgColor rgb="FF000000"/>
        </patternFill>
      </fill>
    </dxf>
    <dxf>
      <fill>
        <patternFill patternType="solid">
          <fgColor rgb="FFFFFFFF"/>
          <bgColor rgb="FF000000"/>
        </patternFill>
      </fill>
    </dxf>
    <dxf>
      <font>
        <name val="Calibri"/>
        <charset val="1"/>
        <family val="0"/>
        <b val="1"/>
        <color rgb="FF375623"/>
      </font>
      <fill>
        <patternFill>
          <bgColor rgb="FFC6EFCE"/>
        </patternFill>
      </fill>
    </dxf>
    <dxf>
      <font>
        <name val="Calibri"/>
        <charset val="1"/>
        <family val="0"/>
        <b val="1"/>
        <color rgb="FF9C0006"/>
      </font>
      <fill>
        <patternFill>
          <bgColor rgb="FFFFC7CE"/>
        </patternFill>
      </fill>
    </dxf>
    <dxf>
      <font>
        <name val="Calibri"/>
        <charset val="1"/>
        <family val="0"/>
        <color rgb="FF7D6608"/>
      </font>
      <fill>
        <patternFill>
          <bgColor rgb="FFFFEB9C"/>
        </patternFill>
      </fill>
    </dxf>
    <dxf>
      <font>
        <name val="Calibri"/>
        <charset val="1"/>
        <family val="0"/>
        <color rgb="FF595959"/>
      </font>
      <fill>
        <patternFill>
          <bgColor rgb="FFD9D9D9"/>
        </patternFill>
      </fill>
    </dxf>
    <dxf>
      <font>
        <name val="Calibri"/>
        <charset val="1"/>
        <family val="0"/>
        <color rgb="FF375623"/>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59595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3" customFormat="false" ht="21.75" hidden="false" customHeight="true" outlineLevel="0" collapsed="false">
      <c r="A23" s="10" t="s">
        <v>36</v>
      </c>
      <c r="B23" s="10"/>
      <c r="C23" s="10"/>
      <c r="D23" s="10"/>
      <c r="E23" s="10"/>
      <c r="F23" s="10"/>
    </row>
    <row r="24" customFormat="false" ht="37.5" hidden="false" customHeight="true" outlineLevel="0" collapsed="false">
      <c r="A24" s="19" t="s">
        <v>37</v>
      </c>
      <c r="B24" s="12" t="s">
        <v>38</v>
      </c>
      <c r="C24" s="12"/>
      <c r="D24" s="12"/>
      <c r="E24" s="12"/>
      <c r="F24" s="12"/>
    </row>
    <row r="25" customFormat="false" ht="37.5" hidden="false" customHeight="true" outlineLevel="0" collapsed="false">
      <c r="A25" s="19" t="s">
        <v>37</v>
      </c>
      <c r="B25" s="12" t="s">
        <v>39</v>
      </c>
      <c r="C25" s="12"/>
      <c r="D25" s="12"/>
      <c r="E25" s="12"/>
      <c r="F25" s="12"/>
    </row>
    <row r="26" customFormat="false" ht="37.5" hidden="false" customHeight="true" outlineLevel="0" collapsed="false">
      <c r="A26" s="19" t="s">
        <v>37</v>
      </c>
      <c r="B26" s="12" t="s">
        <v>40</v>
      </c>
      <c r="C26" s="12"/>
      <c r="D26" s="12"/>
      <c r="E26" s="12"/>
      <c r="F26" s="12"/>
    </row>
  </sheetData>
  <mergeCells count="23">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A23:F23"/>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3" min="3" style="0" width="16"/>
    <col collapsed="false" customWidth="true" hidden="false" outlineLevel="0" max="4" min="4" style="0" width="12"/>
    <col collapsed="false" customWidth="true" hidden="false" outlineLevel="0" max="5" min="5" style="0" width="13"/>
    <col collapsed="false" customWidth="true" hidden="false" outlineLevel="0" max="6" min="6" style="0" width="12"/>
    <col collapsed="false" customWidth="true" hidden="false" outlineLevel="0" max="7" min="7" style="0" width="13"/>
    <col collapsed="false" customWidth="true" hidden="false" outlineLevel="0" max="8" min="8" style="0" width="10"/>
    <col collapsed="false" customWidth="true" hidden="false" outlineLevel="0" max="9" min="9" style="0" width="18"/>
    <col collapsed="false" customWidth="true" hidden="false" outlineLevel="0" max="10" min="10" style="0" width="16"/>
    <col collapsed="false" customWidth="true" hidden="false" outlineLevel="0" max="11" min="11" style="0" width="20"/>
    <col collapsed="false" customWidth="true" hidden="false" outlineLevel="0" max="12" min="12" style="0" width="30"/>
    <col collapsed="false" customWidth="true" hidden="false" outlineLevel="0" max="14" min="13" style="0" width="14"/>
  </cols>
  <sheetData>
    <row r="1" customFormat="false" ht="21.75" hidden="false" customHeight="true" outlineLevel="0" collapsed="false">
      <c r="A1" s="20" t="s">
        <v>41</v>
      </c>
      <c r="B1" s="20"/>
      <c r="C1" s="21" t="s">
        <v>42</v>
      </c>
      <c r="D1" s="21"/>
      <c r="E1" s="21"/>
      <c r="F1" s="21"/>
      <c r="G1" s="20" t="s">
        <v>43</v>
      </c>
      <c r="H1" s="20"/>
      <c r="I1" s="21" t="s">
        <v>44</v>
      </c>
      <c r="J1" s="21"/>
      <c r="K1" s="21"/>
      <c r="L1" s="21"/>
      <c r="M1" s="21"/>
      <c r="N1" s="21"/>
    </row>
    <row r="2" customFormat="false" ht="21.75" hidden="false" customHeight="true" outlineLevel="0" collapsed="false">
      <c r="A2" s="22" t="s">
        <v>45</v>
      </c>
      <c r="B2" s="22"/>
      <c r="C2" s="22"/>
      <c r="D2" s="22"/>
      <c r="E2" s="23" t="s">
        <v>46</v>
      </c>
      <c r="F2" s="24" t="n">
        <f aca="false">COUNTA(A4:A200)-COUNTBLANK(A4:A200)</f>
        <v>-167</v>
      </c>
      <c r="G2" s="23" t="s">
        <v>47</v>
      </c>
      <c r="H2" s="24" t="n">
        <f aca="false">COUNTIF(H4:H200,"Pass")</f>
        <v>5</v>
      </c>
      <c r="I2" s="23" t="s">
        <v>48</v>
      </c>
      <c r="J2" s="24" t="n">
        <f aca="false">COUNTIF(H4:H200,"Fail")</f>
        <v>2</v>
      </c>
      <c r="K2" s="23" t="s">
        <v>49</v>
      </c>
      <c r="L2" s="25" t="n">
        <f aca="false">IF(COUNTA(H4:H200)&gt;0,COUNTIF(H4:H200,"Pass")/COUNTA(H4:H200),"—")</f>
        <v>0.416666666666667</v>
      </c>
      <c r="M2" s="26"/>
      <c r="N2" s="26"/>
    </row>
    <row r="3" customFormat="false" ht="36" hidden="false" customHeight="true" outlineLevel="0" collapsed="false">
      <c r="A3" s="27" t="s">
        <v>50</v>
      </c>
      <c r="B3" s="27" t="s">
        <v>51</v>
      </c>
      <c r="C3" s="27" t="s">
        <v>52</v>
      </c>
      <c r="D3" s="27" t="s">
        <v>53</v>
      </c>
      <c r="E3" s="27" t="s">
        <v>54</v>
      </c>
      <c r="F3" s="27" t="s">
        <v>55</v>
      </c>
      <c r="G3" s="27" t="s">
        <v>56</v>
      </c>
      <c r="H3" s="27" t="s">
        <v>57</v>
      </c>
      <c r="I3" s="27" t="s">
        <v>58</v>
      </c>
      <c r="J3" s="27" t="s">
        <v>59</v>
      </c>
      <c r="K3" s="27" t="s">
        <v>60</v>
      </c>
      <c r="L3" s="27" t="s">
        <v>61</v>
      </c>
      <c r="M3" s="27" t="s">
        <v>62</v>
      </c>
      <c r="N3" s="27" t="s">
        <v>63</v>
      </c>
    </row>
    <row r="4" customFormat="false" ht="21.75" hidden="false" customHeight="true" outlineLevel="0" collapsed="false">
      <c r="A4" s="28" t="s">
        <v>64</v>
      </c>
      <c r="B4" s="28"/>
      <c r="C4" s="28"/>
      <c r="D4" s="28"/>
      <c r="E4" s="28"/>
      <c r="F4" s="28"/>
      <c r="G4" s="28"/>
      <c r="H4" s="28"/>
      <c r="I4" s="28"/>
      <c r="J4" s="28"/>
      <c r="K4" s="28"/>
      <c r="L4" s="28"/>
      <c r="M4" s="28"/>
      <c r="N4" s="28"/>
    </row>
    <row r="5" customFormat="false" ht="21.75" hidden="false" customHeight="true" outlineLevel="0" collapsed="false">
      <c r="A5" s="29" t="s">
        <v>65</v>
      </c>
      <c r="B5" s="30" t="s">
        <v>66</v>
      </c>
      <c r="C5" s="29" t="s">
        <v>67</v>
      </c>
      <c r="D5" s="29" t="s">
        <v>68</v>
      </c>
      <c r="E5" s="31" t="n">
        <v>24</v>
      </c>
      <c r="F5" s="29" t="s">
        <v>69</v>
      </c>
      <c r="G5" s="32" t="n">
        <v>45695</v>
      </c>
      <c r="H5" s="29" t="s">
        <v>70</v>
      </c>
      <c r="I5" s="30" t="s">
        <v>71</v>
      </c>
      <c r="J5" s="30" t="s">
        <v>72</v>
      </c>
      <c r="K5" s="30" t="s">
        <v>73</v>
      </c>
      <c r="L5" s="30" t="s">
        <v>74</v>
      </c>
    </row>
    <row r="6" customFormat="false" ht="21.75" hidden="false" customHeight="true" outlineLevel="0" collapsed="false">
      <c r="A6" s="29" t="s">
        <v>75</v>
      </c>
      <c r="B6" s="30" t="s">
        <v>76</v>
      </c>
      <c r="C6" s="29" t="s">
        <v>67</v>
      </c>
      <c r="D6" s="29" t="s">
        <v>68</v>
      </c>
      <c r="E6" s="31" t="n">
        <v>18</v>
      </c>
      <c r="F6" s="29" t="s">
        <v>69</v>
      </c>
      <c r="G6" s="32" t="n">
        <v>45702</v>
      </c>
      <c r="H6" s="29" t="s">
        <v>70</v>
      </c>
      <c r="I6" s="30" t="s">
        <v>77</v>
      </c>
      <c r="J6" s="30" t="s">
        <v>72</v>
      </c>
      <c r="K6" s="30" t="s">
        <v>73</v>
      </c>
      <c r="L6" s="30" t="s">
        <v>78</v>
      </c>
    </row>
    <row r="7" customFormat="false" ht="21.75" hidden="false" customHeight="true" outlineLevel="0" collapsed="false">
      <c r="A7" s="29" t="s">
        <v>79</v>
      </c>
      <c r="B7" s="30" t="s">
        <v>80</v>
      </c>
      <c r="C7" s="29" t="s">
        <v>67</v>
      </c>
      <c r="D7" s="29" t="s">
        <v>68</v>
      </c>
      <c r="E7" s="31" t="n">
        <v>12</v>
      </c>
      <c r="F7" s="29" t="s">
        <v>69</v>
      </c>
      <c r="G7" s="32"/>
      <c r="H7" s="29" t="s">
        <v>81</v>
      </c>
      <c r="I7" s="30"/>
      <c r="J7" s="30"/>
      <c r="K7" s="30"/>
      <c r="L7" s="30" t="s">
        <v>82</v>
      </c>
    </row>
    <row r="8" customFormat="false" ht="21.75" hidden="false" customHeight="true" outlineLevel="0" collapsed="false">
      <c r="A8" s="29" t="s">
        <v>83</v>
      </c>
      <c r="B8" s="30" t="s">
        <v>84</v>
      </c>
      <c r="C8" s="29" t="s">
        <v>67</v>
      </c>
      <c r="D8" s="29" t="s">
        <v>68</v>
      </c>
      <c r="E8" s="31" t="n">
        <v>15</v>
      </c>
      <c r="F8" s="29" t="s">
        <v>69</v>
      </c>
      <c r="G8" s="32" t="n">
        <v>45687</v>
      </c>
      <c r="H8" s="29" t="s">
        <v>85</v>
      </c>
      <c r="I8" s="30" t="s">
        <v>86</v>
      </c>
      <c r="J8" s="30" t="s">
        <v>72</v>
      </c>
      <c r="K8" s="30"/>
      <c r="L8" s="30" t="s">
        <v>87</v>
      </c>
    </row>
    <row r="10" customFormat="false" ht="18" hidden="false" customHeight="true" outlineLevel="0" collapsed="false">
      <c r="A10" s="33" t="s">
        <v>88</v>
      </c>
      <c r="B10" s="33"/>
      <c r="C10" s="33"/>
      <c r="D10" s="33"/>
      <c r="E10" s="33"/>
      <c r="F10" s="33"/>
      <c r="G10" s="33"/>
      <c r="H10" s="34" t="n">
        <f aca="false">COUNTIF(H5:H9,"Pass")</f>
        <v>2</v>
      </c>
      <c r="I10" s="34" t="n">
        <f aca="false">COUNTIF(H5:H9,"Fail")</f>
        <v>1</v>
      </c>
      <c r="J10" s="34" t="n">
        <f aca="false">COUNTA(A5:A9)-COUNTBLANK(A5:A9)</f>
        <v>3</v>
      </c>
      <c r="K10" s="35" t="n">
        <f aca="false">IF(COUNTA(A5:A9)&gt;0,COUNTIF(H5:H9,"Pass")/COUNTA(A5:A9),"—")</f>
        <v>0.5</v>
      </c>
      <c r="L10" s="36"/>
      <c r="M10" s="36"/>
      <c r="N10" s="36"/>
    </row>
    <row r="11" customFormat="false" ht="21.75" hidden="false" customHeight="true" outlineLevel="0" collapsed="false">
      <c r="A11" s="28" t="s">
        <v>89</v>
      </c>
      <c r="B11" s="28"/>
      <c r="C11" s="28"/>
      <c r="D11" s="28"/>
      <c r="E11" s="28"/>
      <c r="F11" s="28"/>
      <c r="G11" s="28"/>
      <c r="H11" s="28"/>
      <c r="I11" s="28"/>
      <c r="J11" s="28"/>
      <c r="K11" s="28"/>
      <c r="L11" s="28"/>
      <c r="M11" s="28"/>
      <c r="N11" s="28"/>
    </row>
    <row r="12" customFormat="false" ht="21.75" hidden="false" customHeight="true" outlineLevel="0" collapsed="false">
      <c r="A12" s="29" t="s">
        <v>90</v>
      </c>
      <c r="B12" s="30" t="s">
        <v>91</v>
      </c>
      <c r="C12" s="29" t="s">
        <v>92</v>
      </c>
      <c r="D12" s="29" t="s">
        <v>92</v>
      </c>
      <c r="E12" s="31" t="n">
        <v>0.035</v>
      </c>
      <c r="F12" s="29" t="s">
        <v>93</v>
      </c>
      <c r="G12" s="32" t="n">
        <v>45677</v>
      </c>
      <c r="H12" s="29" t="s">
        <v>70</v>
      </c>
      <c r="I12" s="30" t="s">
        <v>94</v>
      </c>
      <c r="J12" s="30" t="s">
        <v>95</v>
      </c>
      <c r="K12" s="30"/>
      <c r="L12" s="30" t="s">
        <v>96</v>
      </c>
    </row>
    <row r="13" customFormat="false" ht="21.75" hidden="false" customHeight="true" outlineLevel="0" collapsed="false">
      <c r="A13" s="29" t="s">
        <v>97</v>
      </c>
      <c r="B13" s="30" t="s">
        <v>98</v>
      </c>
      <c r="C13" s="29" t="s">
        <v>92</v>
      </c>
      <c r="D13" s="29" t="s">
        <v>92</v>
      </c>
      <c r="E13" s="31" t="n">
        <v>0.05</v>
      </c>
      <c r="F13" s="29" t="s">
        <v>99</v>
      </c>
      <c r="G13" s="32" t="n">
        <v>45719</v>
      </c>
      <c r="H13" s="29" t="s">
        <v>85</v>
      </c>
      <c r="I13" s="30" t="s">
        <v>100</v>
      </c>
      <c r="J13" s="30" t="s">
        <v>101</v>
      </c>
      <c r="K13" s="30"/>
      <c r="L13" s="30" t="s">
        <v>102</v>
      </c>
    </row>
    <row r="15" customFormat="false" ht="18" hidden="false" customHeight="true" outlineLevel="0" collapsed="false">
      <c r="A15" s="33" t="s">
        <v>88</v>
      </c>
      <c r="B15" s="33"/>
      <c r="C15" s="33"/>
      <c r="D15" s="33"/>
      <c r="E15" s="33"/>
      <c r="F15" s="33"/>
      <c r="G15" s="33"/>
      <c r="H15" s="34" t="n">
        <f aca="false">COUNTIF(H12:H14,"Pass")</f>
        <v>1</v>
      </c>
      <c r="I15" s="34" t="n">
        <f aca="false">COUNTIF(H12:H14,"Fail")</f>
        <v>1</v>
      </c>
      <c r="J15" s="34" t="n">
        <f aca="false">COUNTA(A12:A14)-COUNTBLANK(A12:A14)</f>
        <v>1</v>
      </c>
      <c r="K15" s="35" t="n">
        <f aca="false">IF(COUNTA(A12:A14)&gt;0,COUNTIF(H12:H14,"Pass")/COUNTA(A12:A14),"—")</f>
        <v>0.5</v>
      </c>
      <c r="L15" s="36"/>
      <c r="M15" s="36"/>
      <c r="N15" s="36"/>
    </row>
    <row r="16" customFormat="false" ht="21.75" hidden="false" customHeight="true" outlineLevel="0" collapsed="false">
      <c r="A16" s="28" t="s">
        <v>103</v>
      </c>
      <c r="B16" s="28"/>
      <c r="C16" s="28"/>
      <c r="D16" s="28"/>
      <c r="E16" s="28"/>
      <c r="F16" s="28"/>
      <c r="G16" s="28"/>
      <c r="H16" s="28"/>
      <c r="I16" s="28"/>
      <c r="J16" s="28"/>
      <c r="K16" s="28"/>
      <c r="L16" s="28"/>
      <c r="M16" s="28"/>
      <c r="N16" s="28"/>
    </row>
    <row r="17" customFormat="false" ht="21.75" hidden="false" customHeight="true" outlineLevel="0" collapsed="false">
      <c r="A17" s="29" t="s">
        <v>104</v>
      </c>
      <c r="B17" s="30" t="s">
        <v>105</v>
      </c>
      <c r="C17" s="29" t="s">
        <v>106</v>
      </c>
      <c r="D17" s="29" t="s">
        <v>68</v>
      </c>
      <c r="E17" s="31"/>
      <c r="F17" s="29" t="s">
        <v>107</v>
      </c>
      <c r="G17" s="32" t="n">
        <v>45682</v>
      </c>
      <c r="H17" s="29" t="s">
        <v>70</v>
      </c>
      <c r="I17" s="30" t="s">
        <v>108</v>
      </c>
      <c r="J17" s="30" t="s">
        <v>109</v>
      </c>
      <c r="K17" s="30"/>
      <c r="L17" s="30" t="s">
        <v>110</v>
      </c>
    </row>
    <row r="18" customFormat="false" ht="21.75" hidden="false" customHeight="true" outlineLevel="0" collapsed="false">
      <c r="A18" s="29" t="s">
        <v>111</v>
      </c>
      <c r="B18" s="30" t="s">
        <v>112</v>
      </c>
      <c r="C18" s="29" t="s">
        <v>67</v>
      </c>
      <c r="D18" s="29" t="s">
        <v>68</v>
      </c>
      <c r="E18" s="31"/>
      <c r="F18" s="29" t="s">
        <v>69</v>
      </c>
      <c r="G18" s="32" t="n">
        <v>45706</v>
      </c>
      <c r="H18" s="29" t="s">
        <v>70</v>
      </c>
      <c r="I18" s="30" t="s">
        <v>113</v>
      </c>
      <c r="J18" s="30" t="s">
        <v>95</v>
      </c>
      <c r="K18" s="30" t="s">
        <v>114</v>
      </c>
      <c r="L18" s="30" t="s">
        <v>115</v>
      </c>
    </row>
    <row r="19" customFormat="false" ht="21.75" hidden="false" customHeight="true" outlineLevel="0" collapsed="false">
      <c r="A19" s="29" t="s">
        <v>116</v>
      </c>
      <c r="B19" s="30" t="s">
        <v>117</v>
      </c>
      <c r="C19" s="29" t="s">
        <v>67</v>
      </c>
      <c r="D19" s="29" t="s">
        <v>68</v>
      </c>
      <c r="E19" s="31"/>
      <c r="F19" s="29" t="s">
        <v>118</v>
      </c>
      <c r="G19" s="32"/>
      <c r="H19" s="29" t="s">
        <v>81</v>
      </c>
      <c r="I19" s="30"/>
      <c r="J19" s="30"/>
      <c r="K19" s="30"/>
      <c r="L19" s="30" t="s">
        <v>119</v>
      </c>
    </row>
    <row r="21" customFormat="false" ht="18" hidden="false" customHeight="true" outlineLevel="0" collapsed="false">
      <c r="A21" s="33" t="s">
        <v>88</v>
      </c>
      <c r="B21" s="33"/>
      <c r="C21" s="33"/>
      <c r="D21" s="33"/>
      <c r="E21" s="33"/>
      <c r="F21" s="33"/>
      <c r="G21" s="33"/>
      <c r="H21" s="34" t="n">
        <f aca="false">COUNTIF(H17:H20,"Pass")</f>
        <v>2</v>
      </c>
      <c r="I21" s="34" t="n">
        <f aca="false">COUNTIF(H17:H20,"Fail")</f>
        <v>0</v>
      </c>
      <c r="J21" s="34" t="n">
        <f aca="false">COUNTA(A17:A20)-COUNTBLANK(A17:A20)</f>
        <v>2</v>
      </c>
      <c r="K21" s="35" t="n">
        <f aca="false">IF(COUNTA(A17:A20)&gt;0,COUNTIF(H17:H20,"Pass")/COUNTA(A17:A20),"—")</f>
        <v>0.666666666666667</v>
      </c>
      <c r="L21" s="36"/>
      <c r="M21" s="36"/>
      <c r="N21" s="36"/>
    </row>
  </sheetData>
  <autoFilter ref="A3:N3"/>
  <mergeCells count="11">
    <mergeCell ref="A1:B1"/>
    <mergeCell ref="C1:F1"/>
    <mergeCell ref="G1:H1"/>
    <mergeCell ref="I1:N1"/>
    <mergeCell ref="A2:D2"/>
    <mergeCell ref="A4:N4"/>
    <mergeCell ref="A10:G10"/>
    <mergeCell ref="A11:N11"/>
    <mergeCell ref="A15:G15"/>
    <mergeCell ref="A16:N16"/>
    <mergeCell ref="A21:G21"/>
  </mergeCells>
  <conditionalFormatting sqref="H4:H22">
    <cfRule type="cellIs" priority="2" operator="equal" aboveAverage="0" equalAverage="0" bottom="0" percent="0" rank="0" text="" dxfId="2">
      <formula>"Pass"</formula>
    </cfRule>
    <cfRule type="cellIs" priority="3" operator="equal" aboveAverage="0" equalAverage="0" bottom="0" percent="0" rank="0" text="" dxfId="3">
      <formula>"Fail"</formula>
    </cfRule>
    <cfRule type="cellIs" priority="4" operator="equal" aboveAverage="0" equalAverage="0" bottom="0" percent="0" rank="0" text="" dxfId="4">
      <formula>"Scheduled"</formula>
    </cfRule>
    <cfRule type="cellIs" priority="5" operator="equal" aboveAverage="0" equalAverage="0" bottom="0" percent="0" rank="0" text="" dxfId="5">
      <formula>"Waived"</formula>
    </cfRule>
  </conditionalFormatting>
  <conditionalFormatting sqref="A4:N22">
    <cfRule type="expression" priority="6" aboveAverage="0" equalAverage="0" bottom="0" percent="0" rank="0" text="" dxfId="6">
      <formula>$H4="Pass"</formula>
    </cfRule>
    <cfRule type="expression" priority="7" aboveAverage="0" equalAverage="0" bottom="0" percent="0" rank="0" text="" dxfId="3">
      <formula>$H4="Fail"</formula>
    </cfRule>
    <cfRule type="expression" priority="8" aboveAverage="0" equalAverage="0" bottom="0" percent="0" rank="0" text="" dxfId="4">
      <formula>$H4="Scheduled"</formula>
    </cfRule>
  </conditionalFormatting>
  <dataValidations count="3">
    <dataValidation allowBlank="true" errorStyle="stop" operator="between" showDropDown="false" showErrorMessage="false" showInputMessage="false" sqref="C4:C300" type="list">
      <formula1>"Hydraulic,Air,Manhole / Chamber,Leakage,Vacuum"</formula1>
      <formula2>0</formula2>
    </dataValidation>
    <dataValidation allowBlank="true" errorStyle="stop" operator="between" showDropDown="false" showErrorMessage="false" showInputMessage="false" sqref="D4:D300" type="list">
      <formula1>"Water,Air,Nitrogen,Potable Water"</formula1>
      <formula2>0</formula2>
    </dataValidation>
    <dataValidation allowBlank="true" errorStyle="stop" operator="between" showDropDown="false" showErrorMessage="false" showInputMessage="false" sqref="H4:H300" type="list">
      <formula1>"Pass,Fail,Scheduled,Waived"</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&amp;CPressure / Hydro / Air Test Pack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7" t="s">
        <v>120</v>
      </c>
    </row>
    <row r="2" customFormat="false" ht="21.75" hidden="false" customHeight="true" outlineLevel="0" collapsed="false">
      <c r="A2" s="38"/>
    </row>
    <row r="3" customFormat="false" ht="21.75" hidden="false" customHeight="true" outlineLevel="0" collapsed="false">
      <c r="A3" s="38" t="s">
        <v>121</v>
      </c>
    </row>
    <row r="4" customFormat="false" ht="21.75" hidden="false" customHeight="true" outlineLevel="0" collapsed="false">
      <c r="A4" s="38"/>
    </row>
    <row r="5" customFormat="false" ht="21.75" hidden="false" customHeight="true" outlineLevel="0" collapsed="false">
      <c r="A5" s="38" t="s">
        <v>122</v>
      </c>
    </row>
    <row r="6" customFormat="false" ht="21.75" hidden="false" customHeight="true" outlineLevel="0" collapsed="false">
      <c r="A6" s="38" t="s">
        <v>123</v>
      </c>
    </row>
    <row r="7" customFormat="false" ht="21.75" hidden="false" customHeight="true" outlineLevel="0" collapsed="false">
      <c r="A7" s="38" t="s">
        <v>124</v>
      </c>
    </row>
    <row r="8" customFormat="false" ht="21.75" hidden="false" customHeight="true" outlineLevel="0" collapsed="false">
      <c r="A8" s="38" t="s">
        <v>125</v>
      </c>
    </row>
    <row r="9" customFormat="false" ht="21.75" hidden="false" customHeight="true" outlineLevel="0" collapsed="false">
      <c r="A9" s="38" t="s">
        <v>126</v>
      </c>
    </row>
    <row r="10" customFormat="false" ht="21.75" hidden="false" customHeight="true" outlineLevel="0" collapsed="false">
      <c r="A10" s="38" t="s">
        <v>127</v>
      </c>
    </row>
    <row r="11" customFormat="false" ht="21.75" hidden="false" customHeight="true" outlineLevel="0" collapsed="false">
      <c r="A11" s="38"/>
    </row>
    <row r="12" customFormat="false" ht="21.75" hidden="false" customHeight="true" outlineLevel="0" collapsed="false">
      <c r="A12" s="38"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Quality &amp; Inspection</cp:category>
  <dcterms:created xsi:type="dcterms:W3CDTF">2026-03-24T13:24:53Z</dcterms:created>
  <dc:creator>Ebrora Ltd</dc:creator>
  <dc:description>Test pack register for hydraulic, air and manhole pressure tests with parameters, results and certificate references on UK construction projects.
Free professional construction management template from Ebrora Ltd. Visit ebrora.com for our full range of tools and templates.</dc:description>
  <cp:keywords>Ebrora construction pressure test hydraulic test air test test pack quality UK construction</cp:keywords>
  <dc:language>en-US</dc:language>
  <cp:lastModifiedBy>Ebrora Ltd</cp:lastModifiedBy>
  <dcterms:modified xsi:type="dcterms:W3CDTF">2026-03-24T13:24:53Z</dcterms:modified>
  <cp:revision>0</cp:revision>
  <dc:subject>Test pack register indexing all hydraulic, air and manhole pressure tests with test parameters, results and certificate references on construction projects.</dc:subject>
  <dc:title>Pressure / Hydro / Air Test Pack Register</dc:title>
</cp:coreProperties>
</file>

<file path=docProps/custom.xml><?xml version="1.0" encoding="utf-8"?>
<Properties xmlns="http://schemas.openxmlformats.org/officeDocument/2006/custom-properties" xmlns:vt="http://schemas.openxmlformats.org/officeDocument/2006/docPropsVTypes"/>
</file>