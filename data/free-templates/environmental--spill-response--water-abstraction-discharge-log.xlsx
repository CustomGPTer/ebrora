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Volume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'Volume Log'!$A$1:$AL$15</definedName>
    <definedName function="false" hidden="false" localSheetId="2" name="_xlnm.Print_Titles" vbProcedure="false">'Volume Log'!$A:$E,'Volume Log'!$3:$3</definedName>
    <definedName function="false" hidden="false" localSheetId="2" name="_xlnm.Print_Titles" vbProcedure="false">'Volume Log'!$3:$3,'Volume Log'!$A:$E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<sst xmlns="http://schemas.openxmlformats.org/spreadsheetml/2006/main" count="105" uniqueCount="101">
  <si>
    <t xml:space="preserve">EBRORA</t>
  </si>
  <si>
    <t xml:space="preserve">ebrora.com</t>
  </si>
  <si>
    <t xml:space="preserve">Water Abstraction /</t>
  </si>
  <si>
    <t xml:space="preserve">Discharge Volume Log</t>
  </si>
  <si>
    <t xml:space="preserve">Log daily abstraction and discharge volumes against licence limits</t>
  </si>
  <si>
    <t xml:space="preserve">with automated monthly totals and compliance tracking.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</si>
  <si>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</si>
  <si>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</si>
  <si>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</si>
  <si>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</si>
  <si>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</si>
  <si>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</si>
  <si>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'Volume Log' sheet. This is a daily recording grid for one calendar month.</t>
  </si>
  <si>
    <t xml:space="preserve">2.</t>
  </si>
  <si>
    <t xml:space="preserve">Row headers (columns A–E) define each monitoring point: ID, Location, Type, Daily Limit, Monthly Limit.</t>
  </si>
  <si>
    <t xml:space="preserve">3.</t>
  </si>
  <si>
    <t xml:space="preserve">Enter the Month/Year in cell B1. Days 1–31 run across columns F onwards.</t>
  </si>
  <si>
    <t xml:space="preserve">4.</t>
  </si>
  <si>
    <t xml:space="preserve">Record the daily volume (m³) in each cell. Leave blank for days with no reading or non-applicable days (e.g., day 31 in a 30-day month).</t>
  </si>
  <si>
    <t xml:space="preserve">5.</t>
  </si>
  <si>
    <t xml:space="preserve">The 'Monthly Total' column auto-sums all daily readings. '% of Monthly Limit' auto-calculates compliance.</t>
  </si>
  <si>
    <t xml:space="preserve">6.</t>
  </si>
  <si>
    <t xml:space="preserve">Daily readings that exceed the daily licence limit highlight red. Monthly totals approaching the limit highlight amber.</t>
  </si>
  <si>
    <t xml:space="preserve">7.</t>
  </si>
  <si>
    <t xml:space="preserve">Copy this sheet for each month and update the month reference. Keep all months in one workbook for annual reporting.</t>
  </si>
  <si>
    <t xml:space="preserve">Colour Key</t>
  </si>
  <si>
    <t xml:space="preserve">Light teal cells (#E8F6F7) = User input / daily volume readings</t>
  </si>
  <si>
    <t xml:space="preserve">Dark navy headers (#1B2A4A) = Do not edit</t>
  </si>
  <si>
    <t xml:space="preserve">Green = Within limit (&lt; 80% of licence)</t>
  </si>
  <si>
    <t xml:space="preserve">Amber = Approaching limit (80–99% of licence)</t>
  </si>
  <si>
    <t xml:space="preserve">Red = Exceeds licence limit</t>
  </si>
  <si>
    <t xml:space="preserve">Tips</t>
  </si>
  <si>
    <t xml:space="preserve">Tip 1:</t>
  </si>
  <si>
    <t xml:space="preserve">Read meters at the same time each day for consistency. The EA expects regular, reliable data.</t>
  </si>
  <si>
    <t xml:space="preserve">Tip 2:</t>
  </si>
  <si>
    <t xml:space="preserve">If a meter is faulty or unreadable, record 'N/R' in your Notes and estimate the volume — never leave a blank without explanation.</t>
  </si>
  <si>
    <t xml:space="preserve">Tip 3:</t>
  </si>
  <si>
    <t xml:space="preserve">Submit monthly returns to the EA by the required date. Late returns are a breach of your licence conditions.</t>
  </si>
  <si>
    <t xml:space="preserve">Month / Year:</t>
  </si>
  <si>
    <t xml:space="preserve">April 2026</t>
  </si>
  <si>
    <t xml:space="preserve">Point ID</t>
  </si>
  <si>
    <t xml:space="preserve">Location</t>
  </si>
  <si>
    <t xml:space="preserve">Type</t>
  </si>
  <si>
    <t xml:space="preserve">Daily Limit
(m³/day)</t>
  </si>
  <si>
    <t xml:space="preserve">Monthly Limit
(m³/month)</t>
  </si>
  <si>
    <t xml:space="preserve">Day
1</t>
  </si>
  <si>
    <t xml:space="preserve">Day
2</t>
  </si>
  <si>
    <t xml:space="preserve">Day
3</t>
  </si>
  <si>
    <t xml:space="preserve">Day
4</t>
  </si>
  <si>
    <t xml:space="preserve">Day
5</t>
  </si>
  <si>
    <t xml:space="preserve">Day
6</t>
  </si>
  <si>
    <t xml:space="preserve">Day
7</t>
  </si>
  <si>
    <t xml:space="preserve">Day
8</t>
  </si>
  <si>
    <t xml:space="preserve">Day
9</t>
  </si>
  <si>
    <t xml:space="preserve">Day
10</t>
  </si>
  <si>
    <t xml:space="preserve">Day
11</t>
  </si>
  <si>
    <t xml:space="preserve">Day
12</t>
  </si>
  <si>
    <t xml:space="preserve">Day
13</t>
  </si>
  <si>
    <t xml:space="preserve">Day
14</t>
  </si>
  <si>
    <t xml:space="preserve">Day
15</t>
  </si>
  <si>
    <t xml:space="preserve">Day
16</t>
  </si>
  <si>
    <t xml:space="preserve">Day
17</t>
  </si>
  <si>
    <t xml:space="preserve">Day
18</t>
  </si>
  <si>
    <t xml:space="preserve">Day
19</t>
  </si>
  <si>
    <t xml:space="preserve">Day
20</t>
  </si>
  <si>
    <t xml:space="preserve">Day
21</t>
  </si>
  <si>
    <t xml:space="preserve">Day
22</t>
  </si>
  <si>
    <t xml:space="preserve">Day
23</t>
  </si>
  <si>
    <t xml:space="preserve">Day
24</t>
  </si>
  <si>
    <t xml:space="preserve">Day
25</t>
  </si>
  <si>
    <t xml:space="preserve">Day
26</t>
  </si>
  <si>
    <t xml:space="preserve">Day
27</t>
  </si>
  <si>
    <t xml:space="preserve">Day
28</t>
  </si>
  <si>
    <t xml:space="preserve">Day
29</t>
  </si>
  <si>
    <t xml:space="preserve">Day
30</t>
  </si>
  <si>
    <t xml:space="preserve">Day
31</t>
  </si>
  <si>
    <t xml:space="preserve">Monthly
Total</t>
  </si>
  <si>
    <t xml:space="preserve">% of
Limit</t>
  </si>
  <si>
    <t xml:space="preserve">ABS-01</t>
  </si>
  <si>
    <t xml:space="preserve">Borehole 7 — Construction Dewatering</t>
  </si>
  <si>
    <t xml:space="preserve">Abstraction</t>
  </si>
  <si>
    <t xml:space="preserve">ABS-02</t>
  </si>
  <si>
    <t xml:space="preserve">River Abstraction — Process Water</t>
  </si>
  <si>
    <t xml:space="preserve">DIS-01</t>
  </si>
  <si>
    <t xml:space="preserve">Final Effluent Outfall</t>
  </si>
  <si>
    <t xml:space="preserve">Discharge</t>
  </si>
  <si>
    <t xml:space="preserve">DIS-02</t>
  </si>
  <si>
    <t xml:space="preserve">Storm Overflow — CSO</t>
  </si>
  <si>
    <t xml:space="preserve">ABS-03</t>
  </si>
  <si>
    <t xml:space="preserve">Temporary Works Dewatering — Storm Tanks</t>
  </si>
  <si>
    <t xml:space="preserve">DIS-03</t>
  </si>
  <si>
    <t xml:space="preserve">Construction Surface Water Discharge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</si>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</sst>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0.5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10</v>
      </c>
      <c r="B4" s="13"/>
    </row>
    <row r="5" customFormat="false" ht="15" hidden="false" customHeight="false" outlineLevel="0" collapsed="false">
      <c r="A5" s="12" t="s">
        <v>11</v>
      </c>
      <c r="B5" s="13" t="s">
        <v>12</v>
      </c>
    </row>
    <row r="6" customFormat="false" ht="15" hidden="false" customHeight="false" outlineLevel="0" collapsed="false">
      <c r="A6" s="12" t="s">
        <v>13</v>
      </c>
      <c r="B6" s="13" t="s">
        <v>14</v>
      </c>
    </row>
    <row r="7" customFormat="false" ht="15" hidden="false" customHeight="false" outlineLevel="0" collapsed="false">
      <c r="A7" s="12" t="s">
        <v>15</v>
      </c>
      <c r="B7" s="13" t="s">
        <v>16</v>
      </c>
    </row>
    <row r="8" customFormat="false" ht="23.85" hidden="false" customHeight="false" outlineLevel="0" collapsed="false">
      <c r="A8" s="12" t="s">
        <v>17</v>
      </c>
      <c r="B8" s="13" t="s">
        <v>18</v>
      </c>
    </row>
    <row r="9" customFormat="false" ht="15" hidden="false" customHeight="false" outlineLevel="0" collapsed="false">
      <c r="A9" s="12" t="s">
        <v>19</v>
      </c>
      <c r="B9" s="13" t="s">
        <v>20</v>
      </c>
    </row>
    <row r="10" customFormat="false" ht="15" hidden="false" customHeight="false" outlineLevel="0" collapsed="false">
      <c r="A10" s="12" t="s">
        <v>21</v>
      </c>
      <c r="B10" s="13" t="s">
        <v>22</v>
      </c>
    </row>
    <row r="11" customFormat="false" ht="15" hidden="false" customHeight="false" outlineLevel="0" collapsed="false">
      <c r="A11" s="12" t="s">
        <v>23</v>
      </c>
      <c r="B11" s="13" t="s">
        <v>24</v>
      </c>
    </row>
    <row r="12" customFormat="false" ht="15" hidden="false" customHeight="false" outlineLevel="0" collapsed="false">
      <c r="A12" s="12"/>
      <c r="B12" s="13"/>
    </row>
    <row r="13" customFormat="false" ht="15" hidden="false" customHeight="false" outlineLevel="0" collapsed="false">
      <c r="A13" s="14" t="s">
        <v>25</v>
      </c>
      <c r="B13" s="13"/>
    </row>
    <row r="14" customFormat="false" ht="15" hidden="false" customHeight="false" outlineLevel="0" collapsed="false">
      <c r="A14" s="12"/>
      <c r="B14" s="13" t="s">
        <v>26</v>
      </c>
    </row>
    <row r="15" customFormat="false" ht="15" hidden="false" customHeight="false" outlineLevel="0" collapsed="false">
      <c r="A15" s="12"/>
      <c r="B15" s="13" t="s">
        <v>27</v>
      </c>
    </row>
    <row r="16" customFormat="false" ht="15" hidden="false" customHeight="false" outlineLevel="0" collapsed="false">
      <c r="A16" s="12"/>
      <c r="B16" s="13" t="s">
        <v>28</v>
      </c>
    </row>
    <row r="17" customFormat="false" ht="15" hidden="false" customHeight="false" outlineLevel="0" collapsed="false">
      <c r="A17" s="12"/>
      <c r="B17" s="13" t="s">
        <v>29</v>
      </c>
    </row>
    <row r="18" customFormat="false" ht="15" hidden="false" customHeight="false" outlineLevel="0" collapsed="false">
      <c r="A18" s="12"/>
      <c r="B18" s="13" t="s">
        <v>30</v>
      </c>
    </row>
    <row r="19" customFormat="false" ht="15" hidden="false" customHeight="false" outlineLevel="0" collapsed="false">
      <c r="A19" s="12"/>
      <c r="B19" s="13"/>
    </row>
    <row r="20" customFormat="false" ht="15" hidden="false" customHeight="false" outlineLevel="0" collapsed="false">
      <c r="A20" s="14" t="s">
        <v>31</v>
      </c>
      <c r="B20" s="13"/>
    </row>
    <row r="21" customFormat="false" ht="15" hidden="false" customHeight="false" outlineLevel="0" collapsed="false">
      <c r="A21" s="15" t="s">
        <v>32</v>
      </c>
      <c r="B21" s="13" t="s">
        <v>33</v>
      </c>
    </row>
    <row r="22" customFormat="false" ht="23.85" hidden="false" customHeight="false" outlineLevel="0" collapsed="false">
      <c r="A22" s="15" t="s">
        <v>34</v>
      </c>
      <c r="B22" s="13" t="s">
        <v>35</v>
      </c>
    </row>
    <row r="23" customFormat="false" ht="15" hidden="false" customHeight="false" outlineLevel="0" collapsed="false">
      <c r="A23" s="15" t="s">
        <v>36</v>
      </c>
      <c r="B23" s="13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36" min="6" style="0" width="8"/>
    <col collapsed="false" customWidth="true" hidden="false" outlineLevel="0" max="37" min="37" style="0" width="14"/>
    <col collapsed="false" customWidth="true" hidden="false" outlineLevel="0" max="38" min="38" style="0" width="12"/>
  </cols>
  <sheetData>
    <row r="1" customFormat="false" ht="15" hidden="false" customHeight="false" outlineLevel="0" collapsed="false">
      <c r="A1" s="16" t="s">
        <v>38</v>
      </c>
      <c r="B1" s="16"/>
      <c r="C1" s="16"/>
      <c r="D1" s="17" t="s">
        <v>39</v>
      </c>
    </row>
    <row r="3" customFormat="false" ht="28.35" hidden="false" customHeight="false" outlineLevel="0" collapsed="false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44</v>
      </c>
      <c r="F3" s="19" t="s">
        <v>45</v>
      </c>
      <c r="G3" s="19" t="s">
        <v>46</v>
      </c>
      <c r="H3" s="19" t="s">
        <v>47</v>
      </c>
      <c r="I3" s="19" t="s">
        <v>48</v>
      </c>
      <c r="J3" s="19" t="s">
        <v>49</v>
      </c>
      <c r="K3" s="19" t="s">
        <v>50</v>
      </c>
      <c r="L3" s="19" t="s">
        <v>51</v>
      </c>
      <c r="M3" s="19" t="s">
        <v>52</v>
      </c>
      <c r="N3" s="19" t="s">
        <v>53</v>
      </c>
      <c r="O3" s="19" t="s">
        <v>54</v>
      </c>
      <c r="P3" s="19" t="s">
        <v>55</v>
      </c>
      <c r="Q3" s="19" t="s">
        <v>56</v>
      </c>
      <c r="R3" s="19" t="s">
        <v>57</v>
      </c>
      <c r="S3" s="19" t="s">
        <v>58</v>
      </c>
      <c r="T3" s="19" t="s">
        <v>59</v>
      </c>
      <c r="U3" s="19" t="s">
        <v>60</v>
      </c>
      <c r="V3" s="19" t="s">
        <v>61</v>
      </c>
      <c r="W3" s="19" t="s">
        <v>62</v>
      </c>
      <c r="X3" s="19" t="s">
        <v>63</v>
      </c>
      <c r="Y3" s="19" t="s">
        <v>64</v>
      </c>
      <c r="Z3" s="19" t="s">
        <v>65</v>
      </c>
      <c r="AA3" s="19" t="s">
        <v>66</v>
      </c>
      <c r="AB3" s="19" t="s">
        <v>67</v>
      </c>
      <c r="AC3" s="19" t="s">
        <v>68</v>
      </c>
      <c r="AD3" s="19" t="s">
        <v>69</v>
      </c>
      <c r="AE3" s="19" t="s">
        <v>70</v>
      </c>
      <c r="AF3" s="19" t="s">
        <v>71</v>
      </c>
      <c r="AG3" s="19" t="s">
        <v>72</v>
      </c>
      <c r="AH3" s="19" t="s">
        <v>73</v>
      </c>
      <c r="AI3" s="19" t="s">
        <v>74</v>
      </c>
      <c r="AJ3" s="19" t="s">
        <v>75</v>
      </c>
      <c r="AK3" s="18" t="s">
        <v>76</v>
      </c>
      <c r="AL3" s="18" t="s">
        <v>77</v>
      </c>
    </row>
    <row r="4" customFormat="false" ht="23.85" hidden="false" customHeight="false" outlineLevel="0" collapsed="false">
      <c r="A4" s="20" t="s">
        <v>78</v>
      </c>
      <c r="B4" s="21" t="s">
        <v>79</v>
      </c>
      <c r="C4" s="20" t="s">
        <v>80</v>
      </c>
      <c r="D4" s="22" t="n">
        <v>500</v>
      </c>
      <c r="E4" s="22" t="n">
        <v>12000</v>
      </c>
      <c r="F4" s="23" t="n">
        <v>420</v>
      </c>
      <c r="G4" s="23" t="n">
        <v>380</v>
      </c>
      <c r="H4" s="23" t="n">
        <v>450</v>
      </c>
      <c r="I4" s="23" t="n">
        <v>390</v>
      </c>
      <c r="J4" s="23" t="n">
        <v>410</v>
      </c>
      <c r="K4" s="23"/>
      <c r="L4" s="23"/>
      <c r="M4" s="23" t="n">
        <v>440</v>
      </c>
      <c r="N4" s="23" t="n">
        <v>470</v>
      </c>
      <c r="O4" s="23" t="n">
        <v>425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4" t="n">
        <f aca="false">SUM(F4:AJ4)</f>
        <v>3385</v>
      </c>
      <c r="AL4" s="25" t="n">
        <f aca="false">IF(E4=0,"N/A",AK4/E4)</f>
        <v>0.282083333333333</v>
      </c>
    </row>
    <row r="5" customFormat="false" ht="23.85" hidden="false" customHeight="false" outlineLevel="0" collapsed="false">
      <c r="A5" s="20" t="s">
        <v>81</v>
      </c>
      <c r="B5" s="21" t="s">
        <v>82</v>
      </c>
      <c r="C5" s="20" t="s">
        <v>80</v>
      </c>
      <c r="D5" s="22" t="n">
        <v>200</v>
      </c>
      <c r="E5" s="22" t="n">
        <v>5000</v>
      </c>
      <c r="F5" s="23" t="n">
        <v>150</v>
      </c>
      <c r="G5" s="23" t="n">
        <v>140</v>
      </c>
      <c r="H5" s="23" t="n">
        <v>160</v>
      </c>
      <c r="I5" s="23" t="n">
        <v>155</v>
      </c>
      <c r="J5" s="23" t="n">
        <v>180</v>
      </c>
      <c r="K5" s="23"/>
      <c r="L5" s="23"/>
      <c r="M5" s="23" t="n">
        <v>145</v>
      </c>
      <c r="N5" s="23" t="n">
        <v>170</v>
      </c>
      <c r="O5" s="23" t="n">
        <v>155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4" t="n">
        <f aca="false">SUM(F5:AJ5)</f>
        <v>1255</v>
      </c>
      <c r="AL5" s="25" t="n">
        <f aca="false">IF(E5=0,"N/A",AK5/E5)</f>
        <v>0.251</v>
      </c>
    </row>
    <row r="6" customFormat="false" ht="15" hidden="false" customHeight="false" outlineLevel="0" collapsed="false">
      <c r="A6" s="20" t="s">
        <v>83</v>
      </c>
      <c r="B6" s="21" t="s">
        <v>84</v>
      </c>
      <c r="C6" s="20" t="s">
        <v>85</v>
      </c>
      <c r="D6" s="22" t="n">
        <v>5000</v>
      </c>
      <c r="E6" s="22" t="n">
        <v>120000</v>
      </c>
      <c r="F6" s="23" t="n">
        <v>4200</v>
      </c>
      <c r="G6" s="23" t="n">
        <v>3800</v>
      </c>
      <c r="H6" s="23" t="n">
        <v>4500</v>
      </c>
      <c r="I6" s="23" t="n">
        <v>3900</v>
      </c>
      <c r="J6" s="23" t="n">
        <v>4100</v>
      </c>
      <c r="K6" s="23" t="n">
        <v>3200</v>
      </c>
      <c r="L6" s="23" t="n">
        <v>2800</v>
      </c>
      <c r="M6" s="23" t="n">
        <v>4400</v>
      </c>
      <c r="N6" s="23" t="n">
        <v>4700</v>
      </c>
      <c r="O6" s="23" t="n">
        <v>5200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4" t="n">
        <f aca="false">SUM(F6:AJ6)</f>
        <v>40800</v>
      </c>
      <c r="AL6" s="25" t="n">
        <f aca="false">IF(E6=0,"N/A",AK6/E6)</f>
        <v>0.34</v>
      </c>
    </row>
    <row r="7" customFormat="false" ht="15" hidden="false" customHeight="false" outlineLevel="0" collapsed="false">
      <c r="A7" s="20" t="s">
        <v>86</v>
      </c>
      <c r="B7" s="21" t="s">
        <v>87</v>
      </c>
      <c r="C7" s="20" t="s">
        <v>85</v>
      </c>
      <c r="D7" s="22" t="n">
        <v>8000</v>
      </c>
      <c r="E7" s="22" t="n">
        <v>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4" t="n">
        <f aca="false">SUM(F7:AJ7)</f>
        <v>0</v>
      </c>
      <c r="AL7" s="25" t="str">
        <f aca="false">IF(E7=0,"N/A",AK7/E7)</f>
        <v>N/A</v>
      </c>
    </row>
    <row r="8" customFormat="false" ht="23.85" hidden="false" customHeight="false" outlineLevel="0" collapsed="false">
      <c r="A8" s="20" t="s">
        <v>88</v>
      </c>
      <c r="B8" s="21" t="s">
        <v>89</v>
      </c>
      <c r="C8" s="20" t="s">
        <v>80</v>
      </c>
      <c r="D8" s="22" t="n">
        <v>300</v>
      </c>
      <c r="E8" s="22" t="n">
        <v>7500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4" t="n">
        <f aca="false">SUM(F8:AJ8)</f>
        <v>0</v>
      </c>
      <c r="AL8" s="25" t="n">
        <f aca="false">IF(E8=0,"N/A",AK8/E8)</f>
        <v>0</v>
      </c>
    </row>
    <row r="9" customFormat="false" ht="23.85" hidden="false" customHeight="false" outlineLevel="0" collapsed="false">
      <c r="A9" s="20" t="s">
        <v>90</v>
      </c>
      <c r="B9" s="21" t="s">
        <v>91</v>
      </c>
      <c r="C9" s="20" t="s">
        <v>85</v>
      </c>
      <c r="D9" s="22" t="n">
        <v>1000</v>
      </c>
      <c r="E9" s="22" t="n">
        <v>25000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4" t="n">
        <f aca="false">SUM(F9:AJ9)</f>
        <v>0</v>
      </c>
      <c r="AL9" s="25" t="n">
        <f aca="false">IF(E9=0,"N/A",AK9/E9)</f>
        <v>0</v>
      </c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7" t="n">
        <f aca="false">SUM(F10:AJ10)</f>
        <v>0</v>
      </c>
      <c r="AL10" s="28" t="str">
        <f aca="false">IF(E10=0,"N/A",AK10/E10)</f>
        <v>N/A</v>
      </c>
    </row>
    <row r="11" customFormat="false" ht="15" hidden="false" customHeight="false" outlineLevel="0" collapsed="false">
      <c r="A11" s="26"/>
      <c r="B11" s="26"/>
      <c r="C11" s="26"/>
      <c r="D11" s="26"/>
      <c r="E11" s="26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7" t="n">
        <f aca="false">SUM(F11:AJ11)</f>
        <v>0</v>
      </c>
      <c r="AL11" s="28" t="str">
        <f aca="false">IF(E11=0,"N/A",AK11/E11)</f>
        <v>N/A</v>
      </c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7" t="n">
        <f aca="false">SUM(F12:AJ12)</f>
        <v>0</v>
      </c>
      <c r="AL12" s="28" t="str">
        <f aca="false">IF(E12=0,"N/A",AK12/E12)</f>
        <v>N/A</v>
      </c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7" t="n">
        <f aca="false">SUM(F13:AJ13)</f>
        <v>0</v>
      </c>
      <c r="AL13" s="28" t="str">
        <f aca="false">IF(E13=0,"N/A",AK13/E13)</f>
        <v>N/A</v>
      </c>
    </row>
    <row r="14" customFormat="false" ht="15" hidden="false" customHeight="false" outlineLevel="0" collapsed="false">
      <c r="A14" s="26"/>
      <c r="B14" s="26"/>
      <c r="C14" s="26"/>
      <c r="D14" s="26"/>
      <c r="E14" s="26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7" t="n">
        <f aca="false">SUM(F14:AJ14)</f>
        <v>0</v>
      </c>
      <c r="AL14" s="28" t="str">
        <f aca="false">IF(E14=0,"N/A",AK14/E14)</f>
        <v>N/A</v>
      </c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7" t="n">
        <f aca="false">SUM(F15:AJ15)</f>
        <v>0</v>
      </c>
      <c r="AL15" s="28" t="str">
        <f aca="false">IF(E15=0,"N/A",AK15/E15)</f>
        <v>N/A</v>
      </c>
    </row>
  </sheetData>
  <mergeCells count="1">
    <mergeCell ref="A1:C1"/>
  </mergeCells>
  <conditionalFormatting sqref="F4:AJ15">
    <cfRule type="expression" priority="2" aboveAverage="0" equalAverage="0" bottom="0" percent="0" rank="0" text="" dxfId="0">
      <formula>AND(F4&gt;$D4,$D4&gt;0,F4&lt;&gt;"")</formula>
    </cfRule>
    <cfRule type="expression" priority="3" aboveAverage="0" equalAverage="0" bottom="0" percent="0" rank="0" text="" dxfId="1">
      <formula>AND(F4&gt;=$D4*0.8,F4&lt;=$D4,$D4&gt;0,F4&lt;&gt;"")</formula>
    </cfRule>
  </conditionalFormatting>
  <conditionalFormatting sqref="AL4:AL15">
    <cfRule type="cellIs" priority="4" operator="greaterThanOrEqual" aboveAverage="0" equalAverage="0" bottom="0" percent="0" rank="0" text="" dxfId="0">
      <formula>1</formula>
    </cfRule>
    <cfRule type="cellIs" priority="5" operator="between" aboveAverage="0" equalAverage="0" bottom="0" percent="0" rank="0" text="" dxfId="1">
      <formula>0.8</formula>
      <formula>0.9999</formula>
    </cfRule>
    <cfRule type="cellIs" priority="6" operator="lessThan" aboveAverage="0" equalAverage="0" bottom="0" percent="0" rank="0" text="" dxfId="2">
      <formula>0.8</formula>
    </cfRule>
  </conditionalFormatting>
  <dataValidations count="1">
    <dataValidation allowBlank="true" errorStyle="stop" operator="between" showDropDown="false" showErrorMessage="false" showInputMessage="false" sqref="C4:C15" type="list">
      <formula1>"Abstraction,Discharge"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&amp;CWater Abstraction / Discharge Volume Log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9" t="s">
        <v>92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93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1" t="s">
        <v>94</v>
      </c>
    </row>
    <row r="6" customFormat="false" ht="23.85" hidden="false" customHeight="false" outlineLevel="0" collapsed="false">
      <c r="A6" s="31" t="s">
        <v>95</v>
      </c>
    </row>
    <row r="7" customFormat="false" ht="15" hidden="false" customHeight="false" outlineLevel="0" collapsed="false">
      <c r="A7" s="31" t="s">
        <v>96</v>
      </c>
    </row>
    <row r="8" customFormat="false" ht="15" hidden="false" customHeight="false" outlineLevel="0" collapsed="false">
      <c r="A8" s="31" t="s">
        <v>97</v>
      </c>
    </row>
    <row r="9" customFormat="false" ht="23.85" hidden="false" customHeight="false" outlineLevel="0" collapsed="false">
      <c r="A9" s="31" t="s">
        <v>98</v>
      </c>
    </row>
    <row r="10" customFormat="false" ht="15" hidden="false" customHeight="false" outlineLevel="0" collapsed="false">
      <c r="A10" s="31" t="s">
        <v>99</v>
      </c>
    </row>
    <row r="11" customFormat="false" ht="15" hidden="false" customHeight="false" outlineLevel="0" collapsed="false">
      <c r="A11" s="30"/>
    </row>
    <row r="12" customFormat="false" ht="15" hidden="false" customHeight="false" outlineLevel="0" collapsed="false">
      <c r="A12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 &amp; Compliance</cp:category>
  <dcterms:created xsi:type="dcterms:W3CDTF">2026-03-24T16:54:44Z</dcterms:created>
  <dc:creator>Ebrora Ltd</dc:creator>
  <dc:description>Log daily water abstraction and discharge volumes against EA licence limits with automated monthly totals, percentage of licence used, and colour-coded compliance alerts.
Free professional construction management template from Ebrora Ltd. Visit ebrora.com for our full range of tools and templates.</dc:description>
  <cp:keywords>Ebrora construction abstraction discharge volume licence EA environment water</cp:keywords>
  <dc:language>en-US</dc:language>
  <cp:lastModifiedBy>Ebrora Ltd</cp:lastModifiedBy>
  <dcterms:modified xsi:type="dcterms:W3CDTF">2026-03-24T16:54:44Z</dcterms:modified>
  <cp:revision>0</cp:revision>
  <dc:subject>Log daily abstraction and discharge volumes against licence limits with monthly totals and compliance tracking.</dc:subject>
  <dc:title>Water Abstraction / Discharge Volume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