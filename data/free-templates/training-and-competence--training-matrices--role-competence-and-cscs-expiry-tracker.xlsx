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 COMPETENCE AND CSCS EXPIRY" sheetId="1" state="visible" r:id="rId3"/>
    <sheet name="Instructions" sheetId="2" state="visible" r:id="rId4"/>
  </sheets>
  <definedNames>
    <definedName function="false" hidden="false" localSheetId="0" name="_xlnm.Print_Area" vbProcedure="false">'ROLE COMPETENCE AND CSCS EXPIRY'!$A$1:$N$38</definedName>
    <definedName function="false" hidden="false" localSheetId="0" name="_xlnm.Print_Titles" vbProcedure="false">'ROLE COMPETENCE AND CSCS EXPIRY'!$1:$6</definedName>
    <definedName function="false" hidden="true" localSheetId="0" name="_xlnm._FilterDatabase" vbProcedure="false">'ROLE COMPETENCE AND CSCS EXPIRY'!$A$6:$N$31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<sst xmlns="http://schemas.openxmlformats.org/spreadsheetml/2006/main" count="36" uniqueCount="35">
  <si>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</si>
  <si>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ROLE COMPETENCE AND CSCS EXPIRY TRACKER</t>
  </si>
  <si>
    <t xml:space="preserve">Ref: CDM 2015 Reg.15(8); CSCS Scheme; NVQ/SVQ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</si>
  <si>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</si>
  <si>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</si>
  <si>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</si>
  <si>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</si>
  <si>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Worker
Name</t>
  </si>
  <si>
    <t xml:space="preserve">Company</t>
  </si>
  <si>
    <t xml:space="preserve">Role /
Occupation</t>
  </si>
  <si>
    <t xml:space="preserve">CSCS Card
Type</t>
  </si>
  <si>
    <t xml:space="preserve">CSCS Card
Number</t>
  </si>
  <si>
    <t xml:space="preserve">CSCS
Expiry Date</t>
  </si>
  <si>
    <t xml:space="preserve">Days Until
Expiry</t>
  </si>
  <si>
    <t xml:space="preserve">NVQ /
Qualification</t>
  </si>
  <si>
    <t xml:space="preserve">Qualification
Date</t>
  </si>
  <si>
    <t xml:space="preserve">Additional
Certifications</t>
  </si>
  <si>
    <t xml:space="preserve">Expiry
Status</t>
  </si>
  <si>
    <t xml:space="preserve">Site
Induction
Complete?
(Yes/No)</t>
  </si>
  <si>
    <t xml:space="preserve">Comments</t>
  </si>
  <si>
    <t xml:space="preserve">SUMMARY</t>
  </si>
  <si>
    <t xml:space="preserve">Total Workers:</t>
  </si>
  <si>
    <t xml:space="preserve">Current:</t>
  </si>
  <si>
    <t xml:space="preserve">Expiring Soon:</t>
  </si>
  <si>
    <t xml:space="preserve">Expired / Not Held:</t>
  </si>
  <si>
    <t xml:space="preserve">INSTRUCTIONS — ROLE COMPETENCE AND CSCS EXPIRY TRACKER</t>
  </si>
  <si>
    <t xml:space="preserve">How to Use This Template</t>
  </si>
  <si>
    <t xml:space="preserve">1. Record all site personnel with their CSCS card details and qualifications.</t>
  </si>
  <si>
    <t xml:space="preserve">2. Days Until Expiry auto-calculates from the expiry date.</t>
  </si>
  <si>
    <t xml:space="preserve">3. 'Expiring Soon' = within 90 days. 'Expired' and 'Not Held' are flagged red.</t>
  </si>
  <si>
    <t xml:space="preserve">4. CDM 2015 requires contractors to ensure worker competence.</t>
  </si>
  <si>
    <t xml:space="preserve">5. Check additional certifications (CPCS, PASMA, IPAF, SSSTS, SMSTS, etc.).</t>
  </si>
  <si>
    <t xml:space="preserve">References:</t>
  </si>
  <si>
    <t xml:space="preserve">  CDM 2015, Regulation 15(8)</t>
  </si>
  <si>
    <t xml:space="preserve">  CSCS — Construction Skills Certification Scheme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</si>
</sst>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9" t="str">
        <f aca="true">IF(G7="","",G7-TODAY())</f>
        <v/>
      </c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11" t="str">
        <f aca="true">IF(G8="","",G8-TODAY())</f>
        <v/>
      </c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9" t="str">
        <f aca="true">IF(G9="","",G9-TODAY())</f>
        <v/>
      </c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11" t="str">
        <f aca="true">IF(G10="","",G10-TODAY())</f>
        <v/>
      </c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9" t="str">
        <f aca="true">IF(G11="","",G11-TODAY())</f>
        <v/>
      </c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11" t="str">
        <f aca="true">IF(G12="","",G12-TODAY())</f>
        <v/>
      </c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9" t="str">
        <f aca="true">IF(G13="","",G13-TODAY())</f>
        <v/>
      </c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11" t="str">
        <f aca="true">IF(G14="","",G14-TODAY())</f>
        <v/>
      </c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9" t="str">
        <f aca="true">IF(G15="","",G15-TODAY())</f>
        <v/>
      </c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11" t="str">
        <f aca="true">IF(G16="","",G16-TODAY())</f>
        <v/>
      </c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9" t="str">
        <f aca="true">IF(G17="","",G17-TODAY())</f>
        <v/>
      </c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11" t="str">
        <f aca="true">IF(G18="","",G18-TODAY())</f>
        <v/>
      </c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9" t="str">
        <f aca="true">IF(G19="","",G19-TODAY())</f>
        <v/>
      </c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11" t="str">
        <f aca="true">IF(G20="","",G20-TODAY())</f>
        <v/>
      </c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9" t="str">
        <f aca="true">IF(G21="","",G21-TODAY())</f>
        <v/>
      </c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11" t="str">
        <f aca="true">IF(G22="","",G22-TODAY())</f>
        <v/>
      </c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9" t="str">
        <f aca="true">IF(G23="","",G23-TODAY())</f>
        <v/>
      </c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11" t="str">
        <f aca="true">IF(G24="","",G24-TODAY())</f>
        <v/>
      </c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9" t="str">
        <f aca="true">IF(G25="","",G25-TODAY())</f>
        <v/>
      </c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11" t="str">
        <f aca="true">IF(G26="","",G26-TODAY())</f>
        <v/>
      </c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9" t="str">
        <f aca="true">IF(G27="","",G27-TODAY())</f>
        <v/>
      </c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11" t="str">
        <f aca="true">IF(G28="","",G28-TODAY())</f>
        <v/>
      </c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9" t="str">
        <f aca="true">IF(G29="","",G29-TODAY())</f>
        <v/>
      </c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11" t="str">
        <f aca="true">IF(G30="","",G30-TODAY())</f>
        <v/>
      </c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9" t="str">
        <f aca="true">IF(G31="","",G31-TODAY())</f>
        <v/>
      </c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2" t="s">
        <v>20</v>
      </c>
      <c r="B33" s="12"/>
      <c r="C33" s="12"/>
    </row>
    <row r="34" customFormat="false" ht="15" hidden="false" customHeight="true" outlineLevel="0" collapsed="false">
      <c r="A34" s="4" t="s">
        <v>21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22</v>
      </c>
      <c r="B35" s="4"/>
      <c r="C35" s="13" t="n">
        <f aca="false">COUNTIF(L7:L31,"Current")</f>
        <v>0</v>
      </c>
    </row>
    <row r="36" customFormat="false" ht="15" hidden="false" customHeight="true" outlineLevel="0" collapsed="false">
      <c r="A36" s="4" t="s">
        <v>23</v>
      </c>
      <c r="B36" s="4"/>
      <c r="C36" s="13" t="n">
        <f aca="false">COUNTIF(L7:L31,"Expiring Soon")</f>
        <v>0</v>
      </c>
    </row>
    <row r="37" customFormat="false" ht="15" hidden="false" customHeight="true" outlineLevel="0" collapsed="false">
      <c r="A37" s="4" t="s">
        <v>24</v>
      </c>
      <c r="B37" s="4"/>
      <c r="C37" s="13" t="n">
        <f aca="false">COUNTIF(L7:L31,"Expired")+COUNTIF(L7:L31,"Not Held")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L7:L31">
    <cfRule type="cellIs" priority="2" operator="equal" aboveAverage="0" equalAverage="0" bottom="0" percent="0" rank="0" text="" dxfId="6">
      <formula>"Current"</formula>
    </cfRule>
    <cfRule type="cellIs" priority="3" operator="equal" aboveAverage="0" equalAverage="0" bottom="0" percent="0" rank="0" text="" dxfId="7">
      <formula>"Expiring Soon"</formula>
    </cfRule>
    <cfRule type="cellIs" priority="4" operator="equal" aboveAverage="0" equalAverage="0" bottom="0" percent="0" rank="0" text="" dxfId="8">
      <formula>"Expired"</formula>
    </cfRule>
    <cfRule type="cellIs" priority="5" operator="equal" aboveAverage="0" equalAverage="0" bottom="0" percent="0" rank="0" text="" dxfId="8">
      <formula>"Not Held"</formula>
    </cfRule>
  </conditionalFormatting>
  <conditionalFormatting sqref="M7:M31">
    <cfRule type="cellIs" priority="6" operator="equal" aboveAverage="0" equalAverage="0" bottom="0" percent="0" rank="0" text="" dxfId="8">
      <formula>"No"</formula>
    </cfRule>
  </conditionalFormatting>
  <conditionalFormatting sqref="H7:H31">
    <cfRule type="expression" priority="7" aboveAverage="0" equalAverage="0" bottom="0" percent="0" rank="0" text="" dxfId="8">
      <formula>AND(H7&lt;&gt;"",H7&lt;0)</formula>
    </cfRule>
    <cfRule type="expression" priority="8" aboveAverage="0" equalAverage="0" bottom="0" percent="0" rank="0" text="" dxfId="7">
      <formula>AND(H7&lt;&gt;"",H7&gt;=0,H7&lt;=90)</formula>
    </cfRule>
  </conditionalFormatting>
  <dataValidations count="3">
    <dataValidation allowBlank="true" errorStyle="stop" operator="between" showDropDown="false" showErrorMessage="false" showInputMessage="false" sqref="E7:E31" type="list">
      <formula1>"Red (Trainee),Blue (Skilled Worker),Gold (Supervisor),Black (Manager),White (Professionally Qualified),Green (Labourer),Yellow (Visitor),Other"</formula1>
      <formula2>0</formula2>
    </dataValidation>
    <dataValidation allowBlank="true" errorStyle="stop" operator="between" showDropDown="false" showErrorMessage="false" showInputMessage="false" sqref="L7:L31" type="list">
      <formula1>"Current,Expiring Soon,Expired,Not Held"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2" t="s">
        <v>26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27</v>
      </c>
    </row>
    <row r="7" customFormat="false" ht="15" hidden="false" customHeight="false" outlineLevel="0" collapsed="false">
      <c r="B7" s="14" t="s">
        <v>28</v>
      </c>
    </row>
    <row r="8" customFormat="false" ht="15" hidden="false" customHeight="false" outlineLevel="0" collapsed="false">
      <c r="B8" s="14" t="s">
        <v>29</v>
      </c>
    </row>
    <row r="9" customFormat="false" ht="15" hidden="false" customHeight="false" outlineLevel="0" collapsed="false">
      <c r="B9" s="14" t="s">
        <v>30</v>
      </c>
    </row>
    <row r="10" customFormat="false" ht="15" hidden="false" customHeight="false" outlineLevel="0" collapsed="false">
      <c r="B10" s="14" t="s">
        <v>31</v>
      </c>
    </row>
    <row r="11" customFormat="false" ht="15" hidden="false" customHeight="false" outlineLevel="0" collapsed="false">
      <c r="B11" s="14"/>
    </row>
    <row r="12" customFormat="false" ht="15" hidden="false" customHeight="false" outlineLevel="0" collapsed="false">
      <c r="B12" s="12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