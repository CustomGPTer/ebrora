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ut &amp; Fill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'Cut &amp; Fill Tracker'!$A$1:$L$44</definedName>
    <definedName function="false" hidden="true" localSheetId="2" name="_xlnm._FilterDatabase" vbProcedure="false">'Cut &amp; Fill Tracker'!$A$8:$O$44</definedName>
    <definedName function="false" hidden="false" name="DataTable" vbProcedure="false">'Cut &amp; Fill Tracker'!$A$8:$O$44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<sst xmlns="http://schemas.openxmlformats.org/spreadsheetml/2006/main" count="88" uniqueCount="87">
  <si>
    <t xml:space="preserve">EBRORA</t>
  </si>
  <si>
    <t xml:space="preserve">ebrora.com</t>
  </si>
  <si>
    <t xml:space="preserve">Earthworks Cut &amp;
Fill Tracker</t>
  </si>
  <si>
    <t xml:space="preserve">Track earthworks volumes by zone with automatic cut/fill balance, bulking factors, and import/export requirement calculations.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</si>
  <si>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</si>
  <si>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</si>
  <si>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</si>
  <si>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</si>
  <si>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'Cut &amp; Fill Tracker' sheet. The mass-haul summary panel at the top shows total volumes and net balance.</t>
  </si>
  <si>
    <t xml:space="preserve">2. Each row represents a zone or area of the site. Enter the zone ref, description, and area (m²).</t>
  </si>
  <si>
    <t xml:space="preserve">3. Enter the average existing ground level and the design formation level for each zone.</t>
  </si>
  <si>
    <t xml:space="preserve">4. The Depth of Cut or Fill auto-calculates (existing minus design). Positive = cut, negative = fill.</t>
  </si>
  <si>
    <t xml:space="preserve">5. Volume (m³) auto-calculates as Area × Depth. Cut Volume and Fill Volume split automatically.</t>
  </si>
  <si>
    <t xml:space="preserve">6. Enter the bulking factor (default 1.25 for clay, 1.10 for sand/gravel) to get the bulked volume for transport.</t>
  </si>
  <si>
    <t xml:space="preserve">7. The Running Balance column shows the cumulative net position — surplus material available or deficit needing import.</t>
  </si>
  <si>
    <t xml:space="preserve">8. Expand optional columns [+] for material type, disposal destination, and haulage distance.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</si>
  <si>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</si>
  <si>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</si>
  <si>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</si>
  <si>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</si>
  <si>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</si>
  <si>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</si>
  <si>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Net surplus — material available for re-use</t>
  </si>
  <si>
    <t xml:space="preserve">Red</t>
  </si>
  <si>
    <t xml:space="preserve">Net deficit — import required</t>
  </si>
  <si>
    <t xml:space="preserve">Amber</t>
  </si>
  <si>
    <t xml:space="preserve">Cut zone (material being removed)</t>
  </si>
  <si>
    <t xml:space="preserve">Tips</t>
  </si>
  <si>
    <t xml:space="preserve">• Bulking factors: Clay ~1.25, Sand/Gravel ~1.10, Rock ~1.40, Topsoil ~1.25. Always confirm with your geotech report.</t>
  </si>
  <si>
    <t xml:space="preserve">• Re-use material on site wherever possible — it saves disposal costs and reduces vehicle movements.</t>
  </si>
  <si>
    <t xml:space="preserve">• Update volumes weekly from surveyor's progress measurements to keep the mass-haul balance current.</t>
  </si>
  <si>
    <t xml:space="preserve">EARTHWORKS CUT &amp; FILL TRACKER — MASS-HAUL SUMMARY</t>
  </si>
  <si>
    <t xml:space="preserve">Total Cut (m³)</t>
  </si>
  <si>
    <t xml:space="preserve">Total Fill (m³)</t>
  </si>
  <si>
    <t xml:space="preserve">Net Balance (m³)</t>
  </si>
  <si>
    <t xml:space="preserve">Balance Ratio</t>
  </si>
  <si>
    <t xml:space="preserve">Total Bulked (m³)</t>
  </si>
  <si>
    <t xml:space="preserve">Zones</t>
  </si>
  <si>
    <t xml:space="preserve">▸ Optional Fields — Click [+] to expand</t>
  </si>
  <si>
    <t xml:space="preserve">Zone
Ref</t>
  </si>
  <si>
    <t xml:space="preserve">Description / Location</t>
  </si>
  <si>
    <t xml:space="preserve">Area
(m²)</t>
  </si>
  <si>
    <t xml:space="preserve">Existing
Level (m)</t>
  </si>
  <si>
    <t xml:space="preserve">Design
Level (m)</t>
  </si>
  <si>
    <t xml:space="preserve">Depth
(m)</t>
  </si>
  <si>
    <t xml:space="preserve">Cut Vol
(m³)</t>
  </si>
  <si>
    <t xml:space="preserve">Fill Vol
(m³)</t>
  </si>
  <si>
    <t xml:space="preserve">Bulking
Factor</t>
  </si>
  <si>
    <t xml:space="preserve">Bulked Vol
(m³)</t>
  </si>
  <si>
    <t xml:space="preserve">Running
Balance (m³)</t>
  </si>
  <si>
    <t xml:space="preserve">Notes</t>
  </si>
  <si>
    <t xml:space="preserve">Material
Type</t>
  </si>
  <si>
    <t xml:space="preserve">Disposal /
Source</t>
  </si>
  <si>
    <t xml:space="preserve">Haul Dist
(km)</t>
  </si>
  <si>
    <t xml:space="preserve">Z-01</t>
  </si>
  <si>
    <t xml:space="preserve">Site Strip — Main Building Footprint</t>
  </si>
  <si>
    <t xml:space="preserve">General site strip to formation</t>
  </si>
  <si>
    <t xml:space="preserve">Topsoil</t>
  </si>
  <si>
    <t xml:space="preserve">Stockpile Area A</t>
  </si>
  <si>
    <t xml:space="preserve">Z-02</t>
  </si>
  <si>
    <t xml:space="preserve">Pad Foundations — Grid A-D</t>
  </si>
  <si>
    <t xml:space="preserve">Clay excavation to fdn level</t>
  </si>
  <si>
    <t xml:space="preserve">Clay</t>
  </si>
  <si>
    <t xml:space="preserve">Stockpile Area B</t>
  </si>
  <si>
    <t xml:space="preserve">Z-03</t>
  </si>
  <si>
    <t xml:space="preserve">Access Road Formation</t>
  </si>
  <si>
    <t xml:space="preserve">Shallow cut — granular subsoil</t>
  </si>
  <si>
    <t xml:space="preserve">Sand/Gravel</t>
  </si>
  <si>
    <t xml:space="preserve">Re-use on site</t>
  </si>
  <si>
    <t xml:space="preserve">Z-04</t>
  </si>
  <si>
    <t xml:space="preserve">Car Park — Level Up Area</t>
  </si>
  <si>
    <t xml:space="preserve">Fill required — use stockpiled material</t>
  </si>
  <si>
    <t xml:space="preserve">From Stockpile B</t>
  </si>
  <si>
    <t xml:space="preserve">Z-05</t>
  </si>
  <si>
    <t xml:space="preserve">Attenuation Tank Excavation</t>
  </si>
  <si>
    <t xml:space="preserve">Deep excavation — rock encountered</t>
  </si>
  <si>
    <t xml:space="preserve">Rock</t>
  </si>
  <si>
    <t xml:space="preserve">Off-site disposal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</si>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</sst>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General"/>
    <numFmt numFmtId="168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Calibri"/>
        <charset val="1"/>
        <family val="0"/>
        <b val="1"/>
        <color rgb="FF006100"/>
        <sz val="16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true" outlineLevel="1" max="15" min="13" style="0" width="16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</row>
    <row r="2" customFormat="false" ht="6" hidden="false" customHeight="true" outlineLevel="0" collapsed="false"/>
    <row r="3" customFormat="false" ht="23.8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  <c r="K3" s="20" t="s">
        <v>37</v>
      </c>
    </row>
    <row r="4" customFormat="false" ht="20.85" hidden="false" customHeight="false" outlineLevel="0" collapsed="false">
      <c r="A4" s="21" t="n">
        <f aca="false">SUM(G9:G44)</f>
        <v>3538.99999999999</v>
      </c>
      <c r="C4" s="21" t="n">
        <f aca="false">SUM(H9:H44)</f>
        <v>560.000000000002</v>
      </c>
      <c r="E4" s="21" t="n">
        <f aca="false">A4-C4</f>
        <v>2978.99999999999</v>
      </c>
      <c r="G4" s="22" t="n">
        <f aca="false">IFERROR(A4/(A4+C4),0)</f>
        <v>0.863381312515247</v>
      </c>
      <c r="I4" s="21" t="n">
        <f aca="false">SUM(J9:J44)</f>
        <v>5100.3</v>
      </c>
      <c r="K4" s="23" t="n">
        <f aca="false">COUNTA(A9:A44)</f>
        <v>5</v>
      </c>
    </row>
    <row r="5" customFormat="false" ht="22.35" hidden="false" customHeight="false" outlineLevel="0" collapsed="false">
      <c r="E5" s="24" t="str">
        <f aca="false">IF(E4&gt;0,"SURPLUS — Export/stockpile needed",IF(E4&lt;0,"DEFICIT — Import required","BALANCED"))</f>
        <v>SURPLUS — Export/stockpile needed</v>
      </c>
      <c r="F5" s="24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customFormat="false" ht="3.75" hidden="false" customHeight="true" outlineLevel="0" collapsed="false">
      <c r="M7" s="26" t="s">
        <v>38</v>
      </c>
      <c r="N7" s="26"/>
      <c r="O7" s="26"/>
    </row>
    <row r="8" customFormat="false" ht="37.5" hidden="false" customHeight="true" outlineLevel="0" collapsed="false">
      <c r="A8" s="27" t="s">
        <v>39</v>
      </c>
      <c r="B8" s="27" t="s">
        <v>40</v>
      </c>
      <c r="C8" s="27" t="s">
        <v>41</v>
      </c>
      <c r="D8" s="27" t="s">
        <v>42</v>
      </c>
      <c r="E8" s="27" t="s">
        <v>43</v>
      </c>
      <c r="F8" s="27" t="s">
        <v>44</v>
      </c>
      <c r="G8" s="27" t="s">
        <v>45</v>
      </c>
      <c r="H8" s="27" t="s">
        <v>46</v>
      </c>
      <c r="I8" s="27" t="s">
        <v>47</v>
      </c>
      <c r="J8" s="27" t="s">
        <v>48</v>
      </c>
      <c r="K8" s="27" t="s">
        <v>49</v>
      </c>
      <c r="L8" s="27" t="s">
        <v>50</v>
      </c>
      <c r="M8" s="27" t="s">
        <v>51</v>
      </c>
      <c r="N8" s="27" t="s">
        <v>52</v>
      </c>
      <c r="O8" s="27" t="s">
        <v>53</v>
      </c>
    </row>
    <row r="9" customFormat="false" ht="15" hidden="false" customHeight="false" outlineLevel="0" collapsed="false">
      <c r="A9" s="28" t="s">
        <v>54</v>
      </c>
      <c r="B9" s="29" t="s">
        <v>55</v>
      </c>
      <c r="C9" s="30" t="n">
        <v>2400</v>
      </c>
      <c r="D9" s="31" t="n">
        <v>43.25</v>
      </c>
      <c r="E9" s="31" t="n">
        <v>42.5</v>
      </c>
      <c r="F9" s="32" t="n">
        <f aca="false">IFERROR(D9-E9,"")</f>
        <v>0.75</v>
      </c>
      <c r="G9" s="33" t="n">
        <f aca="false">IFERROR(IF(F9&gt;0,C9*F9,0),"")</f>
        <v>1800</v>
      </c>
      <c r="H9" s="33" t="n">
        <f aca="false">IFERROR(IF(F9&lt;0,C9*ABS(F9),0),"")</f>
        <v>0</v>
      </c>
      <c r="I9" s="28" t="n">
        <v>1.25</v>
      </c>
      <c r="J9" s="33" t="n">
        <f aca="false">IFERROR(IF(G9&gt;0,G9*I9,H9*I9),"")</f>
        <v>2250</v>
      </c>
      <c r="K9" s="33" t="n">
        <f aca="false">IFERROR(G9-H9,"")</f>
        <v>1800</v>
      </c>
      <c r="L9" s="29" t="s">
        <v>56</v>
      </c>
      <c r="M9" s="28" t="s">
        <v>57</v>
      </c>
      <c r="N9" s="29" t="s">
        <v>58</v>
      </c>
      <c r="O9" s="28" t="n">
        <v>0.3</v>
      </c>
    </row>
    <row r="10" customFormat="false" ht="15" hidden="false" customHeight="false" outlineLevel="0" collapsed="false">
      <c r="A10" s="28" t="s">
        <v>59</v>
      </c>
      <c r="B10" s="29" t="s">
        <v>60</v>
      </c>
      <c r="C10" s="30" t="n">
        <v>480</v>
      </c>
      <c r="D10" s="31" t="n">
        <v>42.5</v>
      </c>
      <c r="E10" s="31" t="n">
        <v>41.2</v>
      </c>
      <c r="F10" s="32" t="n">
        <f aca="false">IFERROR(D10-E10,"")</f>
        <v>1.3</v>
      </c>
      <c r="G10" s="33" t="n">
        <f aca="false">IFERROR(IF(F10&gt;0,C10*F10,0),"")</f>
        <v>623.999999999999</v>
      </c>
      <c r="H10" s="33" t="n">
        <f aca="false">IFERROR(IF(F10&lt;0,C10*ABS(F10),0),"")</f>
        <v>0</v>
      </c>
      <c r="I10" s="28" t="n">
        <v>1.2</v>
      </c>
      <c r="J10" s="33" t="n">
        <f aca="false">IFERROR(IF(G10&gt;0,G10*I10,H10*I10),"")</f>
        <v>748.799999999998</v>
      </c>
      <c r="K10" s="33" t="n">
        <f aca="false">IFERROR(IF(A10="","",K9+G10-H10),"")</f>
        <v>2424</v>
      </c>
      <c r="L10" s="29" t="s">
        <v>61</v>
      </c>
      <c r="M10" s="28" t="s">
        <v>62</v>
      </c>
      <c r="N10" s="29" t="s">
        <v>63</v>
      </c>
      <c r="O10" s="28" t="n">
        <v>0.5</v>
      </c>
    </row>
    <row r="11" customFormat="false" ht="15" hidden="false" customHeight="false" outlineLevel="0" collapsed="false">
      <c r="A11" s="28" t="s">
        <v>64</v>
      </c>
      <c r="B11" s="29" t="s">
        <v>65</v>
      </c>
      <c r="C11" s="30" t="n">
        <v>1200</v>
      </c>
      <c r="D11" s="31" t="n">
        <v>42.8</v>
      </c>
      <c r="E11" s="31" t="n">
        <v>42.6</v>
      </c>
      <c r="F11" s="32" t="n">
        <f aca="false">IFERROR(D11-E11,"")</f>
        <v>0.199999999999996</v>
      </c>
      <c r="G11" s="33" t="n">
        <f aca="false">IFERROR(IF(F11&gt;0,C11*F11,0),"")</f>
        <v>239.999999999995</v>
      </c>
      <c r="H11" s="33" t="n">
        <f aca="false">IFERROR(IF(F11&lt;0,C11*ABS(F11),0),"")</f>
        <v>0</v>
      </c>
      <c r="I11" s="28" t="n">
        <v>1.1</v>
      </c>
      <c r="J11" s="33" t="n">
        <f aca="false">IFERROR(IF(G11&gt;0,G11*I11,H11*I11),"")</f>
        <v>263.999999999994</v>
      </c>
      <c r="K11" s="33" t="n">
        <f aca="false">IFERROR(IF(A11="","",K10+G11-H11),"")</f>
        <v>2663.99999999999</v>
      </c>
      <c r="L11" s="29" t="s">
        <v>66</v>
      </c>
      <c r="M11" s="28" t="s">
        <v>67</v>
      </c>
      <c r="N11" s="29" t="s">
        <v>68</v>
      </c>
      <c r="O11" s="28" t="n">
        <v>0.2</v>
      </c>
    </row>
    <row r="12" customFormat="false" ht="23.85" hidden="false" customHeight="false" outlineLevel="0" collapsed="false">
      <c r="A12" s="28" t="s">
        <v>69</v>
      </c>
      <c r="B12" s="29" t="s">
        <v>70</v>
      </c>
      <c r="C12" s="30" t="n">
        <v>800</v>
      </c>
      <c r="D12" s="31" t="n">
        <v>41.5</v>
      </c>
      <c r="E12" s="31" t="n">
        <v>42.2</v>
      </c>
      <c r="F12" s="32" t="n">
        <f aca="false">IFERROR(D12-E12,"")</f>
        <v>-0.700000000000003</v>
      </c>
      <c r="G12" s="33" t="n">
        <f aca="false">IFERROR(IF(F12&gt;0,C12*F12,0),"")</f>
        <v>0</v>
      </c>
      <c r="H12" s="33" t="n">
        <f aca="false">IFERROR(IF(F12&lt;0,C12*ABS(F12),0),"")</f>
        <v>560.000000000002</v>
      </c>
      <c r="I12" s="28" t="n">
        <v>1.25</v>
      </c>
      <c r="J12" s="33" t="n">
        <f aca="false">IFERROR(IF(G12&gt;0,G12*I12,H12*I12),"")</f>
        <v>700.000000000003</v>
      </c>
      <c r="K12" s="33" t="n">
        <f aca="false">IFERROR(IF(A12="","",K11+G12-H12),"")</f>
        <v>2103.99999999999</v>
      </c>
      <c r="L12" s="29" t="s">
        <v>71</v>
      </c>
      <c r="M12" s="28" t="s">
        <v>62</v>
      </c>
      <c r="N12" s="29" t="s">
        <v>72</v>
      </c>
      <c r="O12" s="28" t="n">
        <v>0.4</v>
      </c>
    </row>
    <row r="13" customFormat="false" ht="23.85" hidden="false" customHeight="false" outlineLevel="0" collapsed="false">
      <c r="A13" s="28" t="s">
        <v>73</v>
      </c>
      <c r="B13" s="29" t="s">
        <v>74</v>
      </c>
      <c r="C13" s="30" t="n">
        <v>350</v>
      </c>
      <c r="D13" s="31" t="n">
        <v>42.6</v>
      </c>
      <c r="E13" s="31" t="n">
        <v>40.1</v>
      </c>
      <c r="F13" s="32" t="n">
        <f aca="false">IFERROR(D13-E13,"")</f>
        <v>2.5</v>
      </c>
      <c r="G13" s="33" t="n">
        <f aca="false">IFERROR(IF(F13&gt;0,C13*F13,0),"")</f>
        <v>875</v>
      </c>
      <c r="H13" s="33" t="n">
        <f aca="false">IFERROR(IF(F13&lt;0,C13*ABS(F13),0),"")</f>
        <v>0</v>
      </c>
      <c r="I13" s="28" t="n">
        <v>1.3</v>
      </c>
      <c r="J13" s="33" t="n">
        <f aca="false">IFERROR(IF(G13&gt;0,G13*I13,H13*I13),"")</f>
        <v>1137.5</v>
      </c>
      <c r="K13" s="33" t="n">
        <f aca="false">IFERROR(IF(A13="","",K12+G13-H13),"")</f>
        <v>2978.99999999999</v>
      </c>
      <c r="L13" s="29" t="s">
        <v>75</v>
      </c>
      <c r="M13" s="28" t="s">
        <v>76</v>
      </c>
      <c r="N13" s="29" t="s">
        <v>77</v>
      </c>
      <c r="O13" s="28" t="n">
        <v>12</v>
      </c>
    </row>
    <row r="14" customFormat="false" ht="15" hidden="false" customHeight="false" outlineLevel="0" collapsed="false">
      <c r="A14" s="28"/>
      <c r="B14" s="29"/>
      <c r="C14" s="28"/>
      <c r="D14" s="31"/>
      <c r="E14" s="31"/>
      <c r="F14" s="32" t="n">
        <f aca="false">IFERROR(D14-E14,"")</f>
        <v>0</v>
      </c>
      <c r="G14" s="33" t="n">
        <f aca="false">IFERROR(IF(F14&gt;0,C14*F14,0),"")</f>
        <v>0</v>
      </c>
      <c r="H14" s="33" t="n">
        <f aca="false">IFERROR(IF(F14&lt;0,C14*ABS(F14),0),"")</f>
        <v>0</v>
      </c>
      <c r="I14" s="28"/>
      <c r="J14" s="33" t="n">
        <f aca="false">IFERROR(IF(G14&gt;0,G14*I14,H14*I14),"")</f>
        <v>0</v>
      </c>
      <c r="K14" s="33" t="str">
        <f aca="false">IFERROR(IF(A14="","",K13+G14-H14),"")</f>
        <v/>
      </c>
      <c r="L14" s="29"/>
      <c r="M14" s="28"/>
      <c r="N14" s="29"/>
      <c r="O14" s="28"/>
    </row>
    <row r="15" customFormat="false" ht="15" hidden="false" customHeight="false" outlineLevel="0" collapsed="false">
      <c r="A15" s="28"/>
      <c r="B15" s="29"/>
      <c r="C15" s="28"/>
      <c r="D15" s="31"/>
      <c r="E15" s="31"/>
      <c r="F15" s="32" t="n">
        <f aca="false">IFERROR(D15-E15,"")</f>
        <v>0</v>
      </c>
      <c r="G15" s="33" t="n">
        <f aca="false">IFERROR(IF(F15&gt;0,C15*F15,0),"")</f>
        <v>0</v>
      </c>
      <c r="H15" s="33" t="n">
        <f aca="false">IFERROR(IF(F15&lt;0,C15*ABS(F15),0),"")</f>
        <v>0</v>
      </c>
      <c r="I15" s="28"/>
      <c r="J15" s="33" t="n">
        <f aca="false">IFERROR(IF(G15&gt;0,G15*I15,H15*I15),"")</f>
        <v>0</v>
      </c>
      <c r="K15" s="33" t="str">
        <f aca="false">IFERROR(IF(A15="","",K14+G15-H15),"")</f>
        <v/>
      </c>
      <c r="L15" s="29"/>
      <c r="M15" s="28"/>
      <c r="N15" s="29"/>
      <c r="O15" s="28"/>
    </row>
    <row r="16" customFormat="false" ht="15" hidden="false" customHeight="false" outlineLevel="0" collapsed="false">
      <c r="A16" s="28"/>
      <c r="B16" s="29"/>
      <c r="C16" s="28"/>
      <c r="D16" s="31"/>
      <c r="E16" s="31"/>
      <c r="F16" s="32" t="n">
        <f aca="false">IFERROR(D16-E16,"")</f>
        <v>0</v>
      </c>
      <c r="G16" s="33" t="n">
        <f aca="false">IFERROR(IF(F16&gt;0,C16*F16,0),"")</f>
        <v>0</v>
      </c>
      <c r="H16" s="33" t="n">
        <f aca="false">IFERROR(IF(F16&lt;0,C16*ABS(F16),0),"")</f>
        <v>0</v>
      </c>
      <c r="I16" s="28"/>
      <c r="J16" s="33" t="n">
        <f aca="false">IFERROR(IF(G16&gt;0,G16*I16,H16*I16),"")</f>
        <v>0</v>
      </c>
      <c r="K16" s="33" t="str">
        <f aca="false">IFERROR(IF(A16="","",K15+G16-H16),"")</f>
        <v/>
      </c>
      <c r="L16" s="29"/>
      <c r="M16" s="28"/>
      <c r="N16" s="29"/>
      <c r="O16" s="28"/>
    </row>
    <row r="17" customFormat="false" ht="15" hidden="false" customHeight="false" outlineLevel="0" collapsed="false">
      <c r="A17" s="28"/>
      <c r="B17" s="29"/>
      <c r="C17" s="28"/>
      <c r="D17" s="31"/>
      <c r="E17" s="31"/>
      <c r="F17" s="32" t="n">
        <f aca="false">IFERROR(D17-E17,"")</f>
        <v>0</v>
      </c>
      <c r="G17" s="33" t="n">
        <f aca="false">IFERROR(IF(F17&gt;0,C17*F17,0),"")</f>
        <v>0</v>
      </c>
      <c r="H17" s="33" t="n">
        <f aca="false">IFERROR(IF(F17&lt;0,C17*ABS(F17),0),"")</f>
        <v>0</v>
      </c>
      <c r="I17" s="28"/>
      <c r="J17" s="33" t="n">
        <f aca="false">IFERROR(IF(G17&gt;0,G17*I17,H17*I17),"")</f>
        <v>0</v>
      </c>
      <c r="K17" s="33" t="str">
        <f aca="false">IFERROR(IF(A17="","",K16+G17-H17),"")</f>
        <v/>
      </c>
      <c r="L17" s="29"/>
      <c r="M17" s="28"/>
      <c r="N17" s="29"/>
      <c r="O17" s="28"/>
    </row>
    <row r="18" customFormat="false" ht="15" hidden="false" customHeight="false" outlineLevel="0" collapsed="false">
      <c r="A18" s="28"/>
      <c r="B18" s="29"/>
      <c r="C18" s="28"/>
      <c r="D18" s="31"/>
      <c r="E18" s="31"/>
      <c r="F18" s="32" t="n">
        <f aca="false">IFERROR(D18-E18,"")</f>
        <v>0</v>
      </c>
      <c r="G18" s="33" t="n">
        <f aca="false">IFERROR(IF(F18&gt;0,C18*F18,0),"")</f>
        <v>0</v>
      </c>
      <c r="H18" s="33" t="n">
        <f aca="false">IFERROR(IF(F18&lt;0,C18*ABS(F18),0),"")</f>
        <v>0</v>
      </c>
      <c r="I18" s="28"/>
      <c r="J18" s="33" t="n">
        <f aca="false">IFERROR(IF(G18&gt;0,G18*I18,H18*I18),"")</f>
        <v>0</v>
      </c>
      <c r="K18" s="33" t="str">
        <f aca="false">IFERROR(IF(A18="","",K17+G18-H18),"")</f>
        <v/>
      </c>
      <c r="L18" s="29"/>
      <c r="M18" s="28"/>
      <c r="N18" s="29"/>
      <c r="O18" s="28"/>
    </row>
    <row r="19" customFormat="false" ht="15" hidden="false" customHeight="false" outlineLevel="0" collapsed="false">
      <c r="A19" s="28"/>
      <c r="B19" s="29"/>
      <c r="C19" s="28"/>
      <c r="D19" s="31"/>
      <c r="E19" s="31"/>
      <c r="F19" s="32" t="n">
        <f aca="false">IFERROR(D19-E19,"")</f>
        <v>0</v>
      </c>
      <c r="G19" s="33" t="n">
        <f aca="false">IFERROR(IF(F19&gt;0,C19*F19,0),"")</f>
        <v>0</v>
      </c>
      <c r="H19" s="33" t="n">
        <f aca="false">IFERROR(IF(F19&lt;0,C19*ABS(F19),0),"")</f>
        <v>0</v>
      </c>
      <c r="I19" s="28"/>
      <c r="J19" s="33" t="n">
        <f aca="false">IFERROR(IF(G19&gt;0,G19*I19,H19*I19),"")</f>
        <v>0</v>
      </c>
      <c r="K19" s="33" t="str">
        <f aca="false">IFERROR(IF(A19="","",K18+G19-H19),"")</f>
        <v/>
      </c>
      <c r="L19" s="29"/>
      <c r="M19" s="28"/>
      <c r="N19" s="29"/>
      <c r="O19" s="28"/>
    </row>
    <row r="20" customFormat="false" ht="15" hidden="false" customHeight="false" outlineLevel="0" collapsed="false">
      <c r="A20" s="28"/>
      <c r="B20" s="29"/>
      <c r="C20" s="28"/>
      <c r="D20" s="31"/>
      <c r="E20" s="31"/>
      <c r="F20" s="32" t="n">
        <f aca="false">IFERROR(D20-E20,"")</f>
        <v>0</v>
      </c>
      <c r="G20" s="33" t="n">
        <f aca="false">IFERROR(IF(F20&gt;0,C20*F20,0),"")</f>
        <v>0</v>
      </c>
      <c r="H20" s="33" t="n">
        <f aca="false">IFERROR(IF(F20&lt;0,C20*ABS(F20),0),"")</f>
        <v>0</v>
      </c>
      <c r="I20" s="28"/>
      <c r="J20" s="33" t="n">
        <f aca="false">IFERROR(IF(G20&gt;0,G20*I20,H20*I20),"")</f>
        <v>0</v>
      </c>
      <c r="K20" s="33" t="str">
        <f aca="false">IFERROR(IF(A20="","",K19+G20-H20),"")</f>
        <v/>
      </c>
      <c r="L20" s="29"/>
      <c r="M20" s="28"/>
      <c r="N20" s="29"/>
      <c r="O20" s="28"/>
    </row>
    <row r="21" customFormat="false" ht="15" hidden="false" customHeight="false" outlineLevel="0" collapsed="false">
      <c r="A21" s="28"/>
      <c r="B21" s="29"/>
      <c r="C21" s="28"/>
      <c r="D21" s="31"/>
      <c r="E21" s="31"/>
      <c r="F21" s="32" t="n">
        <f aca="false">IFERROR(D21-E21,"")</f>
        <v>0</v>
      </c>
      <c r="G21" s="33" t="n">
        <f aca="false">IFERROR(IF(F21&gt;0,C21*F21,0),"")</f>
        <v>0</v>
      </c>
      <c r="H21" s="33" t="n">
        <f aca="false">IFERROR(IF(F21&lt;0,C21*ABS(F21),0),"")</f>
        <v>0</v>
      </c>
      <c r="I21" s="28"/>
      <c r="J21" s="33" t="n">
        <f aca="false">IFERROR(IF(G21&gt;0,G21*I21,H21*I21),"")</f>
        <v>0</v>
      </c>
      <c r="K21" s="33" t="str">
        <f aca="false">IFERROR(IF(A21="","",K20+G21-H21),"")</f>
        <v/>
      </c>
      <c r="L21" s="29"/>
      <c r="M21" s="28"/>
      <c r="N21" s="29"/>
      <c r="O21" s="28"/>
    </row>
    <row r="22" customFormat="false" ht="15" hidden="false" customHeight="false" outlineLevel="0" collapsed="false">
      <c r="A22" s="28"/>
      <c r="B22" s="29"/>
      <c r="C22" s="28"/>
      <c r="D22" s="31"/>
      <c r="E22" s="31"/>
      <c r="F22" s="32" t="n">
        <f aca="false">IFERROR(D22-E22,"")</f>
        <v>0</v>
      </c>
      <c r="G22" s="33" t="n">
        <f aca="false">IFERROR(IF(F22&gt;0,C22*F22,0),"")</f>
        <v>0</v>
      </c>
      <c r="H22" s="33" t="n">
        <f aca="false">IFERROR(IF(F22&lt;0,C22*ABS(F22),0),"")</f>
        <v>0</v>
      </c>
      <c r="I22" s="28"/>
      <c r="J22" s="33" t="n">
        <f aca="false">IFERROR(IF(G22&gt;0,G22*I22,H22*I22),"")</f>
        <v>0</v>
      </c>
      <c r="K22" s="33" t="str">
        <f aca="false">IFERROR(IF(A22="","",K21+G22-H22),"")</f>
        <v/>
      </c>
      <c r="L22" s="29"/>
      <c r="M22" s="28"/>
      <c r="N22" s="29"/>
      <c r="O22" s="28"/>
    </row>
    <row r="23" customFormat="false" ht="15" hidden="false" customHeight="false" outlineLevel="0" collapsed="false">
      <c r="A23" s="28"/>
      <c r="B23" s="29"/>
      <c r="C23" s="28"/>
      <c r="D23" s="31"/>
      <c r="E23" s="31"/>
      <c r="F23" s="32" t="n">
        <f aca="false">IFERROR(D23-E23,"")</f>
        <v>0</v>
      </c>
      <c r="G23" s="33" t="n">
        <f aca="false">IFERROR(IF(F23&gt;0,C23*F23,0),"")</f>
        <v>0</v>
      </c>
      <c r="H23" s="33" t="n">
        <f aca="false">IFERROR(IF(F23&lt;0,C23*ABS(F23),0),"")</f>
        <v>0</v>
      </c>
      <c r="I23" s="28"/>
      <c r="J23" s="33" t="n">
        <f aca="false">IFERROR(IF(G23&gt;0,G23*I23,H23*I23),"")</f>
        <v>0</v>
      </c>
      <c r="K23" s="33" t="str">
        <f aca="false">IFERROR(IF(A23="","",K22+G23-H23),"")</f>
        <v/>
      </c>
      <c r="L23" s="29"/>
      <c r="M23" s="28"/>
      <c r="N23" s="29"/>
      <c r="O23" s="28"/>
    </row>
    <row r="24" customFormat="false" ht="15" hidden="false" customHeight="false" outlineLevel="0" collapsed="false">
      <c r="A24" s="28"/>
      <c r="B24" s="29"/>
      <c r="C24" s="28"/>
      <c r="D24" s="31"/>
      <c r="E24" s="31"/>
      <c r="F24" s="32" t="n">
        <f aca="false">IFERROR(D24-E24,"")</f>
        <v>0</v>
      </c>
      <c r="G24" s="33" t="n">
        <f aca="false">IFERROR(IF(F24&gt;0,C24*F24,0),"")</f>
        <v>0</v>
      </c>
      <c r="H24" s="33" t="n">
        <f aca="false">IFERROR(IF(F24&lt;0,C24*ABS(F24),0),"")</f>
        <v>0</v>
      </c>
      <c r="I24" s="28"/>
      <c r="J24" s="33" t="n">
        <f aca="false">IFERROR(IF(G24&gt;0,G24*I24,H24*I24),"")</f>
        <v>0</v>
      </c>
      <c r="K24" s="33" t="str">
        <f aca="false">IFERROR(IF(A24="","",K23+G24-H24),"")</f>
        <v/>
      </c>
      <c r="L24" s="29"/>
      <c r="M24" s="28"/>
      <c r="N24" s="29"/>
      <c r="O24" s="28"/>
    </row>
    <row r="25" customFormat="false" ht="15" hidden="false" customHeight="false" outlineLevel="0" collapsed="false">
      <c r="A25" s="28"/>
      <c r="B25" s="29"/>
      <c r="C25" s="28"/>
      <c r="D25" s="31"/>
      <c r="E25" s="31"/>
      <c r="F25" s="32" t="n">
        <f aca="false">IFERROR(D25-E25,"")</f>
        <v>0</v>
      </c>
      <c r="G25" s="33" t="n">
        <f aca="false">IFERROR(IF(F25&gt;0,C25*F25,0),"")</f>
        <v>0</v>
      </c>
      <c r="H25" s="33" t="n">
        <f aca="false">IFERROR(IF(F25&lt;0,C25*ABS(F25),0),"")</f>
        <v>0</v>
      </c>
      <c r="I25" s="28"/>
      <c r="J25" s="33" t="n">
        <f aca="false">IFERROR(IF(G25&gt;0,G25*I25,H25*I25),"")</f>
        <v>0</v>
      </c>
      <c r="K25" s="33" t="str">
        <f aca="false">IFERROR(IF(A25="","",K24+G25-H25),"")</f>
        <v/>
      </c>
      <c r="L25" s="29"/>
      <c r="M25" s="28"/>
      <c r="N25" s="29"/>
      <c r="O25" s="28"/>
    </row>
    <row r="26" customFormat="false" ht="15" hidden="false" customHeight="false" outlineLevel="0" collapsed="false">
      <c r="A26" s="28"/>
      <c r="B26" s="29"/>
      <c r="C26" s="28"/>
      <c r="D26" s="31"/>
      <c r="E26" s="31"/>
      <c r="F26" s="32" t="n">
        <f aca="false">IFERROR(D26-E26,"")</f>
        <v>0</v>
      </c>
      <c r="G26" s="33" t="n">
        <f aca="false">IFERROR(IF(F26&gt;0,C26*F26,0),"")</f>
        <v>0</v>
      </c>
      <c r="H26" s="33" t="n">
        <f aca="false">IFERROR(IF(F26&lt;0,C26*ABS(F26),0),"")</f>
        <v>0</v>
      </c>
      <c r="I26" s="28"/>
      <c r="J26" s="33" t="n">
        <f aca="false">IFERROR(IF(G26&gt;0,G26*I26,H26*I26),"")</f>
        <v>0</v>
      </c>
      <c r="K26" s="33" t="str">
        <f aca="false">IFERROR(IF(A26="","",K25+G26-H26),"")</f>
        <v/>
      </c>
      <c r="L26" s="29"/>
      <c r="M26" s="28"/>
      <c r="N26" s="29"/>
      <c r="O26" s="28"/>
    </row>
    <row r="27" customFormat="false" ht="15" hidden="false" customHeight="false" outlineLevel="0" collapsed="false">
      <c r="A27" s="28"/>
      <c r="B27" s="29"/>
      <c r="C27" s="28"/>
      <c r="D27" s="31"/>
      <c r="E27" s="31"/>
      <c r="F27" s="32" t="n">
        <f aca="false">IFERROR(D27-E27,"")</f>
        <v>0</v>
      </c>
      <c r="G27" s="33" t="n">
        <f aca="false">IFERROR(IF(F27&gt;0,C27*F27,0),"")</f>
        <v>0</v>
      </c>
      <c r="H27" s="33" t="n">
        <f aca="false">IFERROR(IF(F27&lt;0,C27*ABS(F27),0),"")</f>
        <v>0</v>
      </c>
      <c r="I27" s="28"/>
      <c r="J27" s="33" t="n">
        <f aca="false">IFERROR(IF(G27&gt;0,G27*I27,H27*I27),"")</f>
        <v>0</v>
      </c>
      <c r="K27" s="33" t="str">
        <f aca="false">IFERROR(IF(A27="","",K26+G27-H27),"")</f>
        <v/>
      </c>
      <c r="L27" s="29"/>
      <c r="M27" s="28"/>
      <c r="N27" s="29"/>
      <c r="O27" s="28"/>
    </row>
    <row r="28" customFormat="false" ht="15" hidden="false" customHeight="false" outlineLevel="0" collapsed="false">
      <c r="A28" s="28"/>
      <c r="B28" s="29"/>
      <c r="C28" s="28"/>
      <c r="D28" s="31"/>
      <c r="E28" s="31"/>
      <c r="F28" s="32" t="n">
        <f aca="false">IFERROR(D28-E28,"")</f>
        <v>0</v>
      </c>
      <c r="G28" s="33" t="n">
        <f aca="false">IFERROR(IF(F28&gt;0,C28*F28,0),"")</f>
        <v>0</v>
      </c>
      <c r="H28" s="33" t="n">
        <f aca="false">IFERROR(IF(F28&lt;0,C28*ABS(F28),0),"")</f>
        <v>0</v>
      </c>
      <c r="I28" s="28"/>
      <c r="J28" s="33" t="n">
        <f aca="false">IFERROR(IF(G28&gt;0,G28*I28,H28*I28),"")</f>
        <v>0</v>
      </c>
      <c r="K28" s="33" t="str">
        <f aca="false">IFERROR(IF(A28="","",K27+G28-H28),"")</f>
        <v/>
      </c>
      <c r="L28" s="29"/>
      <c r="M28" s="28"/>
      <c r="N28" s="29"/>
      <c r="O28" s="28"/>
    </row>
    <row r="29" customFormat="false" ht="15" hidden="false" customHeight="false" outlineLevel="0" collapsed="false">
      <c r="A29" s="28"/>
      <c r="B29" s="29"/>
      <c r="C29" s="28"/>
      <c r="D29" s="31"/>
      <c r="E29" s="31"/>
      <c r="F29" s="32" t="n">
        <f aca="false">IFERROR(D29-E29,"")</f>
        <v>0</v>
      </c>
      <c r="G29" s="33" t="n">
        <f aca="false">IFERROR(IF(F29&gt;0,C29*F29,0),"")</f>
        <v>0</v>
      </c>
      <c r="H29" s="33" t="n">
        <f aca="false">IFERROR(IF(F29&lt;0,C29*ABS(F29),0),"")</f>
        <v>0</v>
      </c>
      <c r="I29" s="28"/>
      <c r="J29" s="33" t="n">
        <f aca="false">IFERROR(IF(G29&gt;0,G29*I29,H29*I29),"")</f>
        <v>0</v>
      </c>
      <c r="K29" s="33" t="str">
        <f aca="false">IFERROR(IF(A29="","",K28+G29-H29),"")</f>
        <v/>
      </c>
      <c r="L29" s="29"/>
      <c r="M29" s="28"/>
      <c r="N29" s="29"/>
      <c r="O29" s="28"/>
    </row>
    <row r="30" customFormat="false" ht="15" hidden="false" customHeight="false" outlineLevel="0" collapsed="false">
      <c r="A30" s="28"/>
      <c r="B30" s="29"/>
      <c r="C30" s="28"/>
      <c r="D30" s="31"/>
      <c r="E30" s="31"/>
      <c r="F30" s="32" t="n">
        <f aca="false">IFERROR(D30-E30,"")</f>
        <v>0</v>
      </c>
      <c r="G30" s="33" t="n">
        <f aca="false">IFERROR(IF(F30&gt;0,C30*F30,0),"")</f>
        <v>0</v>
      </c>
      <c r="H30" s="33" t="n">
        <f aca="false">IFERROR(IF(F30&lt;0,C30*ABS(F30),0),"")</f>
        <v>0</v>
      </c>
      <c r="I30" s="28"/>
      <c r="J30" s="33" t="n">
        <f aca="false">IFERROR(IF(G30&gt;0,G30*I30,H30*I30),"")</f>
        <v>0</v>
      </c>
      <c r="K30" s="33" t="str">
        <f aca="false">IFERROR(IF(A30="","",K29+G30-H30),"")</f>
        <v/>
      </c>
      <c r="L30" s="29"/>
      <c r="M30" s="28"/>
      <c r="N30" s="29"/>
      <c r="O30" s="28"/>
    </row>
    <row r="31" customFormat="false" ht="15" hidden="false" customHeight="false" outlineLevel="0" collapsed="false">
      <c r="A31" s="28"/>
      <c r="B31" s="29"/>
      <c r="C31" s="28"/>
      <c r="D31" s="31"/>
      <c r="E31" s="31"/>
      <c r="F31" s="32" t="n">
        <f aca="false">IFERROR(D31-E31,"")</f>
        <v>0</v>
      </c>
      <c r="G31" s="33" t="n">
        <f aca="false">IFERROR(IF(F31&gt;0,C31*F31,0),"")</f>
        <v>0</v>
      </c>
      <c r="H31" s="33" t="n">
        <f aca="false">IFERROR(IF(F31&lt;0,C31*ABS(F31),0),"")</f>
        <v>0</v>
      </c>
      <c r="I31" s="28"/>
      <c r="J31" s="33" t="n">
        <f aca="false">IFERROR(IF(G31&gt;0,G31*I31,H31*I31),"")</f>
        <v>0</v>
      </c>
      <c r="K31" s="33" t="str">
        <f aca="false">IFERROR(IF(A31="","",K30+G31-H31),"")</f>
        <v/>
      </c>
      <c r="L31" s="29"/>
      <c r="M31" s="28"/>
      <c r="N31" s="29"/>
      <c r="O31" s="28"/>
    </row>
    <row r="32" customFormat="false" ht="15" hidden="false" customHeight="false" outlineLevel="0" collapsed="false">
      <c r="A32" s="28"/>
      <c r="B32" s="29"/>
      <c r="C32" s="28"/>
      <c r="D32" s="31"/>
      <c r="E32" s="31"/>
      <c r="F32" s="32" t="n">
        <f aca="false">IFERROR(D32-E32,"")</f>
        <v>0</v>
      </c>
      <c r="G32" s="33" t="n">
        <f aca="false">IFERROR(IF(F32&gt;0,C32*F32,0),"")</f>
        <v>0</v>
      </c>
      <c r="H32" s="33" t="n">
        <f aca="false">IFERROR(IF(F32&lt;0,C32*ABS(F32),0),"")</f>
        <v>0</v>
      </c>
      <c r="I32" s="28"/>
      <c r="J32" s="33" t="n">
        <f aca="false">IFERROR(IF(G32&gt;0,G32*I32,H32*I32),"")</f>
        <v>0</v>
      </c>
      <c r="K32" s="33" t="str">
        <f aca="false">IFERROR(IF(A32="","",K31+G32-H32),"")</f>
        <v/>
      </c>
      <c r="L32" s="29"/>
      <c r="M32" s="28"/>
      <c r="N32" s="29"/>
      <c r="O32" s="28"/>
    </row>
    <row r="33" customFormat="false" ht="15" hidden="false" customHeight="false" outlineLevel="0" collapsed="false">
      <c r="A33" s="28"/>
      <c r="B33" s="29"/>
      <c r="C33" s="28"/>
      <c r="D33" s="31"/>
      <c r="E33" s="31"/>
      <c r="F33" s="32" t="n">
        <f aca="false">IFERROR(D33-E33,"")</f>
        <v>0</v>
      </c>
      <c r="G33" s="33" t="n">
        <f aca="false">IFERROR(IF(F33&gt;0,C33*F33,0),"")</f>
        <v>0</v>
      </c>
      <c r="H33" s="33" t="n">
        <f aca="false">IFERROR(IF(F33&lt;0,C33*ABS(F33),0),"")</f>
        <v>0</v>
      </c>
      <c r="I33" s="28"/>
      <c r="J33" s="33" t="n">
        <f aca="false">IFERROR(IF(G33&gt;0,G33*I33,H33*I33),"")</f>
        <v>0</v>
      </c>
      <c r="K33" s="33" t="str">
        <f aca="false">IFERROR(IF(A33="","",K32+G33-H33),"")</f>
        <v/>
      </c>
      <c r="L33" s="29"/>
      <c r="M33" s="28"/>
      <c r="N33" s="29"/>
      <c r="O33" s="28"/>
    </row>
    <row r="34" customFormat="false" ht="15" hidden="false" customHeight="false" outlineLevel="0" collapsed="false">
      <c r="A34" s="28"/>
      <c r="B34" s="29"/>
      <c r="C34" s="28"/>
      <c r="D34" s="31"/>
      <c r="E34" s="31"/>
      <c r="F34" s="32" t="n">
        <f aca="false">IFERROR(D34-E34,"")</f>
        <v>0</v>
      </c>
      <c r="G34" s="33" t="n">
        <f aca="false">IFERROR(IF(F34&gt;0,C34*F34,0),"")</f>
        <v>0</v>
      </c>
      <c r="H34" s="33" t="n">
        <f aca="false">IFERROR(IF(F34&lt;0,C34*ABS(F34),0),"")</f>
        <v>0</v>
      </c>
      <c r="I34" s="28"/>
      <c r="J34" s="33" t="n">
        <f aca="false">IFERROR(IF(G34&gt;0,G34*I34,H34*I34),"")</f>
        <v>0</v>
      </c>
      <c r="K34" s="33" t="str">
        <f aca="false">IFERROR(IF(A34="","",K33+G34-H34),"")</f>
        <v/>
      </c>
      <c r="L34" s="29"/>
      <c r="M34" s="28"/>
      <c r="N34" s="29"/>
      <c r="O34" s="28"/>
    </row>
    <row r="35" customFormat="false" ht="15" hidden="false" customHeight="false" outlineLevel="0" collapsed="false">
      <c r="A35" s="28"/>
      <c r="B35" s="29"/>
      <c r="C35" s="28"/>
      <c r="D35" s="31"/>
      <c r="E35" s="31"/>
      <c r="F35" s="32" t="n">
        <f aca="false">IFERROR(D35-E35,"")</f>
        <v>0</v>
      </c>
      <c r="G35" s="33" t="n">
        <f aca="false">IFERROR(IF(F35&gt;0,C35*F35,0),"")</f>
        <v>0</v>
      </c>
      <c r="H35" s="33" t="n">
        <f aca="false">IFERROR(IF(F35&lt;0,C35*ABS(F35),0),"")</f>
        <v>0</v>
      </c>
      <c r="I35" s="28"/>
      <c r="J35" s="33" t="n">
        <f aca="false">IFERROR(IF(G35&gt;0,G35*I35,H35*I35),"")</f>
        <v>0</v>
      </c>
      <c r="K35" s="33" t="str">
        <f aca="false">IFERROR(IF(A35="","",K34+G35-H35),"")</f>
        <v/>
      </c>
      <c r="L35" s="29"/>
      <c r="M35" s="28"/>
      <c r="N35" s="29"/>
      <c r="O35" s="28"/>
    </row>
    <row r="36" customFormat="false" ht="15" hidden="false" customHeight="false" outlineLevel="0" collapsed="false">
      <c r="A36" s="28"/>
      <c r="B36" s="29"/>
      <c r="C36" s="28"/>
      <c r="D36" s="31"/>
      <c r="E36" s="31"/>
      <c r="F36" s="32" t="n">
        <f aca="false">IFERROR(D36-E36,"")</f>
        <v>0</v>
      </c>
      <c r="G36" s="33" t="n">
        <f aca="false">IFERROR(IF(F36&gt;0,C36*F36,0),"")</f>
        <v>0</v>
      </c>
      <c r="H36" s="33" t="n">
        <f aca="false">IFERROR(IF(F36&lt;0,C36*ABS(F36),0),"")</f>
        <v>0</v>
      </c>
      <c r="I36" s="28"/>
      <c r="J36" s="33" t="n">
        <f aca="false">IFERROR(IF(G36&gt;0,G36*I36,H36*I36),"")</f>
        <v>0</v>
      </c>
      <c r="K36" s="33" t="str">
        <f aca="false">IFERROR(IF(A36="","",K35+G36-H36),"")</f>
        <v/>
      </c>
      <c r="L36" s="29"/>
      <c r="M36" s="28"/>
      <c r="N36" s="29"/>
      <c r="O36" s="28"/>
    </row>
    <row r="37" customFormat="false" ht="15" hidden="false" customHeight="false" outlineLevel="0" collapsed="false">
      <c r="A37" s="28"/>
      <c r="B37" s="29"/>
      <c r="C37" s="28"/>
      <c r="D37" s="31"/>
      <c r="E37" s="31"/>
      <c r="F37" s="32" t="n">
        <f aca="false">IFERROR(D37-E37,"")</f>
        <v>0</v>
      </c>
      <c r="G37" s="33" t="n">
        <f aca="false">IFERROR(IF(F37&gt;0,C37*F37,0),"")</f>
        <v>0</v>
      </c>
      <c r="H37" s="33" t="n">
        <f aca="false">IFERROR(IF(F37&lt;0,C37*ABS(F37),0),"")</f>
        <v>0</v>
      </c>
      <c r="I37" s="28"/>
      <c r="J37" s="33" t="n">
        <f aca="false">IFERROR(IF(G37&gt;0,G37*I37,H37*I37),"")</f>
        <v>0</v>
      </c>
      <c r="K37" s="33" t="str">
        <f aca="false">IFERROR(IF(A37="","",K36+G37-H37),"")</f>
        <v/>
      </c>
      <c r="L37" s="29"/>
      <c r="M37" s="28"/>
      <c r="N37" s="29"/>
      <c r="O37" s="28"/>
    </row>
    <row r="38" customFormat="false" ht="15" hidden="false" customHeight="false" outlineLevel="0" collapsed="false">
      <c r="A38" s="28"/>
      <c r="B38" s="29"/>
      <c r="C38" s="28"/>
      <c r="D38" s="31"/>
      <c r="E38" s="31"/>
      <c r="F38" s="32" t="n">
        <f aca="false">IFERROR(D38-E38,"")</f>
        <v>0</v>
      </c>
      <c r="G38" s="33" t="n">
        <f aca="false">IFERROR(IF(F38&gt;0,C38*F38,0),"")</f>
        <v>0</v>
      </c>
      <c r="H38" s="33" t="n">
        <f aca="false">IFERROR(IF(F38&lt;0,C38*ABS(F38),0),"")</f>
        <v>0</v>
      </c>
      <c r="I38" s="28"/>
      <c r="J38" s="33" t="n">
        <f aca="false">IFERROR(IF(G38&gt;0,G38*I38,H38*I38),"")</f>
        <v>0</v>
      </c>
      <c r="K38" s="33" t="str">
        <f aca="false">IFERROR(IF(A38="","",K37+G38-H38),"")</f>
        <v/>
      </c>
      <c r="L38" s="29"/>
      <c r="M38" s="28"/>
      <c r="N38" s="29"/>
      <c r="O38" s="28"/>
    </row>
    <row r="39" customFormat="false" ht="15" hidden="false" customHeight="false" outlineLevel="0" collapsed="false">
      <c r="A39" s="28"/>
      <c r="B39" s="29"/>
      <c r="C39" s="28"/>
      <c r="D39" s="31"/>
      <c r="E39" s="31"/>
      <c r="F39" s="32" t="n">
        <f aca="false">IFERROR(D39-E39,"")</f>
        <v>0</v>
      </c>
      <c r="G39" s="33" t="n">
        <f aca="false">IFERROR(IF(F39&gt;0,C39*F39,0),"")</f>
        <v>0</v>
      </c>
      <c r="H39" s="33" t="n">
        <f aca="false">IFERROR(IF(F39&lt;0,C39*ABS(F39),0),"")</f>
        <v>0</v>
      </c>
      <c r="I39" s="28"/>
      <c r="J39" s="33" t="n">
        <f aca="false">IFERROR(IF(G39&gt;0,G39*I39,H39*I39),"")</f>
        <v>0</v>
      </c>
      <c r="K39" s="33" t="str">
        <f aca="false">IFERROR(IF(A39="","",K38+G39-H39),"")</f>
        <v/>
      </c>
      <c r="L39" s="29"/>
      <c r="M39" s="28"/>
      <c r="N39" s="29"/>
      <c r="O39" s="28"/>
    </row>
    <row r="40" customFormat="false" ht="15" hidden="false" customHeight="false" outlineLevel="0" collapsed="false">
      <c r="A40" s="28"/>
      <c r="B40" s="29"/>
      <c r="C40" s="28"/>
      <c r="D40" s="31"/>
      <c r="E40" s="31"/>
      <c r="F40" s="32" t="n">
        <f aca="false">IFERROR(D40-E40,"")</f>
        <v>0</v>
      </c>
      <c r="G40" s="33" t="n">
        <f aca="false">IFERROR(IF(F40&gt;0,C40*F40,0),"")</f>
        <v>0</v>
      </c>
      <c r="H40" s="33" t="n">
        <f aca="false">IFERROR(IF(F40&lt;0,C40*ABS(F40),0),"")</f>
        <v>0</v>
      </c>
      <c r="I40" s="28"/>
      <c r="J40" s="33" t="n">
        <f aca="false">IFERROR(IF(G40&gt;0,G40*I40,H40*I40),"")</f>
        <v>0</v>
      </c>
      <c r="K40" s="33" t="str">
        <f aca="false">IFERROR(IF(A40="","",K39+G40-H40),"")</f>
        <v/>
      </c>
      <c r="L40" s="29"/>
      <c r="M40" s="28"/>
      <c r="N40" s="29"/>
      <c r="O40" s="28"/>
    </row>
    <row r="41" customFormat="false" ht="15" hidden="false" customHeight="false" outlineLevel="0" collapsed="false">
      <c r="A41" s="28"/>
      <c r="B41" s="29"/>
      <c r="C41" s="28"/>
      <c r="D41" s="31"/>
      <c r="E41" s="31"/>
      <c r="F41" s="32" t="n">
        <f aca="false">IFERROR(D41-E41,"")</f>
        <v>0</v>
      </c>
      <c r="G41" s="33" t="n">
        <f aca="false">IFERROR(IF(F41&gt;0,C41*F41,0),"")</f>
        <v>0</v>
      </c>
      <c r="H41" s="33" t="n">
        <f aca="false">IFERROR(IF(F41&lt;0,C41*ABS(F41),0),"")</f>
        <v>0</v>
      </c>
      <c r="I41" s="28"/>
      <c r="J41" s="33" t="n">
        <f aca="false">IFERROR(IF(G41&gt;0,G41*I41,H41*I41),"")</f>
        <v>0</v>
      </c>
      <c r="K41" s="33" t="str">
        <f aca="false">IFERROR(IF(A41="","",K40+G41-H41),"")</f>
        <v/>
      </c>
      <c r="L41" s="29"/>
      <c r="M41" s="28"/>
      <c r="N41" s="29"/>
      <c r="O41" s="28"/>
    </row>
    <row r="42" customFormat="false" ht="15" hidden="false" customHeight="false" outlineLevel="0" collapsed="false">
      <c r="A42" s="28"/>
      <c r="B42" s="29"/>
      <c r="C42" s="28"/>
      <c r="D42" s="31"/>
      <c r="E42" s="31"/>
      <c r="F42" s="32" t="n">
        <f aca="false">IFERROR(D42-E42,"")</f>
        <v>0</v>
      </c>
      <c r="G42" s="33" t="n">
        <f aca="false">IFERROR(IF(F42&gt;0,C42*F42,0),"")</f>
        <v>0</v>
      </c>
      <c r="H42" s="33" t="n">
        <f aca="false">IFERROR(IF(F42&lt;0,C42*ABS(F42),0),"")</f>
        <v>0</v>
      </c>
      <c r="I42" s="28"/>
      <c r="J42" s="33" t="n">
        <f aca="false">IFERROR(IF(G42&gt;0,G42*I42,H42*I42),"")</f>
        <v>0</v>
      </c>
      <c r="K42" s="33" t="str">
        <f aca="false">IFERROR(IF(A42="","",K41+G42-H42),"")</f>
        <v/>
      </c>
      <c r="L42" s="29"/>
      <c r="M42" s="28"/>
      <c r="N42" s="29"/>
      <c r="O42" s="28"/>
    </row>
    <row r="43" customFormat="false" ht="15" hidden="false" customHeight="false" outlineLevel="0" collapsed="false">
      <c r="A43" s="28"/>
      <c r="B43" s="29"/>
      <c r="C43" s="28"/>
      <c r="D43" s="31"/>
      <c r="E43" s="31"/>
      <c r="F43" s="32" t="n">
        <f aca="false">IFERROR(D43-E43,"")</f>
        <v>0</v>
      </c>
      <c r="G43" s="33" t="n">
        <f aca="false">IFERROR(IF(F43&gt;0,C43*F43,0),"")</f>
        <v>0</v>
      </c>
      <c r="H43" s="33" t="n">
        <f aca="false">IFERROR(IF(F43&lt;0,C43*ABS(F43),0),"")</f>
        <v>0</v>
      </c>
      <c r="I43" s="28"/>
      <c r="J43" s="33" t="n">
        <f aca="false">IFERROR(IF(G43&gt;0,G43*I43,H43*I43),"")</f>
        <v>0</v>
      </c>
      <c r="K43" s="33" t="str">
        <f aca="false">IFERROR(IF(A43="","",K42+G43-H43),"")</f>
        <v/>
      </c>
      <c r="L43" s="29"/>
      <c r="M43" s="28"/>
      <c r="N43" s="29"/>
      <c r="O43" s="28"/>
    </row>
    <row r="44" customFormat="false" ht="15" hidden="false" customHeight="false" outlineLevel="0" collapsed="false">
      <c r="A44" s="28"/>
      <c r="B44" s="29"/>
      <c r="C44" s="28"/>
      <c r="D44" s="31"/>
      <c r="E44" s="31"/>
      <c r="F44" s="32" t="n">
        <f aca="false">IFERROR(D44-E44,"")</f>
        <v>0</v>
      </c>
      <c r="G44" s="33" t="n">
        <f aca="false">IFERROR(IF(F44&gt;0,C44*F44,0),"")</f>
        <v>0</v>
      </c>
      <c r="H44" s="33" t="n">
        <f aca="false">IFERROR(IF(F44&lt;0,C44*ABS(F44),0),"")</f>
        <v>0</v>
      </c>
      <c r="I44" s="28"/>
      <c r="J44" s="33" t="n">
        <f aca="false">IFERROR(IF(G44&gt;0,G44*I44,H44*I44),"")</f>
        <v>0</v>
      </c>
      <c r="K44" s="33" t="str">
        <f aca="false">IFERROR(IF(A44="","",K43+G44-H44),"")</f>
        <v/>
      </c>
      <c r="L44" s="29"/>
      <c r="M44" s="28"/>
      <c r="N44" s="29"/>
      <c r="O44" s="28"/>
    </row>
  </sheetData>
  <autoFilter ref="A8:O44"/>
  <mergeCells count="3">
    <mergeCell ref="A1:L1"/>
    <mergeCell ref="E5:F5"/>
    <mergeCell ref="M7:O7"/>
  </mergeCells>
  <conditionalFormatting sqref="E4">
    <cfRule type="expression" priority="2" aboveAverage="0" equalAverage="0" bottom="0" percent="0" rank="0" text="" dxfId="6">
      <formula>E4&gt;0</formula>
    </cfRule>
    <cfRule type="expression" priority="3" aboveAverage="0" equalAverage="0" bottom="0" percent="0" rank="0" text="" dxfId="7">
      <formula>E4&lt;0</formula>
    </cfRule>
  </conditionalFormatting>
  <conditionalFormatting sqref="K9:K44">
    <cfRule type="expression" priority="4" aboveAverage="0" equalAverage="0" bottom="0" percent="0" rank="0" text="" dxfId="8">
      <formula>AND(K9&lt;&gt;"",K9&gt;0)</formula>
    </cfRule>
    <cfRule type="expression" priority="5" aboveAverage="0" equalAverage="0" bottom="0" percent="0" rank="0" text="" dxfId="9">
      <formula>AND(K9&lt;&gt;"",K9&lt;0)</formula>
    </cfRule>
  </conditionalFormatting>
  <conditionalFormatting sqref="G9:G44">
    <cfRule type="expression" priority="6" aboveAverage="0" equalAverage="0" bottom="0" percent="0" rank="0" text="" dxfId="10">
      <formula>G9&gt;0</formula>
    </cfRule>
  </conditionalFormatting>
  <conditionalFormatting sqref="H9:H44">
    <cfRule type="expression" priority="7" aboveAverage="0" equalAverage="0" bottom="0" percent="0" rank="0" text="" dxfId="11">
      <formula>H9&gt;0</formula>
    </cfRule>
  </conditionalFormatting>
  <conditionalFormatting sqref="F9:F44">
    <cfRule type="expression" priority="8" aboveAverage="0" equalAverage="0" bottom="0" percent="0" rank="0" text="" dxfId="10">
      <formula>AND(F9&lt;&gt;"",F9&gt;0)</formula>
    </cfRule>
    <cfRule type="expression" priority="9" aboveAverage="0" equalAverage="0" bottom="0" percent="0" rank="0" text="" dxfId="11">
      <formula>AND(F9&lt;&gt;"",F9&lt;0)</formula>
    </cfRule>
  </conditionalFormatting>
  <dataValidations count="1">
    <dataValidation allowBlank="true" errorStyle="stop" operator="between" showDropDown="false" showErrorMessage="false" showInputMessage="false" sqref="M9:M44" type="list">
      <formula1>"Topsoil,Clay,Sand/Gravel,Rock,Made Ground,Peat,Chalk,Mixed,Other"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&amp;CEarthworks Cut Fill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4" t="s">
        <v>78</v>
      </c>
    </row>
    <row r="2" customFormat="false" ht="15" hidden="false" customHeight="false" outlineLevel="0" collapsed="false">
      <c r="A2" s="34"/>
    </row>
    <row r="3" customFormat="false" ht="15" hidden="false" customHeight="false" outlineLevel="0" collapsed="false">
      <c r="A3" s="34" t="s">
        <v>79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4" t="s">
        <v>80</v>
      </c>
    </row>
    <row r="6" customFormat="false" ht="15" hidden="false" customHeight="false" outlineLevel="0" collapsed="false">
      <c r="A6" s="34"/>
    </row>
    <row r="7" customFormat="false" ht="15" hidden="false" customHeight="false" outlineLevel="0" collapsed="false">
      <c r="A7" s="34" t="s">
        <v>81</v>
      </c>
    </row>
    <row r="8" customFormat="false" ht="15" hidden="false" customHeight="false" outlineLevel="0" collapsed="false">
      <c r="A8" s="34"/>
    </row>
    <row r="9" customFormat="false" ht="15" hidden="false" customHeight="false" outlineLevel="0" collapsed="false">
      <c r="A9" s="34" t="s">
        <v>82</v>
      </c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4" t="s">
        <v>83</v>
      </c>
    </row>
    <row r="12" customFormat="false" ht="15" hidden="false" customHeight="false" outlineLevel="0" collapsed="false">
      <c r="A12" s="34"/>
    </row>
    <row r="13" customFormat="false" ht="15" hidden="false" customHeight="false" outlineLevel="0" collapsed="false">
      <c r="A13" s="34" t="s">
        <v>84</v>
      </c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4" t="s">
        <v>85</v>
      </c>
    </row>
    <row r="16" customFormat="false" ht="15" hidden="false" customHeight="false" outlineLevel="0" collapsed="false">
      <c r="A16" s="34"/>
    </row>
    <row r="17" customFormat="false" ht="15" hidden="false" customHeight="false" outlineLevel="0" collapsed="false">
      <c r="A17" s="34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Civils &amp; Groundworks</cp:category>
  <dcterms:created xsi:type="dcterms:W3CDTF">2026-03-23T10:29:37Z</dcterms:created>
  <dc:creator>Ebrora Ltd</dc:creator>
  <dc:description>Track earthworks volumes by zone with automatic cut/fill balance, bulking factors, and import/export requirement calculations.
Free professional construction management template from Ebrora Ltd. Visit ebrora.com for our full range of tools and templates.</dc:description>
  <cp:keywords>Ebrora construction civils earthworks cut and fill mass haul groundworks volumes</cp:keywords>
  <dc:language>en-US</dc:language>
  <cp:lastModifiedBy>Ebrora Ltd</cp:lastModifiedBy>
  <dcterms:modified xsi:type="dcterms:W3CDTF">2026-03-23T10:29:37Z</dcterms:modified>
  <cp:revision>0</cp:revision>
  <dc:subject>Track earthworks volumes by zone with automatic cut/fill balance, bulking factors, and import/export calculations.</dc:subject>
  <dc:title>Earthworks Cut &amp; Fill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