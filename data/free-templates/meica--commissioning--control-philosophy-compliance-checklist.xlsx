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mpliance Checklist" sheetId="3" state="visible" r:id="rId5"/>
    <sheet name="Terms of Use" sheetId="4" state="hidden" r:id="rId6"/>
  </sheets>
  <definedNames>
    <definedName function="false" hidden="false" localSheetId="2" name="_xlnm.Print_Area" vbProcedure="false">'Compliance Checklist'!$A$1:$G$47</definedName>
    <definedName function="false" hidden="true" localSheetId="2" name="_xlnm._FilterDatabase" vbProcedure="false">'Compliance Checklist'!$A$9:$K$200</definedName>
    <definedName function="false" hidden="false" localSheetId="0" name="_xlnm.Print_Area" vbProcedure="false">Cover!$A$1:$H$20</definedName>
    <definedName function="false" hidden="false" name="DataTable" vbProcedure="false">'Compliance Checklist'!$A$9:$K$47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<sst xmlns="http://schemas.openxmlformats.org/spreadsheetml/2006/main" count="222" uniqueCount="164">
  <si>
    <t xml:space="preserve">EBRORA</t>
  </si>
  <si>
    <t xml:space="preserve">ebrora.com</t>
  </si>
  <si>
    <t xml:space="preserve">Control Philosophy
Compliance Checklist</t>
  </si>
  <si>
    <t xml:space="preserve">Systematically verify that installed control systems comply with the approved control philosophy — covering modes of operation, interlocks, alarms, sequencing, and safety functions with scored compliance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</si>
  <si>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</si>
  <si>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</si>
  <si>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</si>
  <si>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1. Open the 'Compliance Checklist' sheet. Start by filling in the form header with the system under review, the control philosophy document reference, and the review team details.</t>
  </si>
  <si>
    <t xml:space="preserve">2. The checklist is organised into five control function categories, each with a teal band: Modes of Operation, Interlocks &amp; Trips, Alarm Management, Sequencing &amp; Logic, and Safety / SIL Functions.</t>
  </si>
  <si>
    <t xml:space="preserve">3. Each row contains a specific control philosophy requirement. The 'CP Reference' column shows the clause or section number from the control philosophy document.</t>
  </si>
  <si>
    <t xml:space="preserve">4. For each requirement, record the Compliance Status using the dropdown: Compliant, Non-Compliant, Deviation Accepted, or N/A.</t>
  </si>
  <si>
    <t xml:space="preserve">5. Each category band auto-calculates its compliance score — the percentage of applicable items marked Compliant or Deviation Accepted.</t>
  </si>
  <si>
    <t xml:space="preserve">6. The Compliance Dashboard on the right shows scores per category with a visual bar and an overall compliance verdict (Compliant / Non-Compliant).</t>
  </si>
  <si>
    <t xml:space="preserve">7. For any Non-Compliant items, record the deviation description and the agreed corrective action in the core columns.</t>
  </si>
  <si>
    <t xml:space="preserve">8. Expand the optional columns for verification method, evidence reference, review date, and reviewer sign-off.</t>
  </si>
  <si>
    <t xml:space="preserve">Colour Key</t>
  </si>
  <si>
    <t xml:space="preserve">Light teal cells = user input / editable fields</t>
  </si>
  <si>
    <t xml:space="preserve">Dark navy headers = do not edit</t>
  </si>
  <si>
    <t xml:space="preserve">Teal bands = category section headers (do not edit)</t>
  </si>
  <si>
    <t xml:space="preserve">Green = Compliant or Deviation Accepted</t>
  </si>
  <si>
    <t xml:space="preserve">Amber = Partial compliance (category 80–99%)</t>
  </si>
  <si>
    <t xml:space="preserve">Red = Non-Compliant or category below 80%</t>
  </si>
  <si>
    <t xml:space="preserve">Tips</t>
  </si>
  <si>
    <t xml:space="preserve">• Work through this checklist with the control philosophy document open side-by-side — the CP Reference column links each check to the exact clause.</t>
  </si>
  <si>
    <t xml:space="preserve">• A 'Deviation Accepted' status must always have a documented justification — don't use it to paper over genuine non-compliance.</t>
  </si>
  <si>
    <t xml:space="preserve">• Complete this checklist before the Functional Performance Test (FPT). Any non-compliant items should be resolved before the system goes live.</t>
  </si>
  <si>
    <t xml:space="preserve">Control Philosophy Compliance Checklist</t>
  </si>
  <si>
    <t xml:space="preserve">Compliance Dashboard</t>
  </si>
  <si>
    <t xml:space="preserve">System / Asset:</t>
  </si>
  <si>
    <t xml:space="preserve">Raw Water Pumping System</t>
  </si>
  <si>
    <t xml:space="preserve">Project:</t>
  </si>
  <si>
    <t xml:space="preserve">Millbrook WTW</t>
  </si>
  <si>
    <t xml:space="preserve">Category</t>
  </si>
  <si>
    <t xml:space="preserve">Compliance</t>
  </si>
  <si>
    <t xml:space="preserve">Score</t>
  </si>
  <si>
    <t xml:space="preserve">Visual</t>
  </si>
  <si>
    <t xml:space="preserve">System Tag:</t>
  </si>
  <si>
    <t xml:space="preserve">SYS-RWP-01</t>
  </si>
  <si>
    <t xml:space="preserve">Location:</t>
  </si>
  <si>
    <t xml:space="preserve">Pumphouse A</t>
  </si>
  <si>
    <t xml:space="preserve">Modes of Operation</t>
  </si>
  <si>
    <t xml:space="preserve">Control Philosophy Doc Ref:</t>
  </si>
  <si>
    <t xml:space="preserve">CP-RWP-01 Rev C</t>
  </si>
  <si>
    <t xml:space="preserve">PLC / Controller Ref:</t>
  </si>
  <si>
    <t xml:space="preserve">PLC-CAB-01 (Siemens S7-1500)</t>
  </si>
  <si>
    <t xml:space="preserve">Interlocks &amp; Trips</t>
  </si>
  <si>
    <t xml:space="preserve">CP Revision:</t>
  </si>
  <si>
    <t xml:space="preserve">Rev C (issued 15/01/2026)</t>
  </si>
  <si>
    <t xml:space="preserve">SCADA System:</t>
  </si>
  <si>
    <t xml:space="preserve">WinCC OA v3.19</t>
  </si>
  <si>
    <t xml:space="preserve">Alarm Management</t>
  </si>
  <si>
    <t xml:space="preserve">Review Lead:</t>
  </si>
  <si>
    <t xml:space="preserve">M. Clarke — ACE Commissioning</t>
  </si>
  <si>
    <t xml:space="preserve">Contractor:</t>
  </si>
  <si>
    <t xml:space="preserve">Integrated Automation Ltd</t>
  </si>
  <si>
    <t xml:space="preserve">Sequencing &amp; Logic</t>
  </si>
  <si>
    <t xml:space="preserve">Review Date:</t>
  </si>
  <si>
    <t xml:space="preserve">Client Witness:</t>
  </si>
  <si>
    <t xml:space="preserve">J. Patel (Client)</t>
  </si>
  <si>
    <t xml:space="preserve">Safety / SIL Functions</t>
  </si>
  <si>
    <t xml:space="preserve">OVERALL COMPLIANCE</t>
  </si>
  <si>
    <t xml:space="preserve">Ref</t>
  </si>
  <si>
    <t xml:space="preserve">CP Clause</t>
  </si>
  <si>
    <t xml:space="preserve">Control Philosophy Requirement</t>
  </si>
  <si>
    <t xml:space="preserve">Priority</t>
  </si>
  <si>
    <t xml:space="preserve">Deviation / Observation</t>
  </si>
  <si>
    <t xml:space="preserve">Corrective Action</t>
  </si>
  <si>
    <t xml:space="preserve">Verification Method</t>
  </si>
  <si>
    <t xml:space="preserve">Evidence / Doc Ref</t>
  </si>
  <si>
    <t xml:space="preserve">Review Date</t>
  </si>
  <si>
    <t xml:space="preserve">Reviewed By</t>
  </si>
  <si>
    <t xml:space="preserve">▼  Modes of Operation</t>
  </si>
  <si>
    <t xml:space="preserve">CP-1.1</t>
  </si>
  <si>
    <t xml:space="preserve">Auto/Manual mode selection available at local panel and SCADA</t>
  </si>
  <si>
    <t xml:space="preserve">Compliant</t>
  </si>
  <si>
    <t xml:space="preserve">Critical</t>
  </si>
  <si>
    <t xml:space="preserve">CP-1.2</t>
  </si>
  <si>
    <t xml:space="preserve">Hand mode overrides auto mode and is indicated on SCADA</t>
  </si>
  <si>
    <t xml:space="preserve">CP-1.3</t>
  </si>
  <si>
    <t xml:space="preserve">Mode transitions are bumpless (no process upset on changeover)</t>
  </si>
  <si>
    <t xml:space="preserve">High</t>
  </si>
  <si>
    <t xml:space="preserve">CP-1.4</t>
  </si>
  <si>
    <t xml:space="preserve">Remote/Local selector switch functional and indicated</t>
  </si>
  <si>
    <t xml:space="preserve">Medium</t>
  </si>
  <si>
    <t xml:space="preserve">CP-1.5</t>
  </si>
  <si>
    <t xml:space="preserve">Duty/Standby/Assist selection logic matches CP specification</t>
  </si>
  <si>
    <t xml:space="preserve">CP-1.6</t>
  </si>
  <si>
    <t xml:space="preserve">Lead pump auto-rotation operates per defined schedule</t>
  </si>
  <si>
    <t xml:space="preserve">Non-Compliant</t>
  </si>
  <si>
    <t xml:space="preserve">Rotation logic not implemented — all pumps fixed to manual lead selection</t>
  </si>
  <si>
    <t xml:space="preserve">Software update required. IAL to implement rotation logic by 28/03/2026</t>
  </si>
  <si>
    <t xml:space="preserve">▼  Interlocks &amp; Trips</t>
  </si>
  <si>
    <t xml:space="preserve">CP-2.1</t>
  </si>
  <si>
    <t xml:space="preserve">High-high level trip stops all pumps within specified time</t>
  </si>
  <si>
    <t xml:space="preserve">CP-2.2</t>
  </si>
  <si>
    <t xml:space="preserve">Low-low level trip prevents pump dry running</t>
  </si>
  <si>
    <t xml:space="preserve">CP-2.3</t>
  </si>
  <si>
    <t xml:space="preserve">Motor overload trip operates and is indicated on SCADA</t>
  </si>
  <si>
    <t xml:space="preserve">CP-2.4</t>
  </si>
  <si>
    <t xml:space="preserve">Vibration high trip stops affected pump and raises alarm</t>
  </si>
  <si>
    <t xml:space="preserve">Vibration sensor on Pump 3 not connected — cable route incomplete</t>
  </si>
  <si>
    <t xml:space="preserve">Briggs to complete cable pull and terminate by 25/03/2026</t>
  </si>
  <si>
    <t xml:space="preserve">CP-2.5</t>
  </si>
  <si>
    <t xml:space="preserve">Bearing temperature high trip operates at set point</t>
  </si>
  <si>
    <t xml:space="preserve">CP-2.6</t>
  </si>
  <si>
    <t xml:space="preserve">Interlock reset requires manual acknowledgement</t>
  </si>
  <si>
    <t xml:space="preserve">CP-2.7</t>
  </si>
  <si>
    <t xml:space="preserve">All trip conditions are logged with timestamp in SCADA historian</t>
  </si>
  <si>
    <t xml:space="preserve">▼  Alarm Management</t>
  </si>
  <si>
    <t xml:space="preserve">CP-3.1</t>
  </si>
  <si>
    <t xml:space="preserve">Alarm set points match those specified in control philosophy</t>
  </si>
  <si>
    <t xml:space="preserve">CP-3.2</t>
  </si>
  <si>
    <t xml:space="preserve">Alarm priorities assigned per CP (Critical / High / Medium / Low)</t>
  </si>
  <si>
    <t xml:space="preserve">Deviation Accepted</t>
  </si>
  <si>
    <t xml:space="preserve">Alarm priorities simplified to 3 tiers instead of 4 — agreed with client</t>
  </si>
  <si>
    <t xml:space="preserve">Documented in deviation register DR-017. No corrective action required.</t>
  </si>
  <si>
    <t xml:space="preserve">CP-3.3</t>
  </si>
  <si>
    <t xml:space="preserve">Alarm acknowledgement requires operator action</t>
  </si>
  <si>
    <t xml:space="preserve">CP-3.4</t>
  </si>
  <si>
    <t xml:space="preserve">Alarm history retained for minimum 12 months</t>
  </si>
  <si>
    <t xml:space="preserve">Low</t>
  </si>
  <si>
    <t xml:space="preserve">CP-3.5</t>
  </si>
  <si>
    <t xml:space="preserve">Nuisance alarm suppression logic implemented per CP</t>
  </si>
  <si>
    <t xml:space="preserve">CP-3.6</t>
  </si>
  <si>
    <t xml:space="preserve">First-out alarm indication functional for trip sequences</t>
  </si>
  <si>
    <t xml:space="preserve">▼  Sequencing &amp; Logic</t>
  </si>
  <si>
    <t xml:space="preserve">CP-4.1</t>
  </si>
  <si>
    <t xml:space="preserve">Start sequence follows CP step order exactly</t>
  </si>
  <si>
    <t xml:space="preserve">CP-4.2</t>
  </si>
  <si>
    <t xml:space="preserve">Stop sequence follows CP step order with correct time delays</t>
  </si>
  <si>
    <t xml:space="preserve">CP-4.3</t>
  </si>
  <si>
    <t xml:space="preserve">Auto changeover on lead pump failure within specified time</t>
  </si>
  <si>
    <t xml:space="preserve">CP-4.4</t>
  </si>
  <si>
    <t xml:space="preserve">PID control loops tuned to achieve CP performance targets</t>
  </si>
  <si>
    <t xml:space="preserve">PID loop for flow control oscillating — tuning parameters not optimised</t>
  </si>
  <si>
    <t xml:space="preserve">ACE to retune PID loop during wet commissioning. Target: stable within ±2%</t>
  </si>
  <si>
    <t xml:space="preserve">CP-4.5</t>
  </si>
  <si>
    <t xml:space="preserve">Flow pacing / modulating control responds correctly to demand</t>
  </si>
  <si>
    <t xml:space="preserve">CP-4.6</t>
  </si>
  <si>
    <t xml:space="preserve">Timer values match CP specification (start delays, run-on times)</t>
  </si>
  <si>
    <t xml:space="preserve">CP-4.7</t>
  </si>
  <si>
    <t xml:space="preserve">Sequential interlocks prevent out-of-sequence operation</t>
  </si>
  <si>
    <t xml:space="preserve">▼  Safety / SIL Functions</t>
  </si>
  <si>
    <t xml:space="preserve">CP-5.1</t>
  </si>
  <si>
    <t xml:space="preserve">Emergency stop (E-Stop) de-energises all drives immediately</t>
  </si>
  <si>
    <t xml:space="preserve">CP-5.2</t>
  </si>
  <si>
    <t xml:space="preserve">E-Stop requires manual reset and physical key release</t>
  </si>
  <si>
    <t xml:space="preserve">CP-5.3</t>
  </si>
  <si>
    <t xml:space="preserve">SIL-rated functions operate independently of PLC</t>
  </si>
  <si>
    <t xml:space="preserve">CP-5.4</t>
  </si>
  <si>
    <t xml:space="preserve">Safety relay / SIL controller wiring matches safety circuit drawings</t>
  </si>
  <si>
    <t xml:space="preserve">CP-5.5</t>
  </si>
  <si>
    <t xml:space="preserve">Proof test intervals documented and scheduled</t>
  </si>
  <si>
    <t xml:space="preserve">CP-5.6</t>
  </si>
  <si>
    <t xml:space="preserve">Safety function test records match SIL verification report</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</si>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</sst>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0%"/>
    <numFmt numFmtId="166" formatCode="dd/mm/yy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1"/>
      <color rgb="FFFFFFFF"/>
      <name val="Calibri"/>
      <family val="0"/>
      <charset val="1"/>
    </font>
    <font>
      <b val="true"/>
      <sz val="10"/>
      <color rgb="FF1B2A4A"/>
      <name val="Calibri"/>
      <family val="0"/>
      <charset val="1"/>
    </font>
    <font>
      <sz val="10"/>
      <color rgb="FF2AABB3"/>
      <name val="Calibri"/>
      <family val="0"/>
      <charset val="1"/>
    </font>
    <font>
      <b val="true"/>
      <sz val="12"/>
      <color rgb="FF1B2A4A"/>
      <name val="Calibri"/>
      <family val="0"/>
      <charset val="1"/>
    </font>
    <font>
      <b val="true"/>
      <sz val="10"/>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right" vertical="center" textRotation="0" wrapText="tru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5" fontId="14"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6" fontId="11" fillId="4" borderId="2" xfId="0" applyFont="true" applyBorder="true" applyAlignment="false" applyProtection="false">
      <alignment horizontal="general" vertical="bottom" textRotation="0" wrapText="false" indent="0" shrinkToFit="false"/>
      <protection locked="true" hidden="false"/>
    </xf>
    <xf numFmtId="164" fontId="14" fillId="4" borderId="3" xfId="0" applyFont="true" applyBorder="true" applyAlignment="true" applyProtection="false">
      <alignment horizontal="left" vertical="center" textRotation="0" wrapText="true" indent="0" shrinkToFit="false"/>
      <protection locked="true" hidden="false"/>
    </xf>
    <xf numFmtId="165" fontId="16" fillId="0" borderId="3"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left" vertical="center" textRotation="0" wrapText="fals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6" fontId="11" fillId="4"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2AABB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2"/>
  </cols>
  <sheetData>
    <row r="1" customFormat="false" ht="17.35" hidden="false" customHeight="false" outlineLevel="0" collapsed="false">
      <c r="A1" s="8" t="s">
        <v>6</v>
      </c>
      <c r="B1" s="8"/>
      <c r="C1" s="8"/>
      <c r="D1" s="8"/>
      <c r="E1" s="8"/>
      <c r="F1" s="8"/>
    </row>
    <row r="3" customFormat="false" ht="39.75" hidden="false" customHeight="true" outlineLevel="0" collapsed="false">
      <c r="A3" s="9" t="s">
        <v>7</v>
      </c>
      <c r="B3" s="9"/>
      <c r="C3" s="9"/>
      <c r="D3" s="9"/>
      <c r="E3" s="9"/>
      <c r="F3" s="9"/>
    </row>
    <row r="4" customFormat="false" ht="39.75" hidden="false" customHeight="true" outlineLevel="0" collapsed="false">
      <c r="A4" s="9" t="s">
        <v>8</v>
      </c>
      <c r="B4" s="9"/>
      <c r="C4" s="9"/>
      <c r="D4" s="9"/>
      <c r="E4" s="9"/>
      <c r="F4" s="9"/>
    </row>
    <row r="5" customFormat="false" ht="39.75" hidden="false" customHeight="true" outlineLevel="0" collapsed="false">
      <c r="A5" s="9" t="s">
        <v>9</v>
      </c>
      <c r="B5" s="9"/>
      <c r="C5" s="9"/>
      <c r="D5" s="9"/>
      <c r="E5" s="9"/>
      <c r="F5" s="9"/>
    </row>
    <row r="6" customFormat="false" ht="39.75" hidden="false" customHeight="true" outlineLevel="0" collapsed="false">
      <c r="A6" s="9" t="s">
        <v>10</v>
      </c>
      <c r="B6" s="9"/>
      <c r="C6" s="9"/>
      <c r="D6" s="9"/>
      <c r="E6" s="9"/>
      <c r="F6" s="9"/>
    </row>
    <row r="7" customFormat="false" ht="39.75" hidden="false" customHeight="true" outlineLevel="0" collapsed="false">
      <c r="A7" s="9" t="s">
        <v>11</v>
      </c>
      <c r="B7" s="9"/>
      <c r="C7" s="9"/>
      <c r="D7" s="9"/>
      <c r="E7" s="9"/>
      <c r="F7" s="9"/>
    </row>
    <row r="8" customFormat="false" ht="39.75" hidden="false" customHeight="true" outlineLevel="0" collapsed="false">
      <c r="A8" s="9" t="s">
        <v>12</v>
      </c>
      <c r="B8" s="9"/>
      <c r="C8" s="9"/>
      <c r="D8" s="9"/>
      <c r="E8" s="9"/>
      <c r="F8" s="9"/>
    </row>
    <row r="9" customFormat="false" ht="39.75" hidden="false" customHeight="true" outlineLevel="0" collapsed="false">
      <c r="A9" s="9" t="s">
        <v>13</v>
      </c>
      <c r="B9" s="9"/>
      <c r="C9" s="9"/>
      <c r="D9" s="9"/>
      <c r="E9" s="9"/>
      <c r="F9" s="9"/>
    </row>
    <row r="10" customFormat="false" ht="39.75" hidden="false" customHeight="true" outlineLevel="0" collapsed="false">
      <c r="A10" s="9" t="s">
        <v>14</v>
      </c>
      <c r="B10" s="9"/>
      <c r="C10" s="9"/>
      <c r="D10" s="9"/>
      <c r="E10" s="9"/>
      <c r="F10" s="9"/>
    </row>
    <row r="12" customFormat="false" ht="15" hidden="false" customHeight="false" outlineLevel="0" collapsed="false">
      <c r="A12" s="10" t="s">
        <v>15</v>
      </c>
      <c r="B12" s="10"/>
      <c r="C12" s="10"/>
      <c r="D12" s="10"/>
      <c r="E12" s="10"/>
      <c r="F12" s="10"/>
    </row>
    <row r="13" customFormat="false" ht="15" hidden="false" customHeight="true" outlineLevel="0" collapsed="false">
      <c r="A13" s="11"/>
      <c r="B13" s="9" t="s">
        <v>16</v>
      </c>
      <c r="C13" s="9"/>
      <c r="D13" s="9"/>
      <c r="E13" s="9"/>
      <c r="F13" s="9"/>
    </row>
    <row r="14" customFormat="false" ht="15" hidden="false" customHeight="true" outlineLevel="0" collapsed="false">
      <c r="A14" s="12"/>
      <c r="B14" s="9" t="s">
        <v>17</v>
      </c>
      <c r="C14" s="9"/>
      <c r="D14" s="9"/>
      <c r="E14" s="9"/>
      <c r="F14" s="9"/>
    </row>
    <row r="15" customFormat="false" ht="15" hidden="false" customHeight="true" outlineLevel="0" collapsed="false">
      <c r="A15" s="13"/>
      <c r="B15" s="9" t="s">
        <v>18</v>
      </c>
      <c r="C15" s="9"/>
      <c r="D15" s="9"/>
      <c r="E15" s="9"/>
      <c r="F15" s="9"/>
    </row>
    <row r="16" customFormat="false" ht="15" hidden="false" customHeight="true" outlineLevel="0" collapsed="false">
      <c r="A16" s="14"/>
      <c r="B16" s="9" t="s">
        <v>19</v>
      </c>
      <c r="C16" s="9"/>
      <c r="D16" s="9"/>
      <c r="E16" s="9"/>
      <c r="F16" s="9"/>
    </row>
    <row r="17" customFormat="false" ht="15" hidden="false" customHeight="true" outlineLevel="0" collapsed="false">
      <c r="A17" s="15"/>
      <c r="B17" s="9" t="s">
        <v>20</v>
      </c>
      <c r="C17" s="9"/>
      <c r="D17" s="9"/>
      <c r="E17" s="9"/>
      <c r="F17" s="9"/>
    </row>
    <row r="18" customFormat="false" ht="15" hidden="false" customHeight="true" outlineLevel="0" collapsed="false">
      <c r="A18" s="16"/>
      <c r="B18" s="9" t="s">
        <v>21</v>
      </c>
      <c r="C18" s="9"/>
      <c r="D18" s="9"/>
      <c r="E18" s="9"/>
      <c r="F18" s="9"/>
    </row>
    <row r="20" customFormat="false" ht="15" hidden="false" customHeight="false" outlineLevel="0" collapsed="false">
      <c r="A20" s="10" t="s">
        <v>22</v>
      </c>
      <c r="B20" s="10"/>
      <c r="C20" s="10"/>
      <c r="D20" s="10"/>
      <c r="E20" s="10"/>
      <c r="F20" s="10"/>
    </row>
    <row r="21" customFormat="false" ht="34.5" hidden="false" customHeight="true" outlineLevel="0" collapsed="false">
      <c r="A21" s="9" t="s">
        <v>23</v>
      </c>
      <c r="B21" s="9"/>
      <c r="C21" s="9"/>
      <c r="D21" s="9"/>
      <c r="E21" s="9"/>
      <c r="F21" s="9"/>
    </row>
    <row r="22" customFormat="false" ht="34.5" hidden="false" customHeight="true" outlineLevel="0" collapsed="false">
      <c r="A22" s="9" t="s">
        <v>24</v>
      </c>
      <c r="B22" s="9"/>
      <c r="C22" s="9"/>
      <c r="D22" s="9"/>
      <c r="E22" s="9"/>
      <c r="F22" s="9"/>
    </row>
    <row r="23" customFormat="false" ht="34.5" hidden="false" customHeight="true" outlineLevel="0" collapsed="false">
      <c r="A23" s="9" t="s">
        <v>25</v>
      </c>
      <c r="B23" s="9"/>
      <c r="C23" s="9"/>
      <c r="D23" s="9"/>
      <c r="E23" s="9"/>
      <c r="F23" s="9"/>
    </row>
  </sheetData>
  <mergeCells count="20">
    <mergeCell ref="A1:F1"/>
    <mergeCell ref="A3:F3"/>
    <mergeCell ref="A4:F4"/>
    <mergeCell ref="A5:F5"/>
    <mergeCell ref="A6:F6"/>
    <mergeCell ref="A7:F7"/>
    <mergeCell ref="A8:F8"/>
    <mergeCell ref="A9:F9"/>
    <mergeCell ref="A10:F10"/>
    <mergeCell ref="A12:F12"/>
    <mergeCell ref="B13:F13"/>
    <mergeCell ref="B14:F14"/>
    <mergeCell ref="B15:F15"/>
    <mergeCell ref="B16:F16"/>
    <mergeCell ref="B17:F17"/>
    <mergeCell ref="B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7" min="6" style="0" width="34"/>
    <col collapsed="false" customWidth="true" hidden="true" outlineLevel="1" max="11" min="8" style="0" width="16"/>
  </cols>
  <sheetData>
    <row r="1" customFormat="false" ht="28.35" hidden="false" customHeight="true" outlineLevel="0" collapsed="false">
      <c r="A1" s="17" t="s">
        <v>26</v>
      </c>
      <c r="B1" s="17"/>
      <c r="C1" s="17"/>
      <c r="D1" s="17"/>
      <c r="E1" s="17"/>
      <c r="F1" s="17"/>
      <c r="G1" s="17"/>
      <c r="H1" s="17" t="s">
        <v>27</v>
      </c>
      <c r="I1" s="17"/>
      <c r="J1" s="17"/>
      <c r="K1" s="17"/>
    </row>
    <row r="2" customFormat="false" ht="23.85" hidden="false" customHeight="false" outlineLevel="0" collapsed="false">
      <c r="A2" s="18" t="s">
        <v>28</v>
      </c>
      <c r="B2" s="19" t="s">
        <v>29</v>
      </c>
      <c r="C2" s="19"/>
      <c r="D2" s="18" t="s">
        <v>30</v>
      </c>
      <c r="E2" s="19" t="s">
        <v>31</v>
      </c>
      <c r="F2" s="19"/>
      <c r="G2" s="19"/>
      <c r="H2" s="20" t="s">
        <v>32</v>
      </c>
      <c r="I2" s="20" t="s">
        <v>33</v>
      </c>
      <c r="J2" s="20" t="s">
        <v>34</v>
      </c>
      <c r="K2" s="20" t="s">
        <v>35</v>
      </c>
    </row>
    <row r="3" customFormat="false" ht="15" hidden="false" customHeight="false" outlineLevel="0" collapsed="false">
      <c r="A3" s="18" t="s">
        <v>36</v>
      </c>
      <c r="B3" s="19" t="s">
        <v>37</v>
      </c>
      <c r="C3" s="19"/>
      <c r="D3" s="18" t="s">
        <v>38</v>
      </c>
      <c r="E3" s="19" t="s">
        <v>39</v>
      </c>
      <c r="F3" s="19"/>
      <c r="G3" s="19"/>
      <c r="H3" s="21" t="s">
        <v>40</v>
      </c>
      <c r="I3" s="22" t="n">
        <f aca="false">IF(COUNTIF(D11:D16,"Compliant")+COUNTIF(D11:D16,"Non-Compliant")+COUNTIF(D11:D16,"Deviation Accepted")=0,"",(COUNTIF(D11:D16,"Compliant")+COUNTIF(D11:D16,"Deviation Accepted"))/(COUNTIF(D11:D16,"Compliant")+COUNTIF(D11:D16,"Non-Compliant")+COUNTIF(D11:D16,"Deviation Accepted")))</f>
        <v>0.833333333333333</v>
      </c>
      <c r="J3" s="23" t="str">
        <f aca="false">IF(I3="","",IF(I3=1,"✅",IF(I3&gt;=0.8,"⚠️","❌")))</f>
        <v>⚠️</v>
      </c>
      <c r="K3" s="24" t="str">
        <f aca="false">REPT("█",ROUND(IF(ISNUMBER(I3),I3,0)*15,0))</f>
        <v>█████████████</v>
      </c>
    </row>
    <row r="4" customFormat="false" ht="35.05" hidden="false" customHeight="false" outlineLevel="0" collapsed="false">
      <c r="A4" s="18" t="s">
        <v>41</v>
      </c>
      <c r="B4" s="19" t="s">
        <v>42</v>
      </c>
      <c r="C4" s="19"/>
      <c r="D4" s="18" t="s">
        <v>43</v>
      </c>
      <c r="E4" s="19" t="s">
        <v>44</v>
      </c>
      <c r="F4" s="19"/>
      <c r="G4" s="19"/>
      <c r="H4" s="21" t="s">
        <v>45</v>
      </c>
      <c r="I4" s="22" t="n">
        <f aca="false">IF(COUNTIF(D18:D24,"Compliant")+COUNTIF(D18:D24,"Non-Compliant")+COUNTIF(D18:D24,"Deviation Accepted")=0,"",(COUNTIF(D18:D24,"Compliant")+COUNTIF(D18:D24,"Deviation Accepted"))/(COUNTIF(D18:D24,"Compliant")+COUNTIF(D18:D24,"Non-Compliant")+COUNTIF(D18:D24,"Deviation Accepted")))</f>
        <v>0.857142857142857</v>
      </c>
      <c r="J4" s="23" t="str">
        <f aca="false">IF(I4="","",IF(I4=1,"✅",IF(I4&gt;=0.8,"⚠️","❌")))</f>
        <v>⚠️</v>
      </c>
      <c r="K4" s="24" t="str">
        <f aca="false">REPT("█",ROUND(IF(ISNUMBER(I4),I4,0)*15,0))</f>
        <v>█████████████</v>
      </c>
    </row>
    <row r="5" customFormat="false" ht="15" hidden="false" customHeight="false" outlineLevel="0" collapsed="false">
      <c r="A5" s="18" t="s">
        <v>46</v>
      </c>
      <c r="B5" s="19" t="s">
        <v>47</v>
      </c>
      <c r="C5" s="19"/>
      <c r="D5" s="18" t="s">
        <v>48</v>
      </c>
      <c r="E5" s="19" t="s">
        <v>49</v>
      </c>
      <c r="F5" s="19"/>
      <c r="G5" s="19"/>
      <c r="H5" s="21" t="s">
        <v>50</v>
      </c>
      <c r="I5" s="22" t="n">
        <f aca="false">IF(COUNTIF(D26:D31,"Compliant")+COUNTIF(D26:D31,"Non-Compliant")+COUNTIF(D26:D31,"Deviation Accepted")=0,"",(COUNTIF(D26:D31,"Compliant")+COUNTIF(D26:D31,"Deviation Accepted"))/(COUNTIF(D26:D31,"Compliant")+COUNTIF(D26:D31,"Non-Compliant")+COUNTIF(D26:D31,"Deviation Accepted")))</f>
        <v>1</v>
      </c>
      <c r="J5" s="23" t="str">
        <f aca="false">IF(I5="","",IF(I5=1,"✅",IF(I5&gt;=0.8,"⚠️","❌")))</f>
        <v>✅</v>
      </c>
      <c r="K5" s="24" t="str">
        <f aca="false">REPT("█",ROUND(IF(ISNUMBER(I5),I5,0)*15,0))</f>
        <v>███████████████</v>
      </c>
    </row>
    <row r="6" customFormat="false" ht="23.85" hidden="false" customHeight="false" outlineLevel="0" collapsed="false">
      <c r="A6" s="18" t="s">
        <v>51</v>
      </c>
      <c r="B6" s="19" t="s">
        <v>52</v>
      </c>
      <c r="C6" s="19"/>
      <c r="D6" s="18" t="s">
        <v>53</v>
      </c>
      <c r="E6" s="19" t="s">
        <v>54</v>
      </c>
      <c r="F6" s="19"/>
      <c r="G6" s="19"/>
      <c r="H6" s="21" t="s">
        <v>55</v>
      </c>
      <c r="I6" s="22" t="n">
        <f aca="false">IF(COUNTIF(D33:D39,"Compliant")+COUNTIF(D33:D39,"Non-Compliant")+COUNTIF(D33:D39,"Deviation Accepted")=0,"",(COUNTIF(D33:D39,"Compliant")+COUNTIF(D33:D39,"Deviation Accepted"))/(COUNTIF(D33:D39,"Compliant")+COUNTIF(D33:D39,"Non-Compliant")+COUNTIF(D33:D39,"Deviation Accepted")))</f>
        <v>0.857142857142857</v>
      </c>
      <c r="J6" s="23" t="str">
        <f aca="false">IF(I6="","",IF(I6=1,"✅",IF(I6&gt;=0.8,"⚠️","❌")))</f>
        <v>⚠️</v>
      </c>
      <c r="K6" s="24" t="str">
        <f aca="false">REPT("█",ROUND(IF(ISNUMBER(I6),I6,0)*15,0))</f>
        <v>█████████████</v>
      </c>
    </row>
    <row r="7" customFormat="false" ht="23.85" hidden="false" customHeight="false" outlineLevel="0" collapsed="false">
      <c r="A7" s="18" t="s">
        <v>56</v>
      </c>
      <c r="B7" s="25" t="n">
        <v>46101</v>
      </c>
      <c r="C7" s="25"/>
      <c r="D7" s="18" t="s">
        <v>57</v>
      </c>
      <c r="E7" s="19" t="s">
        <v>58</v>
      </c>
      <c r="F7" s="19"/>
      <c r="G7" s="19"/>
      <c r="H7" s="21" t="s">
        <v>59</v>
      </c>
      <c r="I7" s="22" t="n">
        <f aca="false">IF(COUNTIF(D41:D46,"Compliant")+COUNTIF(D41:D46,"Non-Compliant")+COUNTIF(D41:D46,"Deviation Accepted")=0,"",(COUNTIF(D41:D46,"Compliant")+COUNTIF(D41:D46,"Deviation Accepted"))/(COUNTIF(D41:D46,"Compliant")+COUNTIF(D41:D46,"Non-Compliant")+COUNTIF(D41:D46,"Deviation Accepted")))</f>
        <v>1</v>
      </c>
      <c r="J7" s="23" t="str">
        <f aca="false">IF(I7="","",IF(I7=1,"✅",IF(I7&gt;=0.8,"⚠️","❌")))</f>
        <v>✅</v>
      </c>
      <c r="K7" s="24" t="str">
        <f aca="false">REPT("█",ROUND(IF(ISNUMBER(I7),I7,0)*15,0))</f>
        <v>███████████████</v>
      </c>
    </row>
    <row r="8" customFormat="false" ht="23.85" hidden="false" customHeight="false" outlineLevel="0" collapsed="false">
      <c r="H8" s="26" t="s">
        <v>60</v>
      </c>
      <c r="I8" s="27" t="n">
        <f aca="false">IF((COUNTIF(D11:D16,"Compliant")+COUNTIF(D11:D16,"Non-Compliant")+COUNTIF(D11:D16,"Deviation Accepted")+COUNTIF(D18:D24,"Compliant")+COUNTIF(D18:D24,"Non-Compliant")+COUNTIF(D18:D24,"Deviation Accepted")+COUNTIF(D26:D31,"Compliant")+COUNTIF(D26:D31,"Non-Compliant")+COUNTIF(D26:D31,"Deviation Accepted")+COUNTIF(D33:D39,"Compliant")+COUNTIF(D33:D39,"Non-Compliant")+COUNTIF(D33:D39,"Deviation Accepted")+COUNTIF(D41:D46,"Compliant")+COUNTIF(D41:D46,"Non-Compliant")+COUNTIF(D41:D46,"Deviation Accepted"))=0,"",(COUNTIF(D11:D16,"Compliant")+COUNTIF(D11:D16,"Deviation Accepted")+COUNTIF(D18:D24,"Compliant")+COUNTIF(D18:D24,"Deviation Accepted")+COUNTIF(D26:D31,"Compliant")+COUNTIF(D26:D31,"Deviation Accepted")+COUNTIF(D33:D39,"Compliant")+COUNTIF(D33:D39,"Deviation Accepted")+COUNTIF(D41:D46,"Compliant")+COUNTIF(D41:D46,"Deviation Accepted"))/(COUNTIF(D11:D16,"Compliant")+COUNTIF(D11:D16,"Non-Compliant")+COUNTIF(D11:D16,"Deviation Accepted")+COUNTIF(D18:D24,"Compliant")+COUNTIF(D18:D24,"Non-Compliant")+COUNTIF(D18:D24,"Deviation Accepted")+COUNTIF(D26:D31,"Compliant")+COUNTIF(D26:D31,"Non-Compliant")+COUNTIF(D26:D31,"Deviation Accepted")+COUNTIF(D33:D39,"Compliant")+COUNTIF(D33:D39,"Non-Compliant")+COUNTIF(D33:D39,"Deviation Accepted")+COUNTIF(D41:D46,"Compliant")+COUNTIF(D41:D46,"Non-Compliant")+COUNTIF(D41:D46,"Deviation Accepted")))</f>
        <v>0.90625</v>
      </c>
      <c r="J8" s="28" t="str">
        <f aca="false">IF(I8="","",IF(I8=1,"COMPLIANT","NON-COMPLIANT"))</f>
        <v>NON-COMPLIANT</v>
      </c>
      <c r="K8" s="29"/>
    </row>
    <row r="9" customFormat="false" ht="28.35" hidden="false" customHeight="false" outlineLevel="0" collapsed="false">
      <c r="A9" s="30" t="s">
        <v>61</v>
      </c>
      <c r="B9" s="30" t="s">
        <v>62</v>
      </c>
      <c r="C9" s="30" t="s">
        <v>63</v>
      </c>
      <c r="D9" s="30" t="s">
        <v>33</v>
      </c>
      <c r="E9" s="30" t="s">
        <v>64</v>
      </c>
      <c r="F9" s="30" t="s">
        <v>65</v>
      </c>
      <c r="G9" s="30" t="s">
        <v>66</v>
      </c>
      <c r="H9" s="30" t="s">
        <v>67</v>
      </c>
      <c r="I9" s="30" t="s">
        <v>68</v>
      </c>
      <c r="J9" s="30" t="s">
        <v>69</v>
      </c>
      <c r="K9" s="30" t="s">
        <v>70</v>
      </c>
    </row>
    <row r="10" customFormat="false" ht="15" hidden="false" customHeight="false" outlineLevel="0" collapsed="false">
      <c r="A10" s="31" t="s">
        <v>71</v>
      </c>
      <c r="B10" s="31"/>
      <c r="C10" s="31"/>
      <c r="D10" s="32" t="str">
        <f aca="false">IF(COUNTIF(D11:D16,"Compliant")+COUNTIF(D11:D16,"Non-Compliant")+COUNTIF(D11:D16,"Deviation Accepted")=0,"","Compliance: "&amp;TEXT((COUNTIF(D11:D16,"Compliant")+COUNTIF(D11:D16,"Deviation Accepted"))/(COUNTIF(D11:D16,"Compliant")+COUNTIF(D11:D16,"Non-Compliant")+COUNTIF(D11:D16,"Deviation Accepted")),"0%"))</f>
        <v>Compliance: 83%</v>
      </c>
      <c r="E10" s="32"/>
      <c r="F10" s="32"/>
      <c r="G10" s="32"/>
      <c r="H10" s="13"/>
      <c r="I10" s="13"/>
      <c r="J10" s="13"/>
      <c r="K10" s="13"/>
    </row>
    <row r="11" customFormat="false" ht="27.75" hidden="false" customHeight="true" outlineLevel="0" collapsed="false">
      <c r="A11" s="23" t="n">
        <v>1</v>
      </c>
      <c r="B11" s="33" t="s">
        <v>72</v>
      </c>
      <c r="C11" s="21" t="s">
        <v>73</v>
      </c>
      <c r="D11" s="34" t="s">
        <v>74</v>
      </c>
      <c r="E11" s="34" t="s">
        <v>75</v>
      </c>
      <c r="F11" s="35"/>
      <c r="G11" s="35"/>
      <c r="H11" s="34"/>
      <c r="I11" s="34"/>
      <c r="J11" s="36"/>
      <c r="K11" s="34"/>
    </row>
    <row r="12" customFormat="false" ht="27.75" hidden="false" customHeight="true" outlineLevel="0" collapsed="false">
      <c r="A12" s="23" t="n">
        <v>2</v>
      </c>
      <c r="B12" s="33" t="s">
        <v>76</v>
      </c>
      <c r="C12" s="21" t="s">
        <v>77</v>
      </c>
      <c r="D12" s="34" t="s">
        <v>74</v>
      </c>
      <c r="E12" s="34" t="s">
        <v>75</v>
      </c>
      <c r="F12" s="35"/>
      <c r="G12" s="35"/>
      <c r="H12" s="34"/>
      <c r="I12" s="34"/>
      <c r="J12" s="36"/>
      <c r="K12" s="34"/>
    </row>
    <row r="13" customFormat="false" ht="27.75" hidden="false" customHeight="true" outlineLevel="0" collapsed="false">
      <c r="A13" s="23" t="n">
        <v>3</v>
      </c>
      <c r="B13" s="33" t="s">
        <v>78</v>
      </c>
      <c r="C13" s="21" t="s">
        <v>79</v>
      </c>
      <c r="D13" s="34" t="s">
        <v>74</v>
      </c>
      <c r="E13" s="34" t="s">
        <v>80</v>
      </c>
      <c r="F13" s="35"/>
      <c r="G13" s="35"/>
      <c r="H13" s="34"/>
      <c r="I13" s="34"/>
      <c r="J13" s="36"/>
      <c r="K13" s="34"/>
    </row>
    <row r="14" customFormat="false" ht="27.75" hidden="false" customHeight="true" outlineLevel="0" collapsed="false">
      <c r="A14" s="23" t="n">
        <v>4</v>
      </c>
      <c r="B14" s="33" t="s">
        <v>81</v>
      </c>
      <c r="C14" s="21" t="s">
        <v>82</v>
      </c>
      <c r="D14" s="34" t="s">
        <v>74</v>
      </c>
      <c r="E14" s="34" t="s">
        <v>83</v>
      </c>
      <c r="F14" s="35"/>
      <c r="G14" s="35"/>
      <c r="H14" s="34"/>
      <c r="I14" s="34"/>
      <c r="J14" s="36"/>
      <c r="K14" s="34"/>
    </row>
    <row r="15" customFormat="false" ht="27.75" hidden="false" customHeight="true" outlineLevel="0" collapsed="false">
      <c r="A15" s="23" t="n">
        <v>5</v>
      </c>
      <c r="B15" s="33" t="s">
        <v>84</v>
      </c>
      <c r="C15" s="21" t="s">
        <v>85</v>
      </c>
      <c r="D15" s="34" t="s">
        <v>74</v>
      </c>
      <c r="E15" s="34" t="s">
        <v>75</v>
      </c>
      <c r="F15" s="35"/>
      <c r="G15" s="35"/>
      <c r="H15" s="34"/>
      <c r="I15" s="34"/>
      <c r="J15" s="36"/>
      <c r="K15" s="34"/>
    </row>
    <row r="16" customFormat="false" ht="27.75" hidden="false" customHeight="true" outlineLevel="0" collapsed="false">
      <c r="A16" s="23" t="n">
        <v>6</v>
      </c>
      <c r="B16" s="33" t="s">
        <v>86</v>
      </c>
      <c r="C16" s="21" t="s">
        <v>87</v>
      </c>
      <c r="D16" s="34" t="s">
        <v>88</v>
      </c>
      <c r="E16" s="34" t="s">
        <v>80</v>
      </c>
      <c r="F16" s="35" t="s">
        <v>89</v>
      </c>
      <c r="G16" s="35" t="s">
        <v>90</v>
      </c>
      <c r="H16" s="34"/>
      <c r="I16" s="34"/>
      <c r="J16" s="36"/>
      <c r="K16" s="34"/>
    </row>
    <row r="17" customFormat="false" ht="15" hidden="false" customHeight="false" outlineLevel="0" collapsed="false">
      <c r="A17" s="31" t="s">
        <v>91</v>
      </c>
      <c r="B17" s="31"/>
      <c r="C17" s="31"/>
      <c r="D17" s="32" t="str">
        <f aca="false">IF(COUNTIF(D18:D24,"Compliant")+COUNTIF(D18:D24,"Non-Compliant")+COUNTIF(D18:D24,"Deviation Accepted")=0,"","Compliance: "&amp;TEXT((COUNTIF(D18:D24,"Compliant")+COUNTIF(D18:D24,"Deviation Accepted"))/(COUNTIF(D18:D24,"Compliant")+COUNTIF(D18:D24,"Non-Compliant")+COUNTIF(D18:D24,"Deviation Accepted")),"0%"))</f>
        <v>Compliance: 86%</v>
      </c>
      <c r="E17" s="32"/>
      <c r="F17" s="32"/>
      <c r="G17" s="32"/>
      <c r="H17" s="13"/>
      <c r="I17" s="13"/>
      <c r="J17" s="13"/>
      <c r="K17" s="13"/>
    </row>
    <row r="18" customFormat="false" ht="27.75" hidden="false" customHeight="true" outlineLevel="0" collapsed="false">
      <c r="A18" s="23" t="n">
        <v>7</v>
      </c>
      <c r="B18" s="33" t="s">
        <v>92</v>
      </c>
      <c r="C18" s="21" t="s">
        <v>93</v>
      </c>
      <c r="D18" s="34" t="s">
        <v>74</v>
      </c>
      <c r="E18" s="34" t="s">
        <v>75</v>
      </c>
      <c r="F18" s="35"/>
      <c r="G18" s="35"/>
      <c r="H18" s="34"/>
      <c r="I18" s="34"/>
      <c r="J18" s="36"/>
      <c r="K18" s="34"/>
    </row>
    <row r="19" customFormat="false" ht="27.75" hidden="false" customHeight="true" outlineLevel="0" collapsed="false">
      <c r="A19" s="23" t="n">
        <v>8</v>
      </c>
      <c r="B19" s="33" t="s">
        <v>94</v>
      </c>
      <c r="C19" s="21" t="s">
        <v>95</v>
      </c>
      <c r="D19" s="34" t="s">
        <v>74</v>
      </c>
      <c r="E19" s="34" t="s">
        <v>75</v>
      </c>
      <c r="F19" s="35"/>
      <c r="G19" s="35"/>
      <c r="H19" s="34"/>
      <c r="I19" s="34"/>
      <c r="J19" s="36"/>
      <c r="K19" s="34"/>
    </row>
    <row r="20" customFormat="false" ht="27.75" hidden="false" customHeight="true" outlineLevel="0" collapsed="false">
      <c r="A20" s="23" t="n">
        <v>9</v>
      </c>
      <c r="B20" s="33" t="s">
        <v>96</v>
      </c>
      <c r="C20" s="21" t="s">
        <v>97</v>
      </c>
      <c r="D20" s="34" t="s">
        <v>74</v>
      </c>
      <c r="E20" s="34" t="s">
        <v>75</v>
      </c>
      <c r="F20" s="35"/>
      <c r="G20" s="35"/>
      <c r="H20" s="34"/>
      <c r="I20" s="34"/>
      <c r="J20" s="36"/>
      <c r="K20" s="34"/>
    </row>
    <row r="21" customFormat="false" ht="27.75" hidden="false" customHeight="true" outlineLevel="0" collapsed="false">
      <c r="A21" s="23" t="n">
        <v>10</v>
      </c>
      <c r="B21" s="33" t="s">
        <v>98</v>
      </c>
      <c r="C21" s="21" t="s">
        <v>99</v>
      </c>
      <c r="D21" s="34" t="s">
        <v>88</v>
      </c>
      <c r="E21" s="34" t="s">
        <v>80</v>
      </c>
      <c r="F21" s="35" t="s">
        <v>100</v>
      </c>
      <c r="G21" s="35" t="s">
        <v>101</v>
      </c>
      <c r="H21" s="34"/>
      <c r="I21" s="34"/>
      <c r="J21" s="36"/>
      <c r="K21" s="34"/>
    </row>
    <row r="22" customFormat="false" ht="27.75" hidden="false" customHeight="true" outlineLevel="0" collapsed="false">
      <c r="A22" s="23" t="n">
        <v>11</v>
      </c>
      <c r="B22" s="33" t="s">
        <v>102</v>
      </c>
      <c r="C22" s="21" t="s">
        <v>103</v>
      </c>
      <c r="D22" s="34" t="s">
        <v>74</v>
      </c>
      <c r="E22" s="34" t="s">
        <v>80</v>
      </c>
      <c r="F22" s="35"/>
      <c r="G22" s="35"/>
      <c r="H22" s="34"/>
      <c r="I22" s="34"/>
      <c r="J22" s="36"/>
      <c r="K22" s="34"/>
    </row>
    <row r="23" customFormat="false" ht="27.75" hidden="false" customHeight="true" outlineLevel="0" collapsed="false">
      <c r="A23" s="23" t="n">
        <v>12</v>
      </c>
      <c r="B23" s="33" t="s">
        <v>104</v>
      </c>
      <c r="C23" s="21" t="s">
        <v>105</v>
      </c>
      <c r="D23" s="34" t="s">
        <v>74</v>
      </c>
      <c r="E23" s="34" t="s">
        <v>83</v>
      </c>
      <c r="F23" s="35"/>
      <c r="G23" s="35"/>
      <c r="H23" s="34"/>
      <c r="I23" s="34"/>
      <c r="J23" s="36"/>
      <c r="K23" s="34"/>
    </row>
    <row r="24" customFormat="false" ht="27.75" hidden="false" customHeight="true" outlineLevel="0" collapsed="false">
      <c r="A24" s="23" t="n">
        <v>13</v>
      </c>
      <c r="B24" s="33" t="s">
        <v>106</v>
      </c>
      <c r="C24" s="21" t="s">
        <v>107</v>
      </c>
      <c r="D24" s="34" t="s">
        <v>74</v>
      </c>
      <c r="E24" s="34" t="s">
        <v>80</v>
      </c>
      <c r="F24" s="35"/>
      <c r="G24" s="35"/>
      <c r="H24" s="34"/>
      <c r="I24" s="34"/>
      <c r="J24" s="36"/>
      <c r="K24" s="34"/>
    </row>
    <row r="25" customFormat="false" ht="15" hidden="false" customHeight="false" outlineLevel="0" collapsed="false">
      <c r="A25" s="31" t="s">
        <v>108</v>
      </c>
      <c r="B25" s="31"/>
      <c r="C25" s="31"/>
      <c r="D25" s="32" t="str">
        <f aca="false">IF(COUNTIF(D26:D31,"Compliant")+COUNTIF(D26:D31,"Non-Compliant")+COUNTIF(D26:D31,"Deviation Accepted")=0,"","Compliance: "&amp;TEXT((COUNTIF(D26:D31,"Compliant")+COUNTIF(D26:D31,"Deviation Accepted"))/(COUNTIF(D26:D31,"Compliant")+COUNTIF(D26:D31,"Non-Compliant")+COUNTIF(D26:D31,"Deviation Accepted")),"0%"))</f>
        <v>Compliance: 100%</v>
      </c>
      <c r="E25" s="32"/>
      <c r="F25" s="32"/>
      <c r="G25" s="32"/>
      <c r="H25" s="13"/>
      <c r="I25" s="13"/>
      <c r="J25" s="13"/>
      <c r="K25" s="13"/>
    </row>
    <row r="26" customFormat="false" ht="27.75" hidden="false" customHeight="true" outlineLevel="0" collapsed="false">
      <c r="A26" s="23" t="n">
        <v>14</v>
      </c>
      <c r="B26" s="33" t="s">
        <v>109</v>
      </c>
      <c r="C26" s="21" t="s">
        <v>110</v>
      </c>
      <c r="D26" s="34" t="s">
        <v>74</v>
      </c>
      <c r="E26" s="34" t="s">
        <v>75</v>
      </c>
      <c r="F26" s="35"/>
      <c r="G26" s="35"/>
      <c r="H26" s="34"/>
      <c r="I26" s="34"/>
      <c r="J26" s="36"/>
      <c r="K26" s="34"/>
    </row>
    <row r="27" customFormat="false" ht="27.75" hidden="false" customHeight="true" outlineLevel="0" collapsed="false">
      <c r="A27" s="23" t="n">
        <v>15</v>
      </c>
      <c r="B27" s="33" t="s">
        <v>111</v>
      </c>
      <c r="C27" s="21" t="s">
        <v>112</v>
      </c>
      <c r="D27" s="34" t="s">
        <v>113</v>
      </c>
      <c r="E27" s="34" t="s">
        <v>83</v>
      </c>
      <c r="F27" s="35" t="s">
        <v>114</v>
      </c>
      <c r="G27" s="35" t="s">
        <v>115</v>
      </c>
      <c r="H27" s="34"/>
      <c r="I27" s="34"/>
      <c r="J27" s="36"/>
      <c r="K27" s="34"/>
    </row>
    <row r="28" customFormat="false" ht="27.75" hidden="false" customHeight="true" outlineLevel="0" collapsed="false">
      <c r="A28" s="23" t="n">
        <v>16</v>
      </c>
      <c r="B28" s="33" t="s">
        <v>116</v>
      </c>
      <c r="C28" s="21" t="s">
        <v>117</v>
      </c>
      <c r="D28" s="34" t="s">
        <v>74</v>
      </c>
      <c r="E28" s="34" t="s">
        <v>83</v>
      </c>
      <c r="F28" s="35"/>
      <c r="G28" s="35"/>
      <c r="H28" s="34"/>
      <c r="I28" s="34"/>
      <c r="J28" s="36"/>
      <c r="K28" s="34"/>
    </row>
    <row r="29" customFormat="false" ht="27.75" hidden="false" customHeight="true" outlineLevel="0" collapsed="false">
      <c r="A29" s="23" t="n">
        <v>17</v>
      </c>
      <c r="B29" s="33" t="s">
        <v>118</v>
      </c>
      <c r="C29" s="21" t="s">
        <v>119</v>
      </c>
      <c r="D29" s="34" t="s">
        <v>74</v>
      </c>
      <c r="E29" s="34" t="s">
        <v>120</v>
      </c>
      <c r="F29" s="35"/>
      <c r="G29" s="35"/>
      <c r="H29" s="34"/>
      <c r="I29" s="34"/>
      <c r="J29" s="36"/>
      <c r="K29" s="34"/>
    </row>
    <row r="30" customFormat="false" ht="27.75" hidden="false" customHeight="true" outlineLevel="0" collapsed="false">
      <c r="A30" s="23" t="n">
        <v>18</v>
      </c>
      <c r="B30" s="33" t="s">
        <v>121</v>
      </c>
      <c r="C30" s="21" t="s">
        <v>122</v>
      </c>
      <c r="D30" s="34" t="s">
        <v>74</v>
      </c>
      <c r="E30" s="34" t="s">
        <v>83</v>
      </c>
      <c r="F30" s="35"/>
      <c r="G30" s="35"/>
      <c r="H30" s="34"/>
      <c r="I30" s="34"/>
      <c r="J30" s="36"/>
      <c r="K30" s="34"/>
    </row>
    <row r="31" customFormat="false" ht="27.75" hidden="false" customHeight="true" outlineLevel="0" collapsed="false">
      <c r="A31" s="23" t="n">
        <v>19</v>
      </c>
      <c r="B31" s="33" t="s">
        <v>123</v>
      </c>
      <c r="C31" s="21" t="s">
        <v>124</v>
      </c>
      <c r="D31" s="34" t="s">
        <v>74</v>
      </c>
      <c r="E31" s="34" t="s">
        <v>80</v>
      </c>
      <c r="F31" s="35"/>
      <c r="G31" s="35"/>
      <c r="H31" s="34"/>
      <c r="I31" s="34"/>
      <c r="J31" s="36"/>
      <c r="K31" s="34"/>
    </row>
    <row r="32" customFormat="false" ht="15" hidden="false" customHeight="false" outlineLevel="0" collapsed="false">
      <c r="A32" s="31" t="s">
        <v>125</v>
      </c>
      <c r="B32" s="31"/>
      <c r="C32" s="31"/>
      <c r="D32" s="32" t="str">
        <f aca="false">IF(COUNTIF(D33:D39,"Compliant")+COUNTIF(D33:D39,"Non-Compliant")+COUNTIF(D33:D39,"Deviation Accepted")=0,"","Compliance: "&amp;TEXT((COUNTIF(D33:D39,"Compliant")+COUNTIF(D33:D39,"Deviation Accepted"))/(COUNTIF(D33:D39,"Compliant")+COUNTIF(D33:D39,"Non-Compliant")+COUNTIF(D33:D39,"Deviation Accepted")),"0%"))</f>
        <v>Compliance: 86%</v>
      </c>
      <c r="E32" s="32"/>
      <c r="F32" s="32"/>
      <c r="G32" s="32"/>
      <c r="H32" s="13"/>
      <c r="I32" s="13"/>
      <c r="J32" s="13"/>
      <c r="K32" s="13"/>
    </row>
    <row r="33" customFormat="false" ht="27.75" hidden="false" customHeight="true" outlineLevel="0" collapsed="false">
      <c r="A33" s="23" t="n">
        <v>20</v>
      </c>
      <c r="B33" s="33" t="s">
        <v>126</v>
      </c>
      <c r="C33" s="21" t="s">
        <v>127</v>
      </c>
      <c r="D33" s="34" t="s">
        <v>74</v>
      </c>
      <c r="E33" s="34" t="s">
        <v>75</v>
      </c>
      <c r="F33" s="35"/>
      <c r="G33" s="35"/>
      <c r="H33" s="34"/>
      <c r="I33" s="34"/>
      <c r="J33" s="36"/>
      <c r="K33" s="34"/>
    </row>
    <row r="34" customFormat="false" ht="27.75" hidden="false" customHeight="true" outlineLevel="0" collapsed="false">
      <c r="A34" s="23" t="n">
        <v>21</v>
      </c>
      <c r="B34" s="33" t="s">
        <v>128</v>
      </c>
      <c r="C34" s="21" t="s">
        <v>129</v>
      </c>
      <c r="D34" s="34" t="s">
        <v>74</v>
      </c>
      <c r="E34" s="34" t="s">
        <v>75</v>
      </c>
      <c r="F34" s="35"/>
      <c r="G34" s="35"/>
      <c r="H34" s="34"/>
      <c r="I34" s="34"/>
      <c r="J34" s="36"/>
      <c r="K34" s="34"/>
    </row>
    <row r="35" customFormat="false" ht="27.75" hidden="false" customHeight="true" outlineLevel="0" collapsed="false">
      <c r="A35" s="23" t="n">
        <v>22</v>
      </c>
      <c r="B35" s="33" t="s">
        <v>130</v>
      </c>
      <c r="C35" s="21" t="s">
        <v>131</v>
      </c>
      <c r="D35" s="34" t="s">
        <v>74</v>
      </c>
      <c r="E35" s="34" t="s">
        <v>75</v>
      </c>
      <c r="F35" s="35"/>
      <c r="G35" s="35"/>
      <c r="H35" s="34"/>
      <c r="I35" s="34"/>
      <c r="J35" s="36"/>
      <c r="K35" s="34"/>
    </row>
    <row r="36" customFormat="false" ht="27.75" hidden="false" customHeight="true" outlineLevel="0" collapsed="false">
      <c r="A36" s="23" t="n">
        <v>23</v>
      </c>
      <c r="B36" s="33" t="s">
        <v>132</v>
      </c>
      <c r="C36" s="21" t="s">
        <v>133</v>
      </c>
      <c r="D36" s="34" t="s">
        <v>88</v>
      </c>
      <c r="E36" s="34" t="s">
        <v>80</v>
      </c>
      <c r="F36" s="35" t="s">
        <v>134</v>
      </c>
      <c r="G36" s="35" t="s">
        <v>135</v>
      </c>
      <c r="H36" s="34"/>
      <c r="I36" s="34"/>
      <c r="J36" s="36"/>
      <c r="K36" s="34"/>
    </row>
    <row r="37" customFormat="false" ht="27.75" hidden="false" customHeight="true" outlineLevel="0" collapsed="false">
      <c r="A37" s="23" t="n">
        <v>24</v>
      </c>
      <c r="B37" s="33" t="s">
        <v>136</v>
      </c>
      <c r="C37" s="21" t="s">
        <v>137</v>
      </c>
      <c r="D37" s="34" t="s">
        <v>74</v>
      </c>
      <c r="E37" s="34" t="s">
        <v>80</v>
      </c>
      <c r="F37" s="35"/>
      <c r="G37" s="35"/>
      <c r="H37" s="34"/>
      <c r="I37" s="34"/>
      <c r="J37" s="36"/>
      <c r="K37" s="34"/>
    </row>
    <row r="38" customFormat="false" ht="27.75" hidden="false" customHeight="true" outlineLevel="0" collapsed="false">
      <c r="A38" s="23" t="n">
        <v>25</v>
      </c>
      <c r="B38" s="33" t="s">
        <v>138</v>
      </c>
      <c r="C38" s="21" t="s">
        <v>139</v>
      </c>
      <c r="D38" s="34" t="s">
        <v>74</v>
      </c>
      <c r="E38" s="34" t="s">
        <v>83</v>
      </c>
      <c r="F38" s="35"/>
      <c r="G38" s="35"/>
      <c r="H38" s="34"/>
      <c r="I38" s="34"/>
      <c r="J38" s="36"/>
      <c r="K38" s="34"/>
    </row>
    <row r="39" customFormat="false" ht="27.75" hidden="false" customHeight="true" outlineLevel="0" collapsed="false">
      <c r="A39" s="23" t="n">
        <v>26</v>
      </c>
      <c r="B39" s="33" t="s">
        <v>140</v>
      </c>
      <c r="C39" s="21" t="s">
        <v>141</v>
      </c>
      <c r="D39" s="34" t="s">
        <v>74</v>
      </c>
      <c r="E39" s="34" t="s">
        <v>80</v>
      </c>
      <c r="F39" s="35"/>
      <c r="G39" s="35"/>
      <c r="H39" s="34"/>
      <c r="I39" s="34"/>
      <c r="J39" s="36"/>
      <c r="K39" s="34"/>
    </row>
    <row r="40" customFormat="false" ht="15" hidden="false" customHeight="false" outlineLevel="0" collapsed="false">
      <c r="A40" s="31" t="s">
        <v>142</v>
      </c>
      <c r="B40" s="31"/>
      <c r="C40" s="31"/>
      <c r="D40" s="32" t="str">
        <f aca="false">IF(COUNTIF(D41:D46,"Compliant")+COUNTIF(D41:D46,"Non-Compliant")+COUNTIF(D41:D46,"Deviation Accepted")=0,"","Compliance: "&amp;TEXT((COUNTIF(D41:D46,"Compliant")+COUNTIF(D41:D46,"Deviation Accepted"))/(COUNTIF(D41:D46,"Compliant")+COUNTIF(D41:D46,"Non-Compliant")+COUNTIF(D41:D46,"Deviation Accepted")),"0%"))</f>
        <v>Compliance: 100%</v>
      </c>
      <c r="E40" s="32"/>
      <c r="F40" s="32"/>
      <c r="G40" s="32"/>
      <c r="H40" s="13"/>
      <c r="I40" s="13"/>
      <c r="J40" s="13"/>
      <c r="K40" s="13"/>
    </row>
    <row r="41" customFormat="false" ht="27.75" hidden="false" customHeight="true" outlineLevel="0" collapsed="false">
      <c r="A41" s="23" t="n">
        <v>27</v>
      </c>
      <c r="B41" s="33" t="s">
        <v>143</v>
      </c>
      <c r="C41" s="21" t="s">
        <v>144</v>
      </c>
      <c r="D41" s="34" t="s">
        <v>74</v>
      </c>
      <c r="E41" s="34" t="s">
        <v>75</v>
      </c>
      <c r="F41" s="35"/>
      <c r="G41" s="35"/>
      <c r="H41" s="34"/>
      <c r="I41" s="34"/>
      <c r="J41" s="36"/>
      <c r="K41" s="34"/>
    </row>
    <row r="42" customFormat="false" ht="27.75" hidden="false" customHeight="true" outlineLevel="0" collapsed="false">
      <c r="A42" s="23" t="n">
        <v>28</v>
      </c>
      <c r="B42" s="33" t="s">
        <v>145</v>
      </c>
      <c r="C42" s="21" t="s">
        <v>146</v>
      </c>
      <c r="D42" s="34" t="s">
        <v>74</v>
      </c>
      <c r="E42" s="34" t="s">
        <v>75</v>
      </c>
      <c r="F42" s="35"/>
      <c r="G42" s="35"/>
      <c r="H42" s="34"/>
      <c r="I42" s="34"/>
      <c r="J42" s="36"/>
      <c r="K42" s="34"/>
    </row>
    <row r="43" customFormat="false" ht="27.75" hidden="false" customHeight="true" outlineLevel="0" collapsed="false">
      <c r="A43" s="23" t="n">
        <v>29</v>
      </c>
      <c r="B43" s="33" t="s">
        <v>147</v>
      </c>
      <c r="C43" s="21" t="s">
        <v>148</v>
      </c>
      <c r="D43" s="34" t="s">
        <v>74</v>
      </c>
      <c r="E43" s="34" t="s">
        <v>75</v>
      </c>
      <c r="F43" s="35"/>
      <c r="G43" s="35"/>
      <c r="H43" s="34"/>
      <c r="I43" s="34"/>
      <c r="J43" s="36"/>
      <c r="K43" s="34"/>
    </row>
    <row r="44" customFormat="false" ht="27.75" hidden="false" customHeight="true" outlineLevel="0" collapsed="false">
      <c r="A44" s="23" t="n">
        <v>30</v>
      </c>
      <c r="B44" s="33" t="s">
        <v>149</v>
      </c>
      <c r="C44" s="21" t="s">
        <v>150</v>
      </c>
      <c r="D44" s="34" t="s">
        <v>74</v>
      </c>
      <c r="E44" s="34" t="s">
        <v>75</v>
      </c>
      <c r="F44" s="35"/>
      <c r="G44" s="35"/>
      <c r="H44" s="34"/>
      <c r="I44" s="34"/>
      <c r="J44" s="36"/>
      <c r="K44" s="34"/>
    </row>
    <row r="45" customFormat="false" ht="27.75" hidden="false" customHeight="true" outlineLevel="0" collapsed="false">
      <c r="A45" s="23" t="n">
        <v>31</v>
      </c>
      <c r="B45" s="33" t="s">
        <v>151</v>
      </c>
      <c r="C45" s="21" t="s">
        <v>152</v>
      </c>
      <c r="D45" s="34" t="s">
        <v>74</v>
      </c>
      <c r="E45" s="34" t="s">
        <v>80</v>
      </c>
      <c r="F45" s="35"/>
      <c r="G45" s="35"/>
      <c r="H45" s="34"/>
      <c r="I45" s="34"/>
      <c r="J45" s="36"/>
      <c r="K45" s="34"/>
    </row>
    <row r="46" customFormat="false" ht="27.75" hidden="false" customHeight="true" outlineLevel="0" collapsed="false">
      <c r="A46" s="23" t="n">
        <v>32</v>
      </c>
      <c r="B46" s="33" t="s">
        <v>153</v>
      </c>
      <c r="C46" s="21" t="s">
        <v>154</v>
      </c>
      <c r="D46" s="34" t="s">
        <v>74</v>
      </c>
      <c r="E46" s="34" t="s">
        <v>80</v>
      </c>
      <c r="F46" s="35"/>
      <c r="G46" s="35"/>
      <c r="H46" s="34"/>
      <c r="I46" s="34"/>
      <c r="J46" s="36"/>
      <c r="K46" s="34"/>
    </row>
  </sheetData>
  <autoFilter ref="A9:K200"/>
  <mergeCells count="24">
    <mergeCell ref="A1:G1"/>
    <mergeCell ref="H1:K1"/>
    <mergeCell ref="B2:C2"/>
    <mergeCell ref="E2:G2"/>
    <mergeCell ref="B3:C3"/>
    <mergeCell ref="E3:G3"/>
    <mergeCell ref="B4:C4"/>
    <mergeCell ref="E4:G4"/>
    <mergeCell ref="B5:C5"/>
    <mergeCell ref="E5:G5"/>
    <mergeCell ref="B6:C6"/>
    <mergeCell ref="E6:G6"/>
    <mergeCell ref="B7:C7"/>
    <mergeCell ref="E7:G7"/>
    <mergeCell ref="A10:C10"/>
    <mergeCell ref="D10:G10"/>
    <mergeCell ref="A17:C17"/>
    <mergeCell ref="D17:G17"/>
    <mergeCell ref="A25:C25"/>
    <mergeCell ref="D25:G25"/>
    <mergeCell ref="A32:C32"/>
    <mergeCell ref="D32:G32"/>
    <mergeCell ref="A40:C40"/>
    <mergeCell ref="D40:G40"/>
  </mergeCells>
  <conditionalFormatting sqref="I3">
    <cfRule type="cellIs" priority="2" operator="greaterThanOrEqual" aboveAverage="0" equalAverage="0" bottom="0" percent="0" rank="0" text="" dxfId="9">
      <formula>1</formula>
    </cfRule>
    <cfRule type="cellIs" priority="3" operator="between" aboveAverage="0" equalAverage="0" bottom="0" percent="0" rank="0" text="" dxfId="10">
      <formula>0.8</formula>
      <formula>0.99</formula>
    </cfRule>
    <cfRule type="cellIs" priority="4" operator="lessThan" aboveAverage="0" equalAverage="0" bottom="0" percent="0" rank="0" text="" dxfId="11">
      <formula>0.8</formula>
    </cfRule>
  </conditionalFormatting>
  <conditionalFormatting sqref="I4">
    <cfRule type="cellIs" priority="5" operator="greaterThanOrEqual" aboveAverage="0" equalAverage="0" bottom="0" percent="0" rank="0" text="" dxfId="9">
      <formula>1</formula>
    </cfRule>
    <cfRule type="cellIs" priority="6" operator="between" aboveAverage="0" equalAverage="0" bottom="0" percent="0" rank="0" text="" dxfId="10">
      <formula>0.8</formula>
      <formula>0.99</formula>
    </cfRule>
    <cfRule type="cellIs" priority="7" operator="lessThan" aboveAverage="0" equalAverage="0" bottom="0" percent="0" rank="0" text="" dxfId="11">
      <formula>0.8</formula>
    </cfRule>
  </conditionalFormatting>
  <conditionalFormatting sqref="I5">
    <cfRule type="cellIs" priority="8" operator="greaterThanOrEqual" aboveAverage="0" equalAverage="0" bottom="0" percent="0" rank="0" text="" dxfId="9">
      <formula>1</formula>
    </cfRule>
    <cfRule type="cellIs" priority="9" operator="between" aboveAverage="0" equalAverage="0" bottom="0" percent="0" rank="0" text="" dxfId="10">
      <formula>0.8</formula>
      <formula>0.99</formula>
    </cfRule>
    <cfRule type="cellIs" priority="10" operator="lessThan" aboveAverage="0" equalAverage="0" bottom="0" percent="0" rank="0" text="" dxfId="11">
      <formula>0.8</formula>
    </cfRule>
  </conditionalFormatting>
  <conditionalFormatting sqref="I6">
    <cfRule type="cellIs" priority="11" operator="greaterThanOrEqual" aboveAverage="0" equalAverage="0" bottom="0" percent="0" rank="0" text="" dxfId="9">
      <formula>1</formula>
    </cfRule>
    <cfRule type="cellIs" priority="12" operator="between" aboveAverage="0" equalAverage="0" bottom="0" percent="0" rank="0" text="" dxfId="10">
      <formula>0.8</formula>
      <formula>0.99</formula>
    </cfRule>
    <cfRule type="cellIs" priority="13" operator="lessThan" aboveAverage="0" equalAverage="0" bottom="0" percent="0" rank="0" text="" dxfId="11">
      <formula>0.8</formula>
    </cfRule>
  </conditionalFormatting>
  <conditionalFormatting sqref="I7">
    <cfRule type="cellIs" priority="14" operator="greaterThanOrEqual" aboveAverage="0" equalAverage="0" bottom="0" percent="0" rank="0" text="" dxfId="9">
      <formula>1</formula>
    </cfRule>
    <cfRule type="cellIs" priority="15" operator="between" aboveAverage="0" equalAverage="0" bottom="0" percent="0" rank="0" text="" dxfId="10">
      <formula>0.8</formula>
      <formula>0.99</formula>
    </cfRule>
    <cfRule type="cellIs" priority="16" operator="lessThan" aboveAverage="0" equalAverage="0" bottom="0" percent="0" rank="0" text="" dxfId="11">
      <formula>0.8</formula>
    </cfRule>
  </conditionalFormatting>
  <conditionalFormatting sqref="I8">
    <cfRule type="cellIs" priority="17" operator="greaterThanOrEqual" aboveAverage="0" equalAverage="0" bottom="0" percent="0" rank="0" text="" dxfId="9">
      <formula>1</formula>
    </cfRule>
    <cfRule type="cellIs" priority="18" operator="between" aboveAverage="0" equalAverage="0" bottom="0" percent="0" rank="0" text="" dxfId="10">
      <formula>0.8</formula>
      <formula>0.99</formula>
    </cfRule>
    <cfRule type="cellIs" priority="19" operator="lessThan" aboveAverage="0" equalAverage="0" bottom="0" percent="0" rank="0" text="" dxfId="11">
      <formula>0.8</formula>
    </cfRule>
  </conditionalFormatting>
  <conditionalFormatting sqref="J8">
    <cfRule type="cellIs" priority="20" operator="equal" aboveAverage="0" equalAverage="0" bottom="0" percent="0" rank="0" text="" dxfId="9">
      <formula>"COMPLIANT"</formula>
    </cfRule>
    <cfRule type="cellIs" priority="21" operator="equal" aboveAverage="0" equalAverage="0" bottom="0" percent="0" rank="0" text="" dxfId="11">
      <formula>"NON-COMPLIANT"</formula>
    </cfRule>
  </conditionalFormatting>
  <conditionalFormatting sqref="D11:D46">
    <cfRule type="cellIs" priority="22" operator="equal" aboveAverage="0" equalAverage="0" bottom="0" percent="0" rank="0" text="" dxfId="9">
      <formula>"Compliant"</formula>
    </cfRule>
    <cfRule type="cellIs" priority="23" operator="equal" aboveAverage="0" equalAverage="0" bottom="0" percent="0" rank="0" text="" dxfId="11">
      <formula>"Non-Compliant"</formula>
    </cfRule>
    <cfRule type="cellIs" priority="24" operator="equal" aboveAverage="0" equalAverage="0" bottom="0" percent="0" rank="0" text="" dxfId="10">
      <formula>"Deviation Accepted"</formula>
    </cfRule>
  </conditionalFormatting>
  <conditionalFormatting sqref="E11:E46">
    <cfRule type="cellIs" priority="25" operator="equal" aboveAverage="0" equalAverage="0" bottom="0" percent="0" rank="0" text="" dxfId="11">
      <formula>"Critical"</formula>
    </cfRule>
    <cfRule type="cellIs" priority="26" operator="equal" aboveAverage="0" equalAverage="0" bottom="0" percent="0" rank="0" text="" dxfId="10">
      <formula>"High"</formula>
    </cfRule>
  </conditionalFormatting>
  <dataValidations count="3">
    <dataValidation allowBlank="true" error="Select a compliance status" errorStyle="stop" operator="between" showDropDown="false" showErrorMessage="false" showInputMessage="false" sqref="D10:D200" type="list">
      <formula1>"Compliant,Non-Compliant,Deviation Accepted,N/A"</formula1>
      <formula2>0</formula2>
    </dataValidation>
    <dataValidation allowBlank="true" errorStyle="stop" operator="between" showDropDown="false" showErrorMessage="false" showInputMessage="false" sqref="E10:E200" type="list">
      <formula1>"Critical,High,Medium,Low"</formula1>
      <formula2>0</formula2>
    </dataValidation>
    <dataValidation allowBlank="true" errorStyle="stop" operator="between" showDropDown="false" showErrorMessage="false" showInputMessage="false" sqref="H10:H200" type="list">
      <formula1>"Visual Inspection,Functional Test,Document Review,Witness Test,Simulation,Design Review"</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&amp;CControl Philosophy Compliance Checklist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37" t="s">
        <v>155</v>
      </c>
    </row>
    <row r="2" customFormat="false" ht="15" hidden="false" customHeight="false" outlineLevel="0" collapsed="false">
      <c r="A2" s="37"/>
    </row>
    <row r="3" customFormat="false" ht="15" hidden="false" customHeight="false" outlineLevel="0" collapsed="false">
      <c r="A3" s="37" t="s">
        <v>156</v>
      </c>
    </row>
    <row r="4" customFormat="false" ht="15" hidden="false" customHeight="false" outlineLevel="0" collapsed="false">
      <c r="A4" s="37"/>
    </row>
    <row r="5" customFormat="false" ht="15" hidden="false" customHeight="false" outlineLevel="0" collapsed="false">
      <c r="A5" s="37" t="s">
        <v>157</v>
      </c>
    </row>
    <row r="6" customFormat="false" ht="15" hidden="false" customHeight="false" outlineLevel="0" collapsed="false">
      <c r="A6" s="37"/>
    </row>
    <row r="7" customFormat="false" ht="15" hidden="false" customHeight="false" outlineLevel="0" collapsed="false">
      <c r="A7" s="37" t="s">
        <v>158</v>
      </c>
    </row>
    <row r="8" customFormat="false" ht="15" hidden="false" customHeight="false" outlineLevel="0" collapsed="false">
      <c r="A8" s="37"/>
    </row>
    <row r="9" customFormat="false" ht="15" hidden="false" customHeight="false" outlineLevel="0" collapsed="false">
      <c r="A9" s="37" t="s">
        <v>159</v>
      </c>
    </row>
    <row r="10" customFormat="false" ht="15" hidden="false" customHeight="false" outlineLevel="0" collapsed="false">
      <c r="A10" s="37"/>
    </row>
    <row r="11" customFormat="false" ht="15" hidden="false" customHeight="false" outlineLevel="0" collapsed="false">
      <c r="A11" s="37" t="s">
        <v>160</v>
      </c>
    </row>
    <row r="12" customFormat="false" ht="15" hidden="false" customHeight="false" outlineLevel="0" collapsed="false">
      <c r="A12" s="37"/>
    </row>
    <row r="13" customFormat="false" ht="15" hidden="false" customHeight="false" outlineLevel="0" collapsed="false">
      <c r="A13" s="37" t="s">
        <v>161</v>
      </c>
    </row>
    <row r="14" customFormat="false" ht="15" hidden="false" customHeight="false" outlineLevel="0" collapsed="false">
      <c r="A14" s="37"/>
    </row>
    <row r="15" customFormat="false" ht="15" hidden="false" customHeight="false" outlineLevel="0" collapsed="false">
      <c r="A15" s="37" t="s">
        <v>162</v>
      </c>
    </row>
    <row r="16" customFormat="false" ht="15" hidden="false" customHeight="false" outlineLevel="0" collapsed="false">
      <c r="A16" s="37"/>
    </row>
    <row r="17" customFormat="false" ht="15" hidden="false" customHeight="false" outlineLevel="0" collapsed="false">
      <c r="A17" s="37"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 Commissioning</cp:category>
  <dcterms:created xsi:type="dcterms:W3CDTF">2026-03-22T21:00:38Z</dcterms:created>
  <dc:creator>Ebrora Ltd</dc:creator>
  <dc:description>Systematically verify that installed control systems comply with the approved control philosophy — covering modes of operation, interlocks, alarms, sequencing, and safety functions with scored compliance tracking.
Free professional construction management template from Ebrora Ltd. Visit ebrora.com for our full range of tools and templates.</dc:description>
  <cp:keywords>Ebrora construction MEICA commissioning control philosophy compliance checklist SCADA PLC interlocks</cp:keywords>
  <dc:language>en-US</dc:language>
  <cp:lastModifiedBy>Ebrora Ltd</cp:lastModifiedBy>
  <dcterms:modified xsi:type="dcterms:W3CDTF">2026-03-22T21:00:38Z</dcterms:modified>
  <cp:revision>0</cp:revision>
  <dc:subject>Compliance matrix for verifying installed control systems against the approved control philosophy, covering modes of operation, interlocks, alarms, sequencing, and safety functions.</dc:subject>
  <dc:title>Control Philosophy Compliance Checklist</dc:title>
</cp:coreProperties>
</file>

<file path=docProps/custom.xml><?xml version="1.0" encoding="utf-8"?>
<Properties xmlns="http://schemas.openxmlformats.org/officeDocument/2006/custom-properties" xmlns:vt="http://schemas.openxmlformats.org/officeDocument/2006/docPropsVTypes"/>
</file>