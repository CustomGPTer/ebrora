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Instructions" sheetId="2" state="visible" r:id="rId4"/>
    <sheet name="ITP Pack Index" sheetId="3" state="visible" r:id="rId5"/>
    <sheet name="Terms of Use" sheetId="4" state="hidden" r:id="rId6"/>
  </sheets>
  <definedNames>
    <definedName function="false" hidden="false" localSheetId="0" name="_xlnm.Print_Area" vbProcedure="false">Cover!$A$1:$H$20</definedName>
    <definedName function="false" hidden="false" localSheetId="1" name="_xlnm.Print_Area" vbProcedure="false">Instructions!$A$1:$F$29</definedName>
    <definedName function="false" hidden="false" localSheetId="2" name="_xlnm.Print_Area" vbProcedure="false">'ITP Pack Index'!$A$1:$M$30</definedName>
    <definedName function="false" hidden="false" localSheetId="2" name="_xlnm.Print_Titles" vbProcedure="false">'ITP Pack Index'!$1:$3</definedName>
    <definedName function="false" hidden="true" localSheetId="2" name="_xlnm._FilterDatabase" vbProcedure="false">'ITP Pack Index'!$A$3:$M$3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<sst xmlns="http://schemas.openxmlformats.org/spreadsheetml/2006/main" count="189" uniqueCount="144">
  <si>
    <t xml:space="preserve">EBRORA</t>
  </si>
  <si>
    <t xml:space="preserve">ebrora.com</t>
  </si>
  <si>
    <t xml:space="preserve">ITP Pack Index</t>
  </si>
  <si>
    <t xml:space="preserve">A complete index of all Inspection &amp; Test Plan points, organised by discipline — track every Hold, Witness and Review point from issue to close-out.</t>
  </si>
  <si>
    <t xml:space="preserve">This is a free template from Ebrora.
For our full range of professional-grade construction management tools, visit ebrora.com</t>
  </si>
  <si>
    <t xml:space="preserve">© Ebrora 2026 — All rights reserved</t>
  </si>
  <si>
    <t xml:space="preserve">How to Use This Template — ITP Pack Index</t>
  </si>
  <si>
    <t xml:space="preserve">Step-by-Step Instructions</t>
  </si>
  <si>
    <t xml:space="preserve">1.</t>
  </si>
  <si>
    <t xml:space="preserve">Go to the 'ITP Pack Index' sheet. Enter the Project Name and Contract Number in the info strip at the top.</t>
  </si>
  <si>
    <t xml:space="preserve">2.</t>
  </si>
  <si>
    <t xml:space="preserve">The sheet is organised into discipline sections, each introduced by a teal section header. Add new rows within the relevant discipline section.</t>
  </si>
  <si>
    <t xml:space="preserve">3.</t>
  </si>
  <si>
    <t xml:space="preserve">Each ITP item has a sequential Pack Ref (ITP-CV-001, ITP-ST-001, etc.) — enter this in column A, or use your project-specific ITP numbering.</t>
  </si>
  <si>
    <t xml:space="preserve">4.</t>
  </si>
  <si>
    <t xml:space="preserve">Enter the Activity or Inspection Point description in column B. This should match the ITP document exactly.</t>
  </si>
  <si>
    <t xml:space="preserve">5.</t>
  </si>
  <si>
    <t xml:space="preserve">Use the Classification dropdown in column C to set the inspection point type: Hold Point, Witness Point, or Review Point.</t>
  </si>
  <si>
    <t xml:space="preserve">6.</t>
  </si>
  <si>
    <t xml:space="preserve">Enter the Responsible Party in column D — typically the Contractor or Named Subcontractor responsible for notifying the inspection.</t>
  </si>
  <si>
    <t xml:space="preserve">7.</t>
  </si>
  <si>
    <t xml:space="preserve">Set the Required By date in column E — the date the inspection must be completed by (linked to programme).</t>
  </si>
  <si>
    <t xml:space="preserve">8.</t>
  </si>
  <si>
    <t xml:space="preserve">Update the Status dropdown (column F) as inspection points are progressed. The row colour updates automatically.</t>
  </si>
  <si>
    <t xml:space="preserve">9.</t>
  </si>
  <si>
    <t xml:space="preserve">Enter the Inspection Date in column G when the physical inspection takes place, and record the Inspector's name in column H.</t>
  </si>
  <si>
    <t xml:space="preserve">10.</t>
  </si>
  <si>
    <t xml:space="preserve">The subtotal row at the bottom of each section counts Closed points and calculates a section completion percentage. The grand total at the bottom summarises the whole project ITP status.</t>
  </si>
  <si>
    <t xml:space="preserve">Colour Key</t>
  </si>
  <si>
    <t xml:space="preserve">  </t>
  </si>
  <si>
    <t xml:space="preserve">Teal section headers — Discipline group divider. Not a data row.</t>
  </si>
  <si>
    <t xml:space="preserve">Closed — Inspection complete and accepted. Pack closed.</t>
  </si>
  <si>
    <t xml:space="preserve">In Progress — Inspection notified or underway. Awaiting sign-off.</t>
  </si>
  <si>
    <t xml:space="preserve">Overdue — Required By date has passed and the point is not yet closed.</t>
  </si>
  <si>
    <t xml:space="preserve">Failed — Inspection carried out but the work did not pass. NCR action required.</t>
  </si>
  <si>
    <t xml:space="preserve">Waived — Hold/Witness point formally waived by Employer's Representative.</t>
  </si>
  <si>
    <t xml:space="preserve">Light teal cells — User input / editable fields.</t>
  </si>
  <si>
    <t xml:space="preserve">Light teal subtotal rows — Auto-calculated section completion. Do not edit.</t>
  </si>
  <si>
    <t xml:space="preserve">Tips</t>
  </si>
  <si>
    <t xml:space="preserve">*</t>
  </si>
  <si>
    <t xml:space="preserve">The ITP Pack Index is your quality audit trail backbone. At handover, every Hold Point must show a Closed status with an inspector name and date — otherwise the H&amp;S file and O&amp;M pack are incomplete.</t>
  </si>
  <si>
    <t xml:space="preserve">For Witness Points, if the Employer's Representative does not attend within the agreed notice period (typically 24–48 hours), record 'ER Not in Attendance — Proceeded' in the Notes column. This protects you during any later quality challenge.</t>
  </si>
  <si>
    <t xml:space="preserve">Use the section completion percentages at the bottom of each discipline group in your weekly quality report. A discipline section that is 100% closed is ready for handover. One at 60% needs active management.</t>
  </si>
  <si>
    <t xml:space="preserve">Project Name:</t>
  </si>
  <si>
    <t xml:space="preserve">[Enter Project Name]</t>
  </si>
  <si>
    <t xml:space="preserve">Contract No:</t>
  </si>
  <si>
    <t xml:space="preserve">[Contract No]</t>
  </si>
  <si>
    <t xml:space="preserve">PROJECT ITP SUMMARY</t>
  </si>
  <si>
    <t xml:space="preserve">TOTAL</t>
  </si>
  <si>
    <t xml:space="preserve">CLOSED</t>
  </si>
  <si>
    <t xml:space="preserve">HOLD PTS</t>
  </si>
  <si>
    <t xml:space="preserve">WITNESS PTS</t>
  </si>
  <si>
    <t xml:space="preserve">% COMPLETE</t>
  </si>
  <si>
    <t xml:space="preserve">Pack Ref</t>
  </si>
  <si>
    <t xml:space="preserve">Activity / Inspection Point Description</t>
  </si>
  <si>
    <t xml:space="preserve">Classification</t>
  </si>
  <si>
    <t xml:space="preserve">Responsible Party</t>
  </si>
  <si>
    <t xml:space="preserve">Required By</t>
  </si>
  <si>
    <t xml:space="preserve">Status</t>
  </si>
  <si>
    <t xml:space="preserve">Inspection Date</t>
  </si>
  <si>
    <t xml:space="preserve">Inspector</t>
  </si>
  <si>
    <t xml:space="preserve">WIS Ref</t>
  </si>
  <si>
    <t xml:space="preserve">NCR Ref</t>
  </si>
  <si>
    <t xml:space="preserve">ITP Doc Ref</t>
  </si>
  <si>
    <t xml:space="preserve">Notes</t>
  </si>
  <si>
    <t xml:space="preserve">Sign-Off Ref</t>
  </si>
  <si>
    <t xml:space="preserve">Section 1 — Civil &amp; Structural Works</t>
  </si>
  <si>
    <t xml:space="preserve">ITP-CV-001</t>
  </si>
  <si>
    <t xml:space="preserve">Formation Level Survey &amp; Approval — Zone 3 Inlet Trench</t>
  </si>
  <si>
    <t xml:space="preserve">Hold Point</t>
  </si>
  <si>
    <t xml:space="preserve">Groundworks Ltd</t>
  </si>
  <si>
    <t xml:space="preserve">Closed</t>
  </si>
  <si>
    <t xml:space="preserve">J. Hargreaves</t>
  </si>
  <si>
    <t xml:space="preserve">WIS-001</t>
  </si>
  <si>
    <t xml:space="preserve">ITP-CV Rev 2</t>
  </si>
  <si>
    <t xml:space="preserve">Survey cert attached. ER signed.</t>
  </si>
  <si>
    <t xml:space="preserve">HP-CV-001</t>
  </si>
  <si>
    <t xml:space="preserve">ITP-CV-002</t>
  </si>
  <si>
    <t xml:space="preserve">Blinding Concrete Placement — Primary Tank Base</t>
  </si>
  <si>
    <t xml:space="preserve">WIS-002</t>
  </si>
  <si>
    <t xml:space="preserve">Level tolerance ±5mm confirmed.</t>
  </si>
  <si>
    <t xml:space="preserve">HP-CV-002</t>
  </si>
  <si>
    <t xml:space="preserve">ITP-CV-003</t>
  </si>
  <si>
    <t xml:space="preserve">Reinforcement Inspection — Tank Walls 1st Lift</t>
  </si>
  <si>
    <t xml:space="preserve">S. Patel</t>
  </si>
  <si>
    <t xml:space="preserve">WIS-003</t>
  </si>
  <si>
    <t xml:space="preserve">ITP-ST Rev 1</t>
  </si>
  <si>
    <t xml:space="preserve">Cover 50mm. Bar sizes verified.</t>
  </si>
  <si>
    <t xml:space="preserve">HP-CV-003</t>
  </si>
  <si>
    <t xml:space="preserve">ITP-CV-004</t>
  </si>
  <si>
    <t xml:space="preserve">Pipe Bedding &amp; Laying — DN300 Inlet Main Zone 3</t>
  </si>
  <si>
    <t xml:space="preserve">Witness Point</t>
  </si>
  <si>
    <t xml:space="preserve">T. Walsh</t>
  </si>
  <si>
    <t xml:space="preserve">WIS-004</t>
  </si>
  <si>
    <t xml:space="preserve">ER attended. Bedding depth confirmed.</t>
  </si>
  <si>
    <t xml:space="preserve">WP-CV-001</t>
  </si>
  <si>
    <t xml:space="preserve">ITP-CV-005</t>
  </si>
  <si>
    <t xml:space="preserve">Post-Concrete Cube Testing — Tank Base Pour</t>
  </si>
  <si>
    <t xml:space="preserve">Review Point</t>
  </si>
  <si>
    <t xml:space="preserve">28-day cube results: 48MPa. Pass.</t>
  </si>
  <si>
    <t xml:space="preserve">RP-CV-001</t>
  </si>
  <si>
    <t xml:space="preserve">ITP-CV-006</t>
  </si>
  <si>
    <t xml:space="preserve">Backfill Compaction Testing — Zone 3 Trench</t>
  </si>
  <si>
    <t xml:space="preserve">In Progress</t>
  </si>
  <si>
    <t xml:space="preserve">WIS-008</t>
  </si>
  <si>
    <t xml:space="preserve">Plate bearing test scheduled 05/03.</t>
  </si>
  <si>
    <t xml:space="preserve">Section 1 Completion —</t>
  </si>
  <si>
    <t xml:space="preserve">Section 2 — Mechanical &amp; Process Works</t>
  </si>
  <si>
    <t xml:space="preserve">ITP-ME-001</t>
  </si>
  <si>
    <t xml:space="preserve">Pump Station Baseplate Setting &amp; Grouting — PST-01</t>
  </si>
  <si>
    <t xml:space="preserve">Walsh MEP Ltd</t>
  </si>
  <si>
    <t xml:space="preserve">ITP-ME Rev 1</t>
  </si>
  <si>
    <t xml:space="preserve">Grouting sequence agreed. Awaiting structural cure.</t>
  </si>
  <si>
    <t xml:space="preserve">ITP-ME-002</t>
  </si>
  <si>
    <t xml:space="preserve">Pressure Test — DN300 Inlet Rising Main (PN16)</t>
  </si>
  <si>
    <t xml:space="preserve">Open</t>
  </si>
  <si>
    <t xml:space="preserve">Test pressure 24 bar. 1hr duration. ER to witness.</t>
  </si>
  <si>
    <t xml:space="preserve">ITP-ME-003</t>
  </si>
  <si>
    <t xml:space="preserve">Valve Actuator Function Test — FCV-101, FCV-201</t>
  </si>
  <si>
    <t xml:space="preserve">Section 2 Completion —</t>
  </si>
  <si>
    <t xml:space="preserve">Section 3 — Electrical &amp; Instrumentation</t>
  </si>
  <si>
    <t xml:space="preserve">ITP-EL-001</t>
  </si>
  <si>
    <t xml:space="preserve">MCC Factory Acceptance Test (FAT) — MCC-01</t>
  </si>
  <si>
    <t xml:space="preserve">Roberts Electrical</t>
  </si>
  <si>
    <t xml:space="preserve">C. Roberts</t>
  </si>
  <si>
    <t xml:space="preserve">ITP-EL Rev 1</t>
  </si>
  <si>
    <t xml:space="preserve">FAT completed at manufacturer. Schedule attached.</t>
  </si>
  <si>
    <t xml:space="preserve">HP-EL-001</t>
  </si>
  <si>
    <t xml:space="preserve">ITP-EL-002</t>
  </si>
  <si>
    <t xml:space="preserve">Cable Installation Continuity &amp; Insulation Tests — MCC-01</t>
  </si>
  <si>
    <t xml:space="preserve">ITP-EL-003</t>
  </si>
  <si>
    <t xml:space="preserve">SCADA Site Acceptance Test (SAT) — Full System</t>
  </si>
  <si>
    <t xml:space="preserve">InControl Systems Ltd</t>
  </si>
  <si>
    <t xml:space="preserve">SAT procedure to be issued 6 weeks prior.</t>
  </si>
  <si>
    <t xml:space="preserve">Section 3 Completion —</t>
  </si>
  <si>
    <t xml:space="preserve">EBRORA — TERMS OF USE</t>
  </si>
  <si>
    <t xml:space="preserve">This template is provided free of charge by Ebrora (ebrora.com) for personal and professional use.</t>
  </si>
  <si>
    <t xml:space="preserve">LICENCE: You may use this template for your own projects. You may not resell, redistribute, or claim authorship of this template.</t>
  </si>
  <si>
    <t xml:space="preserve">NO WARRANTY: This template is provided "as is" without warranty of any kind. Ebrora accepts no liability for errors, omissions, or losses arising from use of this template.</t>
  </si>
  <si>
    <t xml:space="preserve">INTELLECTUAL PROPERTY: All design, layout, branding, and content remain the intellectual property of Ebrora.</t>
  </si>
  <si>
    <t xml:space="preserve">MODIFICATIONS: You may modify this template for your own use. Modified versions may not be distributed or sold.</t>
  </si>
  <si>
    <t xml:space="preserve">ATTRIBUTION: If you share outputs generated using this template, attribution to Ebrora (ebrora.com) is appreciated but not required.</t>
  </si>
  <si>
    <t xml:space="preserve">SUPPORT: For queries, feedback, or to report errors, contact support@ebrora.com.</t>
  </si>
  <si>
    <t xml:space="preserve">For our full range of professional construction management tools, visit ebrora.com.</t>
  </si>
</sst>
</file>

<file path=xl/styles.xml><?xml version="1.0" encoding="utf-8"?>
<styleSheet xmlns="http://schemas.openxmlformats.org/spreadsheetml/2006/main">
  <numFmts count="4">
    <numFmt numFmtId="164" formatCode="General"/>
    <numFmt numFmtId="165" formatCode="General"/>
    <numFmt numFmtId="166" formatCode="0%"/>
    <numFmt numFmtId="167" formatCode="dd/mm/yyyy"/>
  </numFmts>
  <fonts count="19">
    <font>
      <sz val="11"/>
      <color theme="1"/>
      <name val="Calibri"/>
      <family val="2"/>
      <charset val="1"/>
    </font>
    <font>
      <sz val="10"/>
      <name val="Arial"/>
      <family val="0"/>
    </font>
    <font>
      <sz val="10"/>
      <name val="Arial"/>
      <family val="0"/>
    </font>
    <font>
      <sz val="10"/>
      <name val="Arial"/>
      <family val="0"/>
    </font>
    <font>
      <b val="true"/>
      <sz val="36"/>
      <color rgb="FFFFFFFF"/>
      <name val="Calibri"/>
      <family val="0"/>
      <charset val="1"/>
    </font>
    <font>
      <sz val="12"/>
      <color rgb="FF2AABB3"/>
      <name val="Calibri"/>
      <family val="0"/>
      <charset val="1"/>
    </font>
    <font>
      <b val="true"/>
      <sz val="28"/>
      <color rgb="FFFFFFFF"/>
      <name val="Calibri"/>
      <family val="0"/>
      <charset val="1"/>
    </font>
    <font>
      <sz val="12"/>
      <color rgb="FFFFFFFF"/>
      <name val="Calibri"/>
      <family val="0"/>
      <charset val="1"/>
    </font>
    <font>
      <sz val="11"/>
      <color rgb="FF1B2A4A"/>
      <name val="Calibri"/>
      <family val="0"/>
      <charset val="1"/>
    </font>
    <font>
      <i val="true"/>
      <sz val="9"/>
      <color rgb="FF8C8C8C"/>
      <name val="Calibri"/>
      <family val="0"/>
      <charset val="1"/>
    </font>
    <font>
      <b val="true"/>
      <sz val="14"/>
      <color rgb="FF1B2A4A"/>
      <name val="Calibri"/>
      <family val="0"/>
      <charset val="1"/>
    </font>
    <font>
      <b val="true"/>
      <sz val="11"/>
      <color rgb="FF2AABB3"/>
      <name val="Calibri"/>
      <family val="0"/>
      <charset val="1"/>
    </font>
    <font>
      <b val="true"/>
      <sz val="10"/>
      <color rgb="FF1B2A4A"/>
      <name val="Calibri"/>
      <family val="0"/>
      <charset val="1"/>
    </font>
    <font>
      <sz val="10"/>
      <color rgb="FF1B2A4A"/>
      <name val="Calibri"/>
      <family val="0"/>
      <charset val="1"/>
    </font>
    <font>
      <b val="true"/>
      <sz val="12"/>
      <color rgb="FF2AABB3"/>
      <name val="Calibri"/>
      <family val="0"/>
      <charset val="1"/>
    </font>
    <font>
      <b val="true"/>
      <sz val="10"/>
      <color rgb="FFFFFFFF"/>
      <name val="Calibri"/>
      <family val="0"/>
      <charset val="1"/>
    </font>
    <font>
      <b val="true"/>
      <sz val="9"/>
      <color rgb="FFFFFFFF"/>
      <name val="Calibri"/>
      <family val="0"/>
      <charset val="1"/>
    </font>
    <font>
      <b val="true"/>
      <sz val="11"/>
      <color rgb="FFFFFFFF"/>
      <name val="Calibri"/>
      <family val="0"/>
      <charset val="1"/>
    </font>
    <font>
      <b val="true"/>
      <sz val="9"/>
      <color rgb="FF2AABB3"/>
      <name val="Calibri"/>
      <family val="0"/>
      <charset val="1"/>
    </font>
  </fonts>
  <fills count="11">
    <fill>
      <patternFill patternType="none"/>
    </fill>
    <fill>
      <patternFill patternType="gray125"/>
    </fill>
    <fill>
      <patternFill patternType="solid">
        <fgColor rgb="FF1B2A4A"/>
        <bgColor rgb="FF003366"/>
      </patternFill>
    </fill>
    <fill>
      <patternFill patternType="solid">
        <fgColor rgb="FFFFFFFF"/>
        <bgColor rgb="FFE8F6F7"/>
      </patternFill>
    </fill>
    <fill>
      <patternFill patternType="solid">
        <fgColor rgb="FFE8F6F7"/>
        <bgColor rgb="FFFFFFFF"/>
      </patternFill>
    </fill>
    <fill>
      <patternFill patternType="solid">
        <fgColor rgb="FF2AABB3"/>
        <bgColor rgb="FF339966"/>
      </patternFill>
    </fill>
    <fill>
      <patternFill patternType="solid">
        <fgColor rgb="FFC6EFCE"/>
        <bgColor rgb="FFD9D9D9"/>
      </patternFill>
    </fill>
    <fill>
      <patternFill patternType="solid">
        <fgColor rgb="FFFFEB9C"/>
        <bgColor rgb="FFFFFFCC"/>
      </patternFill>
    </fill>
    <fill>
      <patternFill patternType="solid">
        <fgColor rgb="FFFFB347"/>
        <bgColor rgb="FFFF9900"/>
      </patternFill>
    </fill>
    <fill>
      <patternFill patternType="solid">
        <fgColor rgb="FFFFC7CE"/>
        <bgColor rgb="FFD9D9D9"/>
      </patternFill>
    </fill>
    <fill>
      <patternFill patternType="solid">
        <fgColor rgb="FFD9D9D9"/>
        <bgColor rgb="FFC6EFCE"/>
      </patternFill>
    </fill>
  </fills>
  <borders count="3">
    <border diagonalUp="false" diagonalDown="false">
      <left/>
      <right/>
      <top/>
      <bottom/>
      <diagonal/>
    </border>
    <border diagonalUp="false" diagonalDown="false">
      <left style="medium">
        <color rgb="FF2AABB3"/>
      </left>
      <right style="medium">
        <color rgb="FF2AABB3"/>
      </right>
      <top style="medium">
        <color rgb="FF2AABB3"/>
      </top>
      <bottom style="medium">
        <color rgb="FF2AABB3"/>
      </bottom>
      <diagonal/>
    </border>
    <border diagonalUp="false" diagonalDown="false">
      <left style="thin">
        <color rgb="FF1B2A4A"/>
      </left>
      <right style="thin">
        <color rgb="FF1B2A4A"/>
      </right>
      <top style="thin">
        <color rgb="FF1B2A4A"/>
      </top>
      <bottom style="thin">
        <color rgb="FF1B2A4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2" borderId="0" xfId="0" applyFont="true" applyBorder="true" applyAlignment="true" applyProtection="false">
      <alignment horizontal="center" vertical="center" textRotation="0" wrapText="false" indent="0" shrinkToFit="false"/>
      <protection locked="true" hidden="false"/>
    </xf>
    <xf numFmtId="164" fontId="0" fillId="2" borderId="0" xfId="0" applyFont="false" applyBorder="true" applyAlignment="fals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center" vertical="center" textRotation="0" wrapText="true" indent="0" shrinkToFit="false"/>
      <protection locked="true" hidden="false"/>
    </xf>
    <xf numFmtId="164" fontId="7" fillId="2" borderId="0" xfId="0" applyFont="true" applyBorder="true" applyAlignment="true" applyProtection="false">
      <alignment horizontal="center" vertical="center" textRotation="0" wrapText="true" indent="0" shrinkToFit="false"/>
      <protection locked="true" hidden="false"/>
    </xf>
    <xf numFmtId="164" fontId="0" fillId="3" borderId="0" xfId="0" applyFont="false" applyBorder="true" applyAlignment="false" applyProtection="false">
      <alignment horizontal="general" vertical="bottom" textRotation="0" wrapText="fals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9" fillId="3" borderId="0" xfId="0" applyFont="true" applyBorder="true" applyAlignment="true" applyProtection="false">
      <alignment horizontal="center" vertical="center" textRotation="0" wrapText="false" indent="0" shrinkToFit="false"/>
      <protection locked="true" hidden="false"/>
    </xf>
    <xf numFmtId="164" fontId="10" fillId="3" borderId="0" xfId="0" applyFont="true" applyBorder="true" applyAlignment="true" applyProtection="false">
      <alignment horizontal="left" vertical="center" textRotation="0" wrapText="false" indent="0" shrinkToFit="false"/>
      <protection locked="true" hidden="false"/>
    </xf>
    <xf numFmtId="164" fontId="11" fillId="3" borderId="0" xfId="0" applyFont="true" applyBorder="true" applyAlignment="false" applyProtection="false">
      <alignment horizontal="general" vertical="bottom" textRotation="0" wrapText="false" indent="0" shrinkToFit="false"/>
      <protection locked="true" hidden="false"/>
    </xf>
    <xf numFmtId="164" fontId="12" fillId="3" borderId="0" xfId="0" applyFont="true" applyBorder="false" applyAlignment="true" applyProtection="false">
      <alignment horizontal="right" vertical="center" textRotation="0" wrapText="false" indent="0" shrinkToFit="false"/>
      <protection locked="true" hidden="false"/>
    </xf>
    <xf numFmtId="164" fontId="13" fillId="3" borderId="0" xfId="0" applyFont="true" applyBorder="true" applyAlignment="true" applyProtection="false">
      <alignment horizontal="left" vertical="center" textRotation="0" wrapText="true" indent="0" shrinkToFit="false"/>
      <protection locked="true" hidden="false"/>
    </xf>
    <xf numFmtId="164" fontId="0" fillId="5" borderId="2" xfId="0" applyFont="true" applyBorder="true" applyAlignment="true" applyProtection="false">
      <alignment horizontal="center" vertical="center" textRotation="0" wrapText="false" indent="0" shrinkToFit="false"/>
      <protection locked="true" hidden="false"/>
    </xf>
    <xf numFmtId="164" fontId="0" fillId="6" borderId="2" xfId="0" applyFont="true" applyBorder="true" applyAlignment="true" applyProtection="false">
      <alignment horizontal="center" vertical="center" textRotation="0" wrapText="false" indent="0" shrinkToFit="false"/>
      <protection locked="true" hidden="false"/>
    </xf>
    <xf numFmtId="164" fontId="0" fillId="7" borderId="2" xfId="0" applyFont="true" applyBorder="true" applyAlignment="true" applyProtection="false">
      <alignment horizontal="center" vertical="center" textRotation="0" wrapText="false" indent="0" shrinkToFit="false"/>
      <protection locked="true" hidden="false"/>
    </xf>
    <xf numFmtId="164" fontId="0" fillId="8" borderId="2" xfId="0" applyFont="true" applyBorder="true" applyAlignment="true" applyProtection="false">
      <alignment horizontal="center" vertical="center" textRotation="0" wrapText="false" indent="0" shrinkToFit="false"/>
      <protection locked="true" hidden="false"/>
    </xf>
    <xf numFmtId="164" fontId="0" fillId="9" borderId="2" xfId="0" applyFont="true" applyBorder="true" applyAlignment="true" applyProtection="false">
      <alignment horizontal="center" vertical="center" textRotation="0" wrapText="false" indent="0" shrinkToFit="false"/>
      <protection locked="true" hidden="false"/>
    </xf>
    <xf numFmtId="164" fontId="0" fillId="10" borderId="2" xfId="0" applyFont="true" applyBorder="true" applyAlignment="true" applyProtection="false">
      <alignment horizontal="center" vertical="center" textRotation="0" wrapText="false" indent="0" shrinkToFit="false"/>
      <protection locked="true" hidden="false"/>
    </xf>
    <xf numFmtId="164" fontId="0" fillId="4" borderId="2" xfId="0" applyFont="true" applyBorder="true" applyAlignment="true" applyProtection="false">
      <alignment horizontal="center" vertical="center" textRotation="0" wrapText="false" indent="0" shrinkToFit="false"/>
      <protection locked="true" hidden="false"/>
    </xf>
    <xf numFmtId="164" fontId="14" fillId="3" borderId="0" xfId="0" applyFont="true" applyBorder="false" applyAlignment="true" applyProtection="false">
      <alignment horizontal="center" vertical="center" textRotation="0" wrapText="false" indent="0" shrinkToFit="false"/>
      <protection locked="true" hidden="false"/>
    </xf>
    <xf numFmtId="164" fontId="15" fillId="2" borderId="0" xfId="0" applyFont="true" applyBorder="true" applyAlignment="true" applyProtection="false">
      <alignment horizontal="right" vertical="center" textRotation="0" wrapText="false" indent="0" shrinkToFit="false"/>
      <protection locked="true" hidden="false"/>
    </xf>
    <xf numFmtId="164" fontId="13" fillId="4" borderId="0" xfId="0" applyFont="true" applyBorder="true" applyAlignment="true" applyProtection="false">
      <alignment horizontal="left" vertical="center" textRotation="0" wrapText="false" indent="0" shrinkToFit="false"/>
      <protection locked="true" hidden="false"/>
    </xf>
    <xf numFmtId="164" fontId="15" fillId="2" borderId="0" xfId="0" applyFont="true" applyBorder="true" applyAlignment="true" applyProtection="false">
      <alignment horizontal="left" vertical="center" textRotation="0" wrapText="false" indent="0" shrinkToFit="false"/>
      <protection locked="true" hidden="false"/>
    </xf>
    <xf numFmtId="164" fontId="16" fillId="2" borderId="0" xfId="0" applyFont="true" applyBorder="false" applyAlignment="true" applyProtection="false">
      <alignment horizontal="right" vertical="center" textRotation="0" wrapText="false" indent="0" shrinkToFit="false"/>
      <protection locked="true" hidden="false"/>
    </xf>
    <xf numFmtId="165" fontId="14" fillId="2" borderId="0" xfId="0" applyFont="true" applyBorder="false" applyAlignment="true" applyProtection="false">
      <alignment horizontal="center" vertical="center" textRotation="0" wrapText="false" indent="0" shrinkToFit="false"/>
      <protection locked="true" hidden="false"/>
    </xf>
    <xf numFmtId="166" fontId="14" fillId="2" borderId="0" xfId="0" applyFont="true" applyBorder="false" applyAlignment="true" applyProtection="false">
      <alignment horizontal="center" vertical="center" textRotation="0" wrapText="false" indent="0" shrinkToFit="false"/>
      <protection locked="true" hidden="false"/>
    </xf>
    <xf numFmtId="164" fontId="17" fillId="2" borderId="0" xfId="0" applyFont="true" applyBorder="false" applyAlignment="true" applyProtection="false">
      <alignment horizontal="center" vertical="center" textRotation="0" wrapText="false" indent="0" shrinkToFit="false"/>
      <protection locked="true" hidden="false"/>
    </xf>
    <xf numFmtId="164" fontId="17" fillId="5" borderId="0" xfId="0" applyFont="true" applyBorder="true" applyAlignment="true" applyProtection="false">
      <alignment horizontal="left" vertical="center" textRotation="0" wrapText="false" indent="0" shrinkToFit="false"/>
      <protection locked="true" hidden="false"/>
    </xf>
    <xf numFmtId="164" fontId="13" fillId="4" borderId="0" xfId="0" applyFont="true" applyBorder="false" applyAlignment="true" applyProtection="false">
      <alignment horizontal="center" vertical="center" textRotation="0" wrapText="false" indent="0" shrinkToFit="false"/>
      <protection locked="true" hidden="false"/>
    </xf>
    <xf numFmtId="164" fontId="13" fillId="4" borderId="0" xfId="0" applyFont="true" applyBorder="false" applyAlignment="true" applyProtection="false">
      <alignment horizontal="left" vertical="center" textRotation="0" wrapText="true" indent="0" shrinkToFit="false"/>
      <protection locked="true" hidden="false"/>
    </xf>
    <xf numFmtId="167" fontId="13" fillId="4" borderId="0" xfId="0" applyFont="true" applyBorder="false" applyAlignment="true" applyProtection="false">
      <alignment horizontal="left" vertical="center" textRotation="0" wrapText="true" indent="0" shrinkToFit="false"/>
      <protection locked="true" hidden="false"/>
    </xf>
    <xf numFmtId="164" fontId="18" fillId="4" borderId="0" xfId="0" applyFont="true" applyBorder="true" applyAlignment="true" applyProtection="false">
      <alignment horizontal="right" vertical="center" textRotation="0" wrapText="false" indent="0" shrinkToFit="false"/>
      <protection locked="true" hidden="false"/>
    </xf>
    <xf numFmtId="165" fontId="18" fillId="4" borderId="0" xfId="0" applyFont="true" applyBorder="false" applyAlignment="true" applyProtection="false">
      <alignment horizontal="center" vertical="center" textRotation="0" wrapText="false" indent="0" shrinkToFit="false"/>
      <protection locked="true" hidden="false"/>
    </xf>
    <xf numFmtId="166" fontId="18" fillId="4" borderId="0" xfId="0" applyFont="true" applyBorder="false" applyAlignment="true" applyProtection="false">
      <alignment horizontal="center" vertical="center"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10" fillId="3" borderId="0" xfId="0" applyFont="true" applyBorder="false" applyAlignment="true" applyProtection="false">
      <alignment horizontal="left" vertical="center" textRotation="0" wrapText="true" indent="0" shrinkToFit="false"/>
      <protection locked="true" hidden="false"/>
    </xf>
    <xf numFmtId="164" fontId="13" fillId="3" borderId="0" xfId="0" applyFont="true" applyBorder="fals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1B2A4A"/>
          <bgColor rgb="FF000000"/>
        </patternFill>
      </fill>
    </dxf>
    <dxf>
      <fill>
        <patternFill patternType="solid">
          <fgColor rgb="FFFFFFFF"/>
          <bgColor rgb="FF000000"/>
        </patternFill>
      </fill>
    </dxf>
    <dxf>
      <font>
        <name val="Calibri"/>
        <charset val="1"/>
        <family val="0"/>
        <b val="1"/>
        <color rgb="FF375623"/>
      </font>
      <fill>
        <patternFill>
          <bgColor rgb="FFC6EFCE"/>
        </patternFill>
      </fill>
    </dxf>
    <dxf>
      <font>
        <name val="Calibri"/>
        <charset val="1"/>
        <family val="0"/>
        <b val="1"/>
        <color rgb="FF9C0006"/>
      </font>
      <fill>
        <patternFill>
          <bgColor rgb="FFFFC7CE"/>
        </patternFill>
      </fill>
    </dxf>
    <dxf>
      <font>
        <name val="Calibri"/>
        <charset val="1"/>
        <family val="0"/>
        <color rgb="FF7D6608"/>
      </font>
      <fill>
        <patternFill>
          <bgColor rgb="FFFFEB9C"/>
        </patternFill>
      </fill>
    </dxf>
    <dxf>
      <font>
        <name val="Calibri"/>
        <charset val="1"/>
        <family val="0"/>
        <color rgb="FF595959"/>
      </font>
      <fill>
        <patternFill>
          <bgColor rgb="FFD9D9D9"/>
        </patternFill>
      </fill>
    </dxf>
    <dxf>
      <font>
        <name val="Calibri"/>
        <charset val="1"/>
        <family val="0"/>
        <color rgb="FF375623"/>
      </font>
      <fill>
        <patternFill>
          <bgColor rgb="FFC6EFCE"/>
        </patternFill>
      </fill>
    </dxf>
    <dxf>
      <font>
        <name val="Calibri"/>
        <charset val="1"/>
        <family val="0"/>
        <i val="1"/>
        <color rgb="FF8C8C8C"/>
      </font>
      <fill>
        <patternFill>
          <bgColor rgb="FFD9D9D9"/>
        </patternFill>
      </fill>
    </dxf>
    <dxf>
      <font>
        <name val="Calibri"/>
        <charset val="1"/>
        <family val="0"/>
        <color rgb="FF1B2A4A"/>
      </font>
      <fill>
        <patternFill>
          <bgColor rgb="FFFFB347"/>
        </patternFill>
      </fill>
    </dxf>
    <dxf>
      <font>
        <name val="Calibri"/>
        <charset val="1"/>
        <family val="0"/>
        <b val="1"/>
        <color rgb="FF1B2A4A"/>
      </font>
      <fill>
        <patternFill>
          <bgColor rgb="FFFFB347"/>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7D6608"/>
      <rgbColor rgb="FF800080"/>
      <rgbColor rgb="FF008080"/>
      <rgbColor rgb="FFC0C0C0"/>
      <rgbColor rgb="FF808080"/>
      <rgbColor rgb="FF9999FF"/>
      <rgbColor rgb="FF993366"/>
      <rgbColor rgb="FFFFFFCC"/>
      <rgbColor rgb="FFE8F6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2AABB3"/>
      <rgbColor rgb="FF99CC00"/>
      <rgbColor rgb="FFFFB347"/>
      <rgbColor rgb="FFFF9900"/>
      <rgbColor rgb="FFFF6600"/>
      <rgbColor rgb="FF595959"/>
      <rgbColor rgb="FF8C8C8C"/>
      <rgbColor rgb="FF003366"/>
      <rgbColor rgb="FF339966"/>
      <rgbColor rgb="FF003300"/>
      <rgbColor rgb="FF375623"/>
      <rgbColor rgb="FF993300"/>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8" min="1" style="0" width="16"/>
  </cols>
  <sheetData>
    <row r="1" customFormat="false" ht="6.75" hidden="false" customHeight="true" outlineLevel="0" collapsed="false">
      <c r="A1" s="1" t="s">
        <v>0</v>
      </c>
      <c r="B1" s="1"/>
      <c r="C1" s="1"/>
      <c r="D1" s="1"/>
      <c r="E1" s="1"/>
      <c r="F1" s="1"/>
      <c r="G1" s="1"/>
      <c r="H1" s="1"/>
    </row>
    <row r="2" customFormat="false" ht="49.5" hidden="false" customHeight="true" outlineLevel="0" collapsed="false">
      <c r="A2" s="1"/>
      <c r="B2" s="1"/>
      <c r="C2" s="1"/>
      <c r="D2" s="1"/>
      <c r="E2" s="1"/>
      <c r="F2" s="1"/>
      <c r="G2" s="1"/>
      <c r="H2" s="1"/>
    </row>
    <row r="3" customFormat="false" ht="6.75" hidden="false" customHeight="true" outlineLevel="0" collapsed="false">
      <c r="A3" s="1"/>
      <c r="B3" s="1"/>
      <c r="C3" s="1"/>
      <c r="D3" s="1"/>
      <c r="E3" s="1"/>
      <c r="F3" s="1"/>
      <c r="G3" s="1"/>
      <c r="H3" s="1"/>
    </row>
    <row r="4" customFormat="false" ht="21.75" hidden="false" customHeight="true" outlineLevel="0" collapsed="false">
      <c r="A4" s="2" t="s">
        <v>1</v>
      </c>
      <c r="B4" s="2"/>
      <c r="C4" s="2"/>
      <c r="D4" s="2"/>
      <c r="E4" s="2"/>
      <c r="F4" s="2"/>
      <c r="G4" s="2"/>
      <c r="H4" s="2"/>
    </row>
    <row r="5" customFormat="false" ht="9.75" hidden="false" customHeight="true" outlineLevel="0" collapsed="false">
      <c r="A5" s="3"/>
      <c r="B5" s="3"/>
      <c r="C5" s="3"/>
      <c r="D5" s="3"/>
      <c r="E5" s="3"/>
      <c r="F5" s="3"/>
      <c r="G5" s="3"/>
      <c r="H5" s="3"/>
    </row>
    <row r="6" customFormat="false" ht="7.5" hidden="false" customHeight="true" outlineLevel="0" collapsed="false">
      <c r="A6" s="4" t="s">
        <v>2</v>
      </c>
      <c r="B6" s="4"/>
      <c r="C6" s="4"/>
      <c r="D6" s="4"/>
      <c r="E6" s="4"/>
      <c r="F6" s="4"/>
      <c r="G6" s="4"/>
      <c r="H6" s="4"/>
    </row>
    <row r="7" customFormat="false" ht="48" hidden="false" customHeight="true" outlineLevel="0" collapsed="false">
      <c r="A7" s="4"/>
      <c r="B7" s="4"/>
      <c r="C7" s="4"/>
      <c r="D7" s="4"/>
      <c r="E7" s="4"/>
      <c r="F7" s="4"/>
      <c r="G7" s="4"/>
      <c r="H7" s="4"/>
    </row>
    <row r="8" customFormat="false" ht="7.5" hidden="false" customHeight="true" outlineLevel="0" collapsed="false">
      <c r="A8" s="4"/>
      <c r="B8" s="4"/>
      <c r="C8" s="4"/>
      <c r="D8" s="4"/>
      <c r="E8" s="4"/>
      <c r="F8" s="4"/>
      <c r="G8" s="4"/>
      <c r="H8" s="4"/>
    </row>
    <row r="9" customFormat="false" ht="9.75" hidden="false" customHeight="true" outlineLevel="0" collapsed="false">
      <c r="A9" s="3"/>
      <c r="B9" s="3"/>
      <c r="C9" s="3"/>
      <c r="D9" s="3"/>
      <c r="E9" s="3"/>
      <c r="F9" s="3"/>
      <c r="G9" s="3"/>
      <c r="H9" s="3"/>
    </row>
    <row r="10" customFormat="false" ht="21.75" hidden="false" customHeight="true" outlineLevel="0" collapsed="false">
      <c r="A10" s="5" t="s">
        <v>3</v>
      </c>
      <c r="B10" s="5"/>
      <c r="C10" s="5"/>
      <c r="D10" s="5"/>
      <c r="E10" s="5"/>
      <c r="F10" s="5"/>
      <c r="G10" s="5"/>
      <c r="H10" s="5"/>
    </row>
    <row r="11" customFormat="false" ht="21.75" hidden="false" customHeight="true" outlineLevel="0" collapsed="false">
      <c r="A11" s="5"/>
      <c r="B11" s="5"/>
      <c r="C11" s="5"/>
      <c r="D11" s="5"/>
      <c r="E11" s="5"/>
      <c r="F11" s="5"/>
      <c r="G11" s="5"/>
      <c r="H11" s="5"/>
    </row>
    <row r="12" customFormat="false" ht="9.75" hidden="false" customHeight="true" outlineLevel="0" collapsed="false">
      <c r="A12" s="6"/>
      <c r="B12" s="6"/>
      <c r="C12" s="6"/>
      <c r="D12" s="6"/>
      <c r="E12" s="6"/>
      <c r="F12" s="6"/>
      <c r="G12" s="6"/>
      <c r="H12" s="6"/>
    </row>
    <row r="13" customFormat="false" ht="9.75" hidden="false" customHeight="true" outlineLevel="0" collapsed="false">
      <c r="A13" s="6"/>
      <c r="B13" s="6"/>
      <c r="C13" s="6"/>
      <c r="D13" s="6"/>
      <c r="E13" s="6"/>
      <c r="F13" s="6"/>
      <c r="G13" s="6"/>
      <c r="H13" s="6"/>
    </row>
    <row r="14" customFormat="false" ht="15" hidden="false" customHeight="true" outlineLevel="0" collapsed="false">
      <c r="A14" s="7" t="s">
        <v>4</v>
      </c>
      <c r="B14" s="7"/>
      <c r="C14" s="7"/>
      <c r="D14" s="7"/>
      <c r="E14" s="7"/>
      <c r="F14" s="7"/>
      <c r="G14" s="7"/>
      <c r="H14" s="7"/>
    </row>
    <row r="15" customFormat="false" ht="15" hidden="false" customHeight="true" outlineLevel="0" collapsed="false">
      <c r="A15" s="7"/>
      <c r="B15" s="7"/>
      <c r="C15" s="7"/>
      <c r="D15" s="7"/>
      <c r="E15" s="7"/>
      <c r="F15" s="7"/>
      <c r="G15" s="7"/>
      <c r="H15" s="7"/>
    </row>
    <row r="16" customFormat="false" ht="15" hidden="false" customHeight="true" outlineLevel="0" collapsed="false">
      <c r="A16" s="7"/>
      <c r="B16" s="7"/>
      <c r="C16" s="7"/>
      <c r="D16" s="7"/>
      <c r="E16" s="7"/>
      <c r="F16" s="7"/>
      <c r="G16" s="7"/>
      <c r="H16" s="7"/>
    </row>
    <row r="17" customFormat="false" ht="15" hidden="false" customHeight="true" outlineLevel="0" collapsed="false">
      <c r="A17" s="7"/>
      <c r="B17" s="7"/>
      <c r="C17" s="7"/>
      <c r="D17" s="7"/>
      <c r="E17" s="7"/>
      <c r="F17" s="7"/>
      <c r="G17" s="7"/>
      <c r="H17" s="7"/>
    </row>
    <row r="18" customFormat="false" ht="9.75" hidden="false" customHeight="true" outlineLevel="0" collapsed="false">
      <c r="A18" s="6"/>
      <c r="B18" s="6"/>
      <c r="C18" s="6"/>
      <c r="D18" s="6"/>
      <c r="E18" s="6"/>
      <c r="F18" s="6"/>
      <c r="G18" s="6"/>
      <c r="H18" s="6"/>
    </row>
    <row r="19" customFormat="false" ht="18" hidden="false" customHeight="true" outlineLevel="0" collapsed="false">
      <c r="A19" s="8" t="s">
        <v>5</v>
      </c>
      <c r="B19" s="8"/>
      <c r="C19" s="8"/>
      <c r="D19" s="8"/>
      <c r="E19" s="8"/>
      <c r="F19" s="8"/>
      <c r="G19" s="8"/>
      <c r="H19" s="8"/>
    </row>
  </sheetData>
  <mergeCells count="11">
    <mergeCell ref="A1:H3"/>
    <mergeCell ref="A4:H4"/>
    <mergeCell ref="A5:H5"/>
    <mergeCell ref="A6:H8"/>
    <mergeCell ref="A9:H9"/>
    <mergeCell ref="A10:H11"/>
    <mergeCell ref="A12:H12"/>
    <mergeCell ref="A13:H13"/>
    <mergeCell ref="A14:H17"/>
    <mergeCell ref="A18:H18"/>
    <mergeCell ref="A19:H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85"/>
    <col collapsed="false" customWidth="true" hidden="false" outlineLevel="0" max="7" min="3" style="0" width="8"/>
  </cols>
  <sheetData>
    <row r="1" customFormat="false" ht="30" hidden="false" customHeight="true" outlineLevel="0" collapsed="false">
      <c r="A1" s="9" t="s">
        <v>6</v>
      </c>
      <c r="B1" s="9"/>
      <c r="C1" s="9"/>
      <c r="D1" s="9"/>
      <c r="E1" s="9"/>
      <c r="F1" s="9"/>
    </row>
    <row r="3" customFormat="false" ht="21.75" hidden="false" customHeight="true" outlineLevel="0" collapsed="false">
      <c r="A3" s="10" t="s">
        <v>7</v>
      </c>
      <c r="B3" s="10"/>
      <c r="C3" s="10"/>
      <c r="D3" s="10"/>
      <c r="E3" s="10"/>
      <c r="F3" s="10"/>
    </row>
    <row r="4" customFormat="false" ht="37.5" hidden="false" customHeight="true" outlineLevel="0" collapsed="false">
      <c r="A4" s="11" t="s">
        <v>8</v>
      </c>
      <c r="B4" s="12" t="s">
        <v>9</v>
      </c>
      <c r="C4" s="12"/>
      <c r="D4" s="12"/>
      <c r="E4" s="12"/>
      <c r="F4" s="12"/>
    </row>
    <row r="5" customFormat="false" ht="37.5" hidden="false" customHeight="true" outlineLevel="0" collapsed="false">
      <c r="A5" s="11" t="s">
        <v>10</v>
      </c>
      <c r="B5" s="12" t="s">
        <v>11</v>
      </c>
      <c r="C5" s="12"/>
      <c r="D5" s="12"/>
      <c r="E5" s="12"/>
      <c r="F5" s="12"/>
    </row>
    <row r="6" customFormat="false" ht="37.5" hidden="false" customHeight="true" outlineLevel="0" collapsed="false">
      <c r="A6" s="11" t="s">
        <v>12</v>
      </c>
      <c r="B6" s="12" t="s">
        <v>13</v>
      </c>
      <c r="C6" s="12"/>
      <c r="D6" s="12"/>
      <c r="E6" s="12"/>
      <c r="F6" s="12"/>
    </row>
    <row r="7" customFormat="false" ht="37.5" hidden="false" customHeight="true" outlineLevel="0" collapsed="false">
      <c r="A7" s="11" t="s">
        <v>14</v>
      </c>
      <c r="B7" s="12" t="s">
        <v>15</v>
      </c>
      <c r="C7" s="12"/>
      <c r="D7" s="12"/>
      <c r="E7" s="12"/>
      <c r="F7" s="12"/>
    </row>
    <row r="8" customFormat="false" ht="37.5" hidden="false" customHeight="true" outlineLevel="0" collapsed="false">
      <c r="A8" s="11" t="s">
        <v>16</v>
      </c>
      <c r="B8" s="12" t="s">
        <v>17</v>
      </c>
      <c r="C8" s="12"/>
      <c r="D8" s="12"/>
      <c r="E8" s="12"/>
      <c r="F8" s="12"/>
    </row>
    <row r="9" customFormat="false" ht="37.5" hidden="false" customHeight="true" outlineLevel="0" collapsed="false">
      <c r="A9" s="11" t="s">
        <v>18</v>
      </c>
      <c r="B9" s="12" t="s">
        <v>19</v>
      </c>
      <c r="C9" s="12"/>
      <c r="D9" s="12"/>
      <c r="E9" s="12"/>
      <c r="F9" s="12"/>
    </row>
    <row r="10" customFormat="false" ht="37.5" hidden="false" customHeight="true" outlineLevel="0" collapsed="false">
      <c r="A10" s="11" t="s">
        <v>20</v>
      </c>
      <c r="B10" s="12" t="s">
        <v>21</v>
      </c>
      <c r="C10" s="12"/>
      <c r="D10" s="12"/>
      <c r="E10" s="12"/>
      <c r="F10" s="12"/>
    </row>
    <row r="11" customFormat="false" ht="37.5" hidden="false" customHeight="true" outlineLevel="0" collapsed="false">
      <c r="A11" s="11" t="s">
        <v>22</v>
      </c>
      <c r="B11" s="12" t="s">
        <v>23</v>
      </c>
      <c r="C11" s="12"/>
      <c r="D11" s="12"/>
      <c r="E11" s="12"/>
      <c r="F11" s="12"/>
    </row>
    <row r="12" customFormat="false" ht="37.5" hidden="false" customHeight="true" outlineLevel="0" collapsed="false">
      <c r="A12" s="11" t="s">
        <v>24</v>
      </c>
      <c r="B12" s="12" t="s">
        <v>25</v>
      </c>
      <c r="C12" s="12"/>
      <c r="D12" s="12"/>
      <c r="E12" s="12"/>
      <c r="F12" s="12"/>
    </row>
    <row r="13" customFormat="false" ht="37.5" hidden="false" customHeight="true" outlineLevel="0" collapsed="false">
      <c r="A13" s="11" t="s">
        <v>26</v>
      </c>
      <c r="B13" s="12" t="s">
        <v>27</v>
      </c>
      <c r="C13" s="12"/>
      <c r="D13" s="12"/>
      <c r="E13" s="12"/>
      <c r="F13" s="12"/>
    </row>
    <row r="15" customFormat="false" ht="21.75" hidden="false" customHeight="true" outlineLevel="0" collapsed="false">
      <c r="A15" s="10" t="s">
        <v>28</v>
      </c>
      <c r="B15" s="10"/>
      <c r="C15" s="10"/>
      <c r="D15" s="10"/>
      <c r="E15" s="10"/>
      <c r="F15" s="10"/>
    </row>
    <row r="16" customFormat="false" ht="24.75" hidden="false" customHeight="true" outlineLevel="0" collapsed="false">
      <c r="A16" s="13" t="s">
        <v>29</v>
      </c>
      <c r="B16" s="12" t="s">
        <v>30</v>
      </c>
      <c r="C16" s="12"/>
      <c r="D16" s="12"/>
      <c r="E16" s="12"/>
      <c r="F16" s="12"/>
    </row>
    <row r="17" customFormat="false" ht="24.75" hidden="false" customHeight="true" outlineLevel="0" collapsed="false">
      <c r="A17" s="14" t="s">
        <v>29</v>
      </c>
      <c r="B17" s="12" t="s">
        <v>31</v>
      </c>
      <c r="C17" s="12"/>
      <c r="D17" s="12"/>
      <c r="E17" s="12"/>
      <c r="F17" s="12"/>
    </row>
    <row r="18" customFormat="false" ht="24.75" hidden="false" customHeight="true" outlineLevel="0" collapsed="false">
      <c r="A18" s="15" t="s">
        <v>29</v>
      </c>
      <c r="B18" s="12" t="s">
        <v>32</v>
      </c>
      <c r="C18" s="12"/>
      <c r="D18" s="12"/>
      <c r="E18" s="12"/>
      <c r="F18" s="12"/>
    </row>
    <row r="19" customFormat="false" ht="24.75" hidden="false" customHeight="true" outlineLevel="0" collapsed="false">
      <c r="A19" s="16" t="s">
        <v>29</v>
      </c>
      <c r="B19" s="12" t="s">
        <v>33</v>
      </c>
      <c r="C19" s="12"/>
      <c r="D19" s="12"/>
      <c r="E19" s="12"/>
      <c r="F19" s="12"/>
    </row>
    <row r="20" customFormat="false" ht="24.75" hidden="false" customHeight="true" outlineLevel="0" collapsed="false">
      <c r="A20" s="17" t="s">
        <v>29</v>
      </c>
      <c r="B20" s="12" t="s">
        <v>34</v>
      </c>
      <c r="C20" s="12"/>
      <c r="D20" s="12"/>
      <c r="E20" s="12"/>
      <c r="F20" s="12"/>
    </row>
    <row r="21" customFormat="false" ht="24.75" hidden="false" customHeight="true" outlineLevel="0" collapsed="false">
      <c r="A21" s="18" t="s">
        <v>29</v>
      </c>
      <c r="B21" s="12" t="s">
        <v>35</v>
      </c>
      <c r="C21" s="12"/>
      <c r="D21" s="12"/>
      <c r="E21" s="12"/>
      <c r="F21" s="12"/>
    </row>
    <row r="22" customFormat="false" ht="24.75" hidden="false" customHeight="true" outlineLevel="0" collapsed="false">
      <c r="A22" s="19" t="s">
        <v>29</v>
      </c>
      <c r="B22" s="12" t="s">
        <v>36</v>
      </c>
      <c r="C22" s="12"/>
      <c r="D22" s="12"/>
      <c r="E22" s="12"/>
      <c r="F22" s="12"/>
    </row>
    <row r="23" customFormat="false" ht="24.75" hidden="false" customHeight="true" outlineLevel="0" collapsed="false">
      <c r="A23" s="19" t="s">
        <v>29</v>
      </c>
      <c r="B23" s="12" t="s">
        <v>37</v>
      </c>
      <c r="C23" s="12"/>
      <c r="D23" s="12"/>
      <c r="E23" s="12"/>
      <c r="F23" s="12"/>
    </row>
    <row r="25" customFormat="false" ht="21.75" hidden="false" customHeight="true" outlineLevel="0" collapsed="false">
      <c r="A25" s="10" t="s">
        <v>38</v>
      </c>
      <c r="B25" s="10"/>
      <c r="C25" s="10"/>
      <c r="D25" s="10"/>
      <c r="E25" s="10"/>
      <c r="F25" s="10"/>
    </row>
    <row r="26" customFormat="false" ht="37.5" hidden="false" customHeight="true" outlineLevel="0" collapsed="false">
      <c r="A26" s="20" t="s">
        <v>39</v>
      </c>
      <c r="B26" s="12" t="s">
        <v>40</v>
      </c>
      <c r="C26" s="12"/>
      <c r="D26" s="12"/>
      <c r="E26" s="12"/>
      <c r="F26" s="12"/>
    </row>
    <row r="27" customFormat="false" ht="37.5" hidden="false" customHeight="true" outlineLevel="0" collapsed="false">
      <c r="A27" s="20" t="s">
        <v>39</v>
      </c>
      <c r="B27" s="12" t="s">
        <v>41</v>
      </c>
      <c r="C27" s="12"/>
      <c r="D27" s="12"/>
      <c r="E27" s="12"/>
      <c r="F27" s="12"/>
    </row>
    <row r="28" customFormat="false" ht="37.5" hidden="false" customHeight="true" outlineLevel="0" collapsed="false">
      <c r="A28" s="20" t="s">
        <v>39</v>
      </c>
      <c r="B28" s="12" t="s">
        <v>42</v>
      </c>
      <c r="C28" s="12"/>
      <c r="D28" s="12"/>
      <c r="E28" s="12"/>
      <c r="F28" s="12"/>
    </row>
  </sheetData>
  <mergeCells count="25">
    <mergeCell ref="A1:F1"/>
    <mergeCell ref="A3:F3"/>
    <mergeCell ref="B4:F4"/>
    <mergeCell ref="B5:F5"/>
    <mergeCell ref="B6:F6"/>
    <mergeCell ref="B7:F7"/>
    <mergeCell ref="B8:F8"/>
    <mergeCell ref="B9:F9"/>
    <mergeCell ref="B10:F10"/>
    <mergeCell ref="B11:F11"/>
    <mergeCell ref="B12:F12"/>
    <mergeCell ref="B13:F13"/>
    <mergeCell ref="A15:F15"/>
    <mergeCell ref="B16:F16"/>
    <mergeCell ref="B17:F17"/>
    <mergeCell ref="B18:F18"/>
    <mergeCell ref="B19:F19"/>
    <mergeCell ref="B20:F20"/>
    <mergeCell ref="B21:F21"/>
    <mergeCell ref="B22:F22"/>
    <mergeCell ref="B23:F23"/>
    <mergeCell ref="A25:F25"/>
    <mergeCell ref="B26:F26"/>
    <mergeCell ref="B27:F27"/>
    <mergeCell ref="B28:F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46"/>
    <col collapsed="false" customWidth="true" hidden="false" outlineLevel="0" max="3" min="3" style="0" width="16"/>
    <col collapsed="false" customWidth="true" hidden="false" outlineLevel="0" max="4" min="4" style="0" width="20"/>
    <col collapsed="false" customWidth="true" hidden="false" outlineLevel="0" max="5" min="5" style="0" width="14"/>
    <col collapsed="false" customWidth="true" hidden="false" outlineLevel="0" max="6" min="6" style="0" width="16"/>
    <col collapsed="false" customWidth="true" hidden="false" outlineLevel="0" max="7" min="7" style="0" width="14"/>
    <col collapsed="false" customWidth="true" hidden="false" outlineLevel="0" max="8" min="8" style="0" width="18"/>
    <col collapsed="false" customWidth="true" hidden="false" outlineLevel="0" max="9" min="9" style="0" width="12"/>
    <col collapsed="false" customWidth="true" hidden="false" outlineLevel="0" max="11" min="10" style="0" width="14"/>
    <col collapsed="false" customWidth="true" hidden="false" outlineLevel="0" max="12" min="12" style="0" width="28"/>
    <col collapsed="false" customWidth="true" hidden="false" outlineLevel="0" max="13" min="13" style="0" width="16"/>
  </cols>
  <sheetData>
    <row r="1" customFormat="false" ht="21.75" hidden="false" customHeight="true" outlineLevel="0" collapsed="false">
      <c r="A1" s="21" t="s">
        <v>43</v>
      </c>
      <c r="B1" s="21"/>
      <c r="C1" s="22" t="s">
        <v>44</v>
      </c>
      <c r="D1" s="22"/>
      <c r="E1" s="22"/>
      <c r="F1" s="22"/>
      <c r="G1" s="21" t="s">
        <v>45</v>
      </c>
      <c r="H1" s="21"/>
      <c r="I1" s="22" t="s">
        <v>46</v>
      </c>
      <c r="J1" s="22"/>
      <c r="K1" s="22"/>
      <c r="L1" s="22"/>
      <c r="M1" s="22"/>
    </row>
    <row r="2" customFormat="false" ht="21.75" hidden="false" customHeight="true" outlineLevel="0" collapsed="false">
      <c r="A2" s="23" t="s">
        <v>47</v>
      </c>
      <c r="B2" s="23"/>
      <c r="C2" s="23"/>
      <c r="D2" s="24" t="s">
        <v>48</v>
      </c>
      <c r="E2" s="25" t="n">
        <f aca="false">COUNTA(F4:F200)-COUNTIF(F4:F200,"")</f>
        <v>-173</v>
      </c>
      <c r="F2" s="24" t="s">
        <v>49</v>
      </c>
      <c r="G2" s="25" t="n">
        <f aca="false">COUNTIF(F4:F200,"Closed")</f>
        <v>6</v>
      </c>
      <c r="H2" s="24" t="s">
        <v>50</v>
      </c>
      <c r="I2" s="25" t="n">
        <f aca="false">COUNTIF(C4:C200,"Hold Point")</f>
        <v>7</v>
      </c>
      <c r="J2" s="24" t="s">
        <v>51</v>
      </c>
      <c r="K2" s="25" t="n">
        <f aca="false">COUNTIF(C4:C200,"Witness Point")</f>
        <v>3</v>
      </c>
      <c r="L2" s="24" t="s">
        <v>52</v>
      </c>
      <c r="M2" s="26" t="n">
        <f aca="false">IF(COUNTA(F4:F200)&gt;0,COUNTIF(F4:F200,"Closed")/COUNTA(F4:F200),"—")</f>
        <v>0.5</v>
      </c>
    </row>
    <row r="3" customFormat="false" ht="31.5" hidden="false" customHeight="true" outlineLevel="0" collapsed="false">
      <c r="A3" s="27" t="s">
        <v>53</v>
      </c>
      <c r="B3" s="27" t="s">
        <v>54</v>
      </c>
      <c r="C3" s="27" t="s">
        <v>55</v>
      </c>
      <c r="D3" s="27" t="s">
        <v>56</v>
      </c>
      <c r="E3" s="27" t="s">
        <v>57</v>
      </c>
      <c r="F3" s="27" t="s">
        <v>58</v>
      </c>
      <c r="G3" s="27" t="s">
        <v>59</v>
      </c>
      <c r="H3" s="27" t="s">
        <v>60</v>
      </c>
      <c r="I3" s="27" t="s">
        <v>61</v>
      </c>
      <c r="J3" s="27" t="s">
        <v>62</v>
      </c>
      <c r="K3" s="27" t="s">
        <v>63</v>
      </c>
      <c r="L3" s="27" t="s">
        <v>64</v>
      </c>
      <c r="M3" s="27" t="s">
        <v>65</v>
      </c>
    </row>
    <row r="4" customFormat="false" ht="21.75" hidden="false" customHeight="true" outlineLevel="0" collapsed="false">
      <c r="A4" s="28" t="s">
        <v>66</v>
      </c>
      <c r="B4" s="28"/>
      <c r="C4" s="28"/>
      <c r="D4" s="28"/>
      <c r="E4" s="28"/>
      <c r="F4" s="28"/>
      <c r="G4" s="28"/>
      <c r="H4" s="28"/>
      <c r="I4" s="28"/>
      <c r="J4" s="28"/>
      <c r="K4" s="28"/>
      <c r="L4" s="28"/>
      <c r="M4" s="28"/>
    </row>
    <row r="5" customFormat="false" ht="21.75" hidden="false" customHeight="true" outlineLevel="0" collapsed="false">
      <c r="A5" s="29" t="s">
        <v>67</v>
      </c>
      <c r="B5" s="30" t="s">
        <v>68</v>
      </c>
      <c r="C5" s="29" t="s">
        <v>69</v>
      </c>
      <c r="D5" s="30" t="s">
        <v>70</v>
      </c>
      <c r="E5" s="31" t="n">
        <v>45667</v>
      </c>
      <c r="F5" s="29" t="s">
        <v>71</v>
      </c>
      <c r="G5" s="31" t="n">
        <v>45668</v>
      </c>
      <c r="H5" s="30" t="s">
        <v>72</v>
      </c>
      <c r="I5" s="30" t="s">
        <v>73</v>
      </c>
      <c r="J5" s="30"/>
      <c r="K5" s="30" t="s">
        <v>74</v>
      </c>
      <c r="L5" s="30" t="s">
        <v>75</v>
      </c>
      <c r="M5" s="30" t="s">
        <v>76</v>
      </c>
    </row>
    <row r="6" customFormat="false" ht="21.75" hidden="false" customHeight="true" outlineLevel="0" collapsed="false">
      <c r="A6" s="29" t="s">
        <v>77</v>
      </c>
      <c r="B6" s="30" t="s">
        <v>78</v>
      </c>
      <c r="C6" s="29" t="s">
        <v>69</v>
      </c>
      <c r="D6" s="30" t="s">
        <v>70</v>
      </c>
      <c r="E6" s="31" t="n">
        <v>45672</v>
      </c>
      <c r="F6" s="29" t="s">
        <v>71</v>
      </c>
      <c r="G6" s="31" t="n">
        <v>45672</v>
      </c>
      <c r="H6" s="30" t="s">
        <v>72</v>
      </c>
      <c r="I6" s="30" t="s">
        <v>79</v>
      </c>
      <c r="J6" s="30"/>
      <c r="K6" s="30" t="s">
        <v>74</v>
      </c>
      <c r="L6" s="30" t="s">
        <v>80</v>
      </c>
      <c r="M6" s="30" t="s">
        <v>81</v>
      </c>
    </row>
    <row r="7" customFormat="false" ht="21.75" hidden="false" customHeight="true" outlineLevel="0" collapsed="false">
      <c r="A7" s="29" t="s">
        <v>82</v>
      </c>
      <c r="B7" s="30" t="s">
        <v>83</v>
      </c>
      <c r="C7" s="29" t="s">
        <v>69</v>
      </c>
      <c r="D7" s="30" t="s">
        <v>70</v>
      </c>
      <c r="E7" s="31" t="n">
        <v>45681</v>
      </c>
      <c r="F7" s="29" t="s">
        <v>71</v>
      </c>
      <c r="G7" s="31" t="n">
        <v>45682</v>
      </c>
      <c r="H7" s="30" t="s">
        <v>84</v>
      </c>
      <c r="I7" s="30" t="s">
        <v>85</v>
      </c>
      <c r="J7" s="30"/>
      <c r="K7" s="30" t="s">
        <v>86</v>
      </c>
      <c r="L7" s="30" t="s">
        <v>87</v>
      </c>
      <c r="M7" s="30" t="s">
        <v>88</v>
      </c>
    </row>
    <row r="8" customFormat="false" ht="21.75" hidden="false" customHeight="true" outlineLevel="0" collapsed="false">
      <c r="A8" s="29" t="s">
        <v>89</v>
      </c>
      <c r="B8" s="30" t="s">
        <v>90</v>
      </c>
      <c r="C8" s="29" t="s">
        <v>91</v>
      </c>
      <c r="D8" s="30" t="s">
        <v>70</v>
      </c>
      <c r="E8" s="31" t="n">
        <v>45694</v>
      </c>
      <c r="F8" s="29" t="s">
        <v>71</v>
      </c>
      <c r="G8" s="31" t="n">
        <v>45694</v>
      </c>
      <c r="H8" s="30" t="s">
        <v>92</v>
      </c>
      <c r="I8" s="30" t="s">
        <v>93</v>
      </c>
      <c r="J8" s="30"/>
      <c r="K8" s="30" t="s">
        <v>74</v>
      </c>
      <c r="L8" s="30" t="s">
        <v>94</v>
      </c>
      <c r="M8" s="30" t="s">
        <v>95</v>
      </c>
    </row>
    <row r="9" customFormat="false" ht="21.75" hidden="false" customHeight="true" outlineLevel="0" collapsed="false">
      <c r="A9" s="29" t="s">
        <v>96</v>
      </c>
      <c r="B9" s="30" t="s">
        <v>97</v>
      </c>
      <c r="C9" s="29" t="s">
        <v>98</v>
      </c>
      <c r="D9" s="30" t="s">
        <v>70</v>
      </c>
      <c r="E9" s="31" t="n">
        <v>45698</v>
      </c>
      <c r="F9" s="29" t="s">
        <v>71</v>
      </c>
      <c r="G9" s="31" t="n">
        <v>45699</v>
      </c>
      <c r="H9" s="30" t="s">
        <v>84</v>
      </c>
      <c r="I9" s="30"/>
      <c r="J9" s="30"/>
      <c r="K9" s="30" t="s">
        <v>74</v>
      </c>
      <c r="L9" s="30" t="s">
        <v>99</v>
      </c>
      <c r="M9" s="30" t="s">
        <v>100</v>
      </c>
    </row>
    <row r="10" customFormat="false" ht="21.75" hidden="false" customHeight="true" outlineLevel="0" collapsed="false">
      <c r="A10" s="29" t="s">
        <v>101</v>
      </c>
      <c r="B10" s="30" t="s">
        <v>102</v>
      </c>
      <c r="C10" s="29" t="s">
        <v>91</v>
      </c>
      <c r="D10" s="30" t="s">
        <v>70</v>
      </c>
      <c r="E10" s="31" t="n">
        <v>45721</v>
      </c>
      <c r="F10" s="29" t="s">
        <v>103</v>
      </c>
      <c r="G10" s="30"/>
      <c r="H10" s="30"/>
      <c r="I10" s="30" t="s">
        <v>104</v>
      </c>
      <c r="J10" s="30"/>
      <c r="K10" s="30" t="s">
        <v>74</v>
      </c>
      <c r="L10" s="30" t="s">
        <v>105</v>
      </c>
      <c r="M10" s="30"/>
    </row>
    <row r="12" customFormat="false" ht="18" hidden="false" customHeight="true" outlineLevel="0" collapsed="false">
      <c r="A12" s="32" t="s">
        <v>106</v>
      </c>
      <c r="B12" s="32"/>
      <c r="C12" s="32"/>
      <c r="D12" s="32"/>
      <c r="E12" s="32"/>
      <c r="F12" s="32"/>
      <c r="G12" s="33" t="n">
        <f aca="false">COUNTIF(F5:F11,"Closed")</f>
        <v>5</v>
      </c>
      <c r="H12" s="33" t="n">
        <f aca="false">COUNTA(F5:F11)</f>
        <v>6</v>
      </c>
      <c r="I12" s="34" t="n">
        <f aca="false">IF(COUNTA(F5:F11)&gt;0,COUNTIF(F5:F11,"Closed")/COUNTA(F5:F11),"—")</f>
        <v>0.833333333333333</v>
      </c>
      <c r="J12" s="35"/>
      <c r="K12" s="35"/>
      <c r="L12" s="35"/>
      <c r="M12" s="35"/>
    </row>
    <row r="13" customFormat="false" ht="21.75" hidden="false" customHeight="true" outlineLevel="0" collapsed="false">
      <c r="A13" s="28" t="s">
        <v>107</v>
      </c>
      <c r="B13" s="28"/>
      <c r="C13" s="28"/>
      <c r="D13" s="28"/>
      <c r="E13" s="28"/>
      <c r="F13" s="28"/>
      <c r="G13" s="28"/>
      <c r="H13" s="28"/>
      <c r="I13" s="28"/>
      <c r="J13" s="28"/>
      <c r="K13" s="28"/>
      <c r="L13" s="28"/>
      <c r="M13" s="28"/>
    </row>
    <row r="14" customFormat="false" ht="21.75" hidden="false" customHeight="true" outlineLevel="0" collapsed="false">
      <c r="A14" s="29" t="s">
        <v>108</v>
      </c>
      <c r="B14" s="30" t="s">
        <v>109</v>
      </c>
      <c r="C14" s="29" t="s">
        <v>69</v>
      </c>
      <c r="D14" s="30" t="s">
        <v>110</v>
      </c>
      <c r="E14" s="31" t="n">
        <v>45726</v>
      </c>
      <c r="F14" s="29" t="s">
        <v>103</v>
      </c>
      <c r="G14" s="30"/>
      <c r="H14" s="30"/>
      <c r="I14" s="30"/>
      <c r="J14" s="30"/>
      <c r="K14" s="30" t="s">
        <v>111</v>
      </c>
      <c r="L14" s="30" t="s">
        <v>112</v>
      </c>
      <c r="M14" s="30"/>
    </row>
    <row r="15" customFormat="false" ht="21.75" hidden="false" customHeight="true" outlineLevel="0" collapsed="false">
      <c r="A15" s="29" t="s">
        <v>113</v>
      </c>
      <c r="B15" s="30" t="s">
        <v>114</v>
      </c>
      <c r="C15" s="29" t="s">
        <v>69</v>
      </c>
      <c r="D15" s="30" t="s">
        <v>110</v>
      </c>
      <c r="E15" s="31" t="n">
        <v>45734</v>
      </c>
      <c r="F15" s="29" t="s">
        <v>115</v>
      </c>
      <c r="G15" s="30"/>
      <c r="H15" s="30"/>
      <c r="I15" s="30"/>
      <c r="J15" s="30"/>
      <c r="K15" s="30" t="s">
        <v>111</v>
      </c>
      <c r="L15" s="30" t="s">
        <v>116</v>
      </c>
      <c r="M15" s="30"/>
    </row>
    <row r="16" customFormat="false" ht="21.75" hidden="false" customHeight="true" outlineLevel="0" collapsed="false">
      <c r="A16" s="29" t="s">
        <v>117</v>
      </c>
      <c r="B16" s="30" t="s">
        <v>118</v>
      </c>
      <c r="C16" s="29" t="s">
        <v>91</v>
      </c>
      <c r="D16" s="30" t="s">
        <v>110</v>
      </c>
      <c r="E16" s="31" t="n">
        <v>45749</v>
      </c>
      <c r="F16" s="29" t="s">
        <v>115</v>
      </c>
      <c r="G16" s="30"/>
      <c r="H16" s="30"/>
      <c r="I16" s="30"/>
      <c r="J16" s="30"/>
      <c r="K16" s="30" t="s">
        <v>111</v>
      </c>
      <c r="L16" s="30"/>
      <c r="M16" s="30"/>
    </row>
    <row r="18" customFormat="false" ht="18" hidden="false" customHeight="true" outlineLevel="0" collapsed="false">
      <c r="A18" s="32" t="s">
        <v>119</v>
      </c>
      <c r="B18" s="32"/>
      <c r="C18" s="32"/>
      <c r="D18" s="32"/>
      <c r="E18" s="32"/>
      <c r="F18" s="32"/>
      <c r="G18" s="33" t="n">
        <f aca="false">COUNTIF(F15:F17,"Closed")</f>
        <v>0</v>
      </c>
      <c r="H18" s="33" t="n">
        <f aca="false">COUNTA(F15:F17)</f>
        <v>2</v>
      </c>
      <c r="I18" s="34" t="n">
        <f aca="false">IF(COUNTA(F15:F17)&gt;0,COUNTIF(F15:F17,"Closed")/COUNTA(F15:F17),"—")</f>
        <v>0</v>
      </c>
      <c r="J18" s="35"/>
      <c r="K18" s="35"/>
      <c r="L18" s="35"/>
      <c r="M18" s="35"/>
    </row>
    <row r="19" customFormat="false" ht="21.75" hidden="false" customHeight="true" outlineLevel="0" collapsed="false">
      <c r="A19" s="28" t="s">
        <v>120</v>
      </c>
      <c r="B19" s="28"/>
      <c r="C19" s="28"/>
      <c r="D19" s="28"/>
      <c r="E19" s="28"/>
      <c r="F19" s="28"/>
      <c r="G19" s="28"/>
      <c r="H19" s="28"/>
      <c r="I19" s="28"/>
      <c r="J19" s="28"/>
      <c r="K19" s="28"/>
      <c r="L19" s="28"/>
      <c r="M19" s="28"/>
    </row>
    <row r="20" customFormat="false" ht="21.75" hidden="false" customHeight="true" outlineLevel="0" collapsed="false">
      <c r="A20" s="29" t="s">
        <v>121</v>
      </c>
      <c r="B20" s="30" t="s">
        <v>122</v>
      </c>
      <c r="C20" s="29" t="s">
        <v>69</v>
      </c>
      <c r="D20" s="30" t="s">
        <v>123</v>
      </c>
      <c r="E20" s="31" t="n">
        <v>45716</v>
      </c>
      <c r="F20" s="29" t="s">
        <v>71</v>
      </c>
      <c r="G20" s="31" t="n">
        <v>45716</v>
      </c>
      <c r="H20" s="30" t="s">
        <v>124</v>
      </c>
      <c r="I20" s="30"/>
      <c r="J20" s="30"/>
      <c r="K20" s="30" t="s">
        <v>125</v>
      </c>
      <c r="L20" s="30" t="s">
        <v>126</v>
      </c>
      <c r="M20" s="30" t="s">
        <v>127</v>
      </c>
    </row>
    <row r="21" customFormat="false" ht="21.75" hidden="false" customHeight="true" outlineLevel="0" collapsed="false">
      <c r="A21" s="29" t="s">
        <v>128</v>
      </c>
      <c r="B21" s="30" t="s">
        <v>129</v>
      </c>
      <c r="C21" s="29" t="s">
        <v>98</v>
      </c>
      <c r="D21" s="30" t="s">
        <v>123</v>
      </c>
      <c r="E21" s="31" t="n">
        <v>45757</v>
      </c>
      <c r="F21" s="29" t="s">
        <v>115</v>
      </c>
      <c r="G21" s="30"/>
      <c r="H21" s="30"/>
      <c r="I21" s="30"/>
      <c r="J21" s="30"/>
      <c r="K21" s="30" t="s">
        <v>125</v>
      </c>
      <c r="L21" s="30"/>
      <c r="M21" s="30"/>
    </row>
    <row r="22" customFormat="false" ht="21.75" hidden="false" customHeight="true" outlineLevel="0" collapsed="false">
      <c r="A22" s="29" t="s">
        <v>130</v>
      </c>
      <c r="B22" s="30" t="s">
        <v>131</v>
      </c>
      <c r="C22" s="29" t="s">
        <v>69</v>
      </c>
      <c r="D22" s="30" t="s">
        <v>132</v>
      </c>
      <c r="E22" s="31" t="n">
        <v>45792</v>
      </c>
      <c r="F22" s="29" t="s">
        <v>115</v>
      </c>
      <c r="G22" s="30"/>
      <c r="H22" s="30"/>
      <c r="I22" s="30"/>
      <c r="J22" s="30"/>
      <c r="K22" s="30" t="s">
        <v>125</v>
      </c>
      <c r="L22" s="30" t="s">
        <v>133</v>
      </c>
      <c r="M22" s="30"/>
    </row>
    <row r="24" customFormat="false" ht="18" hidden="false" customHeight="true" outlineLevel="0" collapsed="false">
      <c r="A24" s="32" t="s">
        <v>134</v>
      </c>
      <c r="B24" s="32"/>
      <c r="C24" s="32"/>
      <c r="D24" s="32"/>
      <c r="E24" s="32"/>
      <c r="F24" s="32"/>
      <c r="G24" s="33" t="n">
        <f aca="false">COUNTIF(F21:F23,"Closed")</f>
        <v>0</v>
      </c>
      <c r="H24" s="33" t="n">
        <f aca="false">COUNTA(F21:F23)</f>
        <v>2</v>
      </c>
      <c r="I24" s="34" t="n">
        <f aca="false">IF(COUNTA(F21:F23)&gt;0,COUNTIF(F21:F23,"Closed")/COUNTA(F21:F23),"—")</f>
        <v>0</v>
      </c>
      <c r="J24" s="35"/>
      <c r="K24" s="35"/>
      <c r="L24" s="35"/>
      <c r="M24" s="35"/>
    </row>
    <row r="25" customFormat="false" ht="19.5" hidden="false" customHeight="true" outlineLevel="0" collapsed="false">
      <c r="A25" s="30"/>
      <c r="B25" s="30"/>
      <c r="C25" s="29"/>
      <c r="D25" s="30"/>
      <c r="E25" s="31"/>
      <c r="F25" s="29"/>
      <c r="G25" s="31"/>
      <c r="H25" s="30"/>
      <c r="I25" s="30"/>
      <c r="J25" s="30"/>
      <c r="K25" s="30"/>
      <c r="L25" s="30"/>
      <c r="M25" s="30"/>
    </row>
    <row r="26" customFormat="false" ht="19.5" hidden="false" customHeight="true" outlineLevel="0" collapsed="false">
      <c r="A26" s="30"/>
      <c r="B26" s="30"/>
      <c r="C26" s="29"/>
      <c r="D26" s="30"/>
      <c r="E26" s="31"/>
      <c r="F26" s="29"/>
      <c r="G26" s="31"/>
      <c r="H26" s="30"/>
      <c r="I26" s="30"/>
      <c r="J26" s="30"/>
      <c r="K26" s="30"/>
      <c r="L26" s="30"/>
      <c r="M26" s="30"/>
    </row>
    <row r="27" customFormat="false" ht="19.5" hidden="false" customHeight="true" outlineLevel="0" collapsed="false">
      <c r="A27" s="30"/>
      <c r="B27" s="30"/>
      <c r="C27" s="29"/>
      <c r="D27" s="30"/>
      <c r="E27" s="31"/>
      <c r="F27" s="29"/>
      <c r="G27" s="31"/>
      <c r="H27" s="30"/>
      <c r="I27" s="30"/>
      <c r="J27" s="30"/>
      <c r="K27" s="30"/>
      <c r="L27" s="30"/>
      <c r="M27" s="30"/>
    </row>
    <row r="28" customFormat="false" ht="19.5" hidden="false" customHeight="true" outlineLevel="0" collapsed="false">
      <c r="A28" s="30"/>
      <c r="B28" s="30"/>
      <c r="C28" s="29"/>
      <c r="D28" s="30"/>
      <c r="E28" s="31"/>
      <c r="F28" s="29"/>
      <c r="G28" s="31"/>
      <c r="H28" s="30"/>
      <c r="I28" s="30"/>
      <c r="J28" s="30"/>
      <c r="K28" s="30"/>
      <c r="L28" s="30"/>
      <c r="M28" s="30"/>
    </row>
    <row r="29" customFormat="false" ht="19.5" hidden="false" customHeight="true" outlineLevel="0" collapsed="false">
      <c r="A29" s="30"/>
      <c r="B29" s="30"/>
      <c r="C29" s="29"/>
      <c r="D29" s="30"/>
      <c r="E29" s="31"/>
      <c r="F29" s="29"/>
      <c r="G29" s="31"/>
      <c r="H29" s="30"/>
      <c r="I29" s="30"/>
      <c r="J29" s="30"/>
      <c r="K29" s="30"/>
      <c r="L29" s="30"/>
      <c r="M29" s="30"/>
    </row>
    <row r="30" customFormat="false" ht="19.5" hidden="false" customHeight="true" outlineLevel="0" collapsed="false">
      <c r="A30" s="30"/>
      <c r="B30" s="30"/>
      <c r="C30" s="29"/>
      <c r="D30" s="30"/>
      <c r="E30" s="31"/>
      <c r="F30" s="29"/>
      <c r="G30" s="31"/>
      <c r="H30" s="30"/>
      <c r="I30" s="30"/>
      <c r="J30" s="30"/>
      <c r="K30" s="30"/>
      <c r="L30" s="30"/>
      <c r="M30" s="30"/>
    </row>
  </sheetData>
  <autoFilter ref="A3:M3"/>
  <mergeCells count="11">
    <mergeCell ref="A1:B1"/>
    <mergeCell ref="C1:F1"/>
    <mergeCell ref="G1:H1"/>
    <mergeCell ref="I1:M1"/>
    <mergeCell ref="A2:C2"/>
    <mergeCell ref="A4:M4"/>
    <mergeCell ref="A12:F12"/>
    <mergeCell ref="A13:M13"/>
    <mergeCell ref="A18:F18"/>
    <mergeCell ref="A19:M19"/>
    <mergeCell ref="A24:F24"/>
  </mergeCells>
  <conditionalFormatting sqref="F4:F30">
    <cfRule type="cellIs" priority="2" operator="equal" aboveAverage="0" equalAverage="0" bottom="0" percent="0" rank="0" text="" dxfId="2">
      <formula>"Closed"</formula>
    </cfRule>
    <cfRule type="cellIs" priority="3" operator="equal" aboveAverage="0" equalAverage="0" bottom="0" percent="0" rank="0" text="" dxfId="3">
      <formula>"Failed"</formula>
    </cfRule>
    <cfRule type="cellIs" priority="4" operator="equal" aboveAverage="0" equalAverage="0" bottom="0" percent="0" rank="0" text="" dxfId="4">
      <formula>"In Progress"</formula>
    </cfRule>
    <cfRule type="cellIs" priority="5" operator="equal" aboveAverage="0" equalAverage="0" bottom="0" percent="0" rank="0" text="" dxfId="5">
      <formula>"Waived"</formula>
    </cfRule>
  </conditionalFormatting>
  <conditionalFormatting sqref="A4:M30">
    <cfRule type="expression" priority="6" aboveAverage="0" equalAverage="0" bottom="0" percent="0" rank="0" text="" dxfId="6">
      <formula>$F4="Closed"</formula>
    </cfRule>
    <cfRule type="expression" priority="7" aboveAverage="0" equalAverage="0" bottom="0" percent="0" rank="0" text="" dxfId="3">
      <formula>$F4="Failed"</formula>
    </cfRule>
    <cfRule type="expression" priority="8" aboveAverage="0" equalAverage="0" bottom="0" percent="0" rank="0" text="" dxfId="4">
      <formula>$F4="In Progress"</formula>
    </cfRule>
    <cfRule type="expression" priority="9" aboveAverage="0" equalAverage="0" bottom="0" percent="0" rank="0" text="" dxfId="7">
      <formula>$F4="Waived"</formula>
    </cfRule>
    <cfRule type="expression" priority="10" aboveAverage="0" equalAverage="0" bottom="0" percent="0" rank="0" text="" dxfId="8">
      <formula>AND($E4&lt;TODAY(),$F4&lt;&gt;"Closed",$F4&lt;&gt;"Waived",$F4&lt;&gt;"Failed",$E4&lt;&gt;"")</formula>
    </cfRule>
  </conditionalFormatting>
  <conditionalFormatting sqref="E4:E30">
    <cfRule type="expression" priority="11" aboveAverage="0" equalAverage="0" bottom="0" percent="0" rank="0" text="" dxfId="9">
      <formula>AND($E4&lt;TODAY(),$F4&lt;&gt;"Closed",$F4&lt;&gt;"Waived",$E4&lt;&gt;"")</formula>
    </cfRule>
  </conditionalFormatting>
  <dataValidations count="2">
    <dataValidation allowBlank="true" errorStyle="stop" operator="between" showDropDown="false" showErrorMessage="false" showInputMessage="false" sqref="C4:C300" type="list">
      <formula1>"Hold Point,Witness Point,Review Point"</formula1>
      <formula2>0</formula2>
    </dataValidation>
    <dataValidation allowBlank="true" errorStyle="stop" operator="between" showDropDown="false" showErrorMessage="false" showInputMessage="false" sqref="F4:F300" type="list">
      <formula1>"Open,In Progress,Closed,Failed,Waived,Overdue"</formula1>
      <formula2>0</formula2>
    </dataValidation>
  </dataValidations>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&amp;CITP Pack Index</oddHeader>
    <oddFooter>&amp;Rebrora.com</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0"/>
  </cols>
  <sheetData>
    <row r="1" customFormat="false" ht="21.75" hidden="false" customHeight="true" outlineLevel="0" collapsed="false">
      <c r="A1" s="36" t="s">
        <v>135</v>
      </c>
    </row>
    <row r="2" customFormat="false" ht="21.75" hidden="false" customHeight="true" outlineLevel="0" collapsed="false">
      <c r="A2" s="37"/>
    </row>
    <row r="3" customFormat="false" ht="21.75" hidden="false" customHeight="true" outlineLevel="0" collapsed="false">
      <c r="A3" s="37" t="s">
        <v>136</v>
      </c>
    </row>
    <row r="4" customFormat="false" ht="21.75" hidden="false" customHeight="true" outlineLevel="0" collapsed="false">
      <c r="A4" s="37"/>
    </row>
    <row r="5" customFormat="false" ht="21.75" hidden="false" customHeight="true" outlineLevel="0" collapsed="false">
      <c r="A5" s="37" t="s">
        <v>137</v>
      </c>
    </row>
    <row r="6" customFormat="false" ht="21.75" hidden="false" customHeight="true" outlineLevel="0" collapsed="false">
      <c r="A6" s="37" t="s">
        <v>138</v>
      </c>
    </row>
    <row r="7" customFormat="false" ht="21.75" hidden="false" customHeight="true" outlineLevel="0" collapsed="false">
      <c r="A7" s="37" t="s">
        <v>139</v>
      </c>
    </row>
    <row r="8" customFormat="false" ht="21.75" hidden="false" customHeight="true" outlineLevel="0" collapsed="false">
      <c r="A8" s="37" t="s">
        <v>140</v>
      </c>
    </row>
    <row r="9" customFormat="false" ht="21.75" hidden="false" customHeight="true" outlineLevel="0" collapsed="false">
      <c r="A9" s="37" t="s">
        <v>141</v>
      </c>
    </row>
    <row r="10" customFormat="false" ht="21.75" hidden="false" customHeight="true" outlineLevel="0" collapsed="false">
      <c r="A10" s="37" t="s">
        <v>142</v>
      </c>
    </row>
    <row r="11" customFormat="false" ht="21.75" hidden="false" customHeight="true" outlineLevel="0" collapsed="false">
      <c r="A11" s="37"/>
    </row>
    <row r="12" customFormat="false" ht="21.75" hidden="false" customHeight="true" outlineLevel="0" collapsed="false">
      <c r="A12" s="37" t="s">
        <v>143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Quality &amp; Inspection</cp:category>
  <dcterms:created xsi:type="dcterms:W3CDTF">2026-03-24T13:15:57Z</dcterms:created>
  <dc:creator>Ebrora Ltd</dc:creator>
  <dc:description>ITP pack index tracking all inspection and test plan hold, witness and review points by discipline on UK construction projects.
Free professional construction management template from Ebrora Ltd. Visit ebrora.com for our full range of tools and templates.</dc:description>
  <cp:keywords>Ebrora construction ITP inspection test plan hold point witness point quality UK construction</cp:keywords>
  <dc:language>en-US</dc:language>
  <cp:lastModifiedBy>Ebrora Ltd</cp:lastModifiedBy>
  <dcterms:modified xsi:type="dcterms:W3CDTF">2026-03-24T13:15:57Z</dcterms:modified>
  <cp:revision>0</cp:revision>
  <dc:subject>ITP pack index organising all inspection and test plan points by discipline, tracking hold, witness and review point status from issue to close-out on construction projects.</dc:subject>
  <dc:title>ITP Pack Index</dc:title>
</cp:coreProperties>
</file>

<file path=docProps/custom.xml><?xml version="1.0" encoding="utf-8"?>
<Properties xmlns="http://schemas.openxmlformats.org/officeDocument/2006/custom-properties" xmlns:vt="http://schemas.openxmlformats.org/officeDocument/2006/docPropsVTypes"/>
</file>