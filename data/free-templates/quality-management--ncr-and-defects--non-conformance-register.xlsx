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R Register" sheetId="1" state="visible" r:id="rId3"/>
    <sheet name="Instructions" sheetId="2" state="visible" r:id="rId4"/>
  </sheets>
  <definedNames>
    <definedName function="false" hidden="false" localSheetId="0" name="_xlnm.Print_Area" vbProcedure="false">'NCR Register'!$A$1:$R$40</definedName>
    <definedName function="false" hidden="false" localSheetId="0" name="_xlnm.Print_Titles" vbProcedure="false">'NCR Register'!$1:$6</definedName>
    <definedName function="false" hidden="true" localSheetId="0" name="_xlnm._FilterDatabase" vbProcedure="false">'NCR Register'!$A$6:$R$31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<sst xmlns="http://schemas.openxmlformats.org/spreadsheetml/2006/main" count="52" uniqueCount="51">
  <si>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ebrora.com</t>
  </si>
  <si>
    <t xml:space="preserve">NON-CONFORMANCE REGISTER</t>
  </si>
  <si>
    <t xml:space="preserve">Ref: ISO 9001:2015 Clause 10.2 — Non-conformity and Corrective Action</t>
  </si>
  <si>
    <t xml:space="preserve">Project:</t>
  </si>
  <si>
    <t xml:space="preserve">Contract No.:</t>
  </si>
  <si>
    <t xml:space="preserve">Quality Manager:</t>
  </si>
  <si>
    <t xml:space="preserve">Rev:</t>
  </si>
  <si>
    <t xml:space="preserve">No.</t>
  </si>
  <si>
    <t xml:space="preserve">NCR Ref
No.</t>
  </si>
  <si>
    <t xml:space="preserve">Date
Raised</t>
  </si>
  <si>
    <t xml:space="preserve">Raised By</t>
  </si>
  <si>
    <t xml:space="preserve">Discipline /
Area</t>
  </si>
  <si>
    <t xml:space="preserve">Contractor /
Subcontractor</t>
  </si>
  <si>
    <t xml:space="preserve">Location</t>
  </si>
  <si>
    <t xml:space="preserve">Description of
Non-Conformance</t>
  </si>
  <si>
    <t xml:space="preserve">Specification /
Clause
Contravened</t>
  </si>
  <si>
    <t xml:space="preserve">Severity
(Minor/Major/
Critical)</t>
  </si>
  <si>
    <t xml:space="preserve">Root Cause
Category</t>
  </si>
  <si>
    <t xml:space="preserve">Proposed
Corrective Action</t>
  </si>
  <si>
    <t xml:space="preserve">Responsible
Person</t>
  </si>
  <si>
    <t xml:space="preserve">Target
Close Date</t>
  </si>
  <si>
    <t xml:space="preserve">Actual
Close Date</t>
  </si>
  <si>
    <t xml:space="preserve">Days
Open</t>
  </si>
  <si>
    <t xml:space="preserve">Verification
Status</t>
  </si>
  <si>
    <t xml:space="preserve">Close-Out
Comments</t>
  </si>
  <si>
    <t xml:space="preserve">SUMMARY</t>
  </si>
  <si>
    <t xml:space="preserve">Total NCRs:</t>
  </si>
  <si>
    <t xml:space="preserve">Critical:</t>
  </si>
  <si>
    <t xml:space="preserve">Major:</t>
  </si>
  <si>
    <t xml:space="preserve">Minor:</t>
  </si>
  <si>
    <t xml:space="preserve">Open:</t>
  </si>
  <si>
    <t xml:space="preserve">Closed:</t>
  </si>
  <si>
    <t xml:space="preserve">Avg Days to Close:</t>
  </si>
  <si>
    <t xml:space="preserve">INSTRUCTIONS — Non-Conformance Register</t>
  </si>
  <si>
    <t xml:space="preserve">How to Use This Template</t>
  </si>
  <si>
    <t xml:space="preserve">1. Raise an NCR for any work, material, or process that does not meet specification.</t>
  </si>
  <si>
    <t xml:space="preserve">2. Assign a unique NCR reference number and record the date raised.</t>
  </si>
  <si>
    <t xml:space="preserve">3. Describe the non-conformance and identify the specification clause contravened.</t>
  </si>
  <si>
    <t xml:space="preserve">4. Classify severity: Minor (isolated), Major (systematic), Critical (safety/structural).</t>
  </si>
  <si>
    <t xml:space="preserve">5. Identify root cause category and propose a corrective action.</t>
  </si>
  <si>
    <t xml:space="preserve">6. Assign responsibility and a target close date.</t>
  </si>
  <si>
    <t xml:space="preserve">7. Days Open auto-calculates — NCRs open &gt;28 days are flagged red.</t>
  </si>
  <si>
    <t xml:space="preserve">8. Verification status tracks from Open through to Closed or Concession Granted.</t>
  </si>
  <si>
    <t xml:space="preserve">9. Average days to close is calculated automatically in the summary.</t>
  </si>
  <si>
    <t xml:space="preserve">NCR Process:</t>
  </si>
  <si>
    <t xml:space="preserve">  Identify → Raise NCR → Investigate Root Cause → Propose Corrective Action</t>
  </si>
  <si>
    <t xml:space="preserve">  → Implement Rework → Verify Compliance → Close Out</t>
  </si>
  <si>
    <t xml:space="preserve">References:</t>
  </si>
  <si>
    <t xml:space="preserve">  ISO 9001:2015, Clause 10.2 — Non-conformity and Corrective Action</t>
  </si>
  <si>
    <t xml:space="preserve">  Project Quality Plan</t>
  </si>
  <si>
    <t xml:space="preserve">  Contract/Works Information Specification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</si>
</sst>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4"/>
      <c r="J4" s="5"/>
      <c r="K4" s="5"/>
      <c r="L4" s="5"/>
      <c r="M4" s="4" t="s">
        <v>6</v>
      </c>
      <c r="N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</row>
    <row r="7" customFormat="false" ht="25.5" hidden="false" customHeight="true" outlineLevel="0" collapsed="false">
      <c r="A7" s="7" t="n">
        <v>1</v>
      </c>
      <c r="B7" s="8"/>
      <c r="C7" s="8"/>
      <c r="D7" s="5"/>
      <c r="E7" s="8"/>
      <c r="F7" s="5"/>
      <c r="G7" s="5"/>
      <c r="H7" s="5"/>
      <c r="I7" s="5"/>
      <c r="J7" s="8"/>
      <c r="K7" s="8"/>
      <c r="L7" s="5"/>
      <c r="M7" s="8"/>
      <c r="N7" s="8"/>
      <c r="O7" s="8"/>
      <c r="P7" s="9" t="str">
        <f aca="true">IF(C7="","",IF(O7&lt;&gt;"",O7-C7,TODAY()-C7))</f>
        <v/>
      </c>
      <c r="Q7" s="8"/>
      <c r="R7" s="5"/>
    </row>
    <row r="8" customFormat="false" ht="25.5" hidden="false" customHeight="true" outlineLevel="0" collapsed="false">
      <c r="A8" s="10" t="n">
        <v>2</v>
      </c>
      <c r="B8" s="8"/>
      <c r="C8" s="8"/>
      <c r="D8" s="5"/>
      <c r="E8" s="8"/>
      <c r="F8" s="5"/>
      <c r="G8" s="5"/>
      <c r="H8" s="5"/>
      <c r="I8" s="5"/>
      <c r="J8" s="8"/>
      <c r="K8" s="8"/>
      <c r="L8" s="5"/>
      <c r="M8" s="8"/>
      <c r="N8" s="8"/>
      <c r="O8" s="8"/>
      <c r="P8" s="11" t="str">
        <f aca="true">IF(C8="","",IF(O8&lt;&gt;"",O8-C8,TODAY()-C8))</f>
        <v/>
      </c>
      <c r="Q8" s="8"/>
      <c r="R8" s="5"/>
    </row>
    <row r="9" customFormat="false" ht="25.5" hidden="false" customHeight="true" outlineLevel="0" collapsed="false">
      <c r="A9" s="7" t="n">
        <v>3</v>
      </c>
      <c r="B9" s="8"/>
      <c r="C9" s="8"/>
      <c r="D9" s="5"/>
      <c r="E9" s="8"/>
      <c r="F9" s="5"/>
      <c r="G9" s="5"/>
      <c r="H9" s="5"/>
      <c r="I9" s="5"/>
      <c r="J9" s="8"/>
      <c r="K9" s="8"/>
      <c r="L9" s="5"/>
      <c r="M9" s="8"/>
      <c r="N9" s="8"/>
      <c r="O9" s="8"/>
      <c r="P9" s="9" t="str">
        <f aca="true">IF(C9="","",IF(O9&lt;&gt;"",O9-C9,TODAY()-C9))</f>
        <v/>
      </c>
      <c r="Q9" s="8"/>
      <c r="R9" s="5"/>
    </row>
    <row r="10" customFormat="false" ht="25.5" hidden="false" customHeight="true" outlineLevel="0" collapsed="false">
      <c r="A10" s="10" t="n">
        <v>4</v>
      </c>
      <c r="B10" s="8"/>
      <c r="C10" s="8"/>
      <c r="D10" s="5"/>
      <c r="E10" s="8"/>
      <c r="F10" s="5"/>
      <c r="G10" s="5"/>
      <c r="H10" s="5"/>
      <c r="I10" s="5"/>
      <c r="J10" s="8"/>
      <c r="K10" s="8"/>
      <c r="L10" s="5"/>
      <c r="M10" s="8"/>
      <c r="N10" s="8"/>
      <c r="O10" s="8"/>
      <c r="P10" s="11" t="str">
        <f aca="true">IF(C10="","",IF(O10&lt;&gt;"",O10-C10,TODAY()-C10))</f>
        <v/>
      </c>
      <c r="Q10" s="8"/>
      <c r="R10" s="5"/>
    </row>
    <row r="11" customFormat="false" ht="25.5" hidden="false" customHeight="true" outlineLevel="0" collapsed="false">
      <c r="A11" s="7" t="n">
        <v>5</v>
      </c>
      <c r="B11" s="8"/>
      <c r="C11" s="8"/>
      <c r="D11" s="5"/>
      <c r="E11" s="8"/>
      <c r="F11" s="5"/>
      <c r="G11" s="5"/>
      <c r="H11" s="5"/>
      <c r="I11" s="5"/>
      <c r="J11" s="8"/>
      <c r="K11" s="8"/>
      <c r="L11" s="5"/>
      <c r="M11" s="8"/>
      <c r="N11" s="8"/>
      <c r="O11" s="8"/>
      <c r="P11" s="9" t="str">
        <f aca="true">IF(C11="","",IF(O11&lt;&gt;"",O11-C11,TODAY()-C11))</f>
        <v/>
      </c>
      <c r="Q11" s="8"/>
      <c r="R11" s="5"/>
    </row>
    <row r="12" customFormat="false" ht="25.5" hidden="false" customHeight="true" outlineLevel="0" collapsed="false">
      <c r="A12" s="10" t="n">
        <v>6</v>
      </c>
      <c r="B12" s="8"/>
      <c r="C12" s="8"/>
      <c r="D12" s="5"/>
      <c r="E12" s="8"/>
      <c r="F12" s="5"/>
      <c r="G12" s="5"/>
      <c r="H12" s="5"/>
      <c r="I12" s="5"/>
      <c r="J12" s="8"/>
      <c r="K12" s="8"/>
      <c r="L12" s="5"/>
      <c r="M12" s="8"/>
      <c r="N12" s="8"/>
      <c r="O12" s="8"/>
      <c r="P12" s="11" t="str">
        <f aca="true">IF(C12="","",IF(O12&lt;&gt;"",O12-C12,TODAY()-C12))</f>
        <v/>
      </c>
      <c r="Q12" s="8"/>
      <c r="R12" s="5"/>
    </row>
    <row r="13" customFormat="false" ht="25.5" hidden="false" customHeight="true" outlineLevel="0" collapsed="false">
      <c r="A13" s="7" t="n">
        <v>7</v>
      </c>
      <c r="B13" s="8"/>
      <c r="C13" s="8"/>
      <c r="D13" s="5"/>
      <c r="E13" s="8"/>
      <c r="F13" s="5"/>
      <c r="G13" s="5"/>
      <c r="H13" s="5"/>
      <c r="I13" s="5"/>
      <c r="J13" s="8"/>
      <c r="K13" s="8"/>
      <c r="L13" s="5"/>
      <c r="M13" s="8"/>
      <c r="N13" s="8"/>
      <c r="O13" s="8"/>
      <c r="P13" s="9" t="str">
        <f aca="true">IF(C13="","",IF(O13&lt;&gt;"",O13-C13,TODAY()-C13))</f>
        <v/>
      </c>
      <c r="Q13" s="8"/>
      <c r="R13" s="5"/>
    </row>
    <row r="14" customFormat="false" ht="25.5" hidden="false" customHeight="true" outlineLevel="0" collapsed="false">
      <c r="A14" s="10" t="n">
        <v>8</v>
      </c>
      <c r="B14" s="8"/>
      <c r="C14" s="8"/>
      <c r="D14" s="5"/>
      <c r="E14" s="8"/>
      <c r="F14" s="5"/>
      <c r="G14" s="5"/>
      <c r="H14" s="5"/>
      <c r="I14" s="5"/>
      <c r="J14" s="8"/>
      <c r="K14" s="8"/>
      <c r="L14" s="5"/>
      <c r="M14" s="8"/>
      <c r="N14" s="8"/>
      <c r="O14" s="8"/>
      <c r="P14" s="11" t="str">
        <f aca="true">IF(C14="","",IF(O14&lt;&gt;"",O14-C14,TODAY()-C14))</f>
        <v/>
      </c>
      <c r="Q14" s="8"/>
      <c r="R14" s="5"/>
    </row>
    <row r="15" customFormat="false" ht="25.5" hidden="false" customHeight="true" outlineLevel="0" collapsed="false">
      <c r="A15" s="7" t="n">
        <v>9</v>
      </c>
      <c r="B15" s="8"/>
      <c r="C15" s="8"/>
      <c r="D15" s="5"/>
      <c r="E15" s="8"/>
      <c r="F15" s="5"/>
      <c r="G15" s="5"/>
      <c r="H15" s="5"/>
      <c r="I15" s="5"/>
      <c r="J15" s="8"/>
      <c r="K15" s="8"/>
      <c r="L15" s="5"/>
      <c r="M15" s="8"/>
      <c r="N15" s="8"/>
      <c r="O15" s="8"/>
      <c r="P15" s="9" t="str">
        <f aca="true">IF(C15="","",IF(O15&lt;&gt;"",O15-C15,TODAY()-C15))</f>
        <v/>
      </c>
      <c r="Q15" s="8"/>
      <c r="R15" s="5"/>
    </row>
    <row r="16" customFormat="false" ht="25.5" hidden="false" customHeight="true" outlineLevel="0" collapsed="false">
      <c r="A16" s="10" t="n">
        <v>10</v>
      </c>
      <c r="B16" s="8"/>
      <c r="C16" s="8"/>
      <c r="D16" s="5"/>
      <c r="E16" s="8"/>
      <c r="F16" s="5"/>
      <c r="G16" s="5"/>
      <c r="H16" s="5"/>
      <c r="I16" s="5"/>
      <c r="J16" s="8"/>
      <c r="K16" s="8"/>
      <c r="L16" s="5"/>
      <c r="M16" s="8"/>
      <c r="N16" s="8"/>
      <c r="O16" s="8"/>
      <c r="P16" s="11" t="str">
        <f aca="true">IF(C16="","",IF(O16&lt;&gt;"",O16-C16,TODAY()-C16))</f>
        <v/>
      </c>
      <c r="Q16" s="8"/>
      <c r="R16" s="5"/>
    </row>
    <row r="17" customFormat="false" ht="25.5" hidden="false" customHeight="true" outlineLevel="0" collapsed="false">
      <c r="A17" s="7" t="n">
        <v>11</v>
      </c>
      <c r="B17" s="8"/>
      <c r="C17" s="8"/>
      <c r="D17" s="5"/>
      <c r="E17" s="8"/>
      <c r="F17" s="5"/>
      <c r="G17" s="5"/>
      <c r="H17" s="5"/>
      <c r="I17" s="5"/>
      <c r="J17" s="8"/>
      <c r="K17" s="8"/>
      <c r="L17" s="5"/>
      <c r="M17" s="8"/>
      <c r="N17" s="8"/>
      <c r="O17" s="8"/>
      <c r="P17" s="9" t="str">
        <f aca="true">IF(C17="","",IF(O17&lt;&gt;"",O17-C17,TODAY()-C17))</f>
        <v/>
      </c>
      <c r="Q17" s="8"/>
      <c r="R17" s="5"/>
    </row>
    <row r="18" customFormat="false" ht="25.5" hidden="false" customHeight="true" outlineLevel="0" collapsed="false">
      <c r="A18" s="10" t="n">
        <v>12</v>
      </c>
      <c r="B18" s="8"/>
      <c r="C18" s="8"/>
      <c r="D18" s="5"/>
      <c r="E18" s="8"/>
      <c r="F18" s="5"/>
      <c r="G18" s="5"/>
      <c r="H18" s="5"/>
      <c r="I18" s="5"/>
      <c r="J18" s="8"/>
      <c r="K18" s="8"/>
      <c r="L18" s="5"/>
      <c r="M18" s="8"/>
      <c r="N18" s="8"/>
      <c r="O18" s="8"/>
      <c r="P18" s="11" t="str">
        <f aca="true">IF(C18="","",IF(O18&lt;&gt;"",O18-C18,TODAY()-C18))</f>
        <v/>
      </c>
      <c r="Q18" s="8"/>
      <c r="R18" s="5"/>
    </row>
    <row r="19" customFormat="false" ht="25.5" hidden="false" customHeight="true" outlineLevel="0" collapsed="false">
      <c r="A19" s="7" t="n">
        <v>13</v>
      </c>
      <c r="B19" s="8"/>
      <c r="C19" s="8"/>
      <c r="D19" s="5"/>
      <c r="E19" s="8"/>
      <c r="F19" s="5"/>
      <c r="G19" s="5"/>
      <c r="H19" s="5"/>
      <c r="I19" s="5"/>
      <c r="J19" s="8"/>
      <c r="K19" s="8"/>
      <c r="L19" s="5"/>
      <c r="M19" s="8"/>
      <c r="N19" s="8"/>
      <c r="O19" s="8"/>
      <c r="P19" s="9" t="str">
        <f aca="true">IF(C19="","",IF(O19&lt;&gt;"",O19-C19,TODAY()-C19))</f>
        <v/>
      </c>
      <c r="Q19" s="8"/>
      <c r="R19" s="5"/>
    </row>
    <row r="20" customFormat="false" ht="25.5" hidden="false" customHeight="true" outlineLevel="0" collapsed="false">
      <c r="A20" s="10" t="n">
        <v>14</v>
      </c>
      <c r="B20" s="8"/>
      <c r="C20" s="8"/>
      <c r="D20" s="5"/>
      <c r="E20" s="8"/>
      <c r="F20" s="5"/>
      <c r="G20" s="5"/>
      <c r="H20" s="5"/>
      <c r="I20" s="5"/>
      <c r="J20" s="8"/>
      <c r="K20" s="8"/>
      <c r="L20" s="5"/>
      <c r="M20" s="8"/>
      <c r="N20" s="8"/>
      <c r="O20" s="8"/>
      <c r="P20" s="11" t="str">
        <f aca="true">IF(C20="","",IF(O20&lt;&gt;"",O20-C20,TODAY()-C20))</f>
        <v/>
      </c>
      <c r="Q20" s="8"/>
      <c r="R20" s="5"/>
    </row>
    <row r="21" customFormat="false" ht="25.5" hidden="false" customHeight="true" outlineLevel="0" collapsed="false">
      <c r="A21" s="7" t="n">
        <v>15</v>
      </c>
      <c r="B21" s="8"/>
      <c r="C21" s="8"/>
      <c r="D21" s="5"/>
      <c r="E21" s="8"/>
      <c r="F21" s="5"/>
      <c r="G21" s="5"/>
      <c r="H21" s="5"/>
      <c r="I21" s="5"/>
      <c r="J21" s="8"/>
      <c r="K21" s="8"/>
      <c r="L21" s="5"/>
      <c r="M21" s="8"/>
      <c r="N21" s="8"/>
      <c r="O21" s="8"/>
      <c r="P21" s="9" t="str">
        <f aca="true">IF(C21="","",IF(O21&lt;&gt;"",O21-C21,TODAY()-C21))</f>
        <v/>
      </c>
      <c r="Q21" s="8"/>
      <c r="R21" s="5"/>
    </row>
    <row r="22" customFormat="false" ht="25.5" hidden="false" customHeight="true" outlineLevel="0" collapsed="false">
      <c r="A22" s="10" t="n">
        <v>16</v>
      </c>
      <c r="B22" s="8"/>
      <c r="C22" s="8"/>
      <c r="D22" s="5"/>
      <c r="E22" s="8"/>
      <c r="F22" s="5"/>
      <c r="G22" s="5"/>
      <c r="H22" s="5"/>
      <c r="I22" s="5"/>
      <c r="J22" s="8"/>
      <c r="K22" s="8"/>
      <c r="L22" s="5"/>
      <c r="M22" s="8"/>
      <c r="N22" s="8"/>
      <c r="O22" s="8"/>
      <c r="P22" s="11" t="str">
        <f aca="true">IF(C22="","",IF(O22&lt;&gt;"",O22-C22,TODAY()-C22))</f>
        <v/>
      </c>
      <c r="Q22" s="8"/>
      <c r="R22" s="5"/>
    </row>
    <row r="23" customFormat="false" ht="25.5" hidden="false" customHeight="true" outlineLevel="0" collapsed="false">
      <c r="A23" s="7" t="n">
        <v>17</v>
      </c>
      <c r="B23" s="8"/>
      <c r="C23" s="8"/>
      <c r="D23" s="5"/>
      <c r="E23" s="8"/>
      <c r="F23" s="5"/>
      <c r="G23" s="5"/>
      <c r="H23" s="5"/>
      <c r="I23" s="5"/>
      <c r="J23" s="8"/>
      <c r="K23" s="8"/>
      <c r="L23" s="5"/>
      <c r="M23" s="8"/>
      <c r="N23" s="8"/>
      <c r="O23" s="8"/>
      <c r="P23" s="9" t="str">
        <f aca="true">IF(C23="","",IF(O23&lt;&gt;"",O23-C23,TODAY()-C23))</f>
        <v/>
      </c>
      <c r="Q23" s="8"/>
      <c r="R23" s="5"/>
    </row>
    <row r="24" customFormat="false" ht="25.5" hidden="false" customHeight="true" outlineLevel="0" collapsed="false">
      <c r="A24" s="10" t="n">
        <v>18</v>
      </c>
      <c r="B24" s="8"/>
      <c r="C24" s="8"/>
      <c r="D24" s="5"/>
      <c r="E24" s="8"/>
      <c r="F24" s="5"/>
      <c r="G24" s="5"/>
      <c r="H24" s="5"/>
      <c r="I24" s="5"/>
      <c r="J24" s="8"/>
      <c r="K24" s="8"/>
      <c r="L24" s="5"/>
      <c r="M24" s="8"/>
      <c r="N24" s="8"/>
      <c r="O24" s="8"/>
      <c r="P24" s="11" t="str">
        <f aca="true">IF(C24="","",IF(O24&lt;&gt;"",O24-C24,TODAY()-C24))</f>
        <v/>
      </c>
      <c r="Q24" s="8"/>
      <c r="R24" s="5"/>
    </row>
    <row r="25" customFormat="false" ht="25.5" hidden="false" customHeight="true" outlineLevel="0" collapsed="false">
      <c r="A25" s="7" t="n">
        <v>19</v>
      </c>
      <c r="B25" s="8"/>
      <c r="C25" s="8"/>
      <c r="D25" s="5"/>
      <c r="E25" s="8"/>
      <c r="F25" s="5"/>
      <c r="G25" s="5"/>
      <c r="H25" s="5"/>
      <c r="I25" s="5"/>
      <c r="J25" s="8"/>
      <c r="K25" s="8"/>
      <c r="L25" s="5"/>
      <c r="M25" s="8"/>
      <c r="N25" s="8"/>
      <c r="O25" s="8"/>
      <c r="P25" s="9" t="str">
        <f aca="true">IF(C25="","",IF(O25&lt;&gt;"",O25-C25,TODAY()-C25))</f>
        <v/>
      </c>
      <c r="Q25" s="8"/>
      <c r="R25" s="5"/>
    </row>
    <row r="26" customFormat="false" ht="25.5" hidden="false" customHeight="true" outlineLevel="0" collapsed="false">
      <c r="A26" s="10" t="n">
        <v>20</v>
      </c>
      <c r="B26" s="8"/>
      <c r="C26" s="8"/>
      <c r="D26" s="5"/>
      <c r="E26" s="8"/>
      <c r="F26" s="5"/>
      <c r="G26" s="5"/>
      <c r="H26" s="5"/>
      <c r="I26" s="5"/>
      <c r="J26" s="8"/>
      <c r="K26" s="8"/>
      <c r="L26" s="5"/>
      <c r="M26" s="8"/>
      <c r="N26" s="8"/>
      <c r="O26" s="8"/>
      <c r="P26" s="11" t="str">
        <f aca="true">IF(C26="","",IF(O26&lt;&gt;"",O26-C26,TODAY()-C26))</f>
        <v/>
      </c>
      <c r="Q26" s="8"/>
      <c r="R26" s="5"/>
    </row>
    <row r="27" customFormat="false" ht="25.5" hidden="false" customHeight="true" outlineLevel="0" collapsed="false">
      <c r="A27" s="7" t="n">
        <v>21</v>
      </c>
      <c r="B27" s="8"/>
      <c r="C27" s="8"/>
      <c r="D27" s="5"/>
      <c r="E27" s="8"/>
      <c r="F27" s="5"/>
      <c r="G27" s="5"/>
      <c r="H27" s="5"/>
      <c r="I27" s="5"/>
      <c r="J27" s="8"/>
      <c r="K27" s="8"/>
      <c r="L27" s="5"/>
      <c r="M27" s="8"/>
      <c r="N27" s="8"/>
      <c r="O27" s="8"/>
      <c r="P27" s="9" t="str">
        <f aca="true">IF(C27="","",IF(O27&lt;&gt;"",O27-C27,TODAY()-C27))</f>
        <v/>
      </c>
      <c r="Q27" s="8"/>
      <c r="R27" s="5"/>
    </row>
    <row r="28" customFormat="false" ht="25.5" hidden="false" customHeight="true" outlineLevel="0" collapsed="false">
      <c r="A28" s="10" t="n">
        <v>22</v>
      </c>
      <c r="B28" s="8"/>
      <c r="C28" s="8"/>
      <c r="D28" s="5"/>
      <c r="E28" s="8"/>
      <c r="F28" s="5"/>
      <c r="G28" s="5"/>
      <c r="H28" s="5"/>
      <c r="I28" s="5"/>
      <c r="J28" s="8"/>
      <c r="K28" s="8"/>
      <c r="L28" s="5"/>
      <c r="M28" s="8"/>
      <c r="N28" s="8"/>
      <c r="O28" s="8"/>
      <c r="P28" s="11" t="str">
        <f aca="true">IF(C28="","",IF(O28&lt;&gt;"",O28-C28,TODAY()-C28))</f>
        <v/>
      </c>
      <c r="Q28" s="8"/>
      <c r="R28" s="5"/>
    </row>
    <row r="29" customFormat="false" ht="25.5" hidden="false" customHeight="true" outlineLevel="0" collapsed="false">
      <c r="A29" s="7" t="n">
        <v>23</v>
      </c>
      <c r="B29" s="8"/>
      <c r="C29" s="8"/>
      <c r="D29" s="5"/>
      <c r="E29" s="8"/>
      <c r="F29" s="5"/>
      <c r="G29" s="5"/>
      <c r="H29" s="5"/>
      <c r="I29" s="5"/>
      <c r="J29" s="8"/>
      <c r="K29" s="8"/>
      <c r="L29" s="5"/>
      <c r="M29" s="8"/>
      <c r="N29" s="8"/>
      <c r="O29" s="8"/>
      <c r="P29" s="9" t="str">
        <f aca="true">IF(C29="","",IF(O29&lt;&gt;"",O29-C29,TODAY()-C29))</f>
        <v/>
      </c>
      <c r="Q29" s="8"/>
      <c r="R29" s="5"/>
    </row>
    <row r="30" customFormat="false" ht="25.5" hidden="false" customHeight="true" outlineLevel="0" collapsed="false">
      <c r="A30" s="10" t="n">
        <v>24</v>
      </c>
      <c r="B30" s="8"/>
      <c r="C30" s="8"/>
      <c r="D30" s="5"/>
      <c r="E30" s="8"/>
      <c r="F30" s="5"/>
      <c r="G30" s="5"/>
      <c r="H30" s="5"/>
      <c r="I30" s="5"/>
      <c r="J30" s="8"/>
      <c r="K30" s="8"/>
      <c r="L30" s="5"/>
      <c r="M30" s="8"/>
      <c r="N30" s="8"/>
      <c r="O30" s="8"/>
      <c r="P30" s="11" t="str">
        <f aca="true">IF(C30="","",IF(O30&lt;&gt;"",O30-C30,TODAY()-C30))</f>
        <v/>
      </c>
      <c r="Q30" s="8"/>
      <c r="R30" s="5"/>
    </row>
    <row r="31" customFormat="false" ht="25.5" hidden="false" customHeight="true" outlineLevel="0" collapsed="false">
      <c r="A31" s="7" t="n">
        <v>25</v>
      </c>
      <c r="B31" s="8"/>
      <c r="C31" s="8"/>
      <c r="D31" s="5"/>
      <c r="E31" s="8"/>
      <c r="F31" s="5"/>
      <c r="G31" s="5"/>
      <c r="H31" s="5"/>
      <c r="I31" s="5"/>
      <c r="J31" s="8"/>
      <c r="K31" s="8"/>
      <c r="L31" s="5"/>
      <c r="M31" s="8"/>
      <c r="N31" s="8"/>
      <c r="O31" s="8"/>
      <c r="P31" s="9" t="str">
        <f aca="true">IF(C31="","",IF(O31&lt;&gt;"",O31-C31,TODAY()-C31))</f>
        <v/>
      </c>
      <c r="Q31" s="8"/>
      <c r="R31" s="5"/>
    </row>
    <row r="33" customFormat="false" ht="15" hidden="false" customHeight="true" outlineLevel="0" collapsed="false">
      <c r="A33" s="12" t="s">
        <v>25</v>
      </c>
      <c r="B33" s="12"/>
      <c r="C33" s="12"/>
    </row>
    <row r="34" customFormat="false" ht="15" hidden="false" customHeight="true" outlineLevel="0" collapsed="false">
      <c r="A34" s="4" t="s">
        <v>26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27</v>
      </c>
      <c r="B35" s="4"/>
      <c r="C35" s="13" t="n">
        <f aca="false">COUNTIF(J7:J31,"Critical")</f>
        <v>0</v>
      </c>
    </row>
    <row r="36" customFormat="false" ht="15" hidden="false" customHeight="true" outlineLevel="0" collapsed="false">
      <c r="A36" s="4" t="s">
        <v>28</v>
      </c>
      <c r="B36" s="4"/>
      <c r="C36" s="13" t="n">
        <f aca="false">COUNTIF(J7:J31,"Major")</f>
        <v>0</v>
      </c>
    </row>
    <row r="37" customFormat="false" ht="15" hidden="false" customHeight="true" outlineLevel="0" collapsed="false">
      <c r="A37" s="4" t="s">
        <v>29</v>
      </c>
      <c r="B37" s="4"/>
      <c r="C37" s="13" t="n">
        <f aca="false">COUNTIF(J7:J31,"Minor")</f>
        <v>0</v>
      </c>
    </row>
    <row r="38" customFormat="false" ht="15" hidden="false" customHeight="true" outlineLevel="0" collapsed="false">
      <c r="A38" s="4" t="s">
        <v>30</v>
      </c>
      <c r="B38" s="4"/>
      <c r="C38" s="13" t="n">
        <f aca="false">COUNTIF(Q7:Q31,"Open")+COUNTIF(Q7:Q31,"Corrective Action Proposed")+COUNTIF(Q7:Q31,"Rework in Progress")+COUNTIF(Q7:Q31,"Awaiting Verification")</f>
        <v>0</v>
      </c>
    </row>
    <row r="39" customFormat="false" ht="15" hidden="false" customHeight="true" outlineLevel="0" collapsed="false">
      <c r="A39" s="4" t="s">
        <v>31</v>
      </c>
      <c r="B39" s="4"/>
      <c r="C39" s="13" t="n">
        <f aca="false">COUNTIF(Q7:Q31,"Closed")+COUNTIF(Q7:Q31,"Concession Granted")</f>
        <v>0</v>
      </c>
    </row>
    <row r="40" customFormat="false" ht="23.85" hidden="false" customHeight="true" outlineLevel="0" collapsed="false">
      <c r="A40" s="4" t="s">
        <v>32</v>
      </c>
      <c r="B40" s="4"/>
      <c r="C40" s="14" t="str">
        <f aca="false">IF(COUNTIF(Q7:Q31,"Closed")=0,"",AVERAGEIFS(P7:P31,Q7:Q31,"Closed"))</f>
        <v/>
      </c>
    </row>
  </sheetData>
  <autoFilter ref="A6:R31"/>
  <mergeCells count="15">
    <mergeCell ref="A1:R1"/>
    <mergeCell ref="A2:R2"/>
    <mergeCell ref="A3:R3"/>
    <mergeCell ref="B4:D4"/>
    <mergeCell ref="F4:G4"/>
    <mergeCell ref="H4:I4"/>
    <mergeCell ref="J4:L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J7:J31">
    <cfRule type="cellIs" priority="2" operator="equal" aboveAverage="0" equalAverage="0" bottom="0" percent="0" rank="0" text="" dxfId="6">
      <formula>"Critical"</formula>
    </cfRule>
    <cfRule type="cellIs" priority="3" operator="equal" aboveAverage="0" equalAverage="0" bottom="0" percent="0" rank="0" text="" dxfId="7">
      <formula>"Major"</formula>
    </cfRule>
    <cfRule type="cellIs" priority="4" operator="equal" aboveAverage="0" equalAverage="0" bottom="0" percent="0" rank="0" text="" dxfId="8">
      <formula>"Minor"</formula>
    </cfRule>
  </conditionalFormatting>
  <conditionalFormatting sqref="Q7:Q31">
    <cfRule type="cellIs" priority="5" operator="equal" aboveAverage="0" equalAverage="0" bottom="0" percent="0" rank="0" text="" dxfId="9">
      <formula>"Closed"</formula>
    </cfRule>
    <cfRule type="cellIs" priority="6" operator="equal" aboveAverage="0" equalAverage="0" bottom="0" percent="0" rank="0" text="" dxfId="6">
      <formula>"Open"</formula>
    </cfRule>
    <cfRule type="cellIs" priority="7" operator="equal" aboveAverage="0" equalAverage="0" bottom="0" percent="0" rank="0" text="" dxfId="8">
      <formula>"Rework in Progress"</formula>
    </cfRule>
  </conditionalFormatting>
  <conditionalFormatting sqref="P7:P31">
    <cfRule type="expression" priority="8" aboveAverage="0" equalAverage="0" bottom="0" percent="0" rank="0" text="" dxfId="6">
      <formula>AND(P7&lt;&gt;"",P7&gt;28,Q7&lt;&gt;"Closed")</formula>
    </cfRule>
  </conditionalFormatting>
  <dataValidations count="4">
    <dataValidation allowBlank="true" errorStyle="stop" operator="between" showDropDown="false" showErrorMessage="false" showInputMessage="false" sqref="J7:J31" type="list">
      <formula1>"Minor,Major,Critical"</formula1>
      <formula2>0</formula2>
    </dataValidation>
    <dataValidation allowBlank="true" errorStyle="stop" operator="between" showDropDown="false" showErrorMessage="false" showInputMessage="false" sqref="E7:E31" type="list">
      <formula1>"Civils,Structural,Mechanical,Electrical,Piping,Concrete,Earthworks,Welding,Coatings,Building,MEICA,Other"</formula1>
      <formula2>0</formula2>
    </dataValidation>
    <dataValidation allowBlank="true" errorStyle="stop" operator="between" showDropDown="false" showErrorMessage="false" showInputMessage="false" sqref="K7:K31" type="list">
      <formula1>"Workmanship,Material Defect,Design Error,Procedural Non-Compliance,Documentation,Supplier Error,Communication,Training / Competence,Other"</formula1>
      <formula2>0</formula2>
    </dataValidation>
    <dataValidation allowBlank="true" errorStyle="stop" operator="between" showDropDown="false" showErrorMessage="false" showInputMessage="false" sqref="Q7:Q31" type="list">
      <formula1>"Open,Corrective Action Proposed,Rework in Progress,Awaiting Verification,Closed,Concession Granted"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33</v>
      </c>
      <c r="B2" s="2"/>
    </row>
    <row r="4" customFormat="false" ht="15" hidden="false" customHeight="false" outlineLevel="0" collapsed="false">
      <c r="B4" s="12" t="s">
        <v>34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35</v>
      </c>
    </row>
    <row r="7" customFormat="false" ht="15" hidden="false" customHeight="false" outlineLevel="0" collapsed="false">
      <c r="B7" s="15" t="s">
        <v>36</v>
      </c>
    </row>
    <row r="8" customFormat="false" ht="15" hidden="false" customHeight="false" outlineLevel="0" collapsed="false">
      <c r="B8" s="15" t="s">
        <v>37</v>
      </c>
    </row>
    <row r="9" customFormat="false" ht="15" hidden="false" customHeight="false" outlineLevel="0" collapsed="false">
      <c r="B9" s="15" t="s">
        <v>38</v>
      </c>
    </row>
    <row r="10" customFormat="false" ht="15" hidden="false" customHeight="false" outlineLevel="0" collapsed="false">
      <c r="B10" s="15" t="s">
        <v>39</v>
      </c>
    </row>
    <row r="11" customFormat="false" ht="15" hidden="false" customHeight="false" outlineLevel="0" collapsed="false">
      <c r="B11" s="15" t="s">
        <v>40</v>
      </c>
    </row>
    <row r="12" customFormat="false" ht="15" hidden="false" customHeight="false" outlineLevel="0" collapsed="false">
      <c r="B12" s="15" t="s">
        <v>41</v>
      </c>
    </row>
    <row r="13" customFormat="false" ht="15" hidden="false" customHeight="false" outlineLevel="0" collapsed="false">
      <c r="B13" s="15" t="s">
        <v>42</v>
      </c>
    </row>
    <row r="14" customFormat="false" ht="15" hidden="false" customHeight="false" outlineLevel="0" collapsed="false">
      <c r="B14" s="15" t="s">
        <v>43</v>
      </c>
    </row>
    <row r="15" customFormat="false" ht="15" hidden="false" customHeight="false" outlineLevel="0" collapsed="false">
      <c r="B15" s="15"/>
    </row>
    <row r="16" customFormat="false" ht="15" hidden="false" customHeight="false" outlineLevel="0" collapsed="false">
      <c r="B16" s="12" t="s">
        <v>44</v>
      </c>
    </row>
    <row r="17" customFormat="false" ht="15" hidden="false" customHeight="false" outlineLevel="0" collapsed="false">
      <c r="B17" s="15" t="s">
        <v>45</v>
      </c>
    </row>
    <row r="18" customFormat="false" ht="15" hidden="false" customHeight="false" outlineLevel="0" collapsed="false">
      <c r="B18" s="15" t="s">
        <v>46</v>
      </c>
    </row>
    <row r="19" customFormat="false" ht="15" hidden="false" customHeight="false" outlineLevel="0" collapsed="false">
      <c r="B19" s="15"/>
    </row>
    <row r="20" customFormat="false" ht="15" hidden="false" customHeight="false" outlineLevel="0" collapsed="false">
      <c r="B20" s="12" t="s">
        <v>47</v>
      </c>
    </row>
    <row r="21" customFormat="false" ht="15" hidden="false" customHeight="false" outlineLevel="0" collapsed="false">
      <c r="B21" s="3" t="s">
        <v>48</v>
      </c>
    </row>
    <row r="22" customFormat="false" ht="15" hidden="false" customHeight="false" outlineLevel="0" collapsed="false">
      <c r="B22" s="3" t="s">
        <v>49</v>
      </c>
    </row>
    <row r="23" customFormat="false" ht="15" hidden="false" customHeight="false" outlineLevel="0" collapsed="false">
      <c r="B23" s="3" t="s">
        <v>50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2026-03-27T16:48:10Z</dcterms:created>
  <dc:creator>openpyxl</dc:creator>
  <dc:description/>
  <dc:language>en-US</dc:language>
  <cp:lastModifiedBy/>
  <dcterms:modified xsi:type="dcterms:W3CDTF">2026-03-27T16:48:10Z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