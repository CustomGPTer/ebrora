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Layer Tracker" sheetId="3" state="visible" r:id="rId5"/>
    <sheet name="Terms of Use" sheetId="4" state="hidden" r:id="rId6"/>
  </sheets>
  <definedNames>
    <definedName function="false" hidden="false" localSheetId="0" name="_xlnm.Print_Area" vbProcedure="false">Cover!$A$1:$H$20</definedName>
    <definedName function="false" hidden="false" localSheetId="2" name="_xlnm.Print_Area" vbProcedure="false">'Layer Tracker'!$A$1:$M$40</definedName>
    <definedName function="false" hidden="true" localSheetId="2" name="_xlnm._FilterDatabase" vbProcedure="false">'Layer Tracker'!$A$9:$P$40</definedName>
    <definedName function="false" hidden="false" name="DataTable" vbProcedure="false">'Layer Tracker'!$A$9:$P$40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<sst xmlns="http://schemas.openxmlformats.org/spreadsheetml/2006/main" count="131" uniqueCount="94">
  <si>
    <t xml:space="preserve">EBRORA</t>
  </si>
  <si>
    <t xml:space="preserve">ebrora.com</t>
  </si>
  <si>
    <t xml:space="preserve">Road / Pavement
Layer Tracker</t>
  </si>
  <si>
    <t xml:space="preserve">Track pavement construction progress layer by layer across road sections with automatic completion calculations and area totals.</t>
  </si>
  <si>
    <t xml:space="preserve">This is a free template from Ebrora.
For our full range of professional-grade construction management tools,
visit ebrora.com</t>
  </si>
  <si>
    <t xml:space="preserve">© Ebrora 2026 — All rights reserved</t>
  </si>
  <si>
    <t xml:space="preserve">How to Use This Template</t>
  </si>
  <si>
    <t xml:space="preserve">Step-by-Step Instructions</t>
  </si>
  <si>
    <t xml:space="preserve">1. Go to the 'Layer Tracker' sheet. Each row is a road section; columns represent pavement layers from bottom to top.</t>
  </si>
  <si>
    <t xml:space="preserve">2. Enter the section reference, description, chainage, and total area (m²) for each section.</t>
  </si>
  <si>
    <t xml:space="preserve">3. For each layer (Subgrade to Surface Course), select the status: Complete, In Progress, Not Started, or N/A.</t>
  </si>
  <si>
    <t xml:space="preserve">4. The Section % column auto-calculates based on how many applicable layers are complete (excluding N/A).</t>
  </si>
  <si>
    <t xml:space="preserve">5. The summary panel shows total area, area by layer completion stage, and overall programme progress.</t>
  </si>
  <si>
    <t xml:space="preserve">6. Use the teal layer-band header to see which construction phase the project is primarily in.</t>
  </si>
  <si>
    <t xml:space="preserve">7. Expand optional columns [+] for layer thickness checks, compaction test refs, and material cert refs.</t>
  </si>
  <si>
    <t xml:space="preserve">8. Update weekly — this gives a clear visual of road construction progress for programme reporting.</t>
  </si>
  <si>
    <t xml:space="preserve">Colour Key</t>
  </si>
  <si>
    <t xml:space="preserve">Light teal</t>
  </si>
  <si>
    <t xml:space="preserve">Editable — select layer status</t>
  </si>
  <si>
    <t xml:space="preserve">Dark navy</t>
  </si>
  <si>
    <t xml:space="preserve">Headers</t>
  </si>
  <si>
    <t xml:space="preserve">Green</t>
  </si>
  <si>
    <t xml:space="preserve">Complete — layer finished</t>
  </si>
  <si>
    <t xml:space="preserve">Amber</t>
  </si>
  <si>
    <t xml:space="preserve">In Progress — layer partially done</t>
  </si>
  <si>
    <t xml:space="preserve">Red</t>
  </si>
  <si>
    <t xml:space="preserve">Not Started — layer not begun</t>
  </si>
  <si>
    <t xml:space="preserve">Tips</t>
  </si>
  <si>
    <t xml:space="preserve">• Each layer must be tested and approved before the next is laid — don't mark layers complete without compaction/level sign-off.</t>
  </si>
  <si>
    <t xml:space="preserve">• Mark layers N/A where the pavement design doesn't include them (e.g. no capping on rock subgrade).</t>
  </si>
  <si>
    <t xml:space="preserve">• Use this alongside the compaction test register to ensure every section has test coverage at every layer.</t>
  </si>
  <si>
    <t xml:space="preserve">ROAD / PAVEMENT LAYER TRACKER</t>
  </si>
  <si>
    <t xml:space="preserve">Total Area (m²)</t>
  </si>
  <si>
    <t xml:space="preserve">Sections</t>
  </si>
  <si>
    <t xml:space="preserve">Fully Complete</t>
  </si>
  <si>
    <t xml:space="preserve">In Progress</t>
  </si>
  <si>
    <t xml:space="preserve">Not Started</t>
  </si>
  <si>
    <t xml:space="preserve">Overall %</t>
  </si>
  <si>
    <t xml:space="preserve">SECTION IDENTIFICATION</t>
  </si>
  <si>
    <t xml:space="preserve">PAVEMENT LAYER STATUS (bottom → top)</t>
  </si>
  <si>
    <t xml:space="preserve">PROGRESS</t>
  </si>
  <si>
    <t xml:space="preserve">▸ Optional</t>
  </si>
  <si>
    <t xml:space="preserve">Section
Ref</t>
  </si>
  <si>
    <t xml:space="preserve">Description</t>
  </si>
  <si>
    <t xml:space="preserve">Ch
From</t>
  </si>
  <si>
    <t xml:space="preserve">Ch
To</t>
  </si>
  <si>
    <t xml:space="preserve">Area
(m²)</t>
  </si>
  <si>
    <t xml:space="preserve">Subgrade</t>
  </si>
  <si>
    <t xml:space="preserve">Capping</t>
  </si>
  <si>
    <t xml:space="preserve">Sub-base</t>
  </si>
  <si>
    <t xml:space="preserve">Base
Course</t>
  </si>
  <si>
    <t xml:space="preserve">Binder
Course</t>
  </si>
  <si>
    <t xml:space="preserve">Surface
Course</t>
  </si>
  <si>
    <t xml:space="preserve">Section
%</t>
  </si>
  <si>
    <t xml:space="preserve">Notes</t>
  </si>
  <si>
    <t xml:space="preserve">Thickness
Check</t>
  </si>
  <si>
    <t xml:space="preserve">Compaction
Ref</t>
  </si>
  <si>
    <t xml:space="preserve">Material
Cert</t>
  </si>
  <si>
    <t xml:space="preserve">RD-01</t>
  </si>
  <si>
    <t xml:space="preserve">Main Access Road — Section 1</t>
  </si>
  <si>
    <t xml:space="preserve">0+000</t>
  </si>
  <si>
    <t xml:space="preserve">0+120</t>
  </si>
  <si>
    <t xml:space="preserve">Complete</t>
  </si>
  <si>
    <t xml:space="preserve">Base course laying in progress</t>
  </si>
  <si>
    <t xml:space="preserve">OK</t>
  </si>
  <si>
    <t xml:space="preserve">CT-003</t>
  </si>
  <si>
    <t xml:space="preserve">MTC-Agg-01</t>
  </si>
  <si>
    <t xml:space="preserve">RD-02</t>
  </si>
  <si>
    <t xml:space="preserve">Main Access Road — Section 2</t>
  </si>
  <si>
    <t xml:space="preserve">0+250</t>
  </si>
  <si>
    <t xml:space="preserve">Sub-base 50% laid</t>
  </si>
  <si>
    <t xml:space="preserve">CT-004</t>
  </si>
  <si>
    <t xml:space="preserve">RD-03</t>
  </si>
  <si>
    <t xml:space="preserve">Car Park Area A</t>
  </si>
  <si>
    <t xml:space="preserve">N/A</t>
  </si>
  <si>
    <t xml:space="preserve">Surface course scheduled next week</t>
  </si>
  <si>
    <t xml:space="preserve">CT-005</t>
  </si>
  <si>
    <t xml:space="preserve">MTC-Agg-02</t>
  </si>
  <si>
    <t xml:space="preserve">RD-04</t>
  </si>
  <si>
    <t xml:space="preserve">Car Park Area B</t>
  </si>
  <si>
    <t xml:space="preserve">Awaiting base course material delivery</t>
  </si>
  <si>
    <t xml:space="preserve">RD-05</t>
  </si>
  <si>
    <t xml:space="preserve">Service Road — Loop</t>
  </si>
  <si>
    <t xml:space="preserve">0+085</t>
  </si>
  <si>
    <t xml:space="preserve">Utility crossings still outstanding</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</si>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</sst>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4">
    <numFmt numFmtId="164" formatCode="General"/>
    <numFmt numFmtId="165" formatCode="#,##0"/>
    <numFmt numFmtId="166" formatCode="General"/>
    <numFmt numFmtId="167" formatCode="0%"/>
  </numFmts>
  <fonts count="21">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sz val="10"/>
      <color rgb="FF1B2A4A"/>
      <name val="Calibri"/>
      <family val="0"/>
      <charset val="1"/>
    </font>
    <font>
      <b val="true"/>
      <sz val="10"/>
      <color rgb="FF1B2A4A"/>
      <name val="Calibri"/>
      <family val="0"/>
      <charset val="1"/>
    </font>
    <font>
      <b val="true"/>
      <sz val="14"/>
      <color rgb="FFFFFFFF"/>
      <name val="Calibri"/>
      <family val="0"/>
      <charset val="1"/>
    </font>
    <font>
      <b val="true"/>
      <sz val="10"/>
      <color rgb="FF2AABB3"/>
      <name val="Calibri"/>
      <family val="0"/>
      <charset val="1"/>
    </font>
    <font>
      <b val="true"/>
      <sz val="16"/>
      <color rgb="FF1B2A4A"/>
      <name val="Calibri"/>
      <family val="0"/>
      <charset val="1"/>
    </font>
    <font>
      <b val="true"/>
      <sz val="16"/>
      <color rgb="FF006100"/>
      <name val="Calibri"/>
      <family val="0"/>
      <charset val="1"/>
    </font>
    <font>
      <b val="true"/>
      <sz val="10"/>
      <color rgb="FFFFFFFF"/>
      <name val="Calibri"/>
      <family val="0"/>
      <charset val="1"/>
    </font>
    <font>
      <i val="true"/>
      <sz val="9"/>
      <color rgb="FFFFFFFF"/>
      <name val="Calibri"/>
      <family val="0"/>
      <charset val="1"/>
    </font>
    <font>
      <b val="true"/>
      <sz val="11"/>
      <color rgb="FFFFFFFF"/>
      <name val="Calibri"/>
      <family val="0"/>
      <charset val="1"/>
    </font>
  </fonts>
  <fills count="9">
    <fill>
      <patternFill patternType="none"/>
    </fill>
    <fill>
      <patternFill patternType="gray125"/>
    </fill>
    <fill>
      <patternFill patternType="solid">
        <fgColor rgb="FF1B2A4A"/>
        <bgColor rgb="FF003366"/>
      </patternFill>
    </fill>
    <fill>
      <patternFill patternType="solid">
        <fgColor rgb="FFFFFFFF"/>
        <bgColor rgb="FFE8F6F7"/>
      </patternFill>
    </fill>
    <fill>
      <patternFill patternType="solid">
        <fgColor rgb="FFE8F6F7"/>
        <bgColor rgb="FFFFFFFF"/>
      </patternFill>
    </fill>
    <fill>
      <patternFill patternType="solid">
        <fgColor rgb="FFC6EFCE"/>
        <bgColor rgb="FFCCFFFF"/>
      </patternFill>
    </fill>
    <fill>
      <patternFill patternType="solid">
        <fgColor rgb="FFFFEB9C"/>
        <bgColor rgb="FFFFFFCC"/>
      </patternFill>
    </fill>
    <fill>
      <patternFill patternType="solid">
        <fgColor rgb="FFFFC7CE"/>
        <bgColor rgb="FFFFEB9C"/>
      </patternFill>
    </fill>
    <fill>
      <patternFill patternType="solid">
        <fgColor rgb="FF2AABB3"/>
        <bgColor rgb="FF339966"/>
      </patternFill>
    </fill>
  </fills>
  <borders count="3">
    <border diagonalUp="false" diagonalDown="false">
      <left/>
      <right/>
      <top/>
      <bottom/>
      <diagonal/>
    </border>
    <border diagonalUp="false" diagonalDown="false">
      <left style="thin">
        <color rgb="FF1B2A4A"/>
      </left>
      <right style="thin">
        <color rgb="FF1B2A4A"/>
      </right>
      <top style="thin">
        <color rgb="FF1B2A4A"/>
      </top>
      <bottom style="thin">
        <color rgb="FF1B2A4A"/>
      </bottom>
      <diagonal/>
    </border>
    <border diagonalUp="false" diagonalDown="false">
      <left/>
      <right/>
      <top/>
      <bottom style="medium">
        <color rgb="FF2AABB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8" fillId="4" borderId="0"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4" fontId="14" fillId="2" borderId="0" xfId="0" applyFont="true" applyBorder="true" applyAlignment="true" applyProtection="false">
      <alignment horizontal="center" vertical="center"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center" vertical="center" textRotation="0" wrapText="true" indent="0" shrinkToFit="false"/>
      <protection locked="true" hidden="false"/>
    </xf>
    <xf numFmtId="165" fontId="16" fillId="0" borderId="0" xfId="0" applyFont="true" applyBorder="false" applyAlignment="true" applyProtection="false">
      <alignment horizontal="center" vertical="center" textRotation="0" wrapText="true" indent="0" shrinkToFit="false"/>
      <protection locked="true" hidden="false"/>
    </xf>
    <xf numFmtId="166" fontId="16" fillId="0" borderId="0" xfId="0" applyFont="true" applyBorder="false" applyAlignment="true" applyProtection="false">
      <alignment horizontal="center" vertical="center" textRotation="0" wrapText="true" indent="0" shrinkToFit="false"/>
      <protection locked="true" hidden="false"/>
    </xf>
    <xf numFmtId="166" fontId="17" fillId="0" borderId="0" xfId="0" applyFont="true" applyBorder="false" applyAlignment="true" applyProtection="false">
      <alignment horizontal="center" vertical="center" textRotation="0" wrapText="true" indent="0" shrinkToFit="false"/>
      <protection locked="true" hidden="false"/>
    </xf>
    <xf numFmtId="167" fontId="16" fillId="0" borderId="0" xfId="0" applyFont="true" applyBorder="false" applyAlignment="true" applyProtection="false">
      <alignment horizontal="center" vertical="center" textRotation="0" wrapText="true" indent="0" shrinkToFit="false"/>
      <protection locked="true" hidden="false"/>
    </xf>
    <xf numFmtId="164" fontId="9" fillId="0" borderId="0" xfId="0" applyFont="true" applyBorder="true" applyAlignment="true" applyProtection="fals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18" fillId="8" borderId="0" xfId="0" applyFont="true" applyBorder="true" applyAlignment="true" applyProtection="false">
      <alignment horizontal="center" vertical="center" textRotation="0" wrapText="true" indent="0" shrinkToFit="false"/>
      <protection locked="true" hidden="false"/>
    </xf>
    <xf numFmtId="164" fontId="19" fillId="8" borderId="0" xfId="0" applyFont="true" applyBorder="true" applyAlignment="true" applyProtection="false">
      <alignment horizontal="center" vertical="center" textRotation="0" wrapText="true" indent="0" shrinkToFit="false"/>
      <protection locked="true" hidden="false"/>
    </xf>
    <xf numFmtId="164" fontId="20" fillId="2"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left" vertical="center" textRotation="0" wrapText="true" indent="0" shrinkToFit="false"/>
      <protection locked="true" hidden="false"/>
    </xf>
    <xf numFmtId="165" fontId="12" fillId="4" borderId="1" xfId="0" applyFont="true" applyBorder="true" applyAlignment="true" applyProtection="false">
      <alignment horizontal="center" vertical="center" textRotation="0" wrapText="true" indent="0" shrinkToFit="false"/>
      <protection locked="true" hidden="false"/>
    </xf>
    <xf numFmtId="167" fontId="12" fillId="3"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patternType="solid">
          <fgColor rgb="FF1B2A4A"/>
          <bgColor rgb="FF000000"/>
        </patternFill>
      </fill>
    </dxf>
    <dxf>
      <fill>
        <patternFill patternType="solid">
          <fgColor rgb="FFE8F6F7"/>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006100"/>
          <bgColor rgb="FF000000"/>
        </patternFill>
      </fill>
    </dxf>
    <dxf>
      <fill>
        <patternFill patternType="solid">
          <fgColor rgb="FF9C0006"/>
          <bgColor rgb="FF000000"/>
        </patternFill>
      </fill>
    </dxf>
    <dxf>
      <fill>
        <patternFill patternType="solid">
          <fgColor rgb="FFFFEB9C"/>
          <bgColor rgb="FF000000"/>
        </patternFill>
      </fill>
    </dxf>
    <dxf>
      <fill>
        <patternFill patternType="solid">
          <fgColor rgb="FF9C6500"/>
          <bgColor rgb="FF000000"/>
        </patternFill>
      </fill>
    </dxf>
    <dxf>
      <font>
        <name val="Calibri"/>
        <charset val="1"/>
        <family val="0"/>
        <b val="1"/>
        <color rgb="FF006100"/>
        <sz val="10"/>
      </font>
      <fill>
        <patternFill>
          <bgColor rgb="FFC6EFCE"/>
        </patternFill>
      </fill>
    </dxf>
    <dxf>
      <font>
        <name val="Calibri"/>
        <charset val="1"/>
        <family val="0"/>
        <b val="1"/>
        <color rgb="FF9C6500"/>
        <sz val="10"/>
      </font>
      <fill>
        <patternFill>
          <bgColor rgb="FFFFEB9C"/>
        </patternFill>
      </fill>
    </dxf>
    <dxf>
      <font>
        <name val="Calibri"/>
        <charset val="1"/>
        <family val="0"/>
        <color rgb="FF9C0006"/>
        <sz val="10"/>
      </font>
      <fill>
        <patternFill>
          <bgColor rgb="FFFFC7CE"/>
        </patternFill>
      </fill>
    </dxf>
    <dxf>
      <font>
        <name val="Calibri"/>
        <charset val="1"/>
        <family val="0"/>
        <b val="1"/>
        <color rgb="FF006100"/>
      </font>
      <fill>
        <patternFill>
          <bgColor rgb="FFC6EFCE"/>
        </patternFill>
      </fill>
    </dxf>
    <dxf>
      <fill>
        <patternFill>
          <bgColor rgb="FFFFEB9C"/>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C0C0C0"/>
      <rgbColor rgb="FF808080"/>
      <rgbColor rgb="FF9999FF"/>
      <rgbColor rgb="FF993366"/>
      <rgbColor rgb="FFFFFFCC"/>
      <rgbColor rgb="FFE8F6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15" hidden="false" customHeight="true" outlineLevel="0" collapsed="false">
      <c r="A1" s="1" t="s">
        <v>0</v>
      </c>
      <c r="B1" s="1"/>
      <c r="C1" s="1"/>
      <c r="D1" s="1"/>
      <c r="E1" s="1"/>
      <c r="F1" s="1"/>
      <c r="G1" s="1"/>
      <c r="H1" s="1"/>
    </row>
    <row r="2" customFormat="false" ht="15" hidden="false" customHeight="false" outlineLevel="0" collapsed="false">
      <c r="A2" s="1"/>
      <c r="B2" s="1"/>
      <c r="C2" s="1"/>
      <c r="D2" s="1"/>
      <c r="E2" s="1"/>
      <c r="F2" s="1"/>
      <c r="G2" s="1"/>
      <c r="H2" s="1"/>
    </row>
    <row r="3" customFormat="false" ht="15" hidden="false" customHeight="false" outlineLevel="0" collapsed="false">
      <c r="A3" s="1"/>
      <c r="B3" s="1"/>
      <c r="C3" s="1"/>
      <c r="D3" s="1"/>
      <c r="E3" s="1"/>
      <c r="F3" s="1"/>
      <c r="G3" s="1"/>
      <c r="H3" s="1"/>
    </row>
    <row r="4" customFormat="false" ht="15" hidden="false" customHeight="true" outlineLevel="0" collapsed="false">
      <c r="A4" s="2" t="s">
        <v>1</v>
      </c>
      <c r="B4" s="2"/>
      <c r="C4" s="2"/>
      <c r="D4" s="2"/>
      <c r="E4" s="2"/>
      <c r="F4" s="2"/>
      <c r="G4" s="2"/>
      <c r="H4" s="2"/>
    </row>
    <row r="5" customFormat="false" ht="15" hidden="false" customHeight="false" outlineLevel="0" collapsed="false">
      <c r="A5" s="3"/>
      <c r="B5" s="3"/>
      <c r="C5" s="3"/>
      <c r="D5" s="3"/>
      <c r="E5" s="3"/>
      <c r="F5" s="3"/>
      <c r="G5" s="3"/>
      <c r="H5" s="3"/>
    </row>
    <row r="6" customFormat="false" ht="15" hidden="false" customHeight="true" outlineLevel="0" collapsed="false">
      <c r="A6" s="4" t="s">
        <v>2</v>
      </c>
      <c r="B6" s="4"/>
      <c r="C6" s="4"/>
      <c r="D6" s="4"/>
      <c r="E6" s="4"/>
      <c r="F6" s="4"/>
      <c r="G6" s="4"/>
      <c r="H6" s="4"/>
    </row>
    <row r="7" customFormat="false" ht="15" hidden="false" customHeight="false" outlineLevel="0" collapsed="false">
      <c r="A7" s="4"/>
      <c r="B7" s="4"/>
      <c r="C7" s="4"/>
      <c r="D7" s="4"/>
      <c r="E7" s="4"/>
      <c r="F7" s="4"/>
      <c r="G7" s="4"/>
      <c r="H7" s="4"/>
    </row>
    <row r="8" customFormat="false" ht="15" hidden="false" customHeight="false" outlineLevel="0" collapsed="false">
      <c r="A8" s="4"/>
      <c r="B8" s="4"/>
      <c r="C8" s="4"/>
      <c r="D8" s="4"/>
      <c r="E8" s="4"/>
      <c r="F8" s="4"/>
      <c r="G8" s="4"/>
      <c r="H8" s="4"/>
    </row>
    <row r="9" customFormat="false" ht="15" hidden="false" customHeight="false" outlineLevel="0" collapsed="false">
      <c r="A9" s="3"/>
      <c r="B9" s="3"/>
      <c r="C9" s="3"/>
      <c r="D9" s="3"/>
      <c r="E9" s="3"/>
      <c r="F9" s="3"/>
      <c r="G9" s="3"/>
      <c r="H9" s="3"/>
    </row>
    <row r="10" customFormat="false" ht="15" hidden="false" customHeight="true" outlineLevel="0" collapsed="false">
      <c r="A10" s="5" t="s">
        <v>3</v>
      </c>
      <c r="B10" s="5"/>
      <c r="C10" s="5"/>
      <c r="D10" s="5"/>
      <c r="E10" s="5"/>
      <c r="F10" s="5"/>
      <c r="G10" s="5"/>
      <c r="H10" s="5"/>
    </row>
    <row r="11" customFormat="false" ht="15" hidden="false" customHeight="false" outlineLevel="0" collapsed="false">
      <c r="A11" s="5"/>
      <c r="B11" s="5"/>
      <c r="C11" s="5"/>
      <c r="D11" s="5"/>
      <c r="E11" s="5"/>
      <c r="F11" s="5"/>
      <c r="G11" s="5"/>
      <c r="H11" s="5"/>
    </row>
    <row r="12" customFormat="false" ht="15" hidden="false" customHeight="false" outlineLevel="0" collapsed="false">
      <c r="A12" s="3"/>
      <c r="B12" s="3"/>
      <c r="C12" s="3"/>
      <c r="D12" s="3"/>
      <c r="E12" s="3"/>
      <c r="F12" s="3"/>
      <c r="G12" s="3"/>
      <c r="H12" s="3"/>
    </row>
    <row r="13" customFormat="false" ht="15" hidden="false" customHeight="false" outlineLevel="0" collapsed="false">
      <c r="A13" s="3"/>
      <c r="B13" s="3"/>
      <c r="C13" s="3"/>
      <c r="D13" s="3"/>
      <c r="E13" s="3"/>
      <c r="F13" s="3"/>
      <c r="G13" s="3"/>
      <c r="H13" s="3"/>
    </row>
    <row r="14" customFormat="false" ht="15" hidden="false" customHeight="true" outlineLevel="0" collapsed="false">
      <c r="A14" s="6" t="s">
        <v>4</v>
      </c>
      <c r="B14" s="6"/>
      <c r="C14" s="6"/>
      <c r="D14" s="6"/>
      <c r="E14" s="6"/>
      <c r="F14" s="6"/>
      <c r="G14" s="6"/>
      <c r="H14" s="6"/>
    </row>
    <row r="15" customFormat="false" ht="15" hidden="false" customHeight="false" outlineLevel="0" collapsed="false">
      <c r="A15" s="6"/>
      <c r="B15" s="6"/>
      <c r="C15" s="6"/>
      <c r="D15" s="6"/>
      <c r="E15" s="6"/>
      <c r="F15" s="6"/>
      <c r="G15" s="6"/>
      <c r="H15" s="6"/>
    </row>
    <row r="16" customFormat="false" ht="15" hidden="false" customHeight="false" outlineLevel="0" collapsed="false">
      <c r="A16" s="6"/>
      <c r="B16" s="6"/>
      <c r="C16" s="6"/>
      <c r="D16" s="6"/>
      <c r="E16" s="6"/>
      <c r="F16" s="6"/>
      <c r="G16" s="6"/>
      <c r="H16" s="6"/>
    </row>
    <row r="17" customFormat="false" ht="15" hidden="false" customHeight="false" outlineLevel="0" collapsed="false">
      <c r="A17" s="6"/>
      <c r="B17" s="6"/>
      <c r="C17" s="6"/>
      <c r="D17" s="6"/>
      <c r="E17" s="6"/>
      <c r="F17" s="6"/>
      <c r="G17" s="6"/>
      <c r="H17" s="6"/>
    </row>
    <row r="18" customFormat="false" ht="15" hidden="false" customHeight="false" outlineLevel="0" collapsed="false">
      <c r="A18" s="3"/>
      <c r="B18" s="3"/>
      <c r="C18" s="3"/>
      <c r="D18" s="3"/>
      <c r="E18" s="3"/>
      <c r="F18" s="3"/>
      <c r="G18" s="3"/>
      <c r="H18" s="3"/>
    </row>
    <row r="19" customFormat="false" ht="15" hidden="false" customHeight="true" outlineLevel="0" collapsed="false">
      <c r="A19" s="7" t="s">
        <v>5</v>
      </c>
      <c r="B19" s="7"/>
      <c r="C19" s="7"/>
      <c r="D19" s="7"/>
      <c r="E19" s="7"/>
      <c r="F19" s="7"/>
      <c r="G19" s="7"/>
      <c r="H19" s="7"/>
    </row>
    <row r="20" customFormat="false" ht="15" hidden="false" customHeight="false" outlineLevel="0" collapsed="false">
      <c r="A20" s="3"/>
      <c r="B20" s="3"/>
      <c r="C20" s="3"/>
      <c r="D20" s="3"/>
      <c r="E20" s="3"/>
      <c r="F20" s="3"/>
      <c r="G20" s="3"/>
      <c r="H20" s="3"/>
    </row>
    <row r="21" customFormat="false" ht="15" hidden="false" customHeight="false" outlineLevel="0" collapsed="false">
      <c r="A21" s="3"/>
      <c r="B21" s="3"/>
      <c r="C21" s="3"/>
      <c r="D21" s="3"/>
      <c r="E21" s="3"/>
      <c r="F21" s="3"/>
      <c r="G21" s="3"/>
      <c r="H21" s="3"/>
    </row>
    <row r="22" customFormat="false" ht="15" hidden="false" customHeight="false" outlineLevel="0" collapsed="false">
      <c r="A22" s="3"/>
      <c r="B22" s="3"/>
      <c r="C22" s="3"/>
      <c r="D22" s="3"/>
      <c r="E22" s="3"/>
      <c r="F22" s="3"/>
      <c r="G22" s="3"/>
      <c r="H22" s="3"/>
    </row>
    <row r="23" customFormat="false" ht="15" hidden="false" customHeight="false" outlineLevel="0" collapsed="false">
      <c r="A23" s="3"/>
      <c r="B23" s="3"/>
      <c r="C23" s="3"/>
      <c r="D23" s="3"/>
      <c r="E23" s="3"/>
      <c r="F23" s="3"/>
      <c r="G23" s="3"/>
      <c r="H23" s="3"/>
    </row>
    <row r="24" customFormat="false" ht="15" hidden="false" customHeight="false" outlineLevel="0" collapsed="false">
      <c r="A24" s="3"/>
      <c r="B24" s="3"/>
      <c r="C24" s="3"/>
      <c r="D24" s="3"/>
      <c r="E24" s="3"/>
      <c r="F24" s="3"/>
      <c r="G24" s="3"/>
      <c r="H24" s="3"/>
    </row>
  </sheetData>
  <mergeCells count="6">
    <mergeCell ref="A1:H3"/>
    <mergeCell ref="A4:H4"/>
    <mergeCell ref="A6:H8"/>
    <mergeCell ref="A10:H11"/>
    <mergeCell ref="A14: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6" min="2" style="0" width="22"/>
  </cols>
  <sheetData>
    <row r="1" customFormat="false" ht="17.35" hidden="false" customHeight="false" outlineLevel="0" collapsed="false">
      <c r="A1" s="8" t="s">
        <v>6</v>
      </c>
      <c r="B1" s="8"/>
      <c r="C1" s="8"/>
      <c r="D1" s="8"/>
      <c r="E1" s="8"/>
      <c r="F1" s="8"/>
    </row>
    <row r="3" customFormat="false" ht="15" hidden="false" customHeight="false" outlineLevel="0" collapsed="false">
      <c r="A3" s="9" t="s">
        <v>7</v>
      </c>
      <c r="B3" s="9"/>
      <c r="C3" s="9"/>
      <c r="D3" s="9"/>
      <c r="E3" s="9"/>
      <c r="F3" s="9"/>
    </row>
    <row r="4" customFormat="false" ht="30" hidden="false" customHeight="true" outlineLevel="0" collapsed="false">
      <c r="A4" s="10" t="s">
        <v>8</v>
      </c>
      <c r="B4" s="10"/>
      <c r="C4" s="10"/>
      <c r="D4" s="10"/>
      <c r="E4" s="10"/>
      <c r="F4" s="10"/>
    </row>
    <row r="5" customFormat="false" ht="30" hidden="false" customHeight="true" outlineLevel="0" collapsed="false">
      <c r="A5" s="10" t="s">
        <v>9</v>
      </c>
      <c r="B5" s="10"/>
      <c r="C5" s="10"/>
      <c r="D5" s="10"/>
      <c r="E5" s="10"/>
      <c r="F5" s="10"/>
    </row>
    <row r="6" customFormat="false" ht="30" hidden="false" customHeight="true" outlineLevel="0" collapsed="false">
      <c r="A6" s="10" t="s">
        <v>10</v>
      </c>
      <c r="B6" s="10"/>
      <c r="C6" s="10"/>
      <c r="D6" s="10"/>
      <c r="E6" s="10"/>
      <c r="F6" s="10"/>
    </row>
    <row r="7" customFormat="false" ht="30" hidden="false" customHeight="true" outlineLevel="0" collapsed="false">
      <c r="A7" s="10" t="s">
        <v>11</v>
      </c>
      <c r="B7" s="10"/>
      <c r="C7" s="10"/>
      <c r="D7" s="10"/>
      <c r="E7" s="10"/>
      <c r="F7" s="10"/>
    </row>
    <row r="8" customFormat="false" ht="30" hidden="false" customHeight="true" outlineLevel="0" collapsed="false">
      <c r="A8" s="10" t="s">
        <v>12</v>
      </c>
      <c r="B8" s="10"/>
      <c r="C8" s="10"/>
      <c r="D8" s="10"/>
      <c r="E8" s="10"/>
      <c r="F8" s="10"/>
    </row>
    <row r="9" customFormat="false" ht="30" hidden="false" customHeight="true" outlineLevel="0" collapsed="false">
      <c r="A9" s="10" t="s">
        <v>13</v>
      </c>
      <c r="B9" s="10"/>
      <c r="C9" s="10"/>
      <c r="D9" s="10"/>
      <c r="E9" s="10"/>
      <c r="F9" s="10"/>
    </row>
    <row r="10" customFormat="false" ht="30" hidden="false" customHeight="true" outlineLevel="0" collapsed="false">
      <c r="A10" s="10" t="s">
        <v>14</v>
      </c>
      <c r="B10" s="10"/>
      <c r="C10" s="10"/>
      <c r="D10" s="10"/>
      <c r="E10" s="10"/>
      <c r="F10" s="10"/>
    </row>
    <row r="11" customFormat="false" ht="30" hidden="false" customHeight="true" outlineLevel="0" collapsed="false">
      <c r="A11" s="10" t="s">
        <v>15</v>
      </c>
      <c r="B11" s="10"/>
      <c r="C11" s="10"/>
      <c r="D11" s="10"/>
      <c r="E11" s="10"/>
      <c r="F11" s="10"/>
    </row>
    <row r="13" customFormat="false" ht="15" hidden="false" customHeight="false" outlineLevel="0" collapsed="false">
      <c r="A13" s="9" t="s">
        <v>16</v>
      </c>
      <c r="B13" s="9"/>
      <c r="C13" s="9"/>
      <c r="D13" s="9"/>
      <c r="E13" s="9"/>
      <c r="F13" s="9"/>
    </row>
    <row r="14" customFormat="false" ht="15" hidden="false" customHeight="false" outlineLevel="0" collapsed="false">
      <c r="A14" s="11"/>
      <c r="B14" s="12" t="s">
        <v>17</v>
      </c>
      <c r="C14" s="12"/>
      <c r="D14" s="13" t="s">
        <v>18</v>
      </c>
      <c r="E14" s="13"/>
      <c r="F14" s="13"/>
    </row>
    <row r="15" customFormat="false" ht="15" hidden="false" customHeight="false" outlineLevel="0" collapsed="false">
      <c r="A15" s="14"/>
      <c r="B15" s="12" t="s">
        <v>19</v>
      </c>
      <c r="C15" s="12"/>
      <c r="D15" s="13" t="s">
        <v>20</v>
      </c>
      <c r="E15" s="13"/>
      <c r="F15" s="13"/>
    </row>
    <row r="16" customFormat="false" ht="15" hidden="false" customHeight="false" outlineLevel="0" collapsed="false">
      <c r="A16" s="15"/>
      <c r="B16" s="12" t="s">
        <v>21</v>
      </c>
      <c r="C16" s="12"/>
      <c r="D16" s="13" t="s">
        <v>22</v>
      </c>
      <c r="E16" s="13"/>
      <c r="F16" s="13"/>
    </row>
    <row r="17" customFormat="false" ht="15" hidden="false" customHeight="false" outlineLevel="0" collapsed="false">
      <c r="A17" s="16"/>
      <c r="B17" s="12" t="s">
        <v>23</v>
      </c>
      <c r="C17" s="12"/>
      <c r="D17" s="13" t="s">
        <v>24</v>
      </c>
      <c r="E17" s="13"/>
      <c r="F17" s="13"/>
    </row>
    <row r="18" customFormat="false" ht="15" hidden="false" customHeight="false" outlineLevel="0" collapsed="false">
      <c r="A18" s="17"/>
      <c r="B18" s="12" t="s">
        <v>25</v>
      </c>
      <c r="C18" s="12"/>
      <c r="D18" s="13" t="s">
        <v>26</v>
      </c>
      <c r="E18" s="13"/>
      <c r="F18" s="13"/>
    </row>
    <row r="20" customFormat="false" ht="15" hidden="false" customHeight="false" outlineLevel="0" collapsed="false">
      <c r="A20" s="9" t="s">
        <v>27</v>
      </c>
      <c r="B20" s="9"/>
      <c r="C20" s="9"/>
      <c r="D20" s="9"/>
      <c r="E20" s="9"/>
      <c r="F20" s="9"/>
    </row>
    <row r="21" customFormat="false" ht="30" hidden="false" customHeight="true" outlineLevel="0" collapsed="false">
      <c r="A21" s="10" t="s">
        <v>28</v>
      </c>
      <c r="B21" s="10"/>
      <c r="C21" s="10"/>
      <c r="D21" s="10"/>
      <c r="E21" s="10"/>
      <c r="F21" s="10"/>
    </row>
    <row r="22" customFormat="false" ht="30" hidden="false" customHeight="true" outlineLevel="0" collapsed="false">
      <c r="A22" s="10" t="s">
        <v>29</v>
      </c>
      <c r="B22" s="10"/>
      <c r="C22" s="10"/>
      <c r="D22" s="10"/>
      <c r="E22" s="10"/>
      <c r="F22" s="10"/>
    </row>
    <row r="23" customFormat="false" ht="30" hidden="false" customHeight="true" outlineLevel="0" collapsed="false">
      <c r="A23" s="10" t="s">
        <v>30</v>
      </c>
      <c r="B23" s="10"/>
      <c r="C23" s="10"/>
      <c r="D23" s="10"/>
      <c r="E23" s="10"/>
      <c r="F23" s="10"/>
    </row>
  </sheetData>
  <mergeCells count="25">
    <mergeCell ref="A1:F1"/>
    <mergeCell ref="A3:F3"/>
    <mergeCell ref="A4:F4"/>
    <mergeCell ref="A5:F5"/>
    <mergeCell ref="A6:F6"/>
    <mergeCell ref="A7:F7"/>
    <mergeCell ref="A8:F8"/>
    <mergeCell ref="A9:F9"/>
    <mergeCell ref="A10:F10"/>
    <mergeCell ref="A11:F11"/>
    <mergeCell ref="A13:F13"/>
    <mergeCell ref="B14:C14"/>
    <mergeCell ref="D14:F14"/>
    <mergeCell ref="B15:C15"/>
    <mergeCell ref="D15:F15"/>
    <mergeCell ref="B16:C16"/>
    <mergeCell ref="D16:F16"/>
    <mergeCell ref="B17:C17"/>
    <mergeCell ref="D17:F17"/>
    <mergeCell ref="B18:C18"/>
    <mergeCell ref="D18:F18"/>
    <mergeCell ref="A20:F20"/>
    <mergeCell ref="A21:F21"/>
    <mergeCell ref="A22:F22"/>
    <mergeCell ref="A23:F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0" width="10"/>
    <col collapsed="false" customWidth="true" hidden="false" outlineLevel="0" max="2" min="2" style="0" width="26"/>
    <col collapsed="false" customWidth="true" hidden="false" outlineLevel="0" max="4" min="3" style="0" width="10"/>
    <col collapsed="false" customWidth="true" hidden="false" outlineLevel="0" max="5" min="5" style="0" width="11"/>
    <col collapsed="false" customWidth="true" hidden="false" outlineLevel="0" max="9" min="6" style="0" width="12"/>
    <col collapsed="false" customWidth="true" hidden="false" outlineLevel="0" max="11" min="10" style="0" width="13"/>
    <col collapsed="false" customWidth="true" hidden="false" outlineLevel="0" max="12" min="12" style="0" width="11"/>
    <col collapsed="false" customWidth="true" hidden="false" outlineLevel="0" max="13" min="13" style="0" width="28"/>
    <col collapsed="false" customWidth="true" hidden="true" outlineLevel="1" max="16" min="14" style="0" width="14"/>
  </cols>
  <sheetData>
    <row r="1" customFormat="false" ht="18.65" hidden="false" customHeight="true" outlineLevel="0" collapsed="false">
      <c r="A1" s="18" t="s">
        <v>31</v>
      </c>
      <c r="B1" s="18"/>
      <c r="C1" s="18"/>
      <c r="D1" s="18"/>
      <c r="E1" s="18"/>
      <c r="F1" s="18"/>
      <c r="G1" s="18"/>
      <c r="H1" s="18"/>
      <c r="I1" s="18"/>
      <c r="J1" s="18"/>
      <c r="K1" s="18"/>
      <c r="L1" s="18"/>
      <c r="M1" s="18"/>
      <c r="N1" s="19"/>
      <c r="O1" s="19"/>
      <c r="P1" s="19"/>
    </row>
    <row r="2" customFormat="false" ht="6" hidden="false" customHeight="true" outlineLevel="0" collapsed="false"/>
    <row r="3" customFormat="false" ht="23.85" hidden="false" customHeight="false" outlineLevel="0" collapsed="false">
      <c r="A3" s="20" t="s">
        <v>32</v>
      </c>
      <c r="C3" s="20" t="s">
        <v>33</v>
      </c>
      <c r="E3" s="20" t="s">
        <v>34</v>
      </c>
      <c r="G3" s="20" t="s">
        <v>35</v>
      </c>
      <c r="I3" s="20" t="s">
        <v>36</v>
      </c>
      <c r="K3" s="20" t="s">
        <v>37</v>
      </c>
    </row>
    <row r="4" customFormat="false" ht="20.85" hidden="false" customHeight="false" outlineLevel="0" collapsed="false">
      <c r="A4" s="21" t="n">
        <f aca="false">SUM(E10:E40)</f>
        <v>4410</v>
      </c>
      <c r="C4" s="22" t="n">
        <f aca="false">COUNTA(A10:A40)</f>
        <v>5</v>
      </c>
      <c r="E4" s="23" t="n">
        <f aca="false">COUNTIF(L10:L40,"&gt;=1")</f>
        <v>0</v>
      </c>
      <c r="G4" s="22" t="n">
        <f aca="false">COUNTIFS(L10:L40,"&gt;0",L10:L40,"&lt;1")</f>
        <v>4</v>
      </c>
      <c r="I4" s="22" t="n">
        <f aca="false">COUNTIF(L10:L40,0)</f>
        <v>27</v>
      </c>
      <c r="K4" s="24" t="n">
        <f aca="false">IFERROR(AVERAGE(L10:L40),0)</f>
        <v>0.0655913978494624</v>
      </c>
    </row>
    <row r="5" customFormat="false" ht="15" hidden="false" customHeight="false" outlineLevel="0" collapsed="false">
      <c r="A5" s="25" t="str">
        <f aca="false">CONCATENATE("Layer Progress: Subgrade ",TEXT(IFERROR(COUNTIF(F10:F40,"Complete")/COUNTA(F10:F40),0),"0%")," | Sub-base ",TEXT(IFERROR(COUNTIF(H10:H40,"Complete")/COUNTA(H10:H40),0),"0%")," | Base ",TEXT(IFERROR(COUNTIF(I10:I40,"Complete")/COUNTA(I10:I40),0),"0%")," | Surface ",TEXT(IFERROR(COUNTIF(K10:K40,"Complete")/COUNTA(K10:K40),0),"0%"))</f>
        <v>Layer Progress: Subgrade 80% | Sub-base 60% | Base 20% | Surface 0%</v>
      </c>
      <c r="B5" s="25"/>
      <c r="C5" s="25"/>
      <c r="D5" s="25"/>
      <c r="E5" s="25"/>
      <c r="F5" s="25"/>
      <c r="G5" s="25"/>
      <c r="H5" s="25"/>
      <c r="I5" s="25"/>
      <c r="J5" s="25"/>
      <c r="K5" s="25"/>
      <c r="L5" s="25"/>
      <c r="M5" s="25"/>
    </row>
    <row r="6" customFormat="false" ht="15" hidden="false" customHeight="false" outlineLevel="0" collapsed="false">
      <c r="A6" s="26"/>
      <c r="B6" s="26"/>
      <c r="C6" s="26"/>
      <c r="D6" s="26"/>
      <c r="E6" s="26"/>
      <c r="F6" s="26"/>
      <c r="G6" s="26"/>
      <c r="H6" s="26"/>
      <c r="I6" s="26"/>
      <c r="J6" s="26"/>
      <c r="K6" s="26"/>
      <c r="L6" s="26"/>
      <c r="M6" s="26"/>
      <c r="N6" s="26"/>
      <c r="O6" s="26"/>
      <c r="P6" s="26"/>
    </row>
    <row r="7" customFormat="false" ht="3.75" hidden="false" customHeight="true" outlineLevel="0" collapsed="false"/>
    <row r="8" customFormat="false" ht="21.75" hidden="false" customHeight="true" outlineLevel="0" collapsed="false">
      <c r="A8" s="27" t="s">
        <v>38</v>
      </c>
      <c r="B8" s="27"/>
      <c r="C8" s="27"/>
      <c r="D8" s="27"/>
      <c r="E8" s="27"/>
      <c r="F8" s="27" t="s">
        <v>39</v>
      </c>
      <c r="G8" s="27"/>
      <c r="H8" s="27"/>
      <c r="I8" s="27"/>
      <c r="J8" s="27"/>
      <c r="K8" s="27"/>
      <c r="L8" s="27" t="s">
        <v>40</v>
      </c>
      <c r="M8" s="27"/>
      <c r="N8" s="28" t="s">
        <v>41</v>
      </c>
      <c r="O8" s="28"/>
      <c r="P8" s="28"/>
    </row>
    <row r="9" customFormat="false" ht="37.5" hidden="false" customHeight="true" outlineLevel="0" collapsed="false">
      <c r="A9" s="29" t="s">
        <v>42</v>
      </c>
      <c r="B9" s="29" t="s">
        <v>43</v>
      </c>
      <c r="C9" s="29" t="s">
        <v>44</v>
      </c>
      <c r="D9" s="29" t="s">
        <v>45</v>
      </c>
      <c r="E9" s="29" t="s">
        <v>46</v>
      </c>
      <c r="F9" s="29" t="s">
        <v>47</v>
      </c>
      <c r="G9" s="29" t="s">
        <v>48</v>
      </c>
      <c r="H9" s="29" t="s">
        <v>49</v>
      </c>
      <c r="I9" s="29" t="s">
        <v>50</v>
      </c>
      <c r="J9" s="29" t="s">
        <v>51</v>
      </c>
      <c r="K9" s="29" t="s">
        <v>52</v>
      </c>
      <c r="L9" s="29" t="s">
        <v>53</v>
      </c>
      <c r="M9" s="29" t="s">
        <v>54</v>
      </c>
      <c r="N9" s="29" t="s">
        <v>55</v>
      </c>
      <c r="O9" s="29" t="s">
        <v>56</v>
      </c>
      <c r="P9" s="29" t="s">
        <v>57</v>
      </c>
    </row>
    <row r="10" customFormat="false" ht="15" hidden="false" customHeight="false" outlineLevel="0" collapsed="false">
      <c r="A10" s="30" t="s">
        <v>58</v>
      </c>
      <c r="B10" s="31" t="s">
        <v>59</v>
      </c>
      <c r="C10" s="30" t="s">
        <v>60</v>
      </c>
      <c r="D10" s="30" t="s">
        <v>61</v>
      </c>
      <c r="E10" s="32" t="n">
        <v>840</v>
      </c>
      <c r="F10" s="30" t="s">
        <v>62</v>
      </c>
      <c r="G10" s="30" t="s">
        <v>62</v>
      </c>
      <c r="H10" s="30" t="s">
        <v>62</v>
      </c>
      <c r="I10" s="30" t="s">
        <v>35</v>
      </c>
      <c r="J10" s="30" t="s">
        <v>36</v>
      </c>
      <c r="K10" s="30" t="s">
        <v>36</v>
      </c>
      <c r="L10" s="33" t="n">
        <f aca="false">IFERROR(COUNTIF(F10:K10,"Complete")/(6-COUNTIF(F10:K10,"N/A")),"")</f>
        <v>0.5</v>
      </c>
      <c r="M10" s="31" t="s">
        <v>63</v>
      </c>
      <c r="N10" s="30" t="s">
        <v>64</v>
      </c>
      <c r="O10" s="30" t="s">
        <v>65</v>
      </c>
      <c r="P10" s="30" t="s">
        <v>66</v>
      </c>
    </row>
    <row r="11" customFormat="false" ht="15" hidden="false" customHeight="false" outlineLevel="0" collapsed="false">
      <c r="A11" s="30" t="s">
        <v>67</v>
      </c>
      <c r="B11" s="31" t="s">
        <v>68</v>
      </c>
      <c r="C11" s="30" t="s">
        <v>61</v>
      </c>
      <c r="D11" s="30" t="s">
        <v>69</v>
      </c>
      <c r="E11" s="32" t="n">
        <v>910</v>
      </c>
      <c r="F11" s="30" t="s">
        <v>62</v>
      </c>
      <c r="G11" s="30" t="s">
        <v>62</v>
      </c>
      <c r="H11" s="30" t="s">
        <v>35</v>
      </c>
      <c r="I11" s="30" t="s">
        <v>36</v>
      </c>
      <c r="J11" s="30" t="s">
        <v>36</v>
      </c>
      <c r="K11" s="30" t="s">
        <v>36</v>
      </c>
      <c r="L11" s="33" t="n">
        <f aca="false">IFERROR(COUNTIF(F11:K11,"Complete")/(6-COUNTIF(F11:K11,"N/A")),"")</f>
        <v>0.333333333333333</v>
      </c>
      <c r="M11" s="31" t="s">
        <v>70</v>
      </c>
      <c r="N11" s="30" t="s">
        <v>64</v>
      </c>
      <c r="O11" s="30" t="s">
        <v>71</v>
      </c>
      <c r="P11" s="30" t="s">
        <v>66</v>
      </c>
    </row>
    <row r="12" customFormat="false" ht="15" hidden="false" customHeight="false" outlineLevel="0" collapsed="false">
      <c r="A12" s="30" t="s">
        <v>72</v>
      </c>
      <c r="B12" s="31" t="s">
        <v>73</v>
      </c>
      <c r="C12" s="30" t="s">
        <v>74</v>
      </c>
      <c r="D12" s="30" t="s">
        <v>74</v>
      </c>
      <c r="E12" s="32" t="n">
        <v>1200</v>
      </c>
      <c r="F12" s="30" t="s">
        <v>62</v>
      </c>
      <c r="G12" s="30" t="s">
        <v>74</v>
      </c>
      <c r="H12" s="30" t="s">
        <v>62</v>
      </c>
      <c r="I12" s="30" t="s">
        <v>62</v>
      </c>
      <c r="J12" s="30" t="s">
        <v>62</v>
      </c>
      <c r="K12" s="30" t="s">
        <v>35</v>
      </c>
      <c r="L12" s="33" t="n">
        <f aca="false">IFERROR(COUNTIF(F12:K12,"Complete")/(6-COUNTIF(F12:K12,"N/A")),"")</f>
        <v>0.8</v>
      </c>
      <c r="M12" s="31" t="s">
        <v>75</v>
      </c>
      <c r="N12" s="30" t="s">
        <v>64</v>
      </c>
      <c r="O12" s="30" t="s">
        <v>76</v>
      </c>
      <c r="P12" s="30" t="s">
        <v>77</v>
      </c>
    </row>
    <row r="13" customFormat="false" ht="23.85" hidden="false" customHeight="false" outlineLevel="0" collapsed="false">
      <c r="A13" s="30" t="s">
        <v>78</v>
      </c>
      <c r="B13" s="31" t="s">
        <v>79</v>
      </c>
      <c r="C13" s="30" t="s">
        <v>74</v>
      </c>
      <c r="D13" s="30" t="s">
        <v>74</v>
      </c>
      <c r="E13" s="32" t="n">
        <v>950</v>
      </c>
      <c r="F13" s="30" t="s">
        <v>62</v>
      </c>
      <c r="G13" s="30" t="s">
        <v>74</v>
      </c>
      <c r="H13" s="30" t="s">
        <v>62</v>
      </c>
      <c r="I13" s="30" t="s">
        <v>36</v>
      </c>
      <c r="J13" s="30" t="s">
        <v>36</v>
      </c>
      <c r="K13" s="30" t="s">
        <v>36</v>
      </c>
      <c r="L13" s="33" t="n">
        <f aca="false">IFERROR(COUNTIF(F13:K13,"Complete")/(6-COUNTIF(F13:K13,"N/A")),"")</f>
        <v>0.4</v>
      </c>
      <c r="M13" s="31" t="s">
        <v>80</v>
      </c>
      <c r="N13" s="30"/>
      <c r="O13" s="30"/>
      <c r="P13" s="30"/>
    </row>
    <row r="14" customFormat="false" ht="15" hidden="false" customHeight="false" outlineLevel="0" collapsed="false">
      <c r="A14" s="30" t="s">
        <v>81</v>
      </c>
      <c r="B14" s="31" t="s">
        <v>82</v>
      </c>
      <c r="C14" s="30" t="s">
        <v>60</v>
      </c>
      <c r="D14" s="30" t="s">
        <v>83</v>
      </c>
      <c r="E14" s="32" t="n">
        <v>510</v>
      </c>
      <c r="F14" s="30" t="s">
        <v>36</v>
      </c>
      <c r="G14" s="30" t="s">
        <v>36</v>
      </c>
      <c r="H14" s="30" t="s">
        <v>36</v>
      </c>
      <c r="I14" s="30" t="s">
        <v>36</v>
      </c>
      <c r="J14" s="30" t="s">
        <v>36</v>
      </c>
      <c r="K14" s="30" t="s">
        <v>36</v>
      </c>
      <c r="L14" s="33" t="n">
        <f aca="false">IFERROR(COUNTIF(F14:K14,"Complete")/(6-COUNTIF(F14:K14,"N/A")),"")</f>
        <v>0</v>
      </c>
      <c r="M14" s="31" t="s">
        <v>84</v>
      </c>
      <c r="N14" s="30"/>
      <c r="O14" s="30"/>
      <c r="P14" s="30"/>
    </row>
    <row r="15" customFormat="false" ht="15" hidden="false" customHeight="false" outlineLevel="0" collapsed="false">
      <c r="A15" s="30"/>
      <c r="B15" s="31"/>
      <c r="C15" s="30"/>
      <c r="D15" s="30"/>
      <c r="E15" s="30"/>
      <c r="F15" s="30"/>
      <c r="G15" s="30"/>
      <c r="H15" s="30"/>
      <c r="I15" s="30"/>
      <c r="J15" s="30"/>
      <c r="K15" s="30"/>
      <c r="L15" s="33" t="n">
        <f aca="false">IFERROR(COUNTIF(F15:K15,"Complete")/(6-COUNTIF(F15:K15,"N/A")),"")</f>
        <v>0</v>
      </c>
      <c r="M15" s="31"/>
      <c r="N15" s="30"/>
      <c r="O15" s="30"/>
      <c r="P15" s="30"/>
    </row>
    <row r="16" customFormat="false" ht="15" hidden="false" customHeight="false" outlineLevel="0" collapsed="false">
      <c r="A16" s="30"/>
      <c r="B16" s="31"/>
      <c r="C16" s="30"/>
      <c r="D16" s="30"/>
      <c r="E16" s="30"/>
      <c r="F16" s="30"/>
      <c r="G16" s="30"/>
      <c r="H16" s="30"/>
      <c r="I16" s="30"/>
      <c r="J16" s="30"/>
      <c r="K16" s="30"/>
      <c r="L16" s="33" t="n">
        <f aca="false">IFERROR(COUNTIF(F16:K16,"Complete")/(6-COUNTIF(F16:K16,"N/A")),"")</f>
        <v>0</v>
      </c>
      <c r="M16" s="31"/>
      <c r="N16" s="30"/>
      <c r="O16" s="30"/>
      <c r="P16" s="30"/>
    </row>
    <row r="17" customFormat="false" ht="15" hidden="false" customHeight="false" outlineLevel="0" collapsed="false">
      <c r="A17" s="30"/>
      <c r="B17" s="31"/>
      <c r="C17" s="30"/>
      <c r="D17" s="30"/>
      <c r="E17" s="30"/>
      <c r="F17" s="30"/>
      <c r="G17" s="30"/>
      <c r="H17" s="30"/>
      <c r="I17" s="30"/>
      <c r="J17" s="30"/>
      <c r="K17" s="30"/>
      <c r="L17" s="33" t="n">
        <f aca="false">IFERROR(COUNTIF(F17:K17,"Complete")/(6-COUNTIF(F17:K17,"N/A")),"")</f>
        <v>0</v>
      </c>
      <c r="M17" s="31"/>
      <c r="N17" s="30"/>
      <c r="O17" s="30"/>
      <c r="P17" s="30"/>
    </row>
    <row r="18" customFormat="false" ht="15" hidden="false" customHeight="false" outlineLevel="0" collapsed="false">
      <c r="A18" s="30"/>
      <c r="B18" s="31"/>
      <c r="C18" s="30"/>
      <c r="D18" s="30"/>
      <c r="E18" s="30"/>
      <c r="F18" s="30"/>
      <c r="G18" s="30"/>
      <c r="H18" s="30"/>
      <c r="I18" s="30"/>
      <c r="J18" s="30"/>
      <c r="K18" s="30"/>
      <c r="L18" s="33" t="n">
        <f aca="false">IFERROR(COUNTIF(F18:K18,"Complete")/(6-COUNTIF(F18:K18,"N/A")),"")</f>
        <v>0</v>
      </c>
      <c r="M18" s="31"/>
      <c r="N18" s="30"/>
      <c r="O18" s="30"/>
      <c r="P18" s="30"/>
    </row>
    <row r="19" customFormat="false" ht="15" hidden="false" customHeight="false" outlineLevel="0" collapsed="false">
      <c r="A19" s="30"/>
      <c r="B19" s="31"/>
      <c r="C19" s="30"/>
      <c r="D19" s="30"/>
      <c r="E19" s="30"/>
      <c r="F19" s="30"/>
      <c r="G19" s="30"/>
      <c r="H19" s="30"/>
      <c r="I19" s="30"/>
      <c r="J19" s="30"/>
      <c r="K19" s="30"/>
      <c r="L19" s="33" t="n">
        <f aca="false">IFERROR(COUNTIF(F19:K19,"Complete")/(6-COUNTIF(F19:K19,"N/A")),"")</f>
        <v>0</v>
      </c>
      <c r="M19" s="31"/>
      <c r="N19" s="30"/>
      <c r="O19" s="30"/>
      <c r="P19" s="30"/>
    </row>
    <row r="20" customFormat="false" ht="15" hidden="false" customHeight="false" outlineLevel="0" collapsed="false">
      <c r="A20" s="30"/>
      <c r="B20" s="31"/>
      <c r="C20" s="30"/>
      <c r="D20" s="30"/>
      <c r="E20" s="30"/>
      <c r="F20" s="30"/>
      <c r="G20" s="30"/>
      <c r="H20" s="30"/>
      <c r="I20" s="30"/>
      <c r="J20" s="30"/>
      <c r="K20" s="30"/>
      <c r="L20" s="33" t="n">
        <f aca="false">IFERROR(COUNTIF(F20:K20,"Complete")/(6-COUNTIF(F20:K20,"N/A")),"")</f>
        <v>0</v>
      </c>
      <c r="M20" s="31"/>
      <c r="N20" s="30"/>
      <c r="O20" s="30"/>
      <c r="P20" s="30"/>
    </row>
    <row r="21" customFormat="false" ht="15" hidden="false" customHeight="false" outlineLevel="0" collapsed="false">
      <c r="A21" s="30"/>
      <c r="B21" s="31"/>
      <c r="C21" s="30"/>
      <c r="D21" s="30"/>
      <c r="E21" s="30"/>
      <c r="F21" s="30"/>
      <c r="G21" s="30"/>
      <c r="H21" s="30"/>
      <c r="I21" s="30"/>
      <c r="J21" s="30"/>
      <c r="K21" s="30"/>
      <c r="L21" s="33" t="n">
        <f aca="false">IFERROR(COUNTIF(F21:K21,"Complete")/(6-COUNTIF(F21:K21,"N/A")),"")</f>
        <v>0</v>
      </c>
      <c r="M21" s="31"/>
      <c r="N21" s="30"/>
      <c r="O21" s="30"/>
      <c r="P21" s="30"/>
    </row>
    <row r="22" customFormat="false" ht="15" hidden="false" customHeight="false" outlineLevel="0" collapsed="false">
      <c r="A22" s="30"/>
      <c r="B22" s="31"/>
      <c r="C22" s="30"/>
      <c r="D22" s="30"/>
      <c r="E22" s="30"/>
      <c r="F22" s="30"/>
      <c r="G22" s="30"/>
      <c r="H22" s="30"/>
      <c r="I22" s="30"/>
      <c r="J22" s="30"/>
      <c r="K22" s="30"/>
      <c r="L22" s="33" t="n">
        <f aca="false">IFERROR(COUNTIF(F22:K22,"Complete")/(6-COUNTIF(F22:K22,"N/A")),"")</f>
        <v>0</v>
      </c>
      <c r="M22" s="31"/>
      <c r="N22" s="30"/>
      <c r="O22" s="30"/>
      <c r="P22" s="30"/>
    </row>
    <row r="23" customFormat="false" ht="15" hidden="false" customHeight="false" outlineLevel="0" collapsed="false">
      <c r="A23" s="30"/>
      <c r="B23" s="31"/>
      <c r="C23" s="30"/>
      <c r="D23" s="30"/>
      <c r="E23" s="30"/>
      <c r="F23" s="30"/>
      <c r="G23" s="30"/>
      <c r="H23" s="30"/>
      <c r="I23" s="30"/>
      <c r="J23" s="30"/>
      <c r="K23" s="30"/>
      <c r="L23" s="33" t="n">
        <f aca="false">IFERROR(COUNTIF(F23:K23,"Complete")/(6-COUNTIF(F23:K23,"N/A")),"")</f>
        <v>0</v>
      </c>
      <c r="M23" s="31"/>
      <c r="N23" s="30"/>
      <c r="O23" s="30"/>
      <c r="P23" s="30"/>
    </row>
    <row r="24" customFormat="false" ht="15" hidden="false" customHeight="false" outlineLevel="0" collapsed="false">
      <c r="A24" s="30"/>
      <c r="B24" s="31"/>
      <c r="C24" s="30"/>
      <c r="D24" s="30"/>
      <c r="E24" s="30"/>
      <c r="F24" s="30"/>
      <c r="G24" s="30"/>
      <c r="H24" s="30"/>
      <c r="I24" s="30"/>
      <c r="J24" s="30"/>
      <c r="K24" s="30"/>
      <c r="L24" s="33" t="n">
        <f aca="false">IFERROR(COUNTIF(F24:K24,"Complete")/(6-COUNTIF(F24:K24,"N/A")),"")</f>
        <v>0</v>
      </c>
      <c r="M24" s="31"/>
      <c r="N24" s="30"/>
      <c r="O24" s="30"/>
      <c r="P24" s="30"/>
    </row>
    <row r="25" customFormat="false" ht="15" hidden="false" customHeight="false" outlineLevel="0" collapsed="false">
      <c r="A25" s="30"/>
      <c r="B25" s="31"/>
      <c r="C25" s="30"/>
      <c r="D25" s="30"/>
      <c r="E25" s="30"/>
      <c r="F25" s="30"/>
      <c r="G25" s="30"/>
      <c r="H25" s="30"/>
      <c r="I25" s="30"/>
      <c r="J25" s="30"/>
      <c r="K25" s="30"/>
      <c r="L25" s="33" t="n">
        <f aca="false">IFERROR(COUNTIF(F25:K25,"Complete")/(6-COUNTIF(F25:K25,"N/A")),"")</f>
        <v>0</v>
      </c>
      <c r="M25" s="31"/>
      <c r="N25" s="30"/>
      <c r="O25" s="30"/>
      <c r="P25" s="30"/>
    </row>
    <row r="26" customFormat="false" ht="15" hidden="false" customHeight="false" outlineLevel="0" collapsed="false">
      <c r="A26" s="30"/>
      <c r="B26" s="31"/>
      <c r="C26" s="30"/>
      <c r="D26" s="30"/>
      <c r="E26" s="30"/>
      <c r="F26" s="30"/>
      <c r="G26" s="30"/>
      <c r="H26" s="30"/>
      <c r="I26" s="30"/>
      <c r="J26" s="30"/>
      <c r="K26" s="30"/>
      <c r="L26" s="33" t="n">
        <f aca="false">IFERROR(COUNTIF(F26:K26,"Complete")/(6-COUNTIF(F26:K26,"N/A")),"")</f>
        <v>0</v>
      </c>
      <c r="M26" s="31"/>
      <c r="N26" s="30"/>
      <c r="O26" s="30"/>
      <c r="P26" s="30"/>
    </row>
    <row r="27" customFormat="false" ht="15" hidden="false" customHeight="false" outlineLevel="0" collapsed="false">
      <c r="A27" s="30"/>
      <c r="B27" s="31"/>
      <c r="C27" s="30"/>
      <c r="D27" s="30"/>
      <c r="E27" s="30"/>
      <c r="F27" s="30"/>
      <c r="G27" s="30"/>
      <c r="H27" s="30"/>
      <c r="I27" s="30"/>
      <c r="J27" s="30"/>
      <c r="K27" s="30"/>
      <c r="L27" s="33" t="n">
        <f aca="false">IFERROR(COUNTIF(F27:K27,"Complete")/(6-COUNTIF(F27:K27,"N/A")),"")</f>
        <v>0</v>
      </c>
      <c r="M27" s="31"/>
      <c r="N27" s="30"/>
      <c r="O27" s="30"/>
      <c r="P27" s="30"/>
    </row>
    <row r="28" customFormat="false" ht="15" hidden="false" customHeight="false" outlineLevel="0" collapsed="false">
      <c r="A28" s="30"/>
      <c r="B28" s="31"/>
      <c r="C28" s="30"/>
      <c r="D28" s="30"/>
      <c r="E28" s="30"/>
      <c r="F28" s="30"/>
      <c r="G28" s="30"/>
      <c r="H28" s="30"/>
      <c r="I28" s="30"/>
      <c r="J28" s="30"/>
      <c r="K28" s="30"/>
      <c r="L28" s="33" t="n">
        <f aca="false">IFERROR(COUNTIF(F28:K28,"Complete")/(6-COUNTIF(F28:K28,"N/A")),"")</f>
        <v>0</v>
      </c>
      <c r="M28" s="31"/>
      <c r="N28" s="30"/>
      <c r="O28" s="30"/>
      <c r="P28" s="30"/>
    </row>
    <row r="29" customFormat="false" ht="15" hidden="false" customHeight="false" outlineLevel="0" collapsed="false">
      <c r="A29" s="30"/>
      <c r="B29" s="31"/>
      <c r="C29" s="30"/>
      <c r="D29" s="30"/>
      <c r="E29" s="30"/>
      <c r="F29" s="30"/>
      <c r="G29" s="30"/>
      <c r="H29" s="30"/>
      <c r="I29" s="30"/>
      <c r="J29" s="30"/>
      <c r="K29" s="30"/>
      <c r="L29" s="33" t="n">
        <f aca="false">IFERROR(COUNTIF(F29:K29,"Complete")/(6-COUNTIF(F29:K29,"N/A")),"")</f>
        <v>0</v>
      </c>
      <c r="M29" s="31"/>
      <c r="N29" s="30"/>
      <c r="O29" s="30"/>
      <c r="P29" s="30"/>
    </row>
    <row r="30" customFormat="false" ht="15" hidden="false" customHeight="false" outlineLevel="0" collapsed="false">
      <c r="A30" s="30"/>
      <c r="B30" s="31"/>
      <c r="C30" s="30"/>
      <c r="D30" s="30"/>
      <c r="E30" s="30"/>
      <c r="F30" s="30"/>
      <c r="G30" s="30"/>
      <c r="H30" s="30"/>
      <c r="I30" s="30"/>
      <c r="J30" s="30"/>
      <c r="K30" s="30"/>
      <c r="L30" s="33" t="n">
        <f aca="false">IFERROR(COUNTIF(F30:K30,"Complete")/(6-COUNTIF(F30:K30,"N/A")),"")</f>
        <v>0</v>
      </c>
      <c r="M30" s="31"/>
      <c r="N30" s="30"/>
      <c r="O30" s="30"/>
      <c r="P30" s="30"/>
    </row>
    <row r="31" customFormat="false" ht="15" hidden="false" customHeight="false" outlineLevel="0" collapsed="false">
      <c r="A31" s="30"/>
      <c r="B31" s="31"/>
      <c r="C31" s="30"/>
      <c r="D31" s="30"/>
      <c r="E31" s="30"/>
      <c r="F31" s="30"/>
      <c r="G31" s="30"/>
      <c r="H31" s="30"/>
      <c r="I31" s="30"/>
      <c r="J31" s="30"/>
      <c r="K31" s="30"/>
      <c r="L31" s="33" t="n">
        <f aca="false">IFERROR(COUNTIF(F31:K31,"Complete")/(6-COUNTIF(F31:K31,"N/A")),"")</f>
        <v>0</v>
      </c>
      <c r="M31" s="31"/>
      <c r="N31" s="30"/>
      <c r="O31" s="30"/>
      <c r="P31" s="30"/>
    </row>
    <row r="32" customFormat="false" ht="15" hidden="false" customHeight="false" outlineLevel="0" collapsed="false">
      <c r="A32" s="30"/>
      <c r="B32" s="31"/>
      <c r="C32" s="30"/>
      <c r="D32" s="30"/>
      <c r="E32" s="30"/>
      <c r="F32" s="30"/>
      <c r="G32" s="30"/>
      <c r="H32" s="30"/>
      <c r="I32" s="30"/>
      <c r="J32" s="30"/>
      <c r="K32" s="30"/>
      <c r="L32" s="33" t="n">
        <f aca="false">IFERROR(COUNTIF(F32:K32,"Complete")/(6-COUNTIF(F32:K32,"N/A")),"")</f>
        <v>0</v>
      </c>
      <c r="M32" s="31"/>
      <c r="N32" s="30"/>
      <c r="O32" s="30"/>
      <c r="P32" s="30"/>
    </row>
    <row r="33" customFormat="false" ht="15" hidden="false" customHeight="false" outlineLevel="0" collapsed="false">
      <c r="A33" s="30"/>
      <c r="B33" s="31"/>
      <c r="C33" s="30"/>
      <c r="D33" s="30"/>
      <c r="E33" s="30"/>
      <c r="F33" s="30"/>
      <c r="G33" s="30"/>
      <c r="H33" s="30"/>
      <c r="I33" s="30"/>
      <c r="J33" s="30"/>
      <c r="K33" s="30"/>
      <c r="L33" s="33" t="n">
        <f aca="false">IFERROR(COUNTIF(F33:K33,"Complete")/(6-COUNTIF(F33:K33,"N/A")),"")</f>
        <v>0</v>
      </c>
      <c r="M33" s="31"/>
      <c r="N33" s="30"/>
      <c r="O33" s="30"/>
      <c r="P33" s="30"/>
    </row>
    <row r="34" customFormat="false" ht="15" hidden="false" customHeight="false" outlineLevel="0" collapsed="false">
      <c r="A34" s="30"/>
      <c r="B34" s="31"/>
      <c r="C34" s="30"/>
      <c r="D34" s="30"/>
      <c r="E34" s="30"/>
      <c r="F34" s="30"/>
      <c r="G34" s="30"/>
      <c r="H34" s="30"/>
      <c r="I34" s="30"/>
      <c r="J34" s="30"/>
      <c r="K34" s="30"/>
      <c r="L34" s="33" t="n">
        <f aca="false">IFERROR(COUNTIF(F34:K34,"Complete")/(6-COUNTIF(F34:K34,"N/A")),"")</f>
        <v>0</v>
      </c>
      <c r="M34" s="31"/>
      <c r="N34" s="30"/>
      <c r="O34" s="30"/>
      <c r="P34" s="30"/>
    </row>
    <row r="35" customFormat="false" ht="15" hidden="false" customHeight="false" outlineLevel="0" collapsed="false">
      <c r="A35" s="30"/>
      <c r="B35" s="31"/>
      <c r="C35" s="30"/>
      <c r="D35" s="30"/>
      <c r="E35" s="30"/>
      <c r="F35" s="30"/>
      <c r="G35" s="30"/>
      <c r="H35" s="30"/>
      <c r="I35" s="30"/>
      <c r="J35" s="30"/>
      <c r="K35" s="30"/>
      <c r="L35" s="33" t="n">
        <f aca="false">IFERROR(COUNTIF(F35:K35,"Complete")/(6-COUNTIF(F35:K35,"N/A")),"")</f>
        <v>0</v>
      </c>
      <c r="M35" s="31"/>
      <c r="N35" s="30"/>
      <c r="O35" s="30"/>
      <c r="P35" s="30"/>
    </row>
    <row r="36" customFormat="false" ht="15" hidden="false" customHeight="false" outlineLevel="0" collapsed="false">
      <c r="A36" s="30"/>
      <c r="B36" s="31"/>
      <c r="C36" s="30"/>
      <c r="D36" s="30"/>
      <c r="E36" s="30"/>
      <c r="F36" s="30"/>
      <c r="G36" s="30"/>
      <c r="H36" s="30"/>
      <c r="I36" s="30"/>
      <c r="J36" s="30"/>
      <c r="K36" s="30"/>
      <c r="L36" s="33" t="n">
        <f aca="false">IFERROR(COUNTIF(F36:K36,"Complete")/(6-COUNTIF(F36:K36,"N/A")),"")</f>
        <v>0</v>
      </c>
      <c r="M36" s="31"/>
      <c r="N36" s="30"/>
      <c r="O36" s="30"/>
      <c r="P36" s="30"/>
    </row>
    <row r="37" customFormat="false" ht="15" hidden="false" customHeight="false" outlineLevel="0" collapsed="false">
      <c r="A37" s="30"/>
      <c r="B37" s="31"/>
      <c r="C37" s="30"/>
      <c r="D37" s="30"/>
      <c r="E37" s="30"/>
      <c r="F37" s="30"/>
      <c r="G37" s="30"/>
      <c r="H37" s="30"/>
      <c r="I37" s="30"/>
      <c r="J37" s="30"/>
      <c r="K37" s="30"/>
      <c r="L37" s="33" t="n">
        <f aca="false">IFERROR(COUNTIF(F37:K37,"Complete")/(6-COUNTIF(F37:K37,"N/A")),"")</f>
        <v>0</v>
      </c>
      <c r="M37" s="31"/>
      <c r="N37" s="30"/>
      <c r="O37" s="30"/>
      <c r="P37" s="30"/>
    </row>
    <row r="38" customFormat="false" ht="15" hidden="false" customHeight="false" outlineLevel="0" collapsed="false">
      <c r="A38" s="30"/>
      <c r="B38" s="31"/>
      <c r="C38" s="30"/>
      <c r="D38" s="30"/>
      <c r="E38" s="30"/>
      <c r="F38" s="30"/>
      <c r="G38" s="30"/>
      <c r="H38" s="30"/>
      <c r="I38" s="30"/>
      <c r="J38" s="30"/>
      <c r="K38" s="30"/>
      <c r="L38" s="33" t="n">
        <f aca="false">IFERROR(COUNTIF(F38:K38,"Complete")/(6-COUNTIF(F38:K38,"N/A")),"")</f>
        <v>0</v>
      </c>
      <c r="M38" s="31"/>
      <c r="N38" s="30"/>
      <c r="O38" s="30"/>
      <c r="P38" s="30"/>
    </row>
    <row r="39" customFormat="false" ht="15" hidden="false" customHeight="false" outlineLevel="0" collapsed="false">
      <c r="A39" s="30"/>
      <c r="B39" s="31"/>
      <c r="C39" s="30"/>
      <c r="D39" s="30"/>
      <c r="E39" s="30"/>
      <c r="F39" s="30"/>
      <c r="G39" s="30"/>
      <c r="H39" s="30"/>
      <c r="I39" s="30"/>
      <c r="J39" s="30"/>
      <c r="K39" s="30"/>
      <c r="L39" s="33" t="n">
        <f aca="false">IFERROR(COUNTIF(F39:K39,"Complete")/(6-COUNTIF(F39:K39,"N/A")),"")</f>
        <v>0</v>
      </c>
      <c r="M39" s="31"/>
      <c r="N39" s="30"/>
      <c r="O39" s="30"/>
      <c r="P39" s="30"/>
    </row>
    <row r="40" customFormat="false" ht="15" hidden="false" customHeight="false" outlineLevel="0" collapsed="false">
      <c r="A40" s="30"/>
      <c r="B40" s="31"/>
      <c r="C40" s="30"/>
      <c r="D40" s="30"/>
      <c r="E40" s="30"/>
      <c r="F40" s="30"/>
      <c r="G40" s="30"/>
      <c r="H40" s="30"/>
      <c r="I40" s="30"/>
      <c r="J40" s="30"/>
      <c r="K40" s="30"/>
      <c r="L40" s="33" t="n">
        <f aca="false">IFERROR(COUNTIF(F40:K40,"Complete")/(6-COUNTIF(F40:K40,"N/A")),"")</f>
        <v>0</v>
      </c>
      <c r="M40" s="31"/>
      <c r="N40" s="30"/>
      <c r="O40" s="30"/>
      <c r="P40" s="30"/>
    </row>
  </sheetData>
  <autoFilter ref="A9:P40"/>
  <mergeCells count="6">
    <mergeCell ref="A1:M1"/>
    <mergeCell ref="A5:M5"/>
    <mergeCell ref="A8:E8"/>
    <mergeCell ref="F8:K8"/>
    <mergeCell ref="L8:M8"/>
    <mergeCell ref="N8:P8"/>
  </mergeCells>
  <conditionalFormatting sqref="F10:F40">
    <cfRule type="cellIs" priority="2" operator="equal" aboveAverage="0" equalAverage="0" bottom="0" percent="0" rank="0" text="" dxfId="9">
      <formula>"Complete"</formula>
    </cfRule>
    <cfRule type="cellIs" priority="3" operator="equal" aboveAverage="0" equalAverage="0" bottom="0" percent="0" rank="0" text="" dxfId="10">
      <formula>"In Progress"</formula>
    </cfRule>
    <cfRule type="cellIs" priority="4" operator="equal" aboveAverage="0" equalAverage="0" bottom="0" percent="0" rank="0" text="" dxfId="11">
      <formula>"Not Started"</formula>
    </cfRule>
  </conditionalFormatting>
  <conditionalFormatting sqref="G10:G40">
    <cfRule type="cellIs" priority="5" operator="equal" aboveAverage="0" equalAverage="0" bottom="0" percent="0" rank="0" text="" dxfId="9">
      <formula>"Complete"</formula>
    </cfRule>
    <cfRule type="cellIs" priority="6" operator="equal" aboveAverage="0" equalAverage="0" bottom="0" percent="0" rank="0" text="" dxfId="10">
      <formula>"In Progress"</formula>
    </cfRule>
    <cfRule type="cellIs" priority="7" operator="equal" aboveAverage="0" equalAverage="0" bottom="0" percent="0" rank="0" text="" dxfId="11">
      <formula>"Not Started"</formula>
    </cfRule>
  </conditionalFormatting>
  <conditionalFormatting sqref="H10:H40">
    <cfRule type="cellIs" priority="8" operator="equal" aboveAverage="0" equalAverage="0" bottom="0" percent="0" rank="0" text="" dxfId="9">
      <formula>"Complete"</formula>
    </cfRule>
    <cfRule type="cellIs" priority="9" operator="equal" aboveAverage="0" equalAverage="0" bottom="0" percent="0" rank="0" text="" dxfId="10">
      <formula>"In Progress"</formula>
    </cfRule>
    <cfRule type="cellIs" priority="10" operator="equal" aboveAverage="0" equalAverage="0" bottom="0" percent="0" rank="0" text="" dxfId="11">
      <formula>"Not Started"</formula>
    </cfRule>
  </conditionalFormatting>
  <conditionalFormatting sqref="I10:I40">
    <cfRule type="cellIs" priority="11" operator="equal" aboveAverage="0" equalAverage="0" bottom="0" percent="0" rank="0" text="" dxfId="9">
      <formula>"Complete"</formula>
    </cfRule>
    <cfRule type="cellIs" priority="12" operator="equal" aboveAverage="0" equalAverage="0" bottom="0" percent="0" rank="0" text="" dxfId="10">
      <formula>"In Progress"</formula>
    </cfRule>
    <cfRule type="cellIs" priority="13" operator="equal" aboveAverage="0" equalAverage="0" bottom="0" percent="0" rank="0" text="" dxfId="11">
      <formula>"Not Started"</formula>
    </cfRule>
  </conditionalFormatting>
  <conditionalFormatting sqref="J10:J40">
    <cfRule type="cellIs" priority="14" operator="equal" aboveAverage="0" equalAverage="0" bottom="0" percent="0" rank="0" text="" dxfId="9">
      <formula>"Complete"</formula>
    </cfRule>
    <cfRule type="cellIs" priority="15" operator="equal" aboveAverage="0" equalAverage="0" bottom="0" percent="0" rank="0" text="" dxfId="10">
      <formula>"In Progress"</formula>
    </cfRule>
    <cfRule type="cellIs" priority="16" operator="equal" aboveAverage="0" equalAverage="0" bottom="0" percent="0" rank="0" text="" dxfId="11">
      <formula>"Not Started"</formula>
    </cfRule>
  </conditionalFormatting>
  <conditionalFormatting sqref="K10:K40">
    <cfRule type="cellIs" priority="17" operator="equal" aboveAverage="0" equalAverage="0" bottom="0" percent="0" rank="0" text="" dxfId="9">
      <formula>"Complete"</formula>
    </cfRule>
    <cfRule type="cellIs" priority="18" operator="equal" aboveAverage="0" equalAverage="0" bottom="0" percent="0" rank="0" text="" dxfId="10">
      <formula>"In Progress"</formula>
    </cfRule>
    <cfRule type="cellIs" priority="19" operator="equal" aboveAverage="0" equalAverage="0" bottom="0" percent="0" rank="0" text="" dxfId="11">
      <formula>"Not Started"</formula>
    </cfRule>
  </conditionalFormatting>
  <conditionalFormatting sqref="L10:L40">
    <cfRule type="expression" priority="20" aboveAverage="0" equalAverage="0" bottom="0" percent="0" rank="0" text="" dxfId="12">
      <formula>AND(L10&lt;&gt;"",L10&gt;=1)</formula>
    </cfRule>
    <cfRule type="expression" priority="21" aboveAverage="0" equalAverage="0" bottom="0" percent="0" rank="0" text="" dxfId="13">
      <formula>AND(L10&lt;&gt;"",L10&gt;0,L10&lt;1)</formula>
    </cfRule>
    <cfRule type="expression" priority="22" aboveAverage="0" equalAverage="0" bottom="0" percent="0" rank="0" text="" dxfId="14">
      <formula>AND(L10&lt;&gt;"",L10=0)</formula>
    </cfRule>
  </conditionalFormatting>
  <dataValidations count="1">
    <dataValidation allowBlank="true" errorStyle="stop" operator="between" showDropDown="false" showErrorMessage="false" showInputMessage="false" sqref="F10:K40" type="list">
      <formula1>"Complete,In Progress,Not Started,N/A"</formula1>
      <formula2>0</formula2>
    </dataValidation>
  </dataValidation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&amp;CRoad / Pavement Layer Tracker</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0"/>
  </cols>
  <sheetData>
    <row r="1" customFormat="false" ht="15" hidden="false" customHeight="false" outlineLevel="0" collapsed="false">
      <c r="A1" s="34" t="s">
        <v>85</v>
      </c>
    </row>
    <row r="2" customFormat="false" ht="15" hidden="false" customHeight="false" outlineLevel="0" collapsed="false">
      <c r="A2" s="34"/>
    </row>
    <row r="3" customFormat="false" ht="15" hidden="false" customHeight="false" outlineLevel="0" collapsed="false">
      <c r="A3" s="34" t="s">
        <v>86</v>
      </c>
    </row>
    <row r="4" customFormat="false" ht="15" hidden="false" customHeight="false" outlineLevel="0" collapsed="false">
      <c r="A4" s="34"/>
    </row>
    <row r="5" customFormat="false" ht="15" hidden="false" customHeight="false" outlineLevel="0" collapsed="false">
      <c r="A5" s="34" t="s">
        <v>87</v>
      </c>
    </row>
    <row r="6" customFormat="false" ht="15" hidden="false" customHeight="false" outlineLevel="0" collapsed="false">
      <c r="A6" s="34"/>
    </row>
    <row r="7" customFormat="false" ht="15" hidden="false" customHeight="false" outlineLevel="0" collapsed="false">
      <c r="A7" s="34" t="s">
        <v>88</v>
      </c>
    </row>
    <row r="8" customFormat="false" ht="15" hidden="false" customHeight="false" outlineLevel="0" collapsed="false">
      <c r="A8" s="34"/>
    </row>
    <row r="9" customFormat="false" ht="15" hidden="false" customHeight="false" outlineLevel="0" collapsed="false">
      <c r="A9" s="34" t="s">
        <v>89</v>
      </c>
    </row>
    <row r="10" customFormat="false" ht="15" hidden="false" customHeight="false" outlineLevel="0" collapsed="false">
      <c r="A10" s="34"/>
    </row>
    <row r="11" customFormat="false" ht="15" hidden="false" customHeight="false" outlineLevel="0" collapsed="false">
      <c r="A11" s="34" t="s">
        <v>90</v>
      </c>
    </row>
    <row r="12" customFormat="false" ht="15" hidden="false" customHeight="false" outlineLevel="0" collapsed="false">
      <c r="A12" s="34"/>
    </row>
    <row r="13" customFormat="false" ht="15" hidden="false" customHeight="false" outlineLevel="0" collapsed="false">
      <c r="A13" s="34" t="s">
        <v>91</v>
      </c>
    </row>
    <row r="14" customFormat="false" ht="15" hidden="false" customHeight="false" outlineLevel="0" collapsed="false">
      <c r="A14" s="34"/>
    </row>
    <row r="15" customFormat="false" ht="15" hidden="false" customHeight="false" outlineLevel="0" collapsed="false">
      <c r="A15" s="34" t="s">
        <v>92</v>
      </c>
    </row>
    <row r="16" customFormat="false" ht="15" hidden="false" customHeight="false" outlineLevel="0" collapsed="false">
      <c r="A16" s="34"/>
    </row>
    <row r="17" customFormat="false" ht="15" hidden="false" customHeight="false" outlineLevel="0" collapsed="false">
      <c r="A17" s="34" t="s">
        <v>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Civils &amp; Groundworks</cp:category>
  <dcterms:created xsi:type="dcterms:W3CDTF">2026-03-23T13:41:40Z</dcterms:created>
  <dc:creator>Ebrora Ltd</dc:creator>
  <dc:description>Track pavement construction progress layer by layer across road sections with automatic completion calculations and area totals.
Free professional construction management template from Ebrora Ltd. Visit ebrora.com for our full range of tools and templates.</dc:description>
  <cp:keywords>Ebrora construction civils road pavement layers surfacing sub-base groundworks</cp:keywords>
  <dc:language>en-US</dc:language>
  <cp:lastModifiedBy>Ebrora Ltd</cp:lastModifiedBy>
  <dcterms:modified xsi:type="dcterms:W3CDTF">2026-03-23T13:41:40Z</dcterms:modified>
  <cp:revision>0</cp:revision>
  <dc:subject>Track pavement construction progress layer by layer across road sections with automatic completion calculations.</dc:subject>
  <dc:title>Road / Pavement Layer Tracker</dc:title>
</cp:coreProperties>
</file>

<file path=docProps/custom.xml><?xml version="1.0" encoding="utf-8"?>
<Properties xmlns="http://schemas.openxmlformats.org/officeDocument/2006/custom-properties" xmlns:vt="http://schemas.openxmlformats.org/officeDocument/2006/docPropsVTypes"/>
</file>