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Quality KPIs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'Quality KPIs'!$A$1:$R$14</definedName>
    <definedName function="false" hidden="false" name="KPIGrid" vbProcedure="false">'Quality KPIs'!$A$3:$R$13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<sst xmlns="http://schemas.openxmlformats.org/spreadsheetml/2006/main" count="80" uniqueCount="72">
  <si>
    <t xml:space="preserve">EBRORA</t>
  </si>
  <si>
    <t xml:space="preserve">ebrora.com</t>
  </si>
  <si>
    <t xml:space="preserve">Quality KPI
Summary Sheet</t>
  </si>
  <si>
    <t xml:space="preserve">Monthly quality performance dashboard tracking key metrics against targets with automatic RAG status and year-to-date analysis.</t>
  </si>
  <si>
    <t xml:space="preserve">This is a free template from Ebrora.
For our full range of professional-grade construction management tools,
visit ebrora.com</t>
  </si>
  <si>
    <t xml:space="preserve">© Ebrora 2026 — All rights reserved</t>
  </si>
  <si>
    <t xml:space="preserve">How to Use This Template</t>
  </si>
  <si>
    <t xml:space="preserve">Step-by-Step Instructions</t>
  </si>
  <si>
    <t xml:space="preserve">1. Go to the 'Quality KPIs' sheet. Each row is a quality metric, each column is a month (Jan–Dec).</t>
  </si>
  <si>
    <t xml:space="preserve">2. Enter your target value for each KPI in the 'Target' column (column B). These define the benchmark for RAG status.</t>
  </si>
  <si>
    <t xml:space="preserve">3. The 'Direction' column (C) tells the template whether higher is better (▲ e.g. pass rate) or lower is better (▼ e.g. NCR count).</t>
  </si>
  <si>
    <t xml:space="preserve">4. Enter monthly data in columns D–O (Jan–Dec). The light teal cells are your input area.</t>
  </si>
  <si>
    <t xml:space="preserve">5. The YTD Average (column P) auto-calculates the average of all months with data entered.</t>
  </si>
  <si>
    <t xml:space="preserve">6. The RAG column (Q) auto-assesses performance: GREEN if YTD meets/beats target, AMBER if within 10%, RED if &gt;10% off target.</t>
  </si>
  <si>
    <t xml:space="preserve">7. The Trend column (R) shows whether the last 3 months are improving (▲), declining (▼), or stable (►).</t>
  </si>
  <si>
    <t xml:space="preserve">8. Use this for monthly quality management reviews — print or share as a one-page dashboard.</t>
  </si>
  <si>
    <t xml:space="preserve">Colour Key</t>
  </si>
  <si>
    <t xml:space="preserve">Light teal</t>
  </si>
  <si>
    <t xml:space="preserve">Editable — enter monthly data</t>
  </si>
  <si>
    <t xml:space="preserve">Dark navy</t>
  </si>
  <si>
    <t xml:space="preserve">Headers</t>
  </si>
  <si>
    <t xml:space="preserve">Green</t>
  </si>
  <si>
    <t xml:space="preserve">On or above target</t>
  </si>
  <si>
    <t xml:space="preserve">Amber</t>
  </si>
  <si>
    <t xml:space="preserve">Within 10% of target</t>
  </si>
  <si>
    <t xml:space="preserve">Red</t>
  </si>
  <si>
    <t xml:space="preserve">More than 10% off target</t>
  </si>
  <si>
    <t xml:space="preserve">Tips</t>
  </si>
  <si>
    <t xml:space="preserve">• Review this dashboard monthly with your project team — it drives accountability and highlights trends early.</t>
  </si>
  <si>
    <t xml:space="preserve">• Adjust targets quarterly if needed — if you're consistently smashing a target, raise the bar.</t>
  </si>
  <si>
    <t xml:space="preserve">• Use the trend indicator to spot deterioration before it hits the RAG status — a declining trend is an early warning.</t>
  </si>
  <si>
    <t xml:space="preserve">QUALITY KPI SUMMARY — 2026</t>
  </si>
  <si>
    <t xml:space="preserve">KPI Metric</t>
  </si>
  <si>
    <t xml:space="preserve">Target</t>
  </si>
  <si>
    <t xml:space="preserve">Dir.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</si>
  <si>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</si>
  <si>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</si>
  <si>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</si>
  <si>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</si>
  <si>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</si>
  <si>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</si>
  <si>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</si>
  <si>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</si>
  <si>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</si>
  <si>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</si>
  <si>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</si>
  <si>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</si>
  <si>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YTD
Avg</t>
  </si>
  <si>
    <t xml:space="preserve">RAG</t>
  </si>
  <si>
    <t xml:space="preserve">Trend</t>
  </si>
  <si>
    <t xml:space="preserve">First-Time Pass Rate (%)</t>
  </si>
  <si>
    <t xml:space="preserve">▲</t>
  </si>
  <si>
    <t xml:space="preserve">NCR Count (per month)</t>
  </si>
  <si>
    <t xml:space="preserve">▼</t>
  </si>
  <si>
    <t xml:space="preserve">Rework Cost (£k)</t>
  </si>
  <si>
    <t xml:space="preserve">Hold Point Avg Closure (days)</t>
  </si>
  <si>
    <t xml:space="preserve">Weld Acceptance Rate (%)</t>
  </si>
  <si>
    <t xml:space="preserve">Concrete Cube Pass Rate (%)</t>
  </si>
  <si>
    <t xml:space="preserve">Audit Score (%)</t>
  </si>
  <si>
    <t xml:space="preserve">Overdue Inspections</t>
  </si>
  <si>
    <t xml:space="preserve">DFT Compliance Rate (%)</t>
  </si>
  <si>
    <t xml:space="preserve">Document Submittal On-Time (%)</t>
  </si>
  <si>
    <t xml:space="preserve">Enter monthly values in the light teal cells. YTD Average, RAG, and Trend calculate automatically. Direction: ▲ = higher is better, ▼ = lower is better.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</si>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</sst>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color rgb="FF1B2A4A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E8F6F7"/>
        <bgColor rgb="FFF2F2F2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FFEB9C"/>
      </patternFill>
    </fill>
    <fill>
      <patternFill patternType="solid">
        <fgColor rgb="FFF2F2F2"/>
        <bgColor rgb="FFE8F6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Calibri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9C6500"/>
        <sz val="10"/>
      </font>
      <fill>
        <patternFill>
          <bgColor rgb="FFFFEB9C"/>
        </patternFill>
      </fill>
    </dxf>
    <dxf>
      <font>
        <name val="Calibri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Calibri"/>
        <charset val="1"/>
        <family val="0"/>
        <b val="1"/>
        <color rgb="FF006100"/>
        <sz val="12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9C0006"/>
        <sz val="12"/>
      </font>
      <fill>
        <patternFill>
          <bgColor rgb="FFFFC7CE"/>
        </patternFill>
      </fill>
    </dxf>
    <dxf>
      <font>
        <name val="Calibri"/>
        <charset val="1"/>
        <family val="0"/>
        <b val="1"/>
        <color rgb="FF9C6500"/>
        <sz val="12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2F2F2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7" t="s">
        <v>5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8" t="s">
        <v>6</v>
      </c>
      <c r="B1" s="8"/>
      <c r="C1" s="8"/>
      <c r="D1" s="8"/>
      <c r="E1" s="8"/>
      <c r="F1" s="8"/>
    </row>
    <row r="3" customFormat="false" ht="15" hidden="false" customHeight="false" outlineLevel="0" collapsed="false">
      <c r="A3" s="9" t="s">
        <v>7</v>
      </c>
      <c r="B3" s="9"/>
      <c r="C3" s="9"/>
      <c r="D3" s="9"/>
      <c r="E3" s="9"/>
      <c r="F3" s="9"/>
    </row>
    <row r="4" customFormat="false" ht="30" hidden="false" customHeight="true" outlineLevel="0" collapsed="false">
      <c r="A4" s="10" t="s">
        <v>8</v>
      </c>
      <c r="B4" s="10"/>
      <c r="C4" s="10"/>
      <c r="D4" s="10"/>
      <c r="E4" s="10"/>
      <c r="F4" s="10"/>
    </row>
    <row r="5" customFormat="false" ht="30" hidden="false" customHeight="true" outlineLevel="0" collapsed="false">
      <c r="A5" s="10" t="s">
        <v>9</v>
      </c>
      <c r="B5" s="10"/>
      <c r="C5" s="10"/>
      <c r="D5" s="10"/>
      <c r="E5" s="10"/>
      <c r="F5" s="10"/>
    </row>
    <row r="6" customFormat="false" ht="30" hidden="false" customHeight="true" outlineLevel="0" collapsed="false">
      <c r="A6" s="10" t="s">
        <v>10</v>
      </c>
      <c r="B6" s="10"/>
      <c r="C6" s="10"/>
      <c r="D6" s="10"/>
      <c r="E6" s="10"/>
      <c r="F6" s="10"/>
    </row>
    <row r="7" customFormat="false" ht="30" hidden="false" customHeight="true" outlineLevel="0" collapsed="false">
      <c r="A7" s="10" t="s">
        <v>11</v>
      </c>
      <c r="B7" s="10"/>
      <c r="C7" s="10"/>
      <c r="D7" s="10"/>
      <c r="E7" s="10"/>
      <c r="F7" s="10"/>
    </row>
    <row r="8" customFormat="false" ht="30" hidden="false" customHeight="true" outlineLevel="0" collapsed="false">
      <c r="A8" s="10" t="s">
        <v>12</v>
      </c>
      <c r="B8" s="10"/>
      <c r="C8" s="10"/>
      <c r="D8" s="10"/>
      <c r="E8" s="10"/>
      <c r="F8" s="10"/>
    </row>
    <row r="9" customFormat="false" ht="30" hidden="false" customHeight="true" outlineLevel="0" collapsed="false">
      <c r="A9" s="10" t="s">
        <v>13</v>
      </c>
      <c r="B9" s="10"/>
      <c r="C9" s="10"/>
      <c r="D9" s="10"/>
      <c r="E9" s="10"/>
      <c r="F9" s="10"/>
    </row>
    <row r="10" customFormat="false" ht="30" hidden="false" customHeight="true" outlineLevel="0" collapsed="false">
      <c r="A10" s="10" t="s">
        <v>14</v>
      </c>
      <c r="B10" s="10"/>
      <c r="C10" s="10"/>
      <c r="D10" s="10"/>
      <c r="E10" s="10"/>
      <c r="F10" s="10"/>
    </row>
    <row r="11" customFormat="false" ht="30" hidden="false" customHeight="true" outlineLevel="0" collapsed="false">
      <c r="A11" s="10" t="s">
        <v>15</v>
      </c>
      <c r="B11" s="10"/>
      <c r="C11" s="10"/>
      <c r="D11" s="10"/>
      <c r="E11" s="10"/>
      <c r="F11" s="10"/>
    </row>
    <row r="13" customFormat="false" ht="15" hidden="false" customHeight="false" outlineLevel="0" collapsed="false">
      <c r="A13" s="9" t="s">
        <v>16</v>
      </c>
      <c r="B13" s="9"/>
      <c r="C13" s="9"/>
      <c r="D13" s="9"/>
      <c r="E13" s="9"/>
      <c r="F13" s="9"/>
    </row>
    <row r="14" customFormat="false" ht="15" hidden="false" customHeight="false" outlineLevel="0" collapsed="false">
      <c r="A14" s="11"/>
      <c r="B14" s="12" t="s">
        <v>17</v>
      </c>
      <c r="C14" s="12"/>
      <c r="D14" s="13" t="s">
        <v>18</v>
      </c>
      <c r="E14" s="13"/>
      <c r="F14" s="13"/>
    </row>
    <row r="15" customFormat="false" ht="15" hidden="false" customHeight="false" outlineLevel="0" collapsed="false">
      <c r="A15" s="14"/>
      <c r="B15" s="12" t="s">
        <v>19</v>
      </c>
      <c r="C15" s="12"/>
      <c r="D15" s="13" t="s">
        <v>20</v>
      </c>
      <c r="E15" s="13"/>
      <c r="F15" s="13"/>
    </row>
    <row r="16" customFormat="false" ht="15" hidden="false" customHeight="false" outlineLevel="0" collapsed="false">
      <c r="A16" s="15"/>
      <c r="B16" s="12" t="s">
        <v>21</v>
      </c>
      <c r="C16" s="12"/>
      <c r="D16" s="13" t="s">
        <v>22</v>
      </c>
      <c r="E16" s="13"/>
      <c r="F16" s="13"/>
    </row>
    <row r="17" customFormat="false" ht="15" hidden="false" customHeight="false" outlineLevel="0" collapsed="false">
      <c r="A17" s="16"/>
      <c r="B17" s="12" t="s">
        <v>23</v>
      </c>
      <c r="C17" s="12"/>
      <c r="D17" s="13" t="s">
        <v>24</v>
      </c>
      <c r="E17" s="13"/>
      <c r="F17" s="13"/>
    </row>
    <row r="18" customFormat="false" ht="15" hidden="false" customHeight="false" outlineLevel="0" collapsed="false">
      <c r="A18" s="17"/>
      <c r="B18" s="12" t="s">
        <v>25</v>
      </c>
      <c r="C18" s="12"/>
      <c r="D18" s="13" t="s">
        <v>26</v>
      </c>
      <c r="E18" s="13"/>
      <c r="F18" s="13"/>
    </row>
    <row r="20" customFormat="false" ht="15" hidden="false" customHeight="false" outlineLevel="0" collapsed="false">
      <c r="A20" s="9" t="s">
        <v>27</v>
      </c>
      <c r="B20" s="9"/>
      <c r="C20" s="9"/>
      <c r="D20" s="9"/>
      <c r="E20" s="9"/>
      <c r="F20" s="9"/>
    </row>
    <row r="21" customFormat="false" ht="30" hidden="false" customHeight="true" outlineLevel="0" collapsed="false">
      <c r="A21" s="10" t="s">
        <v>28</v>
      </c>
      <c r="B21" s="10"/>
      <c r="C21" s="10"/>
      <c r="D21" s="10"/>
      <c r="E21" s="10"/>
      <c r="F21" s="10"/>
    </row>
    <row r="22" customFormat="false" ht="30" hidden="false" customHeight="true" outlineLevel="0" collapsed="false">
      <c r="A22" s="10" t="s">
        <v>29</v>
      </c>
      <c r="B22" s="10"/>
      <c r="C22" s="10"/>
      <c r="D22" s="10"/>
      <c r="E22" s="10"/>
      <c r="F22" s="10"/>
    </row>
    <row r="23" customFormat="false" ht="30" hidden="false" customHeight="true" outlineLevel="0" collapsed="false">
      <c r="A23" s="10" t="s">
        <v>30</v>
      </c>
      <c r="B23" s="10"/>
      <c r="C23" s="10"/>
      <c r="D23" s="10"/>
      <c r="E23" s="10"/>
      <c r="F23" s="10"/>
    </row>
  </sheetData>
  <mergeCells count="25">
    <mergeCell ref="A1:F1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C18"/>
    <mergeCell ref="D18:F18"/>
    <mergeCell ref="A20:F20"/>
    <mergeCell ref="A21:F21"/>
    <mergeCell ref="A22:F22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5" min="2" style="0" width="10"/>
    <col collapsed="false" customWidth="true" hidden="false" outlineLevel="0" max="16" min="16" style="0" width="11"/>
    <col collapsed="false" customWidth="true" hidden="false" outlineLevel="0" max="18" min="17" style="0" width="8"/>
  </cols>
  <sheetData>
    <row r="1" customFormat="false" ht="18.65" hidden="false" customHeight="true" outlineLevel="0" collapsed="false">
      <c r="A1" s="18" t="s">
        <v>31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customFormat="false" ht="6" hidden="false" customHeight="true" outlineLevel="0" collapsed="false"/>
    <row r="3" customFormat="false" ht="33.75" hidden="false" customHeight="true" outlineLevel="0" collapsed="false">
      <c r="A3" s="19" t="s">
        <v>32</v>
      </c>
      <c r="B3" s="19" t="s">
        <v>33</v>
      </c>
      <c r="C3" s="19" t="s">
        <v>34</v>
      </c>
      <c r="D3" s="19" t="s">
        <v>35</v>
      </c>
      <c r="E3" s="19" t="s">
        <v>36</v>
      </c>
      <c r="F3" s="19" t="s">
        <v>37</v>
      </c>
      <c r="G3" s="19" t="s">
        <v>38</v>
      </c>
      <c r="H3" s="19" t="s">
        <v>39</v>
      </c>
      <c r="I3" s="19" t="s">
        <v>40</v>
      </c>
      <c r="J3" s="19" t="s">
        <v>41</v>
      </c>
      <c r="K3" s="19" t="s">
        <v>42</v>
      </c>
      <c r="L3" s="19" t="s">
        <v>43</v>
      </c>
      <c r="M3" s="19" t="s">
        <v>44</v>
      </c>
      <c r="N3" s="19" t="s">
        <v>45</v>
      </c>
      <c r="O3" s="19" t="s">
        <v>46</v>
      </c>
      <c r="P3" s="19" t="s">
        <v>47</v>
      </c>
      <c r="Q3" s="19" t="s">
        <v>48</v>
      </c>
      <c r="R3" s="19" t="s">
        <v>49</v>
      </c>
    </row>
    <row r="4" customFormat="false" ht="15" hidden="false" customHeight="false" outlineLevel="0" collapsed="false">
      <c r="A4" s="20" t="s">
        <v>50</v>
      </c>
      <c r="B4" s="21" t="n">
        <v>95</v>
      </c>
      <c r="C4" s="22" t="s">
        <v>51</v>
      </c>
      <c r="D4" s="23" t="n">
        <v>92</v>
      </c>
      <c r="E4" s="23" t="n">
        <v>94</v>
      </c>
      <c r="F4" s="23" t="n">
        <v>96</v>
      </c>
      <c r="G4" s="23"/>
      <c r="H4" s="23"/>
      <c r="I4" s="23"/>
      <c r="J4" s="23"/>
      <c r="K4" s="23"/>
      <c r="L4" s="23"/>
      <c r="M4" s="23"/>
      <c r="N4" s="23"/>
      <c r="O4" s="23"/>
      <c r="P4" s="24" t="n">
        <f aca="false">IFERROR(AVERAGE(D4:O4),"")</f>
        <v>94</v>
      </c>
      <c r="Q4" s="25" t="str">
        <f aca="false">IF(P4="","",IF(P4&gt;=B4,"G",IF(P4&gt;=B4*0.9,"A","R")))</f>
        <v>A</v>
      </c>
      <c r="R4" s="26" t="str">
        <f aca="false">IF(COUNT(D4:O4)&lt;2,"",IF(LOOKUP(2,1/(D4:O4&lt;&gt;""),D4:O4)&gt;INDEX(D4:O4,MATCH(TRUE(),INDEX(D4:O4&lt;&gt;"",0),0)),"▲",IF(LOOKUP(2,1/(D4:O4&lt;&gt;""),D4:O4)&lt;INDEX(D4:O4,MATCH(TRUE(),INDEX(D4:O4&lt;&gt;"",0),0)),"▼","►")))</f>
        <v>▲</v>
      </c>
    </row>
    <row r="5" customFormat="false" ht="15" hidden="false" customHeight="false" outlineLevel="0" collapsed="false">
      <c r="A5" s="27" t="s">
        <v>52</v>
      </c>
      <c r="B5" s="28" t="n">
        <v>3</v>
      </c>
      <c r="C5" s="22" t="s">
        <v>53</v>
      </c>
      <c r="D5" s="29" t="n">
        <v>4</v>
      </c>
      <c r="E5" s="29" t="n">
        <v>3</v>
      </c>
      <c r="F5" s="29" t="n">
        <v>2</v>
      </c>
      <c r="G5" s="29"/>
      <c r="H5" s="29"/>
      <c r="I5" s="29"/>
      <c r="J5" s="29"/>
      <c r="K5" s="29"/>
      <c r="L5" s="29"/>
      <c r="M5" s="29"/>
      <c r="N5" s="29"/>
      <c r="O5" s="29"/>
      <c r="P5" s="30" t="n">
        <f aca="false">IFERROR(AVERAGE(D5:O5),"")</f>
        <v>3</v>
      </c>
      <c r="Q5" s="25" t="str">
        <f aca="false">IF(P5="","",IF(P5&lt;=B5,"G",IF(P5&lt;=B5*1.1,"A","R")))</f>
        <v>G</v>
      </c>
      <c r="R5" s="26" t="str">
        <f aca="false">IF(COUNT(D5:O5)&lt;2,"",IF(LOOKUP(2,1/(D5:O5&lt;&gt;""),D5:O5)&lt;INDEX(D5:O5,MATCH(TRUE(),INDEX(D5:O5&lt;&gt;"",0),0)),"▲",IF(LOOKUP(2,1/(D5:O5&lt;&gt;""),D5:O5)&gt;INDEX(D5:O5,MATCH(TRUE(),INDEX(D5:O5&lt;&gt;"",0),0)),"▼","►")))</f>
        <v>▲</v>
      </c>
    </row>
    <row r="6" customFormat="false" ht="15" hidden="false" customHeight="false" outlineLevel="0" collapsed="false">
      <c r="A6" s="20" t="s">
        <v>54</v>
      </c>
      <c r="B6" s="21" t="n">
        <v>5</v>
      </c>
      <c r="C6" s="22" t="s">
        <v>53</v>
      </c>
      <c r="D6" s="23" t="n">
        <v>6.2</v>
      </c>
      <c r="E6" s="23" t="n">
        <v>4.8</v>
      </c>
      <c r="F6" s="23" t="n">
        <v>3.5</v>
      </c>
      <c r="G6" s="23"/>
      <c r="H6" s="23"/>
      <c r="I6" s="23"/>
      <c r="J6" s="23"/>
      <c r="K6" s="23"/>
      <c r="L6" s="23"/>
      <c r="M6" s="23"/>
      <c r="N6" s="23"/>
      <c r="O6" s="23"/>
      <c r="P6" s="24" t="n">
        <f aca="false">IFERROR(AVERAGE(D6:O6),"")</f>
        <v>4.83333333333333</v>
      </c>
      <c r="Q6" s="25" t="str">
        <f aca="false">IF(P6="","",IF(P6&lt;=B6,"G",IF(P6&lt;=B6*1.1,"A","R")))</f>
        <v>G</v>
      </c>
      <c r="R6" s="26" t="str">
        <f aca="false">IF(COUNT(D6:O6)&lt;2,"",IF(LOOKUP(2,1/(D6:O6&lt;&gt;""),D6:O6)&lt;INDEX(D6:O6,MATCH(TRUE(),INDEX(D6:O6&lt;&gt;"",0),0)),"▲",IF(LOOKUP(2,1/(D6:O6&lt;&gt;""),D6:O6)&gt;INDEX(D6:O6,MATCH(TRUE(),INDEX(D6:O6&lt;&gt;"",0),0)),"▼","►")))</f>
        <v>▲</v>
      </c>
    </row>
    <row r="7" customFormat="false" ht="15" hidden="false" customHeight="false" outlineLevel="0" collapsed="false">
      <c r="A7" s="27" t="s">
        <v>55</v>
      </c>
      <c r="B7" s="21" t="n">
        <v>2</v>
      </c>
      <c r="C7" s="22" t="s">
        <v>53</v>
      </c>
      <c r="D7" s="23" t="n">
        <v>2.5</v>
      </c>
      <c r="E7" s="23" t="n">
        <v>1.8</v>
      </c>
      <c r="F7" s="23" t="n">
        <v>1.5</v>
      </c>
      <c r="G7" s="23"/>
      <c r="H7" s="23"/>
      <c r="I7" s="23"/>
      <c r="J7" s="23"/>
      <c r="K7" s="23"/>
      <c r="L7" s="23"/>
      <c r="M7" s="23"/>
      <c r="N7" s="23"/>
      <c r="O7" s="23"/>
      <c r="P7" s="24" t="n">
        <f aca="false">IFERROR(AVERAGE(D7:O7),"")</f>
        <v>1.93333333333333</v>
      </c>
      <c r="Q7" s="25" t="str">
        <f aca="false">IF(P7="","",IF(P7&lt;=B7,"G",IF(P7&lt;=B7*1.1,"A","R")))</f>
        <v>G</v>
      </c>
      <c r="R7" s="26" t="str">
        <f aca="false">IF(COUNT(D7:O7)&lt;2,"",IF(LOOKUP(2,1/(D7:O7&lt;&gt;""),D7:O7)&lt;INDEX(D7:O7,MATCH(TRUE(),INDEX(D7:O7&lt;&gt;"",0),0)),"▲",IF(LOOKUP(2,1/(D7:O7&lt;&gt;""),D7:O7)&gt;INDEX(D7:O7,MATCH(TRUE(),INDEX(D7:O7&lt;&gt;"",0),0)),"▼","►")))</f>
        <v>▲</v>
      </c>
    </row>
    <row r="8" customFormat="false" ht="15" hidden="false" customHeight="false" outlineLevel="0" collapsed="false">
      <c r="A8" s="20" t="s">
        <v>56</v>
      </c>
      <c r="B8" s="21" t="n">
        <v>98</v>
      </c>
      <c r="C8" s="22" t="s">
        <v>51</v>
      </c>
      <c r="D8" s="23" t="n">
        <v>96</v>
      </c>
      <c r="E8" s="23" t="n">
        <v>97</v>
      </c>
      <c r="F8" s="23" t="n">
        <v>99</v>
      </c>
      <c r="G8" s="23"/>
      <c r="H8" s="23"/>
      <c r="I8" s="23"/>
      <c r="J8" s="23"/>
      <c r="K8" s="23"/>
      <c r="L8" s="23"/>
      <c r="M8" s="23"/>
      <c r="N8" s="23"/>
      <c r="O8" s="23"/>
      <c r="P8" s="24" t="n">
        <f aca="false">IFERROR(AVERAGE(D8:O8),"")</f>
        <v>97.3333333333333</v>
      </c>
      <c r="Q8" s="25" t="str">
        <f aca="false">IF(P8="","",IF(P8&gt;=B8,"G",IF(P8&gt;=B8*0.9,"A","R")))</f>
        <v>A</v>
      </c>
      <c r="R8" s="26" t="str">
        <f aca="false">IF(COUNT(D8:O8)&lt;2,"",IF(LOOKUP(2,1/(D8:O8&lt;&gt;""),D8:O8)&gt;INDEX(D8:O8,MATCH(TRUE(),INDEX(D8:O8&lt;&gt;"",0),0)),"▲",IF(LOOKUP(2,1/(D8:O8&lt;&gt;""),D8:O8)&lt;INDEX(D8:O8,MATCH(TRUE(),INDEX(D8:O8&lt;&gt;"",0),0)),"▼","►")))</f>
        <v>▲</v>
      </c>
    </row>
    <row r="9" customFormat="false" ht="15" hidden="false" customHeight="false" outlineLevel="0" collapsed="false">
      <c r="A9" s="27" t="s">
        <v>57</v>
      </c>
      <c r="B9" s="21" t="n">
        <v>100</v>
      </c>
      <c r="C9" s="22" t="s">
        <v>51</v>
      </c>
      <c r="D9" s="23" t="n">
        <v>100</v>
      </c>
      <c r="E9" s="23" t="n">
        <v>95</v>
      </c>
      <c r="F9" s="23" t="n">
        <v>100</v>
      </c>
      <c r="G9" s="23"/>
      <c r="H9" s="23"/>
      <c r="I9" s="23"/>
      <c r="J9" s="23"/>
      <c r="K9" s="23"/>
      <c r="L9" s="23"/>
      <c r="M9" s="23"/>
      <c r="N9" s="23"/>
      <c r="O9" s="23"/>
      <c r="P9" s="24" t="n">
        <f aca="false">IFERROR(AVERAGE(D9:O9),"")</f>
        <v>98.3333333333333</v>
      </c>
      <c r="Q9" s="25" t="str">
        <f aca="false">IF(P9="","",IF(P9&gt;=B9,"G",IF(P9&gt;=B9*0.9,"A","R")))</f>
        <v>A</v>
      </c>
      <c r="R9" s="26" t="str">
        <f aca="false">IF(COUNT(D9:O9)&lt;2,"",IF(LOOKUP(2,1/(D9:O9&lt;&gt;""),D9:O9)&gt;INDEX(D9:O9,MATCH(TRUE(),INDEX(D9:O9&lt;&gt;"",0),0)),"▲",IF(LOOKUP(2,1/(D9:O9&lt;&gt;""),D9:O9)&lt;INDEX(D9:O9,MATCH(TRUE(),INDEX(D9:O9&lt;&gt;"",0),0)),"▼","►")))</f>
        <v>►</v>
      </c>
    </row>
    <row r="10" customFormat="false" ht="15" hidden="false" customHeight="false" outlineLevel="0" collapsed="false">
      <c r="A10" s="20" t="s">
        <v>58</v>
      </c>
      <c r="B10" s="21" t="n">
        <v>90</v>
      </c>
      <c r="C10" s="22" t="s">
        <v>51</v>
      </c>
      <c r="D10" s="23" t="n">
        <v>85</v>
      </c>
      <c r="E10" s="23" t="n">
        <v>88</v>
      </c>
      <c r="F10" s="23" t="n">
        <v>91</v>
      </c>
      <c r="G10" s="23"/>
      <c r="H10" s="23"/>
      <c r="I10" s="23"/>
      <c r="J10" s="23"/>
      <c r="K10" s="23"/>
      <c r="L10" s="23"/>
      <c r="M10" s="23"/>
      <c r="N10" s="23"/>
      <c r="O10" s="23"/>
      <c r="P10" s="24" t="n">
        <f aca="false">IFERROR(AVERAGE(D10:O10),"")</f>
        <v>88</v>
      </c>
      <c r="Q10" s="25" t="str">
        <f aca="false">IF(P10="","",IF(P10&gt;=B10,"G",IF(P10&gt;=B10*0.9,"A","R")))</f>
        <v>A</v>
      </c>
      <c r="R10" s="26" t="str">
        <f aca="false">IF(COUNT(D10:O10)&lt;2,"",IF(LOOKUP(2,1/(D10:O10&lt;&gt;""),D10:O10)&gt;INDEX(D10:O10,MATCH(TRUE(),INDEX(D10:O10&lt;&gt;"",0),0)),"▲",IF(LOOKUP(2,1/(D10:O10&lt;&gt;""),D10:O10)&lt;INDEX(D10:O10,MATCH(TRUE(),INDEX(D10:O10&lt;&gt;"",0),0)),"▼","►")))</f>
        <v>▲</v>
      </c>
    </row>
    <row r="11" customFormat="false" ht="15" hidden="false" customHeight="false" outlineLevel="0" collapsed="false">
      <c r="A11" s="27" t="s">
        <v>59</v>
      </c>
      <c r="B11" s="28" t="n">
        <v>0</v>
      </c>
      <c r="C11" s="22" t="s">
        <v>53</v>
      </c>
      <c r="D11" s="29" t="n">
        <v>2</v>
      </c>
      <c r="E11" s="29" t="n">
        <v>1</v>
      </c>
      <c r="F11" s="29" t="n">
        <v>0</v>
      </c>
      <c r="G11" s="29"/>
      <c r="H11" s="29"/>
      <c r="I11" s="29"/>
      <c r="J11" s="29"/>
      <c r="K11" s="29"/>
      <c r="L11" s="29"/>
      <c r="M11" s="29"/>
      <c r="N11" s="29"/>
      <c r="O11" s="29"/>
      <c r="P11" s="30" t="n">
        <f aca="false">IFERROR(AVERAGE(D11:O11),"")</f>
        <v>1</v>
      </c>
      <c r="Q11" s="25" t="str">
        <f aca="false">IF(P11="","",IF(P11&lt;=B11,"G",IF(P11&lt;=B11*1.1,"A","R")))</f>
        <v>R</v>
      </c>
      <c r="R11" s="26" t="str">
        <f aca="false">IF(COUNT(D11:O11)&lt;2,"",IF(LOOKUP(2,1/(D11:O11&lt;&gt;""),D11:O11)&lt;INDEX(D11:O11,MATCH(TRUE(),INDEX(D11:O11&lt;&gt;"",0),0)),"▲",IF(LOOKUP(2,1/(D11:O11&lt;&gt;""),D11:O11)&gt;INDEX(D11:O11,MATCH(TRUE(),INDEX(D11:O11&lt;&gt;"",0),0)),"▼","►")))</f>
        <v>▲</v>
      </c>
    </row>
    <row r="12" customFormat="false" ht="15" hidden="false" customHeight="false" outlineLevel="0" collapsed="false">
      <c r="A12" s="20" t="s">
        <v>60</v>
      </c>
      <c r="B12" s="21" t="n">
        <v>95</v>
      </c>
      <c r="C12" s="22" t="s">
        <v>51</v>
      </c>
      <c r="D12" s="23" t="n">
        <v>90</v>
      </c>
      <c r="E12" s="23" t="n">
        <v>93</v>
      </c>
      <c r="F12" s="23" t="n">
        <v>96</v>
      </c>
      <c r="G12" s="23"/>
      <c r="H12" s="23"/>
      <c r="I12" s="23"/>
      <c r="J12" s="23"/>
      <c r="K12" s="23"/>
      <c r="L12" s="23"/>
      <c r="M12" s="23"/>
      <c r="N12" s="23"/>
      <c r="O12" s="23"/>
      <c r="P12" s="24" t="n">
        <f aca="false">IFERROR(AVERAGE(D12:O12),"")</f>
        <v>93</v>
      </c>
      <c r="Q12" s="25" t="str">
        <f aca="false">IF(P12="","",IF(P12&gt;=B12,"G",IF(P12&gt;=B12*0.9,"A","R")))</f>
        <v>A</v>
      </c>
      <c r="R12" s="26" t="str">
        <f aca="false">IF(COUNT(D12:O12)&lt;2,"",IF(LOOKUP(2,1/(D12:O12&lt;&gt;""),D12:O12)&gt;INDEX(D12:O12,MATCH(TRUE(),INDEX(D12:O12&lt;&gt;"",0),0)),"▲",IF(LOOKUP(2,1/(D12:O12&lt;&gt;""),D12:O12)&lt;INDEX(D12:O12,MATCH(TRUE(),INDEX(D12:O12&lt;&gt;"",0),0)),"▼","►")))</f>
        <v>▲</v>
      </c>
    </row>
    <row r="13" customFormat="false" ht="15" hidden="false" customHeight="false" outlineLevel="0" collapsed="false">
      <c r="A13" s="27" t="s">
        <v>61</v>
      </c>
      <c r="B13" s="21" t="n">
        <v>90</v>
      </c>
      <c r="C13" s="22" t="s">
        <v>51</v>
      </c>
      <c r="D13" s="23" t="n">
        <v>82</v>
      </c>
      <c r="E13" s="23" t="n">
        <v>87</v>
      </c>
      <c r="F13" s="23" t="n">
        <v>92</v>
      </c>
      <c r="G13" s="23"/>
      <c r="H13" s="23"/>
      <c r="I13" s="23"/>
      <c r="J13" s="23"/>
      <c r="K13" s="23"/>
      <c r="L13" s="23"/>
      <c r="M13" s="23"/>
      <c r="N13" s="23"/>
      <c r="O13" s="23"/>
      <c r="P13" s="24" t="n">
        <f aca="false">IFERROR(AVERAGE(D13:O13),"")</f>
        <v>87</v>
      </c>
      <c r="Q13" s="25" t="str">
        <f aca="false">IF(P13="","",IF(P13&gt;=B13,"G",IF(P13&gt;=B13*0.9,"A","R")))</f>
        <v>A</v>
      </c>
      <c r="R13" s="26" t="str">
        <f aca="false">IF(COUNT(D13:O13)&lt;2,"",IF(LOOKUP(2,1/(D13:O13&lt;&gt;""),D13:O13)&gt;INDEX(D13:O13,MATCH(TRUE(),INDEX(D13:O13&lt;&gt;"",0),0)),"▲",IF(LOOKUP(2,1/(D13:O13&lt;&gt;""),D13:O13)&lt;INDEX(D13:O13,MATCH(TRUE(),INDEX(D13:O13&lt;&gt;"",0),0)),"▼","►")))</f>
        <v>▲</v>
      </c>
    </row>
    <row r="14" customFormat="false" ht="15" hidden="false" customHeight="true" outlineLevel="0" collapsed="false">
      <c r="A14" s="31" t="s">
        <v>62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</row>
  </sheetData>
  <mergeCells count="2">
    <mergeCell ref="A1:R1"/>
    <mergeCell ref="A14:R14"/>
  </mergeCells>
  <conditionalFormatting sqref="Q4:Q13">
    <cfRule type="cellIs" priority="2" operator="equal" aboveAverage="0" equalAverage="0" bottom="0" percent="0" rank="0" text="" dxfId="0">
      <formula>"G"</formula>
    </cfRule>
    <cfRule type="cellIs" priority="3" operator="equal" aboveAverage="0" equalAverage="0" bottom="0" percent="0" rank="0" text="" dxfId="1">
      <formula>"A"</formula>
    </cfRule>
    <cfRule type="cellIs" priority="4" operator="equal" aboveAverage="0" equalAverage="0" bottom="0" percent="0" rank="0" text="" dxfId="2">
      <formula>"R"</formula>
    </cfRule>
  </conditionalFormatting>
  <conditionalFormatting sqref="R4:R13">
    <cfRule type="cellIs" priority="5" operator="equal" aboveAverage="0" equalAverage="0" bottom="0" percent="0" rank="0" text="" dxfId="3">
      <formula>"▲"</formula>
    </cfRule>
    <cfRule type="cellIs" priority="6" operator="equal" aboveAverage="0" equalAverage="0" bottom="0" percent="0" rank="0" text="" dxfId="4">
      <formula>"▼"</formula>
    </cfRule>
    <cfRule type="cellIs" priority="7" operator="equal" aboveAverage="0" equalAverage="0" bottom="0" percent="0" rank="0" text="" dxfId="5">
      <formula>"►"</formula>
    </cfRule>
  </conditionalFormatting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&amp;CQuality KPI Summary Sheet</oddHeader>
    <oddFooter>&amp;Rebrora.com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5" hidden="false" customHeight="false" outlineLevel="0" collapsed="false">
      <c r="A1" s="32" t="s">
        <v>63</v>
      </c>
    </row>
    <row r="2" customFormat="false" ht="15" hidden="false" customHeight="false" outlineLevel="0" collapsed="false">
      <c r="A2" s="32"/>
    </row>
    <row r="3" customFormat="false" ht="15" hidden="false" customHeight="false" outlineLevel="0" collapsed="false">
      <c r="A3" s="32" t="s">
        <v>64</v>
      </c>
    </row>
    <row r="4" customFormat="false" ht="15" hidden="false" customHeight="false" outlineLevel="0" collapsed="false">
      <c r="A4" s="32"/>
    </row>
    <row r="5" customFormat="false" ht="15" hidden="false" customHeight="false" outlineLevel="0" collapsed="false">
      <c r="A5" s="32" t="s">
        <v>65</v>
      </c>
    </row>
    <row r="6" customFormat="false" ht="15" hidden="false" customHeight="false" outlineLevel="0" collapsed="false">
      <c r="A6" s="32"/>
    </row>
    <row r="7" customFormat="false" ht="15" hidden="false" customHeight="false" outlineLevel="0" collapsed="false">
      <c r="A7" s="32" t="s">
        <v>66</v>
      </c>
    </row>
    <row r="8" customFormat="false" ht="15" hidden="false" customHeight="false" outlineLevel="0" collapsed="false">
      <c r="A8" s="32"/>
    </row>
    <row r="9" customFormat="false" ht="15" hidden="false" customHeight="false" outlineLevel="0" collapsed="false">
      <c r="A9" s="32" t="s">
        <v>67</v>
      </c>
    </row>
    <row r="10" customFormat="false" ht="15" hidden="false" customHeight="false" outlineLevel="0" collapsed="false">
      <c r="A10" s="32"/>
    </row>
    <row r="11" customFormat="false" ht="15" hidden="false" customHeight="false" outlineLevel="0" collapsed="false">
      <c r="A11" s="32" t="s">
        <v>68</v>
      </c>
    </row>
    <row r="12" customFormat="false" ht="15" hidden="false" customHeight="false" outlineLevel="0" collapsed="false">
      <c r="A12" s="32"/>
    </row>
    <row r="13" customFormat="false" ht="15" hidden="false" customHeight="false" outlineLevel="0" collapsed="false">
      <c r="A13" s="32" t="s">
        <v>69</v>
      </c>
    </row>
    <row r="14" customFormat="false" ht="15" hidden="false" customHeight="false" outlineLevel="0" collapsed="false">
      <c r="A14" s="32"/>
    </row>
    <row r="15" customFormat="false" ht="15" hidden="false" customHeight="false" outlineLevel="0" collapsed="false">
      <c r="A15" s="32" t="s">
        <v>70</v>
      </c>
    </row>
    <row r="16" customFormat="false" ht="15" hidden="false" customHeight="false" outlineLevel="0" collapsed="false">
      <c r="A16" s="32"/>
    </row>
    <row r="17" customFormat="false" ht="15" hidden="false" customHeight="false" outlineLevel="0" collapsed="false">
      <c r="A17" s="32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Quality</cp:category>
  <dcterms:created xsi:type="dcterms:W3CDTF">2026-03-23T10:11:56Z</dcterms:created>
  <dc:creator>Ebrora Ltd</dc:creator>
  <dc:description>Monthly quality performance dashboard tracking key metrics against targets with automatic RAG status and year-to-date analysis.
Free professional construction management template from Ebrora Ltd. Visit ebrora.com for our full range of tools and templates.</dc:description>
  <cp:keywords>Ebrora construction quality KPI dashboard metrics performance RAG</cp:keywords>
  <dc:language>en-US</dc:language>
  <cp:lastModifiedBy>Ebrora Ltd</cp:lastModifiedBy>
  <dcterms:modified xsi:type="dcterms:W3CDTF">2026-03-23T10:11:56Z</dcterms:modified>
  <cp:revision>0</cp:revision>
  <dc:subject>Monthly quality performance dashboard tracking key metrics against targets with automatic RAG and trend analysis.</dc:subject>
  <dc:title>Quality KPI Summary 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