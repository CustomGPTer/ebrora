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SCS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'CSCS Register'!$A$1:$N$59</definedName>
    <definedName function="false" hidden="true" localSheetId="2" name="_xlnm._FilterDatabase" vbProcedure="false">'CSCS Register'!$A$9:$N$509</definedName>
    <definedName function="false" hidden="false" name="CSCSRegister" vbProcedure="false">'CSCS Register'!$A$9:$N$509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<sst xmlns="http://schemas.openxmlformats.org/spreadsheetml/2006/main" count="136" uniqueCount="116">
  <si>
    <t xml:space="preserve">EBRORA</t>
  </si>
  <si>
    <t xml:space="preserve">ebrora.com</t>
  </si>
  <si>
    <t xml:space="preserve">Operative CSCS / Competence Card Register</t>
  </si>
  <si>
    <t xml:space="preserve">Register all CSCS and competence cards with automatic expiry monitoring.</t>
  </si>
  <si>
    <t xml:space="preserve">Dashboard showing valid, expiring, and expired card counts for site compliance.</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</si>
  <si>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</si>
  <si>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</si>
  <si>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</si>
  <si>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</si>
  <si>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</si>
  <si>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'CSCS Register' sheet. The dashboard at top shows card status counts and your overall compliance rate.</t>
  </si>
  <si>
    <t xml:space="preserve">2.</t>
  </si>
  <si>
    <t xml:space="preserve">Record each operative during site induction. Enter their name, trade, employer, card type, card number, and expiry date.</t>
  </si>
  <si>
    <t xml:space="preserve">3.</t>
  </si>
  <si>
    <t xml:space="preserve">The Status column auto-calculates: Valid (green), Expiring &lt;30 days (amber), or Expired (red) based on today's date.</t>
  </si>
  <si>
    <t xml:space="preserve">4.</t>
  </si>
  <si>
    <t xml:space="preserve">The Days Remaining column shows exactly how many days until each card expires — useful for planning renewals.</t>
  </si>
  <si>
    <t xml:space="preserve">5.</t>
  </si>
  <si>
    <t xml:space="preserve">Expand optional columns for NI number, card colour, qualification level, photo verified tick, and notes.</t>
  </si>
  <si>
    <t xml:space="preserve">6.</t>
  </si>
  <si>
    <t xml:space="preserve">Use the Verified column to confirm that you've physically checked the card matches the person on site.</t>
  </si>
  <si>
    <t xml:space="preserve">7.</t>
  </si>
  <si>
    <t xml:space="preserve">Under CDM 2015, the principal contractor must ensure all workers are competent. This register is your evidence.</t>
  </si>
  <si>
    <t xml:space="preserve">Colour Key</t>
  </si>
  <si>
    <t xml:space="preserve">Light teal — user input / editable</t>
  </si>
  <si>
    <t xml:space="preserve">  </t>
  </si>
  <si>
    <t xml:space="preserve">Dark navy — headers</t>
  </si>
  <si>
    <t xml:space="preserve">Green — Valid (card current)</t>
  </si>
  <si>
    <t xml:space="preserve">Amber — Expiring within 30 days (renew now)</t>
  </si>
  <si>
    <t xml:space="preserve">Red — Expired (operative must not work until renewed)</t>
  </si>
  <si>
    <t xml:space="preserve">Tips</t>
  </si>
  <si>
    <t xml:space="preserve">•</t>
  </si>
  <si>
    <t xml:space="preserve">Check every card at induction — don't just ask 'do you have a CSCS card?'. Verify the card matches the person and trade.</t>
  </si>
  <si>
    <t xml:space="preserve">CSCS Skilled Worker cards (blue) last 5 years. Trainee cards (red) last 3 years. Check renewal dates carefully.</t>
  </si>
  <si>
    <t xml:space="preserve">Keep a copy of each card (front and back) in the induction file alongside this register.</t>
  </si>
  <si>
    <t xml:space="preserve">OPERATIVE CSCS / COMPETENCE CARD REGISTER</t>
  </si>
  <si>
    <t xml:space="preserve">Card Status Summary</t>
  </si>
  <si>
    <t xml:space="preserve">Compliance</t>
  </si>
  <si>
    <t xml:space="preserve">Valid</t>
  </si>
  <si>
    <t xml:space="preserve">Valid Card Rate:</t>
  </si>
  <si>
    <t xml:space="preserve">Expiring (&lt;30 days)</t>
  </si>
  <si>
    <t xml:space="preserve">Expired</t>
  </si>
  <si>
    <t xml:space="preserve">TOTAL REGISTERED</t>
  </si>
  <si>
    <t xml:space="preserve">CARD REGISTER</t>
  </si>
  <si>
    <t xml:space="preserve">Name</t>
  </si>
  <si>
    <t xml:space="preserve">Trade / Occupation</t>
  </si>
  <si>
    <t xml:space="preserve">Employer</t>
  </si>
  <si>
    <t xml:space="preserve">Card Type</t>
  </si>
  <si>
    <t xml:space="preserve">Card Number</t>
  </si>
  <si>
    <t xml:space="preserve">Expiry Date</t>
  </si>
  <si>
    <t xml:space="preserve">Days Left</t>
  </si>
  <si>
    <t xml:space="preserve">Status</t>
  </si>
  <si>
    <t xml:space="preserve">Card Colour</t>
  </si>
  <si>
    <t xml:space="preserve">Qualification</t>
  </si>
  <si>
    <t xml:space="preserve">Photo Verified</t>
  </si>
  <si>
    <t xml:space="preserve">Induction Date</t>
  </si>
  <si>
    <t xml:space="preserve">Checked By</t>
  </si>
  <si>
    <t xml:space="preserve">Notes</t>
  </si>
  <si>
    <t xml:space="preserve">J. Williams</t>
  </si>
  <si>
    <t xml:space="preserve">Site Foreman</t>
  </si>
  <si>
    <t xml:space="preserve">Main Contractor Ltd</t>
  </si>
  <si>
    <t xml:space="preserve">CSCS Manager (Black)</t>
  </si>
  <si>
    <t xml:space="preserve">MC-2024-88421</t>
  </si>
  <si>
    <t xml:space="preserve">Black</t>
  </si>
  <si>
    <t xml:space="preserve">NVQ L6 Construction Management</t>
  </si>
  <si>
    <t xml:space="preserve">Yes</t>
  </si>
  <si>
    <t xml:space="preserve">T. Henderson</t>
  </si>
  <si>
    <t xml:space="preserve">M. Khan</t>
  </si>
  <si>
    <t xml:space="preserve">Site Engineer</t>
  </si>
  <si>
    <t xml:space="preserve">CSCS Skilled Worker (Blue)</t>
  </si>
  <si>
    <t xml:space="preserve">SW-2023-72145</t>
  </si>
  <si>
    <t xml:space="preserve">Blue</t>
  </si>
  <si>
    <t xml:space="preserve">NVQ L3 Construction</t>
  </si>
  <si>
    <t xml:space="preserve">P. Davies</t>
  </si>
  <si>
    <t xml:space="preserve">Electrician</t>
  </si>
  <si>
    <t xml:space="preserve">Sparks Electrical Ltd</t>
  </si>
  <si>
    <t xml:space="preserve">ECS (Electrical)</t>
  </si>
  <si>
    <t xml:space="preserve">ECS-2022-44892</t>
  </si>
  <si>
    <t xml:space="preserve">NVQ L3 Electrical</t>
  </si>
  <si>
    <t xml:space="preserve">18th Edition qualified</t>
  </si>
  <si>
    <t xml:space="preserve">A. Osei</t>
  </si>
  <si>
    <t xml:space="preserve">Groundworker</t>
  </si>
  <si>
    <t xml:space="preserve">GroundForce Ltd</t>
  </si>
  <si>
    <t xml:space="preserve">SW-2024-91003</t>
  </si>
  <si>
    <t xml:space="preserve">NVQ L2 Groundworks</t>
  </si>
  <si>
    <t xml:space="preserve">S. Murphy</t>
  </si>
  <si>
    <t xml:space="preserve">Scaffold Erector</t>
  </si>
  <si>
    <t xml:space="preserve">Access Scaffolding Ltd</t>
  </si>
  <si>
    <t xml:space="preserve">CISRS (Scaffold)</t>
  </si>
  <si>
    <t xml:space="preserve">CISRS-2023-55210</t>
  </si>
  <si>
    <t xml:space="preserve">CISRS Part 2</t>
  </si>
  <si>
    <t xml:space="preserve">Renewal due May 2026 — booked</t>
  </si>
  <si>
    <t xml:space="preserve">R. Nowak</t>
  </si>
  <si>
    <t xml:space="preserve">Labourer</t>
  </si>
  <si>
    <t xml:space="preserve">Agency Staff Ltd</t>
  </si>
  <si>
    <t xml:space="preserve">CSCS Labourer (Green)</t>
  </si>
  <si>
    <t xml:space="preserve">LB-2025-12003</t>
  </si>
  <si>
    <t xml:space="preserve">Green</t>
  </si>
  <si>
    <t xml:space="preserve">CSCS Health &amp; Safety Test</t>
  </si>
  <si>
    <t xml:space="preserve">Short-term agency worker</t>
  </si>
  <si>
    <t xml:space="preserve">D. Brown</t>
  </si>
  <si>
    <t xml:space="preserve">Crane Operator</t>
  </si>
  <si>
    <t xml:space="preserve">CraneCo Ltd</t>
  </si>
  <si>
    <t xml:space="preserve">CPCS Plant (Blue)</t>
  </si>
  <si>
    <t xml:space="preserve">CPCS-2024-33890</t>
  </si>
  <si>
    <t xml:space="preserve">CPCS A04 Tower Crane</t>
  </si>
  <si>
    <t xml:space="preserve">Also holds A62 slinger/signaller</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</si>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</sst>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
  </numFmts>
  <fonts count="23">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1"/>
      <color rgb="FF006100"/>
      <name val="Calibri"/>
      <family val="0"/>
      <charset val="1"/>
    </font>
    <font>
      <b val="true"/>
      <sz val="18"/>
      <color rgb="FF2AABB3"/>
      <name val="Calibri"/>
      <family val="0"/>
      <charset val="1"/>
    </font>
    <font>
      <b val="true"/>
      <sz val="11"/>
      <color rgb="FF9C6500"/>
      <name val="Calibri"/>
      <family val="0"/>
      <charset val="1"/>
    </font>
    <font>
      <b val="true"/>
      <sz val="11"/>
      <color rgb="FF9C0006"/>
      <name val="Calibri"/>
      <family val="0"/>
      <charset val="1"/>
    </font>
    <font>
      <b val="true"/>
      <sz val="12"/>
      <color rgb="FF2AABB3"/>
      <name val="Calibri"/>
      <family val="0"/>
      <charset val="1"/>
    </font>
    <font>
      <b val="true"/>
      <sz val="12"/>
      <color rgb="FFFFFFFF"/>
      <name val="Calibri"/>
      <family val="0"/>
      <charset val="1"/>
    </font>
    <font>
      <b val="true"/>
      <sz val="11"/>
      <color rgb="FFFFFFFF"/>
      <name val="Calibri"/>
      <family val="0"/>
      <charset val="1"/>
    </font>
    <font>
      <b val="true"/>
      <sz val="10"/>
      <color rgb="FF1B2A4A"/>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2AABB3"/>
        <bgColor rgb="FF339966"/>
      </patternFill>
    </fill>
    <fill>
      <patternFill patternType="solid">
        <fgColor rgb="FFF2F2F2"/>
        <bgColor rgb="FFE8F6F7"/>
      </patternFill>
    </fill>
  </fills>
  <borders count="5">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 diagonalUp="false" diagonalDown="false">
      <left/>
      <right/>
      <top style="medium">
        <color rgb="FF2AABB3"/>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false" applyProtection="false">
      <alignment horizontal="general" vertical="bottom" textRotation="0" wrapText="false" indent="0" shrinkToFit="false"/>
      <protection locked="true" hidden="false"/>
    </xf>
    <xf numFmtId="165" fontId="15" fillId="0" borderId="3" xfId="0" applyFont="true" applyBorder="tru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12" fillId="6" borderId="3" xfId="0" applyFont="true" applyBorder="true" applyAlignment="false" applyProtection="false">
      <alignment horizontal="general" vertical="bottom" textRotation="0" wrapText="false" indent="0" shrinkToFit="false"/>
      <protection locked="true" hidden="false"/>
    </xf>
    <xf numFmtId="165" fontId="17" fillId="0" borderId="3" xfId="0" applyFont="true" applyBorder="true" applyAlignment="true" applyProtection="false">
      <alignment horizontal="center" vertical="center" textRotation="0" wrapText="true" indent="0" shrinkToFit="false"/>
      <protection locked="true" hidden="false"/>
    </xf>
    <xf numFmtId="164" fontId="12" fillId="7" borderId="3" xfId="0" applyFont="true" applyBorder="true" applyAlignment="false" applyProtection="false">
      <alignment horizontal="general" vertical="bottom" textRotation="0" wrapText="false" indent="0" shrinkToFit="false"/>
      <protection locked="true" hidden="false"/>
    </xf>
    <xf numFmtId="165" fontId="18" fillId="0" borderId="3" xfId="0" applyFont="true" applyBorder="true" applyAlignment="true" applyProtection="false">
      <alignment horizontal="center" vertical="center" textRotation="0" wrapText="true" indent="0" shrinkToFit="false"/>
      <protection locked="true" hidden="false"/>
    </xf>
    <xf numFmtId="164" fontId="11" fillId="0" borderId="4" xfId="0" applyFont="true" applyBorder="true" applyAlignment="false" applyProtection="false">
      <alignment horizontal="general" vertical="bottom" textRotation="0" wrapText="false" indent="0" shrinkToFit="false"/>
      <protection locked="true" hidden="false"/>
    </xf>
    <xf numFmtId="165" fontId="19" fillId="0" borderId="4" xfId="0" applyFont="true" applyBorder="true" applyAlignment="true" applyProtection="false">
      <alignment horizontal="center" vertical="center" textRotation="0" wrapText="true" indent="0" shrinkToFit="false"/>
      <protection locked="true" hidden="false"/>
    </xf>
    <xf numFmtId="164" fontId="20" fillId="8" borderId="0" xfId="0" applyFont="true" applyBorder="true" applyAlignment="true" applyProtection="false">
      <alignment horizontal="center" vertical="center" textRotation="0" wrapText="true" indent="0" shrinkToFit="false"/>
      <protection locked="true" hidden="false"/>
    </xf>
    <xf numFmtId="164" fontId="21" fillId="2" borderId="2"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7" fontId="12" fillId="4" borderId="3" xfId="0" applyFont="true" applyBorder="true" applyAlignment="true" applyProtection="false">
      <alignment horizontal="center" vertical="center" textRotation="0" wrapText="true" indent="0" shrinkToFit="false"/>
      <protection locked="true" hidden="false"/>
    </xf>
    <xf numFmtId="168" fontId="22" fillId="9" borderId="3" xfId="0" applyFont="true" applyBorder="true" applyAlignment="true" applyProtection="false">
      <alignment horizontal="center" vertical="center" textRotation="0" wrapText="true" indent="0" shrinkToFit="false"/>
      <protection locked="true" hidden="false"/>
    </xf>
    <xf numFmtId="164" fontId="22" fillId="9"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7" fontId="12" fillId="9"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EB9C"/>
          <bgColor rgb="FF000000"/>
        </patternFill>
      </fill>
    </dxf>
    <dxf>
      <fill>
        <patternFill patternType="solid">
          <fgColor rgb="FF000000"/>
          <bgColor rgb="FF000000"/>
        </patternFill>
      </fill>
    </dxf>
    <dxf>
      <fill>
        <patternFill patternType="solid">
          <fgColor rgb="FFC6EFCE"/>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1"/>
  <cols>
    <col collapsed="false" customWidth="true" hidden="false" outlineLevel="0" max="1" min="1" style="0" width="20"/>
    <col collapsed="false" customWidth="true" hidden="false" outlineLevel="0" max="4" min="2" style="0" width="18"/>
    <col collapsed="false" customWidth="true" hidden="false" outlineLevel="0" max="5" min="5" style="0" width="16"/>
    <col collapsed="false" customWidth="true" hidden="false" outlineLevel="0" max="6" min="6" style="0" width="13"/>
    <col collapsed="false" customWidth="true" hidden="false" outlineLevel="0" max="7" min="7" style="0" width="10"/>
    <col collapsed="false" customWidth="true" hidden="false" outlineLevel="0" max="8" min="8" style="0" width="12"/>
    <col collapsed="false" customWidth="true" hidden="true" outlineLevel="1" max="14" min="9" style="0" width="12"/>
  </cols>
  <sheetData>
    <row r="1" customFormat="false" ht="30" hidden="false" customHeight="true" outlineLevel="0" collapsed="false">
      <c r="A1" s="21" t="s">
        <v>35</v>
      </c>
      <c r="B1" s="21"/>
      <c r="C1" s="21"/>
      <c r="D1" s="21"/>
      <c r="E1" s="21"/>
      <c r="F1" s="21"/>
      <c r="G1" s="21"/>
      <c r="H1" s="21"/>
      <c r="I1" s="21"/>
      <c r="J1" s="21"/>
      <c r="K1" s="21"/>
      <c r="L1" s="21"/>
      <c r="M1" s="21"/>
      <c r="N1" s="21"/>
    </row>
    <row r="2" customFormat="false" ht="15" hidden="false" customHeight="true" outlineLevel="0" collapsed="false">
      <c r="A2" s="22" t="s">
        <v>36</v>
      </c>
      <c r="B2" s="22"/>
      <c r="C2" s="22"/>
      <c r="D2" s="22"/>
      <c r="F2" s="22" t="s">
        <v>37</v>
      </c>
      <c r="G2" s="22"/>
      <c r="H2" s="22"/>
    </row>
    <row r="3" customFormat="false" ht="23.1" hidden="false" customHeight="false" outlineLevel="0" collapsed="false">
      <c r="A3" s="23" t="s">
        <v>38</v>
      </c>
      <c r="B3" s="23"/>
      <c r="C3" s="23"/>
      <c r="D3" s="24" t="n">
        <f aca="false">COUNTIF(I10:I509,"Valid")</f>
        <v>0</v>
      </c>
      <c r="F3" s="15" t="s">
        <v>39</v>
      </c>
      <c r="G3" s="15"/>
      <c r="H3" s="25" t="n">
        <f aca="false">IF(D6&gt;0,D3/D6,0)</f>
        <v>0</v>
      </c>
    </row>
    <row r="4" customFormat="false" ht="15" hidden="false" customHeight="false" outlineLevel="0" collapsed="false">
      <c r="A4" s="26" t="s">
        <v>40</v>
      </c>
      <c r="B4" s="26"/>
      <c r="C4" s="26"/>
      <c r="D4" s="27" t="n">
        <f aca="false">COUNTIF(I10:I509,"Expiring")</f>
        <v>0</v>
      </c>
    </row>
    <row r="5" customFormat="false" ht="15" hidden="false" customHeight="false" outlineLevel="0" collapsed="false">
      <c r="A5" s="28" t="s">
        <v>41</v>
      </c>
      <c r="B5" s="28"/>
      <c r="C5" s="28"/>
      <c r="D5" s="29" t="n">
        <f aca="false">COUNTIF(I10:I509,"Expired")</f>
        <v>0</v>
      </c>
    </row>
    <row r="6" customFormat="false" ht="15" hidden="false" customHeight="false" outlineLevel="0" collapsed="false">
      <c r="A6" s="30" t="s">
        <v>42</v>
      </c>
      <c r="B6" s="30"/>
      <c r="C6" s="30"/>
      <c r="D6" s="31" t="n">
        <f aca="false">COUNTA(A10:A509)</f>
        <v>7</v>
      </c>
    </row>
    <row r="7" customFormat="false" ht="6" hidden="false" customHeight="true" outlineLevel="0" collapsed="false"/>
    <row r="8" customFormat="false" ht="25.5" hidden="false" customHeight="true" outlineLevel="0" collapsed="false">
      <c r="A8" s="32" t="s">
        <v>43</v>
      </c>
      <c r="B8" s="32"/>
      <c r="C8" s="32"/>
      <c r="D8" s="32"/>
      <c r="E8" s="32"/>
      <c r="F8" s="32"/>
      <c r="G8" s="32"/>
      <c r="H8" s="32"/>
      <c r="I8" s="32"/>
      <c r="J8" s="32"/>
      <c r="K8" s="32"/>
      <c r="L8" s="32"/>
      <c r="M8" s="32"/>
      <c r="N8" s="32"/>
    </row>
    <row r="9" customFormat="false" ht="28.35" hidden="false" customHeight="false" outlineLevel="0" collapsed="false">
      <c r="A9" s="33" t="s">
        <v>44</v>
      </c>
      <c r="B9" s="33" t="s">
        <v>45</v>
      </c>
      <c r="C9" s="33" t="s">
        <v>46</v>
      </c>
      <c r="D9" s="33" t="s">
        <v>47</v>
      </c>
      <c r="E9" s="33" t="s">
        <v>48</v>
      </c>
      <c r="F9" s="33" t="s">
        <v>49</v>
      </c>
      <c r="G9" s="33" t="s">
        <v>50</v>
      </c>
      <c r="H9" s="33" t="s">
        <v>51</v>
      </c>
      <c r="I9" s="33" t="s">
        <v>52</v>
      </c>
      <c r="J9" s="33" t="s">
        <v>53</v>
      </c>
      <c r="K9" s="33" t="s">
        <v>54</v>
      </c>
      <c r="L9" s="33" t="s">
        <v>55</v>
      </c>
      <c r="M9" s="33" t="s">
        <v>56</v>
      </c>
      <c r="N9" s="33" t="s">
        <v>57</v>
      </c>
    </row>
    <row r="10" customFormat="false" ht="25.5" hidden="false" customHeight="true" outlineLevel="0" collapsed="false">
      <c r="A10" s="34" t="s">
        <v>58</v>
      </c>
      <c r="B10" s="35" t="s">
        <v>59</v>
      </c>
      <c r="C10" s="34" t="s">
        <v>60</v>
      </c>
      <c r="D10" s="35" t="s">
        <v>61</v>
      </c>
      <c r="E10" s="35" t="s">
        <v>62</v>
      </c>
      <c r="F10" s="36" t="n">
        <v>47284</v>
      </c>
      <c r="G10" s="37" t="n">
        <f aca="true">IF(F10="","",F10-TODAY())</f>
        <v>1180</v>
      </c>
      <c r="H10" s="38" t="str">
        <f aca="true">IF(F10="","",IF(F10&lt;TODAY(),"Expired",IF(F10&lt;TODAY()+30,"Expiring","Valid")))</f>
        <v>Valid</v>
      </c>
      <c r="I10" s="35" t="s">
        <v>63</v>
      </c>
      <c r="J10" s="35" t="s">
        <v>64</v>
      </c>
      <c r="K10" s="35" t="s">
        <v>65</v>
      </c>
      <c r="L10" s="36" t="n">
        <v>45962</v>
      </c>
      <c r="M10" s="35" t="s">
        <v>66</v>
      </c>
      <c r="N10" s="34"/>
    </row>
    <row r="11" customFormat="false" ht="25.5" hidden="false" customHeight="true" outlineLevel="0" collapsed="false">
      <c r="A11" s="39" t="s">
        <v>67</v>
      </c>
      <c r="B11" s="40" t="s">
        <v>68</v>
      </c>
      <c r="C11" s="39" t="s">
        <v>60</v>
      </c>
      <c r="D11" s="40" t="s">
        <v>69</v>
      </c>
      <c r="E11" s="40" t="s">
        <v>70</v>
      </c>
      <c r="F11" s="41" t="n">
        <v>46985</v>
      </c>
      <c r="G11" s="37" t="n">
        <f aca="true">IF(F11="","",F11-TODAY())</f>
        <v>881</v>
      </c>
      <c r="H11" s="38" t="str">
        <f aca="true">IF(F11="","",IF(F11&lt;TODAY(),"Expired",IF(F11&lt;TODAY()+30,"Expiring","Valid")))</f>
        <v>Valid</v>
      </c>
      <c r="I11" s="40" t="s">
        <v>71</v>
      </c>
      <c r="J11" s="40" t="s">
        <v>72</v>
      </c>
      <c r="K11" s="40" t="s">
        <v>65</v>
      </c>
      <c r="L11" s="41" t="n">
        <v>45962</v>
      </c>
      <c r="M11" s="40" t="s">
        <v>66</v>
      </c>
      <c r="N11" s="39"/>
    </row>
    <row r="12" customFormat="false" ht="25.5" hidden="false" customHeight="true" outlineLevel="0" collapsed="false">
      <c r="A12" s="34" t="s">
        <v>73</v>
      </c>
      <c r="B12" s="35" t="s">
        <v>74</v>
      </c>
      <c r="C12" s="34" t="s">
        <v>75</v>
      </c>
      <c r="D12" s="35" t="s">
        <v>76</v>
      </c>
      <c r="E12" s="35" t="s">
        <v>77</v>
      </c>
      <c r="F12" s="36" t="n">
        <v>46692</v>
      </c>
      <c r="G12" s="37" t="n">
        <f aca="true">IF(F12="","",F12-TODAY())</f>
        <v>588</v>
      </c>
      <c r="H12" s="38" t="str">
        <f aca="true">IF(F12="","",IF(F12&lt;TODAY(),"Expired",IF(F12&lt;TODAY()+30,"Expiring","Valid")))</f>
        <v>Valid</v>
      </c>
      <c r="I12" s="35" t="s">
        <v>71</v>
      </c>
      <c r="J12" s="35" t="s">
        <v>78</v>
      </c>
      <c r="K12" s="35" t="s">
        <v>65</v>
      </c>
      <c r="L12" s="36" t="n">
        <v>45962</v>
      </c>
      <c r="M12" s="35" t="s">
        <v>66</v>
      </c>
      <c r="N12" s="34" t="s">
        <v>79</v>
      </c>
    </row>
    <row r="13" customFormat="false" ht="25.5" hidden="false" customHeight="true" outlineLevel="0" collapsed="false">
      <c r="A13" s="39" t="s">
        <v>80</v>
      </c>
      <c r="B13" s="40" t="s">
        <v>81</v>
      </c>
      <c r="C13" s="39" t="s">
        <v>82</v>
      </c>
      <c r="D13" s="40" t="s">
        <v>69</v>
      </c>
      <c r="E13" s="40" t="s">
        <v>83</v>
      </c>
      <c r="F13" s="41" t="n">
        <v>47163</v>
      </c>
      <c r="G13" s="37" t="n">
        <f aca="true">IF(F13="","",F13-TODAY())</f>
        <v>1059</v>
      </c>
      <c r="H13" s="38" t="str">
        <f aca="true">IF(F13="","",IF(F13&lt;TODAY(),"Expired",IF(F13&lt;TODAY()+30,"Expiring","Valid")))</f>
        <v>Valid</v>
      </c>
      <c r="I13" s="40" t="s">
        <v>71</v>
      </c>
      <c r="J13" s="40" t="s">
        <v>84</v>
      </c>
      <c r="K13" s="40" t="s">
        <v>65</v>
      </c>
      <c r="L13" s="41" t="n">
        <v>45962</v>
      </c>
      <c r="M13" s="40" t="s">
        <v>66</v>
      </c>
      <c r="N13" s="39"/>
    </row>
    <row r="14" customFormat="false" ht="25.5" hidden="false" customHeight="true" outlineLevel="0" collapsed="false">
      <c r="A14" s="34" t="s">
        <v>85</v>
      </c>
      <c r="B14" s="35" t="s">
        <v>86</v>
      </c>
      <c r="C14" s="34" t="s">
        <v>87</v>
      </c>
      <c r="D14" s="35" t="s">
        <v>88</v>
      </c>
      <c r="E14" s="35" t="s">
        <v>89</v>
      </c>
      <c r="F14" s="36" t="n">
        <v>46152</v>
      </c>
      <c r="G14" s="37" t="n">
        <f aca="true">IF(F14="","",F14-TODAY())</f>
        <v>48</v>
      </c>
      <c r="H14" s="38" t="str">
        <f aca="true">IF(F14="","",IF(F14&lt;TODAY(),"Expired",IF(F14&lt;TODAY()+30,"Expiring","Valid")))</f>
        <v>Valid</v>
      </c>
      <c r="I14" s="35" t="s">
        <v>71</v>
      </c>
      <c r="J14" s="35" t="s">
        <v>90</v>
      </c>
      <c r="K14" s="35" t="s">
        <v>65</v>
      </c>
      <c r="L14" s="36" t="n">
        <v>45962</v>
      </c>
      <c r="M14" s="35" t="s">
        <v>66</v>
      </c>
      <c r="N14" s="34" t="s">
        <v>91</v>
      </c>
    </row>
    <row r="15" customFormat="false" ht="25.5" hidden="false" customHeight="true" outlineLevel="0" collapsed="false">
      <c r="A15" s="39" t="s">
        <v>92</v>
      </c>
      <c r="B15" s="40" t="s">
        <v>93</v>
      </c>
      <c r="C15" s="39" t="s">
        <v>94</v>
      </c>
      <c r="D15" s="40" t="s">
        <v>95</v>
      </c>
      <c r="E15" s="40" t="s">
        <v>96</v>
      </c>
      <c r="F15" s="41" t="n">
        <v>46113</v>
      </c>
      <c r="G15" s="37" t="n">
        <f aca="true">IF(F15="","",F15-TODAY())</f>
        <v>9</v>
      </c>
      <c r="H15" s="38" t="str">
        <f aca="true">IF(F15="","",IF(F15&lt;TODAY(),"Expired",IF(F15&lt;TODAY()+30,"Expiring","Valid")))</f>
        <v>Expiring</v>
      </c>
      <c r="I15" s="40" t="s">
        <v>97</v>
      </c>
      <c r="J15" s="40" t="s">
        <v>98</v>
      </c>
      <c r="K15" s="40" t="s">
        <v>65</v>
      </c>
      <c r="L15" s="41" t="n">
        <v>46037</v>
      </c>
      <c r="M15" s="40" t="s">
        <v>58</v>
      </c>
      <c r="N15" s="39" t="s">
        <v>99</v>
      </c>
    </row>
    <row r="16" customFormat="false" ht="25.5" hidden="false" customHeight="true" outlineLevel="0" collapsed="false">
      <c r="A16" s="34" t="s">
        <v>100</v>
      </c>
      <c r="B16" s="35" t="s">
        <v>101</v>
      </c>
      <c r="C16" s="34" t="s">
        <v>102</v>
      </c>
      <c r="D16" s="35" t="s">
        <v>103</v>
      </c>
      <c r="E16" s="35" t="s">
        <v>104</v>
      </c>
      <c r="F16" s="36" t="n">
        <v>47187</v>
      </c>
      <c r="G16" s="37" t="n">
        <f aca="true">IF(F16="","",F16-TODAY())</f>
        <v>1083</v>
      </c>
      <c r="H16" s="38" t="str">
        <f aca="true">IF(F16="","",IF(F16&lt;TODAY(),"Expired",IF(F16&lt;TODAY()+30,"Expiring","Valid")))</f>
        <v>Valid</v>
      </c>
      <c r="I16" s="35" t="s">
        <v>71</v>
      </c>
      <c r="J16" s="35" t="s">
        <v>105</v>
      </c>
      <c r="K16" s="35" t="s">
        <v>65</v>
      </c>
      <c r="L16" s="36" t="n">
        <v>46054</v>
      </c>
      <c r="M16" s="35" t="s">
        <v>66</v>
      </c>
      <c r="N16" s="34" t="s">
        <v>106</v>
      </c>
    </row>
    <row r="17" customFormat="false" ht="15" hidden="false" customHeight="false" outlineLevel="0" collapsed="false">
      <c r="A17" s="39"/>
      <c r="B17" s="40"/>
      <c r="C17" s="39"/>
      <c r="D17" s="40"/>
      <c r="E17" s="40"/>
      <c r="F17" s="41"/>
      <c r="G17" s="37" t="str">
        <f aca="true">IF(F17="","",F17-TODAY())</f>
        <v/>
      </c>
      <c r="H17" s="38" t="str">
        <f aca="true">IF(F17="","",IF(F17&lt;TODAY(),"Expired",IF(F17&lt;TODAY()+30,"Expiring","Valid")))</f>
        <v/>
      </c>
      <c r="I17" s="40"/>
      <c r="J17" s="40"/>
      <c r="K17" s="40"/>
      <c r="L17" s="41"/>
      <c r="M17" s="40"/>
      <c r="N17" s="39"/>
    </row>
    <row r="18" customFormat="false" ht="15" hidden="false" customHeight="false" outlineLevel="0" collapsed="false">
      <c r="A18" s="34"/>
      <c r="B18" s="35"/>
      <c r="C18" s="34"/>
      <c r="D18" s="35"/>
      <c r="E18" s="35"/>
      <c r="F18" s="36"/>
      <c r="G18" s="37" t="str">
        <f aca="true">IF(F18="","",F18-TODAY())</f>
        <v/>
      </c>
      <c r="H18" s="38" t="str">
        <f aca="true">IF(F18="","",IF(F18&lt;TODAY(),"Expired",IF(F18&lt;TODAY()+30,"Expiring","Valid")))</f>
        <v/>
      </c>
      <c r="I18" s="35"/>
      <c r="J18" s="35"/>
      <c r="K18" s="35"/>
      <c r="L18" s="36"/>
      <c r="M18" s="35"/>
      <c r="N18" s="34"/>
    </row>
    <row r="19" customFormat="false" ht="15" hidden="false" customHeight="false" outlineLevel="0" collapsed="false">
      <c r="A19" s="39"/>
      <c r="B19" s="40"/>
      <c r="C19" s="39"/>
      <c r="D19" s="40"/>
      <c r="E19" s="40"/>
      <c r="F19" s="41"/>
      <c r="G19" s="37" t="str">
        <f aca="true">IF(F19="","",F19-TODAY())</f>
        <v/>
      </c>
      <c r="H19" s="38" t="str">
        <f aca="true">IF(F19="","",IF(F19&lt;TODAY(),"Expired",IF(F19&lt;TODAY()+30,"Expiring","Valid")))</f>
        <v/>
      </c>
      <c r="I19" s="40"/>
      <c r="J19" s="40"/>
      <c r="K19" s="40"/>
      <c r="L19" s="41"/>
      <c r="M19" s="40"/>
      <c r="N19" s="39"/>
    </row>
    <row r="20" customFormat="false" ht="15" hidden="false" customHeight="false" outlineLevel="0" collapsed="false">
      <c r="A20" s="34"/>
      <c r="B20" s="35"/>
      <c r="C20" s="34"/>
      <c r="D20" s="35"/>
      <c r="E20" s="35"/>
      <c r="F20" s="36"/>
      <c r="G20" s="37" t="str">
        <f aca="true">IF(F20="","",F20-TODAY())</f>
        <v/>
      </c>
      <c r="H20" s="38" t="str">
        <f aca="true">IF(F20="","",IF(F20&lt;TODAY(),"Expired",IF(F20&lt;TODAY()+30,"Expiring","Valid")))</f>
        <v/>
      </c>
      <c r="I20" s="35"/>
      <c r="J20" s="35"/>
      <c r="K20" s="35"/>
      <c r="L20" s="36"/>
      <c r="M20" s="35"/>
      <c r="N20" s="34"/>
    </row>
    <row r="21" customFormat="false" ht="15" hidden="false" customHeight="false" outlineLevel="0" collapsed="false">
      <c r="A21" s="39"/>
      <c r="B21" s="40"/>
      <c r="C21" s="39"/>
      <c r="D21" s="40"/>
      <c r="E21" s="40"/>
      <c r="F21" s="41"/>
      <c r="G21" s="37" t="str">
        <f aca="true">IF(F21="","",F21-TODAY())</f>
        <v/>
      </c>
      <c r="H21" s="38" t="str">
        <f aca="true">IF(F21="","",IF(F21&lt;TODAY(),"Expired",IF(F21&lt;TODAY()+30,"Expiring","Valid")))</f>
        <v/>
      </c>
      <c r="I21" s="40"/>
      <c r="J21" s="40"/>
      <c r="K21" s="40"/>
      <c r="L21" s="41"/>
      <c r="M21" s="40"/>
      <c r="N21" s="39"/>
    </row>
    <row r="22" customFormat="false" ht="15" hidden="false" customHeight="false" outlineLevel="0" collapsed="false">
      <c r="A22" s="34"/>
      <c r="B22" s="35"/>
      <c r="C22" s="34"/>
      <c r="D22" s="35"/>
      <c r="E22" s="35"/>
      <c r="F22" s="36"/>
      <c r="G22" s="37" t="str">
        <f aca="true">IF(F22="","",F22-TODAY())</f>
        <v/>
      </c>
      <c r="H22" s="38" t="str">
        <f aca="true">IF(F22="","",IF(F22&lt;TODAY(),"Expired",IF(F22&lt;TODAY()+30,"Expiring","Valid")))</f>
        <v/>
      </c>
      <c r="I22" s="35"/>
      <c r="J22" s="35"/>
      <c r="K22" s="35"/>
      <c r="L22" s="36"/>
      <c r="M22" s="35"/>
      <c r="N22" s="34"/>
    </row>
    <row r="23" customFormat="false" ht="15" hidden="false" customHeight="false" outlineLevel="0" collapsed="false">
      <c r="A23" s="39"/>
      <c r="B23" s="40"/>
      <c r="C23" s="39"/>
      <c r="D23" s="40"/>
      <c r="E23" s="40"/>
      <c r="F23" s="41"/>
      <c r="G23" s="37" t="str">
        <f aca="true">IF(F23="","",F23-TODAY())</f>
        <v/>
      </c>
      <c r="H23" s="38" t="str">
        <f aca="true">IF(F23="","",IF(F23&lt;TODAY(),"Expired",IF(F23&lt;TODAY()+30,"Expiring","Valid")))</f>
        <v/>
      </c>
      <c r="I23" s="40"/>
      <c r="J23" s="40"/>
      <c r="K23" s="40"/>
      <c r="L23" s="41"/>
      <c r="M23" s="40"/>
      <c r="N23" s="39"/>
    </row>
    <row r="24" customFormat="false" ht="15" hidden="false" customHeight="false" outlineLevel="0" collapsed="false">
      <c r="A24" s="34"/>
      <c r="B24" s="35"/>
      <c r="C24" s="34"/>
      <c r="D24" s="35"/>
      <c r="E24" s="35"/>
      <c r="F24" s="36"/>
      <c r="G24" s="37" t="str">
        <f aca="true">IF(F24="","",F24-TODAY())</f>
        <v/>
      </c>
      <c r="H24" s="38" t="str">
        <f aca="true">IF(F24="","",IF(F24&lt;TODAY(),"Expired",IF(F24&lt;TODAY()+30,"Expiring","Valid")))</f>
        <v/>
      </c>
      <c r="I24" s="35"/>
      <c r="J24" s="35"/>
      <c r="K24" s="35"/>
      <c r="L24" s="36"/>
      <c r="M24" s="35"/>
      <c r="N24" s="34"/>
    </row>
    <row r="25" customFormat="false" ht="15" hidden="false" customHeight="false" outlineLevel="0" collapsed="false">
      <c r="A25" s="39"/>
      <c r="B25" s="40"/>
      <c r="C25" s="39"/>
      <c r="D25" s="40"/>
      <c r="E25" s="40"/>
      <c r="F25" s="41"/>
      <c r="G25" s="37" t="str">
        <f aca="true">IF(F25="","",F25-TODAY())</f>
        <v/>
      </c>
      <c r="H25" s="38" t="str">
        <f aca="true">IF(F25="","",IF(F25&lt;TODAY(),"Expired",IF(F25&lt;TODAY()+30,"Expiring","Valid")))</f>
        <v/>
      </c>
      <c r="I25" s="40"/>
      <c r="J25" s="40"/>
      <c r="K25" s="40"/>
      <c r="L25" s="41"/>
      <c r="M25" s="40"/>
      <c r="N25" s="39"/>
    </row>
    <row r="26" customFormat="false" ht="15" hidden="false" customHeight="false" outlineLevel="0" collapsed="false">
      <c r="A26" s="34"/>
      <c r="B26" s="35"/>
      <c r="C26" s="34"/>
      <c r="D26" s="35"/>
      <c r="E26" s="35"/>
      <c r="F26" s="36"/>
      <c r="G26" s="37" t="str">
        <f aca="true">IF(F26="","",F26-TODAY())</f>
        <v/>
      </c>
      <c r="H26" s="38" t="str">
        <f aca="true">IF(F26="","",IF(F26&lt;TODAY(),"Expired",IF(F26&lt;TODAY()+30,"Expiring","Valid")))</f>
        <v/>
      </c>
      <c r="I26" s="35"/>
      <c r="J26" s="35"/>
      <c r="K26" s="35"/>
      <c r="L26" s="36"/>
      <c r="M26" s="35"/>
      <c r="N26" s="34"/>
    </row>
    <row r="27" customFormat="false" ht="15" hidden="false" customHeight="false" outlineLevel="0" collapsed="false">
      <c r="A27" s="39"/>
      <c r="B27" s="40"/>
      <c r="C27" s="39"/>
      <c r="D27" s="40"/>
      <c r="E27" s="40"/>
      <c r="F27" s="41"/>
      <c r="G27" s="37" t="str">
        <f aca="true">IF(F27="","",F27-TODAY())</f>
        <v/>
      </c>
      <c r="H27" s="38" t="str">
        <f aca="true">IF(F27="","",IF(F27&lt;TODAY(),"Expired",IF(F27&lt;TODAY()+30,"Expiring","Valid")))</f>
        <v/>
      </c>
      <c r="I27" s="40"/>
      <c r="J27" s="40"/>
      <c r="K27" s="40"/>
      <c r="L27" s="41"/>
      <c r="M27" s="40"/>
      <c r="N27" s="39"/>
    </row>
    <row r="28" customFormat="false" ht="15" hidden="false" customHeight="false" outlineLevel="0" collapsed="false">
      <c r="A28" s="34"/>
      <c r="B28" s="35"/>
      <c r="C28" s="34"/>
      <c r="D28" s="35"/>
      <c r="E28" s="35"/>
      <c r="F28" s="36"/>
      <c r="G28" s="37" t="str">
        <f aca="true">IF(F28="","",F28-TODAY())</f>
        <v/>
      </c>
      <c r="H28" s="38" t="str">
        <f aca="true">IF(F28="","",IF(F28&lt;TODAY(),"Expired",IF(F28&lt;TODAY()+30,"Expiring","Valid")))</f>
        <v/>
      </c>
      <c r="I28" s="35"/>
      <c r="J28" s="35"/>
      <c r="K28" s="35"/>
      <c r="L28" s="36"/>
      <c r="M28" s="35"/>
      <c r="N28" s="34"/>
    </row>
    <row r="29" customFormat="false" ht="15" hidden="false" customHeight="false" outlineLevel="0" collapsed="false">
      <c r="A29" s="39"/>
      <c r="B29" s="40"/>
      <c r="C29" s="39"/>
      <c r="D29" s="40"/>
      <c r="E29" s="40"/>
      <c r="F29" s="41"/>
      <c r="G29" s="37" t="str">
        <f aca="true">IF(F29="","",F29-TODAY())</f>
        <v/>
      </c>
      <c r="H29" s="38" t="str">
        <f aca="true">IF(F29="","",IF(F29&lt;TODAY(),"Expired",IF(F29&lt;TODAY()+30,"Expiring","Valid")))</f>
        <v/>
      </c>
      <c r="I29" s="40"/>
      <c r="J29" s="40"/>
      <c r="K29" s="40"/>
      <c r="L29" s="41"/>
      <c r="M29" s="40"/>
      <c r="N29" s="39"/>
    </row>
    <row r="30" customFormat="false" ht="15" hidden="false" customHeight="false" outlineLevel="0" collapsed="false">
      <c r="A30" s="34"/>
      <c r="B30" s="35"/>
      <c r="C30" s="34"/>
      <c r="D30" s="35"/>
      <c r="E30" s="35"/>
      <c r="F30" s="36"/>
      <c r="G30" s="37" t="str">
        <f aca="true">IF(F30="","",F30-TODAY())</f>
        <v/>
      </c>
      <c r="H30" s="38" t="str">
        <f aca="true">IF(F30="","",IF(F30&lt;TODAY(),"Expired",IF(F30&lt;TODAY()+30,"Expiring","Valid")))</f>
        <v/>
      </c>
      <c r="I30" s="35"/>
      <c r="J30" s="35"/>
      <c r="K30" s="35"/>
      <c r="L30" s="36"/>
      <c r="M30" s="35"/>
      <c r="N30" s="34"/>
    </row>
    <row r="31" customFormat="false" ht="15" hidden="false" customHeight="false" outlineLevel="0" collapsed="false">
      <c r="A31" s="39"/>
      <c r="B31" s="40"/>
      <c r="C31" s="39"/>
      <c r="D31" s="40"/>
      <c r="E31" s="40"/>
      <c r="F31" s="41"/>
      <c r="G31" s="37" t="str">
        <f aca="true">IF(F31="","",F31-TODAY())</f>
        <v/>
      </c>
      <c r="H31" s="38" t="str">
        <f aca="true">IF(F31="","",IF(F31&lt;TODAY(),"Expired",IF(F31&lt;TODAY()+30,"Expiring","Valid")))</f>
        <v/>
      </c>
      <c r="I31" s="40"/>
      <c r="J31" s="40"/>
      <c r="K31" s="40"/>
      <c r="L31" s="41"/>
      <c r="M31" s="40"/>
      <c r="N31" s="39"/>
    </row>
    <row r="32" customFormat="false" ht="15" hidden="false" customHeight="false" outlineLevel="0" collapsed="false">
      <c r="A32" s="34"/>
      <c r="B32" s="35"/>
      <c r="C32" s="34"/>
      <c r="D32" s="35"/>
      <c r="E32" s="35"/>
      <c r="F32" s="36"/>
      <c r="G32" s="37" t="str">
        <f aca="true">IF(F32="","",F32-TODAY())</f>
        <v/>
      </c>
      <c r="H32" s="38" t="str">
        <f aca="true">IF(F32="","",IF(F32&lt;TODAY(),"Expired",IF(F32&lt;TODAY()+30,"Expiring","Valid")))</f>
        <v/>
      </c>
      <c r="I32" s="35"/>
      <c r="J32" s="35"/>
      <c r="K32" s="35"/>
      <c r="L32" s="36"/>
      <c r="M32" s="35"/>
      <c r="N32" s="34"/>
    </row>
    <row r="33" customFormat="false" ht="15" hidden="false" customHeight="false" outlineLevel="0" collapsed="false">
      <c r="A33" s="39"/>
      <c r="B33" s="40"/>
      <c r="C33" s="39"/>
      <c r="D33" s="40"/>
      <c r="E33" s="40"/>
      <c r="F33" s="41"/>
      <c r="G33" s="37" t="str">
        <f aca="true">IF(F33="","",F33-TODAY())</f>
        <v/>
      </c>
      <c r="H33" s="38" t="str">
        <f aca="true">IF(F33="","",IF(F33&lt;TODAY(),"Expired",IF(F33&lt;TODAY()+30,"Expiring","Valid")))</f>
        <v/>
      </c>
      <c r="I33" s="40"/>
      <c r="J33" s="40"/>
      <c r="K33" s="40"/>
      <c r="L33" s="41"/>
      <c r="M33" s="40"/>
      <c r="N33" s="39"/>
    </row>
    <row r="34" customFormat="false" ht="15" hidden="false" customHeight="false" outlineLevel="0" collapsed="false">
      <c r="A34" s="34"/>
      <c r="B34" s="35"/>
      <c r="C34" s="34"/>
      <c r="D34" s="35"/>
      <c r="E34" s="35"/>
      <c r="F34" s="36"/>
      <c r="G34" s="37" t="str">
        <f aca="true">IF(F34="","",F34-TODAY())</f>
        <v/>
      </c>
      <c r="H34" s="38" t="str">
        <f aca="true">IF(F34="","",IF(F34&lt;TODAY(),"Expired",IF(F34&lt;TODAY()+30,"Expiring","Valid")))</f>
        <v/>
      </c>
      <c r="I34" s="35"/>
      <c r="J34" s="35"/>
      <c r="K34" s="35"/>
      <c r="L34" s="36"/>
      <c r="M34" s="35"/>
      <c r="N34" s="34"/>
    </row>
    <row r="35" customFormat="false" ht="15" hidden="false" customHeight="false" outlineLevel="0" collapsed="false">
      <c r="A35" s="39"/>
      <c r="B35" s="40"/>
      <c r="C35" s="39"/>
      <c r="D35" s="40"/>
      <c r="E35" s="40"/>
      <c r="F35" s="41"/>
      <c r="G35" s="37" t="str">
        <f aca="true">IF(F35="","",F35-TODAY())</f>
        <v/>
      </c>
      <c r="H35" s="38" t="str">
        <f aca="true">IF(F35="","",IF(F35&lt;TODAY(),"Expired",IF(F35&lt;TODAY()+30,"Expiring","Valid")))</f>
        <v/>
      </c>
      <c r="I35" s="40"/>
      <c r="J35" s="40"/>
      <c r="K35" s="40"/>
      <c r="L35" s="41"/>
      <c r="M35" s="40"/>
      <c r="N35" s="39"/>
    </row>
    <row r="36" customFormat="false" ht="15" hidden="false" customHeight="false" outlineLevel="0" collapsed="false">
      <c r="A36" s="34"/>
      <c r="B36" s="35"/>
      <c r="C36" s="34"/>
      <c r="D36" s="35"/>
      <c r="E36" s="35"/>
      <c r="F36" s="36"/>
      <c r="G36" s="37" t="str">
        <f aca="true">IF(F36="","",F36-TODAY())</f>
        <v/>
      </c>
      <c r="H36" s="38" t="str">
        <f aca="true">IF(F36="","",IF(F36&lt;TODAY(),"Expired",IF(F36&lt;TODAY()+30,"Expiring","Valid")))</f>
        <v/>
      </c>
      <c r="I36" s="35"/>
      <c r="J36" s="35"/>
      <c r="K36" s="35"/>
      <c r="L36" s="36"/>
      <c r="M36" s="35"/>
      <c r="N36" s="34"/>
    </row>
    <row r="37" customFormat="false" ht="15" hidden="false" customHeight="false" outlineLevel="0" collapsed="false">
      <c r="A37" s="39"/>
      <c r="B37" s="40"/>
      <c r="C37" s="39"/>
      <c r="D37" s="40"/>
      <c r="E37" s="40"/>
      <c r="F37" s="41"/>
      <c r="G37" s="37" t="str">
        <f aca="true">IF(F37="","",F37-TODAY())</f>
        <v/>
      </c>
      <c r="H37" s="38" t="str">
        <f aca="true">IF(F37="","",IF(F37&lt;TODAY(),"Expired",IF(F37&lt;TODAY()+30,"Expiring","Valid")))</f>
        <v/>
      </c>
      <c r="I37" s="40"/>
      <c r="J37" s="40"/>
      <c r="K37" s="40"/>
      <c r="L37" s="41"/>
      <c r="M37" s="40"/>
      <c r="N37" s="39"/>
    </row>
    <row r="38" customFormat="false" ht="15" hidden="false" customHeight="false" outlineLevel="0" collapsed="false">
      <c r="A38" s="34"/>
      <c r="B38" s="35"/>
      <c r="C38" s="34"/>
      <c r="D38" s="35"/>
      <c r="E38" s="35"/>
      <c r="F38" s="36"/>
      <c r="G38" s="37" t="str">
        <f aca="true">IF(F38="","",F38-TODAY())</f>
        <v/>
      </c>
      <c r="H38" s="38" t="str">
        <f aca="true">IF(F38="","",IF(F38&lt;TODAY(),"Expired",IF(F38&lt;TODAY()+30,"Expiring","Valid")))</f>
        <v/>
      </c>
      <c r="I38" s="35"/>
      <c r="J38" s="35"/>
      <c r="K38" s="35"/>
      <c r="L38" s="36"/>
      <c r="M38" s="35"/>
      <c r="N38" s="34"/>
    </row>
    <row r="39" customFormat="false" ht="15" hidden="false" customHeight="false" outlineLevel="0" collapsed="false">
      <c r="A39" s="39"/>
      <c r="B39" s="40"/>
      <c r="C39" s="39"/>
      <c r="D39" s="40"/>
      <c r="E39" s="40"/>
      <c r="F39" s="41"/>
      <c r="G39" s="37" t="str">
        <f aca="true">IF(F39="","",F39-TODAY())</f>
        <v/>
      </c>
      <c r="H39" s="38" t="str">
        <f aca="true">IF(F39="","",IF(F39&lt;TODAY(),"Expired",IF(F39&lt;TODAY()+30,"Expiring","Valid")))</f>
        <v/>
      </c>
      <c r="I39" s="40"/>
      <c r="J39" s="40"/>
      <c r="K39" s="40"/>
      <c r="L39" s="41"/>
      <c r="M39" s="40"/>
      <c r="N39" s="39"/>
    </row>
    <row r="40" customFormat="false" ht="15" hidden="false" customHeight="false" outlineLevel="0" collapsed="false">
      <c r="A40" s="34"/>
      <c r="B40" s="35"/>
      <c r="C40" s="34"/>
      <c r="D40" s="35"/>
      <c r="E40" s="35"/>
      <c r="F40" s="36"/>
      <c r="G40" s="37" t="str">
        <f aca="true">IF(F40="","",F40-TODAY())</f>
        <v/>
      </c>
      <c r="H40" s="38" t="str">
        <f aca="true">IF(F40="","",IF(F40&lt;TODAY(),"Expired",IF(F40&lt;TODAY()+30,"Expiring","Valid")))</f>
        <v/>
      </c>
      <c r="I40" s="35"/>
      <c r="J40" s="35"/>
      <c r="K40" s="35"/>
      <c r="L40" s="36"/>
      <c r="M40" s="35"/>
      <c r="N40" s="34"/>
    </row>
    <row r="41" customFormat="false" ht="15" hidden="false" customHeight="false" outlineLevel="0" collapsed="false">
      <c r="A41" s="39"/>
      <c r="B41" s="40"/>
      <c r="C41" s="39"/>
      <c r="D41" s="40"/>
      <c r="E41" s="40"/>
      <c r="F41" s="41"/>
      <c r="G41" s="37" t="str">
        <f aca="true">IF(F41="","",F41-TODAY())</f>
        <v/>
      </c>
      <c r="H41" s="38" t="str">
        <f aca="true">IF(F41="","",IF(F41&lt;TODAY(),"Expired",IF(F41&lt;TODAY()+30,"Expiring","Valid")))</f>
        <v/>
      </c>
      <c r="I41" s="40"/>
      <c r="J41" s="40"/>
      <c r="K41" s="40"/>
      <c r="L41" s="41"/>
      <c r="M41" s="40"/>
      <c r="N41" s="39"/>
    </row>
    <row r="42" customFormat="false" ht="15" hidden="false" customHeight="false" outlineLevel="0" collapsed="false">
      <c r="A42" s="34"/>
      <c r="B42" s="35"/>
      <c r="C42" s="34"/>
      <c r="D42" s="35"/>
      <c r="E42" s="35"/>
      <c r="F42" s="36"/>
      <c r="G42" s="37" t="str">
        <f aca="true">IF(F42="","",F42-TODAY())</f>
        <v/>
      </c>
      <c r="H42" s="38" t="str">
        <f aca="true">IF(F42="","",IF(F42&lt;TODAY(),"Expired",IF(F42&lt;TODAY()+30,"Expiring","Valid")))</f>
        <v/>
      </c>
      <c r="I42" s="35"/>
      <c r="J42" s="35"/>
      <c r="K42" s="35"/>
      <c r="L42" s="36"/>
      <c r="M42" s="35"/>
      <c r="N42" s="34"/>
    </row>
    <row r="43" customFormat="false" ht="15" hidden="false" customHeight="false" outlineLevel="0" collapsed="false">
      <c r="A43" s="39"/>
      <c r="B43" s="40"/>
      <c r="C43" s="39"/>
      <c r="D43" s="40"/>
      <c r="E43" s="40"/>
      <c r="F43" s="41"/>
      <c r="G43" s="37" t="str">
        <f aca="true">IF(F43="","",F43-TODAY())</f>
        <v/>
      </c>
      <c r="H43" s="38" t="str">
        <f aca="true">IF(F43="","",IF(F43&lt;TODAY(),"Expired",IF(F43&lt;TODAY()+30,"Expiring","Valid")))</f>
        <v/>
      </c>
      <c r="I43" s="40"/>
      <c r="J43" s="40"/>
      <c r="K43" s="40"/>
      <c r="L43" s="41"/>
      <c r="M43" s="40"/>
      <c r="N43" s="39"/>
    </row>
    <row r="44" customFormat="false" ht="15" hidden="false" customHeight="false" outlineLevel="0" collapsed="false">
      <c r="A44" s="34"/>
      <c r="B44" s="35"/>
      <c r="C44" s="34"/>
      <c r="D44" s="35"/>
      <c r="E44" s="35"/>
      <c r="F44" s="36"/>
      <c r="G44" s="37" t="str">
        <f aca="true">IF(F44="","",F44-TODAY())</f>
        <v/>
      </c>
      <c r="H44" s="38" t="str">
        <f aca="true">IF(F44="","",IF(F44&lt;TODAY(),"Expired",IF(F44&lt;TODAY()+30,"Expiring","Valid")))</f>
        <v/>
      </c>
      <c r="I44" s="35"/>
      <c r="J44" s="35"/>
      <c r="K44" s="35"/>
      <c r="L44" s="36"/>
      <c r="M44" s="35"/>
      <c r="N44" s="34"/>
    </row>
    <row r="45" customFormat="false" ht="15" hidden="false" customHeight="false" outlineLevel="0" collapsed="false">
      <c r="A45" s="39"/>
      <c r="B45" s="40"/>
      <c r="C45" s="39"/>
      <c r="D45" s="40"/>
      <c r="E45" s="40"/>
      <c r="F45" s="41"/>
      <c r="G45" s="37" t="str">
        <f aca="true">IF(F45="","",F45-TODAY())</f>
        <v/>
      </c>
      <c r="H45" s="38" t="str">
        <f aca="true">IF(F45="","",IF(F45&lt;TODAY(),"Expired",IF(F45&lt;TODAY()+30,"Expiring","Valid")))</f>
        <v/>
      </c>
      <c r="I45" s="40"/>
      <c r="J45" s="40"/>
      <c r="K45" s="40"/>
      <c r="L45" s="41"/>
      <c r="M45" s="40"/>
      <c r="N45" s="39"/>
    </row>
    <row r="46" customFormat="false" ht="15" hidden="false" customHeight="false" outlineLevel="0" collapsed="false">
      <c r="A46" s="34"/>
      <c r="B46" s="35"/>
      <c r="C46" s="34"/>
      <c r="D46" s="35"/>
      <c r="E46" s="35"/>
      <c r="F46" s="36"/>
      <c r="G46" s="37" t="str">
        <f aca="true">IF(F46="","",F46-TODAY())</f>
        <v/>
      </c>
      <c r="H46" s="38" t="str">
        <f aca="true">IF(F46="","",IF(F46&lt;TODAY(),"Expired",IF(F46&lt;TODAY()+30,"Expiring","Valid")))</f>
        <v/>
      </c>
      <c r="I46" s="35"/>
      <c r="J46" s="35"/>
      <c r="K46" s="35"/>
      <c r="L46" s="36"/>
      <c r="M46" s="35"/>
      <c r="N46" s="34"/>
    </row>
    <row r="47" customFormat="false" ht="15" hidden="false" customHeight="false" outlineLevel="0" collapsed="false">
      <c r="A47" s="39"/>
      <c r="B47" s="40"/>
      <c r="C47" s="39"/>
      <c r="D47" s="40"/>
      <c r="E47" s="40"/>
      <c r="F47" s="41"/>
      <c r="G47" s="37" t="str">
        <f aca="true">IF(F47="","",F47-TODAY())</f>
        <v/>
      </c>
      <c r="H47" s="38" t="str">
        <f aca="true">IF(F47="","",IF(F47&lt;TODAY(),"Expired",IF(F47&lt;TODAY()+30,"Expiring","Valid")))</f>
        <v/>
      </c>
      <c r="I47" s="40"/>
      <c r="J47" s="40"/>
      <c r="K47" s="40"/>
      <c r="L47" s="41"/>
      <c r="M47" s="40"/>
      <c r="N47" s="39"/>
    </row>
    <row r="48" customFormat="false" ht="15" hidden="false" customHeight="false" outlineLevel="0" collapsed="false">
      <c r="A48" s="34"/>
      <c r="B48" s="35"/>
      <c r="C48" s="34"/>
      <c r="D48" s="35"/>
      <c r="E48" s="35"/>
      <c r="F48" s="36"/>
      <c r="G48" s="37" t="str">
        <f aca="true">IF(F48="","",F48-TODAY())</f>
        <v/>
      </c>
      <c r="H48" s="38" t="str">
        <f aca="true">IF(F48="","",IF(F48&lt;TODAY(),"Expired",IF(F48&lt;TODAY()+30,"Expiring","Valid")))</f>
        <v/>
      </c>
      <c r="I48" s="35"/>
      <c r="J48" s="35"/>
      <c r="K48" s="35"/>
      <c r="L48" s="36"/>
      <c r="M48" s="35"/>
      <c r="N48" s="34"/>
    </row>
    <row r="49" customFormat="false" ht="15" hidden="false" customHeight="false" outlineLevel="0" collapsed="false">
      <c r="A49" s="39"/>
      <c r="B49" s="40"/>
      <c r="C49" s="39"/>
      <c r="D49" s="40"/>
      <c r="E49" s="40"/>
      <c r="F49" s="41"/>
      <c r="G49" s="37" t="str">
        <f aca="true">IF(F49="","",F49-TODAY())</f>
        <v/>
      </c>
      <c r="H49" s="38" t="str">
        <f aca="true">IF(F49="","",IF(F49&lt;TODAY(),"Expired",IF(F49&lt;TODAY()+30,"Expiring","Valid")))</f>
        <v/>
      </c>
      <c r="I49" s="40"/>
      <c r="J49" s="40"/>
      <c r="K49" s="40"/>
      <c r="L49" s="41"/>
      <c r="M49" s="40"/>
      <c r="N49" s="39"/>
    </row>
    <row r="50" customFormat="false" ht="15" hidden="false" customHeight="false" outlineLevel="0" collapsed="false">
      <c r="A50" s="34"/>
      <c r="B50" s="35"/>
      <c r="C50" s="34"/>
      <c r="D50" s="35"/>
      <c r="E50" s="35"/>
      <c r="F50" s="36"/>
      <c r="G50" s="37" t="str">
        <f aca="true">IF(F50="","",F50-TODAY())</f>
        <v/>
      </c>
      <c r="H50" s="38" t="str">
        <f aca="true">IF(F50="","",IF(F50&lt;TODAY(),"Expired",IF(F50&lt;TODAY()+30,"Expiring","Valid")))</f>
        <v/>
      </c>
      <c r="I50" s="35"/>
      <c r="J50" s="35"/>
      <c r="K50" s="35"/>
      <c r="L50" s="36"/>
      <c r="M50" s="35"/>
      <c r="N50" s="34"/>
    </row>
    <row r="51" customFormat="false" ht="15" hidden="false" customHeight="false" outlineLevel="0" collapsed="false">
      <c r="A51" s="39"/>
      <c r="B51" s="40"/>
      <c r="C51" s="39"/>
      <c r="D51" s="40"/>
      <c r="E51" s="40"/>
      <c r="F51" s="41"/>
      <c r="G51" s="37" t="str">
        <f aca="true">IF(F51="","",F51-TODAY())</f>
        <v/>
      </c>
      <c r="H51" s="38" t="str">
        <f aca="true">IF(F51="","",IF(F51&lt;TODAY(),"Expired",IF(F51&lt;TODAY()+30,"Expiring","Valid")))</f>
        <v/>
      </c>
      <c r="I51" s="40"/>
      <c r="J51" s="40"/>
      <c r="K51" s="40"/>
      <c r="L51" s="41"/>
      <c r="M51" s="40"/>
      <c r="N51" s="39"/>
    </row>
    <row r="52" customFormat="false" ht="15" hidden="false" customHeight="false" outlineLevel="0" collapsed="false">
      <c r="A52" s="34"/>
      <c r="B52" s="35"/>
      <c r="C52" s="34"/>
      <c r="D52" s="35"/>
      <c r="E52" s="35"/>
      <c r="F52" s="36"/>
      <c r="G52" s="37" t="str">
        <f aca="true">IF(F52="","",F52-TODAY())</f>
        <v/>
      </c>
      <c r="H52" s="38" t="str">
        <f aca="true">IF(F52="","",IF(F52&lt;TODAY(),"Expired",IF(F52&lt;TODAY()+30,"Expiring","Valid")))</f>
        <v/>
      </c>
      <c r="I52" s="35"/>
      <c r="J52" s="35"/>
      <c r="K52" s="35"/>
      <c r="L52" s="36"/>
      <c r="M52" s="35"/>
      <c r="N52" s="34"/>
    </row>
    <row r="53" customFormat="false" ht="15" hidden="false" customHeight="false" outlineLevel="0" collapsed="false">
      <c r="A53" s="39"/>
      <c r="B53" s="40"/>
      <c r="C53" s="39"/>
      <c r="D53" s="40"/>
      <c r="E53" s="40"/>
      <c r="F53" s="41"/>
      <c r="G53" s="37" t="str">
        <f aca="true">IF(F53="","",F53-TODAY())</f>
        <v/>
      </c>
      <c r="H53" s="38" t="str">
        <f aca="true">IF(F53="","",IF(F53&lt;TODAY(),"Expired",IF(F53&lt;TODAY()+30,"Expiring","Valid")))</f>
        <v/>
      </c>
      <c r="I53" s="40"/>
      <c r="J53" s="40"/>
      <c r="K53" s="40"/>
      <c r="L53" s="41"/>
      <c r="M53" s="40"/>
      <c r="N53" s="39"/>
    </row>
    <row r="54" customFormat="false" ht="15" hidden="false" customHeight="false" outlineLevel="0" collapsed="false">
      <c r="A54" s="34"/>
      <c r="B54" s="35"/>
      <c r="C54" s="34"/>
      <c r="D54" s="35"/>
      <c r="E54" s="35"/>
      <c r="F54" s="36"/>
      <c r="G54" s="37" t="str">
        <f aca="true">IF(F54="","",F54-TODAY())</f>
        <v/>
      </c>
      <c r="H54" s="38" t="str">
        <f aca="true">IF(F54="","",IF(F54&lt;TODAY(),"Expired",IF(F54&lt;TODAY()+30,"Expiring","Valid")))</f>
        <v/>
      </c>
      <c r="I54" s="35"/>
      <c r="J54" s="35"/>
      <c r="K54" s="35"/>
      <c r="L54" s="36"/>
      <c r="M54" s="35"/>
      <c r="N54" s="34"/>
    </row>
    <row r="55" customFormat="false" ht="15" hidden="false" customHeight="false" outlineLevel="0" collapsed="false">
      <c r="A55" s="39"/>
      <c r="B55" s="40"/>
      <c r="C55" s="39"/>
      <c r="D55" s="40"/>
      <c r="E55" s="40"/>
      <c r="F55" s="41"/>
      <c r="G55" s="37" t="str">
        <f aca="true">IF(F55="","",F55-TODAY())</f>
        <v/>
      </c>
      <c r="H55" s="38" t="str">
        <f aca="true">IF(F55="","",IF(F55&lt;TODAY(),"Expired",IF(F55&lt;TODAY()+30,"Expiring","Valid")))</f>
        <v/>
      </c>
      <c r="I55" s="40"/>
      <c r="J55" s="40"/>
      <c r="K55" s="40"/>
      <c r="L55" s="41"/>
      <c r="M55" s="40"/>
      <c r="N55" s="39"/>
    </row>
    <row r="56" customFormat="false" ht="15" hidden="false" customHeight="false" outlineLevel="0" collapsed="false">
      <c r="A56" s="34"/>
      <c r="B56" s="35"/>
      <c r="C56" s="34"/>
      <c r="D56" s="35"/>
      <c r="E56" s="35"/>
      <c r="F56" s="36"/>
      <c r="G56" s="37" t="str">
        <f aca="true">IF(F56="","",F56-TODAY())</f>
        <v/>
      </c>
      <c r="H56" s="38" t="str">
        <f aca="true">IF(F56="","",IF(F56&lt;TODAY(),"Expired",IF(F56&lt;TODAY()+30,"Expiring","Valid")))</f>
        <v/>
      </c>
      <c r="I56" s="35"/>
      <c r="J56" s="35"/>
      <c r="K56" s="35"/>
      <c r="L56" s="36"/>
      <c r="M56" s="35"/>
      <c r="N56" s="34"/>
    </row>
    <row r="57" customFormat="false" ht="15" hidden="false" customHeight="false" outlineLevel="0" collapsed="false">
      <c r="A57" s="39"/>
      <c r="B57" s="40"/>
      <c r="C57" s="39"/>
      <c r="D57" s="40"/>
      <c r="E57" s="40"/>
      <c r="F57" s="41"/>
      <c r="G57" s="37" t="str">
        <f aca="true">IF(F57="","",F57-TODAY())</f>
        <v/>
      </c>
      <c r="H57" s="38" t="str">
        <f aca="true">IF(F57="","",IF(F57&lt;TODAY(),"Expired",IF(F57&lt;TODAY()+30,"Expiring","Valid")))</f>
        <v/>
      </c>
      <c r="I57" s="40"/>
      <c r="J57" s="40"/>
      <c r="K57" s="40"/>
      <c r="L57" s="41"/>
      <c r="M57" s="40"/>
      <c r="N57" s="39"/>
    </row>
    <row r="58" customFormat="false" ht="15" hidden="false" customHeight="false" outlineLevel="0" collapsed="false">
      <c r="A58" s="34"/>
      <c r="B58" s="35"/>
      <c r="C58" s="34"/>
      <c r="D58" s="35"/>
      <c r="E58" s="35"/>
      <c r="F58" s="36"/>
      <c r="G58" s="37" t="str">
        <f aca="true">IF(F58="","",F58-TODAY())</f>
        <v/>
      </c>
      <c r="H58" s="38" t="str">
        <f aca="true">IF(F58="","",IF(F58&lt;TODAY(),"Expired",IF(F58&lt;TODAY()+30,"Expiring","Valid")))</f>
        <v/>
      </c>
      <c r="I58" s="35"/>
      <c r="J58" s="35"/>
      <c r="K58" s="35"/>
      <c r="L58" s="36"/>
      <c r="M58" s="35"/>
      <c r="N58" s="34"/>
    </row>
    <row r="59" customFormat="false" ht="15" hidden="false" customHeight="false" outlineLevel="0" collapsed="false">
      <c r="A59" s="39"/>
      <c r="B59" s="40"/>
      <c r="C59" s="39"/>
      <c r="D59" s="40"/>
      <c r="E59" s="40"/>
      <c r="F59" s="41"/>
      <c r="G59" s="37" t="str">
        <f aca="true">IF(F59="","",F59-TODAY())</f>
        <v/>
      </c>
      <c r="H59" s="38" t="str">
        <f aca="true">IF(F59="","",IF(F59&lt;TODAY(),"Expired",IF(F59&lt;TODAY()+30,"Expiring","Valid")))</f>
        <v/>
      </c>
      <c r="I59" s="40"/>
      <c r="J59" s="40"/>
      <c r="K59" s="40"/>
      <c r="L59" s="41"/>
      <c r="M59" s="40"/>
      <c r="N59" s="39"/>
    </row>
  </sheetData>
  <autoFilter ref="A9:N509"/>
  <mergeCells count="9">
    <mergeCell ref="A1:N1"/>
    <mergeCell ref="A2:D2"/>
    <mergeCell ref="F2:H2"/>
    <mergeCell ref="A3:C3"/>
    <mergeCell ref="F3:G3"/>
    <mergeCell ref="A4:C4"/>
    <mergeCell ref="A5:C5"/>
    <mergeCell ref="A6:C6"/>
    <mergeCell ref="A8:N8"/>
  </mergeCells>
  <conditionalFormatting sqref="H10:H509">
    <cfRule type="cellIs" priority="2" operator="equal" aboveAverage="0" equalAverage="0" bottom="0" percent="0" rank="0" text="" dxfId="8">
      <formula>"Valid"</formula>
    </cfRule>
    <cfRule type="cellIs" priority="3" operator="equal" aboveAverage="0" equalAverage="0" bottom="0" percent="0" rank="0" text="" dxfId="9">
      <formula>"Expiring"</formula>
    </cfRule>
    <cfRule type="cellIs" priority="4" operator="equal" aboveAverage="0" equalAverage="0" bottom="0" percent="0" rank="0" text="" dxfId="10">
      <formula>"Expired"</formula>
    </cfRule>
  </conditionalFormatting>
  <conditionalFormatting sqref="G10:G509">
    <cfRule type="expression" priority="5" aboveAverage="0" equalAverage="0" bottom="0" percent="0" rank="0" text="" dxfId="10">
      <formula>AND(G10&lt;&gt;"",G10&lt;0)</formula>
    </cfRule>
    <cfRule type="expression" priority="6" aboveAverage="0" equalAverage="0" bottom="0" percent="0" rank="0" text="" dxfId="9">
      <formula>AND(G10&lt;&gt;"",G10&gt;=0,G10&lt;30)</formula>
    </cfRule>
  </conditionalFormatting>
  <dataValidations count="3">
    <dataValidation allowBlank="true" errorStyle="stop" operator="between" showDropDown="false" showErrorMessage="false" showInputMessage="false" sqref="D10:D509" type="list">
      <formula1>"CSCS Skilled Worker (Blue),CSCS Advanced Craft (Gold),CSCS Trainee (Red),CSCS Labourer (Green),CSCS Manager (Black),CSCS Supervisor (Gold),CPCS Plant (Blue),ECS (Electrical),JIB (Plumbing),CISRS (Scaffold),Other"</formula1>
      <formula2>0</formula2>
    </dataValidation>
    <dataValidation allowBlank="true" errorStyle="stop" operator="between" showDropDown="false" showErrorMessage="false" showInputMessage="false" sqref="K10:K509" type="list">
      <formula1>"Yes,No"</formula1>
      <formula2>0</formula2>
    </dataValidation>
    <dataValidation allowBlank="true" errorStyle="stop" operator="between" showDropDown="false" showErrorMessage="false" showInputMessage="false" sqref="I10:I509" type="list">
      <formula1>"Blue,Gold,Red,Green,Black,White,Other"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&amp;CCSCS / Competence Card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107</v>
      </c>
    </row>
    <row r="2" customFormat="false" ht="15" hidden="false" customHeight="false" outlineLevel="0" collapsed="false">
      <c r="A2" s="20"/>
    </row>
    <row r="3" customFormat="false" ht="15" hidden="false" customHeight="false" outlineLevel="0" collapsed="false">
      <c r="A3" s="20" t="s">
        <v>108</v>
      </c>
    </row>
    <row r="4" customFormat="false" ht="15" hidden="false" customHeight="false" outlineLevel="0" collapsed="false">
      <c r="A4" s="20"/>
    </row>
    <row r="5" customFormat="false" ht="15" hidden="false" customHeight="false" outlineLevel="0" collapsed="false">
      <c r="A5" s="20" t="s">
        <v>109</v>
      </c>
    </row>
    <row r="6" customFormat="false" ht="15" hidden="false" customHeight="false" outlineLevel="0" collapsed="false">
      <c r="A6" s="20"/>
    </row>
    <row r="7" customFormat="false" ht="15" hidden="false" customHeight="false" outlineLevel="0" collapsed="false">
      <c r="A7" s="20" t="s">
        <v>110</v>
      </c>
    </row>
    <row r="8" customFormat="false" ht="15" hidden="false" customHeight="false" outlineLevel="0" collapsed="false">
      <c r="A8" s="20"/>
    </row>
    <row r="9" customFormat="false" ht="15" hidden="false" customHeight="false" outlineLevel="0" collapsed="false">
      <c r="A9" s="20" t="s">
        <v>111</v>
      </c>
    </row>
    <row r="10" customFormat="false" ht="15" hidden="false" customHeight="false" outlineLevel="0" collapsed="false">
      <c r="A10" s="20"/>
    </row>
    <row r="11" customFormat="false" ht="15" hidden="false" customHeight="false" outlineLevel="0" collapsed="false">
      <c r="A11" s="20" t="s">
        <v>112</v>
      </c>
    </row>
    <row r="12" customFormat="false" ht="15" hidden="false" customHeight="false" outlineLevel="0" collapsed="false">
      <c r="A12" s="20"/>
    </row>
    <row r="13" customFormat="false" ht="15" hidden="false" customHeight="false" outlineLevel="0" collapsed="false">
      <c r="A13" s="20" t="s">
        <v>113</v>
      </c>
    </row>
    <row r="14" customFormat="false" ht="15" hidden="false" customHeight="false" outlineLevel="0" collapsed="false">
      <c r="A14" s="20"/>
    </row>
    <row r="15" customFormat="false" ht="15" hidden="false" customHeight="false" outlineLevel="0" collapsed="false">
      <c r="A15" s="20" t="s">
        <v>114</v>
      </c>
    </row>
    <row r="16" customFormat="false" ht="15" hidden="false" customHeight="false" outlineLevel="0" collapsed="false">
      <c r="A16" s="20"/>
    </row>
    <row r="17" customFormat="false" ht="15" hidden="false" customHeight="false" outlineLevel="0" collapsed="false">
      <c r="A17" s="20"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People / HR</cp:category>
  <dcterms:created xsi:type="dcterms:W3CDTF">2026-03-23T07:22:29Z</dcterms:created>
  <dc:creator>Ebrora Ltd</dc:creator>
  <dc:description>Register all CSCS and competence cards with automatic expiry monitoring and compliance rate dashboard for UK construction sites.
Free professional construction management template from Ebrora Ltd. Visit ebrora.com for our full range of tools and templates.</dc:description>
  <cp:keywords>Ebrora construction CSCS competence card register expiry CDM compliance HR people</cp:keywords>
  <dc:language>en-US</dc:language>
  <cp:lastModifiedBy>Ebrora Ltd</cp:lastModifiedBy>
  <dcterms:modified xsi:type="dcterms:W3CDTF">2026-03-23T07:22:29Z</dcterms:modified>
  <cp:revision>0</cp:revision>
  <dc:subject>Register all CSCS and competence cards with automatic expiry monitoring and compliance rate dashboard.</dc:subject>
  <dc:title>Operative CSCS / Competence Card Register</dc:title>
</cp:coreProperties>
</file>

<file path=docProps/custom.xml><?xml version="1.0" encoding="utf-8"?>
<Properties xmlns="http://schemas.openxmlformats.org/officeDocument/2006/custom-properties" xmlns:vt="http://schemas.openxmlformats.org/officeDocument/2006/docPropsVTypes"/>
</file>