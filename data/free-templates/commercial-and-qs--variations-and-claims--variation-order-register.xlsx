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Variation Order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Instructions!$A$1:$F$28</definedName>
    <definedName function="false" hidden="false" localSheetId="2" name="_xlnm.Print_Area" vbProcedure="false">'Variation Order Register'!$A$1:$H$60</definedName>
    <definedName function="false" hidden="true" localSheetId="2" name="_xlnm._FilterDatabase" vbProcedure="false">'Variation Order Register'!$A$9:$N$60</definedName>
    <definedName function="false" hidden="false" name="DataTable" vbProcedure="false">'Variation Order Register'!$A$9:$N$60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<sst xmlns="http://schemas.openxmlformats.org/spreadsheetml/2006/main" count="119" uniqueCount="107">
  <si>
    <t xml:space="preserve">EBRORA</t>
  </si>
  <si>
    <t xml:space="preserve">ebrora.com</t>
  </si>
  <si>
    <t xml:space="preserve">Variation Order Register</t>
  </si>
  <si>
    <t xml:space="preserve">Track, manage and report on all contract variations from</t>
  </si>
  <si>
    <t xml:space="preserve">identification through to approval and final account reconciliation.</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</si>
  <si>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</si>
  <si>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</si>
  <si>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</si>
  <si>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</si>
  <si>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</si>
  <si>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</si>
  <si>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'Variation Order Register' sheet. The top section contains a live dashboard summarising your variation orders by status, value and variance.</t>
  </si>
  <si>
    <t xml:space="preserve">2.</t>
  </si>
  <si>
    <t xml:space="preserve">Scroll down to the register table (starting at row 9). Each row represents one variation order (VO). Enter data in the light teal cells.</t>
  </si>
  <si>
    <t xml:space="preserve">3.</t>
  </si>
  <si>
    <t xml:space="preserve">Start with the VO Ref — use your project's numbering convention (e.g. VO-001). Enter the date raised, a clear description, who raised it, and the current status.</t>
  </si>
  <si>
    <t xml:space="preserve">4.</t>
  </si>
  <si>
    <t xml:space="preserve">Enter the Estimated Value (£) when the VO is first identified. Once the client or PM approves or adjusts the value, enter the Approved Value (£).</t>
  </si>
  <si>
    <t xml:space="preserve">5.</t>
  </si>
  <si>
    <t xml:space="preserve">Use the Status dropdown to track each VO through its lifecycle: Draft → Submitted → Under Review → Approved / Rejected → Implemented.</t>
  </si>
  <si>
    <t xml:space="preserve">6.</t>
  </si>
  <si>
    <t xml:space="preserve">The dashboard at the top updates automatically — use it in progress meetings and monthly commercial reports.</t>
  </si>
  <si>
    <t xml:space="preserve">Optional Fields</t>
  </si>
  <si>
    <t xml:space="preserve">7.</t>
  </si>
  <si>
    <t xml:space="preserve">Click the [+] button above the right-hand columns to expand optional fields: Contract Clause, Subcontractor, Client Response Date, Days Outstanding, Programme Impact, and Variation Type.</t>
  </si>
  <si>
    <t xml:space="preserve">8.</t>
  </si>
  <si>
    <t xml:space="preserve">Days Outstanding calculates automatically from the date raised. It highlights red when a VO has been unresolved for more than 30 days.</t>
  </si>
  <si>
    <t xml:space="preserve">Colour Key</t>
  </si>
  <si>
    <t xml:space="preserve">Light teal cells (#E8F6F7) — User input. Enter your data here.</t>
  </si>
  <si>
    <t xml:space="preserve">Dark navy headers — Do not edit. Column headers and dashboard labels.</t>
  </si>
  <si>
    <t xml:space="preserve">Green — Status is 'Approved' or 'Implemented'.</t>
  </si>
  <si>
    <t xml:space="preserve">Amber — Status is 'Under Review'.</t>
  </si>
  <si>
    <t xml:space="preserve">Red — Status is 'Rejected', or Days Outstanding exceeds 30 days.</t>
  </si>
  <si>
    <t xml:space="preserve">Blue — Status is 'Submitted'.</t>
  </si>
  <si>
    <t xml:space="preserve">Grey — Status is 'Draft'.</t>
  </si>
  <si>
    <t xml:space="preserve">Tips</t>
  </si>
  <si>
    <t xml:space="preserve">Tip 1:</t>
  </si>
  <si>
    <t xml:space="preserve">Review the register weekly in your commercial meeting. Filter by Status = 'Submitted' or 'Under Review' to chase outstanding items.</t>
  </si>
  <si>
    <t xml:space="preserve">Tip 2:</t>
  </si>
  <si>
    <t xml:space="preserve">Always log a VO the moment it's identified, even as 'Draft' with an estimated value of £0. Early logging prevents items falling through the cracks.</t>
  </si>
  <si>
    <t xml:space="preserve">Tip 3:</t>
  </si>
  <si>
    <t xml:space="preserve">Use the Variation Type optional field (Addition / Omission / Substitution) to quickly filter and report the nature of changes at final account stage.</t>
  </si>
  <si>
    <t xml:space="preserve">VARIATION ORDER REGISTER — DASHBOARD</t>
  </si>
  <si>
    <t xml:space="preserve">Total VOs</t>
  </si>
  <si>
    <t xml:space="preserve">Total Estimated (£)</t>
  </si>
  <si>
    <t xml:space="preserve">Total Approved (£)</t>
  </si>
  <si>
    <t xml:space="preserve">Variance (£)</t>
  </si>
  <si>
    <t xml:space="preserve">Draft</t>
  </si>
  <si>
    <t xml:space="preserve">Submitted</t>
  </si>
  <si>
    <t xml:space="preserve">Under Review</t>
  </si>
  <si>
    <t xml:space="preserve">Approved</t>
  </si>
  <si>
    <t xml:space="preserve">Rejected</t>
  </si>
  <si>
    <t xml:space="preserve">Implemented</t>
  </si>
  <si>
    <t xml:space="preserve">▸ Optional Fields — Click [+] to expand</t>
  </si>
  <si>
    <t xml:space="preserve">VO Ref</t>
  </si>
  <si>
    <t xml:space="preserve">Date Raised</t>
  </si>
  <si>
    <t xml:space="preserve">Description</t>
  </si>
  <si>
    <t xml:space="preserve">Raised By</t>
  </si>
  <si>
    <t xml:space="preserve">Status</t>
  </si>
  <si>
    <t xml:space="preserve">Estimated
Value (£)</t>
  </si>
  <si>
    <t xml:space="preserve">Approved
Value (£)</t>
  </si>
  <si>
    <t xml:space="preserve">Notes</t>
  </si>
  <si>
    <t xml:space="preserve">Contract
Clause</t>
  </si>
  <si>
    <t xml:space="preserve">Subcontractor</t>
  </si>
  <si>
    <t xml:space="preserve">Client Response
Date</t>
  </si>
  <si>
    <t xml:space="preserve">Days
Outstanding</t>
  </si>
  <si>
    <t xml:space="preserve">Programme
Impact</t>
  </si>
  <si>
    <t xml:space="preserve">Variation
Type</t>
  </si>
  <si>
    <t xml:space="preserve">VO-001</t>
  </si>
  <si>
    <t xml:space="preserve">Additional piling to east retaining wall due to unforeseen ground conditions</t>
  </si>
  <si>
    <t xml:space="preserve">Site Manager</t>
  </si>
  <si>
    <t xml:space="preserve">Ground investigation confirmed soft spots</t>
  </si>
  <si>
    <t xml:space="preserve">Cl 60.1</t>
  </si>
  <si>
    <t xml:space="preserve">Murphy Ground Engineering</t>
  </si>
  <si>
    <t xml:space="preserve">Yes</t>
  </si>
  <si>
    <t xml:space="preserve">Addition</t>
  </si>
  <si>
    <t xml:space="preserve">VO-002</t>
  </si>
  <si>
    <t xml:space="preserve">Omission of timber cladding to Block C — replaced with render system</t>
  </si>
  <si>
    <t xml:space="preserve">Client PM</t>
  </si>
  <si>
    <t xml:space="preserve">Client instruction CI-034</t>
  </si>
  <si>
    <t xml:space="preserve">Cl 14.3</t>
  </si>
  <si>
    <t xml:space="preserve">Wates Interiors</t>
  </si>
  <si>
    <t xml:space="preserve">No</t>
  </si>
  <si>
    <t xml:space="preserve">Substitution</t>
  </si>
  <si>
    <t xml:space="preserve">VO-003</t>
  </si>
  <si>
    <t xml:space="preserve">Extended prelims due to 3-week weather delay (Storm Éowyn)</t>
  </si>
  <si>
    <t xml:space="preserve">Contracts Manager</t>
  </si>
  <si>
    <t xml:space="preserve">Awaiting QS assessment</t>
  </si>
  <si>
    <t xml:space="preserve">VO-004</t>
  </si>
  <si>
    <t xml:space="preserve">Additional fire stopping to risers — Building Control requirement</t>
  </si>
  <si>
    <t xml:space="preserve">Design Manager</t>
  </si>
  <si>
    <t xml:space="preserve">Design change notice DCN-017 issued</t>
  </si>
  <si>
    <t xml:space="preserve">Cl 61.1</t>
  </si>
  <si>
    <t xml:space="preserve">Kier Fire Protection</t>
  </si>
  <si>
    <t xml:space="preserve">VO-005</t>
  </si>
  <si>
    <t xml:space="preserve">Omission of landscaping Phase 2 — deferred to separate contract</t>
  </si>
  <si>
    <t xml:space="preserve">Pending formal instruction</t>
  </si>
  <si>
    <t xml:space="preserve">Omission</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</si>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</sst>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quot;(£&quot;#,##0\);\-"/>
    <numFmt numFmtId="168" formatCode="dd/mm/yyyy"/>
    <numFmt numFmtId="169"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BDD7EE"/>
        <bgColor rgb="FFC6EFCE"/>
      </patternFill>
    </fill>
    <fill>
      <patternFill patternType="solid">
        <fgColor rgb="FFFFEB9C"/>
        <bgColor rgb="FFF2F2F2"/>
      </patternFill>
    </fill>
    <fill>
      <patternFill patternType="solid">
        <fgColor rgb="FFC6EFCE"/>
        <bgColor rgb="FFCCFFFF"/>
      </patternFill>
    </fill>
    <fill>
      <patternFill patternType="solid">
        <fgColor rgb="FFFFC7CE"/>
        <bgColor rgb="FFFFEB9C"/>
      </patternFill>
    </fill>
    <fill>
      <patternFill patternType="solid">
        <fgColor rgb="FFA9D08E"/>
        <bgColor rgb="FFBDD7EE"/>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5" fontId="15" fillId="3" borderId="0" xfId="0" applyFont="true" applyBorder="true" applyAlignment="true" applyProtection="false">
      <alignment horizontal="center" vertical="center" textRotation="0" wrapText="true" indent="0" shrinkToFit="false"/>
      <protection locked="true" hidden="false"/>
    </xf>
    <xf numFmtId="166" fontId="15" fillId="3" borderId="0" xfId="0" applyFont="true" applyBorder="true" applyAlignment="true" applyProtection="false">
      <alignment horizontal="center" vertical="center" textRotation="0" wrapText="true" indent="0" shrinkToFit="false"/>
      <protection locked="true" hidden="false"/>
    </xf>
    <xf numFmtId="167" fontId="15" fillId="3"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12" fillId="9" borderId="0" xfId="0" applyFont="true" applyBorder="true" applyAlignment="true" applyProtection="false">
      <alignment horizontal="center" vertical="center" textRotation="0" wrapText="true" indent="0" shrinkToFit="false"/>
      <protection locked="true" hidden="false"/>
    </xf>
    <xf numFmtId="164" fontId="12" fillId="1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8"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6" fontId="13" fillId="4" borderId="3" xfId="0" applyFont="true" applyBorder="true" applyAlignment="true" applyProtection="false">
      <alignment horizontal="center" vertical="center" textRotation="0" wrapText="true" indent="0" shrinkToFit="false"/>
      <protection locked="true" hidden="false"/>
    </xf>
    <xf numFmtId="169" fontId="13" fillId="3" borderId="3"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FFC7CE"/>
          <bgColor rgb="FF000000"/>
        </patternFill>
      </fill>
    </dxf>
    <dxf>
      <fill>
        <patternFill>
          <bgColor rgb="FFF2F2F2"/>
        </patternFill>
      </fill>
    </dxf>
    <dxf>
      <fill>
        <patternFill>
          <bgColor rgb="FFBDD7EE"/>
        </patternFill>
      </fill>
    </dxf>
    <dxf>
      <fill>
        <patternFill>
          <bgColor rgb="FFFFEB9C"/>
        </patternFill>
      </fill>
    </dxf>
    <dxf>
      <fill>
        <patternFill>
          <bgColor rgb="FFC6EFCE"/>
        </patternFill>
      </fill>
    </dxf>
    <dxf>
      <fill>
        <patternFill>
          <bgColor rgb="FFFFC7CE"/>
        </patternFill>
      </fill>
    </dxf>
    <dxf>
      <fill>
        <patternFill>
          <bgColor rgb="FFA9D08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9" customFormat="false" ht="15" hidden="false" customHeight="true" outlineLevel="0" collapsed="false">
      <c r="A9" s="12" t="s">
        <v>20</v>
      </c>
      <c r="B9" s="13" t="s">
        <v>21</v>
      </c>
      <c r="C9" s="13"/>
      <c r="D9" s="13"/>
      <c r="E9" s="13"/>
      <c r="F9" s="13"/>
    </row>
    <row r="11" customFormat="false" ht="15" hidden="false" customHeight="true" outlineLevel="0" collapsed="false">
      <c r="A11" s="11" t="s">
        <v>22</v>
      </c>
      <c r="B11" s="11"/>
      <c r="C11" s="11"/>
      <c r="D11" s="11"/>
      <c r="E11" s="11"/>
      <c r="F11" s="11"/>
    </row>
    <row r="12" customFormat="false" ht="23.85" hidden="false" customHeight="true" outlineLevel="0" collapsed="false">
      <c r="A12" s="12" t="s">
        <v>23</v>
      </c>
      <c r="B12" s="13" t="s">
        <v>24</v>
      </c>
      <c r="C12" s="13"/>
      <c r="D12" s="13"/>
      <c r="E12" s="13"/>
      <c r="F12" s="13"/>
    </row>
    <row r="13" customFormat="false" ht="23.85" hidden="false" customHeight="true" outlineLevel="0" collapsed="false">
      <c r="A13" s="12" t="s">
        <v>25</v>
      </c>
      <c r="B13" s="13" t="s">
        <v>26</v>
      </c>
      <c r="C13" s="13"/>
      <c r="D13" s="13"/>
      <c r="E13" s="13"/>
      <c r="F13" s="13"/>
    </row>
    <row r="15" customFormat="false" ht="15" hidden="false" customHeight="true" outlineLevel="0" collapsed="false">
      <c r="A15" s="11" t="s">
        <v>27</v>
      </c>
      <c r="B15" s="11"/>
      <c r="C15" s="11"/>
      <c r="D15" s="11"/>
      <c r="E15" s="11"/>
      <c r="F15" s="11"/>
    </row>
    <row r="16" customFormat="false" ht="15" hidden="false" customHeight="true" outlineLevel="0" collapsed="false">
      <c r="A16" s="14" t="s">
        <v>28</v>
      </c>
      <c r="B16" s="14"/>
      <c r="C16" s="14"/>
      <c r="D16" s="14"/>
      <c r="E16" s="14"/>
      <c r="F16" s="14"/>
    </row>
    <row r="17" customFormat="false" ht="15" hidden="false" customHeight="true" outlineLevel="0" collapsed="false">
      <c r="A17" s="14" t="s">
        <v>29</v>
      </c>
      <c r="B17" s="14"/>
      <c r="C17" s="14"/>
      <c r="D17" s="14"/>
      <c r="E17" s="14"/>
      <c r="F17" s="14"/>
    </row>
    <row r="18" customFormat="false" ht="15" hidden="false" customHeight="true" outlineLevel="0" collapsed="false">
      <c r="A18" s="14" t="s">
        <v>30</v>
      </c>
      <c r="B18" s="14"/>
      <c r="C18" s="14"/>
      <c r="D18" s="14"/>
      <c r="E18" s="14"/>
      <c r="F18" s="14"/>
    </row>
    <row r="19" customFormat="false" ht="15" hidden="false" customHeight="true" outlineLevel="0" collapsed="false">
      <c r="A19" s="14" t="s">
        <v>31</v>
      </c>
      <c r="B19" s="14"/>
      <c r="C19" s="14"/>
      <c r="D19" s="14"/>
      <c r="E19" s="14"/>
      <c r="F19" s="14"/>
    </row>
    <row r="20" customFormat="false" ht="15" hidden="false" customHeight="true" outlineLevel="0" collapsed="false">
      <c r="A20" s="14" t="s">
        <v>32</v>
      </c>
      <c r="B20" s="14"/>
      <c r="C20" s="14"/>
      <c r="D20" s="14"/>
      <c r="E20" s="14"/>
      <c r="F20" s="14"/>
    </row>
    <row r="21" customFormat="false" ht="15" hidden="false" customHeight="true" outlineLevel="0" collapsed="false">
      <c r="A21" s="14" t="s">
        <v>33</v>
      </c>
      <c r="B21" s="14"/>
      <c r="C21" s="14"/>
      <c r="D21" s="14"/>
      <c r="E21" s="14"/>
      <c r="F21" s="14"/>
    </row>
    <row r="22" customFormat="false" ht="15" hidden="false" customHeight="true" outlineLevel="0" collapsed="false">
      <c r="A22" s="14" t="s">
        <v>34</v>
      </c>
      <c r="B22" s="14"/>
      <c r="C22" s="14"/>
      <c r="D22" s="14"/>
      <c r="E22" s="14"/>
      <c r="F22" s="14"/>
    </row>
    <row r="24" customFormat="false" ht="15" hidden="false" customHeight="true" outlineLevel="0" collapsed="false">
      <c r="A24" s="11" t="s">
        <v>35</v>
      </c>
      <c r="B24" s="11"/>
      <c r="C24" s="11"/>
      <c r="D24" s="11"/>
      <c r="E24" s="11"/>
      <c r="F24" s="11"/>
    </row>
    <row r="25" customFormat="false" ht="23.85" hidden="false" customHeight="true" outlineLevel="0" collapsed="false">
      <c r="A25" s="12" t="s">
        <v>36</v>
      </c>
      <c r="B25" s="13" t="s">
        <v>37</v>
      </c>
      <c r="C25" s="13"/>
      <c r="D25" s="13"/>
      <c r="E25" s="13"/>
      <c r="F25" s="13"/>
    </row>
    <row r="26" customFormat="false" ht="23.85" hidden="false" customHeight="true" outlineLevel="0" collapsed="false">
      <c r="A26" s="12" t="s">
        <v>38</v>
      </c>
      <c r="B26" s="13" t="s">
        <v>39</v>
      </c>
      <c r="C26" s="13"/>
      <c r="D26" s="13"/>
      <c r="E26" s="13"/>
      <c r="F26" s="13"/>
    </row>
    <row r="27" customFormat="false" ht="23.85" hidden="false" customHeight="true" outlineLevel="0" collapsed="false">
      <c r="A27" s="12" t="s">
        <v>40</v>
      </c>
      <c r="B27" s="13" t="s">
        <v>41</v>
      </c>
      <c r="C27" s="13"/>
      <c r="D27" s="13"/>
      <c r="E27" s="13"/>
      <c r="F27" s="13"/>
    </row>
  </sheetData>
  <mergeCells count="23">
    <mergeCell ref="A1:F1"/>
    <mergeCell ref="A3:F3"/>
    <mergeCell ref="B4:F4"/>
    <mergeCell ref="B5:F5"/>
    <mergeCell ref="B6:F6"/>
    <mergeCell ref="B7:F7"/>
    <mergeCell ref="B8:F8"/>
    <mergeCell ref="B9:F9"/>
    <mergeCell ref="A11:F11"/>
    <mergeCell ref="B12:F12"/>
    <mergeCell ref="B13:F13"/>
    <mergeCell ref="A15:F15"/>
    <mergeCell ref="A16:F16"/>
    <mergeCell ref="A17:F17"/>
    <mergeCell ref="A18:F18"/>
    <mergeCell ref="A19:F19"/>
    <mergeCell ref="A20:F20"/>
    <mergeCell ref="A21:F21"/>
    <mergeCell ref="A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40"/>
    <col collapsed="false" customWidth="true" hidden="false" outlineLevel="0" max="5" min="4" style="0" width="16"/>
    <col collapsed="false" customWidth="true" hidden="false" outlineLevel="0" max="7" min="6" style="0" width="15"/>
    <col collapsed="false" customWidth="true" hidden="false" outlineLevel="0" max="8" min="8" style="0" width="35"/>
    <col collapsed="false" customWidth="true" hidden="true" outlineLevel="1" max="14" min="9" style="0" width="14"/>
  </cols>
  <sheetData>
    <row r="1" customFormat="false" ht="15" hidden="false" customHeight="true" outlineLevel="0" collapsed="false">
      <c r="A1" s="15" t="s">
        <v>42</v>
      </c>
      <c r="B1" s="15"/>
      <c r="C1" s="15"/>
      <c r="D1" s="15"/>
      <c r="E1" s="15"/>
      <c r="F1" s="15"/>
      <c r="G1" s="15"/>
      <c r="H1" s="15"/>
      <c r="I1" s="15"/>
      <c r="J1" s="15"/>
      <c r="K1" s="15"/>
      <c r="L1" s="15"/>
      <c r="M1" s="15"/>
      <c r="N1" s="15"/>
    </row>
    <row r="3" customFormat="false" ht="15" hidden="false" customHeight="true" outlineLevel="0" collapsed="false">
      <c r="A3" s="16" t="s">
        <v>43</v>
      </c>
      <c r="B3" s="16"/>
      <c r="C3" s="16" t="s">
        <v>44</v>
      </c>
      <c r="D3" s="16"/>
      <c r="E3" s="16" t="s">
        <v>45</v>
      </c>
      <c r="F3" s="16"/>
      <c r="G3" s="16" t="s">
        <v>46</v>
      </c>
      <c r="H3" s="16"/>
    </row>
    <row r="4" customFormat="false" ht="15" hidden="false" customHeight="false" outlineLevel="0" collapsed="false">
      <c r="A4" s="17" t="n">
        <f aca="false">COUNTA(A10:A60)</f>
        <v>5</v>
      </c>
      <c r="B4" s="17"/>
      <c r="C4" s="18" t="n">
        <f aca="false">SUM(F10:F60)</f>
        <v>42500</v>
      </c>
      <c r="D4" s="18"/>
      <c r="E4" s="18" t="n">
        <f aca="false">SUM(G10:G60)</f>
        <v>25300</v>
      </c>
      <c r="F4" s="18"/>
      <c r="G4" s="19" t="n">
        <f aca="false">E4-C4</f>
        <v>-17200</v>
      </c>
      <c r="H4" s="19"/>
    </row>
    <row r="6" customFormat="false" ht="15" hidden="false" customHeight="true" outlineLevel="0" collapsed="false">
      <c r="A6" s="16" t="s">
        <v>47</v>
      </c>
      <c r="B6" s="16"/>
      <c r="C6" s="20" t="s">
        <v>48</v>
      </c>
      <c r="D6" s="20"/>
      <c r="E6" s="21" t="s">
        <v>49</v>
      </c>
      <c r="F6" s="21"/>
      <c r="G6" s="22" t="s">
        <v>50</v>
      </c>
      <c r="H6" s="22"/>
      <c r="I6" s="23" t="s">
        <v>51</v>
      </c>
      <c r="J6" s="23"/>
      <c r="K6" s="24" t="s">
        <v>52</v>
      </c>
      <c r="L6" s="24"/>
    </row>
    <row r="7" customFormat="false" ht="15" hidden="false" customHeight="false" outlineLevel="0" collapsed="false">
      <c r="A7" s="17" t="n">
        <f aca="false">COUNTIF(E10:E60,"Draft")</f>
        <v>1</v>
      </c>
      <c r="B7" s="17"/>
      <c r="C7" s="17" t="n">
        <f aca="false">COUNTIF(E10:E60,"Submitted")</f>
        <v>1</v>
      </c>
      <c r="D7" s="17"/>
      <c r="E7" s="17" t="n">
        <f aca="false">COUNTIF(E10:E60,"Under Review")</f>
        <v>1</v>
      </c>
      <c r="F7" s="17"/>
      <c r="G7" s="17" t="n">
        <f aca="false">COUNTIF(E10:E60,"Approved")</f>
        <v>2</v>
      </c>
      <c r="H7" s="17"/>
      <c r="I7" s="17" t="n">
        <f aca="false">COUNTIF(E10:E60,"Rejected")</f>
        <v>0</v>
      </c>
      <c r="J7" s="17"/>
      <c r="K7" s="17" t="n">
        <f aca="false">COUNTIF(E10:E60,"Implemented")</f>
        <v>0</v>
      </c>
      <c r="L7" s="17"/>
    </row>
    <row r="8" customFormat="false" ht="22.35" hidden="false" customHeight="true" outlineLevel="0" collapsed="false">
      <c r="A8" s="25"/>
      <c r="B8" s="25"/>
      <c r="C8" s="25"/>
      <c r="D8" s="25"/>
      <c r="E8" s="25"/>
      <c r="F8" s="25"/>
      <c r="G8" s="25"/>
      <c r="H8" s="25"/>
      <c r="I8" s="26" t="s">
        <v>53</v>
      </c>
      <c r="J8" s="26"/>
      <c r="K8" s="26"/>
      <c r="L8" s="26"/>
      <c r="M8" s="26"/>
      <c r="N8" s="26"/>
    </row>
    <row r="9" customFormat="false" ht="41.75" hidden="false" customHeight="false" outlineLevel="0" collapsed="false">
      <c r="A9" s="27" t="s">
        <v>54</v>
      </c>
      <c r="B9" s="27" t="s">
        <v>55</v>
      </c>
      <c r="C9" s="27" t="s">
        <v>56</v>
      </c>
      <c r="D9" s="27" t="s">
        <v>57</v>
      </c>
      <c r="E9" s="27" t="s">
        <v>58</v>
      </c>
      <c r="F9" s="27" t="s">
        <v>59</v>
      </c>
      <c r="G9" s="27" t="s">
        <v>60</v>
      </c>
      <c r="H9" s="27" t="s">
        <v>61</v>
      </c>
      <c r="I9" s="27" t="s">
        <v>62</v>
      </c>
      <c r="J9" s="27" t="s">
        <v>63</v>
      </c>
      <c r="K9" s="27" t="s">
        <v>64</v>
      </c>
      <c r="L9" s="27" t="s">
        <v>65</v>
      </c>
      <c r="M9" s="27" t="s">
        <v>66</v>
      </c>
      <c r="N9" s="27" t="s">
        <v>67</v>
      </c>
    </row>
    <row r="10" customFormat="false" ht="23.85" hidden="false" customHeight="false" outlineLevel="0" collapsed="false">
      <c r="A10" s="28" t="s">
        <v>68</v>
      </c>
      <c r="B10" s="29" t="n">
        <v>45915</v>
      </c>
      <c r="C10" s="30" t="s">
        <v>69</v>
      </c>
      <c r="D10" s="28" t="s">
        <v>70</v>
      </c>
      <c r="E10" s="28" t="s">
        <v>50</v>
      </c>
      <c r="F10" s="31" t="n">
        <v>45000</v>
      </c>
      <c r="G10" s="31" t="n">
        <v>42500</v>
      </c>
      <c r="H10" s="30" t="s">
        <v>71</v>
      </c>
      <c r="I10" s="28" t="s">
        <v>72</v>
      </c>
      <c r="J10" s="28" t="s">
        <v>73</v>
      </c>
      <c r="K10" s="29" t="n">
        <v>45932</v>
      </c>
      <c r="L10" s="32" t="n">
        <f aca="true">IF(AND(B10&lt;&gt;"",OR(E10="Draft",E10="Submitted",E10="Under Review")),TODAY()-B10,IF(AND(B10&lt;&gt;"",K10&lt;&gt;""),K10-B10,""))</f>
        <v>17</v>
      </c>
      <c r="M10" s="28" t="s">
        <v>74</v>
      </c>
      <c r="N10" s="28" t="s">
        <v>75</v>
      </c>
    </row>
    <row r="11" customFormat="false" ht="23.85" hidden="false" customHeight="false" outlineLevel="0" collapsed="false">
      <c r="A11" s="28" t="s">
        <v>76</v>
      </c>
      <c r="B11" s="29" t="n">
        <v>45933</v>
      </c>
      <c r="C11" s="30" t="s">
        <v>77</v>
      </c>
      <c r="D11" s="28" t="s">
        <v>78</v>
      </c>
      <c r="E11" s="28" t="s">
        <v>50</v>
      </c>
      <c r="F11" s="31" t="n">
        <v>-18000</v>
      </c>
      <c r="G11" s="31" t="n">
        <v>-17200</v>
      </c>
      <c r="H11" s="30" t="s">
        <v>79</v>
      </c>
      <c r="I11" s="28" t="s">
        <v>80</v>
      </c>
      <c r="J11" s="28" t="s">
        <v>81</v>
      </c>
      <c r="K11" s="29" t="n">
        <v>45940</v>
      </c>
      <c r="L11" s="32" t="n">
        <f aca="true">IF(AND(B11&lt;&gt;"",OR(E11="Draft",E11="Submitted",E11="Under Review")),TODAY()-B11,IF(AND(B11&lt;&gt;"",K11&lt;&gt;""),K11-B11,""))</f>
        <v>7</v>
      </c>
      <c r="M11" s="28" t="s">
        <v>82</v>
      </c>
      <c r="N11" s="28" t="s">
        <v>83</v>
      </c>
    </row>
    <row r="12" customFormat="false" ht="23.85" hidden="false" customHeight="false" outlineLevel="0" collapsed="false">
      <c r="A12" s="28" t="s">
        <v>84</v>
      </c>
      <c r="B12" s="29" t="n">
        <v>45973</v>
      </c>
      <c r="C12" s="30" t="s">
        <v>85</v>
      </c>
      <c r="D12" s="28" t="s">
        <v>86</v>
      </c>
      <c r="E12" s="28" t="s">
        <v>49</v>
      </c>
      <c r="F12" s="31" t="n">
        <v>32000</v>
      </c>
      <c r="G12" s="31" t="n">
        <v>0</v>
      </c>
      <c r="H12" s="30" t="s">
        <v>87</v>
      </c>
      <c r="I12" s="28" t="s">
        <v>72</v>
      </c>
      <c r="J12" s="28"/>
      <c r="K12" s="29"/>
      <c r="L12" s="32" t="n">
        <f aca="true">IF(AND(B12&lt;&gt;"",OR(E12="Draft",E12="Submitted",E12="Under Review")),TODAY()-B12,IF(AND(B12&lt;&gt;"",K12&lt;&gt;""),K12-B12,""))</f>
        <v>130</v>
      </c>
      <c r="M12" s="28" t="s">
        <v>74</v>
      </c>
      <c r="N12" s="28" t="s">
        <v>75</v>
      </c>
    </row>
    <row r="13" customFormat="false" ht="23.85" hidden="false" customHeight="false" outlineLevel="0" collapsed="false">
      <c r="A13" s="28" t="s">
        <v>88</v>
      </c>
      <c r="B13" s="29" t="n">
        <v>45992</v>
      </c>
      <c r="C13" s="30" t="s">
        <v>89</v>
      </c>
      <c r="D13" s="28" t="s">
        <v>90</v>
      </c>
      <c r="E13" s="28" t="s">
        <v>48</v>
      </c>
      <c r="F13" s="31" t="n">
        <v>8500</v>
      </c>
      <c r="G13" s="31" t="n">
        <v>0</v>
      </c>
      <c r="H13" s="30" t="s">
        <v>91</v>
      </c>
      <c r="I13" s="28" t="s">
        <v>92</v>
      </c>
      <c r="J13" s="28" t="s">
        <v>93</v>
      </c>
      <c r="K13" s="29"/>
      <c r="L13" s="32" t="n">
        <f aca="true">IF(AND(B13&lt;&gt;"",OR(E13="Draft",E13="Submitted",E13="Under Review")),TODAY()-B13,IF(AND(B13&lt;&gt;"",K13&lt;&gt;""),K13-B13,""))</f>
        <v>111</v>
      </c>
      <c r="M13" s="28" t="s">
        <v>82</v>
      </c>
      <c r="N13" s="28" t="s">
        <v>75</v>
      </c>
    </row>
    <row r="14" customFormat="false" ht="23.85" hidden="false" customHeight="false" outlineLevel="0" collapsed="false">
      <c r="A14" s="28" t="s">
        <v>94</v>
      </c>
      <c r="B14" s="29" t="n">
        <v>46042</v>
      </c>
      <c r="C14" s="30" t="s">
        <v>95</v>
      </c>
      <c r="D14" s="28" t="s">
        <v>78</v>
      </c>
      <c r="E14" s="28" t="s">
        <v>47</v>
      </c>
      <c r="F14" s="31" t="n">
        <v>-25000</v>
      </c>
      <c r="G14" s="31" t="n">
        <v>0</v>
      </c>
      <c r="H14" s="30" t="s">
        <v>96</v>
      </c>
      <c r="I14" s="28"/>
      <c r="J14" s="28"/>
      <c r="K14" s="29"/>
      <c r="L14" s="32" t="n">
        <f aca="true">IF(AND(B14&lt;&gt;"",OR(E14="Draft",E14="Submitted",E14="Under Review")),TODAY()-B14,IF(AND(B14&lt;&gt;"",K14&lt;&gt;""),K14-B14,""))</f>
        <v>61</v>
      </c>
      <c r="M14" s="28" t="s">
        <v>82</v>
      </c>
      <c r="N14" s="28" t="s">
        <v>97</v>
      </c>
    </row>
    <row r="15" customFormat="false" ht="15" hidden="false" customHeight="false" outlineLevel="0" collapsed="false">
      <c r="A15" s="28"/>
      <c r="B15" s="29"/>
      <c r="C15" s="30"/>
      <c r="D15" s="28"/>
      <c r="E15" s="28"/>
      <c r="F15" s="31"/>
      <c r="G15" s="31"/>
      <c r="H15" s="30"/>
      <c r="I15" s="28"/>
      <c r="J15" s="28"/>
      <c r="K15" s="29"/>
      <c r="L15" s="32" t="str">
        <f aca="true">IF(AND(B15&lt;&gt;"",OR(E15="Draft",E15="Submitted",E15="Under Review")),TODAY()-B15,IF(AND(B15&lt;&gt;"",K15&lt;&gt;""),K15-B15,""))</f>
        <v/>
      </c>
      <c r="M15" s="28"/>
      <c r="N15" s="28"/>
    </row>
    <row r="16" customFormat="false" ht="15" hidden="false" customHeight="false" outlineLevel="0" collapsed="false">
      <c r="A16" s="28"/>
      <c r="B16" s="29"/>
      <c r="C16" s="30"/>
      <c r="D16" s="28"/>
      <c r="E16" s="28"/>
      <c r="F16" s="31"/>
      <c r="G16" s="31"/>
      <c r="H16" s="30"/>
      <c r="I16" s="28"/>
      <c r="J16" s="28"/>
      <c r="K16" s="29"/>
      <c r="L16" s="32" t="str">
        <f aca="true">IF(AND(B16&lt;&gt;"",OR(E16="Draft",E16="Submitted",E16="Under Review")),TODAY()-B16,IF(AND(B16&lt;&gt;"",K16&lt;&gt;""),K16-B16,""))</f>
        <v/>
      </c>
      <c r="M16" s="28"/>
      <c r="N16" s="28"/>
    </row>
    <row r="17" customFormat="false" ht="15" hidden="false" customHeight="false" outlineLevel="0" collapsed="false">
      <c r="A17" s="28"/>
      <c r="B17" s="29"/>
      <c r="C17" s="30"/>
      <c r="D17" s="28"/>
      <c r="E17" s="28"/>
      <c r="F17" s="31"/>
      <c r="G17" s="31"/>
      <c r="H17" s="30"/>
      <c r="I17" s="28"/>
      <c r="J17" s="28"/>
      <c r="K17" s="29"/>
      <c r="L17" s="32" t="str">
        <f aca="true">IF(AND(B17&lt;&gt;"",OR(E17="Draft",E17="Submitted",E17="Under Review")),TODAY()-B17,IF(AND(B17&lt;&gt;"",K17&lt;&gt;""),K17-B17,""))</f>
        <v/>
      </c>
      <c r="M17" s="28"/>
      <c r="N17" s="28"/>
    </row>
    <row r="18" customFormat="false" ht="15" hidden="false" customHeight="false" outlineLevel="0" collapsed="false">
      <c r="A18" s="28"/>
      <c r="B18" s="29"/>
      <c r="C18" s="30"/>
      <c r="D18" s="28"/>
      <c r="E18" s="28"/>
      <c r="F18" s="31"/>
      <c r="G18" s="31"/>
      <c r="H18" s="30"/>
      <c r="I18" s="28"/>
      <c r="J18" s="28"/>
      <c r="K18" s="29"/>
      <c r="L18" s="32" t="str">
        <f aca="true">IF(AND(B18&lt;&gt;"",OR(E18="Draft",E18="Submitted",E18="Under Review")),TODAY()-B18,IF(AND(B18&lt;&gt;"",K18&lt;&gt;""),K18-B18,""))</f>
        <v/>
      </c>
      <c r="M18" s="28"/>
      <c r="N18" s="28"/>
    </row>
    <row r="19" customFormat="false" ht="15" hidden="false" customHeight="false" outlineLevel="0" collapsed="false">
      <c r="A19" s="28"/>
      <c r="B19" s="29"/>
      <c r="C19" s="30"/>
      <c r="D19" s="28"/>
      <c r="E19" s="28"/>
      <c r="F19" s="31"/>
      <c r="G19" s="31"/>
      <c r="H19" s="30"/>
      <c r="I19" s="28"/>
      <c r="J19" s="28"/>
      <c r="K19" s="29"/>
      <c r="L19" s="32" t="str">
        <f aca="true">IF(AND(B19&lt;&gt;"",OR(E19="Draft",E19="Submitted",E19="Under Review")),TODAY()-B19,IF(AND(B19&lt;&gt;"",K19&lt;&gt;""),K19-B19,""))</f>
        <v/>
      </c>
      <c r="M19" s="28"/>
      <c r="N19" s="28"/>
    </row>
    <row r="20" customFormat="false" ht="15" hidden="false" customHeight="false" outlineLevel="0" collapsed="false">
      <c r="A20" s="28"/>
      <c r="B20" s="29"/>
      <c r="C20" s="30"/>
      <c r="D20" s="28"/>
      <c r="E20" s="28"/>
      <c r="F20" s="31"/>
      <c r="G20" s="31"/>
      <c r="H20" s="30"/>
      <c r="I20" s="28"/>
      <c r="J20" s="28"/>
      <c r="K20" s="29"/>
      <c r="L20" s="32" t="str">
        <f aca="true">IF(AND(B20&lt;&gt;"",OR(E20="Draft",E20="Submitted",E20="Under Review")),TODAY()-B20,IF(AND(B20&lt;&gt;"",K20&lt;&gt;""),K20-B20,""))</f>
        <v/>
      </c>
      <c r="M20" s="28"/>
      <c r="N20" s="28"/>
    </row>
    <row r="21" customFormat="false" ht="15" hidden="false" customHeight="false" outlineLevel="0" collapsed="false">
      <c r="A21" s="28"/>
      <c r="B21" s="29"/>
      <c r="C21" s="30"/>
      <c r="D21" s="28"/>
      <c r="E21" s="28"/>
      <c r="F21" s="31"/>
      <c r="G21" s="31"/>
      <c r="H21" s="30"/>
      <c r="I21" s="28"/>
      <c r="J21" s="28"/>
      <c r="K21" s="29"/>
      <c r="L21" s="32" t="str">
        <f aca="true">IF(AND(B21&lt;&gt;"",OR(E21="Draft",E21="Submitted",E21="Under Review")),TODAY()-B21,IF(AND(B21&lt;&gt;"",K21&lt;&gt;""),K21-B21,""))</f>
        <v/>
      </c>
      <c r="M21" s="28"/>
      <c r="N21" s="28"/>
    </row>
    <row r="22" customFormat="false" ht="15" hidden="false" customHeight="false" outlineLevel="0" collapsed="false">
      <c r="A22" s="28"/>
      <c r="B22" s="29"/>
      <c r="C22" s="30"/>
      <c r="D22" s="28"/>
      <c r="E22" s="28"/>
      <c r="F22" s="31"/>
      <c r="G22" s="31"/>
      <c r="H22" s="30"/>
      <c r="I22" s="28"/>
      <c r="J22" s="28"/>
      <c r="K22" s="29"/>
      <c r="L22" s="32" t="str">
        <f aca="true">IF(AND(B22&lt;&gt;"",OR(E22="Draft",E22="Submitted",E22="Under Review")),TODAY()-B22,IF(AND(B22&lt;&gt;"",K22&lt;&gt;""),K22-B22,""))</f>
        <v/>
      </c>
      <c r="M22" s="28"/>
      <c r="N22" s="28"/>
    </row>
    <row r="23" customFormat="false" ht="15" hidden="false" customHeight="false" outlineLevel="0" collapsed="false">
      <c r="A23" s="28"/>
      <c r="B23" s="29"/>
      <c r="C23" s="30"/>
      <c r="D23" s="28"/>
      <c r="E23" s="28"/>
      <c r="F23" s="31"/>
      <c r="G23" s="31"/>
      <c r="H23" s="30"/>
      <c r="I23" s="28"/>
      <c r="J23" s="28"/>
      <c r="K23" s="29"/>
      <c r="L23" s="32" t="str">
        <f aca="true">IF(AND(B23&lt;&gt;"",OR(E23="Draft",E23="Submitted",E23="Under Review")),TODAY()-B23,IF(AND(B23&lt;&gt;"",K23&lt;&gt;""),K23-B23,""))</f>
        <v/>
      </c>
      <c r="M23" s="28"/>
      <c r="N23" s="28"/>
    </row>
    <row r="24" customFormat="false" ht="15" hidden="false" customHeight="false" outlineLevel="0" collapsed="false">
      <c r="A24" s="28"/>
      <c r="B24" s="29"/>
      <c r="C24" s="30"/>
      <c r="D24" s="28"/>
      <c r="E24" s="28"/>
      <c r="F24" s="31"/>
      <c r="G24" s="31"/>
      <c r="H24" s="30"/>
      <c r="I24" s="28"/>
      <c r="J24" s="28"/>
      <c r="K24" s="29"/>
      <c r="L24" s="32" t="str">
        <f aca="true">IF(AND(B24&lt;&gt;"",OR(E24="Draft",E24="Submitted",E24="Under Review")),TODAY()-B24,IF(AND(B24&lt;&gt;"",K24&lt;&gt;""),K24-B24,""))</f>
        <v/>
      </c>
      <c r="M24" s="28"/>
      <c r="N24" s="28"/>
    </row>
    <row r="25" customFormat="false" ht="15" hidden="false" customHeight="false" outlineLevel="0" collapsed="false">
      <c r="A25" s="28"/>
      <c r="B25" s="29"/>
      <c r="C25" s="30"/>
      <c r="D25" s="28"/>
      <c r="E25" s="28"/>
      <c r="F25" s="31"/>
      <c r="G25" s="31"/>
      <c r="H25" s="30"/>
      <c r="I25" s="28"/>
      <c r="J25" s="28"/>
      <c r="K25" s="29"/>
      <c r="L25" s="32" t="str">
        <f aca="true">IF(AND(B25&lt;&gt;"",OR(E25="Draft",E25="Submitted",E25="Under Review")),TODAY()-B25,IF(AND(B25&lt;&gt;"",K25&lt;&gt;""),K25-B25,""))</f>
        <v/>
      </c>
      <c r="M25" s="28"/>
      <c r="N25" s="28"/>
    </row>
    <row r="26" customFormat="false" ht="15" hidden="false" customHeight="false" outlineLevel="0" collapsed="false">
      <c r="A26" s="28"/>
      <c r="B26" s="29"/>
      <c r="C26" s="30"/>
      <c r="D26" s="28"/>
      <c r="E26" s="28"/>
      <c r="F26" s="31"/>
      <c r="G26" s="31"/>
      <c r="H26" s="30"/>
      <c r="I26" s="28"/>
      <c r="J26" s="28"/>
      <c r="K26" s="29"/>
      <c r="L26" s="32" t="str">
        <f aca="true">IF(AND(B26&lt;&gt;"",OR(E26="Draft",E26="Submitted",E26="Under Review")),TODAY()-B26,IF(AND(B26&lt;&gt;"",K26&lt;&gt;""),K26-B26,""))</f>
        <v/>
      </c>
      <c r="M26" s="28"/>
      <c r="N26" s="28"/>
    </row>
    <row r="27" customFormat="false" ht="15" hidden="false" customHeight="false" outlineLevel="0" collapsed="false">
      <c r="A27" s="28"/>
      <c r="B27" s="29"/>
      <c r="C27" s="30"/>
      <c r="D27" s="28"/>
      <c r="E27" s="28"/>
      <c r="F27" s="31"/>
      <c r="G27" s="31"/>
      <c r="H27" s="30"/>
      <c r="I27" s="28"/>
      <c r="J27" s="28"/>
      <c r="K27" s="29"/>
      <c r="L27" s="32" t="str">
        <f aca="true">IF(AND(B27&lt;&gt;"",OR(E27="Draft",E27="Submitted",E27="Under Review")),TODAY()-B27,IF(AND(B27&lt;&gt;"",K27&lt;&gt;""),K27-B27,""))</f>
        <v/>
      </c>
      <c r="M27" s="28"/>
      <c r="N27" s="28"/>
    </row>
    <row r="28" customFormat="false" ht="15" hidden="false" customHeight="false" outlineLevel="0" collapsed="false">
      <c r="A28" s="28"/>
      <c r="B28" s="29"/>
      <c r="C28" s="30"/>
      <c r="D28" s="28"/>
      <c r="E28" s="28"/>
      <c r="F28" s="31"/>
      <c r="G28" s="31"/>
      <c r="H28" s="30"/>
      <c r="I28" s="28"/>
      <c r="J28" s="28"/>
      <c r="K28" s="29"/>
      <c r="L28" s="32" t="str">
        <f aca="true">IF(AND(B28&lt;&gt;"",OR(E28="Draft",E28="Submitted",E28="Under Review")),TODAY()-B28,IF(AND(B28&lt;&gt;"",K28&lt;&gt;""),K28-B28,""))</f>
        <v/>
      </c>
      <c r="M28" s="28"/>
      <c r="N28" s="28"/>
    </row>
    <row r="29" customFormat="false" ht="15" hidden="false" customHeight="false" outlineLevel="0" collapsed="false">
      <c r="A29" s="28"/>
      <c r="B29" s="29"/>
      <c r="C29" s="30"/>
      <c r="D29" s="28"/>
      <c r="E29" s="28"/>
      <c r="F29" s="31"/>
      <c r="G29" s="31"/>
      <c r="H29" s="30"/>
      <c r="I29" s="28"/>
      <c r="J29" s="28"/>
      <c r="K29" s="29"/>
      <c r="L29" s="32" t="str">
        <f aca="true">IF(AND(B29&lt;&gt;"",OR(E29="Draft",E29="Submitted",E29="Under Review")),TODAY()-B29,IF(AND(B29&lt;&gt;"",K29&lt;&gt;""),K29-B29,""))</f>
        <v/>
      </c>
      <c r="M29" s="28"/>
      <c r="N29" s="28"/>
    </row>
    <row r="30" customFormat="false" ht="15" hidden="false" customHeight="false" outlineLevel="0" collapsed="false">
      <c r="A30" s="28"/>
      <c r="B30" s="29"/>
      <c r="C30" s="30"/>
      <c r="D30" s="28"/>
      <c r="E30" s="28"/>
      <c r="F30" s="31"/>
      <c r="G30" s="31"/>
      <c r="H30" s="30"/>
      <c r="I30" s="28"/>
      <c r="J30" s="28"/>
      <c r="K30" s="29"/>
      <c r="L30" s="32" t="str">
        <f aca="true">IF(AND(B30&lt;&gt;"",OR(E30="Draft",E30="Submitted",E30="Under Review")),TODAY()-B30,IF(AND(B30&lt;&gt;"",K30&lt;&gt;""),K30-B30,""))</f>
        <v/>
      </c>
      <c r="M30" s="28"/>
      <c r="N30" s="28"/>
    </row>
    <row r="31" customFormat="false" ht="15" hidden="false" customHeight="false" outlineLevel="0" collapsed="false">
      <c r="A31" s="28"/>
      <c r="B31" s="29"/>
      <c r="C31" s="30"/>
      <c r="D31" s="28"/>
      <c r="E31" s="28"/>
      <c r="F31" s="31"/>
      <c r="G31" s="31"/>
      <c r="H31" s="30"/>
      <c r="I31" s="28"/>
      <c r="J31" s="28"/>
      <c r="K31" s="29"/>
      <c r="L31" s="32" t="str">
        <f aca="true">IF(AND(B31&lt;&gt;"",OR(E31="Draft",E31="Submitted",E31="Under Review")),TODAY()-B31,IF(AND(B31&lt;&gt;"",K31&lt;&gt;""),K31-B31,""))</f>
        <v/>
      </c>
      <c r="M31" s="28"/>
      <c r="N31" s="28"/>
    </row>
    <row r="32" customFormat="false" ht="15" hidden="false" customHeight="false" outlineLevel="0" collapsed="false">
      <c r="A32" s="28"/>
      <c r="B32" s="29"/>
      <c r="C32" s="30"/>
      <c r="D32" s="28"/>
      <c r="E32" s="28"/>
      <c r="F32" s="31"/>
      <c r="G32" s="31"/>
      <c r="H32" s="30"/>
      <c r="I32" s="28"/>
      <c r="J32" s="28"/>
      <c r="K32" s="29"/>
      <c r="L32" s="32" t="str">
        <f aca="true">IF(AND(B32&lt;&gt;"",OR(E32="Draft",E32="Submitted",E32="Under Review")),TODAY()-B32,IF(AND(B32&lt;&gt;"",K32&lt;&gt;""),K32-B32,""))</f>
        <v/>
      </c>
      <c r="M32" s="28"/>
      <c r="N32" s="28"/>
    </row>
    <row r="33" customFormat="false" ht="15" hidden="false" customHeight="false" outlineLevel="0" collapsed="false">
      <c r="A33" s="28"/>
      <c r="B33" s="29"/>
      <c r="C33" s="30"/>
      <c r="D33" s="28"/>
      <c r="E33" s="28"/>
      <c r="F33" s="31"/>
      <c r="G33" s="31"/>
      <c r="H33" s="30"/>
      <c r="I33" s="28"/>
      <c r="J33" s="28"/>
      <c r="K33" s="29"/>
      <c r="L33" s="32" t="str">
        <f aca="true">IF(AND(B33&lt;&gt;"",OR(E33="Draft",E33="Submitted",E33="Under Review")),TODAY()-B33,IF(AND(B33&lt;&gt;"",K33&lt;&gt;""),K33-B33,""))</f>
        <v/>
      </c>
      <c r="M33" s="28"/>
      <c r="N33" s="28"/>
    </row>
    <row r="34" customFormat="false" ht="15" hidden="false" customHeight="false" outlineLevel="0" collapsed="false">
      <c r="A34" s="28"/>
      <c r="B34" s="29"/>
      <c r="C34" s="30"/>
      <c r="D34" s="28"/>
      <c r="E34" s="28"/>
      <c r="F34" s="31"/>
      <c r="G34" s="31"/>
      <c r="H34" s="30"/>
      <c r="I34" s="28"/>
      <c r="J34" s="28"/>
      <c r="K34" s="29"/>
      <c r="L34" s="32" t="str">
        <f aca="true">IF(AND(B34&lt;&gt;"",OR(E34="Draft",E34="Submitted",E34="Under Review")),TODAY()-B34,IF(AND(B34&lt;&gt;"",K34&lt;&gt;""),K34-B34,""))</f>
        <v/>
      </c>
      <c r="M34" s="28"/>
      <c r="N34" s="28"/>
    </row>
    <row r="35" customFormat="false" ht="15" hidden="false" customHeight="false" outlineLevel="0" collapsed="false">
      <c r="A35" s="28"/>
      <c r="B35" s="29"/>
      <c r="C35" s="30"/>
      <c r="D35" s="28"/>
      <c r="E35" s="28"/>
      <c r="F35" s="31"/>
      <c r="G35" s="31"/>
      <c r="H35" s="30"/>
      <c r="I35" s="28"/>
      <c r="J35" s="28"/>
      <c r="K35" s="29"/>
      <c r="L35" s="32" t="str">
        <f aca="true">IF(AND(B35&lt;&gt;"",OR(E35="Draft",E35="Submitted",E35="Under Review")),TODAY()-B35,IF(AND(B35&lt;&gt;"",K35&lt;&gt;""),K35-B35,""))</f>
        <v/>
      </c>
      <c r="M35" s="28"/>
      <c r="N35" s="28"/>
    </row>
    <row r="36" customFormat="false" ht="15" hidden="false" customHeight="false" outlineLevel="0" collapsed="false">
      <c r="A36" s="28"/>
      <c r="B36" s="29"/>
      <c r="C36" s="30"/>
      <c r="D36" s="28"/>
      <c r="E36" s="28"/>
      <c r="F36" s="31"/>
      <c r="G36" s="31"/>
      <c r="H36" s="30"/>
      <c r="I36" s="28"/>
      <c r="J36" s="28"/>
      <c r="K36" s="29"/>
      <c r="L36" s="32" t="str">
        <f aca="true">IF(AND(B36&lt;&gt;"",OR(E36="Draft",E36="Submitted",E36="Under Review")),TODAY()-B36,IF(AND(B36&lt;&gt;"",K36&lt;&gt;""),K36-B36,""))</f>
        <v/>
      </c>
      <c r="M36" s="28"/>
      <c r="N36" s="28"/>
    </row>
    <row r="37" customFormat="false" ht="15" hidden="false" customHeight="false" outlineLevel="0" collapsed="false">
      <c r="A37" s="28"/>
      <c r="B37" s="29"/>
      <c r="C37" s="30"/>
      <c r="D37" s="28"/>
      <c r="E37" s="28"/>
      <c r="F37" s="31"/>
      <c r="G37" s="31"/>
      <c r="H37" s="30"/>
      <c r="I37" s="28"/>
      <c r="J37" s="28"/>
      <c r="K37" s="29"/>
      <c r="L37" s="32" t="str">
        <f aca="true">IF(AND(B37&lt;&gt;"",OR(E37="Draft",E37="Submitted",E37="Under Review")),TODAY()-B37,IF(AND(B37&lt;&gt;"",K37&lt;&gt;""),K37-B37,""))</f>
        <v/>
      </c>
      <c r="M37" s="28"/>
      <c r="N37" s="28"/>
    </row>
    <row r="38" customFormat="false" ht="15" hidden="false" customHeight="false" outlineLevel="0" collapsed="false">
      <c r="A38" s="28"/>
      <c r="B38" s="29"/>
      <c r="C38" s="30"/>
      <c r="D38" s="28"/>
      <c r="E38" s="28"/>
      <c r="F38" s="31"/>
      <c r="G38" s="31"/>
      <c r="H38" s="30"/>
      <c r="I38" s="28"/>
      <c r="J38" s="28"/>
      <c r="K38" s="29"/>
      <c r="L38" s="32" t="str">
        <f aca="true">IF(AND(B38&lt;&gt;"",OR(E38="Draft",E38="Submitted",E38="Under Review")),TODAY()-B38,IF(AND(B38&lt;&gt;"",K38&lt;&gt;""),K38-B38,""))</f>
        <v/>
      </c>
      <c r="M38" s="28"/>
      <c r="N38" s="28"/>
    </row>
    <row r="39" customFormat="false" ht="15" hidden="false" customHeight="false" outlineLevel="0" collapsed="false">
      <c r="A39" s="28"/>
      <c r="B39" s="29"/>
      <c r="C39" s="30"/>
      <c r="D39" s="28"/>
      <c r="E39" s="28"/>
      <c r="F39" s="31"/>
      <c r="G39" s="31"/>
      <c r="H39" s="30"/>
      <c r="I39" s="28"/>
      <c r="J39" s="28"/>
      <c r="K39" s="29"/>
      <c r="L39" s="32" t="str">
        <f aca="true">IF(AND(B39&lt;&gt;"",OR(E39="Draft",E39="Submitted",E39="Under Review")),TODAY()-B39,IF(AND(B39&lt;&gt;"",K39&lt;&gt;""),K39-B39,""))</f>
        <v/>
      </c>
      <c r="M39" s="28"/>
      <c r="N39" s="28"/>
    </row>
    <row r="40" customFormat="false" ht="15" hidden="false" customHeight="false" outlineLevel="0" collapsed="false">
      <c r="A40" s="28"/>
      <c r="B40" s="29"/>
      <c r="C40" s="30"/>
      <c r="D40" s="28"/>
      <c r="E40" s="28"/>
      <c r="F40" s="31"/>
      <c r="G40" s="31"/>
      <c r="H40" s="30"/>
      <c r="I40" s="28"/>
      <c r="J40" s="28"/>
      <c r="K40" s="29"/>
      <c r="L40" s="32" t="str">
        <f aca="true">IF(AND(B40&lt;&gt;"",OR(E40="Draft",E40="Submitted",E40="Under Review")),TODAY()-B40,IF(AND(B40&lt;&gt;"",K40&lt;&gt;""),K40-B40,""))</f>
        <v/>
      </c>
      <c r="M40" s="28"/>
      <c r="N40" s="28"/>
    </row>
    <row r="41" customFormat="false" ht="15" hidden="false" customHeight="false" outlineLevel="0" collapsed="false">
      <c r="A41" s="28"/>
      <c r="B41" s="29"/>
      <c r="C41" s="30"/>
      <c r="D41" s="28"/>
      <c r="E41" s="28"/>
      <c r="F41" s="31"/>
      <c r="G41" s="31"/>
      <c r="H41" s="30"/>
      <c r="I41" s="28"/>
      <c r="J41" s="28"/>
      <c r="K41" s="29"/>
      <c r="L41" s="32" t="str">
        <f aca="true">IF(AND(B41&lt;&gt;"",OR(E41="Draft",E41="Submitted",E41="Under Review")),TODAY()-B41,IF(AND(B41&lt;&gt;"",K41&lt;&gt;""),K41-B41,""))</f>
        <v/>
      </c>
      <c r="M41" s="28"/>
      <c r="N41" s="28"/>
    </row>
    <row r="42" customFormat="false" ht="15" hidden="false" customHeight="false" outlineLevel="0" collapsed="false">
      <c r="A42" s="28"/>
      <c r="B42" s="29"/>
      <c r="C42" s="30"/>
      <c r="D42" s="28"/>
      <c r="E42" s="28"/>
      <c r="F42" s="31"/>
      <c r="G42" s="31"/>
      <c r="H42" s="30"/>
      <c r="I42" s="28"/>
      <c r="J42" s="28"/>
      <c r="K42" s="29"/>
      <c r="L42" s="32" t="str">
        <f aca="true">IF(AND(B42&lt;&gt;"",OR(E42="Draft",E42="Submitted",E42="Under Review")),TODAY()-B42,IF(AND(B42&lt;&gt;"",K42&lt;&gt;""),K42-B42,""))</f>
        <v/>
      </c>
      <c r="M42" s="28"/>
      <c r="N42" s="28"/>
    </row>
    <row r="43" customFormat="false" ht="15" hidden="false" customHeight="false" outlineLevel="0" collapsed="false">
      <c r="A43" s="28"/>
      <c r="B43" s="29"/>
      <c r="C43" s="30"/>
      <c r="D43" s="28"/>
      <c r="E43" s="28"/>
      <c r="F43" s="31"/>
      <c r="G43" s="31"/>
      <c r="H43" s="30"/>
      <c r="I43" s="28"/>
      <c r="J43" s="28"/>
      <c r="K43" s="29"/>
      <c r="L43" s="32" t="str">
        <f aca="true">IF(AND(B43&lt;&gt;"",OR(E43="Draft",E43="Submitted",E43="Under Review")),TODAY()-B43,IF(AND(B43&lt;&gt;"",K43&lt;&gt;""),K43-B43,""))</f>
        <v/>
      </c>
      <c r="M43" s="28"/>
      <c r="N43" s="28"/>
    </row>
    <row r="44" customFormat="false" ht="15" hidden="false" customHeight="false" outlineLevel="0" collapsed="false">
      <c r="A44" s="28"/>
      <c r="B44" s="29"/>
      <c r="C44" s="30"/>
      <c r="D44" s="28"/>
      <c r="E44" s="28"/>
      <c r="F44" s="31"/>
      <c r="G44" s="31"/>
      <c r="H44" s="30"/>
      <c r="I44" s="28"/>
      <c r="J44" s="28"/>
      <c r="K44" s="29"/>
      <c r="L44" s="32" t="str">
        <f aca="true">IF(AND(B44&lt;&gt;"",OR(E44="Draft",E44="Submitted",E44="Under Review")),TODAY()-B44,IF(AND(B44&lt;&gt;"",K44&lt;&gt;""),K44-B44,""))</f>
        <v/>
      </c>
      <c r="M44" s="28"/>
      <c r="N44" s="28"/>
    </row>
    <row r="45" customFormat="false" ht="15" hidden="false" customHeight="false" outlineLevel="0" collapsed="false">
      <c r="A45" s="28"/>
      <c r="B45" s="29"/>
      <c r="C45" s="30"/>
      <c r="D45" s="28"/>
      <c r="E45" s="28"/>
      <c r="F45" s="31"/>
      <c r="G45" s="31"/>
      <c r="H45" s="30"/>
      <c r="I45" s="28"/>
      <c r="J45" s="28"/>
      <c r="K45" s="29"/>
      <c r="L45" s="32" t="str">
        <f aca="true">IF(AND(B45&lt;&gt;"",OR(E45="Draft",E45="Submitted",E45="Under Review")),TODAY()-B45,IF(AND(B45&lt;&gt;"",K45&lt;&gt;""),K45-B45,""))</f>
        <v/>
      </c>
      <c r="M45" s="28"/>
      <c r="N45" s="28"/>
    </row>
    <row r="46" customFormat="false" ht="15" hidden="false" customHeight="false" outlineLevel="0" collapsed="false">
      <c r="A46" s="28"/>
      <c r="B46" s="29"/>
      <c r="C46" s="30"/>
      <c r="D46" s="28"/>
      <c r="E46" s="28"/>
      <c r="F46" s="31"/>
      <c r="G46" s="31"/>
      <c r="H46" s="30"/>
      <c r="I46" s="28"/>
      <c r="J46" s="28"/>
      <c r="K46" s="29"/>
      <c r="L46" s="32" t="str">
        <f aca="true">IF(AND(B46&lt;&gt;"",OR(E46="Draft",E46="Submitted",E46="Under Review")),TODAY()-B46,IF(AND(B46&lt;&gt;"",K46&lt;&gt;""),K46-B46,""))</f>
        <v/>
      </c>
      <c r="M46" s="28"/>
      <c r="N46" s="28"/>
    </row>
    <row r="47" customFormat="false" ht="15" hidden="false" customHeight="false" outlineLevel="0" collapsed="false">
      <c r="A47" s="28"/>
      <c r="B47" s="29"/>
      <c r="C47" s="30"/>
      <c r="D47" s="28"/>
      <c r="E47" s="28"/>
      <c r="F47" s="31"/>
      <c r="G47" s="31"/>
      <c r="H47" s="30"/>
      <c r="I47" s="28"/>
      <c r="J47" s="28"/>
      <c r="K47" s="29"/>
      <c r="L47" s="32" t="str">
        <f aca="true">IF(AND(B47&lt;&gt;"",OR(E47="Draft",E47="Submitted",E47="Under Review")),TODAY()-B47,IF(AND(B47&lt;&gt;"",K47&lt;&gt;""),K47-B47,""))</f>
        <v/>
      </c>
      <c r="M47" s="28"/>
      <c r="N47" s="28"/>
    </row>
    <row r="48" customFormat="false" ht="15" hidden="false" customHeight="false" outlineLevel="0" collapsed="false">
      <c r="A48" s="28"/>
      <c r="B48" s="29"/>
      <c r="C48" s="30"/>
      <c r="D48" s="28"/>
      <c r="E48" s="28"/>
      <c r="F48" s="31"/>
      <c r="G48" s="31"/>
      <c r="H48" s="30"/>
      <c r="I48" s="28"/>
      <c r="J48" s="28"/>
      <c r="K48" s="29"/>
      <c r="L48" s="32" t="str">
        <f aca="true">IF(AND(B48&lt;&gt;"",OR(E48="Draft",E48="Submitted",E48="Under Review")),TODAY()-B48,IF(AND(B48&lt;&gt;"",K48&lt;&gt;""),K48-B48,""))</f>
        <v/>
      </c>
      <c r="M48" s="28"/>
      <c r="N48" s="28"/>
    </row>
    <row r="49" customFormat="false" ht="15" hidden="false" customHeight="false" outlineLevel="0" collapsed="false">
      <c r="A49" s="28"/>
      <c r="B49" s="29"/>
      <c r="C49" s="30"/>
      <c r="D49" s="28"/>
      <c r="E49" s="28"/>
      <c r="F49" s="31"/>
      <c r="G49" s="31"/>
      <c r="H49" s="30"/>
      <c r="I49" s="28"/>
      <c r="J49" s="28"/>
      <c r="K49" s="29"/>
      <c r="L49" s="32" t="str">
        <f aca="true">IF(AND(B49&lt;&gt;"",OR(E49="Draft",E49="Submitted",E49="Under Review")),TODAY()-B49,IF(AND(B49&lt;&gt;"",K49&lt;&gt;""),K49-B49,""))</f>
        <v/>
      </c>
      <c r="M49" s="28"/>
      <c r="N49" s="28"/>
    </row>
    <row r="50" customFormat="false" ht="15" hidden="false" customHeight="false" outlineLevel="0" collapsed="false">
      <c r="A50" s="28"/>
      <c r="B50" s="29"/>
      <c r="C50" s="30"/>
      <c r="D50" s="28"/>
      <c r="E50" s="28"/>
      <c r="F50" s="31"/>
      <c r="G50" s="31"/>
      <c r="H50" s="30"/>
      <c r="I50" s="28"/>
      <c r="J50" s="28"/>
      <c r="K50" s="29"/>
      <c r="L50" s="32" t="str">
        <f aca="true">IF(AND(B50&lt;&gt;"",OR(E50="Draft",E50="Submitted",E50="Under Review")),TODAY()-B50,IF(AND(B50&lt;&gt;"",K50&lt;&gt;""),K50-B50,""))</f>
        <v/>
      </c>
      <c r="M50" s="28"/>
      <c r="N50" s="28"/>
    </row>
    <row r="51" customFormat="false" ht="15" hidden="false" customHeight="false" outlineLevel="0" collapsed="false">
      <c r="A51" s="28"/>
      <c r="B51" s="29"/>
      <c r="C51" s="30"/>
      <c r="D51" s="28"/>
      <c r="E51" s="28"/>
      <c r="F51" s="31"/>
      <c r="G51" s="31"/>
      <c r="H51" s="30"/>
      <c r="I51" s="28"/>
      <c r="J51" s="28"/>
      <c r="K51" s="29"/>
      <c r="L51" s="32" t="str">
        <f aca="true">IF(AND(B51&lt;&gt;"",OR(E51="Draft",E51="Submitted",E51="Under Review")),TODAY()-B51,IF(AND(B51&lt;&gt;"",K51&lt;&gt;""),K51-B51,""))</f>
        <v/>
      </c>
      <c r="M51" s="28"/>
      <c r="N51" s="28"/>
    </row>
    <row r="52" customFormat="false" ht="15" hidden="false" customHeight="false" outlineLevel="0" collapsed="false">
      <c r="A52" s="28"/>
      <c r="B52" s="29"/>
      <c r="C52" s="30"/>
      <c r="D52" s="28"/>
      <c r="E52" s="28"/>
      <c r="F52" s="31"/>
      <c r="G52" s="31"/>
      <c r="H52" s="30"/>
      <c r="I52" s="28"/>
      <c r="J52" s="28"/>
      <c r="K52" s="29"/>
      <c r="L52" s="32" t="str">
        <f aca="true">IF(AND(B52&lt;&gt;"",OR(E52="Draft",E52="Submitted",E52="Under Review")),TODAY()-B52,IF(AND(B52&lt;&gt;"",K52&lt;&gt;""),K52-B52,""))</f>
        <v/>
      </c>
      <c r="M52" s="28"/>
      <c r="N52" s="28"/>
    </row>
    <row r="53" customFormat="false" ht="15" hidden="false" customHeight="false" outlineLevel="0" collapsed="false">
      <c r="A53" s="28"/>
      <c r="B53" s="29"/>
      <c r="C53" s="30"/>
      <c r="D53" s="28"/>
      <c r="E53" s="28"/>
      <c r="F53" s="31"/>
      <c r="G53" s="31"/>
      <c r="H53" s="30"/>
      <c r="I53" s="28"/>
      <c r="J53" s="28"/>
      <c r="K53" s="29"/>
      <c r="L53" s="32" t="str">
        <f aca="true">IF(AND(B53&lt;&gt;"",OR(E53="Draft",E53="Submitted",E53="Under Review")),TODAY()-B53,IF(AND(B53&lt;&gt;"",K53&lt;&gt;""),K53-B53,""))</f>
        <v/>
      </c>
      <c r="M53" s="28"/>
      <c r="N53" s="28"/>
    </row>
    <row r="54" customFormat="false" ht="15" hidden="false" customHeight="false" outlineLevel="0" collapsed="false">
      <c r="A54" s="28"/>
      <c r="B54" s="29"/>
      <c r="C54" s="30"/>
      <c r="D54" s="28"/>
      <c r="E54" s="28"/>
      <c r="F54" s="31"/>
      <c r="G54" s="31"/>
      <c r="H54" s="30"/>
      <c r="I54" s="28"/>
      <c r="J54" s="28"/>
      <c r="K54" s="29"/>
      <c r="L54" s="32" t="str">
        <f aca="true">IF(AND(B54&lt;&gt;"",OR(E54="Draft",E54="Submitted",E54="Under Review")),TODAY()-B54,IF(AND(B54&lt;&gt;"",K54&lt;&gt;""),K54-B54,""))</f>
        <v/>
      </c>
      <c r="M54" s="28"/>
      <c r="N54" s="28"/>
    </row>
    <row r="55" customFormat="false" ht="15" hidden="false" customHeight="false" outlineLevel="0" collapsed="false">
      <c r="A55" s="28"/>
      <c r="B55" s="29"/>
      <c r="C55" s="30"/>
      <c r="D55" s="28"/>
      <c r="E55" s="28"/>
      <c r="F55" s="31"/>
      <c r="G55" s="31"/>
      <c r="H55" s="30"/>
      <c r="I55" s="28"/>
      <c r="J55" s="28"/>
      <c r="K55" s="29"/>
      <c r="L55" s="32" t="str">
        <f aca="true">IF(AND(B55&lt;&gt;"",OR(E55="Draft",E55="Submitted",E55="Under Review")),TODAY()-B55,IF(AND(B55&lt;&gt;"",K55&lt;&gt;""),K55-B55,""))</f>
        <v/>
      </c>
      <c r="M55" s="28"/>
      <c r="N55" s="28"/>
    </row>
    <row r="56" customFormat="false" ht="15" hidden="false" customHeight="false" outlineLevel="0" collapsed="false">
      <c r="A56" s="28"/>
      <c r="B56" s="29"/>
      <c r="C56" s="30"/>
      <c r="D56" s="28"/>
      <c r="E56" s="28"/>
      <c r="F56" s="31"/>
      <c r="G56" s="31"/>
      <c r="H56" s="30"/>
      <c r="I56" s="28"/>
      <c r="J56" s="28"/>
      <c r="K56" s="29"/>
      <c r="L56" s="32" t="str">
        <f aca="true">IF(AND(B56&lt;&gt;"",OR(E56="Draft",E56="Submitted",E56="Under Review")),TODAY()-B56,IF(AND(B56&lt;&gt;"",K56&lt;&gt;""),K56-B56,""))</f>
        <v/>
      </c>
      <c r="M56" s="28"/>
      <c r="N56" s="28"/>
    </row>
    <row r="57" customFormat="false" ht="15" hidden="false" customHeight="false" outlineLevel="0" collapsed="false">
      <c r="A57" s="28"/>
      <c r="B57" s="29"/>
      <c r="C57" s="30"/>
      <c r="D57" s="28"/>
      <c r="E57" s="28"/>
      <c r="F57" s="31"/>
      <c r="G57" s="31"/>
      <c r="H57" s="30"/>
      <c r="I57" s="28"/>
      <c r="J57" s="28"/>
      <c r="K57" s="29"/>
      <c r="L57" s="32" t="str">
        <f aca="true">IF(AND(B57&lt;&gt;"",OR(E57="Draft",E57="Submitted",E57="Under Review")),TODAY()-B57,IF(AND(B57&lt;&gt;"",K57&lt;&gt;""),K57-B57,""))</f>
        <v/>
      </c>
      <c r="M57" s="28"/>
      <c r="N57" s="28"/>
    </row>
    <row r="58" customFormat="false" ht="15" hidden="false" customHeight="false" outlineLevel="0" collapsed="false">
      <c r="A58" s="28"/>
      <c r="B58" s="29"/>
      <c r="C58" s="30"/>
      <c r="D58" s="28"/>
      <c r="E58" s="28"/>
      <c r="F58" s="31"/>
      <c r="G58" s="31"/>
      <c r="H58" s="30"/>
      <c r="I58" s="28"/>
      <c r="J58" s="28"/>
      <c r="K58" s="29"/>
      <c r="L58" s="32" t="str">
        <f aca="true">IF(AND(B58&lt;&gt;"",OR(E58="Draft",E58="Submitted",E58="Under Review")),TODAY()-B58,IF(AND(B58&lt;&gt;"",K58&lt;&gt;""),K58-B58,""))</f>
        <v/>
      </c>
      <c r="M58" s="28"/>
      <c r="N58" s="28"/>
    </row>
    <row r="59" customFormat="false" ht="15" hidden="false" customHeight="false" outlineLevel="0" collapsed="false">
      <c r="A59" s="28"/>
      <c r="B59" s="29"/>
      <c r="C59" s="30"/>
      <c r="D59" s="28"/>
      <c r="E59" s="28"/>
      <c r="F59" s="31"/>
      <c r="G59" s="31"/>
      <c r="H59" s="30"/>
      <c r="I59" s="28"/>
      <c r="J59" s="28"/>
      <c r="K59" s="29"/>
      <c r="L59" s="32" t="str">
        <f aca="true">IF(AND(B59&lt;&gt;"",OR(E59="Draft",E59="Submitted",E59="Under Review")),TODAY()-B59,IF(AND(B59&lt;&gt;"",K59&lt;&gt;""),K59-B59,""))</f>
        <v/>
      </c>
      <c r="M59" s="28"/>
      <c r="N59" s="28"/>
    </row>
    <row r="60" customFormat="false" ht="15" hidden="false" customHeight="false" outlineLevel="0" collapsed="false">
      <c r="A60" s="28"/>
      <c r="B60" s="29"/>
      <c r="C60" s="30"/>
      <c r="D60" s="28"/>
      <c r="E60" s="28"/>
      <c r="F60" s="31"/>
      <c r="G60" s="31"/>
      <c r="H60" s="30"/>
      <c r="I60" s="28"/>
      <c r="J60" s="28"/>
      <c r="K60" s="29"/>
      <c r="L60" s="32" t="str">
        <f aca="true">IF(AND(B60&lt;&gt;"",OR(E60="Draft",E60="Submitted",E60="Under Review")),TODAY()-B60,IF(AND(B60&lt;&gt;"",K60&lt;&gt;""),K60-B60,""))</f>
        <v/>
      </c>
      <c r="M60" s="28"/>
      <c r="N60" s="28"/>
    </row>
  </sheetData>
  <autoFilter ref="A9:N60"/>
  <mergeCells count="22">
    <mergeCell ref="A1:N1"/>
    <mergeCell ref="A3:B3"/>
    <mergeCell ref="C3:D3"/>
    <mergeCell ref="E3:F3"/>
    <mergeCell ref="G3:H3"/>
    <mergeCell ref="A4:B4"/>
    <mergeCell ref="C4:D4"/>
    <mergeCell ref="E4:F4"/>
    <mergeCell ref="G4:H4"/>
    <mergeCell ref="A6:B6"/>
    <mergeCell ref="C6:D6"/>
    <mergeCell ref="E6:F6"/>
    <mergeCell ref="G6:H6"/>
    <mergeCell ref="I6:J6"/>
    <mergeCell ref="K6:L6"/>
    <mergeCell ref="A7:B7"/>
    <mergeCell ref="C7:D7"/>
    <mergeCell ref="E7:F7"/>
    <mergeCell ref="G7:H7"/>
    <mergeCell ref="I7:J7"/>
    <mergeCell ref="K7:L7"/>
    <mergeCell ref="I8:N8"/>
  </mergeCells>
  <conditionalFormatting sqref="E10:E60">
    <cfRule type="cellIs" priority="2" operator="equal" aboveAverage="0" equalAverage="0" bottom="0" percent="0" rank="0" text="" dxfId="8">
      <formula>"Draft"</formula>
    </cfRule>
    <cfRule type="cellIs" priority="3" operator="equal" aboveAverage="0" equalAverage="0" bottom="0" percent="0" rank="0" text="" dxfId="9">
      <formula>"Submitted"</formula>
    </cfRule>
    <cfRule type="cellIs" priority="4" operator="equal" aboveAverage="0" equalAverage="0" bottom="0" percent="0" rank="0" text="" dxfId="10">
      <formula>"Under Review"</formula>
    </cfRule>
    <cfRule type="cellIs" priority="5" operator="equal" aboveAverage="0" equalAverage="0" bottom="0" percent="0" rank="0" text="" dxfId="11">
      <formula>"Approved"</formula>
    </cfRule>
    <cfRule type="cellIs" priority="6" operator="equal" aboveAverage="0" equalAverage="0" bottom="0" percent="0" rank="0" text="" dxfId="12">
      <formula>"Rejected"</formula>
    </cfRule>
    <cfRule type="cellIs" priority="7" operator="equal" aboveAverage="0" equalAverage="0" bottom="0" percent="0" rank="0" text="" dxfId="13">
      <formula>"Implemented"</formula>
    </cfRule>
  </conditionalFormatting>
  <conditionalFormatting sqref="L10:L60">
    <cfRule type="expression" priority="8" aboveAverage="0" equalAverage="0" bottom="0" percent="0" rank="0" text="" dxfId="12">
      <formula>AND(L10&gt;30,OR(E10="Draft",E10="Submitted",E10="Under Review"))</formula>
    </cfRule>
  </conditionalFormatting>
  <conditionalFormatting sqref="G4:H4">
    <cfRule type="cellIs" priority="9" operator="lessThan" aboveAverage="0" equalAverage="0" bottom="0" percent="0" rank="0" text="" dxfId="12">
      <formula>0</formula>
    </cfRule>
    <cfRule type="cellIs" priority="10" operator="greaterThan" aboveAverage="0" equalAverage="0" bottom="0" percent="0" rank="0" text="" dxfId="11">
      <formula>0</formula>
    </cfRule>
  </conditionalFormatting>
  <dataValidations count="3">
    <dataValidation allowBlank="true" error="Select a valid status" errorStyle="stop" errorTitle="Invalid Status" operator="between" showDropDown="false" showErrorMessage="false" showInputMessage="false" sqref="E10:E60" type="list">
      <formula1>"Draft,Submitted,Under Review,Approved,Rejected,Implemented"</formula1>
      <formula2>0</formula2>
    </dataValidation>
    <dataValidation allowBlank="true" errorStyle="stop" operator="between" showDropDown="false" showErrorMessage="false" showInputMessage="false" sqref="M10:M60" type="list">
      <formula1>"Yes,No"</formula1>
      <formula2>0</formula2>
    </dataValidation>
    <dataValidation allowBlank="true" errorStyle="stop" operator="between" showDropDown="false" showErrorMessage="false" showInputMessage="false" sqref="N10:N60" type="list">
      <formula1>"Addition,Omission,Substitution,Provisional Sum Adjustment"</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&amp;CVariation Order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3" t="s">
        <v>98</v>
      </c>
    </row>
    <row r="2" customFormat="false" ht="15" hidden="false" customHeight="false" outlineLevel="0" collapsed="false">
      <c r="A2" s="33"/>
    </row>
    <row r="3" customFormat="false" ht="15" hidden="false" customHeight="false" outlineLevel="0" collapsed="false">
      <c r="A3" s="33" t="s">
        <v>99</v>
      </c>
    </row>
    <row r="4" customFormat="false" ht="15" hidden="false" customHeight="false" outlineLevel="0" collapsed="false">
      <c r="A4" s="33"/>
    </row>
    <row r="5" customFormat="false" ht="15" hidden="false" customHeight="false" outlineLevel="0" collapsed="false">
      <c r="A5" s="33" t="s">
        <v>100</v>
      </c>
    </row>
    <row r="6" customFormat="false" ht="15" hidden="false" customHeight="false" outlineLevel="0" collapsed="false">
      <c r="A6" s="33"/>
    </row>
    <row r="7" customFormat="false" ht="15" hidden="false" customHeight="false" outlineLevel="0" collapsed="false">
      <c r="A7" s="33" t="s">
        <v>101</v>
      </c>
    </row>
    <row r="8" customFormat="false" ht="15" hidden="false" customHeight="false" outlineLevel="0" collapsed="false">
      <c r="A8" s="33"/>
    </row>
    <row r="9" customFormat="false" ht="15" hidden="false" customHeight="false" outlineLevel="0" collapsed="false">
      <c r="A9" s="33" t="s">
        <v>102</v>
      </c>
    </row>
    <row r="10" customFormat="false" ht="15" hidden="false" customHeight="false" outlineLevel="0" collapsed="false">
      <c r="A10" s="33"/>
    </row>
    <row r="11" customFormat="false" ht="15" hidden="false" customHeight="false" outlineLevel="0" collapsed="false">
      <c r="A11" s="33" t="s">
        <v>103</v>
      </c>
    </row>
    <row r="12" customFormat="false" ht="15" hidden="false" customHeight="false" outlineLevel="0" collapsed="false">
      <c r="A12" s="33"/>
    </row>
    <row r="13" customFormat="false" ht="15" hidden="false" customHeight="false" outlineLevel="0" collapsed="false">
      <c r="A13" s="33" t="s">
        <v>104</v>
      </c>
    </row>
    <row r="14" customFormat="false" ht="15" hidden="false" customHeight="false" outlineLevel="0" collapsed="false">
      <c r="A14" s="33"/>
    </row>
    <row r="15" customFormat="false" ht="15" hidden="false" customHeight="false" outlineLevel="0" collapsed="false">
      <c r="A15" s="33" t="s">
        <v>105</v>
      </c>
    </row>
    <row r="16" customFormat="false" ht="15" hidden="false" customHeight="false" outlineLevel="0" collapsed="false">
      <c r="A16" s="33"/>
    </row>
    <row r="17" customFormat="false" ht="15" hidden="false" customHeight="false" outlineLevel="0" collapsed="false">
      <c r="A17" s="33"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2026-03-22T21:07:38Z</dcterms:created>
  <dc:creator>Ebrora Ltd</dc:creator>
  <dc:description>Track and manage contract variation orders from identification through to approval and final account reconciliation, designed for UK construction QS and commercial teams.
Free professional construction management template from Ebrora Ltd. Visit ebrora.com for our full range of tools and templates.</dc:description>
  <cp:keywords>Ebrora construction variation order change order commercial contract management NEC JCT</cp:keywords>
  <dc:language>en-US</dc:language>
  <cp:lastModifiedBy>Ebrora Ltd</cp:lastModifiedBy>
  <dcterms:modified xsi:type="dcterms:W3CDTF">2026-03-22T21:07:38Z</dcterms:modified>
  <cp:revision>0</cp:revision>
  <dc:subject>Register for tracking contract variation orders through identification, submission, assessment, approval and implementation.</dc:subject>
  <dc:title>Variation Order Register</dc:title>
</cp:coreProperties>
</file>

<file path=docProps/custom.xml><?xml version="1.0" encoding="utf-8"?>
<Properties xmlns="http://schemas.openxmlformats.org/officeDocument/2006/custom-properties" xmlns:vt="http://schemas.openxmlformats.org/officeDocument/2006/docPropsVTypes"/>
</file>