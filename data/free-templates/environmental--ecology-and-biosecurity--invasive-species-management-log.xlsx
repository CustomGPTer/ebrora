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Invasive Species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'Invasive Species Log'!$A$1:$M$62</definedName>
    <definedName function="false" hidden="true" localSheetId="2" name="_xlnm._FilterDatabase" vbProcedure="false">'Invasive Species Log'!$A$12:$M$511</definedName>
    <definedName function="false" hidden="false" name="InvasiveLog" vbProcedure="false">'Invasive Species Log'!$A$12:$M$511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<sst xmlns="http://schemas.openxmlformats.org/spreadsheetml/2006/main" count="119" uniqueCount="103">
  <si>
    <t xml:space="preserve">EBRORA</t>
  </si>
  <si>
    <t xml:space="preserve">ebrora.com</t>
  </si>
  <si>
    <t xml:space="preserve">Invasive Species Management Log</t>
  </si>
  <si>
    <t xml:space="preserve">Track invasive species infestations, treatment programmes, and clearance status.</t>
  </si>
  <si>
    <t xml:space="preserve">Supports Wildlife &amp; Countryside Act 1981 Schedule 9 compliance on UK construction sites.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</si>
  <si>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</si>
  <si>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</si>
  <si>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</si>
  <si>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</si>
  <si>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</si>
  <si>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'Invasive Species Log' sheet. The top dashboard shows a summary of infestations by species and treatment stage.</t>
  </si>
  <si>
    <t xml:space="preserve">2.</t>
  </si>
  <si>
    <t xml:space="preserve">Log each infestation in the main table. Select the species from the dropdown (Japanese knotweed, Himalayan balsam, giant hogweed, etc.).</t>
  </si>
  <si>
    <t xml:space="preserve">3.</t>
  </si>
  <si>
    <t xml:space="preserve">Record the location, estimated area, identification date, and current treatment stage: Identified → Treatment 1 → Treatment 2 → Monitoring → Cleared.</t>
  </si>
  <si>
    <t xml:space="preserve">4.</t>
  </si>
  <si>
    <t xml:space="preserve">Conditional formatting colours each stage — red for Identified (untreated), amber for in-treatment, green for Cleared.</t>
  </si>
  <si>
    <t xml:space="preserve">5.</t>
  </si>
  <si>
    <t xml:space="preserve">Log each treatment round with the date, method, and contractor in the treatment columns.</t>
  </si>
  <si>
    <t xml:space="preserve">6.</t>
  </si>
  <si>
    <t xml:space="preserve">Expand the optional columns for grid references, disposal routes, and cost tracking.</t>
  </si>
  <si>
    <t xml:space="preserve">7.</t>
  </si>
  <si>
    <t xml:space="preserve">Review quarterly with your ECoW. Knotweed treatment typically requires 3-5 years of monitoring before clearance.</t>
  </si>
  <si>
    <t xml:space="preserve">Colour Key</t>
  </si>
  <si>
    <t xml:space="preserve">Light teal — user input / editable</t>
  </si>
  <si>
    <t xml:space="preserve">  </t>
  </si>
  <si>
    <t xml:space="preserve">Dark navy — headers, do not edit</t>
  </si>
  <si>
    <t xml:space="preserve">Red — Identified (no treatment yet)</t>
  </si>
  <si>
    <t xml:space="preserve">Amber — Treatment in progress / Monitoring</t>
  </si>
  <si>
    <t xml:space="preserve">Green — Cleared</t>
  </si>
  <si>
    <t xml:space="preserve">Tips</t>
  </si>
  <si>
    <t xml:space="preserve">•</t>
  </si>
  <si>
    <t xml:space="preserve">Japanese knotweed within 7m of a development requires specialist treatment — do not disturb without a management plan.</t>
  </si>
  <si>
    <t xml:space="preserve">Any soil containing invasive plant material must be disposed of as controlled waste at a licensed facility.</t>
  </si>
  <si>
    <t xml:space="preserve">Spreading invasive species listed under Schedule 9 of the Wildlife &amp; Countryside Act is a criminal offence.</t>
  </si>
  <si>
    <t xml:space="preserve">INVASIVE SPECIES MANAGEMENT LOG — DASHBOARD</t>
  </si>
  <si>
    <t xml:space="preserve">Infestations by Species</t>
  </si>
  <si>
    <t xml:space="preserve">Treatment Pipeline</t>
  </si>
  <si>
    <t xml:space="preserve">Japanese Knotweed</t>
  </si>
  <si>
    <t xml:space="preserve">Identified</t>
  </si>
  <si>
    <t xml:space="preserve">Himalayan Balsam</t>
  </si>
  <si>
    <t xml:space="preserve">Treatment 1</t>
  </si>
  <si>
    <t xml:space="preserve">Giant Hogweed</t>
  </si>
  <si>
    <t xml:space="preserve">Treatment 2</t>
  </si>
  <si>
    <t xml:space="preserve">Floating Pennywort</t>
  </si>
  <si>
    <t xml:space="preserve">Monitoring</t>
  </si>
  <si>
    <t xml:space="preserve">Cotoneaster</t>
  </si>
  <si>
    <t xml:space="preserve">Cleared</t>
  </si>
  <si>
    <t xml:space="preserve">Other</t>
  </si>
  <si>
    <t xml:space="preserve">TOTAL INFESTATIONS</t>
  </si>
  <si>
    <t xml:space="preserve">TOTAL AREA (m²)</t>
  </si>
  <si>
    <t xml:space="preserve">INFESTATION LOG</t>
  </si>
  <si>
    <t xml:space="preserve">Ref</t>
  </si>
  <si>
    <t xml:space="preserve">Date Identified</t>
  </si>
  <si>
    <t xml:space="preserve">Species</t>
  </si>
  <si>
    <t xml:space="preserve">Location</t>
  </si>
  <si>
    <t xml:space="preserve">Area (m²)</t>
  </si>
  <si>
    <t xml:space="preserve">Treatment Method</t>
  </si>
  <si>
    <t xml:space="preserve">Stage</t>
  </si>
  <si>
    <t xml:space="preserve">Last Treatment Date</t>
  </si>
  <si>
    <t xml:space="preserve">Grid Ref</t>
  </si>
  <si>
    <t xml:space="preserve">Contractor</t>
  </si>
  <si>
    <t xml:space="preserve">Disposal Route</t>
  </si>
  <si>
    <t xml:space="preserve">Cost (£)</t>
  </si>
  <si>
    <t xml:space="preserve">Notes</t>
  </si>
  <si>
    <t xml:space="preserve">IS-001</t>
  </si>
  <si>
    <t xml:space="preserve">Haul road verge — ch. 0+120</t>
  </si>
  <si>
    <t xml:space="preserve">Herbicide (glyphosate)</t>
  </si>
  <si>
    <t xml:space="preserve">SU 123 456</t>
  </si>
  <si>
    <t xml:space="preserve">Invasive Solutions Ltd</t>
  </si>
  <si>
    <t xml:space="preserve">N/A — in situ treatment</t>
  </si>
  <si>
    <t xml:space="preserve">Second treatment applied. Third scheduled Sep 2026.</t>
  </si>
  <si>
    <t xml:space="preserve">IS-002</t>
  </si>
  <si>
    <t xml:space="preserve">Stream bank — northern boundary</t>
  </si>
  <si>
    <t xml:space="preserve">SU 124 458</t>
  </si>
  <si>
    <t xml:space="preserve">EcoSure Ltd</t>
  </si>
  <si>
    <t xml:space="preserve">Treated before seed set. Monitoring for regrowth spring 2026.</t>
  </si>
  <si>
    <t xml:space="preserve">IS-003</t>
  </si>
  <si>
    <t xml:space="preserve">Compound access road verge</t>
  </si>
  <si>
    <t xml:space="preserve">Excavation &amp; Removal</t>
  </si>
  <si>
    <t xml:space="preserve">SU 122 455</t>
  </si>
  <si>
    <t xml:space="preserve">Licensed landfill</t>
  </si>
  <si>
    <t xml:space="preserve">Excavated to 2m depth. Area backfilled and reseeded.</t>
  </si>
  <si>
    <t xml:space="preserve">IS-004</t>
  </si>
  <si>
    <t xml:space="preserve">Building 4 foundations — 3m from pile caps</t>
  </si>
  <si>
    <t xml:space="preserve">Combined</t>
  </si>
  <si>
    <t xml:space="preserve">SU 125 457</t>
  </si>
  <si>
    <t xml:space="preserve">Knotweed Control Ltd</t>
  </si>
  <si>
    <t xml:space="preserve">Burial on site (with membrane)</t>
  </si>
  <si>
    <t xml:space="preserve">Root barrier installed. First herbicide application Mar 2026.</t>
  </si>
  <si>
    <t xml:space="preserve">IS-005</t>
  </si>
  <si>
    <t xml:space="preserve">Retaining wall — Plot 8</t>
  </si>
  <si>
    <t xml:space="preserve">SU 126 459</t>
  </si>
  <si>
    <t xml:space="preserve">Awaiting ecologist sign-off on removal method.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</si>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</sst>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2"/>
      <color rgb="FF2AABB3"/>
      <name val="Calibri"/>
      <family val="0"/>
      <charset val="1"/>
    </font>
    <font>
      <b val="true"/>
      <sz val="12"/>
      <color rgb="FFFFFFFF"/>
      <name val="Calibri"/>
      <family val="0"/>
      <charset val="1"/>
    </font>
    <font>
      <b val="true"/>
      <sz val="11"/>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FC7CE"/>
        <bgColor rgb="FFD9D9D9"/>
      </patternFill>
    </fill>
    <fill>
      <patternFill patternType="solid">
        <fgColor rgb="FFFFEB9C"/>
        <bgColor rgb="FFF2F2F2"/>
      </patternFill>
    </fill>
    <fill>
      <patternFill patternType="solid">
        <fgColor rgb="FFC6EFCE"/>
        <bgColor rgb="FFD9D9D9"/>
      </patternFill>
    </fill>
    <fill>
      <patternFill patternType="solid">
        <fgColor rgb="FF2AABB3"/>
        <bgColor rgb="FF339966"/>
      </patternFill>
    </fill>
    <fill>
      <patternFill patternType="solid">
        <fgColor rgb="FFF2F2F2"/>
        <bgColor rgb="FFE8F6F7"/>
      </patternFill>
    </fill>
  </fills>
  <borders count="5">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 diagonalUp="false" diagonalDown="false">
      <left/>
      <right/>
      <top style="medium">
        <color rgb="FF2AABB3"/>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5" fontId="11" fillId="0" borderId="3"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false" applyProtection="false">
      <alignment horizontal="general" vertical="bottom" textRotation="0" wrapText="false" indent="0" shrinkToFit="false"/>
      <protection locked="true" hidden="false"/>
    </xf>
    <xf numFmtId="164" fontId="12" fillId="6" borderId="3" xfId="0" applyFont="true" applyBorder="true" applyAlignment="false" applyProtection="false">
      <alignment horizontal="general" vertical="bottom" textRotation="0" wrapText="false" indent="0" shrinkToFit="false"/>
      <protection locked="true" hidden="false"/>
    </xf>
    <xf numFmtId="164" fontId="12" fillId="7" borderId="3" xfId="0" applyFont="true" applyBorder="true" applyAlignment="false" applyProtection="false">
      <alignment horizontal="general" vertical="bottom" textRotation="0" wrapText="false" indent="0" shrinkToFit="false"/>
      <protection locked="true" hidden="false"/>
    </xf>
    <xf numFmtId="164" fontId="11" fillId="0" borderId="4" xfId="0" applyFont="true" applyBorder="true" applyAlignment="false" applyProtection="false">
      <alignment horizontal="general" vertical="bottom" textRotation="0" wrapText="false" indent="0" shrinkToFit="false"/>
      <protection locked="true" hidden="false"/>
    </xf>
    <xf numFmtId="165" fontId="15" fillId="0" borderId="4" xfId="0" applyFont="true" applyBorder="true" applyAlignment="true" applyProtection="false">
      <alignment horizontal="center" vertical="center" textRotation="0" wrapText="true" indent="0" shrinkToFit="false"/>
      <protection locked="true" hidden="false"/>
    </xf>
    <xf numFmtId="166" fontId="15" fillId="0" borderId="4" xfId="0" applyFont="true" applyBorder="true" applyAlignment="true" applyProtection="false">
      <alignment horizontal="center" vertical="center" textRotation="0" wrapText="true" indent="0" shrinkToFit="false"/>
      <protection locked="true" hidden="false"/>
    </xf>
    <xf numFmtId="164" fontId="16" fillId="8" borderId="0"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7" fontId="12" fillId="9"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left" vertical="center" textRotation="0" wrapText="true" indent="0" shrinkToFit="false"/>
      <protection locked="true" hidden="false"/>
    </xf>
    <xf numFmtId="166" fontId="12" fillId="9" borderId="3" xfId="0" applyFont="true" applyBorder="true" applyAlignment="true" applyProtection="false">
      <alignment horizontal="center" vertical="center" textRotation="0" wrapText="true" indent="0" shrinkToFit="false"/>
      <protection locked="true" hidden="false"/>
    </xf>
    <xf numFmtId="168" fontId="12" fillId="9"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7" fontId="12" fillId="4"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6" fontId="12" fillId="4" borderId="3" xfId="0" applyFont="true" applyBorder="true" applyAlignment="true" applyProtection="false">
      <alignment horizontal="center" vertical="center" textRotation="0" wrapText="true" indent="0" shrinkToFit="false"/>
      <protection locked="true" hidden="false"/>
    </xf>
    <xf numFmtId="168" fontId="12" fillId="4"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2" topLeftCell="C13" activePane="bottomRight" state="frozen"/>
      <selection pane="topLeft" activeCell="A1" activeCellId="0" sqref="A1"/>
      <selection pane="topRight" activeCell="C1" activeCellId="0" sqref="C1"/>
      <selection pane="bottomLeft" activeCell="A13" activeCellId="0" sqref="A13"/>
      <selection pane="bottomRight" activeCell="A1" activeCellId="0" sqref="A1"/>
    </sheetView>
  </sheetViews>
  <sheetFormatPr defaultColWidth="8.6796875" defaultRowHeight="15" zeroHeight="false" outlineLevelRow="0" outlineLevelCol="1"/>
  <cols>
    <col collapsed="false" customWidth="true" hidden="false" outlineLevel="0" max="1" min="1" style="0" width="9"/>
    <col collapsed="false" customWidth="true" hidden="false" outlineLevel="0" max="2" min="2" style="0" width="14"/>
    <col collapsed="false" customWidth="true" hidden="false" outlineLevel="0" max="3" min="3" style="0" width="20"/>
    <col collapsed="false" customWidth="true" hidden="false" outlineLevel="0" max="4" min="4" style="0" width="22"/>
    <col collapsed="false" customWidth="true" hidden="false" outlineLevel="0" max="5" min="5" style="0" width="11"/>
    <col collapsed="false" customWidth="true" hidden="false" outlineLevel="0" max="6" min="6" style="0" width="22"/>
    <col collapsed="false" customWidth="true" hidden="false" outlineLevel="0" max="8" min="7" style="0" width="16"/>
    <col collapsed="false" customWidth="true" hidden="true" outlineLevel="1" max="13" min="9" style="0" width="14"/>
  </cols>
  <sheetData>
    <row r="1" customFormat="false" ht="30" hidden="false" customHeight="true" outlineLevel="0" collapsed="false">
      <c r="A1" s="21" t="s">
        <v>35</v>
      </c>
      <c r="B1" s="21"/>
      <c r="C1" s="21"/>
      <c r="D1" s="21"/>
      <c r="E1" s="21"/>
      <c r="F1" s="21"/>
      <c r="G1" s="21"/>
      <c r="H1" s="21"/>
      <c r="I1" s="21"/>
      <c r="J1" s="21"/>
      <c r="K1" s="21"/>
      <c r="L1" s="21"/>
      <c r="M1" s="21"/>
    </row>
    <row r="2" customFormat="false" ht="15" hidden="false" customHeight="true" outlineLevel="0" collapsed="false">
      <c r="A2" s="22" t="s">
        <v>36</v>
      </c>
      <c r="B2" s="22"/>
      <c r="C2" s="22"/>
      <c r="D2" s="22"/>
      <c r="F2" s="22" t="s">
        <v>37</v>
      </c>
      <c r="G2" s="22"/>
      <c r="H2" s="22"/>
      <c r="I2" s="22"/>
      <c r="J2" s="22"/>
    </row>
    <row r="3" customFormat="false" ht="15" hidden="false" customHeight="false" outlineLevel="0" collapsed="false">
      <c r="A3" s="23" t="s">
        <v>38</v>
      </c>
      <c r="B3" s="23"/>
      <c r="C3" s="23"/>
      <c r="D3" s="24" t="n">
        <f aca="false">COUNTIF(C12:C511,A3)</f>
        <v>2</v>
      </c>
      <c r="F3" s="25" t="s">
        <v>39</v>
      </c>
      <c r="G3" s="25"/>
      <c r="H3" s="25"/>
      <c r="I3" s="25"/>
      <c r="J3" s="24" t="n">
        <f aca="false">COUNTIF(G12:G511,F3)</f>
        <v>1</v>
      </c>
    </row>
    <row r="4" customFormat="false" ht="15" hidden="false" customHeight="false" outlineLevel="0" collapsed="false">
      <c r="A4" s="23" t="s">
        <v>40</v>
      </c>
      <c r="B4" s="23"/>
      <c r="C4" s="23"/>
      <c r="D4" s="24" t="n">
        <f aca="false">COUNTIF(C12:C511,A4)</f>
        <v>1</v>
      </c>
      <c r="F4" s="26" t="s">
        <v>41</v>
      </c>
      <c r="G4" s="26"/>
      <c r="H4" s="26"/>
      <c r="I4" s="26"/>
      <c r="J4" s="24" t="n">
        <f aca="false">COUNTIF(G12:G511,F4)</f>
        <v>1</v>
      </c>
    </row>
    <row r="5" customFormat="false" ht="15" hidden="false" customHeight="false" outlineLevel="0" collapsed="false">
      <c r="A5" s="23" t="s">
        <v>42</v>
      </c>
      <c r="B5" s="23"/>
      <c r="C5" s="23"/>
      <c r="D5" s="24" t="n">
        <f aca="false">COUNTIF(C12:C511,A5)</f>
        <v>1</v>
      </c>
      <c r="F5" s="26" t="s">
        <v>43</v>
      </c>
      <c r="G5" s="26"/>
      <c r="H5" s="26"/>
      <c r="I5" s="26"/>
      <c r="J5" s="24" t="n">
        <f aca="false">COUNTIF(G12:G511,F5)</f>
        <v>1</v>
      </c>
    </row>
    <row r="6" customFormat="false" ht="15" hidden="false" customHeight="false" outlineLevel="0" collapsed="false">
      <c r="A6" s="23" t="s">
        <v>44</v>
      </c>
      <c r="B6" s="23"/>
      <c r="C6" s="23"/>
      <c r="D6" s="24" t="n">
        <f aca="false">COUNTIF(C12:C511,A6)</f>
        <v>0</v>
      </c>
      <c r="F6" s="26" t="s">
        <v>45</v>
      </c>
      <c r="G6" s="26"/>
      <c r="H6" s="26"/>
      <c r="I6" s="26"/>
      <c r="J6" s="24" t="n">
        <f aca="false">COUNTIF(G12:G511,F6)</f>
        <v>1</v>
      </c>
    </row>
    <row r="7" customFormat="false" ht="15" hidden="false" customHeight="false" outlineLevel="0" collapsed="false">
      <c r="A7" s="23" t="s">
        <v>46</v>
      </c>
      <c r="B7" s="23"/>
      <c r="C7" s="23"/>
      <c r="D7" s="24" t="n">
        <f aca="false">COUNTIF(C12:C511,A7)</f>
        <v>1</v>
      </c>
      <c r="F7" s="27" t="s">
        <v>47</v>
      </c>
      <c r="G7" s="27"/>
      <c r="H7" s="27"/>
      <c r="I7" s="27"/>
      <c r="J7" s="24" t="n">
        <f aca="false">COUNTIF(G12:G511,F7)</f>
        <v>1</v>
      </c>
    </row>
    <row r="8" customFormat="false" ht="15" hidden="false" customHeight="false" outlineLevel="0" collapsed="false">
      <c r="A8" s="23" t="s">
        <v>48</v>
      </c>
      <c r="B8" s="23"/>
      <c r="C8" s="23"/>
      <c r="D8" s="24" t="n">
        <f aca="false">COUNTIF(C12:C511,A8)</f>
        <v>0</v>
      </c>
    </row>
    <row r="9" customFormat="false" ht="15" hidden="false" customHeight="false" outlineLevel="0" collapsed="false">
      <c r="A9" s="28" t="s">
        <v>49</v>
      </c>
      <c r="B9" s="28"/>
      <c r="C9" s="28"/>
      <c r="D9" s="29" t="n">
        <f aca="false">COUNTA(A12:A511)</f>
        <v>6</v>
      </c>
      <c r="F9" s="28" t="s">
        <v>50</v>
      </c>
      <c r="G9" s="28"/>
      <c r="H9" s="28"/>
      <c r="I9" s="28"/>
      <c r="J9" s="30" t="n">
        <f aca="false">SUM(E12:E511)</f>
        <v>69</v>
      </c>
    </row>
    <row r="10" customFormat="false" ht="6" hidden="false" customHeight="true" outlineLevel="0" collapsed="false"/>
    <row r="11" customFormat="false" ht="25.5" hidden="false" customHeight="true" outlineLevel="0" collapsed="false">
      <c r="A11" s="31" t="s">
        <v>51</v>
      </c>
      <c r="B11" s="31"/>
      <c r="C11" s="31"/>
      <c r="D11" s="31"/>
      <c r="E11" s="31"/>
      <c r="F11" s="31"/>
      <c r="G11" s="31"/>
      <c r="H11" s="31"/>
      <c r="I11" s="31"/>
      <c r="J11" s="31"/>
      <c r="K11" s="31"/>
      <c r="L11" s="31"/>
      <c r="M11" s="31"/>
    </row>
    <row r="12" customFormat="false" ht="41.75" hidden="false" customHeight="false" outlineLevel="0" collapsed="false">
      <c r="A12" s="32" t="s">
        <v>52</v>
      </c>
      <c r="B12" s="32" t="s">
        <v>53</v>
      </c>
      <c r="C12" s="32" t="s">
        <v>54</v>
      </c>
      <c r="D12" s="32" t="s">
        <v>55</v>
      </c>
      <c r="E12" s="32" t="s">
        <v>56</v>
      </c>
      <c r="F12" s="32" t="s">
        <v>57</v>
      </c>
      <c r="G12" s="32" t="s">
        <v>58</v>
      </c>
      <c r="H12" s="32" t="s">
        <v>59</v>
      </c>
      <c r="I12" s="32" t="s">
        <v>60</v>
      </c>
      <c r="J12" s="32" t="s">
        <v>61</v>
      </c>
      <c r="K12" s="32" t="s">
        <v>62</v>
      </c>
      <c r="L12" s="32" t="s">
        <v>63</v>
      </c>
      <c r="M12" s="32" t="s">
        <v>64</v>
      </c>
    </row>
    <row r="13" customFormat="false" ht="39.75" hidden="false" customHeight="true" outlineLevel="0" collapsed="false">
      <c r="A13" s="33" t="s">
        <v>65</v>
      </c>
      <c r="B13" s="34" t="n">
        <v>45848</v>
      </c>
      <c r="C13" s="33" t="s">
        <v>38</v>
      </c>
      <c r="D13" s="35" t="s">
        <v>66</v>
      </c>
      <c r="E13" s="36" t="n">
        <v>7</v>
      </c>
      <c r="F13" s="35" t="s">
        <v>67</v>
      </c>
      <c r="G13" s="33" t="s">
        <v>43</v>
      </c>
      <c r="H13" s="34" t="n">
        <v>46086</v>
      </c>
      <c r="I13" s="33" t="s">
        <v>68</v>
      </c>
      <c r="J13" s="33" t="s">
        <v>69</v>
      </c>
      <c r="K13" s="33" t="s">
        <v>70</v>
      </c>
      <c r="L13" s="37" t="n">
        <v>1850</v>
      </c>
      <c r="M13" s="35" t="s">
        <v>71</v>
      </c>
    </row>
    <row r="14" customFormat="false" ht="39.75" hidden="false" customHeight="true" outlineLevel="0" collapsed="false">
      <c r="A14" s="38" t="s">
        <v>72</v>
      </c>
      <c r="B14" s="39" t="n">
        <v>45884</v>
      </c>
      <c r="C14" s="38" t="s">
        <v>40</v>
      </c>
      <c r="D14" s="40" t="s">
        <v>73</v>
      </c>
      <c r="E14" s="41" t="n">
        <v>45</v>
      </c>
      <c r="F14" s="40" t="s">
        <v>67</v>
      </c>
      <c r="G14" s="38" t="s">
        <v>45</v>
      </c>
      <c r="H14" s="39" t="n">
        <v>45920</v>
      </c>
      <c r="I14" s="38" t="s">
        <v>74</v>
      </c>
      <c r="J14" s="38" t="s">
        <v>75</v>
      </c>
      <c r="K14" s="38" t="s">
        <v>70</v>
      </c>
      <c r="L14" s="42" t="n">
        <v>650</v>
      </c>
      <c r="M14" s="40" t="s">
        <v>76</v>
      </c>
    </row>
    <row r="15" customFormat="false" ht="39.75" hidden="false" customHeight="true" outlineLevel="0" collapsed="false">
      <c r="A15" s="33" t="s">
        <v>77</v>
      </c>
      <c r="B15" s="34" t="n">
        <v>45901</v>
      </c>
      <c r="C15" s="33" t="s">
        <v>42</v>
      </c>
      <c r="D15" s="35" t="s">
        <v>78</v>
      </c>
      <c r="E15" s="36" t="n">
        <v>3</v>
      </c>
      <c r="F15" s="35" t="s">
        <v>79</v>
      </c>
      <c r="G15" s="33" t="s">
        <v>47</v>
      </c>
      <c r="H15" s="34" t="n">
        <v>45905</v>
      </c>
      <c r="I15" s="33" t="s">
        <v>80</v>
      </c>
      <c r="J15" s="33" t="s">
        <v>69</v>
      </c>
      <c r="K15" s="33" t="s">
        <v>81</v>
      </c>
      <c r="L15" s="37" t="n">
        <v>2400</v>
      </c>
      <c r="M15" s="35" t="s">
        <v>82</v>
      </c>
    </row>
    <row r="16" customFormat="false" ht="39.75" hidden="false" customHeight="true" outlineLevel="0" collapsed="false">
      <c r="A16" s="38" t="s">
        <v>83</v>
      </c>
      <c r="B16" s="39" t="n">
        <v>46073</v>
      </c>
      <c r="C16" s="38" t="s">
        <v>38</v>
      </c>
      <c r="D16" s="40" t="s">
        <v>84</v>
      </c>
      <c r="E16" s="41" t="n">
        <v>12</v>
      </c>
      <c r="F16" s="40" t="s">
        <v>85</v>
      </c>
      <c r="G16" s="38" t="s">
        <v>41</v>
      </c>
      <c r="H16" s="39" t="n">
        <v>46091</v>
      </c>
      <c r="I16" s="38" t="s">
        <v>86</v>
      </c>
      <c r="J16" s="38" t="s">
        <v>87</v>
      </c>
      <c r="K16" s="38" t="s">
        <v>88</v>
      </c>
      <c r="L16" s="42" t="n">
        <v>4200</v>
      </c>
      <c r="M16" s="40" t="s">
        <v>89</v>
      </c>
    </row>
    <row r="17" customFormat="false" ht="39.75" hidden="false" customHeight="true" outlineLevel="0" collapsed="false">
      <c r="A17" s="33" t="s">
        <v>90</v>
      </c>
      <c r="B17" s="34" t="n">
        <v>46082</v>
      </c>
      <c r="C17" s="33" t="s">
        <v>46</v>
      </c>
      <c r="D17" s="35" t="s">
        <v>91</v>
      </c>
      <c r="E17" s="36" t="n">
        <v>2</v>
      </c>
      <c r="F17" s="35" t="s">
        <v>79</v>
      </c>
      <c r="G17" s="33" t="s">
        <v>39</v>
      </c>
      <c r="H17" s="34"/>
      <c r="I17" s="33" t="s">
        <v>92</v>
      </c>
      <c r="J17" s="33"/>
      <c r="K17" s="33"/>
      <c r="L17" s="37"/>
      <c r="M17" s="35" t="s">
        <v>93</v>
      </c>
    </row>
    <row r="18" customFormat="false" ht="15" hidden="false" customHeight="false" outlineLevel="0" collapsed="false">
      <c r="A18" s="38"/>
      <c r="B18" s="39"/>
      <c r="C18" s="38"/>
      <c r="D18" s="40"/>
      <c r="E18" s="41"/>
      <c r="F18" s="40"/>
      <c r="G18" s="38"/>
      <c r="H18" s="39"/>
      <c r="I18" s="38"/>
      <c r="J18" s="38"/>
      <c r="K18" s="38"/>
      <c r="L18" s="42"/>
      <c r="M18" s="40"/>
    </row>
    <row r="19" customFormat="false" ht="15" hidden="false" customHeight="false" outlineLevel="0" collapsed="false">
      <c r="A19" s="33"/>
      <c r="B19" s="34"/>
      <c r="C19" s="33"/>
      <c r="D19" s="35"/>
      <c r="E19" s="36"/>
      <c r="F19" s="35"/>
      <c r="G19" s="33"/>
      <c r="H19" s="34"/>
      <c r="I19" s="33"/>
      <c r="J19" s="33"/>
      <c r="K19" s="33"/>
      <c r="L19" s="37"/>
      <c r="M19" s="35"/>
    </row>
    <row r="20" customFormat="false" ht="15" hidden="false" customHeight="false" outlineLevel="0" collapsed="false">
      <c r="A20" s="38"/>
      <c r="B20" s="39"/>
      <c r="C20" s="38"/>
      <c r="D20" s="40"/>
      <c r="E20" s="41"/>
      <c r="F20" s="40"/>
      <c r="G20" s="38"/>
      <c r="H20" s="39"/>
      <c r="I20" s="38"/>
      <c r="J20" s="38"/>
      <c r="K20" s="38"/>
      <c r="L20" s="42"/>
      <c r="M20" s="40"/>
    </row>
    <row r="21" customFormat="false" ht="15" hidden="false" customHeight="false" outlineLevel="0" collapsed="false">
      <c r="A21" s="33"/>
      <c r="B21" s="34"/>
      <c r="C21" s="33"/>
      <c r="D21" s="35"/>
      <c r="E21" s="36"/>
      <c r="F21" s="35"/>
      <c r="G21" s="33"/>
      <c r="H21" s="34"/>
      <c r="I21" s="33"/>
      <c r="J21" s="33"/>
      <c r="K21" s="33"/>
      <c r="L21" s="37"/>
      <c r="M21" s="35"/>
    </row>
    <row r="22" customFormat="false" ht="15" hidden="false" customHeight="false" outlineLevel="0" collapsed="false">
      <c r="A22" s="38"/>
      <c r="B22" s="39"/>
      <c r="C22" s="38"/>
      <c r="D22" s="40"/>
      <c r="E22" s="41"/>
      <c r="F22" s="40"/>
      <c r="G22" s="38"/>
      <c r="H22" s="39"/>
      <c r="I22" s="38"/>
      <c r="J22" s="38"/>
      <c r="K22" s="38"/>
      <c r="L22" s="42"/>
      <c r="M22" s="40"/>
    </row>
    <row r="23" customFormat="false" ht="15" hidden="false" customHeight="false" outlineLevel="0" collapsed="false">
      <c r="A23" s="33"/>
      <c r="B23" s="34"/>
      <c r="C23" s="33"/>
      <c r="D23" s="35"/>
      <c r="E23" s="36"/>
      <c r="F23" s="35"/>
      <c r="G23" s="33"/>
      <c r="H23" s="34"/>
      <c r="I23" s="33"/>
      <c r="J23" s="33"/>
      <c r="K23" s="33"/>
      <c r="L23" s="37"/>
      <c r="M23" s="35"/>
    </row>
    <row r="24" customFormat="false" ht="15" hidden="false" customHeight="false" outlineLevel="0" collapsed="false">
      <c r="A24" s="38"/>
      <c r="B24" s="39"/>
      <c r="C24" s="38"/>
      <c r="D24" s="40"/>
      <c r="E24" s="41"/>
      <c r="F24" s="40"/>
      <c r="G24" s="38"/>
      <c r="H24" s="39"/>
      <c r="I24" s="38"/>
      <c r="J24" s="38"/>
      <c r="K24" s="38"/>
      <c r="L24" s="42"/>
      <c r="M24" s="40"/>
    </row>
    <row r="25" customFormat="false" ht="15" hidden="false" customHeight="false" outlineLevel="0" collapsed="false">
      <c r="A25" s="33"/>
      <c r="B25" s="34"/>
      <c r="C25" s="33"/>
      <c r="D25" s="35"/>
      <c r="E25" s="36"/>
      <c r="F25" s="35"/>
      <c r="G25" s="33"/>
      <c r="H25" s="34"/>
      <c r="I25" s="33"/>
      <c r="J25" s="33"/>
      <c r="K25" s="33"/>
      <c r="L25" s="37"/>
      <c r="M25" s="35"/>
    </row>
    <row r="26" customFormat="false" ht="15" hidden="false" customHeight="false" outlineLevel="0" collapsed="false">
      <c r="A26" s="38"/>
      <c r="B26" s="39"/>
      <c r="C26" s="38"/>
      <c r="D26" s="40"/>
      <c r="E26" s="41"/>
      <c r="F26" s="40"/>
      <c r="G26" s="38"/>
      <c r="H26" s="39"/>
      <c r="I26" s="38"/>
      <c r="J26" s="38"/>
      <c r="K26" s="38"/>
      <c r="L26" s="42"/>
      <c r="M26" s="40"/>
    </row>
    <row r="27" customFormat="false" ht="15" hidden="false" customHeight="false" outlineLevel="0" collapsed="false">
      <c r="A27" s="33"/>
      <c r="B27" s="34"/>
      <c r="C27" s="33"/>
      <c r="D27" s="35"/>
      <c r="E27" s="36"/>
      <c r="F27" s="35"/>
      <c r="G27" s="33"/>
      <c r="H27" s="34"/>
      <c r="I27" s="33"/>
      <c r="J27" s="33"/>
      <c r="K27" s="33"/>
      <c r="L27" s="37"/>
      <c r="M27" s="35"/>
    </row>
    <row r="28" customFormat="false" ht="15" hidden="false" customHeight="false" outlineLevel="0" collapsed="false">
      <c r="A28" s="38"/>
      <c r="B28" s="39"/>
      <c r="C28" s="38"/>
      <c r="D28" s="40"/>
      <c r="E28" s="41"/>
      <c r="F28" s="40"/>
      <c r="G28" s="38"/>
      <c r="H28" s="39"/>
      <c r="I28" s="38"/>
      <c r="J28" s="38"/>
      <c r="K28" s="38"/>
      <c r="L28" s="42"/>
      <c r="M28" s="40"/>
    </row>
    <row r="29" customFormat="false" ht="15" hidden="false" customHeight="false" outlineLevel="0" collapsed="false">
      <c r="A29" s="33"/>
      <c r="B29" s="34"/>
      <c r="C29" s="33"/>
      <c r="D29" s="35"/>
      <c r="E29" s="36"/>
      <c r="F29" s="35"/>
      <c r="G29" s="33"/>
      <c r="H29" s="34"/>
      <c r="I29" s="33"/>
      <c r="J29" s="33"/>
      <c r="K29" s="33"/>
      <c r="L29" s="37"/>
      <c r="M29" s="35"/>
    </row>
    <row r="30" customFormat="false" ht="15" hidden="false" customHeight="false" outlineLevel="0" collapsed="false">
      <c r="A30" s="38"/>
      <c r="B30" s="39"/>
      <c r="C30" s="38"/>
      <c r="D30" s="40"/>
      <c r="E30" s="41"/>
      <c r="F30" s="40"/>
      <c r="G30" s="38"/>
      <c r="H30" s="39"/>
      <c r="I30" s="38"/>
      <c r="J30" s="38"/>
      <c r="K30" s="38"/>
      <c r="L30" s="42"/>
      <c r="M30" s="40"/>
    </row>
    <row r="31" customFormat="false" ht="15" hidden="false" customHeight="false" outlineLevel="0" collapsed="false">
      <c r="A31" s="33"/>
      <c r="B31" s="34"/>
      <c r="C31" s="33"/>
      <c r="D31" s="35"/>
      <c r="E31" s="36"/>
      <c r="F31" s="35"/>
      <c r="G31" s="33"/>
      <c r="H31" s="34"/>
      <c r="I31" s="33"/>
      <c r="J31" s="33"/>
      <c r="K31" s="33"/>
      <c r="L31" s="37"/>
      <c r="M31" s="35"/>
    </row>
    <row r="32" customFormat="false" ht="15" hidden="false" customHeight="false" outlineLevel="0" collapsed="false">
      <c r="A32" s="38"/>
      <c r="B32" s="39"/>
      <c r="C32" s="38"/>
      <c r="D32" s="40"/>
      <c r="E32" s="41"/>
      <c r="F32" s="40"/>
      <c r="G32" s="38"/>
      <c r="H32" s="39"/>
      <c r="I32" s="38"/>
      <c r="J32" s="38"/>
      <c r="K32" s="38"/>
      <c r="L32" s="42"/>
      <c r="M32" s="40"/>
    </row>
    <row r="33" customFormat="false" ht="15" hidden="false" customHeight="false" outlineLevel="0" collapsed="false">
      <c r="A33" s="33"/>
      <c r="B33" s="34"/>
      <c r="C33" s="33"/>
      <c r="D33" s="35"/>
      <c r="E33" s="36"/>
      <c r="F33" s="35"/>
      <c r="G33" s="33"/>
      <c r="H33" s="34"/>
      <c r="I33" s="33"/>
      <c r="J33" s="33"/>
      <c r="K33" s="33"/>
      <c r="L33" s="37"/>
      <c r="M33" s="35"/>
    </row>
    <row r="34" customFormat="false" ht="15" hidden="false" customHeight="false" outlineLevel="0" collapsed="false">
      <c r="A34" s="38"/>
      <c r="B34" s="39"/>
      <c r="C34" s="38"/>
      <c r="D34" s="40"/>
      <c r="E34" s="41"/>
      <c r="F34" s="40"/>
      <c r="G34" s="38"/>
      <c r="H34" s="39"/>
      <c r="I34" s="38"/>
      <c r="J34" s="38"/>
      <c r="K34" s="38"/>
      <c r="L34" s="42"/>
      <c r="M34" s="40"/>
    </row>
    <row r="35" customFormat="false" ht="15" hidden="false" customHeight="false" outlineLevel="0" collapsed="false">
      <c r="A35" s="33"/>
      <c r="B35" s="34"/>
      <c r="C35" s="33"/>
      <c r="D35" s="35"/>
      <c r="E35" s="36"/>
      <c r="F35" s="35"/>
      <c r="G35" s="33"/>
      <c r="H35" s="34"/>
      <c r="I35" s="33"/>
      <c r="J35" s="33"/>
      <c r="K35" s="33"/>
      <c r="L35" s="37"/>
      <c r="M35" s="35"/>
    </row>
    <row r="36" customFormat="false" ht="15" hidden="false" customHeight="false" outlineLevel="0" collapsed="false">
      <c r="A36" s="38"/>
      <c r="B36" s="39"/>
      <c r="C36" s="38"/>
      <c r="D36" s="40"/>
      <c r="E36" s="41"/>
      <c r="F36" s="40"/>
      <c r="G36" s="38"/>
      <c r="H36" s="39"/>
      <c r="I36" s="38"/>
      <c r="J36" s="38"/>
      <c r="K36" s="38"/>
      <c r="L36" s="42"/>
      <c r="M36" s="40"/>
    </row>
    <row r="37" customFormat="false" ht="15" hidden="false" customHeight="false" outlineLevel="0" collapsed="false">
      <c r="A37" s="33"/>
      <c r="B37" s="34"/>
      <c r="C37" s="33"/>
      <c r="D37" s="35"/>
      <c r="E37" s="36"/>
      <c r="F37" s="35"/>
      <c r="G37" s="33"/>
      <c r="H37" s="34"/>
      <c r="I37" s="33"/>
      <c r="J37" s="33"/>
      <c r="K37" s="33"/>
      <c r="L37" s="37"/>
      <c r="M37" s="35"/>
    </row>
    <row r="38" customFormat="false" ht="15" hidden="false" customHeight="false" outlineLevel="0" collapsed="false">
      <c r="A38" s="38"/>
      <c r="B38" s="39"/>
      <c r="C38" s="38"/>
      <c r="D38" s="40"/>
      <c r="E38" s="41"/>
      <c r="F38" s="40"/>
      <c r="G38" s="38"/>
      <c r="H38" s="39"/>
      <c r="I38" s="38"/>
      <c r="J38" s="38"/>
      <c r="K38" s="38"/>
      <c r="L38" s="42"/>
      <c r="M38" s="40"/>
    </row>
    <row r="39" customFormat="false" ht="15" hidden="false" customHeight="false" outlineLevel="0" collapsed="false">
      <c r="A39" s="33"/>
      <c r="B39" s="34"/>
      <c r="C39" s="33"/>
      <c r="D39" s="35"/>
      <c r="E39" s="36"/>
      <c r="F39" s="35"/>
      <c r="G39" s="33"/>
      <c r="H39" s="34"/>
      <c r="I39" s="33"/>
      <c r="J39" s="33"/>
      <c r="K39" s="33"/>
      <c r="L39" s="37"/>
      <c r="M39" s="35"/>
    </row>
    <row r="40" customFormat="false" ht="15" hidden="false" customHeight="false" outlineLevel="0" collapsed="false">
      <c r="A40" s="38"/>
      <c r="B40" s="39"/>
      <c r="C40" s="38"/>
      <c r="D40" s="40"/>
      <c r="E40" s="41"/>
      <c r="F40" s="40"/>
      <c r="G40" s="38"/>
      <c r="H40" s="39"/>
      <c r="I40" s="38"/>
      <c r="J40" s="38"/>
      <c r="K40" s="38"/>
      <c r="L40" s="42"/>
      <c r="M40" s="40"/>
    </row>
    <row r="41" customFormat="false" ht="15" hidden="false" customHeight="false" outlineLevel="0" collapsed="false">
      <c r="A41" s="33"/>
      <c r="B41" s="34"/>
      <c r="C41" s="33"/>
      <c r="D41" s="35"/>
      <c r="E41" s="36"/>
      <c r="F41" s="35"/>
      <c r="G41" s="33"/>
      <c r="H41" s="34"/>
      <c r="I41" s="33"/>
      <c r="J41" s="33"/>
      <c r="K41" s="33"/>
      <c r="L41" s="37"/>
      <c r="M41" s="35"/>
    </row>
    <row r="42" customFormat="false" ht="15" hidden="false" customHeight="false" outlineLevel="0" collapsed="false">
      <c r="A42" s="38"/>
      <c r="B42" s="39"/>
      <c r="C42" s="38"/>
      <c r="D42" s="40"/>
      <c r="E42" s="41"/>
      <c r="F42" s="40"/>
      <c r="G42" s="38"/>
      <c r="H42" s="39"/>
      <c r="I42" s="38"/>
      <c r="J42" s="38"/>
      <c r="K42" s="38"/>
      <c r="L42" s="42"/>
      <c r="M42" s="40"/>
    </row>
    <row r="43" customFormat="false" ht="15" hidden="false" customHeight="false" outlineLevel="0" collapsed="false">
      <c r="A43" s="33"/>
      <c r="B43" s="34"/>
      <c r="C43" s="33"/>
      <c r="D43" s="35"/>
      <c r="E43" s="36"/>
      <c r="F43" s="35"/>
      <c r="G43" s="33"/>
      <c r="H43" s="34"/>
      <c r="I43" s="33"/>
      <c r="J43" s="33"/>
      <c r="K43" s="33"/>
      <c r="L43" s="37"/>
      <c r="M43" s="35"/>
    </row>
    <row r="44" customFormat="false" ht="15" hidden="false" customHeight="false" outlineLevel="0" collapsed="false">
      <c r="A44" s="38"/>
      <c r="B44" s="39"/>
      <c r="C44" s="38"/>
      <c r="D44" s="40"/>
      <c r="E44" s="41"/>
      <c r="F44" s="40"/>
      <c r="G44" s="38"/>
      <c r="H44" s="39"/>
      <c r="I44" s="38"/>
      <c r="J44" s="38"/>
      <c r="K44" s="38"/>
      <c r="L44" s="42"/>
      <c r="M44" s="40"/>
    </row>
    <row r="45" customFormat="false" ht="15" hidden="false" customHeight="false" outlineLevel="0" collapsed="false">
      <c r="A45" s="33"/>
      <c r="B45" s="34"/>
      <c r="C45" s="33"/>
      <c r="D45" s="35"/>
      <c r="E45" s="36"/>
      <c r="F45" s="35"/>
      <c r="G45" s="33"/>
      <c r="H45" s="34"/>
      <c r="I45" s="33"/>
      <c r="J45" s="33"/>
      <c r="K45" s="33"/>
      <c r="L45" s="37"/>
      <c r="M45" s="35"/>
    </row>
    <row r="46" customFormat="false" ht="15" hidden="false" customHeight="false" outlineLevel="0" collapsed="false">
      <c r="A46" s="38"/>
      <c r="B46" s="39"/>
      <c r="C46" s="38"/>
      <c r="D46" s="40"/>
      <c r="E46" s="41"/>
      <c r="F46" s="40"/>
      <c r="G46" s="38"/>
      <c r="H46" s="39"/>
      <c r="I46" s="38"/>
      <c r="J46" s="38"/>
      <c r="K46" s="38"/>
      <c r="L46" s="42"/>
      <c r="M46" s="40"/>
    </row>
    <row r="47" customFormat="false" ht="15" hidden="false" customHeight="false" outlineLevel="0" collapsed="false">
      <c r="A47" s="33"/>
      <c r="B47" s="34"/>
      <c r="C47" s="33"/>
      <c r="D47" s="35"/>
      <c r="E47" s="36"/>
      <c r="F47" s="35"/>
      <c r="G47" s="33"/>
      <c r="H47" s="34"/>
      <c r="I47" s="33"/>
      <c r="J47" s="33"/>
      <c r="K47" s="33"/>
      <c r="L47" s="37"/>
      <c r="M47" s="35"/>
    </row>
    <row r="48" customFormat="false" ht="15" hidden="false" customHeight="false" outlineLevel="0" collapsed="false">
      <c r="A48" s="38"/>
      <c r="B48" s="39"/>
      <c r="C48" s="38"/>
      <c r="D48" s="40"/>
      <c r="E48" s="41"/>
      <c r="F48" s="40"/>
      <c r="G48" s="38"/>
      <c r="H48" s="39"/>
      <c r="I48" s="38"/>
      <c r="J48" s="38"/>
      <c r="K48" s="38"/>
      <c r="L48" s="42"/>
      <c r="M48" s="40"/>
    </row>
    <row r="49" customFormat="false" ht="15" hidden="false" customHeight="false" outlineLevel="0" collapsed="false">
      <c r="A49" s="33"/>
      <c r="B49" s="34"/>
      <c r="C49" s="33"/>
      <c r="D49" s="35"/>
      <c r="E49" s="36"/>
      <c r="F49" s="35"/>
      <c r="G49" s="33"/>
      <c r="H49" s="34"/>
      <c r="I49" s="33"/>
      <c r="J49" s="33"/>
      <c r="K49" s="33"/>
      <c r="L49" s="37"/>
      <c r="M49" s="35"/>
    </row>
    <row r="50" customFormat="false" ht="15" hidden="false" customHeight="false" outlineLevel="0" collapsed="false">
      <c r="A50" s="38"/>
      <c r="B50" s="39"/>
      <c r="C50" s="38"/>
      <c r="D50" s="40"/>
      <c r="E50" s="41"/>
      <c r="F50" s="40"/>
      <c r="G50" s="38"/>
      <c r="H50" s="39"/>
      <c r="I50" s="38"/>
      <c r="J50" s="38"/>
      <c r="K50" s="38"/>
      <c r="L50" s="42"/>
      <c r="M50" s="40"/>
    </row>
    <row r="51" customFormat="false" ht="15" hidden="false" customHeight="false" outlineLevel="0" collapsed="false">
      <c r="A51" s="33"/>
      <c r="B51" s="34"/>
      <c r="C51" s="33"/>
      <c r="D51" s="35"/>
      <c r="E51" s="36"/>
      <c r="F51" s="35"/>
      <c r="G51" s="33"/>
      <c r="H51" s="34"/>
      <c r="I51" s="33"/>
      <c r="J51" s="33"/>
      <c r="K51" s="33"/>
      <c r="L51" s="37"/>
      <c r="M51" s="35"/>
    </row>
    <row r="52" customFormat="false" ht="15" hidden="false" customHeight="false" outlineLevel="0" collapsed="false">
      <c r="A52" s="38"/>
      <c r="B52" s="39"/>
      <c r="C52" s="38"/>
      <c r="D52" s="40"/>
      <c r="E52" s="41"/>
      <c r="F52" s="40"/>
      <c r="G52" s="38"/>
      <c r="H52" s="39"/>
      <c r="I52" s="38"/>
      <c r="J52" s="38"/>
      <c r="K52" s="38"/>
      <c r="L52" s="42"/>
      <c r="M52" s="40"/>
    </row>
    <row r="53" customFormat="false" ht="15" hidden="false" customHeight="false" outlineLevel="0" collapsed="false">
      <c r="A53" s="33"/>
      <c r="B53" s="34"/>
      <c r="C53" s="33"/>
      <c r="D53" s="35"/>
      <c r="E53" s="36"/>
      <c r="F53" s="35"/>
      <c r="G53" s="33"/>
      <c r="H53" s="34"/>
      <c r="I53" s="33"/>
      <c r="J53" s="33"/>
      <c r="K53" s="33"/>
      <c r="L53" s="37"/>
      <c r="M53" s="35"/>
    </row>
    <row r="54" customFormat="false" ht="15" hidden="false" customHeight="false" outlineLevel="0" collapsed="false">
      <c r="A54" s="38"/>
      <c r="B54" s="39"/>
      <c r="C54" s="38"/>
      <c r="D54" s="40"/>
      <c r="E54" s="41"/>
      <c r="F54" s="40"/>
      <c r="G54" s="38"/>
      <c r="H54" s="39"/>
      <c r="I54" s="38"/>
      <c r="J54" s="38"/>
      <c r="K54" s="38"/>
      <c r="L54" s="42"/>
      <c r="M54" s="40"/>
    </row>
    <row r="55" customFormat="false" ht="15" hidden="false" customHeight="false" outlineLevel="0" collapsed="false">
      <c r="A55" s="33"/>
      <c r="B55" s="34"/>
      <c r="C55" s="33"/>
      <c r="D55" s="35"/>
      <c r="E55" s="36"/>
      <c r="F55" s="35"/>
      <c r="G55" s="33"/>
      <c r="H55" s="34"/>
      <c r="I55" s="33"/>
      <c r="J55" s="33"/>
      <c r="K55" s="33"/>
      <c r="L55" s="37"/>
      <c r="M55" s="35"/>
    </row>
    <row r="56" customFormat="false" ht="15" hidden="false" customHeight="false" outlineLevel="0" collapsed="false">
      <c r="A56" s="38"/>
      <c r="B56" s="39"/>
      <c r="C56" s="38"/>
      <c r="D56" s="40"/>
      <c r="E56" s="41"/>
      <c r="F56" s="40"/>
      <c r="G56" s="38"/>
      <c r="H56" s="39"/>
      <c r="I56" s="38"/>
      <c r="J56" s="38"/>
      <c r="K56" s="38"/>
      <c r="L56" s="42"/>
      <c r="M56" s="40"/>
    </row>
    <row r="57" customFormat="false" ht="15" hidden="false" customHeight="false" outlineLevel="0" collapsed="false">
      <c r="A57" s="33"/>
      <c r="B57" s="34"/>
      <c r="C57" s="33"/>
      <c r="D57" s="35"/>
      <c r="E57" s="36"/>
      <c r="F57" s="35"/>
      <c r="G57" s="33"/>
      <c r="H57" s="34"/>
      <c r="I57" s="33"/>
      <c r="J57" s="33"/>
      <c r="K57" s="33"/>
      <c r="L57" s="37"/>
      <c r="M57" s="35"/>
    </row>
    <row r="58" customFormat="false" ht="15" hidden="false" customHeight="false" outlineLevel="0" collapsed="false">
      <c r="A58" s="38"/>
      <c r="B58" s="39"/>
      <c r="C58" s="38"/>
      <c r="D58" s="40"/>
      <c r="E58" s="41"/>
      <c r="F58" s="40"/>
      <c r="G58" s="38"/>
      <c r="H58" s="39"/>
      <c r="I58" s="38"/>
      <c r="J58" s="38"/>
      <c r="K58" s="38"/>
      <c r="L58" s="42"/>
      <c r="M58" s="40"/>
    </row>
    <row r="59" customFormat="false" ht="15" hidden="false" customHeight="false" outlineLevel="0" collapsed="false">
      <c r="A59" s="33"/>
      <c r="B59" s="34"/>
      <c r="C59" s="33"/>
      <c r="D59" s="35"/>
      <c r="E59" s="36"/>
      <c r="F59" s="35"/>
      <c r="G59" s="33"/>
      <c r="H59" s="34"/>
      <c r="I59" s="33"/>
      <c r="J59" s="33"/>
      <c r="K59" s="33"/>
      <c r="L59" s="37"/>
      <c r="M59" s="35"/>
    </row>
    <row r="60" customFormat="false" ht="15" hidden="false" customHeight="false" outlineLevel="0" collapsed="false">
      <c r="A60" s="38"/>
      <c r="B60" s="39"/>
      <c r="C60" s="38"/>
      <c r="D60" s="40"/>
      <c r="E60" s="41"/>
      <c r="F60" s="40"/>
      <c r="G60" s="38"/>
      <c r="H60" s="39"/>
      <c r="I60" s="38"/>
      <c r="J60" s="38"/>
      <c r="K60" s="38"/>
      <c r="L60" s="42"/>
      <c r="M60" s="40"/>
    </row>
    <row r="61" customFormat="false" ht="15" hidden="false" customHeight="false" outlineLevel="0" collapsed="false">
      <c r="A61" s="33"/>
      <c r="B61" s="34"/>
      <c r="C61" s="33"/>
      <c r="D61" s="35"/>
      <c r="E61" s="36"/>
      <c r="F61" s="35"/>
      <c r="G61" s="33"/>
      <c r="H61" s="34"/>
      <c r="I61" s="33"/>
      <c r="J61" s="33"/>
      <c r="K61" s="33"/>
      <c r="L61" s="37"/>
      <c r="M61" s="35"/>
    </row>
    <row r="62" customFormat="false" ht="15" hidden="false" customHeight="false" outlineLevel="0" collapsed="false">
      <c r="A62" s="38"/>
      <c r="B62" s="39"/>
      <c r="C62" s="38"/>
      <c r="D62" s="40"/>
      <c r="E62" s="41"/>
      <c r="F62" s="40"/>
      <c r="G62" s="38"/>
      <c r="H62" s="39"/>
      <c r="I62" s="38"/>
      <c r="J62" s="38"/>
      <c r="K62" s="38"/>
      <c r="L62" s="42"/>
      <c r="M62" s="40"/>
    </row>
  </sheetData>
  <autoFilter ref="A12:M511"/>
  <mergeCells count="17">
    <mergeCell ref="A1:M1"/>
    <mergeCell ref="A2:D2"/>
    <mergeCell ref="F2:J2"/>
    <mergeCell ref="A3:C3"/>
    <mergeCell ref="F3:I3"/>
    <mergeCell ref="A4:C4"/>
    <mergeCell ref="F4:I4"/>
    <mergeCell ref="A5:C5"/>
    <mergeCell ref="F5:I5"/>
    <mergeCell ref="A6:C6"/>
    <mergeCell ref="F6:I6"/>
    <mergeCell ref="A7:C7"/>
    <mergeCell ref="F7:I7"/>
    <mergeCell ref="A8:C8"/>
    <mergeCell ref="A9:C9"/>
    <mergeCell ref="F9:I9"/>
    <mergeCell ref="A11:M11"/>
  </mergeCells>
  <conditionalFormatting sqref="G13:G512">
    <cfRule type="cellIs" priority="2" operator="equal" aboveAverage="0" equalAverage="0" bottom="0" percent="0" rank="0" text="" dxfId="8">
      <formula>"Identified"</formula>
    </cfRule>
    <cfRule type="cellIs" priority="3" operator="equal" aboveAverage="0" equalAverage="0" bottom="0" percent="0" rank="0" text="" dxfId="9">
      <formula>"Treatment 1"</formula>
    </cfRule>
    <cfRule type="cellIs" priority="4" operator="equal" aboveAverage="0" equalAverage="0" bottom="0" percent="0" rank="0" text="" dxfId="9">
      <formula>"Treatment 2"</formula>
    </cfRule>
    <cfRule type="cellIs" priority="5" operator="equal" aboveAverage="0" equalAverage="0" bottom="0" percent="0" rank="0" text="" dxfId="9">
      <formula>"Monitoring"</formula>
    </cfRule>
    <cfRule type="cellIs" priority="6" operator="equal" aboveAverage="0" equalAverage="0" bottom="0" percent="0" rank="0" text="" dxfId="10">
      <formula>"Cleared"</formula>
    </cfRule>
  </conditionalFormatting>
  <dataValidations count="4">
    <dataValidation allowBlank="true" errorStyle="stop" operator="between" showDropDown="false" showErrorMessage="false" showInputMessage="false" sqref="C13:C512" type="list">
      <formula1>"Japanese Knotweed,Himalayan Balsam,Giant Hogweed,Floating Pennywort,Cotoneaster,Other"</formula1>
      <formula2>0</formula2>
    </dataValidation>
    <dataValidation allowBlank="true" errorStyle="stop" operator="between" showDropDown="false" showErrorMessage="false" showInputMessage="false" sqref="G13:G512" type="list">
      <formula1>"Identified,Treatment 1,Treatment 2,Monitoring,Cleared"</formula1>
      <formula2>0</formula2>
    </dataValidation>
    <dataValidation allowBlank="true" errorStyle="stop" operator="between" showDropDown="false" showErrorMessage="false" showInputMessage="false" sqref="F13:F512" type="list">
      <formula1>"Herbicide (glyphosate),Herbicide (other),Excavation &amp; Removal,Root Barrier,Burial on site,Combined,N/A"</formula1>
      <formula2>0</formula2>
    </dataValidation>
    <dataValidation allowBlank="true" errorStyle="stop" operator="between" showDropDown="false" showErrorMessage="false" showInputMessage="false" sqref="K13:K512" type="list">
      <formula1>"Licensed landfill,Burial on site (with membrane),Incineration,N/A — in situ treatment"</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&amp;CInvasive Species Management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94</v>
      </c>
    </row>
    <row r="2" customFormat="false" ht="15" hidden="false" customHeight="false" outlineLevel="0" collapsed="false">
      <c r="A2" s="20"/>
    </row>
    <row r="3" customFormat="false" ht="15" hidden="false" customHeight="false" outlineLevel="0" collapsed="false">
      <c r="A3" s="20" t="s">
        <v>95</v>
      </c>
    </row>
    <row r="4" customFormat="false" ht="15" hidden="false" customHeight="false" outlineLevel="0" collapsed="false">
      <c r="A4" s="20"/>
    </row>
    <row r="5" customFormat="false" ht="15" hidden="false" customHeight="false" outlineLevel="0" collapsed="false">
      <c r="A5" s="20" t="s">
        <v>96</v>
      </c>
    </row>
    <row r="6" customFormat="false" ht="15" hidden="false" customHeight="false" outlineLevel="0" collapsed="false">
      <c r="A6" s="20"/>
    </row>
    <row r="7" customFormat="false" ht="15" hidden="false" customHeight="false" outlineLevel="0" collapsed="false">
      <c r="A7" s="20" t="s">
        <v>97</v>
      </c>
    </row>
    <row r="8" customFormat="false" ht="15" hidden="false" customHeight="false" outlineLevel="0" collapsed="false">
      <c r="A8" s="20"/>
    </row>
    <row r="9" customFormat="false" ht="15" hidden="false" customHeight="false" outlineLevel="0" collapsed="false">
      <c r="A9" s="20" t="s">
        <v>98</v>
      </c>
    </row>
    <row r="10" customFormat="false" ht="15" hidden="false" customHeight="false" outlineLevel="0" collapsed="false">
      <c r="A10" s="20"/>
    </row>
    <row r="11" customFormat="false" ht="15" hidden="false" customHeight="false" outlineLevel="0" collapsed="false">
      <c r="A11" s="20" t="s">
        <v>99</v>
      </c>
    </row>
    <row r="12" customFormat="false" ht="15" hidden="false" customHeight="false" outlineLevel="0" collapsed="false">
      <c r="A12" s="20"/>
    </row>
    <row r="13" customFormat="false" ht="15" hidden="false" customHeight="false" outlineLevel="0" collapsed="false">
      <c r="A13" s="20" t="s">
        <v>100</v>
      </c>
    </row>
    <row r="14" customFormat="false" ht="15" hidden="false" customHeight="false" outlineLevel="0" collapsed="false">
      <c r="A14" s="20"/>
    </row>
    <row r="15" customFormat="false" ht="15" hidden="false" customHeight="false" outlineLevel="0" collapsed="false">
      <c r="A15" s="20" t="s">
        <v>101</v>
      </c>
    </row>
    <row r="16" customFormat="false" ht="15" hidden="false" customHeight="false" outlineLevel="0" collapsed="false">
      <c r="A16" s="20"/>
    </row>
    <row r="17" customFormat="false" ht="15" hidden="false" customHeight="false" outlineLevel="0" collapsed="false">
      <c r="A17" s="20"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Environmental</cp:category>
  <dcterms:created xsi:type="dcterms:W3CDTF">2026-03-23T06:49:15Z</dcterms:created>
  <dc:creator>Ebrora Ltd</dc:creator>
  <dc:description>Track invasive species infestations, treatment programmes, and clearance status for UK construction projects.
Free professional construction management template from Ebrora Ltd. Visit ebrora.com for our full range of tools and templates.</dc:description>
  <cp:keywords>Ebrora construction invasive species Japanese knotweed treatment ecology environmental Schedule 9</cp:keywords>
  <dc:language>en-US</dc:language>
  <cp:lastModifiedBy>Ebrora Ltd</cp:lastModifiedBy>
  <dcterms:modified xsi:type="dcterms:W3CDTF">2026-03-23T06:49:15Z</dcterms:modified>
  <cp:revision>0</cp:revision>
  <dc:subject>Track invasive species infestations, treatment programmes, and clearance status on construction sites.</dc:subject>
  <dc:title>Invasive Species Management Log</dc:title>
</cp:coreProperties>
</file>

<file path=docProps/custom.xml><?xml version="1.0" encoding="utf-8"?>
<Properties xmlns="http://schemas.openxmlformats.org/officeDocument/2006/custom-properties" xmlns:vt="http://schemas.openxmlformats.org/officeDocument/2006/docPropsVTypes"/>
</file>