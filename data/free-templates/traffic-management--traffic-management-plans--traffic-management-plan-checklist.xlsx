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TMP Checklis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'TMP Checklist'!$A$1:$F$61</definedName>
    <definedName function="false" hidden="false" name="Checklist" vbProcedure="false">'TMP Checklist'!$A$1:$F$61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<sst xmlns="http://schemas.openxmlformats.org/spreadsheetml/2006/main" count="115" uniqueCount="111">
  <si>
    <t xml:space="preserve">EBRORA</t>
  </si>
  <si>
    <t xml:space="preserve">ebrora.com</t>
  </si>
  <si>
    <t xml:space="preserve">Traffic Management Plan
Checklist</t>
  </si>
  <si>
    <t xml:space="preserve">A scored assessment checklist for construction site traffic management — with automatic compliance calculation and category-level RAG rating.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</si>
  <si>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</si>
  <si>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</si>
  <si>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</si>
  <si>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</si>
  <si>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</si>
  <si>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'TMP Checklist' sheet. Fill in the project details and inspection date at the top.</t>
  </si>
  <si>
    <t xml:space="preserve">2.</t>
  </si>
  <si>
    <t xml:space="preserve">The checklist contains 35 items across 7 categories. Score each item using the dropdown: 0 = Non-Compliant, 1 = Partial, 2 = Compliant, 3 = Exceeds Standard.</t>
  </si>
  <si>
    <t xml:space="preserve">3.</t>
  </si>
  <si>
    <t xml:space="preserve">Use N/A if an item doesn't apply to your site. N/A items are excluded from the percentage calculation.</t>
  </si>
  <si>
    <t xml:space="preserve">4.</t>
  </si>
  <si>
    <t xml:space="preserve">The compliance dashboard at the top auto-calculates: overall score percentage, a RAG rating, and per-category scores.</t>
  </si>
  <si>
    <t xml:space="preserve">5.</t>
  </si>
  <si>
    <t xml:space="preserve">Add actions or observations in the Action Required column for any item scoring 0 or 1.</t>
  </si>
  <si>
    <t xml:space="preserve">6.</t>
  </si>
  <si>
    <t xml:space="preserve">Complete the sign-off at the bottom. Re-inspect at least monthly, or after any significant change to site layout.</t>
  </si>
  <si>
    <t xml:space="preserve">Scoring Guide</t>
  </si>
  <si>
    <t xml:space="preserve">0 = Non-Compliant — Item is missing, defective, or not in place. Immediate action required.</t>
  </si>
  <si>
    <t xml:space="preserve">1 = Partial — Item exists but doesn't fully meet requirements. Improvement needed.</t>
  </si>
  <si>
    <t xml:space="preserve">2 = Compliant — Item meets the required standard.</t>
  </si>
  <si>
    <t xml:space="preserve">3 = Exceeds — Item exceeds the minimum standard (best practice).</t>
  </si>
  <si>
    <t xml:space="preserve">N/A = Not applicable to this site or inspection.</t>
  </si>
  <si>
    <t xml:space="preserve">Colour Key</t>
  </si>
  <si>
    <t xml:space="preserve">Green — Score 2 or 3 (Compliant / Exceeds). Category ≥75%.</t>
  </si>
  <si>
    <t xml:space="preserve">Amber — Score 1 (Partial). Category 50–74%.</t>
  </si>
  <si>
    <t xml:space="preserve">Red — Score 0 (Non-Compliant). Category &lt;50%.</t>
  </si>
  <si>
    <t xml:space="preserve">Tips</t>
  </si>
  <si>
    <t xml:space="preserve">Tip 1:</t>
  </si>
  <si>
    <t xml:space="preserve">Walk the full site perimeter and every pedestrian/vehicle route during the inspection. Don't assess from the site office — conditions change daily.</t>
  </si>
  <si>
    <t xml:space="preserve">Tip 2:</t>
  </si>
  <si>
    <t xml:space="preserve">Photograph any non-compliant items and reference the photo number in the Action column. Photographic evidence strengthens your audit trail.</t>
  </si>
  <si>
    <t xml:space="preserve">Tip 3:</t>
  </si>
  <si>
    <t xml:space="preserve">Share results with subcontractors at the next coordination meeting. Traffic management is everyone's responsibility, not just the principal contractor's.</t>
  </si>
  <si>
    <t xml:space="preserve">TRAFFIC MANAGEMENT PLAN — COMPLIANCE CHECKLIST</t>
  </si>
  <si>
    <t xml:space="preserve">Project:</t>
  </si>
  <si>
    <t xml:space="preserve">Riverside Gateway Phase 2</t>
  </si>
  <si>
    <t xml:space="preserve">Inspection Date:</t>
  </si>
  <si>
    <t xml:space="preserve">Rev: 03</t>
  </si>
  <si>
    <t xml:space="preserve">Inspector:</t>
  </si>
  <si>
    <t xml:space="preserve">S. Patel</t>
  </si>
  <si>
    <t xml:space="preserve">Weather:</t>
  </si>
  <si>
    <t xml:space="preserve">Dry, overcast</t>
  </si>
  <si>
    <t xml:space="preserve">OVERALL SCORE:</t>
  </si>
  <si>
    <t xml:space="preserve">RAG:</t>
  </si>
  <si>
    <t xml:space="preserve">Scored:</t>
  </si>
  <si>
    <t xml:space="preserve">A. PEDESTRIAN ROUTES</t>
  </si>
  <si>
    <t xml:space="preserve">Designated pedestrian walkways clearly marked</t>
  </si>
  <si>
    <t xml:space="preserve">Walkways separated from vehicle routes by physical barriers</t>
  </si>
  <si>
    <t xml:space="preserve">Pedestrian routes adequately lit (including night works)</t>
  </si>
  <si>
    <t xml:space="preserve">Step-free access where reasonably practicable</t>
  </si>
  <si>
    <t xml:space="preserve">Step-free access blocked by material storage at Block B entrance</t>
  </si>
  <si>
    <t xml:space="preserve">Site foreman</t>
  </si>
  <si>
    <t xml:space="preserve">Pedestrian crossings at vehicle route intersections</t>
  </si>
  <si>
    <t xml:space="preserve">B. VEHICLE ROUTES</t>
  </si>
  <si>
    <t xml:space="preserve">One-way system in operation where required</t>
  </si>
  <si>
    <t xml:space="preserve">Speed limit signs displayed (typically 5-10 mph)</t>
  </si>
  <si>
    <t xml:space="preserve">Road surface in good condition (no potholes, standing water)</t>
  </si>
  <si>
    <t xml:space="preserve">Pothole forming near south gate turning circle — needs grading</t>
  </si>
  <si>
    <t xml:space="preserve">Briggs GW</t>
  </si>
  <si>
    <t xml:space="preserve">Adequate turning/reversing areas provided</t>
  </si>
  <si>
    <t xml:space="preserve">Vehicle routes wide enough for largest expected vehicle</t>
  </si>
  <si>
    <t xml:space="preserve">C. SIGNAGE &amp; MARKINGS</t>
  </si>
  <si>
    <t xml:space="preserve">Site entrance signage visible from public highway</t>
  </si>
  <si>
    <t xml:space="preserve">Internal directional signage at all junctions</t>
  </si>
  <si>
    <t xml:space="preserve">Speed limit signs at regular intervals</t>
  </si>
  <si>
    <t xml:space="preserve">Pedestrian route signs clearly visible</t>
  </si>
  <si>
    <t xml:space="preserve">Hazard warning signs at blind corners / pinch points</t>
  </si>
  <si>
    <t xml:space="preserve">No hazard warning sign at blind corner behind Block A — install immediately</t>
  </si>
  <si>
    <t xml:space="preserve">D. BARRIERS &amp; SEGREGATION</t>
  </si>
  <si>
    <t xml:space="preserve">Heras fencing / barriers separating pedestrians from vehicles</t>
  </si>
  <si>
    <t xml:space="preserve">Barriers in good condition (not damaged, leaning, or missing)</t>
  </si>
  <si>
    <t xml:space="preserve">Segregation maintained at loading/unloading areas</t>
  </si>
  <si>
    <t xml:space="preserve">Protection at excavation edges near traffic routes</t>
  </si>
  <si>
    <t xml:space="preserve">Public interface barriers and hoarding in place</t>
  </si>
  <si>
    <t xml:space="preserve">E. BANKSMEN &amp; PERSONNEL</t>
  </si>
  <si>
    <t xml:space="preserve">Trained banksmen deployed at key locations</t>
  </si>
  <si>
    <t xml:space="preserve">Banksmen wearing hi-vis and using standard hand signals</t>
  </si>
  <si>
    <t xml:space="preserve">Reversing operations controlled by banksman</t>
  </si>
  <si>
    <t xml:space="preserve">All personnel briefed on TMP via site induction</t>
  </si>
  <si>
    <t xml:space="preserve">Emergency procedures understood by all traffic marshals</t>
  </si>
  <si>
    <t xml:space="preserve">F. DOCUMENTATION</t>
  </si>
  <si>
    <t xml:space="preserve">Written TMP available on site and up to date</t>
  </si>
  <si>
    <t xml:space="preserve">TMP drawing displayed in site office</t>
  </si>
  <si>
    <t xml:space="preserve">TMP included in site induction pack</t>
  </si>
  <si>
    <t xml:space="preserve">Risk assessment for traffic management reviewed</t>
  </si>
  <si>
    <t xml:space="preserve">Method statement for deliveries and vehicle movements</t>
  </si>
  <si>
    <t xml:space="preserve">G. EMERGENCY ACCESS</t>
  </si>
  <si>
    <t xml:space="preserve">Emergency vehicle access route maintained at all times</t>
  </si>
  <si>
    <t xml:space="preserve">Fire assembly point accessible without crossing vehicle routes</t>
  </si>
  <si>
    <t xml:space="preserve">Emergency access not blocked by parked vehicles or materials</t>
  </si>
  <si>
    <t xml:space="preserve">Emergency route clearly signed and known to all personnel</t>
  </si>
  <si>
    <t xml:space="preserve">Width of emergency route adequate (≥3.7m for fire appliance)</t>
  </si>
  <si>
    <t xml:space="preserve">SIGN-OFF</t>
  </si>
  <si>
    <t xml:space="preserve">Inspected By:</t>
  </si>
  <si>
    <t xml:space="preserve">Date:</t>
  </si>
  <si>
    <t xml:space="preserve">Signature:</t>
  </si>
  <si>
    <t xml:space="preserve">Reviewed By:</t>
  </si>
  <si>
    <t xml:space="preserve">ebrora.com — Free professional construction management templates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</si>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</sst>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6"/>
      <color rgb="FF2AABB3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2AABB3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1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23.8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1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1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15" hidden="false" customHeight="false" outlineLevel="0" collapsed="false">
      <c r="A11" s="9"/>
      <c r="B11" s="10"/>
      <c r="C11" s="10"/>
      <c r="D11" s="10"/>
      <c r="E11" s="10"/>
      <c r="F11" s="10"/>
    </row>
    <row r="12" customFormat="false" ht="15" hidden="false" customHeight="true" outlineLevel="0" collapsed="false">
      <c r="A12" s="11" t="s">
        <v>20</v>
      </c>
      <c r="B12" s="11"/>
      <c r="C12" s="11"/>
      <c r="D12" s="11"/>
      <c r="E12" s="11"/>
      <c r="F12" s="11"/>
    </row>
    <row r="13" customFormat="false" ht="15" hidden="false" customHeight="true" outlineLevel="0" collapsed="false">
      <c r="A13" s="9"/>
      <c r="B13" s="10" t="s">
        <v>21</v>
      </c>
      <c r="C13" s="10"/>
      <c r="D13" s="10"/>
      <c r="E13" s="10"/>
      <c r="F13" s="10"/>
    </row>
    <row r="14" customFormat="false" ht="15" hidden="false" customHeight="true" outlineLevel="0" collapsed="false">
      <c r="A14" s="9"/>
      <c r="B14" s="10" t="s">
        <v>22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23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24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25</v>
      </c>
      <c r="C17" s="10"/>
      <c r="D17" s="10"/>
      <c r="E17" s="10"/>
      <c r="F17" s="10"/>
    </row>
    <row r="18" customFormat="false" ht="15" hidden="false" customHeight="false" outlineLevel="0" collapsed="false">
      <c r="A18" s="9"/>
      <c r="B18" s="10"/>
      <c r="C18" s="10"/>
      <c r="D18" s="10"/>
      <c r="E18" s="10"/>
      <c r="F18" s="10"/>
    </row>
    <row r="19" customFormat="false" ht="15" hidden="false" customHeight="true" outlineLevel="0" collapsed="false">
      <c r="A19" s="11" t="s">
        <v>26</v>
      </c>
      <c r="B19" s="11"/>
      <c r="C19" s="11"/>
      <c r="D19" s="11"/>
      <c r="E19" s="11"/>
      <c r="F19" s="11"/>
    </row>
    <row r="20" customFormat="false" ht="15" hidden="false" customHeight="true" outlineLevel="0" collapsed="false">
      <c r="A20" s="9"/>
      <c r="B20" s="10" t="s">
        <v>27</v>
      </c>
      <c r="C20" s="10"/>
      <c r="D20" s="10"/>
      <c r="E20" s="10"/>
      <c r="F20" s="10"/>
    </row>
    <row r="21" customFormat="false" ht="15" hidden="false" customHeight="true" outlineLevel="0" collapsed="false">
      <c r="A21" s="9"/>
      <c r="B21" s="10" t="s">
        <v>28</v>
      </c>
      <c r="C21" s="10"/>
      <c r="D21" s="10"/>
      <c r="E21" s="10"/>
      <c r="F21" s="10"/>
    </row>
    <row r="22" customFormat="false" ht="15" hidden="false" customHeight="true" outlineLevel="0" collapsed="false">
      <c r="A22" s="9"/>
      <c r="B22" s="10" t="s">
        <v>29</v>
      </c>
      <c r="C22" s="10"/>
      <c r="D22" s="10"/>
      <c r="E22" s="10"/>
      <c r="F22" s="10"/>
    </row>
    <row r="23" customFormat="false" ht="15" hidden="false" customHeight="false" outlineLevel="0" collapsed="false">
      <c r="A23" s="9"/>
      <c r="B23" s="10"/>
      <c r="C23" s="10"/>
      <c r="D23" s="10"/>
      <c r="E23" s="10"/>
      <c r="F23" s="10"/>
    </row>
    <row r="24" customFormat="false" ht="15" hidden="false" customHeight="true" outlineLevel="0" collapsed="false">
      <c r="A24" s="11" t="s">
        <v>30</v>
      </c>
      <c r="B24" s="11"/>
      <c r="C24" s="11"/>
      <c r="D24" s="11"/>
      <c r="E24" s="11"/>
      <c r="F24" s="11"/>
    </row>
    <row r="25" customFormat="false" ht="23.85" hidden="false" customHeight="true" outlineLevel="0" collapsed="false">
      <c r="A25" s="12" t="s">
        <v>31</v>
      </c>
      <c r="B25" s="10" t="s">
        <v>32</v>
      </c>
      <c r="C25" s="10"/>
      <c r="D25" s="10"/>
      <c r="E25" s="10"/>
      <c r="F25" s="10"/>
    </row>
    <row r="26" customFormat="false" ht="23.85" hidden="false" customHeight="true" outlineLevel="0" collapsed="false">
      <c r="A26" s="12" t="s">
        <v>33</v>
      </c>
      <c r="B26" s="10" t="s">
        <v>34</v>
      </c>
      <c r="C26" s="10"/>
      <c r="D26" s="10"/>
      <c r="E26" s="10"/>
      <c r="F26" s="10"/>
    </row>
    <row r="27" customFormat="false" ht="23.85" hidden="false" customHeight="true" outlineLevel="0" collapsed="false">
      <c r="A27" s="12" t="s">
        <v>35</v>
      </c>
      <c r="B27" s="10" t="s">
        <v>36</v>
      </c>
      <c r="C27" s="10"/>
      <c r="D27" s="10"/>
      <c r="E27" s="10"/>
      <c r="F27" s="10"/>
    </row>
  </sheetData>
  <mergeCells count="26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A12:F12"/>
    <mergeCell ref="B13:F13"/>
    <mergeCell ref="B14:F14"/>
    <mergeCell ref="B15:F15"/>
    <mergeCell ref="B16:F16"/>
    <mergeCell ref="B17:F17"/>
    <mergeCell ref="B18:F18"/>
    <mergeCell ref="A19:F19"/>
    <mergeCell ref="B20:F20"/>
    <mergeCell ref="B21:F21"/>
    <mergeCell ref="B22:F22"/>
    <mergeCell ref="B23:F23"/>
    <mergeCell ref="A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3"/>
  </cols>
  <sheetData>
    <row r="1" customFormat="false" ht="17.15" hidden="false" customHeight="true" outlineLevel="0" collapsed="false">
      <c r="A1" s="13" t="s">
        <v>37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14" t="s">
        <v>38</v>
      </c>
      <c r="B3" s="15" t="s">
        <v>39</v>
      </c>
      <c r="C3" s="15"/>
      <c r="D3" s="14" t="s">
        <v>40</v>
      </c>
      <c r="E3" s="16" t="n">
        <v>46103</v>
      </c>
      <c r="F3" s="17" t="s">
        <v>41</v>
      </c>
    </row>
    <row r="4" customFormat="false" ht="15" hidden="false" customHeight="false" outlineLevel="0" collapsed="false">
      <c r="A4" s="14" t="s">
        <v>42</v>
      </c>
      <c r="B4" s="15" t="s">
        <v>43</v>
      </c>
      <c r="D4" s="14" t="s">
        <v>44</v>
      </c>
      <c r="E4" s="15" t="s">
        <v>45</v>
      </c>
    </row>
    <row r="5" customFormat="false" ht="20.85" hidden="false" customHeight="false" outlineLevel="0" collapsed="false">
      <c r="A5" s="14" t="s">
        <v>46</v>
      </c>
      <c r="B5" s="18" t="n">
        <f aca="false">IFERROR(SUMPRODUCT((C8:C54&lt;&gt;"N/A")*(C8:C54&lt;&gt;"")*C8:C54)/(SUMPRODUCT((C8:C54&lt;&gt;"N/A")*(C8:C54&lt;&gt;""))*3),0)</f>
        <v>0.714285714285714</v>
      </c>
      <c r="C5" s="14" t="s">
        <v>47</v>
      </c>
      <c r="D5" s="19" t="str">
        <f aca="false">IF(B5&gt;=0.75,"GREEN",IF(B5&gt;=0.5,"AMBER","RED"))</f>
        <v>AMBER</v>
      </c>
      <c r="E5" s="14" t="s">
        <v>48</v>
      </c>
      <c r="F5" s="20" t="str">
        <f aca="false">SUMPRODUCT((C8:C54&lt;&gt;"")*1)&amp;" / 35"</f>
        <v>35 / 35</v>
      </c>
    </row>
    <row r="6" customFormat="false" ht="15" hidden="false" customHeight="false" outlineLevel="0" collapsed="false">
      <c r="A6" s="21" t="str">
        <f aca="false">"Pedestrian: "&amp;TEXT(IFERROR(SUMPRODUCT((C8:C12&lt;&gt;"N/A")*(C8:C12&lt;&gt;"")*C8:C12)/(SUMPRODUCT((C8:C12&lt;&gt;"N/A")*(C8:C12&lt;&gt;""))*3),0),"0%")&amp;"  |  "&amp;"Vehicle: "&amp;TEXT(IFERROR(SUMPRODUCT((C15:C19&lt;&gt;"N/A")*(C15:C19&lt;&gt;"")*C15:C19)/(SUMPRODUCT((C15:C19&lt;&gt;"N/A")*(C15:C19&lt;&gt;""))*3),0),"0%")&amp;"  |  "&amp;"Signage: "&amp;TEXT(IFERROR(SUMPRODUCT((C22:C26&lt;&gt;"N/A")*(C22:C26&lt;&gt;"")*C22:C26)/(SUMPRODUCT((C22:C26&lt;&gt;"N/A")*(C22:C26&lt;&gt;""))*3),0),"0%")&amp;"  |  "&amp;"Barriers: "&amp;TEXT(IFERROR(SUMPRODUCT((C29:C33&lt;&gt;"N/A")*(C29:C33&lt;&gt;"")*C29:C33)/(SUMPRODUCT((C29:C33&lt;&gt;"N/A")*(C29:C33&lt;&gt;""))*3),0),"0%")&amp;"  |  "&amp;"Banksmen: "&amp;TEXT(IFERROR(SUMPRODUCT((C36:C40&lt;&gt;"N/A")*(C36:C40&lt;&gt;"")*C36:C40)/(SUMPRODUCT((C36:C40&lt;&gt;"N/A")*(C36:C40&lt;&gt;""))*3),0),"0%")&amp;"  |  "&amp;"Docs: "&amp;TEXT(IFERROR(SUMPRODUCT((C43:C47&lt;&gt;"N/A")*(C43:C47&lt;&gt;"")*C43:C47)/(SUMPRODUCT((C43:C47&lt;&gt;"N/A")*(C43:C47&lt;&gt;""))*3),0),"0%")&amp;"  |  "&amp;"Emergency: "&amp;TEXT(IFERROR(SUMPRODUCT((C50:C54&lt;&gt;"N/A")*(C50:C54&lt;&gt;"")*C50:C54)/(SUMPRODUCT((C50:C54&lt;&gt;"N/A")*(C50:C54&lt;&gt;""))*3),0),"0%")</f>
        <v>Pedestrian: 67%  |  Vehicle: 67%  |  Signage: 60%  |  Barriers: 73%  |  Banksmen: 80%  |  Docs: 73%  |  Emergency: 80%</v>
      </c>
      <c r="B6" s="21"/>
      <c r="C6" s="21"/>
      <c r="D6" s="21"/>
      <c r="E6" s="21"/>
      <c r="F6" s="21"/>
    </row>
    <row r="7" customFormat="false" ht="15" hidden="false" customHeight="true" outlineLevel="0" collapsed="false">
      <c r="A7" s="22" t="s">
        <v>49</v>
      </c>
      <c r="B7" s="22"/>
      <c r="C7" s="22"/>
      <c r="D7" s="22"/>
      <c r="E7" s="22"/>
      <c r="F7" s="22"/>
    </row>
    <row r="8" customFormat="false" ht="15" hidden="false" customHeight="false" outlineLevel="0" collapsed="false">
      <c r="A8" s="23" t="n">
        <v>1</v>
      </c>
      <c r="B8" s="24" t="s">
        <v>50</v>
      </c>
      <c r="C8" s="25" t="n">
        <v>3</v>
      </c>
      <c r="D8" s="26"/>
      <c r="E8" s="26"/>
      <c r="F8" s="27"/>
    </row>
    <row r="9" customFormat="false" ht="23.85" hidden="false" customHeight="false" outlineLevel="0" collapsed="false">
      <c r="A9" s="23" t="n">
        <v>2</v>
      </c>
      <c r="B9" s="24" t="s">
        <v>51</v>
      </c>
      <c r="C9" s="25" t="n">
        <v>2</v>
      </c>
      <c r="D9" s="26"/>
      <c r="E9" s="26"/>
      <c r="F9" s="27"/>
    </row>
    <row r="10" customFormat="false" ht="15" hidden="false" customHeight="false" outlineLevel="0" collapsed="false">
      <c r="A10" s="23" t="n">
        <v>3</v>
      </c>
      <c r="B10" s="24" t="s">
        <v>52</v>
      </c>
      <c r="C10" s="25" t="n">
        <v>2</v>
      </c>
      <c r="D10" s="26"/>
      <c r="E10" s="26"/>
      <c r="F10" s="27"/>
    </row>
    <row r="11" customFormat="false" ht="23.85" hidden="false" customHeight="false" outlineLevel="0" collapsed="false">
      <c r="A11" s="23" t="n">
        <v>4</v>
      </c>
      <c r="B11" s="24" t="s">
        <v>53</v>
      </c>
      <c r="C11" s="25" t="n">
        <v>1</v>
      </c>
      <c r="D11" s="26" t="s">
        <v>54</v>
      </c>
      <c r="E11" s="26" t="s">
        <v>55</v>
      </c>
      <c r="F11" s="27" t="n">
        <v>46106</v>
      </c>
    </row>
    <row r="12" customFormat="false" ht="15" hidden="false" customHeight="false" outlineLevel="0" collapsed="false">
      <c r="A12" s="23" t="n">
        <v>5</v>
      </c>
      <c r="B12" s="24" t="s">
        <v>56</v>
      </c>
      <c r="C12" s="25" t="n">
        <v>2</v>
      </c>
      <c r="D12" s="26"/>
      <c r="E12" s="26"/>
      <c r="F12" s="27"/>
    </row>
    <row r="14" customFormat="false" ht="15" hidden="false" customHeight="true" outlineLevel="0" collapsed="false">
      <c r="A14" s="22" t="s">
        <v>57</v>
      </c>
      <c r="B14" s="22"/>
      <c r="C14" s="22"/>
      <c r="D14" s="22"/>
      <c r="E14" s="22"/>
      <c r="F14" s="22"/>
    </row>
    <row r="15" customFormat="false" ht="15" hidden="false" customHeight="false" outlineLevel="0" collapsed="false">
      <c r="A15" s="23" t="n">
        <v>6</v>
      </c>
      <c r="B15" s="24" t="s">
        <v>58</v>
      </c>
      <c r="C15" s="25" t="n">
        <v>2</v>
      </c>
      <c r="D15" s="26"/>
      <c r="E15" s="26"/>
      <c r="F15" s="27"/>
    </row>
    <row r="16" customFormat="false" ht="15" hidden="false" customHeight="false" outlineLevel="0" collapsed="false">
      <c r="A16" s="23" t="n">
        <v>7</v>
      </c>
      <c r="B16" s="24" t="s">
        <v>59</v>
      </c>
      <c r="C16" s="25" t="n">
        <v>2</v>
      </c>
      <c r="D16" s="26"/>
      <c r="E16" s="26"/>
      <c r="F16" s="27"/>
    </row>
    <row r="17" customFormat="false" ht="23.85" hidden="false" customHeight="false" outlineLevel="0" collapsed="false">
      <c r="A17" s="23" t="n">
        <v>8</v>
      </c>
      <c r="B17" s="24" t="s">
        <v>60</v>
      </c>
      <c r="C17" s="25" t="n">
        <v>1</v>
      </c>
      <c r="D17" s="26" t="s">
        <v>61</v>
      </c>
      <c r="E17" s="26" t="s">
        <v>62</v>
      </c>
      <c r="F17" s="27" t="n">
        <v>46105</v>
      </c>
    </row>
    <row r="18" customFormat="false" ht="15" hidden="false" customHeight="false" outlineLevel="0" collapsed="false">
      <c r="A18" s="23" t="n">
        <v>9</v>
      </c>
      <c r="B18" s="24" t="s">
        <v>63</v>
      </c>
      <c r="C18" s="25" t="n">
        <v>2</v>
      </c>
      <c r="D18" s="26"/>
      <c r="E18" s="26"/>
      <c r="F18" s="27"/>
    </row>
    <row r="19" customFormat="false" ht="15" hidden="false" customHeight="false" outlineLevel="0" collapsed="false">
      <c r="A19" s="23" t="n">
        <v>10</v>
      </c>
      <c r="B19" s="24" t="s">
        <v>64</v>
      </c>
      <c r="C19" s="25" t="n">
        <v>3</v>
      </c>
      <c r="D19" s="26"/>
      <c r="E19" s="26"/>
      <c r="F19" s="27"/>
    </row>
    <row r="21" customFormat="false" ht="15" hidden="false" customHeight="true" outlineLevel="0" collapsed="false">
      <c r="A21" s="22" t="s">
        <v>65</v>
      </c>
      <c r="B21" s="22"/>
      <c r="C21" s="22"/>
      <c r="D21" s="22"/>
      <c r="E21" s="22"/>
      <c r="F21" s="22"/>
    </row>
    <row r="22" customFormat="false" ht="15" hidden="false" customHeight="false" outlineLevel="0" collapsed="false">
      <c r="A22" s="23" t="n">
        <v>11</v>
      </c>
      <c r="B22" s="24" t="s">
        <v>66</v>
      </c>
      <c r="C22" s="25" t="n">
        <v>3</v>
      </c>
      <c r="D22" s="26"/>
      <c r="E22" s="26"/>
      <c r="F22" s="27"/>
    </row>
    <row r="23" customFormat="false" ht="15" hidden="false" customHeight="false" outlineLevel="0" collapsed="false">
      <c r="A23" s="23" t="n">
        <v>12</v>
      </c>
      <c r="B23" s="24" t="s">
        <v>67</v>
      </c>
      <c r="C23" s="25" t="n">
        <v>2</v>
      </c>
      <c r="D23" s="26"/>
      <c r="E23" s="26"/>
      <c r="F23" s="27"/>
    </row>
    <row r="24" customFormat="false" ht="15" hidden="false" customHeight="false" outlineLevel="0" collapsed="false">
      <c r="A24" s="23" t="n">
        <v>13</v>
      </c>
      <c r="B24" s="24" t="s">
        <v>68</v>
      </c>
      <c r="C24" s="25" t="n">
        <v>2</v>
      </c>
      <c r="D24" s="26"/>
      <c r="E24" s="26"/>
      <c r="F24" s="27"/>
    </row>
    <row r="25" customFormat="false" ht="15" hidden="false" customHeight="false" outlineLevel="0" collapsed="false">
      <c r="A25" s="23" t="n">
        <v>14</v>
      </c>
      <c r="B25" s="24" t="s">
        <v>69</v>
      </c>
      <c r="C25" s="25" t="n">
        <v>2</v>
      </c>
      <c r="D25" s="26"/>
      <c r="E25" s="26"/>
      <c r="F25" s="27"/>
    </row>
    <row r="26" customFormat="false" ht="23.85" hidden="false" customHeight="false" outlineLevel="0" collapsed="false">
      <c r="A26" s="23" t="n">
        <v>15</v>
      </c>
      <c r="B26" s="24" t="s">
        <v>70</v>
      </c>
      <c r="C26" s="25" t="n">
        <v>0</v>
      </c>
      <c r="D26" s="26" t="s">
        <v>71</v>
      </c>
      <c r="E26" s="26" t="s">
        <v>43</v>
      </c>
      <c r="F26" s="27" t="n">
        <v>46104</v>
      </c>
    </row>
    <row r="28" customFormat="false" ht="15" hidden="false" customHeight="true" outlineLevel="0" collapsed="false">
      <c r="A28" s="22" t="s">
        <v>72</v>
      </c>
      <c r="B28" s="22"/>
      <c r="C28" s="22"/>
      <c r="D28" s="22"/>
      <c r="E28" s="22"/>
      <c r="F28" s="22"/>
    </row>
    <row r="29" customFormat="false" ht="23.85" hidden="false" customHeight="false" outlineLevel="0" collapsed="false">
      <c r="A29" s="23" t="n">
        <v>16</v>
      </c>
      <c r="B29" s="24" t="s">
        <v>73</v>
      </c>
      <c r="C29" s="25" t="n">
        <v>2</v>
      </c>
      <c r="D29" s="26"/>
      <c r="E29" s="26"/>
      <c r="F29" s="27"/>
    </row>
    <row r="30" customFormat="false" ht="23.85" hidden="false" customHeight="false" outlineLevel="0" collapsed="false">
      <c r="A30" s="23" t="n">
        <v>17</v>
      </c>
      <c r="B30" s="24" t="s">
        <v>74</v>
      </c>
      <c r="C30" s="25" t="n">
        <v>2</v>
      </c>
      <c r="D30" s="26"/>
      <c r="E30" s="26"/>
      <c r="F30" s="27"/>
    </row>
    <row r="31" customFormat="false" ht="15" hidden="false" customHeight="false" outlineLevel="0" collapsed="false">
      <c r="A31" s="23" t="n">
        <v>18</v>
      </c>
      <c r="B31" s="24" t="s">
        <v>75</v>
      </c>
      <c r="C31" s="25" t="n">
        <v>3</v>
      </c>
      <c r="D31" s="26"/>
      <c r="E31" s="26"/>
      <c r="F31" s="27"/>
    </row>
    <row r="32" customFormat="false" ht="15" hidden="false" customHeight="false" outlineLevel="0" collapsed="false">
      <c r="A32" s="23" t="n">
        <v>19</v>
      </c>
      <c r="B32" s="24" t="s">
        <v>76</v>
      </c>
      <c r="C32" s="25" t="n">
        <v>2</v>
      </c>
      <c r="D32" s="26"/>
      <c r="E32" s="26"/>
      <c r="F32" s="27"/>
    </row>
    <row r="33" customFormat="false" ht="15" hidden="false" customHeight="false" outlineLevel="0" collapsed="false">
      <c r="A33" s="23" t="n">
        <v>20</v>
      </c>
      <c r="B33" s="24" t="s">
        <v>77</v>
      </c>
      <c r="C33" s="25" t="n">
        <v>2</v>
      </c>
      <c r="D33" s="26"/>
      <c r="E33" s="26"/>
      <c r="F33" s="27"/>
    </row>
    <row r="35" customFormat="false" ht="15" hidden="false" customHeight="true" outlineLevel="0" collapsed="false">
      <c r="A35" s="22" t="s">
        <v>78</v>
      </c>
      <c r="B35" s="22"/>
      <c r="C35" s="22"/>
      <c r="D35" s="22"/>
      <c r="E35" s="22"/>
      <c r="F35" s="22"/>
    </row>
    <row r="36" customFormat="false" ht="15" hidden="false" customHeight="false" outlineLevel="0" collapsed="false">
      <c r="A36" s="23" t="n">
        <v>21</v>
      </c>
      <c r="B36" s="24" t="s">
        <v>79</v>
      </c>
      <c r="C36" s="25" t="n">
        <v>3</v>
      </c>
      <c r="D36" s="26"/>
      <c r="E36" s="26"/>
      <c r="F36" s="27"/>
    </row>
    <row r="37" customFormat="false" ht="23.85" hidden="false" customHeight="false" outlineLevel="0" collapsed="false">
      <c r="A37" s="23" t="n">
        <v>22</v>
      </c>
      <c r="B37" s="24" t="s">
        <v>80</v>
      </c>
      <c r="C37" s="25" t="n">
        <v>3</v>
      </c>
      <c r="D37" s="26"/>
      <c r="E37" s="26"/>
      <c r="F37" s="27"/>
    </row>
    <row r="38" customFormat="false" ht="15" hidden="false" customHeight="false" outlineLevel="0" collapsed="false">
      <c r="A38" s="23" t="n">
        <v>23</v>
      </c>
      <c r="B38" s="24" t="s">
        <v>81</v>
      </c>
      <c r="C38" s="25" t="n">
        <v>2</v>
      </c>
      <c r="D38" s="26"/>
      <c r="E38" s="26"/>
      <c r="F38" s="27"/>
    </row>
    <row r="39" customFormat="false" ht="15" hidden="false" customHeight="false" outlineLevel="0" collapsed="false">
      <c r="A39" s="23" t="n">
        <v>24</v>
      </c>
      <c r="B39" s="24" t="s">
        <v>82</v>
      </c>
      <c r="C39" s="25" t="n">
        <v>2</v>
      </c>
      <c r="D39" s="26"/>
      <c r="E39" s="26"/>
      <c r="F39" s="27"/>
    </row>
    <row r="40" customFormat="false" ht="23.85" hidden="false" customHeight="false" outlineLevel="0" collapsed="false">
      <c r="A40" s="23" t="n">
        <v>25</v>
      </c>
      <c r="B40" s="24" t="s">
        <v>83</v>
      </c>
      <c r="C40" s="25" t="n">
        <v>2</v>
      </c>
      <c r="D40" s="26"/>
      <c r="E40" s="26"/>
      <c r="F40" s="27"/>
    </row>
    <row r="42" customFormat="false" ht="15" hidden="false" customHeight="true" outlineLevel="0" collapsed="false">
      <c r="A42" s="22" t="s">
        <v>84</v>
      </c>
      <c r="B42" s="22"/>
      <c r="C42" s="22"/>
      <c r="D42" s="22"/>
      <c r="E42" s="22"/>
      <c r="F42" s="22"/>
    </row>
    <row r="43" customFormat="false" ht="15" hidden="false" customHeight="false" outlineLevel="0" collapsed="false">
      <c r="A43" s="23" t="n">
        <v>26</v>
      </c>
      <c r="B43" s="24" t="s">
        <v>85</v>
      </c>
      <c r="C43" s="25" t="n">
        <v>2</v>
      </c>
      <c r="D43" s="26"/>
      <c r="E43" s="26"/>
      <c r="F43" s="27"/>
    </row>
    <row r="44" customFormat="false" ht="15" hidden="false" customHeight="false" outlineLevel="0" collapsed="false">
      <c r="A44" s="23" t="n">
        <v>27</v>
      </c>
      <c r="B44" s="24" t="s">
        <v>86</v>
      </c>
      <c r="C44" s="25" t="n">
        <v>2</v>
      </c>
      <c r="D44" s="26"/>
      <c r="E44" s="26"/>
      <c r="F44" s="27"/>
    </row>
    <row r="45" customFormat="false" ht="15" hidden="false" customHeight="false" outlineLevel="0" collapsed="false">
      <c r="A45" s="23" t="n">
        <v>28</v>
      </c>
      <c r="B45" s="24" t="s">
        <v>87</v>
      </c>
      <c r="C45" s="25" t="n">
        <v>2</v>
      </c>
      <c r="D45" s="26"/>
      <c r="E45" s="26"/>
      <c r="F45" s="27"/>
    </row>
    <row r="46" customFormat="false" ht="15" hidden="false" customHeight="false" outlineLevel="0" collapsed="false">
      <c r="A46" s="23" t="n">
        <v>29</v>
      </c>
      <c r="B46" s="24" t="s">
        <v>88</v>
      </c>
      <c r="C46" s="25" t="n">
        <v>3</v>
      </c>
      <c r="D46" s="26"/>
      <c r="E46" s="26"/>
      <c r="F46" s="27"/>
    </row>
    <row r="47" customFormat="false" ht="23.85" hidden="false" customHeight="false" outlineLevel="0" collapsed="false">
      <c r="A47" s="23" t="n">
        <v>30</v>
      </c>
      <c r="B47" s="24" t="s">
        <v>89</v>
      </c>
      <c r="C47" s="25" t="n">
        <v>2</v>
      </c>
      <c r="D47" s="26"/>
      <c r="E47" s="26"/>
      <c r="F47" s="27"/>
    </row>
    <row r="49" customFormat="false" ht="15" hidden="false" customHeight="true" outlineLevel="0" collapsed="false">
      <c r="A49" s="22" t="s">
        <v>90</v>
      </c>
      <c r="B49" s="22"/>
      <c r="C49" s="22"/>
      <c r="D49" s="22"/>
      <c r="E49" s="22"/>
      <c r="F49" s="22"/>
    </row>
    <row r="50" customFormat="false" ht="15" hidden="false" customHeight="false" outlineLevel="0" collapsed="false">
      <c r="A50" s="23" t="n">
        <v>31</v>
      </c>
      <c r="B50" s="24" t="s">
        <v>91</v>
      </c>
      <c r="C50" s="25" t="n">
        <v>3</v>
      </c>
      <c r="D50" s="26"/>
      <c r="E50" s="26"/>
      <c r="F50" s="27"/>
    </row>
    <row r="51" customFormat="false" ht="23.85" hidden="false" customHeight="false" outlineLevel="0" collapsed="false">
      <c r="A51" s="23" t="n">
        <v>32</v>
      </c>
      <c r="B51" s="24" t="s">
        <v>92</v>
      </c>
      <c r="C51" s="25" t="n">
        <v>2</v>
      </c>
      <c r="D51" s="26"/>
      <c r="E51" s="26"/>
      <c r="F51" s="27"/>
    </row>
    <row r="52" customFormat="false" ht="23.85" hidden="false" customHeight="false" outlineLevel="0" collapsed="false">
      <c r="A52" s="23" t="n">
        <v>33</v>
      </c>
      <c r="B52" s="24" t="s">
        <v>93</v>
      </c>
      <c r="C52" s="25" t="n">
        <v>2</v>
      </c>
      <c r="D52" s="26"/>
      <c r="E52" s="26"/>
      <c r="F52" s="27"/>
    </row>
    <row r="53" customFormat="false" ht="23.85" hidden="false" customHeight="false" outlineLevel="0" collapsed="false">
      <c r="A53" s="23" t="n">
        <v>34</v>
      </c>
      <c r="B53" s="24" t="s">
        <v>94</v>
      </c>
      <c r="C53" s="25" t="n">
        <v>2</v>
      </c>
      <c r="D53" s="26"/>
      <c r="E53" s="26"/>
      <c r="F53" s="27"/>
    </row>
    <row r="54" customFormat="false" ht="23.85" hidden="false" customHeight="false" outlineLevel="0" collapsed="false">
      <c r="A54" s="23" t="n">
        <v>35</v>
      </c>
      <c r="B54" s="24" t="s">
        <v>95</v>
      </c>
      <c r="C54" s="25" t="n">
        <v>3</v>
      </c>
      <c r="D54" s="26"/>
      <c r="E54" s="26"/>
      <c r="F54" s="27"/>
    </row>
    <row r="57" customFormat="false" ht="15" hidden="false" customHeight="true" outlineLevel="0" collapsed="false">
      <c r="A57" s="22" t="s">
        <v>96</v>
      </c>
      <c r="B57" s="22"/>
      <c r="C57" s="22"/>
      <c r="D57" s="22"/>
      <c r="E57" s="22"/>
      <c r="F57" s="22"/>
    </row>
    <row r="58" customFormat="false" ht="15" hidden="false" customHeight="false" outlineLevel="0" collapsed="false">
      <c r="A58" s="14" t="s">
        <v>97</v>
      </c>
      <c r="B58" s="15" t="s">
        <v>43</v>
      </c>
      <c r="C58" s="15"/>
      <c r="D58" s="14" t="s">
        <v>98</v>
      </c>
      <c r="E58" s="28" t="n">
        <v>46103</v>
      </c>
      <c r="F58" s="29" t="s">
        <v>99</v>
      </c>
    </row>
    <row r="59" customFormat="false" ht="15" hidden="false" customHeight="false" outlineLevel="0" collapsed="false">
      <c r="A59" s="14" t="s">
        <v>100</v>
      </c>
      <c r="B59" s="30"/>
      <c r="C59" s="30"/>
      <c r="D59" s="14" t="s">
        <v>98</v>
      </c>
      <c r="E59" s="28"/>
      <c r="F59" s="29" t="s">
        <v>99</v>
      </c>
    </row>
    <row r="61" customFormat="false" ht="15" hidden="false" customHeight="true" outlineLevel="0" collapsed="false">
      <c r="A61" s="31" t="s">
        <v>101</v>
      </c>
      <c r="B61" s="31"/>
      <c r="C61" s="31"/>
      <c r="D61" s="31"/>
      <c r="E61" s="31"/>
      <c r="F61" s="31"/>
    </row>
  </sheetData>
  <mergeCells count="14">
    <mergeCell ref="A1:F1"/>
    <mergeCell ref="B3:C3"/>
    <mergeCell ref="A6:F6"/>
    <mergeCell ref="A7:F7"/>
    <mergeCell ref="A14:F14"/>
    <mergeCell ref="A21:F21"/>
    <mergeCell ref="A28:F28"/>
    <mergeCell ref="A35:F35"/>
    <mergeCell ref="A42:F42"/>
    <mergeCell ref="A49:F49"/>
    <mergeCell ref="A57:F57"/>
    <mergeCell ref="B58:C58"/>
    <mergeCell ref="B59:C59"/>
    <mergeCell ref="A61:F61"/>
  </mergeCells>
  <conditionalFormatting sqref="C8:C54">
    <cfRule type="cellIs" priority="2" operator="equal" aboveAverage="0" equalAverage="0" bottom="0" percent="0" rank="0" text="" dxfId="0">
      <formula>3</formula>
    </cfRule>
    <cfRule type="cellIs" priority="3" operator="equal" aboveAverage="0" equalAverage="0" bottom="0" percent="0" rank="0" text="" dxfId="0">
      <formula>2</formula>
    </cfRule>
    <cfRule type="cellIs" priority="4" operator="equal" aboveAverage="0" equalAverage="0" bottom="0" percent="0" rank="0" text="" dxfId="1">
      <formula>1</formula>
    </cfRule>
    <cfRule type="cellIs" priority="5" operator="equal" aboveAverage="0" equalAverage="0" bottom="0" percent="0" rank="0" text="" dxfId="2">
      <formula>0</formula>
    </cfRule>
  </conditionalFormatting>
  <conditionalFormatting sqref="D5">
    <cfRule type="cellIs" priority="6" operator="equal" aboveAverage="0" equalAverage="0" bottom="0" percent="0" rank="0" text="" dxfId="0">
      <formula>"GREEN"</formula>
    </cfRule>
    <cfRule type="cellIs" priority="7" operator="equal" aboveAverage="0" equalAverage="0" bottom="0" percent="0" rank="0" text="" dxfId="1">
      <formula>"AMBER"</formula>
    </cfRule>
    <cfRule type="cellIs" priority="8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prompt="0=Non-Compliant, 1=Partial, 2=Compliant, 3=Exceeds, N/A" showDropDown="false" showErrorMessage="false" showInputMessage="false" sqref="C8:C54" type="list">
      <formula1>"0,1,2,3,N/A"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&amp;CTraffic Management Plan Checklist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32" t="s">
        <v>102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103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104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105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106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107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108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109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2026-03-22T19:33:06Z</dcterms:created>
  <dc:creator>Ebrora Ltd</dc:creator>
  <dc:description>A scored assessment checklist for site traffic management with automatic compliance calculation, RAG rating, and per-category scoring — designed for UK construction H&amp;S managers.
Free professional construction management template from Ebrora Ltd. Visit ebrora.com for our full range of tools and templates.</dc:description>
  <cp:keywords>Ebrora construction traffic management TMP checklist compliance health and safety site management</cp:keywords>
  <dc:language>en-US</dc:language>
  <cp:lastModifiedBy>Ebrora Ltd</cp:lastModifiedBy>
  <dcterms:modified xsi:type="dcterms:W3CDTF">2026-03-22T19:33:06Z</dcterms:modified>
  <cp:revision>0</cp:revision>
  <dc:subject>Scored compliance checklist for construction site traffic management covering pedestrian routes, vehicle routes, signage, barriers, banksmen, documentation, and emergency access.</dc:subject>
  <dc:title>Traffic Management Plan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