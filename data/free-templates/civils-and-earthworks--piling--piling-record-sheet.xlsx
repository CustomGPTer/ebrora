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Instructions" sheetId="2" state="visible" r:id="rId4"/>
    <sheet name="Piling Record" sheetId="3" state="visible" r:id="rId5"/>
    <sheet name="Terms of Use" sheetId="4" state="hidden" r:id="rId6"/>
  </sheets>
  <definedNames>
    <definedName function="false" hidden="false" localSheetId="0" name="_xlnm.Print_Area" vbProcedure="false">Cover!$A$1:$H$20</definedName>
    <definedName function="false" hidden="false" localSheetId="2" name="_xlnm.Print_Area" vbProcedure="false">'Piling Record'!$A$1:$M$59</definedName>
    <definedName function="false" hidden="true" localSheetId="2" name="_xlnm._FilterDatabase" vbProcedure="false">'Piling Record'!$A$8:$Q$59</definedName>
    <definedName function="false" hidden="false" name="DataTable" vbProcedure="false">'Piling Record'!$A$8:$Q$59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<sst xmlns="http://schemas.openxmlformats.org/spreadsheetml/2006/main" count="90" uniqueCount="82">
  <si>
    <t xml:space="preserve">EBRORA</t>
  </si>
  <si>
    <t xml:space="preserve">ebrora.com</t>
  </si>
  <si>
    <t xml:space="preserve">Piling Record Sheet</t>
  </si>
  <si>
    <t xml:space="preserve">Record driven or bored pile installation data with automatic depth variance, set compliance, and integrity test tracking.</t>
  </si>
  <si>
    <t xml:space="preserve">This is a free template from Ebrora.
For our full range of professional-grade construction management tools,
visit ebrora.com</t>
  </si>
  <si>
    <t xml:space="preserve">© Ebrora 2026 — All rights reserved</t>
  </si>
  <si>
    <t xml:space="preserve">How to Use This Template</t>
  </si>
  <si>
    <t xml:space="preserve">Step-by-Step Instructions</t>
  </si>
  <si>
    <t xml:space="preserve">1. Go to the 'Piling Record' sheet. The summary panel shows total piles planned, installed, and compliance statistics.</t>
  </si>
  <si>
    <t xml:space="preserve">2. Enter each pile with its reference, date installed, pile type, design length, and design toe level.</t>
  </si>
  <si>
    <t xml:space="preserve">3. After installation, record the actual installed length and the actual toe level achieved.</t>
  </si>
  <si>
    <t xml:space="preserve">4. Depth Variance (m) auto-calculates: actual toe minus design toe. Positive = deeper than required (good for driven piles).</t>
  </si>
  <si>
    <t xml:space="preserve">5. For driven piles, enter the final set reading (mm per blow) — the template checks against the target set.</t>
  </si>
  <si>
    <t xml:space="preserve">6. Overall Status auto-calculates based on depth compliance and set criteria: COMPLIANT, REVIEW, or NON-COMPLIANT.</t>
  </si>
  <si>
    <t xml:space="preserve">7. Expand optional columns [+] for rig type, hammer energy, concrete volume (CFA/bored), and integrity test results.</t>
  </si>
  <si>
    <t xml:space="preserve">8. Filter by status to identify problem piles requiring engineer review or remedial action.</t>
  </si>
  <si>
    <t xml:space="preserve">Colour Key</t>
  </si>
  <si>
    <t xml:space="preserve">Light teal</t>
  </si>
  <si>
    <t xml:space="preserve">Editable cells</t>
  </si>
  <si>
    <t xml:space="preserve">Dark navy</t>
  </si>
  <si>
    <t xml:space="preserve">Headers</t>
  </si>
  <si>
    <t xml:space="preserve">Green</t>
  </si>
  <si>
    <t xml:space="preserve">COMPLIANT — meets design requirements</t>
  </si>
  <si>
    <t xml:space="preserve">Amber</t>
  </si>
  <si>
    <t xml:space="preserve">REVIEW — marginal, needs engineer check</t>
  </si>
  <si>
    <t xml:space="preserve">Red</t>
  </si>
  <si>
    <t xml:space="preserve">NON-COMPLIANT — does not meet spec</t>
  </si>
  <si>
    <t xml:space="preserve">Tips</t>
  </si>
  <si>
    <t xml:space="preserve">• Record pile data in real-time during installation — don't rely on memory at the end of the shift.</t>
  </si>
  <si>
    <t xml:space="preserve">• For CFA piles, monitor concrete overconsumption (actual vs theoretical volume) — &gt;20% excess may indicate ground loss.</t>
  </si>
  <si>
    <t xml:space="preserve">• Always cross-reference this log with the pile integrity test results when they come back — flag any anomalies immediately.</t>
  </si>
  <si>
    <t xml:space="preserve">PILING RECORD SHEET</t>
  </si>
  <si>
    <t xml:space="preserve">Total Planned</t>
  </si>
  <si>
    <t xml:space="preserve">Installed</t>
  </si>
  <si>
    <t xml:space="preserve">Compliant</t>
  </si>
  <si>
    <t xml:space="preserve">Review</t>
  </si>
  <si>
    <t xml:space="preserve">Non-Compliant</t>
  </si>
  <si>
    <t xml:space="preserve">Compliance %</t>
  </si>
  <si>
    <t xml:space="preserve">▸ Optional Fields — Click [+] to expand</t>
  </si>
  <si>
    <t xml:space="preserve">Pile
Ref</t>
  </si>
  <si>
    <t xml:space="preserve">Date</t>
  </si>
  <si>
    <t xml:space="preserve">Pile
Type</t>
  </si>
  <si>
    <t xml:space="preserve">Design
Length (m)</t>
  </si>
  <si>
    <t xml:space="preserve">Design Toe
Level (m)</t>
  </si>
  <si>
    <t xml:space="preserve">Actual
Length (m)</t>
  </si>
  <si>
    <t xml:space="preserve">Actual Toe
Level (m)</t>
  </si>
  <si>
    <t xml:space="preserve">Depth
Variance (m)</t>
  </si>
  <si>
    <t xml:space="preserve">Target Set
(mm/blow)</t>
  </si>
  <si>
    <t xml:space="preserve">Actual Set
(mm/blow)</t>
  </si>
  <si>
    <t xml:space="preserve">Set
OK?</t>
  </si>
  <si>
    <t xml:space="preserve">Overall
Status</t>
  </si>
  <si>
    <t xml:space="preserve">Notes</t>
  </si>
  <si>
    <t xml:space="preserve">Rig Type</t>
  </si>
  <si>
    <t xml:space="preserve">Hammer
Energy (kJ)</t>
  </si>
  <si>
    <t xml:space="preserve">Concrete
Vol (m³)</t>
  </si>
  <si>
    <t xml:space="preserve">Integrity
Test</t>
  </si>
  <si>
    <t xml:space="preserve">P-001</t>
  </si>
  <si>
    <t xml:space="preserve">Driven Precast</t>
  </si>
  <si>
    <t xml:space="preserve">Achieved set at 12.3m</t>
  </si>
  <si>
    <t xml:space="preserve">Junttan PM25</t>
  </si>
  <si>
    <t xml:space="preserve">Pass</t>
  </si>
  <si>
    <t xml:space="preserve">P-002</t>
  </si>
  <si>
    <t xml:space="preserve">Slightly short — within tolerance</t>
  </si>
  <si>
    <t xml:space="preserve">P-003</t>
  </si>
  <si>
    <t xml:space="preserve">CFA (Bored)</t>
  </si>
  <si>
    <t xml:space="preserve">CFA — no set reading</t>
  </si>
  <si>
    <t xml:space="preserve">Soilmec SR-40</t>
  </si>
  <si>
    <t xml:space="preserve">Awaiting</t>
  </si>
  <si>
    <t xml:space="preserve">P-004</t>
  </si>
  <si>
    <t xml:space="preserve">Refused early — high set. Engineer review needed</t>
  </si>
  <si>
    <t xml:space="preserve">Defect Found</t>
  </si>
  <si>
    <t xml:space="preserve">P-005</t>
  </si>
  <si>
    <t xml:space="preserve">Good installation</t>
  </si>
  <si>
    <t xml:space="preserve">EBRORA — TERMS OF USE</t>
  </si>
  <si>
    <t xml:space="preserve">This template is provided free of charge by Ebrora (ebrora.com) for personal and professional use.</t>
  </si>
  <si>
    <t xml:space="preserve">1. LICENCE: You may use this template for your own projects. You may not resell, redistribute, or claim authorship of this template.</t>
  </si>
  <si>
    <t xml:space="preserve">2. NO WARRANTY: This template is provided "as is" without warranty of any kind. Ebrora accepts no liability for errors, omissions, or losses arising from use of this template.</t>
  </si>
  <si>
    <t xml:space="preserve">3. INTELLECTUAL PROPERTY: All design, layout, branding, and content remain the intellectual property of Ebrora.</t>
  </si>
  <si>
    <t xml:space="preserve">4. MODIFICATIONS: You may modify this template for your own use. Modified versions may not be distributed or sold.</t>
  </si>
  <si>
    <t xml:space="preserve">5. ATTRIBUTION: If you share outputs generated using this template, attribution to Ebrora (ebrora.com) is appreciated but not required.</t>
  </si>
  <si>
    <t xml:space="preserve">6. SUPPORT: For queries, feedback, or to report errors, contact support@ebrora.com.</t>
  </si>
  <si>
    <t xml:space="preserve">For our full range of professional construction management tools, visit ebrora.com.</t>
  </si>
</sst>
</file>

<file path=xl/styles.xml><?xml version="1.0" encoding="utf-8"?>
<styleSheet xmlns="http://schemas.openxmlformats.org/spreadsheetml/2006/main">
  <numFmts count="7">
    <numFmt numFmtId="164" formatCode="General"/>
    <numFmt numFmtId="165" formatCode="General"/>
    <numFmt numFmtId="166" formatCode="0%"/>
    <numFmt numFmtId="167" formatCode="dd/mm/yyyy"/>
    <numFmt numFmtId="168" formatCode="0.0"/>
    <numFmt numFmtId="169" formatCode="0.000"/>
    <numFmt numFmtId="170" formatCode="0.00"/>
  </numFmts>
  <fonts count="21">
    <font>
      <sz val="11"/>
      <color theme="1"/>
      <name val="Calibri"/>
      <family val="2"/>
      <charset val="1"/>
    </font>
    <font>
      <sz val="10"/>
      <name val="Arial"/>
      <family val="0"/>
    </font>
    <font>
      <sz val="10"/>
      <name val="Arial"/>
      <family val="0"/>
    </font>
    <font>
      <sz val="10"/>
      <name val="Arial"/>
      <family val="0"/>
    </font>
    <font>
      <b val="true"/>
      <sz val="36"/>
      <color rgb="FFFFFFFF"/>
      <name val="Calibri"/>
      <family val="0"/>
      <charset val="1"/>
    </font>
    <font>
      <sz val="12"/>
      <color rgb="FF2AABB3"/>
      <name val="Calibri"/>
      <family val="0"/>
      <charset val="1"/>
    </font>
    <font>
      <b val="true"/>
      <sz val="28"/>
      <color rgb="FFFFFFFF"/>
      <name val="Calibri"/>
      <family val="0"/>
      <charset val="1"/>
    </font>
    <font>
      <sz val="12"/>
      <color rgb="FFFFFFFF"/>
      <name val="Calibri"/>
      <family val="0"/>
      <charset val="1"/>
    </font>
    <font>
      <sz val="11"/>
      <color rgb="FF1B2A4A"/>
      <name val="Calibri"/>
      <family val="0"/>
      <charset val="1"/>
    </font>
    <font>
      <i val="true"/>
      <sz val="9"/>
      <color rgb="FF8C8C8C"/>
      <name val="Calibri"/>
      <family val="0"/>
      <charset val="1"/>
    </font>
    <font>
      <b val="true"/>
      <sz val="14"/>
      <color rgb="FF1B2A4A"/>
      <name val="Calibri"/>
      <family val="0"/>
      <charset val="1"/>
    </font>
    <font>
      <b val="true"/>
      <sz val="11"/>
      <color rgb="FF2AABB3"/>
      <name val="Calibri"/>
      <family val="0"/>
      <charset val="1"/>
    </font>
    <font>
      <sz val="10"/>
      <color rgb="FF1B2A4A"/>
      <name val="Calibri"/>
      <family val="0"/>
      <charset val="1"/>
    </font>
    <font>
      <b val="true"/>
      <sz val="10"/>
      <color rgb="FF1B2A4A"/>
      <name val="Calibri"/>
      <family val="0"/>
      <charset val="1"/>
    </font>
    <font>
      <b val="true"/>
      <sz val="14"/>
      <color rgb="FFFFFFFF"/>
      <name val="Calibri"/>
      <family val="0"/>
      <charset val="1"/>
    </font>
    <font>
      <b val="true"/>
      <sz val="10"/>
      <color rgb="FF2AABB3"/>
      <name val="Calibri"/>
      <family val="0"/>
      <charset val="1"/>
    </font>
    <font>
      <b val="true"/>
      <sz val="16"/>
      <color rgb="FF1B2A4A"/>
      <name val="Calibri"/>
      <family val="0"/>
      <charset val="1"/>
    </font>
    <font>
      <b val="true"/>
      <sz val="16"/>
      <color rgb="FF006100"/>
      <name val="Calibri"/>
      <family val="0"/>
      <charset val="1"/>
    </font>
    <font>
      <b val="true"/>
      <sz val="16"/>
      <color rgb="FF9C0006"/>
      <name val="Calibri"/>
      <family val="0"/>
      <charset val="1"/>
    </font>
    <font>
      <i val="true"/>
      <sz val="9"/>
      <color rgb="FF2AABB3"/>
      <name val="Calibri"/>
      <family val="0"/>
      <charset val="1"/>
    </font>
    <font>
      <b val="true"/>
      <sz val="11"/>
      <color rgb="FFFFFFFF"/>
      <name val="Calibri"/>
      <family val="0"/>
      <charset val="1"/>
    </font>
  </fonts>
  <fills count="8">
    <fill>
      <patternFill patternType="none"/>
    </fill>
    <fill>
      <patternFill patternType="gray125"/>
    </fill>
    <fill>
      <patternFill patternType="solid">
        <fgColor rgb="FF1B2A4A"/>
        <bgColor rgb="FF003366"/>
      </patternFill>
    </fill>
    <fill>
      <patternFill patternType="solid">
        <fgColor rgb="FFFFFFFF"/>
        <bgColor rgb="FFE8F6F7"/>
      </patternFill>
    </fill>
    <fill>
      <patternFill patternType="solid">
        <fgColor rgb="FFE8F6F7"/>
        <bgColor rgb="FFFFFFFF"/>
      </patternFill>
    </fill>
    <fill>
      <patternFill patternType="solid">
        <fgColor rgb="FFC6EFCE"/>
        <bgColor rgb="FFCCFFFF"/>
      </patternFill>
    </fill>
    <fill>
      <patternFill patternType="solid">
        <fgColor rgb="FFFFEB9C"/>
        <bgColor rgb="FFFFFFCC"/>
      </patternFill>
    </fill>
    <fill>
      <patternFill patternType="solid">
        <fgColor rgb="FFFFC7CE"/>
        <bgColor rgb="FFFFEB9C"/>
      </patternFill>
    </fill>
  </fills>
  <borders count="3">
    <border diagonalUp="false" diagonalDown="false">
      <left/>
      <right/>
      <top/>
      <bottom/>
      <diagonal/>
    </border>
    <border diagonalUp="false" diagonalDown="false">
      <left style="thin">
        <color rgb="FF1B2A4A"/>
      </left>
      <right style="thin">
        <color rgb="FF1B2A4A"/>
      </right>
      <top style="thin">
        <color rgb="FF1B2A4A"/>
      </top>
      <bottom style="thin">
        <color rgb="FF1B2A4A"/>
      </bottom>
      <diagonal/>
    </border>
    <border diagonalUp="false" diagonalDown="false">
      <left/>
      <right/>
      <top/>
      <bottom style="medium">
        <color rgb="FF2AABB3"/>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5" fillId="3" borderId="0" xfId="0" applyFont="true" applyBorder="true" applyAlignment="true" applyProtection="false">
      <alignment horizontal="center" vertical="center" textRotation="0" wrapText="tru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6" fillId="2" borderId="0" xfId="0" applyFont="true" applyBorder="true" applyAlignment="true" applyProtection="false">
      <alignment horizontal="center" vertical="center" textRotation="0" wrapText="true" indent="0" shrinkToFit="false"/>
      <protection locked="true" hidden="false"/>
    </xf>
    <xf numFmtId="164" fontId="7" fillId="2" borderId="0" xfId="0" applyFont="true" applyBorder="true" applyAlignment="true" applyProtection="false">
      <alignment horizontal="center" vertical="center" textRotation="0" wrapText="true" indent="0" shrinkToFit="false"/>
      <protection locked="true" hidden="false"/>
    </xf>
    <xf numFmtId="164" fontId="8" fillId="4" borderId="0" xfId="0" applyFont="true" applyBorder="true" applyAlignment="true" applyProtection="false">
      <alignment horizontal="center" vertical="center" textRotation="0" wrapText="true" indent="0" shrinkToFit="false"/>
      <protection locked="true" hidden="false"/>
    </xf>
    <xf numFmtId="164" fontId="9" fillId="3" borderId="0" xfId="0" applyFont="true" applyBorder="true" applyAlignment="true" applyProtection="false">
      <alignment horizontal="center" vertical="center" textRotation="0" wrapText="true" indent="0" shrinkToFit="false"/>
      <protection locked="true" hidden="false"/>
    </xf>
    <xf numFmtId="164" fontId="10" fillId="0" borderId="0" xfId="0" applyFont="true" applyBorder="true" applyAlignment="false" applyProtection="false">
      <alignment horizontal="general" vertical="bottom" textRotation="0" wrapText="false" indent="0" shrinkToFit="false"/>
      <protection locked="true" hidden="false"/>
    </xf>
    <xf numFmtId="164" fontId="11" fillId="0" borderId="0"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true" applyAlignment="true" applyProtection="false">
      <alignment horizontal="left" vertical="center" textRotation="0" wrapText="tru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4" fontId="13" fillId="0" borderId="0"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true" applyAlignment="false" applyProtection="false">
      <alignment horizontal="general" vertical="bottom" textRotation="0" wrapText="false" indent="0" shrinkToFit="false"/>
      <protection locked="true" hidden="false"/>
    </xf>
    <xf numFmtId="164" fontId="0" fillId="2" borderId="1" xfId="0" applyFont="false" applyBorder="true" applyAlignment="false" applyProtection="false">
      <alignment horizontal="general" vertical="bottom" textRotation="0" wrapText="false" indent="0" shrinkToFit="false"/>
      <protection locked="true" hidden="false"/>
    </xf>
    <xf numFmtId="164" fontId="0" fillId="5" borderId="1" xfId="0" applyFont="false" applyBorder="true" applyAlignment="false" applyProtection="false">
      <alignment horizontal="general" vertical="bottom" textRotation="0" wrapText="false" indent="0" shrinkToFit="false"/>
      <protection locked="true" hidden="false"/>
    </xf>
    <xf numFmtId="164" fontId="0" fillId="6" borderId="1" xfId="0" applyFont="false" applyBorder="true" applyAlignment="false" applyProtection="false">
      <alignment horizontal="general" vertical="bottom" textRotation="0" wrapText="false" indent="0" shrinkToFit="false"/>
      <protection locked="true" hidden="false"/>
    </xf>
    <xf numFmtId="164" fontId="0" fillId="7" borderId="1" xfId="0" applyFont="false" applyBorder="true" applyAlignment="false" applyProtection="false">
      <alignment horizontal="general" vertical="bottom" textRotation="0" wrapText="false" indent="0" shrinkToFit="false"/>
      <protection locked="true" hidden="false"/>
    </xf>
    <xf numFmtId="164" fontId="14" fillId="2" borderId="0" xfId="0" applyFont="true" applyBorder="true" applyAlignment="true" applyProtection="false">
      <alignment horizontal="center" vertical="center" textRotation="0" wrapText="tru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15" fillId="0" borderId="0" xfId="0" applyFont="true" applyBorder="false" applyAlignment="true" applyProtection="false">
      <alignment horizontal="center" vertical="center" textRotation="0" wrapText="true" indent="0" shrinkToFit="false"/>
      <protection locked="true" hidden="false"/>
    </xf>
    <xf numFmtId="165" fontId="16" fillId="0" borderId="0" xfId="0" applyFont="true" applyBorder="false" applyAlignment="true" applyProtection="false">
      <alignment horizontal="center" vertical="center" textRotation="0" wrapText="true" indent="0" shrinkToFit="false"/>
      <protection locked="true" hidden="false"/>
    </xf>
    <xf numFmtId="165" fontId="17" fillId="0" borderId="0" xfId="0" applyFont="true" applyBorder="false" applyAlignment="true" applyProtection="false">
      <alignment horizontal="center" vertical="center" textRotation="0" wrapText="true" indent="0" shrinkToFit="false"/>
      <protection locked="true" hidden="false"/>
    </xf>
    <xf numFmtId="165" fontId="18" fillId="0" borderId="0" xfId="0" applyFont="true" applyBorder="false" applyAlignment="true" applyProtection="false">
      <alignment horizontal="center" vertical="center" textRotation="0" wrapText="true" indent="0" shrinkToFit="false"/>
      <protection locked="true" hidden="false"/>
    </xf>
    <xf numFmtId="166" fontId="16" fillId="0" borderId="0" xfId="0" applyFont="true" applyBorder="false" applyAlignment="true" applyProtection="false">
      <alignment horizontal="center" vertical="center" textRotation="0" wrapText="true" indent="0" shrinkToFit="false"/>
      <protection locked="true" hidden="false"/>
    </xf>
    <xf numFmtId="164" fontId="9" fillId="0" borderId="0" xfId="0" applyFont="true" applyBorder="true" applyAlignment="true" applyProtection="false">
      <alignment horizontal="center" vertical="center" textRotation="0" wrapText="true" indent="0" shrinkToFit="false"/>
      <protection locked="true" hidden="false"/>
    </xf>
    <xf numFmtId="164" fontId="0" fillId="0" borderId="2" xfId="0" applyFont="false" applyBorder="true" applyAlignment="false" applyProtection="false">
      <alignment horizontal="general" vertical="bottom" textRotation="0" wrapText="false" indent="0" shrinkToFit="false"/>
      <protection locked="true" hidden="false"/>
    </xf>
    <xf numFmtId="164" fontId="19" fillId="0" borderId="0" xfId="0" applyFont="true" applyBorder="true" applyAlignment="true" applyProtection="false">
      <alignment horizontal="center" vertical="center" textRotation="0" wrapText="true" indent="0" shrinkToFit="false"/>
      <protection locked="true" hidden="false"/>
    </xf>
    <xf numFmtId="164" fontId="20" fillId="2" borderId="1" xfId="0" applyFont="true" applyBorder="true" applyAlignment="true" applyProtection="false">
      <alignment horizontal="center" vertical="center" textRotation="0" wrapText="true" indent="0" shrinkToFit="false"/>
      <protection locked="true" hidden="false"/>
    </xf>
    <xf numFmtId="164" fontId="12" fillId="4" borderId="1" xfId="0" applyFont="true" applyBorder="true" applyAlignment="true" applyProtection="false">
      <alignment horizontal="center" vertical="center" textRotation="0" wrapText="true" indent="0" shrinkToFit="false"/>
      <protection locked="true" hidden="false"/>
    </xf>
    <xf numFmtId="167" fontId="12" fillId="4" borderId="1" xfId="0" applyFont="true" applyBorder="true" applyAlignment="true" applyProtection="false">
      <alignment horizontal="center" vertical="center" textRotation="0" wrapText="true" indent="0" shrinkToFit="false"/>
      <protection locked="true" hidden="false"/>
    </xf>
    <xf numFmtId="168" fontId="12" fillId="4" borderId="1" xfId="0" applyFont="true" applyBorder="true" applyAlignment="true" applyProtection="false">
      <alignment horizontal="center" vertical="center" textRotation="0" wrapText="true" indent="0" shrinkToFit="false"/>
      <protection locked="true" hidden="false"/>
    </xf>
    <xf numFmtId="169" fontId="12" fillId="4" borderId="1" xfId="0" applyFont="true" applyBorder="true" applyAlignment="true" applyProtection="false">
      <alignment horizontal="center" vertical="center" textRotation="0" wrapText="true" indent="0" shrinkToFit="false"/>
      <protection locked="true" hidden="false"/>
    </xf>
    <xf numFmtId="170" fontId="12" fillId="3" borderId="1" xfId="0" applyFont="true" applyBorder="true" applyAlignment="true" applyProtection="false">
      <alignment horizontal="center" vertical="center" textRotation="0" wrapText="true" indent="0" shrinkToFit="false"/>
      <protection locked="true" hidden="false"/>
    </xf>
    <xf numFmtId="164" fontId="12" fillId="3" borderId="1" xfId="0" applyFont="true" applyBorder="true" applyAlignment="true" applyProtection="false">
      <alignment horizontal="center" vertical="center" textRotation="0" wrapText="true" indent="0" shrinkToFit="false"/>
      <protection locked="true" hidden="false"/>
    </xf>
    <xf numFmtId="164" fontId="12" fillId="4" borderId="1" xfId="0" applyFont="true" applyBorder="true" applyAlignment="true" applyProtection="false">
      <alignment horizontal="left" vertical="center" textRotation="0" wrapText="tru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2">
    <dxf>
      <fill>
        <patternFill patternType="solid">
          <fgColor rgb="FF1B2A4A"/>
          <bgColor rgb="FF000000"/>
        </patternFill>
      </fill>
    </dxf>
    <dxf>
      <fill>
        <patternFill patternType="solid">
          <fgColor rgb="FFE8F6F7"/>
          <bgColor rgb="FF000000"/>
        </patternFill>
      </fill>
    </dxf>
    <dxf>
      <fill>
        <patternFill patternType="solid">
          <fgColor rgb="FFFFFFFF"/>
          <bgColor rgb="FF000000"/>
        </patternFill>
      </fill>
    </dxf>
    <dxf>
      <fill>
        <patternFill patternType="solid">
          <fgColor rgb="FFC6EFCE"/>
          <bgColor rgb="FF000000"/>
        </patternFill>
      </fill>
    </dxf>
    <dxf>
      <fill>
        <patternFill patternType="solid">
          <fgColor rgb="FFFFC7CE"/>
          <bgColor rgb="FF000000"/>
        </patternFill>
      </fill>
    </dxf>
    <dxf>
      <fill>
        <patternFill patternType="solid">
          <fgColor rgb="FF006100"/>
          <bgColor rgb="FF000000"/>
        </patternFill>
      </fill>
    </dxf>
    <dxf>
      <fill>
        <patternFill patternType="solid">
          <fgColor rgb="FF9C0006"/>
          <bgColor rgb="FF000000"/>
        </patternFill>
      </fill>
    </dxf>
    <dxf>
      <font>
        <name val="Calibri"/>
        <charset val="1"/>
        <family val="0"/>
        <b val="1"/>
        <color rgb="FF006100"/>
      </font>
      <fill>
        <patternFill>
          <bgColor rgb="FFC6EFCE"/>
        </patternFill>
      </fill>
    </dxf>
    <dxf>
      <font>
        <name val="Calibri"/>
        <charset val="1"/>
        <family val="0"/>
        <b val="1"/>
        <color rgb="FF9C6500"/>
      </font>
      <fill>
        <patternFill>
          <bgColor rgb="FFFFEB9C"/>
        </patternFill>
      </fill>
    </dxf>
    <dxf>
      <font>
        <name val="Calibri"/>
        <charset val="1"/>
        <family val="0"/>
        <b val="1"/>
        <color rgb="FF9C0006"/>
      </font>
      <fill>
        <patternFill>
          <bgColor rgb="FFFFC7CE"/>
        </patternFill>
      </fill>
    </dxf>
    <dxf>
      <fill>
        <patternFill>
          <bgColor rgb="FFC6EFCE"/>
        </patternFill>
      </fill>
    </dxf>
    <dxf>
      <fill>
        <patternFill>
          <bgColor rgb="FFFFC7CE"/>
        </patternFill>
      </fill>
    </dxf>
  </dxfs>
  <colors>
    <indexedColors>
      <rgbColor rgb="FF000000"/>
      <rgbColor rgb="FFFFFFFF"/>
      <rgbColor rgb="FFFF0000"/>
      <rgbColor rgb="FF00FF00"/>
      <rgbColor rgb="FF0000FF"/>
      <rgbColor rgb="FFFFFF00"/>
      <rgbColor rgb="FFFF00FF"/>
      <rgbColor rgb="FF00FFFF"/>
      <rgbColor rgb="FF9C0006"/>
      <rgbColor rgb="FF006100"/>
      <rgbColor rgb="FF000080"/>
      <rgbColor rgb="FF9C6500"/>
      <rgbColor rgb="FF800080"/>
      <rgbColor rgb="FF008080"/>
      <rgbColor rgb="FFC0C0C0"/>
      <rgbColor rgb="FF808080"/>
      <rgbColor rgb="FF9999FF"/>
      <rgbColor rgb="FF993366"/>
      <rgbColor rgb="FFFFFFCC"/>
      <rgbColor rgb="FFE8F6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2AABB3"/>
      <rgbColor rgb="FF99CC00"/>
      <rgbColor rgb="FFFFCC00"/>
      <rgbColor rgb="FFFF9900"/>
      <rgbColor rgb="FFFF6600"/>
      <rgbColor rgb="FF666699"/>
      <rgbColor rgb="FF8C8C8C"/>
      <rgbColor rgb="FF003366"/>
      <rgbColor rgb="FF339966"/>
      <rgbColor rgb="FF003300"/>
      <rgbColor rgb="FF333300"/>
      <rgbColor rgb="FF993300"/>
      <rgbColor rgb="FF993366"/>
      <rgbColor rgb="FF333399"/>
      <rgbColor rgb="FF1B2A4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2A4A"/>
    <pageSetUpPr fitToPage="false"/>
  </sheetPr>
  <dimension ref="A1:H2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8" min="1" style="0" width="14"/>
  </cols>
  <sheetData>
    <row r="1" customFormat="false" ht="15" hidden="false" customHeight="true" outlineLevel="0" collapsed="false">
      <c r="A1" s="1" t="s">
        <v>0</v>
      </c>
      <c r="B1" s="1"/>
      <c r="C1" s="1"/>
      <c r="D1" s="1"/>
      <c r="E1" s="1"/>
      <c r="F1" s="1"/>
      <c r="G1" s="1"/>
      <c r="H1" s="1"/>
    </row>
    <row r="2" customFormat="false" ht="15" hidden="false" customHeight="false" outlineLevel="0" collapsed="false">
      <c r="A2" s="1"/>
      <c r="B2" s="1"/>
      <c r="C2" s="1"/>
      <c r="D2" s="1"/>
      <c r="E2" s="1"/>
      <c r="F2" s="1"/>
      <c r="G2" s="1"/>
      <c r="H2" s="1"/>
    </row>
    <row r="3" customFormat="false" ht="15" hidden="false" customHeight="false" outlineLevel="0" collapsed="false">
      <c r="A3" s="1"/>
      <c r="B3" s="1"/>
      <c r="C3" s="1"/>
      <c r="D3" s="1"/>
      <c r="E3" s="1"/>
      <c r="F3" s="1"/>
      <c r="G3" s="1"/>
      <c r="H3" s="1"/>
    </row>
    <row r="4" customFormat="false" ht="15" hidden="false" customHeight="true" outlineLevel="0" collapsed="false">
      <c r="A4" s="2" t="s">
        <v>1</v>
      </c>
      <c r="B4" s="2"/>
      <c r="C4" s="2"/>
      <c r="D4" s="2"/>
      <c r="E4" s="2"/>
      <c r="F4" s="2"/>
      <c r="G4" s="2"/>
      <c r="H4" s="2"/>
    </row>
    <row r="5" customFormat="false" ht="15" hidden="false" customHeight="false" outlineLevel="0" collapsed="false">
      <c r="A5" s="3"/>
      <c r="B5" s="3"/>
      <c r="C5" s="3"/>
      <c r="D5" s="3"/>
      <c r="E5" s="3"/>
      <c r="F5" s="3"/>
      <c r="G5" s="3"/>
      <c r="H5" s="3"/>
    </row>
    <row r="6" customFormat="false" ht="15" hidden="false" customHeight="true" outlineLevel="0" collapsed="false">
      <c r="A6" s="4" t="s">
        <v>2</v>
      </c>
      <c r="B6" s="4"/>
      <c r="C6" s="4"/>
      <c r="D6" s="4"/>
      <c r="E6" s="4"/>
      <c r="F6" s="4"/>
      <c r="G6" s="4"/>
      <c r="H6" s="4"/>
    </row>
    <row r="7" customFormat="false" ht="15" hidden="false" customHeight="false" outlineLevel="0" collapsed="false">
      <c r="A7" s="4"/>
      <c r="B7" s="4"/>
      <c r="C7" s="4"/>
      <c r="D7" s="4"/>
      <c r="E7" s="4"/>
      <c r="F7" s="4"/>
      <c r="G7" s="4"/>
      <c r="H7" s="4"/>
    </row>
    <row r="8" customFormat="false" ht="15" hidden="false" customHeight="false" outlineLevel="0" collapsed="false">
      <c r="A8" s="4"/>
      <c r="B8" s="4"/>
      <c r="C8" s="4"/>
      <c r="D8" s="4"/>
      <c r="E8" s="4"/>
      <c r="F8" s="4"/>
      <c r="G8" s="4"/>
      <c r="H8" s="4"/>
    </row>
    <row r="9" customFormat="false" ht="15" hidden="false" customHeight="false" outlineLevel="0" collapsed="false">
      <c r="A9" s="3"/>
      <c r="B9" s="3"/>
      <c r="C9" s="3"/>
      <c r="D9" s="3"/>
      <c r="E9" s="3"/>
      <c r="F9" s="3"/>
      <c r="G9" s="3"/>
      <c r="H9" s="3"/>
    </row>
    <row r="10" customFormat="false" ht="15" hidden="false" customHeight="true" outlineLevel="0" collapsed="false">
      <c r="A10" s="5" t="s">
        <v>3</v>
      </c>
      <c r="B10" s="5"/>
      <c r="C10" s="5"/>
      <c r="D10" s="5"/>
      <c r="E10" s="5"/>
      <c r="F10" s="5"/>
      <c r="G10" s="5"/>
      <c r="H10" s="5"/>
    </row>
    <row r="11" customFormat="false" ht="15" hidden="false" customHeight="false" outlineLevel="0" collapsed="false">
      <c r="A11" s="5"/>
      <c r="B11" s="5"/>
      <c r="C11" s="5"/>
      <c r="D11" s="5"/>
      <c r="E11" s="5"/>
      <c r="F11" s="5"/>
      <c r="G11" s="5"/>
      <c r="H11" s="5"/>
    </row>
    <row r="12" customFormat="false" ht="15" hidden="false" customHeight="false" outlineLevel="0" collapsed="false">
      <c r="A12" s="3"/>
      <c r="B12" s="3"/>
      <c r="C12" s="3"/>
      <c r="D12" s="3"/>
      <c r="E12" s="3"/>
      <c r="F12" s="3"/>
      <c r="G12" s="3"/>
      <c r="H12" s="3"/>
    </row>
    <row r="13" customFormat="false" ht="15" hidden="false" customHeight="false" outlineLevel="0" collapsed="false">
      <c r="A13" s="3"/>
      <c r="B13" s="3"/>
      <c r="C13" s="3"/>
      <c r="D13" s="3"/>
      <c r="E13" s="3"/>
      <c r="F13" s="3"/>
      <c r="G13" s="3"/>
      <c r="H13" s="3"/>
    </row>
    <row r="14" customFormat="false" ht="15" hidden="false" customHeight="true" outlineLevel="0" collapsed="false">
      <c r="A14" s="6" t="s">
        <v>4</v>
      </c>
      <c r="B14" s="6"/>
      <c r="C14" s="6"/>
      <c r="D14" s="6"/>
      <c r="E14" s="6"/>
      <c r="F14" s="6"/>
      <c r="G14" s="6"/>
      <c r="H14" s="6"/>
    </row>
    <row r="15" customFormat="false" ht="15" hidden="false" customHeight="false" outlineLevel="0" collapsed="false">
      <c r="A15" s="6"/>
      <c r="B15" s="6"/>
      <c r="C15" s="6"/>
      <c r="D15" s="6"/>
      <c r="E15" s="6"/>
      <c r="F15" s="6"/>
      <c r="G15" s="6"/>
      <c r="H15" s="6"/>
    </row>
    <row r="16" customFormat="false" ht="15" hidden="false" customHeight="false" outlineLevel="0" collapsed="false">
      <c r="A16" s="6"/>
      <c r="B16" s="6"/>
      <c r="C16" s="6"/>
      <c r="D16" s="6"/>
      <c r="E16" s="6"/>
      <c r="F16" s="6"/>
      <c r="G16" s="6"/>
      <c r="H16" s="6"/>
    </row>
    <row r="17" customFormat="false" ht="15" hidden="false" customHeight="false" outlineLevel="0" collapsed="false">
      <c r="A17" s="6"/>
      <c r="B17" s="6"/>
      <c r="C17" s="6"/>
      <c r="D17" s="6"/>
      <c r="E17" s="6"/>
      <c r="F17" s="6"/>
      <c r="G17" s="6"/>
      <c r="H17" s="6"/>
    </row>
    <row r="18" customFormat="false" ht="15" hidden="false" customHeight="false" outlineLevel="0" collapsed="false">
      <c r="A18" s="3"/>
      <c r="B18" s="3"/>
      <c r="C18" s="3"/>
      <c r="D18" s="3"/>
      <c r="E18" s="3"/>
      <c r="F18" s="3"/>
      <c r="G18" s="3"/>
      <c r="H18" s="3"/>
    </row>
    <row r="19" customFormat="false" ht="15" hidden="false" customHeight="true" outlineLevel="0" collapsed="false">
      <c r="A19" s="7" t="s">
        <v>5</v>
      </c>
      <c r="B19" s="7"/>
      <c r="C19" s="7"/>
      <c r="D19" s="7"/>
      <c r="E19" s="7"/>
      <c r="F19" s="7"/>
      <c r="G19" s="7"/>
      <c r="H19" s="7"/>
    </row>
    <row r="20" customFormat="false" ht="15" hidden="false" customHeight="false" outlineLevel="0" collapsed="false">
      <c r="A20" s="3"/>
      <c r="B20" s="3"/>
      <c r="C20" s="3"/>
      <c r="D20" s="3"/>
      <c r="E20" s="3"/>
      <c r="F20" s="3"/>
      <c r="G20" s="3"/>
      <c r="H20" s="3"/>
    </row>
    <row r="21" customFormat="false" ht="15" hidden="false" customHeight="false" outlineLevel="0" collapsed="false">
      <c r="A21" s="3"/>
      <c r="B21" s="3"/>
      <c r="C21" s="3"/>
      <c r="D21" s="3"/>
      <c r="E21" s="3"/>
      <c r="F21" s="3"/>
      <c r="G21" s="3"/>
      <c r="H21" s="3"/>
    </row>
    <row r="22" customFormat="false" ht="15" hidden="false" customHeight="false" outlineLevel="0" collapsed="false">
      <c r="A22" s="3"/>
      <c r="B22" s="3"/>
      <c r="C22" s="3"/>
      <c r="D22" s="3"/>
      <c r="E22" s="3"/>
      <c r="F22" s="3"/>
      <c r="G22" s="3"/>
      <c r="H22" s="3"/>
    </row>
    <row r="23" customFormat="false" ht="15" hidden="false" customHeight="false" outlineLevel="0" collapsed="false">
      <c r="A23" s="3"/>
      <c r="B23" s="3"/>
      <c r="C23" s="3"/>
      <c r="D23" s="3"/>
      <c r="E23" s="3"/>
      <c r="F23" s="3"/>
      <c r="G23" s="3"/>
      <c r="H23" s="3"/>
    </row>
    <row r="24" customFormat="false" ht="15" hidden="false" customHeight="false" outlineLevel="0" collapsed="false">
      <c r="A24" s="3"/>
      <c r="B24" s="3"/>
      <c r="C24" s="3"/>
      <c r="D24" s="3"/>
      <c r="E24" s="3"/>
      <c r="F24" s="3"/>
      <c r="G24" s="3"/>
      <c r="H24" s="3"/>
    </row>
  </sheetData>
  <mergeCells count="6">
    <mergeCell ref="A1:H3"/>
    <mergeCell ref="A4:H4"/>
    <mergeCell ref="A6:H8"/>
    <mergeCell ref="A10:H11"/>
    <mergeCell ref="A14:H17"/>
    <mergeCell ref="A19:H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AABB3"/>
    <pageSetUpPr fitToPage="false"/>
  </sheetPr>
  <dimension ref="A1:F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6" min="2" style="0" width="22"/>
  </cols>
  <sheetData>
    <row r="1" customFormat="false" ht="17.35" hidden="false" customHeight="false" outlineLevel="0" collapsed="false">
      <c r="A1" s="8" t="s">
        <v>6</v>
      </c>
      <c r="B1" s="8"/>
      <c r="C1" s="8"/>
      <c r="D1" s="8"/>
      <c r="E1" s="8"/>
      <c r="F1" s="8"/>
    </row>
    <row r="3" customFormat="false" ht="15" hidden="false" customHeight="false" outlineLevel="0" collapsed="false">
      <c r="A3" s="9" t="s">
        <v>7</v>
      </c>
      <c r="B3" s="9"/>
      <c r="C3" s="9"/>
      <c r="D3" s="9"/>
      <c r="E3" s="9"/>
      <c r="F3" s="9"/>
    </row>
    <row r="4" customFormat="false" ht="30" hidden="false" customHeight="true" outlineLevel="0" collapsed="false">
      <c r="A4" s="10" t="s">
        <v>8</v>
      </c>
      <c r="B4" s="10"/>
      <c r="C4" s="10"/>
      <c r="D4" s="10"/>
      <c r="E4" s="10"/>
      <c r="F4" s="10"/>
    </row>
    <row r="5" customFormat="false" ht="30" hidden="false" customHeight="true" outlineLevel="0" collapsed="false">
      <c r="A5" s="10" t="s">
        <v>9</v>
      </c>
      <c r="B5" s="10"/>
      <c r="C5" s="10"/>
      <c r="D5" s="10"/>
      <c r="E5" s="10"/>
      <c r="F5" s="10"/>
    </row>
    <row r="6" customFormat="false" ht="30" hidden="false" customHeight="true" outlineLevel="0" collapsed="false">
      <c r="A6" s="10" t="s">
        <v>10</v>
      </c>
      <c r="B6" s="10"/>
      <c r="C6" s="10"/>
      <c r="D6" s="10"/>
      <c r="E6" s="10"/>
      <c r="F6" s="10"/>
    </row>
    <row r="7" customFormat="false" ht="30" hidden="false" customHeight="true" outlineLevel="0" collapsed="false">
      <c r="A7" s="10" t="s">
        <v>11</v>
      </c>
      <c r="B7" s="10"/>
      <c r="C7" s="10"/>
      <c r="D7" s="10"/>
      <c r="E7" s="10"/>
      <c r="F7" s="10"/>
    </row>
    <row r="8" customFormat="false" ht="30" hidden="false" customHeight="true" outlineLevel="0" collapsed="false">
      <c r="A8" s="10" t="s">
        <v>12</v>
      </c>
      <c r="B8" s="10"/>
      <c r="C8" s="10"/>
      <c r="D8" s="10"/>
      <c r="E8" s="10"/>
      <c r="F8" s="10"/>
    </row>
    <row r="9" customFormat="false" ht="30" hidden="false" customHeight="true" outlineLevel="0" collapsed="false">
      <c r="A9" s="10" t="s">
        <v>13</v>
      </c>
      <c r="B9" s="10"/>
      <c r="C9" s="10"/>
      <c r="D9" s="10"/>
      <c r="E9" s="10"/>
      <c r="F9" s="10"/>
    </row>
    <row r="10" customFormat="false" ht="30" hidden="false" customHeight="true" outlineLevel="0" collapsed="false">
      <c r="A10" s="10" t="s">
        <v>14</v>
      </c>
      <c r="B10" s="10"/>
      <c r="C10" s="10"/>
      <c r="D10" s="10"/>
      <c r="E10" s="10"/>
      <c r="F10" s="10"/>
    </row>
    <row r="11" customFormat="false" ht="30" hidden="false" customHeight="true" outlineLevel="0" collapsed="false">
      <c r="A11" s="10" t="s">
        <v>15</v>
      </c>
      <c r="B11" s="10"/>
      <c r="C11" s="10"/>
      <c r="D11" s="10"/>
      <c r="E11" s="10"/>
      <c r="F11" s="10"/>
    </row>
    <row r="13" customFormat="false" ht="15" hidden="false" customHeight="false" outlineLevel="0" collapsed="false">
      <c r="A13" s="9" t="s">
        <v>16</v>
      </c>
      <c r="B13" s="9"/>
      <c r="C13" s="9"/>
      <c r="D13" s="9"/>
      <c r="E13" s="9"/>
      <c r="F13" s="9"/>
    </row>
    <row r="14" customFormat="false" ht="15" hidden="false" customHeight="false" outlineLevel="0" collapsed="false">
      <c r="A14" s="11"/>
      <c r="B14" s="12" t="s">
        <v>17</v>
      </c>
      <c r="C14" s="12"/>
      <c r="D14" s="13" t="s">
        <v>18</v>
      </c>
      <c r="E14" s="13"/>
      <c r="F14" s="13"/>
    </row>
    <row r="15" customFormat="false" ht="15" hidden="false" customHeight="false" outlineLevel="0" collapsed="false">
      <c r="A15" s="14"/>
      <c r="B15" s="12" t="s">
        <v>19</v>
      </c>
      <c r="C15" s="12"/>
      <c r="D15" s="13" t="s">
        <v>20</v>
      </c>
      <c r="E15" s="13"/>
      <c r="F15" s="13"/>
    </row>
    <row r="16" customFormat="false" ht="15" hidden="false" customHeight="false" outlineLevel="0" collapsed="false">
      <c r="A16" s="15"/>
      <c r="B16" s="12" t="s">
        <v>21</v>
      </c>
      <c r="C16" s="12"/>
      <c r="D16" s="13" t="s">
        <v>22</v>
      </c>
      <c r="E16" s="13"/>
      <c r="F16" s="13"/>
    </row>
    <row r="17" customFormat="false" ht="15" hidden="false" customHeight="false" outlineLevel="0" collapsed="false">
      <c r="A17" s="16"/>
      <c r="B17" s="12" t="s">
        <v>23</v>
      </c>
      <c r="C17" s="12"/>
      <c r="D17" s="13" t="s">
        <v>24</v>
      </c>
      <c r="E17" s="13"/>
      <c r="F17" s="13"/>
    </row>
    <row r="18" customFormat="false" ht="15" hidden="false" customHeight="false" outlineLevel="0" collapsed="false">
      <c r="A18" s="17"/>
      <c r="B18" s="12" t="s">
        <v>25</v>
      </c>
      <c r="C18" s="12"/>
      <c r="D18" s="13" t="s">
        <v>26</v>
      </c>
      <c r="E18" s="13"/>
      <c r="F18" s="13"/>
    </row>
    <row r="20" customFormat="false" ht="15" hidden="false" customHeight="false" outlineLevel="0" collapsed="false">
      <c r="A20" s="9" t="s">
        <v>27</v>
      </c>
      <c r="B20" s="9"/>
      <c r="C20" s="9"/>
      <c r="D20" s="9"/>
      <c r="E20" s="9"/>
      <c r="F20" s="9"/>
    </row>
    <row r="21" customFormat="false" ht="30" hidden="false" customHeight="true" outlineLevel="0" collapsed="false">
      <c r="A21" s="10" t="s">
        <v>28</v>
      </c>
      <c r="B21" s="10"/>
      <c r="C21" s="10"/>
      <c r="D21" s="10"/>
      <c r="E21" s="10"/>
      <c r="F21" s="10"/>
    </row>
    <row r="22" customFormat="false" ht="30" hidden="false" customHeight="true" outlineLevel="0" collapsed="false">
      <c r="A22" s="10" t="s">
        <v>29</v>
      </c>
      <c r="B22" s="10"/>
      <c r="C22" s="10"/>
      <c r="D22" s="10"/>
      <c r="E22" s="10"/>
      <c r="F22" s="10"/>
    </row>
    <row r="23" customFormat="false" ht="30" hidden="false" customHeight="true" outlineLevel="0" collapsed="false">
      <c r="A23" s="10" t="s">
        <v>30</v>
      </c>
      <c r="B23" s="10"/>
      <c r="C23" s="10"/>
      <c r="D23" s="10"/>
      <c r="E23" s="10"/>
      <c r="F23" s="10"/>
    </row>
  </sheetData>
  <mergeCells count="25">
    <mergeCell ref="A1:F1"/>
    <mergeCell ref="A3:F3"/>
    <mergeCell ref="A4:F4"/>
    <mergeCell ref="A5:F5"/>
    <mergeCell ref="A6:F6"/>
    <mergeCell ref="A7:F7"/>
    <mergeCell ref="A8:F8"/>
    <mergeCell ref="A9:F9"/>
    <mergeCell ref="A10:F10"/>
    <mergeCell ref="A11:F11"/>
    <mergeCell ref="A13:F13"/>
    <mergeCell ref="B14:C14"/>
    <mergeCell ref="D14:F14"/>
    <mergeCell ref="B15:C15"/>
    <mergeCell ref="D15:F15"/>
    <mergeCell ref="B16:C16"/>
    <mergeCell ref="D16:F16"/>
    <mergeCell ref="B17:C17"/>
    <mergeCell ref="D17:F17"/>
    <mergeCell ref="B18:C18"/>
    <mergeCell ref="D18:F18"/>
    <mergeCell ref="A20:F20"/>
    <mergeCell ref="A21:F21"/>
    <mergeCell ref="A22:F22"/>
    <mergeCell ref="A23:F2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5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8" topLeftCell="A9" activePane="bottomLeft" state="frozen"/>
      <selection pane="topLeft" activeCell="A1" activeCellId="0" sqref="A1"/>
      <selection pane="bottomLeft" activeCell="A1" activeCellId="0" sqref="A1"/>
    </sheetView>
  </sheetViews>
  <sheetFormatPr defaultColWidth="8.6796875" defaultRowHeight="15" zeroHeight="false" outlineLevelRow="0" outlineLevelCol="1"/>
  <cols>
    <col collapsed="false" customWidth="true" hidden="false" outlineLevel="0" max="1" min="1" style="0" width="10"/>
    <col collapsed="false" customWidth="true" hidden="false" outlineLevel="0" max="2" min="2" style="0" width="12"/>
    <col collapsed="false" customWidth="true" hidden="false" outlineLevel="0" max="3" min="3" style="0" width="14"/>
    <col collapsed="false" customWidth="true" hidden="false" outlineLevel="0" max="4" min="4" style="0" width="12"/>
    <col collapsed="false" customWidth="true" hidden="false" outlineLevel="0" max="5" min="5" style="0" width="13"/>
    <col collapsed="false" customWidth="true" hidden="false" outlineLevel="0" max="6" min="6" style="0" width="12"/>
    <col collapsed="false" customWidth="true" hidden="false" outlineLevel="0" max="7" min="7" style="0" width="13"/>
    <col collapsed="false" customWidth="true" hidden="false" outlineLevel="0" max="10" min="8" style="0" width="12"/>
    <col collapsed="false" customWidth="true" hidden="false" outlineLevel="0" max="11" min="11" style="0" width="10"/>
    <col collapsed="false" customWidth="true" hidden="false" outlineLevel="0" max="12" min="12" style="0" width="16"/>
    <col collapsed="false" customWidth="true" hidden="false" outlineLevel="0" max="13" min="13" style="0" width="28"/>
    <col collapsed="false" customWidth="true" hidden="true" outlineLevel="1" max="17" min="14" style="0" width="16"/>
  </cols>
  <sheetData>
    <row r="1" customFormat="false" ht="18.65" hidden="false" customHeight="true" outlineLevel="0" collapsed="false">
      <c r="A1" s="18" t="s">
        <v>31</v>
      </c>
      <c r="B1" s="18"/>
      <c r="C1" s="18"/>
      <c r="D1" s="18"/>
      <c r="E1" s="18"/>
      <c r="F1" s="18"/>
      <c r="G1" s="18"/>
      <c r="H1" s="18"/>
      <c r="I1" s="18"/>
      <c r="J1" s="18"/>
      <c r="K1" s="18"/>
      <c r="L1" s="18"/>
      <c r="M1" s="18"/>
      <c r="N1" s="19"/>
      <c r="O1" s="19"/>
      <c r="P1" s="19"/>
      <c r="Q1" s="19"/>
    </row>
    <row r="2" customFormat="false" ht="6" hidden="false" customHeight="true" outlineLevel="0" collapsed="false"/>
    <row r="3" customFormat="false" ht="23.85" hidden="false" customHeight="false" outlineLevel="0" collapsed="false">
      <c r="A3" s="20" t="s">
        <v>32</v>
      </c>
      <c r="C3" s="20" t="s">
        <v>33</v>
      </c>
      <c r="E3" s="20" t="s">
        <v>34</v>
      </c>
      <c r="G3" s="20" t="s">
        <v>35</v>
      </c>
      <c r="I3" s="20" t="s">
        <v>36</v>
      </c>
      <c r="K3" s="20" t="s">
        <v>37</v>
      </c>
    </row>
    <row r="4" customFormat="false" ht="20.85" hidden="false" customHeight="false" outlineLevel="0" collapsed="false">
      <c r="A4" s="21" t="n">
        <f aca="false">COUNTA(A9:A59)</f>
        <v>5</v>
      </c>
      <c r="C4" s="21" t="n">
        <f aca="false">COUNTA(F9:F59)</f>
        <v>5</v>
      </c>
      <c r="E4" s="22" t="n">
        <f aca="false">COUNTIF(L9:L59,"COMPLIANT")</f>
        <v>4</v>
      </c>
      <c r="G4" s="21" t="n">
        <f aca="false">COUNTIF(L9:L59,"REVIEW")</f>
        <v>0</v>
      </c>
      <c r="I4" s="23" t="n">
        <f aca="false">COUNTIF(L9:L59,"NON-COMPLIANT")</f>
        <v>1</v>
      </c>
      <c r="K4" s="24" t="n">
        <f aca="false">IFERROR(E4/C4,0)</f>
        <v>0.8</v>
      </c>
    </row>
    <row r="5" customFormat="false" ht="15" hidden="false" customHeight="false" outlineLevel="0" collapsed="false">
      <c r="A5" s="25" t="str">
        <f aca="false">CONCATENATE("Progress: ",TEXT(IFERROR(C4/A4,0),"0%")," installed | Avg depth variance: ",TEXT(IFERROR(AVERAGE(H9:H59),0),"0.00"),"m")</f>
        <v>Progress: 100% installed | Avg depth variance: 0.02m</v>
      </c>
      <c r="B5" s="25"/>
      <c r="C5" s="25"/>
      <c r="D5" s="25"/>
      <c r="E5" s="25"/>
      <c r="F5" s="25"/>
      <c r="G5" s="25"/>
      <c r="H5" s="25"/>
      <c r="I5" s="25"/>
      <c r="J5" s="25"/>
      <c r="K5" s="25"/>
      <c r="L5" s="25"/>
      <c r="M5" s="25"/>
    </row>
    <row r="6" customFormat="false" ht="15" hidden="false" customHeight="false" outlineLevel="0" collapsed="false">
      <c r="A6" s="26"/>
      <c r="B6" s="26"/>
      <c r="C6" s="26"/>
      <c r="D6" s="26"/>
      <c r="E6" s="26"/>
      <c r="F6" s="26"/>
      <c r="G6" s="26"/>
      <c r="H6" s="26"/>
      <c r="I6" s="26"/>
      <c r="J6" s="26"/>
      <c r="K6" s="26"/>
      <c r="L6" s="26"/>
      <c r="M6" s="26"/>
      <c r="N6" s="26"/>
      <c r="O6" s="26"/>
      <c r="P6" s="26"/>
      <c r="Q6" s="26"/>
    </row>
    <row r="7" customFormat="false" ht="3.75" hidden="false" customHeight="true" outlineLevel="0" collapsed="false">
      <c r="N7" s="27" t="s">
        <v>38</v>
      </c>
      <c r="O7" s="27"/>
      <c r="P7" s="27"/>
      <c r="Q7" s="27"/>
    </row>
    <row r="8" customFormat="false" ht="37.5" hidden="false" customHeight="true" outlineLevel="0" collapsed="false">
      <c r="A8" s="28" t="s">
        <v>39</v>
      </c>
      <c r="B8" s="28" t="s">
        <v>40</v>
      </c>
      <c r="C8" s="28" t="s">
        <v>41</v>
      </c>
      <c r="D8" s="28" t="s">
        <v>42</v>
      </c>
      <c r="E8" s="28" t="s">
        <v>43</v>
      </c>
      <c r="F8" s="28" t="s">
        <v>44</v>
      </c>
      <c r="G8" s="28" t="s">
        <v>45</v>
      </c>
      <c r="H8" s="28" t="s">
        <v>46</v>
      </c>
      <c r="I8" s="28" t="s">
        <v>47</v>
      </c>
      <c r="J8" s="28" t="s">
        <v>48</v>
      </c>
      <c r="K8" s="28" t="s">
        <v>49</v>
      </c>
      <c r="L8" s="28" t="s">
        <v>50</v>
      </c>
      <c r="M8" s="28" t="s">
        <v>51</v>
      </c>
      <c r="N8" s="28" t="s">
        <v>52</v>
      </c>
      <c r="O8" s="28" t="s">
        <v>53</v>
      </c>
      <c r="P8" s="28" t="s">
        <v>54</v>
      </c>
      <c r="Q8" s="28" t="s">
        <v>55</v>
      </c>
    </row>
    <row r="9" customFormat="false" ht="15" hidden="false" customHeight="false" outlineLevel="0" collapsed="false">
      <c r="A9" s="29" t="s">
        <v>56</v>
      </c>
      <c r="B9" s="30" t="n">
        <v>46063</v>
      </c>
      <c r="C9" s="29" t="s">
        <v>57</v>
      </c>
      <c r="D9" s="31" t="n">
        <v>12</v>
      </c>
      <c r="E9" s="32" t="n">
        <v>30.15</v>
      </c>
      <c r="F9" s="31" t="n">
        <v>12.3</v>
      </c>
      <c r="G9" s="32" t="n">
        <v>29.85</v>
      </c>
      <c r="H9" s="33" t="n">
        <f aca="false">IFERROR(G9-E9,"")</f>
        <v>-0.299999999999997</v>
      </c>
      <c r="I9" s="29" t="n">
        <v>25</v>
      </c>
      <c r="J9" s="29" t="n">
        <v>22</v>
      </c>
      <c r="K9" s="34" t="str">
        <f aca="false">IF(OR(I9="",J9=""),"",IF(J9&lt;=I9,"OK","HIGH"))</f>
        <v>OK</v>
      </c>
      <c r="L9" s="34" t="str">
        <f aca="false">IF(F9="","",IF(AND(ABS(H9)&lt;=0.5,OR(K9="OK",K9="")),"COMPLIANT",IF(AND(ABS(H9)&lt;=1,OR(K9="OK",K9="",K9="HIGH")),"REVIEW","NON-COMPLIANT")))</f>
        <v>COMPLIANT</v>
      </c>
      <c r="M9" s="35" t="s">
        <v>58</v>
      </c>
      <c r="N9" s="29" t="s">
        <v>59</v>
      </c>
      <c r="O9" s="29" t="n">
        <v>60</v>
      </c>
      <c r="P9" s="29"/>
      <c r="Q9" s="29" t="s">
        <v>60</v>
      </c>
    </row>
    <row r="10" customFormat="false" ht="15" hidden="false" customHeight="false" outlineLevel="0" collapsed="false">
      <c r="A10" s="29" t="s">
        <v>61</v>
      </c>
      <c r="B10" s="30" t="n">
        <v>46063</v>
      </c>
      <c r="C10" s="29" t="s">
        <v>57</v>
      </c>
      <c r="D10" s="31" t="n">
        <v>12</v>
      </c>
      <c r="E10" s="32" t="n">
        <v>30.15</v>
      </c>
      <c r="F10" s="31" t="n">
        <v>11.8</v>
      </c>
      <c r="G10" s="32" t="n">
        <v>30.35</v>
      </c>
      <c r="H10" s="33" t="n">
        <f aca="false">IFERROR(G10-E10,"")</f>
        <v>0.200000000000003</v>
      </c>
      <c r="I10" s="29" t="n">
        <v>25</v>
      </c>
      <c r="J10" s="29" t="n">
        <v>24</v>
      </c>
      <c r="K10" s="34" t="str">
        <f aca="false">IF(OR(I10="",J10=""),"",IF(J10&lt;=I10,"OK","HIGH"))</f>
        <v>OK</v>
      </c>
      <c r="L10" s="34" t="str">
        <f aca="false">IF(F10="","",IF(AND(ABS(H10)&lt;=0.5,OR(K10="OK",K10="")),"COMPLIANT",IF(AND(ABS(H10)&lt;=1,OR(K10="OK",K10="",K10="HIGH")),"REVIEW","NON-COMPLIANT")))</f>
        <v>COMPLIANT</v>
      </c>
      <c r="M10" s="35" t="s">
        <v>62</v>
      </c>
      <c r="N10" s="29" t="s">
        <v>59</v>
      </c>
      <c r="O10" s="29" t="n">
        <v>60</v>
      </c>
      <c r="P10" s="29"/>
      <c r="Q10" s="29" t="s">
        <v>60</v>
      </c>
    </row>
    <row r="11" customFormat="false" ht="15" hidden="false" customHeight="false" outlineLevel="0" collapsed="false">
      <c r="A11" s="29" t="s">
        <v>63</v>
      </c>
      <c r="B11" s="30" t="n">
        <v>46064</v>
      </c>
      <c r="C11" s="29" t="s">
        <v>64</v>
      </c>
      <c r="D11" s="31" t="n">
        <v>15</v>
      </c>
      <c r="E11" s="32" t="n">
        <v>27.15</v>
      </c>
      <c r="F11" s="31" t="n">
        <v>15.2</v>
      </c>
      <c r="G11" s="32" t="n">
        <v>26.95</v>
      </c>
      <c r="H11" s="33" t="n">
        <f aca="false">IFERROR(G11-E11,"")</f>
        <v>-0.199999999999999</v>
      </c>
      <c r="I11" s="29"/>
      <c r="J11" s="29"/>
      <c r="K11" s="34" t="str">
        <f aca="false">IF(OR(I11="",J11=""),"",IF(J11&lt;=I11,"OK","HIGH"))</f>
        <v/>
      </c>
      <c r="L11" s="34" t="str">
        <f aca="false">IF(F11="","",IF(AND(ABS(H11)&lt;=0.5,OR(K11="OK",K11="")),"COMPLIANT",IF(AND(ABS(H11)&lt;=1,OR(K11="OK",K11="",K11="HIGH")),"REVIEW","NON-COMPLIANT")))</f>
        <v>COMPLIANT</v>
      </c>
      <c r="M11" s="35" t="s">
        <v>65</v>
      </c>
      <c r="N11" s="29" t="s">
        <v>66</v>
      </c>
      <c r="O11" s="29"/>
      <c r="P11" s="29" t="n">
        <v>8.5</v>
      </c>
      <c r="Q11" s="29" t="s">
        <v>67</v>
      </c>
    </row>
    <row r="12" customFormat="false" ht="23.85" hidden="false" customHeight="false" outlineLevel="0" collapsed="false">
      <c r="A12" s="29" t="s">
        <v>68</v>
      </c>
      <c r="B12" s="30" t="n">
        <v>46064</v>
      </c>
      <c r="C12" s="29" t="s">
        <v>57</v>
      </c>
      <c r="D12" s="31" t="n">
        <v>12</v>
      </c>
      <c r="E12" s="32" t="n">
        <v>30.15</v>
      </c>
      <c r="F12" s="31" t="n">
        <v>10.5</v>
      </c>
      <c r="G12" s="32" t="n">
        <v>31.65</v>
      </c>
      <c r="H12" s="33" t="n">
        <f aca="false">IFERROR(G12-E12,"")</f>
        <v>1.5</v>
      </c>
      <c r="I12" s="29" t="n">
        <v>25</v>
      </c>
      <c r="J12" s="29" t="n">
        <v>35</v>
      </c>
      <c r="K12" s="34" t="str">
        <f aca="false">IF(OR(I12="",J12=""),"",IF(J12&lt;=I12,"OK","HIGH"))</f>
        <v>HIGH</v>
      </c>
      <c r="L12" s="34" t="str">
        <f aca="false">IF(F12="","",IF(AND(ABS(H12)&lt;=0.5,OR(K12="OK",K12="")),"COMPLIANT",IF(AND(ABS(H12)&lt;=1,OR(K12="OK",K12="",K12="HIGH")),"REVIEW","NON-COMPLIANT")))</f>
        <v>NON-COMPLIANT</v>
      </c>
      <c r="M12" s="35" t="s">
        <v>69</v>
      </c>
      <c r="N12" s="29" t="s">
        <v>59</v>
      </c>
      <c r="O12" s="29" t="n">
        <v>60</v>
      </c>
      <c r="P12" s="29"/>
      <c r="Q12" s="29" t="s">
        <v>70</v>
      </c>
    </row>
    <row r="13" customFormat="false" ht="15" hidden="false" customHeight="false" outlineLevel="0" collapsed="false">
      <c r="A13" s="29" t="s">
        <v>71</v>
      </c>
      <c r="B13" s="30" t="n">
        <v>46065</v>
      </c>
      <c r="C13" s="29" t="s">
        <v>57</v>
      </c>
      <c r="D13" s="31" t="n">
        <v>12</v>
      </c>
      <c r="E13" s="32" t="n">
        <v>30.15</v>
      </c>
      <c r="F13" s="31" t="n">
        <v>12.1</v>
      </c>
      <c r="G13" s="32" t="n">
        <v>30.05</v>
      </c>
      <c r="H13" s="33" t="n">
        <f aca="false">IFERROR(G13-E13,"")</f>
        <v>-0.0999999999999979</v>
      </c>
      <c r="I13" s="29" t="n">
        <v>25</v>
      </c>
      <c r="J13" s="29" t="n">
        <v>20</v>
      </c>
      <c r="K13" s="34" t="str">
        <f aca="false">IF(OR(I13="",J13=""),"",IF(J13&lt;=I13,"OK","HIGH"))</f>
        <v>OK</v>
      </c>
      <c r="L13" s="34" t="str">
        <f aca="false">IF(F13="","",IF(AND(ABS(H13)&lt;=0.5,OR(K13="OK",K13="")),"COMPLIANT",IF(AND(ABS(H13)&lt;=1,OR(K13="OK",K13="",K13="HIGH")),"REVIEW","NON-COMPLIANT")))</f>
        <v>COMPLIANT</v>
      </c>
      <c r="M13" s="35" t="s">
        <v>72</v>
      </c>
      <c r="N13" s="29" t="s">
        <v>59</v>
      </c>
      <c r="O13" s="29" t="n">
        <v>60</v>
      </c>
      <c r="P13" s="29"/>
      <c r="Q13" s="29" t="s">
        <v>60</v>
      </c>
    </row>
    <row r="14" customFormat="false" ht="15" hidden="false" customHeight="false" outlineLevel="0" collapsed="false">
      <c r="A14" s="29"/>
      <c r="B14" s="30"/>
      <c r="C14" s="29"/>
      <c r="D14" s="31"/>
      <c r="E14" s="32"/>
      <c r="F14" s="31"/>
      <c r="G14" s="32"/>
      <c r="H14" s="33" t="n">
        <f aca="false">IFERROR(G14-E14,"")</f>
        <v>0</v>
      </c>
      <c r="I14" s="29"/>
      <c r="J14" s="29"/>
      <c r="K14" s="34" t="str">
        <f aca="false">IF(OR(I14="",J14=""),"",IF(J14&lt;=I14,"OK","HIGH"))</f>
        <v/>
      </c>
      <c r="L14" s="34" t="str">
        <f aca="false">IF(F14="","",IF(AND(ABS(H14)&lt;=0.5,OR(K14="OK",K14="")),"COMPLIANT",IF(AND(ABS(H14)&lt;=1,OR(K14="OK",K14="",K14="HIGH")),"REVIEW","NON-COMPLIANT")))</f>
        <v/>
      </c>
      <c r="M14" s="35"/>
      <c r="N14" s="29"/>
      <c r="O14" s="29"/>
      <c r="P14" s="29"/>
      <c r="Q14" s="29"/>
    </row>
    <row r="15" customFormat="false" ht="15" hidden="false" customHeight="false" outlineLevel="0" collapsed="false">
      <c r="A15" s="29"/>
      <c r="B15" s="30"/>
      <c r="C15" s="29"/>
      <c r="D15" s="31"/>
      <c r="E15" s="32"/>
      <c r="F15" s="31"/>
      <c r="G15" s="32"/>
      <c r="H15" s="33" t="n">
        <f aca="false">IFERROR(G15-E15,"")</f>
        <v>0</v>
      </c>
      <c r="I15" s="29"/>
      <c r="J15" s="29"/>
      <c r="K15" s="34" t="str">
        <f aca="false">IF(OR(I15="",J15=""),"",IF(J15&lt;=I15,"OK","HIGH"))</f>
        <v/>
      </c>
      <c r="L15" s="34" t="str">
        <f aca="false">IF(F15="","",IF(AND(ABS(H15)&lt;=0.5,OR(K15="OK",K15="")),"COMPLIANT",IF(AND(ABS(H15)&lt;=1,OR(K15="OK",K15="",K15="HIGH")),"REVIEW","NON-COMPLIANT")))</f>
        <v/>
      </c>
      <c r="M15" s="35"/>
      <c r="N15" s="29"/>
      <c r="O15" s="29"/>
      <c r="P15" s="29"/>
      <c r="Q15" s="29"/>
    </row>
    <row r="16" customFormat="false" ht="15" hidden="false" customHeight="false" outlineLevel="0" collapsed="false">
      <c r="A16" s="29"/>
      <c r="B16" s="30"/>
      <c r="C16" s="29"/>
      <c r="D16" s="31"/>
      <c r="E16" s="32"/>
      <c r="F16" s="31"/>
      <c r="G16" s="32"/>
      <c r="H16" s="33" t="n">
        <f aca="false">IFERROR(G16-E16,"")</f>
        <v>0</v>
      </c>
      <c r="I16" s="29"/>
      <c r="J16" s="29"/>
      <c r="K16" s="34" t="str">
        <f aca="false">IF(OR(I16="",J16=""),"",IF(J16&lt;=I16,"OK","HIGH"))</f>
        <v/>
      </c>
      <c r="L16" s="34" t="str">
        <f aca="false">IF(F16="","",IF(AND(ABS(H16)&lt;=0.5,OR(K16="OK",K16="")),"COMPLIANT",IF(AND(ABS(H16)&lt;=1,OR(K16="OK",K16="",K16="HIGH")),"REVIEW","NON-COMPLIANT")))</f>
        <v/>
      </c>
      <c r="M16" s="35"/>
      <c r="N16" s="29"/>
      <c r="O16" s="29"/>
      <c r="P16" s="29"/>
      <c r="Q16" s="29"/>
    </row>
    <row r="17" customFormat="false" ht="15" hidden="false" customHeight="false" outlineLevel="0" collapsed="false">
      <c r="A17" s="29"/>
      <c r="B17" s="30"/>
      <c r="C17" s="29"/>
      <c r="D17" s="31"/>
      <c r="E17" s="32"/>
      <c r="F17" s="31"/>
      <c r="G17" s="32"/>
      <c r="H17" s="33" t="n">
        <f aca="false">IFERROR(G17-E17,"")</f>
        <v>0</v>
      </c>
      <c r="I17" s="29"/>
      <c r="J17" s="29"/>
      <c r="K17" s="34" t="str">
        <f aca="false">IF(OR(I17="",J17=""),"",IF(J17&lt;=I17,"OK","HIGH"))</f>
        <v/>
      </c>
      <c r="L17" s="34" t="str">
        <f aca="false">IF(F17="","",IF(AND(ABS(H17)&lt;=0.5,OR(K17="OK",K17="")),"COMPLIANT",IF(AND(ABS(H17)&lt;=1,OR(K17="OK",K17="",K17="HIGH")),"REVIEW","NON-COMPLIANT")))</f>
        <v/>
      </c>
      <c r="M17" s="35"/>
      <c r="N17" s="29"/>
      <c r="O17" s="29"/>
      <c r="P17" s="29"/>
      <c r="Q17" s="29"/>
    </row>
    <row r="18" customFormat="false" ht="15" hidden="false" customHeight="false" outlineLevel="0" collapsed="false">
      <c r="A18" s="29"/>
      <c r="B18" s="30"/>
      <c r="C18" s="29"/>
      <c r="D18" s="31"/>
      <c r="E18" s="32"/>
      <c r="F18" s="31"/>
      <c r="G18" s="32"/>
      <c r="H18" s="33" t="n">
        <f aca="false">IFERROR(G18-E18,"")</f>
        <v>0</v>
      </c>
      <c r="I18" s="29"/>
      <c r="J18" s="29"/>
      <c r="K18" s="34" t="str">
        <f aca="false">IF(OR(I18="",J18=""),"",IF(J18&lt;=I18,"OK","HIGH"))</f>
        <v/>
      </c>
      <c r="L18" s="34" t="str">
        <f aca="false">IF(F18="","",IF(AND(ABS(H18)&lt;=0.5,OR(K18="OK",K18="")),"COMPLIANT",IF(AND(ABS(H18)&lt;=1,OR(K18="OK",K18="",K18="HIGH")),"REVIEW","NON-COMPLIANT")))</f>
        <v/>
      </c>
      <c r="M18" s="35"/>
      <c r="N18" s="29"/>
      <c r="O18" s="29"/>
      <c r="P18" s="29"/>
      <c r="Q18" s="29"/>
    </row>
    <row r="19" customFormat="false" ht="15" hidden="false" customHeight="false" outlineLevel="0" collapsed="false">
      <c r="A19" s="29"/>
      <c r="B19" s="30"/>
      <c r="C19" s="29"/>
      <c r="D19" s="31"/>
      <c r="E19" s="32"/>
      <c r="F19" s="31"/>
      <c r="G19" s="32"/>
      <c r="H19" s="33" t="n">
        <f aca="false">IFERROR(G19-E19,"")</f>
        <v>0</v>
      </c>
      <c r="I19" s="29"/>
      <c r="J19" s="29"/>
      <c r="K19" s="34" t="str">
        <f aca="false">IF(OR(I19="",J19=""),"",IF(J19&lt;=I19,"OK","HIGH"))</f>
        <v/>
      </c>
      <c r="L19" s="34" t="str">
        <f aca="false">IF(F19="","",IF(AND(ABS(H19)&lt;=0.5,OR(K19="OK",K19="")),"COMPLIANT",IF(AND(ABS(H19)&lt;=1,OR(K19="OK",K19="",K19="HIGH")),"REVIEW","NON-COMPLIANT")))</f>
        <v/>
      </c>
      <c r="M19" s="35"/>
      <c r="N19" s="29"/>
      <c r="O19" s="29"/>
      <c r="P19" s="29"/>
      <c r="Q19" s="29"/>
    </row>
    <row r="20" customFormat="false" ht="15" hidden="false" customHeight="false" outlineLevel="0" collapsed="false">
      <c r="A20" s="29"/>
      <c r="B20" s="30"/>
      <c r="C20" s="29"/>
      <c r="D20" s="31"/>
      <c r="E20" s="32"/>
      <c r="F20" s="31"/>
      <c r="G20" s="32"/>
      <c r="H20" s="33" t="n">
        <f aca="false">IFERROR(G20-E20,"")</f>
        <v>0</v>
      </c>
      <c r="I20" s="29"/>
      <c r="J20" s="29"/>
      <c r="K20" s="34" t="str">
        <f aca="false">IF(OR(I20="",J20=""),"",IF(J20&lt;=I20,"OK","HIGH"))</f>
        <v/>
      </c>
      <c r="L20" s="34" t="str">
        <f aca="false">IF(F20="","",IF(AND(ABS(H20)&lt;=0.5,OR(K20="OK",K20="")),"COMPLIANT",IF(AND(ABS(H20)&lt;=1,OR(K20="OK",K20="",K20="HIGH")),"REVIEW","NON-COMPLIANT")))</f>
        <v/>
      </c>
      <c r="M20" s="35"/>
      <c r="N20" s="29"/>
      <c r="O20" s="29"/>
      <c r="P20" s="29"/>
      <c r="Q20" s="29"/>
    </row>
    <row r="21" customFormat="false" ht="15" hidden="false" customHeight="false" outlineLevel="0" collapsed="false">
      <c r="A21" s="29"/>
      <c r="B21" s="30"/>
      <c r="C21" s="29"/>
      <c r="D21" s="31"/>
      <c r="E21" s="32"/>
      <c r="F21" s="31"/>
      <c r="G21" s="32"/>
      <c r="H21" s="33" t="n">
        <f aca="false">IFERROR(G21-E21,"")</f>
        <v>0</v>
      </c>
      <c r="I21" s="29"/>
      <c r="J21" s="29"/>
      <c r="K21" s="34" t="str">
        <f aca="false">IF(OR(I21="",J21=""),"",IF(J21&lt;=I21,"OK","HIGH"))</f>
        <v/>
      </c>
      <c r="L21" s="34" t="str">
        <f aca="false">IF(F21="","",IF(AND(ABS(H21)&lt;=0.5,OR(K21="OK",K21="")),"COMPLIANT",IF(AND(ABS(H21)&lt;=1,OR(K21="OK",K21="",K21="HIGH")),"REVIEW","NON-COMPLIANT")))</f>
        <v/>
      </c>
      <c r="M21" s="35"/>
      <c r="N21" s="29"/>
      <c r="O21" s="29"/>
      <c r="P21" s="29"/>
      <c r="Q21" s="29"/>
    </row>
    <row r="22" customFormat="false" ht="15" hidden="false" customHeight="false" outlineLevel="0" collapsed="false">
      <c r="A22" s="29"/>
      <c r="B22" s="30"/>
      <c r="C22" s="29"/>
      <c r="D22" s="31"/>
      <c r="E22" s="32"/>
      <c r="F22" s="31"/>
      <c r="G22" s="32"/>
      <c r="H22" s="33" t="n">
        <f aca="false">IFERROR(G22-E22,"")</f>
        <v>0</v>
      </c>
      <c r="I22" s="29"/>
      <c r="J22" s="29"/>
      <c r="K22" s="34" t="str">
        <f aca="false">IF(OR(I22="",J22=""),"",IF(J22&lt;=I22,"OK","HIGH"))</f>
        <v/>
      </c>
      <c r="L22" s="34" t="str">
        <f aca="false">IF(F22="","",IF(AND(ABS(H22)&lt;=0.5,OR(K22="OK",K22="")),"COMPLIANT",IF(AND(ABS(H22)&lt;=1,OR(K22="OK",K22="",K22="HIGH")),"REVIEW","NON-COMPLIANT")))</f>
        <v/>
      </c>
      <c r="M22" s="35"/>
      <c r="N22" s="29"/>
      <c r="O22" s="29"/>
      <c r="P22" s="29"/>
      <c r="Q22" s="29"/>
    </row>
    <row r="23" customFormat="false" ht="15" hidden="false" customHeight="false" outlineLevel="0" collapsed="false">
      <c r="A23" s="29"/>
      <c r="B23" s="30"/>
      <c r="C23" s="29"/>
      <c r="D23" s="31"/>
      <c r="E23" s="32"/>
      <c r="F23" s="31"/>
      <c r="G23" s="32"/>
      <c r="H23" s="33" t="n">
        <f aca="false">IFERROR(G23-E23,"")</f>
        <v>0</v>
      </c>
      <c r="I23" s="29"/>
      <c r="J23" s="29"/>
      <c r="K23" s="34" t="str">
        <f aca="false">IF(OR(I23="",J23=""),"",IF(J23&lt;=I23,"OK","HIGH"))</f>
        <v/>
      </c>
      <c r="L23" s="34" t="str">
        <f aca="false">IF(F23="","",IF(AND(ABS(H23)&lt;=0.5,OR(K23="OK",K23="")),"COMPLIANT",IF(AND(ABS(H23)&lt;=1,OR(K23="OK",K23="",K23="HIGH")),"REVIEW","NON-COMPLIANT")))</f>
        <v/>
      </c>
      <c r="M23" s="35"/>
      <c r="N23" s="29"/>
      <c r="O23" s="29"/>
      <c r="P23" s="29"/>
      <c r="Q23" s="29"/>
    </row>
    <row r="24" customFormat="false" ht="15" hidden="false" customHeight="false" outlineLevel="0" collapsed="false">
      <c r="A24" s="29"/>
      <c r="B24" s="30"/>
      <c r="C24" s="29"/>
      <c r="D24" s="31"/>
      <c r="E24" s="32"/>
      <c r="F24" s="31"/>
      <c r="G24" s="32"/>
      <c r="H24" s="33" t="n">
        <f aca="false">IFERROR(G24-E24,"")</f>
        <v>0</v>
      </c>
      <c r="I24" s="29"/>
      <c r="J24" s="29"/>
      <c r="K24" s="34" t="str">
        <f aca="false">IF(OR(I24="",J24=""),"",IF(J24&lt;=I24,"OK","HIGH"))</f>
        <v/>
      </c>
      <c r="L24" s="34" t="str">
        <f aca="false">IF(F24="","",IF(AND(ABS(H24)&lt;=0.5,OR(K24="OK",K24="")),"COMPLIANT",IF(AND(ABS(H24)&lt;=1,OR(K24="OK",K24="",K24="HIGH")),"REVIEW","NON-COMPLIANT")))</f>
        <v/>
      </c>
      <c r="M24" s="35"/>
      <c r="N24" s="29"/>
      <c r="O24" s="29"/>
      <c r="P24" s="29"/>
      <c r="Q24" s="29"/>
    </row>
    <row r="25" customFormat="false" ht="15" hidden="false" customHeight="false" outlineLevel="0" collapsed="false">
      <c r="A25" s="29"/>
      <c r="B25" s="30"/>
      <c r="C25" s="29"/>
      <c r="D25" s="31"/>
      <c r="E25" s="32"/>
      <c r="F25" s="31"/>
      <c r="G25" s="32"/>
      <c r="H25" s="33" t="n">
        <f aca="false">IFERROR(G25-E25,"")</f>
        <v>0</v>
      </c>
      <c r="I25" s="29"/>
      <c r="J25" s="29"/>
      <c r="K25" s="34" t="str">
        <f aca="false">IF(OR(I25="",J25=""),"",IF(J25&lt;=I25,"OK","HIGH"))</f>
        <v/>
      </c>
      <c r="L25" s="34" t="str">
        <f aca="false">IF(F25="","",IF(AND(ABS(H25)&lt;=0.5,OR(K25="OK",K25="")),"COMPLIANT",IF(AND(ABS(H25)&lt;=1,OR(K25="OK",K25="",K25="HIGH")),"REVIEW","NON-COMPLIANT")))</f>
        <v/>
      </c>
      <c r="M25" s="35"/>
      <c r="N25" s="29"/>
      <c r="O25" s="29"/>
      <c r="P25" s="29"/>
      <c r="Q25" s="29"/>
    </row>
    <row r="26" customFormat="false" ht="15" hidden="false" customHeight="false" outlineLevel="0" collapsed="false">
      <c r="A26" s="29"/>
      <c r="B26" s="30"/>
      <c r="C26" s="29"/>
      <c r="D26" s="31"/>
      <c r="E26" s="32"/>
      <c r="F26" s="31"/>
      <c r="G26" s="32"/>
      <c r="H26" s="33" t="n">
        <f aca="false">IFERROR(G26-E26,"")</f>
        <v>0</v>
      </c>
      <c r="I26" s="29"/>
      <c r="J26" s="29"/>
      <c r="K26" s="34" t="str">
        <f aca="false">IF(OR(I26="",J26=""),"",IF(J26&lt;=I26,"OK","HIGH"))</f>
        <v/>
      </c>
      <c r="L26" s="34" t="str">
        <f aca="false">IF(F26="","",IF(AND(ABS(H26)&lt;=0.5,OR(K26="OK",K26="")),"COMPLIANT",IF(AND(ABS(H26)&lt;=1,OR(K26="OK",K26="",K26="HIGH")),"REVIEW","NON-COMPLIANT")))</f>
        <v/>
      </c>
      <c r="M26" s="35"/>
      <c r="N26" s="29"/>
      <c r="O26" s="29"/>
      <c r="P26" s="29"/>
      <c r="Q26" s="29"/>
    </row>
    <row r="27" customFormat="false" ht="15" hidden="false" customHeight="false" outlineLevel="0" collapsed="false">
      <c r="A27" s="29"/>
      <c r="B27" s="30"/>
      <c r="C27" s="29"/>
      <c r="D27" s="31"/>
      <c r="E27" s="32"/>
      <c r="F27" s="31"/>
      <c r="G27" s="32"/>
      <c r="H27" s="33" t="n">
        <f aca="false">IFERROR(G27-E27,"")</f>
        <v>0</v>
      </c>
      <c r="I27" s="29"/>
      <c r="J27" s="29"/>
      <c r="K27" s="34" t="str">
        <f aca="false">IF(OR(I27="",J27=""),"",IF(J27&lt;=I27,"OK","HIGH"))</f>
        <v/>
      </c>
      <c r="L27" s="34" t="str">
        <f aca="false">IF(F27="","",IF(AND(ABS(H27)&lt;=0.5,OR(K27="OK",K27="")),"COMPLIANT",IF(AND(ABS(H27)&lt;=1,OR(K27="OK",K27="",K27="HIGH")),"REVIEW","NON-COMPLIANT")))</f>
        <v/>
      </c>
      <c r="M27" s="35"/>
      <c r="N27" s="29"/>
      <c r="O27" s="29"/>
      <c r="P27" s="29"/>
      <c r="Q27" s="29"/>
    </row>
    <row r="28" customFormat="false" ht="15" hidden="false" customHeight="false" outlineLevel="0" collapsed="false">
      <c r="A28" s="29"/>
      <c r="B28" s="30"/>
      <c r="C28" s="29"/>
      <c r="D28" s="31"/>
      <c r="E28" s="32"/>
      <c r="F28" s="31"/>
      <c r="G28" s="32"/>
      <c r="H28" s="33" t="n">
        <f aca="false">IFERROR(G28-E28,"")</f>
        <v>0</v>
      </c>
      <c r="I28" s="29"/>
      <c r="J28" s="29"/>
      <c r="K28" s="34" t="str">
        <f aca="false">IF(OR(I28="",J28=""),"",IF(J28&lt;=I28,"OK","HIGH"))</f>
        <v/>
      </c>
      <c r="L28" s="34" t="str">
        <f aca="false">IF(F28="","",IF(AND(ABS(H28)&lt;=0.5,OR(K28="OK",K28="")),"COMPLIANT",IF(AND(ABS(H28)&lt;=1,OR(K28="OK",K28="",K28="HIGH")),"REVIEW","NON-COMPLIANT")))</f>
        <v/>
      </c>
      <c r="M28" s="35"/>
      <c r="N28" s="29"/>
      <c r="O28" s="29"/>
      <c r="P28" s="29"/>
      <c r="Q28" s="29"/>
    </row>
    <row r="29" customFormat="false" ht="15" hidden="false" customHeight="false" outlineLevel="0" collapsed="false">
      <c r="A29" s="29"/>
      <c r="B29" s="30"/>
      <c r="C29" s="29"/>
      <c r="D29" s="31"/>
      <c r="E29" s="32"/>
      <c r="F29" s="31"/>
      <c r="G29" s="32"/>
      <c r="H29" s="33" t="n">
        <f aca="false">IFERROR(G29-E29,"")</f>
        <v>0</v>
      </c>
      <c r="I29" s="29"/>
      <c r="J29" s="29"/>
      <c r="K29" s="34" t="str">
        <f aca="false">IF(OR(I29="",J29=""),"",IF(J29&lt;=I29,"OK","HIGH"))</f>
        <v/>
      </c>
      <c r="L29" s="34" t="str">
        <f aca="false">IF(F29="","",IF(AND(ABS(H29)&lt;=0.5,OR(K29="OK",K29="")),"COMPLIANT",IF(AND(ABS(H29)&lt;=1,OR(K29="OK",K29="",K29="HIGH")),"REVIEW","NON-COMPLIANT")))</f>
        <v/>
      </c>
      <c r="M29" s="35"/>
      <c r="N29" s="29"/>
      <c r="O29" s="29"/>
      <c r="P29" s="29"/>
      <c r="Q29" s="29"/>
    </row>
    <row r="30" customFormat="false" ht="15" hidden="false" customHeight="false" outlineLevel="0" collapsed="false">
      <c r="A30" s="29"/>
      <c r="B30" s="30"/>
      <c r="C30" s="29"/>
      <c r="D30" s="31"/>
      <c r="E30" s="32"/>
      <c r="F30" s="31"/>
      <c r="G30" s="32"/>
      <c r="H30" s="33" t="n">
        <f aca="false">IFERROR(G30-E30,"")</f>
        <v>0</v>
      </c>
      <c r="I30" s="29"/>
      <c r="J30" s="29"/>
      <c r="K30" s="34" t="str">
        <f aca="false">IF(OR(I30="",J30=""),"",IF(J30&lt;=I30,"OK","HIGH"))</f>
        <v/>
      </c>
      <c r="L30" s="34" t="str">
        <f aca="false">IF(F30="","",IF(AND(ABS(H30)&lt;=0.5,OR(K30="OK",K30="")),"COMPLIANT",IF(AND(ABS(H30)&lt;=1,OR(K30="OK",K30="",K30="HIGH")),"REVIEW","NON-COMPLIANT")))</f>
        <v/>
      </c>
      <c r="M30" s="35"/>
      <c r="N30" s="29"/>
      <c r="O30" s="29"/>
      <c r="P30" s="29"/>
      <c r="Q30" s="29"/>
    </row>
    <row r="31" customFormat="false" ht="15" hidden="false" customHeight="false" outlineLevel="0" collapsed="false">
      <c r="A31" s="29"/>
      <c r="B31" s="30"/>
      <c r="C31" s="29"/>
      <c r="D31" s="31"/>
      <c r="E31" s="32"/>
      <c r="F31" s="31"/>
      <c r="G31" s="32"/>
      <c r="H31" s="33" t="n">
        <f aca="false">IFERROR(G31-E31,"")</f>
        <v>0</v>
      </c>
      <c r="I31" s="29"/>
      <c r="J31" s="29"/>
      <c r="K31" s="34" t="str">
        <f aca="false">IF(OR(I31="",J31=""),"",IF(J31&lt;=I31,"OK","HIGH"))</f>
        <v/>
      </c>
      <c r="L31" s="34" t="str">
        <f aca="false">IF(F31="","",IF(AND(ABS(H31)&lt;=0.5,OR(K31="OK",K31="")),"COMPLIANT",IF(AND(ABS(H31)&lt;=1,OR(K31="OK",K31="",K31="HIGH")),"REVIEW","NON-COMPLIANT")))</f>
        <v/>
      </c>
      <c r="M31" s="35"/>
      <c r="N31" s="29"/>
      <c r="O31" s="29"/>
      <c r="P31" s="29"/>
      <c r="Q31" s="29"/>
    </row>
    <row r="32" customFormat="false" ht="15" hidden="false" customHeight="false" outlineLevel="0" collapsed="false">
      <c r="A32" s="29"/>
      <c r="B32" s="30"/>
      <c r="C32" s="29"/>
      <c r="D32" s="31"/>
      <c r="E32" s="32"/>
      <c r="F32" s="31"/>
      <c r="G32" s="32"/>
      <c r="H32" s="33" t="n">
        <f aca="false">IFERROR(G32-E32,"")</f>
        <v>0</v>
      </c>
      <c r="I32" s="29"/>
      <c r="J32" s="29"/>
      <c r="K32" s="34" t="str">
        <f aca="false">IF(OR(I32="",J32=""),"",IF(J32&lt;=I32,"OK","HIGH"))</f>
        <v/>
      </c>
      <c r="L32" s="34" t="str">
        <f aca="false">IF(F32="","",IF(AND(ABS(H32)&lt;=0.5,OR(K32="OK",K32="")),"COMPLIANT",IF(AND(ABS(H32)&lt;=1,OR(K32="OK",K32="",K32="HIGH")),"REVIEW","NON-COMPLIANT")))</f>
        <v/>
      </c>
      <c r="M32" s="35"/>
      <c r="N32" s="29"/>
      <c r="O32" s="29"/>
      <c r="P32" s="29"/>
      <c r="Q32" s="29"/>
    </row>
    <row r="33" customFormat="false" ht="15" hidden="false" customHeight="false" outlineLevel="0" collapsed="false">
      <c r="A33" s="29"/>
      <c r="B33" s="30"/>
      <c r="C33" s="29"/>
      <c r="D33" s="31"/>
      <c r="E33" s="32"/>
      <c r="F33" s="31"/>
      <c r="G33" s="32"/>
      <c r="H33" s="33" t="n">
        <f aca="false">IFERROR(G33-E33,"")</f>
        <v>0</v>
      </c>
      <c r="I33" s="29"/>
      <c r="J33" s="29"/>
      <c r="K33" s="34" t="str">
        <f aca="false">IF(OR(I33="",J33=""),"",IF(J33&lt;=I33,"OK","HIGH"))</f>
        <v/>
      </c>
      <c r="L33" s="34" t="str">
        <f aca="false">IF(F33="","",IF(AND(ABS(H33)&lt;=0.5,OR(K33="OK",K33="")),"COMPLIANT",IF(AND(ABS(H33)&lt;=1,OR(K33="OK",K33="",K33="HIGH")),"REVIEW","NON-COMPLIANT")))</f>
        <v/>
      </c>
      <c r="M33" s="35"/>
      <c r="N33" s="29"/>
      <c r="O33" s="29"/>
      <c r="P33" s="29"/>
      <c r="Q33" s="29"/>
    </row>
    <row r="34" customFormat="false" ht="15" hidden="false" customHeight="false" outlineLevel="0" collapsed="false">
      <c r="A34" s="29"/>
      <c r="B34" s="30"/>
      <c r="C34" s="29"/>
      <c r="D34" s="31"/>
      <c r="E34" s="32"/>
      <c r="F34" s="31"/>
      <c r="G34" s="32"/>
      <c r="H34" s="33" t="n">
        <f aca="false">IFERROR(G34-E34,"")</f>
        <v>0</v>
      </c>
      <c r="I34" s="29"/>
      <c r="J34" s="29"/>
      <c r="K34" s="34" t="str">
        <f aca="false">IF(OR(I34="",J34=""),"",IF(J34&lt;=I34,"OK","HIGH"))</f>
        <v/>
      </c>
      <c r="L34" s="34" t="str">
        <f aca="false">IF(F34="","",IF(AND(ABS(H34)&lt;=0.5,OR(K34="OK",K34="")),"COMPLIANT",IF(AND(ABS(H34)&lt;=1,OR(K34="OK",K34="",K34="HIGH")),"REVIEW","NON-COMPLIANT")))</f>
        <v/>
      </c>
      <c r="M34" s="35"/>
      <c r="N34" s="29"/>
      <c r="O34" s="29"/>
      <c r="P34" s="29"/>
      <c r="Q34" s="29"/>
    </row>
    <row r="35" customFormat="false" ht="15" hidden="false" customHeight="false" outlineLevel="0" collapsed="false">
      <c r="A35" s="29"/>
      <c r="B35" s="30"/>
      <c r="C35" s="29"/>
      <c r="D35" s="31"/>
      <c r="E35" s="32"/>
      <c r="F35" s="31"/>
      <c r="G35" s="32"/>
      <c r="H35" s="33" t="n">
        <f aca="false">IFERROR(G35-E35,"")</f>
        <v>0</v>
      </c>
      <c r="I35" s="29"/>
      <c r="J35" s="29"/>
      <c r="K35" s="34" t="str">
        <f aca="false">IF(OR(I35="",J35=""),"",IF(J35&lt;=I35,"OK","HIGH"))</f>
        <v/>
      </c>
      <c r="L35" s="34" t="str">
        <f aca="false">IF(F35="","",IF(AND(ABS(H35)&lt;=0.5,OR(K35="OK",K35="")),"COMPLIANT",IF(AND(ABS(H35)&lt;=1,OR(K35="OK",K35="",K35="HIGH")),"REVIEW","NON-COMPLIANT")))</f>
        <v/>
      </c>
      <c r="M35" s="35"/>
      <c r="N35" s="29"/>
      <c r="O35" s="29"/>
      <c r="P35" s="29"/>
      <c r="Q35" s="29"/>
    </row>
    <row r="36" customFormat="false" ht="15" hidden="false" customHeight="false" outlineLevel="0" collapsed="false">
      <c r="A36" s="29"/>
      <c r="B36" s="30"/>
      <c r="C36" s="29"/>
      <c r="D36" s="31"/>
      <c r="E36" s="32"/>
      <c r="F36" s="31"/>
      <c r="G36" s="32"/>
      <c r="H36" s="33" t="n">
        <f aca="false">IFERROR(G36-E36,"")</f>
        <v>0</v>
      </c>
      <c r="I36" s="29"/>
      <c r="J36" s="29"/>
      <c r="K36" s="34" t="str">
        <f aca="false">IF(OR(I36="",J36=""),"",IF(J36&lt;=I36,"OK","HIGH"))</f>
        <v/>
      </c>
      <c r="L36" s="34" t="str">
        <f aca="false">IF(F36="","",IF(AND(ABS(H36)&lt;=0.5,OR(K36="OK",K36="")),"COMPLIANT",IF(AND(ABS(H36)&lt;=1,OR(K36="OK",K36="",K36="HIGH")),"REVIEW","NON-COMPLIANT")))</f>
        <v/>
      </c>
      <c r="M36" s="35"/>
      <c r="N36" s="29"/>
      <c r="O36" s="29"/>
      <c r="P36" s="29"/>
      <c r="Q36" s="29"/>
    </row>
    <row r="37" customFormat="false" ht="15" hidden="false" customHeight="false" outlineLevel="0" collapsed="false">
      <c r="A37" s="29"/>
      <c r="B37" s="30"/>
      <c r="C37" s="29"/>
      <c r="D37" s="31"/>
      <c r="E37" s="32"/>
      <c r="F37" s="31"/>
      <c r="G37" s="32"/>
      <c r="H37" s="33" t="n">
        <f aca="false">IFERROR(G37-E37,"")</f>
        <v>0</v>
      </c>
      <c r="I37" s="29"/>
      <c r="J37" s="29"/>
      <c r="K37" s="34" t="str">
        <f aca="false">IF(OR(I37="",J37=""),"",IF(J37&lt;=I37,"OK","HIGH"))</f>
        <v/>
      </c>
      <c r="L37" s="34" t="str">
        <f aca="false">IF(F37="","",IF(AND(ABS(H37)&lt;=0.5,OR(K37="OK",K37="")),"COMPLIANT",IF(AND(ABS(H37)&lt;=1,OR(K37="OK",K37="",K37="HIGH")),"REVIEW","NON-COMPLIANT")))</f>
        <v/>
      </c>
      <c r="M37" s="35"/>
      <c r="N37" s="29"/>
      <c r="O37" s="29"/>
      <c r="P37" s="29"/>
      <c r="Q37" s="29"/>
    </row>
    <row r="38" customFormat="false" ht="15" hidden="false" customHeight="false" outlineLevel="0" collapsed="false">
      <c r="A38" s="29"/>
      <c r="B38" s="30"/>
      <c r="C38" s="29"/>
      <c r="D38" s="31"/>
      <c r="E38" s="32"/>
      <c r="F38" s="31"/>
      <c r="G38" s="32"/>
      <c r="H38" s="33" t="n">
        <f aca="false">IFERROR(G38-E38,"")</f>
        <v>0</v>
      </c>
      <c r="I38" s="29"/>
      <c r="J38" s="29"/>
      <c r="K38" s="34" t="str">
        <f aca="false">IF(OR(I38="",J38=""),"",IF(J38&lt;=I38,"OK","HIGH"))</f>
        <v/>
      </c>
      <c r="L38" s="34" t="str">
        <f aca="false">IF(F38="","",IF(AND(ABS(H38)&lt;=0.5,OR(K38="OK",K38="")),"COMPLIANT",IF(AND(ABS(H38)&lt;=1,OR(K38="OK",K38="",K38="HIGH")),"REVIEW","NON-COMPLIANT")))</f>
        <v/>
      </c>
      <c r="M38" s="35"/>
      <c r="N38" s="29"/>
      <c r="O38" s="29"/>
      <c r="P38" s="29"/>
      <c r="Q38" s="29"/>
    </row>
    <row r="39" customFormat="false" ht="15" hidden="false" customHeight="false" outlineLevel="0" collapsed="false">
      <c r="A39" s="29"/>
      <c r="B39" s="30"/>
      <c r="C39" s="29"/>
      <c r="D39" s="31"/>
      <c r="E39" s="32"/>
      <c r="F39" s="31"/>
      <c r="G39" s="32"/>
      <c r="H39" s="33" t="n">
        <f aca="false">IFERROR(G39-E39,"")</f>
        <v>0</v>
      </c>
      <c r="I39" s="29"/>
      <c r="J39" s="29"/>
      <c r="K39" s="34" t="str">
        <f aca="false">IF(OR(I39="",J39=""),"",IF(J39&lt;=I39,"OK","HIGH"))</f>
        <v/>
      </c>
      <c r="L39" s="34" t="str">
        <f aca="false">IF(F39="","",IF(AND(ABS(H39)&lt;=0.5,OR(K39="OK",K39="")),"COMPLIANT",IF(AND(ABS(H39)&lt;=1,OR(K39="OK",K39="",K39="HIGH")),"REVIEW","NON-COMPLIANT")))</f>
        <v/>
      </c>
      <c r="M39" s="35"/>
      <c r="N39" s="29"/>
      <c r="O39" s="29"/>
      <c r="P39" s="29"/>
      <c r="Q39" s="29"/>
    </row>
    <row r="40" customFormat="false" ht="15" hidden="false" customHeight="false" outlineLevel="0" collapsed="false">
      <c r="A40" s="29"/>
      <c r="B40" s="30"/>
      <c r="C40" s="29"/>
      <c r="D40" s="31"/>
      <c r="E40" s="32"/>
      <c r="F40" s="31"/>
      <c r="G40" s="32"/>
      <c r="H40" s="33" t="n">
        <f aca="false">IFERROR(G40-E40,"")</f>
        <v>0</v>
      </c>
      <c r="I40" s="29"/>
      <c r="J40" s="29"/>
      <c r="K40" s="34" t="str">
        <f aca="false">IF(OR(I40="",J40=""),"",IF(J40&lt;=I40,"OK","HIGH"))</f>
        <v/>
      </c>
      <c r="L40" s="34" t="str">
        <f aca="false">IF(F40="","",IF(AND(ABS(H40)&lt;=0.5,OR(K40="OK",K40="")),"COMPLIANT",IF(AND(ABS(H40)&lt;=1,OR(K40="OK",K40="",K40="HIGH")),"REVIEW","NON-COMPLIANT")))</f>
        <v/>
      </c>
      <c r="M40" s="35"/>
      <c r="N40" s="29"/>
      <c r="O40" s="29"/>
      <c r="P40" s="29"/>
      <c r="Q40" s="29"/>
    </row>
    <row r="41" customFormat="false" ht="15" hidden="false" customHeight="false" outlineLevel="0" collapsed="false">
      <c r="A41" s="29"/>
      <c r="B41" s="30"/>
      <c r="C41" s="29"/>
      <c r="D41" s="31"/>
      <c r="E41" s="32"/>
      <c r="F41" s="31"/>
      <c r="G41" s="32"/>
      <c r="H41" s="33" t="n">
        <f aca="false">IFERROR(G41-E41,"")</f>
        <v>0</v>
      </c>
      <c r="I41" s="29"/>
      <c r="J41" s="29"/>
      <c r="K41" s="34" t="str">
        <f aca="false">IF(OR(I41="",J41=""),"",IF(J41&lt;=I41,"OK","HIGH"))</f>
        <v/>
      </c>
      <c r="L41" s="34" t="str">
        <f aca="false">IF(F41="","",IF(AND(ABS(H41)&lt;=0.5,OR(K41="OK",K41="")),"COMPLIANT",IF(AND(ABS(H41)&lt;=1,OR(K41="OK",K41="",K41="HIGH")),"REVIEW","NON-COMPLIANT")))</f>
        <v/>
      </c>
      <c r="M41" s="35"/>
      <c r="N41" s="29"/>
      <c r="O41" s="29"/>
      <c r="P41" s="29"/>
      <c r="Q41" s="29"/>
    </row>
    <row r="42" customFormat="false" ht="15" hidden="false" customHeight="false" outlineLevel="0" collapsed="false">
      <c r="A42" s="29"/>
      <c r="B42" s="30"/>
      <c r="C42" s="29"/>
      <c r="D42" s="31"/>
      <c r="E42" s="32"/>
      <c r="F42" s="31"/>
      <c r="G42" s="32"/>
      <c r="H42" s="33" t="n">
        <f aca="false">IFERROR(G42-E42,"")</f>
        <v>0</v>
      </c>
      <c r="I42" s="29"/>
      <c r="J42" s="29"/>
      <c r="K42" s="34" t="str">
        <f aca="false">IF(OR(I42="",J42=""),"",IF(J42&lt;=I42,"OK","HIGH"))</f>
        <v/>
      </c>
      <c r="L42" s="34" t="str">
        <f aca="false">IF(F42="","",IF(AND(ABS(H42)&lt;=0.5,OR(K42="OK",K42="")),"COMPLIANT",IF(AND(ABS(H42)&lt;=1,OR(K42="OK",K42="",K42="HIGH")),"REVIEW","NON-COMPLIANT")))</f>
        <v/>
      </c>
      <c r="M42" s="35"/>
      <c r="N42" s="29"/>
      <c r="O42" s="29"/>
      <c r="P42" s="29"/>
      <c r="Q42" s="29"/>
    </row>
    <row r="43" customFormat="false" ht="15" hidden="false" customHeight="false" outlineLevel="0" collapsed="false">
      <c r="A43" s="29"/>
      <c r="B43" s="30"/>
      <c r="C43" s="29"/>
      <c r="D43" s="31"/>
      <c r="E43" s="32"/>
      <c r="F43" s="31"/>
      <c r="G43" s="32"/>
      <c r="H43" s="33" t="n">
        <f aca="false">IFERROR(G43-E43,"")</f>
        <v>0</v>
      </c>
      <c r="I43" s="29"/>
      <c r="J43" s="29"/>
      <c r="K43" s="34" t="str">
        <f aca="false">IF(OR(I43="",J43=""),"",IF(J43&lt;=I43,"OK","HIGH"))</f>
        <v/>
      </c>
      <c r="L43" s="34" t="str">
        <f aca="false">IF(F43="","",IF(AND(ABS(H43)&lt;=0.5,OR(K43="OK",K43="")),"COMPLIANT",IF(AND(ABS(H43)&lt;=1,OR(K43="OK",K43="",K43="HIGH")),"REVIEW","NON-COMPLIANT")))</f>
        <v/>
      </c>
      <c r="M43" s="35"/>
      <c r="N43" s="29"/>
      <c r="O43" s="29"/>
      <c r="P43" s="29"/>
      <c r="Q43" s="29"/>
    </row>
    <row r="44" customFormat="false" ht="15" hidden="false" customHeight="false" outlineLevel="0" collapsed="false">
      <c r="A44" s="29"/>
      <c r="B44" s="30"/>
      <c r="C44" s="29"/>
      <c r="D44" s="31"/>
      <c r="E44" s="32"/>
      <c r="F44" s="31"/>
      <c r="G44" s="32"/>
      <c r="H44" s="33" t="n">
        <f aca="false">IFERROR(G44-E44,"")</f>
        <v>0</v>
      </c>
      <c r="I44" s="29"/>
      <c r="J44" s="29"/>
      <c r="K44" s="34" t="str">
        <f aca="false">IF(OR(I44="",J44=""),"",IF(J44&lt;=I44,"OK","HIGH"))</f>
        <v/>
      </c>
      <c r="L44" s="34" t="str">
        <f aca="false">IF(F44="","",IF(AND(ABS(H44)&lt;=0.5,OR(K44="OK",K44="")),"COMPLIANT",IF(AND(ABS(H44)&lt;=1,OR(K44="OK",K44="",K44="HIGH")),"REVIEW","NON-COMPLIANT")))</f>
        <v/>
      </c>
      <c r="M44" s="35"/>
      <c r="N44" s="29"/>
      <c r="O44" s="29"/>
      <c r="P44" s="29"/>
      <c r="Q44" s="29"/>
    </row>
    <row r="45" customFormat="false" ht="15" hidden="false" customHeight="false" outlineLevel="0" collapsed="false">
      <c r="A45" s="29"/>
      <c r="B45" s="30"/>
      <c r="C45" s="29"/>
      <c r="D45" s="31"/>
      <c r="E45" s="32"/>
      <c r="F45" s="31"/>
      <c r="G45" s="32"/>
      <c r="H45" s="33" t="n">
        <f aca="false">IFERROR(G45-E45,"")</f>
        <v>0</v>
      </c>
      <c r="I45" s="29"/>
      <c r="J45" s="29"/>
      <c r="K45" s="34" t="str">
        <f aca="false">IF(OR(I45="",J45=""),"",IF(J45&lt;=I45,"OK","HIGH"))</f>
        <v/>
      </c>
      <c r="L45" s="34" t="str">
        <f aca="false">IF(F45="","",IF(AND(ABS(H45)&lt;=0.5,OR(K45="OK",K45="")),"COMPLIANT",IF(AND(ABS(H45)&lt;=1,OR(K45="OK",K45="",K45="HIGH")),"REVIEW","NON-COMPLIANT")))</f>
        <v/>
      </c>
      <c r="M45" s="35"/>
      <c r="N45" s="29"/>
      <c r="O45" s="29"/>
      <c r="P45" s="29"/>
      <c r="Q45" s="29"/>
    </row>
    <row r="46" customFormat="false" ht="15" hidden="false" customHeight="false" outlineLevel="0" collapsed="false">
      <c r="A46" s="29"/>
      <c r="B46" s="30"/>
      <c r="C46" s="29"/>
      <c r="D46" s="31"/>
      <c r="E46" s="32"/>
      <c r="F46" s="31"/>
      <c r="G46" s="32"/>
      <c r="H46" s="33" t="n">
        <f aca="false">IFERROR(G46-E46,"")</f>
        <v>0</v>
      </c>
      <c r="I46" s="29"/>
      <c r="J46" s="29"/>
      <c r="K46" s="34" t="str">
        <f aca="false">IF(OR(I46="",J46=""),"",IF(J46&lt;=I46,"OK","HIGH"))</f>
        <v/>
      </c>
      <c r="L46" s="34" t="str">
        <f aca="false">IF(F46="","",IF(AND(ABS(H46)&lt;=0.5,OR(K46="OK",K46="")),"COMPLIANT",IF(AND(ABS(H46)&lt;=1,OR(K46="OK",K46="",K46="HIGH")),"REVIEW","NON-COMPLIANT")))</f>
        <v/>
      </c>
      <c r="M46" s="35"/>
      <c r="N46" s="29"/>
      <c r="O46" s="29"/>
      <c r="P46" s="29"/>
      <c r="Q46" s="29"/>
    </row>
    <row r="47" customFormat="false" ht="15" hidden="false" customHeight="false" outlineLevel="0" collapsed="false">
      <c r="A47" s="29"/>
      <c r="B47" s="30"/>
      <c r="C47" s="29"/>
      <c r="D47" s="31"/>
      <c r="E47" s="32"/>
      <c r="F47" s="31"/>
      <c r="G47" s="32"/>
      <c r="H47" s="33" t="n">
        <f aca="false">IFERROR(G47-E47,"")</f>
        <v>0</v>
      </c>
      <c r="I47" s="29"/>
      <c r="J47" s="29"/>
      <c r="K47" s="34" t="str">
        <f aca="false">IF(OR(I47="",J47=""),"",IF(J47&lt;=I47,"OK","HIGH"))</f>
        <v/>
      </c>
      <c r="L47" s="34" t="str">
        <f aca="false">IF(F47="","",IF(AND(ABS(H47)&lt;=0.5,OR(K47="OK",K47="")),"COMPLIANT",IF(AND(ABS(H47)&lt;=1,OR(K47="OK",K47="",K47="HIGH")),"REVIEW","NON-COMPLIANT")))</f>
        <v/>
      </c>
      <c r="M47" s="35"/>
      <c r="N47" s="29"/>
      <c r="O47" s="29"/>
      <c r="P47" s="29"/>
      <c r="Q47" s="29"/>
    </row>
    <row r="48" customFormat="false" ht="15" hidden="false" customHeight="false" outlineLevel="0" collapsed="false">
      <c r="A48" s="29"/>
      <c r="B48" s="30"/>
      <c r="C48" s="29"/>
      <c r="D48" s="31"/>
      <c r="E48" s="32"/>
      <c r="F48" s="31"/>
      <c r="G48" s="32"/>
      <c r="H48" s="33" t="n">
        <f aca="false">IFERROR(G48-E48,"")</f>
        <v>0</v>
      </c>
      <c r="I48" s="29"/>
      <c r="J48" s="29"/>
      <c r="K48" s="34" t="str">
        <f aca="false">IF(OR(I48="",J48=""),"",IF(J48&lt;=I48,"OK","HIGH"))</f>
        <v/>
      </c>
      <c r="L48" s="34" t="str">
        <f aca="false">IF(F48="","",IF(AND(ABS(H48)&lt;=0.5,OR(K48="OK",K48="")),"COMPLIANT",IF(AND(ABS(H48)&lt;=1,OR(K48="OK",K48="",K48="HIGH")),"REVIEW","NON-COMPLIANT")))</f>
        <v/>
      </c>
      <c r="M48" s="35"/>
      <c r="N48" s="29"/>
      <c r="O48" s="29"/>
      <c r="P48" s="29"/>
      <c r="Q48" s="29"/>
    </row>
    <row r="49" customFormat="false" ht="15" hidden="false" customHeight="false" outlineLevel="0" collapsed="false">
      <c r="A49" s="29"/>
      <c r="B49" s="30"/>
      <c r="C49" s="29"/>
      <c r="D49" s="31"/>
      <c r="E49" s="32"/>
      <c r="F49" s="31"/>
      <c r="G49" s="32"/>
      <c r="H49" s="33" t="n">
        <f aca="false">IFERROR(G49-E49,"")</f>
        <v>0</v>
      </c>
      <c r="I49" s="29"/>
      <c r="J49" s="29"/>
      <c r="K49" s="34" t="str">
        <f aca="false">IF(OR(I49="",J49=""),"",IF(J49&lt;=I49,"OK","HIGH"))</f>
        <v/>
      </c>
      <c r="L49" s="34" t="str">
        <f aca="false">IF(F49="","",IF(AND(ABS(H49)&lt;=0.5,OR(K49="OK",K49="")),"COMPLIANT",IF(AND(ABS(H49)&lt;=1,OR(K49="OK",K49="",K49="HIGH")),"REVIEW","NON-COMPLIANT")))</f>
        <v/>
      </c>
      <c r="M49" s="35"/>
      <c r="N49" s="29"/>
      <c r="O49" s="29"/>
      <c r="P49" s="29"/>
      <c r="Q49" s="29"/>
    </row>
    <row r="50" customFormat="false" ht="15" hidden="false" customHeight="false" outlineLevel="0" collapsed="false">
      <c r="A50" s="29"/>
      <c r="B50" s="30"/>
      <c r="C50" s="29"/>
      <c r="D50" s="31"/>
      <c r="E50" s="32"/>
      <c r="F50" s="31"/>
      <c r="G50" s="32"/>
      <c r="H50" s="33" t="n">
        <f aca="false">IFERROR(G50-E50,"")</f>
        <v>0</v>
      </c>
      <c r="I50" s="29"/>
      <c r="J50" s="29"/>
      <c r="K50" s="34" t="str">
        <f aca="false">IF(OR(I50="",J50=""),"",IF(J50&lt;=I50,"OK","HIGH"))</f>
        <v/>
      </c>
      <c r="L50" s="34" t="str">
        <f aca="false">IF(F50="","",IF(AND(ABS(H50)&lt;=0.5,OR(K50="OK",K50="")),"COMPLIANT",IF(AND(ABS(H50)&lt;=1,OR(K50="OK",K50="",K50="HIGH")),"REVIEW","NON-COMPLIANT")))</f>
        <v/>
      </c>
      <c r="M50" s="35"/>
      <c r="N50" s="29"/>
      <c r="O50" s="29"/>
      <c r="P50" s="29"/>
      <c r="Q50" s="29"/>
    </row>
    <row r="51" customFormat="false" ht="15" hidden="false" customHeight="false" outlineLevel="0" collapsed="false">
      <c r="A51" s="29"/>
      <c r="B51" s="30"/>
      <c r="C51" s="29"/>
      <c r="D51" s="31"/>
      <c r="E51" s="32"/>
      <c r="F51" s="31"/>
      <c r="G51" s="32"/>
      <c r="H51" s="33" t="n">
        <f aca="false">IFERROR(G51-E51,"")</f>
        <v>0</v>
      </c>
      <c r="I51" s="29"/>
      <c r="J51" s="29"/>
      <c r="K51" s="34" t="str">
        <f aca="false">IF(OR(I51="",J51=""),"",IF(J51&lt;=I51,"OK","HIGH"))</f>
        <v/>
      </c>
      <c r="L51" s="34" t="str">
        <f aca="false">IF(F51="","",IF(AND(ABS(H51)&lt;=0.5,OR(K51="OK",K51="")),"COMPLIANT",IF(AND(ABS(H51)&lt;=1,OR(K51="OK",K51="",K51="HIGH")),"REVIEW","NON-COMPLIANT")))</f>
        <v/>
      </c>
      <c r="M51" s="35"/>
      <c r="N51" s="29"/>
      <c r="O51" s="29"/>
      <c r="P51" s="29"/>
      <c r="Q51" s="29"/>
    </row>
    <row r="52" customFormat="false" ht="15" hidden="false" customHeight="false" outlineLevel="0" collapsed="false">
      <c r="A52" s="29"/>
      <c r="B52" s="30"/>
      <c r="C52" s="29"/>
      <c r="D52" s="31"/>
      <c r="E52" s="32"/>
      <c r="F52" s="31"/>
      <c r="G52" s="32"/>
      <c r="H52" s="33" t="n">
        <f aca="false">IFERROR(G52-E52,"")</f>
        <v>0</v>
      </c>
      <c r="I52" s="29"/>
      <c r="J52" s="29"/>
      <c r="K52" s="34" t="str">
        <f aca="false">IF(OR(I52="",J52=""),"",IF(J52&lt;=I52,"OK","HIGH"))</f>
        <v/>
      </c>
      <c r="L52" s="34" t="str">
        <f aca="false">IF(F52="","",IF(AND(ABS(H52)&lt;=0.5,OR(K52="OK",K52="")),"COMPLIANT",IF(AND(ABS(H52)&lt;=1,OR(K52="OK",K52="",K52="HIGH")),"REVIEW","NON-COMPLIANT")))</f>
        <v/>
      </c>
      <c r="M52" s="35"/>
      <c r="N52" s="29"/>
      <c r="O52" s="29"/>
      <c r="P52" s="29"/>
      <c r="Q52" s="29"/>
    </row>
    <row r="53" customFormat="false" ht="15" hidden="false" customHeight="false" outlineLevel="0" collapsed="false">
      <c r="A53" s="29"/>
      <c r="B53" s="30"/>
      <c r="C53" s="29"/>
      <c r="D53" s="31"/>
      <c r="E53" s="32"/>
      <c r="F53" s="31"/>
      <c r="G53" s="32"/>
      <c r="H53" s="33" t="n">
        <f aca="false">IFERROR(G53-E53,"")</f>
        <v>0</v>
      </c>
      <c r="I53" s="29"/>
      <c r="J53" s="29"/>
      <c r="K53" s="34" t="str">
        <f aca="false">IF(OR(I53="",J53=""),"",IF(J53&lt;=I53,"OK","HIGH"))</f>
        <v/>
      </c>
      <c r="L53" s="34" t="str">
        <f aca="false">IF(F53="","",IF(AND(ABS(H53)&lt;=0.5,OR(K53="OK",K53="")),"COMPLIANT",IF(AND(ABS(H53)&lt;=1,OR(K53="OK",K53="",K53="HIGH")),"REVIEW","NON-COMPLIANT")))</f>
        <v/>
      </c>
      <c r="M53" s="35"/>
      <c r="N53" s="29"/>
      <c r="O53" s="29"/>
      <c r="P53" s="29"/>
      <c r="Q53" s="29"/>
    </row>
    <row r="54" customFormat="false" ht="15" hidden="false" customHeight="false" outlineLevel="0" collapsed="false">
      <c r="A54" s="29"/>
      <c r="B54" s="30"/>
      <c r="C54" s="29"/>
      <c r="D54" s="31"/>
      <c r="E54" s="32"/>
      <c r="F54" s="31"/>
      <c r="G54" s="32"/>
      <c r="H54" s="33" t="n">
        <f aca="false">IFERROR(G54-E54,"")</f>
        <v>0</v>
      </c>
      <c r="I54" s="29"/>
      <c r="J54" s="29"/>
      <c r="K54" s="34" t="str">
        <f aca="false">IF(OR(I54="",J54=""),"",IF(J54&lt;=I54,"OK","HIGH"))</f>
        <v/>
      </c>
      <c r="L54" s="34" t="str">
        <f aca="false">IF(F54="","",IF(AND(ABS(H54)&lt;=0.5,OR(K54="OK",K54="")),"COMPLIANT",IF(AND(ABS(H54)&lt;=1,OR(K54="OK",K54="",K54="HIGH")),"REVIEW","NON-COMPLIANT")))</f>
        <v/>
      </c>
      <c r="M54" s="35"/>
      <c r="N54" s="29"/>
      <c r="O54" s="29"/>
      <c r="P54" s="29"/>
      <c r="Q54" s="29"/>
    </row>
    <row r="55" customFormat="false" ht="15" hidden="false" customHeight="false" outlineLevel="0" collapsed="false">
      <c r="A55" s="29"/>
      <c r="B55" s="30"/>
      <c r="C55" s="29"/>
      <c r="D55" s="31"/>
      <c r="E55" s="32"/>
      <c r="F55" s="31"/>
      <c r="G55" s="32"/>
      <c r="H55" s="33" t="n">
        <f aca="false">IFERROR(G55-E55,"")</f>
        <v>0</v>
      </c>
      <c r="I55" s="29"/>
      <c r="J55" s="29"/>
      <c r="K55" s="34" t="str">
        <f aca="false">IF(OR(I55="",J55=""),"",IF(J55&lt;=I55,"OK","HIGH"))</f>
        <v/>
      </c>
      <c r="L55" s="34" t="str">
        <f aca="false">IF(F55="","",IF(AND(ABS(H55)&lt;=0.5,OR(K55="OK",K55="")),"COMPLIANT",IF(AND(ABS(H55)&lt;=1,OR(K55="OK",K55="",K55="HIGH")),"REVIEW","NON-COMPLIANT")))</f>
        <v/>
      </c>
      <c r="M55" s="35"/>
      <c r="N55" s="29"/>
      <c r="O55" s="29"/>
      <c r="P55" s="29"/>
      <c r="Q55" s="29"/>
    </row>
    <row r="56" customFormat="false" ht="15" hidden="false" customHeight="false" outlineLevel="0" collapsed="false">
      <c r="A56" s="29"/>
      <c r="B56" s="30"/>
      <c r="C56" s="29"/>
      <c r="D56" s="31"/>
      <c r="E56" s="32"/>
      <c r="F56" s="31"/>
      <c r="G56" s="32"/>
      <c r="H56" s="33" t="n">
        <f aca="false">IFERROR(G56-E56,"")</f>
        <v>0</v>
      </c>
      <c r="I56" s="29"/>
      <c r="J56" s="29"/>
      <c r="K56" s="34" t="str">
        <f aca="false">IF(OR(I56="",J56=""),"",IF(J56&lt;=I56,"OK","HIGH"))</f>
        <v/>
      </c>
      <c r="L56" s="34" t="str">
        <f aca="false">IF(F56="","",IF(AND(ABS(H56)&lt;=0.5,OR(K56="OK",K56="")),"COMPLIANT",IF(AND(ABS(H56)&lt;=1,OR(K56="OK",K56="",K56="HIGH")),"REVIEW","NON-COMPLIANT")))</f>
        <v/>
      </c>
      <c r="M56" s="35"/>
      <c r="N56" s="29"/>
      <c r="O56" s="29"/>
      <c r="P56" s="29"/>
      <c r="Q56" s="29"/>
    </row>
    <row r="57" customFormat="false" ht="15" hidden="false" customHeight="false" outlineLevel="0" collapsed="false">
      <c r="A57" s="29"/>
      <c r="B57" s="30"/>
      <c r="C57" s="29"/>
      <c r="D57" s="31"/>
      <c r="E57" s="32"/>
      <c r="F57" s="31"/>
      <c r="G57" s="32"/>
      <c r="H57" s="33" t="n">
        <f aca="false">IFERROR(G57-E57,"")</f>
        <v>0</v>
      </c>
      <c r="I57" s="29"/>
      <c r="J57" s="29"/>
      <c r="K57" s="34" t="str">
        <f aca="false">IF(OR(I57="",J57=""),"",IF(J57&lt;=I57,"OK","HIGH"))</f>
        <v/>
      </c>
      <c r="L57" s="34" t="str">
        <f aca="false">IF(F57="","",IF(AND(ABS(H57)&lt;=0.5,OR(K57="OK",K57="")),"COMPLIANT",IF(AND(ABS(H57)&lt;=1,OR(K57="OK",K57="",K57="HIGH")),"REVIEW","NON-COMPLIANT")))</f>
        <v/>
      </c>
      <c r="M57" s="35"/>
      <c r="N57" s="29"/>
      <c r="O57" s="29"/>
      <c r="P57" s="29"/>
      <c r="Q57" s="29"/>
    </row>
    <row r="58" customFormat="false" ht="15" hidden="false" customHeight="false" outlineLevel="0" collapsed="false">
      <c r="A58" s="29"/>
      <c r="B58" s="30"/>
      <c r="C58" s="29"/>
      <c r="D58" s="31"/>
      <c r="E58" s="32"/>
      <c r="F58" s="31"/>
      <c r="G58" s="32"/>
      <c r="H58" s="33" t="n">
        <f aca="false">IFERROR(G58-E58,"")</f>
        <v>0</v>
      </c>
      <c r="I58" s="29"/>
      <c r="J58" s="29"/>
      <c r="K58" s="34" t="str">
        <f aca="false">IF(OR(I58="",J58=""),"",IF(J58&lt;=I58,"OK","HIGH"))</f>
        <v/>
      </c>
      <c r="L58" s="34" t="str">
        <f aca="false">IF(F58="","",IF(AND(ABS(H58)&lt;=0.5,OR(K58="OK",K58="")),"COMPLIANT",IF(AND(ABS(H58)&lt;=1,OR(K58="OK",K58="",K58="HIGH")),"REVIEW","NON-COMPLIANT")))</f>
        <v/>
      </c>
      <c r="M58" s="35"/>
      <c r="N58" s="29"/>
      <c r="O58" s="29"/>
      <c r="P58" s="29"/>
      <c r="Q58" s="29"/>
    </row>
    <row r="59" customFormat="false" ht="15" hidden="false" customHeight="false" outlineLevel="0" collapsed="false">
      <c r="A59" s="29"/>
      <c r="B59" s="30"/>
      <c r="C59" s="29"/>
      <c r="D59" s="31"/>
      <c r="E59" s="32"/>
      <c r="F59" s="31"/>
      <c r="G59" s="32"/>
      <c r="H59" s="33" t="n">
        <f aca="false">IFERROR(G59-E59,"")</f>
        <v>0</v>
      </c>
      <c r="I59" s="29"/>
      <c r="J59" s="29"/>
      <c r="K59" s="34" t="str">
        <f aca="false">IF(OR(I59="",J59=""),"",IF(J59&lt;=I59,"OK","HIGH"))</f>
        <v/>
      </c>
      <c r="L59" s="34" t="str">
        <f aca="false">IF(F59="","",IF(AND(ABS(H59)&lt;=0.5,OR(K59="OK",K59="")),"COMPLIANT",IF(AND(ABS(H59)&lt;=1,OR(K59="OK",K59="",K59="HIGH")),"REVIEW","NON-COMPLIANT")))</f>
        <v/>
      </c>
      <c r="M59" s="35"/>
      <c r="N59" s="29"/>
      <c r="O59" s="29"/>
      <c r="P59" s="29"/>
      <c r="Q59" s="29"/>
    </row>
  </sheetData>
  <autoFilter ref="A8:Q59"/>
  <mergeCells count="3">
    <mergeCell ref="A1:M1"/>
    <mergeCell ref="A5:M5"/>
    <mergeCell ref="N7:Q7"/>
  </mergeCells>
  <conditionalFormatting sqref="L9:L59">
    <cfRule type="cellIs" priority="2" operator="equal" aboveAverage="0" equalAverage="0" bottom="0" percent="0" rank="0" text="" dxfId="7">
      <formula>"COMPLIANT"</formula>
    </cfRule>
    <cfRule type="cellIs" priority="3" operator="equal" aboveAverage="0" equalAverage="0" bottom="0" percent="0" rank="0" text="" dxfId="8">
      <formula>"REVIEW"</formula>
    </cfRule>
    <cfRule type="cellIs" priority="4" operator="equal" aboveAverage="0" equalAverage="0" bottom="0" percent="0" rank="0" text="" dxfId="9">
      <formula>"NON-COMPLIANT"</formula>
    </cfRule>
  </conditionalFormatting>
  <conditionalFormatting sqref="K9:K59">
    <cfRule type="cellIs" priority="5" operator="equal" aboveAverage="0" equalAverage="0" bottom="0" percent="0" rank="0" text="" dxfId="7">
      <formula>"OK"</formula>
    </cfRule>
    <cfRule type="cellIs" priority="6" operator="equal" aboveAverage="0" equalAverage="0" bottom="0" percent="0" rank="0" text="" dxfId="9">
      <formula>"HIGH"</formula>
    </cfRule>
  </conditionalFormatting>
  <conditionalFormatting sqref="Q9:Q59">
    <cfRule type="cellIs" priority="7" operator="equal" aboveAverage="0" equalAverage="0" bottom="0" percent="0" rank="0" text="" dxfId="10">
      <formula>"Pass"</formula>
    </cfRule>
    <cfRule type="cellIs" priority="8" operator="equal" aboveAverage="0" equalAverage="0" bottom="0" percent="0" rank="0" text="" dxfId="11">
      <formula>"Defect Found"</formula>
    </cfRule>
  </conditionalFormatting>
  <dataValidations count="2">
    <dataValidation allowBlank="true" errorStyle="stop" operator="between" showDropDown="false" showErrorMessage="false" showInputMessage="false" sqref="C9:C59" type="list">
      <formula1>"Driven Precast,Driven Steel,CFA (Bored),Rotary Bored,Sheet Pile,Secant,Other"</formula1>
      <formula2>0</formula2>
    </dataValidation>
    <dataValidation allowBlank="true" errorStyle="stop" operator="between" showDropDown="false" showErrorMessage="false" showInputMessage="false" sqref="Q9:Q59" type="list">
      <formula1>"Pass,Defect Found,Awaiting,N/A"</formula1>
      <formula2>0</formula2>
    </dataValidation>
  </dataValidations>
  <printOptions headings="false" gridLines="false" gridLinesSet="true" horizontalCentered="false" verticalCentered="false"/>
  <pageMargins left="0.75" right="0.75" top="1" bottom="1" header="0.5" footer="0.5"/>
  <pageSetup paperSize="9" scale="100" fitToWidth="1" fitToHeight="1" pageOrder="downThenOver" orientation="landscape" blackAndWhite="false" draft="false" cellComments="none" horizontalDpi="300" verticalDpi="300" copies="1"/>
  <headerFooter differentFirst="false" differentOddEven="false">
    <oddHeader>&amp;CPiling Record Sheet</oddHeader>
    <oddFooter>&amp;Rebrora.com</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2A4A"/>
    <pageSetUpPr fitToPage="false"/>
  </sheetPr>
  <dimension ref="A1:A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0"/>
  </cols>
  <sheetData>
    <row r="1" customFormat="false" ht="15" hidden="false" customHeight="false" outlineLevel="0" collapsed="false">
      <c r="A1" s="36" t="s">
        <v>73</v>
      </c>
    </row>
    <row r="2" customFormat="false" ht="15" hidden="false" customHeight="false" outlineLevel="0" collapsed="false">
      <c r="A2" s="36"/>
    </row>
    <row r="3" customFormat="false" ht="15" hidden="false" customHeight="false" outlineLevel="0" collapsed="false">
      <c r="A3" s="36" t="s">
        <v>74</v>
      </c>
    </row>
    <row r="4" customFormat="false" ht="15" hidden="false" customHeight="false" outlineLevel="0" collapsed="false">
      <c r="A4" s="36"/>
    </row>
    <row r="5" customFormat="false" ht="15" hidden="false" customHeight="false" outlineLevel="0" collapsed="false">
      <c r="A5" s="36" t="s">
        <v>75</v>
      </c>
    </row>
    <row r="6" customFormat="false" ht="15" hidden="false" customHeight="false" outlineLevel="0" collapsed="false">
      <c r="A6" s="36"/>
    </row>
    <row r="7" customFormat="false" ht="15" hidden="false" customHeight="false" outlineLevel="0" collapsed="false">
      <c r="A7" s="36" t="s">
        <v>76</v>
      </c>
    </row>
    <row r="8" customFormat="false" ht="15" hidden="false" customHeight="false" outlineLevel="0" collapsed="false">
      <c r="A8" s="36"/>
    </row>
    <row r="9" customFormat="false" ht="15" hidden="false" customHeight="false" outlineLevel="0" collapsed="false">
      <c r="A9" s="36" t="s">
        <v>77</v>
      </c>
    </row>
    <row r="10" customFormat="false" ht="15" hidden="false" customHeight="false" outlineLevel="0" collapsed="false">
      <c r="A10" s="36"/>
    </row>
    <row r="11" customFormat="false" ht="15" hidden="false" customHeight="false" outlineLevel="0" collapsed="false">
      <c r="A11" s="36" t="s">
        <v>78</v>
      </c>
    </row>
    <row r="12" customFormat="false" ht="15" hidden="false" customHeight="false" outlineLevel="0" collapsed="false">
      <c r="A12" s="36"/>
    </row>
    <row r="13" customFormat="false" ht="15" hidden="false" customHeight="false" outlineLevel="0" collapsed="false">
      <c r="A13" s="36" t="s">
        <v>79</v>
      </c>
    </row>
    <row r="14" customFormat="false" ht="15" hidden="false" customHeight="false" outlineLevel="0" collapsed="false">
      <c r="A14" s="36"/>
    </row>
    <row r="15" customFormat="false" ht="15" hidden="false" customHeight="false" outlineLevel="0" collapsed="false">
      <c r="A15" s="36" t="s">
        <v>80</v>
      </c>
    </row>
    <row r="16" customFormat="false" ht="15" hidden="false" customHeight="false" outlineLevel="0" collapsed="false">
      <c r="A16" s="36"/>
    </row>
    <row r="17" customFormat="false" ht="15" hidden="false" customHeight="false" outlineLevel="0" collapsed="false">
      <c r="A17" s="36" t="s">
        <v>81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category>Civils &amp; Groundworks</cp:category>
  <dcterms:created xsi:type="dcterms:W3CDTF">2026-03-23T10:31:26Z</dcterms:created>
  <dc:creator>Ebrora Ltd</dc:creator>
  <dc:description>Record driven or bored pile installation data with automatic depth variance, set compliance, and integrity test tracking.
Free professional construction management template from Ebrora Ltd. Visit ebrora.com for our full range of tools and templates.</dc:description>
  <cp:keywords>Ebrora construction civils piling driven piles CFA bored piles groundworks foundations</cp:keywords>
  <dc:language>en-US</dc:language>
  <cp:lastModifiedBy>Ebrora Ltd</cp:lastModifiedBy>
  <dcterms:modified xsi:type="dcterms:W3CDTF">2026-03-23T10:31:26Z</dcterms:modified>
  <cp:revision>0</cp:revision>
  <dc:subject>Record pile installation data with automatic depth variance, set compliance, and integrity test tracking.</dc:subject>
  <dc:title>Piling Record Sheet</dc:title>
</cp:coreProperties>
</file>

<file path=docProps/custom.xml><?xml version="1.0" encoding="utf-8"?>
<Properties xmlns="http://schemas.openxmlformats.org/officeDocument/2006/custom-properties" xmlns:vt="http://schemas.openxmlformats.org/officeDocument/2006/docPropsVTypes"/>
</file>