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st Forecast" sheetId="3" state="visible" r:id="rId5"/>
    <sheet name="Terms of Use" sheetId="4" state="hidden" r:id="rId6"/>
  </sheets>
  <definedNames>
    <definedName function="false" hidden="false" localSheetId="2" name="_xlnm.Print_Area" vbProcedure="false">'Cost Forecast'!$A$1:$U$22</definedName>
    <definedName function="false" hidden="false" localSheetId="0" name="_xlnm.Print_Area" vbProcedure="false">Cover!$A$1:$H$20</definedName>
    <definedName function="false" hidden="false" localSheetId="1" name="_xlnm.Print_Area" vbProcedure="false">Instructions!$A$1:$F$27</definedName>
    <definedName function="false" hidden="false" name="ForecastGrid" vbProcedure="false">'Cost Forecast'!$A$10:$U$22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<sst xmlns="http://schemas.openxmlformats.org/spreadsheetml/2006/main" count="95" uniqueCount="95">
  <si>
    <t xml:space="preserve">EBRORA</t>
  </si>
  <si>
    <t xml:space="preserve">ebrora.com</t>
  </si>
  <si>
    <t xml:space="preserve">Cost-to-Complete Forecast</t>
  </si>
  <si>
    <t xml:space="preserve">Time-phased monthly cost forecast with EAC calculation,</t>
  </si>
  <si>
    <t xml:space="preserve">variance tracking, and cumulative spend projections by category.</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</si>
  <si>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</si>
  <si>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</si>
  <si>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</si>
  <si>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</si>
  <si>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</si>
  <si>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</si>
  <si>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'Cost Forecast' sheet. The top section shows the project-level EAC (Estimate at Completion) summary: Budget, Spent to Date, Committed, Cost to Complete, EAC, and Variance.</t>
  </si>
  <si>
    <t xml:space="preserve">2.</t>
  </si>
  <si>
    <t xml:space="preserve">The main section is a time-phased monthly forecast grid. Each row is a cost category. The left columns (A–H) show the financial summary; the right columns (I onwards) show the forecast monthly spend for the next 12 months.</t>
  </si>
  <si>
    <t xml:space="preserve">3.</t>
  </si>
  <si>
    <t xml:space="preserve">For each category, enter the Budget (£), Spent to Date (£), and Committed (£) in the light teal cells. Then enter your forecast spend for each future month across the grid.</t>
  </si>
  <si>
    <t xml:space="preserve">4.</t>
  </si>
  <si>
    <t xml:space="preserve">Cost to Complete = sum of all monthly forecast values. EAC = Spent to Date + Cost to Complete. Variance = Budget – EAC. These all calculate automatically.</t>
  </si>
  <si>
    <t xml:space="preserve">5.</t>
  </si>
  <si>
    <t xml:space="preserve">The bottom rows contain a Monthly Total (sum of all categories per month) and a Cumulative Total (running total across months) for S-curve reporting.</t>
  </si>
  <si>
    <t xml:space="preserve">Layout Explanation</t>
  </si>
  <si>
    <t xml:space="preserve">6.</t>
  </si>
  <si>
    <t xml:space="preserve">The left fixed columns (A–H) summarise the overall financial position per category. The scrollable right section (I onwards) contains the monthly forecast grid. Freeze panes keep the left columns visible as you scroll.</t>
  </si>
  <si>
    <t xml:space="preserve">7.</t>
  </si>
  <si>
    <t xml:space="preserve">Update the month headers (row 12) to match your project’s remaining programme. The template defaults to a 12-month forward view.</t>
  </si>
  <si>
    <t xml:space="preserve">Colour Key</t>
  </si>
  <si>
    <t xml:space="preserve">Light teal cells (#E8F6F7) — User input (budgets, actuals, monthly forecasts).</t>
  </si>
  <si>
    <t xml:space="preserve">Dark navy headers — Do not edit.</t>
  </si>
  <si>
    <t xml:space="preserve">Teal band rows — Category section headers.</t>
  </si>
  <si>
    <t xml:space="preserve">Grey rows — Totals and cumulative rows with formulas.</t>
  </si>
  <si>
    <t xml:space="preserve">Green variance — Underspend (EAC below budget).</t>
  </si>
  <si>
    <t xml:space="preserve">Red variance — Overspend (EAC exceeds budget).</t>
  </si>
  <si>
    <t xml:space="preserve">Amber % Complete — 80–99% of budget committed or spent.</t>
  </si>
  <si>
    <t xml:space="preserve">Tips</t>
  </si>
  <si>
    <t xml:space="preserve">Tip 1:</t>
  </si>
  <si>
    <t xml:space="preserve">Update this forecast monthly. Carry forward any unspent forecast from the current month into the next — don’t just delete it or the CTC will understate.</t>
  </si>
  <si>
    <t xml:space="preserve">Tip 2:</t>
  </si>
  <si>
    <t xml:space="preserve">The cumulative row at the bottom is your forecast cashflow curve. Use it to plot an S-curve against the original programme cashflow for earned value reporting.</t>
  </si>
  <si>
    <t xml:space="preserve">Tip 3:</t>
  </si>
  <si>
    <t xml:space="preserve">Cross-reference the Budget column with your Budget vs Actual tracker (Template 59) and the Committed column with your Invoice Tracker (Template 60) for a consistent cost position.</t>
  </si>
  <si>
    <t xml:space="preserve">COST-TO-COMPLETE FORECAST — TIME-PHASED MONTHLY GRID</t>
  </si>
  <si>
    <t xml:space="preserve">Total Budget (£)</t>
  </si>
  <si>
    <t xml:space="preserve">Spent to Date (£)</t>
  </si>
  <si>
    <t xml:space="preserve">Committed (£)</t>
  </si>
  <si>
    <t xml:space="preserve">MONTHLY FORECAST PERIOD</t>
  </si>
  <si>
    <t xml:space="preserve">Apr 2026 → Mar 2027
Enter forecast spend per category per month in the grid below.
Cost to Complete and EAC update automatically.</t>
  </si>
  <si>
    <t xml:space="preserve">Cost to Complete (£)</t>
  </si>
  <si>
    <t xml:space="preserve">EAC (£)</t>
  </si>
  <si>
    <t xml:space="preserve">Variance (Budget – EAC)</t>
  </si>
  <si>
    <t xml:space="preserve">FINANCIAL SUMMARY</t>
  </si>
  <si>
    <t xml:space="preserve">FORECAST MONTHLY SPEND (£)</t>
  </si>
  <si>
    <t xml:space="preserve">Cost
Code</t>
  </si>
  <si>
    <t xml:space="preserve">Category</t>
  </si>
  <si>
    <t xml:space="preserve">Budget
(£)</t>
  </si>
  <si>
    <t xml:space="preserve">Spent to
Date (£)</t>
  </si>
  <si>
    <t xml:space="preserve">Committed
(£)</t>
  </si>
  <si>
    <t xml:space="preserve">Cost to
Complete (£)</t>
  </si>
  <si>
    <t xml:space="preserve">EAC
(£)</t>
  </si>
  <si>
    <t xml:space="preserve">Variance
(£)</t>
  </si>
  <si>
    <t xml:space="preserve">Apr 26</t>
  </si>
  <si>
    <t xml:space="preserve">May 26</t>
  </si>
  <si>
    <t xml:space="preserve">Jun 26</t>
  </si>
  <si>
    <t xml:space="preserve">Jul 26</t>
  </si>
  <si>
    <t xml:space="preserve">Aug 26</t>
  </si>
  <si>
    <t xml:space="preserve">Sep 26</t>
  </si>
  <si>
    <t xml:space="preserve">Oct 26</t>
  </si>
  <si>
    <t xml:space="preserve">Nov 26</t>
  </si>
  <si>
    <t xml:space="preserve">Dec 26</t>
  </si>
  <si>
    <t xml:space="preserve">Jan 27</t>
  </si>
  <si>
    <t xml:space="preserve">Feb 27</t>
  </si>
  <si>
    <t xml:space="preserve">Mar 27</t>
  </si>
  <si>
    <t xml:space="preserve">Total
Forecast (£)</t>
  </si>
  <si>
    <t xml:space="preserve">1.0</t>
  </si>
  <si>
    <t xml:space="preserve">Preliminaries</t>
  </si>
  <si>
    <t xml:space="preserve">2.0</t>
  </si>
  <si>
    <t xml:space="preserve">Substructure</t>
  </si>
  <si>
    <t xml:space="preserve">3.0</t>
  </si>
  <si>
    <t xml:space="preserve">Superstructure</t>
  </si>
  <si>
    <t xml:space="preserve">4.0</t>
  </si>
  <si>
    <t xml:space="preserve">M&amp;E Services</t>
  </si>
  <si>
    <t xml:space="preserve">5.0</t>
  </si>
  <si>
    <t xml:space="preserve">External Works</t>
  </si>
  <si>
    <t xml:space="preserve">6.0</t>
  </si>
  <si>
    <t xml:space="preserve">Contingency &amp; Risk</t>
  </si>
  <si>
    <t xml:space="preserve">PROJECT TOTAL</t>
  </si>
  <si>
    <t xml:space="preserve">CUMULATIVE TOTAL</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</si>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</sst>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0"/>
    <numFmt numFmtId="166" formatCode="\£#,##0;[RED]&quot;(£&quot;#,##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b val="true"/>
      <sz val="10"/>
      <color rgb="FFFFFFFF"/>
      <name val="Calibri"/>
      <family val="0"/>
      <charset val="1"/>
    </font>
    <font>
      <b val="true"/>
      <sz val="9"/>
      <color rgb="FFFFFFFF"/>
      <name val="Calibri"/>
      <family val="0"/>
      <charset val="1"/>
    </font>
    <font>
      <b val="true"/>
      <sz val="9"/>
      <color rgb="FF1B2A4A"/>
      <name val="Calibri"/>
      <family val="0"/>
      <charset val="1"/>
    </font>
    <font>
      <sz val="9"/>
      <color rgb="FF1B2A4A"/>
      <name val="Calibri"/>
      <family val="0"/>
      <charset val="1"/>
    </font>
  </fonts>
  <fills count="7">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2AABB3"/>
        <bgColor rgb="FF339966"/>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true" applyAlignment="true" applyProtection="false">
      <alignment horizontal="center" vertical="center" textRotation="0" wrapText="true" indent="0" shrinkToFit="false"/>
      <protection locked="true" hidden="false"/>
    </xf>
    <xf numFmtId="166" fontId="15" fillId="3"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6" fillId="6" borderId="0" xfId="0" applyFont="true" applyBorder="true" applyAlignment="true" applyProtection="false">
      <alignment horizontal="center" vertical="center" textRotation="0" wrapText="true" indent="0" shrinkToFit="false"/>
      <protection locked="true" hidden="false"/>
    </xf>
    <xf numFmtId="164" fontId="17" fillId="2" borderId="3" xfId="0" applyFont="true" applyBorder="true" applyAlignment="true" applyProtection="false">
      <alignment horizontal="center" vertical="center" textRotation="0" wrapText="true" indent="0" shrinkToFit="false"/>
      <protection locked="true" hidden="false"/>
    </xf>
    <xf numFmtId="164" fontId="17" fillId="6" borderId="3" xfId="0" applyFont="true" applyBorder="true" applyAlignment="true" applyProtection="false">
      <alignment horizontal="center" vertical="center" textRotation="0" wrapText="true" indent="0" shrinkToFit="false"/>
      <protection locked="true" hidden="false"/>
    </xf>
    <xf numFmtId="164" fontId="18"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5" fontId="19" fillId="4" borderId="3" xfId="0" applyFont="true" applyBorder="true" applyAlignment="true" applyProtection="false">
      <alignment horizontal="right" vertical="center" textRotation="0" wrapText="true" indent="0" shrinkToFit="false"/>
      <protection locked="true" hidden="false"/>
    </xf>
    <xf numFmtId="165" fontId="18" fillId="3" borderId="3" xfId="0" applyFont="true" applyBorder="true" applyAlignment="true" applyProtection="false">
      <alignment horizontal="right" vertical="center" textRotation="0" wrapText="true" indent="0" shrinkToFit="false"/>
      <protection locked="true" hidden="false"/>
    </xf>
    <xf numFmtId="166" fontId="18" fillId="3" borderId="3" xfId="0" applyFont="true" applyBorder="true" applyAlignment="true" applyProtection="false">
      <alignment horizontal="right" vertical="center" textRotation="0" wrapText="true" indent="0" shrinkToFit="false"/>
      <protection locked="true" hidden="false"/>
    </xf>
    <xf numFmtId="164" fontId="19" fillId="4" borderId="3" xfId="0" applyFont="true" applyBorder="true" applyAlignment="true" applyProtection="false">
      <alignment horizontal="center" vertical="center" textRotation="0" wrapText="true" indent="0" shrinkToFit="false"/>
      <protection locked="true" hidden="false"/>
    </xf>
    <xf numFmtId="164" fontId="19" fillId="4" borderId="3" xfId="0" applyFont="true" applyBorder="true" applyAlignment="true" applyProtection="false">
      <alignment horizontal="left" vertical="center" textRotation="0" wrapText="true" indent="0" shrinkToFit="false"/>
      <protection locked="true" hidden="false"/>
    </xf>
    <xf numFmtId="165" fontId="19" fillId="3" borderId="3" xfId="0" applyFont="true" applyBorder="true" applyAlignment="true" applyProtection="false">
      <alignment horizontal="right" vertical="center" textRotation="0" wrapText="true" indent="0" shrinkToFit="false"/>
      <protection locked="true" hidden="false"/>
    </xf>
    <xf numFmtId="166" fontId="19" fillId="3" borderId="3" xfId="0" applyFont="true" applyBorder="true" applyAlignment="true" applyProtection="false">
      <alignment horizontal="right" vertical="center" textRotation="0" wrapText="tru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16" fillId="2" borderId="3" xfId="0" applyFont="true" applyBorder="true" applyAlignment="true" applyProtection="false">
      <alignment horizontal="left" vertical="center" textRotation="0" wrapText="true" indent="0" shrinkToFit="false"/>
      <protection locked="true" hidden="false"/>
    </xf>
    <xf numFmtId="165" fontId="17" fillId="2" borderId="3" xfId="0" applyFont="true" applyBorder="true" applyAlignment="true" applyProtection="false">
      <alignment horizontal="right" vertical="center" textRotation="0" wrapText="true" indent="0" shrinkToFit="false"/>
      <protection locked="true" hidden="false"/>
    </xf>
    <xf numFmtId="166" fontId="17" fillId="2" borderId="3" xfId="0" applyFont="true" applyBorder="true" applyAlignment="true" applyProtection="false">
      <alignment horizontal="right" vertical="center" textRotation="0" wrapText="tru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4" fontId="12" fillId="5" borderId="3" xfId="0" applyFont="true" applyBorder="true" applyAlignment="true" applyProtection="false">
      <alignment horizontal="left" vertical="center" textRotation="0" wrapText="true" indent="0" shrinkToFit="false"/>
      <protection locked="true" hidden="false"/>
    </xf>
    <xf numFmtId="165" fontId="18" fillId="5" borderId="3"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C6EFCE"/>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23.8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1" customFormat="false" ht="15" hidden="false" customHeight="true" outlineLevel="0" collapsed="false">
      <c r="A21" s="14" t="s">
        <v>32</v>
      </c>
      <c r="B21" s="14"/>
      <c r="C21" s="14"/>
      <c r="D21" s="14"/>
      <c r="E21" s="14"/>
      <c r="F21" s="14"/>
    </row>
    <row r="23" customFormat="false" ht="15" hidden="false" customHeight="true" outlineLevel="0" collapsed="false">
      <c r="A23" s="11" t="s">
        <v>33</v>
      </c>
      <c r="B23" s="11"/>
      <c r="C23" s="11"/>
      <c r="D23" s="11"/>
      <c r="E23" s="11"/>
      <c r="F23" s="11"/>
    </row>
    <row r="24" customFormat="false" ht="23.85" hidden="false" customHeight="true" outlineLevel="0" collapsed="false">
      <c r="A24" s="12" t="s">
        <v>34</v>
      </c>
      <c r="B24" s="13" t="s">
        <v>35</v>
      </c>
      <c r="C24" s="13"/>
      <c r="D24" s="13"/>
      <c r="E24" s="13"/>
      <c r="F24" s="13"/>
    </row>
    <row r="25" customFormat="false" ht="23.85" hidden="false" customHeight="true" outlineLevel="0" collapsed="false">
      <c r="A25" s="12" t="s">
        <v>36</v>
      </c>
      <c r="B25" s="13" t="s">
        <v>37</v>
      </c>
      <c r="C25" s="13"/>
      <c r="D25" s="13"/>
      <c r="E25" s="13"/>
      <c r="F25" s="13"/>
    </row>
    <row r="26" customFormat="false" ht="23.85" hidden="false" customHeight="true" outlineLevel="0" collapsed="false">
      <c r="A26" s="12" t="s">
        <v>38</v>
      </c>
      <c r="B26" s="13" t="s">
        <v>39</v>
      </c>
      <c r="C26" s="13"/>
      <c r="D26" s="13"/>
      <c r="E26" s="13"/>
      <c r="F26" s="13"/>
    </row>
  </sheetData>
  <mergeCells count="22">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10" topLeftCell="I11" activePane="bottomRight" state="frozen"/>
      <selection pane="topLeft" activeCell="A1" activeCellId="0" sqref="A1"/>
      <selection pane="topRight" activeCell="I1" activeCellId="0" sqref="I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8" min="3" style="0" width="14"/>
    <col collapsed="false" customWidth="true" hidden="false" outlineLevel="0" max="21" min="9" style="0" width="11"/>
  </cols>
  <sheetData>
    <row r="1" customFormat="false" ht="15" hidden="false" customHeight="true" outlineLevel="0" collapsed="false">
      <c r="A1" s="15" t="s">
        <v>40</v>
      </c>
      <c r="B1" s="15"/>
      <c r="C1" s="15"/>
      <c r="D1" s="15"/>
      <c r="E1" s="15"/>
      <c r="F1" s="15"/>
      <c r="G1" s="15"/>
      <c r="H1" s="15"/>
      <c r="I1" s="15"/>
      <c r="J1" s="15"/>
      <c r="K1" s="15"/>
      <c r="L1" s="15"/>
      <c r="M1" s="15"/>
      <c r="N1" s="15"/>
      <c r="O1" s="15"/>
      <c r="P1" s="15"/>
      <c r="Q1" s="15"/>
      <c r="R1" s="15"/>
      <c r="S1" s="15"/>
      <c r="T1" s="15"/>
      <c r="U1" s="15"/>
    </row>
    <row r="3" customFormat="false" ht="15" hidden="false" customHeight="true" outlineLevel="0" collapsed="false">
      <c r="A3" s="16" t="s">
        <v>41</v>
      </c>
      <c r="B3" s="16"/>
      <c r="C3" s="16" t="s">
        <v>42</v>
      </c>
      <c r="D3" s="16"/>
      <c r="E3" s="16" t="s">
        <v>43</v>
      </c>
      <c r="F3" s="16"/>
      <c r="G3" s="17" t="s">
        <v>44</v>
      </c>
      <c r="H3" s="17"/>
      <c r="I3" s="17"/>
      <c r="J3" s="17"/>
      <c r="K3" s="17"/>
      <c r="L3" s="17"/>
      <c r="M3" s="17"/>
      <c r="N3" s="17"/>
      <c r="O3" s="17"/>
      <c r="P3" s="17"/>
      <c r="Q3" s="17"/>
      <c r="R3" s="17"/>
      <c r="S3" s="17"/>
      <c r="T3" s="17"/>
      <c r="U3" s="17"/>
    </row>
    <row r="4" customFormat="false" ht="15" hidden="false" customHeight="true" outlineLevel="0" collapsed="false">
      <c r="A4" s="18" t="n">
        <f aca="false">C21</f>
        <v>3724000</v>
      </c>
      <c r="B4" s="18"/>
      <c r="C4" s="18" t="n">
        <f aca="false">D21</f>
        <v>1897000</v>
      </c>
      <c r="D4" s="18"/>
      <c r="E4" s="18" t="n">
        <f aca="false">E21</f>
        <v>1185700</v>
      </c>
      <c r="F4" s="18"/>
      <c r="G4" s="19" t="s">
        <v>45</v>
      </c>
      <c r="H4" s="19"/>
      <c r="I4" s="19"/>
      <c r="J4" s="19"/>
      <c r="K4" s="19"/>
      <c r="L4" s="19"/>
      <c r="M4" s="19"/>
      <c r="N4" s="19"/>
      <c r="O4" s="19"/>
      <c r="P4" s="19"/>
      <c r="Q4" s="19"/>
      <c r="R4" s="19"/>
      <c r="S4" s="19"/>
      <c r="T4" s="19"/>
      <c r="U4" s="19"/>
    </row>
    <row r="5" customFormat="false" ht="15" hidden="false" customHeight="true" outlineLevel="0" collapsed="false">
      <c r="A5" s="16" t="s">
        <v>46</v>
      </c>
      <c r="B5" s="16"/>
      <c r="C5" s="16" t="s">
        <v>47</v>
      </c>
      <c r="D5" s="16"/>
      <c r="E5" s="16" t="s">
        <v>48</v>
      </c>
      <c r="F5" s="16"/>
      <c r="G5" s="19"/>
      <c r="H5" s="19"/>
      <c r="I5" s="19"/>
      <c r="J5" s="19"/>
      <c r="K5" s="19"/>
      <c r="L5" s="19"/>
      <c r="M5" s="19"/>
      <c r="N5" s="19"/>
      <c r="O5" s="19"/>
      <c r="P5" s="19"/>
      <c r="Q5" s="19"/>
      <c r="R5" s="19"/>
      <c r="S5" s="19"/>
      <c r="T5" s="19"/>
      <c r="U5" s="19"/>
    </row>
    <row r="6" customFormat="false" ht="15" hidden="false" customHeight="false" outlineLevel="0" collapsed="false">
      <c r="A6" s="18" t="n">
        <f aca="false">F21</f>
        <v>740500</v>
      </c>
      <c r="B6" s="18"/>
      <c r="C6" s="18" t="n">
        <f aca="false">G21</f>
        <v>2637500</v>
      </c>
      <c r="D6" s="18"/>
      <c r="E6" s="20" t="n">
        <f aca="false">H21</f>
        <v>1086500</v>
      </c>
      <c r="F6" s="20"/>
      <c r="G6" s="19"/>
      <c r="H6" s="19"/>
      <c r="I6" s="19"/>
      <c r="J6" s="19"/>
      <c r="K6" s="19"/>
      <c r="L6" s="19"/>
      <c r="M6" s="19"/>
      <c r="N6" s="19"/>
      <c r="O6" s="19"/>
      <c r="P6" s="19"/>
      <c r="Q6" s="19"/>
      <c r="R6" s="19"/>
      <c r="S6" s="19"/>
      <c r="T6" s="19"/>
      <c r="U6" s="19"/>
    </row>
    <row r="8" customFormat="false" ht="15" hidden="false" customHeight="false" outlineLevel="0" collapsed="false">
      <c r="A8" s="21"/>
      <c r="B8" s="21"/>
      <c r="C8" s="21"/>
      <c r="D8" s="21"/>
      <c r="E8" s="21"/>
      <c r="F8" s="21"/>
      <c r="G8" s="21"/>
      <c r="H8" s="21"/>
      <c r="I8" s="21"/>
      <c r="J8" s="21"/>
      <c r="K8" s="21"/>
      <c r="L8" s="21"/>
      <c r="M8" s="21"/>
      <c r="N8" s="21"/>
      <c r="O8" s="21"/>
      <c r="P8" s="21"/>
      <c r="Q8" s="21"/>
      <c r="R8" s="21"/>
      <c r="S8" s="21"/>
      <c r="T8" s="21"/>
      <c r="U8" s="21"/>
    </row>
    <row r="9" customFormat="false" ht="15" hidden="false" customHeight="true" outlineLevel="0" collapsed="false">
      <c r="A9" s="22" t="s">
        <v>49</v>
      </c>
      <c r="B9" s="22"/>
      <c r="C9" s="22"/>
      <c r="D9" s="22"/>
      <c r="E9" s="22"/>
      <c r="F9" s="22"/>
      <c r="G9" s="22"/>
      <c r="H9" s="22"/>
      <c r="I9" s="23" t="s">
        <v>50</v>
      </c>
      <c r="J9" s="23"/>
      <c r="K9" s="23"/>
      <c r="L9" s="23"/>
      <c r="M9" s="23"/>
      <c r="N9" s="23"/>
      <c r="O9" s="23"/>
      <c r="P9" s="23"/>
      <c r="Q9" s="23"/>
      <c r="R9" s="23"/>
      <c r="S9" s="23"/>
      <c r="T9" s="23"/>
      <c r="U9" s="23"/>
    </row>
    <row r="10" customFormat="false" ht="22.35" hidden="false" customHeight="false" outlineLevel="0" collapsed="false">
      <c r="A10" s="24" t="s">
        <v>51</v>
      </c>
      <c r="B10" s="24" t="s">
        <v>52</v>
      </c>
      <c r="C10" s="24" t="s">
        <v>53</v>
      </c>
      <c r="D10" s="24" t="s">
        <v>54</v>
      </c>
      <c r="E10" s="24" t="s">
        <v>55</v>
      </c>
      <c r="F10" s="24" t="s">
        <v>56</v>
      </c>
      <c r="G10" s="24" t="s">
        <v>57</v>
      </c>
      <c r="H10" s="24" t="s">
        <v>58</v>
      </c>
      <c r="I10" s="25" t="s">
        <v>59</v>
      </c>
      <c r="J10" s="25" t="s">
        <v>60</v>
      </c>
      <c r="K10" s="25" t="s">
        <v>61</v>
      </c>
      <c r="L10" s="25" t="s">
        <v>62</v>
      </c>
      <c r="M10" s="25" t="s">
        <v>63</v>
      </c>
      <c r="N10" s="25" t="s">
        <v>64</v>
      </c>
      <c r="O10" s="25" t="s">
        <v>65</v>
      </c>
      <c r="P10" s="25" t="s">
        <v>66</v>
      </c>
      <c r="Q10" s="25" t="s">
        <v>67</v>
      </c>
      <c r="R10" s="25" t="s">
        <v>68</v>
      </c>
      <c r="S10" s="25" t="s">
        <v>69</v>
      </c>
      <c r="T10" s="25" t="s">
        <v>70</v>
      </c>
      <c r="U10" s="24" t="s">
        <v>71</v>
      </c>
    </row>
    <row r="11" customFormat="false" ht="15" hidden="false" customHeight="false" outlineLevel="0" collapsed="false">
      <c r="A11" s="26" t="s">
        <v>72</v>
      </c>
      <c r="B11" s="27" t="s">
        <v>73</v>
      </c>
      <c r="C11" s="28" t="n">
        <v>496000</v>
      </c>
      <c r="D11" s="28" t="n">
        <v>350000</v>
      </c>
      <c r="E11" s="28" t="n">
        <v>139200</v>
      </c>
      <c r="F11" s="29" t="n">
        <f aca="false">SUM(I11:T11)</f>
        <v>109000</v>
      </c>
      <c r="G11" s="29" t="n">
        <f aca="false">D11+F11</f>
        <v>459000</v>
      </c>
      <c r="H11" s="30" t="n">
        <f aca="false">C11-G11</f>
        <v>37000</v>
      </c>
      <c r="I11" s="28" t="n">
        <v>12000</v>
      </c>
      <c r="J11" s="28" t="n">
        <v>12000</v>
      </c>
      <c r="K11" s="28" t="n">
        <v>12000</v>
      </c>
      <c r="L11" s="28" t="n">
        <v>12000</v>
      </c>
      <c r="M11" s="28" t="n">
        <v>12000</v>
      </c>
      <c r="N11" s="28" t="n">
        <v>12000</v>
      </c>
      <c r="O11" s="28" t="n">
        <v>12000</v>
      </c>
      <c r="P11" s="28" t="n">
        <v>10000</v>
      </c>
      <c r="Q11" s="28" t="n">
        <v>8000</v>
      </c>
      <c r="R11" s="28" t="n">
        <v>5000</v>
      </c>
      <c r="S11" s="28" t="n">
        <v>2000</v>
      </c>
      <c r="T11" s="28" t="n">
        <v>0</v>
      </c>
      <c r="U11" s="29" t="n">
        <f aca="false">F11</f>
        <v>109000</v>
      </c>
    </row>
    <row r="12" customFormat="false" ht="15" hidden="false" customHeight="false" outlineLevel="0" collapsed="false">
      <c r="A12" s="26" t="s">
        <v>74</v>
      </c>
      <c r="B12" s="27" t="s">
        <v>75</v>
      </c>
      <c r="C12" s="28" t="n">
        <v>590000</v>
      </c>
      <c r="D12" s="28" t="n">
        <v>553000</v>
      </c>
      <c r="E12" s="28" t="n">
        <v>20500</v>
      </c>
      <c r="F12" s="29" t="n">
        <f aca="false">SUM(I12:T12)</f>
        <v>16500</v>
      </c>
      <c r="G12" s="29" t="n">
        <f aca="false">D12+F12</f>
        <v>569500</v>
      </c>
      <c r="H12" s="30" t="n">
        <f aca="false">C12-G12</f>
        <v>20500</v>
      </c>
      <c r="I12" s="28" t="n">
        <v>8000</v>
      </c>
      <c r="J12" s="28" t="n">
        <v>5000</v>
      </c>
      <c r="K12" s="28" t="n">
        <v>3500</v>
      </c>
      <c r="L12" s="28" t="n">
        <v>0</v>
      </c>
      <c r="M12" s="28" t="n">
        <v>0</v>
      </c>
      <c r="N12" s="28" t="n">
        <v>0</v>
      </c>
      <c r="O12" s="28" t="n">
        <v>0</v>
      </c>
      <c r="P12" s="28" t="n">
        <v>0</v>
      </c>
      <c r="Q12" s="28" t="n">
        <v>0</v>
      </c>
      <c r="R12" s="28" t="n">
        <v>0</v>
      </c>
      <c r="S12" s="28" t="n">
        <v>0</v>
      </c>
      <c r="T12" s="28" t="n">
        <v>0</v>
      </c>
      <c r="U12" s="29" t="n">
        <f aca="false">F12</f>
        <v>16500</v>
      </c>
    </row>
    <row r="13" customFormat="false" ht="15" hidden="false" customHeight="false" outlineLevel="0" collapsed="false">
      <c r="A13" s="26" t="s">
        <v>76</v>
      </c>
      <c r="B13" s="27" t="s">
        <v>77</v>
      </c>
      <c r="C13" s="28" t="n">
        <v>1180000</v>
      </c>
      <c r="D13" s="28" t="n">
        <v>702000</v>
      </c>
      <c r="E13" s="28" t="n">
        <v>328000</v>
      </c>
      <c r="F13" s="29" t="n">
        <f aca="false">SUM(I13:T13)</f>
        <v>150000</v>
      </c>
      <c r="G13" s="29" t="n">
        <f aca="false">D13+F13</f>
        <v>852000</v>
      </c>
      <c r="H13" s="30" t="n">
        <f aca="false">C13-G13</f>
        <v>328000</v>
      </c>
      <c r="I13" s="28" t="n">
        <v>42000</v>
      </c>
      <c r="J13" s="28" t="n">
        <v>38000</v>
      </c>
      <c r="K13" s="28" t="n">
        <v>35000</v>
      </c>
      <c r="L13" s="28" t="n">
        <v>25000</v>
      </c>
      <c r="M13" s="28" t="n">
        <v>10000</v>
      </c>
      <c r="N13" s="28" t="n">
        <v>0</v>
      </c>
      <c r="O13" s="28" t="n">
        <v>0</v>
      </c>
      <c r="P13" s="28" t="n">
        <v>0</v>
      </c>
      <c r="Q13" s="28" t="n">
        <v>0</v>
      </c>
      <c r="R13" s="28" t="n">
        <v>0</v>
      </c>
      <c r="S13" s="28" t="n">
        <v>0</v>
      </c>
      <c r="T13" s="28" t="n">
        <v>0</v>
      </c>
      <c r="U13" s="29" t="n">
        <f aca="false">F13</f>
        <v>150000</v>
      </c>
    </row>
    <row r="14" customFormat="false" ht="15" hidden="false" customHeight="false" outlineLevel="0" collapsed="false">
      <c r="A14" s="26" t="s">
        <v>78</v>
      </c>
      <c r="B14" s="27" t="s">
        <v>79</v>
      </c>
      <c r="C14" s="28" t="n">
        <v>865000</v>
      </c>
      <c r="D14" s="28" t="n">
        <v>235000</v>
      </c>
      <c r="E14" s="28" t="n">
        <v>558000</v>
      </c>
      <c r="F14" s="29" t="n">
        <f aca="false">SUM(I14:T14)</f>
        <v>342000</v>
      </c>
      <c r="G14" s="29" t="n">
        <f aca="false">D14+F14</f>
        <v>577000</v>
      </c>
      <c r="H14" s="30" t="n">
        <f aca="false">C14-G14</f>
        <v>288000</v>
      </c>
      <c r="I14" s="28" t="n">
        <v>18000</v>
      </c>
      <c r="J14" s="28" t="n">
        <v>25000</v>
      </c>
      <c r="K14" s="28" t="n">
        <v>35000</v>
      </c>
      <c r="L14" s="28" t="n">
        <v>42000</v>
      </c>
      <c r="M14" s="28" t="n">
        <v>48000</v>
      </c>
      <c r="N14" s="28" t="n">
        <v>55000</v>
      </c>
      <c r="O14" s="28" t="n">
        <v>45000</v>
      </c>
      <c r="P14" s="28" t="n">
        <v>35000</v>
      </c>
      <c r="Q14" s="28" t="n">
        <v>22000</v>
      </c>
      <c r="R14" s="28" t="n">
        <v>12000</v>
      </c>
      <c r="S14" s="28" t="n">
        <v>5000</v>
      </c>
      <c r="T14" s="28" t="n">
        <v>0</v>
      </c>
      <c r="U14" s="29" t="n">
        <f aca="false">F14</f>
        <v>342000</v>
      </c>
    </row>
    <row r="15" customFormat="false" ht="15" hidden="false" customHeight="false" outlineLevel="0" collapsed="false">
      <c r="A15" s="26" t="s">
        <v>80</v>
      </c>
      <c r="B15" s="27" t="s">
        <v>81</v>
      </c>
      <c r="C15" s="28" t="n">
        <v>218000</v>
      </c>
      <c r="D15" s="28" t="n">
        <v>15000</v>
      </c>
      <c r="E15" s="28" t="n">
        <v>140000</v>
      </c>
      <c r="F15" s="29" t="n">
        <f aca="false">SUM(I15:T15)</f>
        <v>123000</v>
      </c>
      <c r="G15" s="29" t="n">
        <f aca="false">D15+F15</f>
        <v>138000</v>
      </c>
      <c r="H15" s="30" t="n">
        <f aca="false">C15-G15</f>
        <v>80000</v>
      </c>
      <c r="I15" s="28" t="n">
        <v>0</v>
      </c>
      <c r="J15" s="28" t="n">
        <v>0</v>
      </c>
      <c r="K15" s="28" t="n">
        <v>5000</v>
      </c>
      <c r="L15" s="28" t="n">
        <v>10000</v>
      </c>
      <c r="M15" s="28" t="n">
        <v>18000</v>
      </c>
      <c r="N15" s="28" t="n">
        <v>22000</v>
      </c>
      <c r="O15" s="28" t="n">
        <v>25000</v>
      </c>
      <c r="P15" s="28" t="n">
        <v>20000</v>
      </c>
      <c r="Q15" s="28" t="n">
        <v>12000</v>
      </c>
      <c r="R15" s="28" t="n">
        <v>8000</v>
      </c>
      <c r="S15" s="28" t="n">
        <v>3000</v>
      </c>
      <c r="T15" s="28" t="n">
        <v>0</v>
      </c>
      <c r="U15" s="29" t="n">
        <f aca="false">F15</f>
        <v>123000</v>
      </c>
    </row>
    <row r="16" customFormat="false" ht="15" hidden="false" customHeight="false" outlineLevel="0" collapsed="false">
      <c r="A16" s="26" t="s">
        <v>82</v>
      </c>
      <c r="B16" s="27" t="s">
        <v>83</v>
      </c>
      <c r="C16" s="28" t="n">
        <v>375000</v>
      </c>
      <c r="D16" s="28" t="n">
        <v>42000</v>
      </c>
      <c r="E16" s="28" t="n">
        <v>0</v>
      </c>
      <c r="F16" s="29" t="n">
        <f aca="false">SUM(I16:T16)</f>
        <v>0</v>
      </c>
      <c r="G16" s="29" t="n">
        <f aca="false">D16+F16</f>
        <v>42000</v>
      </c>
      <c r="H16" s="30" t="n">
        <f aca="false">C16-G16</f>
        <v>333000</v>
      </c>
      <c r="I16" s="28" t="n">
        <v>0</v>
      </c>
      <c r="J16" s="28" t="n">
        <v>0</v>
      </c>
      <c r="K16" s="28" t="n">
        <v>0</v>
      </c>
      <c r="L16" s="28" t="n">
        <v>0</v>
      </c>
      <c r="M16" s="28" t="n">
        <v>0</v>
      </c>
      <c r="N16" s="28" t="n">
        <v>0</v>
      </c>
      <c r="O16" s="28" t="n">
        <v>0</v>
      </c>
      <c r="P16" s="28" t="n">
        <v>0</v>
      </c>
      <c r="Q16" s="28" t="n">
        <v>0</v>
      </c>
      <c r="R16" s="28" t="n">
        <v>0</v>
      </c>
      <c r="S16" s="28" t="n">
        <v>0</v>
      </c>
      <c r="T16" s="28" t="n">
        <v>0</v>
      </c>
      <c r="U16" s="29" t="n">
        <f aca="false">F16</f>
        <v>0</v>
      </c>
    </row>
    <row r="17" customFormat="false" ht="15" hidden="false" customHeight="false" outlineLevel="0" collapsed="false">
      <c r="A17" s="31"/>
      <c r="B17" s="32"/>
      <c r="C17" s="28"/>
      <c r="D17" s="28"/>
      <c r="E17" s="28"/>
      <c r="F17" s="33" t="n">
        <f aca="false">SUM(I17:T17)</f>
        <v>0</v>
      </c>
      <c r="G17" s="33" t="n">
        <f aca="false">D17+F17</f>
        <v>0</v>
      </c>
      <c r="H17" s="34" t="n">
        <f aca="false">C17-G17</f>
        <v>0</v>
      </c>
      <c r="I17" s="28"/>
      <c r="J17" s="28"/>
      <c r="K17" s="28"/>
      <c r="L17" s="28"/>
      <c r="M17" s="28"/>
      <c r="N17" s="28"/>
      <c r="O17" s="28"/>
      <c r="P17" s="28"/>
      <c r="Q17" s="28"/>
      <c r="R17" s="28"/>
      <c r="S17" s="28"/>
      <c r="T17" s="28"/>
      <c r="U17" s="33" t="n">
        <f aca="false">F17</f>
        <v>0</v>
      </c>
    </row>
    <row r="18" customFormat="false" ht="15" hidden="false" customHeight="false" outlineLevel="0" collapsed="false">
      <c r="A18" s="31"/>
      <c r="B18" s="32"/>
      <c r="C18" s="28"/>
      <c r="D18" s="28"/>
      <c r="E18" s="28"/>
      <c r="F18" s="33" t="n">
        <f aca="false">SUM(I18:T18)</f>
        <v>0</v>
      </c>
      <c r="G18" s="33" t="n">
        <f aca="false">D18+F18</f>
        <v>0</v>
      </c>
      <c r="H18" s="34" t="n">
        <f aca="false">C18-G18</f>
        <v>0</v>
      </c>
      <c r="I18" s="28"/>
      <c r="J18" s="28"/>
      <c r="K18" s="28"/>
      <c r="L18" s="28"/>
      <c r="M18" s="28"/>
      <c r="N18" s="28"/>
      <c r="O18" s="28"/>
      <c r="P18" s="28"/>
      <c r="Q18" s="28"/>
      <c r="R18" s="28"/>
      <c r="S18" s="28"/>
      <c r="T18" s="28"/>
      <c r="U18" s="33" t="n">
        <f aca="false">F18</f>
        <v>0</v>
      </c>
    </row>
    <row r="19" customFormat="false" ht="15" hidden="false" customHeight="false" outlineLevel="0" collapsed="false">
      <c r="A19" s="31"/>
      <c r="B19" s="32"/>
      <c r="C19" s="28"/>
      <c r="D19" s="28"/>
      <c r="E19" s="28"/>
      <c r="F19" s="33" t="n">
        <f aca="false">SUM(I19:T19)</f>
        <v>0</v>
      </c>
      <c r="G19" s="33" t="n">
        <f aca="false">D19+F19</f>
        <v>0</v>
      </c>
      <c r="H19" s="34" t="n">
        <f aca="false">C19-G19</f>
        <v>0</v>
      </c>
      <c r="I19" s="28"/>
      <c r="J19" s="28"/>
      <c r="K19" s="28"/>
      <c r="L19" s="28"/>
      <c r="M19" s="28"/>
      <c r="N19" s="28"/>
      <c r="O19" s="28"/>
      <c r="P19" s="28"/>
      <c r="Q19" s="28"/>
      <c r="R19" s="28"/>
      <c r="S19" s="28"/>
      <c r="T19" s="28"/>
      <c r="U19" s="33" t="n">
        <f aca="false">F19</f>
        <v>0</v>
      </c>
    </row>
    <row r="20" customFormat="false" ht="15" hidden="false" customHeight="false" outlineLevel="0" collapsed="false">
      <c r="A20" s="31"/>
      <c r="B20" s="32"/>
      <c r="C20" s="28"/>
      <c r="D20" s="28"/>
      <c r="E20" s="28"/>
      <c r="F20" s="33" t="n">
        <f aca="false">SUM(I20:T20)</f>
        <v>0</v>
      </c>
      <c r="G20" s="33" t="n">
        <f aca="false">D20+F20</f>
        <v>0</v>
      </c>
      <c r="H20" s="34" t="n">
        <f aca="false">C20-G20</f>
        <v>0</v>
      </c>
      <c r="I20" s="28"/>
      <c r="J20" s="28"/>
      <c r="K20" s="28"/>
      <c r="L20" s="28"/>
      <c r="M20" s="28"/>
      <c r="N20" s="28"/>
      <c r="O20" s="28"/>
      <c r="P20" s="28"/>
      <c r="Q20" s="28"/>
      <c r="R20" s="28"/>
      <c r="S20" s="28"/>
      <c r="T20" s="28"/>
      <c r="U20" s="33" t="n">
        <f aca="false">F20</f>
        <v>0</v>
      </c>
    </row>
    <row r="21" customFormat="false" ht="15" hidden="false" customHeight="false" outlineLevel="0" collapsed="false">
      <c r="A21" s="35"/>
      <c r="B21" s="36" t="s">
        <v>84</v>
      </c>
      <c r="C21" s="37" t="n">
        <f aca="false">SUM(C11:C20)</f>
        <v>3724000</v>
      </c>
      <c r="D21" s="37" t="n">
        <f aca="false">SUM(D11:D20)</f>
        <v>1897000</v>
      </c>
      <c r="E21" s="37" t="n">
        <f aca="false">SUM(E11:E20)</f>
        <v>1185700</v>
      </c>
      <c r="F21" s="37" t="n">
        <f aca="false">SUM(F11:F20)</f>
        <v>740500</v>
      </c>
      <c r="G21" s="37" t="n">
        <f aca="false">SUM(G11:G20)</f>
        <v>2637500</v>
      </c>
      <c r="H21" s="38" t="n">
        <f aca="false">SUM(H11:H20)</f>
        <v>1086500</v>
      </c>
      <c r="I21" s="37" t="n">
        <f aca="false">SUM(I11:I20)</f>
        <v>80000</v>
      </c>
      <c r="J21" s="37" t="n">
        <f aca="false">SUM(J11:J20)</f>
        <v>80000</v>
      </c>
      <c r="K21" s="37" t="n">
        <f aca="false">SUM(K11:K20)</f>
        <v>90500</v>
      </c>
      <c r="L21" s="37" t="n">
        <f aca="false">SUM(L11:L20)</f>
        <v>89000</v>
      </c>
      <c r="M21" s="37" t="n">
        <f aca="false">SUM(M11:M20)</f>
        <v>88000</v>
      </c>
      <c r="N21" s="37" t="n">
        <f aca="false">SUM(N11:N20)</f>
        <v>89000</v>
      </c>
      <c r="O21" s="37" t="n">
        <f aca="false">SUM(O11:O20)</f>
        <v>82000</v>
      </c>
      <c r="P21" s="37" t="n">
        <f aca="false">SUM(P11:P20)</f>
        <v>65000</v>
      </c>
      <c r="Q21" s="37" t="n">
        <f aca="false">SUM(Q11:Q20)</f>
        <v>42000</v>
      </c>
      <c r="R21" s="37" t="n">
        <f aca="false">SUM(R11:R20)</f>
        <v>25000</v>
      </c>
      <c r="S21" s="37" t="n">
        <f aca="false">SUM(S11:S20)</f>
        <v>10000</v>
      </c>
      <c r="T21" s="37" t="n">
        <f aca="false">SUM(T11:T20)</f>
        <v>0</v>
      </c>
      <c r="U21" s="37" t="n">
        <f aca="false">SUM(U11:U20)</f>
        <v>740500</v>
      </c>
    </row>
    <row r="22" customFormat="false" ht="15" hidden="false" customHeight="false" outlineLevel="0" collapsed="false">
      <c r="A22" s="39"/>
      <c r="B22" s="40" t="s">
        <v>85</v>
      </c>
      <c r="C22" s="39"/>
      <c r="D22" s="39"/>
      <c r="E22" s="39"/>
      <c r="F22" s="39"/>
      <c r="G22" s="39"/>
      <c r="H22" s="39"/>
      <c r="I22" s="41" t="n">
        <f aca="false">D21+I21</f>
        <v>1977000</v>
      </c>
      <c r="J22" s="41" t="n">
        <f aca="false">I22+J21</f>
        <v>2057000</v>
      </c>
      <c r="K22" s="41" t="n">
        <f aca="false">J22+K21</f>
        <v>2147500</v>
      </c>
      <c r="L22" s="41" t="n">
        <f aca="false">K22+L21</f>
        <v>2236500</v>
      </c>
      <c r="M22" s="41" t="n">
        <f aca="false">L22+M21</f>
        <v>2324500</v>
      </c>
      <c r="N22" s="41" t="n">
        <f aca="false">M22+N21</f>
        <v>2413500</v>
      </c>
      <c r="O22" s="41" t="n">
        <f aca="false">N22+O21</f>
        <v>2495500</v>
      </c>
      <c r="P22" s="41" t="n">
        <f aca="false">O22+P21</f>
        <v>2560500</v>
      </c>
      <c r="Q22" s="41" t="n">
        <f aca="false">P22+Q21</f>
        <v>2602500</v>
      </c>
      <c r="R22" s="41" t="n">
        <f aca="false">Q22+R21</f>
        <v>2627500</v>
      </c>
      <c r="S22" s="41" t="n">
        <f aca="false">R22+S21</f>
        <v>2637500</v>
      </c>
      <c r="T22" s="41" t="n">
        <f aca="false">S22+T21</f>
        <v>2637500</v>
      </c>
      <c r="U22" s="41" t="n">
        <f aca="false">T22</f>
        <v>2637500</v>
      </c>
    </row>
  </sheetData>
  <mergeCells count="17">
    <mergeCell ref="A1:U1"/>
    <mergeCell ref="A3:B3"/>
    <mergeCell ref="C3:D3"/>
    <mergeCell ref="E3:F3"/>
    <mergeCell ref="G3:U3"/>
    <mergeCell ref="A4:B4"/>
    <mergeCell ref="C4:D4"/>
    <mergeCell ref="E4:F4"/>
    <mergeCell ref="G4:U6"/>
    <mergeCell ref="A5:B5"/>
    <mergeCell ref="C5:D5"/>
    <mergeCell ref="E5:F5"/>
    <mergeCell ref="A6:B6"/>
    <mergeCell ref="C6:D6"/>
    <mergeCell ref="E6:F6"/>
    <mergeCell ref="A9:H9"/>
    <mergeCell ref="I9:U9"/>
  </mergeCells>
  <conditionalFormatting sqref="H11:H20">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H21">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E6:F6">
    <cfRule type="expression" priority="6" aboveAverage="0" equalAverage="0" bottom="0" percent="0" rank="0" text="" dxfId="0">
      <formula>E6&lt;0</formula>
    </cfRule>
    <cfRule type="expression" priority="7" aboveAverage="0" equalAverage="0" bottom="0" percent="0" rank="0" text="" dxfId="1">
      <formula>E6&gt;0</formula>
    </cfRule>
  </conditionalFormatting>
  <conditionalFormatting sqref="I11:T20">
    <cfRule type="expression" priority="8" aboveAverage="0" equalAverage="0" bottom="0" percent="0" rank="0" text="" dxfId="2">
      <formula>I11&gt;0</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&amp;CCost-to-Complete Forecast</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42" t="s">
        <v>86</v>
      </c>
    </row>
    <row r="2" customFormat="false" ht="15" hidden="false" customHeight="false" outlineLevel="0" collapsed="false">
      <c r="A2" s="42"/>
    </row>
    <row r="3" customFormat="false" ht="15" hidden="false" customHeight="false" outlineLevel="0" collapsed="false">
      <c r="A3" s="42" t="s">
        <v>87</v>
      </c>
    </row>
    <row r="4" customFormat="false" ht="15" hidden="false" customHeight="false" outlineLevel="0" collapsed="false">
      <c r="A4" s="42"/>
    </row>
    <row r="5" customFormat="false" ht="15" hidden="false" customHeight="false" outlineLevel="0" collapsed="false">
      <c r="A5" s="42" t="s">
        <v>88</v>
      </c>
    </row>
    <row r="6" customFormat="false" ht="15" hidden="false" customHeight="false" outlineLevel="0" collapsed="false">
      <c r="A6" s="42"/>
    </row>
    <row r="7" customFormat="false" ht="15" hidden="false" customHeight="false" outlineLevel="0" collapsed="false">
      <c r="A7" s="42" t="s">
        <v>89</v>
      </c>
    </row>
    <row r="8" customFormat="false" ht="15" hidden="false" customHeight="false" outlineLevel="0" collapsed="false">
      <c r="A8" s="42"/>
    </row>
    <row r="9" customFormat="false" ht="15" hidden="false" customHeight="false" outlineLevel="0" collapsed="false">
      <c r="A9" s="42" t="s">
        <v>90</v>
      </c>
    </row>
    <row r="10" customFormat="false" ht="15" hidden="false" customHeight="false" outlineLevel="0" collapsed="false">
      <c r="A10" s="42"/>
    </row>
    <row r="11" customFormat="false" ht="15" hidden="false" customHeight="false" outlineLevel="0" collapsed="false">
      <c r="A11" s="42" t="s">
        <v>91</v>
      </c>
    </row>
    <row r="12" customFormat="false" ht="15" hidden="false" customHeight="false" outlineLevel="0" collapsed="false">
      <c r="A12" s="42"/>
    </row>
    <row r="13" customFormat="false" ht="15" hidden="false" customHeight="false" outlineLevel="0" collapsed="false">
      <c r="A13" s="42" t="s">
        <v>92</v>
      </c>
    </row>
    <row r="14" customFormat="false" ht="15" hidden="false" customHeight="false" outlineLevel="0" collapsed="false">
      <c r="A14" s="42"/>
    </row>
    <row r="15" customFormat="false" ht="15" hidden="false" customHeight="false" outlineLevel="0" collapsed="false">
      <c r="A15" s="42" t="s">
        <v>93</v>
      </c>
    </row>
    <row r="16" customFormat="false" ht="15" hidden="false" customHeight="false" outlineLevel="0" collapsed="false">
      <c r="A16" s="42"/>
    </row>
    <row r="17" customFormat="false" ht="15" hidden="false" customHeight="false" outlineLevel="0" collapsed="false">
      <c r="A17" s="4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2026-03-22T22:02:27Z</dcterms:created>
  <dc:creator>Ebrora Ltd</dc:creator>
  <dc:description>Time-phased monthly cost forecast grid with automatic EAC calculation, variance tracking, and cumulative S-curve totals by category, designed for UK construction QS, commercial managers and project controllers.
Free professional construction management template from Ebrora Ltd. Visit ebrora.com for our full range of tools and templates.</dc:description>
  <cp:keywords>Ebrora construction cost to complete CTC EAC forecast cashflow S-curve commercial cost control</cp:keywords>
  <dc:language>en-US</dc:language>
  <cp:lastModifiedBy>Ebrora Ltd</cp:lastModifiedBy>
  <dcterms:modified xsi:type="dcterms:W3CDTF">2026-03-22T22:02:27Z</dcterms:modified>
  <cp:revision>0</cp:revision>
  <dc:subject>Time-phased monthly cost-to-complete forecast with EAC calculation, variance tracking, and cumulative cashflow projections.</dc:subject>
  <dc:title>Cost-to-Complete Forecast Sheet</dc:title>
</cp:coreProperties>
</file>

<file path=docProps/custom.xml><?xml version="1.0" encoding="utf-8"?>
<Properties xmlns="http://schemas.openxmlformats.org/officeDocument/2006/custom-properties" xmlns:vt="http://schemas.openxmlformats.org/officeDocument/2006/docPropsVTypes"/>
</file>