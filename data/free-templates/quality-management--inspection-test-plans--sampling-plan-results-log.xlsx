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ampling Plan"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'Sampling Plan'!$A$1:$T$20</definedName>
    <definedName function="false" hidden="false" localSheetId="2" name="_xlnm.Print_Titles" vbProcedure="false">'Sampling Plan'!$A:$F,'Sampling Plan'!$1:$1</definedName>
    <definedName function="false" hidden="false" localSheetId="2" name="_xlnm.Print_Titles" vbProcedure="false">'Sampling Plan'!$1:$1,'Sampling Plan'!$A:$F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<sst xmlns="http://schemas.openxmlformats.org/spreadsheetml/2006/main" count="139" uniqueCount="91">
  <si>
    <t xml:space="preserve">EBRORA</t>
  </si>
  <si>
    <t xml:space="preserve">ebrora.com</t>
  </si>
  <si>
    <t xml:space="preserve">Sampling Plan</t>
  </si>
  <si>
    <t xml:space="preserve">&amp; Results Log</t>
  </si>
  <si>
    <t xml:space="preserve">Plan sampling locations, frequencies, and record lab results</t>
  </si>
  <si>
    <t xml:space="preserve">against consent limits across weekly time periods.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</si>
  <si>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</si>
  <si>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</si>
  <si>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</si>
  <si>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</si>
  <si>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</si>
  <si>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</si>
  <si>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'Sampling Plan' sheet. Rows are sampling points/parameters; columns G onwards are weekly periods.</t>
  </si>
  <si>
    <t xml:space="preserve">2.</t>
  </si>
  <si>
    <t xml:space="preserve">Columns A–F define each requirement: Location, Sample Point ID, Parameter, Unit, Consent Limit, and Frequency.</t>
  </si>
  <si>
    <t xml:space="preserve">3.</t>
  </si>
  <si>
    <t xml:space="preserve">Enter lab results in the light teal weekly cells when received. Results auto-colour against the consent limit.</t>
  </si>
  <si>
    <t xml:space="preserve">4.</t>
  </si>
  <si>
    <t xml:space="preserve">The summary row counts how many results have been entered per week — use this to chase outstanding lab reports.</t>
  </si>
  <si>
    <t xml:space="preserve">5.</t>
  </si>
  <si>
    <t xml:space="preserve">The Compliance % column calculates what proportion of results are within the consent limit for each parameter.</t>
  </si>
  <si>
    <t xml:space="preserve">6.</t>
  </si>
  <si>
    <t xml:space="preserve">The Completion % column shows how many weeks have results recorded vs total weeks available.</t>
  </si>
  <si>
    <t xml:space="preserve">7.</t>
  </si>
  <si>
    <t xml:space="preserve">Rows without a consent limit (e.g., inlet monitoring) still track results but show 'N/A' for compliance.</t>
  </si>
  <si>
    <t xml:space="preserve">Colour Key</t>
  </si>
  <si>
    <t xml:space="preserve">Light teal cells (#E8F6F7) = Enter lab results here</t>
  </si>
  <si>
    <t xml:space="preserve">Dark navy headers (#1B2A4A) = Do not edit</t>
  </si>
  <si>
    <t xml:space="preserve">Green = Result well within consent limit (&lt;80% of limit)</t>
  </si>
  <si>
    <t xml:space="preserve">Amber = Result approaching consent limit (80–100% of limit)</t>
  </si>
  <si>
    <t xml:space="preserve">Red = Result exceeds consent limit (Fail)</t>
  </si>
  <si>
    <t xml:space="preserve">Tips</t>
  </si>
  <si>
    <t xml:space="preserve">Tip 1:</t>
  </si>
  <si>
    <t xml:space="preserve">Set up the plan at the start of commissioning and share with the lab so they can schedule around your frequency.</t>
  </si>
  <si>
    <t xml:space="preserve">Tip 2:</t>
  </si>
  <si>
    <t xml:space="preserve">Print this weekly and pin it in the site office. A visible plan gets samples taken; a buried spreadsheet doesn't.</t>
  </si>
  <si>
    <t xml:space="preserve">Tip 3:</t>
  </si>
  <si>
    <t xml:space="preserve">For EA visits, filter to show only non-compliant results to demonstrate you're tracking and responding to failures.</t>
  </si>
  <si>
    <t xml:space="preserve">Location</t>
  </si>
  <si>
    <t xml:space="preserve">Sample Point ID</t>
  </si>
  <si>
    <t xml:space="preserve">Parameter</t>
  </si>
  <si>
    <t xml:space="preserve">Unit</t>
  </si>
  <si>
    <t xml:space="preserve">Consent Limit</t>
  </si>
  <si>
    <t xml:space="preserve">Frequency</t>
  </si>
  <si>
    <t xml:space="preserve">W/C 05/01</t>
  </si>
  <si>
    <t xml:space="preserve">W/C 12/01</t>
  </si>
  <si>
    <t xml:space="preserve">W/C 19/01</t>
  </si>
  <si>
    <t xml:space="preserve">W/C 26/01</t>
  </si>
  <si>
    <t xml:space="preserve">W/C 02/02</t>
  </si>
  <si>
    <t xml:space="preserve">W/C 09/02</t>
  </si>
  <si>
    <t xml:space="preserve">W/C 16/02</t>
  </si>
  <si>
    <t xml:space="preserve">W/C 23/02</t>
  </si>
  <si>
    <t xml:space="preserve">W/C 02/03</t>
  </si>
  <si>
    <t xml:space="preserve">W/C 09/03</t>
  </si>
  <si>
    <t xml:space="preserve">W/C 16/03</t>
  </si>
  <si>
    <t xml:space="preserve">W/C 23/03</t>
  </si>
  <si>
    <t xml:space="preserve">Compliance %</t>
  </si>
  <si>
    <t xml:space="preserve">Completion %</t>
  </si>
  <si>
    <t xml:space="preserve">SUMMARY</t>
  </si>
  <si>
    <t xml:space="preserve">Results Recorded:</t>
  </si>
  <si>
    <t xml:space="preserve">Final Effluent</t>
  </si>
  <si>
    <t xml:space="preserve">FE-01</t>
  </si>
  <si>
    <t xml:space="preserve">BOD</t>
  </si>
  <si>
    <t xml:space="preserve">mg/l</t>
  </si>
  <si>
    <t xml:space="preserve">Weekly</t>
  </si>
  <si>
    <t xml:space="preserve">Suspended Solids</t>
  </si>
  <si>
    <t xml:space="preserve">Ammonia</t>
  </si>
  <si>
    <t xml:space="preserve">Total Phosphorus</t>
  </si>
  <si>
    <t xml:space="preserve">pH</t>
  </si>
  <si>
    <t xml:space="preserve">Total Nitrogen</t>
  </si>
  <si>
    <t xml:space="preserve">Fortnightly</t>
  </si>
  <si>
    <t xml:space="preserve">Storm Overflow</t>
  </si>
  <si>
    <t xml:space="preserve">SO-01</t>
  </si>
  <si>
    <t xml:space="preserve">Per event</t>
  </si>
  <si>
    <t xml:space="preserve">Inlet Works</t>
  </si>
  <si>
    <t xml:space="preserve">IW-01</t>
  </si>
  <si>
    <t xml:space="preserve">Return Liquors</t>
  </si>
  <si>
    <t xml:space="preserve">RL-01</t>
  </si>
  <si>
    <t xml:space="preserve">Sludge Holding Tank</t>
  </si>
  <si>
    <t xml:space="preserve">SH-01</t>
  </si>
  <si>
    <t xml:space="preserve">Dry Solids %</t>
  </si>
  <si>
    <t xml:space="preserve">%</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</si>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</sst>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00"/>
    <numFmt numFmtId="167"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1"/>
      <color rgb="FFFFFFFF"/>
      <name val="Calibri"/>
      <family val="0"/>
      <charset val="1"/>
    </font>
    <font>
      <b val="true"/>
      <sz val="10"/>
      <color rgb="FF2AABB3"/>
      <name val="Calibri"/>
      <family val="0"/>
      <charset val="1"/>
    </font>
    <font>
      <b val="true"/>
      <sz val="9"/>
      <color rgb="FF1B2A4A"/>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5" fontId="13"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center" textRotation="0" wrapText="true" indent="0" shrinkToFit="false"/>
      <protection locked="true" hidden="false"/>
    </xf>
    <xf numFmtId="166" fontId="11" fillId="4" borderId="2" xfId="0" applyFont="true" applyBorder="true" applyAlignment="true" applyProtection="false">
      <alignment horizontal="center" vertical="center" textRotation="0" wrapText="true" indent="0" shrinkToFit="false"/>
      <protection locked="true" hidden="false"/>
    </xf>
    <xf numFmtId="167" fontId="13" fillId="0" borderId="2" xfId="0" applyFont="true" applyBorder="true" applyAlignment="true" applyProtection="false">
      <alignment horizontal="center" vertical="center" textRotation="0" wrapText="true" indent="0" shrinkToFit="false"/>
      <protection locked="true" hidden="false"/>
    </xf>
    <xf numFmtId="167" fontId="11" fillId="0"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5.05" hidden="false" customHeight="true" outlineLevel="0" collapsed="false">
      <c r="A6" s="5" t="s">
        <v>2</v>
      </c>
      <c r="B6" s="5"/>
      <c r="C6" s="5"/>
      <c r="D6" s="5"/>
      <c r="E6" s="5"/>
      <c r="F6" s="5"/>
      <c r="G6" s="5"/>
      <c r="H6" s="5"/>
    </row>
    <row r="7" customFormat="false" ht="35.05" hidden="false" customHeight="true" outlineLevel="0" collapsed="false">
      <c r="A7" s="5" t="s">
        <v>3</v>
      </c>
      <c r="B7" s="5"/>
      <c r="C7" s="5"/>
      <c r="D7" s="5"/>
      <c r="E7" s="5"/>
      <c r="F7" s="5"/>
      <c r="G7" s="5"/>
      <c r="H7" s="5"/>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6" t="s">
        <v>4</v>
      </c>
      <c r="B10" s="6"/>
      <c r="C10" s="6"/>
      <c r="D10" s="6"/>
      <c r="E10" s="6"/>
      <c r="F10" s="6"/>
      <c r="G10" s="6"/>
      <c r="H10" s="6"/>
    </row>
    <row r="11" customFormat="false" ht="15" hidden="false" customHeight="true" outlineLevel="0" collapsed="false">
      <c r="A11" s="6" t="s">
        <v>5</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6</v>
      </c>
      <c r="B15" s="8"/>
      <c r="C15" s="8"/>
      <c r="D15" s="8"/>
      <c r="E15" s="8"/>
      <c r="F15" s="8"/>
      <c r="G15" s="8"/>
      <c r="H15" s="8"/>
    </row>
    <row r="16" customFormat="false" ht="15" hidden="false" customHeight="true" outlineLevel="0" collapsed="false">
      <c r="A16" s="8" t="s">
        <v>7</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8</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0" t="s">
        <v>9</v>
      </c>
      <c r="B1" s="10"/>
      <c r="C1" s="10"/>
      <c r="D1" s="10"/>
      <c r="E1" s="10"/>
      <c r="F1" s="10"/>
    </row>
    <row r="3" customFormat="false" ht="15" hidden="false" customHeight="false" outlineLevel="0" collapsed="false">
      <c r="A3" s="11"/>
      <c r="B3" s="12"/>
    </row>
    <row r="4" customFormat="false" ht="15" hidden="false" customHeight="false" outlineLevel="0" collapsed="false">
      <c r="A4" s="13" t="s">
        <v>10</v>
      </c>
      <c r="B4" s="12"/>
    </row>
    <row r="5" customFormat="false" ht="15" hidden="false" customHeight="false" outlineLevel="0" collapsed="false">
      <c r="A5" s="11" t="s">
        <v>11</v>
      </c>
      <c r="B5" s="12" t="s">
        <v>12</v>
      </c>
    </row>
    <row r="6" customFormat="false" ht="15" hidden="false" customHeight="false" outlineLevel="0" collapsed="false">
      <c r="A6" s="11" t="s">
        <v>13</v>
      </c>
      <c r="B6" s="12" t="s">
        <v>14</v>
      </c>
    </row>
    <row r="7" customFormat="false" ht="15" hidden="false" customHeight="false" outlineLevel="0" collapsed="false">
      <c r="A7" s="11" t="s">
        <v>15</v>
      </c>
      <c r="B7" s="12" t="s">
        <v>16</v>
      </c>
    </row>
    <row r="8" customFormat="false" ht="15" hidden="false" customHeight="false" outlineLevel="0" collapsed="false">
      <c r="A8" s="11" t="s">
        <v>17</v>
      </c>
      <c r="B8" s="12" t="s">
        <v>18</v>
      </c>
    </row>
    <row r="9" customFormat="false" ht="15" hidden="false" customHeight="false" outlineLevel="0" collapsed="false">
      <c r="A9" s="11" t="s">
        <v>19</v>
      </c>
      <c r="B9" s="12" t="s">
        <v>20</v>
      </c>
    </row>
    <row r="10" customFormat="false" ht="15" hidden="false" customHeight="false" outlineLevel="0" collapsed="false">
      <c r="A10" s="11" t="s">
        <v>21</v>
      </c>
      <c r="B10" s="12" t="s">
        <v>22</v>
      </c>
    </row>
    <row r="11" customFormat="false" ht="15" hidden="false" customHeight="false" outlineLevel="0" collapsed="false">
      <c r="A11" s="11" t="s">
        <v>23</v>
      </c>
      <c r="B11" s="12" t="s">
        <v>24</v>
      </c>
    </row>
    <row r="12" customFormat="false" ht="15" hidden="false" customHeight="false" outlineLevel="0" collapsed="false">
      <c r="A12" s="11"/>
      <c r="B12" s="12"/>
    </row>
    <row r="13" customFormat="false" ht="15" hidden="false" customHeight="false" outlineLevel="0" collapsed="false">
      <c r="A13" s="13" t="s">
        <v>25</v>
      </c>
      <c r="B13" s="12"/>
    </row>
    <row r="14" customFormat="false" ht="15" hidden="false" customHeight="false" outlineLevel="0" collapsed="false">
      <c r="A14" s="11"/>
      <c r="B14" s="12" t="s">
        <v>26</v>
      </c>
    </row>
    <row r="15" customFormat="false" ht="15" hidden="false" customHeight="false" outlineLevel="0" collapsed="false">
      <c r="A15" s="11"/>
      <c r="B15" s="12" t="s">
        <v>27</v>
      </c>
    </row>
    <row r="16" customFormat="false" ht="15" hidden="false" customHeight="false" outlineLevel="0" collapsed="false">
      <c r="A16" s="11"/>
      <c r="B16" s="12" t="s">
        <v>28</v>
      </c>
    </row>
    <row r="17" customFormat="false" ht="15" hidden="false" customHeight="false" outlineLevel="0" collapsed="false">
      <c r="A17" s="11"/>
      <c r="B17" s="12" t="s">
        <v>29</v>
      </c>
    </row>
    <row r="18" customFormat="false" ht="15" hidden="false" customHeight="false" outlineLevel="0" collapsed="false">
      <c r="A18" s="11"/>
      <c r="B18" s="12" t="s">
        <v>30</v>
      </c>
    </row>
    <row r="19" customFormat="false" ht="15" hidden="false" customHeight="false" outlineLevel="0" collapsed="false">
      <c r="A19" s="11"/>
      <c r="B19" s="12"/>
    </row>
    <row r="20" customFormat="false" ht="15" hidden="false" customHeight="false" outlineLevel="0" collapsed="false">
      <c r="A20" s="13" t="s">
        <v>31</v>
      </c>
      <c r="B20" s="12"/>
    </row>
    <row r="21" customFormat="false" ht="15" hidden="false" customHeight="false" outlineLevel="0" collapsed="false">
      <c r="A21" s="14" t="s">
        <v>32</v>
      </c>
      <c r="B21" s="12" t="s">
        <v>33</v>
      </c>
    </row>
    <row r="22" customFormat="false" ht="15" hidden="false" customHeight="false" outlineLevel="0" collapsed="false">
      <c r="A22" s="14" t="s">
        <v>34</v>
      </c>
      <c r="B22" s="12" t="s">
        <v>35</v>
      </c>
    </row>
    <row r="23" customFormat="false" ht="15" hidden="false" customHeight="false" outlineLevel="0" collapsed="false">
      <c r="A23" s="14" t="s">
        <v>36</v>
      </c>
      <c r="B23" s="12" t="s">
        <v>37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3" topLeftCell="G4" activePane="bottomRight" state="frozen"/>
      <selection pane="topLeft" activeCell="A1" activeCellId="0" sqref="A1"/>
      <selection pane="topRight" activeCell="G1" activeCellId="0" sqref="G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20"/>
    <col collapsed="false" customWidth="true" hidden="false" outlineLevel="0" max="4" min="4" style="0" width="8"/>
    <col collapsed="false" customWidth="true" hidden="false" outlineLevel="0" max="6" min="5" style="0" width="14"/>
    <col collapsed="false" customWidth="true" hidden="false" outlineLevel="0" max="18" min="7" style="0" width="12"/>
    <col collapsed="false" customWidth="true" hidden="false" outlineLevel="0" max="20" min="19" style="0" width="14"/>
  </cols>
  <sheetData>
    <row r="1" customFormat="false" ht="15" hidden="false" customHeight="false" outlineLevel="0" collapsed="false">
      <c r="A1" s="15" t="s">
        <v>38</v>
      </c>
      <c r="B1" s="15" t="s">
        <v>39</v>
      </c>
      <c r="C1" s="15" t="s">
        <v>40</v>
      </c>
      <c r="D1" s="15" t="s">
        <v>41</v>
      </c>
      <c r="E1" s="15" t="s">
        <v>42</v>
      </c>
      <c r="F1" s="15" t="s">
        <v>43</v>
      </c>
      <c r="G1" s="15" t="s">
        <v>44</v>
      </c>
      <c r="H1" s="15" t="s">
        <v>45</v>
      </c>
      <c r="I1" s="15" t="s">
        <v>46</v>
      </c>
      <c r="J1" s="15" t="s">
        <v>47</v>
      </c>
      <c r="K1" s="15" t="s">
        <v>48</v>
      </c>
      <c r="L1" s="15" t="s">
        <v>49</v>
      </c>
      <c r="M1" s="15" t="s">
        <v>50</v>
      </c>
      <c r="N1" s="15" t="s">
        <v>51</v>
      </c>
      <c r="O1" s="15" t="s">
        <v>52</v>
      </c>
      <c r="P1" s="15" t="s">
        <v>53</v>
      </c>
      <c r="Q1" s="15" t="s">
        <v>54</v>
      </c>
      <c r="R1" s="15" t="s">
        <v>55</v>
      </c>
      <c r="S1" s="15" t="s">
        <v>56</v>
      </c>
      <c r="T1" s="15" t="s">
        <v>57</v>
      </c>
    </row>
    <row r="2" customFormat="false" ht="15" hidden="false" customHeight="false" outlineLevel="0" collapsed="false">
      <c r="A2" s="16" t="s">
        <v>58</v>
      </c>
      <c r="C2" s="17" t="s">
        <v>59</v>
      </c>
      <c r="G2" s="18" t="n">
        <f aca="false">COUNTA(G4:G30)</f>
        <v>9</v>
      </c>
      <c r="H2" s="18" t="n">
        <f aca="false">COUNTA(H4:H30)</f>
        <v>8</v>
      </c>
      <c r="I2" s="18" t="n">
        <f aca="false">COUNTA(I4:I30)</f>
        <v>9</v>
      </c>
      <c r="J2" s="18" t="n">
        <f aca="false">COUNTA(J4:J30)</f>
        <v>8</v>
      </c>
      <c r="K2" s="18" t="n">
        <f aca="false">COUNTA(K4:K30)</f>
        <v>0</v>
      </c>
      <c r="L2" s="18" t="n">
        <f aca="false">COUNTA(L4:L30)</f>
        <v>0</v>
      </c>
      <c r="M2" s="18" t="n">
        <f aca="false">COUNTA(M4:M30)</f>
        <v>0</v>
      </c>
      <c r="N2" s="18" t="n">
        <f aca="false">COUNTA(N4:N30)</f>
        <v>0</v>
      </c>
      <c r="O2" s="18" t="n">
        <f aca="false">COUNTA(O4:O30)</f>
        <v>0</v>
      </c>
      <c r="P2" s="18" t="n">
        <f aca="false">COUNTA(P4:P30)</f>
        <v>0</v>
      </c>
      <c r="Q2" s="18" t="n">
        <f aca="false">COUNTA(Q4:Q30)</f>
        <v>0</v>
      </c>
      <c r="R2" s="18" t="n">
        <f aca="false">COUNTA(R4:R30)</f>
        <v>0</v>
      </c>
    </row>
    <row r="4" customFormat="false" ht="15" hidden="false" customHeight="false" outlineLevel="0" collapsed="false">
      <c r="A4" s="19" t="s">
        <v>60</v>
      </c>
      <c r="B4" s="20" t="s">
        <v>61</v>
      </c>
      <c r="C4" s="21" t="s">
        <v>62</v>
      </c>
      <c r="D4" s="20" t="s">
        <v>63</v>
      </c>
      <c r="E4" s="22" t="n">
        <v>20</v>
      </c>
      <c r="F4" s="20" t="s">
        <v>64</v>
      </c>
      <c r="G4" s="23" t="n">
        <v>12.5</v>
      </c>
      <c r="H4" s="23" t="n">
        <v>15.8</v>
      </c>
      <c r="I4" s="23" t="n">
        <v>22</v>
      </c>
      <c r="J4" s="23" t="n">
        <v>11.2</v>
      </c>
      <c r="K4" s="23"/>
      <c r="L4" s="23"/>
      <c r="M4" s="23"/>
      <c r="N4" s="23"/>
      <c r="O4" s="23"/>
      <c r="P4" s="23"/>
      <c r="Q4" s="23"/>
      <c r="R4" s="23"/>
      <c r="S4" s="24" t="n">
        <f aca="false">IF(OR($E4="",COUNTA(G4:R4)=0),"N/A",COUNTIF(G4:R4,"&lt;="&amp;$E4)/COUNTA(G4:R4))</f>
        <v>0.75</v>
      </c>
      <c r="T4" s="25" t="n">
        <f aca="false">IF(COUNTA(G4:R4)=0,0,COUNTA(G4:R4)/12)</f>
        <v>0.333333333333333</v>
      </c>
    </row>
    <row r="5" customFormat="false" ht="15" hidden="false" customHeight="false" outlineLevel="0" collapsed="false">
      <c r="A5" s="19" t="s">
        <v>60</v>
      </c>
      <c r="B5" s="20" t="s">
        <v>61</v>
      </c>
      <c r="C5" s="21" t="s">
        <v>65</v>
      </c>
      <c r="D5" s="20" t="s">
        <v>63</v>
      </c>
      <c r="E5" s="22" t="n">
        <v>30</v>
      </c>
      <c r="F5" s="20" t="s">
        <v>64</v>
      </c>
      <c r="G5" s="23" t="n">
        <v>18</v>
      </c>
      <c r="H5" s="23" t="n">
        <v>35</v>
      </c>
      <c r="I5" s="23" t="n">
        <v>25</v>
      </c>
      <c r="J5" s="23" t="n">
        <v>14.5</v>
      </c>
      <c r="K5" s="23"/>
      <c r="L5" s="23"/>
      <c r="M5" s="23"/>
      <c r="N5" s="23"/>
      <c r="O5" s="23"/>
      <c r="P5" s="23"/>
      <c r="Q5" s="23"/>
      <c r="R5" s="23"/>
      <c r="S5" s="24" t="n">
        <f aca="false">IF(OR($E5="",COUNTA(G5:R5)=0),"N/A",COUNTIF(G5:R5,"&lt;="&amp;$E5)/COUNTA(G5:R5))</f>
        <v>0.75</v>
      </c>
      <c r="T5" s="25" t="n">
        <f aca="false">IF(COUNTA(G5:R5)=0,0,COUNTA(G5:R5)/12)</f>
        <v>0.333333333333333</v>
      </c>
    </row>
    <row r="6" customFormat="false" ht="15" hidden="false" customHeight="false" outlineLevel="0" collapsed="false">
      <c r="A6" s="19" t="s">
        <v>60</v>
      </c>
      <c r="B6" s="20" t="s">
        <v>61</v>
      </c>
      <c r="C6" s="21" t="s">
        <v>66</v>
      </c>
      <c r="D6" s="20" t="s">
        <v>63</v>
      </c>
      <c r="E6" s="22" t="n">
        <v>5</v>
      </c>
      <c r="F6" s="20" t="s">
        <v>64</v>
      </c>
      <c r="G6" s="23" t="n">
        <v>3.2</v>
      </c>
      <c r="H6" s="23" t="n">
        <v>4.8</v>
      </c>
      <c r="I6" s="23" t="n">
        <v>2.1</v>
      </c>
      <c r="J6" s="23" t="n">
        <v>3.9</v>
      </c>
      <c r="K6" s="23"/>
      <c r="L6" s="23"/>
      <c r="M6" s="23"/>
      <c r="N6" s="23"/>
      <c r="O6" s="23"/>
      <c r="P6" s="23"/>
      <c r="Q6" s="23"/>
      <c r="R6" s="23"/>
      <c r="S6" s="24" t="n">
        <f aca="false">IF(OR($E6="",COUNTA(G6:R6)=0),"N/A",COUNTIF(G6:R6,"&lt;="&amp;$E6)/COUNTA(G6:R6))</f>
        <v>1</v>
      </c>
      <c r="T6" s="25" t="n">
        <f aca="false">IF(COUNTA(G6:R6)=0,0,COUNTA(G6:R6)/12)</f>
        <v>0.333333333333333</v>
      </c>
    </row>
    <row r="7" customFormat="false" ht="15" hidden="false" customHeight="false" outlineLevel="0" collapsed="false">
      <c r="A7" s="19" t="s">
        <v>60</v>
      </c>
      <c r="B7" s="20" t="s">
        <v>61</v>
      </c>
      <c r="C7" s="21" t="s">
        <v>67</v>
      </c>
      <c r="D7" s="20" t="s">
        <v>63</v>
      </c>
      <c r="E7" s="22" t="n">
        <v>1</v>
      </c>
      <c r="F7" s="20" t="s">
        <v>64</v>
      </c>
      <c r="G7" s="23" t="n">
        <v>0.85</v>
      </c>
      <c r="H7" s="23" t="n">
        <v>0.62</v>
      </c>
      <c r="I7" s="23" t="n">
        <v>0.91</v>
      </c>
      <c r="J7" s="23" t="n">
        <v>0.55</v>
      </c>
      <c r="K7" s="23"/>
      <c r="L7" s="23"/>
      <c r="M7" s="23"/>
      <c r="N7" s="23"/>
      <c r="O7" s="23"/>
      <c r="P7" s="23"/>
      <c r="Q7" s="23"/>
      <c r="R7" s="23"/>
      <c r="S7" s="24" t="n">
        <f aca="false">IF(OR($E7="",COUNTA(G7:R7)=0),"N/A",COUNTIF(G7:R7,"&lt;="&amp;$E7)/COUNTA(G7:R7))</f>
        <v>1</v>
      </c>
      <c r="T7" s="25" t="n">
        <f aca="false">IF(COUNTA(G7:R7)=0,0,COUNTA(G7:R7)/12)</f>
        <v>0.333333333333333</v>
      </c>
    </row>
    <row r="8" customFormat="false" ht="15" hidden="false" customHeight="false" outlineLevel="0" collapsed="false">
      <c r="A8" s="19" t="s">
        <v>60</v>
      </c>
      <c r="B8" s="20" t="s">
        <v>61</v>
      </c>
      <c r="C8" s="21" t="s">
        <v>68</v>
      </c>
      <c r="D8" s="20" t="s">
        <v>68</v>
      </c>
      <c r="E8" s="22" t="n">
        <v>9</v>
      </c>
      <c r="F8" s="20" t="s">
        <v>64</v>
      </c>
      <c r="G8" s="23" t="n">
        <v>7.1</v>
      </c>
      <c r="H8" s="23" t="n">
        <v>7.8</v>
      </c>
      <c r="I8" s="23" t="n">
        <v>7.5</v>
      </c>
      <c r="J8" s="23" t="n">
        <v>7.3</v>
      </c>
      <c r="K8" s="23"/>
      <c r="L8" s="23"/>
      <c r="M8" s="23"/>
      <c r="N8" s="23"/>
      <c r="O8" s="23"/>
      <c r="P8" s="23"/>
      <c r="Q8" s="23"/>
      <c r="R8" s="23"/>
      <c r="S8" s="24" t="n">
        <f aca="false">IF(OR($E8="",COUNTA(G8:R8)=0),"N/A",COUNTIF(G8:R8,"&lt;="&amp;$E8)/COUNTA(G8:R8))</f>
        <v>1</v>
      </c>
      <c r="T8" s="25" t="n">
        <f aca="false">IF(COUNTA(G8:R8)=0,0,COUNTA(G8:R8)/12)</f>
        <v>0.333333333333333</v>
      </c>
    </row>
    <row r="9" customFormat="false" ht="15" hidden="false" customHeight="false" outlineLevel="0" collapsed="false">
      <c r="A9" s="19" t="s">
        <v>60</v>
      </c>
      <c r="B9" s="20" t="s">
        <v>61</v>
      </c>
      <c r="C9" s="21" t="s">
        <v>69</v>
      </c>
      <c r="D9" s="20" t="s">
        <v>63</v>
      </c>
      <c r="E9" s="22" t="n">
        <v>15</v>
      </c>
      <c r="F9" s="20" t="s">
        <v>70</v>
      </c>
      <c r="G9" s="23" t="n">
        <v>11.5</v>
      </c>
      <c r="H9" s="23"/>
      <c r="I9" s="23" t="n">
        <v>9.8</v>
      </c>
      <c r="J9" s="23"/>
      <c r="K9" s="23"/>
      <c r="L9" s="23"/>
      <c r="M9" s="23"/>
      <c r="N9" s="23"/>
      <c r="O9" s="23"/>
      <c r="P9" s="23"/>
      <c r="Q9" s="23"/>
      <c r="R9" s="23"/>
      <c r="S9" s="24" t="n">
        <f aca="false">IF(OR($E9="",COUNTA(G9:R9)=0),"N/A",COUNTIF(G9:R9,"&lt;="&amp;$E9)/COUNTA(G9:R9))</f>
        <v>1</v>
      </c>
      <c r="T9" s="25" t="n">
        <f aca="false">IF(COUNTA(G9:R9)=0,0,COUNTA(G9:R9)/12)</f>
        <v>0.166666666666667</v>
      </c>
    </row>
    <row r="10" customFormat="false" ht="15" hidden="false" customHeight="false" outlineLevel="0" collapsed="false">
      <c r="A10" s="19" t="s">
        <v>71</v>
      </c>
      <c r="B10" s="20" t="s">
        <v>72</v>
      </c>
      <c r="C10" s="21" t="s">
        <v>62</v>
      </c>
      <c r="D10" s="20" t="s">
        <v>63</v>
      </c>
      <c r="E10" s="22" t="n">
        <v>40</v>
      </c>
      <c r="F10" s="20" t="s">
        <v>73</v>
      </c>
      <c r="G10" s="23"/>
      <c r="H10" s="23"/>
      <c r="I10" s="23"/>
      <c r="J10" s="23"/>
      <c r="K10" s="23"/>
      <c r="L10" s="23"/>
      <c r="M10" s="23"/>
      <c r="N10" s="23"/>
      <c r="O10" s="23"/>
      <c r="P10" s="23"/>
      <c r="Q10" s="23"/>
      <c r="R10" s="23"/>
      <c r="S10" s="24" t="str">
        <f aca="false">IF(OR($E10="",COUNTA(G10:R10)=0),"N/A",COUNTIF(G10:R10,"&lt;="&amp;$E10)/COUNTA(G10:R10))</f>
        <v>N/A</v>
      </c>
      <c r="T10" s="25" t="n">
        <f aca="false">IF(COUNTA(G10:R10)=0,0,COUNTA(G10:R10)/12)</f>
        <v>0</v>
      </c>
    </row>
    <row r="11" customFormat="false" ht="15" hidden="false" customHeight="false" outlineLevel="0" collapsed="false">
      <c r="A11" s="19" t="s">
        <v>71</v>
      </c>
      <c r="B11" s="20" t="s">
        <v>72</v>
      </c>
      <c r="C11" s="21" t="s">
        <v>65</v>
      </c>
      <c r="D11" s="20" t="s">
        <v>63</v>
      </c>
      <c r="E11" s="22" t="n">
        <v>60</v>
      </c>
      <c r="F11" s="20" t="s">
        <v>73</v>
      </c>
      <c r="G11" s="23"/>
      <c r="H11" s="23"/>
      <c r="I11" s="23"/>
      <c r="J11" s="23"/>
      <c r="K11" s="23"/>
      <c r="L11" s="23"/>
      <c r="M11" s="23"/>
      <c r="N11" s="23"/>
      <c r="O11" s="23"/>
      <c r="P11" s="23"/>
      <c r="Q11" s="23"/>
      <c r="R11" s="23"/>
      <c r="S11" s="24" t="str">
        <f aca="false">IF(OR($E11="",COUNTA(G11:R11)=0),"N/A",COUNTIF(G11:R11,"&lt;="&amp;$E11)/COUNTA(G11:R11))</f>
        <v>N/A</v>
      </c>
      <c r="T11" s="25" t="n">
        <f aca="false">IF(COUNTA(G11:R11)=0,0,COUNTA(G11:R11)/12)</f>
        <v>0</v>
      </c>
    </row>
    <row r="12" customFormat="false" ht="15" hidden="false" customHeight="false" outlineLevel="0" collapsed="false">
      <c r="A12" s="19" t="s">
        <v>74</v>
      </c>
      <c r="B12" s="20" t="s">
        <v>75</v>
      </c>
      <c r="C12" s="21" t="s">
        <v>62</v>
      </c>
      <c r="D12" s="20" t="s">
        <v>63</v>
      </c>
      <c r="E12" s="20"/>
      <c r="F12" s="20" t="s">
        <v>64</v>
      </c>
      <c r="G12" s="23" t="n">
        <v>180</v>
      </c>
      <c r="H12" s="23" t="n">
        <v>220</v>
      </c>
      <c r="I12" s="23" t="n">
        <v>195</v>
      </c>
      <c r="J12" s="23" t="n">
        <v>210</v>
      </c>
      <c r="K12" s="23"/>
      <c r="L12" s="23"/>
      <c r="M12" s="23"/>
      <c r="N12" s="23"/>
      <c r="O12" s="23"/>
      <c r="P12" s="23"/>
      <c r="Q12" s="23"/>
      <c r="R12" s="23"/>
      <c r="S12" s="24" t="str">
        <f aca="false">IF(OR($E12="",COUNTA(G12:R12)=0),"N/A",COUNTIF(G12:R12,"&lt;="&amp;$E12)/COUNTA(G12:R12))</f>
        <v>N/A</v>
      </c>
      <c r="T12" s="25" t="n">
        <f aca="false">IF(COUNTA(G12:R12)=0,0,COUNTA(G12:R12)/12)</f>
        <v>0.333333333333333</v>
      </c>
    </row>
    <row r="13" customFormat="false" ht="15" hidden="false" customHeight="false" outlineLevel="0" collapsed="false">
      <c r="A13" s="19" t="s">
        <v>74</v>
      </c>
      <c r="B13" s="20" t="s">
        <v>75</v>
      </c>
      <c r="C13" s="21" t="s">
        <v>65</v>
      </c>
      <c r="D13" s="20" t="s">
        <v>63</v>
      </c>
      <c r="E13" s="20"/>
      <c r="F13" s="20" t="s">
        <v>64</v>
      </c>
      <c r="G13" s="23" t="n">
        <v>250</v>
      </c>
      <c r="H13" s="23" t="n">
        <v>310</v>
      </c>
      <c r="I13" s="23" t="n">
        <v>280</v>
      </c>
      <c r="J13" s="23" t="n">
        <v>265</v>
      </c>
      <c r="K13" s="23"/>
      <c r="L13" s="23"/>
      <c r="M13" s="23"/>
      <c r="N13" s="23"/>
      <c r="O13" s="23"/>
      <c r="P13" s="23"/>
      <c r="Q13" s="23"/>
      <c r="R13" s="23"/>
      <c r="S13" s="24" t="str">
        <f aca="false">IF(OR($E13="",COUNTA(G13:R13)=0),"N/A",COUNTIF(G13:R13,"&lt;="&amp;$E13)/COUNTA(G13:R13))</f>
        <v>N/A</v>
      </c>
      <c r="T13" s="25" t="n">
        <f aca="false">IF(COUNTA(G13:R13)=0,0,COUNTA(G13:R13)/12)</f>
        <v>0.333333333333333</v>
      </c>
    </row>
    <row r="14" customFormat="false" ht="15" hidden="false" customHeight="false" outlineLevel="0" collapsed="false">
      <c r="A14" s="19" t="s">
        <v>74</v>
      </c>
      <c r="B14" s="20" t="s">
        <v>75</v>
      </c>
      <c r="C14" s="21" t="s">
        <v>66</v>
      </c>
      <c r="D14" s="20" t="s">
        <v>63</v>
      </c>
      <c r="E14" s="20"/>
      <c r="F14" s="20" t="s">
        <v>64</v>
      </c>
      <c r="G14" s="23" t="n">
        <v>28</v>
      </c>
      <c r="H14" s="23" t="n">
        <v>32</v>
      </c>
      <c r="I14" s="23" t="n">
        <v>25</v>
      </c>
      <c r="J14" s="23" t="n">
        <v>30</v>
      </c>
      <c r="K14" s="23"/>
      <c r="L14" s="23"/>
      <c r="M14" s="23"/>
      <c r="N14" s="23"/>
      <c r="O14" s="23"/>
      <c r="P14" s="23"/>
      <c r="Q14" s="23"/>
      <c r="R14" s="23"/>
      <c r="S14" s="24" t="str">
        <f aca="false">IF(OR($E14="",COUNTA(G14:R14)=0),"N/A",COUNTIF(G14:R14,"&lt;="&amp;$E14)/COUNTA(G14:R14))</f>
        <v>N/A</v>
      </c>
      <c r="T14" s="25" t="n">
        <f aca="false">IF(COUNTA(G14:R14)=0,0,COUNTA(G14:R14)/12)</f>
        <v>0.333333333333333</v>
      </c>
    </row>
    <row r="15" customFormat="false" ht="15" hidden="false" customHeight="false" outlineLevel="0" collapsed="false">
      <c r="A15" s="19" t="s">
        <v>76</v>
      </c>
      <c r="B15" s="20" t="s">
        <v>77</v>
      </c>
      <c r="C15" s="21" t="s">
        <v>66</v>
      </c>
      <c r="D15" s="20" t="s">
        <v>63</v>
      </c>
      <c r="E15" s="20"/>
      <c r="F15" s="20" t="s">
        <v>70</v>
      </c>
      <c r="G15" s="23"/>
      <c r="H15" s="23"/>
      <c r="I15" s="23"/>
      <c r="J15" s="23"/>
      <c r="K15" s="23"/>
      <c r="L15" s="23"/>
      <c r="M15" s="23"/>
      <c r="N15" s="23"/>
      <c r="O15" s="23"/>
      <c r="P15" s="23"/>
      <c r="Q15" s="23"/>
      <c r="R15" s="23"/>
      <c r="S15" s="24" t="str">
        <f aca="false">IF(OR($E15="",COUNTA(G15:R15)=0),"N/A",COUNTIF(G15:R15,"&lt;="&amp;$E15)/COUNTA(G15:R15))</f>
        <v>N/A</v>
      </c>
      <c r="T15" s="25" t="n">
        <f aca="false">IF(COUNTA(G15:R15)=0,0,COUNTA(G15:R15)/12)</f>
        <v>0</v>
      </c>
    </row>
    <row r="16" customFormat="false" ht="15" hidden="false" customHeight="false" outlineLevel="0" collapsed="false">
      <c r="A16" s="19" t="s">
        <v>76</v>
      </c>
      <c r="B16" s="20" t="s">
        <v>77</v>
      </c>
      <c r="C16" s="21" t="s">
        <v>65</v>
      </c>
      <c r="D16" s="20" t="s">
        <v>63</v>
      </c>
      <c r="E16" s="20"/>
      <c r="F16" s="20" t="s">
        <v>70</v>
      </c>
      <c r="G16" s="23"/>
      <c r="H16" s="23"/>
      <c r="I16" s="23"/>
      <c r="J16" s="23"/>
      <c r="K16" s="23"/>
      <c r="L16" s="23"/>
      <c r="M16" s="23"/>
      <c r="N16" s="23"/>
      <c r="O16" s="23"/>
      <c r="P16" s="23"/>
      <c r="Q16" s="23"/>
      <c r="R16" s="23"/>
      <c r="S16" s="24" t="str">
        <f aca="false">IF(OR($E16="",COUNTA(G16:R16)=0),"N/A",COUNTIF(G16:R16,"&lt;="&amp;$E16)/COUNTA(G16:R16))</f>
        <v>N/A</v>
      </c>
      <c r="T16" s="25" t="n">
        <f aca="false">IF(COUNTA(G16:R16)=0,0,COUNTA(G16:R16)/12)</f>
        <v>0</v>
      </c>
    </row>
    <row r="17" customFormat="false" ht="15" hidden="false" customHeight="false" outlineLevel="0" collapsed="false">
      <c r="A17" s="19" t="s">
        <v>78</v>
      </c>
      <c r="B17" s="20" t="s">
        <v>79</v>
      </c>
      <c r="C17" s="21" t="s">
        <v>80</v>
      </c>
      <c r="D17" s="20" t="s">
        <v>81</v>
      </c>
      <c r="E17" s="20"/>
      <c r="F17" s="20" t="s">
        <v>70</v>
      </c>
      <c r="G17" s="23"/>
      <c r="H17" s="23"/>
      <c r="I17" s="23"/>
      <c r="J17" s="23"/>
      <c r="K17" s="23"/>
      <c r="L17" s="23"/>
      <c r="M17" s="23"/>
      <c r="N17" s="23"/>
      <c r="O17" s="23"/>
      <c r="P17" s="23"/>
      <c r="Q17" s="23"/>
      <c r="R17" s="23"/>
      <c r="S17" s="24" t="str">
        <f aca="false">IF(OR($E17="",COUNTA(G17:R17)=0),"N/A",COUNTIF(G17:R17,"&lt;="&amp;$E17)/COUNTA(G17:R17))</f>
        <v>N/A</v>
      </c>
      <c r="T17" s="25" t="n">
        <f aca="false">IF(COUNTA(G17:R17)=0,0,COUNTA(G17:R17)/12)</f>
        <v>0</v>
      </c>
    </row>
  </sheetData>
  <conditionalFormatting sqref="G4:R30">
    <cfRule type="expression" priority="2" aboveAverage="0" equalAverage="0" bottom="0" percent="0" rank="0" text="" dxfId="0">
      <formula>AND(G4&gt;$E4,$E4&lt;&gt;"",G4&lt;&gt;"")</formula>
    </cfRule>
    <cfRule type="expression" priority="3" aboveAverage="0" equalAverage="0" bottom="0" percent="0" rank="0" text="" dxfId="1">
      <formula>AND(G4&gt;=$E4*0.8,G4&lt;=$E4,$E4&lt;&gt;"",G4&lt;&gt;"")</formula>
    </cfRule>
    <cfRule type="expression" priority="4" aboveAverage="0" equalAverage="0" bottom="0" percent="0" rank="0" text="" dxfId="2">
      <formula>AND(G4&lt;$E4*0.8,$E4&lt;&gt;"",G4&lt;&gt;"")</formula>
    </cfRule>
  </conditionalFormatting>
  <conditionalFormatting sqref="S4:S30">
    <cfRule type="cellIs" priority="5" operator="greaterThanOrEqual" aboveAverage="0" equalAverage="0" bottom="0" percent="0" rank="0" text="" dxfId="2">
      <formula>0.95</formula>
    </cfRule>
    <cfRule type="cellIs" priority="6" operator="between" aboveAverage="0" equalAverage="0" bottom="0" percent="0" rank="0" text="" dxfId="1">
      <formula>0.8</formula>
      <formula>0.9499</formula>
    </cfRule>
    <cfRule type="cellIs" priority="7" operator="lessThan" aboveAverage="0" equalAverage="0" bottom="0" percent="0" rank="0" text="" dxfId="0">
      <formula>0.8</formula>
    </cfRule>
  </conditionalFormatting>
  <dataValidations count="1">
    <dataValidation allowBlank="true" errorStyle="stop" operator="between" showDropDown="false" showErrorMessage="false" showInputMessage="false" sqref="F4:F17" type="list">
      <formula1>"Daily,Weekly,Fortnightly,Monthly,Per event,As required"</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&amp;CSampling Plan Results Log</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26" t="s">
        <v>82</v>
      </c>
    </row>
    <row r="2" customFormat="false" ht="15" hidden="false" customHeight="false" outlineLevel="0" collapsed="false">
      <c r="A2" s="27"/>
    </row>
    <row r="3" customFormat="false" ht="15" hidden="false" customHeight="false" outlineLevel="0" collapsed="false">
      <c r="A3" s="27" t="s">
        <v>83</v>
      </c>
    </row>
    <row r="4" customFormat="false" ht="15" hidden="false" customHeight="false" outlineLevel="0" collapsed="false">
      <c r="A4" s="27"/>
    </row>
    <row r="5" customFormat="false" ht="15" hidden="false" customHeight="false" outlineLevel="0" collapsed="false">
      <c r="A5" s="28" t="s">
        <v>84</v>
      </c>
    </row>
    <row r="6" customFormat="false" ht="23.85" hidden="false" customHeight="false" outlineLevel="0" collapsed="false">
      <c r="A6" s="28" t="s">
        <v>85</v>
      </c>
    </row>
    <row r="7" customFormat="false" ht="15" hidden="false" customHeight="false" outlineLevel="0" collapsed="false">
      <c r="A7" s="28" t="s">
        <v>86</v>
      </c>
    </row>
    <row r="8" customFormat="false" ht="15" hidden="false" customHeight="false" outlineLevel="0" collapsed="false">
      <c r="A8" s="28" t="s">
        <v>87</v>
      </c>
    </row>
    <row r="9" customFormat="false" ht="23.85" hidden="false" customHeight="false" outlineLevel="0" collapsed="false">
      <c r="A9" s="28" t="s">
        <v>88</v>
      </c>
    </row>
    <row r="10" customFormat="false" ht="15" hidden="false" customHeight="false" outlineLevel="0" collapsed="false">
      <c r="A10" s="28" t="s">
        <v>89</v>
      </c>
    </row>
    <row r="11" customFormat="false" ht="15" hidden="false" customHeight="false" outlineLevel="0" collapsed="false">
      <c r="A11" s="27"/>
    </row>
    <row r="12" customFormat="false" ht="15" hidden="false" customHeight="false" outlineLevel="0" collapsed="false">
      <c r="A12" s="27"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&amp; Commissioning</cp:category>
  <dcterms:created xsi:type="dcterms:W3CDTF">2026-03-24T14:16:32Z</dcterms:created>
  <dc:creator>Ebrora Ltd</dc:creator>
  <dc:description>Time-phased sampling plan mapping locations and parameters against weekly periods, with automated compliance and completion tracking.
Free professional construction management template from Ebrora Ltd. Visit ebrora.com for our full range of tools and templates.</dc:description>
  <cp:keywords>Ebrora construction sampling plan results log consent water quality commissioning process proving</cp:keywords>
  <dc:language>en-US</dc:language>
  <cp:lastModifiedBy>Ebrora Ltd</cp:lastModifiedBy>
  <dcterms:modified xsi:type="dcterms:W3CDTF">2026-03-24T14:16:32Z</dcterms:modified>
  <cp:revision>0</cp:revision>
  <dc:subject>Plan sampling locations and frequencies, record lab results against consent limits across weekly time periods.</dc:subject>
  <dc:title>Sampling Plan &amp; Results Log</dc:title>
</cp:coreProperties>
</file>

<file path=docProps/custom.xml><?xml version="1.0" encoding="utf-8"?>
<Properties xmlns="http://schemas.openxmlformats.org/officeDocument/2006/custom-properties" xmlns:vt="http://schemas.openxmlformats.org/officeDocument/2006/docPropsVTypes"/>
</file>