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TN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'WTN Log'!$A$1:$J$61</definedName>
    <definedName function="false" hidden="true" localSheetId="2" name="_xlnm._FilterDatabase" vbProcedure="false">'WTN Log'!$A$11:$Q$61</definedName>
    <definedName function="false" hidden="false" name="DataTable" vbProcedure="false">'WTN Log'!$A$11:$Q$61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<sst xmlns="http://schemas.openxmlformats.org/spreadsheetml/2006/main" count="138" uniqueCount="119">
  <si>
    <t xml:space="preserve">EBRORA</t>
  </si>
  <si>
    <t xml:space="preserve">ebrora.com</t>
  </si>
  <si>
    <t xml:space="preserve">Waste Transfer Note Log</t>
  </si>
  <si>
    <t xml:space="preserve">Track and record all waste transfer notes for your construction site — ensuring legal compliance with UK Duty of Care regulations.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</si>
  <si>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</si>
  <si>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</si>
  <si>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</si>
  <si>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</si>
  <si>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</si>
  <si>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'WTN Log' sheet. Each row represents one Waste Transfer Note.</t>
  </si>
  <si>
    <t xml:space="preserve">2.</t>
  </si>
  <si>
    <t xml:space="preserve">Fill in the light teal cells — these are your input fields. Dark navy headers should not be edited.</t>
  </si>
  <si>
    <t xml:space="preserve">3.</t>
  </si>
  <si>
    <t xml:space="preserve">Start by entering the WTN Reference number and Transfer Date for each waste movement.</t>
  </si>
  <si>
    <t xml:space="preserve">4.</t>
  </si>
  <si>
    <t xml:space="preserve">Select the Waste Type and EWC Code from the dropdown lists. Add a brief description of the waste.</t>
  </si>
  <si>
    <t xml:space="preserve">5.</t>
  </si>
  <si>
    <t xml:space="preserve">Record the quantity (in tonnes) and select the unit. Enter the carrier name and licence number.</t>
  </si>
  <si>
    <t xml:space="preserve">6.</t>
  </si>
  <si>
    <t xml:space="preserve">Enter the receiving facility name and confirm Duty of Care compliance using the dropdown.</t>
  </si>
  <si>
    <t xml:space="preserve">7.</t>
  </si>
  <si>
    <t xml:space="preserve">Use the Status dropdown to track whether each WTN is Complete, Pending, or Missing.</t>
  </si>
  <si>
    <t xml:space="preserve">8.</t>
  </si>
  <si>
    <t xml:space="preserve">The Summary Dashboard at the top of the log sheet automatically calculates totals by waste stream and flags missing notes.</t>
  </si>
  <si>
    <t xml:space="preserve">Colour Key</t>
  </si>
  <si>
    <t xml:space="preserve">Light teal cells (#E8F6F7) — Editable input cells. Enter your data here.</t>
  </si>
  <si>
    <t xml:space="preserve">Dark navy headers (#1B2A4A) — Column headers. Do not edit.</t>
  </si>
  <si>
    <t xml:space="preserve">Green highlight — Status is 'Complete' or Duty of Care confirmed 'Yes'.</t>
  </si>
  <si>
    <t xml:space="preserve">Amber highlight — Status is 'Pending'.</t>
  </si>
  <si>
    <t xml:space="preserve">Red highlight — Status is 'Missing' or Duty of Care is 'No'.</t>
  </si>
  <si>
    <t xml:space="preserve">Tips</t>
  </si>
  <si>
    <t xml:space="preserve">Tip 1:</t>
  </si>
  <si>
    <t xml:space="preserve">Keep a physical copy of each signed WTN on site for at least 2 years (3 years for hazardous waste) — this log helps you track them but doesn't replace the legal document.</t>
  </si>
  <si>
    <t xml:space="preserve">Tip 2:</t>
  </si>
  <si>
    <t xml:space="preserve">Use the optional columns (click the [+] button above the grouped columns) to record carrier licence expiry, consignment note numbers for hazardous waste, and SIC codes.</t>
  </si>
  <si>
    <t xml:space="preserve">Tip 3:</t>
  </si>
  <si>
    <t xml:space="preserve">Filter by Status = 'Missing' regularly to chase up any outstanding notes from carriers or waste facilities.</t>
  </si>
  <si>
    <t xml:space="preserve">WASTE TRANSFER NOTE LOG — SUMMARY DASHBOARD</t>
  </si>
  <si>
    <t xml:space="preserve">Total WTNs</t>
  </si>
  <si>
    <t xml:space="preserve">Total Tonnes</t>
  </si>
  <si>
    <t xml:space="preserve">Complete</t>
  </si>
  <si>
    <t xml:space="preserve">Pending</t>
  </si>
  <si>
    <t xml:space="preserve">Missing</t>
  </si>
  <si>
    <t xml:space="preserve">Tonnes by Waste Type</t>
  </si>
  <si>
    <t xml:space="preserve">Inert</t>
  </si>
  <si>
    <t xml:space="preserve">Non-Hazardous</t>
  </si>
  <si>
    <t xml:space="preserve">Hazardous</t>
  </si>
  <si>
    <t xml:space="preserve">Mixed C&amp;D</t>
  </si>
  <si>
    <t xml:space="preserve">Timber</t>
  </si>
  <si>
    <t xml:space="preserve">Metal</t>
  </si>
  <si>
    <t xml:space="preserve">▸ Optional Fields — Click [+] to expand</t>
  </si>
  <si>
    <t xml:space="preserve">WTN Ref</t>
  </si>
  <si>
    <t xml:space="preserve">Transfer Date</t>
  </si>
  <si>
    <t xml:space="preserve">Waste Description</t>
  </si>
  <si>
    <t xml:space="preserve">Waste Type</t>
  </si>
  <si>
    <t xml:space="preserve">EWC Code</t>
  </si>
  <si>
    <t xml:space="preserve">Qty</t>
  </si>
  <si>
    <t xml:space="preserve">Tonnes</t>
  </si>
  <si>
    <t xml:space="preserve">Carrier Name</t>
  </si>
  <si>
    <t xml:space="preserve">Status</t>
  </si>
  <si>
    <t xml:space="preserve">Notes</t>
  </si>
  <si>
    <t xml:space="preserve">Carrier Licence No.</t>
  </si>
  <si>
    <t xml:space="preserve">Licence Expiry</t>
  </si>
  <si>
    <t xml:space="preserve">Receiving Facility</t>
  </si>
  <si>
    <t xml:space="preserve">Facility Licence No.</t>
  </si>
  <si>
    <t xml:space="preserve">Duty of Care</t>
  </si>
  <si>
    <t xml:space="preserve">Consignment Note Ref</t>
  </si>
  <si>
    <t xml:space="preserve">SIC Code</t>
  </si>
  <si>
    <t xml:space="preserve">WTN-001</t>
  </si>
  <si>
    <t xml:space="preserve">Broken concrete and brickwork from demolition</t>
  </si>
  <si>
    <t xml:space="preserve">17 01 01</t>
  </si>
  <si>
    <t xml:space="preserve">Smiths Waste Solutions</t>
  </si>
  <si>
    <t xml:space="preserve">Loaded by 20t excavator — 2 skip loads</t>
  </si>
  <si>
    <t xml:space="preserve">CBDU123456</t>
  </si>
  <si>
    <t xml:space="preserve">Greenway Recycling Ltd</t>
  </si>
  <si>
    <t xml:space="preserve">EP/ABC/12345</t>
  </si>
  <si>
    <t xml:space="preserve">Yes</t>
  </si>
  <si>
    <t xml:space="preserve">38.11</t>
  </si>
  <si>
    <t xml:space="preserve">WTN-002</t>
  </si>
  <si>
    <t xml:space="preserve">Mixed timber offcuts and formwork</t>
  </si>
  <si>
    <t xml:space="preserve">17 02 01</t>
  </si>
  <si>
    <t xml:space="preserve">EnviroCollect UK</t>
  </si>
  <si>
    <t xml:space="preserve">Clean timber — segregated on site</t>
  </si>
  <si>
    <t xml:space="preserve">CBDU789012</t>
  </si>
  <si>
    <t xml:space="preserve">Thameside Biomass</t>
  </si>
  <si>
    <t xml:space="preserve">EP/DEF/67890</t>
  </si>
  <si>
    <t xml:space="preserve">WTN-003</t>
  </si>
  <si>
    <t xml:space="preserve">Asbestos insulation board from boiler room strip-out</t>
  </si>
  <si>
    <t xml:space="preserve">17 06 05*</t>
  </si>
  <si>
    <t xml:space="preserve">SafeStrip Asbestos Ltd</t>
  </si>
  <si>
    <t xml:space="preserve">Double-bagged, labelled. Licensed carrier confirmed.</t>
  </si>
  <si>
    <t xml:space="preserve">CBDU345678</t>
  </si>
  <si>
    <t xml:space="preserve">Augean North Ltd</t>
  </si>
  <si>
    <t xml:space="preserve">EP/HAZ/11111</t>
  </si>
  <si>
    <t xml:space="preserve">CN-2026-0451</t>
  </si>
  <si>
    <t xml:space="preserve">38.22</t>
  </si>
  <si>
    <t xml:space="preserve">WTN-004</t>
  </si>
  <si>
    <t xml:space="preserve">Mixed construction and demolition waste</t>
  </si>
  <si>
    <t xml:space="preserve">17 09 04</t>
  </si>
  <si>
    <t xml:space="preserve">Awaiting signed WTN return from carrier</t>
  </si>
  <si>
    <t xml:space="preserve">No</t>
  </si>
  <si>
    <t xml:space="preserve">WTN-005</t>
  </si>
  <si>
    <t xml:space="preserve">Scrap steel reinforcement and fixings</t>
  </si>
  <si>
    <t xml:space="preserve">17 04 05</t>
  </si>
  <si>
    <t xml:space="preserve">Northern Metals Recycling</t>
  </si>
  <si>
    <t xml:space="preserve">Carrier collected but no WTN provided — chase required</t>
  </si>
  <si>
    <t xml:space="preserve">CBDU901234</t>
  </si>
  <si>
    <t xml:space="preserve">MetalCo Processing</t>
  </si>
  <si>
    <t xml:space="preserve">EP/MET/22222</t>
  </si>
  <si>
    <t xml:space="preserve">38.32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</si>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</sst>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"/>
    <numFmt numFmtId="167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sz val="9"/>
      <color rgb="FF8C8C8C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35.0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14">
    <mergeCell ref="A1:H3"/>
    <mergeCell ref="A2:H2"/>
    <mergeCell ref="A3:H3"/>
    <mergeCell ref="A4:H4"/>
    <mergeCell ref="A6:H6"/>
    <mergeCell ref="A7:H7"/>
    <mergeCell ref="A8:H8"/>
    <mergeCell ref="A10:H11"/>
    <mergeCell ref="A11:H11"/>
    <mergeCell ref="A14:H17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9" t="s">
        <v>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/>
      <c r="C3" s="11"/>
      <c r="D3" s="11"/>
      <c r="E3" s="11"/>
      <c r="F3" s="11"/>
      <c r="G3" s="11"/>
    </row>
    <row r="4" customFormat="false" ht="15" hidden="false" customHeight="true" outlineLevel="0" collapsed="false">
      <c r="A4" s="12" t="s">
        <v>7</v>
      </c>
      <c r="B4" s="12"/>
      <c r="C4" s="12"/>
      <c r="D4" s="12"/>
      <c r="E4" s="12"/>
      <c r="F4" s="12"/>
      <c r="G4" s="12"/>
    </row>
    <row r="5" customFormat="false" ht="15" hidden="false" customHeight="true" outlineLevel="0" collapsed="false">
      <c r="A5" s="10" t="s">
        <v>8</v>
      </c>
      <c r="B5" s="11" t="s">
        <v>9</v>
      </c>
      <c r="C5" s="11"/>
      <c r="D5" s="11"/>
      <c r="E5" s="11"/>
      <c r="F5" s="11"/>
      <c r="G5" s="11"/>
    </row>
    <row r="6" customFormat="false" ht="15" hidden="false" customHeight="true" outlineLevel="0" collapsed="false">
      <c r="A6" s="10" t="s">
        <v>10</v>
      </c>
      <c r="B6" s="11" t="s">
        <v>11</v>
      </c>
      <c r="C6" s="11"/>
      <c r="D6" s="11"/>
      <c r="E6" s="11"/>
      <c r="F6" s="11"/>
      <c r="G6" s="11"/>
    </row>
    <row r="7" customFormat="false" ht="15" hidden="false" customHeight="true" outlineLevel="0" collapsed="false">
      <c r="A7" s="10" t="s">
        <v>12</v>
      </c>
      <c r="B7" s="11" t="s">
        <v>13</v>
      </c>
      <c r="C7" s="11"/>
      <c r="D7" s="11"/>
      <c r="E7" s="11"/>
      <c r="F7" s="11"/>
      <c r="G7" s="11"/>
    </row>
    <row r="8" customFormat="false" ht="15" hidden="false" customHeight="true" outlineLevel="0" collapsed="false">
      <c r="A8" s="10" t="s">
        <v>14</v>
      </c>
      <c r="B8" s="11" t="s">
        <v>15</v>
      </c>
      <c r="C8" s="11"/>
      <c r="D8" s="11"/>
      <c r="E8" s="11"/>
      <c r="F8" s="11"/>
      <c r="G8" s="11"/>
    </row>
    <row r="9" customFormat="false" ht="15" hidden="false" customHeight="true" outlineLevel="0" collapsed="false">
      <c r="A9" s="10" t="s">
        <v>16</v>
      </c>
      <c r="B9" s="11" t="s">
        <v>17</v>
      </c>
      <c r="C9" s="11"/>
      <c r="D9" s="11"/>
      <c r="E9" s="11"/>
      <c r="F9" s="11"/>
      <c r="G9" s="11"/>
    </row>
    <row r="10" customFormat="false" ht="15" hidden="false" customHeight="true" outlineLevel="0" collapsed="false">
      <c r="A10" s="10" t="s">
        <v>18</v>
      </c>
      <c r="B10" s="11" t="s">
        <v>19</v>
      </c>
      <c r="C10" s="11"/>
      <c r="D10" s="11"/>
      <c r="E10" s="11"/>
      <c r="F10" s="11"/>
      <c r="G10" s="11"/>
    </row>
    <row r="11" customFormat="false" ht="15" hidden="false" customHeight="true" outlineLevel="0" collapsed="false">
      <c r="A11" s="10" t="s">
        <v>20</v>
      </c>
      <c r="B11" s="11" t="s">
        <v>21</v>
      </c>
      <c r="C11" s="11"/>
      <c r="D11" s="11"/>
      <c r="E11" s="11"/>
      <c r="F11" s="11"/>
      <c r="G11" s="11"/>
    </row>
    <row r="12" customFormat="false" ht="15" hidden="false" customHeight="true" outlineLevel="0" collapsed="false">
      <c r="A12" s="10" t="s">
        <v>22</v>
      </c>
      <c r="B12" s="11" t="s">
        <v>23</v>
      </c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1"/>
    </row>
    <row r="14" customFormat="false" ht="15" hidden="false" customHeight="true" outlineLevel="0" collapsed="false">
      <c r="A14" s="12" t="s">
        <v>24</v>
      </c>
      <c r="B14" s="12"/>
      <c r="C14" s="12"/>
      <c r="D14" s="12"/>
      <c r="E14" s="12"/>
      <c r="F14" s="12"/>
      <c r="G14" s="12"/>
    </row>
    <row r="15" customFormat="false" ht="15" hidden="false" customHeight="true" outlineLevel="0" collapsed="false">
      <c r="A15" s="10"/>
      <c r="B15" s="11" t="s">
        <v>25</v>
      </c>
      <c r="C15" s="11"/>
      <c r="D15" s="11"/>
      <c r="E15" s="11"/>
      <c r="F15" s="11"/>
      <c r="G15" s="11"/>
    </row>
    <row r="16" customFormat="false" ht="15" hidden="false" customHeight="true" outlineLevel="0" collapsed="false">
      <c r="A16" s="10"/>
      <c r="B16" s="11" t="s">
        <v>26</v>
      </c>
      <c r="C16" s="11"/>
      <c r="D16" s="11"/>
      <c r="E16" s="11"/>
      <c r="F16" s="11"/>
      <c r="G16" s="11"/>
    </row>
    <row r="17" customFormat="false" ht="15" hidden="false" customHeight="true" outlineLevel="0" collapsed="false">
      <c r="A17" s="10"/>
      <c r="B17" s="11" t="s">
        <v>27</v>
      </c>
      <c r="C17" s="11"/>
      <c r="D17" s="11"/>
      <c r="E17" s="11"/>
      <c r="F17" s="11"/>
      <c r="G17" s="11"/>
    </row>
    <row r="18" customFormat="false" ht="15" hidden="false" customHeight="true" outlineLevel="0" collapsed="false">
      <c r="A18" s="10"/>
      <c r="B18" s="11" t="s">
        <v>28</v>
      </c>
      <c r="C18" s="11"/>
      <c r="D18" s="11"/>
      <c r="E18" s="11"/>
      <c r="F18" s="11"/>
      <c r="G18" s="11"/>
    </row>
    <row r="19" customFormat="false" ht="15" hidden="false" customHeight="true" outlineLevel="0" collapsed="false">
      <c r="A19" s="10"/>
      <c r="B19" s="11" t="s">
        <v>29</v>
      </c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1"/>
    </row>
    <row r="21" customFormat="false" ht="15" hidden="false" customHeight="true" outlineLevel="0" collapsed="false">
      <c r="A21" s="12" t="s">
        <v>30</v>
      </c>
      <c r="B21" s="12"/>
      <c r="C21" s="12"/>
      <c r="D21" s="12"/>
      <c r="E21" s="12"/>
      <c r="F21" s="12"/>
      <c r="G21" s="12"/>
    </row>
    <row r="22" customFormat="false" ht="23.85" hidden="false" customHeight="true" outlineLevel="0" collapsed="false">
      <c r="A22" s="13" t="s">
        <v>31</v>
      </c>
      <c r="B22" s="11" t="s">
        <v>32</v>
      </c>
      <c r="C22" s="11"/>
      <c r="D22" s="11"/>
      <c r="E22" s="11"/>
      <c r="F22" s="11"/>
      <c r="G22" s="11"/>
    </row>
    <row r="23" customFormat="false" ht="23.85" hidden="false" customHeight="true" outlineLevel="0" collapsed="false">
      <c r="A23" s="13" t="s">
        <v>33</v>
      </c>
      <c r="B23" s="11" t="s">
        <v>34</v>
      </c>
      <c r="C23" s="11"/>
      <c r="D23" s="11"/>
      <c r="E23" s="11"/>
      <c r="F23" s="11"/>
      <c r="G23" s="11"/>
    </row>
    <row r="24" customFormat="false" ht="15" hidden="false" customHeight="true" outlineLevel="0" collapsed="false">
      <c r="A24" s="13" t="s">
        <v>35</v>
      </c>
      <c r="B24" s="11" t="s">
        <v>36</v>
      </c>
      <c r="C24" s="11"/>
      <c r="D24" s="11"/>
      <c r="E24" s="11"/>
      <c r="F24" s="11"/>
      <c r="G24" s="11"/>
    </row>
  </sheetData>
  <mergeCells count="26">
    <mergeCell ref="A1:G1"/>
    <mergeCell ref="B3:G3"/>
    <mergeCell ref="A4:G4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4:G14"/>
    <mergeCell ref="B14:G14"/>
    <mergeCell ref="B15:G15"/>
    <mergeCell ref="B16:G16"/>
    <mergeCell ref="B17:G17"/>
    <mergeCell ref="B18:G18"/>
    <mergeCell ref="B19:G19"/>
    <mergeCell ref="B20:G20"/>
    <mergeCell ref="A21:G21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5"/>
    <col collapsed="false" customWidth="true" hidden="true" outlineLevel="1" max="17" min="11" style="0" width="18"/>
  </cols>
  <sheetData>
    <row r="1" customFormat="false" ht="18.65" hidden="false" customHeight="true" outlineLevel="0" collapsed="false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4"/>
    </row>
    <row r="3" customFormat="false" ht="15" hidden="false" customHeight="false" outlineLevel="0" collapsed="false">
      <c r="A3" s="15" t="s">
        <v>38</v>
      </c>
      <c r="C3" s="15" t="s">
        <v>39</v>
      </c>
      <c r="E3" s="15" t="s">
        <v>40</v>
      </c>
      <c r="G3" s="15" t="s">
        <v>41</v>
      </c>
      <c r="I3" s="15" t="s">
        <v>42</v>
      </c>
    </row>
    <row r="4" customFormat="false" ht="20.85" hidden="false" customHeight="false" outlineLevel="0" collapsed="false">
      <c r="A4" s="16" t="n">
        <f aca="false">COUNTA(A12:A61)</f>
        <v>5</v>
      </c>
      <c r="C4" s="16" t="n">
        <f aca="false">SUM(G12:G61)</f>
        <v>41.85</v>
      </c>
      <c r="E4" s="16" t="n">
        <f aca="false">COUNTIF(I12:I61,"Complete")</f>
        <v>3</v>
      </c>
      <c r="G4" s="16" t="n">
        <f aca="false">COUNTIF(I12:I61,"Pending")</f>
        <v>1</v>
      </c>
      <c r="I4" s="16" t="n">
        <f aca="false">COUNTIF(I12:I61,"Missing")</f>
        <v>1</v>
      </c>
    </row>
    <row r="6" customFormat="false" ht="15" hidden="false" customHeight="false" outlineLevel="0" collapsed="false">
      <c r="A6" s="17" t="s">
        <v>43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8" t="s">
        <v>44</v>
      </c>
      <c r="C7" s="18" t="s">
        <v>45</v>
      </c>
      <c r="E7" s="18" t="s">
        <v>46</v>
      </c>
      <c r="G7" s="18" t="s">
        <v>47</v>
      </c>
      <c r="I7" s="18" t="s">
        <v>48</v>
      </c>
      <c r="K7" s="18" t="s">
        <v>49</v>
      </c>
    </row>
    <row r="8" customFormat="false" ht="15" hidden="false" customHeight="false" outlineLevel="0" collapsed="false">
      <c r="A8" s="19" t="n">
        <f aca="false">SUMIF(D12:D61,"Inert",G12:G61)</f>
        <v>18.5</v>
      </c>
      <c r="C8" s="19" t="n">
        <f aca="false">SUMIF(D12:D61,"Non-Hazardous",G12:G61)</f>
        <v>0</v>
      </c>
      <c r="E8" s="19" t="n">
        <f aca="false">SUMIF(D12:D61,"Hazardous",G12:G61)</f>
        <v>0.85</v>
      </c>
      <c r="G8" s="19" t="n">
        <f aca="false">SUMIF(D12:D61,"Mixed C&amp;D",G12:G61)</f>
        <v>12</v>
      </c>
      <c r="I8" s="19" t="n">
        <f aca="false">SUMIF(D12:D61,"Timber",G12:G61)</f>
        <v>4.2</v>
      </c>
      <c r="K8" s="19" t="n">
        <f aca="false">SUMIF(D12:D61,"Metal",G12:G61)</f>
        <v>6.3</v>
      </c>
    </row>
    <row r="10" customFormat="false" ht="22.3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1" t="s">
        <v>50</v>
      </c>
      <c r="L10" s="21"/>
      <c r="M10" s="21"/>
      <c r="N10" s="21"/>
      <c r="O10" s="21"/>
      <c r="P10" s="21"/>
      <c r="Q10" s="21"/>
    </row>
    <row r="11" customFormat="false" ht="28.35" hidden="false" customHeight="false" outlineLevel="0" collapsed="false">
      <c r="A11" s="22" t="s">
        <v>51</v>
      </c>
      <c r="B11" s="22" t="s">
        <v>52</v>
      </c>
      <c r="C11" s="22" t="s">
        <v>53</v>
      </c>
      <c r="D11" s="22" t="s">
        <v>54</v>
      </c>
      <c r="E11" s="22" t="s">
        <v>55</v>
      </c>
      <c r="F11" s="22" t="s">
        <v>56</v>
      </c>
      <c r="G11" s="22" t="s">
        <v>57</v>
      </c>
      <c r="H11" s="22" t="s">
        <v>58</v>
      </c>
      <c r="I11" s="22" t="s">
        <v>59</v>
      </c>
      <c r="J11" s="22" t="s">
        <v>60</v>
      </c>
      <c r="K11" s="22" t="s">
        <v>61</v>
      </c>
      <c r="L11" s="22" t="s">
        <v>62</v>
      </c>
      <c r="M11" s="22" t="s">
        <v>63</v>
      </c>
      <c r="N11" s="22" t="s">
        <v>64</v>
      </c>
      <c r="O11" s="22" t="s">
        <v>65</v>
      </c>
      <c r="P11" s="22" t="s">
        <v>66</v>
      </c>
      <c r="Q11" s="22" t="s">
        <v>67</v>
      </c>
    </row>
    <row r="12" customFormat="false" ht="23.85" hidden="false" customHeight="false" outlineLevel="0" collapsed="false">
      <c r="A12" s="23" t="s">
        <v>68</v>
      </c>
      <c r="B12" s="24" t="n">
        <v>46086</v>
      </c>
      <c r="C12" s="23" t="s">
        <v>69</v>
      </c>
      <c r="D12" s="23" t="s">
        <v>44</v>
      </c>
      <c r="E12" s="23" t="s">
        <v>70</v>
      </c>
      <c r="F12" s="23" t="n">
        <v>1</v>
      </c>
      <c r="G12" s="25" t="n">
        <v>18.5</v>
      </c>
      <c r="H12" s="23" t="s">
        <v>71</v>
      </c>
      <c r="I12" s="23" t="s">
        <v>40</v>
      </c>
      <c r="J12" s="23" t="s">
        <v>72</v>
      </c>
      <c r="K12" s="26" t="s">
        <v>73</v>
      </c>
      <c r="L12" s="27" t="n">
        <v>46553</v>
      </c>
      <c r="M12" s="26" t="s">
        <v>74</v>
      </c>
      <c r="N12" s="26" t="s">
        <v>75</v>
      </c>
      <c r="O12" s="26" t="s">
        <v>76</v>
      </c>
      <c r="P12" s="26"/>
      <c r="Q12" s="26" t="s">
        <v>77</v>
      </c>
    </row>
    <row r="13" customFormat="false" ht="15" hidden="false" customHeight="false" outlineLevel="0" collapsed="false">
      <c r="A13" s="26" t="s">
        <v>78</v>
      </c>
      <c r="B13" s="27" t="n">
        <v>46091</v>
      </c>
      <c r="C13" s="26" t="s">
        <v>79</v>
      </c>
      <c r="D13" s="26" t="s">
        <v>48</v>
      </c>
      <c r="E13" s="26" t="s">
        <v>80</v>
      </c>
      <c r="F13" s="26" t="n">
        <v>1</v>
      </c>
      <c r="G13" s="28" t="n">
        <v>4.2</v>
      </c>
      <c r="H13" s="26" t="s">
        <v>81</v>
      </c>
      <c r="I13" s="26" t="s">
        <v>40</v>
      </c>
      <c r="J13" s="26" t="s">
        <v>82</v>
      </c>
      <c r="K13" s="26" t="s">
        <v>83</v>
      </c>
      <c r="L13" s="27" t="n">
        <v>46357</v>
      </c>
      <c r="M13" s="26" t="s">
        <v>84</v>
      </c>
      <c r="N13" s="26" t="s">
        <v>85</v>
      </c>
      <c r="O13" s="26" t="s">
        <v>76</v>
      </c>
      <c r="P13" s="26"/>
      <c r="Q13" s="26" t="s">
        <v>77</v>
      </c>
    </row>
    <row r="14" customFormat="false" ht="23.85" hidden="false" customHeight="false" outlineLevel="0" collapsed="false">
      <c r="A14" s="23" t="s">
        <v>86</v>
      </c>
      <c r="B14" s="24" t="n">
        <v>46095</v>
      </c>
      <c r="C14" s="23" t="s">
        <v>87</v>
      </c>
      <c r="D14" s="23" t="s">
        <v>46</v>
      </c>
      <c r="E14" s="23" t="s">
        <v>88</v>
      </c>
      <c r="F14" s="23" t="n">
        <v>1</v>
      </c>
      <c r="G14" s="25" t="n">
        <v>0.85</v>
      </c>
      <c r="H14" s="23" t="s">
        <v>89</v>
      </c>
      <c r="I14" s="23" t="s">
        <v>40</v>
      </c>
      <c r="J14" s="23" t="s">
        <v>90</v>
      </c>
      <c r="K14" s="26" t="s">
        <v>91</v>
      </c>
      <c r="L14" s="27" t="n">
        <v>46295</v>
      </c>
      <c r="M14" s="26" t="s">
        <v>92</v>
      </c>
      <c r="N14" s="26" t="s">
        <v>93</v>
      </c>
      <c r="O14" s="26" t="s">
        <v>76</v>
      </c>
      <c r="P14" s="26" t="s">
        <v>94</v>
      </c>
      <c r="Q14" s="26" t="s">
        <v>95</v>
      </c>
    </row>
    <row r="15" customFormat="false" ht="15" hidden="false" customHeight="false" outlineLevel="0" collapsed="false">
      <c r="A15" s="26" t="s">
        <v>96</v>
      </c>
      <c r="B15" s="27" t="n">
        <v>46099</v>
      </c>
      <c r="C15" s="26" t="s">
        <v>97</v>
      </c>
      <c r="D15" s="26" t="s">
        <v>47</v>
      </c>
      <c r="E15" s="26" t="s">
        <v>98</v>
      </c>
      <c r="F15" s="26" t="n">
        <v>1</v>
      </c>
      <c r="G15" s="28" t="n">
        <v>12</v>
      </c>
      <c r="H15" s="26" t="s">
        <v>71</v>
      </c>
      <c r="I15" s="26" t="s">
        <v>41</v>
      </c>
      <c r="J15" s="26" t="s">
        <v>99</v>
      </c>
      <c r="K15" s="26" t="s">
        <v>73</v>
      </c>
      <c r="L15" s="27" t="n">
        <v>46553</v>
      </c>
      <c r="M15" s="26" t="s">
        <v>74</v>
      </c>
      <c r="N15" s="26" t="s">
        <v>75</v>
      </c>
      <c r="O15" s="26" t="s">
        <v>100</v>
      </c>
      <c r="P15" s="26"/>
      <c r="Q15" s="26" t="s">
        <v>77</v>
      </c>
    </row>
    <row r="16" customFormat="false" ht="23.85" hidden="false" customHeight="false" outlineLevel="0" collapsed="false">
      <c r="A16" s="23" t="s">
        <v>101</v>
      </c>
      <c r="B16" s="24" t="n">
        <v>46101</v>
      </c>
      <c r="C16" s="23" t="s">
        <v>102</v>
      </c>
      <c r="D16" s="23" t="s">
        <v>49</v>
      </c>
      <c r="E16" s="23" t="s">
        <v>103</v>
      </c>
      <c r="F16" s="23" t="n">
        <v>1</v>
      </c>
      <c r="G16" s="25" t="n">
        <v>6.3</v>
      </c>
      <c r="H16" s="23" t="s">
        <v>104</v>
      </c>
      <c r="I16" s="23" t="s">
        <v>42</v>
      </c>
      <c r="J16" s="23" t="s">
        <v>105</v>
      </c>
      <c r="K16" s="26" t="s">
        <v>106</v>
      </c>
      <c r="L16" s="27" t="n">
        <v>45991</v>
      </c>
      <c r="M16" s="26" t="s">
        <v>107</v>
      </c>
      <c r="N16" s="26" t="s">
        <v>108</v>
      </c>
      <c r="O16" s="26" t="s">
        <v>100</v>
      </c>
      <c r="P16" s="26"/>
      <c r="Q16" s="26" t="s">
        <v>109</v>
      </c>
    </row>
    <row r="17" customFormat="false" ht="15" hidden="false" customHeight="false" outlineLevel="0" collapsed="false">
      <c r="A17" s="26"/>
      <c r="B17" s="27"/>
      <c r="C17" s="26"/>
      <c r="D17" s="26"/>
      <c r="E17" s="26"/>
      <c r="F17" s="26"/>
      <c r="G17" s="28"/>
      <c r="H17" s="26"/>
      <c r="I17" s="26"/>
      <c r="J17" s="26"/>
      <c r="K17" s="26"/>
      <c r="L17" s="27"/>
      <c r="M17" s="26"/>
      <c r="N17" s="26"/>
      <c r="O17" s="26"/>
      <c r="P17" s="26"/>
      <c r="Q17" s="26"/>
    </row>
    <row r="18" customFormat="false" ht="15" hidden="false" customHeight="false" outlineLevel="0" collapsed="false">
      <c r="A18" s="23"/>
      <c r="B18" s="24"/>
      <c r="C18" s="23"/>
      <c r="D18" s="23"/>
      <c r="E18" s="23"/>
      <c r="F18" s="23"/>
      <c r="G18" s="25"/>
      <c r="H18" s="23"/>
      <c r="I18" s="23"/>
      <c r="J18" s="23"/>
      <c r="K18" s="26"/>
      <c r="L18" s="27"/>
      <c r="M18" s="26"/>
      <c r="N18" s="26"/>
      <c r="O18" s="26"/>
      <c r="P18" s="26"/>
      <c r="Q18" s="26"/>
    </row>
    <row r="19" customFormat="false" ht="15" hidden="false" customHeight="false" outlineLevel="0" collapsed="false">
      <c r="A19" s="26"/>
      <c r="B19" s="27"/>
      <c r="C19" s="26"/>
      <c r="D19" s="26"/>
      <c r="E19" s="26"/>
      <c r="F19" s="26"/>
      <c r="G19" s="28"/>
      <c r="H19" s="26"/>
      <c r="I19" s="26"/>
      <c r="J19" s="26"/>
      <c r="K19" s="26"/>
      <c r="L19" s="27"/>
      <c r="M19" s="26"/>
      <c r="N19" s="26"/>
      <c r="O19" s="26"/>
      <c r="P19" s="26"/>
      <c r="Q19" s="26"/>
    </row>
    <row r="20" customFormat="false" ht="15" hidden="false" customHeight="false" outlineLevel="0" collapsed="false">
      <c r="A20" s="23"/>
      <c r="B20" s="24"/>
      <c r="C20" s="23"/>
      <c r="D20" s="23"/>
      <c r="E20" s="23"/>
      <c r="F20" s="23"/>
      <c r="G20" s="25"/>
      <c r="H20" s="23"/>
      <c r="I20" s="23"/>
      <c r="J20" s="23"/>
      <c r="K20" s="26"/>
      <c r="L20" s="27"/>
      <c r="M20" s="26"/>
      <c r="N20" s="26"/>
      <c r="O20" s="26"/>
      <c r="P20" s="26"/>
      <c r="Q20" s="26"/>
    </row>
    <row r="21" customFormat="false" ht="15" hidden="false" customHeight="false" outlineLevel="0" collapsed="false">
      <c r="A21" s="26"/>
      <c r="B21" s="27"/>
      <c r="C21" s="26"/>
      <c r="D21" s="26"/>
      <c r="E21" s="26"/>
      <c r="F21" s="26"/>
      <c r="G21" s="28"/>
      <c r="H21" s="26"/>
      <c r="I21" s="26"/>
      <c r="J21" s="26"/>
      <c r="K21" s="26"/>
      <c r="L21" s="27"/>
      <c r="M21" s="26"/>
      <c r="N21" s="26"/>
      <c r="O21" s="26"/>
      <c r="P21" s="26"/>
      <c r="Q21" s="26"/>
    </row>
    <row r="22" customFormat="false" ht="15" hidden="false" customHeight="false" outlineLevel="0" collapsed="false">
      <c r="A22" s="23"/>
      <c r="B22" s="24"/>
      <c r="C22" s="23"/>
      <c r="D22" s="23"/>
      <c r="E22" s="23"/>
      <c r="F22" s="23"/>
      <c r="G22" s="25"/>
      <c r="H22" s="23"/>
      <c r="I22" s="23"/>
      <c r="J22" s="23"/>
      <c r="K22" s="26"/>
      <c r="L22" s="27"/>
      <c r="M22" s="26"/>
      <c r="N22" s="26"/>
      <c r="O22" s="26"/>
      <c r="P22" s="26"/>
      <c r="Q22" s="26"/>
    </row>
    <row r="23" customFormat="false" ht="15" hidden="false" customHeight="false" outlineLevel="0" collapsed="false">
      <c r="A23" s="26"/>
      <c r="B23" s="27"/>
      <c r="C23" s="26"/>
      <c r="D23" s="26"/>
      <c r="E23" s="26"/>
      <c r="F23" s="26"/>
      <c r="G23" s="28"/>
      <c r="H23" s="26"/>
      <c r="I23" s="26"/>
      <c r="J23" s="26"/>
      <c r="K23" s="26"/>
      <c r="L23" s="27"/>
      <c r="M23" s="26"/>
      <c r="N23" s="26"/>
      <c r="O23" s="26"/>
      <c r="P23" s="26"/>
      <c r="Q23" s="26"/>
    </row>
    <row r="24" customFormat="false" ht="15" hidden="false" customHeight="false" outlineLevel="0" collapsed="false">
      <c r="A24" s="23"/>
      <c r="B24" s="24"/>
      <c r="C24" s="23"/>
      <c r="D24" s="23"/>
      <c r="E24" s="23"/>
      <c r="F24" s="23"/>
      <c r="G24" s="25"/>
      <c r="H24" s="23"/>
      <c r="I24" s="23"/>
      <c r="J24" s="23"/>
      <c r="K24" s="26"/>
      <c r="L24" s="27"/>
      <c r="M24" s="26"/>
      <c r="N24" s="26"/>
      <c r="O24" s="26"/>
      <c r="P24" s="26"/>
      <c r="Q24" s="26"/>
    </row>
    <row r="25" customFormat="false" ht="15" hidden="false" customHeight="false" outlineLevel="0" collapsed="false">
      <c r="A25" s="26"/>
      <c r="B25" s="27"/>
      <c r="C25" s="26"/>
      <c r="D25" s="26"/>
      <c r="E25" s="26"/>
      <c r="F25" s="26"/>
      <c r="G25" s="28"/>
      <c r="H25" s="26"/>
      <c r="I25" s="26"/>
      <c r="J25" s="26"/>
      <c r="K25" s="26"/>
      <c r="L25" s="27"/>
      <c r="M25" s="26"/>
      <c r="N25" s="26"/>
      <c r="O25" s="26"/>
      <c r="P25" s="26"/>
      <c r="Q25" s="26"/>
    </row>
    <row r="26" customFormat="false" ht="15" hidden="false" customHeight="false" outlineLevel="0" collapsed="false">
      <c r="A26" s="23"/>
      <c r="B26" s="24"/>
      <c r="C26" s="23"/>
      <c r="D26" s="23"/>
      <c r="E26" s="23"/>
      <c r="F26" s="23"/>
      <c r="G26" s="25"/>
      <c r="H26" s="23"/>
      <c r="I26" s="23"/>
      <c r="J26" s="23"/>
      <c r="K26" s="26"/>
      <c r="L26" s="27"/>
      <c r="M26" s="26"/>
      <c r="N26" s="26"/>
      <c r="O26" s="26"/>
      <c r="P26" s="26"/>
      <c r="Q26" s="26"/>
    </row>
    <row r="27" customFormat="false" ht="15" hidden="false" customHeight="false" outlineLevel="0" collapsed="false">
      <c r="A27" s="26"/>
      <c r="B27" s="27"/>
      <c r="C27" s="26"/>
      <c r="D27" s="26"/>
      <c r="E27" s="26"/>
      <c r="F27" s="26"/>
      <c r="G27" s="28"/>
      <c r="H27" s="26"/>
      <c r="I27" s="26"/>
      <c r="J27" s="26"/>
      <c r="K27" s="26"/>
      <c r="L27" s="27"/>
      <c r="M27" s="26"/>
      <c r="N27" s="26"/>
      <c r="O27" s="26"/>
      <c r="P27" s="26"/>
      <c r="Q27" s="26"/>
    </row>
    <row r="28" customFormat="false" ht="15" hidden="false" customHeight="false" outlineLevel="0" collapsed="false">
      <c r="A28" s="23"/>
      <c r="B28" s="24"/>
      <c r="C28" s="23"/>
      <c r="D28" s="23"/>
      <c r="E28" s="23"/>
      <c r="F28" s="23"/>
      <c r="G28" s="25"/>
      <c r="H28" s="23"/>
      <c r="I28" s="23"/>
      <c r="J28" s="23"/>
      <c r="K28" s="26"/>
      <c r="L28" s="27"/>
      <c r="M28" s="26"/>
      <c r="N28" s="26"/>
      <c r="O28" s="26"/>
      <c r="P28" s="26"/>
      <c r="Q28" s="26"/>
    </row>
    <row r="29" customFormat="false" ht="15" hidden="false" customHeight="false" outlineLevel="0" collapsed="false">
      <c r="A29" s="26"/>
      <c r="B29" s="27"/>
      <c r="C29" s="26"/>
      <c r="D29" s="26"/>
      <c r="E29" s="26"/>
      <c r="F29" s="26"/>
      <c r="G29" s="28"/>
      <c r="H29" s="26"/>
      <c r="I29" s="26"/>
      <c r="J29" s="26"/>
      <c r="K29" s="26"/>
      <c r="L29" s="27"/>
      <c r="M29" s="26"/>
      <c r="N29" s="26"/>
      <c r="O29" s="26"/>
      <c r="P29" s="26"/>
      <c r="Q29" s="26"/>
    </row>
    <row r="30" customFormat="false" ht="15" hidden="false" customHeight="false" outlineLevel="0" collapsed="false">
      <c r="A30" s="23"/>
      <c r="B30" s="24"/>
      <c r="C30" s="23"/>
      <c r="D30" s="23"/>
      <c r="E30" s="23"/>
      <c r="F30" s="23"/>
      <c r="G30" s="25"/>
      <c r="H30" s="23"/>
      <c r="I30" s="23"/>
      <c r="J30" s="23"/>
      <c r="K30" s="26"/>
      <c r="L30" s="27"/>
      <c r="M30" s="26"/>
      <c r="N30" s="26"/>
      <c r="O30" s="26"/>
      <c r="P30" s="26"/>
      <c r="Q30" s="26"/>
    </row>
    <row r="31" customFormat="false" ht="15" hidden="false" customHeight="false" outlineLevel="0" collapsed="false">
      <c r="A31" s="26"/>
      <c r="B31" s="27"/>
      <c r="C31" s="26"/>
      <c r="D31" s="26"/>
      <c r="E31" s="26"/>
      <c r="F31" s="26"/>
      <c r="G31" s="28"/>
      <c r="H31" s="26"/>
      <c r="I31" s="26"/>
      <c r="J31" s="26"/>
      <c r="K31" s="26"/>
      <c r="L31" s="27"/>
      <c r="M31" s="26"/>
      <c r="N31" s="26"/>
      <c r="O31" s="26"/>
      <c r="P31" s="26"/>
      <c r="Q31" s="26"/>
    </row>
    <row r="32" customFormat="false" ht="15" hidden="false" customHeight="false" outlineLevel="0" collapsed="false">
      <c r="A32" s="23"/>
      <c r="B32" s="24"/>
      <c r="C32" s="23"/>
      <c r="D32" s="23"/>
      <c r="E32" s="23"/>
      <c r="F32" s="23"/>
      <c r="G32" s="25"/>
      <c r="H32" s="23"/>
      <c r="I32" s="23"/>
      <c r="J32" s="23"/>
      <c r="K32" s="26"/>
      <c r="L32" s="27"/>
      <c r="M32" s="26"/>
      <c r="N32" s="26"/>
      <c r="O32" s="26"/>
      <c r="P32" s="26"/>
      <c r="Q32" s="26"/>
    </row>
    <row r="33" customFormat="false" ht="15" hidden="false" customHeight="false" outlineLevel="0" collapsed="false">
      <c r="A33" s="26"/>
      <c r="B33" s="27"/>
      <c r="C33" s="26"/>
      <c r="D33" s="26"/>
      <c r="E33" s="26"/>
      <c r="F33" s="26"/>
      <c r="G33" s="28"/>
      <c r="H33" s="26"/>
      <c r="I33" s="26"/>
      <c r="J33" s="26"/>
      <c r="K33" s="26"/>
      <c r="L33" s="27"/>
      <c r="M33" s="26"/>
      <c r="N33" s="26"/>
      <c r="O33" s="26"/>
      <c r="P33" s="26"/>
      <c r="Q33" s="26"/>
    </row>
    <row r="34" customFormat="false" ht="15" hidden="false" customHeight="false" outlineLevel="0" collapsed="false">
      <c r="A34" s="23"/>
      <c r="B34" s="24"/>
      <c r="C34" s="23"/>
      <c r="D34" s="23"/>
      <c r="E34" s="23"/>
      <c r="F34" s="23"/>
      <c r="G34" s="25"/>
      <c r="H34" s="23"/>
      <c r="I34" s="23"/>
      <c r="J34" s="23"/>
      <c r="K34" s="26"/>
      <c r="L34" s="27"/>
      <c r="M34" s="26"/>
      <c r="N34" s="26"/>
      <c r="O34" s="26"/>
      <c r="P34" s="26"/>
      <c r="Q34" s="26"/>
    </row>
    <row r="35" customFormat="false" ht="15" hidden="false" customHeight="false" outlineLevel="0" collapsed="false">
      <c r="A35" s="26"/>
      <c r="B35" s="27"/>
      <c r="C35" s="26"/>
      <c r="D35" s="26"/>
      <c r="E35" s="26"/>
      <c r="F35" s="26"/>
      <c r="G35" s="28"/>
      <c r="H35" s="26"/>
      <c r="I35" s="26"/>
      <c r="J35" s="26"/>
      <c r="K35" s="26"/>
      <c r="L35" s="27"/>
      <c r="M35" s="26"/>
      <c r="N35" s="26"/>
      <c r="O35" s="26"/>
      <c r="P35" s="26"/>
      <c r="Q35" s="26"/>
    </row>
    <row r="36" customFormat="false" ht="15" hidden="false" customHeight="false" outlineLevel="0" collapsed="false">
      <c r="A36" s="23"/>
      <c r="B36" s="24"/>
      <c r="C36" s="23"/>
      <c r="D36" s="23"/>
      <c r="E36" s="23"/>
      <c r="F36" s="23"/>
      <c r="G36" s="25"/>
      <c r="H36" s="23"/>
      <c r="I36" s="23"/>
      <c r="J36" s="23"/>
      <c r="K36" s="26"/>
      <c r="L36" s="27"/>
      <c r="M36" s="26"/>
      <c r="N36" s="26"/>
      <c r="O36" s="26"/>
      <c r="P36" s="26"/>
      <c r="Q36" s="26"/>
    </row>
    <row r="37" customFormat="false" ht="15" hidden="false" customHeight="false" outlineLevel="0" collapsed="false">
      <c r="A37" s="26"/>
      <c r="B37" s="27"/>
      <c r="C37" s="26"/>
      <c r="D37" s="26"/>
      <c r="E37" s="26"/>
      <c r="F37" s="26"/>
      <c r="G37" s="28"/>
      <c r="H37" s="26"/>
      <c r="I37" s="26"/>
      <c r="J37" s="26"/>
      <c r="K37" s="26"/>
      <c r="L37" s="27"/>
      <c r="M37" s="26"/>
      <c r="N37" s="26"/>
      <c r="O37" s="26"/>
      <c r="P37" s="26"/>
      <c r="Q37" s="26"/>
    </row>
    <row r="38" customFormat="false" ht="15" hidden="false" customHeight="false" outlineLevel="0" collapsed="false">
      <c r="A38" s="23"/>
      <c r="B38" s="24"/>
      <c r="C38" s="23"/>
      <c r="D38" s="23"/>
      <c r="E38" s="23"/>
      <c r="F38" s="23"/>
      <c r="G38" s="25"/>
      <c r="H38" s="23"/>
      <c r="I38" s="23"/>
      <c r="J38" s="23"/>
      <c r="K38" s="26"/>
      <c r="L38" s="27"/>
      <c r="M38" s="26"/>
      <c r="N38" s="26"/>
      <c r="O38" s="26"/>
      <c r="P38" s="26"/>
      <c r="Q38" s="26"/>
    </row>
    <row r="39" customFormat="false" ht="15" hidden="false" customHeight="false" outlineLevel="0" collapsed="false">
      <c r="A39" s="26"/>
      <c r="B39" s="27"/>
      <c r="C39" s="26"/>
      <c r="D39" s="26"/>
      <c r="E39" s="26"/>
      <c r="F39" s="26"/>
      <c r="G39" s="28"/>
      <c r="H39" s="26"/>
      <c r="I39" s="26"/>
      <c r="J39" s="26"/>
      <c r="K39" s="26"/>
      <c r="L39" s="27"/>
      <c r="M39" s="26"/>
      <c r="N39" s="26"/>
      <c r="O39" s="26"/>
      <c r="P39" s="26"/>
      <c r="Q39" s="26"/>
    </row>
    <row r="40" customFormat="false" ht="15" hidden="false" customHeight="false" outlineLevel="0" collapsed="false">
      <c r="A40" s="23"/>
      <c r="B40" s="24"/>
      <c r="C40" s="23"/>
      <c r="D40" s="23"/>
      <c r="E40" s="23"/>
      <c r="F40" s="23"/>
      <c r="G40" s="25"/>
      <c r="H40" s="23"/>
      <c r="I40" s="23"/>
      <c r="J40" s="23"/>
      <c r="K40" s="26"/>
      <c r="L40" s="27"/>
      <c r="M40" s="26"/>
      <c r="N40" s="26"/>
      <c r="O40" s="26"/>
      <c r="P40" s="26"/>
      <c r="Q40" s="26"/>
    </row>
    <row r="41" customFormat="false" ht="15" hidden="false" customHeight="false" outlineLevel="0" collapsed="false">
      <c r="A41" s="26"/>
      <c r="B41" s="27"/>
      <c r="C41" s="26"/>
      <c r="D41" s="26"/>
      <c r="E41" s="26"/>
      <c r="F41" s="26"/>
      <c r="G41" s="28"/>
      <c r="H41" s="26"/>
      <c r="I41" s="26"/>
      <c r="J41" s="26"/>
      <c r="K41" s="26"/>
      <c r="L41" s="27"/>
      <c r="M41" s="26"/>
      <c r="N41" s="26"/>
      <c r="O41" s="26"/>
      <c r="P41" s="26"/>
      <c r="Q41" s="26"/>
    </row>
    <row r="42" customFormat="false" ht="15" hidden="false" customHeight="false" outlineLevel="0" collapsed="false">
      <c r="A42" s="23"/>
      <c r="B42" s="24"/>
      <c r="C42" s="23"/>
      <c r="D42" s="23"/>
      <c r="E42" s="23"/>
      <c r="F42" s="23"/>
      <c r="G42" s="25"/>
      <c r="H42" s="23"/>
      <c r="I42" s="23"/>
      <c r="J42" s="23"/>
      <c r="K42" s="26"/>
      <c r="L42" s="27"/>
      <c r="M42" s="26"/>
      <c r="N42" s="26"/>
      <c r="O42" s="26"/>
      <c r="P42" s="26"/>
      <c r="Q42" s="26"/>
    </row>
    <row r="43" customFormat="false" ht="15" hidden="false" customHeight="false" outlineLevel="0" collapsed="false">
      <c r="A43" s="26"/>
      <c r="B43" s="27"/>
      <c r="C43" s="26"/>
      <c r="D43" s="26"/>
      <c r="E43" s="26"/>
      <c r="F43" s="26"/>
      <c r="G43" s="28"/>
      <c r="H43" s="26"/>
      <c r="I43" s="26"/>
      <c r="J43" s="26"/>
      <c r="K43" s="26"/>
      <c r="L43" s="27"/>
      <c r="M43" s="26"/>
      <c r="N43" s="26"/>
      <c r="O43" s="26"/>
      <c r="P43" s="26"/>
      <c r="Q43" s="26"/>
    </row>
    <row r="44" customFormat="false" ht="15" hidden="false" customHeight="false" outlineLevel="0" collapsed="false">
      <c r="A44" s="23"/>
      <c r="B44" s="24"/>
      <c r="C44" s="23"/>
      <c r="D44" s="23"/>
      <c r="E44" s="23"/>
      <c r="F44" s="23"/>
      <c r="G44" s="25"/>
      <c r="H44" s="23"/>
      <c r="I44" s="23"/>
      <c r="J44" s="23"/>
      <c r="K44" s="26"/>
      <c r="L44" s="27"/>
      <c r="M44" s="26"/>
      <c r="N44" s="26"/>
      <c r="O44" s="26"/>
      <c r="P44" s="26"/>
      <c r="Q44" s="26"/>
    </row>
    <row r="45" customFormat="false" ht="15" hidden="false" customHeight="false" outlineLevel="0" collapsed="false">
      <c r="A45" s="26"/>
      <c r="B45" s="27"/>
      <c r="C45" s="26"/>
      <c r="D45" s="26"/>
      <c r="E45" s="26"/>
      <c r="F45" s="26"/>
      <c r="G45" s="28"/>
      <c r="H45" s="26"/>
      <c r="I45" s="26"/>
      <c r="J45" s="26"/>
      <c r="K45" s="26"/>
      <c r="L45" s="27"/>
      <c r="M45" s="26"/>
      <c r="N45" s="26"/>
      <c r="O45" s="26"/>
      <c r="P45" s="26"/>
      <c r="Q45" s="26"/>
    </row>
    <row r="46" customFormat="false" ht="15" hidden="false" customHeight="false" outlineLevel="0" collapsed="false">
      <c r="A46" s="23"/>
      <c r="B46" s="24"/>
      <c r="C46" s="23"/>
      <c r="D46" s="23"/>
      <c r="E46" s="23"/>
      <c r="F46" s="23"/>
      <c r="G46" s="25"/>
      <c r="H46" s="23"/>
      <c r="I46" s="23"/>
      <c r="J46" s="23"/>
      <c r="K46" s="26"/>
      <c r="L46" s="27"/>
      <c r="M46" s="26"/>
      <c r="N46" s="26"/>
      <c r="O46" s="26"/>
      <c r="P46" s="26"/>
      <c r="Q46" s="26"/>
    </row>
    <row r="47" customFormat="false" ht="15" hidden="false" customHeight="false" outlineLevel="0" collapsed="false">
      <c r="A47" s="26"/>
      <c r="B47" s="27"/>
      <c r="C47" s="26"/>
      <c r="D47" s="26"/>
      <c r="E47" s="26"/>
      <c r="F47" s="26"/>
      <c r="G47" s="28"/>
      <c r="H47" s="26"/>
      <c r="I47" s="26"/>
      <c r="J47" s="26"/>
      <c r="K47" s="26"/>
      <c r="L47" s="27"/>
      <c r="M47" s="26"/>
      <c r="N47" s="26"/>
      <c r="O47" s="26"/>
      <c r="P47" s="26"/>
      <c r="Q47" s="26"/>
    </row>
    <row r="48" customFormat="false" ht="15" hidden="false" customHeight="false" outlineLevel="0" collapsed="false">
      <c r="A48" s="23"/>
      <c r="B48" s="24"/>
      <c r="C48" s="23"/>
      <c r="D48" s="23"/>
      <c r="E48" s="23"/>
      <c r="F48" s="23"/>
      <c r="G48" s="25"/>
      <c r="H48" s="23"/>
      <c r="I48" s="23"/>
      <c r="J48" s="23"/>
      <c r="K48" s="26"/>
      <c r="L48" s="27"/>
      <c r="M48" s="26"/>
      <c r="N48" s="26"/>
      <c r="O48" s="26"/>
      <c r="P48" s="26"/>
      <c r="Q48" s="26"/>
    </row>
    <row r="49" customFormat="false" ht="15" hidden="false" customHeight="false" outlineLevel="0" collapsed="false">
      <c r="A49" s="26"/>
      <c r="B49" s="27"/>
      <c r="C49" s="26"/>
      <c r="D49" s="26"/>
      <c r="E49" s="26"/>
      <c r="F49" s="26"/>
      <c r="G49" s="28"/>
      <c r="H49" s="26"/>
      <c r="I49" s="26"/>
      <c r="J49" s="26"/>
      <c r="K49" s="26"/>
      <c r="L49" s="27"/>
      <c r="M49" s="26"/>
      <c r="N49" s="26"/>
      <c r="O49" s="26"/>
      <c r="P49" s="26"/>
      <c r="Q49" s="26"/>
    </row>
    <row r="50" customFormat="false" ht="15" hidden="false" customHeight="false" outlineLevel="0" collapsed="false">
      <c r="A50" s="23"/>
      <c r="B50" s="24"/>
      <c r="C50" s="23"/>
      <c r="D50" s="23"/>
      <c r="E50" s="23"/>
      <c r="F50" s="23"/>
      <c r="G50" s="25"/>
      <c r="H50" s="23"/>
      <c r="I50" s="23"/>
      <c r="J50" s="23"/>
      <c r="K50" s="26"/>
      <c r="L50" s="27"/>
      <c r="M50" s="26"/>
      <c r="N50" s="26"/>
      <c r="O50" s="26"/>
      <c r="P50" s="26"/>
      <c r="Q50" s="26"/>
    </row>
    <row r="51" customFormat="false" ht="15" hidden="false" customHeight="false" outlineLevel="0" collapsed="false">
      <c r="A51" s="26"/>
      <c r="B51" s="27"/>
      <c r="C51" s="26"/>
      <c r="D51" s="26"/>
      <c r="E51" s="26"/>
      <c r="F51" s="26"/>
      <c r="G51" s="28"/>
      <c r="H51" s="26"/>
      <c r="I51" s="26"/>
      <c r="J51" s="26"/>
      <c r="K51" s="26"/>
      <c r="L51" s="27"/>
      <c r="M51" s="26"/>
      <c r="N51" s="26"/>
      <c r="O51" s="26"/>
      <c r="P51" s="26"/>
      <c r="Q51" s="26"/>
    </row>
    <row r="52" customFormat="false" ht="15" hidden="false" customHeight="false" outlineLevel="0" collapsed="false">
      <c r="A52" s="23"/>
      <c r="B52" s="24"/>
      <c r="C52" s="23"/>
      <c r="D52" s="23"/>
      <c r="E52" s="23"/>
      <c r="F52" s="23"/>
      <c r="G52" s="25"/>
      <c r="H52" s="23"/>
      <c r="I52" s="23"/>
      <c r="J52" s="23"/>
      <c r="K52" s="26"/>
      <c r="L52" s="27"/>
      <c r="M52" s="26"/>
      <c r="N52" s="26"/>
      <c r="O52" s="26"/>
      <c r="P52" s="26"/>
      <c r="Q52" s="26"/>
    </row>
    <row r="53" customFormat="false" ht="15" hidden="false" customHeight="false" outlineLevel="0" collapsed="false">
      <c r="A53" s="26"/>
      <c r="B53" s="27"/>
      <c r="C53" s="26"/>
      <c r="D53" s="26"/>
      <c r="E53" s="26"/>
      <c r="F53" s="26"/>
      <c r="G53" s="28"/>
      <c r="H53" s="26"/>
      <c r="I53" s="26"/>
      <c r="J53" s="26"/>
      <c r="K53" s="26"/>
      <c r="L53" s="27"/>
      <c r="M53" s="26"/>
      <c r="N53" s="26"/>
      <c r="O53" s="26"/>
      <c r="P53" s="26"/>
      <c r="Q53" s="26"/>
    </row>
    <row r="54" customFormat="false" ht="15" hidden="false" customHeight="false" outlineLevel="0" collapsed="false">
      <c r="A54" s="23"/>
      <c r="B54" s="24"/>
      <c r="C54" s="23"/>
      <c r="D54" s="23"/>
      <c r="E54" s="23"/>
      <c r="F54" s="23"/>
      <c r="G54" s="25"/>
      <c r="H54" s="23"/>
      <c r="I54" s="23"/>
      <c r="J54" s="23"/>
      <c r="K54" s="26"/>
      <c r="L54" s="27"/>
      <c r="M54" s="26"/>
      <c r="N54" s="26"/>
      <c r="O54" s="26"/>
      <c r="P54" s="26"/>
      <c r="Q54" s="26"/>
    </row>
    <row r="55" customFormat="false" ht="15" hidden="false" customHeight="false" outlineLevel="0" collapsed="false">
      <c r="A55" s="26"/>
      <c r="B55" s="27"/>
      <c r="C55" s="26"/>
      <c r="D55" s="26"/>
      <c r="E55" s="26"/>
      <c r="F55" s="26"/>
      <c r="G55" s="28"/>
      <c r="H55" s="26"/>
      <c r="I55" s="26"/>
      <c r="J55" s="26"/>
      <c r="K55" s="26"/>
      <c r="L55" s="27"/>
      <c r="M55" s="26"/>
      <c r="N55" s="26"/>
      <c r="O55" s="26"/>
      <c r="P55" s="26"/>
      <c r="Q55" s="26"/>
    </row>
    <row r="56" customFormat="false" ht="15" hidden="false" customHeight="false" outlineLevel="0" collapsed="false">
      <c r="A56" s="23"/>
      <c r="B56" s="24"/>
      <c r="C56" s="23"/>
      <c r="D56" s="23"/>
      <c r="E56" s="23"/>
      <c r="F56" s="23"/>
      <c r="G56" s="25"/>
      <c r="H56" s="23"/>
      <c r="I56" s="23"/>
      <c r="J56" s="23"/>
      <c r="K56" s="26"/>
      <c r="L56" s="27"/>
      <c r="M56" s="26"/>
      <c r="N56" s="26"/>
      <c r="O56" s="26"/>
      <c r="P56" s="26"/>
      <c r="Q56" s="26"/>
    </row>
    <row r="57" customFormat="false" ht="15" hidden="false" customHeight="false" outlineLevel="0" collapsed="false">
      <c r="A57" s="26"/>
      <c r="B57" s="27"/>
      <c r="C57" s="26"/>
      <c r="D57" s="26"/>
      <c r="E57" s="26"/>
      <c r="F57" s="26"/>
      <c r="G57" s="28"/>
      <c r="H57" s="26"/>
      <c r="I57" s="26"/>
      <c r="J57" s="26"/>
      <c r="K57" s="26"/>
      <c r="L57" s="27"/>
      <c r="M57" s="26"/>
      <c r="N57" s="26"/>
      <c r="O57" s="26"/>
      <c r="P57" s="26"/>
      <c r="Q57" s="26"/>
    </row>
    <row r="58" customFormat="false" ht="15" hidden="false" customHeight="false" outlineLevel="0" collapsed="false">
      <c r="A58" s="23"/>
      <c r="B58" s="24"/>
      <c r="C58" s="23"/>
      <c r="D58" s="23"/>
      <c r="E58" s="23"/>
      <c r="F58" s="23"/>
      <c r="G58" s="25"/>
      <c r="H58" s="23"/>
      <c r="I58" s="23"/>
      <c r="J58" s="23"/>
      <c r="K58" s="26"/>
      <c r="L58" s="27"/>
      <c r="M58" s="26"/>
      <c r="N58" s="26"/>
      <c r="O58" s="26"/>
      <c r="P58" s="26"/>
      <c r="Q58" s="26"/>
    </row>
    <row r="59" customFormat="false" ht="15" hidden="false" customHeight="false" outlineLevel="0" collapsed="false">
      <c r="A59" s="26"/>
      <c r="B59" s="27"/>
      <c r="C59" s="26"/>
      <c r="D59" s="26"/>
      <c r="E59" s="26"/>
      <c r="F59" s="26"/>
      <c r="G59" s="28"/>
      <c r="H59" s="26"/>
      <c r="I59" s="26"/>
      <c r="J59" s="26"/>
      <c r="K59" s="26"/>
      <c r="L59" s="27"/>
      <c r="M59" s="26"/>
      <c r="N59" s="26"/>
      <c r="O59" s="26"/>
      <c r="P59" s="26"/>
      <c r="Q59" s="26"/>
    </row>
    <row r="60" customFormat="false" ht="15" hidden="false" customHeight="false" outlineLevel="0" collapsed="false">
      <c r="A60" s="23"/>
      <c r="B60" s="24"/>
      <c r="C60" s="23"/>
      <c r="D60" s="23"/>
      <c r="E60" s="23"/>
      <c r="F60" s="23"/>
      <c r="G60" s="25"/>
      <c r="H60" s="23"/>
      <c r="I60" s="23"/>
      <c r="J60" s="23"/>
      <c r="K60" s="26"/>
      <c r="L60" s="27"/>
      <c r="M60" s="26"/>
      <c r="N60" s="26"/>
      <c r="O60" s="26"/>
      <c r="P60" s="26"/>
      <c r="Q60" s="26"/>
    </row>
    <row r="61" customFormat="false" ht="15" hidden="false" customHeight="false" outlineLevel="0" collapsed="false">
      <c r="A61" s="26"/>
      <c r="B61" s="27"/>
      <c r="C61" s="26"/>
      <c r="D61" s="26"/>
      <c r="E61" s="26"/>
      <c r="F61" s="26"/>
      <c r="G61" s="28"/>
      <c r="H61" s="26"/>
      <c r="I61" s="26"/>
      <c r="J61" s="26"/>
      <c r="K61" s="26"/>
      <c r="L61" s="27"/>
      <c r="M61" s="26"/>
      <c r="N61" s="26"/>
      <c r="O61" s="26"/>
      <c r="P61" s="26"/>
      <c r="Q61" s="26"/>
    </row>
  </sheetData>
  <autoFilter ref="A11:Q61"/>
  <mergeCells count="3">
    <mergeCell ref="A1:J1"/>
    <mergeCell ref="A6:J6"/>
    <mergeCell ref="K10:Q10"/>
  </mergeCells>
  <conditionalFormatting sqref="I12:I61">
    <cfRule type="cellIs" priority="2" operator="equal" aboveAverage="0" equalAverage="0" bottom="0" percent="0" rank="0" text="" dxfId="7">
      <formula>"Complete"</formula>
    </cfRule>
    <cfRule type="cellIs" priority="3" operator="equal" aboveAverage="0" equalAverage="0" bottom="0" percent="0" rank="0" text="" dxfId="8">
      <formula>"Pending"</formula>
    </cfRule>
    <cfRule type="cellIs" priority="4" operator="equal" aboveAverage="0" equalAverage="0" bottom="0" percent="0" rank="0" text="" dxfId="9">
      <formula>"Missing"</formula>
    </cfRule>
  </conditionalFormatting>
  <conditionalFormatting sqref="O12:O61">
    <cfRule type="cellIs" priority="5" operator="equal" aboveAverage="0" equalAverage="0" bottom="0" percent="0" rank="0" text="" dxfId="7">
      <formula>"Yes"</formula>
    </cfRule>
    <cfRule type="cellIs" priority="6" operator="equal" aboveAverage="0" equalAverage="0" bottom="0" percent="0" rank="0" text="" dxfId="9">
      <formula>"No"</formula>
    </cfRule>
  </conditionalFormatting>
  <conditionalFormatting sqref="L12:L61">
    <cfRule type="expression" priority="7" aboveAverage="0" equalAverage="0" bottom="0" percent="0" rank="0" text="" dxfId="9">
      <formula>AND(L12&lt;&gt;"",L12&lt;TODAY())</formula>
    </cfRule>
  </conditionalFormatting>
  <dataValidations count="6">
    <dataValidation allowBlank="true" error="Select a valid waste type" errorStyle="stop" operator="between" prompt="Choose waste type" showDropDown="false" showErrorMessage="false" showInputMessage="false" sqref="D12:D61" type="list">
      <formula1>"Inert,Non-Hazardous,Hazardous,Mixed C&amp;D,Timber,Metal,Plasterboard,WEEE,Asbestos,Other"</formula1>
      <formula2>0</formula2>
    </dataValidation>
    <dataValidation allowBlank="true" error="Select Complete, Pending, or Missing" errorStyle="stop" operator="between" showDropDown="false" showErrorMessage="false" showInputMessage="false" sqref="I12:I61" type="list">
      <formula1>"Complete,Pending,Missing"</formula1>
      <formula2>0</formula2>
    </dataValidation>
    <dataValidation allowBlank="true" errorStyle="stop" operator="between" showDropDown="false" showErrorMessage="false" showInputMessage="false" sqref="O12:O61" type="list">
      <formula1>"Yes,No"</formula1>
      <formula2>0</formula2>
    </dataValidation>
    <dataValidation allowBlank="true" error="Enter a valid date" errorStyle="stop" operator="between" showDropDown="false" showErrorMessage="false" showInputMessage="false" sqref="B12:B61" type="date">
      <formula1>0</formula1>
      <formula2>0</formula2>
    </dataValidation>
    <dataValidation allowBlank="true" errorStyle="stop" operator="greaterThanOrEqual" showDropDown="false" showErrorMessage="false" showInputMessage="false" sqref="G12:G61" type="decimal">
      <formula1>0</formula1>
      <formula2>0</formula2>
    </dataValidation>
    <dataValidation allowBlank="true" errorStyle="stop" operator="between" prompt="Select EWC code" showDropDown="false" showErrorMessage="false" showInputMessage="false" sqref="E12:E61" type="list">
      <formula1>"17 01 01,17 01 02,17 01 07,17 02 01,17 02 02,17 02 03,17 03 02,17 04 05,17 05 04,17 06 05*,17 09 04,20 03 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&amp;CWaste Transfer Note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29" t="s">
        <v>110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111</v>
      </c>
    </row>
    <row r="4" customFormat="false" ht="15" hidden="false" customHeight="false" outlineLevel="0" collapsed="false">
      <c r="A4" s="30"/>
    </row>
    <row r="5" customFormat="false" ht="23.85" hidden="false" customHeight="false" outlineLevel="0" collapsed="false">
      <c r="A5" s="30" t="s">
        <v>112</v>
      </c>
    </row>
    <row r="6" customFormat="false" ht="15" hidden="false" customHeight="false" outlineLevel="0" collapsed="false">
      <c r="A6" s="30"/>
    </row>
    <row r="7" customFormat="false" ht="23.85" hidden="false" customHeight="false" outlineLevel="0" collapsed="false">
      <c r="A7" s="30" t="s">
        <v>113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0" t="s">
        <v>114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0" t="s">
        <v>115</v>
      </c>
    </row>
    <row r="12" customFormat="false" ht="15" hidden="false" customHeight="false" outlineLevel="0" collapsed="false">
      <c r="A12" s="30"/>
    </row>
    <row r="13" customFormat="false" ht="23.85" hidden="false" customHeight="false" outlineLevel="0" collapsed="false">
      <c r="A13" s="30" t="s">
        <v>116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 t="s">
        <v>117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2026-03-22T18:15:03Z</dcterms:created>
  <dc:creator>Ebrora Ltd</dc:creator>
  <dc:description>Track and record all waste transfer notes for your construction site, including carrier details, EWC codes, tonnage, and duty of care compliance — designed for UK site managers and environmental coordinators.
Free professional construction management template from Ebrora Ltd. Visit ebrora.com for our full range of tools and templates.</dc:description>
  <cp:keywords>Ebrora construction waste transfer note WTN duty of care waste management site management environmental</cp:keywords>
  <dc:language>en-US</dc:language>
  <cp:lastModifiedBy>Ebrora Ltd</cp:lastModifiedBy>
  <dcterms:modified xsi:type="dcterms:W3CDTF">2026-03-22T18:15:04Z</dcterms:modified>
  <cp:revision>0</cp:revision>
  <dc:subject>Register for tracking waste transfer notes, carrier details, and duty of care compliance on construction sites.</dc:subject>
  <dc:title>Waste Transfer Note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