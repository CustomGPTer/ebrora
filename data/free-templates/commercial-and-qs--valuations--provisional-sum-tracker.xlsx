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PS Track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Instructions!$A$1:$F$31</definedName>
    <definedName function="false" hidden="false" localSheetId="2" name="_xlnm.Print_Area" vbProcedure="false">'PS Tracker'!$A$1:$J$43</definedName>
    <definedName function="false" hidden="true" localSheetId="2" name="_xlnm._FilterDatabase" vbProcedure="false">'PS Tracker'!$A$11:$P$42</definedName>
    <definedName function="false" hidden="false" name="PSData" vbProcedure="false">'PS Tracker'!$A$11:$P$43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<sst xmlns="http://schemas.openxmlformats.org/spreadsheetml/2006/main" count="133" uniqueCount="122">
  <si>
    <t xml:space="preserve">EBRORA</t>
  </si>
  <si>
    <t xml:space="preserve">ebrora.com</t>
  </si>
  <si>
    <t xml:space="preserve">Provisional Sum Tracker</t>
  </si>
  <si>
    <t xml:space="preserve">Monitor provisional sum allowances against instructed and</t>
  </si>
  <si>
    <t xml:space="preserve">expended amounts with automatic drawdown tracking and balance alerts.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</si>
  <si>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</si>
  <si>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</si>
  <si>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</si>
  <si>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</si>
  <si>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</si>
  <si>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</si>
  <si>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'PS Tracker' sheet. The top section shows a drawdown summary: total PS allowance in the contract, total amount instructed, total expended to date, and the remaining balance.</t>
  </si>
  <si>
    <t xml:space="preserve">2.</t>
  </si>
  <si>
    <t xml:space="preserve">Each row represents one provisional sum from the contract. Enter the PS Ref, the description as it appears in the bills, the PS Type (Defined or Undefined), and the Original Allowance (£).</t>
  </si>
  <si>
    <t xml:space="preserve">3.</t>
  </si>
  <si>
    <t xml:space="preserve">As the PM issues instructions against a provisional sum, enter the Instructed Amount (£) — this is the value of work actually ordered. For defined PS items, this is the tendered sum for the work; for undefined, it’s the PM’s instructed amount.</t>
  </si>
  <si>
    <t xml:space="preserve">4.</t>
  </si>
  <si>
    <t xml:space="preserve">Update the Expended to Date (£) as costs are incurred. The Balance Remaining and % Drawn columns calculate automatically.</t>
  </si>
  <si>
    <t xml:space="preserve">5.</t>
  </si>
  <si>
    <t xml:space="preserve">Update the Status as each PS progresses: Not Yet Instructed → Instructed → In Progress → Complete → Final Account Agreed.</t>
  </si>
  <si>
    <t xml:space="preserve">Defined vs Undefined PS</t>
  </si>
  <si>
    <t xml:space="preserve">Defined PS (JCT/NEC) — The work is described in enough detail for the contractor to price. The contractor includes the PS in their tender. Adjustment is the difference between the PS allowance and the actual instructed cost.</t>
  </si>
  <si>
    <t xml:space="preserve">Undefined PS — The work is not sufficiently defined at tender. The contractor does not price it. The PM instructs the work and it is valued separately. The full allowance is available.</t>
  </si>
  <si>
    <t xml:space="preserve">Optional Fields</t>
  </si>
  <si>
    <t xml:space="preserve">6.</t>
  </si>
  <si>
    <t xml:space="preserve">Click [+] to expand optional fields: Bill/Section Ref, Date Instructed, Instruction Ref, Adjustment to Contract Sum (£), Linked VO Ref, and Responsible Party.</t>
  </si>
  <si>
    <t xml:space="preserve">7.</t>
  </si>
  <si>
    <t xml:space="preserve">The Adjustment column auto-calculates the difference between the Original Allowance and the Instructed Amount — this is the add/omit to the contract sum.</t>
  </si>
  <si>
    <t xml:space="preserve">Colour Key</t>
  </si>
  <si>
    <t xml:space="preserve">Light teal cells (#E8F6F7) — User input.</t>
  </si>
  <si>
    <t xml:space="preserve">Dark navy headers — Do not edit.</t>
  </si>
  <si>
    <t xml:space="preserve">Green % Drawn — Under 80% of allowance used.</t>
  </si>
  <si>
    <t xml:space="preserve">Amber % Drawn — 80–99% of allowance used.</t>
  </si>
  <si>
    <t xml:space="preserve">Red % Drawn — 100%+ of allowance used (overspent).</t>
  </si>
  <si>
    <t xml:space="preserve">Green Balance — Positive balance remaining (underspend).</t>
  </si>
  <si>
    <t xml:space="preserve">Red Balance — Negative balance (overspend against allowance).</t>
  </si>
  <si>
    <t xml:space="preserve">Tips</t>
  </si>
  <si>
    <t xml:space="preserve">Tip 1:</t>
  </si>
  <si>
    <t xml:space="preserve">Review this tracker monthly alongside the Budget vs Actual template. Provisional sums are one of the most common sources of final account movement — track them closely.</t>
  </si>
  <si>
    <t xml:space="preserve">Tip 2:</t>
  </si>
  <si>
    <t xml:space="preserve">For undefined PS items, ensure the PM formally instructs before any work starts. Work carried out without a formal instruction may not be recoverable.</t>
  </si>
  <si>
    <t xml:space="preserve">Tip 3:</t>
  </si>
  <si>
    <t xml:space="preserve">At final account stage, filter by Status ≠ 'Final Account Agreed' to identify any outstanding PS items still requiring reconciliation.</t>
  </si>
  <si>
    <t xml:space="preserve">PROVISIONAL SUM TRACKER — DRAWDOWN MONITOR</t>
  </si>
  <si>
    <t xml:space="preserve">Total PS
Allowance (£)</t>
  </si>
  <si>
    <t xml:space="preserve">Total
Instructed (£)</t>
  </si>
  <si>
    <t xml:space="preserve">Total Expended
to Date (£)</t>
  </si>
  <si>
    <t xml:space="preserve">Total Balance
Remaining (£)</t>
  </si>
  <si>
    <t xml:space="preserve">Overall
% Drawn</t>
  </si>
  <si>
    <t xml:space="preserve">Defined PS</t>
  </si>
  <si>
    <t xml:space="preserve">Undefined PS</t>
  </si>
  <si>
    <t xml:space="preserve">Not Yet
Instructed</t>
  </si>
  <si>
    <t xml:space="preserve">Instructed</t>
  </si>
  <si>
    <t xml:space="preserve">In Progress</t>
  </si>
  <si>
    <t xml:space="preserve">Complete</t>
  </si>
  <si>
    <t xml:space="preserve">Final Account
Agreed</t>
  </si>
  <si>
    <t xml:space="preserve">▸ Optional Fields — Click [+] to expand</t>
  </si>
  <si>
    <t xml:space="preserve">PS Ref</t>
  </si>
  <si>
    <t xml:space="preserve">Description</t>
  </si>
  <si>
    <t xml:space="preserve">PS Type</t>
  </si>
  <si>
    <t xml:space="preserve">Original
Allowance (£)</t>
  </si>
  <si>
    <t xml:space="preserve">Instructed
Amount (£)</t>
  </si>
  <si>
    <t xml:space="preserve">Expended to
Date (£)</t>
  </si>
  <si>
    <t xml:space="preserve">Balance
Remaining (£)</t>
  </si>
  <si>
    <t xml:space="preserve">% Drawn</t>
  </si>
  <si>
    <t xml:space="preserve">Status</t>
  </si>
  <si>
    <t xml:space="preserve">Notes</t>
  </si>
  <si>
    <t xml:space="preserve">Bill /
Section Ref</t>
  </si>
  <si>
    <t xml:space="preserve">Date
Instructed</t>
  </si>
  <si>
    <t xml:space="preserve">Instruction
Ref</t>
  </si>
  <si>
    <t xml:space="preserve">Adjustment to
Contract Sum (£)</t>
  </si>
  <si>
    <t xml:space="preserve">Linked
VO Ref</t>
  </si>
  <si>
    <t xml:space="preserve">Responsible
Party</t>
  </si>
  <si>
    <t xml:space="preserve">PS-001</t>
  </si>
  <si>
    <t xml:space="preserve">Provisional sum for utility diversions (gas, water, BT)</t>
  </si>
  <si>
    <t xml:space="preserve">Undefined</t>
  </si>
  <si>
    <t xml:space="preserve">UKPN diversion complete. Gas diversion in progress.</t>
  </si>
  <si>
    <t xml:space="preserve">3/14A</t>
  </si>
  <si>
    <t xml:space="preserve">AI-023</t>
  </si>
  <si>
    <t xml:space="preserve">VO-006</t>
  </si>
  <si>
    <t xml:space="preserve">Site Manager</t>
  </si>
  <si>
    <t xml:space="preserve">PS-002</t>
  </si>
  <si>
    <t xml:space="preserve">Provisional sum for ground investigation and remediation</t>
  </si>
  <si>
    <t xml:space="preserve">All remediation works complete. Awaiting final account agreement.</t>
  </si>
  <si>
    <t xml:space="preserve">2/7B</t>
  </si>
  <si>
    <t xml:space="preserve">AI-018</t>
  </si>
  <si>
    <t xml:space="preserve">VO-001</t>
  </si>
  <si>
    <t xml:space="preserve">Project Manager</t>
  </si>
  <si>
    <t xml:space="preserve">PS-003</t>
  </si>
  <si>
    <t xml:space="preserve">Provisional sum for artwork installation to main reception</t>
  </si>
  <si>
    <t xml:space="preserve">Defined</t>
  </si>
  <si>
    <t xml:space="preserve">Not Yet Instructed</t>
  </si>
  <si>
    <t xml:space="preserve">Client reviewing artist proposals. Expected instruction Q2 2026.</t>
  </si>
  <si>
    <t xml:space="preserve">5/22C</t>
  </si>
  <si>
    <t xml:space="preserve">Client PM</t>
  </si>
  <si>
    <t xml:space="preserve">PS-004</t>
  </si>
  <si>
    <t xml:space="preserve">Provisional sum for specialist acoustic treatment to plant rooms</t>
  </si>
  <si>
    <t xml:space="preserve">Instructed amount exceeds PS by £4k due to additional room.</t>
  </si>
  <si>
    <t xml:space="preserve">4/11D</t>
  </si>
  <si>
    <t xml:space="preserve">AI-031</t>
  </si>
  <si>
    <t xml:space="preserve">VO-008</t>
  </si>
  <si>
    <t xml:space="preserve">M&amp;E Coordinator</t>
  </si>
  <si>
    <t xml:space="preserve">PS-005</t>
  </si>
  <si>
    <t xml:space="preserve">Provisional sum for external signage and wayfinding</t>
  </si>
  <si>
    <t xml:space="preserve">Subcontractor appointed. Works to start March 2026.</t>
  </si>
  <si>
    <t xml:space="preserve">5/19A</t>
  </si>
  <si>
    <t xml:space="preserve">AI-041</t>
  </si>
  <si>
    <t xml:space="preserve">PS-006</t>
  </si>
  <si>
    <t xml:space="preserve">Provisional sum for IT/data cabling and containment</t>
  </si>
  <si>
    <t xml:space="preserve">First fix complete. Second fix ongoing.</t>
  </si>
  <si>
    <t xml:space="preserve">4/15E</t>
  </si>
  <si>
    <t xml:space="preserve">AI-027</t>
  </si>
  <si>
    <t xml:space="preserve">TOTALS</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</si>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</sst>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6">
    <numFmt numFmtId="164" formatCode="General"/>
    <numFmt numFmtId="165" formatCode="\£#,##0"/>
    <numFmt numFmtId="166" formatCode="0%"/>
    <numFmt numFmtId="167" formatCode="General"/>
    <numFmt numFmtId="168" formatCode="\£#,##0;[RED]&quot;(£&quot;#,##0\);\-"/>
    <numFmt numFmtId="169" formatCode="dd/mm/yyyy"/>
  </numFmts>
  <fonts count="19">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1"/>
      <color rgb="FFFFFFFF"/>
      <name val="Calibri"/>
      <family val="0"/>
      <charset val="1"/>
    </font>
    <font>
      <b val="true"/>
      <sz val="12"/>
      <color rgb="FF1B2A4A"/>
      <name val="Calibri"/>
      <family val="0"/>
      <charset val="1"/>
    </font>
    <font>
      <b val="true"/>
      <sz val="9"/>
      <color rgb="FF1B2A4A"/>
      <name val="Calibri"/>
      <family val="0"/>
      <charset val="1"/>
    </font>
    <font>
      <i val="true"/>
      <sz val="9"/>
      <color rgb="FF2AABB3"/>
      <name val="Calibri"/>
      <family val="0"/>
      <charset val="1"/>
    </font>
    <font>
      <b val="true"/>
      <sz val="10"/>
      <color rgb="FFFFFFFF"/>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2F2F2"/>
        <bgColor rgb="FFE8F6F7"/>
      </patternFill>
    </fill>
    <fill>
      <patternFill patternType="solid">
        <fgColor rgb="FFBDD7EE"/>
        <bgColor rgb="FFC6EFCE"/>
      </patternFill>
    </fill>
    <fill>
      <patternFill patternType="solid">
        <fgColor rgb="FFFFEB9C"/>
        <bgColor rgb="FFF2F2F2"/>
      </patternFill>
    </fill>
    <fill>
      <patternFill patternType="solid">
        <fgColor rgb="FFC6EFCE"/>
        <bgColor rgb="FFCCFFFF"/>
      </patternFill>
    </fill>
    <fill>
      <patternFill patternType="solid">
        <fgColor rgb="FFA9D08E"/>
        <bgColor rgb="FFBDD7EE"/>
      </patternFill>
    </fill>
  </fills>
  <borders count="4">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right/>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5" fontId="15" fillId="3" borderId="0" xfId="0" applyFont="true" applyBorder="true" applyAlignment="true" applyProtection="false">
      <alignment horizontal="center" vertical="center" textRotation="0" wrapText="true" indent="0" shrinkToFit="false"/>
      <protection locked="true" hidden="false"/>
    </xf>
    <xf numFmtId="166" fontId="15" fillId="3"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4" fontId="16" fillId="5" borderId="0" xfId="0" applyFont="true" applyBorder="false" applyAlignment="true" applyProtection="false">
      <alignment horizontal="center" vertical="center" textRotation="0" wrapText="true" indent="0" shrinkToFit="false"/>
      <protection locked="true" hidden="false"/>
    </xf>
    <xf numFmtId="164" fontId="16" fillId="6" borderId="0" xfId="0" applyFont="true" applyBorder="false" applyAlignment="true" applyProtection="false">
      <alignment horizontal="center" vertical="center" textRotation="0" wrapText="true" indent="0" shrinkToFit="false"/>
      <protection locked="true" hidden="false"/>
    </xf>
    <xf numFmtId="164" fontId="16" fillId="7" borderId="0" xfId="0" applyFont="true" applyBorder="false" applyAlignment="true" applyProtection="false">
      <alignment horizontal="center" vertical="center" textRotation="0" wrapText="true" indent="0" shrinkToFit="false"/>
      <protection locked="true" hidden="false"/>
    </xf>
    <xf numFmtId="164" fontId="16" fillId="8" borderId="0" xfId="0" applyFont="true" applyBorder="false" applyAlignment="true" applyProtection="false">
      <alignment horizontal="center" vertical="center" textRotation="0" wrapText="true" indent="0" shrinkToFit="false"/>
      <protection locked="true" hidden="false"/>
    </xf>
    <xf numFmtId="164" fontId="16" fillId="9" borderId="0" xfId="0" applyFont="true" applyBorder="true" applyAlignment="true" applyProtection="false">
      <alignment horizontal="center" vertical="center" textRotation="0" wrapText="true" indent="0" shrinkToFit="false"/>
      <protection locked="true" hidden="false"/>
    </xf>
    <xf numFmtId="167" fontId="15" fillId="0" borderId="0" xfId="0" applyFont="true" applyBorder="true" applyAlignment="true" applyProtection="false">
      <alignment horizontal="center" vertical="center" textRotation="0" wrapText="true" indent="0" shrinkToFit="false"/>
      <protection locked="true" hidden="false"/>
    </xf>
    <xf numFmtId="167" fontId="15" fillId="3" borderId="0" xfId="0" applyFont="true" applyBorder="false" applyAlignment="true" applyProtection="false">
      <alignment horizontal="center" vertical="center" textRotation="0" wrapText="true" indent="0" shrinkToFit="false"/>
      <protection locked="true" hidden="false"/>
    </xf>
    <xf numFmtId="167" fontId="15" fillId="3" borderId="0"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center" vertical="center" textRotation="0" wrapText="true" indent="0" shrinkToFit="false"/>
      <protection locked="true" hidden="false"/>
    </xf>
    <xf numFmtId="164" fontId="14" fillId="2"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left" vertical="center" textRotation="0" wrapText="true" indent="0" shrinkToFit="false"/>
      <protection locked="true" hidden="false"/>
    </xf>
    <xf numFmtId="165" fontId="13" fillId="4" borderId="3" xfId="0" applyFont="true" applyBorder="true" applyAlignment="true" applyProtection="false">
      <alignment horizontal="right" vertical="center" textRotation="0" wrapText="true" indent="0" shrinkToFit="false"/>
      <protection locked="true" hidden="false"/>
    </xf>
    <xf numFmtId="168" fontId="13" fillId="3" borderId="3" xfId="0" applyFont="true" applyBorder="true" applyAlignment="true" applyProtection="false">
      <alignment horizontal="center" vertical="center" textRotation="0" wrapText="true" indent="0" shrinkToFit="false"/>
      <protection locked="true" hidden="false"/>
    </xf>
    <xf numFmtId="166" fontId="13" fillId="3" borderId="3" xfId="0" applyFont="true" applyBorder="true" applyAlignment="true" applyProtection="false">
      <alignment horizontal="center" vertical="center" textRotation="0" wrapText="true" indent="0" shrinkToFit="false"/>
      <protection locked="true" hidden="false"/>
    </xf>
    <xf numFmtId="169" fontId="13" fillId="4" borderId="3" xfId="0" applyFont="true" applyBorder="true" applyAlignment="true" applyProtection="false">
      <alignment horizontal="center" vertical="center" textRotation="0" wrapText="true" indent="0" shrinkToFit="false"/>
      <protection locked="true" hidden="false"/>
    </xf>
    <xf numFmtId="165" fontId="14" fillId="2" borderId="3" xfId="0" applyFont="true" applyBorder="true" applyAlignment="true" applyProtection="false">
      <alignment horizontal="right" vertical="center" textRotation="0" wrapText="true" indent="0" shrinkToFit="false"/>
      <protection locked="true" hidden="false"/>
    </xf>
    <xf numFmtId="168" fontId="14" fillId="2" borderId="3" xfId="0" applyFont="true" applyBorder="true" applyAlignment="true" applyProtection="false">
      <alignment horizontal="right" vertical="center" textRotation="0" wrapText="true" indent="0" shrinkToFit="false"/>
      <protection locked="true" hidden="false"/>
    </xf>
    <xf numFmtId="166" fontId="14" fillId="2" borderId="3" xfId="0" applyFont="true" applyBorder="true" applyAlignment="true" applyProtection="false">
      <alignment horizontal="center" vertical="center" textRotation="0" wrapText="tru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8" fontId="18" fillId="2" borderId="3" xfId="0" applyFont="true" applyBorder="true" applyAlignment="true" applyProtection="false">
      <alignment horizontal="right"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FFEB9C"/>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FC7CE"/>
          <bgColor rgb="FF000000"/>
        </patternFill>
      </fill>
    </dxf>
    <dxf>
      <fill>
        <patternFill>
          <bgColor rgb="FFFFC7CE"/>
        </patternFill>
      </fill>
    </dxf>
    <dxf>
      <fill>
        <patternFill>
          <bgColor rgb="FFFFEB9C"/>
        </patternFill>
      </fill>
    </dxf>
    <dxf>
      <fill>
        <patternFill>
          <bgColor rgb="FFC6EFCE"/>
        </patternFill>
      </fill>
    </dxf>
    <dxf>
      <fill>
        <patternFill>
          <bgColor rgb="FFF2F2F2"/>
        </patternFill>
      </fill>
    </dxf>
    <dxf>
      <fill>
        <patternFill>
          <bgColor rgb="FFBDD7EE"/>
        </patternFill>
      </fill>
    </dxf>
    <dxf>
      <fill>
        <patternFill>
          <bgColor rgb="FFA9D08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2F2F2"/>
      <rgbColor rgb="FFE8F6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18"/>
  </cols>
  <sheetData>
    <row r="1" customFormat="false" ht="18.65" hidden="false" customHeight="true" outlineLevel="0" collapsed="false">
      <c r="A1" s="10" t="s">
        <v>8</v>
      </c>
      <c r="B1" s="10"/>
      <c r="C1" s="10"/>
      <c r="D1" s="10"/>
      <c r="E1" s="10"/>
      <c r="F1" s="10"/>
    </row>
    <row r="3" customFormat="false" ht="15" hidden="false" customHeight="true" outlineLevel="0" collapsed="false">
      <c r="A3" s="11" t="s">
        <v>9</v>
      </c>
      <c r="B3" s="11"/>
      <c r="C3" s="11"/>
      <c r="D3" s="11"/>
      <c r="E3" s="11"/>
      <c r="F3" s="11"/>
    </row>
    <row r="4" customFormat="false" ht="23.85" hidden="false" customHeight="true" outlineLevel="0" collapsed="false">
      <c r="A4" s="12" t="s">
        <v>10</v>
      </c>
      <c r="B4" s="13" t="s">
        <v>11</v>
      </c>
      <c r="C4" s="13"/>
      <c r="D4" s="13"/>
      <c r="E4" s="13"/>
      <c r="F4" s="13"/>
    </row>
    <row r="5" customFormat="false" ht="23.85" hidden="false" customHeight="true" outlineLevel="0" collapsed="false">
      <c r="A5" s="12" t="s">
        <v>12</v>
      </c>
      <c r="B5" s="13" t="s">
        <v>13</v>
      </c>
      <c r="C5" s="13"/>
      <c r="D5" s="13"/>
      <c r="E5" s="13"/>
      <c r="F5" s="13"/>
    </row>
    <row r="6" customFormat="false" ht="35.05" hidden="false" customHeight="true" outlineLevel="0" collapsed="false">
      <c r="A6" s="12" t="s">
        <v>14</v>
      </c>
      <c r="B6" s="13" t="s">
        <v>15</v>
      </c>
      <c r="C6" s="13"/>
      <c r="D6" s="13"/>
      <c r="E6" s="13"/>
      <c r="F6" s="13"/>
    </row>
    <row r="7" customFormat="false" ht="23.85" hidden="false" customHeight="true" outlineLevel="0" collapsed="false">
      <c r="A7" s="12" t="s">
        <v>16</v>
      </c>
      <c r="B7" s="13" t="s">
        <v>17</v>
      </c>
      <c r="C7" s="13"/>
      <c r="D7" s="13"/>
      <c r="E7" s="13"/>
      <c r="F7" s="13"/>
    </row>
    <row r="8" customFormat="false" ht="23.85" hidden="false" customHeight="true" outlineLevel="0" collapsed="false">
      <c r="A8" s="12" t="s">
        <v>18</v>
      </c>
      <c r="B8" s="13" t="s">
        <v>19</v>
      </c>
      <c r="C8" s="13"/>
      <c r="D8" s="13"/>
      <c r="E8" s="13"/>
      <c r="F8" s="13"/>
    </row>
    <row r="10" customFormat="false" ht="15" hidden="false" customHeight="true" outlineLevel="0" collapsed="false">
      <c r="A10" s="11" t="s">
        <v>20</v>
      </c>
      <c r="B10" s="11"/>
      <c r="C10" s="11"/>
      <c r="D10" s="11"/>
      <c r="E10" s="11"/>
      <c r="F10" s="11"/>
    </row>
    <row r="11" customFormat="false" ht="23.85" hidden="false" customHeight="true" outlineLevel="0" collapsed="false">
      <c r="A11" s="14" t="s">
        <v>21</v>
      </c>
      <c r="B11" s="14"/>
      <c r="C11" s="14"/>
      <c r="D11" s="14"/>
      <c r="E11" s="14"/>
      <c r="F11" s="14"/>
    </row>
    <row r="12" customFormat="false" ht="23.85" hidden="false" customHeight="true" outlineLevel="0" collapsed="false">
      <c r="A12" s="14" t="s">
        <v>22</v>
      </c>
      <c r="B12" s="14"/>
      <c r="C12" s="14"/>
      <c r="D12" s="14"/>
      <c r="E12" s="14"/>
      <c r="F12" s="14"/>
    </row>
    <row r="14" customFormat="false" ht="15" hidden="false" customHeight="true" outlineLevel="0" collapsed="false">
      <c r="A14" s="11" t="s">
        <v>23</v>
      </c>
      <c r="B14" s="11"/>
      <c r="C14" s="11"/>
      <c r="D14" s="11"/>
      <c r="E14" s="11"/>
      <c r="F14" s="11"/>
    </row>
    <row r="15" customFormat="false" ht="23.85" hidden="false" customHeight="true" outlineLevel="0" collapsed="false">
      <c r="A15" s="12" t="s">
        <v>24</v>
      </c>
      <c r="B15" s="13" t="s">
        <v>25</v>
      </c>
      <c r="C15" s="13"/>
      <c r="D15" s="13"/>
      <c r="E15" s="13"/>
      <c r="F15" s="13"/>
    </row>
    <row r="16" customFormat="false" ht="23.85" hidden="false" customHeight="true" outlineLevel="0" collapsed="false">
      <c r="A16" s="12" t="s">
        <v>26</v>
      </c>
      <c r="B16" s="13" t="s">
        <v>27</v>
      </c>
      <c r="C16" s="13"/>
      <c r="D16" s="13"/>
      <c r="E16" s="13"/>
      <c r="F16" s="13"/>
    </row>
    <row r="18" customFormat="false" ht="15" hidden="false" customHeight="true" outlineLevel="0" collapsed="false">
      <c r="A18" s="11" t="s">
        <v>28</v>
      </c>
      <c r="B18" s="11"/>
      <c r="C18" s="11"/>
      <c r="D18" s="11"/>
      <c r="E18" s="11"/>
      <c r="F18" s="11"/>
    </row>
    <row r="19" customFormat="false" ht="15" hidden="false" customHeight="true" outlineLevel="0" collapsed="false">
      <c r="A19" s="14" t="s">
        <v>29</v>
      </c>
      <c r="B19" s="14"/>
      <c r="C19" s="14"/>
      <c r="D19" s="14"/>
      <c r="E19" s="14"/>
      <c r="F19" s="14"/>
    </row>
    <row r="20" customFormat="false" ht="15" hidden="false" customHeight="true" outlineLevel="0" collapsed="false">
      <c r="A20" s="14" t="s">
        <v>30</v>
      </c>
      <c r="B20" s="14"/>
      <c r="C20" s="14"/>
      <c r="D20" s="14"/>
      <c r="E20" s="14"/>
      <c r="F20" s="14"/>
    </row>
    <row r="21" customFormat="false" ht="15" hidden="false" customHeight="true" outlineLevel="0" collapsed="false">
      <c r="A21" s="14" t="s">
        <v>31</v>
      </c>
      <c r="B21" s="14"/>
      <c r="C21" s="14"/>
      <c r="D21" s="14"/>
      <c r="E21" s="14"/>
      <c r="F21" s="14"/>
    </row>
    <row r="22" customFormat="false" ht="15" hidden="false" customHeight="true" outlineLevel="0" collapsed="false">
      <c r="A22" s="14" t="s">
        <v>32</v>
      </c>
      <c r="B22" s="14"/>
      <c r="C22" s="14"/>
      <c r="D22" s="14"/>
      <c r="E22" s="14"/>
      <c r="F22" s="14"/>
    </row>
    <row r="23" customFormat="false" ht="15" hidden="false" customHeight="true" outlineLevel="0" collapsed="false">
      <c r="A23" s="14" t="s">
        <v>33</v>
      </c>
      <c r="B23" s="14"/>
      <c r="C23" s="14"/>
      <c r="D23" s="14"/>
      <c r="E23" s="14"/>
      <c r="F23" s="14"/>
    </row>
    <row r="24" customFormat="false" ht="15" hidden="false" customHeight="true" outlineLevel="0" collapsed="false">
      <c r="A24" s="14" t="s">
        <v>34</v>
      </c>
      <c r="B24" s="14"/>
      <c r="C24" s="14"/>
      <c r="D24" s="14"/>
      <c r="E24" s="14"/>
      <c r="F24" s="14"/>
    </row>
    <row r="25" customFormat="false" ht="15" hidden="false" customHeight="true" outlineLevel="0" collapsed="false">
      <c r="A25" s="14" t="s">
        <v>35</v>
      </c>
      <c r="B25" s="14"/>
      <c r="C25" s="14"/>
      <c r="D25" s="14"/>
      <c r="E25" s="14"/>
      <c r="F25" s="14"/>
    </row>
    <row r="27" customFormat="false" ht="15" hidden="false" customHeight="true" outlineLevel="0" collapsed="false">
      <c r="A27" s="11" t="s">
        <v>36</v>
      </c>
      <c r="B27" s="11"/>
      <c r="C27" s="11"/>
      <c r="D27" s="11"/>
      <c r="E27" s="11"/>
      <c r="F27" s="11"/>
    </row>
    <row r="28" customFormat="false" ht="23.85" hidden="false" customHeight="true" outlineLevel="0" collapsed="false">
      <c r="A28" s="12" t="s">
        <v>37</v>
      </c>
      <c r="B28" s="13" t="s">
        <v>38</v>
      </c>
      <c r="C28" s="13"/>
      <c r="D28" s="13"/>
      <c r="E28" s="13"/>
      <c r="F28" s="13"/>
    </row>
    <row r="29" customFormat="false" ht="23.85" hidden="false" customHeight="true" outlineLevel="0" collapsed="false">
      <c r="A29" s="12" t="s">
        <v>39</v>
      </c>
      <c r="B29" s="13" t="s">
        <v>40</v>
      </c>
      <c r="C29" s="13"/>
      <c r="D29" s="13"/>
      <c r="E29" s="13"/>
      <c r="F29" s="13"/>
    </row>
    <row r="30" customFormat="false" ht="23.85" hidden="false" customHeight="true" outlineLevel="0" collapsed="false">
      <c r="A30" s="12" t="s">
        <v>41</v>
      </c>
      <c r="B30" s="13" t="s">
        <v>42</v>
      </c>
      <c r="C30" s="13"/>
      <c r="D30" s="13"/>
      <c r="E30" s="13"/>
      <c r="F30" s="13"/>
    </row>
  </sheetData>
  <mergeCells count="25">
    <mergeCell ref="A1:F1"/>
    <mergeCell ref="A3:F3"/>
    <mergeCell ref="B4:F4"/>
    <mergeCell ref="B5:F5"/>
    <mergeCell ref="B6:F6"/>
    <mergeCell ref="B7:F7"/>
    <mergeCell ref="B8:F8"/>
    <mergeCell ref="A10:F10"/>
    <mergeCell ref="A11:F11"/>
    <mergeCell ref="A12:F12"/>
    <mergeCell ref="A14:F14"/>
    <mergeCell ref="B15:F15"/>
    <mergeCell ref="B16:F16"/>
    <mergeCell ref="A18:F18"/>
    <mergeCell ref="A19:F19"/>
    <mergeCell ref="A20:F20"/>
    <mergeCell ref="A21:F21"/>
    <mergeCell ref="A22:F22"/>
    <mergeCell ref="A23:F23"/>
    <mergeCell ref="A24:F24"/>
    <mergeCell ref="A25:F25"/>
    <mergeCell ref="A27:F27"/>
    <mergeCell ref="B28:F28"/>
    <mergeCell ref="B29:F29"/>
    <mergeCell ref="B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42"/>
    <col collapsed="false" customWidth="true" hidden="false" outlineLevel="0" max="3" min="3" style="0" width="12"/>
    <col collapsed="false" customWidth="true" hidden="false" outlineLevel="0" max="7" min="4" style="0" width="16"/>
    <col collapsed="false" customWidth="true" hidden="false" outlineLevel="0" max="8" min="8" style="0" width="10"/>
    <col collapsed="false" customWidth="true" hidden="false" outlineLevel="0" max="9" min="9" style="0" width="17"/>
    <col collapsed="false" customWidth="true" hidden="false" outlineLevel="0" max="10" min="10" style="0" width="32"/>
    <col collapsed="false" customWidth="true" hidden="true" outlineLevel="1" max="16" min="11" style="0" width="13"/>
  </cols>
  <sheetData>
    <row r="1" customFormat="false" ht="15" hidden="false" customHeight="true" outlineLevel="0" collapsed="false">
      <c r="A1" s="15" t="s">
        <v>43</v>
      </c>
      <c r="B1" s="15"/>
      <c r="C1" s="15"/>
      <c r="D1" s="15"/>
      <c r="E1" s="15"/>
      <c r="F1" s="15"/>
      <c r="G1" s="15"/>
      <c r="H1" s="15"/>
      <c r="I1" s="15"/>
      <c r="J1" s="15"/>
      <c r="K1" s="15"/>
      <c r="L1" s="15"/>
      <c r="M1" s="15"/>
      <c r="N1" s="15"/>
      <c r="O1" s="15"/>
      <c r="P1" s="15"/>
    </row>
    <row r="3" customFormat="false" ht="23.85" hidden="false" customHeight="true" outlineLevel="0" collapsed="false">
      <c r="A3" s="16" t="s">
        <v>44</v>
      </c>
      <c r="B3" s="16"/>
      <c r="C3" s="16" t="s">
        <v>45</v>
      </c>
      <c r="D3" s="16"/>
      <c r="E3" s="16" t="s">
        <v>46</v>
      </c>
      <c r="F3" s="16"/>
      <c r="G3" s="16" t="s">
        <v>47</v>
      </c>
      <c r="H3" s="16"/>
      <c r="I3" s="16" t="s">
        <v>48</v>
      </c>
      <c r="J3" s="16"/>
    </row>
    <row r="4" customFormat="false" ht="15" hidden="false" customHeight="false" outlineLevel="0" collapsed="false">
      <c r="A4" s="17" t="n">
        <f aca="false">SUM(D12:D42)</f>
        <v>408000</v>
      </c>
      <c r="B4" s="17"/>
      <c r="C4" s="17" t="n">
        <f aca="false">SUM(E12:E42)</f>
        <v>322000</v>
      </c>
      <c r="D4" s="17"/>
      <c r="E4" s="17" t="n">
        <f aca="false">SUM(F12:F42)</f>
        <v>263500</v>
      </c>
      <c r="F4" s="17"/>
      <c r="G4" s="17" t="n">
        <f aca="false">A4-E4</f>
        <v>144500</v>
      </c>
      <c r="H4" s="17"/>
      <c r="I4" s="18" t="n">
        <f aca="false">IFERROR(E4/A4,0)</f>
        <v>0.645833333333333</v>
      </c>
      <c r="J4" s="18"/>
    </row>
    <row r="6" customFormat="false" ht="22.35" hidden="false" customHeight="true" outlineLevel="0" collapsed="false">
      <c r="A6" s="19" t="s">
        <v>49</v>
      </c>
      <c r="B6" s="19"/>
      <c r="C6" s="20" t="s">
        <v>50</v>
      </c>
      <c r="D6" s="20"/>
      <c r="E6" s="21" t="s">
        <v>51</v>
      </c>
      <c r="F6" s="22" t="s">
        <v>52</v>
      </c>
      <c r="G6" s="23" t="s">
        <v>53</v>
      </c>
      <c r="H6" s="24" t="s">
        <v>54</v>
      </c>
      <c r="I6" s="25" t="s">
        <v>55</v>
      </c>
      <c r="J6" s="25"/>
    </row>
    <row r="7" customFormat="false" ht="15" hidden="false" customHeight="false" outlineLevel="0" collapsed="false">
      <c r="A7" s="26" t="n">
        <f aca="false">COUNTIF(C12:C42,"Defined")</f>
        <v>3</v>
      </c>
      <c r="B7" s="26"/>
      <c r="C7" s="26" t="n">
        <f aca="false">COUNTIF(C12:C42,"Undefined")</f>
        <v>3</v>
      </c>
      <c r="D7" s="26"/>
      <c r="E7" s="27" t="n">
        <f aca="false">COUNTIF(I12:I42,"Not Yet Instructed")</f>
        <v>1</v>
      </c>
      <c r="F7" s="27" t="n">
        <f aca="false">COUNTIF(I12:I42,"Instructed")</f>
        <v>1</v>
      </c>
      <c r="G7" s="27" t="n">
        <f aca="false">COUNTIF(I12:I42,"In Progress")</f>
        <v>3</v>
      </c>
      <c r="H7" s="27" t="n">
        <f aca="false">COUNTIF(I12:I42,"Complete")</f>
        <v>1</v>
      </c>
      <c r="I7" s="28" t="n">
        <f aca="false">COUNTIF(I12:I42,"Final Account Agreed")</f>
        <v>0</v>
      </c>
      <c r="J7" s="28"/>
    </row>
    <row r="9" customFormat="false" ht="15" hidden="false" customHeight="false" outlineLevel="0" collapsed="false">
      <c r="A9" s="29"/>
      <c r="B9" s="29"/>
      <c r="C9" s="29"/>
      <c r="D9" s="29"/>
      <c r="E9" s="29"/>
      <c r="F9" s="29"/>
      <c r="G9" s="29"/>
      <c r="H9" s="29"/>
      <c r="I9" s="29"/>
      <c r="J9" s="29"/>
      <c r="K9" s="29"/>
      <c r="L9" s="29"/>
      <c r="M9" s="29"/>
      <c r="N9" s="29"/>
      <c r="O9" s="29"/>
      <c r="P9" s="29"/>
    </row>
    <row r="10" customFormat="false" ht="32.8" hidden="false" customHeight="true" outlineLevel="0" collapsed="false">
      <c r="K10" s="30" t="s">
        <v>56</v>
      </c>
      <c r="L10" s="30"/>
      <c r="M10" s="30"/>
      <c r="N10" s="30"/>
      <c r="O10" s="30"/>
      <c r="P10" s="30"/>
    </row>
    <row r="11" customFormat="false" ht="55.2" hidden="false" customHeight="false" outlineLevel="0" collapsed="false">
      <c r="A11" s="31" t="s">
        <v>57</v>
      </c>
      <c r="B11" s="31" t="s">
        <v>58</v>
      </c>
      <c r="C11" s="31" t="s">
        <v>59</v>
      </c>
      <c r="D11" s="31" t="s">
        <v>60</v>
      </c>
      <c r="E11" s="31" t="s">
        <v>61</v>
      </c>
      <c r="F11" s="31" t="s">
        <v>62</v>
      </c>
      <c r="G11" s="31" t="s">
        <v>63</v>
      </c>
      <c r="H11" s="31" t="s">
        <v>64</v>
      </c>
      <c r="I11" s="31" t="s">
        <v>65</v>
      </c>
      <c r="J11" s="31" t="s">
        <v>66</v>
      </c>
      <c r="K11" s="31" t="s">
        <v>67</v>
      </c>
      <c r="L11" s="31" t="s">
        <v>68</v>
      </c>
      <c r="M11" s="31" t="s">
        <v>69</v>
      </c>
      <c r="N11" s="31" t="s">
        <v>70</v>
      </c>
      <c r="O11" s="31" t="s">
        <v>71</v>
      </c>
      <c r="P11" s="31" t="s">
        <v>72</v>
      </c>
    </row>
    <row r="12" customFormat="false" ht="23.85" hidden="false" customHeight="false" outlineLevel="0" collapsed="false">
      <c r="A12" s="32" t="s">
        <v>73</v>
      </c>
      <c r="B12" s="33" t="s">
        <v>74</v>
      </c>
      <c r="C12" s="32" t="s">
        <v>75</v>
      </c>
      <c r="D12" s="34" t="n">
        <v>85000</v>
      </c>
      <c r="E12" s="34" t="n">
        <v>62000</v>
      </c>
      <c r="F12" s="34" t="n">
        <v>58500</v>
      </c>
      <c r="G12" s="35" t="n">
        <f aca="false">IF(D12&lt;&gt;"",D12-F12,"")</f>
        <v>26500</v>
      </c>
      <c r="H12" s="36" t="n">
        <f aca="false">IFERROR(F12/D12,0)</f>
        <v>0.688235294117647</v>
      </c>
      <c r="I12" s="32" t="s">
        <v>53</v>
      </c>
      <c r="J12" s="33" t="s">
        <v>76</v>
      </c>
      <c r="K12" s="32" t="s">
        <v>77</v>
      </c>
      <c r="L12" s="37" t="n">
        <v>45881</v>
      </c>
      <c r="M12" s="32" t="s">
        <v>78</v>
      </c>
      <c r="N12" s="35" t="n">
        <f aca="false">IF(AND(D12&lt;&gt;"",E12&lt;&gt;""),E12-D12,"")</f>
        <v>-23000</v>
      </c>
      <c r="O12" s="32" t="s">
        <v>79</v>
      </c>
      <c r="P12" s="32" t="s">
        <v>80</v>
      </c>
    </row>
    <row r="13" customFormat="false" ht="23.85" hidden="false" customHeight="false" outlineLevel="0" collapsed="false">
      <c r="A13" s="32" t="s">
        <v>81</v>
      </c>
      <c r="B13" s="33" t="s">
        <v>82</v>
      </c>
      <c r="C13" s="32" t="s">
        <v>75</v>
      </c>
      <c r="D13" s="34" t="n">
        <v>120000</v>
      </c>
      <c r="E13" s="34" t="n">
        <v>95000</v>
      </c>
      <c r="F13" s="34" t="n">
        <v>95000</v>
      </c>
      <c r="G13" s="35" t="n">
        <f aca="false">IF(D13&lt;&gt;"",D13-F13,"")</f>
        <v>25000</v>
      </c>
      <c r="H13" s="36" t="n">
        <f aca="false">IFERROR(F13/D13,0)</f>
        <v>0.791666666666667</v>
      </c>
      <c r="I13" s="32" t="s">
        <v>54</v>
      </c>
      <c r="J13" s="33" t="s">
        <v>83</v>
      </c>
      <c r="K13" s="32" t="s">
        <v>84</v>
      </c>
      <c r="L13" s="37" t="n">
        <v>45843</v>
      </c>
      <c r="M13" s="32" t="s">
        <v>85</v>
      </c>
      <c r="N13" s="35" t="n">
        <f aca="false">IF(AND(D13&lt;&gt;"",E13&lt;&gt;""),E13-D13,"")</f>
        <v>-25000</v>
      </c>
      <c r="O13" s="32" t="s">
        <v>86</v>
      </c>
      <c r="P13" s="32" t="s">
        <v>87</v>
      </c>
    </row>
    <row r="14" customFormat="false" ht="23.85" hidden="false" customHeight="false" outlineLevel="0" collapsed="false">
      <c r="A14" s="32" t="s">
        <v>88</v>
      </c>
      <c r="B14" s="33" t="s">
        <v>89</v>
      </c>
      <c r="C14" s="32" t="s">
        <v>90</v>
      </c>
      <c r="D14" s="34" t="n">
        <v>35000</v>
      </c>
      <c r="E14" s="34" t="n">
        <v>0</v>
      </c>
      <c r="F14" s="34" t="n">
        <v>0</v>
      </c>
      <c r="G14" s="35" t="n">
        <f aca="false">IF(D14&lt;&gt;"",D14-F14,"")</f>
        <v>35000</v>
      </c>
      <c r="H14" s="36" t="n">
        <f aca="false">IFERROR(F14/D14,0)</f>
        <v>0</v>
      </c>
      <c r="I14" s="32" t="s">
        <v>91</v>
      </c>
      <c r="J14" s="33" t="s">
        <v>92</v>
      </c>
      <c r="K14" s="32" t="s">
        <v>93</v>
      </c>
      <c r="L14" s="37"/>
      <c r="M14" s="32"/>
      <c r="N14" s="35" t="n">
        <f aca="false">IF(AND(D14&lt;&gt;"",E14&lt;&gt;""),E14-D14,"")</f>
        <v>-35000</v>
      </c>
      <c r="O14" s="32"/>
      <c r="P14" s="32" t="s">
        <v>94</v>
      </c>
    </row>
    <row r="15" customFormat="false" ht="23.85" hidden="false" customHeight="false" outlineLevel="0" collapsed="false">
      <c r="A15" s="32" t="s">
        <v>95</v>
      </c>
      <c r="B15" s="33" t="s">
        <v>96</v>
      </c>
      <c r="C15" s="32" t="s">
        <v>90</v>
      </c>
      <c r="D15" s="34" t="n">
        <v>48000</v>
      </c>
      <c r="E15" s="34" t="n">
        <v>52000</v>
      </c>
      <c r="F15" s="34" t="n">
        <v>38000</v>
      </c>
      <c r="G15" s="35" t="n">
        <f aca="false">IF(D15&lt;&gt;"",D15-F15,"")</f>
        <v>10000</v>
      </c>
      <c r="H15" s="36" t="n">
        <f aca="false">IFERROR(F15/D15,0)</f>
        <v>0.791666666666667</v>
      </c>
      <c r="I15" s="32" t="s">
        <v>53</v>
      </c>
      <c r="J15" s="33" t="s">
        <v>97</v>
      </c>
      <c r="K15" s="32" t="s">
        <v>98</v>
      </c>
      <c r="L15" s="37" t="n">
        <v>45950</v>
      </c>
      <c r="M15" s="32" t="s">
        <v>99</v>
      </c>
      <c r="N15" s="35" t="n">
        <f aca="false">IF(AND(D15&lt;&gt;"",E15&lt;&gt;""),E15-D15,"")</f>
        <v>4000</v>
      </c>
      <c r="O15" s="32" t="s">
        <v>100</v>
      </c>
      <c r="P15" s="32" t="s">
        <v>101</v>
      </c>
    </row>
    <row r="16" customFormat="false" ht="23.85" hidden="false" customHeight="false" outlineLevel="0" collapsed="false">
      <c r="A16" s="32" t="s">
        <v>102</v>
      </c>
      <c r="B16" s="33" t="s">
        <v>103</v>
      </c>
      <c r="C16" s="32" t="s">
        <v>75</v>
      </c>
      <c r="D16" s="34" t="n">
        <v>25000</v>
      </c>
      <c r="E16" s="34" t="n">
        <v>22000</v>
      </c>
      <c r="F16" s="34" t="n">
        <v>0</v>
      </c>
      <c r="G16" s="35" t="n">
        <f aca="false">IF(D16&lt;&gt;"",D16-F16,"")</f>
        <v>25000</v>
      </c>
      <c r="H16" s="36" t="n">
        <f aca="false">IFERROR(F16/D16,0)</f>
        <v>0</v>
      </c>
      <c r="I16" s="32" t="s">
        <v>52</v>
      </c>
      <c r="J16" s="33" t="s">
        <v>104</v>
      </c>
      <c r="K16" s="32" t="s">
        <v>105</v>
      </c>
      <c r="L16" s="37" t="n">
        <v>46030</v>
      </c>
      <c r="M16" s="32" t="s">
        <v>106</v>
      </c>
      <c r="N16" s="35" t="n">
        <f aca="false">IF(AND(D16&lt;&gt;"",E16&lt;&gt;""),E16-D16,"")</f>
        <v>-3000</v>
      </c>
      <c r="O16" s="32"/>
      <c r="P16" s="32" t="s">
        <v>80</v>
      </c>
    </row>
    <row r="17" customFormat="false" ht="23.85" hidden="false" customHeight="false" outlineLevel="0" collapsed="false">
      <c r="A17" s="32" t="s">
        <v>107</v>
      </c>
      <c r="B17" s="33" t="s">
        <v>108</v>
      </c>
      <c r="C17" s="32" t="s">
        <v>90</v>
      </c>
      <c r="D17" s="34" t="n">
        <v>95000</v>
      </c>
      <c r="E17" s="34" t="n">
        <v>91000</v>
      </c>
      <c r="F17" s="34" t="n">
        <v>72000</v>
      </c>
      <c r="G17" s="35" t="n">
        <f aca="false">IF(D17&lt;&gt;"",D17-F17,"")</f>
        <v>23000</v>
      </c>
      <c r="H17" s="36" t="n">
        <f aca="false">IFERROR(F17/D17,0)</f>
        <v>0.757894736842105</v>
      </c>
      <c r="I17" s="32" t="s">
        <v>53</v>
      </c>
      <c r="J17" s="33" t="s">
        <v>109</v>
      </c>
      <c r="K17" s="32" t="s">
        <v>110</v>
      </c>
      <c r="L17" s="37" t="n">
        <v>45915</v>
      </c>
      <c r="M17" s="32" t="s">
        <v>111</v>
      </c>
      <c r="N17" s="35" t="n">
        <f aca="false">IF(AND(D17&lt;&gt;"",E17&lt;&gt;""),E17-D17,"")</f>
        <v>-4000</v>
      </c>
      <c r="O17" s="32"/>
      <c r="P17" s="32" t="s">
        <v>101</v>
      </c>
    </row>
    <row r="18" customFormat="false" ht="15" hidden="false" customHeight="false" outlineLevel="0" collapsed="false">
      <c r="A18" s="32"/>
      <c r="B18" s="33"/>
      <c r="C18" s="32"/>
      <c r="D18" s="34"/>
      <c r="E18" s="34"/>
      <c r="F18" s="34"/>
      <c r="G18" s="35" t="str">
        <f aca="false">IF(D18&lt;&gt;"",D18-F18,"")</f>
        <v/>
      </c>
      <c r="H18" s="36" t="n">
        <f aca="false">IFERROR(F18/D18,0)</f>
        <v>0</v>
      </c>
      <c r="I18" s="32"/>
      <c r="J18" s="33"/>
      <c r="K18" s="32"/>
      <c r="L18" s="37"/>
      <c r="M18" s="32"/>
      <c r="N18" s="35" t="str">
        <f aca="false">IF(AND(D18&lt;&gt;"",E18&lt;&gt;""),E18-D18,"")</f>
        <v/>
      </c>
      <c r="O18" s="32"/>
      <c r="P18" s="32"/>
    </row>
    <row r="19" customFormat="false" ht="15" hidden="false" customHeight="false" outlineLevel="0" collapsed="false">
      <c r="A19" s="32"/>
      <c r="B19" s="33"/>
      <c r="C19" s="32"/>
      <c r="D19" s="34"/>
      <c r="E19" s="34"/>
      <c r="F19" s="34"/>
      <c r="G19" s="35" t="str">
        <f aca="false">IF(D19&lt;&gt;"",D19-F19,"")</f>
        <v/>
      </c>
      <c r="H19" s="36" t="n">
        <f aca="false">IFERROR(F19/D19,0)</f>
        <v>0</v>
      </c>
      <c r="I19" s="32"/>
      <c r="J19" s="33"/>
      <c r="K19" s="32"/>
      <c r="L19" s="37"/>
      <c r="M19" s="32"/>
      <c r="N19" s="35" t="str">
        <f aca="false">IF(AND(D19&lt;&gt;"",E19&lt;&gt;""),E19-D19,"")</f>
        <v/>
      </c>
      <c r="O19" s="32"/>
      <c r="P19" s="32"/>
    </row>
    <row r="20" customFormat="false" ht="15" hidden="false" customHeight="false" outlineLevel="0" collapsed="false">
      <c r="A20" s="32"/>
      <c r="B20" s="33"/>
      <c r="C20" s="32"/>
      <c r="D20" s="34"/>
      <c r="E20" s="34"/>
      <c r="F20" s="34"/>
      <c r="G20" s="35" t="str">
        <f aca="false">IF(D20&lt;&gt;"",D20-F20,"")</f>
        <v/>
      </c>
      <c r="H20" s="36" t="n">
        <f aca="false">IFERROR(F20/D20,0)</f>
        <v>0</v>
      </c>
      <c r="I20" s="32"/>
      <c r="J20" s="33"/>
      <c r="K20" s="32"/>
      <c r="L20" s="37"/>
      <c r="M20" s="32"/>
      <c r="N20" s="35" t="str">
        <f aca="false">IF(AND(D20&lt;&gt;"",E20&lt;&gt;""),E20-D20,"")</f>
        <v/>
      </c>
      <c r="O20" s="32"/>
      <c r="P20" s="32"/>
    </row>
    <row r="21" customFormat="false" ht="15" hidden="false" customHeight="false" outlineLevel="0" collapsed="false">
      <c r="A21" s="32"/>
      <c r="B21" s="33"/>
      <c r="C21" s="32"/>
      <c r="D21" s="34"/>
      <c r="E21" s="34"/>
      <c r="F21" s="34"/>
      <c r="G21" s="35" t="str">
        <f aca="false">IF(D21&lt;&gt;"",D21-F21,"")</f>
        <v/>
      </c>
      <c r="H21" s="36" t="n">
        <f aca="false">IFERROR(F21/D21,0)</f>
        <v>0</v>
      </c>
      <c r="I21" s="32"/>
      <c r="J21" s="33"/>
      <c r="K21" s="32"/>
      <c r="L21" s="37"/>
      <c r="M21" s="32"/>
      <c r="N21" s="35" t="str">
        <f aca="false">IF(AND(D21&lt;&gt;"",E21&lt;&gt;""),E21-D21,"")</f>
        <v/>
      </c>
      <c r="O21" s="32"/>
      <c r="P21" s="32"/>
    </row>
    <row r="22" customFormat="false" ht="15" hidden="false" customHeight="false" outlineLevel="0" collapsed="false">
      <c r="A22" s="32"/>
      <c r="B22" s="33"/>
      <c r="C22" s="32"/>
      <c r="D22" s="34"/>
      <c r="E22" s="34"/>
      <c r="F22" s="34"/>
      <c r="G22" s="35" t="str">
        <f aca="false">IF(D22&lt;&gt;"",D22-F22,"")</f>
        <v/>
      </c>
      <c r="H22" s="36" t="n">
        <f aca="false">IFERROR(F22/D22,0)</f>
        <v>0</v>
      </c>
      <c r="I22" s="32"/>
      <c r="J22" s="33"/>
      <c r="K22" s="32"/>
      <c r="L22" s="37"/>
      <c r="M22" s="32"/>
      <c r="N22" s="35" t="str">
        <f aca="false">IF(AND(D22&lt;&gt;"",E22&lt;&gt;""),E22-D22,"")</f>
        <v/>
      </c>
      <c r="O22" s="32"/>
      <c r="P22" s="32"/>
    </row>
    <row r="23" customFormat="false" ht="15" hidden="false" customHeight="false" outlineLevel="0" collapsed="false">
      <c r="A23" s="32"/>
      <c r="B23" s="33"/>
      <c r="C23" s="32"/>
      <c r="D23" s="34"/>
      <c r="E23" s="34"/>
      <c r="F23" s="34"/>
      <c r="G23" s="35" t="str">
        <f aca="false">IF(D23&lt;&gt;"",D23-F23,"")</f>
        <v/>
      </c>
      <c r="H23" s="36" t="n">
        <f aca="false">IFERROR(F23/D23,0)</f>
        <v>0</v>
      </c>
      <c r="I23" s="32"/>
      <c r="J23" s="33"/>
      <c r="K23" s="32"/>
      <c r="L23" s="37"/>
      <c r="M23" s="32"/>
      <c r="N23" s="35" t="str">
        <f aca="false">IF(AND(D23&lt;&gt;"",E23&lt;&gt;""),E23-D23,"")</f>
        <v/>
      </c>
      <c r="O23" s="32"/>
      <c r="P23" s="32"/>
    </row>
    <row r="24" customFormat="false" ht="15" hidden="false" customHeight="false" outlineLevel="0" collapsed="false">
      <c r="A24" s="32"/>
      <c r="B24" s="33"/>
      <c r="C24" s="32"/>
      <c r="D24" s="34"/>
      <c r="E24" s="34"/>
      <c r="F24" s="34"/>
      <c r="G24" s="35" t="str">
        <f aca="false">IF(D24&lt;&gt;"",D24-F24,"")</f>
        <v/>
      </c>
      <c r="H24" s="36" t="n">
        <f aca="false">IFERROR(F24/D24,0)</f>
        <v>0</v>
      </c>
      <c r="I24" s="32"/>
      <c r="J24" s="33"/>
      <c r="K24" s="32"/>
      <c r="L24" s="37"/>
      <c r="M24" s="32"/>
      <c r="N24" s="35" t="str">
        <f aca="false">IF(AND(D24&lt;&gt;"",E24&lt;&gt;""),E24-D24,"")</f>
        <v/>
      </c>
      <c r="O24" s="32"/>
      <c r="P24" s="32"/>
    </row>
    <row r="25" customFormat="false" ht="15" hidden="false" customHeight="false" outlineLevel="0" collapsed="false">
      <c r="A25" s="32"/>
      <c r="B25" s="33"/>
      <c r="C25" s="32"/>
      <c r="D25" s="34"/>
      <c r="E25" s="34"/>
      <c r="F25" s="34"/>
      <c r="G25" s="35" t="str">
        <f aca="false">IF(D25&lt;&gt;"",D25-F25,"")</f>
        <v/>
      </c>
      <c r="H25" s="36" t="n">
        <f aca="false">IFERROR(F25/D25,0)</f>
        <v>0</v>
      </c>
      <c r="I25" s="32"/>
      <c r="J25" s="33"/>
      <c r="K25" s="32"/>
      <c r="L25" s="37"/>
      <c r="M25" s="32"/>
      <c r="N25" s="35" t="str">
        <f aca="false">IF(AND(D25&lt;&gt;"",E25&lt;&gt;""),E25-D25,"")</f>
        <v/>
      </c>
      <c r="O25" s="32"/>
      <c r="P25" s="32"/>
    </row>
    <row r="26" customFormat="false" ht="15" hidden="false" customHeight="false" outlineLevel="0" collapsed="false">
      <c r="A26" s="32"/>
      <c r="B26" s="33"/>
      <c r="C26" s="32"/>
      <c r="D26" s="34"/>
      <c r="E26" s="34"/>
      <c r="F26" s="34"/>
      <c r="G26" s="35" t="str">
        <f aca="false">IF(D26&lt;&gt;"",D26-F26,"")</f>
        <v/>
      </c>
      <c r="H26" s="36" t="n">
        <f aca="false">IFERROR(F26/D26,0)</f>
        <v>0</v>
      </c>
      <c r="I26" s="32"/>
      <c r="J26" s="33"/>
      <c r="K26" s="32"/>
      <c r="L26" s="37"/>
      <c r="M26" s="32"/>
      <c r="N26" s="35" t="str">
        <f aca="false">IF(AND(D26&lt;&gt;"",E26&lt;&gt;""),E26-D26,"")</f>
        <v/>
      </c>
      <c r="O26" s="32"/>
      <c r="P26" s="32"/>
    </row>
    <row r="27" customFormat="false" ht="15" hidden="false" customHeight="false" outlineLevel="0" collapsed="false">
      <c r="A27" s="32"/>
      <c r="B27" s="33"/>
      <c r="C27" s="32"/>
      <c r="D27" s="34"/>
      <c r="E27" s="34"/>
      <c r="F27" s="34"/>
      <c r="G27" s="35" t="str">
        <f aca="false">IF(D27&lt;&gt;"",D27-F27,"")</f>
        <v/>
      </c>
      <c r="H27" s="36" t="n">
        <f aca="false">IFERROR(F27/D27,0)</f>
        <v>0</v>
      </c>
      <c r="I27" s="32"/>
      <c r="J27" s="33"/>
      <c r="K27" s="32"/>
      <c r="L27" s="37"/>
      <c r="M27" s="32"/>
      <c r="N27" s="35" t="str">
        <f aca="false">IF(AND(D27&lt;&gt;"",E27&lt;&gt;""),E27-D27,"")</f>
        <v/>
      </c>
      <c r="O27" s="32"/>
      <c r="P27" s="32"/>
    </row>
    <row r="28" customFormat="false" ht="15" hidden="false" customHeight="false" outlineLevel="0" collapsed="false">
      <c r="A28" s="32"/>
      <c r="B28" s="33"/>
      <c r="C28" s="32"/>
      <c r="D28" s="34"/>
      <c r="E28" s="34"/>
      <c r="F28" s="34"/>
      <c r="G28" s="35" t="str">
        <f aca="false">IF(D28&lt;&gt;"",D28-F28,"")</f>
        <v/>
      </c>
      <c r="H28" s="36" t="n">
        <f aca="false">IFERROR(F28/D28,0)</f>
        <v>0</v>
      </c>
      <c r="I28" s="32"/>
      <c r="J28" s="33"/>
      <c r="K28" s="32"/>
      <c r="L28" s="37"/>
      <c r="M28" s="32"/>
      <c r="N28" s="35" t="str">
        <f aca="false">IF(AND(D28&lt;&gt;"",E28&lt;&gt;""),E28-D28,"")</f>
        <v/>
      </c>
      <c r="O28" s="32"/>
      <c r="P28" s="32"/>
    </row>
    <row r="29" customFormat="false" ht="15" hidden="false" customHeight="false" outlineLevel="0" collapsed="false">
      <c r="A29" s="32"/>
      <c r="B29" s="33"/>
      <c r="C29" s="32"/>
      <c r="D29" s="34"/>
      <c r="E29" s="34"/>
      <c r="F29" s="34"/>
      <c r="G29" s="35" t="str">
        <f aca="false">IF(D29&lt;&gt;"",D29-F29,"")</f>
        <v/>
      </c>
      <c r="H29" s="36" t="n">
        <f aca="false">IFERROR(F29/D29,0)</f>
        <v>0</v>
      </c>
      <c r="I29" s="32"/>
      <c r="J29" s="33"/>
      <c r="K29" s="32"/>
      <c r="L29" s="37"/>
      <c r="M29" s="32"/>
      <c r="N29" s="35" t="str">
        <f aca="false">IF(AND(D29&lt;&gt;"",E29&lt;&gt;""),E29-D29,"")</f>
        <v/>
      </c>
      <c r="O29" s="32"/>
      <c r="P29" s="32"/>
    </row>
    <row r="30" customFormat="false" ht="15" hidden="false" customHeight="false" outlineLevel="0" collapsed="false">
      <c r="A30" s="32"/>
      <c r="B30" s="33"/>
      <c r="C30" s="32"/>
      <c r="D30" s="34"/>
      <c r="E30" s="34"/>
      <c r="F30" s="34"/>
      <c r="G30" s="35" t="str">
        <f aca="false">IF(D30&lt;&gt;"",D30-F30,"")</f>
        <v/>
      </c>
      <c r="H30" s="36" t="n">
        <f aca="false">IFERROR(F30/D30,0)</f>
        <v>0</v>
      </c>
      <c r="I30" s="32"/>
      <c r="J30" s="33"/>
      <c r="K30" s="32"/>
      <c r="L30" s="37"/>
      <c r="M30" s="32"/>
      <c r="N30" s="35" t="str">
        <f aca="false">IF(AND(D30&lt;&gt;"",E30&lt;&gt;""),E30-D30,"")</f>
        <v/>
      </c>
      <c r="O30" s="32"/>
      <c r="P30" s="32"/>
    </row>
    <row r="31" customFormat="false" ht="15" hidden="false" customHeight="false" outlineLevel="0" collapsed="false">
      <c r="A31" s="32"/>
      <c r="B31" s="33"/>
      <c r="C31" s="32"/>
      <c r="D31" s="34"/>
      <c r="E31" s="34"/>
      <c r="F31" s="34"/>
      <c r="G31" s="35" t="str">
        <f aca="false">IF(D31&lt;&gt;"",D31-F31,"")</f>
        <v/>
      </c>
      <c r="H31" s="36" t="n">
        <f aca="false">IFERROR(F31/D31,0)</f>
        <v>0</v>
      </c>
      <c r="I31" s="32"/>
      <c r="J31" s="33"/>
      <c r="K31" s="32"/>
      <c r="L31" s="37"/>
      <c r="M31" s="32"/>
      <c r="N31" s="35" t="str">
        <f aca="false">IF(AND(D31&lt;&gt;"",E31&lt;&gt;""),E31-D31,"")</f>
        <v/>
      </c>
      <c r="O31" s="32"/>
      <c r="P31" s="32"/>
    </row>
    <row r="32" customFormat="false" ht="15" hidden="false" customHeight="false" outlineLevel="0" collapsed="false">
      <c r="A32" s="32"/>
      <c r="B32" s="33"/>
      <c r="C32" s="32"/>
      <c r="D32" s="34"/>
      <c r="E32" s="34"/>
      <c r="F32" s="34"/>
      <c r="G32" s="35" t="str">
        <f aca="false">IF(D32&lt;&gt;"",D32-F32,"")</f>
        <v/>
      </c>
      <c r="H32" s="36" t="n">
        <f aca="false">IFERROR(F32/D32,0)</f>
        <v>0</v>
      </c>
      <c r="I32" s="32"/>
      <c r="J32" s="33"/>
      <c r="K32" s="32"/>
      <c r="L32" s="37"/>
      <c r="M32" s="32"/>
      <c r="N32" s="35" t="str">
        <f aca="false">IF(AND(D32&lt;&gt;"",E32&lt;&gt;""),E32-D32,"")</f>
        <v/>
      </c>
      <c r="O32" s="32"/>
      <c r="P32" s="32"/>
    </row>
    <row r="33" customFormat="false" ht="15" hidden="false" customHeight="false" outlineLevel="0" collapsed="false">
      <c r="A33" s="32"/>
      <c r="B33" s="33"/>
      <c r="C33" s="32"/>
      <c r="D33" s="34"/>
      <c r="E33" s="34"/>
      <c r="F33" s="34"/>
      <c r="G33" s="35" t="str">
        <f aca="false">IF(D33&lt;&gt;"",D33-F33,"")</f>
        <v/>
      </c>
      <c r="H33" s="36" t="n">
        <f aca="false">IFERROR(F33/D33,0)</f>
        <v>0</v>
      </c>
      <c r="I33" s="32"/>
      <c r="J33" s="33"/>
      <c r="K33" s="32"/>
      <c r="L33" s="37"/>
      <c r="M33" s="32"/>
      <c r="N33" s="35" t="str">
        <f aca="false">IF(AND(D33&lt;&gt;"",E33&lt;&gt;""),E33-D33,"")</f>
        <v/>
      </c>
      <c r="O33" s="32"/>
      <c r="P33" s="32"/>
    </row>
    <row r="34" customFormat="false" ht="15" hidden="false" customHeight="false" outlineLevel="0" collapsed="false">
      <c r="A34" s="32"/>
      <c r="B34" s="33"/>
      <c r="C34" s="32"/>
      <c r="D34" s="34"/>
      <c r="E34" s="34"/>
      <c r="F34" s="34"/>
      <c r="G34" s="35" t="str">
        <f aca="false">IF(D34&lt;&gt;"",D34-F34,"")</f>
        <v/>
      </c>
      <c r="H34" s="36" t="n">
        <f aca="false">IFERROR(F34/D34,0)</f>
        <v>0</v>
      </c>
      <c r="I34" s="32"/>
      <c r="J34" s="33"/>
      <c r="K34" s="32"/>
      <c r="L34" s="37"/>
      <c r="M34" s="32"/>
      <c r="N34" s="35" t="str">
        <f aca="false">IF(AND(D34&lt;&gt;"",E34&lt;&gt;""),E34-D34,"")</f>
        <v/>
      </c>
      <c r="O34" s="32"/>
      <c r="P34" s="32"/>
    </row>
    <row r="35" customFormat="false" ht="15" hidden="false" customHeight="false" outlineLevel="0" collapsed="false">
      <c r="A35" s="32"/>
      <c r="B35" s="33"/>
      <c r="C35" s="32"/>
      <c r="D35" s="34"/>
      <c r="E35" s="34"/>
      <c r="F35" s="34"/>
      <c r="G35" s="35" t="str">
        <f aca="false">IF(D35&lt;&gt;"",D35-F35,"")</f>
        <v/>
      </c>
      <c r="H35" s="36" t="n">
        <f aca="false">IFERROR(F35/D35,0)</f>
        <v>0</v>
      </c>
      <c r="I35" s="32"/>
      <c r="J35" s="33"/>
      <c r="K35" s="32"/>
      <c r="L35" s="37"/>
      <c r="M35" s="32"/>
      <c r="N35" s="35" t="str">
        <f aca="false">IF(AND(D35&lt;&gt;"",E35&lt;&gt;""),E35-D35,"")</f>
        <v/>
      </c>
      <c r="O35" s="32"/>
      <c r="P35" s="32"/>
    </row>
    <row r="36" customFormat="false" ht="15" hidden="false" customHeight="false" outlineLevel="0" collapsed="false">
      <c r="A36" s="32"/>
      <c r="B36" s="33"/>
      <c r="C36" s="32"/>
      <c r="D36" s="34"/>
      <c r="E36" s="34"/>
      <c r="F36" s="34"/>
      <c r="G36" s="35" t="str">
        <f aca="false">IF(D36&lt;&gt;"",D36-F36,"")</f>
        <v/>
      </c>
      <c r="H36" s="36" t="n">
        <f aca="false">IFERROR(F36/D36,0)</f>
        <v>0</v>
      </c>
      <c r="I36" s="32"/>
      <c r="J36" s="33"/>
      <c r="K36" s="32"/>
      <c r="L36" s="37"/>
      <c r="M36" s="32"/>
      <c r="N36" s="35" t="str">
        <f aca="false">IF(AND(D36&lt;&gt;"",E36&lt;&gt;""),E36-D36,"")</f>
        <v/>
      </c>
      <c r="O36" s="32"/>
      <c r="P36" s="32"/>
    </row>
    <row r="37" customFormat="false" ht="15" hidden="false" customHeight="false" outlineLevel="0" collapsed="false">
      <c r="A37" s="32"/>
      <c r="B37" s="33"/>
      <c r="C37" s="32"/>
      <c r="D37" s="34"/>
      <c r="E37" s="34"/>
      <c r="F37" s="34"/>
      <c r="G37" s="35" t="str">
        <f aca="false">IF(D37&lt;&gt;"",D37-F37,"")</f>
        <v/>
      </c>
      <c r="H37" s="36" t="n">
        <f aca="false">IFERROR(F37/D37,0)</f>
        <v>0</v>
      </c>
      <c r="I37" s="32"/>
      <c r="J37" s="33"/>
      <c r="K37" s="32"/>
      <c r="L37" s="37"/>
      <c r="M37" s="32"/>
      <c r="N37" s="35" t="str">
        <f aca="false">IF(AND(D37&lt;&gt;"",E37&lt;&gt;""),E37-D37,"")</f>
        <v/>
      </c>
      <c r="O37" s="32"/>
      <c r="P37" s="32"/>
    </row>
    <row r="38" customFormat="false" ht="15" hidden="false" customHeight="false" outlineLevel="0" collapsed="false">
      <c r="A38" s="32"/>
      <c r="B38" s="33"/>
      <c r="C38" s="32"/>
      <c r="D38" s="34"/>
      <c r="E38" s="34"/>
      <c r="F38" s="34"/>
      <c r="G38" s="35" t="str">
        <f aca="false">IF(D38&lt;&gt;"",D38-F38,"")</f>
        <v/>
      </c>
      <c r="H38" s="36" t="n">
        <f aca="false">IFERROR(F38/D38,0)</f>
        <v>0</v>
      </c>
      <c r="I38" s="32"/>
      <c r="J38" s="33"/>
      <c r="K38" s="32"/>
      <c r="L38" s="37"/>
      <c r="M38" s="32"/>
      <c r="N38" s="35" t="str">
        <f aca="false">IF(AND(D38&lt;&gt;"",E38&lt;&gt;""),E38-D38,"")</f>
        <v/>
      </c>
      <c r="O38" s="32"/>
      <c r="P38" s="32"/>
    </row>
    <row r="39" customFormat="false" ht="15" hidden="false" customHeight="false" outlineLevel="0" collapsed="false">
      <c r="A39" s="32"/>
      <c r="B39" s="33"/>
      <c r="C39" s="32"/>
      <c r="D39" s="34"/>
      <c r="E39" s="34"/>
      <c r="F39" s="34"/>
      <c r="G39" s="35" t="str">
        <f aca="false">IF(D39&lt;&gt;"",D39-F39,"")</f>
        <v/>
      </c>
      <c r="H39" s="36" t="n">
        <f aca="false">IFERROR(F39/D39,0)</f>
        <v>0</v>
      </c>
      <c r="I39" s="32"/>
      <c r="J39" s="33"/>
      <c r="K39" s="32"/>
      <c r="L39" s="37"/>
      <c r="M39" s="32"/>
      <c r="N39" s="35" t="str">
        <f aca="false">IF(AND(D39&lt;&gt;"",E39&lt;&gt;""),E39-D39,"")</f>
        <v/>
      </c>
      <c r="O39" s="32"/>
      <c r="P39" s="32"/>
    </row>
    <row r="40" customFormat="false" ht="15" hidden="false" customHeight="false" outlineLevel="0" collapsed="false">
      <c r="A40" s="32"/>
      <c r="B40" s="33"/>
      <c r="C40" s="32"/>
      <c r="D40" s="34"/>
      <c r="E40" s="34"/>
      <c r="F40" s="34"/>
      <c r="G40" s="35" t="str">
        <f aca="false">IF(D40&lt;&gt;"",D40-F40,"")</f>
        <v/>
      </c>
      <c r="H40" s="36" t="n">
        <f aca="false">IFERROR(F40/D40,0)</f>
        <v>0</v>
      </c>
      <c r="I40" s="32"/>
      <c r="J40" s="33"/>
      <c r="K40" s="32"/>
      <c r="L40" s="37"/>
      <c r="M40" s="32"/>
      <c r="N40" s="35" t="str">
        <f aca="false">IF(AND(D40&lt;&gt;"",E40&lt;&gt;""),E40-D40,"")</f>
        <v/>
      </c>
      <c r="O40" s="32"/>
      <c r="P40" s="32"/>
    </row>
    <row r="41" customFormat="false" ht="15" hidden="false" customHeight="false" outlineLevel="0" collapsed="false">
      <c r="A41" s="32"/>
      <c r="B41" s="33"/>
      <c r="C41" s="32"/>
      <c r="D41" s="34"/>
      <c r="E41" s="34"/>
      <c r="F41" s="34"/>
      <c r="G41" s="35" t="str">
        <f aca="false">IF(D41&lt;&gt;"",D41-F41,"")</f>
        <v/>
      </c>
      <c r="H41" s="36" t="n">
        <f aca="false">IFERROR(F41/D41,0)</f>
        <v>0</v>
      </c>
      <c r="I41" s="32"/>
      <c r="J41" s="33"/>
      <c r="K41" s="32"/>
      <c r="L41" s="37"/>
      <c r="M41" s="32"/>
      <c r="N41" s="35" t="str">
        <f aca="false">IF(AND(D41&lt;&gt;"",E41&lt;&gt;""),E41-D41,"")</f>
        <v/>
      </c>
      <c r="O41" s="32"/>
      <c r="P41" s="32"/>
    </row>
    <row r="42" customFormat="false" ht="15" hidden="false" customHeight="false" outlineLevel="0" collapsed="false">
      <c r="A42" s="32"/>
      <c r="B42" s="33"/>
      <c r="C42" s="32"/>
      <c r="D42" s="34"/>
      <c r="E42" s="34"/>
      <c r="F42" s="34"/>
      <c r="G42" s="35" t="str">
        <f aca="false">IF(D42&lt;&gt;"",D42-F42,"")</f>
        <v/>
      </c>
      <c r="H42" s="36" t="n">
        <f aca="false">IFERROR(F42/D42,0)</f>
        <v>0</v>
      </c>
      <c r="I42" s="32"/>
      <c r="J42" s="33"/>
      <c r="K42" s="32"/>
      <c r="L42" s="37"/>
      <c r="M42" s="32"/>
      <c r="N42" s="35" t="str">
        <f aca="false">IF(AND(D42&lt;&gt;"",E42&lt;&gt;""),E42-D42,"")</f>
        <v/>
      </c>
      <c r="O42" s="32"/>
      <c r="P42" s="32"/>
    </row>
    <row r="43" customFormat="false" ht="15" hidden="false" customHeight="true" outlineLevel="0" collapsed="false">
      <c r="A43" s="31" t="s">
        <v>112</v>
      </c>
      <c r="B43" s="31"/>
      <c r="C43" s="31"/>
      <c r="D43" s="38" t="n">
        <f aca="false">SUM(D12:D42)</f>
        <v>408000</v>
      </c>
      <c r="E43" s="38" t="n">
        <f aca="false">SUM(E12:E42)</f>
        <v>322000</v>
      </c>
      <c r="F43" s="38" t="n">
        <f aca="false">SUM(F12:F42)</f>
        <v>263500</v>
      </c>
      <c r="G43" s="39" t="n">
        <f aca="false">D43-F43</f>
        <v>144500</v>
      </c>
      <c r="H43" s="40" t="n">
        <f aca="false">IFERROR(F43/D43,0)</f>
        <v>0.645833333333333</v>
      </c>
      <c r="I43" s="41"/>
      <c r="J43" s="41"/>
      <c r="K43" s="41"/>
      <c r="L43" s="41"/>
      <c r="M43" s="41"/>
      <c r="N43" s="42" t="n">
        <f aca="false">SUM(N12:N42)</f>
        <v>-86000</v>
      </c>
      <c r="O43" s="41"/>
      <c r="P43" s="41"/>
    </row>
  </sheetData>
  <autoFilter ref="A11:P42"/>
  <mergeCells count="19">
    <mergeCell ref="A1:P1"/>
    <mergeCell ref="A3:B3"/>
    <mergeCell ref="C3:D3"/>
    <mergeCell ref="E3:F3"/>
    <mergeCell ref="G3:H3"/>
    <mergeCell ref="I3:J3"/>
    <mergeCell ref="A4:B4"/>
    <mergeCell ref="C4:D4"/>
    <mergeCell ref="E4:F4"/>
    <mergeCell ref="G4:H4"/>
    <mergeCell ref="I4:J4"/>
    <mergeCell ref="A6:B6"/>
    <mergeCell ref="C6:D6"/>
    <mergeCell ref="I6:J6"/>
    <mergeCell ref="A7:B7"/>
    <mergeCell ref="C7:D7"/>
    <mergeCell ref="I7:J7"/>
    <mergeCell ref="K10:P10"/>
    <mergeCell ref="A43:C43"/>
  </mergeCells>
  <conditionalFormatting sqref="H12:H42">
    <cfRule type="expression" priority="2" aboveAverage="0" equalAverage="0" bottom="0" percent="0" rank="0" text="" dxfId="8">
      <formula>H12&gt;=1</formula>
    </cfRule>
    <cfRule type="expression" priority="3" aboveAverage="0" equalAverage="0" bottom="0" percent="0" rank="0" text="" dxfId="9">
      <formula>AND(H12&gt;=0.8,H12&lt;1)</formula>
    </cfRule>
    <cfRule type="expression" priority="4" aboveAverage="0" equalAverage="0" bottom="0" percent="0" rank="0" text="" dxfId="10">
      <formula>AND(H12&gt;0,H12&lt;0.8)</formula>
    </cfRule>
  </conditionalFormatting>
  <conditionalFormatting sqref="G12:G42">
    <cfRule type="expression" priority="5" aboveAverage="0" equalAverage="0" bottom="0" percent="0" rank="0" text="" dxfId="8">
      <formula>AND(G12&lt;&gt;"",G12&lt;0)</formula>
    </cfRule>
    <cfRule type="expression" priority="6" aboveAverage="0" equalAverage="0" bottom="0" percent="0" rank="0" text="" dxfId="10">
      <formula>AND(G12&lt;&gt;"",G12&gt;0)</formula>
    </cfRule>
  </conditionalFormatting>
  <conditionalFormatting sqref="I12:I42">
    <cfRule type="cellIs" priority="7" operator="equal" aboveAverage="0" equalAverage="0" bottom="0" percent="0" rank="0" text="" dxfId="11">
      <formula>"Not Yet Instructed"</formula>
    </cfRule>
    <cfRule type="cellIs" priority="8" operator="equal" aboveAverage="0" equalAverage="0" bottom="0" percent="0" rank="0" text="" dxfId="12">
      <formula>"Instructed"</formula>
    </cfRule>
    <cfRule type="cellIs" priority="9" operator="equal" aboveAverage="0" equalAverage="0" bottom="0" percent="0" rank="0" text="" dxfId="9">
      <formula>"In Progress"</formula>
    </cfRule>
    <cfRule type="cellIs" priority="10" operator="equal" aboveAverage="0" equalAverage="0" bottom="0" percent="0" rank="0" text="" dxfId="10">
      <formula>"Complete"</formula>
    </cfRule>
    <cfRule type="cellIs" priority="11" operator="equal" aboveAverage="0" equalAverage="0" bottom="0" percent="0" rank="0" text="" dxfId="13">
      <formula>"Final Account Agreed"</formula>
    </cfRule>
  </conditionalFormatting>
  <conditionalFormatting sqref="C12:C42">
    <cfRule type="cellIs" priority="12" operator="equal" aboveAverage="0" equalAverage="0" bottom="0" percent="0" rank="0" text="" dxfId="12">
      <formula>"Defined"</formula>
    </cfRule>
    <cfRule type="cellIs" priority="13" operator="equal" aboveAverage="0" equalAverage="0" bottom="0" percent="0" rank="0" text="" dxfId="9">
      <formula>"Undefined"</formula>
    </cfRule>
  </conditionalFormatting>
  <conditionalFormatting sqref="N12:N42">
    <cfRule type="expression" priority="14" aboveAverage="0" equalAverage="0" bottom="0" percent="0" rank="0" text="" dxfId="8">
      <formula>AND(N12&lt;&gt;"",N12&gt;0)</formula>
    </cfRule>
    <cfRule type="expression" priority="15" aboveAverage="0" equalAverage="0" bottom="0" percent="0" rank="0" text="" dxfId="10">
      <formula>AND(N12&lt;&gt;"",N12&lt;0)</formula>
    </cfRule>
  </conditionalFormatting>
  <conditionalFormatting sqref="I4:J4">
    <cfRule type="expression" priority="16" aboveAverage="0" equalAverage="0" bottom="0" percent="0" rank="0" text="" dxfId="8">
      <formula>I4&gt;=1</formula>
    </cfRule>
    <cfRule type="expression" priority="17" aboveAverage="0" equalAverage="0" bottom="0" percent="0" rank="0" text="" dxfId="9">
      <formula>AND(I4&gt;=0.8,I4&lt;1)</formula>
    </cfRule>
  </conditionalFormatting>
  <conditionalFormatting sqref="G4:H4">
    <cfRule type="expression" priority="18" aboveAverage="0" equalAverage="0" bottom="0" percent="0" rank="0" text="" dxfId="8">
      <formula>G4&lt;0</formula>
    </cfRule>
    <cfRule type="expression" priority="19" aboveAverage="0" equalAverage="0" bottom="0" percent="0" rank="0" text="" dxfId="10">
      <formula>G4&gt;0</formula>
    </cfRule>
  </conditionalFormatting>
  <dataValidations count="2">
    <dataValidation allowBlank="true" error="Select Defined or Undefined" errorStyle="stop" operator="between" showDropDown="false" showErrorMessage="false" showInputMessage="false" sqref="C12:C42" type="list">
      <formula1>"Defined,Undefined"</formula1>
      <formula2>0</formula2>
    </dataValidation>
    <dataValidation allowBlank="true" errorStyle="stop" operator="between" showDropDown="false" showErrorMessage="false" showInputMessage="false" sqref="I12:I42" type="list">
      <formula1>"Not Yet Instructed,Instructed,In Progress,Complete,Final Account Agreed"</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&amp;CProvisional Sum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43" t="s">
        <v>113</v>
      </c>
    </row>
    <row r="2" customFormat="false" ht="15" hidden="false" customHeight="false" outlineLevel="0" collapsed="false">
      <c r="A2" s="43"/>
    </row>
    <row r="3" customFormat="false" ht="15" hidden="false" customHeight="false" outlineLevel="0" collapsed="false">
      <c r="A3" s="43" t="s">
        <v>114</v>
      </c>
    </row>
    <row r="4" customFormat="false" ht="15" hidden="false" customHeight="false" outlineLevel="0" collapsed="false">
      <c r="A4" s="43"/>
    </row>
    <row r="5" customFormat="false" ht="15" hidden="false" customHeight="false" outlineLevel="0" collapsed="false">
      <c r="A5" s="43" t="s">
        <v>115</v>
      </c>
    </row>
    <row r="6" customFormat="false" ht="15" hidden="false" customHeight="false" outlineLevel="0" collapsed="false">
      <c r="A6" s="43"/>
    </row>
    <row r="7" customFormat="false" ht="15" hidden="false" customHeight="false" outlineLevel="0" collapsed="false">
      <c r="A7" s="43" t="s">
        <v>116</v>
      </c>
    </row>
    <row r="8" customFormat="false" ht="15" hidden="false" customHeight="false" outlineLevel="0" collapsed="false">
      <c r="A8" s="43"/>
    </row>
    <row r="9" customFormat="false" ht="15" hidden="false" customHeight="false" outlineLevel="0" collapsed="false">
      <c r="A9" s="43" t="s">
        <v>117</v>
      </c>
    </row>
    <row r="10" customFormat="false" ht="15" hidden="false" customHeight="false" outlineLevel="0" collapsed="false">
      <c r="A10" s="43"/>
    </row>
    <row r="11" customFormat="false" ht="15" hidden="false" customHeight="false" outlineLevel="0" collapsed="false">
      <c r="A11" s="43" t="s">
        <v>118</v>
      </c>
    </row>
    <row r="12" customFormat="false" ht="15" hidden="false" customHeight="false" outlineLevel="0" collapsed="false">
      <c r="A12" s="43"/>
    </row>
    <row r="13" customFormat="false" ht="15" hidden="false" customHeight="false" outlineLevel="0" collapsed="false">
      <c r="A13" s="43" t="s">
        <v>119</v>
      </c>
    </row>
    <row r="14" customFormat="false" ht="15" hidden="false" customHeight="false" outlineLevel="0" collapsed="false">
      <c r="A14" s="43"/>
    </row>
    <row r="15" customFormat="false" ht="15" hidden="false" customHeight="false" outlineLevel="0" collapsed="false">
      <c r="A15" s="43" t="s">
        <v>120</v>
      </c>
    </row>
    <row r="16" customFormat="false" ht="15" hidden="false" customHeight="false" outlineLevel="0" collapsed="false">
      <c r="A16" s="43"/>
    </row>
    <row r="17" customFormat="false" ht="15" hidden="false" customHeight="false" outlineLevel="0" collapsed="false">
      <c r="A17" s="43"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Project Controls</cp:category>
  <dcterms:created xsi:type="dcterms:W3CDTF">2026-03-22T21:55:01Z</dcterms:created>
  <dc:creator>Ebrora Ltd</dc:creator>
  <dc:description>Monitor provisional sum allowances against instructed and expended amounts with automatic drawdown tracking, balance remaining calculations, contract sum adjustment and overspend alerts, designed for UK construction QS and commercial teams.
Free professional construction management template from Ebrora Ltd. Visit ebrora.com for our full range of tools and templates.</dc:description>
  <cp:keywords>Ebrora construction provisional sum PS drawdown commercial contract final account JCT NEC</cp:keywords>
  <dc:language>en-US</dc:language>
  <cp:lastModifiedBy>Ebrora Ltd</cp:lastModifiedBy>
  <dcterms:modified xsi:type="dcterms:W3CDTF">2026-03-22T21:55:01Z</dcterms:modified>
  <cp:revision>0</cp:revision>
  <dc:subject>Tracker for monitoring provisional sum allowances against instructed and expended amounts with drawdown progress and balance alerts.</dc:subject>
  <dc:title>Provisional Sum Tracker</dc:title>
</cp:coreProperties>
</file>

<file path=docProps/custom.xml><?xml version="1.0" encoding="utf-8"?>
<Properties xmlns="http://schemas.openxmlformats.org/officeDocument/2006/custom-properties" xmlns:vt="http://schemas.openxmlformats.org/officeDocument/2006/docPropsVTypes"/>
</file>