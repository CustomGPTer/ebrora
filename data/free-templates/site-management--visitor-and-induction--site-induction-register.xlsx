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Induction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'Induction Register'!$A$1:$I$56</definedName>
    <definedName function="false" hidden="true" localSheetId="2" name="_xlnm._FilterDatabase" vbProcedure="false">'Induction Register'!$A$6:$N$56</definedName>
    <definedName function="false" hidden="false" name="DataTable" vbProcedure="false">'Induction Register'!$A$6:$N$56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<sst xmlns="http://schemas.openxmlformats.org/spreadsheetml/2006/main" count="123" uniqueCount="112">
  <si>
    <t xml:space="preserve">EBRORA</t>
  </si>
  <si>
    <t xml:space="preserve">ebrora.com</t>
  </si>
  <si>
    <t xml:space="preserve">Site Induction Register</t>
  </si>
  <si>
    <t xml:space="preserve">A comprehensive register of all personnel who have completed site induction — with CSCS card tracking and expiry alerts.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</si>
  <si>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</si>
  <si>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</si>
  <si>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</si>
  <si>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</si>
  <si>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</si>
  <si>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'Induction Register' sheet. The statistics strip at the top shows live counts of total inductions, this week's inductions, and CSCS cards expiring within 30 days.</t>
  </si>
  <si>
    <t xml:space="preserve">2.</t>
  </si>
  <si>
    <t xml:space="preserve">Each row represents one person who has been inducted. Fill in the light teal cells.</t>
  </si>
  <si>
    <t xml:space="preserve">3.</t>
  </si>
  <si>
    <t xml:space="preserve">Enter the Induction Date, the person's Full Name, their Company, and Trade or Role on site.</t>
  </si>
  <si>
    <t xml:space="preserve">4.</t>
  </si>
  <si>
    <t xml:space="preserve">Record their CSCS Card Number and Expiry Date. The expiry column will highlight amber if the card expires within 30 days, and red if already expired.</t>
  </si>
  <si>
    <t xml:space="preserve">5.</t>
  </si>
  <si>
    <t xml:space="preserve">Select the Induction Type from the dropdown: Full (new to site), Refresher (returning after a break), or Visitor (short-term access).</t>
  </si>
  <si>
    <t xml:space="preserve">6.</t>
  </si>
  <si>
    <t xml:space="preserve">Enter who delivered the induction in the 'Inducted By' column.</t>
  </si>
  <si>
    <t xml:space="preserve">7.</t>
  </si>
  <si>
    <t xml:space="preserve">Expand the optional columns (click [+]) for emergency contact details, photo ID confirmation, signature reference, and notes.</t>
  </si>
  <si>
    <t xml:space="preserve">Colour Key</t>
  </si>
  <si>
    <t xml:space="preserve">Light teal cells — Editable input cells.</t>
  </si>
  <si>
    <t xml:space="preserve">Dark navy headers — Do not edit.</t>
  </si>
  <si>
    <t xml:space="preserve">Red in CSCS Expiry — Card has expired. Do not allow on site without valid card.</t>
  </si>
  <si>
    <t xml:space="preserve">Amber in CSCS Expiry — Card expires within 30 days. Flag for renewal.</t>
  </si>
  <si>
    <t xml:space="preserve">Green in CSCS Expiry — Card valid for more than 30 days.</t>
  </si>
  <si>
    <t xml:space="preserve">Tips</t>
  </si>
  <si>
    <t xml:space="preserve">Tip 1:</t>
  </si>
  <si>
    <t xml:space="preserve">Run a filter on CSCS Expiry each Monday morning to catch anyone whose card is about to expire that week. Give them a verbal reminder and log it.</t>
  </si>
  <si>
    <t xml:space="preserve">Tip 2:</t>
  </si>
  <si>
    <t xml:space="preserve">Always check the physical CSCS card against the details recorded here. Card fraud does happen — verify the photo matches the person.</t>
  </si>
  <si>
    <t xml:space="preserve">Tip 3:</t>
  </si>
  <si>
    <t xml:space="preserve">For large sites, consider running this register per subcontractor package. Use the Company filter to generate package-specific induction reports for your monthly reviews.</t>
  </si>
  <si>
    <t xml:space="preserve">SITE INDUCTION REGISTER</t>
  </si>
  <si>
    <t xml:space="preserve">Total Inducted</t>
  </si>
  <si>
    <t xml:space="preserve">Full Inductions</t>
  </si>
  <si>
    <t xml:space="preserve">Refresher</t>
  </si>
  <si>
    <t xml:space="preserve">Visitor</t>
  </si>
  <si>
    <t xml:space="preserve">CSCS Expiring &lt;30d</t>
  </si>
  <si>
    <t xml:space="preserve">CSCS Expired</t>
  </si>
  <si>
    <t xml:space="preserve">▸ Optional Fields — Click [+] to expand</t>
  </si>
  <si>
    <t xml:space="preserve">Ref</t>
  </si>
  <si>
    <t xml:space="preserve">Induction Date</t>
  </si>
  <si>
    <t xml:space="preserve">Full Name</t>
  </si>
  <si>
    <t xml:space="preserve">Company</t>
  </si>
  <si>
    <t xml:space="preserve">Trade / Role</t>
  </si>
  <si>
    <t xml:space="preserve">CSCS Card No.</t>
  </si>
  <si>
    <t xml:space="preserve">CSCS Expiry</t>
  </si>
  <si>
    <t xml:space="preserve">Induction Type</t>
  </si>
  <si>
    <t xml:space="preserve">Inducted By</t>
  </si>
  <si>
    <t xml:space="preserve">Emergency Contact</t>
  </si>
  <si>
    <t xml:space="preserve">Contact No.</t>
  </si>
  <si>
    <t xml:space="preserve">Photo ID Checked</t>
  </si>
  <si>
    <t xml:space="preserve">Signature Ref</t>
  </si>
  <si>
    <t xml:space="preserve">Notes</t>
  </si>
  <si>
    <t xml:space="preserve">IND-001</t>
  </si>
  <si>
    <t xml:space="preserve">James Whitworth</t>
  </si>
  <si>
    <t xml:space="preserve">McAlpine Construction</t>
  </si>
  <si>
    <t xml:space="preserve">Foreman</t>
  </si>
  <si>
    <t xml:space="preserve">GLD-1234567</t>
  </si>
  <si>
    <t xml:space="preserve">Full</t>
  </si>
  <si>
    <t xml:space="preserve">S. Patel</t>
  </si>
  <si>
    <t xml:space="preserve">Marie Whitworth</t>
  </si>
  <si>
    <t xml:space="preserve">07700 900123</t>
  </si>
  <si>
    <t xml:space="preserve">Yes</t>
  </si>
  <si>
    <t xml:space="preserve">SIG-001</t>
  </si>
  <si>
    <t xml:space="preserve">IND-002</t>
  </si>
  <si>
    <t xml:space="preserve">Ade Okonkwo</t>
  </si>
  <si>
    <t xml:space="preserve">SteelFix Metalwork</t>
  </si>
  <si>
    <t xml:space="preserve">Steel Fixer</t>
  </si>
  <si>
    <t xml:space="preserve">BLU-9876543</t>
  </si>
  <si>
    <t xml:space="preserve">Grace Okonkwo</t>
  </si>
  <si>
    <t xml:space="preserve">07700 900456</t>
  </si>
  <si>
    <t xml:space="preserve">SIG-002</t>
  </si>
  <si>
    <t xml:space="preserve">Expiring soon — reminded to renew</t>
  </si>
  <si>
    <t xml:space="preserve">IND-003</t>
  </si>
  <si>
    <t xml:space="preserve">Tomasz Kowalski</t>
  </si>
  <si>
    <t xml:space="preserve">PolBuild Ltd</t>
  </si>
  <si>
    <t xml:space="preserve">General Operative</t>
  </si>
  <si>
    <t xml:space="preserve">GRN-5551234</t>
  </si>
  <si>
    <t xml:space="preserve">J. Wilson</t>
  </si>
  <si>
    <t xml:space="preserve">Anna Kowalska</t>
  </si>
  <si>
    <t xml:space="preserve">07700 900789</t>
  </si>
  <si>
    <t xml:space="preserve">SIG-003</t>
  </si>
  <si>
    <t xml:space="preserve">CSCS EXPIRED — renewal in progress</t>
  </si>
  <si>
    <t xml:space="preserve">IND-004</t>
  </si>
  <si>
    <t xml:space="preserve">Sarah Chen</t>
  </si>
  <si>
    <t xml:space="preserve">WSP UK</t>
  </si>
  <si>
    <t xml:space="preserve">Engineer</t>
  </si>
  <si>
    <t xml:space="preserve">WHT-4447890</t>
  </si>
  <si>
    <t xml:space="preserve">SIG-004</t>
  </si>
  <si>
    <t xml:space="preserve">Design review visit — 1 day only</t>
  </si>
  <si>
    <t xml:space="preserve">IND-005</t>
  </si>
  <si>
    <t xml:space="preserve">Dave Hartley</t>
  </si>
  <si>
    <t xml:space="preserve">Kier Group</t>
  </si>
  <si>
    <t xml:space="preserve">Site Manager</t>
  </si>
  <si>
    <t xml:space="preserve">BLK-6662345</t>
  </si>
  <si>
    <t xml:space="preserve">Linda Hartley</t>
  </si>
  <si>
    <t xml:space="preserve">07700 900234</t>
  </si>
  <si>
    <t xml:space="preserve">SIG-005</t>
  </si>
  <si>
    <t xml:space="preserve">Returning after 3-month break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</si>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</sst>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8C8C8C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6"/>
      <color rgb="FFCC8800"/>
      <name val="Calibri"/>
      <family val="0"/>
      <charset val="1"/>
    </font>
    <font>
      <b val="true"/>
      <sz val="16"/>
      <color rgb="FFCC0000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ck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E8F6F7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CC88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1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1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1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23.85" hidden="false" customHeight="true" outlineLevel="0" collapsed="false">
      <c r="A11" s="9" t="s">
        <v>20</v>
      </c>
      <c r="B11" s="10" t="s">
        <v>21</v>
      </c>
      <c r="C11" s="10"/>
      <c r="D11" s="10"/>
      <c r="E11" s="10"/>
      <c r="F11" s="10"/>
    </row>
    <row r="12" customFormat="false" ht="15" hidden="false" customHeight="false" outlineLevel="0" collapsed="false">
      <c r="A12" s="9"/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 t="s">
        <v>22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9"/>
      <c r="B14" s="10" t="s">
        <v>23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24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25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26</v>
      </c>
      <c r="C17" s="10"/>
      <c r="D17" s="10"/>
      <c r="E17" s="10"/>
      <c r="F17" s="10"/>
    </row>
    <row r="18" customFormat="false" ht="15" hidden="false" customHeight="true" outlineLevel="0" collapsed="false">
      <c r="A18" s="9"/>
      <c r="B18" s="10" t="s">
        <v>27</v>
      </c>
      <c r="C18" s="10"/>
      <c r="D18" s="10"/>
      <c r="E18" s="10"/>
      <c r="F18" s="10"/>
    </row>
    <row r="19" customFormat="false" ht="15" hidden="false" customHeight="false" outlineLevel="0" collapsed="false">
      <c r="A19" s="9"/>
      <c r="B19" s="10"/>
      <c r="C19" s="10"/>
      <c r="D19" s="10"/>
      <c r="E19" s="10"/>
      <c r="F19" s="10"/>
    </row>
    <row r="20" customFormat="false" ht="15" hidden="false" customHeight="true" outlineLevel="0" collapsed="false">
      <c r="A20" s="11" t="s">
        <v>28</v>
      </c>
      <c r="B20" s="11"/>
      <c r="C20" s="11"/>
      <c r="D20" s="11"/>
      <c r="E20" s="11"/>
      <c r="F20" s="11"/>
    </row>
    <row r="21" customFormat="false" ht="23.85" hidden="false" customHeight="true" outlineLevel="0" collapsed="false">
      <c r="A21" s="12" t="s">
        <v>29</v>
      </c>
      <c r="B21" s="10" t="s">
        <v>30</v>
      </c>
      <c r="C21" s="10"/>
      <c r="D21" s="10"/>
      <c r="E21" s="10"/>
      <c r="F21" s="10"/>
    </row>
    <row r="22" customFormat="false" ht="23.85" hidden="false" customHeight="true" outlineLevel="0" collapsed="false">
      <c r="A22" s="12" t="s">
        <v>31</v>
      </c>
      <c r="B22" s="10" t="s">
        <v>32</v>
      </c>
      <c r="C22" s="10"/>
      <c r="D22" s="10"/>
      <c r="E22" s="10"/>
      <c r="F22" s="10"/>
    </row>
    <row r="23" customFormat="false" ht="23.85" hidden="false" customHeight="true" outlineLevel="0" collapsed="false">
      <c r="A23" s="12" t="s">
        <v>33</v>
      </c>
      <c r="B23" s="10" t="s">
        <v>34</v>
      </c>
      <c r="C23" s="10"/>
      <c r="D23" s="10"/>
      <c r="E23" s="10"/>
      <c r="F23" s="10"/>
    </row>
  </sheetData>
  <mergeCells count="22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  <mergeCell ref="B19:F19"/>
    <mergeCell ref="A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true" outlineLevel="1" max="14" min="10" style="0" width="20"/>
  </cols>
  <sheetData>
    <row r="1" customFormat="false" ht="18.65" hidden="false" customHeight="true" outlineLevel="0" collapsed="false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</row>
    <row r="3" customFormat="false" ht="15" hidden="false" customHeight="true" outlineLevel="0" collapsed="false">
      <c r="A3" s="15" t="s">
        <v>36</v>
      </c>
      <c r="B3" s="15"/>
      <c r="C3" s="15" t="s">
        <v>37</v>
      </c>
      <c r="D3" s="15"/>
      <c r="E3" s="15" t="s">
        <v>38</v>
      </c>
      <c r="F3" s="15"/>
      <c r="G3" s="15" t="s">
        <v>39</v>
      </c>
      <c r="H3" s="15"/>
      <c r="I3" s="15" t="s">
        <v>40</v>
      </c>
      <c r="J3" s="15"/>
      <c r="K3" s="15" t="s">
        <v>41</v>
      </c>
      <c r="L3" s="15"/>
    </row>
    <row r="4" customFormat="false" ht="20.85" hidden="false" customHeight="false" outlineLevel="0" collapsed="false">
      <c r="A4" s="16" t="n">
        <f aca="false">COUNTA(A7:A56)</f>
        <v>5</v>
      </c>
      <c r="B4" s="16"/>
      <c r="C4" s="16" t="n">
        <f aca="false">COUNTIF(H7:H56,"Full")</f>
        <v>3</v>
      </c>
      <c r="D4" s="16"/>
      <c r="E4" s="16" t="n">
        <f aca="false">COUNTIF(H7:H56,"Refresher")</f>
        <v>1</v>
      </c>
      <c r="F4" s="16"/>
      <c r="G4" s="16" t="n">
        <f aca="false">COUNTIF(H7:H56,"Visitor")</f>
        <v>1</v>
      </c>
      <c r="H4" s="16"/>
      <c r="I4" s="17" t="n">
        <f aca="true">COUNTIFS(G7:G56,"&lt;"&amp;TODAY()+30,G7:G56,"&gt;"&amp;TODAY())</f>
        <v>1</v>
      </c>
      <c r="J4" s="17"/>
      <c r="K4" s="18" t="n">
        <f aca="true">COUNTIF(G7:G56,"&lt;"&amp;TODAY())</f>
        <v>1</v>
      </c>
      <c r="L4" s="18"/>
    </row>
    <row r="5" customFormat="false" ht="22.35" hidden="false" customHeight="tru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20" t="s">
        <v>42</v>
      </c>
      <c r="K5" s="20"/>
      <c r="L5" s="20"/>
      <c r="M5" s="20"/>
      <c r="N5" s="20"/>
    </row>
    <row r="6" customFormat="false" ht="28.35" hidden="false" customHeight="false" outlineLevel="0" collapsed="false">
      <c r="A6" s="21" t="s">
        <v>43</v>
      </c>
      <c r="B6" s="21" t="s">
        <v>44</v>
      </c>
      <c r="C6" s="21" t="s">
        <v>45</v>
      </c>
      <c r="D6" s="21" t="s">
        <v>46</v>
      </c>
      <c r="E6" s="21" t="s">
        <v>47</v>
      </c>
      <c r="F6" s="21" t="s">
        <v>48</v>
      </c>
      <c r="G6" s="21" t="s">
        <v>49</v>
      </c>
      <c r="H6" s="21" t="s">
        <v>50</v>
      </c>
      <c r="I6" s="21" t="s">
        <v>51</v>
      </c>
      <c r="J6" s="21" t="s">
        <v>52</v>
      </c>
      <c r="K6" s="21" t="s">
        <v>53</v>
      </c>
      <c r="L6" s="21" t="s">
        <v>54</v>
      </c>
      <c r="M6" s="21" t="s">
        <v>55</v>
      </c>
      <c r="N6" s="21" t="s">
        <v>56</v>
      </c>
    </row>
    <row r="7" customFormat="false" ht="15" hidden="false" customHeight="false" outlineLevel="0" collapsed="false">
      <c r="A7" s="22" t="s">
        <v>57</v>
      </c>
      <c r="B7" s="23" t="n">
        <v>46037</v>
      </c>
      <c r="C7" s="22" t="s">
        <v>58</v>
      </c>
      <c r="D7" s="22" t="s">
        <v>59</v>
      </c>
      <c r="E7" s="22" t="s">
        <v>60</v>
      </c>
      <c r="F7" s="22" t="s">
        <v>61</v>
      </c>
      <c r="G7" s="23" t="n">
        <v>46630</v>
      </c>
      <c r="H7" s="22" t="s">
        <v>62</v>
      </c>
      <c r="I7" s="22" t="s">
        <v>63</v>
      </c>
      <c r="J7" s="22" t="s">
        <v>64</v>
      </c>
      <c r="K7" s="22" t="s">
        <v>65</v>
      </c>
      <c r="L7" s="22" t="s">
        <v>66</v>
      </c>
      <c r="M7" s="22" t="s">
        <v>67</v>
      </c>
      <c r="N7" s="22"/>
    </row>
    <row r="8" customFormat="false" ht="23.85" hidden="false" customHeight="false" outlineLevel="0" collapsed="false">
      <c r="A8" s="24" t="s">
        <v>68</v>
      </c>
      <c r="B8" s="25" t="n">
        <v>46037</v>
      </c>
      <c r="C8" s="24" t="s">
        <v>69</v>
      </c>
      <c r="D8" s="24" t="s">
        <v>70</v>
      </c>
      <c r="E8" s="24" t="s">
        <v>71</v>
      </c>
      <c r="F8" s="24" t="s">
        <v>72</v>
      </c>
      <c r="G8" s="25" t="n">
        <v>46127</v>
      </c>
      <c r="H8" s="24" t="s">
        <v>62</v>
      </c>
      <c r="I8" s="24" t="s">
        <v>63</v>
      </c>
      <c r="J8" s="22" t="s">
        <v>73</v>
      </c>
      <c r="K8" s="22" t="s">
        <v>74</v>
      </c>
      <c r="L8" s="22" t="s">
        <v>66</v>
      </c>
      <c r="M8" s="22" t="s">
        <v>75</v>
      </c>
      <c r="N8" s="22" t="s">
        <v>76</v>
      </c>
    </row>
    <row r="9" customFormat="false" ht="23.85" hidden="false" customHeight="false" outlineLevel="0" collapsed="false">
      <c r="A9" s="22" t="s">
        <v>77</v>
      </c>
      <c r="B9" s="23" t="n">
        <v>46056</v>
      </c>
      <c r="C9" s="22" t="s">
        <v>78</v>
      </c>
      <c r="D9" s="22" t="s">
        <v>79</v>
      </c>
      <c r="E9" s="22" t="s">
        <v>80</v>
      </c>
      <c r="F9" s="22" t="s">
        <v>81</v>
      </c>
      <c r="G9" s="23" t="n">
        <v>46022</v>
      </c>
      <c r="H9" s="22" t="s">
        <v>62</v>
      </c>
      <c r="I9" s="22" t="s">
        <v>82</v>
      </c>
      <c r="J9" s="22" t="s">
        <v>83</v>
      </c>
      <c r="K9" s="22" t="s">
        <v>84</v>
      </c>
      <c r="L9" s="22" t="s">
        <v>66</v>
      </c>
      <c r="M9" s="22" t="s">
        <v>85</v>
      </c>
      <c r="N9" s="22" t="s">
        <v>86</v>
      </c>
    </row>
    <row r="10" customFormat="false" ht="23.85" hidden="false" customHeight="false" outlineLevel="0" collapsed="false">
      <c r="A10" s="24" t="s">
        <v>87</v>
      </c>
      <c r="B10" s="25" t="n">
        <v>46091</v>
      </c>
      <c r="C10" s="24" t="s">
        <v>88</v>
      </c>
      <c r="D10" s="24" t="s">
        <v>89</v>
      </c>
      <c r="E10" s="24" t="s">
        <v>90</v>
      </c>
      <c r="F10" s="24" t="s">
        <v>91</v>
      </c>
      <c r="G10" s="25" t="n">
        <v>46813</v>
      </c>
      <c r="H10" s="24" t="s">
        <v>39</v>
      </c>
      <c r="I10" s="24" t="s">
        <v>82</v>
      </c>
      <c r="J10" s="22"/>
      <c r="K10" s="22"/>
      <c r="L10" s="22" t="s">
        <v>66</v>
      </c>
      <c r="M10" s="22" t="s">
        <v>92</v>
      </c>
      <c r="N10" s="22" t="s">
        <v>93</v>
      </c>
    </row>
    <row r="11" customFormat="false" ht="23.85" hidden="false" customHeight="false" outlineLevel="0" collapsed="false">
      <c r="A11" s="22" t="s">
        <v>94</v>
      </c>
      <c r="B11" s="23" t="n">
        <v>46099</v>
      </c>
      <c r="C11" s="22" t="s">
        <v>95</v>
      </c>
      <c r="D11" s="22" t="s">
        <v>96</v>
      </c>
      <c r="E11" s="22" t="s">
        <v>97</v>
      </c>
      <c r="F11" s="22" t="s">
        <v>98</v>
      </c>
      <c r="G11" s="23" t="n">
        <v>46721</v>
      </c>
      <c r="H11" s="22" t="s">
        <v>38</v>
      </c>
      <c r="I11" s="22" t="s">
        <v>63</v>
      </c>
      <c r="J11" s="22" t="s">
        <v>99</v>
      </c>
      <c r="K11" s="22" t="s">
        <v>100</v>
      </c>
      <c r="L11" s="22" t="s">
        <v>66</v>
      </c>
      <c r="M11" s="22" t="s">
        <v>101</v>
      </c>
      <c r="N11" s="22" t="s">
        <v>102</v>
      </c>
    </row>
    <row r="12" customFormat="false" ht="15" hidden="false" customHeight="false" outlineLevel="0" collapsed="false">
      <c r="A12" s="24"/>
      <c r="B12" s="25"/>
      <c r="C12" s="24"/>
      <c r="D12" s="24"/>
      <c r="E12" s="24"/>
      <c r="F12" s="24"/>
      <c r="G12" s="25"/>
      <c r="H12" s="24"/>
      <c r="I12" s="24"/>
      <c r="J12" s="22"/>
      <c r="K12" s="22"/>
      <c r="L12" s="22"/>
      <c r="M12" s="22"/>
      <c r="N12" s="22"/>
    </row>
    <row r="13" customFormat="false" ht="15" hidden="false" customHeight="false" outlineLevel="0" collapsed="false">
      <c r="A13" s="22"/>
      <c r="B13" s="23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2"/>
      <c r="N13" s="22"/>
    </row>
    <row r="14" customFormat="false" ht="15" hidden="false" customHeight="false" outlineLevel="0" collapsed="false">
      <c r="A14" s="24"/>
      <c r="B14" s="25"/>
      <c r="C14" s="24"/>
      <c r="D14" s="24"/>
      <c r="E14" s="24"/>
      <c r="F14" s="24"/>
      <c r="G14" s="25"/>
      <c r="H14" s="24"/>
      <c r="I14" s="24"/>
      <c r="J14" s="22"/>
      <c r="K14" s="22"/>
      <c r="L14" s="22"/>
      <c r="M14" s="22"/>
      <c r="N14" s="22"/>
    </row>
    <row r="15" customFormat="false" ht="15" hidden="false" customHeight="false" outlineLevel="0" collapsed="false">
      <c r="A15" s="22"/>
      <c r="B15" s="23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2"/>
      <c r="N15" s="22"/>
    </row>
    <row r="16" customFormat="false" ht="15" hidden="false" customHeight="false" outlineLevel="0" collapsed="false">
      <c r="A16" s="24"/>
      <c r="B16" s="25"/>
      <c r="C16" s="24"/>
      <c r="D16" s="24"/>
      <c r="E16" s="24"/>
      <c r="F16" s="24"/>
      <c r="G16" s="25"/>
      <c r="H16" s="24"/>
      <c r="I16" s="24"/>
      <c r="J16" s="22"/>
      <c r="K16" s="22"/>
      <c r="L16" s="22"/>
      <c r="M16" s="22"/>
      <c r="N16" s="22"/>
    </row>
    <row r="17" customFormat="false" ht="15" hidden="false" customHeight="false" outlineLevel="0" collapsed="false">
      <c r="A17" s="22"/>
      <c r="B17" s="23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2"/>
      <c r="N17" s="22"/>
    </row>
    <row r="18" customFormat="false" ht="15" hidden="false" customHeight="false" outlineLevel="0" collapsed="false">
      <c r="A18" s="24"/>
      <c r="B18" s="25"/>
      <c r="C18" s="24"/>
      <c r="D18" s="24"/>
      <c r="E18" s="24"/>
      <c r="F18" s="24"/>
      <c r="G18" s="25"/>
      <c r="H18" s="24"/>
      <c r="I18" s="24"/>
      <c r="J18" s="22"/>
      <c r="K18" s="22"/>
      <c r="L18" s="22"/>
      <c r="M18" s="22"/>
      <c r="N18" s="22"/>
    </row>
    <row r="19" customFormat="false" ht="15" hidden="false" customHeight="false" outlineLevel="0" collapsed="false">
      <c r="A19" s="22"/>
      <c r="B19" s="23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2"/>
      <c r="N19" s="22"/>
    </row>
    <row r="20" customFormat="false" ht="15" hidden="false" customHeight="false" outlineLevel="0" collapsed="false">
      <c r="A20" s="24"/>
      <c r="B20" s="25"/>
      <c r="C20" s="24"/>
      <c r="D20" s="24"/>
      <c r="E20" s="24"/>
      <c r="F20" s="24"/>
      <c r="G20" s="25"/>
      <c r="H20" s="24"/>
      <c r="I20" s="24"/>
      <c r="J20" s="22"/>
      <c r="K20" s="22"/>
      <c r="L20" s="22"/>
      <c r="M20" s="22"/>
      <c r="N20" s="22"/>
    </row>
    <row r="21" customFormat="false" ht="15" hidden="false" customHeight="false" outlineLevel="0" collapsed="false">
      <c r="A21" s="22"/>
      <c r="B21" s="23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2"/>
      <c r="N21" s="22"/>
    </row>
    <row r="22" customFormat="false" ht="15" hidden="false" customHeight="false" outlineLevel="0" collapsed="false">
      <c r="A22" s="24"/>
      <c r="B22" s="25"/>
      <c r="C22" s="24"/>
      <c r="D22" s="24"/>
      <c r="E22" s="24"/>
      <c r="F22" s="24"/>
      <c r="G22" s="25"/>
      <c r="H22" s="24"/>
      <c r="I22" s="24"/>
      <c r="J22" s="22"/>
      <c r="K22" s="22"/>
      <c r="L22" s="22"/>
      <c r="M22" s="22"/>
      <c r="N22" s="22"/>
    </row>
    <row r="23" customFormat="false" ht="15" hidden="false" customHeight="false" outlineLevel="0" collapsed="false">
      <c r="A23" s="22"/>
      <c r="B23" s="23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2"/>
      <c r="N23" s="22"/>
    </row>
    <row r="24" customFormat="false" ht="15" hidden="false" customHeight="false" outlineLevel="0" collapsed="false">
      <c r="A24" s="24"/>
      <c r="B24" s="25"/>
      <c r="C24" s="24"/>
      <c r="D24" s="24"/>
      <c r="E24" s="24"/>
      <c r="F24" s="24"/>
      <c r="G24" s="25"/>
      <c r="H24" s="24"/>
      <c r="I24" s="24"/>
      <c r="J24" s="22"/>
      <c r="K24" s="22"/>
      <c r="L24" s="22"/>
      <c r="M24" s="22"/>
      <c r="N24" s="22"/>
    </row>
    <row r="25" customFormat="false" ht="15" hidden="false" customHeight="false" outlineLevel="0" collapsed="false">
      <c r="A25" s="22"/>
      <c r="B25" s="23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2"/>
      <c r="N25" s="22"/>
    </row>
    <row r="26" customFormat="false" ht="15" hidden="false" customHeight="false" outlineLevel="0" collapsed="false">
      <c r="A26" s="24"/>
      <c r="B26" s="25"/>
      <c r="C26" s="24"/>
      <c r="D26" s="24"/>
      <c r="E26" s="24"/>
      <c r="F26" s="24"/>
      <c r="G26" s="25"/>
      <c r="H26" s="24"/>
      <c r="I26" s="24"/>
      <c r="J26" s="22"/>
      <c r="K26" s="22"/>
      <c r="L26" s="22"/>
      <c r="M26" s="22"/>
      <c r="N26" s="22"/>
    </row>
    <row r="27" customFormat="false" ht="15" hidden="false" customHeight="false" outlineLevel="0" collapsed="false">
      <c r="A27" s="22"/>
      <c r="B27" s="23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2"/>
      <c r="N27" s="22"/>
    </row>
    <row r="28" customFormat="false" ht="15" hidden="false" customHeight="false" outlineLevel="0" collapsed="false">
      <c r="A28" s="24"/>
      <c r="B28" s="25"/>
      <c r="C28" s="24"/>
      <c r="D28" s="24"/>
      <c r="E28" s="24"/>
      <c r="F28" s="24"/>
      <c r="G28" s="25"/>
      <c r="H28" s="24"/>
      <c r="I28" s="24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2"/>
      <c r="B29" s="23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2"/>
      <c r="N29" s="22"/>
    </row>
    <row r="30" customFormat="false" ht="15" hidden="false" customHeight="false" outlineLevel="0" collapsed="false">
      <c r="A30" s="24"/>
      <c r="B30" s="25"/>
      <c r="C30" s="24"/>
      <c r="D30" s="24"/>
      <c r="E30" s="24"/>
      <c r="F30" s="24"/>
      <c r="G30" s="25"/>
      <c r="H30" s="24"/>
      <c r="I30" s="24"/>
      <c r="J30" s="22"/>
      <c r="K30" s="22"/>
      <c r="L30" s="22"/>
      <c r="M30" s="22"/>
      <c r="N30" s="22"/>
    </row>
    <row r="31" customFormat="false" ht="15" hidden="false" customHeight="false" outlineLevel="0" collapsed="false">
      <c r="A31" s="22"/>
      <c r="B31" s="23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2"/>
      <c r="N31" s="22"/>
    </row>
    <row r="32" customFormat="false" ht="15" hidden="false" customHeight="false" outlineLevel="0" collapsed="false">
      <c r="A32" s="24"/>
      <c r="B32" s="25"/>
      <c r="C32" s="24"/>
      <c r="D32" s="24"/>
      <c r="E32" s="24"/>
      <c r="F32" s="24"/>
      <c r="G32" s="25"/>
      <c r="H32" s="24"/>
      <c r="I32" s="24"/>
      <c r="J32" s="22"/>
      <c r="K32" s="22"/>
      <c r="L32" s="22"/>
      <c r="M32" s="22"/>
      <c r="N32" s="22"/>
    </row>
    <row r="33" customFormat="false" ht="15" hidden="false" customHeight="false" outlineLevel="0" collapsed="false">
      <c r="A33" s="22"/>
      <c r="B33" s="23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2"/>
      <c r="N33" s="22"/>
    </row>
    <row r="34" customFormat="false" ht="15" hidden="false" customHeight="false" outlineLevel="0" collapsed="false">
      <c r="A34" s="24"/>
      <c r="B34" s="25"/>
      <c r="C34" s="24"/>
      <c r="D34" s="24"/>
      <c r="E34" s="24"/>
      <c r="F34" s="24"/>
      <c r="G34" s="25"/>
      <c r="H34" s="24"/>
      <c r="I34" s="24"/>
      <c r="J34" s="22"/>
      <c r="K34" s="22"/>
      <c r="L34" s="22"/>
      <c r="M34" s="22"/>
      <c r="N34" s="22"/>
    </row>
    <row r="35" customFormat="false" ht="15" hidden="false" customHeight="false" outlineLevel="0" collapsed="false">
      <c r="A35" s="22"/>
      <c r="B35" s="23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2"/>
      <c r="N35" s="22"/>
    </row>
    <row r="36" customFormat="false" ht="15" hidden="false" customHeight="false" outlineLevel="0" collapsed="false">
      <c r="A36" s="24"/>
      <c r="B36" s="25"/>
      <c r="C36" s="24"/>
      <c r="D36" s="24"/>
      <c r="E36" s="24"/>
      <c r="F36" s="24"/>
      <c r="G36" s="25"/>
      <c r="H36" s="24"/>
      <c r="I36" s="24"/>
      <c r="J36" s="22"/>
      <c r="K36" s="22"/>
      <c r="L36" s="22"/>
      <c r="M36" s="22"/>
      <c r="N36" s="22"/>
    </row>
    <row r="37" customFormat="false" ht="15" hidden="false" customHeight="false" outlineLevel="0" collapsed="false">
      <c r="A37" s="22"/>
      <c r="B37" s="23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2"/>
      <c r="N37" s="22"/>
    </row>
    <row r="38" customFormat="false" ht="15" hidden="false" customHeight="false" outlineLevel="0" collapsed="false">
      <c r="A38" s="24"/>
      <c r="B38" s="25"/>
      <c r="C38" s="24"/>
      <c r="D38" s="24"/>
      <c r="E38" s="24"/>
      <c r="F38" s="24"/>
      <c r="G38" s="25"/>
      <c r="H38" s="24"/>
      <c r="I38" s="24"/>
      <c r="J38" s="22"/>
      <c r="K38" s="22"/>
      <c r="L38" s="22"/>
      <c r="M38" s="22"/>
      <c r="N38" s="22"/>
    </row>
    <row r="39" customFormat="false" ht="15" hidden="false" customHeight="false" outlineLevel="0" collapsed="false">
      <c r="A39" s="22"/>
      <c r="B39" s="23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2"/>
      <c r="N39" s="22"/>
    </row>
    <row r="40" customFormat="false" ht="15" hidden="false" customHeight="false" outlineLevel="0" collapsed="false">
      <c r="A40" s="24"/>
      <c r="B40" s="25"/>
      <c r="C40" s="24"/>
      <c r="D40" s="24"/>
      <c r="E40" s="24"/>
      <c r="F40" s="24"/>
      <c r="G40" s="25"/>
      <c r="H40" s="24"/>
      <c r="I40" s="24"/>
      <c r="J40" s="22"/>
      <c r="K40" s="22"/>
      <c r="L40" s="22"/>
      <c r="M40" s="22"/>
      <c r="N40" s="22"/>
    </row>
    <row r="41" customFormat="false" ht="15" hidden="false" customHeight="false" outlineLevel="0" collapsed="false">
      <c r="A41" s="22"/>
      <c r="B41" s="23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2"/>
      <c r="N41" s="22"/>
    </row>
    <row r="42" customFormat="false" ht="15" hidden="false" customHeight="false" outlineLevel="0" collapsed="false">
      <c r="A42" s="24"/>
      <c r="B42" s="25"/>
      <c r="C42" s="24"/>
      <c r="D42" s="24"/>
      <c r="E42" s="24"/>
      <c r="F42" s="24"/>
      <c r="G42" s="25"/>
      <c r="H42" s="24"/>
      <c r="I42" s="24"/>
      <c r="J42" s="22"/>
      <c r="K42" s="22"/>
      <c r="L42" s="22"/>
      <c r="M42" s="22"/>
      <c r="N42" s="22"/>
    </row>
    <row r="43" customFormat="false" ht="15" hidden="false" customHeight="false" outlineLevel="0" collapsed="false">
      <c r="A43" s="22"/>
      <c r="B43" s="23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2"/>
      <c r="N43" s="22"/>
    </row>
    <row r="44" customFormat="false" ht="15" hidden="false" customHeight="false" outlineLevel="0" collapsed="false">
      <c r="A44" s="24"/>
      <c r="B44" s="25"/>
      <c r="C44" s="24"/>
      <c r="D44" s="24"/>
      <c r="E44" s="24"/>
      <c r="F44" s="24"/>
      <c r="G44" s="25"/>
      <c r="H44" s="24"/>
      <c r="I44" s="24"/>
      <c r="J44" s="22"/>
      <c r="K44" s="22"/>
      <c r="L44" s="22"/>
      <c r="M44" s="22"/>
      <c r="N44" s="22"/>
    </row>
    <row r="45" customFormat="false" ht="15" hidden="false" customHeight="false" outlineLevel="0" collapsed="false">
      <c r="A45" s="22"/>
      <c r="B45" s="23"/>
      <c r="C45" s="22"/>
      <c r="D45" s="22"/>
      <c r="E45" s="22"/>
      <c r="F45" s="22"/>
      <c r="G45" s="23"/>
      <c r="H45" s="22"/>
      <c r="I45" s="22"/>
      <c r="J45" s="22"/>
      <c r="K45" s="22"/>
      <c r="L45" s="22"/>
      <c r="M45" s="22"/>
      <c r="N45" s="22"/>
    </row>
    <row r="46" customFormat="false" ht="15" hidden="false" customHeight="false" outlineLevel="0" collapsed="false">
      <c r="A46" s="24"/>
      <c r="B46" s="25"/>
      <c r="C46" s="24"/>
      <c r="D46" s="24"/>
      <c r="E46" s="24"/>
      <c r="F46" s="24"/>
      <c r="G46" s="25"/>
      <c r="H46" s="24"/>
      <c r="I46" s="24"/>
      <c r="J46" s="22"/>
      <c r="K46" s="22"/>
      <c r="L46" s="22"/>
      <c r="M46" s="22"/>
      <c r="N46" s="22"/>
    </row>
    <row r="47" customFormat="false" ht="15" hidden="false" customHeight="false" outlineLevel="0" collapsed="false">
      <c r="A47" s="22"/>
      <c r="B47" s="23"/>
      <c r="C47" s="22"/>
      <c r="D47" s="22"/>
      <c r="E47" s="22"/>
      <c r="F47" s="22"/>
      <c r="G47" s="23"/>
      <c r="H47" s="22"/>
      <c r="I47" s="22"/>
      <c r="J47" s="22"/>
      <c r="K47" s="22"/>
      <c r="L47" s="22"/>
      <c r="M47" s="22"/>
      <c r="N47" s="22"/>
    </row>
    <row r="48" customFormat="false" ht="15" hidden="false" customHeight="false" outlineLevel="0" collapsed="false">
      <c r="A48" s="24"/>
      <c r="B48" s="25"/>
      <c r="C48" s="24"/>
      <c r="D48" s="24"/>
      <c r="E48" s="24"/>
      <c r="F48" s="24"/>
      <c r="G48" s="25"/>
      <c r="H48" s="24"/>
      <c r="I48" s="24"/>
      <c r="J48" s="22"/>
      <c r="K48" s="22"/>
      <c r="L48" s="22"/>
      <c r="M48" s="22"/>
      <c r="N48" s="22"/>
    </row>
    <row r="49" customFormat="false" ht="15" hidden="false" customHeight="false" outlineLevel="0" collapsed="false">
      <c r="A49" s="22"/>
      <c r="B49" s="23"/>
      <c r="C49" s="22"/>
      <c r="D49" s="22"/>
      <c r="E49" s="22"/>
      <c r="F49" s="22"/>
      <c r="G49" s="23"/>
      <c r="H49" s="22"/>
      <c r="I49" s="22"/>
      <c r="J49" s="22"/>
      <c r="K49" s="22"/>
      <c r="L49" s="22"/>
      <c r="M49" s="22"/>
      <c r="N49" s="22"/>
    </row>
    <row r="50" customFormat="false" ht="15" hidden="false" customHeight="false" outlineLevel="0" collapsed="false">
      <c r="A50" s="24"/>
      <c r="B50" s="25"/>
      <c r="C50" s="24"/>
      <c r="D50" s="24"/>
      <c r="E50" s="24"/>
      <c r="F50" s="24"/>
      <c r="G50" s="25"/>
      <c r="H50" s="24"/>
      <c r="I50" s="24"/>
      <c r="J50" s="22"/>
      <c r="K50" s="22"/>
      <c r="L50" s="22"/>
      <c r="M50" s="22"/>
      <c r="N50" s="22"/>
    </row>
    <row r="51" customFormat="false" ht="15" hidden="false" customHeight="false" outlineLevel="0" collapsed="false">
      <c r="A51" s="22"/>
      <c r="B51" s="23"/>
      <c r="C51" s="22"/>
      <c r="D51" s="22"/>
      <c r="E51" s="22"/>
      <c r="F51" s="22"/>
      <c r="G51" s="23"/>
      <c r="H51" s="22"/>
      <c r="I51" s="22"/>
      <c r="J51" s="22"/>
      <c r="K51" s="22"/>
      <c r="L51" s="22"/>
      <c r="M51" s="22"/>
      <c r="N51" s="22"/>
    </row>
    <row r="52" customFormat="false" ht="15" hidden="false" customHeight="false" outlineLevel="0" collapsed="false">
      <c r="A52" s="24"/>
      <c r="B52" s="25"/>
      <c r="C52" s="24"/>
      <c r="D52" s="24"/>
      <c r="E52" s="24"/>
      <c r="F52" s="24"/>
      <c r="G52" s="25"/>
      <c r="H52" s="24"/>
      <c r="I52" s="24"/>
      <c r="J52" s="22"/>
      <c r="K52" s="22"/>
      <c r="L52" s="22"/>
      <c r="M52" s="22"/>
      <c r="N52" s="22"/>
    </row>
    <row r="53" customFormat="false" ht="15" hidden="false" customHeight="false" outlineLevel="0" collapsed="false">
      <c r="A53" s="22"/>
      <c r="B53" s="23"/>
      <c r="C53" s="22"/>
      <c r="D53" s="22"/>
      <c r="E53" s="22"/>
      <c r="F53" s="22"/>
      <c r="G53" s="23"/>
      <c r="H53" s="22"/>
      <c r="I53" s="22"/>
      <c r="J53" s="22"/>
      <c r="K53" s="22"/>
      <c r="L53" s="22"/>
      <c r="M53" s="22"/>
      <c r="N53" s="22"/>
    </row>
    <row r="54" customFormat="false" ht="15" hidden="false" customHeight="false" outlineLevel="0" collapsed="false">
      <c r="A54" s="24"/>
      <c r="B54" s="25"/>
      <c r="C54" s="24"/>
      <c r="D54" s="24"/>
      <c r="E54" s="24"/>
      <c r="F54" s="24"/>
      <c r="G54" s="25"/>
      <c r="H54" s="24"/>
      <c r="I54" s="24"/>
      <c r="J54" s="22"/>
      <c r="K54" s="22"/>
      <c r="L54" s="22"/>
      <c r="M54" s="22"/>
      <c r="N54" s="22"/>
    </row>
    <row r="55" customFormat="false" ht="15" hidden="false" customHeight="false" outlineLevel="0" collapsed="false">
      <c r="A55" s="22"/>
      <c r="B55" s="23"/>
      <c r="C55" s="22"/>
      <c r="D55" s="22"/>
      <c r="E55" s="22"/>
      <c r="F55" s="22"/>
      <c r="G55" s="23"/>
      <c r="H55" s="22"/>
      <c r="I55" s="22"/>
      <c r="J55" s="22"/>
      <c r="K55" s="22"/>
      <c r="L55" s="22"/>
      <c r="M55" s="22"/>
      <c r="N55" s="22"/>
    </row>
    <row r="56" customFormat="false" ht="15" hidden="false" customHeight="false" outlineLevel="0" collapsed="false">
      <c r="A56" s="24"/>
      <c r="B56" s="25"/>
      <c r="C56" s="24"/>
      <c r="D56" s="24"/>
      <c r="E56" s="24"/>
      <c r="F56" s="24"/>
      <c r="G56" s="25"/>
      <c r="H56" s="24"/>
      <c r="I56" s="24"/>
      <c r="J56" s="22"/>
      <c r="K56" s="22"/>
      <c r="L56" s="22"/>
      <c r="M56" s="22"/>
      <c r="N56" s="22"/>
    </row>
  </sheetData>
  <autoFilter ref="A6:N56"/>
  <mergeCells count="14">
    <mergeCell ref="A1:I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J5:N5"/>
  </mergeCells>
  <conditionalFormatting sqref="G7:G56">
    <cfRule type="expression" priority="2" aboveAverage="0" equalAverage="0" bottom="0" percent="0" rank="0" text="" dxfId="7">
      <formula>AND(G7&lt;&gt;"",G7&lt;TODAY())</formula>
    </cfRule>
    <cfRule type="expression" priority="3" aboveAverage="0" equalAverage="0" bottom="0" percent="0" rank="0" text="" dxfId="8">
      <formula>AND(G7&lt;&gt;"",G7&gt;=TODAY(),G7&lt;TODAY()+30)</formula>
    </cfRule>
    <cfRule type="expression" priority="4" aboveAverage="0" equalAverage="0" bottom="0" percent="0" rank="0" text="" dxfId="9">
      <formula>AND(G7&lt;&gt;"",G7&gt;=TODAY()+30)</formula>
    </cfRule>
  </conditionalFormatting>
  <conditionalFormatting sqref="H7:H56">
    <cfRule type="cellIs" priority="5" operator="equal" aboveAverage="0" equalAverage="0" bottom="0" percent="0" rank="0" text="" dxfId="9">
      <formula>"Full"</formula>
    </cfRule>
    <cfRule type="cellIs" priority="6" operator="equal" aboveAverage="0" equalAverage="0" bottom="0" percent="0" rank="0" text="" dxfId="8">
      <formula>"Refresher"</formula>
    </cfRule>
    <cfRule type="cellIs" priority="7" operator="equal" aboveAverage="0" equalAverage="0" bottom="0" percent="0" rank="0" text="" dxfId="10">
      <formula>"Visitor"</formula>
    </cfRule>
  </conditionalFormatting>
  <conditionalFormatting sqref="L7:L56">
    <cfRule type="cellIs" priority="8" operator="equal" aboveAverage="0" equalAverage="0" bottom="0" percent="0" rank="0" text="" dxfId="7">
      <formula>"No"</formula>
    </cfRule>
  </conditionalFormatting>
  <dataValidations count="4">
    <dataValidation allowBlank="true" errorStyle="stop" operator="between" prompt="Select induction type" showDropDown="false" showErrorMessage="false" showInputMessage="false" sqref="H7:H56" type="list">
      <formula1>"Full,Refresher,Visitor"</formula1>
      <formula2>0</formula2>
    </dataValidation>
    <dataValidation allowBlank="true" errorStyle="stop" operator="between" showDropDown="false" showErrorMessage="false" showInputMessage="false" sqref="L7:L56" type="list">
      <formula1>"Yes,No"</formula1>
      <formula2>0</formula2>
    </dataValidation>
    <dataValidation allowBlank="true" errorStyle="stop" operator="between" showDropDown="false" showErrorMessage="false" showInputMessage="false" sqref="B7:B56 G7:G56" type="date">
      <formula1>0</formula1>
      <formula2>0</formula2>
    </dataValidation>
    <dataValidation allowBlank="true" errorStyle="stop" operator="between" prompt="Select trade/role" showDropDown="false" showErrorMessage="false" showInputMessage="false" sqref="E7:E56" type="list">
      <formula1>"Site Manager,Foreman,General Operative,Banksman,Crane Operator,Scaffolder,Electrician,Plumber,Joiner,Steel Fixer,Groundworker,Plant Operator,Engineer,QS,Architect,Client Rep,Visitor,Other"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&amp;CSite Induction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26" t="s">
        <v>103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104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105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106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107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108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109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110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2026-03-22T18:46:19Z</dcterms:created>
  <dc:creator>Ebrora Ltd</dc:creator>
  <dc:description>Record every site induction with CSCS card details, expiry tracking, and automatic alerts for expired or expiring cards — designed for UK construction site managers and H&amp;S coordinators.
Free professional construction management template from Ebrora Ltd. Visit ebrora.com for our full range of tools and templates.</dc:description>
  <cp:keywords>Ebrora construction induction register CSCS site management health and safety competence</cp:keywords>
  <dc:language>en-US</dc:language>
  <cp:lastModifiedBy>Ebrora Ltd</cp:lastModifiedBy>
  <dcterms:modified xsi:type="dcterms:W3CDTF">2026-03-22T18:46:19Z</dcterms:modified>
  <cp:revision>0</cp:revision>
  <dc:subject>Register of all personnel who have completed site induction, with CSCS card tracking and expiry alerts.</dc:subject>
  <dc:title>Site Induction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