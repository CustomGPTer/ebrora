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Termination Register"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'Termination Register'!$A$1:$R$59</definedName>
    <definedName function="false" hidden="true" localSheetId="2" name="_xlnm._FilterDatabase" vbProcedure="false">'Termination Register'!$A$9:$R$9</definedName>
    <definedName function="false" hidden="false" name="DataTable" vbProcedure="false">'Termination Register'!$A$9:$R$59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<sst xmlns="http://schemas.openxmlformats.org/spreadsheetml/2006/main" count="145" uniqueCount="123">
  <si>
    <t xml:space="preserve">EBRORA</t>
  </si>
  <si>
    <t xml:space="preserve">ebrora.com</t>
  </si>
  <si>
    <t xml:space="preserve">Cable Termination &amp;
Glanding Register</t>
  </si>
  <si>
    <t xml:space="preserve">Track cable glanding and termination at both ends — A-end and B-end — with independent status tracking, gland types, and sign-off.</t>
  </si>
  <si>
    <t xml:space="preserve">This is a free template from Ebrora. For our full range of professional-grade construction management tools, visit ebrora.com</t>
  </si>
  <si>
    <t xml:space="preserve">© Ebrora 2026 — All rights reserved</t>
  </si>
  <si>
    <t xml:space="preserve">How to Use This Template</t>
  </si>
  <si>
    <t xml:space="preserve">Two-Panel Layout</t>
  </si>
  <si>
    <t xml:space="preserve">1.</t>
  </si>
  <si>
    <t xml:space="preserve">This register uses a two-panel design. The LEFT panel (columns A–E) identifies each cable. The RIGHT panel tracks termination status independently at the A-end and B-end.</t>
  </si>
  <si>
    <t xml:space="preserve">2.</t>
  </si>
  <si>
    <t xml:space="preserve">The A-end is typically the supply side (panel, MCC, DB). The B-end is the field device or equipment side.</t>
  </si>
  <si>
    <t xml:space="preserve">Filling In the Register</t>
  </si>
  <si>
    <t xml:space="preserve">3.</t>
  </si>
  <si>
    <t xml:space="preserve">Enter the Cable Tag in column A — this should match your cable pulling schedule.</t>
  </si>
  <si>
    <t xml:space="preserve">4.</t>
  </si>
  <si>
    <t xml:space="preserve">Fill in From (A-end) and To (B-end) locations, cable type, and core count.</t>
  </si>
  <si>
    <t xml:space="preserve">5.</t>
  </si>
  <si>
    <t xml:space="preserve">For each end, select the Gland Type from the dropdown (CW, BW, E1W, etc.) and the Termination Status (Not Started, Glanded, Terminated, Tested).</t>
  </si>
  <si>
    <t xml:space="preserve">6.</t>
  </si>
  <si>
    <t xml:space="preserve">Enter the date each end was completed. The 'Both Ends Complete' column auto-calculates — it shows Yes only when both A-end and B-end are marked as Tested.</t>
  </si>
  <si>
    <t xml:space="preserve">7.</t>
  </si>
  <si>
    <t xml:space="preserve">The overall % Complete in the dashboard counts cables where both ends are fully tested.</t>
  </si>
  <si>
    <t xml:space="preserve">Optional Fields</t>
  </si>
  <si>
    <t xml:space="preserve">8.</t>
  </si>
  <si>
    <t xml:space="preserve">Click [+] to expand optional columns: Ferrule/Lug Size, Torque Checked, IR Test Result, and Signed Off By.</t>
  </si>
  <si>
    <t xml:space="preserve">Colour Key</t>
  </si>
  <si>
    <t xml:space="preserve">Light Teal cells</t>
  </si>
  <si>
    <t xml:space="preserve">Editable — enter your data here</t>
  </si>
  <si>
    <t xml:space="preserve">Dark Navy headers</t>
  </si>
  <si>
    <t xml:space="preserve">Do not edit — column headings</t>
  </si>
  <si>
    <t xml:space="preserve">Teal band</t>
  </si>
  <si>
    <t xml:space="preserve">Panel sub-header (A-End / B-End sections)</t>
  </si>
  <si>
    <t xml:space="preserve">White cells</t>
  </si>
  <si>
    <t xml:space="preserve">Formula cells — auto-calculated</t>
  </si>
  <si>
    <t xml:space="preserve">Green</t>
  </si>
  <si>
    <t xml:space="preserve">Tested / Both ends complete</t>
  </si>
  <si>
    <t xml:space="preserve">Amber</t>
  </si>
  <si>
    <t xml:space="preserve">Glanded or Terminated (partially done)</t>
  </si>
  <si>
    <t xml:space="preserve">Red</t>
  </si>
  <si>
    <t xml:space="preserve">Not Started</t>
  </si>
  <si>
    <t xml:space="preserve">Tips</t>
  </si>
  <si>
    <t xml:space="preserve">•</t>
  </si>
  <si>
    <t xml:space="preserve">Filter by 'Both Ends Complete = No' to generate a termination punch list for the pulling/termination crew.</t>
  </si>
  <si>
    <t xml:space="preserve">Use this register alongside the Cable Pulling Schedule (Template 41) — a cable should appear here once it has been pulled.</t>
  </si>
  <si>
    <t xml:space="preserve">For SWA cables, always record the gland type — CW and BW glands are not interchangeable and incorrect glanding is a common NCR issue.</t>
  </si>
  <si>
    <t xml:space="preserve">CABLE TERMINATION &amp; GLANDING REGISTER — STATUS DASHBOARD</t>
  </si>
  <si>
    <t xml:space="preserve">Total Cables:</t>
  </si>
  <si>
    <t xml:space="preserve">A-End Complete:</t>
  </si>
  <si>
    <t xml:space="preserve">B-End Complete:</t>
  </si>
  <si>
    <t xml:space="preserve">Both Ends Done:</t>
  </si>
  <si>
    <t xml:space="preserve">A-End %:</t>
  </si>
  <si>
    <t xml:space="preserve">B-End %:</t>
  </si>
  <si>
    <t xml:space="preserve">Overall %:</t>
  </si>
  <si>
    <t xml:space="preserve">▸ Optional Fields — Click [+] to expand</t>
  </si>
  <si>
    <t xml:space="preserve">CABLE IDENTITY</t>
  </si>
  <si>
    <t xml:space="preserve">A-END (SUPPLY SIDE)</t>
  </si>
  <si>
    <t xml:space="preserve">B-END (FIELD SIDE)</t>
  </si>
  <si>
    <t xml:space="preserve">Cable Tag</t>
  </si>
  <si>
    <t xml:space="preserve">From (A-End)</t>
  </si>
  <si>
    <t xml:space="preserve">To (B-End)</t>
  </si>
  <si>
    <t xml:space="preserve">Cable Type</t>
  </si>
  <si>
    <t xml:space="preserve">Cores</t>
  </si>
  <si>
    <t xml:space="preserve">A-End Gland</t>
  </si>
  <si>
    <t xml:space="preserve">A-End Date</t>
  </si>
  <si>
    <t xml:space="preserve">A-End Status</t>
  </si>
  <si>
    <t xml:space="preserve">A-End By</t>
  </si>
  <si>
    <t xml:space="preserve">B-End Gland</t>
  </si>
  <si>
    <t xml:space="preserve">B-End Status</t>
  </si>
  <si>
    <t xml:space="preserve">B-End Date</t>
  </si>
  <si>
    <t xml:space="preserve">B-End By</t>
  </si>
  <si>
    <t xml:space="preserve">Both Complete</t>
  </si>
  <si>
    <t xml:space="preserve">Ferrule / Lug</t>
  </si>
  <si>
    <t xml:space="preserve">Torque Checked</t>
  </si>
  <si>
    <t xml:space="preserve">IR Test (MΩ)</t>
  </si>
  <si>
    <t xml:space="preserve">Signed Off By</t>
  </si>
  <si>
    <t xml:space="preserve">CB-001</t>
  </si>
  <si>
    <t xml:space="preserve">MCC-01</t>
  </si>
  <si>
    <t xml:space="preserve">Motor M-101 (Pump P1)</t>
  </si>
  <si>
    <t xml:space="preserve">SWA 4c 10mm²</t>
  </si>
  <si>
    <t xml:space="preserve">CW</t>
  </si>
  <si>
    <t xml:space="preserve">Tested</t>
  </si>
  <si>
    <t xml:space="preserve">D. Brooks</t>
  </si>
  <si>
    <t xml:space="preserve">M10 Crimp</t>
  </si>
  <si>
    <t xml:space="preserve">Yes</t>
  </si>
  <si>
    <t xml:space="preserve">500+</t>
  </si>
  <si>
    <t xml:space="preserve">J. Williams</t>
  </si>
  <si>
    <t xml:space="preserve">CB-002</t>
  </si>
  <si>
    <t xml:space="preserve">DB-03A</t>
  </si>
  <si>
    <t xml:space="preserve">FCU-201 (AHU Plant Room)</t>
  </si>
  <si>
    <t xml:space="preserve">SWA 3c 4mm²</t>
  </si>
  <si>
    <t xml:space="preserve">BW</t>
  </si>
  <si>
    <t xml:space="preserve">Terminated</t>
  </si>
  <si>
    <t xml:space="preserve">K. Singh</t>
  </si>
  <si>
    <t xml:space="preserve">M6 Bootlace</t>
  </si>
  <si>
    <t xml:space="preserve">No</t>
  </si>
  <si>
    <t xml:space="preserve">CB-003</t>
  </si>
  <si>
    <t xml:space="preserve">LV Panel LP-02</t>
  </si>
  <si>
    <t xml:space="preserve">DOL Starter DS-305</t>
  </si>
  <si>
    <t xml:space="preserve">SWA 4c 6mm²</t>
  </si>
  <si>
    <t xml:space="preserve">Glanded</t>
  </si>
  <si>
    <t xml:space="preserve">E1W</t>
  </si>
  <si>
    <t xml:space="preserve">N/A</t>
  </si>
  <si>
    <t xml:space="preserve">CB-004</t>
  </si>
  <si>
    <t xml:space="preserve">JB-12</t>
  </si>
  <si>
    <t xml:space="preserve">Instrument IS-401 (Level)</t>
  </si>
  <si>
    <t xml:space="preserve">Inst 2pr</t>
  </si>
  <si>
    <t xml:space="preserve">A2</t>
  </si>
  <si>
    <t xml:space="preserve">Pin Terminal</t>
  </si>
  <si>
    <t xml:space="preserve">CB-005</t>
  </si>
  <si>
    <t xml:space="preserve">MCC-02</t>
  </si>
  <si>
    <t xml:space="preserve">VSD-501 (Blower B1)</t>
  </si>
  <si>
    <t xml:space="preserve">XLPE 1c 95mm²</t>
  </si>
  <si>
    <t xml:space="preserve">185mm² Lug</t>
  </si>
  <si>
    <t xml:space="preserve">EBRORA — TERMS OF USE</t>
  </si>
  <si>
    <t xml:space="preserve">This template is provided free of charge by Ebrora (ebrora.com) for personal and professional use.</t>
  </si>
  <si>
    <t xml:space="preserve">1. LICENCE: You may use this template for your own projects. You may not resell, redistribute, or claim authorship of this template.</t>
  </si>
  <si>
    <t xml:space="preserve">2. NO WARRANTY: This template is provided "as is" without warranty of any kind. Ebrora accepts no liability for errors, omissions, or losses arising from use of this template.</t>
  </si>
  <si>
    <t xml:space="preserve">3. INTELLECTUAL PROPERTY: All design, layout, branding, and content remain the intellectual property of Ebrora.</t>
  </si>
  <si>
    <t xml:space="preserve">4. MODIFICATIONS: You may modify this template for your own use. Modified versions may not be distributed or sold.</t>
  </si>
  <si>
    <t xml:space="preserve">5. ATTRIBUTION: If you share outputs generated using this template, attribution to Ebrora (ebrora.com) is appreciated but not required.</t>
  </si>
  <si>
    <t xml:space="preserve">6. 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</si>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</sst>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General"/>
    <numFmt numFmtId="166" formatCode="0%"/>
    <numFmt numFmtId="167" formatCode="dd/mm/yyyy"/>
  </numFmts>
  <fonts count="20">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4"/>
      <color rgb="FFFFFFFF"/>
      <name val="Calibri"/>
      <family val="0"/>
      <charset val="1"/>
    </font>
    <font>
      <b val="true"/>
      <sz val="9"/>
      <color rgb="FF1B2A4A"/>
      <name val="Calibri"/>
      <family val="0"/>
      <charset val="1"/>
    </font>
    <font>
      <b val="true"/>
      <sz val="12"/>
      <color rgb="FF1B2A4A"/>
      <name val="Calibri"/>
      <family val="0"/>
      <charset val="1"/>
    </font>
    <font>
      <b val="true"/>
      <i val="true"/>
      <sz val="9"/>
      <color rgb="FF2AABB3"/>
      <name val="Calibri"/>
      <family val="0"/>
      <charset val="1"/>
    </font>
    <font>
      <b val="true"/>
      <sz val="10"/>
      <color rgb="FFFFFFFF"/>
      <name val="Calibri"/>
      <family val="0"/>
      <charset val="1"/>
    </font>
    <font>
      <b val="true"/>
      <sz val="11"/>
      <color rgb="FFFFFFFF"/>
      <name val="Calibri"/>
      <family val="0"/>
      <charset val="1"/>
    </font>
  </fonts>
  <fills count="9">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FFFFFF"/>
      </patternFill>
    </fill>
    <fill>
      <patternFill patternType="solid">
        <fgColor rgb="FF2AABB3"/>
        <bgColor rgb="FF339966"/>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s>
  <borders count="5">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right/>
      <top/>
      <bottom style="medium">
        <color rgb="FF2AABB3"/>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style="thin">
        <color rgb="FF2AABB3"/>
      </left>
      <right style="thin">
        <color rgb="FF2AABB3"/>
      </right>
      <top style="thin">
        <color rgb="FF2AABB3"/>
      </top>
      <bottom style="thin">
        <color rgb="FF2AABB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0" shrinkToFit="false"/>
      <protection locked="true" hidden="false"/>
    </xf>
    <xf numFmtId="164" fontId="11"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right" vertical="top" textRotation="0" wrapText="false" indent="0" shrinkToFit="false"/>
      <protection locked="true" hidden="false"/>
    </xf>
    <xf numFmtId="164" fontId="13" fillId="0" borderId="0" xfId="0" applyFont="true" applyBorder="true" applyAlignment="true" applyProtection="false">
      <alignment horizontal="left" vertical="top" textRotation="0" wrapText="true" indent="0" shrinkToFit="false"/>
      <protection locked="true" hidden="false"/>
    </xf>
    <xf numFmtId="164" fontId="0" fillId="4" borderId="3"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0" fillId="2" borderId="3" xfId="0" applyFont="false" applyBorder="true" applyAlignment="false" applyProtection="false">
      <alignment horizontal="general" vertical="bottom" textRotation="0" wrapText="false" indent="0" shrinkToFit="false"/>
      <protection locked="true" hidden="false"/>
    </xf>
    <xf numFmtId="164" fontId="0" fillId="5" borderId="3" xfId="0" applyFont="false" applyBorder="true" applyAlignment="false" applyProtection="false">
      <alignment horizontal="general" vertical="bottom" textRotation="0" wrapText="false" indent="0" shrinkToFit="false"/>
      <protection locked="true" hidden="false"/>
    </xf>
    <xf numFmtId="164" fontId="0" fillId="3" borderId="3" xfId="0" applyFont="false" applyBorder="true" applyAlignment="false" applyProtection="false">
      <alignment horizontal="general" vertical="bottom" textRotation="0" wrapText="false" indent="0" shrinkToFit="false"/>
      <protection locked="true" hidden="false"/>
    </xf>
    <xf numFmtId="164" fontId="0" fillId="6" borderId="3" xfId="0" applyFont="false" applyBorder="true" applyAlignment="false" applyProtection="false">
      <alignment horizontal="general" vertical="bottom" textRotation="0" wrapText="false" indent="0" shrinkToFit="false"/>
      <protection locked="true" hidden="false"/>
    </xf>
    <xf numFmtId="164" fontId="0" fillId="7" borderId="3" xfId="0" applyFont="false" applyBorder="true" applyAlignment="false" applyProtection="false">
      <alignment horizontal="general" vertical="bottom" textRotation="0" wrapText="false" indent="0" shrinkToFit="false"/>
      <protection locked="true" hidden="false"/>
    </xf>
    <xf numFmtId="164" fontId="0" fillId="8" borderId="3" xfId="0" applyFont="false" applyBorder="true" applyAlignment="false" applyProtection="false">
      <alignment horizontal="general" vertical="bottom" textRotation="0" wrapText="false" indent="0" shrinkToFit="false"/>
      <protection locked="true" hidden="false"/>
    </xf>
    <xf numFmtId="164" fontId="14" fillId="2" borderId="0" xfId="0" applyFont="true" applyBorder="true" applyAlignment="true" applyProtection="false">
      <alignment horizontal="center" vertical="center" textRotation="0" wrapText="true" indent="0" shrinkToFit="false"/>
      <protection locked="true" hidden="false"/>
    </xf>
    <xf numFmtId="164" fontId="15" fillId="4" borderId="4" xfId="0" applyFont="true" applyBorder="true" applyAlignment="true" applyProtection="false">
      <alignment horizontal="right" vertical="center" textRotation="0" wrapText="false" indent="0" shrinkToFit="false"/>
      <protection locked="true" hidden="false"/>
    </xf>
    <xf numFmtId="165" fontId="16" fillId="4" borderId="4" xfId="0" applyFont="true" applyBorder="true" applyAlignment="true" applyProtection="false">
      <alignment horizontal="center" vertical="center" textRotation="0" wrapText="true" indent="0" shrinkToFit="false"/>
      <protection locked="true" hidden="false"/>
    </xf>
    <xf numFmtId="166" fontId="16" fillId="4" borderId="4"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8" fillId="5" borderId="0" xfId="0" applyFont="true" applyBorder="true" applyAlignment="true" applyProtection="false">
      <alignment horizontal="center" vertical="center" textRotation="0" wrapText="tru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9" fillId="2"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center" vertical="center" textRotation="0" wrapText="true" indent="0" shrinkToFit="false"/>
      <protection locked="true" hidden="false"/>
    </xf>
    <xf numFmtId="164" fontId="13" fillId="4" borderId="3" xfId="0" applyFont="true" applyBorder="true" applyAlignment="true" applyProtection="false">
      <alignment horizontal="left" vertical="center" textRotation="0" wrapText="true" indent="0" shrinkToFit="false"/>
      <protection locked="true" hidden="false"/>
    </xf>
    <xf numFmtId="167" fontId="13" fillId="4" borderId="3" xfId="0" applyFont="true" applyBorder="true" applyAlignment="true" applyProtection="false">
      <alignment horizontal="center" vertical="center" textRotation="0" wrapText="true" indent="0" shrinkToFit="false"/>
      <protection locked="true" hidden="false"/>
    </xf>
    <xf numFmtId="164" fontId="13" fillId="3" borderId="3" xfId="0" applyFont="true" applyBorder="true" applyAlignment="true" applyProtection="false">
      <alignment horizontal="center"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B2A4A"/>
          <bgColor rgb="FF000000"/>
        </patternFill>
      </fill>
    </dxf>
    <dxf>
      <fill>
        <patternFill patternType="solid">
          <fgColor rgb="FF2AABB3"/>
          <bgColor rgb="FF000000"/>
        </patternFill>
      </fill>
    </dxf>
    <dxf>
      <fill>
        <patternFill patternType="solid">
          <fgColor rgb="FFFFFFFF"/>
          <bgColor rgb="FF000000"/>
        </patternFill>
      </fill>
    </dxf>
    <dxf>
      <fill>
        <patternFill>
          <bgColor rgb="FFC6EFCE"/>
        </patternFill>
      </fill>
    </dxf>
    <dxf>
      <fill>
        <patternFill>
          <bgColor rgb="FFFFEB9C"/>
        </patternFill>
      </fill>
    </dxf>
    <dxf>
      <fill>
        <patternFill>
          <bgColor rgb="FFFFC7CE"/>
        </patternFill>
      </fill>
    </dxf>
    <dxf>
      <font>
        <name val="Calibri"/>
        <charset val="1"/>
        <family val="0"/>
        <b val="1"/>
        <color rgb="FF006100"/>
        <sz val="10"/>
      </font>
      <fill>
        <patternFill>
          <bgColor rgb="FFC6EFCE"/>
        </patternFill>
      </fill>
    </dxf>
    <dxf>
      <font>
        <name val="Calibri"/>
        <charset val="1"/>
        <family val="0"/>
        <b val="1"/>
        <color rgb="FF9C0006"/>
        <sz val="10"/>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C0C0C0"/>
      <rgbColor rgb="FF808080"/>
      <rgbColor rgb="FF9999FF"/>
      <rgbColor rgb="FF993366"/>
      <rgbColor rgb="FFFFFFCC"/>
      <rgbColor rgb="FFE8F6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AABB3"/>
      <rgbColor rgb="FF99CC00"/>
      <rgbColor rgb="FFFFCC00"/>
      <rgbColor rgb="FFFF9900"/>
      <rgbColor rgb="FFFF6600"/>
      <rgbColor rgb="FF666699"/>
      <rgbColor rgb="FF8C8C8C"/>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H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4"/>
  </cols>
  <sheetData>
    <row r="1" customFormat="false" ht="15" hidden="false" customHeight="false" outlineLevel="0" collapsed="false">
      <c r="A1" s="1" t="s">
        <v>0</v>
      </c>
      <c r="B1" s="1"/>
      <c r="C1" s="1"/>
      <c r="D1" s="1"/>
      <c r="E1" s="1"/>
      <c r="F1" s="1"/>
      <c r="G1" s="1"/>
      <c r="H1" s="1"/>
    </row>
    <row r="2" customFormat="false" ht="15" hidden="false" customHeight="false" outlineLevel="0" collapsed="false">
      <c r="A2" s="1"/>
      <c r="B2" s="1"/>
      <c r="C2" s="1"/>
      <c r="D2" s="1"/>
      <c r="E2" s="1"/>
      <c r="F2" s="1"/>
      <c r="G2" s="1"/>
      <c r="H2" s="1"/>
    </row>
    <row r="3" customFormat="false" ht="15" hidden="false" customHeight="false" outlineLevel="0" collapsed="false">
      <c r="A3" s="1"/>
      <c r="B3" s="1"/>
      <c r="C3" s="1"/>
      <c r="D3" s="1"/>
      <c r="E3" s="1"/>
      <c r="F3" s="1"/>
      <c r="G3" s="1"/>
      <c r="H3" s="1"/>
    </row>
    <row r="4" customFormat="false" ht="15" hidden="false" customHeight="false" outlineLevel="0" collapsed="false">
      <c r="A4" s="2" t="s">
        <v>1</v>
      </c>
      <c r="B4" s="2"/>
      <c r="C4" s="2"/>
      <c r="D4" s="2"/>
      <c r="E4" s="2"/>
      <c r="F4" s="2"/>
      <c r="G4" s="2"/>
      <c r="H4" s="2"/>
    </row>
    <row r="5" customFormat="false" ht="15" hidden="false" customHeight="false" outlineLevel="0" collapsed="false">
      <c r="A5" s="3"/>
      <c r="B5" s="3"/>
      <c r="C5" s="3"/>
      <c r="D5" s="3"/>
      <c r="E5" s="3"/>
      <c r="F5" s="3"/>
      <c r="G5" s="3"/>
      <c r="H5" s="3"/>
    </row>
    <row r="6" customFormat="false" ht="15" hidden="false" customHeight="true" outlineLevel="0" collapsed="false">
      <c r="A6" s="4" t="s">
        <v>2</v>
      </c>
      <c r="B6" s="4"/>
      <c r="C6" s="4"/>
      <c r="D6" s="4"/>
      <c r="E6" s="4"/>
      <c r="F6" s="4"/>
      <c r="G6" s="4"/>
      <c r="H6" s="4"/>
    </row>
    <row r="7" customFormat="false" ht="15" hidden="false" customHeight="false" outlineLevel="0" collapsed="false">
      <c r="A7" s="4"/>
      <c r="B7" s="4"/>
      <c r="C7" s="4"/>
      <c r="D7" s="4"/>
      <c r="E7" s="4"/>
      <c r="F7" s="4"/>
      <c r="G7" s="4"/>
      <c r="H7" s="4"/>
    </row>
    <row r="8" customFormat="false" ht="15" hidden="false" customHeight="false" outlineLevel="0" collapsed="false">
      <c r="A8" s="4"/>
      <c r="B8" s="4"/>
      <c r="C8" s="4"/>
      <c r="D8" s="4"/>
      <c r="E8" s="4"/>
      <c r="F8" s="4"/>
      <c r="G8" s="4"/>
      <c r="H8" s="4"/>
    </row>
    <row r="9" customFormat="false" ht="15" hidden="false" customHeight="false" outlineLevel="0" collapsed="false">
      <c r="A9" s="3"/>
      <c r="B9" s="3"/>
      <c r="C9" s="3"/>
      <c r="D9" s="3"/>
      <c r="E9" s="3"/>
      <c r="F9" s="3"/>
      <c r="G9" s="3"/>
      <c r="H9" s="3"/>
    </row>
    <row r="10" customFormat="false" ht="15" hidden="false" customHeight="true" outlineLevel="0" collapsed="false">
      <c r="A10" s="5" t="s">
        <v>3</v>
      </c>
      <c r="B10" s="5"/>
      <c r="C10" s="5"/>
      <c r="D10" s="5"/>
      <c r="E10" s="5"/>
      <c r="F10" s="5"/>
      <c r="G10" s="5"/>
      <c r="H10" s="5"/>
    </row>
    <row r="11" customFormat="false" ht="15" hidden="false" customHeight="false" outlineLevel="0" collapsed="false">
      <c r="A11" s="5"/>
      <c r="B11" s="5"/>
      <c r="C11" s="5"/>
      <c r="D11" s="5"/>
      <c r="E11" s="5"/>
      <c r="F11" s="5"/>
      <c r="G11" s="5"/>
      <c r="H11" s="5"/>
    </row>
    <row r="12" customFormat="false" ht="15" hidden="false" customHeight="false" outlineLevel="0" collapsed="false">
      <c r="A12" s="3"/>
      <c r="B12" s="3"/>
      <c r="C12" s="3"/>
      <c r="D12" s="3"/>
      <c r="E12" s="3"/>
      <c r="F12" s="3"/>
      <c r="G12" s="3"/>
      <c r="H12" s="3"/>
    </row>
    <row r="13" customFormat="false" ht="15" hidden="false" customHeight="false" outlineLevel="0" collapsed="false">
      <c r="A13" s="3"/>
      <c r="B13" s="3"/>
      <c r="C13" s="3"/>
      <c r="D13" s="3"/>
      <c r="E13" s="3"/>
      <c r="F13" s="3"/>
      <c r="G13" s="3"/>
      <c r="H13" s="3"/>
    </row>
    <row r="14" customFormat="false" ht="15" hidden="false" customHeight="true" outlineLevel="0" collapsed="false">
      <c r="A14" s="6" t="s">
        <v>4</v>
      </c>
      <c r="B14" s="6"/>
      <c r="C14" s="6"/>
      <c r="D14" s="6"/>
      <c r="E14" s="6"/>
      <c r="F14" s="6"/>
      <c r="G14" s="6"/>
      <c r="H14" s="6"/>
    </row>
    <row r="15" customFormat="false" ht="15" hidden="false" customHeight="false" outlineLevel="0" collapsed="false">
      <c r="A15" s="6"/>
      <c r="B15" s="6"/>
      <c r="C15" s="6"/>
      <c r="D15" s="6"/>
      <c r="E15" s="6"/>
      <c r="F15" s="6"/>
      <c r="G15" s="6"/>
      <c r="H15" s="6"/>
    </row>
    <row r="16" customFormat="false" ht="15" hidden="false" customHeight="false" outlineLevel="0" collapsed="false">
      <c r="A16" s="6"/>
      <c r="B16" s="6"/>
      <c r="C16" s="6"/>
      <c r="D16" s="6"/>
      <c r="E16" s="6"/>
      <c r="F16" s="6"/>
      <c r="G16" s="6"/>
      <c r="H16" s="6"/>
    </row>
    <row r="17" customFormat="false" ht="15" hidden="false" customHeight="false" outlineLevel="0" collapsed="false">
      <c r="A17" s="6"/>
      <c r="B17" s="6"/>
      <c r="C17" s="6"/>
      <c r="D17" s="6"/>
      <c r="E17" s="6"/>
      <c r="F17" s="6"/>
      <c r="G17" s="6"/>
      <c r="H17" s="6"/>
    </row>
    <row r="18" customFormat="false" ht="15" hidden="false" customHeight="false" outlineLevel="0" collapsed="false">
      <c r="A18" s="3"/>
      <c r="B18" s="3"/>
      <c r="C18" s="3"/>
      <c r="D18" s="3"/>
      <c r="E18" s="3"/>
      <c r="F18" s="3"/>
      <c r="G18" s="3"/>
      <c r="H18" s="3"/>
    </row>
    <row r="19" customFormat="false" ht="15" hidden="false" customHeight="false" outlineLevel="0" collapsed="false">
      <c r="A19" s="7" t="s">
        <v>5</v>
      </c>
      <c r="B19" s="7"/>
      <c r="C19" s="7"/>
      <c r="D19" s="7"/>
      <c r="E19" s="7"/>
      <c r="F19" s="7"/>
      <c r="G19" s="7"/>
      <c r="H19" s="7"/>
    </row>
    <row r="20" customFormat="false" ht="15" hidden="false" customHeight="false" outlineLevel="0" collapsed="false">
      <c r="A20" s="3"/>
      <c r="B20" s="3"/>
      <c r="C20" s="3"/>
      <c r="D20" s="3"/>
      <c r="E20" s="3"/>
      <c r="F20" s="3"/>
      <c r="G20" s="3"/>
      <c r="H20" s="3"/>
    </row>
    <row r="21" customFormat="false" ht="15" hidden="false" customHeight="false" outlineLevel="0" collapsed="false">
      <c r="A21" s="3"/>
      <c r="B21" s="3"/>
      <c r="C21" s="3"/>
      <c r="D21" s="3"/>
      <c r="E21" s="3"/>
      <c r="F21" s="3"/>
      <c r="G21" s="3"/>
      <c r="H21" s="3"/>
    </row>
    <row r="22" customFormat="false" ht="15" hidden="false" customHeight="false" outlineLevel="0" collapsed="false">
      <c r="A22" s="3"/>
      <c r="B22" s="3"/>
      <c r="C22" s="3"/>
      <c r="D22" s="3"/>
      <c r="E22" s="3"/>
      <c r="F22" s="3"/>
      <c r="G22" s="3"/>
      <c r="H22" s="3"/>
    </row>
    <row r="23" customFormat="false" ht="15" hidden="false" customHeight="false" outlineLevel="0" collapsed="false">
      <c r="A23" s="3"/>
      <c r="B23" s="3"/>
      <c r="C23" s="3"/>
      <c r="D23" s="3"/>
      <c r="E23" s="3"/>
      <c r="F23" s="3"/>
      <c r="G23" s="3"/>
      <c r="H23" s="3"/>
    </row>
    <row r="24" customFormat="false" ht="15" hidden="false" customHeight="false" outlineLevel="0" collapsed="false">
      <c r="A24" s="3"/>
      <c r="B24" s="3"/>
      <c r="C24" s="3"/>
      <c r="D24" s="3"/>
      <c r="E24" s="3"/>
      <c r="F24" s="3"/>
      <c r="G24" s="3"/>
      <c r="H24" s="3"/>
    </row>
  </sheetData>
  <mergeCells count="6">
    <mergeCell ref="A1:H3"/>
    <mergeCell ref="A4:H4"/>
    <mergeCell ref="A6:H8"/>
    <mergeCell ref="A10:H11"/>
    <mergeCell ref="A14:H17"/>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AABB3"/>
    <pageSetUpPr fitToPage="false"/>
  </sheetPr>
  <dimension ref="A1:F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80"/>
    <col collapsed="false" customWidth="true" hidden="false" outlineLevel="0" max="6" min="3" style="0" width="18"/>
  </cols>
  <sheetData>
    <row r="1" customFormat="false" ht="18.65" hidden="false" customHeight="true" outlineLevel="0" collapsed="false">
      <c r="A1" s="8" t="s">
        <v>6</v>
      </c>
      <c r="B1" s="8"/>
      <c r="C1" s="8"/>
      <c r="D1" s="8"/>
      <c r="E1" s="8"/>
      <c r="F1" s="8"/>
    </row>
    <row r="3" customFormat="false" ht="15" hidden="false" customHeight="true" outlineLevel="0" collapsed="false">
      <c r="A3" s="9" t="s">
        <v>7</v>
      </c>
      <c r="B3" s="9"/>
      <c r="C3" s="9"/>
      <c r="D3" s="9"/>
      <c r="E3" s="9"/>
      <c r="F3" s="9"/>
    </row>
    <row r="4" customFormat="false" ht="15" hidden="false" customHeight="true" outlineLevel="0" collapsed="false">
      <c r="A4" s="10" t="s">
        <v>8</v>
      </c>
      <c r="B4" s="11" t="s">
        <v>9</v>
      </c>
      <c r="C4" s="11"/>
      <c r="D4" s="11"/>
      <c r="E4" s="11"/>
      <c r="F4" s="11"/>
    </row>
    <row r="5" customFormat="false" ht="15" hidden="false" customHeight="true" outlineLevel="0" collapsed="false">
      <c r="A5" s="10" t="s">
        <v>10</v>
      </c>
      <c r="B5" s="11" t="s">
        <v>11</v>
      </c>
      <c r="C5" s="11"/>
      <c r="D5" s="11"/>
      <c r="E5" s="11"/>
      <c r="F5" s="11"/>
    </row>
    <row r="7" customFormat="false" ht="15" hidden="false" customHeight="true" outlineLevel="0" collapsed="false">
      <c r="A7" s="9" t="s">
        <v>12</v>
      </c>
      <c r="B7" s="9"/>
      <c r="C7" s="9"/>
      <c r="D7" s="9"/>
      <c r="E7" s="9"/>
      <c r="F7" s="9"/>
    </row>
    <row r="8" customFormat="false" ht="15" hidden="false" customHeight="true" outlineLevel="0" collapsed="false">
      <c r="A8" s="10" t="s">
        <v>13</v>
      </c>
      <c r="B8" s="11" t="s">
        <v>14</v>
      </c>
      <c r="C8" s="11"/>
      <c r="D8" s="11"/>
      <c r="E8" s="11"/>
      <c r="F8" s="11"/>
    </row>
    <row r="9" customFormat="false" ht="15" hidden="false" customHeight="true" outlineLevel="0" collapsed="false">
      <c r="A9" s="10" t="s">
        <v>15</v>
      </c>
      <c r="B9" s="11" t="s">
        <v>16</v>
      </c>
      <c r="C9" s="11"/>
      <c r="D9" s="11"/>
      <c r="E9" s="11"/>
      <c r="F9" s="11"/>
    </row>
    <row r="10" customFormat="false" ht="15" hidden="false" customHeight="true" outlineLevel="0" collapsed="false">
      <c r="A10" s="10" t="s">
        <v>17</v>
      </c>
      <c r="B10" s="11" t="s">
        <v>18</v>
      </c>
      <c r="C10" s="11"/>
      <c r="D10" s="11"/>
      <c r="E10" s="11"/>
      <c r="F10" s="11"/>
    </row>
    <row r="11" customFormat="false" ht="15" hidden="false" customHeight="true" outlineLevel="0" collapsed="false">
      <c r="A11" s="10" t="s">
        <v>19</v>
      </c>
      <c r="B11" s="11" t="s">
        <v>20</v>
      </c>
      <c r="C11" s="11"/>
      <c r="D11" s="11"/>
      <c r="E11" s="11"/>
      <c r="F11" s="11"/>
    </row>
    <row r="12" customFormat="false" ht="15" hidden="false" customHeight="true" outlineLevel="0" collapsed="false">
      <c r="A12" s="10" t="s">
        <v>21</v>
      </c>
      <c r="B12" s="11" t="s">
        <v>22</v>
      </c>
      <c r="C12" s="11"/>
      <c r="D12" s="11"/>
      <c r="E12" s="11"/>
      <c r="F12" s="11"/>
    </row>
    <row r="14" customFormat="false" ht="15" hidden="false" customHeight="true" outlineLevel="0" collapsed="false">
      <c r="A14" s="9" t="s">
        <v>23</v>
      </c>
      <c r="B14" s="9"/>
      <c r="C14" s="9"/>
      <c r="D14" s="9"/>
      <c r="E14" s="9"/>
      <c r="F14" s="9"/>
    </row>
    <row r="15" customFormat="false" ht="15" hidden="false" customHeight="true" outlineLevel="0" collapsed="false">
      <c r="A15" s="10" t="s">
        <v>24</v>
      </c>
      <c r="B15" s="11" t="s">
        <v>25</v>
      </c>
      <c r="C15" s="11"/>
      <c r="D15" s="11"/>
      <c r="E15" s="11"/>
      <c r="F15" s="11"/>
    </row>
    <row r="17" customFormat="false" ht="18.65" hidden="false" customHeight="true" outlineLevel="0" collapsed="false">
      <c r="A17" s="8" t="s">
        <v>26</v>
      </c>
      <c r="B17" s="8"/>
      <c r="C17" s="8"/>
      <c r="D17" s="8"/>
      <c r="E17" s="8"/>
      <c r="F17" s="8"/>
    </row>
    <row r="19" customFormat="false" ht="15" hidden="false" customHeight="false" outlineLevel="0" collapsed="false">
      <c r="A19" s="12"/>
      <c r="B19" s="13" t="s">
        <v>27</v>
      </c>
      <c r="C19" s="13"/>
      <c r="D19" s="14" t="s">
        <v>28</v>
      </c>
      <c r="E19" s="14"/>
      <c r="F19" s="14"/>
    </row>
    <row r="20" customFormat="false" ht="15" hidden="false" customHeight="false" outlineLevel="0" collapsed="false">
      <c r="A20" s="15"/>
      <c r="B20" s="13" t="s">
        <v>29</v>
      </c>
      <c r="C20" s="13"/>
      <c r="D20" s="14" t="s">
        <v>30</v>
      </c>
      <c r="E20" s="14"/>
      <c r="F20" s="14"/>
    </row>
    <row r="21" customFormat="false" ht="15" hidden="false" customHeight="false" outlineLevel="0" collapsed="false">
      <c r="A21" s="16"/>
      <c r="B21" s="13" t="s">
        <v>31</v>
      </c>
      <c r="C21" s="13"/>
      <c r="D21" s="14" t="s">
        <v>32</v>
      </c>
      <c r="E21" s="14"/>
      <c r="F21" s="14"/>
    </row>
    <row r="22" customFormat="false" ht="15" hidden="false" customHeight="false" outlineLevel="0" collapsed="false">
      <c r="A22" s="17"/>
      <c r="B22" s="13" t="s">
        <v>33</v>
      </c>
      <c r="C22" s="13"/>
      <c r="D22" s="14" t="s">
        <v>34</v>
      </c>
      <c r="E22" s="14"/>
      <c r="F22" s="14"/>
    </row>
    <row r="23" customFormat="false" ht="15" hidden="false" customHeight="false" outlineLevel="0" collapsed="false">
      <c r="A23" s="18"/>
      <c r="B23" s="13" t="s">
        <v>35</v>
      </c>
      <c r="C23" s="13"/>
      <c r="D23" s="14" t="s">
        <v>36</v>
      </c>
      <c r="E23" s="14"/>
      <c r="F23" s="14"/>
    </row>
    <row r="24" customFormat="false" ht="15" hidden="false" customHeight="false" outlineLevel="0" collapsed="false">
      <c r="A24" s="19"/>
      <c r="B24" s="13" t="s">
        <v>37</v>
      </c>
      <c r="C24" s="13"/>
      <c r="D24" s="14" t="s">
        <v>38</v>
      </c>
      <c r="E24" s="14"/>
      <c r="F24" s="14"/>
    </row>
    <row r="25" customFormat="false" ht="15" hidden="false" customHeight="false" outlineLevel="0" collapsed="false">
      <c r="A25" s="20"/>
      <c r="B25" s="13" t="s">
        <v>39</v>
      </c>
      <c r="C25" s="13"/>
      <c r="D25" s="14" t="s">
        <v>40</v>
      </c>
      <c r="E25" s="14"/>
      <c r="F25" s="14"/>
    </row>
    <row r="27" customFormat="false" ht="18.65" hidden="false" customHeight="true" outlineLevel="0" collapsed="false">
      <c r="A27" s="8" t="s">
        <v>41</v>
      </c>
      <c r="B27" s="8"/>
      <c r="C27" s="8"/>
      <c r="D27" s="8"/>
      <c r="E27" s="8"/>
      <c r="F27" s="8"/>
    </row>
    <row r="29" customFormat="false" ht="15" hidden="false" customHeight="true" outlineLevel="0" collapsed="false">
      <c r="A29" s="10" t="s">
        <v>42</v>
      </c>
      <c r="B29" s="11" t="s">
        <v>43</v>
      </c>
      <c r="C29" s="11"/>
      <c r="D29" s="11"/>
      <c r="E29" s="11"/>
      <c r="F29" s="11"/>
    </row>
    <row r="30" customFormat="false" ht="15" hidden="false" customHeight="true" outlineLevel="0" collapsed="false">
      <c r="A30" s="10" t="s">
        <v>42</v>
      </c>
      <c r="B30" s="11" t="s">
        <v>44</v>
      </c>
      <c r="C30" s="11"/>
      <c r="D30" s="11"/>
      <c r="E30" s="11"/>
      <c r="F30" s="11"/>
    </row>
    <row r="31" customFormat="false" ht="15" hidden="false" customHeight="true" outlineLevel="0" collapsed="false">
      <c r="A31" s="10" t="s">
        <v>42</v>
      </c>
      <c r="B31" s="11" t="s">
        <v>45</v>
      </c>
      <c r="C31" s="11"/>
      <c r="D31" s="11"/>
      <c r="E31" s="11"/>
      <c r="F31" s="11"/>
    </row>
  </sheetData>
  <mergeCells count="31">
    <mergeCell ref="A1:F1"/>
    <mergeCell ref="A3:F3"/>
    <mergeCell ref="B4:F4"/>
    <mergeCell ref="B5:F5"/>
    <mergeCell ref="A7:F7"/>
    <mergeCell ref="B8:F8"/>
    <mergeCell ref="B9:F9"/>
    <mergeCell ref="B10:F10"/>
    <mergeCell ref="B11:F11"/>
    <mergeCell ref="B12:F12"/>
    <mergeCell ref="A14:F14"/>
    <mergeCell ref="B15:F15"/>
    <mergeCell ref="A17:F17"/>
    <mergeCell ref="B19:C19"/>
    <mergeCell ref="D19:F19"/>
    <mergeCell ref="B20:C20"/>
    <mergeCell ref="D20:F20"/>
    <mergeCell ref="B21:C21"/>
    <mergeCell ref="D21:F21"/>
    <mergeCell ref="B22:C22"/>
    <mergeCell ref="D22:F22"/>
    <mergeCell ref="B23:C23"/>
    <mergeCell ref="D23:F23"/>
    <mergeCell ref="B24:C24"/>
    <mergeCell ref="D24:F24"/>
    <mergeCell ref="B25:C25"/>
    <mergeCell ref="D25:F25"/>
    <mergeCell ref="A27:F27"/>
    <mergeCell ref="B29:F29"/>
    <mergeCell ref="B30:F30"/>
    <mergeCell ref="B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R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4"/>
    <col collapsed="false" customWidth="true" hidden="false" outlineLevel="0" max="3" min="2" style="0" width="20"/>
    <col collapsed="false" customWidth="true" hidden="false" outlineLevel="0" max="4" min="4" style="0" width="18"/>
    <col collapsed="false" customWidth="true" hidden="false" outlineLevel="0" max="5" min="5" style="0" width="8"/>
    <col collapsed="false" customWidth="true" hidden="false" outlineLevel="0" max="6" min="6" style="0" width="14"/>
    <col collapsed="false" customWidth="true" hidden="false" outlineLevel="0" max="7" min="7" style="0" width="13"/>
    <col collapsed="false" customWidth="true" hidden="false" outlineLevel="0" max="8" min="8" style="0" width="15"/>
    <col collapsed="false" customWidth="true" hidden="false" outlineLevel="0" max="10" min="9" style="0" width="14"/>
    <col collapsed="false" customWidth="true" hidden="false" outlineLevel="0" max="11" min="11" style="0" width="15"/>
    <col collapsed="false" customWidth="true" hidden="false" outlineLevel="0" max="12" min="12" style="0" width="13"/>
    <col collapsed="false" customWidth="true" hidden="false" outlineLevel="0" max="14" min="13" style="0" width="14"/>
    <col collapsed="false" customWidth="true" hidden="true" outlineLevel="1" max="18" min="15" style="0" width="14"/>
  </cols>
  <sheetData>
    <row r="1" customFormat="false" ht="18.65" hidden="false" customHeight="true" outlineLevel="0" collapsed="false">
      <c r="A1" s="21" t="s">
        <v>46</v>
      </c>
      <c r="B1" s="21"/>
      <c r="C1" s="21"/>
      <c r="D1" s="21"/>
      <c r="E1" s="21"/>
      <c r="F1" s="21"/>
      <c r="G1" s="21"/>
      <c r="H1" s="21"/>
      <c r="I1" s="21"/>
      <c r="J1" s="21"/>
      <c r="K1" s="21"/>
      <c r="L1" s="21"/>
      <c r="M1" s="21"/>
      <c r="N1" s="21"/>
      <c r="O1" s="21"/>
      <c r="P1" s="21"/>
      <c r="Q1" s="21"/>
      <c r="R1" s="21"/>
    </row>
    <row r="3" customFormat="false" ht="15" hidden="false" customHeight="false" outlineLevel="0" collapsed="false">
      <c r="A3" s="22" t="s">
        <v>47</v>
      </c>
      <c r="B3" s="23" t="n">
        <f aca="false">COUNTA(A10:A509)-COUNTBLANK(A10:A509)</f>
        <v>-490</v>
      </c>
      <c r="C3" s="22" t="s">
        <v>48</v>
      </c>
      <c r="D3" s="23" t="n">
        <f aca="false">COUNTIF(H10:H509,"Tested")</f>
        <v>2</v>
      </c>
      <c r="E3" s="22" t="s">
        <v>49</v>
      </c>
      <c r="F3" s="23" t="n">
        <f aca="false">COUNTIF(K10:K509,"Tested")</f>
        <v>1</v>
      </c>
      <c r="G3" s="22" t="s">
        <v>50</v>
      </c>
      <c r="H3" s="23" t="n">
        <f aca="false">COUNTIF(N10:N509,"Yes")</f>
        <v>1</v>
      </c>
      <c r="I3" s="22" t="s">
        <v>51</v>
      </c>
      <c r="J3" s="24" t="n">
        <f aca="false">IF(B3&gt;0,D3/B3,0)</f>
        <v>0</v>
      </c>
      <c r="K3" s="22" t="s">
        <v>52</v>
      </c>
      <c r="L3" s="24" t="n">
        <f aca="false">IF(B3&gt;0,F3/B3,0)</f>
        <v>0</v>
      </c>
      <c r="M3" s="22" t="s">
        <v>53</v>
      </c>
      <c r="N3" s="24" t="n">
        <f aca="false">IF(B3&gt;0,H3/B3,0)</f>
        <v>0</v>
      </c>
      <c r="O3" s="3"/>
      <c r="P3" s="3"/>
      <c r="Q3" s="3"/>
      <c r="R3" s="3"/>
    </row>
    <row r="4" customFormat="false" ht="15" hidden="false" customHeight="false" outlineLevel="0" collapsed="false">
      <c r="A4" s="25"/>
      <c r="B4" s="25"/>
      <c r="C4" s="25"/>
      <c r="D4" s="25"/>
      <c r="E4" s="25"/>
      <c r="F4" s="25"/>
      <c r="G4" s="25"/>
      <c r="H4" s="25"/>
      <c r="I4" s="25"/>
      <c r="J4" s="25"/>
      <c r="K4" s="25"/>
      <c r="L4" s="25"/>
      <c r="M4" s="25"/>
      <c r="N4" s="25"/>
      <c r="O4" s="25"/>
      <c r="P4" s="25"/>
      <c r="Q4" s="25"/>
      <c r="R4" s="25"/>
    </row>
    <row r="7" customFormat="false" ht="22.35" hidden="false" customHeight="true" outlineLevel="0" collapsed="false">
      <c r="O7" s="26" t="s">
        <v>54</v>
      </c>
      <c r="P7" s="26"/>
      <c r="Q7" s="26"/>
      <c r="R7" s="26"/>
    </row>
    <row r="8" customFormat="false" ht="15" hidden="false" customHeight="true" outlineLevel="0" collapsed="false">
      <c r="A8" s="27" t="s">
        <v>55</v>
      </c>
      <c r="B8" s="27"/>
      <c r="C8" s="27"/>
      <c r="D8" s="27"/>
      <c r="E8" s="27"/>
      <c r="F8" s="28" t="s">
        <v>56</v>
      </c>
      <c r="G8" s="28"/>
      <c r="H8" s="28"/>
      <c r="I8" s="28"/>
      <c r="J8" s="28" t="s">
        <v>57</v>
      </c>
      <c r="K8" s="28"/>
      <c r="L8" s="28"/>
      <c r="M8" s="28"/>
      <c r="N8" s="29"/>
    </row>
    <row r="9" customFormat="false" ht="28.35" hidden="false" customHeight="false" outlineLevel="0" collapsed="false">
      <c r="A9" s="30" t="s">
        <v>58</v>
      </c>
      <c r="B9" s="30" t="s">
        <v>59</v>
      </c>
      <c r="C9" s="30" t="s">
        <v>60</v>
      </c>
      <c r="D9" s="30" t="s">
        <v>61</v>
      </c>
      <c r="E9" s="30" t="s">
        <v>62</v>
      </c>
      <c r="F9" s="30" t="s">
        <v>63</v>
      </c>
      <c r="G9" s="30" t="s">
        <v>64</v>
      </c>
      <c r="H9" s="30" t="s">
        <v>65</v>
      </c>
      <c r="I9" s="30" t="s">
        <v>66</v>
      </c>
      <c r="J9" s="30" t="s">
        <v>67</v>
      </c>
      <c r="K9" s="30" t="s">
        <v>68</v>
      </c>
      <c r="L9" s="30" t="s">
        <v>69</v>
      </c>
      <c r="M9" s="30" t="s">
        <v>70</v>
      </c>
      <c r="N9" s="30" t="s">
        <v>71</v>
      </c>
      <c r="O9" s="30" t="s">
        <v>72</v>
      </c>
      <c r="P9" s="30" t="s">
        <v>73</v>
      </c>
      <c r="Q9" s="30" t="s">
        <v>74</v>
      </c>
      <c r="R9" s="30" t="s">
        <v>75</v>
      </c>
    </row>
    <row r="10" customFormat="false" ht="15" hidden="false" customHeight="false" outlineLevel="0" collapsed="false">
      <c r="A10" s="31" t="s">
        <v>76</v>
      </c>
      <c r="B10" s="32" t="s">
        <v>77</v>
      </c>
      <c r="C10" s="32" t="s">
        <v>78</v>
      </c>
      <c r="D10" s="31" t="s">
        <v>79</v>
      </c>
      <c r="E10" s="31" t="n">
        <v>4</v>
      </c>
      <c r="F10" s="31" t="s">
        <v>80</v>
      </c>
      <c r="G10" s="33" t="n">
        <v>46091</v>
      </c>
      <c r="H10" s="31" t="s">
        <v>81</v>
      </c>
      <c r="I10" s="31" t="s">
        <v>82</v>
      </c>
      <c r="J10" s="31" t="s">
        <v>80</v>
      </c>
      <c r="K10" s="31" t="s">
        <v>81</v>
      </c>
      <c r="L10" s="33" t="n">
        <v>46093</v>
      </c>
      <c r="M10" s="31" t="s">
        <v>82</v>
      </c>
      <c r="N10" s="34" t="str">
        <f aca="false">IF(AND(H10="Tested",K10="Tested"),"Yes",IF(A10="","","No"))</f>
        <v>Yes</v>
      </c>
      <c r="O10" s="31" t="s">
        <v>83</v>
      </c>
      <c r="P10" s="31" t="s">
        <v>84</v>
      </c>
      <c r="Q10" s="31" t="s">
        <v>85</v>
      </c>
      <c r="R10" s="31" t="s">
        <v>86</v>
      </c>
    </row>
    <row r="11" customFormat="false" ht="23.85" hidden="false" customHeight="false" outlineLevel="0" collapsed="false">
      <c r="A11" s="31" t="s">
        <v>87</v>
      </c>
      <c r="B11" s="32" t="s">
        <v>88</v>
      </c>
      <c r="C11" s="32" t="s">
        <v>89</v>
      </c>
      <c r="D11" s="31" t="s">
        <v>90</v>
      </c>
      <c r="E11" s="31" t="n">
        <v>3</v>
      </c>
      <c r="F11" s="31" t="s">
        <v>91</v>
      </c>
      <c r="G11" s="33" t="n">
        <v>46095</v>
      </c>
      <c r="H11" s="31" t="s">
        <v>81</v>
      </c>
      <c r="I11" s="31" t="s">
        <v>82</v>
      </c>
      <c r="J11" s="31" t="s">
        <v>91</v>
      </c>
      <c r="K11" s="31" t="s">
        <v>92</v>
      </c>
      <c r="L11" s="33" t="n">
        <v>46098</v>
      </c>
      <c r="M11" s="31" t="s">
        <v>93</v>
      </c>
      <c r="N11" s="34" t="str">
        <f aca="false">IF(AND(H11="Tested",K11="Tested"),"Yes",IF(A11="","","No"))</f>
        <v>No</v>
      </c>
      <c r="O11" s="31" t="s">
        <v>94</v>
      </c>
      <c r="P11" s="31" t="s">
        <v>95</v>
      </c>
      <c r="Q11" s="31"/>
      <c r="R11" s="31"/>
    </row>
    <row r="12" customFormat="false" ht="15" hidden="false" customHeight="false" outlineLevel="0" collapsed="false">
      <c r="A12" s="31" t="s">
        <v>96</v>
      </c>
      <c r="B12" s="32" t="s">
        <v>97</v>
      </c>
      <c r="C12" s="32" t="s">
        <v>98</v>
      </c>
      <c r="D12" s="31" t="s">
        <v>99</v>
      </c>
      <c r="E12" s="31" t="n">
        <v>4</v>
      </c>
      <c r="F12" s="31" t="s">
        <v>80</v>
      </c>
      <c r="G12" s="33" t="n">
        <v>46098</v>
      </c>
      <c r="H12" s="31" t="s">
        <v>100</v>
      </c>
      <c r="I12" s="31" t="s">
        <v>93</v>
      </c>
      <c r="J12" s="31" t="s">
        <v>101</v>
      </c>
      <c r="K12" s="31" t="s">
        <v>40</v>
      </c>
      <c r="L12" s="33"/>
      <c r="M12" s="31"/>
      <c r="N12" s="34" t="str">
        <f aca="false">IF(AND(H12="Tested",K12="Tested"),"Yes",IF(A12="","","No"))</f>
        <v>No</v>
      </c>
      <c r="O12" s="31"/>
      <c r="P12" s="31" t="s">
        <v>102</v>
      </c>
      <c r="Q12" s="31"/>
      <c r="R12" s="31"/>
    </row>
    <row r="13" customFormat="false" ht="15" hidden="false" customHeight="false" outlineLevel="0" collapsed="false">
      <c r="A13" s="31" t="s">
        <v>103</v>
      </c>
      <c r="B13" s="32" t="s">
        <v>104</v>
      </c>
      <c r="C13" s="32" t="s">
        <v>105</v>
      </c>
      <c r="D13" s="31" t="s">
        <v>106</v>
      </c>
      <c r="E13" s="31" t="n">
        <v>4</v>
      </c>
      <c r="F13" s="31" t="s">
        <v>107</v>
      </c>
      <c r="G13" s="33" t="n">
        <v>46100</v>
      </c>
      <c r="H13" s="31" t="s">
        <v>92</v>
      </c>
      <c r="I13" s="31" t="s">
        <v>82</v>
      </c>
      <c r="J13" s="31" t="s">
        <v>107</v>
      </c>
      <c r="K13" s="31" t="s">
        <v>100</v>
      </c>
      <c r="L13" s="33" t="n">
        <v>46101</v>
      </c>
      <c r="M13" s="31" t="s">
        <v>93</v>
      </c>
      <c r="N13" s="34" t="str">
        <f aca="false">IF(AND(H13="Tested",K13="Tested"),"Yes",IF(A13="","","No"))</f>
        <v>No</v>
      </c>
      <c r="O13" s="31" t="s">
        <v>108</v>
      </c>
      <c r="P13" s="31" t="s">
        <v>102</v>
      </c>
      <c r="Q13" s="31"/>
      <c r="R13" s="31"/>
    </row>
    <row r="14" customFormat="false" ht="15" hidden="false" customHeight="false" outlineLevel="0" collapsed="false">
      <c r="A14" s="31" t="s">
        <v>109</v>
      </c>
      <c r="B14" s="32" t="s">
        <v>110</v>
      </c>
      <c r="C14" s="32" t="s">
        <v>111</v>
      </c>
      <c r="D14" s="31" t="s">
        <v>112</v>
      </c>
      <c r="E14" s="31" t="n">
        <v>1</v>
      </c>
      <c r="F14" s="31" t="s">
        <v>101</v>
      </c>
      <c r="G14" s="33"/>
      <c r="H14" s="31" t="s">
        <v>40</v>
      </c>
      <c r="I14" s="31"/>
      <c r="J14" s="31" t="s">
        <v>101</v>
      </c>
      <c r="K14" s="31" t="s">
        <v>40</v>
      </c>
      <c r="L14" s="33"/>
      <c r="M14" s="31"/>
      <c r="N14" s="34" t="str">
        <f aca="false">IF(AND(H14="Tested",K14="Tested"),"Yes",IF(A14="","","No"))</f>
        <v>No</v>
      </c>
      <c r="O14" s="31" t="s">
        <v>113</v>
      </c>
      <c r="P14" s="31" t="s">
        <v>102</v>
      </c>
      <c r="Q14" s="31"/>
      <c r="R14" s="31"/>
    </row>
    <row r="15" customFormat="false" ht="15" hidden="false" customHeight="false" outlineLevel="0" collapsed="false">
      <c r="A15" s="31"/>
      <c r="B15" s="32"/>
      <c r="C15" s="32"/>
      <c r="D15" s="31"/>
      <c r="E15" s="31"/>
      <c r="F15" s="31"/>
      <c r="G15" s="33"/>
      <c r="H15" s="31"/>
      <c r="I15" s="31"/>
      <c r="J15" s="31"/>
      <c r="K15" s="31"/>
      <c r="L15" s="33"/>
      <c r="M15" s="31"/>
      <c r="N15" s="34" t="str">
        <f aca="false">IF(AND(H15="Tested",K15="Tested"),"Yes",IF(A15="","","No"))</f>
        <v/>
      </c>
      <c r="O15" s="31"/>
      <c r="P15" s="31"/>
      <c r="Q15" s="31"/>
      <c r="R15" s="31"/>
    </row>
    <row r="16" customFormat="false" ht="15" hidden="false" customHeight="false" outlineLevel="0" collapsed="false">
      <c r="A16" s="31"/>
      <c r="B16" s="32"/>
      <c r="C16" s="32"/>
      <c r="D16" s="31"/>
      <c r="E16" s="31"/>
      <c r="F16" s="31"/>
      <c r="G16" s="33"/>
      <c r="H16" s="31"/>
      <c r="I16" s="31"/>
      <c r="J16" s="31"/>
      <c r="K16" s="31"/>
      <c r="L16" s="33"/>
      <c r="M16" s="31"/>
      <c r="N16" s="34" t="str">
        <f aca="false">IF(AND(H16="Tested",K16="Tested"),"Yes",IF(A16="","","No"))</f>
        <v/>
      </c>
      <c r="O16" s="31"/>
      <c r="P16" s="31"/>
      <c r="Q16" s="31"/>
      <c r="R16" s="31"/>
    </row>
    <row r="17" customFormat="false" ht="15" hidden="false" customHeight="false" outlineLevel="0" collapsed="false">
      <c r="A17" s="31"/>
      <c r="B17" s="32"/>
      <c r="C17" s="32"/>
      <c r="D17" s="31"/>
      <c r="E17" s="31"/>
      <c r="F17" s="31"/>
      <c r="G17" s="33"/>
      <c r="H17" s="31"/>
      <c r="I17" s="31"/>
      <c r="J17" s="31"/>
      <c r="K17" s="31"/>
      <c r="L17" s="33"/>
      <c r="M17" s="31"/>
      <c r="N17" s="34" t="str">
        <f aca="false">IF(AND(H17="Tested",K17="Tested"),"Yes",IF(A17="","","No"))</f>
        <v/>
      </c>
      <c r="O17" s="31"/>
      <c r="P17" s="31"/>
      <c r="Q17" s="31"/>
      <c r="R17" s="31"/>
    </row>
    <row r="18" customFormat="false" ht="15" hidden="false" customHeight="false" outlineLevel="0" collapsed="false">
      <c r="A18" s="31"/>
      <c r="B18" s="32"/>
      <c r="C18" s="32"/>
      <c r="D18" s="31"/>
      <c r="E18" s="31"/>
      <c r="F18" s="31"/>
      <c r="G18" s="33"/>
      <c r="H18" s="31"/>
      <c r="I18" s="31"/>
      <c r="J18" s="31"/>
      <c r="K18" s="31"/>
      <c r="L18" s="33"/>
      <c r="M18" s="31"/>
      <c r="N18" s="34" t="str">
        <f aca="false">IF(AND(H18="Tested",K18="Tested"),"Yes",IF(A18="","","No"))</f>
        <v/>
      </c>
      <c r="O18" s="31"/>
      <c r="P18" s="31"/>
      <c r="Q18" s="31"/>
      <c r="R18" s="31"/>
    </row>
    <row r="19" customFormat="false" ht="15" hidden="false" customHeight="false" outlineLevel="0" collapsed="false">
      <c r="A19" s="31"/>
      <c r="B19" s="32"/>
      <c r="C19" s="32"/>
      <c r="D19" s="31"/>
      <c r="E19" s="31"/>
      <c r="F19" s="31"/>
      <c r="G19" s="33"/>
      <c r="H19" s="31"/>
      <c r="I19" s="31"/>
      <c r="J19" s="31"/>
      <c r="K19" s="31"/>
      <c r="L19" s="33"/>
      <c r="M19" s="31"/>
      <c r="N19" s="34" t="str">
        <f aca="false">IF(AND(H19="Tested",K19="Tested"),"Yes",IF(A19="","","No"))</f>
        <v/>
      </c>
      <c r="O19" s="31"/>
      <c r="P19" s="31"/>
      <c r="Q19" s="31"/>
      <c r="R19" s="31"/>
    </row>
    <row r="20" customFormat="false" ht="15" hidden="false" customHeight="false" outlineLevel="0" collapsed="false">
      <c r="A20" s="31"/>
      <c r="B20" s="32"/>
      <c r="C20" s="32"/>
      <c r="D20" s="31"/>
      <c r="E20" s="31"/>
      <c r="F20" s="31"/>
      <c r="G20" s="33"/>
      <c r="H20" s="31"/>
      <c r="I20" s="31"/>
      <c r="J20" s="31"/>
      <c r="K20" s="31"/>
      <c r="L20" s="33"/>
      <c r="M20" s="31"/>
      <c r="N20" s="34" t="str">
        <f aca="false">IF(AND(H20="Tested",K20="Tested"),"Yes",IF(A20="","","No"))</f>
        <v/>
      </c>
      <c r="O20" s="31"/>
      <c r="P20" s="31"/>
      <c r="Q20" s="31"/>
      <c r="R20" s="31"/>
    </row>
    <row r="21" customFormat="false" ht="15" hidden="false" customHeight="false" outlineLevel="0" collapsed="false">
      <c r="A21" s="31"/>
      <c r="B21" s="32"/>
      <c r="C21" s="32"/>
      <c r="D21" s="31"/>
      <c r="E21" s="31"/>
      <c r="F21" s="31"/>
      <c r="G21" s="33"/>
      <c r="H21" s="31"/>
      <c r="I21" s="31"/>
      <c r="J21" s="31"/>
      <c r="K21" s="31"/>
      <c r="L21" s="33"/>
      <c r="M21" s="31"/>
      <c r="N21" s="34" t="str">
        <f aca="false">IF(AND(H21="Tested",K21="Tested"),"Yes",IF(A21="","","No"))</f>
        <v/>
      </c>
      <c r="O21" s="31"/>
      <c r="P21" s="31"/>
      <c r="Q21" s="31"/>
      <c r="R21" s="31"/>
    </row>
    <row r="22" customFormat="false" ht="15" hidden="false" customHeight="false" outlineLevel="0" collapsed="false">
      <c r="A22" s="31"/>
      <c r="B22" s="32"/>
      <c r="C22" s="32"/>
      <c r="D22" s="31"/>
      <c r="E22" s="31"/>
      <c r="F22" s="31"/>
      <c r="G22" s="33"/>
      <c r="H22" s="31"/>
      <c r="I22" s="31"/>
      <c r="J22" s="31"/>
      <c r="K22" s="31"/>
      <c r="L22" s="33"/>
      <c r="M22" s="31"/>
      <c r="N22" s="34" t="str">
        <f aca="false">IF(AND(H22="Tested",K22="Tested"),"Yes",IF(A22="","","No"))</f>
        <v/>
      </c>
      <c r="O22" s="31"/>
      <c r="P22" s="31"/>
      <c r="Q22" s="31"/>
      <c r="R22" s="31"/>
    </row>
    <row r="23" customFormat="false" ht="15" hidden="false" customHeight="false" outlineLevel="0" collapsed="false">
      <c r="A23" s="31"/>
      <c r="B23" s="32"/>
      <c r="C23" s="32"/>
      <c r="D23" s="31"/>
      <c r="E23" s="31"/>
      <c r="F23" s="31"/>
      <c r="G23" s="33"/>
      <c r="H23" s="31"/>
      <c r="I23" s="31"/>
      <c r="J23" s="31"/>
      <c r="K23" s="31"/>
      <c r="L23" s="33"/>
      <c r="M23" s="31"/>
      <c r="N23" s="34" t="str">
        <f aca="false">IF(AND(H23="Tested",K23="Tested"),"Yes",IF(A23="","","No"))</f>
        <v/>
      </c>
      <c r="O23" s="31"/>
      <c r="P23" s="31"/>
      <c r="Q23" s="31"/>
      <c r="R23" s="31"/>
    </row>
    <row r="24" customFormat="false" ht="15" hidden="false" customHeight="false" outlineLevel="0" collapsed="false">
      <c r="A24" s="31"/>
      <c r="B24" s="32"/>
      <c r="C24" s="32"/>
      <c r="D24" s="31"/>
      <c r="E24" s="31"/>
      <c r="F24" s="31"/>
      <c r="G24" s="33"/>
      <c r="H24" s="31"/>
      <c r="I24" s="31"/>
      <c r="J24" s="31"/>
      <c r="K24" s="31"/>
      <c r="L24" s="33"/>
      <c r="M24" s="31"/>
      <c r="N24" s="34" t="str">
        <f aca="false">IF(AND(H24="Tested",K24="Tested"),"Yes",IF(A24="","","No"))</f>
        <v/>
      </c>
      <c r="O24" s="31"/>
      <c r="P24" s="31"/>
      <c r="Q24" s="31"/>
      <c r="R24" s="31"/>
    </row>
    <row r="25" customFormat="false" ht="15" hidden="false" customHeight="false" outlineLevel="0" collapsed="false">
      <c r="A25" s="31"/>
      <c r="B25" s="32"/>
      <c r="C25" s="32"/>
      <c r="D25" s="31"/>
      <c r="E25" s="31"/>
      <c r="F25" s="31"/>
      <c r="G25" s="33"/>
      <c r="H25" s="31"/>
      <c r="I25" s="31"/>
      <c r="J25" s="31"/>
      <c r="K25" s="31"/>
      <c r="L25" s="33"/>
      <c r="M25" s="31"/>
      <c r="N25" s="34" t="str">
        <f aca="false">IF(AND(H25="Tested",K25="Tested"),"Yes",IF(A25="","","No"))</f>
        <v/>
      </c>
      <c r="O25" s="31"/>
      <c r="P25" s="31"/>
      <c r="Q25" s="31"/>
      <c r="R25" s="31"/>
    </row>
    <row r="26" customFormat="false" ht="15" hidden="false" customHeight="false" outlineLevel="0" collapsed="false">
      <c r="A26" s="31"/>
      <c r="B26" s="32"/>
      <c r="C26" s="32"/>
      <c r="D26" s="31"/>
      <c r="E26" s="31"/>
      <c r="F26" s="31"/>
      <c r="G26" s="33"/>
      <c r="H26" s="31"/>
      <c r="I26" s="31"/>
      <c r="J26" s="31"/>
      <c r="K26" s="31"/>
      <c r="L26" s="33"/>
      <c r="M26" s="31"/>
      <c r="N26" s="34" t="str">
        <f aca="false">IF(AND(H26="Tested",K26="Tested"),"Yes",IF(A26="","","No"))</f>
        <v/>
      </c>
      <c r="O26" s="31"/>
      <c r="P26" s="31"/>
      <c r="Q26" s="31"/>
      <c r="R26" s="31"/>
    </row>
    <row r="27" customFormat="false" ht="15" hidden="false" customHeight="false" outlineLevel="0" collapsed="false">
      <c r="A27" s="31"/>
      <c r="B27" s="32"/>
      <c r="C27" s="32"/>
      <c r="D27" s="31"/>
      <c r="E27" s="31"/>
      <c r="F27" s="31"/>
      <c r="G27" s="33"/>
      <c r="H27" s="31"/>
      <c r="I27" s="31"/>
      <c r="J27" s="31"/>
      <c r="K27" s="31"/>
      <c r="L27" s="33"/>
      <c r="M27" s="31"/>
      <c r="N27" s="34" t="str">
        <f aca="false">IF(AND(H27="Tested",K27="Tested"),"Yes",IF(A27="","","No"))</f>
        <v/>
      </c>
      <c r="O27" s="31"/>
      <c r="P27" s="31"/>
      <c r="Q27" s="31"/>
      <c r="R27" s="31"/>
    </row>
    <row r="28" customFormat="false" ht="15" hidden="false" customHeight="false" outlineLevel="0" collapsed="false">
      <c r="A28" s="31"/>
      <c r="B28" s="32"/>
      <c r="C28" s="32"/>
      <c r="D28" s="31"/>
      <c r="E28" s="31"/>
      <c r="F28" s="31"/>
      <c r="G28" s="33"/>
      <c r="H28" s="31"/>
      <c r="I28" s="31"/>
      <c r="J28" s="31"/>
      <c r="K28" s="31"/>
      <c r="L28" s="33"/>
      <c r="M28" s="31"/>
      <c r="N28" s="34" t="str">
        <f aca="false">IF(AND(H28="Tested",K28="Tested"),"Yes",IF(A28="","","No"))</f>
        <v/>
      </c>
      <c r="O28" s="31"/>
      <c r="P28" s="31"/>
      <c r="Q28" s="31"/>
      <c r="R28" s="31"/>
    </row>
    <row r="29" customFormat="false" ht="15" hidden="false" customHeight="false" outlineLevel="0" collapsed="false">
      <c r="A29" s="31"/>
      <c r="B29" s="32"/>
      <c r="C29" s="32"/>
      <c r="D29" s="31"/>
      <c r="E29" s="31"/>
      <c r="F29" s="31"/>
      <c r="G29" s="33"/>
      <c r="H29" s="31"/>
      <c r="I29" s="31"/>
      <c r="J29" s="31"/>
      <c r="K29" s="31"/>
      <c r="L29" s="33"/>
      <c r="M29" s="31"/>
      <c r="N29" s="34" t="str">
        <f aca="false">IF(AND(H29="Tested",K29="Tested"),"Yes",IF(A29="","","No"))</f>
        <v/>
      </c>
      <c r="O29" s="31"/>
      <c r="P29" s="31"/>
      <c r="Q29" s="31"/>
      <c r="R29" s="31"/>
    </row>
    <row r="30" customFormat="false" ht="15" hidden="false" customHeight="false" outlineLevel="0" collapsed="false">
      <c r="A30" s="31"/>
      <c r="B30" s="32"/>
      <c r="C30" s="32"/>
      <c r="D30" s="31"/>
      <c r="E30" s="31"/>
      <c r="F30" s="31"/>
      <c r="G30" s="33"/>
      <c r="H30" s="31"/>
      <c r="I30" s="31"/>
      <c r="J30" s="31"/>
      <c r="K30" s="31"/>
      <c r="L30" s="33"/>
      <c r="M30" s="31"/>
      <c r="N30" s="34" t="str">
        <f aca="false">IF(AND(H30="Tested",K30="Tested"),"Yes",IF(A30="","","No"))</f>
        <v/>
      </c>
      <c r="O30" s="31"/>
      <c r="P30" s="31"/>
      <c r="Q30" s="31"/>
      <c r="R30" s="31"/>
    </row>
    <row r="31" customFormat="false" ht="15" hidden="false" customHeight="false" outlineLevel="0" collapsed="false">
      <c r="A31" s="31"/>
      <c r="B31" s="32"/>
      <c r="C31" s="32"/>
      <c r="D31" s="31"/>
      <c r="E31" s="31"/>
      <c r="F31" s="31"/>
      <c r="G31" s="33"/>
      <c r="H31" s="31"/>
      <c r="I31" s="31"/>
      <c r="J31" s="31"/>
      <c r="K31" s="31"/>
      <c r="L31" s="33"/>
      <c r="M31" s="31"/>
      <c r="N31" s="34" t="str">
        <f aca="false">IF(AND(H31="Tested",K31="Tested"),"Yes",IF(A31="","","No"))</f>
        <v/>
      </c>
      <c r="O31" s="31"/>
      <c r="P31" s="31"/>
      <c r="Q31" s="31"/>
      <c r="R31" s="31"/>
    </row>
    <row r="32" customFormat="false" ht="15" hidden="false" customHeight="false" outlineLevel="0" collapsed="false">
      <c r="A32" s="31"/>
      <c r="B32" s="32"/>
      <c r="C32" s="32"/>
      <c r="D32" s="31"/>
      <c r="E32" s="31"/>
      <c r="F32" s="31"/>
      <c r="G32" s="33"/>
      <c r="H32" s="31"/>
      <c r="I32" s="31"/>
      <c r="J32" s="31"/>
      <c r="K32" s="31"/>
      <c r="L32" s="33"/>
      <c r="M32" s="31"/>
      <c r="N32" s="34" t="str">
        <f aca="false">IF(AND(H32="Tested",K32="Tested"),"Yes",IF(A32="","","No"))</f>
        <v/>
      </c>
      <c r="O32" s="31"/>
      <c r="P32" s="31"/>
      <c r="Q32" s="31"/>
      <c r="R32" s="31"/>
    </row>
    <row r="33" customFormat="false" ht="15" hidden="false" customHeight="false" outlineLevel="0" collapsed="false">
      <c r="A33" s="31"/>
      <c r="B33" s="32"/>
      <c r="C33" s="32"/>
      <c r="D33" s="31"/>
      <c r="E33" s="31"/>
      <c r="F33" s="31"/>
      <c r="G33" s="33"/>
      <c r="H33" s="31"/>
      <c r="I33" s="31"/>
      <c r="J33" s="31"/>
      <c r="K33" s="31"/>
      <c r="L33" s="33"/>
      <c r="M33" s="31"/>
      <c r="N33" s="34" t="str">
        <f aca="false">IF(AND(H33="Tested",K33="Tested"),"Yes",IF(A33="","","No"))</f>
        <v/>
      </c>
      <c r="O33" s="31"/>
      <c r="P33" s="31"/>
      <c r="Q33" s="31"/>
      <c r="R33" s="31"/>
    </row>
    <row r="34" customFormat="false" ht="15" hidden="false" customHeight="false" outlineLevel="0" collapsed="false">
      <c r="A34" s="31"/>
      <c r="B34" s="32"/>
      <c r="C34" s="32"/>
      <c r="D34" s="31"/>
      <c r="E34" s="31"/>
      <c r="F34" s="31"/>
      <c r="G34" s="33"/>
      <c r="H34" s="31"/>
      <c r="I34" s="31"/>
      <c r="J34" s="31"/>
      <c r="K34" s="31"/>
      <c r="L34" s="33"/>
      <c r="M34" s="31"/>
      <c r="N34" s="34" t="str">
        <f aca="false">IF(AND(H34="Tested",K34="Tested"),"Yes",IF(A34="","","No"))</f>
        <v/>
      </c>
      <c r="O34" s="31"/>
      <c r="P34" s="31"/>
      <c r="Q34" s="31"/>
      <c r="R34" s="31"/>
    </row>
    <row r="35" customFormat="false" ht="15" hidden="false" customHeight="false" outlineLevel="0" collapsed="false">
      <c r="A35" s="31"/>
      <c r="B35" s="32"/>
      <c r="C35" s="32"/>
      <c r="D35" s="31"/>
      <c r="E35" s="31"/>
      <c r="F35" s="31"/>
      <c r="G35" s="33"/>
      <c r="H35" s="31"/>
      <c r="I35" s="31"/>
      <c r="J35" s="31"/>
      <c r="K35" s="31"/>
      <c r="L35" s="33"/>
      <c r="M35" s="31"/>
      <c r="N35" s="34" t="str">
        <f aca="false">IF(AND(H35="Tested",K35="Tested"),"Yes",IF(A35="","","No"))</f>
        <v/>
      </c>
      <c r="O35" s="31"/>
      <c r="P35" s="31"/>
      <c r="Q35" s="31"/>
      <c r="R35" s="31"/>
    </row>
    <row r="36" customFormat="false" ht="15" hidden="false" customHeight="false" outlineLevel="0" collapsed="false">
      <c r="A36" s="31"/>
      <c r="B36" s="32"/>
      <c r="C36" s="32"/>
      <c r="D36" s="31"/>
      <c r="E36" s="31"/>
      <c r="F36" s="31"/>
      <c r="G36" s="33"/>
      <c r="H36" s="31"/>
      <c r="I36" s="31"/>
      <c r="J36" s="31"/>
      <c r="K36" s="31"/>
      <c r="L36" s="33"/>
      <c r="M36" s="31"/>
      <c r="N36" s="34" t="str">
        <f aca="false">IF(AND(H36="Tested",K36="Tested"),"Yes",IF(A36="","","No"))</f>
        <v/>
      </c>
      <c r="O36" s="31"/>
      <c r="P36" s="31"/>
      <c r="Q36" s="31"/>
      <c r="R36" s="31"/>
    </row>
    <row r="37" customFormat="false" ht="15" hidden="false" customHeight="false" outlineLevel="0" collapsed="false">
      <c r="A37" s="31"/>
      <c r="B37" s="32"/>
      <c r="C37" s="32"/>
      <c r="D37" s="31"/>
      <c r="E37" s="31"/>
      <c r="F37" s="31"/>
      <c r="G37" s="33"/>
      <c r="H37" s="31"/>
      <c r="I37" s="31"/>
      <c r="J37" s="31"/>
      <c r="K37" s="31"/>
      <c r="L37" s="33"/>
      <c r="M37" s="31"/>
      <c r="N37" s="34" t="str">
        <f aca="false">IF(AND(H37="Tested",K37="Tested"),"Yes",IF(A37="","","No"))</f>
        <v/>
      </c>
      <c r="O37" s="31"/>
      <c r="P37" s="31"/>
      <c r="Q37" s="31"/>
      <c r="R37" s="31"/>
    </row>
    <row r="38" customFormat="false" ht="15" hidden="false" customHeight="false" outlineLevel="0" collapsed="false">
      <c r="A38" s="31"/>
      <c r="B38" s="32"/>
      <c r="C38" s="32"/>
      <c r="D38" s="31"/>
      <c r="E38" s="31"/>
      <c r="F38" s="31"/>
      <c r="G38" s="33"/>
      <c r="H38" s="31"/>
      <c r="I38" s="31"/>
      <c r="J38" s="31"/>
      <c r="K38" s="31"/>
      <c r="L38" s="33"/>
      <c r="M38" s="31"/>
      <c r="N38" s="34" t="str">
        <f aca="false">IF(AND(H38="Tested",K38="Tested"),"Yes",IF(A38="","","No"))</f>
        <v/>
      </c>
      <c r="O38" s="31"/>
      <c r="P38" s="31"/>
      <c r="Q38" s="31"/>
      <c r="R38" s="31"/>
    </row>
    <row r="39" customFormat="false" ht="15" hidden="false" customHeight="false" outlineLevel="0" collapsed="false">
      <c r="A39" s="31"/>
      <c r="B39" s="32"/>
      <c r="C39" s="32"/>
      <c r="D39" s="31"/>
      <c r="E39" s="31"/>
      <c r="F39" s="31"/>
      <c r="G39" s="33"/>
      <c r="H39" s="31"/>
      <c r="I39" s="31"/>
      <c r="J39" s="31"/>
      <c r="K39" s="31"/>
      <c r="L39" s="33"/>
      <c r="M39" s="31"/>
      <c r="N39" s="34" t="str">
        <f aca="false">IF(AND(H39="Tested",K39="Tested"),"Yes",IF(A39="","","No"))</f>
        <v/>
      </c>
      <c r="O39" s="31"/>
      <c r="P39" s="31"/>
      <c r="Q39" s="31"/>
      <c r="R39" s="31"/>
    </row>
    <row r="40" customFormat="false" ht="15" hidden="false" customHeight="false" outlineLevel="0" collapsed="false">
      <c r="A40" s="31"/>
      <c r="B40" s="32"/>
      <c r="C40" s="32"/>
      <c r="D40" s="31"/>
      <c r="E40" s="31"/>
      <c r="F40" s="31"/>
      <c r="G40" s="33"/>
      <c r="H40" s="31"/>
      <c r="I40" s="31"/>
      <c r="J40" s="31"/>
      <c r="K40" s="31"/>
      <c r="L40" s="33"/>
      <c r="M40" s="31"/>
      <c r="N40" s="34" t="str">
        <f aca="false">IF(AND(H40="Tested",K40="Tested"),"Yes",IF(A40="","","No"))</f>
        <v/>
      </c>
      <c r="O40" s="31"/>
      <c r="P40" s="31"/>
      <c r="Q40" s="31"/>
      <c r="R40" s="31"/>
    </row>
    <row r="41" customFormat="false" ht="15" hidden="false" customHeight="false" outlineLevel="0" collapsed="false">
      <c r="A41" s="31"/>
      <c r="B41" s="32"/>
      <c r="C41" s="32"/>
      <c r="D41" s="31"/>
      <c r="E41" s="31"/>
      <c r="F41" s="31"/>
      <c r="G41" s="33"/>
      <c r="H41" s="31"/>
      <c r="I41" s="31"/>
      <c r="J41" s="31"/>
      <c r="K41" s="31"/>
      <c r="L41" s="33"/>
      <c r="M41" s="31"/>
      <c r="N41" s="34" t="str">
        <f aca="false">IF(AND(H41="Tested",K41="Tested"),"Yes",IF(A41="","","No"))</f>
        <v/>
      </c>
      <c r="O41" s="31"/>
      <c r="P41" s="31"/>
      <c r="Q41" s="31"/>
      <c r="R41" s="31"/>
    </row>
    <row r="42" customFormat="false" ht="15" hidden="false" customHeight="false" outlineLevel="0" collapsed="false">
      <c r="A42" s="31"/>
      <c r="B42" s="32"/>
      <c r="C42" s="32"/>
      <c r="D42" s="31"/>
      <c r="E42" s="31"/>
      <c r="F42" s="31"/>
      <c r="G42" s="33"/>
      <c r="H42" s="31"/>
      <c r="I42" s="31"/>
      <c r="J42" s="31"/>
      <c r="K42" s="31"/>
      <c r="L42" s="33"/>
      <c r="M42" s="31"/>
      <c r="N42" s="34" t="str">
        <f aca="false">IF(AND(H42="Tested",K42="Tested"),"Yes",IF(A42="","","No"))</f>
        <v/>
      </c>
      <c r="O42" s="31"/>
      <c r="P42" s="31"/>
      <c r="Q42" s="31"/>
      <c r="R42" s="31"/>
    </row>
    <row r="43" customFormat="false" ht="15" hidden="false" customHeight="false" outlineLevel="0" collapsed="false">
      <c r="A43" s="31"/>
      <c r="B43" s="32"/>
      <c r="C43" s="32"/>
      <c r="D43" s="31"/>
      <c r="E43" s="31"/>
      <c r="F43" s="31"/>
      <c r="G43" s="33"/>
      <c r="H43" s="31"/>
      <c r="I43" s="31"/>
      <c r="J43" s="31"/>
      <c r="K43" s="31"/>
      <c r="L43" s="33"/>
      <c r="M43" s="31"/>
      <c r="N43" s="34" t="str">
        <f aca="false">IF(AND(H43="Tested",K43="Tested"),"Yes",IF(A43="","","No"))</f>
        <v/>
      </c>
      <c r="O43" s="31"/>
      <c r="P43" s="31"/>
      <c r="Q43" s="31"/>
      <c r="R43" s="31"/>
    </row>
    <row r="44" customFormat="false" ht="15" hidden="false" customHeight="false" outlineLevel="0" collapsed="false">
      <c r="A44" s="31"/>
      <c r="B44" s="32"/>
      <c r="C44" s="32"/>
      <c r="D44" s="31"/>
      <c r="E44" s="31"/>
      <c r="F44" s="31"/>
      <c r="G44" s="33"/>
      <c r="H44" s="31"/>
      <c r="I44" s="31"/>
      <c r="J44" s="31"/>
      <c r="K44" s="31"/>
      <c r="L44" s="33"/>
      <c r="M44" s="31"/>
      <c r="N44" s="34" t="str">
        <f aca="false">IF(AND(H44="Tested",K44="Tested"),"Yes",IF(A44="","","No"))</f>
        <v/>
      </c>
      <c r="O44" s="31"/>
      <c r="P44" s="31"/>
      <c r="Q44" s="31"/>
      <c r="R44" s="31"/>
    </row>
    <row r="45" customFormat="false" ht="15" hidden="false" customHeight="false" outlineLevel="0" collapsed="false">
      <c r="A45" s="31"/>
      <c r="B45" s="32"/>
      <c r="C45" s="32"/>
      <c r="D45" s="31"/>
      <c r="E45" s="31"/>
      <c r="F45" s="31"/>
      <c r="G45" s="33"/>
      <c r="H45" s="31"/>
      <c r="I45" s="31"/>
      <c r="J45" s="31"/>
      <c r="K45" s="31"/>
      <c r="L45" s="33"/>
      <c r="M45" s="31"/>
      <c r="N45" s="34" t="str">
        <f aca="false">IF(AND(H45="Tested",K45="Tested"),"Yes",IF(A45="","","No"))</f>
        <v/>
      </c>
      <c r="O45" s="31"/>
      <c r="P45" s="31"/>
      <c r="Q45" s="31"/>
      <c r="R45" s="31"/>
    </row>
    <row r="46" customFormat="false" ht="15" hidden="false" customHeight="false" outlineLevel="0" collapsed="false">
      <c r="A46" s="31"/>
      <c r="B46" s="32"/>
      <c r="C46" s="32"/>
      <c r="D46" s="31"/>
      <c r="E46" s="31"/>
      <c r="F46" s="31"/>
      <c r="G46" s="33"/>
      <c r="H46" s="31"/>
      <c r="I46" s="31"/>
      <c r="J46" s="31"/>
      <c r="K46" s="31"/>
      <c r="L46" s="33"/>
      <c r="M46" s="31"/>
      <c r="N46" s="34" t="str">
        <f aca="false">IF(AND(H46="Tested",K46="Tested"),"Yes",IF(A46="","","No"))</f>
        <v/>
      </c>
      <c r="O46" s="31"/>
      <c r="P46" s="31"/>
      <c r="Q46" s="31"/>
      <c r="R46" s="31"/>
    </row>
    <row r="47" customFormat="false" ht="15" hidden="false" customHeight="false" outlineLevel="0" collapsed="false">
      <c r="A47" s="31"/>
      <c r="B47" s="32"/>
      <c r="C47" s="32"/>
      <c r="D47" s="31"/>
      <c r="E47" s="31"/>
      <c r="F47" s="31"/>
      <c r="G47" s="33"/>
      <c r="H47" s="31"/>
      <c r="I47" s="31"/>
      <c r="J47" s="31"/>
      <c r="K47" s="31"/>
      <c r="L47" s="33"/>
      <c r="M47" s="31"/>
      <c r="N47" s="34" t="str">
        <f aca="false">IF(AND(H47="Tested",K47="Tested"),"Yes",IF(A47="","","No"))</f>
        <v/>
      </c>
      <c r="O47" s="31"/>
      <c r="P47" s="31"/>
      <c r="Q47" s="31"/>
      <c r="R47" s="31"/>
    </row>
    <row r="48" customFormat="false" ht="15" hidden="false" customHeight="false" outlineLevel="0" collapsed="false">
      <c r="A48" s="31"/>
      <c r="B48" s="32"/>
      <c r="C48" s="32"/>
      <c r="D48" s="31"/>
      <c r="E48" s="31"/>
      <c r="F48" s="31"/>
      <c r="G48" s="33"/>
      <c r="H48" s="31"/>
      <c r="I48" s="31"/>
      <c r="J48" s="31"/>
      <c r="K48" s="31"/>
      <c r="L48" s="33"/>
      <c r="M48" s="31"/>
      <c r="N48" s="34" t="str">
        <f aca="false">IF(AND(H48="Tested",K48="Tested"),"Yes",IF(A48="","","No"))</f>
        <v/>
      </c>
      <c r="O48" s="31"/>
      <c r="P48" s="31"/>
      <c r="Q48" s="31"/>
      <c r="R48" s="31"/>
    </row>
    <row r="49" customFormat="false" ht="15" hidden="false" customHeight="false" outlineLevel="0" collapsed="false">
      <c r="A49" s="31"/>
      <c r="B49" s="32"/>
      <c r="C49" s="32"/>
      <c r="D49" s="31"/>
      <c r="E49" s="31"/>
      <c r="F49" s="31"/>
      <c r="G49" s="33"/>
      <c r="H49" s="31"/>
      <c r="I49" s="31"/>
      <c r="J49" s="31"/>
      <c r="K49" s="31"/>
      <c r="L49" s="33"/>
      <c r="M49" s="31"/>
      <c r="N49" s="34" t="str">
        <f aca="false">IF(AND(H49="Tested",K49="Tested"),"Yes",IF(A49="","","No"))</f>
        <v/>
      </c>
      <c r="O49" s="31"/>
      <c r="P49" s="31"/>
      <c r="Q49" s="31"/>
      <c r="R49" s="31"/>
    </row>
    <row r="50" customFormat="false" ht="15" hidden="false" customHeight="false" outlineLevel="0" collapsed="false">
      <c r="A50" s="31"/>
      <c r="B50" s="32"/>
      <c r="C50" s="32"/>
      <c r="D50" s="31"/>
      <c r="E50" s="31"/>
      <c r="F50" s="31"/>
      <c r="G50" s="33"/>
      <c r="H50" s="31"/>
      <c r="I50" s="31"/>
      <c r="J50" s="31"/>
      <c r="K50" s="31"/>
      <c r="L50" s="33"/>
      <c r="M50" s="31"/>
      <c r="N50" s="34" t="str">
        <f aca="false">IF(AND(H50="Tested",K50="Tested"),"Yes",IF(A50="","","No"))</f>
        <v/>
      </c>
      <c r="O50" s="31"/>
      <c r="P50" s="31"/>
      <c r="Q50" s="31"/>
      <c r="R50" s="31"/>
    </row>
    <row r="51" customFormat="false" ht="15" hidden="false" customHeight="false" outlineLevel="0" collapsed="false">
      <c r="A51" s="31"/>
      <c r="B51" s="32"/>
      <c r="C51" s="32"/>
      <c r="D51" s="31"/>
      <c r="E51" s="31"/>
      <c r="F51" s="31"/>
      <c r="G51" s="33"/>
      <c r="H51" s="31"/>
      <c r="I51" s="31"/>
      <c r="J51" s="31"/>
      <c r="K51" s="31"/>
      <c r="L51" s="33"/>
      <c r="M51" s="31"/>
      <c r="N51" s="34" t="str">
        <f aca="false">IF(AND(H51="Tested",K51="Tested"),"Yes",IF(A51="","","No"))</f>
        <v/>
      </c>
      <c r="O51" s="31"/>
      <c r="P51" s="31"/>
      <c r="Q51" s="31"/>
      <c r="R51" s="31"/>
    </row>
    <row r="52" customFormat="false" ht="15" hidden="false" customHeight="false" outlineLevel="0" collapsed="false">
      <c r="A52" s="31"/>
      <c r="B52" s="32"/>
      <c r="C52" s="32"/>
      <c r="D52" s="31"/>
      <c r="E52" s="31"/>
      <c r="F52" s="31"/>
      <c r="G52" s="33"/>
      <c r="H52" s="31"/>
      <c r="I52" s="31"/>
      <c r="J52" s="31"/>
      <c r="K52" s="31"/>
      <c r="L52" s="33"/>
      <c r="M52" s="31"/>
      <c r="N52" s="34" t="str">
        <f aca="false">IF(AND(H52="Tested",K52="Tested"),"Yes",IF(A52="","","No"))</f>
        <v/>
      </c>
      <c r="O52" s="31"/>
      <c r="P52" s="31"/>
      <c r="Q52" s="31"/>
      <c r="R52" s="31"/>
    </row>
    <row r="53" customFormat="false" ht="15" hidden="false" customHeight="false" outlineLevel="0" collapsed="false">
      <c r="A53" s="31"/>
      <c r="B53" s="32"/>
      <c r="C53" s="32"/>
      <c r="D53" s="31"/>
      <c r="E53" s="31"/>
      <c r="F53" s="31"/>
      <c r="G53" s="33"/>
      <c r="H53" s="31"/>
      <c r="I53" s="31"/>
      <c r="J53" s="31"/>
      <c r="K53" s="31"/>
      <c r="L53" s="33"/>
      <c r="M53" s="31"/>
      <c r="N53" s="34" t="str">
        <f aca="false">IF(AND(H53="Tested",K53="Tested"),"Yes",IF(A53="","","No"))</f>
        <v/>
      </c>
      <c r="O53" s="31"/>
      <c r="P53" s="31"/>
      <c r="Q53" s="31"/>
      <c r="R53" s="31"/>
    </row>
    <row r="54" customFormat="false" ht="15" hidden="false" customHeight="false" outlineLevel="0" collapsed="false">
      <c r="A54" s="31"/>
      <c r="B54" s="32"/>
      <c r="C54" s="32"/>
      <c r="D54" s="31"/>
      <c r="E54" s="31"/>
      <c r="F54" s="31"/>
      <c r="G54" s="33"/>
      <c r="H54" s="31"/>
      <c r="I54" s="31"/>
      <c r="J54" s="31"/>
      <c r="K54" s="31"/>
      <c r="L54" s="33"/>
      <c r="M54" s="31"/>
      <c r="N54" s="34" t="str">
        <f aca="false">IF(AND(H54="Tested",K54="Tested"),"Yes",IF(A54="","","No"))</f>
        <v/>
      </c>
      <c r="O54" s="31"/>
      <c r="P54" s="31"/>
      <c r="Q54" s="31"/>
      <c r="R54" s="31"/>
    </row>
    <row r="55" customFormat="false" ht="15" hidden="false" customHeight="false" outlineLevel="0" collapsed="false">
      <c r="A55" s="31"/>
      <c r="B55" s="32"/>
      <c r="C55" s="32"/>
      <c r="D55" s="31"/>
      <c r="E55" s="31"/>
      <c r="F55" s="31"/>
      <c r="G55" s="33"/>
      <c r="H55" s="31"/>
      <c r="I55" s="31"/>
      <c r="J55" s="31"/>
      <c r="K55" s="31"/>
      <c r="L55" s="33"/>
      <c r="M55" s="31"/>
      <c r="N55" s="34" t="str">
        <f aca="false">IF(AND(H55="Tested",K55="Tested"),"Yes",IF(A55="","","No"))</f>
        <v/>
      </c>
      <c r="O55" s="31"/>
      <c r="P55" s="31"/>
      <c r="Q55" s="31"/>
      <c r="R55" s="31"/>
    </row>
    <row r="56" customFormat="false" ht="15" hidden="false" customHeight="false" outlineLevel="0" collapsed="false">
      <c r="A56" s="31"/>
      <c r="B56" s="32"/>
      <c r="C56" s="32"/>
      <c r="D56" s="31"/>
      <c r="E56" s="31"/>
      <c r="F56" s="31"/>
      <c r="G56" s="33"/>
      <c r="H56" s="31"/>
      <c r="I56" s="31"/>
      <c r="J56" s="31"/>
      <c r="K56" s="31"/>
      <c r="L56" s="33"/>
      <c r="M56" s="31"/>
      <c r="N56" s="34" t="str">
        <f aca="false">IF(AND(H56="Tested",K56="Tested"),"Yes",IF(A56="","","No"))</f>
        <v/>
      </c>
      <c r="O56" s="31"/>
      <c r="P56" s="31"/>
      <c r="Q56" s="31"/>
      <c r="R56" s="31"/>
    </row>
    <row r="57" customFormat="false" ht="15" hidden="false" customHeight="false" outlineLevel="0" collapsed="false">
      <c r="A57" s="31"/>
      <c r="B57" s="32"/>
      <c r="C57" s="32"/>
      <c r="D57" s="31"/>
      <c r="E57" s="31"/>
      <c r="F57" s="31"/>
      <c r="G57" s="33"/>
      <c r="H57" s="31"/>
      <c r="I57" s="31"/>
      <c r="J57" s="31"/>
      <c r="K57" s="31"/>
      <c r="L57" s="33"/>
      <c r="M57" s="31"/>
      <c r="N57" s="34" t="str">
        <f aca="false">IF(AND(H57="Tested",K57="Tested"),"Yes",IF(A57="","","No"))</f>
        <v/>
      </c>
      <c r="O57" s="31"/>
      <c r="P57" s="31"/>
      <c r="Q57" s="31"/>
      <c r="R57" s="31"/>
    </row>
    <row r="58" customFormat="false" ht="15" hidden="false" customHeight="false" outlineLevel="0" collapsed="false">
      <c r="A58" s="31"/>
      <c r="B58" s="32"/>
      <c r="C58" s="32"/>
      <c r="D58" s="31"/>
      <c r="E58" s="31"/>
      <c r="F58" s="31"/>
      <c r="G58" s="33"/>
      <c r="H58" s="31"/>
      <c r="I58" s="31"/>
      <c r="J58" s="31"/>
      <c r="K58" s="31"/>
      <c r="L58" s="33"/>
      <c r="M58" s="31"/>
      <c r="N58" s="34" t="str">
        <f aca="false">IF(AND(H58="Tested",K58="Tested"),"Yes",IF(A58="","","No"))</f>
        <v/>
      </c>
      <c r="O58" s="31"/>
      <c r="P58" s="31"/>
      <c r="Q58" s="31"/>
      <c r="R58" s="31"/>
    </row>
    <row r="59" customFormat="false" ht="15" hidden="false" customHeight="false" outlineLevel="0" collapsed="false">
      <c r="A59" s="31"/>
      <c r="B59" s="32"/>
      <c r="C59" s="32"/>
      <c r="D59" s="31"/>
      <c r="E59" s="31"/>
      <c r="F59" s="31"/>
      <c r="G59" s="33"/>
      <c r="H59" s="31"/>
      <c r="I59" s="31"/>
      <c r="J59" s="31"/>
      <c r="K59" s="31"/>
      <c r="L59" s="33"/>
      <c r="M59" s="31"/>
      <c r="N59" s="34" t="str">
        <f aca="false">IF(AND(H59="Tested",K59="Tested"),"Yes",IF(A59="","","No"))</f>
        <v/>
      </c>
      <c r="O59" s="31"/>
      <c r="P59" s="31"/>
      <c r="Q59" s="31"/>
      <c r="R59" s="31"/>
    </row>
  </sheetData>
  <autoFilter ref="A9:R9"/>
  <mergeCells count="5">
    <mergeCell ref="A1:R1"/>
    <mergeCell ref="O7:R7"/>
    <mergeCell ref="A8:E8"/>
    <mergeCell ref="F8:I8"/>
    <mergeCell ref="J8:M8"/>
  </mergeCells>
  <conditionalFormatting sqref="H10:H509">
    <cfRule type="cellIs" priority="2" operator="equal" aboveAverage="0" equalAverage="0" bottom="0" percent="0" rank="0" text="" dxfId="3">
      <formula>"Tested"</formula>
    </cfRule>
    <cfRule type="cellIs" priority="3" operator="equal" aboveAverage="0" equalAverage="0" bottom="0" percent="0" rank="0" text="" dxfId="4">
      <formula>"Terminated"</formula>
    </cfRule>
    <cfRule type="cellIs" priority="4" operator="equal" aboveAverage="0" equalAverage="0" bottom="0" percent="0" rank="0" text="" dxfId="4">
      <formula>"Glanded"</formula>
    </cfRule>
    <cfRule type="cellIs" priority="5" operator="equal" aboveAverage="0" equalAverage="0" bottom="0" percent="0" rank="0" text="" dxfId="5">
      <formula>"Not Started"</formula>
    </cfRule>
  </conditionalFormatting>
  <conditionalFormatting sqref="K10:K509">
    <cfRule type="cellIs" priority="6" operator="equal" aboveAverage="0" equalAverage="0" bottom="0" percent="0" rank="0" text="" dxfId="3">
      <formula>"Tested"</formula>
    </cfRule>
    <cfRule type="cellIs" priority="7" operator="equal" aboveAverage="0" equalAverage="0" bottom="0" percent="0" rank="0" text="" dxfId="4">
      <formula>"Terminated"</formula>
    </cfRule>
    <cfRule type="cellIs" priority="8" operator="equal" aboveAverage="0" equalAverage="0" bottom="0" percent="0" rank="0" text="" dxfId="4">
      <formula>"Glanded"</formula>
    </cfRule>
    <cfRule type="cellIs" priority="9" operator="equal" aboveAverage="0" equalAverage="0" bottom="0" percent="0" rank="0" text="" dxfId="5">
      <formula>"Not Started"</formula>
    </cfRule>
  </conditionalFormatting>
  <conditionalFormatting sqref="N10:N509">
    <cfRule type="cellIs" priority="10" operator="equal" aboveAverage="0" equalAverage="0" bottom="0" percent="0" rank="0" text="" dxfId="6">
      <formula>"Yes"</formula>
    </cfRule>
    <cfRule type="cellIs" priority="11" operator="equal" aboveAverage="0" equalAverage="0" bottom="0" percent="0" rank="0" text="" dxfId="7">
      <formula>"No"</formula>
    </cfRule>
  </conditionalFormatting>
  <dataValidations count="7">
    <dataValidation allowBlank="true" errorStyle="stop" operator="between" showDropDown="false" showErrorMessage="false" showInputMessage="false" sqref="F10:F509" type="list">
      <formula1>"CW,BW,E1W,E1WF,A2,D,Weatherproof,Ex d,Ex e,N/A"</formula1>
      <formula2>0</formula2>
    </dataValidation>
    <dataValidation allowBlank="true" errorStyle="stop" operator="between" showDropDown="false" showErrorMessage="false" showInputMessage="false" sqref="J10:J509" type="list">
      <formula1>"CW,BW,E1W,E1WF,A2,D,Weatherproof,Ex d,Ex e,N/A"</formula1>
      <formula2>0</formula2>
    </dataValidation>
    <dataValidation allowBlank="true" errorStyle="stop" operator="between" showDropDown="false" showErrorMessage="false" showInputMessage="false" sqref="H10:H509" type="list">
      <formula1>"Not Started,Glanded,Terminated,Tested"</formula1>
      <formula2>0</formula2>
    </dataValidation>
    <dataValidation allowBlank="true" errorStyle="stop" operator="between" showDropDown="false" showErrorMessage="false" showInputMessage="false" sqref="K10:K509" type="list">
      <formula1>"Not Started,Glanded,Terminated,Tested"</formula1>
      <formula2>0</formula2>
    </dataValidation>
    <dataValidation allowBlank="true" errorStyle="stop" operator="between" showDropDown="false" showErrorMessage="false" showInputMessage="false" sqref="P10:P509" type="list">
      <formula1>"Yes,No,N/A"</formula1>
      <formula2>0</formula2>
    </dataValidation>
    <dataValidation allowBlank="true" errorStyle="stop" operator="between" showDropDown="false" showErrorMessage="false" showInputMessage="false" sqref="D10:D509" type="list">
      <formula1>"SWA 3c 2.5mm²,SWA 3c 4mm²,SWA 3c 6mm²,SWA 4c 6mm²,SWA 4c 10mm²,SWA 4c 16mm²,SWA 4c 25mm²,XLPE 1c 50mm²,XLPE 1c 95mm²,SY 4c 1.5mm²,SY 7c 1.5mm²,Cat6 UTP,Fibre Optic,Inst 1pr,Inst 2pr,Inst 4pr"</formula1>
      <formula2>0</formula2>
    </dataValidation>
    <dataValidation allowBlank="true" errorStyle="stop" operator="between" showDropDown="false" showErrorMessage="false" showInputMessage="false" sqref="G10:G509 L10:L509" type="date">
      <formula1>0</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&amp;CCable Termination Glanding Register</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A1:A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8.65" hidden="false" customHeight="false" outlineLevel="0" collapsed="false">
      <c r="A1" s="35" t="s">
        <v>114</v>
      </c>
    </row>
    <row r="2" customFormat="false" ht="15" hidden="false" customHeight="false" outlineLevel="0" collapsed="false">
      <c r="A2" s="36"/>
    </row>
    <row r="3" customFormat="false" ht="15" hidden="false" customHeight="false" outlineLevel="0" collapsed="false">
      <c r="A3" s="36" t="s">
        <v>115</v>
      </c>
    </row>
    <row r="4" customFormat="false" ht="15" hidden="false" customHeight="false" outlineLevel="0" collapsed="false">
      <c r="A4" s="36"/>
    </row>
    <row r="5" customFormat="false" ht="15" hidden="false" customHeight="false" outlineLevel="0" collapsed="false">
      <c r="A5" s="36" t="s">
        <v>116</v>
      </c>
    </row>
    <row r="6" customFormat="false" ht="15" hidden="false" customHeight="false" outlineLevel="0" collapsed="false">
      <c r="A6" s="36"/>
    </row>
    <row r="7" customFormat="false" ht="23.85" hidden="false" customHeight="false" outlineLevel="0" collapsed="false">
      <c r="A7" s="36" t="s">
        <v>117</v>
      </c>
    </row>
    <row r="8" customFormat="false" ht="15" hidden="false" customHeight="false" outlineLevel="0" collapsed="false">
      <c r="A8" s="36"/>
    </row>
    <row r="9" customFormat="false" ht="15" hidden="false" customHeight="false" outlineLevel="0" collapsed="false">
      <c r="A9" s="36" t="s">
        <v>118</v>
      </c>
    </row>
    <row r="10" customFormat="false" ht="15" hidden="false" customHeight="false" outlineLevel="0" collapsed="false">
      <c r="A10" s="36"/>
    </row>
    <row r="11" customFormat="false" ht="15" hidden="false" customHeight="false" outlineLevel="0" collapsed="false">
      <c r="A11" s="36" t="s">
        <v>119</v>
      </c>
    </row>
    <row r="12" customFormat="false" ht="15" hidden="false" customHeight="false" outlineLevel="0" collapsed="false">
      <c r="A12" s="36"/>
    </row>
    <row r="13" customFormat="false" ht="23.85" hidden="false" customHeight="false" outlineLevel="0" collapsed="false">
      <c r="A13" s="36" t="s">
        <v>120</v>
      </c>
    </row>
    <row r="14" customFormat="false" ht="15" hidden="false" customHeight="false" outlineLevel="0" collapsed="false">
      <c r="A14" s="36"/>
    </row>
    <row r="15" customFormat="false" ht="15" hidden="false" customHeight="false" outlineLevel="0" collapsed="false">
      <c r="A15" s="36" t="s">
        <v>121</v>
      </c>
    </row>
    <row r="16" customFormat="false" ht="15" hidden="false" customHeight="false" outlineLevel="0" collapsed="false">
      <c r="A16" s="36"/>
    </row>
    <row r="17" customFormat="false" ht="15" hidden="false" customHeight="false" outlineLevel="0" collapsed="false">
      <c r="A17" s="36"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MEICA / Commissioning</cp:category>
  <dcterms:created xsi:type="dcterms:W3CDTF">2026-03-22T20:15:45Z</dcterms:created>
  <dc:creator>Ebrora Ltd</dc:creator>
  <dc:description>Track cable glanding and termination at both ends independently — gland type, status, dates, and sign-off — with a two-panel layout designed for electrical supervisors and MEICA engineers on UK construction projects.
Free professional construction management template from Ebrora Ltd. Visit ebrora.com for our full range of tools and templates.</dc:description>
  <cp:keywords>Ebrora construction MEICA commissioning cable termination glanding electrical termination register</cp:keywords>
  <dc:language>en-US</dc:language>
  <cp:lastModifiedBy>Ebrora Ltd</cp:lastModifiedBy>
  <dcterms:modified xsi:type="dcterms:W3CDTF">2026-03-22T20:15:45Z</dcterms:modified>
  <cp:revision>0</cp:revision>
  <dc:subject>Track cable glanding and termination at both A-end and B-end with independent status tracking, gland types, and sign-off.</dc:subject>
  <dc:title>Cable Termination &amp; Glanding Register</dc:title>
</cp:coreProperties>
</file>

<file path=docProps/custom.xml><?xml version="1.0" encoding="utf-8"?>
<Properties xmlns="http://schemas.openxmlformats.org/officeDocument/2006/custom-properties" xmlns:vt="http://schemas.openxmlformats.org/officeDocument/2006/docPropsVTypes"/>
</file>