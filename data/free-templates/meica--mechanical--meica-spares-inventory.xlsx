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pares Inventory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'Spares Inventory'!$A$1:$M$62</definedName>
    <definedName function="false" hidden="true" localSheetId="2" name="_xlnm._FilterDatabase" vbProcedure="false">'Spares Inventory'!$A$12:$Q$200</definedName>
    <definedName function="false" hidden="false" name="DataTable" vbProcedure="false">'Spares Inventory'!$A$12:$Q$200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<sst xmlns="http://schemas.openxmlformats.org/spreadsheetml/2006/main" count="129" uniqueCount="115">
  <si>
    <t xml:space="preserve">EBRORA</t>
  </si>
  <si>
    <t xml:space="preserve">ebrora.com</t>
  </si>
  <si>
    <t xml:space="preserve">MEICA Spares Inventory</t>
  </si>
  <si>
    <t xml:space="preserve">Manage spare parts for mechanical, electrical, instrumentation, and control equipment — with automatic stock-level monitoring, reorder alerts, and inventory value tracking.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</si>
  <si>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</si>
  <si>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</si>
  <si>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</si>
  <si>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'Spares Inventory' sheet. The top section shows a Stock Health Dashboard with live summaries by discipline and overall inventory value.</t>
  </si>
  <si>
    <t xml:space="preserve">2. Each row represents one spare part or consumable item held for MEICA equipment on your project or site.</t>
  </si>
  <si>
    <t xml:space="preserve">3. Enter the Part Number, description, associated equipment tag, and discipline (Mechanical, Electrical, Instrumentation, Control &amp; Automation).</t>
  </si>
  <si>
    <t xml:space="preserve">4. Set the Min Stock and Max Stock thresholds. The Stock Status column auto-calculates: OK (at or above min), Low (below min but &gt;0), or Out of Stock (zero).</t>
  </si>
  <si>
    <t xml:space="preserve">5. Update the Qty in Stock as items are used or received. The Reorder Alert column flags items that need ordering based on the min threshold.</t>
  </si>
  <si>
    <t xml:space="preserve">6. Enter the unit cost in the Unit Cost column. The Stock Value auto-calculates as Qty in Stock × Unit Cost.</t>
  </si>
  <si>
    <t xml:space="preserve">7. Expand the optional columns for supplier details, lead times, last order date, and storage location.</t>
  </si>
  <si>
    <t xml:space="preserve">8. Use filters to view spares by discipline, stock status, or equipment — useful for generating reorder lists or handover inventories.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</si>
  <si>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</si>
  <si>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</si>
  <si>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</si>
  <si>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Stock OK (at or above minimum level)</t>
  </si>
  <si>
    <t xml:space="preserve">Amber = Stock Low (below minimum but not zero)</t>
  </si>
  <si>
    <t xml:space="preserve">Red = Out of Stock or Reorder Required</t>
  </si>
  <si>
    <t xml:space="preserve">Tips</t>
  </si>
  <si>
    <t xml:space="preserve">• Set minimum stock levels based on criticality and lead time — a pump mechanical seal with a 12-week lead time needs a higher min stock than an off-the-shelf gasket.</t>
  </si>
  <si>
    <t xml:space="preserve">• Review the reorder alerts weekly and place orders before stock reaches zero — commissioning delays caused by missing spares are entirely preventable.</t>
  </si>
  <si>
    <t xml:space="preserve">• Include this inventory as an appendix to your O&amp;M handover package — the operations team needs to know what spares are available from day one.</t>
  </si>
  <si>
    <t xml:space="preserve">MEICA Spares Inventory — Stock Health Dashboard</t>
  </si>
  <si>
    <t xml:space="preserve">Stock Health by Discipline</t>
  </si>
  <si>
    <t xml:space="preserve">Inventory Summary</t>
  </si>
  <si>
    <t xml:space="preserve">Discipline</t>
  </si>
  <si>
    <t xml:space="preserve">Total Items</t>
  </si>
  <si>
    <t xml:space="preserve">In Stock</t>
  </si>
  <si>
    <t xml:space="preserve">Low Stock</t>
  </si>
  <si>
    <t xml:space="preserve">Out of Stock</t>
  </si>
  <si>
    <t xml:space="preserve">Total Unique Parts:</t>
  </si>
  <si>
    <t xml:space="preserve">Mechanical</t>
  </si>
  <si>
    <t xml:space="preserve">Total Stock Value:</t>
  </si>
  <si>
    <t xml:space="preserve">Electrical</t>
  </si>
  <si>
    <t xml:space="preserve">Items at OK Level:</t>
  </si>
  <si>
    <t xml:space="preserve">Instrumentation</t>
  </si>
  <si>
    <t xml:space="preserve">Items Low:</t>
  </si>
  <si>
    <t xml:space="preserve">Control &amp; Automation</t>
  </si>
  <si>
    <t xml:space="preserve">Items Out of Stock:</t>
  </si>
  <si>
    <t xml:space="preserve">Reorders Required:</t>
  </si>
  <si>
    <t xml:space="preserve">Part Identification</t>
  </si>
  <si>
    <t xml:space="preserve">Stock Levels &amp; Reorder Logic</t>
  </si>
  <si>
    <t xml:space="preserve">Notes</t>
  </si>
  <si>
    <t xml:space="preserve">▸ Optional Fields — Click [+] to expand</t>
  </si>
  <si>
    <t xml:space="preserve">Item No.</t>
  </si>
  <si>
    <t xml:space="preserve">Part Number</t>
  </si>
  <si>
    <t xml:space="preserve">Part Description</t>
  </si>
  <si>
    <t xml:space="preserve">Equipment Tag</t>
  </si>
  <si>
    <t xml:space="preserve">Min Stock</t>
  </si>
  <si>
    <t xml:space="preserve">Max Stock</t>
  </si>
  <si>
    <t xml:space="preserve">Qty in Stock</t>
  </si>
  <si>
    <t xml:space="preserve">Unit Cost (£)</t>
  </si>
  <si>
    <t xml:space="preserve">Stock Value (£)</t>
  </si>
  <si>
    <t xml:space="preserve">Stock Status</t>
  </si>
  <si>
    <t xml:space="preserve">Reorder Alert</t>
  </si>
  <si>
    <t xml:space="preserve">Supplier</t>
  </si>
  <si>
    <t xml:space="preserve">Lead Time (wks)</t>
  </si>
  <si>
    <t xml:space="preserve">Last Order Date</t>
  </si>
  <si>
    <t xml:space="preserve">Storage Location</t>
  </si>
  <si>
    <t xml:space="preserve">SP-M-001</t>
  </si>
  <si>
    <t xml:space="preserve">Mechanical Seal — Pump Type A (Grundfos CR 45)</t>
  </si>
  <si>
    <t xml:space="preserve">PMP-RW-01</t>
  </si>
  <si>
    <t xml:space="preserve">Grundfos UK</t>
  </si>
  <si>
    <t xml:space="preserve">Store Room A — Shelf M1</t>
  </si>
  <si>
    <t xml:space="preserve">SP-M-002</t>
  </si>
  <si>
    <t xml:space="preserve">Impeller — Raw Water Pump (Xylem NS80)</t>
  </si>
  <si>
    <t xml:space="preserve">PMP-RW-02</t>
  </si>
  <si>
    <t xml:space="preserve">Impeller on order — ETA mid-April 2026</t>
  </si>
  <si>
    <t xml:space="preserve">Xylem Water Solutions</t>
  </si>
  <si>
    <t xml:space="preserve">Store Room A — Shelf M3</t>
  </si>
  <si>
    <t xml:space="preserve">SP-M-003</t>
  </si>
  <si>
    <t xml:space="preserve">V-Belt Set — AHU Supply Fan</t>
  </si>
  <si>
    <t xml:space="preserve">AHU-01</t>
  </si>
  <si>
    <t xml:space="preserve">Bearings Direct</t>
  </si>
  <si>
    <t xml:space="preserve">Store Room B — Shelf M1</t>
  </si>
  <si>
    <t xml:space="preserve">SP-E-001</t>
  </si>
  <si>
    <t xml:space="preserve">Contactor LC1D25 — DOL Starter</t>
  </si>
  <si>
    <t xml:space="preserve">MCC-01</t>
  </si>
  <si>
    <t xml:space="preserve">Schneider Electric UK</t>
  </si>
  <si>
    <t xml:space="preserve">Elec Store — Bin E4</t>
  </si>
  <si>
    <t xml:space="preserve">SP-E-002</t>
  </si>
  <si>
    <t xml:space="preserve">Fuse Link 63A HRC BS88</t>
  </si>
  <si>
    <t xml:space="preserve">DB-L2-01</t>
  </si>
  <si>
    <t xml:space="preserve">RS Components</t>
  </si>
  <si>
    <t xml:space="preserve">Elec Store — Bin E1</t>
  </si>
  <si>
    <t xml:space="preserve">SP-I-001</t>
  </si>
  <si>
    <t xml:space="preserve">Pressure Transmitter — 0–6 bar 4–20mA</t>
  </si>
  <si>
    <t xml:space="preserve">PT-310</t>
  </si>
  <si>
    <t xml:space="preserve">Endress+Hauser UK</t>
  </si>
  <si>
    <t xml:space="preserve">Inst Store — Shelf I2</t>
  </si>
  <si>
    <t xml:space="preserve">SP-I-002</t>
  </si>
  <si>
    <t xml:space="preserve">RTD Sensor PT100 — 150mm Insertion</t>
  </si>
  <si>
    <t xml:space="preserve">TT-402</t>
  </si>
  <si>
    <t xml:space="preserve">TC Direct</t>
  </si>
  <si>
    <t xml:space="preserve">Inst Store — Shelf I1</t>
  </si>
  <si>
    <t xml:space="preserve">SP-C-001</t>
  </si>
  <si>
    <t xml:space="preserve">PLC CPU Module — Siemens S7-1500 1515</t>
  </si>
  <si>
    <t xml:space="preserve">PLC-CAB-01</t>
  </si>
  <si>
    <t xml:space="preserve">Siemens UK</t>
  </si>
  <si>
    <t xml:space="preserve">Control Store — Cabinet C1</t>
  </si>
  <si>
    <t xml:space="preserve">SP-C-002</t>
  </si>
  <si>
    <t xml:space="preserve">Digital I/O Module — Siemens SM 1223</t>
  </si>
  <si>
    <t xml:space="preserve">Urgent — 2 modules needed for commissioning next week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</si>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</sst>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£#,##0.00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0"/>
      <color rgb="FFCC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9" customFormat="false" ht="15" hidden="false" customHeight="false" outlineLevel="0" collapsed="false">
      <c r="A19" s="10" t="s">
        <v>21</v>
      </c>
      <c r="B19" s="10"/>
      <c r="C19" s="10"/>
      <c r="D19" s="10"/>
      <c r="E19" s="10"/>
      <c r="F19" s="10"/>
    </row>
    <row r="20" customFormat="false" ht="34.5" hidden="false" customHeight="true" outlineLevel="0" collapsed="false">
      <c r="A20" s="9" t="s">
        <v>22</v>
      </c>
      <c r="B20" s="9"/>
      <c r="C20" s="9"/>
      <c r="D20" s="9"/>
      <c r="E20" s="9"/>
      <c r="F20" s="9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12" min="9" style="0" width="14"/>
    <col collapsed="false" customWidth="true" hidden="false" outlineLevel="0" max="13" min="13" style="0" width="30"/>
    <col collapsed="false" customWidth="true" hidden="true" outlineLevel="1" max="17" min="14" style="0" width="18"/>
  </cols>
  <sheetData>
    <row r="1" customFormat="false" ht="1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customFormat="false" ht="15" hidden="false" customHeight="false" outlineLevel="0" collapsed="false">
      <c r="A3" s="10" t="s">
        <v>26</v>
      </c>
      <c r="B3" s="10"/>
      <c r="C3" s="10"/>
      <c r="D3" s="10"/>
      <c r="E3" s="10"/>
      <c r="G3" s="10" t="s">
        <v>27</v>
      </c>
      <c r="H3" s="10"/>
      <c r="I3" s="10"/>
      <c r="J3" s="10"/>
    </row>
    <row r="4" customFormat="false" ht="15" hidden="false" customHeight="true" outlineLevel="0" collapsed="false">
      <c r="A4" s="17" t="s">
        <v>28</v>
      </c>
      <c r="B4" s="17" t="s">
        <v>29</v>
      </c>
      <c r="C4" s="17" t="s">
        <v>30</v>
      </c>
      <c r="D4" s="17" t="s">
        <v>31</v>
      </c>
      <c r="E4" s="17" t="s">
        <v>32</v>
      </c>
      <c r="G4" s="18" t="s">
        <v>33</v>
      </c>
      <c r="H4" s="18"/>
      <c r="I4" s="19" t="n">
        <f aca="false">COUNTA(B13:B200)</f>
        <v>9</v>
      </c>
      <c r="J4" s="19"/>
    </row>
    <row r="5" customFormat="false" ht="15" hidden="false" customHeight="true" outlineLevel="0" collapsed="false">
      <c r="A5" s="20" t="s">
        <v>34</v>
      </c>
      <c r="B5" s="21" t="n">
        <f aca="false">COUNTIF(E13:E200,A5)</f>
        <v>3</v>
      </c>
      <c r="C5" s="21" t="n">
        <f aca="false">COUNTIFS(E13:E200,A5,K13:K200,"OK")</f>
        <v>2</v>
      </c>
      <c r="D5" s="21" t="n">
        <f aca="false">COUNTIFS(E13:E200,A5,K13:K200,"Low")</f>
        <v>0</v>
      </c>
      <c r="E5" s="21" t="n">
        <f aca="false">COUNTIFS(E13:E200,A5,K13:K200,"Out of Stock")</f>
        <v>1</v>
      </c>
      <c r="G5" s="18" t="s">
        <v>35</v>
      </c>
      <c r="H5" s="18"/>
      <c r="I5" s="22" t="n">
        <f aca="false">SUM(J13:J200)</f>
        <v>5053.5</v>
      </c>
      <c r="J5" s="22"/>
    </row>
    <row r="6" customFormat="false" ht="15" hidden="false" customHeight="true" outlineLevel="0" collapsed="false">
      <c r="A6" s="20" t="s">
        <v>36</v>
      </c>
      <c r="B6" s="21" t="n">
        <f aca="false">COUNTIF(E13:E200,A6)</f>
        <v>2</v>
      </c>
      <c r="C6" s="21" t="n">
        <f aca="false">COUNTIFS(E13:E200,A6,K13:K200,"OK")</f>
        <v>1</v>
      </c>
      <c r="D6" s="21" t="n">
        <f aca="false">COUNTIFS(E13:E200,A6,K13:K200,"Low")</f>
        <v>1</v>
      </c>
      <c r="E6" s="21" t="n">
        <f aca="false">COUNTIFS(E13:E200,A6,K13:K200,"Out of Stock")</f>
        <v>0</v>
      </c>
      <c r="G6" s="18" t="s">
        <v>37</v>
      </c>
      <c r="H6" s="18"/>
      <c r="I6" s="19" t="n">
        <f aca="false">COUNTIF(K13:K200,"OK")</f>
        <v>6</v>
      </c>
      <c r="J6" s="19"/>
    </row>
    <row r="7" customFormat="false" ht="15" hidden="false" customHeight="true" outlineLevel="0" collapsed="false">
      <c r="A7" s="20" t="s">
        <v>38</v>
      </c>
      <c r="B7" s="21" t="n">
        <f aca="false">COUNTIF(E13:E200,A7)</f>
        <v>2</v>
      </c>
      <c r="C7" s="21" t="n">
        <f aca="false">COUNTIFS(E13:E200,A7,K13:K200,"OK")</f>
        <v>2</v>
      </c>
      <c r="D7" s="21" t="n">
        <f aca="false">COUNTIFS(E13:E200,A7,K13:K200,"Low")</f>
        <v>0</v>
      </c>
      <c r="E7" s="21" t="n">
        <f aca="false">COUNTIFS(E13:E200,A7,K13:K200,"Out of Stock")</f>
        <v>0</v>
      </c>
      <c r="G7" s="18" t="s">
        <v>39</v>
      </c>
      <c r="H7" s="18"/>
      <c r="I7" s="19" t="n">
        <f aca="false">COUNTIF(K13:K200,"Low")</f>
        <v>1</v>
      </c>
      <c r="J7" s="19"/>
    </row>
    <row r="8" customFormat="false" ht="15" hidden="false" customHeight="true" outlineLevel="0" collapsed="false">
      <c r="A8" s="20" t="s">
        <v>40</v>
      </c>
      <c r="B8" s="21" t="n">
        <f aca="false">COUNTIF(E13:E200,A8)</f>
        <v>2</v>
      </c>
      <c r="C8" s="21" t="n">
        <f aca="false">COUNTIFS(E13:E200,A8,K13:K200,"OK")</f>
        <v>1</v>
      </c>
      <c r="D8" s="21" t="n">
        <f aca="false">COUNTIFS(E13:E200,A8,K13:K200,"Low")</f>
        <v>0</v>
      </c>
      <c r="E8" s="21" t="n">
        <f aca="false">COUNTIFS(E13:E200,A8,K13:K200,"Out of Stock")</f>
        <v>1</v>
      </c>
      <c r="G8" s="18" t="s">
        <v>41</v>
      </c>
      <c r="H8" s="18"/>
      <c r="I8" s="19" t="n">
        <f aca="false">COUNTIF(K13:K200,"Out of Stock")</f>
        <v>2</v>
      </c>
      <c r="J8" s="19"/>
    </row>
    <row r="9" customFormat="false" ht="15" hidden="false" customHeight="true" outlineLevel="0" collapsed="false">
      <c r="G9" s="18" t="s">
        <v>42</v>
      </c>
      <c r="H9" s="18"/>
      <c r="I9" s="19" t="n">
        <f aca="false">COUNTIF(L13:L200,"REORDER")</f>
        <v>5</v>
      </c>
      <c r="J9" s="19"/>
    </row>
    <row r="11" customFormat="false" ht="22.35" hidden="false" customHeight="true" outlineLevel="0" collapsed="false">
      <c r="A11" s="23" t="s">
        <v>43</v>
      </c>
      <c r="B11" s="23"/>
      <c r="C11" s="23"/>
      <c r="D11" s="23"/>
      <c r="E11" s="23"/>
      <c r="F11" s="23" t="s">
        <v>44</v>
      </c>
      <c r="G11" s="23"/>
      <c r="H11" s="23"/>
      <c r="I11" s="23"/>
      <c r="J11" s="23"/>
      <c r="K11" s="23"/>
      <c r="L11" s="23"/>
      <c r="M11" s="24" t="s">
        <v>45</v>
      </c>
      <c r="N11" s="25" t="s">
        <v>46</v>
      </c>
      <c r="O11" s="25"/>
      <c r="P11" s="25"/>
      <c r="Q11" s="25"/>
    </row>
    <row r="12" customFormat="false" ht="30" hidden="false" customHeight="true" outlineLevel="0" collapsed="false">
      <c r="A12" s="26" t="s">
        <v>47</v>
      </c>
      <c r="B12" s="26" t="s">
        <v>48</v>
      </c>
      <c r="C12" s="26" t="s">
        <v>49</v>
      </c>
      <c r="D12" s="26" t="s">
        <v>50</v>
      </c>
      <c r="E12" s="26" t="s">
        <v>28</v>
      </c>
      <c r="F12" s="26" t="s">
        <v>51</v>
      </c>
      <c r="G12" s="26" t="s">
        <v>52</v>
      </c>
      <c r="H12" s="26" t="s">
        <v>53</v>
      </c>
      <c r="I12" s="26" t="s">
        <v>54</v>
      </c>
      <c r="J12" s="26" t="s">
        <v>55</v>
      </c>
      <c r="K12" s="26" t="s">
        <v>56</v>
      </c>
      <c r="L12" s="26" t="s">
        <v>57</v>
      </c>
      <c r="M12" s="26" t="s">
        <v>45</v>
      </c>
      <c r="N12" s="26" t="s">
        <v>58</v>
      </c>
      <c r="O12" s="26" t="s">
        <v>59</v>
      </c>
      <c r="P12" s="26" t="s">
        <v>60</v>
      </c>
      <c r="Q12" s="26" t="s">
        <v>61</v>
      </c>
    </row>
    <row r="13" customFormat="false" ht="24" hidden="false" customHeight="true" outlineLevel="0" collapsed="false">
      <c r="A13" s="21" t="n">
        <f aca="false">IF(COUNTA(B13:M13)=0,"",ROW()-12)</f>
        <v>1</v>
      </c>
      <c r="B13" s="27" t="s">
        <v>62</v>
      </c>
      <c r="C13" s="28" t="s">
        <v>63</v>
      </c>
      <c r="D13" s="27" t="s">
        <v>64</v>
      </c>
      <c r="E13" s="27" t="s">
        <v>34</v>
      </c>
      <c r="F13" s="27" t="n">
        <v>2</v>
      </c>
      <c r="G13" s="27" t="n">
        <v>4</v>
      </c>
      <c r="H13" s="27" t="n">
        <v>3</v>
      </c>
      <c r="I13" s="29" t="n">
        <v>285</v>
      </c>
      <c r="J13" s="22" t="n">
        <f aca="false">IF(H13="","",H13*I13)</f>
        <v>855</v>
      </c>
      <c r="K13" s="30" t="str">
        <f aca="false">IF(H13="","",IF(H13=0,"Out of Stock",IF(H13&lt;F13,"Low","OK")))</f>
        <v>OK</v>
      </c>
      <c r="L13" s="31" t="str">
        <f aca="false">IF(H13="","",IF(H13&lt;=F13,"REORDER",""))</f>
        <v/>
      </c>
      <c r="M13" s="28"/>
      <c r="N13" s="28" t="s">
        <v>65</v>
      </c>
      <c r="O13" s="27" t="n">
        <v>12</v>
      </c>
      <c r="P13" s="32" t="n">
        <v>45976</v>
      </c>
      <c r="Q13" s="28" t="s">
        <v>66</v>
      </c>
    </row>
    <row r="14" customFormat="false" ht="24" hidden="false" customHeight="true" outlineLevel="0" collapsed="false">
      <c r="A14" s="21" t="n">
        <f aca="false">IF(COUNTA(B14:M14)=0,"",ROW()-12)</f>
        <v>2</v>
      </c>
      <c r="B14" s="27" t="s">
        <v>67</v>
      </c>
      <c r="C14" s="28" t="s">
        <v>68</v>
      </c>
      <c r="D14" s="27" t="s">
        <v>69</v>
      </c>
      <c r="E14" s="27" t="s">
        <v>34</v>
      </c>
      <c r="F14" s="27" t="n">
        <v>1</v>
      </c>
      <c r="G14" s="27" t="n">
        <v>2</v>
      </c>
      <c r="H14" s="27" t="n">
        <v>0</v>
      </c>
      <c r="I14" s="29" t="n">
        <v>1450</v>
      </c>
      <c r="J14" s="22" t="n">
        <f aca="false">IF(H14="","",H14*I14)</f>
        <v>0</v>
      </c>
      <c r="K14" s="30" t="str">
        <f aca="false">IF(H14="","",IF(H14=0,"Out of Stock",IF(H14&lt;F14,"Low","OK")))</f>
        <v>Out of Stock</v>
      </c>
      <c r="L14" s="31" t="str">
        <f aca="false">IF(H14="","",IF(H14&lt;=F14,"REORDER",""))</f>
        <v>REORDER</v>
      </c>
      <c r="M14" s="28" t="s">
        <v>70</v>
      </c>
      <c r="N14" s="28" t="s">
        <v>71</v>
      </c>
      <c r="O14" s="27" t="n">
        <v>16</v>
      </c>
      <c r="P14" s="32" t="n">
        <v>45920</v>
      </c>
      <c r="Q14" s="28" t="s">
        <v>72</v>
      </c>
    </row>
    <row r="15" customFormat="false" ht="24" hidden="false" customHeight="true" outlineLevel="0" collapsed="false">
      <c r="A15" s="21" t="n">
        <f aca="false">IF(COUNTA(B15:M15)=0,"",ROW()-12)</f>
        <v>3</v>
      </c>
      <c r="B15" s="27" t="s">
        <v>73</v>
      </c>
      <c r="C15" s="28" t="s">
        <v>74</v>
      </c>
      <c r="D15" s="27" t="s">
        <v>75</v>
      </c>
      <c r="E15" s="27" t="s">
        <v>34</v>
      </c>
      <c r="F15" s="27" t="n">
        <v>2</v>
      </c>
      <c r="G15" s="27" t="n">
        <v>6</v>
      </c>
      <c r="H15" s="27" t="n">
        <v>5</v>
      </c>
      <c r="I15" s="29" t="n">
        <v>42.5</v>
      </c>
      <c r="J15" s="22" t="n">
        <f aca="false">IF(H15="","",H15*I15)</f>
        <v>212.5</v>
      </c>
      <c r="K15" s="30" t="str">
        <f aca="false">IF(H15="","",IF(H15=0,"Out of Stock",IF(H15&lt;F15,"Low","OK")))</f>
        <v>OK</v>
      </c>
      <c r="L15" s="31" t="str">
        <f aca="false">IF(H15="","",IF(H15&lt;=F15,"REORDER",""))</f>
        <v/>
      </c>
      <c r="M15" s="28"/>
      <c r="N15" s="28" t="s">
        <v>76</v>
      </c>
      <c r="O15" s="27" t="n">
        <v>2</v>
      </c>
      <c r="P15" s="32" t="n">
        <v>46054</v>
      </c>
      <c r="Q15" s="28" t="s">
        <v>77</v>
      </c>
    </row>
    <row r="16" customFormat="false" ht="24" hidden="false" customHeight="true" outlineLevel="0" collapsed="false">
      <c r="A16" s="21" t="n">
        <f aca="false">IF(COUNTA(B16:M16)=0,"",ROW()-12)</f>
        <v>4</v>
      </c>
      <c r="B16" s="27" t="s">
        <v>78</v>
      </c>
      <c r="C16" s="28" t="s">
        <v>79</v>
      </c>
      <c r="D16" s="27" t="s">
        <v>80</v>
      </c>
      <c r="E16" s="27" t="s">
        <v>36</v>
      </c>
      <c r="F16" s="27" t="n">
        <v>3</v>
      </c>
      <c r="G16" s="27" t="n">
        <v>6</v>
      </c>
      <c r="H16" s="27" t="n">
        <v>2</v>
      </c>
      <c r="I16" s="29" t="n">
        <v>68</v>
      </c>
      <c r="J16" s="22" t="n">
        <f aca="false">IF(H16="","",H16*I16)</f>
        <v>136</v>
      </c>
      <c r="K16" s="30" t="str">
        <f aca="false">IF(H16="","",IF(H16=0,"Out of Stock",IF(H16&lt;F16,"Low","OK")))</f>
        <v>Low</v>
      </c>
      <c r="L16" s="31" t="str">
        <f aca="false">IF(H16="","",IF(H16&lt;=F16,"REORDER",""))</f>
        <v>REORDER</v>
      </c>
      <c r="M16" s="28"/>
      <c r="N16" s="28" t="s">
        <v>81</v>
      </c>
      <c r="O16" s="27" t="n">
        <v>3</v>
      </c>
      <c r="P16" s="32" t="n">
        <v>46032</v>
      </c>
      <c r="Q16" s="28" t="s">
        <v>82</v>
      </c>
    </row>
    <row r="17" customFormat="false" ht="24" hidden="false" customHeight="true" outlineLevel="0" collapsed="false">
      <c r="A17" s="21" t="n">
        <f aca="false">IF(COUNTA(B17:M17)=0,"",ROW()-12)</f>
        <v>5</v>
      </c>
      <c r="B17" s="27" t="s">
        <v>83</v>
      </c>
      <c r="C17" s="28" t="s">
        <v>84</v>
      </c>
      <c r="D17" s="27" t="s">
        <v>85</v>
      </c>
      <c r="E17" s="27" t="s">
        <v>36</v>
      </c>
      <c r="F17" s="27" t="n">
        <v>6</v>
      </c>
      <c r="G17" s="27" t="n">
        <v>12</v>
      </c>
      <c r="H17" s="27" t="n">
        <v>8</v>
      </c>
      <c r="I17" s="29" t="n">
        <v>12.5</v>
      </c>
      <c r="J17" s="22" t="n">
        <f aca="false">IF(H17="","",H17*I17)</f>
        <v>100</v>
      </c>
      <c r="K17" s="30" t="str">
        <f aca="false">IF(H17="","",IF(H17=0,"Out of Stock",IF(H17&lt;F17,"Low","OK")))</f>
        <v>OK</v>
      </c>
      <c r="L17" s="31" t="str">
        <f aca="false">IF(H17="","",IF(H17&lt;=F17,"REORDER",""))</f>
        <v/>
      </c>
      <c r="M17" s="28"/>
      <c r="N17" s="28" t="s">
        <v>86</v>
      </c>
      <c r="O17" s="27" t="n">
        <v>1</v>
      </c>
      <c r="P17" s="32" t="n">
        <v>46082</v>
      </c>
      <c r="Q17" s="28" t="s">
        <v>87</v>
      </c>
    </row>
    <row r="18" customFormat="false" ht="24" hidden="false" customHeight="true" outlineLevel="0" collapsed="false">
      <c r="A18" s="21" t="n">
        <f aca="false">IF(COUNTA(B18:M18)=0,"",ROW()-12)</f>
        <v>6</v>
      </c>
      <c r="B18" s="27" t="s">
        <v>88</v>
      </c>
      <c r="C18" s="28" t="s">
        <v>89</v>
      </c>
      <c r="D18" s="27" t="s">
        <v>90</v>
      </c>
      <c r="E18" s="27" t="s">
        <v>38</v>
      </c>
      <c r="F18" s="27" t="n">
        <v>1</v>
      </c>
      <c r="G18" s="27" t="n">
        <v>2</v>
      </c>
      <c r="H18" s="27" t="n">
        <v>1</v>
      </c>
      <c r="I18" s="29" t="n">
        <v>520</v>
      </c>
      <c r="J18" s="22" t="n">
        <f aca="false">IF(H18="","",H18*I18)</f>
        <v>520</v>
      </c>
      <c r="K18" s="30" t="str">
        <f aca="false">IF(H18="","",IF(H18=0,"Out of Stock",IF(H18&lt;F18,"Low","OK")))</f>
        <v>OK</v>
      </c>
      <c r="L18" s="31" t="str">
        <f aca="false">IF(H18="","",IF(H18&lt;=F18,"REORDER",""))</f>
        <v>REORDER</v>
      </c>
      <c r="M18" s="28"/>
      <c r="N18" s="28" t="s">
        <v>91</v>
      </c>
      <c r="O18" s="27" t="n">
        <v>8</v>
      </c>
      <c r="P18" s="32" t="n">
        <v>45996</v>
      </c>
      <c r="Q18" s="28" t="s">
        <v>92</v>
      </c>
    </row>
    <row r="19" customFormat="false" ht="24" hidden="false" customHeight="true" outlineLevel="0" collapsed="false">
      <c r="A19" s="21" t="n">
        <f aca="false">IF(COUNTA(B19:M19)=0,"",ROW()-12)</f>
        <v>7</v>
      </c>
      <c r="B19" s="27" t="s">
        <v>93</v>
      </c>
      <c r="C19" s="28" t="s">
        <v>94</v>
      </c>
      <c r="D19" s="27" t="s">
        <v>95</v>
      </c>
      <c r="E19" s="27" t="s">
        <v>38</v>
      </c>
      <c r="F19" s="27" t="n">
        <v>2</v>
      </c>
      <c r="G19" s="27" t="n">
        <v>4</v>
      </c>
      <c r="H19" s="27" t="n">
        <v>4</v>
      </c>
      <c r="I19" s="29" t="n">
        <v>95</v>
      </c>
      <c r="J19" s="22" t="n">
        <f aca="false">IF(H19="","",H19*I19)</f>
        <v>380</v>
      </c>
      <c r="K19" s="30" t="str">
        <f aca="false">IF(H19="","",IF(H19=0,"Out of Stock",IF(H19&lt;F19,"Low","OK")))</f>
        <v>OK</v>
      </c>
      <c r="L19" s="31" t="str">
        <f aca="false">IF(H19="","",IF(H19&lt;=F19,"REORDER",""))</f>
        <v/>
      </c>
      <c r="M19" s="28"/>
      <c r="N19" s="28" t="s">
        <v>96</v>
      </c>
      <c r="O19" s="27" t="n">
        <v>2</v>
      </c>
      <c r="P19" s="32" t="n">
        <v>46068</v>
      </c>
      <c r="Q19" s="28" t="s">
        <v>97</v>
      </c>
    </row>
    <row r="20" customFormat="false" ht="24" hidden="false" customHeight="true" outlineLevel="0" collapsed="false">
      <c r="A20" s="21" t="n">
        <f aca="false">IF(COUNTA(B20:M20)=0,"",ROW()-12)</f>
        <v>8</v>
      </c>
      <c r="B20" s="27" t="s">
        <v>98</v>
      </c>
      <c r="C20" s="28" t="s">
        <v>99</v>
      </c>
      <c r="D20" s="27" t="s">
        <v>100</v>
      </c>
      <c r="E20" s="27" t="s">
        <v>40</v>
      </c>
      <c r="F20" s="27" t="n">
        <v>1</v>
      </c>
      <c r="G20" s="27" t="n">
        <v>1</v>
      </c>
      <c r="H20" s="27" t="n">
        <v>1</v>
      </c>
      <c r="I20" s="29" t="n">
        <v>2850</v>
      </c>
      <c r="J20" s="22" t="n">
        <f aca="false">IF(H20="","",H20*I20)</f>
        <v>2850</v>
      </c>
      <c r="K20" s="30" t="str">
        <f aca="false">IF(H20="","",IF(H20=0,"Out of Stock",IF(H20&lt;F20,"Low","OK")))</f>
        <v>OK</v>
      </c>
      <c r="L20" s="31" t="str">
        <f aca="false">IF(H20="","",IF(H20&lt;=F20,"REORDER",""))</f>
        <v>REORDER</v>
      </c>
      <c r="M20" s="28"/>
      <c r="N20" s="28" t="s">
        <v>101</v>
      </c>
      <c r="O20" s="27" t="n">
        <v>10</v>
      </c>
      <c r="P20" s="32" t="n">
        <v>45931</v>
      </c>
      <c r="Q20" s="28" t="s">
        <v>102</v>
      </c>
    </row>
    <row r="21" customFormat="false" ht="24" hidden="false" customHeight="true" outlineLevel="0" collapsed="false">
      <c r="A21" s="21" t="n">
        <f aca="false">IF(COUNTA(B21:M21)=0,"",ROW()-12)</f>
        <v>9</v>
      </c>
      <c r="B21" s="27" t="s">
        <v>103</v>
      </c>
      <c r="C21" s="28" t="s">
        <v>104</v>
      </c>
      <c r="D21" s="27" t="s">
        <v>100</v>
      </c>
      <c r="E21" s="27" t="s">
        <v>40</v>
      </c>
      <c r="F21" s="27" t="n">
        <v>2</v>
      </c>
      <c r="G21" s="27" t="n">
        <v>4</v>
      </c>
      <c r="H21" s="27" t="n">
        <v>0</v>
      </c>
      <c r="I21" s="29" t="n">
        <v>385</v>
      </c>
      <c r="J21" s="22" t="n">
        <f aca="false">IF(H21="","",H21*I21)</f>
        <v>0</v>
      </c>
      <c r="K21" s="30" t="str">
        <f aca="false">IF(H21="","",IF(H21=0,"Out of Stock",IF(H21&lt;F21,"Low","OK")))</f>
        <v>Out of Stock</v>
      </c>
      <c r="L21" s="31" t="str">
        <f aca="false">IF(H21="","",IF(H21&lt;=F21,"REORDER",""))</f>
        <v>REORDER</v>
      </c>
      <c r="M21" s="28" t="s">
        <v>105</v>
      </c>
      <c r="N21" s="28" t="s">
        <v>101</v>
      </c>
      <c r="O21" s="27" t="n">
        <v>10</v>
      </c>
      <c r="P21" s="32" t="n">
        <v>45931</v>
      </c>
      <c r="Q21" s="28" t="s">
        <v>102</v>
      </c>
    </row>
    <row r="22" customFormat="false" ht="15" hidden="false" customHeight="false" outlineLevel="0" collapsed="false">
      <c r="A22" s="21" t="n">
        <f aca="false">IF(COUNTA(B22:M22)=0,"",ROW()-12)</f>
        <v>10</v>
      </c>
      <c r="B22" s="27"/>
      <c r="C22" s="27"/>
      <c r="D22" s="27"/>
      <c r="E22" s="27"/>
      <c r="F22" s="27"/>
      <c r="G22" s="27"/>
      <c r="H22" s="27"/>
      <c r="I22" s="29"/>
      <c r="J22" s="33" t="str">
        <f aca="false">IF(H22="","",H22*I22)</f>
        <v/>
      </c>
      <c r="K22" s="34" t="str">
        <f aca="false">IF(H22="","",IF(H22=0,"Out of Stock",IF(H22&lt;F22,"Low","OK")))</f>
        <v/>
      </c>
      <c r="L22" s="31" t="str">
        <f aca="false">IF(H22="","",IF(H22&lt;=F22,"REORDER",""))</f>
        <v/>
      </c>
      <c r="M22" s="27"/>
      <c r="N22" s="27"/>
      <c r="O22" s="27"/>
      <c r="P22" s="32"/>
      <c r="Q22" s="27"/>
    </row>
    <row r="23" customFormat="false" ht="15" hidden="false" customHeight="false" outlineLevel="0" collapsed="false">
      <c r="A23" s="21" t="n">
        <f aca="false">IF(COUNTA(B23:M23)=0,"",ROW()-12)</f>
        <v>11</v>
      </c>
      <c r="B23" s="27"/>
      <c r="C23" s="27"/>
      <c r="D23" s="27"/>
      <c r="E23" s="27"/>
      <c r="F23" s="27"/>
      <c r="G23" s="27"/>
      <c r="H23" s="27"/>
      <c r="I23" s="29"/>
      <c r="J23" s="33" t="str">
        <f aca="false">IF(H23="","",H23*I23)</f>
        <v/>
      </c>
      <c r="K23" s="34" t="str">
        <f aca="false">IF(H23="","",IF(H23=0,"Out of Stock",IF(H23&lt;F23,"Low","OK")))</f>
        <v/>
      </c>
      <c r="L23" s="31" t="str">
        <f aca="false">IF(H23="","",IF(H23&lt;=F23,"REORDER",""))</f>
        <v/>
      </c>
      <c r="M23" s="27"/>
      <c r="N23" s="27"/>
      <c r="O23" s="27"/>
      <c r="P23" s="32"/>
      <c r="Q23" s="27"/>
    </row>
    <row r="24" customFormat="false" ht="15" hidden="false" customHeight="false" outlineLevel="0" collapsed="false">
      <c r="A24" s="21" t="n">
        <f aca="false">IF(COUNTA(B24:M24)=0,"",ROW()-12)</f>
        <v>12</v>
      </c>
      <c r="B24" s="27"/>
      <c r="C24" s="27"/>
      <c r="D24" s="27"/>
      <c r="E24" s="27"/>
      <c r="F24" s="27"/>
      <c r="G24" s="27"/>
      <c r="H24" s="27"/>
      <c r="I24" s="29"/>
      <c r="J24" s="33" t="str">
        <f aca="false">IF(H24="","",H24*I24)</f>
        <v/>
      </c>
      <c r="K24" s="34" t="str">
        <f aca="false">IF(H24="","",IF(H24=0,"Out of Stock",IF(H24&lt;F24,"Low","OK")))</f>
        <v/>
      </c>
      <c r="L24" s="31" t="str">
        <f aca="false">IF(H24="","",IF(H24&lt;=F24,"REORDER",""))</f>
        <v/>
      </c>
      <c r="M24" s="27"/>
      <c r="N24" s="27"/>
      <c r="O24" s="27"/>
      <c r="P24" s="32"/>
      <c r="Q24" s="27"/>
    </row>
    <row r="25" customFormat="false" ht="15" hidden="false" customHeight="false" outlineLevel="0" collapsed="false">
      <c r="A25" s="21" t="n">
        <f aca="false">IF(COUNTA(B25:M25)=0,"",ROW()-12)</f>
        <v>13</v>
      </c>
      <c r="B25" s="27"/>
      <c r="C25" s="27"/>
      <c r="D25" s="27"/>
      <c r="E25" s="27"/>
      <c r="F25" s="27"/>
      <c r="G25" s="27"/>
      <c r="H25" s="27"/>
      <c r="I25" s="29"/>
      <c r="J25" s="33" t="str">
        <f aca="false">IF(H25="","",H25*I25)</f>
        <v/>
      </c>
      <c r="K25" s="34" t="str">
        <f aca="false">IF(H25="","",IF(H25=0,"Out of Stock",IF(H25&lt;F25,"Low","OK")))</f>
        <v/>
      </c>
      <c r="L25" s="31" t="str">
        <f aca="false">IF(H25="","",IF(H25&lt;=F25,"REORDER",""))</f>
        <v/>
      </c>
      <c r="M25" s="27"/>
      <c r="N25" s="27"/>
      <c r="O25" s="27"/>
      <c r="P25" s="32"/>
      <c r="Q25" s="27"/>
    </row>
    <row r="26" customFormat="false" ht="15" hidden="false" customHeight="false" outlineLevel="0" collapsed="false">
      <c r="A26" s="21" t="n">
        <f aca="false">IF(COUNTA(B26:M26)=0,"",ROW()-12)</f>
        <v>14</v>
      </c>
      <c r="B26" s="27"/>
      <c r="C26" s="27"/>
      <c r="D26" s="27"/>
      <c r="E26" s="27"/>
      <c r="F26" s="27"/>
      <c r="G26" s="27"/>
      <c r="H26" s="27"/>
      <c r="I26" s="29"/>
      <c r="J26" s="33" t="str">
        <f aca="false">IF(H26="","",H26*I26)</f>
        <v/>
      </c>
      <c r="K26" s="34" t="str">
        <f aca="false">IF(H26="","",IF(H26=0,"Out of Stock",IF(H26&lt;F26,"Low","OK")))</f>
        <v/>
      </c>
      <c r="L26" s="31" t="str">
        <f aca="false">IF(H26="","",IF(H26&lt;=F26,"REORDER",""))</f>
        <v/>
      </c>
      <c r="M26" s="27"/>
      <c r="N26" s="27"/>
      <c r="O26" s="27"/>
      <c r="P26" s="32"/>
      <c r="Q26" s="27"/>
    </row>
    <row r="27" customFormat="false" ht="15" hidden="false" customHeight="false" outlineLevel="0" collapsed="false">
      <c r="A27" s="21" t="n">
        <f aca="false">IF(COUNTA(B27:M27)=0,"",ROW()-12)</f>
        <v>15</v>
      </c>
      <c r="B27" s="27"/>
      <c r="C27" s="27"/>
      <c r="D27" s="27"/>
      <c r="E27" s="27"/>
      <c r="F27" s="27"/>
      <c r="G27" s="27"/>
      <c r="H27" s="27"/>
      <c r="I27" s="29"/>
      <c r="J27" s="33" t="str">
        <f aca="false">IF(H27="","",H27*I27)</f>
        <v/>
      </c>
      <c r="K27" s="34" t="str">
        <f aca="false">IF(H27="","",IF(H27=0,"Out of Stock",IF(H27&lt;F27,"Low","OK")))</f>
        <v/>
      </c>
      <c r="L27" s="31" t="str">
        <f aca="false">IF(H27="","",IF(H27&lt;=F27,"REORDER",""))</f>
        <v/>
      </c>
      <c r="M27" s="27"/>
      <c r="N27" s="27"/>
      <c r="O27" s="27"/>
      <c r="P27" s="32"/>
      <c r="Q27" s="27"/>
    </row>
    <row r="28" customFormat="false" ht="15" hidden="false" customHeight="false" outlineLevel="0" collapsed="false">
      <c r="A28" s="21" t="n">
        <f aca="false">IF(COUNTA(B28:M28)=0,"",ROW()-12)</f>
        <v>16</v>
      </c>
      <c r="B28" s="27"/>
      <c r="C28" s="27"/>
      <c r="D28" s="27"/>
      <c r="E28" s="27"/>
      <c r="F28" s="27"/>
      <c r="G28" s="27"/>
      <c r="H28" s="27"/>
      <c r="I28" s="29"/>
      <c r="J28" s="33" t="str">
        <f aca="false">IF(H28="","",H28*I28)</f>
        <v/>
      </c>
      <c r="K28" s="34" t="str">
        <f aca="false">IF(H28="","",IF(H28=0,"Out of Stock",IF(H28&lt;F28,"Low","OK")))</f>
        <v/>
      </c>
      <c r="L28" s="31" t="str">
        <f aca="false">IF(H28="","",IF(H28&lt;=F28,"REORDER",""))</f>
        <v/>
      </c>
      <c r="M28" s="27"/>
      <c r="N28" s="27"/>
      <c r="O28" s="27"/>
      <c r="P28" s="32"/>
      <c r="Q28" s="27"/>
    </row>
    <row r="29" customFormat="false" ht="15" hidden="false" customHeight="false" outlineLevel="0" collapsed="false">
      <c r="A29" s="21" t="n">
        <f aca="false">IF(COUNTA(B29:M29)=0,"",ROW()-12)</f>
        <v>17</v>
      </c>
      <c r="B29" s="27"/>
      <c r="C29" s="27"/>
      <c r="D29" s="27"/>
      <c r="E29" s="27"/>
      <c r="F29" s="27"/>
      <c r="G29" s="27"/>
      <c r="H29" s="27"/>
      <c r="I29" s="29"/>
      <c r="J29" s="33" t="str">
        <f aca="false">IF(H29="","",H29*I29)</f>
        <v/>
      </c>
      <c r="K29" s="34" t="str">
        <f aca="false">IF(H29="","",IF(H29=0,"Out of Stock",IF(H29&lt;F29,"Low","OK")))</f>
        <v/>
      </c>
      <c r="L29" s="31" t="str">
        <f aca="false">IF(H29="","",IF(H29&lt;=F29,"REORDER",""))</f>
        <v/>
      </c>
      <c r="M29" s="27"/>
      <c r="N29" s="27"/>
      <c r="O29" s="27"/>
      <c r="P29" s="32"/>
      <c r="Q29" s="27"/>
    </row>
    <row r="30" customFormat="false" ht="15" hidden="false" customHeight="false" outlineLevel="0" collapsed="false">
      <c r="A30" s="21" t="n">
        <f aca="false">IF(COUNTA(B30:M30)=0,"",ROW()-12)</f>
        <v>18</v>
      </c>
      <c r="B30" s="27"/>
      <c r="C30" s="27"/>
      <c r="D30" s="27"/>
      <c r="E30" s="27"/>
      <c r="F30" s="27"/>
      <c r="G30" s="27"/>
      <c r="H30" s="27"/>
      <c r="I30" s="29"/>
      <c r="J30" s="33" t="str">
        <f aca="false">IF(H30="","",H30*I30)</f>
        <v/>
      </c>
      <c r="K30" s="34" t="str">
        <f aca="false">IF(H30="","",IF(H30=0,"Out of Stock",IF(H30&lt;F30,"Low","OK")))</f>
        <v/>
      </c>
      <c r="L30" s="31" t="str">
        <f aca="false">IF(H30="","",IF(H30&lt;=F30,"REORDER",""))</f>
        <v/>
      </c>
      <c r="M30" s="27"/>
      <c r="N30" s="27"/>
      <c r="O30" s="27"/>
      <c r="P30" s="32"/>
      <c r="Q30" s="27"/>
    </row>
    <row r="31" customFormat="false" ht="15" hidden="false" customHeight="false" outlineLevel="0" collapsed="false">
      <c r="A31" s="21" t="n">
        <f aca="false">IF(COUNTA(B31:M31)=0,"",ROW()-12)</f>
        <v>19</v>
      </c>
      <c r="B31" s="27"/>
      <c r="C31" s="27"/>
      <c r="D31" s="27"/>
      <c r="E31" s="27"/>
      <c r="F31" s="27"/>
      <c r="G31" s="27"/>
      <c r="H31" s="27"/>
      <c r="I31" s="29"/>
      <c r="J31" s="33" t="str">
        <f aca="false">IF(H31="","",H31*I31)</f>
        <v/>
      </c>
      <c r="K31" s="34" t="str">
        <f aca="false">IF(H31="","",IF(H31=0,"Out of Stock",IF(H31&lt;F31,"Low","OK")))</f>
        <v/>
      </c>
      <c r="L31" s="31" t="str">
        <f aca="false">IF(H31="","",IF(H31&lt;=F31,"REORDER",""))</f>
        <v/>
      </c>
      <c r="M31" s="27"/>
      <c r="N31" s="27"/>
      <c r="O31" s="27"/>
      <c r="P31" s="32"/>
      <c r="Q31" s="27"/>
    </row>
    <row r="32" customFormat="false" ht="15" hidden="false" customHeight="false" outlineLevel="0" collapsed="false">
      <c r="A32" s="21" t="n">
        <f aca="false">IF(COUNTA(B32:M32)=0,"",ROW()-12)</f>
        <v>20</v>
      </c>
      <c r="B32" s="27"/>
      <c r="C32" s="27"/>
      <c r="D32" s="27"/>
      <c r="E32" s="27"/>
      <c r="F32" s="27"/>
      <c r="G32" s="27"/>
      <c r="H32" s="27"/>
      <c r="I32" s="29"/>
      <c r="J32" s="33" t="str">
        <f aca="false">IF(H32="","",H32*I32)</f>
        <v/>
      </c>
      <c r="K32" s="34" t="str">
        <f aca="false">IF(H32="","",IF(H32=0,"Out of Stock",IF(H32&lt;F32,"Low","OK")))</f>
        <v/>
      </c>
      <c r="L32" s="31" t="str">
        <f aca="false">IF(H32="","",IF(H32&lt;=F32,"REORDER",""))</f>
        <v/>
      </c>
      <c r="M32" s="27"/>
      <c r="N32" s="27"/>
      <c r="O32" s="27"/>
      <c r="P32" s="32"/>
      <c r="Q32" s="27"/>
    </row>
    <row r="33" customFormat="false" ht="15" hidden="false" customHeight="false" outlineLevel="0" collapsed="false">
      <c r="A33" s="21" t="n">
        <f aca="false">IF(COUNTA(B33:M33)=0,"",ROW()-12)</f>
        <v>21</v>
      </c>
      <c r="B33" s="27"/>
      <c r="C33" s="27"/>
      <c r="D33" s="27"/>
      <c r="E33" s="27"/>
      <c r="F33" s="27"/>
      <c r="G33" s="27"/>
      <c r="H33" s="27"/>
      <c r="I33" s="29"/>
      <c r="J33" s="33" t="str">
        <f aca="false">IF(H33="","",H33*I33)</f>
        <v/>
      </c>
      <c r="K33" s="34" t="str">
        <f aca="false">IF(H33="","",IF(H33=0,"Out of Stock",IF(H33&lt;F33,"Low","OK")))</f>
        <v/>
      </c>
      <c r="L33" s="31" t="str">
        <f aca="false">IF(H33="","",IF(H33&lt;=F33,"REORDER",""))</f>
        <v/>
      </c>
      <c r="M33" s="27"/>
      <c r="N33" s="27"/>
      <c r="O33" s="27"/>
      <c r="P33" s="32"/>
      <c r="Q33" s="27"/>
    </row>
    <row r="34" customFormat="false" ht="15" hidden="false" customHeight="false" outlineLevel="0" collapsed="false">
      <c r="A34" s="21" t="n">
        <f aca="false">IF(COUNTA(B34:M34)=0,"",ROW()-12)</f>
        <v>22</v>
      </c>
      <c r="B34" s="27"/>
      <c r="C34" s="27"/>
      <c r="D34" s="27"/>
      <c r="E34" s="27"/>
      <c r="F34" s="27"/>
      <c r="G34" s="27"/>
      <c r="H34" s="27"/>
      <c r="I34" s="29"/>
      <c r="J34" s="33" t="str">
        <f aca="false">IF(H34="","",H34*I34)</f>
        <v/>
      </c>
      <c r="K34" s="34" t="str">
        <f aca="false">IF(H34="","",IF(H34=0,"Out of Stock",IF(H34&lt;F34,"Low","OK")))</f>
        <v/>
      </c>
      <c r="L34" s="31" t="str">
        <f aca="false">IF(H34="","",IF(H34&lt;=F34,"REORDER",""))</f>
        <v/>
      </c>
      <c r="M34" s="27"/>
      <c r="N34" s="27"/>
      <c r="O34" s="27"/>
      <c r="P34" s="32"/>
      <c r="Q34" s="27"/>
    </row>
    <row r="35" customFormat="false" ht="15" hidden="false" customHeight="false" outlineLevel="0" collapsed="false">
      <c r="A35" s="21" t="n">
        <f aca="false">IF(COUNTA(B35:M35)=0,"",ROW()-12)</f>
        <v>23</v>
      </c>
      <c r="B35" s="27"/>
      <c r="C35" s="27"/>
      <c r="D35" s="27"/>
      <c r="E35" s="27"/>
      <c r="F35" s="27"/>
      <c r="G35" s="27"/>
      <c r="H35" s="27"/>
      <c r="I35" s="29"/>
      <c r="J35" s="33" t="str">
        <f aca="false">IF(H35="","",H35*I35)</f>
        <v/>
      </c>
      <c r="K35" s="34" t="str">
        <f aca="false">IF(H35="","",IF(H35=0,"Out of Stock",IF(H35&lt;F35,"Low","OK")))</f>
        <v/>
      </c>
      <c r="L35" s="31" t="str">
        <f aca="false">IF(H35="","",IF(H35&lt;=F35,"REORDER",""))</f>
        <v/>
      </c>
      <c r="M35" s="27"/>
      <c r="N35" s="27"/>
      <c r="O35" s="27"/>
      <c r="P35" s="32"/>
      <c r="Q35" s="27"/>
    </row>
    <row r="36" customFormat="false" ht="15" hidden="false" customHeight="false" outlineLevel="0" collapsed="false">
      <c r="A36" s="21" t="n">
        <f aca="false">IF(COUNTA(B36:M36)=0,"",ROW()-12)</f>
        <v>24</v>
      </c>
      <c r="B36" s="27"/>
      <c r="C36" s="27"/>
      <c r="D36" s="27"/>
      <c r="E36" s="27"/>
      <c r="F36" s="27"/>
      <c r="G36" s="27"/>
      <c r="H36" s="27"/>
      <c r="I36" s="29"/>
      <c r="J36" s="33" t="str">
        <f aca="false">IF(H36="","",H36*I36)</f>
        <v/>
      </c>
      <c r="K36" s="34" t="str">
        <f aca="false">IF(H36="","",IF(H36=0,"Out of Stock",IF(H36&lt;F36,"Low","OK")))</f>
        <v/>
      </c>
      <c r="L36" s="31" t="str">
        <f aca="false">IF(H36="","",IF(H36&lt;=F36,"REORDER",""))</f>
        <v/>
      </c>
      <c r="M36" s="27"/>
      <c r="N36" s="27"/>
      <c r="O36" s="27"/>
      <c r="P36" s="32"/>
      <c r="Q36" s="27"/>
    </row>
    <row r="37" customFormat="false" ht="15" hidden="false" customHeight="false" outlineLevel="0" collapsed="false">
      <c r="A37" s="21" t="n">
        <f aca="false">IF(COUNTA(B37:M37)=0,"",ROW()-12)</f>
        <v>25</v>
      </c>
      <c r="B37" s="27"/>
      <c r="C37" s="27"/>
      <c r="D37" s="27"/>
      <c r="E37" s="27"/>
      <c r="F37" s="27"/>
      <c r="G37" s="27"/>
      <c r="H37" s="27"/>
      <c r="I37" s="29"/>
      <c r="J37" s="33" t="str">
        <f aca="false">IF(H37="","",H37*I37)</f>
        <v/>
      </c>
      <c r="K37" s="34" t="str">
        <f aca="false">IF(H37="","",IF(H37=0,"Out of Stock",IF(H37&lt;F37,"Low","OK")))</f>
        <v/>
      </c>
      <c r="L37" s="31" t="str">
        <f aca="false">IF(H37="","",IF(H37&lt;=F37,"REORDER",""))</f>
        <v/>
      </c>
      <c r="M37" s="27"/>
      <c r="N37" s="27"/>
      <c r="O37" s="27"/>
      <c r="P37" s="32"/>
      <c r="Q37" s="27"/>
    </row>
    <row r="38" customFormat="false" ht="15" hidden="false" customHeight="false" outlineLevel="0" collapsed="false">
      <c r="A38" s="21" t="n">
        <f aca="false">IF(COUNTA(B38:M38)=0,"",ROW()-12)</f>
        <v>26</v>
      </c>
      <c r="B38" s="27"/>
      <c r="C38" s="27"/>
      <c r="D38" s="27"/>
      <c r="E38" s="27"/>
      <c r="F38" s="27"/>
      <c r="G38" s="27"/>
      <c r="H38" s="27"/>
      <c r="I38" s="29"/>
      <c r="J38" s="33" t="str">
        <f aca="false">IF(H38="","",H38*I38)</f>
        <v/>
      </c>
      <c r="K38" s="34" t="str">
        <f aca="false">IF(H38="","",IF(H38=0,"Out of Stock",IF(H38&lt;F38,"Low","OK")))</f>
        <v/>
      </c>
      <c r="L38" s="31" t="str">
        <f aca="false">IF(H38="","",IF(H38&lt;=F38,"REORDER",""))</f>
        <v/>
      </c>
      <c r="M38" s="27"/>
      <c r="N38" s="27"/>
      <c r="O38" s="27"/>
      <c r="P38" s="32"/>
      <c r="Q38" s="27"/>
    </row>
    <row r="39" customFormat="false" ht="15" hidden="false" customHeight="false" outlineLevel="0" collapsed="false">
      <c r="A39" s="21" t="n">
        <f aca="false">IF(COUNTA(B39:M39)=0,"",ROW()-12)</f>
        <v>27</v>
      </c>
      <c r="B39" s="27"/>
      <c r="C39" s="27"/>
      <c r="D39" s="27"/>
      <c r="E39" s="27"/>
      <c r="F39" s="27"/>
      <c r="G39" s="27"/>
      <c r="H39" s="27"/>
      <c r="I39" s="29"/>
      <c r="J39" s="33" t="str">
        <f aca="false">IF(H39="","",H39*I39)</f>
        <v/>
      </c>
      <c r="K39" s="34" t="str">
        <f aca="false">IF(H39="","",IF(H39=0,"Out of Stock",IF(H39&lt;F39,"Low","OK")))</f>
        <v/>
      </c>
      <c r="L39" s="31" t="str">
        <f aca="false">IF(H39="","",IF(H39&lt;=F39,"REORDER",""))</f>
        <v/>
      </c>
      <c r="M39" s="27"/>
      <c r="N39" s="27"/>
      <c r="O39" s="27"/>
      <c r="P39" s="32"/>
      <c r="Q39" s="27"/>
    </row>
    <row r="40" customFormat="false" ht="15" hidden="false" customHeight="false" outlineLevel="0" collapsed="false">
      <c r="A40" s="21" t="n">
        <f aca="false">IF(COUNTA(B40:M40)=0,"",ROW()-12)</f>
        <v>28</v>
      </c>
      <c r="B40" s="27"/>
      <c r="C40" s="27"/>
      <c r="D40" s="27"/>
      <c r="E40" s="27"/>
      <c r="F40" s="27"/>
      <c r="G40" s="27"/>
      <c r="H40" s="27"/>
      <c r="I40" s="29"/>
      <c r="J40" s="33" t="str">
        <f aca="false">IF(H40="","",H40*I40)</f>
        <v/>
      </c>
      <c r="K40" s="34" t="str">
        <f aca="false">IF(H40="","",IF(H40=0,"Out of Stock",IF(H40&lt;F40,"Low","OK")))</f>
        <v/>
      </c>
      <c r="L40" s="31" t="str">
        <f aca="false">IF(H40="","",IF(H40&lt;=F40,"REORDER",""))</f>
        <v/>
      </c>
      <c r="M40" s="27"/>
      <c r="N40" s="27"/>
      <c r="O40" s="27"/>
      <c r="P40" s="32"/>
      <c r="Q40" s="27"/>
    </row>
    <row r="41" customFormat="false" ht="15" hidden="false" customHeight="false" outlineLevel="0" collapsed="false">
      <c r="A41" s="21" t="n">
        <f aca="false">IF(COUNTA(B41:M41)=0,"",ROW()-12)</f>
        <v>29</v>
      </c>
      <c r="B41" s="27"/>
      <c r="C41" s="27"/>
      <c r="D41" s="27"/>
      <c r="E41" s="27"/>
      <c r="F41" s="27"/>
      <c r="G41" s="27"/>
      <c r="H41" s="27"/>
      <c r="I41" s="29"/>
      <c r="J41" s="33" t="str">
        <f aca="false">IF(H41="","",H41*I41)</f>
        <v/>
      </c>
      <c r="K41" s="34" t="str">
        <f aca="false">IF(H41="","",IF(H41=0,"Out of Stock",IF(H41&lt;F41,"Low","OK")))</f>
        <v/>
      </c>
      <c r="L41" s="31" t="str">
        <f aca="false">IF(H41="","",IF(H41&lt;=F41,"REORDER",""))</f>
        <v/>
      </c>
      <c r="M41" s="27"/>
      <c r="N41" s="27"/>
      <c r="O41" s="27"/>
      <c r="P41" s="32"/>
      <c r="Q41" s="27"/>
    </row>
    <row r="42" customFormat="false" ht="15" hidden="false" customHeight="false" outlineLevel="0" collapsed="false">
      <c r="A42" s="21" t="n">
        <f aca="false">IF(COUNTA(B42:M42)=0,"",ROW()-12)</f>
        <v>30</v>
      </c>
      <c r="B42" s="27"/>
      <c r="C42" s="27"/>
      <c r="D42" s="27"/>
      <c r="E42" s="27"/>
      <c r="F42" s="27"/>
      <c r="G42" s="27"/>
      <c r="H42" s="27"/>
      <c r="I42" s="29"/>
      <c r="J42" s="33" t="str">
        <f aca="false">IF(H42="","",H42*I42)</f>
        <v/>
      </c>
      <c r="K42" s="34" t="str">
        <f aca="false">IF(H42="","",IF(H42=0,"Out of Stock",IF(H42&lt;F42,"Low","OK")))</f>
        <v/>
      </c>
      <c r="L42" s="31" t="str">
        <f aca="false">IF(H42="","",IF(H42&lt;=F42,"REORDER",""))</f>
        <v/>
      </c>
      <c r="M42" s="27"/>
      <c r="N42" s="27"/>
      <c r="O42" s="27"/>
      <c r="P42" s="32"/>
      <c r="Q42" s="27"/>
    </row>
    <row r="43" customFormat="false" ht="15" hidden="false" customHeight="false" outlineLevel="0" collapsed="false">
      <c r="A43" s="21" t="n">
        <f aca="false">IF(COUNTA(B43:M43)=0,"",ROW()-12)</f>
        <v>31</v>
      </c>
      <c r="B43" s="27"/>
      <c r="C43" s="27"/>
      <c r="D43" s="27"/>
      <c r="E43" s="27"/>
      <c r="F43" s="27"/>
      <c r="G43" s="27"/>
      <c r="H43" s="27"/>
      <c r="I43" s="29"/>
      <c r="J43" s="33" t="str">
        <f aca="false">IF(H43="","",H43*I43)</f>
        <v/>
      </c>
      <c r="K43" s="34" t="str">
        <f aca="false">IF(H43="","",IF(H43=0,"Out of Stock",IF(H43&lt;F43,"Low","OK")))</f>
        <v/>
      </c>
      <c r="L43" s="31" t="str">
        <f aca="false">IF(H43="","",IF(H43&lt;=F43,"REORDER",""))</f>
        <v/>
      </c>
      <c r="M43" s="27"/>
      <c r="N43" s="27"/>
      <c r="O43" s="27"/>
      <c r="P43" s="32"/>
      <c r="Q43" s="27"/>
    </row>
    <row r="44" customFormat="false" ht="15" hidden="false" customHeight="false" outlineLevel="0" collapsed="false">
      <c r="A44" s="21" t="n">
        <f aca="false">IF(COUNTA(B44:M44)=0,"",ROW()-12)</f>
        <v>32</v>
      </c>
      <c r="B44" s="27"/>
      <c r="C44" s="27"/>
      <c r="D44" s="27"/>
      <c r="E44" s="27"/>
      <c r="F44" s="27"/>
      <c r="G44" s="27"/>
      <c r="H44" s="27"/>
      <c r="I44" s="29"/>
      <c r="J44" s="33" t="str">
        <f aca="false">IF(H44="","",H44*I44)</f>
        <v/>
      </c>
      <c r="K44" s="34" t="str">
        <f aca="false">IF(H44="","",IF(H44=0,"Out of Stock",IF(H44&lt;F44,"Low","OK")))</f>
        <v/>
      </c>
      <c r="L44" s="31" t="str">
        <f aca="false">IF(H44="","",IF(H44&lt;=F44,"REORDER",""))</f>
        <v/>
      </c>
      <c r="M44" s="27"/>
      <c r="N44" s="27"/>
      <c r="O44" s="27"/>
      <c r="P44" s="32"/>
      <c r="Q44" s="27"/>
    </row>
    <row r="45" customFormat="false" ht="15" hidden="false" customHeight="false" outlineLevel="0" collapsed="false">
      <c r="A45" s="21" t="n">
        <f aca="false">IF(COUNTA(B45:M45)=0,"",ROW()-12)</f>
        <v>33</v>
      </c>
      <c r="B45" s="27"/>
      <c r="C45" s="27"/>
      <c r="D45" s="27"/>
      <c r="E45" s="27"/>
      <c r="F45" s="27"/>
      <c r="G45" s="27"/>
      <c r="H45" s="27"/>
      <c r="I45" s="29"/>
      <c r="J45" s="33" t="str">
        <f aca="false">IF(H45="","",H45*I45)</f>
        <v/>
      </c>
      <c r="K45" s="34" t="str">
        <f aca="false">IF(H45="","",IF(H45=0,"Out of Stock",IF(H45&lt;F45,"Low","OK")))</f>
        <v/>
      </c>
      <c r="L45" s="31" t="str">
        <f aca="false">IF(H45="","",IF(H45&lt;=F45,"REORDER",""))</f>
        <v/>
      </c>
      <c r="M45" s="27"/>
      <c r="N45" s="27"/>
      <c r="O45" s="27"/>
      <c r="P45" s="32"/>
      <c r="Q45" s="27"/>
    </row>
    <row r="46" customFormat="false" ht="15" hidden="false" customHeight="false" outlineLevel="0" collapsed="false">
      <c r="A46" s="21" t="n">
        <f aca="false">IF(COUNTA(B46:M46)=0,"",ROW()-12)</f>
        <v>34</v>
      </c>
      <c r="B46" s="27"/>
      <c r="C46" s="27"/>
      <c r="D46" s="27"/>
      <c r="E46" s="27"/>
      <c r="F46" s="27"/>
      <c r="G46" s="27"/>
      <c r="H46" s="27"/>
      <c r="I46" s="29"/>
      <c r="J46" s="33" t="str">
        <f aca="false">IF(H46="","",H46*I46)</f>
        <v/>
      </c>
      <c r="K46" s="34" t="str">
        <f aca="false">IF(H46="","",IF(H46=0,"Out of Stock",IF(H46&lt;F46,"Low","OK")))</f>
        <v/>
      </c>
      <c r="L46" s="31" t="str">
        <f aca="false">IF(H46="","",IF(H46&lt;=F46,"REORDER",""))</f>
        <v/>
      </c>
      <c r="M46" s="27"/>
      <c r="N46" s="27"/>
      <c r="O46" s="27"/>
      <c r="P46" s="32"/>
      <c r="Q46" s="27"/>
    </row>
    <row r="47" customFormat="false" ht="15" hidden="false" customHeight="false" outlineLevel="0" collapsed="false">
      <c r="A47" s="21" t="n">
        <f aca="false">IF(COUNTA(B47:M47)=0,"",ROW()-12)</f>
        <v>35</v>
      </c>
      <c r="B47" s="27"/>
      <c r="C47" s="27"/>
      <c r="D47" s="27"/>
      <c r="E47" s="27"/>
      <c r="F47" s="27"/>
      <c r="G47" s="27"/>
      <c r="H47" s="27"/>
      <c r="I47" s="29"/>
      <c r="J47" s="33" t="str">
        <f aca="false">IF(H47="","",H47*I47)</f>
        <v/>
      </c>
      <c r="K47" s="34" t="str">
        <f aca="false">IF(H47="","",IF(H47=0,"Out of Stock",IF(H47&lt;F47,"Low","OK")))</f>
        <v/>
      </c>
      <c r="L47" s="31" t="str">
        <f aca="false">IF(H47="","",IF(H47&lt;=F47,"REORDER",""))</f>
        <v/>
      </c>
      <c r="M47" s="27"/>
      <c r="N47" s="27"/>
      <c r="O47" s="27"/>
      <c r="P47" s="32"/>
      <c r="Q47" s="27"/>
    </row>
    <row r="48" customFormat="false" ht="15" hidden="false" customHeight="false" outlineLevel="0" collapsed="false">
      <c r="A48" s="21" t="n">
        <f aca="false">IF(COUNTA(B48:M48)=0,"",ROW()-12)</f>
        <v>36</v>
      </c>
      <c r="B48" s="27"/>
      <c r="C48" s="27"/>
      <c r="D48" s="27"/>
      <c r="E48" s="27"/>
      <c r="F48" s="27"/>
      <c r="G48" s="27"/>
      <c r="H48" s="27"/>
      <c r="I48" s="29"/>
      <c r="J48" s="33" t="str">
        <f aca="false">IF(H48="","",H48*I48)</f>
        <v/>
      </c>
      <c r="K48" s="34" t="str">
        <f aca="false">IF(H48="","",IF(H48=0,"Out of Stock",IF(H48&lt;F48,"Low","OK")))</f>
        <v/>
      </c>
      <c r="L48" s="31" t="str">
        <f aca="false">IF(H48="","",IF(H48&lt;=F48,"REORDER",""))</f>
        <v/>
      </c>
      <c r="M48" s="27"/>
      <c r="N48" s="27"/>
      <c r="O48" s="27"/>
      <c r="P48" s="32"/>
      <c r="Q48" s="27"/>
    </row>
    <row r="49" customFormat="false" ht="15" hidden="false" customHeight="false" outlineLevel="0" collapsed="false">
      <c r="A49" s="21" t="n">
        <f aca="false">IF(COUNTA(B49:M49)=0,"",ROW()-12)</f>
        <v>37</v>
      </c>
      <c r="B49" s="27"/>
      <c r="C49" s="27"/>
      <c r="D49" s="27"/>
      <c r="E49" s="27"/>
      <c r="F49" s="27"/>
      <c r="G49" s="27"/>
      <c r="H49" s="27"/>
      <c r="I49" s="29"/>
      <c r="J49" s="33" t="str">
        <f aca="false">IF(H49="","",H49*I49)</f>
        <v/>
      </c>
      <c r="K49" s="34" t="str">
        <f aca="false">IF(H49="","",IF(H49=0,"Out of Stock",IF(H49&lt;F49,"Low","OK")))</f>
        <v/>
      </c>
      <c r="L49" s="31" t="str">
        <f aca="false">IF(H49="","",IF(H49&lt;=F49,"REORDER",""))</f>
        <v/>
      </c>
      <c r="M49" s="27"/>
      <c r="N49" s="27"/>
      <c r="O49" s="27"/>
      <c r="P49" s="32"/>
      <c r="Q49" s="27"/>
    </row>
    <row r="50" customFormat="false" ht="15" hidden="false" customHeight="false" outlineLevel="0" collapsed="false">
      <c r="A50" s="21" t="n">
        <f aca="false">IF(COUNTA(B50:M50)=0,"",ROW()-12)</f>
        <v>38</v>
      </c>
      <c r="B50" s="27"/>
      <c r="C50" s="27"/>
      <c r="D50" s="27"/>
      <c r="E50" s="27"/>
      <c r="F50" s="27"/>
      <c r="G50" s="27"/>
      <c r="H50" s="27"/>
      <c r="I50" s="29"/>
      <c r="J50" s="33" t="str">
        <f aca="false">IF(H50="","",H50*I50)</f>
        <v/>
      </c>
      <c r="K50" s="34" t="str">
        <f aca="false">IF(H50="","",IF(H50=0,"Out of Stock",IF(H50&lt;F50,"Low","OK")))</f>
        <v/>
      </c>
      <c r="L50" s="31" t="str">
        <f aca="false">IF(H50="","",IF(H50&lt;=F50,"REORDER",""))</f>
        <v/>
      </c>
      <c r="M50" s="27"/>
      <c r="N50" s="27"/>
      <c r="O50" s="27"/>
      <c r="P50" s="32"/>
      <c r="Q50" s="27"/>
    </row>
    <row r="51" customFormat="false" ht="15" hidden="false" customHeight="false" outlineLevel="0" collapsed="false">
      <c r="A51" s="21" t="n">
        <f aca="false">IF(COUNTA(B51:M51)=0,"",ROW()-12)</f>
        <v>39</v>
      </c>
      <c r="B51" s="27"/>
      <c r="C51" s="27"/>
      <c r="D51" s="27"/>
      <c r="E51" s="27"/>
      <c r="F51" s="27"/>
      <c r="G51" s="27"/>
      <c r="H51" s="27"/>
      <c r="I51" s="29"/>
      <c r="J51" s="33" t="str">
        <f aca="false">IF(H51="","",H51*I51)</f>
        <v/>
      </c>
      <c r="K51" s="34" t="str">
        <f aca="false">IF(H51="","",IF(H51=0,"Out of Stock",IF(H51&lt;F51,"Low","OK")))</f>
        <v/>
      </c>
      <c r="L51" s="31" t="str">
        <f aca="false">IF(H51="","",IF(H51&lt;=F51,"REORDER",""))</f>
        <v/>
      </c>
      <c r="M51" s="27"/>
      <c r="N51" s="27"/>
      <c r="O51" s="27"/>
      <c r="P51" s="32"/>
      <c r="Q51" s="27"/>
    </row>
    <row r="52" customFormat="false" ht="15" hidden="false" customHeight="false" outlineLevel="0" collapsed="false">
      <c r="A52" s="21" t="n">
        <f aca="false">IF(COUNTA(B52:M52)=0,"",ROW()-12)</f>
        <v>40</v>
      </c>
      <c r="B52" s="27"/>
      <c r="C52" s="27"/>
      <c r="D52" s="27"/>
      <c r="E52" s="27"/>
      <c r="F52" s="27"/>
      <c r="G52" s="27"/>
      <c r="H52" s="27"/>
      <c r="I52" s="29"/>
      <c r="J52" s="33" t="str">
        <f aca="false">IF(H52="","",H52*I52)</f>
        <v/>
      </c>
      <c r="K52" s="34" t="str">
        <f aca="false">IF(H52="","",IF(H52=0,"Out of Stock",IF(H52&lt;F52,"Low","OK")))</f>
        <v/>
      </c>
      <c r="L52" s="31" t="str">
        <f aca="false">IF(H52="","",IF(H52&lt;=F52,"REORDER",""))</f>
        <v/>
      </c>
      <c r="M52" s="27"/>
      <c r="N52" s="27"/>
      <c r="O52" s="27"/>
      <c r="P52" s="32"/>
      <c r="Q52" s="27"/>
    </row>
    <row r="53" customFormat="false" ht="15" hidden="false" customHeight="false" outlineLevel="0" collapsed="false">
      <c r="A53" s="21" t="n">
        <f aca="false">IF(COUNTA(B53:M53)=0,"",ROW()-12)</f>
        <v>41</v>
      </c>
      <c r="B53" s="27"/>
      <c r="C53" s="27"/>
      <c r="D53" s="27"/>
      <c r="E53" s="27"/>
      <c r="F53" s="27"/>
      <c r="G53" s="27"/>
      <c r="H53" s="27"/>
      <c r="I53" s="29"/>
      <c r="J53" s="33" t="str">
        <f aca="false">IF(H53="","",H53*I53)</f>
        <v/>
      </c>
      <c r="K53" s="34" t="str">
        <f aca="false">IF(H53="","",IF(H53=0,"Out of Stock",IF(H53&lt;F53,"Low","OK")))</f>
        <v/>
      </c>
      <c r="L53" s="31" t="str">
        <f aca="false">IF(H53="","",IF(H53&lt;=F53,"REORDER",""))</f>
        <v/>
      </c>
      <c r="M53" s="27"/>
      <c r="N53" s="27"/>
      <c r="O53" s="27"/>
      <c r="P53" s="32"/>
      <c r="Q53" s="27"/>
    </row>
    <row r="54" customFormat="false" ht="15" hidden="false" customHeight="false" outlineLevel="0" collapsed="false">
      <c r="A54" s="21" t="n">
        <f aca="false">IF(COUNTA(B54:M54)=0,"",ROW()-12)</f>
        <v>42</v>
      </c>
      <c r="B54" s="27"/>
      <c r="C54" s="27"/>
      <c r="D54" s="27"/>
      <c r="E54" s="27"/>
      <c r="F54" s="27"/>
      <c r="G54" s="27"/>
      <c r="H54" s="27"/>
      <c r="I54" s="29"/>
      <c r="J54" s="33" t="str">
        <f aca="false">IF(H54="","",H54*I54)</f>
        <v/>
      </c>
      <c r="K54" s="34" t="str">
        <f aca="false">IF(H54="","",IF(H54=0,"Out of Stock",IF(H54&lt;F54,"Low","OK")))</f>
        <v/>
      </c>
      <c r="L54" s="31" t="str">
        <f aca="false">IF(H54="","",IF(H54&lt;=F54,"REORDER",""))</f>
        <v/>
      </c>
      <c r="M54" s="27"/>
      <c r="N54" s="27"/>
      <c r="O54" s="27"/>
      <c r="P54" s="32"/>
      <c r="Q54" s="27"/>
    </row>
    <row r="55" customFormat="false" ht="15" hidden="false" customHeight="false" outlineLevel="0" collapsed="false">
      <c r="A55" s="21" t="n">
        <f aca="false">IF(COUNTA(B55:M55)=0,"",ROW()-12)</f>
        <v>43</v>
      </c>
      <c r="B55" s="27"/>
      <c r="C55" s="27"/>
      <c r="D55" s="27"/>
      <c r="E55" s="27"/>
      <c r="F55" s="27"/>
      <c r="G55" s="27"/>
      <c r="H55" s="27"/>
      <c r="I55" s="29"/>
      <c r="J55" s="33" t="str">
        <f aca="false">IF(H55="","",H55*I55)</f>
        <v/>
      </c>
      <c r="K55" s="34" t="str">
        <f aca="false">IF(H55="","",IF(H55=0,"Out of Stock",IF(H55&lt;F55,"Low","OK")))</f>
        <v/>
      </c>
      <c r="L55" s="31" t="str">
        <f aca="false">IF(H55="","",IF(H55&lt;=F55,"REORDER",""))</f>
        <v/>
      </c>
      <c r="M55" s="27"/>
      <c r="N55" s="27"/>
      <c r="O55" s="27"/>
      <c r="P55" s="32"/>
      <c r="Q55" s="27"/>
    </row>
    <row r="56" customFormat="false" ht="15" hidden="false" customHeight="false" outlineLevel="0" collapsed="false">
      <c r="A56" s="21" t="n">
        <f aca="false">IF(COUNTA(B56:M56)=0,"",ROW()-12)</f>
        <v>44</v>
      </c>
      <c r="B56" s="27"/>
      <c r="C56" s="27"/>
      <c r="D56" s="27"/>
      <c r="E56" s="27"/>
      <c r="F56" s="27"/>
      <c r="G56" s="27"/>
      <c r="H56" s="27"/>
      <c r="I56" s="29"/>
      <c r="J56" s="33" t="str">
        <f aca="false">IF(H56="","",H56*I56)</f>
        <v/>
      </c>
      <c r="K56" s="34" t="str">
        <f aca="false">IF(H56="","",IF(H56=0,"Out of Stock",IF(H56&lt;F56,"Low","OK")))</f>
        <v/>
      </c>
      <c r="L56" s="31" t="str">
        <f aca="false">IF(H56="","",IF(H56&lt;=F56,"REORDER",""))</f>
        <v/>
      </c>
      <c r="M56" s="27"/>
      <c r="N56" s="27"/>
      <c r="O56" s="27"/>
      <c r="P56" s="32"/>
      <c r="Q56" s="27"/>
    </row>
    <row r="57" customFormat="false" ht="15" hidden="false" customHeight="false" outlineLevel="0" collapsed="false">
      <c r="A57" s="21" t="n">
        <f aca="false">IF(COUNTA(B57:M57)=0,"",ROW()-12)</f>
        <v>45</v>
      </c>
      <c r="B57" s="27"/>
      <c r="C57" s="27"/>
      <c r="D57" s="27"/>
      <c r="E57" s="27"/>
      <c r="F57" s="27"/>
      <c r="G57" s="27"/>
      <c r="H57" s="27"/>
      <c r="I57" s="29"/>
      <c r="J57" s="33" t="str">
        <f aca="false">IF(H57="","",H57*I57)</f>
        <v/>
      </c>
      <c r="K57" s="34" t="str">
        <f aca="false">IF(H57="","",IF(H57=0,"Out of Stock",IF(H57&lt;F57,"Low","OK")))</f>
        <v/>
      </c>
      <c r="L57" s="31" t="str">
        <f aca="false">IF(H57="","",IF(H57&lt;=F57,"REORDER",""))</f>
        <v/>
      </c>
      <c r="M57" s="27"/>
      <c r="N57" s="27"/>
      <c r="O57" s="27"/>
      <c r="P57" s="32"/>
      <c r="Q57" s="27"/>
    </row>
    <row r="58" customFormat="false" ht="15" hidden="false" customHeight="false" outlineLevel="0" collapsed="false">
      <c r="A58" s="21" t="n">
        <f aca="false">IF(COUNTA(B58:M58)=0,"",ROW()-12)</f>
        <v>46</v>
      </c>
      <c r="B58" s="27"/>
      <c r="C58" s="27"/>
      <c r="D58" s="27"/>
      <c r="E58" s="27"/>
      <c r="F58" s="27"/>
      <c r="G58" s="27"/>
      <c r="H58" s="27"/>
      <c r="I58" s="29"/>
      <c r="J58" s="33" t="str">
        <f aca="false">IF(H58="","",H58*I58)</f>
        <v/>
      </c>
      <c r="K58" s="34" t="str">
        <f aca="false">IF(H58="","",IF(H58=0,"Out of Stock",IF(H58&lt;F58,"Low","OK")))</f>
        <v/>
      </c>
      <c r="L58" s="31" t="str">
        <f aca="false">IF(H58="","",IF(H58&lt;=F58,"REORDER",""))</f>
        <v/>
      </c>
      <c r="M58" s="27"/>
      <c r="N58" s="27"/>
      <c r="O58" s="27"/>
      <c r="P58" s="32"/>
      <c r="Q58" s="27"/>
    </row>
    <row r="59" customFormat="false" ht="15" hidden="false" customHeight="false" outlineLevel="0" collapsed="false">
      <c r="A59" s="21" t="n">
        <f aca="false">IF(COUNTA(B59:M59)=0,"",ROW()-12)</f>
        <v>47</v>
      </c>
      <c r="B59" s="27"/>
      <c r="C59" s="27"/>
      <c r="D59" s="27"/>
      <c r="E59" s="27"/>
      <c r="F59" s="27"/>
      <c r="G59" s="27"/>
      <c r="H59" s="27"/>
      <c r="I59" s="29"/>
      <c r="J59" s="33" t="str">
        <f aca="false">IF(H59="","",H59*I59)</f>
        <v/>
      </c>
      <c r="K59" s="34" t="str">
        <f aca="false">IF(H59="","",IF(H59=0,"Out of Stock",IF(H59&lt;F59,"Low","OK")))</f>
        <v/>
      </c>
      <c r="L59" s="31" t="str">
        <f aca="false">IF(H59="","",IF(H59&lt;=F59,"REORDER",""))</f>
        <v/>
      </c>
      <c r="M59" s="27"/>
      <c r="N59" s="27"/>
      <c r="O59" s="27"/>
      <c r="P59" s="32"/>
      <c r="Q59" s="27"/>
    </row>
    <row r="60" customFormat="false" ht="15" hidden="false" customHeight="false" outlineLevel="0" collapsed="false">
      <c r="A60" s="21" t="n">
        <f aca="false">IF(COUNTA(B60:M60)=0,"",ROW()-12)</f>
        <v>48</v>
      </c>
      <c r="B60" s="27"/>
      <c r="C60" s="27"/>
      <c r="D60" s="27"/>
      <c r="E60" s="27"/>
      <c r="F60" s="27"/>
      <c r="G60" s="27"/>
      <c r="H60" s="27"/>
      <c r="I60" s="29"/>
      <c r="J60" s="33" t="str">
        <f aca="false">IF(H60="","",H60*I60)</f>
        <v/>
      </c>
      <c r="K60" s="34" t="str">
        <f aca="false">IF(H60="","",IF(H60=0,"Out of Stock",IF(H60&lt;F60,"Low","OK")))</f>
        <v/>
      </c>
      <c r="L60" s="31" t="str">
        <f aca="false">IF(H60="","",IF(H60&lt;=F60,"REORDER",""))</f>
        <v/>
      </c>
      <c r="M60" s="27"/>
      <c r="N60" s="27"/>
      <c r="O60" s="27"/>
      <c r="P60" s="32"/>
      <c r="Q60" s="27"/>
    </row>
    <row r="61" customFormat="false" ht="15" hidden="false" customHeight="false" outlineLevel="0" collapsed="false">
      <c r="A61" s="21" t="n">
        <f aca="false">IF(COUNTA(B61:M61)=0,"",ROW()-12)</f>
        <v>49</v>
      </c>
      <c r="B61" s="27"/>
      <c r="C61" s="27"/>
      <c r="D61" s="27"/>
      <c r="E61" s="27"/>
      <c r="F61" s="27"/>
      <c r="G61" s="27"/>
      <c r="H61" s="27"/>
      <c r="I61" s="29"/>
      <c r="J61" s="33" t="str">
        <f aca="false">IF(H61="","",H61*I61)</f>
        <v/>
      </c>
      <c r="K61" s="34" t="str">
        <f aca="false">IF(H61="","",IF(H61=0,"Out of Stock",IF(H61&lt;F61,"Low","OK")))</f>
        <v/>
      </c>
      <c r="L61" s="31" t="str">
        <f aca="false">IF(H61="","",IF(H61&lt;=F61,"REORDER",""))</f>
        <v/>
      </c>
      <c r="M61" s="27"/>
      <c r="N61" s="27"/>
      <c r="O61" s="27"/>
      <c r="P61" s="32"/>
      <c r="Q61" s="27"/>
    </row>
    <row r="62" customFormat="false" ht="15" hidden="false" customHeight="false" outlineLevel="0" collapsed="false">
      <c r="A62" s="21" t="n">
        <f aca="false">IF(COUNTA(B62:M62)=0,"",ROW()-12)</f>
        <v>50</v>
      </c>
      <c r="B62" s="27"/>
      <c r="C62" s="27"/>
      <c r="D62" s="27"/>
      <c r="E62" s="27"/>
      <c r="F62" s="27"/>
      <c r="G62" s="27"/>
      <c r="H62" s="27"/>
      <c r="I62" s="29"/>
      <c r="J62" s="33" t="str">
        <f aca="false">IF(H62="","",H62*I62)</f>
        <v/>
      </c>
      <c r="K62" s="34" t="str">
        <f aca="false">IF(H62="","",IF(H62=0,"Out of Stock",IF(H62&lt;F62,"Low","OK")))</f>
        <v/>
      </c>
      <c r="L62" s="31" t="str">
        <f aca="false">IF(H62="","",IF(H62&lt;=F62,"REORDER",""))</f>
        <v/>
      </c>
      <c r="M62" s="27"/>
      <c r="N62" s="27"/>
      <c r="O62" s="27"/>
      <c r="P62" s="32"/>
      <c r="Q62" s="27"/>
    </row>
  </sheetData>
  <autoFilter ref="A12:Q200"/>
  <mergeCells count="18">
    <mergeCell ref="A1:Q1"/>
    <mergeCell ref="A3:E3"/>
    <mergeCell ref="G3:J3"/>
    <mergeCell ref="G4:H4"/>
    <mergeCell ref="I4:J4"/>
    <mergeCell ref="G5:H5"/>
    <mergeCell ref="I5:J5"/>
    <mergeCell ref="G6:H6"/>
    <mergeCell ref="I6:J6"/>
    <mergeCell ref="G7:H7"/>
    <mergeCell ref="I7:J7"/>
    <mergeCell ref="G8:H8"/>
    <mergeCell ref="I8:J8"/>
    <mergeCell ref="G9:H9"/>
    <mergeCell ref="I9:J9"/>
    <mergeCell ref="A11:E11"/>
    <mergeCell ref="F11:L11"/>
    <mergeCell ref="N11:Q11"/>
  </mergeCells>
  <conditionalFormatting sqref="E5">
    <cfRule type="cellIs" priority="2" operator="greaterThan" aboveAverage="0" equalAverage="0" bottom="0" percent="0" rank="0" text="" dxfId="9">
      <formula>0</formula>
    </cfRule>
  </conditionalFormatting>
  <conditionalFormatting sqref="D5">
    <cfRule type="cellIs" priority="3" operator="greaterThan" aboveAverage="0" equalAverage="0" bottom="0" percent="0" rank="0" text="" dxfId="10">
      <formula>0</formula>
    </cfRule>
  </conditionalFormatting>
  <conditionalFormatting sqref="E6">
    <cfRule type="cellIs" priority="4" operator="greaterThan" aboveAverage="0" equalAverage="0" bottom="0" percent="0" rank="0" text="" dxfId="9">
      <formula>0</formula>
    </cfRule>
  </conditionalFormatting>
  <conditionalFormatting sqref="D6">
    <cfRule type="cellIs" priority="5" operator="greaterThan" aboveAverage="0" equalAverage="0" bottom="0" percent="0" rank="0" text="" dxfId="10">
      <formula>0</formula>
    </cfRule>
  </conditionalFormatting>
  <conditionalFormatting sqref="E7">
    <cfRule type="cellIs" priority="6" operator="greaterThan" aboveAverage="0" equalAverage="0" bottom="0" percent="0" rank="0" text="" dxfId="9">
      <formula>0</formula>
    </cfRule>
  </conditionalFormatting>
  <conditionalFormatting sqref="D7">
    <cfRule type="cellIs" priority="7" operator="greaterThan" aboveAverage="0" equalAverage="0" bottom="0" percent="0" rank="0" text="" dxfId="10">
      <formula>0</formula>
    </cfRule>
  </conditionalFormatting>
  <conditionalFormatting sqref="E8">
    <cfRule type="cellIs" priority="8" operator="greaterThan" aboveAverage="0" equalAverage="0" bottom="0" percent="0" rank="0" text="" dxfId="9">
      <formula>0</formula>
    </cfRule>
  </conditionalFormatting>
  <conditionalFormatting sqref="D8">
    <cfRule type="cellIs" priority="9" operator="greaterThan" aboveAverage="0" equalAverage="0" bottom="0" percent="0" rank="0" text="" dxfId="10">
      <formula>0</formula>
    </cfRule>
  </conditionalFormatting>
  <conditionalFormatting sqref="I9">
    <cfRule type="cellIs" priority="10" operator="greaterThan" aboveAverage="0" equalAverage="0" bottom="0" percent="0" rank="0" text="" dxfId="9">
      <formula>0</formula>
    </cfRule>
  </conditionalFormatting>
  <conditionalFormatting sqref="I8">
    <cfRule type="cellIs" priority="11" operator="greaterThan" aboveAverage="0" equalAverage="0" bottom="0" percent="0" rank="0" text="" dxfId="9">
      <formula>0</formula>
    </cfRule>
  </conditionalFormatting>
  <conditionalFormatting sqref="I7">
    <cfRule type="cellIs" priority="12" operator="greaterThan" aboveAverage="0" equalAverage="0" bottom="0" percent="0" rank="0" text="" dxfId="10">
      <formula>0</formula>
    </cfRule>
  </conditionalFormatting>
  <conditionalFormatting sqref="K13:K200">
    <cfRule type="cellIs" priority="13" operator="equal" aboveAverage="0" equalAverage="0" bottom="0" percent="0" rank="0" text="" dxfId="11">
      <formula>"OK"</formula>
    </cfRule>
    <cfRule type="cellIs" priority="14" operator="equal" aboveAverage="0" equalAverage="0" bottom="0" percent="0" rank="0" text="" dxfId="10">
      <formula>"Low"</formula>
    </cfRule>
    <cfRule type="cellIs" priority="15" operator="equal" aboveAverage="0" equalAverage="0" bottom="0" percent="0" rank="0" text="" dxfId="9">
      <formula>"Out of Stock"</formula>
    </cfRule>
  </conditionalFormatting>
  <conditionalFormatting sqref="L13:L200">
    <cfRule type="cellIs" priority="16" operator="equal" aboveAverage="0" equalAverage="0" bottom="0" percent="0" rank="0" text="" dxfId="9">
      <formula>"REORDER"</formula>
    </cfRule>
  </conditionalFormatting>
  <conditionalFormatting sqref="H13:H200">
    <cfRule type="cellIs" priority="17" operator="equal" aboveAverage="0" equalAverage="0" bottom="0" percent="0" rank="0" text="" dxfId="9">
      <formula>0</formula>
    </cfRule>
  </conditionalFormatting>
  <dataValidations count="1">
    <dataValidation allowBlank="true" errorStyle="stop" operator="between" showDropDown="false" showErrorMessage="false" showInputMessage="false" sqref="E13:E200" type="list">
      <formula1>"Mechanical,Electrical,Instrumentation,Control &amp; Automation"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&amp;CMEICA Spares Inventory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5" t="s">
        <v>106</v>
      </c>
    </row>
    <row r="2" customFormat="false" ht="15" hidden="false" customHeight="false" outlineLevel="0" collapsed="false">
      <c r="A2" s="35"/>
    </row>
    <row r="3" customFormat="false" ht="15" hidden="false" customHeight="false" outlineLevel="0" collapsed="false">
      <c r="A3" s="35" t="s">
        <v>107</v>
      </c>
    </row>
    <row r="4" customFormat="false" ht="15" hidden="false" customHeight="false" outlineLevel="0" collapsed="false">
      <c r="A4" s="35"/>
    </row>
    <row r="5" customFormat="false" ht="15" hidden="false" customHeight="false" outlineLevel="0" collapsed="false">
      <c r="A5" s="35" t="s">
        <v>108</v>
      </c>
    </row>
    <row r="6" customFormat="false" ht="15" hidden="false" customHeight="false" outlineLevel="0" collapsed="false">
      <c r="A6" s="35"/>
    </row>
    <row r="7" customFormat="false" ht="15" hidden="false" customHeight="false" outlineLevel="0" collapsed="false">
      <c r="A7" s="35" t="s">
        <v>109</v>
      </c>
    </row>
    <row r="8" customFormat="false" ht="15" hidden="false" customHeight="false" outlineLevel="0" collapsed="false">
      <c r="A8" s="35"/>
    </row>
    <row r="9" customFormat="false" ht="15" hidden="false" customHeight="false" outlineLevel="0" collapsed="false">
      <c r="A9" s="35" t="s">
        <v>110</v>
      </c>
    </row>
    <row r="10" customFormat="false" ht="15" hidden="false" customHeight="false" outlineLevel="0" collapsed="false">
      <c r="A10" s="35"/>
    </row>
    <row r="11" customFormat="false" ht="15" hidden="false" customHeight="false" outlineLevel="0" collapsed="false">
      <c r="A11" s="35" t="s">
        <v>111</v>
      </c>
    </row>
    <row r="12" customFormat="false" ht="15" hidden="false" customHeight="false" outlineLevel="0" collapsed="false">
      <c r="A12" s="35"/>
    </row>
    <row r="13" customFormat="false" ht="15" hidden="false" customHeight="false" outlineLevel="0" collapsed="false">
      <c r="A13" s="35" t="s">
        <v>112</v>
      </c>
    </row>
    <row r="14" customFormat="false" ht="15" hidden="false" customHeight="false" outlineLevel="0" collapsed="false">
      <c r="A14" s="35"/>
    </row>
    <row r="15" customFormat="false" ht="15" hidden="false" customHeight="false" outlineLevel="0" collapsed="false">
      <c r="A15" s="35" t="s">
        <v>113</v>
      </c>
    </row>
    <row r="16" customFormat="false" ht="15" hidden="false" customHeight="false" outlineLevel="0" collapsed="false">
      <c r="A16" s="35"/>
    </row>
    <row r="17" customFormat="false" ht="15" hidden="false" customHeight="false" outlineLevel="0" collapsed="false">
      <c r="A17" s="3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2026-03-22T20:53:01Z</dcterms:created>
  <dc:creator>Ebrora Ltd</dc:creator>
  <dc:description>Manage spare parts for mechanical, electrical, instrumentation, and control equipment — with automatic stock-level monitoring, reorder alerts, and inventory value tracking.
Free professional construction management template from Ebrora Ltd. Visit ebrora.com for our full range of tools and templates.</dc:description>
  <cp:keywords>Ebrora construction MEICA commissioning spares inventory stock control spare parts reorder</cp:keywords>
  <dc:language>en-US</dc:language>
  <cp:lastModifiedBy>Ebrora Ltd</cp:lastModifiedBy>
  <dcterms:modified xsi:type="dcterms:W3CDTF">2026-03-22T20:53:01Z</dcterms:modified>
  <cp:revision>0</cp:revision>
  <dc:subject>Spare parts inventory for MEICA equipment with automatic stock-level monitoring, reorder alerts, and inventory value tracking.</dc:subject>
  <dc:title>MEICA Spares Inventory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