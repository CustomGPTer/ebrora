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ating Inspection" sheetId="3" state="visible" r:id="rId5"/>
    <sheet name="Terms of Use" sheetId="4" state="hidden" r:id="rId6"/>
  </sheets>
  <definedNames>
    <definedName function="false" hidden="false" localSheetId="2" name="_xlnm.Print_Area" vbProcedure="false">'Coating Inspection'!$A$1:$L$60</definedName>
    <definedName function="false" hidden="true" localSheetId="2" name="_xlnm._FilterDatabase" vbProcedure="false">'Coating Inspection'!$A$9:$P$60</definedName>
    <definedName function="false" hidden="false" localSheetId="0" name="_xlnm.Print_Area" vbProcedure="false">Cover!$A$1:$H$20</definedName>
    <definedName function="false" hidden="false" name="DataTable" vbProcedure="false">'Coating Inspection'!$A$9:$P$60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<sst xmlns="http://schemas.openxmlformats.org/spreadsheetml/2006/main" count="104" uniqueCount="96">
  <si>
    <t xml:space="preserve">EBRORA</t>
  </si>
  <si>
    <t xml:space="preserve">ebrora.com</t>
  </si>
  <si>
    <t xml:space="preserve">Coating / Painting
Inspection Record</t>
  </si>
  <si>
    <t xml:space="preserve">Record surface preparation grades, coating application details, and DFT measurements with automatic compliance checking against specification targets.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</si>
  <si>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</si>
  <si>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</si>
  <si>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</si>
  <si>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</si>
  <si>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'Coating Inspection' sheet. The teal stage-band headers show the three inspection phases: Surface Prep → Coating Application → Final Inspection.</t>
  </si>
  <si>
    <t xml:space="preserve">2. The summary panel (rows 2–5) shows live pass/fail counts and the DFT compliance rate across all inspected items.</t>
  </si>
  <si>
    <t xml:space="preserve">3. Enter each element's reference, description, and coating system specification (e.g. 'Primer + MIO + PU Topcoat').</t>
  </si>
  <si>
    <t xml:space="preserve">4. Record the surface preparation method and grade achieved (e.g. Sa 2½ per ISO 8501-1).</t>
  </si>
  <si>
    <t xml:space="preserve">5. Enter the target DFT (from the coating spec) and the actual DFT measured. The DFT % column and Pass/Fail calculate automatically.</t>
  </si>
  <si>
    <t xml:space="preserve">6. A result of PASS means actual DFT ≥ target. UNDER means actual &lt; 90% of target. MARGINAL means 90–99% of target.</t>
  </si>
  <si>
    <t xml:space="preserve">7. Expand optional columns [+] for environmental conditions: ambient temp, RH, dew point, and steel temp.</t>
  </si>
  <si>
    <t xml:space="preserve">8. Filter by Result to quickly find items needing re-coating or additional coats.</t>
  </si>
  <si>
    <t xml:space="preserve">Colour Key</t>
  </si>
  <si>
    <t xml:space="preserve">Light teal cells</t>
  </si>
  <si>
    <t xml:space="preserve">Editable — enter your data here</t>
  </si>
  <si>
    <t xml:space="preserve">Dark navy headers</t>
  </si>
  <si>
    <t xml:space="preserve">Do not edit — column headers</t>
  </si>
  <si>
    <t xml:space="preserve">Teal band</t>
  </si>
  <si>
    <t xml:space="preserve">Stage group header — Surface Prep / Coating / Inspection</t>
  </si>
  <si>
    <t xml:space="preserve">Green fill</t>
  </si>
  <si>
    <t xml:space="preserve">PASS — DFT meets or exceeds target</t>
  </si>
  <si>
    <t xml:space="preserve">Amber fill</t>
  </si>
  <si>
    <t xml:space="preserve">MARGINAL — DFT is 90–99% of target</t>
  </si>
  <si>
    <t xml:space="preserve">Red fill</t>
  </si>
  <si>
    <t xml:space="preserve">UNDER — DFT below 90% of target</t>
  </si>
  <si>
    <t xml:space="preserve">Tips</t>
  </si>
  <si>
    <t xml:space="preserve">• Always check environmental conditions before applying coatings — most specs require steel temp ≥3°C above dew point and RH below 85%.</t>
  </si>
  <si>
    <t xml:space="preserve">• DFT readings should be the average of multiple spot measurements per the coating manufacturer's data sheet.</t>
  </si>
  <si>
    <t xml:space="preserve">• Keep a photographic record alongside this log for any areas requiring re-preparation or additional coats.</t>
  </si>
  <si>
    <t xml:space="preserve">COATING / PAINTING INSPECTION RECORD</t>
  </si>
  <si>
    <t xml:space="preserve">Total Items</t>
  </si>
  <si>
    <t xml:space="preserve">Inspected</t>
  </si>
  <si>
    <t xml:space="preserve">Pass</t>
  </si>
  <si>
    <t xml:space="preserve">Marginal</t>
  </si>
  <si>
    <t xml:space="preserve">Under/Fail</t>
  </si>
  <si>
    <t xml:space="preserve">DFT Compliance</t>
  </si>
  <si>
    <t xml:space="preserve">IDENTIFICATION</t>
  </si>
  <si>
    <t xml:space="preserve">SURFACE PREPARATION</t>
  </si>
  <si>
    <t xml:space="preserve">COATING APPLICATION</t>
  </si>
  <si>
    <t xml:space="preserve">FINAL INSPECTION</t>
  </si>
  <si>
    <t xml:space="preserve">▸ Optional — Environmental Conditions</t>
  </si>
  <si>
    <t xml:space="preserve">Item
Ref</t>
  </si>
  <si>
    <t xml:space="preserve">Element / Area</t>
  </si>
  <si>
    <t xml:space="preserve">Prep
Method</t>
  </si>
  <si>
    <t xml:space="preserve">Grade
Achieved</t>
  </si>
  <si>
    <t xml:space="preserve">Coating System</t>
  </si>
  <si>
    <t xml:space="preserve">Date
Applied</t>
  </si>
  <si>
    <t xml:space="preserve">Target DFT
(µm)</t>
  </si>
  <si>
    <t xml:space="preserve">Actual DFT
(µm)</t>
  </si>
  <si>
    <t xml:space="preserve">DFT %
of Target</t>
  </si>
  <si>
    <t xml:space="preserve">Result</t>
  </si>
  <si>
    <t xml:space="preserve">Inspector</t>
  </si>
  <si>
    <t xml:space="preserve">Notes</t>
  </si>
  <si>
    <t xml:space="preserve">Ambient
Temp (°C)</t>
  </si>
  <si>
    <t xml:space="preserve">RH
(%)</t>
  </si>
  <si>
    <t xml:space="preserve">Dew Point
(°C)</t>
  </si>
  <si>
    <t xml:space="preserve">Steel
Temp (°C)</t>
  </si>
  <si>
    <t xml:space="preserve">CI-001</t>
  </si>
  <si>
    <t xml:space="preserve">Steel Column C1</t>
  </si>
  <si>
    <t xml:space="preserve">Blast Cleaning</t>
  </si>
  <si>
    <t xml:space="preserve">Sa 2½</t>
  </si>
  <si>
    <t xml:space="preserve">Zinc Phosphate Primer + PU Topcoat</t>
  </si>
  <si>
    <t xml:space="preserve">M. Evans</t>
  </si>
  <si>
    <t xml:space="preserve">First coat system complete</t>
  </si>
  <si>
    <t xml:space="preserve">CI-002</t>
  </si>
  <si>
    <t xml:space="preserve">Beam B3 — Bottom Flange</t>
  </si>
  <si>
    <t xml:space="preserve">Intumescent 60min + Topcoat</t>
  </si>
  <si>
    <t xml:space="preserve">Marginal — additional spot coat applied</t>
  </si>
  <si>
    <t xml:space="preserve">CI-003</t>
  </si>
  <si>
    <t xml:space="preserve">Handrail HR-04</t>
  </si>
  <si>
    <t xml:space="preserve">Power Tool Cleaning</t>
  </si>
  <si>
    <t xml:space="preserve">St 3</t>
  </si>
  <si>
    <t xml:space="preserve">Zinc-Rich Primer + Alkyd Topcoat</t>
  </si>
  <si>
    <t xml:space="preserve">J. Patel</t>
  </si>
  <si>
    <t xml:space="preserve">CI-004</t>
  </si>
  <si>
    <t xml:space="preserve">Pipe Bridge PB-02</t>
  </si>
  <si>
    <t xml:space="preserve">Epoxy MIO + PU Topcoat</t>
  </si>
  <si>
    <t xml:space="preserve">Below spec — re-coat required</t>
  </si>
  <si>
    <t xml:space="preserve">CI-005</t>
  </si>
  <si>
    <t xml:space="preserve">Tank T1 External Shell</t>
  </si>
  <si>
    <t xml:space="preserve">Sa 3</t>
  </si>
  <si>
    <t xml:space="preserve">Zinc Silicate + Epoxy + PU</t>
  </si>
  <si>
    <t xml:space="preserve">Spec requires Sa 3 — achieved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</si>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</sst>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22">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8"/>
      <color rgb="FF1B2A4A"/>
      <name val="Calibri"/>
      <family val="0"/>
      <charset val="1"/>
    </font>
    <font>
      <b val="true"/>
      <sz val="18"/>
      <color rgb="FF006100"/>
      <name val="Calibri"/>
      <family val="0"/>
      <charset val="1"/>
    </font>
    <font>
      <b val="true"/>
      <sz val="18"/>
      <color rgb="FF9C0006"/>
      <name val="Calibri"/>
      <family val="0"/>
      <charset val="1"/>
    </font>
    <font>
      <b val="true"/>
      <sz val="10"/>
      <color rgb="FFFFFFFF"/>
      <name val="Calibri"/>
      <family val="0"/>
      <charset val="1"/>
    </font>
    <font>
      <i val="true"/>
      <sz val="9"/>
      <color rgb="FFFFFFFF"/>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false" indent="0" shrinkToFit="false"/>
      <protection locked="true" hidden="false"/>
    </xf>
    <xf numFmtId="165" fontId="17"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6" fillId="0" borderId="0" xfId="0" applyFont="true" applyBorder="fals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5" borderId="0" xfId="0" applyFont="true" applyBorder="true" applyAlignment="true" applyProtection="false">
      <alignment horizontal="center" vertical="center" textRotation="0" wrapText="true" indent="0" shrinkToFit="false"/>
      <protection locked="true" hidden="false"/>
    </xf>
    <xf numFmtId="164" fontId="20" fillId="5" borderId="0" xfId="0" applyFont="true" applyBorder="true" applyAlignment="true" applyProtection="false">
      <alignment horizontal="center" vertical="center" textRotation="0" wrapText="tru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6"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19" customFormat="false" ht="15" hidden="false" customHeight="false" outlineLevel="0" collapsed="false">
      <c r="A19" s="18"/>
      <c r="B19" s="12" t="s">
        <v>27</v>
      </c>
      <c r="C19" s="12"/>
      <c r="D19" s="13" t="s">
        <v>28</v>
      </c>
      <c r="E19" s="13"/>
      <c r="F19" s="13"/>
    </row>
    <row r="21" customFormat="false" ht="15" hidden="false" customHeight="false" outlineLevel="0" collapsed="false">
      <c r="A21" s="9" t="s">
        <v>29</v>
      </c>
      <c r="B21" s="9"/>
      <c r="C21" s="9"/>
      <c r="D21" s="9"/>
      <c r="E21" s="9"/>
      <c r="F21" s="9"/>
    </row>
    <row r="22" customFormat="false" ht="30" hidden="false" customHeight="true" outlineLevel="0" collapsed="false">
      <c r="A22" s="10" t="s">
        <v>30</v>
      </c>
      <c r="B22" s="10"/>
      <c r="C22" s="10"/>
      <c r="D22" s="10"/>
      <c r="E22" s="10"/>
      <c r="F22" s="10"/>
    </row>
    <row r="23" customFormat="false" ht="30" hidden="false" customHeight="true" outlineLevel="0" collapsed="false">
      <c r="A23" s="10" t="s">
        <v>31</v>
      </c>
      <c r="B23" s="10"/>
      <c r="C23" s="10"/>
      <c r="D23" s="10"/>
      <c r="E23" s="10"/>
      <c r="F23" s="10"/>
    </row>
    <row r="24" customFormat="false" ht="30" hidden="false" customHeight="true" outlineLevel="0" collapsed="false">
      <c r="A24" s="10" t="s">
        <v>32</v>
      </c>
      <c r="B24" s="10"/>
      <c r="C24" s="10"/>
      <c r="D24" s="10"/>
      <c r="E24" s="10"/>
      <c r="F24" s="10"/>
    </row>
  </sheetData>
  <mergeCells count="27">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B19:C19"/>
    <mergeCell ref="D19:F19"/>
    <mergeCell ref="A21:F21"/>
    <mergeCell ref="A22:F22"/>
    <mergeCell ref="A23:F23"/>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26"/>
    <col collapsed="false" customWidth="true" hidden="false" outlineLevel="0" max="3" min="3" style="0" width="18"/>
    <col collapsed="false" customWidth="true" hidden="false" outlineLevel="0" max="4" min="4" style="0" width="16"/>
    <col collapsed="false" customWidth="true" hidden="false" outlineLevel="0" max="5" min="5" style="0" width="22"/>
    <col collapsed="false" customWidth="true" hidden="false" outlineLevel="0" max="6" min="6" style="0" width="13"/>
    <col collapsed="false" customWidth="true" hidden="false" outlineLevel="0" max="9" min="7" style="0" width="14"/>
    <col collapsed="false" customWidth="true" hidden="false" outlineLevel="0" max="10" min="10" style="0" width="12"/>
    <col collapsed="false" customWidth="true" hidden="false" outlineLevel="0" max="11" min="11" style="0" width="16"/>
    <col collapsed="false" customWidth="true" hidden="false" outlineLevel="0" max="12" min="12" style="0" width="28"/>
    <col collapsed="false" customWidth="true" hidden="true" outlineLevel="1" max="16" min="13" style="0" width="13"/>
  </cols>
  <sheetData>
    <row r="1" customFormat="false" ht="18.65" hidden="false" customHeight="true" outlineLevel="0" collapsed="false">
      <c r="A1" s="19" t="s">
        <v>33</v>
      </c>
      <c r="B1" s="19"/>
      <c r="C1" s="19"/>
      <c r="D1" s="19"/>
      <c r="E1" s="19"/>
      <c r="F1" s="19"/>
      <c r="G1" s="19"/>
      <c r="H1" s="19"/>
      <c r="I1" s="19"/>
      <c r="J1" s="19"/>
      <c r="K1" s="19"/>
      <c r="L1" s="19"/>
      <c r="M1" s="20"/>
      <c r="N1" s="20"/>
      <c r="O1" s="20"/>
      <c r="P1" s="20"/>
    </row>
    <row r="2" customFormat="false" ht="6" hidden="false" customHeight="true" outlineLevel="0" collapsed="false"/>
    <row r="3" customFormat="false" ht="15" hidden="false" customHeight="false" outlineLevel="0" collapsed="false">
      <c r="A3" s="21" t="s">
        <v>34</v>
      </c>
      <c r="C3" s="21" t="s">
        <v>35</v>
      </c>
      <c r="E3" s="21" t="s">
        <v>36</v>
      </c>
      <c r="G3" s="21" t="s">
        <v>37</v>
      </c>
      <c r="I3" s="21" t="s">
        <v>38</v>
      </c>
      <c r="K3" s="21" t="s">
        <v>39</v>
      </c>
    </row>
    <row r="4" customFormat="false" ht="22.05" hidden="false" customHeight="false" outlineLevel="0" collapsed="false">
      <c r="A4" s="22" t="n">
        <f aca="false">COUNTA(A10:A60)</f>
        <v>5</v>
      </c>
      <c r="C4" s="22" t="n">
        <f aca="false">COUNTA(J10:J60)</f>
        <v>51</v>
      </c>
      <c r="E4" s="23" t="n">
        <f aca="false">COUNTIF(J10:J60,"PASS")</f>
        <v>3</v>
      </c>
      <c r="G4" s="22" t="n">
        <f aca="false">COUNTIF(J10:J60,"MARGINAL")</f>
        <v>1</v>
      </c>
      <c r="I4" s="24" t="n">
        <f aca="false">COUNTIF(J10:J60,"UNDER")</f>
        <v>1</v>
      </c>
      <c r="K4" s="25" t="n">
        <f aca="false">IFERROR(E4/C4,0)</f>
        <v>0.0588235294117647</v>
      </c>
    </row>
    <row r="6" customFormat="false" ht="15" hidden="false" customHeight="false" outlineLevel="0" collapsed="false">
      <c r="A6" s="26"/>
      <c r="B6" s="26"/>
      <c r="C6" s="26"/>
      <c r="D6" s="26"/>
      <c r="E6" s="26"/>
      <c r="F6" s="26"/>
      <c r="G6" s="26"/>
      <c r="H6" s="26"/>
      <c r="I6" s="26"/>
      <c r="J6" s="26"/>
      <c r="K6" s="26"/>
      <c r="L6" s="26"/>
      <c r="M6" s="26"/>
      <c r="N6" s="26"/>
      <c r="O6" s="26"/>
      <c r="P6" s="26"/>
    </row>
    <row r="7" customFormat="false" ht="21.75" hidden="false" customHeight="true" outlineLevel="0" collapsed="false">
      <c r="A7" s="27" t="s">
        <v>40</v>
      </c>
      <c r="B7" s="27"/>
      <c r="C7" s="27" t="s">
        <v>41</v>
      </c>
      <c r="D7" s="27"/>
      <c r="E7" s="27" t="s">
        <v>42</v>
      </c>
      <c r="F7" s="27"/>
      <c r="G7" s="27"/>
      <c r="H7" s="27"/>
      <c r="I7" s="27" t="s">
        <v>43</v>
      </c>
      <c r="J7" s="27"/>
      <c r="K7" s="27"/>
      <c r="L7" s="27"/>
      <c r="M7" s="28" t="s">
        <v>44</v>
      </c>
      <c r="N7" s="28"/>
      <c r="O7" s="28"/>
      <c r="P7" s="28"/>
    </row>
    <row r="8" customFormat="false" ht="3.75" hidden="false" customHeight="true" outlineLevel="0" collapsed="false"/>
    <row r="9" customFormat="false" ht="37.5" hidden="false" customHeight="true" outlineLevel="0" collapsed="false">
      <c r="A9" s="29" t="s">
        <v>45</v>
      </c>
      <c r="B9" s="29" t="s">
        <v>46</v>
      </c>
      <c r="C9" s="29" t="s">
        <v>47</v>
      </c>
      <c r="D9" s="29" t="s">
        <v>48</v>
      </c>
      <c r="E9" s="29" t="s">
        <v>49</v>
      </c>
      <c r="F9" s="29" t="s">
        <v>50</v>
      </c>
      <c r="G9" s="29" t="s">
        <v>51</v>
      </c>
      <c r="H9" s="29" t="s">
        <v>52</v>
      </c>
      <c r="I9" s="29" t="s">
        <v>53</v>
      </c>
      <c r="J9" s="29" t="s">
        <v>54</v>
      </c>
      <c r="K9" s="29" t="s">
        <v>55</v>
      </c>
      <c r="L9" s="29" t="s">
        <v>56</v>
      </c>
      <c r="M9" s="29" t="s">
        <v>57</v>
      </c>
      <c r="N9" s="29" t="s">
        <v>58</v>
      </c>
      <c r="O9" s="29" t="s">
        <v>59</v>
      </c>
      <c r="P9" s="29" t="s">
        <v>60</v>
      </c>
    </row>
    <row r="10" customFormat="false" ht="23.85" hidden="false" customHeight="false" outlineLevel="0" collapsed="false">
      <c r="A10" s="30" t="s">
        <v>61</v>
      </c>
      <c r="B10" s="31" t="s">
        <v>62</v>
      </c>
      <c r="C10" s="30" t="s">
        <v>63</v>
      </c>
      <c r="D10" s="30" t="s">
        <v>64</v>
      </c>
      <c r="E10" s="31" t="s">
        <v>65</v>
      </c>
      <c r="F10" s="32" t="n">
        <v>46065</v>
      </c>
      <c r="G10" s="30" t="n">
        <v>250</v>
      </c>
      <c r="H10" s="30" t="n">
        <v>265</v>
      </c>
      <c r="I10" s="33" t="n">
        <f aca="false">IFERROR(H10/G10,"")</f>
        <v>1.06</v>
      </c>
      <c r="J10" s="34" t="str">
        <f aca="false">IF(H10="","",IF(H10&gt;=G10,"PASS",IF(H10&gt;=G10*0.9,"MARGINAL","UNDER")))</f>
        <v>PASS</v>
      </c>
      <c r="K10" s="30" t="s">
        <v>66</v>
      </c>
      <c r="L10" s="31" t="s">
        <v>67</v>
      </c>
      <c r="M10" s="30" t="n">
        <v>12</v>
      </c>
      <c r="N10" s="30" t="n">
        <v>62</v>
      </c>
      <c r="O10" s="30" t="n">
        <v>4</v>
      </c>
      <c r="P10" s="30" t="n">
        <v>14</v>
      </c>
    </row>
    <row r="11" customFormat="false" ht="23.85" hidden="false" customHeight="false" outlineLevel="0" collapsed="false">
      <c r="A11" s="30" t="s">
        <v>68</v>
      </c>
      <c r="B11" s="31" t="s">
        <v>69</v>
      </c>
      <c r="C11" s="30" t="s">
        <v>63</v>
      </c>
      <c r="D11" s="30" t="s">
        <v>64</v>
      </c>
      <c r="E11" s="31" t="s">
        <v>70</v>
      </c>
      <c r="F11" s="32" t="n">
        <v>46066</v>
      </c>
      <c r="G11" s="30" t="n">
        <v>1200</v>
      </c>
      <c r="H11" s="30" t="n">
        <v>1180</v>
      </c>
      <c r="I11" s="33" t="n">
        <f aca="false">IFERROR(H11/G11,"")</f>
        <v>0.983333333333333</v>
      </c>
      <c r="J11" s="34" t="str">
        <f aca="false">IF(H11="","",IF(H11&gt;=G11,"PASS",IF(H11&gt;=G11*0.9,"MARGINAL","UNDER")))</f>
        <v>MARGINAL</v>
      </c>
      <c r="K11" s="30" t="s">
        <v>66</v>
      </c>
      <c r="L11" s="31" t="s">
        <v>71</v>
      </c>
      <c r="M11" s="30" t="n">
        <v>14</v>
      </c>
      <c r="N11" s="30" t="n">
        <v>58</v>
      </c>
      <c r="O11" s="30" t="n">
        <v>5</v>
      </c>
      <c r="P11" s="30" t="n">
        <v>16</v>
      </c>
    </row>
    <row r="12" customFormat="false" ht="23.85" hidden="false" customHeight="false" outlineLevel="0" collapsed="false">
      <c r="A12" s="30" t="s">
        <v>72</v>
      </c>
      <c r="B12" s="31" t="s">
        <v>73</v>
      </c>
      <c r="C12" s="30" t="s">
        <v>74</v>
      </c>
      <c r="D12" s="30" t="s">
        <v>75</v>
      </c>
      <c r="E12" s="31" t="s">
        <v>76</v>
      </c>
      <c r="F12" s="32" t="n">
        <v>46067</v>
      </c>
      <c r="G12" s="30" t="n">
        <v>200</v>
      </c>
      <c r="H12" s="30" t="n">
        <v>210</v>
      </c>
      <c r="I12" s="33" t="n">
        <f aca="false">IFERROR(H12/G12,"")</f>
        <v>1.05</v>
      </c>
      <c r="J12" s="34" t="str">
        <f aca="false">IF(H12="","",IF(H12&gt;=G12,"PASS",IF(H12&gt;=G12*0.9,"MARGINAL","UNDER")))</f>
        <v>PASS</v>
      </c>
      <c r="K12" s="30" t="s">
        <v>77</v>
      </c>
      <c r="L12" s="31"/>
      <c r="M12" s="30" t="n">
        <v>11</v>
      </c>
      <c r="N12" s="30" t="n">
        <v>65</v>
      </c>
      <c r="O12" s="30" t="n">
        <v>3</v>
      </c>
      <c r="P12" s="30" t="n">
        <v>13</v>
      </c>
    </row>
    <row r="13" customFormat="false" ht="15" hidden="false" customHeight="false" outlineLevel="0" collapsed="false">
      <c r="A13" s="30" t="s">
        <v>78</v>
      </c>
      <c r="B13" s="31" t="s">
        <v>79</v>
      </c>
      <c r="C13" s="30" t="s">
        <v>63</v>
      </c>
      <c r="D13" s="30" t="s">
        <v>64</v>
      </c>
      <c r="E13" s="31" t="s">
        <v>80</v>
      </c>
      <c r="F13" s="32" t="n">
        <v>46068</v>
      </c>
      <c r="G13" s="30" t="n">
        <v>300</v>
      </c>
      <c r="H13" s="30" t="n">
        <v>245</v>
      </c>
      <c r="I13" s="33" t="n">
        <f aca="false">IFERROR(H13/G13,"")</f>
        <v>0.816666666666667</v>
      </c>
      <c r="J13" s="34" t="str">
        <f aca="false">IF(H13="","",IF(H13&gt;=G13,"PASS",IF(H13&gt;=G13*0.9,"MARGINAL","UNDER")))</f>
        <v>UNDER</v>
      </c>
      <c r="K13" s="30" t="s">
        <v>77</v>
      </c>
      <c r="L13" s="31" t="s">
        <v>81</v>
      </c>
      <c r="M13" s="30" t="n">
        <v>10</v>
      </c>
      <c r="N13" s="30" t="n">
        <v>70</v>
      </c>
      <c r="O13" s="30" t="n">
        <v>2</v>
      </c>
      <c r="P13" s="30" t="n">
        <v>12</v>
      </c>
    </row>
    <row r="14" customFormat="false" ht="15" hidden="false" customHeight="false" outlineLevel="0" collapsed="false">
      <c r="A14" s="30" t="s">
        <v>82</v>
      </c>
      <c r="B14" s="31" t="s">
        <v>83</v>
      </c>
      <c r="C14" s="30" t="s">
        <v>63</v>
      </c>
      <c r="D14" s="30" t="s">
        <v>84</v>
      </c>
      <c r="E14" s="31" t="s">
        <v>85</v>
      </c>
      <c r="F14" s="32" t="n">
        <v>46070</v>
      </c>
      <c r="G14" s="30" t="n">
        <v>350</v>
      </c>
      <c r="H14" s="30" t="n">
        <v>362</v>
      </c>
      <c r="I14" s="33" t="n">
        <f aca="false">IFERROR(H14/G14,"")</f>
        <v>1.03428571428571</v>
      </c>
      <c r="J14" s="34" t="str">
        <f aca="false">IF(H14="","",IF(H14&gt;=G14,"PASS",IF(H14&gt;=G14*0.9,"MARGINAL","UNDER")))</f>
        <v>PASS</v>
      </c>
      <c r="K14" s="30" t="s">
        <v>66</v>
      </c>
      <c r="L14" s="31" t="s">
        <v>86</v>
      </c>
      <c r="M14" s="30" t="n">
        <v>13</v>
      </c>
      <c r="N14" s="30" t="n">
        <v>55</v>
      </c>
      <c r="O14" s="30" t="n">
        <v>4</v>
      </c>
      <c r="P14" s="30" t="n">
        <v>15</v>
      </c>
    </row>
    <row r="15" customFormat="false" ht="15" hidden="false" customHeight="false" outlineLevel="0" collapsed="false">
      <c r="A15" s="30"/>
      <c r="B15" s="31"/>
      <c r="C15" s="30"/>
      <c r="D15" s="30"/>
      <c r="E15" s="31"/>
      <c r="F15" s="32"/>
      <c r="G15" s="30"/>
      <c r="H15" s="30"/>
      <c r="I15" s="33" t="str">
        <f aca="false">IFERROR(H15/G15,"")</f>
        <v/>
      </c>
      <c r="J15" s="34" t="str">
        <f aca="false">IF(H15="","",IF(H15&gt;=G15,"PASS",IF(H15&gt;=G15*0.9,"MARGINAL","UNDER")))</f>
        <v/>
      </c>
      <c r="K15" s="30"/>
      <c r="L15" s="31"/>
      <c r="M15" s="30"/>
      <c r="N15" s="30"/>
      <c r="O15" s="30"/>
      <c r="P15" s="30"/>
    </row>
    <row r="16" customFormat="false" ht="15" hidden="false" customHeight="false" outlineLevel="0" collapsed="false">
      <c r="A16" s="30"/>
      <c r="B16" s="31"/>
      <c r="C16" s="30"/>
      <c r="D16" s="30"/>
      <c r="E16" s="31"/>
      <c r="F16" s="32"/>
      <c r="G16" s="30"/>
      <c r="H16" s="30"/>
      <c r="I16" s="33" t="str">
        <f aca="false">IFERROR(H16/G16,"")</f>
        <v/>
      </c>
      <c r="J16" s="34" t="str">
        <f aca="false">IF(H16="","",IF(H16&gt;=G16,"PASS",IF(H16&gt;=G16*0.9,"MARGINAL","UNDER")))</f>
        <v/>
      </c>
      <c r="K16" s="30"/>
      <c r="L16" s="31"/>
      <c r="M16" s="30"/>
      <c r="N16" s="30"/>
      <c r="O16" s="30"/>
      <c r="P16" s="30"/>
    </row>
    <row r="17" customFormat="false" ht="15" hidden="false" customHeight="false" outlineLevel="0" collapsed="false">
      <c r="A17" s="30"/>
      <c r="B17" s="31"/>
      <c r="C17" s="30"/>
      <c r="D17" s="30"/>
      <c r="E17" s="31"/>
      <c r="F17" s="32"/>
      <c r="G17" s="30"/>
      <c r="H17" s="30"/>
      <c r="I17" s="33" t="str">
        <f aca="false">IFERROR(H17/G17,"")</f>
        <v/>
      </c>
      <c r="J17" s="34" t="str">
        <f aca="false">IF(H17="","",IF(H17&gt;=G17,"PASS",IF(H17&gt;=G17*0.9,"MARGINAL","UNDER")))</f>
        <v/>
      </c>
      <c r="K17" s="30"/>
      <c r="L17" s="31"/>
      <c r="M17" s="30"/>
      <c r="N17" s="30"/>
      <c r="O17" s="30"/>
      <c r="P17" s="30"/>
    </row>
    <row r="18" customFormat="false" ht="15" hidden="false" customHeight="false" outlineLevel="0" collapsed="false">
      <c r="A18" s="30"/>
      <c r="B18" s="31"/>
      <c r="C18" s="30"/>
      <c r="D18" s="30"/>
      <c r="E18" s="31"/>
      <c r="F18" s="32"/>
      <c r="G18" s="30"/>
      <c r="H18" s="30"/>
      <c r="I18" s="33" t="str">
        <f aca="false">IFERROR(H18/G18,"")</f>
        <v/>
      </c>
      <c r="J18" s="34" t="str">
        <f aca="false">IF(H18="","",IF(H18&gt;=G18,"PASS",IF(H18&gt;=G18*0.9,"MARGINAL","UNDER")))</f>
        <v/>
      </c>
      <c r="K18" s="30"/>
      <c r="L18" s="31"/>
      <c r="M18" s="30"/>
      <c r="N18" s="30"/>
      <c r="O18" s="30"/>
      <c r="P18" s="30"/>
    </row>
    <row r="19" customFormat="false" ht="15" hidden="false" customHeight="false" outlineLevel="0" collapsed="false">
      <c r="A19" s="30"/>
      <c r="B19" s="31"/>
      <c r="C19" s="30"/>
      <c r="D19" s="30"/>
      <c r="E19" s="31"/>
      <c r="F19" s="32"/>
      <c r="G19" s="30"/>
      <c r="H19" s="30"/>
      <c r="I19" s="33" t="str">
        <f aca="false">IFERROR(H19/G19,"")</f>
        <v/>
      </c>
      <c r="J19" s="34" t="str">
        <f aca="false">IF(H19="","",IF(H19&gt;=G19,"PASS",IF(H19&gt;=G19*0.9,"MARGINAL","UNDER")))</f>
        <v/>
      </c>
      <c r="K19" s="30"/>
      <c r="L19" s="31"/>
      <c r="M19" s="30"/>
      <c r="N19" s="30"/>
      <c r="O19" s="30"/>
      <c r="P19" s="30"/>
    </row>
    <row r="20" customFormat="false" ht="15" hidden="false" customHeight="false" outlineLevel="0" collapsed="false">
      <c r="A20" s="30"/>
      <c r="B20" s="31"/>
      <c r="C20" s="30"/>
      <c r="D20" s="30"/>
      <c r="E20" s="31"/>
      <c r="F20" s="32"/>
      <c r="G20" s="30"/>
      <c r="H20" s="30"/>
      <c r="I20" s="33" t="str">
        <f aca="false">IFERROR(H20/G20,"")</f>
        <v/>
      </c>
      <c r="J20" s="34" t="str">
        <f aca="false">IF(H20="","",IF(H20&gt;=G20,"PASS",IF(H20&gt;=G20*0.9,"MARGINAL","UNDER")))</f>
        <v/>
      </c>
      <c r="K20" s="30"/>
      <c r="L20" s="31"/>
      <c r="M20" s="30"/>
      <c r="N20" s="30"/>
      <c r="O20" s="30"/>
      <c r="P20" s="30"/>
    </row>
    <row r="21" customFormat="false" ht="15" hidden="false" customHeight="false" outlineLevel="0" collapsed="false">
      <c r="A21" s="30"/>
      <c r="B21" s="31"/>
      <c r="C21" s="30"/>
      <c r="D21" s="30"/>
      <c r="E21" s="31"/>
      <c r="F21" s="32"/>
      <c r="G21" s="30"/>
      <c r="H21" s="30"/>
      <c r="I21" s="33" t="str">
        <f aca="false">IFERROR(H21/G21,"")</f>
        <v/>
      </c>
      <c r="J21" s="34" t="str">
        <f aca="false">IF(H21="","",IF(H21&gt;=G21,"PASS",IF(H21&gt;=G21*0.9,"MARGINAL","UNDER")))</f>
        <v/>
      </c>
      <c r="K21" s="30"/>
      <c r="L21" s="31"/>
      <c r="M21" s="30"/>
      <c r="N21" s="30"/>
      <c r="O21" s="30"/>
      <c r="P21" s="30"/>
    </row>
    <row r="22" customFormat="false" ht="15" hidden="false" customHeight="false" outlineLevel="0" collapsed="false">
      <c r="A22" s="30"/>
      <c r="B22" s="31"/>
      <c r="C22" s="30"/>
      <c r="D22" s="30"/>
      <c r="E22" s="31"/>
      <c r="F22" s="32"/>
      <c r="G22" s="30"/>
      <c r="H22" s="30"/>
      <c r="I22" s="33" t="str">
        <f aca="false">IFERROR(H22/G22,"")</f>
        <v/>
      </c>
      <c r="J22" s="34" t="str">
        <f aca="false">IF(H22="","",IF(H22&gt;=G22,"PASS",IF(H22&gt;=G22*0.9,"MARGINAL","UNDER")))</f>
        <v/>
      </c>
      <c r="K22" s="30"/>
      <c r="L22" s="31"/>
      <c r="M22" s="30"/>
      <c r="N22" s="30"/>
      <c r="O22" s="30"/>
      <c r="P22" s="30"/>
    </row>
    <row r="23" customFormat="false" ht="15" hidden="false" customHeight="false" outlineLevel="0" collapsed="false">
      <c r="A23" s="30"/>
      <c r="B23" s="31"/>
      <c r="C23" s="30"/>
      <c r="D23" s="30"/>
      <c r="E23" s="31"/>
      <c r="F23" s="32"/>
      <c r="G23" s="30"/>
      <c r="H23" s="30"/>
      <c r="I23" s="33" t="str">
        <f aca="false">IFERROR(H23/G23,"")</f>
        <v/>
      </c>
      <c r="J23" s="34" t="str">
        <f aca="false">IF(H23="","",IF(H23&gt;=G23,"PASS",IF(H23&gt;=G23*0.9,"MARGINAL","UNDER")))</f>
        <v/>
      </c>
      <c r="K23" s="30"/>
      <c r="L23" s="31"/>
      <c r="M23" s="30"/>
      <c r="N23" s="30"/>
      <c r="O23" s="30"/>
      <c r="P23" s="30"/>
    </row>
    <row r="24" customFormat="false" ht="15" hidden="false" customHeight="false" outlineLevel="0" collapsed="false">
      <c r="A24" s="30"/>
      <c r="B24" s="31"/>
      <c r="C24" s="30"/>
      <c r="D24" s="30"/>
      <c r="E24" s="31"/>
      <c r="F24" s="32"/>
      <c r="G24" s="30"/>
      <c r="H24" s="30"/>
      <c r="I24" s="33" t="str">
        <f aca="false">IFERROR(H24/G24,"")</f>
        <v/>
      </c>
      <c r="J24" s="34" t="str">
        <f aca="false">IF(H24="","",IF(H24&gt;=G24,"PASS",IF(H24&gt;=G24*0.9,"MARGINAL","UNDER")))</f>
        <v/>
      </c>
      <c r="K24" s="30"/>
      <c r="L24" s="31"/>
      <c r="M24" s="30"/>
      <c r="N24" s="30"/>
      <c r="O24" s="30"/>
      <c r="P24" s="30"/>
    </row>
    <row r="25" customFormat="false" ht="15" hidden="false" customHeight="false" outlineLevel="0" collapsed="false">
      <c r="A25" s="30"/>
      <c r="B25" s="31"/>
      <c r="C25" s="30"/>
      <c r="D25" s="30"/>
      <c r="E25" s="31"/>
      <c r="F25" s="32"/>
      <c r="G25" s="30"/>
      <c r="H25" s="30"/>
      <c r="I25" s="33" t="str">
        <f aca="false">IFERROR(H25/G25,"")</f>
        <v/>
      </c>
      <c r="J25" s="34" t="str">
        <f aca="false">IF(H25="","",IF(H25&gt;=G25,"PASS",IF(H25&gt;=G25*0.9,"MARGINAL","UNDER")))</f>
        <v/>
      </c>
      <c r="K25" s="30"/>
      <c r="L25" s="31"/>
      <c r="M25" s="30"/>
      <c r="N25" s="30"/>
      <c r="O25" s="30"/>
      <c r="P25" s="30"/>
    </row>
    <row r="26" customFormat="false" ht="15" hidden="false" customHeight="false" outlineLevel="0" collapsed="false">
      <c r="A26" s="30"/>
      <c r="B26" s="31"/>
      <c r="C26" s="30"/>
      <c r="D26" s="30"/>
      <c r="E26" s="31"/>
      <c r="F26" s="32"/>
      <c r="G26" s="30"/>
      <c r="H26" s="30"/>
      <c r="I26" s="33" t="str">
        <f aca="false">IFERROR(H26/G26,"")</f>
        <v/>
      </c>
      <c r="J26" s="34" t="str">
        <f aca="false">IF(H26="","",IF(H26&gt;=G26,"PASS",IF(H26&gt;=G26*0.9,"MARGINAL","UNDER")))</f>
        <v/>
      </c>
      <c r="K26" s="30"/>
      <c r="L26" s="31"/>
      <c r="M26" s="30"/>
      <c r="N26" s="30"/>
      <c r="O26" s="30"/>
      <c r="P26" s="30"/>
    </row>
    <row r="27" customFormat="false" ht="15" hidden="false" customHeight="false" outlineLevel="0" collapsed="false">
      <c r="A27" s="30"/>
      <c r="B27" s="31"/>
      <c r="C27" s="30"/>
      <c r="D27" s="30"/>
      <c r="E27" s="31"/>
      <c r="F27" s="32"/>
      <c r="G27" s="30"/>
      <c r="H27" s="30"/>
      <c r="I27" s="33" t="str">
        <f aca="false">IFERROR(H27/G27,"")</f>
        <v/>
      </c>
      <c r="J27" s="34" t="str">
        <f aca="false">IF(H27="","",IF(H27&gt;=G27,"PASS",IF(H27&gt;=G27*0.9,"MARGINAL","UNDER")))</f>
        <v/>
      </c>
      <c r="K27" s="30"/>
      <c r="L27" s="31"/>
      <c r="M27" s="30"/>
      <c r="N27" s="30"/>
      <c r="O27" s="30"/>
      <c r="P27" s="30"/>
    </row>
    <row r="28" customFormat="false" ht="15" hidden="false" customHeight="false" outlineLevel="0" collapsed="false">
      <c r="A28" s="30"/>
      <c r="B28" s="31"/>
      <c r="C28" s="30"/>
      <c r="D28" s="30"/>
      <c r="E28" s="31"/>
      <c r="F28" s="32"/>
      <c r="G28" s="30"/>
      <c r="H28" s="30"/>
      <c r="I28" s="33" t="str">
        <f aca="false">IFERROR(H28/G28,"")</f>
        <v/>
      </c>
      <c r="J28" s="34" t="str">
        <f aca="false">IF(H28="","",IF(H28&gt;=G28,"PASS",IF(H28&gt;=G28*0.9,"MARGINAL","UNDER")))</f>
        <v/>
      </c>
      <c r="K28" s="30"/>
      <c r="L28" s="31"/>
      <c r="M28" s="30"/>
      <c r="N28" s="30"/>
      <c r="O28" s="30"/>
      <c r="P28" s="30"/>
    </row>
    <row r="29" customFormat="false" ht="15" hidden="false" customHeight="false" outlineLevel="0" collapsed="false">
      <c r="A29" s="30"/>
      <c r="B29" s="31"/>
      <c r="C29" s="30"/>
      <c r="D29" s="30"/>
      <c r="E29" s="31"/>
      <c r="F29" s="32"/>
      <c r="G29" s="30"/>
      <c r="H29" s="30"/>
      <c r="I29" s="33" t="str">
        <f aca="false">IFERROR(H29/G29,"")</f>
        <v/>
      </c>
      <c r="J29" s="34" t="str">
        <f aca="false">IF(H29="","",IF(H29&gt;=G29,"PASS",IF(H29&gt;=G29*0.9,"MARGINAL","UNDER")))</f>
        <v/>
      </c>
      <c r="K29" s="30"/>
      <c r="L29" s="31"/>
      <c r="M29" s="30"/>
      <c r="N29" s="30"/>
      <c r="O29" s="30"/>
      <c r="P29" s="30"/>
    </row>
    <row r="30" customFormat="false" ht="15" hidden="false" customHeight="false" outlineLevel="0" collapsed="false">
      <c r="A30" s="30"/>
      <c r="B30" s="31"/>
      <c r="C30" s="30"/>
      <c r="D30" s="30"/>
      <c r="E30" s="31"/>
      <c r="F30" s="32"/>
      <c r="G30" s="30"/>
      <c r="H30" s="30"/>
      <c r="I30" s="33" t="str">
        <f aca="false">IFERROR(H30/G30,"")</f>
        <v/>
      </c>
      <c r="J30" s="34" t="str">
        <f aca="false">IF(H30="","",IF(H30&gt;=G30,"PASS",IF(H30&gt;=G30*0.9,"MARGINAL","UNDER")))</f>
        <v/>
      </c>
      <c r="K30" s="30"/>
      <c r="L30" s="31"/>
      <c r="M30" s="30"/>
      <c r="N30" s="30"/>
      <c r="O30" s="30"/>
      <c r="P30" s="30"/>
    </row>
    <row r="31" customFormat="false" ht="15" hidden="false" customHeight="false" outlineLevel="0" collapsed="false">
      <c r="A31" s="30"/>
      <c r="B31" s="31"/>
      <c r="C31" s="30"/>
      <c r="D31" s="30"/>
      <c r="E31" s="31"/>
      <c r="F31" s="32"/>
      <c r="G31" s="30"/>
      <c r="H31" s="30"/>
      <c r="I31" s="33" t="str">
        <f aca="false">IFERROR(H31/G31,"")</f>
        <v/>
      </c>
      <c r="J31" s="34" t="str">
        <f aca="false">IF(H31="","",IF(H31&gt;=G31,"PASS",IF(H31&gt;=G31*0.9,"MARGINAL","UNDER")))</f>
        <v/>
      </c>
      <c r="K31" s="30"/>
      <c r="L31" s="31"/>
      <c r="M31" s="30"/>
      <c r="N31" s="30"/>
      <c r="O31" s="30"/>
      <c r="P31" s="30"/>
    </row>
    <row r="32" customFormat="false" ht="15" hidden="false" customHeight="false" outlineLevel="0" collapsed="false">
      <c r="A32" s="30"/>
      <c r="B32" s="31"/>
      <c r="C32" s="30"/>
      <c r="D32" s="30"/>
      <c r="E32" s="31"/>
      <c r="F32" s="32"/>
      <c r="G32" s="30"/>
      <c r="H32" s="30"/>
      <c r="I32" s="33" t="str">
        <f aca="false">IFERROR(H32/G32,"")</f>
        <v/>
      </c>
      <c r="J32" s="34" t="str">
        <f aca="false">IF(H32="","",IF(H32&gt;=G32,"PASS",IF(H32&gt;=G32*0.9,"MARGINAL","UNDER")))</f>
        <v/>
      </c>
      <c r="K32" s="30"/>
      <c r="L32" s="31"/>
      <c r="M32" s="30"/>
      <c r="N32" s="30"/>
      <c r="O32" s="30"/>
      <c r="P32" s="30"/>
    </row>
    <row r="33" customFormat="false" ht="15" hidden="false" customHeight="false" outlineLevel="0" collapsed="false">
      <c r="A33" s="30"/>
      <c r="B33" s="31"/>
      <c r="C33" s="30"/>
      <c r="D33" s="30"/>
      <c r="E33" s="31"/>
      <c r="F33" s="32"/>
      <c r="G33" s="30"/>
      <c r="H33" s="30"/>
      <c r="I33" s="33" t="str">
        <f aca="false">IFERROR(H33/G33,"")</f>
        <v/>
      </c>
      <c r="J33" s="34" t="str">
        <f aca="false">IF(H33="","",IF(H33&gt;=G33,"PASS",IF(H33&gt;=G33*0.9,"MARGINAL","UNDER")))</f>
        <v/>
      </c>
      <c r="K33" s="30"/>
      <c r="L33" s="31"/>
      <c r="M33" s="30"/>
      <c r="N33" s="30"/>
      <c r="O33" s="30"/>
      <c r="P33" s="30"/>
    </row>
    <row r="34" customFormat="false" ht="15" hidden="false" customHeight="false" outlineLevel="0" collapsed="false">
      <c r="A34" s="30"/>
      <c r="B34" s="31"/>
      <c r="C34" s="30"/>
      <c r="D34" s="30"/>
      <c r="E34" s="31"/>
      <c r="F34" s="32"/>
      <c r="G34" s="30"/>
      <c r="H34" s="30"/>
      <c r="I34" s="33" t="str">
        <f aca="false">IFERROR(H34/G34,"")</f>
        <v/>
      </c>
      <c r="J34" s="34" t="str">
        <f aca="false">IF(H34="","",IF(H34&gt;=G34,"PASS",IF(H34&gt;=G34*0.9,"MARGINAL","UNDER")))</f>
        <v/>
      </c>
      <c r="K34" s="30"/>
      <c r="L34" s="31"/>
      <c r="M34" s="30"/>
      <c r="N34" s="30"/>
      <c r="O34" s="30"/>
      <c r="P34" s="30"/>
    </row>
    <row r="35" customFormat="false" ht="15" hidden="false" customHeight="false" outlineLevel="0" collapsed="false">
      <c r="A35" s="30"/>
      <c r="B35" s="31"/>
      <c r="C35" s="30"/>
      <c r="D35" s="30"/>
      <c r="E35" s="31"/>
      <c r="F35" s="32"/>
      <c r="G35" s="30"/>
      <c r="H35" s="30"/>
      <c r="I35" s="33" t="str">
        <f aca="false">IFERROR(H35/G35,"")</f>
        <v/>
      </c>
      <c r="J35" s="34" t="str">
        <f aca="false">IF(H35="","",IF(H35&gt;=G35,"PASS",IF(H35&gt;=G35*0.9,"MARGINAL","UNDER")))</f>
        <v/>
      </c>
      <c r="K35" s="30"/>
      <c r="L35" s="31"/>
      <c r="M35" s="30"/>
      <c r="N35" s="30"/>
      <c r="O35" s="30"/>
      <c r="P35" s="30"/>
    </row>
    <row r="36" customFormat="false" ht="15" hidden="false" customHeight="false" outlineLevel="0" collapsed="false">
      <c r="A36" s="30"/>
      <c r="B36" s="31"/>
      <c r="C36" s="30"/>
      <c r="D36" s="30"/>
      <c r="E36" s="31"/>
      <c r="F36" s="32"/>
      <c r="G36" s="30"/>
      <c r="H36" s="30"/>
      <c r="I36" s="33" t="str">
        <f aca="false">IFERROR(H36/G36,"")</f>
        <v/>
      </c>
      <c r="J36" s="34" t="str">
        <f aca="false">IF(H36="","",IF(H36&gt;=G36,"PASS",IF(H36&gt;=G36*0.9,"MARGINAL","UNDER")))</f>
        <v/>
      </c>
      <c r="K36" s="30"/>
      <c r="L36" s="31"/>
      <c r="M36" s="30"/>
      <c r="N36" s="30"/>
      <c r="O36" s="30"/>
      <c r="P36" s="30"/>
    </row>
    <row r="37" customFormat="false" ht="15" hidden="false" customHeight="false" outlineLevel="0" collapsed="false">
      <c r="A37" s="30"/>
      <c r="B37" s="31"/>
      <c r="C37" s="30"/>
      <c r="D37" s="30"/>
      <c r="E37" s="31"/>
      <c r="F37" s="32"/>
      <c r="G37" s="30"/>
      <c r="H37" s="30"/>
      <c r="I37" s="33" t="str">
        <f aca="false">IFERROR(H37/G37,"")</f>
        <v/>
      </c>
      <c r="J37" s="34" t="str">
        <f aca="false">IF(H37="","",IF(H37&gt;=G37,"PASS",IF(H37&gt;=G37*0.9,"MARGINAL","UNDER")))</f>
        <v/>
      </c>
      <c r="K37" s="30"/>
      <c r="L37" s="31"/>
      <c r="M37" s="30"/>
      <c r="N37" s="30"/>
      <c r="O37" s="30"/>
      <c r="P37" s="30"/>
    </row>
    <row r="38" customFormat="false" ht="15" hidden="false" customHeight="false" outlineLevel="0" collapsed="false">
      <c r="A38" s="30"/>
      <c r="B38" s="31"/>
      <c r="C38" s="30"/>
      <c r="D38" s="30"/>
      <c r="E38" s="31"/>
      <c r="F38" s="32"/>
      <c r="G38" s="30"/>
      <c r="H38" s="30"/>
      <c r="I38" s="33" t="str">
        <f aca="false">IFERROR(H38/G38,"")</f>
        <v/>
      </c>
      <c r="J38" s="34" t="str">
        <f aca="false">IF(H38="","",IF(H38&gt;=G38,"PASS",IF(H38&gt;=G38*0.9,"MARGINAL","UNDER")))</f>
        <v/>
      </c>
      <c r="K38" s="30"/>
      <c r="L38" s="31"/>
      <c r="M38" s="30"/>
      <c r="N38" s="30"/>
      <c r="O38" s="30"/>
      <c r="P38" s="30"/>
    </row>
    <row r="39" customFormat="false" ht="15" hidden="false" customHeight="false" outlineLevel="0" collapsed="false">
      <c r="A39" s="30"/>
      <c r="B39" s="31"/>
      <c r="C39" s="30"/>
      <c r="D39" s="30"/>
      <c r="E39" s="31"/>
      <c r="F39" s="32"/>
      <c r="G39" s="30"/>
      <c r="H39" s="30"/>
      <c r="I39" s="33" t="str">
        <f aca="false">IFERROR(H39/G39,"")</f>
        <v/>
      </c>
      <c r="J39" s="34" t="str">
        <f aca="false">IF(H39="","",IF(H39&gt;=G39,"PASS",IF(H39&gt;=G39*0.9,"MARGINAL","UNDER")))</f>
        <v/>
      </c>
      <c r="K39" s="30"/>
      <c r="L39" s="31"/>
      <c r="M39" s="30"/>
      <c r="N39" s="30"/>
      <c r="O39" s="30"/>
      <c r="P39" s="30"/>
    </row>
    <row r="40" customFormat="false" ht="15" hidden="false" customHeight="false" outlineLevel="0" collapsed="false">
      <c r="A40" s="30"/>
      <c r="B40" s="31"/>
      <c r="C40" s="30"/>
      <c r="D40" s="30"/>
      <c r="E40" s="31"/>
      <c r="F40" s="32"/>
      <c r="G40" s="30"/>
      <c r="H40" s="30"/>
      <c r="I40" s="33" t="str">
        <f aca="false">IFERROR(H40/G40,"")</f>
        <v/>
      </c>
      <c r="J40" s="34" t="str">
        <f aca="false">IF(H40="","",IF(H40&gt;=G40,"PASS",IF(H40&gt;=G40*0.9,"MARGINAL","UNDER")))</f>
        <v/>
      </c>
      <c r="K40" s="30"/>
      <c r="L40" s="31"/>
      <c r="M40" s="30"/>
      <c r="N40" s="30"/>
      <c r="O40" s="30"/>
      <c r="P40" s="30"/>
    </row>
    <row r="41" customFormat="false" ht="15" hidden="false" customHeight="false" outlineLevel="0" collapsed="false">
      <c r="A41" s="30"/>
      <c r="B41" s="31"/>
      <c r="C41" s="30"/>
      <c r="D41" s="30"/>
      <c r="E41" s="31"/>
      <c r="F41" s="32"/>
      <c r="G41" s="30"/>
      <c r="H41" s="30"/>
      <c r="I41" s="33" t="str">
        <f aca="false">IFERROR(H41/G41,"")</f>
        <v/>
      </c>
      <c r="J41" s="34" t="str">
        <f aca="false">IF(H41="","",IF(H41&gt;=G41,"PASS",IF(H41&gt;=G41*0.9,"MARGINAL","UNDER")))</f>
        <v/>
      </c>
      <c r="K41" s="30"/>
      <c r="L41" s="31"/>
      <c r="M41" s="30"/>
      <c r="N41" s="30"/>
      <c r="O41" s="30"/>
      <c r="P41" s="30"/>
    </row>
    <row r="42" customFormat="false" ht="15" hidden="false" customHeight="false" outlineLevel="0" collapsed="false">
      <c r="A42" s="30"/>
      <c r="B42" s="31"/>
      <c r="C42" s="30"/>
      <c r="D42" s="30"/>
      <c r="E42" s="31"/>
      <c r="F42" s="32"/>
      <c r="G42" s="30"/>
      <c r="H42" s="30"/>
      <c r="I42" s="33" t="str">
        <f aca="false">IFERROR(H42/G42,"")</f>
        <v/>
      </c>
      <c r="J42" s="34" t="str">
        <f aca="false">IF(H42="","",IF(H42&gt;=G42,"PASS",IF(H42&gt;=G42*0.9,"MARGINAL","UNDER")))</f>
        <v/>
      </c>
      <c r="K42" s="30"/>
      <c r="L42" s="31"/>
      <c r="M42" s="30"/>
      <c r="N42" s="30"/>
      <c r="O42" s="30"/>
      <c r="P42" s="30"/>
    </row>
    <row r="43" customFormat="false" ht="15" hidden="false" customHeight="false" outlineLevel="0" collapsed="false">
      <c r="A43" s="30"/>
      <c r="B43" s="31"/>
      <c r="C43" s="30"/>
      <c r="D43" s="30"/>
      <c r="E43" s="31"/>
      <c r="F43" s="32"/>
      <c r="G43" s="30"/>
      <c r="H43" s="30"/>
      <c r="I43" s="33" t="str">
        <f aca="false">IFERROR(H43/G43,"")</f>
        <v/>
      </c>
      <c r="J43" s="34" t="str">
        <f aca="false">IF(H43="","",IF(H43&gt;=G43,"PASS",IF(H43&gt;=G43*0.9,"MARGINAL","UNDER")))</f>
        <v/>
      </c>
      <c r="K43" s="30"/>
      <c r="L43" s="31"/>
      <c r="M43" s="30"/>
      <c r="N43" s="30"/>
      <c r="O43" s="30"/>
      <c r="P43" s="30"/>
    </row>
    <row r="44" customFormat="false" ht="15" hidden="false" customHeight="false" outlineLevel="0" collapsed="false">
      <c r="A44" s="30"/>
      <c r="B44" s="31"/>
      <c r="C44" s="30"/>
      <c r="D44" s="30"/>
      <c r="E44" s="31"/>
      <c r="F44" s="32"/>
      <c r="G44" s="30"/>
      <c r="H44" s="30"/>
      <c r="I44" s="33" t="str">
        <f aca="false">IFERROR(H44/G44,"")</f>
        <v/>
      </c>
      <c r="J44" s="34" t="str">
        <f aca="false">IF(H44="","",IF(H44&gt;=G44,"PASS",IF(H44&gt;=G44*0.9,"MARGINAL","UNDER")))</f>
        <v/>
      </c>
      <c r="K44" s="30"/>
      <c r="L44" s="31"/>
      <c r="M44" s="30"/>
      <c r="N44" s="30"/>
      <c r="O44" s="30"/>
      <c r="P44" s="30"/>
    </row>
    <row r="45" customFormat="false" ht="15" hidden="false" customHeight="false" outlineLevel="0" collapsed="false">
      <c r="A45" s="30"/>
      <c r="B45" s="31"/>
      <c r="C45" s="30"/>
      <c r="D45" s="30"/>
      <c r="E45" s="31"/>
      <c r="F45" s="32"/>
      <c r="G45" s="30"/>
      <c r="H45" s="30"/>
      <c r="I45" s="33" t="str">
        <f aca="false">IFERROR(H45/G45,"")</f>
        <v/>
      </c>
      <c r="J45" s="34" t="str">
        <f aca="false">IF(H45="","",IF(H45&gt;=G45,"PASS",IF(H45&gt;=G45*0.9,"MARGINAL","UNDER")))</f>
        <v/>
      </c>
      <c r="K45" s="30"/>
      <c r="L45" s="31"/>
      <c r="M45" s="30"/>
      <c r="N45" s="30"/>
      <c r="O45" s="30"/>
      <c r="P45" s="30"/>
    </row>
    <row r="46" customFormat="false" ht="15" hidden="false" customHeight="false" outlineLevel="0" collapsed="false">
      <c r="A46" s="30"/>
      <c r="B46" s="31"/>
      <c r="C46" s="30"/>
      <c r="D46" s="30"/>
      <c r="E46" s="31"/>
      <c r="F46" s="32"/>
      <c r="G46" s="30"/>
      <c r="H46" s="30"/>
      <c r="I46" s="33" t="str">
        <f aca="false">IFERROR(H46/G46,"")</f>
        <v/>
      </c>
      <c r="J46" s="34" t="str">
        <f aca="false">IF(H46="","",IF(H46&gt;=G46,"PASS",IF(H46&gt;=G46*0.9,"MARGINAL","UNDER")))</f>
        <v/>
      </c>
      <c r="K46" s="30"/>
      <c r="L46" s="31"/>
      <c r="M46" s="30"/>
      <c r="N46" s="30"/>
      <c r="O46" s="30"/>
      <c r="P46" s="30"/>
    </row>
    <row r="47" customFormat="false" ht="15" hidden="false" customHeight="false" outlineLevel="0" collapsed="false">
      <c r="A47" s="30"/>
      <c r="B47" s="31"/>
      <c r="C47" s="30"/>
      <c r="D47" s="30"/>
      <c r="E47" s="31"/>
      <c r="F47" s="32"/>
      <c r="G47" s="30"/>
      <c r="H47" s="30"/>
      <c r="I47" s="33" t="str">
        <f aca="false">IFERROR(H47/G47,"")</f>
        <v/>
      </c>
      <c r="J47" s="34" t="str">
        <f aca="false">IF(H47="","",IF(H47&gt;=G47,"PASS",IF(H47&gt;=G47*0.9,"MARGINAL","UNDER")))</f>
        <v/>
      </c>
      <c r="K47" s="30"/>
      <c r="L47" s="31"/>
      <c r="M47" s="30"/>
      <c r="N47" s="30"/>
      <c r="O47" s="30"/>
      <c r="P47" s="30"/>
    </row>
    <row r="48" customFormat="false" ht="15" hidden="false" customHeight="false" outlineLevel="0" collapsed="false">
      <c r="A48" s="30"/>
      <c r="B48" s="31"/>
      <c r="C48" s="30"/>
      <c r="D48" s="30"/>
      <c r="E48" s="31"/>
      <c r="F48" s="32"/>
      <c r="G48" s="30"/>
      <c r="H48" s="30"/>
      <c r="I48" s="33" t="str">
        <f aca="false">IFERROR(H48/G48,"")</f>
        <v/>
      </c>
      <c r="J48" s="34" t="str">
        <f aca="false">IF(H48="","",IF(H48&gt;=G48,"PASS",IF(H48&gt;=G48*0.9,"MARGINAL","UNDER")))</f>
        <v/>
      </c>
      <c r="K48" s="30"/>
      <c r="L48" s="31"/>
      <c r="M48" s="30"/>
      <c r="N48" s="30"/>
      <c r="O48" s="30"/>
      <c r="P48" s="30"/>
    </row>
    <row r="49" customFormat="false" ht="15" hidden="false" customHeight="false" outlineLevel="0" collapsed="false">
      <c r="A49" s="30"/>
      <c r="B49" s="31"/>
      <c r="C49" s="30"/>
      <c r="D49" s="30"/>
      <c r="E49" s="31"/>
      <c r="F49" s="32"/>
      <c r="G49" s="30"/>
      <c r="H49" s="30"/>
      <c r="I49" s="33" t="str">
        <f aca="false">IFERROR(H49/G49,"")</f>
        <v/>
      </c>
      <c r="J49" s="34" t="str">
        <f aca="false">IF(H49="","",IF(H49&gt;=G49,"PASS",IF(H49&gt;=G49*0.9,"MARGINAL","UNDER")))</f>
        <v/>
      </c>
      <c r="K49" s="30"/>
      <c r="L49" s="31"/>
      <c r="M49" s="30"/>
      <c r="N49" s="30"/>
      <c r="O49" s="30"/>
      <c r="P49" s="30"/>
    </row>
    <row r="50" customFormat="false" ht="15" hidden="false" customHeight="false" outlineLevel="0" collapsed="false">
      <c r="A50" s="30"/>
      <c r="B50" s="31"/>
      <c r="C50" s="30"/>
      <c r="D50" s="30"/>
      <c r="E50" s="31"/>
      <c r="F50" s="32"/>
      <c r="G50" s="30"/>
      <c r="H50" s="30"/>
      <c r="I50" s="33" t="str">
        <f aca="false">IFERROR(H50/G50,"")</f>
        <v/>
      </c>
      <c r="J50" s="34" t="str">
        <f aca="false">IF(H50="","",IF(H50&gt;=G50,"PASS",IF(H50&gt;=G50*0.9,"MARGINAL","UNDER")))</f>
        <v/>
      </c>
      <c r="K50" s="30"/>
      <c r="L50" s="31"/>
      <c r="M50" s="30"/>
      <c r="N50" s="30"/>
      <c r="O50" s="30"/>
      <c r="P50" s="30"/>
    </row>
    <row r="51" customFormat="false" ht="15" hidden="false" customHeight="false" outlineLevel="0" collapsed="false">
      <c r="A51" s="30"/>
      <c r="B51" s="31"/>
      <c r="C51" s="30"/>
      <c r="D51" s="30"/>
      <c r="E51" s="31"/>
      <c r="F51" s="32"/>
      <c r="G51" s="30"/>
      <c r="H51" s="30"/>
      <c r="I51" s="33" t="str">
        <f aca="false">IFERROR(H51/G51,"")</f>
        <v/>
      </c>
      <c r="J51" s="34" t="str">
        <f aca="false">IF(H51="","",IF(H51&gt;=G51,"PASS",IF(H51&gt;=G51*0.9,"MARGINAL","UNDER")))</f>
        <v/>
      </c>
      <c r="K51" s="30"/>
      <c r="L51" s="31"/>
      <c r="M51" s="30"/>
      <c r="N51" s="30"/>
      <c r="O51" s="30"/>
      <c r="P51" s="30"/>
    </row>
    <row r="52" customFormat="false" ht="15" hidden="false" customHeight="false" outlineLevel="0" collapsed="false">
      <c r="A52" s="30"/>
      <c r="B52" s="31"/>
      <c r="C52" s="30"/>
      <c r="D52" s="30"/>
      <c r="E52" s="31"/>
      <c r="F52" s="32"/>
      <c r="G52" s="30"/>
      <c r="H52" s="30"/>
      <c r="I52" s="33" t="str">
        <f aca="false">IFERROR(H52/G52,"")</f>
        <v/>
      </c>
      <c r="J52" s="34" t="str">
        <f aca="false">IF(H52="","",IF(H52&gt;=G52,"PASS",IF(H52&gt;=G52*0.9,"MARGINAL","UNDER")))</f>
        <v/>
      </c>
      <c r="K52" s="30"/>
      <c r="L52" s="31"/>
      <c r="M52" s="30"/>
      <c r="N52" s="30"/>
      <c r="O52" s="30"/>
      <c r="P52" s="30"/>
    </row>
    <row r="53" customFormat="false" ht="15" hidden="false" customHeight="false" outlineLevel="0" collapsed="false">
      <c r="A53" s="30"/>
      <c r="B53" s="31"/>
      <c r="C53" s="30"/>
      <c r="D53" s="30"/>
      <c r="E53" s="31"/>
      <c r="F53" s="32"/>
      <c r="G53" s="30"/>
      <c r="H53" s="30"/>
      <c r="I53" s="33" t="str">
        <f aca="false">IFERROR(H53/G53,"")</f>
        <v/>
      </c>
      <c r="J53" s="34" t="str">
        <f aca="false">IF(H53="","",IF(H53&gt;=G53,"PASS",IF(H53&gt;=G53*0.9,"MARGINAL","UNDER")))</f>
        <v/>
      </c>
      <c r="K53" s="30"/>
      <c r="L53" s="31"/>
      <c r="M53" s="30"/>
      <c r="N53" s="30"/>
      <c r="O53" s="30"/>
      <c r="P53" s="30"/>
    </row>
    <row r="54" customFormat="false" ht="15" hidden="false" customHeight="false" outlineLevel="0" collapsed="false">
      <c r="A54" s="30"/>
      <c r="B54" s="31"/>
      <c r="C54" s="30"/>
      <c r="D54" s="30"/>
      <c r="E54" s="31"/>
      <c r="F54" s="32"/>
      <c r="G54" s="30"/>
      <c r="H54" s="30"/>
      <c r="I54" s="33" t="str">
        <f aca="false">IFERROR(H54/G54,"")</f>
        <v/>
      </c>
      <c r="J54" s="34" t="str">
        <f aca="false">IF(H54="","",IF(H54&gt;=G54,"PASS",IF(H54&gt;=G54*0.9,"MARGINAL","UNDER")))</f>
        <v/>
      </c>
      <c r="K54" s="30"/>
      <c r="L54" s="31"/>
      <c r="M54" s="30"/>
      <c r="N54" s="30"/>
      <c r="O54" s="30"/>
      <c r="P54" s="30"/>
    </row>
    <row r="55" customFormat="false" ht="15" hidden="false" customHeight="false" outlineLevel="0" collapsed="false">
      <c r="A55" s="30"/>
      <c r="B55" s="31"/>
      <c r="C55" s="30"/>
      <c r="D55" s="30"/>
      <c r="E55" s="31"/>
      <c r="F55" s="32"/>
      <c r="G55" s="30"/>
      <c r="H55" s="30"/>
      <c r="I55" s="33" t="str">
        <f aca="false">IFERROR(H55/G55,"")</f>
        <v/>
      </c>
      <c r="J55" s="34" t="str">
        <f aca="false">IF(H55="","",IF(H55&gt;=G55,"PASS",IF(H55&gt;=G55*0.9,"MARGINAL","UNDER")))</f>
        <v/>
      </c>
      <c r="K55" s="30"/>
      <c r="L55" s="31"/>
      <c r="M55" s="30"/>
      <c r="N55" s="30"/>
      <c r="O55" s="30"/>
      <c r="P55" s="30"/>
    </row>
    <row r="56" customFormat="false" ht="15" hidden="false" customHeight="false" outlineLevel="0" collapsed="false">
      <c r="A56" s="30"/>
      <c r="B56" s="31"/>
      <c r="C56" s="30"/>
      <c r="D56" s="30"/>
      <c r="E56" s="31"/>
      <c r="F56" s="32"/>
      <c r="G56" s="30"/>
      <c r="H56" s="30"/>
      <c r="I56" s="33" t="str">
        <f aca="false">IFERROR(H56/G56,"")</f>
        <v/>
      </c>
      <c r="J56" s="34" t="str">
        <f aca="false">IF(H56="","",IF(H56&gt;=G56,"PASS",IF(H56&gt;=G56*0.9,"MARGINAL","UNDER")))</f>
        <v/>
      </c>
      <c r="K56" s="30"/>
      <c r="L56" s="31"/>
      <c r="M56" s="30"/>
      <c r="N56" s="30"/>
      <c r="O56" s="30"/>
      <c r="P56" s="30"/>
    </row>
    <row r="57" customFormat="false" ht="15" hidden="false" customHeight="false" outlineLevel="0" collapsed="false">
      <c r="A57" s="30"/>
      <c r="B57" s="31"/>
      <c r="C57" s="30"/>
      <c r="D57" s="30"/>
      <c r="E57" s="31"/>
      <c r="F57" s="32"/>
      <c r="G57" s="30"/>
      <c r="H57" s="30"/>
      <c r="I57" s="33" t="str">
        <f aca="false">IFERROR(H57/G57,"")</f>
        <v/>
      </c>
      <c r="J57" s="34" t="str">
        <f aca="false">IF(H57="","",IF(H57&gt;=G57,"PASS",IF(H57&gt;=G57*0.9,"MARGINAL","UNDER")))</f>
        <v/>
      </c>
      <c r="K57" s="30"/>
      <c r="L57" s="31"/>
      <c r="M57" s="30"/>
      <c r="N57" s="30"/>
      <c r="O57" s="30"/>
      <c r="P57" s="30"/>
    </row>
    <row r="58" customFormat="false" ht="15" hidden="false" customHeight="false" outlineLevel="0" collapsed="false">
      <c r="A58" s="30"/>
      <c r="B58" s="31"/>
      <c r="C58" s="30"/>
      <c r="D58" s="30"/>
      <c r="E58" s="31"/>
      <c r="F58" s="32"/>
      <c r="G58" s="30"/>
      <c r="H58" s="30"/>
      <c r="I58" s="33" t="str">
        <f aca="false">IFERROR(H58/G58,"")</f>
        <v/>
      </c>
      <c r="J58" s="34" t="str">
        <f aca="false">IF(H58="","",IF(H58&gt;=G58,"PASS",IF(H58&gt;=G58*0.9,"MARGINAL","UNDER")))</f>
        <v/>
      </c>
      <c r="K58" s="30"/>
      <c r="L58" s="31"/>
      <c r="M58" s="30"/>
      <c r="N58" s="30"/>
      <c r="O58" s="30"/>
      <c r="P58" s="30"/>
    </row>
    <row r="59" customFormat="false" ht="15" hidden="false" customHeight="false" outlineLevel="0" collapsed="false">
      <c r="A59" s="30"/>
      <c r="B59" s="31"/>
      <c r="C59" s="30"/>
      <c r="D59" s="30"/>
      <c r="E59" s="31"/>
      <c r="F59" s="32"/>
      <c r="G59" s="30"/>
      <c r="H59" s="30"/>
      <c r="I59" s="33" t="str">
        <f aca="false">IFERROR(H59/G59,"")</f>
        <v/>
      </c>
      <c r="J59" s="34" t="str">
        <f aca="false">IF(H59="","",IF(H59&gt;=G59,"PASS",IF(H59&gt;=G59*0.9,"MARGINAL","UNDER")))</f>
        <v/>
      </c>
      <c r="K59" s="30"/>
      <c r="L59" s="31"/>
      <c r="M59" s="30"/>
      <c r="N59" s="30"/>
      <c r="O59" s="30"/>
      <c r="P59" s="30"/>
    </row>
    <row r="60" customFormat="false" ht="15" hidden="false" customHeight="false" outlineLevel="0" collapsed="false">
      <c r="A60" s="30"/>
      <c r="B60" s="31"/>
      <c r="C60" s="30"/>
      <c r="D60" s="30"/>
      <c r="E60" s="31"/>
      <c r="F60" s="32"/>
      <c r="G60" s="30"/>
      <c r="H60" s="30"/>
      <c r="I60" s="33" t="str">
        <f aca="false">IFERROR(H60/G60,"")</f>
        <v/>
      </c>
      <c r="J60" s="34" t="str">
        <f aca="false">IF(H60="","",IF(H60&gt;=G60,"PASS",IF(H60&gt;=G60*0.9,"MARGINAL","UNDER")))</f>
        <v/>
      </c>
      <c r="K60" s="30"/>
      <c r="L60" s="31"/>
      <c r="M60" s="30"/>
      <c r="N60" s="30"/>
      <c r="O60" s="30"/>
      <c r="P60" s="30"/>
    </row>
  </sheetData>
  <autoFilter ref="A9:P60"/>
  <mergeCells count="6">
    <mergeCell ref="A1:L1"/>
    <mergeCell ref="A7:B7"/>
    <mergeCell ref="C7:D7"/>
    <mergeCell ref="E7:H7"/>
    <mergeCell ref="I7:L7"/>
    <mergeCell ref="M7:P7"/>
  </mergeCells>
  <conditionalFormatting sqref="J10:J60">
    <cfRule type="cellIs" priority="2" operator="equal" aboveAverage="0" equalAverage="0" bottom="0" percent="0" rank="0" text="" dxfId="9">
      <formula>"PASS"</formula>
    </cfRule>
    <cfRule type="cellIs" priority="3" operator="equal" aboveAverage="0" equalAverage="0" bottom="0" percent="0" rank="0" text="" dxfId="10">
      <formula>"MARGINAL"</formula>
    </cfRule>
    <cfRule type="cellIs" priority="4" operator="equal" aboveAverage="0" equalAverage="0" bottom="0" percent="0" rank="0" text="" dxfId="11">
      <formula>"UNDER"</formula>
    </cfRule>
  </conditionalFormatting>
  <conditionalFormatting sqref="I10:I60">
    <cfRule type="expression" priority="5" aboveAverage="0" equalAverage="0" bottom="0" percent="0" rank="0" text="" dxfId="12">
      <formula>AND(I10&lt;&gt;"",I10&gt;=1)</formula>
    </cfRule>
    <cfRule type="expression" priority="6" aboveAverage="0" equalAverage="0" bottom="0" percent="0" rank="0" text="" dxfId="13">
      <formula>AND(I10&lt;&gt;"",I10&gt;=0.9,I10&lt;1)</formula>
    </cfRule>
    <cfRule type="expression" priority="7" aboveAverage="0" equalAverage="0" bottom="0" percent="0" rank="0" text="" dxfId="14">
      <formula>AND(I10&lt;&gt;"",I10&lt;0.9)</formula>
    </cfRule>
  </conditionalFormatting>
  <dataValidations count="2">
    <dataValidation allowBlank="true" errorStyle="stop" operator="between" showDropDown="false" showErrorMessage="false" showInputMessage="false" sqref="C10:C60" type="list">
      <formula1>"Blast Cleaning,Power Tool Cleaning,Hand Tool Cleaning,Water Jetting,Sweep Blast"</formula1>
      <formula2>0</formula2>
    </dataValidation>
    <dataValidation allowBlank="true" errorStyle="stop" operator="between" showDropDown="false" showErrorMessage="false" showInputMessage="false" sqref="D10:D60" type="list">
      <formula1>"Sa 3,Sa 2½,Sa 2,Sa 1,St 3,St 2,Fl"</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&amp;CCoating / Painting Inspection Record</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5" t="s">
        <v>87</v>
      </c>
    </row>
    <row r="2" customFormat="false" ht="15" hidden="false" customHeight="false" outlineLevel="0" collapsed="false">
      <c r="A2" s="35"/>
    </row>
    <row r="3" customFormat="false" ht="15" hidden="false" customHeight="false" outlineLevel="0" collapsed="false">
      <c r="A3" s="35" t="s">
        <v>88</v>
      </c>
    </row>
    <row r="4" customFormat="false" ht="15" hidden="false" customHeight="false" outlineLevel="0" collapsed="false">
      <c r="A4" s="35"/>
    </row>
    <row r="5" customFormat="false" ht="15" hidden="false" customHeight="false" outlineLevel="0" collapsed="false">
      <c r="A5" s="35" t="s">
        <v>89</v>
      </c>
    </row>
    <row r="6" customFormat="false" ht="15" hidden="false" customHeight="false" outlineLevel="0" collapsed="false">
      <c r="A6" s="35"/>
    </row>
    <row r="7" customFormat="false" ht="15" hidden="false" customHeight="false" outlineLevel="0" collapsed="false">
      <c r="A7" s="35" t="s">
        <v>90</v>
      </c>
    </row>
    <row r="8" customFormat="false" ht="15" hidden="false" customHeight="false" outlineLevel="0" collapsed="false">
      <c r="A8" s="35"/>
    </row>
    <row r="9" customFormat="false" ht="15" hidden="false" customHeight="false" outlineLevel="0" collapsed="false">
      <c r="A9" s="35" t="s">
        <v>91</v>
      </c>
    </row>
    <row r="10" customFormat="false" ht="15" hidden="false" customHeight="false" outlineLevel="0" collapsed="false">
      <c r="A10" s="35"/>
    </row>
    <row r="11" customFormat="false" ht="15" hidden="false" customHeight="false" outlineLevel="0" collapsed="false">
      <c r="A11" s="35" t="s">
        <v>92</v>
      </c>
    </row>
    <row r="12" customFormat="false" ht="15" hidden="false" customHeight="false" outlineLevel="0" collapsed="false">
      <c r="A12" s="35"/>
    </row>
    <row r="13" customFormat="false" ht="15" hidden="false" customHeight="false" outlineLevel="0" collapsed="false">
      <c r="A13" s="35" t="s">
        <v>93</v>
      </c>
    </row>
    <row r="14" customFormat="false" ht="15" hidden="false" customHeight="false" outlineLevel="0" collapsed="false">
      <c r="A14" s="35"/>
    </row>
    <row r="15" customFormat="false" ht="15" hidden="false" customHeight="false" outlineLevel="0" collapsed="false">
      <c r="A15" s="35" t="s">
        <v>94</v>
      </c>
    </row>
    <row r="16" customFormat="false" ht="15" hidden="false" customHeight="false" outlineLevel="0" collapsed="false">
      <c r="A16" s="35"/>
    </row>
    <row r="17" customFormat="false" ht="15" hidden="false" customHeight="false" outlineLevel="0" collapsed="false">
      <c r="A17" s="35"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cp:category>
  <dcterms:created xsi:type="dcterms:W3CDTF">2026-03-23T09:58:08Z</dcterms:created>
  <dc:creator>Ebrora Ltd</dc:creator>
  <dc:description>Record surface preparation grades, coating application details, and dry film thickness measurements with automatic compliance checking against specification targets.
Free professional construction management template from Ebrora Ltd. Visit ebrora.com for our full range of tools and templates.</dc:description>
  <cp:keywords>Ebrora construction quality coating painting DFT surface preparation inspection</cp:keywords>
  <dc:language>en-US</dc:language>
  <cp:lastModifiedBy>Ebrora Ltd</cp:lastModifiedBy>
  <dcterms:modified xsi:type="dcterms:W3CDTF">2026-03-23T09:58:08Z</dcterms:modified>
  <cp:revision>0</cp:revision>
  <dc:subject>Record surface preparation, coating application, and DFT measurements with automatic compliance checking.</dc:subject>
  <dc:title>Coating / Painting Inspection Record</dc:title>
</cp:coreProperties>
</file>

<file path=docProps/custom.xml><?xml version="1.0" encoding="utf-8"?>
<Properties xmlns="http://schemas.openxmlformats.org/officeDocument/2006/custom-properties" xmlns:vt="http://schemas.openxmlformats.org/officeDocument/2006/docPropsVTypes"/>
</file>