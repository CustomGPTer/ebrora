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Waste Management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'Waste Management Log'!$A$1:$L$62</definedName>
    <definedName function="false" hidden="true" localSheetId="2" name="_xlnm._FilterDatabase" vbProcedure="false">'Waste Management Log'!$A$12:$L$512</definedName>
    <definedName function="false" hidden="false" name="WasteLog" vbProcedure="false">'Waste Management Log'!$A$12:$L$512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<sst xmlns="http://schemas.openxmlformats.org/spreadsheetml/2006/main" count="123" uniqueCount="111">
  <si>
    <t xml:space="preserve">EBRORA</t>
  </si>
  <si>
    <t xml:space="preserve">ebrora.com</t>
  </si>
  <si>
    <t xml:space="preserve">Waste Management Log</t>
  </si>
  <si>
    <t xml:space="preserve">Track waste arisings, carriers, destinations and diversion rates</t>
  </si>
  <si>
    <t xml:space="preserve">for UK construction projects — aligned with duty of care requirements.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</si>
  <si>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</si>
  <si>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</si>
  <si>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</si>
  <si>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</si>
  <si>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</si>
  <si>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'Waste Management Log' sheet. The top section shows a live waste summary dashboard with tonnage by stream and your diversion-from-landfill rate.</t>
  </si>
  <si>
    <t xml:space="preserve">2.</t>
  </si>
  <si>
    <t xml:space="preserve">Log each waste transfer in the main table starting at row 13. Enter the date, waste stream (dropdown), EWC code, quantity in tonnes, carrier, and destination.</t>
  </si>
  <si>
    <t xml:space="preserve">3.</t>
  </si>
  <si>
    <t xml:space="preserve">Select the disposal method from the dropdown: Recycled, Recovered, Landfill, or Hazardous Treatment. This drives the diversion rate calculation.</t>
  </si>
  <si>
    <t xml:space="preserve">4.</t>
  </si>
  <si>
    <t xml:space="preserve">Enter the Waste Transfer Note (WTN) or Consignment Note reference for your audit trail.</t>
  </si>
  <si>
    <t xml:space="preserve">5.</t>
  </si>
  <si>
    <t xml:space="preserve">Expand the optional columns to record the vehicle reg, receiving site permit number, and any additional notes.</t>
  </si>
  <si>
    <t xml:space="preserve">6.</t>
  </si>
  <si>
    <t xml:space="preserve">The dashboard auto-calculates total tonnage by waste stream and your overall diversion-from-landfill percentage. Use this for SWMP reporting.</t>
  </si>
  <si>
    <t xml:space="preserve">7.</t>
  </si>
  <si>
    <t xml:space="preserve">Use filters to view waste by stream, carrier, or disposal method.</t>
  </si>
  <si>
    <t xml:space="preserve">Colour Key</t>
  </si>
  <si>
    <t xml:space="preserve">Light teal cells — user input / editable</t>
  </si>
  <si>
    <t xml:space="preserve">  </t>
  </si>
  <si>
    <t xml:space="preserve">Dark navy headers — do not edit</t>
  </si>
  <si>
    <t xml:space="preserve">Green — Recycled or Recovered disposal</t>
  </si>
  <si>
    <t xml:space="preserve">Red — Landfill disposal</t>
  </si>
  <si>
    <t xml:space="preserve">Tips</t>
  </si>
  <si>
    <t xml:space="preserve">•</t>
  </si>
  <si>
    <t xml:space="preserve">Keep WTN/consignment note references up to date — these are legal documents under the Duty of Care regulations.</t>
  </si>
  <si>
    <t xml:space="preserve">Aim for &gt;90% diversion from landfill to meet most BREEAM and client KPI targets.</t>
  </si>
  <si>
    <t xml:space="preserve">Review the dashboard weekly with your environmental manager to spot trends early.</t>
  </si>
  <si>
    <t xml:space="preserve">WASTE MANAGEMENT LOG — DASHBOARD</t>
  </si>
  <si>
    <t xml:space="preserve">Tonnage by Waste Stream</t>
  </si>
  <si>
    <t xml:space="preserve">Disposal Summary</t>
  </si>
  <si>
    <t xml:space="preserve">Inert (soil, concrete, brick)</t>
  </si>
  <si>
    <t xml:space="preserve">Recycled</t>
  </si>
  <si>
    <t xml:space="preserve">Timber</t>
  </si>
  <si>
    <t xml:space="preserve">Recovered</t>
  </si>
  <si>
    <t xml:space="preserve">Mixed C&amp;D Waste</t>
  </si>
  <si>
    <t xml:space="preserve">Landfill</t>
  </si>
  <si>
    <t xml:space="preserve">Metal / Scrap</t>
  </si>
  <si>
    <t xml:space="preserve">Hazardous Treatment</t>
  </si>
  <si>
    <t xml:space="preserve">Plasterboard</t>
  </si>
  <si>
    <t xml:space="preserve">TOTAL WASTE (tonnes)</t>
  </si>
  <si>
    <t xml:space="preserve">DIVERSION FROM LANDFILL</t>
  </si>
  <si>
    <t xml:space="preserve">Hazardous</t>
  </si>
  <si>
    <t xml:space="preserve">WASTE TRANSFER RECORDS</t>
  </si>
  <si>
    <t xml:space="preserve">Ref</t>
  </si>
  <si>
    <t xml:space="preserve">Date</t>
  </si>
  <si>
    <t xml:space="preserve">Waste Stream</t>
  </si>
  <si>
    <t xml:space="preserve">EWC Code</t>
  </si>
  <si>
    <t xml:space="preserve">Qty (tonnes)</t>
  </si>
  <si>
    <t xml:space="preserve">Carrier</t>
  </si>
  <si>
    <t xml:space="preserve">Disposal Method</t>
  </si>
  <si>
    <t xml:space="preserve">WTN / CN Ref</t>
  </si>
  <si>
    <t xml:space="preserve">Destination Site</t>
  </si>
  <si>
    <t xml:space="preserve">Vehicle Reg</t>
  </si>
  <si>
    <t xml:space="preserve">Permit No.</t>
  </si>
  <si>
    <t xml:space="preserve">Notes</t>
  </si>
  <si>
    <t xml:space="preserve">WM-001</t>
  </si>
  <si>
    <t xml:space="preserve">17 05 04</t>
  </si>
  <si>
    <t xml:space="preserve">Smith Haulage Ltd</t>
  </si>
  <si>
    <t xml:space="preserve">WTN-2026-0041</t>
  </si>
  <si>
    <t xml:space="preserve">CleanEarth Recycling, Swindon</t>
  </si>
  <si>
    <t xml:space="preserve">KV21 WRF</t>
  </si>
  <si>
    <t xml:space="preserve">EP-32145</t>
  </si>
  <si>
    <t xml:space="preserve">Clean excavation spoil from Phase 1</t>
  </si>
  <si>
    <t xml:space="preserve">WM-002</t>
  </si>
  <si>
    <t xml:space="preserve">17 02 01</t>
  </si>
  <si>
    <t xml:space="preserve">Green Waste Solutions</t>
  </si>
  <si>
    <t xml:space="preserve">WTN-2026-0042</t>
  </si>
  <si>
    <t xml:space="preserve">BioTimber Processing, Bristol</t>
  </si>
  <si>
    <t xml:space="preserve">HJ19 NKL</t>
  </si>
  <si>
    <t xml:space="preserve">EP-44821</t>
  </si>
  <si>
    <t xml:space="preserve">Untreated timber offcuts</t>
  </si>
  <si>
    <t xml:space="preserve">WM-003</t>
  </si>
  <si>
    <t xml:space="preserve">17 09 04</t>
  </si>
  <si>
    <t xml:space="preserve">Metro Skip Hire</t>
  </si>
  <si>
    <t xml:space="preserve">WTN-2026-0043</t>
  </si>
  <si>
    <t xml:space="preserve">Westfield Landfill, Bath</t>
  </si>
  <si>
    <t xml:space="preserve">DF20 PPR</t>
  </si>
  <si>
    <t xml:space="preserve">EP-11032</t>
  </si>
  <si>
    <t xml:space="preserve">Mixed waste — contaminated, not sortable on site</t>
  </si>
  <si>
    <t xml:space="preserve">WM-004</t>
  </si>
  <si>
    <t xml:space="preserve">17 06 05*</t>
  </si>
  <si>
    <t xml:space="preserve">Hazkem Environmental</t>
  </si>
  <si>
    <t xml:space="preserve">CN-2026-0011</t>
  </si>
  <si>
    <t xml:space="preserve">Hazkem Treatment Centre, Avonmouth</t>
  </si>
  <si>
    <t xml:space="preserve">AP22 HAZ</t>
  </si>
  <si>
    <t xml:space="preserve">EP-99102</t>
  </si>
  <si>
    <t xml:space="preserve">Asbestos-containing materials from demolition</t>
  </si>
  <si>
    <t xml:space="preserve">WM-005</t>
  </si>
  <si>
    <t xml:space="preserve">17 04 05</t>
  </si>
  <si>
    <t xml:space="preserve">Reclaim Metals Ltd</t>
  </si>
  <si>
    <t xml:space="preserve">WTN-2026-0044</t>
  </si>
  <si>
    <t xml:space="preserve">Reclaim Yard, Chippenham</t>
  </si>
  <si>
    <t xml:space="preserve">BN18 MET</t>
  </si>
  <si>
    <t xml:space="preserve">EP-55678</t>
  </si>
  <si>
    <t xml:space="preserve">Steel rebar offcuts and fixings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</si>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</sst>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General"/>
    <numFmt numFmtId="167" formatCode="0.0%"/>
    <numFmt numFmtId="168" formatCode="dd/mm/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2"/>
      <color rgb="FF2AABB3"/>
      <name val="Calibri"/>
      <family val="0"/>
      <charset val="1"/>
    </font>
    <font>
      <b val="true"/>
      <sz val="14"/>
      <color rgb="FF2AABB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2AABB3"/>
      </top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7" customFormat="false" ht="15" hidden="false" customHeight="false" outlineLevel="0" collapsed="false">
      <c r="A17" s="13" t="s">
        <v>29</v>
      </c>
      <c r="B17" s="13"/>
      <c r="C17" s="13"/>
      <c r="D17" s="13"/>
      <c r="E17" s="13"/>
      <c r="F17" s="13"/>
    </row>
    <row r="18" customFormat="false" ht="30" hidden="false" customHeight="true" outlineLevel="0" collapsed="false">
      <c r="A18" s="19" t="s">
        <v>30</v>
      </c>
      <c r="B18" s="12" t="s">
        <v>31</v>
      </c>
      <c r="C18" s="12"/>
      <c r="D18" s="12"/>
      <c r="E18" s="12"/>
      <c r="F18" s="12"/>
    </row>
    <row r="19" customFormat="false" ht="30" hidden="false" customHeight="true" outlineLevel="0" collapsed="false">
      <c r="A19" s="19" t="s">
        <v>30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19" t="s">
        <v>30</v>
      </c>
      <c r="B20" s="12" t="s">
        <v>33</v>
      </c>
      <c r="C20" s="12"/>
      <c r="D20" s="12"/>
      <c r="E20" s="12"/>
      <c r="F20" s="12"/>
    </row>
  </sheetData>
  <mergeCells count="17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A17:F17"/>
    <mergeCell ref="B18:F18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true" outlineLevel="1" max="12" min="9" style="0" width="22"/>
  </cols>
  <sheetData>
    <row r="1" customFormat="false" ht="30" hidden="false" customHeight="true" outlineLevel="0" collapsed="false">
      <c r="A1" s="20" t="s">
        <v>34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5" hidden="false" customHeight="true" outlineLevel="0" collapsed="false">
      <c r="A2" s="21" t="s">
        <v>35</v>
      </c>
      <c r="B2" s="21"/>
      <c r="C2" s="21"/>
      <c r="D2" s="21"/>
      <c r="E2" s="21"/>
      <c r="G2" s="21" t="s">
        <v>36</v>
      </c>
      <c r="H2" s="21"/>
      <c r="I2" s="21"/>
      <c r="J2" s="21"/>
      <c r="K2" s="21"/>
      <c r="L2" s="21"/>
    </row>
    <row r="3" customFormat="false" ht="15" hidden="false" customHeight="false" outlineLevel="0" collapsed="false">
      <c r="A3" s="22" t="s">
        <v>37</v>
      </c>
      <c r="B3" s="22"/>
      <c r="C3" s="22"/>
      <c r="D3" s="22"/>
      <c r="E3" s="23" t="n">
        <f aca="false">SUMIF(C13:C512,A3,E13:E512)</f>
        <v>42.5</v>
      </c>
      <c r="G3" s="24" t="s">
        <v>38</v>
      </c>
      <c r="H3" s="24"/>
      <c r="I3" s="24"/>
      <c r="J3" s="23" t="n">
        <f aca="false">SUMIF(G13:G512,G3,E13:E512)</f>
        <v>48.4</v>
      </c>
      <c r="K3" s="23"/>
      <c r="L3" s="25" t="n">
        <f aca="false">COUNTIF(G13:G512,G3)</f>
        <v>3</v>
      </c>
    </row>
    <row r="4" customFormat="false" ht="15" hidden="false" customHeight="false" outlineLevel="0" collapsed="false">
      <c r="A4" s="22" t="s">
        <v>39</v>
      </c>
      <c r="B4" s="22"/>
      <c r="C4" s="22"/>
      <c r="D4" s="22"/>
      <c r="E4" s="23" t="n">
        <f aca="false">SUMIF(C13:C512,A4,E13:E512)</f>
        <v>3.8</v>
      </c>
      <c r="G4" s="24" t="s">
        <v>40</v>
      </c>
      <c r="H4" s="24"/>
      <c r="I4" s="24"/>
      <c r="J4" s="23" t="n">
        <f aca="false">SUMIF(G13:G512,G4,E13:E512)</f>
        <v>0</v>
      </c>
      <c r="K4" s="23"/>
      <c r="L4" s="25" t="n">
        <f aca="false">COUNTIF(G13:G512,G4)</f>
        <v>0</v>
      </c>
    </row>
    <row r="5" customFormat="false" ht="15" hidden="false" customHeight="false" outlineLevel="0" collapsed="false">
      <c r="A5" s="22" t="s">
        <v>41</v>
      </c>
      <c r="B5" s="22"/>
      <c r="C5" s="22"/>
      <c r="D5" s="22"/>
      <c r="E5" s="23" t="n">
        <f aca="false">SUMIF(C13:C512,A5,E13:E512)</f>
        <v>8.2</v>
      </c>
      <c r="G5" s="26" t="s">
        <v>42</v>
      </c>
      <c r="H5" s="26"/>
      <c r="I5" s="26"/>
      <c r="J5" s="23" t="n">
        <f aca="false">SUMIF(G13:G512,G5,E13:E512)</f>
        <v>8.2</v>
      </c>
      <c r="K5" s="23"/>
      <c r="L5" s="25" t="n">
        <f aca="false">COUNTIF(G13:G512,G5)</f>
        <v>1</v>
      </c>
    </row>
    <row r="6" customFormat="false" ht="15" hidden="false" customHeight="false" outlineLevel="0" collapsed="false">
      <c r="A6" s="22" t="s">
        <v>43</v>
      </c>
      <c r="B6" s="22"/>
      <c r="C6" s="22"/>
      <c r="D6" s="22"/>
      <c r="E6" s="23" t="n">
        <f aca="false">SUMIF(C13:C512,A6,E13:E512)</f>
        <v>2.1</v>
      </c>
      <c r="G6" s="27" t="s">
        <v>44</v>
      </c>
      <c r="H6" s="27"/>
      <c r="I6" s="27"/>
      <c r="J6" s="23" t="n">
        <f aca="false">SUMIF(G13:G512,G6,E13:E512)</f>
        <v>0.4</v>
      </c>
      <c r="K6" s="23"/>
      <c r="L6" s="25" t="n">
        <f aca="false">COUNTIF(G13:G512,G6)</f>
        <v>1</v>
      </c>
    </row>
    <row r="7" customFormat="false" ht="15" hidden="false" customHeight="false" outlineLevel="0" collapsed="false">
      <c r="A7" s="22" t="s">
        <v>45</v>
      </c>
      <c r="B7" s="22"/>
      <c r="C7" s="22"/>
      <c r="D7" s="22"/>
      <c r="E7" s="23" t="n">
        <f aca="false">SUMIF(C13:C512,A7,E13:E512)</f>
        <v>0</v>
      </c>
    </row>
    <row r="8" customFormat="false" ht="18.65" hidden="false" customHeight="false" outlineLevel="0" collapsed="false">
      <c r="A8" s="28" t="s">
        <v>46</v>
      </c>
      <c r="B8" s="28"/>
      <c r="C8" s="28"/>
      <c r="D8" s="28"/>
      <c r="E8" s="29" t="n">
        <f aca="false">SUM(E13:E512)</f>
        <v>57</v>
      </c>
      <c r="G8" s="28" t="s">
        <v>47</v>
      </c>
      <c r="H8" s="28"/>
      <c r="I8" s="28"/>
      <c r="J8" s="30" t="n">
        <f aca="false">IF(E8&gt;0,(E8-J5)/E8,0)</f>
        <v>0.856140350877193</v>
      </c>
      <c r="K8" s="30"/>
      <c r="L8" s="31"/>
    </row>
    <row r="9" customFormat="false" ht="15" hidden="false" customHeight="false" outlineLevel="0" collapsed="false">
      <c r="A9" s="22" t="s">
        <v>48</v>
      </c>
      <c r="B9" s="22"/>
      <c r="C9" s="22"/>
      <c r="D9" s="22"/>
      <c r="E9" s="23" t="n">
        <f aca="false">SUMIF(C13:C512,A9,E13:E512)</f>
        <v>0.4</v>
      </c>
    </row>
    <row r="10" customFormat="false" ht="6" hidden="false" customHeight="true" outlineLevel="0" collapsed="false"/>
    <row r="11" customFormat="false" ht="25.5" hidden="false" customHeight="true" outlineLevel="0" collapsed="false">
      <c r="A11" s="32" t="s">
        <v>49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customFormat="false" ht="15" hidden="false" customHeight="false" outlineLevel="0" collapsed="false">
      <c r="A12" s="33" t="s">
        <v>50</v>
      </c>
      <c r="B12" s="33" t="s">
        <v>51</v>
      </c>
      <c r="C12" s="33" t="s">
        <v>52</v>
      </c>
      <c r="D12" s="33" t="s">
        <v>53</v>
      </c>
      <c r="E12" s="33" t="s">
        <v>54</v>
      </c>
      <c r="F12" s="33" t="s">
        <v>55</v>
      </c>
      <c r="G12" s="33" t="s">
        <v>56</v>
      </c>
      <c r="H12" s="33" t="s">
        <v>57</v>
      </c>
      <c r="I12" s="33" t="s">
        <v>58</v>
      </c>
      <c r="J12" s="33" t="s">
        <v>59</v>
      </c>
      <c r="K12" s="33" t="s">
        <v>60</v>
      </c>
      <c r="L12" s="33" t="s">
        <v>61</v>
      </c>
    </row>
    <row r="13" customFormat="false" ht="30" hidden="false" customHeight="true" outlineLevel="0" collapsed="false">
      <c r="A13" s="34" t="s">
        <v>62</v>
      </c>
      <c r="B13" s="35" t="n">
        <v>46084</v>
      </c>
      <c r="C13" s="36" t="s">
        <v>37</v>
      </c>
      <c r="D13" s="34" t="s">
        <v>63</v>
      </c>
      <c r="E13" s="37" t="n">
        <v>42.5</v>
      </c>
      <c r="F13" s="36" t="s">
        <v>64</v>
      </c>
      <c r="G13" s="34" t="s">
        <v>38</v>
      </c>
      <c r="H13" s="34" t="s">
        <v>65</v>
      </c>
      <c r="I13" s="36" t="s">
        <v>66</v>
      </c>
      <c r="J13" s="34" t="s">
        <v>67</v>
      </c>
      <c r="K13" s="34" t="s">
        <v>68</v>
      </c>
      <c r="L13" s="36" t="s">
        <v>69</v>
      </c>
    </row>
    <row r="14" customFormat="false" ht="30" hidden="false" customHeight="true" outlineLevel="0" collapsed="false">
      <c r="A14" s="38" t="s">
        <v>70</v>
      </c>
      <c r="B14" s="39" t="n">
        <v>46086</v>
      </c>
      <c r="C14" s="40" t="s">
        <v>39</v>
      </c>
      <c r="D14" s="38" t="s">
        <v>71</v>
      </c>
      <c r="E14" s="41" t="n">
        <v>3.8</v>
      </c>
      <c r="F14" s="40" t="s">
        <v>72</v>
      </c>
      <c r="G14" s="38" t="s">
        <v>38</v>
      </c>
      <c r="H14" s="38" t="s">
        <v>73</v>
      </c>
      <c r="I14" s="40" t="s">
        <v>74</v>
      </c>
      <c r="J14" s="38" t="s">
        <v>75</v>
      </c>
      <c r="K14" s="38" t="s">
        <v>76</v>
      </c>
      <c r="L14" s="40" t="s">
        <v>77</v>
      </c>
    </row>
    <row r="15" customFormat="false" ht="30" hidden="false" customHeight="true" outlineLevel="0" collapsed="false">
      <c r="A15" s="34" t="s">
        <v>78</v>
      </c>
      <c r="B15" s="35" t="n">
        <v>46089</v>
      </c>
      <c r="C15" s="36" t="s">
        <v>41</v>
      </c>
      <c r="D15" s="34" t="s">
        <v>79</v>
      </c>
      <c r="E15" s="37" t="n">
        <v>8.2</v>
      </c>
      <c r="F15" s="36" t="s">
        <v>80</v>
      </c>
      <c r="G15" s="34" t="s">
        <v>42</v>
      </c>
      <c r="H15" s="34" t="s">
        <v>81</v>
      </c>
      <c r="I15" s="36" t="s">
        <v>82</v>
      </c>
      <c r="J15" s="34" t="s">
        <v>83</v>
      </c>
      <c r="K15" s="34" t="s">
        <v>84</v>
      </c>
      <c r="L15" s="36" t="s">
        <v>85</v>
      </c>
    </row>
    <row r="16" customFormat="false" ht="30" hidden="false" customHeight="true" outlineLevel="0" collapsed="false">
      <c r="A16" s="38" t="s">
        <v>86</v>
      </c>
      <c r="B16" s="39" t="n">
        <v>46093</v>
      </c>
      <c r="C16" s="40" t="s">
        <v>48</v>
      </c>
      <c r="D16" s="38" t="s">
        <v>87</v>
      </c>
      <c r="E16" s="41" t="n">
        <v>0.4</v>
      </c>
      <c r="F16" s="40" t="s">
        <v>88</v>
      </c>
      <c r="G16" s="38" t="s">
        <v>44</v>
      </c>
      <c r="H16" s="38" t="s">
        <v>89</v>
      </c>
      <c r="I16" s="40" t="s">
        <v>90</v>
      </c>
      <c r="J16" s="38" t="s">
        <v>91</v>
      </c>
      <c r="K16" s="38" t="s">
        <v>92</v>
      </c>
      <c r="L16" s="40" t="s">
        <v>93</v>
      </c>
    </row>
    <row r="17" customFormat="false" ht="30" hidden="false" customHeight="true" outlineLevel="0" collapsed="false">
      <c r="A17" s="34" t="s">
        <v>94</v>
      </c>
      <c r="B17" s="35" t="n">
        <v>46099</v>
      </c>
      <c r="C17" s="36" t="s">
        <v>43</v>
      </c>
      <c r="D17" s="34" t="s">
        <v>95</v>
      </c>
      <c r="E17" s="37" t="n">
        <v>2.1</v>
      </c>
      <c r="F17" s="36" t="s">
        <v>96</v>
      </c>
      <c r="G17" s="34" t="s">
        <v>38</v>
      </c>
      <c r="H17" s="34" t="s">
        <v>97</v>
      </c>
      <c r="I17" s="36" t="s">
        <v>98</v>
      </c>
      <c r="J17" s="34" t="s">
        <v>99</v>
      </c>
      <c r="K17" s="34" t="s">
        <v>100</v>
      </c>
      <c r="L17" s="36" t="s">
        <v>101</v>
      </c>
    </row>
    <row r="18" customFormat="false" ht="15" hidden="false" customHeight="false" outlineLevel="0" collapsed="false">
      <c r="A18" s="38"/>
      <c r="B18" s="39"/>
      <c r="C18" s="40"/>
      <c r="D18" s="38"/>
      <c r="E18" s="41"/>
      <c r="F18" s="40"/>
      <c r="G18" s="38"/>
      <c r="H18" s="38"/>
      <c r="I18" s="40"/>
      <c r="J18" s="38"/>
      <c r="K18" s="38"/>
      <c r="L18" s="40"/>
    </row>
    <row r="19" customFormat="false" ht="15" hidden="false" customHeight="false" outlineLevel="0" collapsed="false">
      <c r="A19" s="34"/>
      <c r="B19" s="35"/>
      <c r="C19" s="36"/>
      <c r="D19" s="34"/>
      <c r="E19" s="37"/>
      <c r="F19" s="36"/>
      <c r="G19" s="34"/>
      <c r="H19" s="34"/>
      <c r="I19" s="36"/>
      <c r="J19" s="34"/>
      <c r="K19" s="34"/>
      <c r="L19" s="36"/>
    </row>
    <row r="20" customFormat="false" ht="15" hidden="false" customHeight="false" outlineLevel="0" collapsed="false">
      <c r="A20" s="38"/>
      <c r="B20" s="39"/>
      <c r="C20" s="40"/>
      <c r="D20" s="38"/>
      <c r="E20" s="41"/>
      <c r="F20" s="40"/>
      <c r="G20" s="38"/>
      <c r="H20" s="38"/>
      <c r="I20" s="40"/>
      <c r="J20" s="38"/>
      <c r="K20" s="38"/>
      <c r="L20" s="40"/>
    </row>
    <row r="21" customFormat="false" ht="15" hidden="false" customHeight="false" outlineLevel="0" collapsed="false">
      <c r="A21" s="34"/>
      <c r="B21" s="35"/>
      <c r="C21" s="36"/>
      <c r="D21" s="34"/>
      <c r="E21" s="37"/>
      <c r="F21" s="36"/>
      <c r="G21" s="34"/>
      <c r="H21" s="34"/>
      <c r="I21" s="36"/>
      <c r="J21" s="34"/>
      <c r="K21" s="34"/>
      <c r="L21" s="36"/>
    </row>
    <row r="22" customFormat="false" ht="15" hidden="false" customHeight="false" outlineLevel="0" collapsed="false">
      <c r="A22" s="38"/>
      <c r="B22" s="39"/>
      <c r="C22" s="40"/>
      <c r="D22" s="38"/>
      <c r="E22" s="41"/>
      <c r="F22" s="40"/>
      <c r="G22" s="38"/>
      <c r="H22" s="38"/>
      <c r="I22" s="40"/>
      <c r="J22" s="38"/>
      <c r="K22" s="38"/>
      <c r="L22" s="40"/>
    </row>
    <row r="23" customFormat="false" ht="15" hidden="false" customHeight="false" outlineLevel="0" collapsed="false">
      <c r="A23" s="34"/>
      <c r="B23" s="35"/>
      <c r="C23" s="36"/>
      <c r="D23" s="34"/>
      <c r="E23" s="37"/>
      <c r="F23" s="36"/>
      <c r="G23" s="34"/>
      <c r="H23" s="34"/>
      <c r="I23" s="36"/>
      <c r="J23" s="34"/>
      <c r="K23" s="34"/>
      <c r="L23" s="36"/>
    </row>
    <row r="24" customFormat="false" ht="15" hidden="false" customHeight="false" outlineLevel="0" collapsed="false">
      <c r="A24" s="38"/>
      <c r="B24" s="39"/>
      <c r="C24" s="40"/>
      <c r="D24" s="38"/>
      <c r="E24" s="41"/>
      <c r="F24" s="40"/>
      <c r="G24" s="38"/>
      <c r="H24" s="38"/>
      <c r="I24" s="40"/>
      <c r="J24" s="38"/>
      <c r="K24" s="38"/>
      <c r="L24" s="40"/>
    </row>
    <row r="25" customFormat="false" ht="15" hidden="false" customHeight="false" outlineLevel="0" collapsed="false">
      <c r="A25" s="34"/>
      <c r="B25" s="35"/>
      <c r="C25" s="36"/>
      <c r="D25" s="34"/>
      <c r="E25" s="37"/>
      <c r="F25" s="36"/>
      <c r="G25" s="34"/>
      <c r="H25" s="34"/>
      <c r="I25" s="36"/>
      <c r="J25" s="34"/>
      <c r="K25" s="34"/>
      <c r="L25" s="36"/>
    </row>
    <row r="26" customFormat="false" ht="15" hidden="false" customHeight="false" outlineLevel="0" collapsed="false">
      <c r="A26" s="38"/>
      <c r="B26" s="39"/>
      <c r="C26" s="40"/>
      <c r="D26" s="38"/>
      <c r="E26" s="41"/>
      <c r="F26" s="40"/>
      <c r="G26" s="38"/>
      <c r="H26" s="38"/>
      <c r="I26" s="40"/>
      <c r="J26" s="38"/>
      <c r="K26" s="38"/>
      <c r="L26" s="40"/>
    </row>
    <row r="27" customFormat="false" ht="15" hidden="false" customHeight="false" outlineLevel="0" collapsed="false">
      <c r="A27" s="34"/>
      <c r="B27" s="35"/>
      <c r="C27" s="36"/>
      <c r="D27" s="34"/>
      <c r="E27" s="37"/>
      <c r="F27" s="36"/>
      <c r="G27" s="34"/>
      <c r="H27" s="34"/>
      <c r="I27" s="36"/>
      <c r="J27" s="34"/>
      <c r="K27" s="34"/>
      <c r="L27" s="36"/>
    </row>
    <row r="28" customFormat="false" ht="15" hidden="false" customHeight="false" outlineLevel="0" collapsed="false">
      <c r="A28" s="38"/>
      <c r="B28" s="39"/>
      <c r="C28" s="40"/>
      <c r="D28" s="38"/>
      <c r="E28" s="41"/>
      <c r="F28" s="40"/>
      <c r="G28" s="38"/>
      <c r="H28" s="38"/>
      <c r="I28" s="40"/>
      <c r="J28" s="38"/>
      <c r="K28" s="38"/>
      <c r="L28" s="40"/>
    </row>
    <row r="29" customFormat="false" ht="15" hidden="false" customHeight="false" outlineLevel="0" collapsed="false">
      <c r="A29" s="34"/>
      <c r="B29" s="35"/>
      <c r="C29" s="36"/>
      <c r="D29" s="34"/>
      <c r="E29" s="37"/>
      <c r="F29" s="36"/>
      <c r="G29" s="34"/>
      <c r="H29" s="34"/>
      <c r="I29" s="36"/>
      <c r="J29" s="34"/>
      <c r="K29" s="34"/>
      <c r="L29" s="36"/>
    </row>
    <row r="30" customFormat="false" ht="15" hidden="false" customHeight="false" outlineLevel="0" collapsed="false">
      <c r="A30" s="38"/>
      <c r="B30" s="39"/>
      <c r="C30" s="40"/>
      <c r="D30" s="38"/>
      <c r="E30" s="41"/>
      <c r="F30" s="40"/>
      <c r="G30" s="38"/>
      <c r="H30" s="38"/>
      <c r="I30" s="40"/>
      <c r="J30" s="38"/>
      <c r="K30" s="38"/>
      <c r="L30" s="40"/>
    </row>
    <row r="31" customFormat="false" ht="15" hidden="false" customHeight="false" outlineLevel="0" collapsed="false">
      <c r="A31" s="34"/>
      <c r="B31" s="35"/>
      <c r="C31" s="36"/>
      <c r="D31" s="34"/>
      <c r="E31" s="37"/>
      <c r="F31" s="36"/>
      <c r="G31" s="34"/>
      <c r="H31" s="34"/>
      <c r="I31" s="36"/>
      <c r="J31" s="34"/>
      <c r="K31" s="34"/>
      <c r="L31" s="36"/>
    </row>
    <row r="32" customFormat="false" ht="15" hidden="false" customHeight="false" outlineLevel="0" collapsed="false">
      <c r="A32" s="38"/>
      <c r="B32" s="39"/>
      <c r="C32" s="40"/>
      <c r="D32" s="38"/>
      <c r="E32" s="41"/>
      <c r="F32" s="40"/>
      <c r="G32" s="38"/>
      <c r="H32" s="38"/>
      <c r="I32" s="40"/>
      <c r="J32" s="38"/>
      <c r="K32" s="38"/>
      <c r="L32" s="40"/>
    </row>
    <row r="33" customFormat="false" ht="15" hidden="false" customHeight="false" outlineLevel="0" collapsed="false">
      <c r="A33" s="34"/>
      <c r="B33" s="35"/>
      <c r="C33" s="36"/>
      <c r="D33" s="34"/>
      <c r="E33" s="37"/>
      <c r="F33" s="36"/>
      <c r="G33" s="34"/>
      <c r="H33" s="34"/>
      <c r="I33" s="36"/>
      <c r="J33" s="34"/>
      <c r="K33" s="34"/>
      <c r="L33" s="36"/>
    </row>
    <row r="34" customFormat="false" ht="15" hidden="false" customHeight="false" outlineLevel="0" collapsed="false">
      <c r="A34" s="38"/>
      <c r="B34" s="39"/>
      <c r="C34" s="40"/>
      <c r="D34" s="38"/>
      <c r="E34" s="41"/>
      <c r="F34" s="40"/>
      <c r="G34" s="38"/>
      <c r="H34" s="38"/>
      <c r="I34" s="40"/>
      <c r="J34" s="38"/>
      <c r="K34" s="38"/>
      <c r="L34" s="40"/>
    </row>
    <row r="35" customFormat="false" ht="15" hidden="false" customHeight="false" outlineLevel="0" collapsed="false">
      <c r="A35" s="34"/>
      <c r="B35" s="35"/>
      <c r="C35" s="36"/>
      <c r="D35" s="34"/>
      <c r="E35" s="37"/>
      <c r="F35" s="36"/>
      <c r="G35" s="34"/>
      <c r="H35" s="34"/>
      <c r="I35" s="36"/>
      <c r="J35" s="34"/>
      <c r="K35" s="34"/>
      <c r="L35" s="36"/>
    </row>
    <row r="36" customFormat="false" ht="15" hidden="false" customHeight="false" outlineLevel="0" collapsed="false">
      <c r="A36" s="38"/>
      <c r="B36" s="39"/>
      <c r="C36" s="40"/>
      <c r="D36" s="38"/>
      <c r="E36" s="41"/>
      <c r="F36" s="40"/>
      <c r="G36" s="38"/>
      <c r="H36" s="38"/>
      <c r="I36" s="40"/>
      <c r="J36" s="38"/>
      <c r="K36" s="38"/>
      <c r="L36" s="40"/>
    </row>
    <row r="37" customFormat="false" ht="15" hidden="false" customHeight="false" outlineLevel="0" collapsed="false">
      <c r="A37" s="34"/>
      <c r="B37" s="35"/>
      <c r="C37" s="36"/>
      <c r="D37" s="34"/>
      <c r="E37" s="37"/>
      <c r="F37" s="36"/>
      <c r="G37" s="34"/>
      <c r="H37" s="34"/>
      <c r="I37" s="36"/>
      <c r="J37" s="34"/>
      <c r="K37" s="34"/>
      <c r="L37" s="36"/>
    </row>
    <row r="38" customFormat="false" ht="15" hidden="false" customHeight="false" outlineLevel="0" collapsed="false">
      <c r="A38" s="38"/>
      <c r="B38" s="39"/>
      <c r="C38" s="40"/>
      <c r="D38" s="38"/>
      <c r="E38" s="41"/>
      <c r="F38" s="40"/>
      <c r="G38" s="38"/>
      <c r="H38" s="38"/>
      <c r="I38" s="40"/>
      <c r="J38" s="38"/>
      <c r="K38" s="38"/>
      <c r="L38" s="40"/>
    </row>
    <row r="39" customFormat="false" ht="15" hidden="false" customHeight="false" outlineLevel="0" collapsed="false">
      <c r="A39" s="34"/>
      <c r="B39" s="35"/>
      <c r="C39" s="36"/>
      <c r="D39" s="34"/>
      <c r="E39" s="37"/>
      <c r="F39" s="36"/>
      <c r="G39" s="34"/>
      <c r="H39" s="34"/>
      <c r="I39" s="36"/>
      <c r="J39" s="34"/>
      <c r="K39" s="34"/>
      <c r="L39" s="36"/>
    </row>
    <row r="40" customFormat="false" ht="15" hidden="false" customHeight="false" outlineLevel="0" collapsed="false">
      <c r="A40" s="38"/>
      <c r="B40" s="39"/>
      <c r="C40" s="40"/>
      <c r="D40" s="38"/>
      <c r="E40" s="41"/>
      <c r="F40" s="40"/>
      <c r="G40" s="38"/>
      <c r="H40" s="38"/>
      <c r="I40" s="40"/>
      <c r="J40" s="38"/>
      <c r="K40" s="38"/>
      <c r="L40" s="40"/>
    </row>
    <row r="41" customFormat="false" ht="15" hidden="false" customHeight="false" outlineLevel="0" collapsed="false">
      <c r="A41" s="34"/>
      <c r="B41" s="35"/>
      <c r="C41" s="36"/>
      <c r="D41" s="34"/>
      <c r="E41" s="37"/>
      <c r="F41" s="36"/>
      <c r="G41" s="34"/>
      <c r="H41" s="34"/>
      <c r="I41" s="36"/>
      <c r="J41" s="34"/>
      <c r="K41" s="34"/>
      <c r="L41" s="36"/>
    </row>
    <row r="42" customFormat="false" ht="15" hidden="false" customHeight="false" outlineLevel="0" collapsed="false">
      <c r="A42" s="38"/>
      <c r="B42" s="39"/>
      <c r="C42" s="40"/>
      <c r="D42" s="38"/>
      <c r="E42" s="41"/>
      <c r="F42" s="40"/>
      <c r="G42" s="38"/>
      <c r="H42" s="38"/>
      <c r="I42" s="40"/>
      <c r="J42" s="38"/>
      <c r="K42" s="38"/>
      <c r="L42" s="40"/>
    </row>
    <row r="43" customFormat="false" ht="15" hidden="false" customHeight="false" outlineLevel="0" collapsed="false">
      <c r="A43" s="34"/>
      <c r="B43" s="35"/>
      <c r="C43" s="36"/>
      <c r="D43" s="34"/>
      <c r="E43" s="37"/>
      <c r="F43" s="36"/>
      <c r="G43" s="34"/>
      <c r="H43" s="34"/>
      <c r="I43" s="36"/>
      <c r="J43" s="34"/>
      <c r="K43" s="34"/>
      <c r="L43" s="36"/>
    </row>
    <row r="44" customFormat="false" ht="15" hidden="false" customHeight="false" outlineLevel="0" collapsed="false">
      <c r="A44" s="38"/>
      <c r="B44" s="39"/>
      <c r="C44" s="40"/>
      <c r="D44" s="38"/>
      <c r="E44" s="41"/>
      <c r="F44" s="40"/>
      <c r="G44" s="38"/>
      <c r="H44" s="38"/>
      <c r="I44" s="40"/>
      <c r="J44" s="38"/>
      <c r="K44" s="38"/>
      <c r="L44" s="40"/>
    </row>
    <row r="45" customFormat="false" ht="15" hidden="false" customHeight="false" outlineLevel="0" collapsed="false">
      <c r="A45" s="34"/>
      <c r="B45" s="35"/>
      <c r="C45" s="36"/>
      <c r="D45" s="34"/>
      <c r="E45" s="37"/>
      <c r="F45" s="36"/>
      <c r="G45" s="34"/>
      <c r="H45" s="34"/>
      <c r="I45" s="36"/>
      <c r="J45" s="34"/>
      <c r="K45" s="34"/>
      <c r="L45" s="36"/>
    </row>
    <row r="46" customFormat="false" ht="15" hidden="false" customHeight="false" outlineLevel="0" collapsed="false">
      <c r="A46" s="38"/>
      <c r="B46" s="39"/>
      <c r="C46" s="40"/>
      <c r="D46" s="38"/>
      <c r="E46" s="41"/>
      <c r="F46" s="40"/>
      <c r="G46" s="38"/>
      <c r="H46" s="38"/>
      <c r="I46" s="40"/>
      <c r="J46" s="38"/>
      <c r="K46" s="38"/>
      <c r="L46" s="40"/>
    </row>
    <row r="47" customFormat="false" ht="15" hidden="false" customHeight="false" outlineLevel="0" collapsed="false">
      <c r="A47" s="34"/>
      <c r="B47" s="35"/>
      <c r="C47" s="36"/>
      <c r="D47" s="34"/>
      <c r="E47" s="37"/>
      <c r="F47" s="36"/>
      <c r="G47" s="34"/>
      <c r="H47" s="34"/>
      <c r="I47" s="36"/>
      <c r="J47" s="34"/>
      <c r="K47" s="34"/>
      <c r="L47" s="36"/>
    </row>
    <row r="48" customFormat="false" ht="15" hidden="false" customHeight="false" outlineLevel="0" collapsed="false">
      <c r="A48" s="38"/>
      <c r="B48" s="39"/>
      <c r="C48" s="40"/>
      <c r="D48" s="38"/>
      <c r="E48" s="41"/>
      <c r="F48" s="40"/>
      <c r="G48" s="38"/>
      <c r="H48" s="38"/>
      <c r="I48" s="40"/>
      <c r="J48" s="38"/>
      <c r="K48" s="38"/>
      <c r="L48" s="40"/>
    </row>
    <row r="49" customFormat="false" ht="15" hidden="false" customHeight="false" outlineLevel="0" collapsed="false">
      <c r="A49" s="34"/>
      <c r="B49" s="35"/>
      <c r="C49" s="36"/>
      <c r="D49" s="34"/>
      <c r="E49" s="37"/>
      <c r="F49" s="36"/>
      <c r="G49" s="34"/>
      <c r="H49" s="34"/>
      <c r="I49" s="36"/>
      <c r="J49" s="34"/>
      <c r="K49" s="34"/>
      <c r="L49" s="36"/>
    </row>
    <row r="50" customFormat="false" ht="15" hidden="false" customHeight="false" outlineLevel="0" collapsed="false">
      <c r="A50" s="38"/>
      <c r="B50" s="39"/>
      <c r="C50" s="40"/>
      <c r="D50" s="38"/>
      <c r="E50" s="41"/>
      <c r="F50" s="40"/>
      <c r="G50" s="38"/>
      <c r="H50" s="38"/>
      <c r="I50" s="40"/>
      <c r="J50" s="38"/>
      <c r="K50" s="38"/>
      <c r="L50" s="40"/>
    </row>
    <row r="51" customFormat="false" ht="15" hidden="false" customHeight="false" outlineLevel="0" collapsed="false">
      <c r="A51" s="34"/>
      <c r="B51" s="35"/>
      <c r="C51" s="36"/>
      <c r="D51" s="34"/>
      <c r="E51" s="37"/>
      <c r="F51" s="36"/>
      <c r="G51" s="34"/>
      <c r="H51" s="34"/>
      <c r="I51" s="36"/>
      <c r="J51" s="34"/>
      <c r="K51" s="34"/>
      <c r="L51" s="36"/>
    </row>
    <row r="52" customFormat="false" ht="15" hidden="false" customHeight="false" outlineLevel="0" collapsed="false">
      <c r="A52" s="38"/>
      <c r="B52" s="39"/>
      <c r="C52" s="40"/>
      <c r="D52" s="38"/>
      <c r="E52" s="41"/>
      <c r="F52" s="40"/>
      <c r="G52" s="38"/>
      <c r="H52" s="38"/>
      <c r="I52" s="40"/>
      <c r="J52" s="38"/>
      <c r="K52" s="38"/>
      <c r="L52" s="40"/>
    </row>
    <row r="53" customFormat="false" ht="15" hidden="false" customHeight="false" outlineLevel="0" collapsed="false">
      <c r="A53" s="34"/>
      <c r="B53" s="35"/>
      <c r="C53" s="36"/>
      <c r="D53" s="34"/>
      <c r="E53" s="37"/>
      <c r="F53" s="36"/>
      <c r="G53" s="34"/>
      <c r="H53" s="34"/>
      <c r="I53" s="36"/>
      <c r="J53" s="34"/>
      <c r="K53" s="34"/>
      <c r="L53" s="36"/>
    </row>
    <row r="54" customFormat="false" ht="15" hidden="false" customHeight="false" outlineLevel="0" collapsed="false">
      <c r="A54" s="38"/>
      <c r="B54" s="39"/>
      <c r="C54" s="40"/>
      <c r="D54" s="38"/>
      <c r="E54" s="41"/>
      <c r="F54" s="40"/>
      <c r="G54" s="38"/>
      <c r="H54" s="38"/>
      <c r="I54" s="40"/>
      <c r="J54" s="38"/>
      <c r="K54" s="38"/>
      <c r="L54" s="40"/>
    </row>
    <row r="55" customFormat="false" ht="15" hidden="false" customHeight="false" outlineLevel="0" collapsed="false">
      <c r="A55" s="34"/>
      <c r="B55" s="35"/>
      <c r="C55" s="36"/>
      <c r="D55" s="34"/>
      <c r="E55" s="37"/>
      <c r="F55" s="36"/>
      <c r="G55" s="34"/>
      <c r="H55" s="34"/>
      <c r="I55" s="36"/>
      <c r="J55" s="34"/>
      <c r="K55" s="34"/>
      <c r="L55" s="36"/>
    </row>
    <row r="56" customFormat="false" ht="15" hidden="false" customHeight="false" outlineLevel="0" collapsed="false">
      <c r="A56" s="38"/>
      <c r="B56" s="39"/>
      <c r="C56" s="40"/>
      <c r="D56" s="38"/>
      <c r="E56" s="41"/>
      <c r="F56" s="40"/>
      <c r="G56" s="38"/>
      <c r="H56" s="38"/>
      <c r="I56" s="40"/>
      <c r="J56" s="38"/>
      <c r="K56" s="38"/>
      <c r="L56" s="40"/>
    </row>
    <row r="57" customFormat="false" ht="15" hidden="false" customHeight="false" outlineLevel="0" collapsed="false">
      <c r="A57" s="34"/>
      <c r="B57" s="35"/>
      <c r="C57" s="36"/>
      <c r="D57" s="34"/>
      <c r="E57" s="37"/>
      <c r="F57" s="36"/>
      <c r="G57" s="34"/>
      <c r="H57" s="34"/>
      <c r="I57" s="36"/>
      <c r="J57" s="34"/>
      <c r="K57" s="34"/>
      <c r="L57" s="36"/>
    </row>
    <row r="58" customFormat="false" ht="15" hidden="false" customHeight="false" outlineLevel="0" collapsed="false">
      <c r="A58" s="38"/>
      <c r="B58" s="39"/>
      <c r="C58" s="40"/>
      <c r="D58" s="38"/>
      <c r="E58" s="41"/>
      <c r="F58" s="40"/>
      <c r="G58" s="38"/>
      <c r="H58" s="38"/>
      <c r="I58" s="40"/>
      <c r="J58" s="38"/>
      <c r="K58" s="38"/>
      <c r="L58" s="40"/>
    </row>
    <row r="59" customFormat="false" ht="15" hidden="false" customHeight="false" outlineLevel="0" collapsed="false">
      <c r="A59" s="34"/>
      <c r="B59" s="35"/>
      <c r="C59" s="36"/>
      <c r="D59" s="34"/>
      <c r="E59" s="37"/>
      <c r="F59" s="36"/>
      <c r="G59" s="34"/>
      <c r="H59" s="34"/>
      <c r="I59" s="36"/>
      <c r="J59" s="34"/>
      <c r="K59" s="34"/>
      <c r="L59" s="36"/>
    </row>
    <row r="60" customFormat="false" ht="15" hidden="false" customHeight="false" outlineLevel="0" collapsed="false">
      <c r="A60" s="38"/>
      <c r="B60" s="39"/>
      <c r="C60" s="40"/>
      <c r="D60" s="38"/>
      <c r="E60" s="41"/>
      <c r="F60" s="40"/>
      <c r="G60" s="38"/>
      <c r="H60" s="38"/>
      <c r="I60" s="40"/>
      <c r="J60" s="38"/>
      <c r="K60" s="38"/>
      <c r="L60" s="40"/>
    </row>
    <row r="61" customFormat="false" ht="15" hidden="false" customHeight="false" outlineLevel="0" collapsed="false">
      <c r="A61" s="34"/>
      <c r="B61" s="35"/>
      <c r="C61" s="36"/>
      <c r="D61" s="34"/>
      <c r="E61" s="37"/>
      <c r="F61" s="36"/>
      <c r="G61" s="34"/>
      <c r="H61" s="34"/>
      <c r="I61" s="36"/>
      <c r="J61" s="34"/>
      <c r="K61" s="34"/>
      <c r="L61" s="36"/>
    </row>
    <row r="62" customFormat="false" ht="15" hidden="false" customHeight="false" outlineLevel="0" collapsed="false">
      <c r="A62" s="38"/>
      <c r="B62" s="39"/>
      <c r="C62" s="40"/>
      <c r="D62" s="38"/>
      <c r="E62" s="41"/>
      <c r="F62" s="40"/>
      <c r="G62" s="38"/>
      <c r="H62" s="38"/>
      <c r="I62" s="40"/>
      <c r="J62" s="38"/>
      <c r="K62" s="38"/>
      <c r="L62" s="40"/>
    </row>
  </sheetData>
  <autoFilter ref="A12:L512"/>
  <mergeCells count="21">
    <mergeCell ref="A1:L1"/>
    <mergeCell ref="A2:E2"/>
    <mergeCell ref="G2:L2"/>
    <mergeCell ref="A3:D3"/>
    <mergeCell ref="G3:I3"/>
    <mergeCell ref="J3:K3"/>
    <mergeCell ref="A4:D4"/>
    <mergeCell ref="G4:I4"/>
    <mergeCell ref="J4:K4"/>
    <mergeCell ref="A5:D5"/>
    <mergeCell ref="G5:I5"/>
    <mergeCell ref="J5:K5"/>
    <mergeCell ref="A6:D6"/>
    <mergeCell ref="G6:I6"/>
    <mergeCell ref="J6:K6"/>
    <mergeCell ref="A7:D7"/>
    <mergeCell ref="A8:D8"/>
    <mergeCell ref="G8:I8"/>
    <mergeCell ref="J8:K8"/>
    <mergeCell ref="A9:D9"/>
    <mergeCell ref="A11:L11"/>
  </mergeCells>
  <conditionalFormatting sqref="G13:G512">
    <cfRule type="cellIs" priority="2" operator="equal" aboveAverage="0" equalAverage="0" bottom="0" percent="0" rank="0" text="" dxfId="8">
      <formula>"Recycled"</formula>
    </cfRule>
    <cfRule type="cellIs" priority="3" operator="equal" aboveAverage="0" equalAverage="0" bottom="0" percent="0" rank="0" text="" dxfId="8">
      <formula>"Recovered"</formula>
    </cfRule>
    <cfRule type="cellIs" priority="4" operator="equal" aboveAverage="0" equalAverage="0" bottom="0" percent="0" rank="0" text="" dxfId="9">
      <formula>"Landfill"</formula>
    </cfRule>
    <cfRule type="cellIs" priority="5" operator="equal" aboveAverage="0" equalAverage="0" bottom="0" percent="0" rank="0" text="" dxfId="10">
      <formula>"Hazardous Treatment"</formula>
    </cfRule>
  </conditionalFormatting>
  <dataValidations count="3">
    <dataValidation allowBlank="true" errorStyle="stop" operator="between" showDropDown="false" showErrorMessage="false" showInputMessage="false" sqref="C13:C512" type="list">
      <formula1>"Inert (soil,concrete,brick),Timber,Mixed C&amp;D Waste,Metal / Scrap,Plasterboard,Packaging / Plastic,Hazardous"</formula1>
      <formula2>0</formula2>
    </dataValidation>
    <dataValidation allowBlank="true" errorStyle="stop" operator="between" showDropDown="false" showErrorMessage="false" showInputMessage="false" sqref="G13:G512" type="list">
      <formula1>"Recycled,Recovered,Landfill,Hazardous Treatment"</formula1>
      <formula2>0</formula2>
    </dataValidation>
    <dataValidation allowBlank="true" errorStyle="stop" operator="between" showDropDown="false" showErrorMessage="false" showInputMessage="false" sqref="B13:B512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&amp;CWaste Management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19" t="s">
        <v>102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19" t="s">
        <v>103</v>
      </c>
    </row>
    <row r="4" customFormat="false" ht="15" hidden="false" customHeight="false" outlineLevel="0" collapsed="false">
      <c r="A4" s="19"/>
    </row>
    <row r="5" customFormat="false" ht="15" hidden="false" customHeight="false" outlineLevel="0" collapsed="false">
      <c r="A5" s="19" t="s">
        <v>104</v>
      </c>
    </row>
    <row r="6" customFormat="false" ht="15" hidden="false" customHeight="false" outlineLevel="0" collapsed="false">
      <c r="A6" s="19"/>
    </row>
    <row r="7" customFormat="false" ht="15" hidden="false" customHeight="false" outlineLevel="0" collapsed="false">
      <c r="A7" s="19" t="s">
        <v>105</v>
      </c>
    </row>
    <row r="8" customFormat="false" ht="15" hidden="false" customHeight="false" outlineLevel="0" collapsed="false">
      <c r="A8" s="19"/>
    </row>
    <row r="9" customFormat="false" ht="15" hidden="false" customHeight="false" outlineLevel="0" collapsed="false">
      <c r="A9" s="19" t="s">
        <v>106</v>
      </c>
    </row>
    <row r="10" customFormat="false" ht="15" hidden="false" customHeight="false" outlineLevel="0" collapsed="false">
      <c r="A10" s="19"/>
    </row>
    <row r="11" customFormat="false" ht="15" hidden="false" customHeight="false" outlineLevel="0" collapsed="false">
      <c r="A11" s="19" t="s">
        <v>107</v>
      </c>
    </row>
    <row r="12" customFormat="false" ht="15" hidden="false" customHeight="false" outlineLevel="0" collapsed="false">
      <c r="A12" s="19"/>
    </row>
    <row r="13" customFormat="false" ht="15" hidden="false" customHeight="false" outlineLevel="0" collapsed="false">
      <c r="A13" s="19" t="s">
        <v>108</v>
      </c>
    </row>
    <row r="14" customFormat="false" ht="15" hidden="false" customHeight="false" outlineLevel="0" collapsed="false">
      <c r="A14" s="19"/>
    </row>
    <row r="15" customFormat="false" ht="15" hidden="false" customHeight="false" outlineLevel="0" collapsed="false">
      <c r="A15" s="19" t="s">
        <v>109</v>
      </c>
    </row>
    <row r="16" customFormat="false" ht="15" hidden="false" customHeight="false" outlineLevel="0" collapsed="false">
      <c r="A16" s="19"/>
    </row>
    <row r="17" customFormat="false" ht="15" hidden="false" customHeight="false" outlineLevel="0" collapsed="false">
      <c r="A17" s="19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2026-03-23T06:08:45Z</dcterms:created>
  <dc:creator>Ebrora Ltd</dc:creator>
  <dc:description>Track construction waste arisings, carriers, disposal methods and diversion-from-landfill rates for UK construction projects.
Free professional construction management template from Ebrora Ltd. Visit ebrora.com for our full range of tools and templates.</dc:description>
  <cp:keywords>Ebrora construction waste management SWMP diversion recycling landfill duty of care</cp:keywords>
  <dc:language>en-US</dc:language>
  <cp:lastModifiedBy>Ebrora Ltd</cp:lastModifiedBy>
  <dcterms:modified xsi:type="dcterms:W3CDTF">2026-03-23T06:08:45Z</dcterms:modified>
  <cp:revision>0</cp:revision>
  <dc:subject>Track construction waste arisings, carriers, disposal methods and diversion-from-landfill rates.</dc:subject>
  <dc:title>Waste Management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