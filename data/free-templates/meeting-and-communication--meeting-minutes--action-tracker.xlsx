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Action Tracker" sheetId="3" state="visible" r:id="rId5"/>
    <sheet name="Terms of Use" sheetId="4" state="hidden" r:id="rId6"/>
  </sheets>
  <definedNames>
    <definedName function="false" hidden="false" localSheetId="2" name="_xlnm.Print_Area" vbProcedure="false">'Action Tracker'!$A$1:$K$59</definedName>
    <definedName function="false" hidden="true" localSheetId="2" name="_xlnm._FilterDatabase" vbProcedure="false">'Action Tracker'!$A$8:$N$59</definedName>
    <definedName function="false" hidden="false" localSheetId="0" name="_xlnm.Print_Area" vbProcedure="false">Cover!$A$1:$H$20</definedName>
    <definedName function="false" hidden="false" name="DataTable" vbProcedure="false">'Action Tracker'!$A$8:$N$59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<sst xmlns="http://schemas.openxmlformats.org/spreadsheetml/2006/main" count="99" uniqueCount="93">
  <si>
    <t xml:space="preserve">EBRORA</t>
  </si>
  <si>
    <t xml:space="preserve">ebrora.com</t>
  </si>
  <si>
    <t xml:space="preserve">Action Tracker</t>
  </si>
  <si>
    <t xml:space="preserve">Track project actions with priority, ownership, due dates, and automatic overdue monitoring to ensure nothing falls through the cracks.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</si>
  <si>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</si>
  <si>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</si>
  <si>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</si>
  <si>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</si>
  <si>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'Action Tracker' sheet. The dashboard panel shows open, overdue, and closed action counts.</t>
  </si>
  <si>
    <t xml:space="preserve">2. Log each action with its reference, date raised, source (meeting, site walk, audit, etc.), and description.</t>
  </si>
  <si>
    <t xml:space="preserve">3. Assign a priority (Critical, High, Medium, Low), an owner, and a due date for every action.</t>
  </si>
  <si>
    <t xml:space="preserve">4. Days Open and Status auto-calculate. OVERDUE flags when the due date has passed and the action is still open.</t>
  </si>
  <si>
    <t xml:space="preserve">5. When an action is completed, enter the date closed. Status changes to CLOSED automatically.</t>
  </si>
  <si>
    <t xml:space="preserve">6. The priority breakdown in the summary shows how many Critical/High items remain open.</t>
  </si>
  <si>
    <t xml:space="preserve">7. Expand optional columns [+] for category, related document ref, and verification details.</t>
  </si>
  <si>
    <t xml:space="preserve">8. Review this tracker weekly in your project team meeting — it's the backbone of project governance.</t>
  </si>
  <si>
    <t xml:space="preserve">Colour Key</t>
  </si>
  <si>
    <t xml:space="preserve">Light teal</t>
  </si>
  <si>
    <t xml:space="preserve">Editable cells</t>
  </si>
  <si>
    <t xml:space="preserve">Dark navy</t>
  </si>
  <si>
    <t xml:space="preserve">Headers</t>
  </si>
  <si>
    <t xml:space="preserve">Green</t>
  </si>
  <si>
    <t xml:space="preserve">CLOSED — action complete</t>
  </si>
  <si>
    <t xml:space="preserve">Amber</t>
  </si>
  <si>
    <t xml:space="preserve">OPEN — in progress, not yet due</t>
  </si>
  <si>
    <t xml:space="preserve">Red</t>
  </si>
  <si>
    <t xml:space="preserve">OVERDUE — past due date</t>
  </si>
  <si>
    <t xml:space="preserve">Tips</t>
  </si>
  <si>
    <t xml:space="preserve">• Every action needs one owner — shared ownership means nobody owns it.</t>
  </si>
  <si>
    <t xml:space="preserve">• Set realistic due dates. An action due 'ASAP' is an action that never gets done — give it a date.</t>
  </si>
  <si>
    <t xml:space="preserve">• Close actions formally with evidence — don't just change the status, record what was done and when.</t>
  </si>
  <si>
    <t xml:space="preserve">ACTION TRACKER</t>
  </si>
  <si>
    <t xml:space="preserve">Total Actions</t>
  </si>
  <si>
    <t xml:space="preserve">Open</t>
  </si>
  <si>
    <t xml:space="preserve">Overdue</t>
  </si>
  <si>
    <t xml:space="preserve">Closed</t>
  </si>
  <si>
    <t xml:space="preserve">Closure Rate</t>
  </si>
  <si>
    <t xml:space="preserve">▸ Optional Fields — Click [+] to expand</t>
  </si>
  <si>
    <t xml:space="preserve">Action
Ref</t>
  </si>
  <si>
    <t xml:space="preserve">Date
Raised</t>
  </si>
  <si>
    <t xml:space="preserve">Source</t>
  </si>
  <si>
    <t xml:space="preserve">Action Description</t>
  </si>
  <si>
    <t xml:space="preserve">Priority</t>
  </si>
  <si>
    <t xml:space="preserve">Owner</t>
  </si>
  <si>
    <t xml:space="preserve">Due
Date</t>
  </si>
  <si>
    <t xml:space="preserve">Date
Closed</t>
  </si>
  <si>
    <t xml:space="preserve">Days
Open</t>
  </si>
  <si>
    <t xml:space="preserve">Status</t>
  </si>
  <si>
    <t xml:space="preserve">Notes / Evidence of Closure</t>
  </si>
  <si>
    <t xml:space="preserve">Category</t>
  </si>
  <si>
    <t xml:space="preserve">Related
Doc Ref</t>
  </si>
  <si>
    <t xml:space="preserve">Verified By</t>
  </si>
  <si>
    <t xml:space="preserve">ACT-001</t>
  </si>
  <si>
    <t xml:space="preserve">Progress Meeting</t>
  </si>
  <si>
    <t xml:space="preserve">Chase RFI-031 response from structural engineer regarding pile cap reinforcement detail</t>
  </si>
  <si>
    <t xml:space="preserve">High</t>
  </si>
  <si>
    <t xml:space="preserve">R. Khan</t>
  </si>
  <si>
    <t xml:space="preserve">Chased 15/02 and 20/02 — response promised by 25/02</t>
  </si>
  <si>
    <t xml:space="preserve">Design</t>
  </si>
  <si>
    <t xml:space="preserve">RFI-031</t>
  </si>
  <si>
    <t xml:space="preserve">ACT-002</t>
  </si>
  <si>
    <t xml:space="preserve">Site Walk</t>
  </si>
  <si>
    <t xml:space="preserve">Repair damaged edge protection on excavation zone B — south side</t>
  </si>
  <si>
    <t xml:space="preserve">Critical</t>
  </si>
  <si>
    <t xml:space="preserve">M. Evans</t>
  </si>
  <si>
    <t xml:space="preserve">Repaired same day. Photo evidence filed.</t>
  </si>
  <si>
    <t xml:space="preserve">H&amp;S</t>
  </si>
  <si>
    <t xml:space="preserve">J. Stevens</t>
  </si>
  <si>
    <t xml:space="preserve">ACT-003</t>
  </si>
  <si>
    <t xml:space="preserve">Client Instruction</t>
  </si>
  <si>
    <t xml:space="preserve">Submit revised programme showing recovery from drainage delay</t>
  </si>
  <si>
    <t xml:space="preserve">Rev P05 issued to client 18/02</t>
  </si>
  <si>
    <t xml:space="preserve">Programme</t>
  </si>
  <si>
    <t xml:space="preserve">ACT-004</t>
  </si>
  <si>
    <t xml:space="preserve">Audit</t>
  </si>
  <si>
    <t xml:space="preserve">Update COSHH register with new intumescent paint product data sheet</t>
  </si>
  <si>
    <t xml:space="preserve">Medium</t>
  </si>
  <si>
    <t xml:space="preserve">H&amp;S Advisor</t>
  </si>
  <si>
    <t xml:space="preserve">Data sheet received — register update in progress</t>
  </si>
  <si>
    <t xml:space="preserve">COSHH-REG</t>
  </si>
  <si>
    <t xml:space="preserve">ACT-005</t>
  </si>
  <si>
    <t xml:space="preserve">Coordinate crane access and concrete delivery schedules to avoid clashes</t>
  </si>
  <si>
    <t xml:space="preserve">Logistics meeting scheduled 24/02</t>
  </si>
  <si>
    <t xml:space="preserve">Logistics</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</si>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</sst>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
  </numFmts>
  <fonts count="22">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9C6500"/>
      <name val="Calibri"/>
      <family val="0"/>
      <charset val="1"/>
    </font>
    <font>
      <b val="true"/>
      <sz val="16"/>
      <color rgb="FF9C0006"/>
      <name val="Calibri"/>
      <family val="0"/>
      <charset val="1"/>
    </font>
    <font>
      <b val="true"/>
      <sz val="16"/>
      <color rgb="FF006100"/>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5" fontId="19"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center" vertical="center" textRotation="0" wrapText="true" indent="0" shrinkToFit="false"/>
      <protection locked="true" hidden="false"/>
    </xf>
    <xf numFmtId="164" fontId="21"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8"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9C0006"/>
          <bgColor rgb="FF000000"/>
        </patternFill>
      </fill>
    </dxf>
    <dxf>
      <fill>
        <patternFill patternType="solid">
          <fgColor rgb="FF9C6500"/>
          <bgColor rgb="FF000000"/>
        </patternFill>
      </fill>
    </dxf>
    <dxf>
      <fill>
        <patternFill patternType="solid">
          <fgColor rgb="FFC6EFCE"/>
          <bgColor rgb="FF000000"/>
        </patternFill>
      </fill>
    </dxf>
    <dxf>
      <fill>
        <patternFill patternType="solid">
          <fgColor rgb="FF006100"/>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14"/>
    <col collapsed="false" customWidth="true" hidden="false" outlineLevel="0" max="4" min="4" style="0" width="32"/>
    <col collapsed="false" customWidth="true" hidden="false" outlineLevel="0" max="5" min="5" style="0" width="12"/>
    <col collapsed="false" customWidth="true" hidden="false" outlineLevel="0" max="6" min="6" style="0" width="16"/>
    <col collapsed="false" customWidth="true" hidden="false" outlineLevel="0" max="8" min="7" style="0" width="13"/>
    <col collapsed="false" customWidth="true" hidden="false" outlineLevel="0" max="9" min="9" style="0" width="10"/>
    <col collapsed="false" customWidth="true" hidden="false" outlineLevel="0" max="10" min="10" style="0" width="12"/>
    <col collapsed="false" customWidth="true" hidden="false" outlineLevel="0" max="11" min="11" style="0" width="28"/>
    <col collapsed="false" customWidth="true" hidden="true" outlineLevel="1" max="14" min="12" style="0" width="14"/>
  </cols>
  <sheetData>
    <row r="1" customFormat="false" ht="18.65" hidden="false" customHeight="true" outlineLevel="0" collapsed="false">
      <c r="A1" s="18" t="s">
        <v>31</v>
      </c>
      <c r="B1" s="18"/>
      <c r="C1" s="18"/>
      <c r="D1" s="18"/>
      <c r="E1" s="18"/>
      <c r="F1" s="18"/>
      <c r="G1" s="18"/>
      <c r="H1" s="18"/>
      <c r="I1" s="18"/>
      <c r="J1" s="18"/>
      <c r="K1" s="18"/>
      <c r="L1" s="19"/>
      <c r="M1" s="19"/>
      <c r="N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row>
    <row r="4" customFormat="false" ht="20.85" hidden="false" customHeight="false" outlineLevel="0" collapsed="false">
      <c r="A4" s="21" t="n">
        <f aca="false">COUNTA(A9:A59)</f>
        <v>5</v>
      </c>
      <c r="C4" s="22" t="n">
        <f aca="false">COUNTIF(J9:J59,"OPEN")</f>
        <v>0</v>
      </c>
      <c r="E4" s="23" t="n">
        <f aca="false">COUNTIF(J9:J59,"OVERDUE")</f>
        <v>3</v>
      </c>
      <c r="G4" s="24" t="n">
        <f aca="false">COUNTIF(J9:J59,"CLOSED")</f>
        <v>2</v>
      </c>
      <c r="I4" s="25" t="n">
        <f aca="false">IFERROR(G4/A4,0)</f>
        <v>0.4</v>
      </c>
    </row>
    <row r="5" customFormat="false" ht="15" hidden="false" customHeight="false" outlineLevel="0" collapsed="false">
      <c r="A5" s="26" t="str">
        <f aca="false">CONCATENATE("Priority: Critical ",COUNTIFS(E9:E59,"Critical",J9:J59,"&lt;&gt;CLOSED")," | High ",COUNTIFS(E9:E59,"High",J9:J59,"&lt;&gt;CLOSED")," | Medium ",COUNTIFS(E9:E59,"Medium",J9:J59,"&lt;&gt;CLOSED")," | Low ",COUNTIFS(E9:E59,"Low",J9:J59,"&lt;&gt;CLOSED"))</f>
        <v>Priority: Critical 0 | High 2 | Medium 1 | Low 0</v>
      </c>
      <c r="B5" s="26"/>
      <c r="C5" s="26"/>
      <c r="D5" s="26"/>
      <c r="E5" s="26"/>
      <c r="F5" s="26"/>
      <c r="G5" s="26"/>
      <c r="H5" s="26"/>
      <c r="I5" s="26"/>
      <c r="J5" s="26"/>
      <c r="K5" s="26"/>
    </row>
    <row r="6" customFormat="false" ht="15" hidden="false" customHeight="false" outlineLevel="0" collapsed="false">
      <c r="A6" s="27"/>
      <c r="B6" s="27"/>
      <c r="C6" s="27"/>
      <c r="D6" s="27"/>
      <c r="E6" s="27"/>
      <c r="F6" s="27"/>
      <c r="G6" s="27"/>
      <c r="H6" s="27"/>
      <c r="I6" s="27"/>
      <c r="J6" s="27"/>
      <c r="K6" s="27"/>
      <c r="L6" s="27"/>
      <c r="M6" s="27"/>
      <c r="N6" s="27"/>
    </row>
    <row r="7" customFormat="false" ht="3.75" hidden="false" customHeight="true" outlineLevel="0" collapsed="false">
      <c r="L7" s="28" t="s">
        <v>37</v>
      </c>
      <c r="M7" s="28"/>
      <c r="N7" s="28"/>
    </row>
    <row r="8" customFormat="false" ht="37.5" hidden="false" customHeight="true" outlineLevel="0" collapsed="false">
      <c r="A8" s="29" t="s">
        <v>38</v>
      </c>
      <c r="B8" s="29" t="s">
        <v>39</v>
      </c>
      <c r="C8" s="29" t="s">
        <v>40</v>
      </c>
      <c r="D8" s="29" t="s">
        <v>41</v>
      </c>
      <c r="E8" s="29" t="s">
        <v>42</v>
      </c>
      <c r="F8" s="29" t="s">
        <v>43</v>
      </c>
      <c r="G8" s="29" t="s">
        <v>44</v>
      </c>
      <c r="H8" s="29" t="s">
        <v>45</v>
      </c>
      <c r="I8" s="29" t="s">
        <v>46</v>
      </c>
      <c r="J8" s="29" t="s">
        <v>47</v>
      </c>
      <c r="K8" s="29" t="s">
        <v>48</v>
      </c>
      <c r="L8" s="29" t="s">
        <v>49</v>
      </c>
      <c r="M8" s="29" t="s">
        <v>50</v>
      </c>
      <c r="N8" s="29" t="s">
        <v>51</v>
      </c>
    </row>
    <row r="9" customFormat="false" ht="35.05" hidden="false" customHeight="false" outlineLevel="0" collapsed="false">
      <c r="A9" s="30" t="s">
        <v>52</v>
      </c>
      <c r="B9" s="31" t="n">
        <v>46063</v>
      </c>
      <c r="C9" s="30" t="s">
        <v>53</v>
      </c>
      <c r="D9" s="32" t="s">
        <v>54</v>
      </c>
      <c r="E9" s="30" t="s">
        <v>55</v>
      </c>
      <c r="F9" s="32" t="s">
        <v>56</v>
      </c>
      <c r="G9" s="31" t="n">
        <v>46078</v>
      </c>
      <c r="H9" s="31"/>
      <c r="I9" s="33" t="n">
        <f aca="true">IF(B9="","",IF(H9&lt;&gt;"",H9-B9,TODAY()-B9))</f>
        <v>41</v>
      </c>
      <c r="J9" s="34" t="str">
        <f aca="true">IF(A9="","",IF(H9&lt;&gt;"","CLOSED",IF(AND(G9&lt;&gt;"",G9&lt;TODAY()),"OVERDUE","OPEN")))</f>
        <v>OVERDUE</v>
      </c>
      <c r="K9" s="32" t="s">
        <v>57</v>
      </c>
      <c r="L9" s="30" t="s">
        <v>58</v>
      </c>
      <c r="M9" s="30" t="s">
        <v>59</v>
      </c>
      <c r="N9" s="30"/>
    </row>
    <row r="10" customFormat="false" ht="23.85" hidden="false" customHeight="false" outlineLevel="0" collapsed="false">
      <c r="A10" s="30" t="s">
        <v>60</v>
      </c>
      <c r="B10" s="31" t="n">
        <v>46063</v>
      </c>
      <c r="C10" s="30" t="s">
        <v>61</v>
      </c>
      <c r="D10" s="32" t="s">
        <v>62</v>
      </c>
      <c r="E10" s="30" t="s">
        <v>63</v>
      </c>
      <c r="F10" s="32" t="s">
        <v>64</v>
      </c>
      <c r="G10" s="31" t="n">
        <v>46064</v>
      </c>
      <c r="H10" s="31" t="n">
        <v>46064</v>
      </c>
      <c r="I10" s="33" t="n">
        <f aca="true">IF(B10="","",IF(H10&lt;&gt;"",H10-B10,TODAY()-B10))</f>
        <v>1</v>
      </c>
      <c r="J10" s="34" t="str">
        <f aca="true">IF(A10="","",IF(H10&lt;&gt;"","CLOSED",IF(AND(G10&lt;&gt;"",G10&lt;TODAY()),"OVERDUE","OPEN")))</f>
        <v>CLOSED</v>
      </c>
      <c r="K10" s="32" t="s">
        <v>65</v>
      </c>
      <c r="L10" s="30" t="s">
        <v>66</v>
      </c>
      <c r="M10" s="30"/>
      <c r="N10" s="30" t="s">
        <v>67</v>
      </c>
    </row>
    <row r="11" customFormat="false" ht="23.85" hidden="false" customHeight="false" outlineLevel="0" collapsed="false">
      <c r="A11" s="30" t="s">
        <v>68</v>
      </c>
      <c r="B11" s="31" t="n">
        <v>46065</v>
      </c>
      <c r="C11" s="30" t="s">
        <v>69</v>
      </c>
      <c r="D11" s="32" t="s">
        <v>70</v>
      </c>
      <c r="E11" s="30" t="s">
        <v>55</v>
      </c>
      <c r="F11" s="32" t="s">
        <v>64</v>
      </c>
      <c r="G11" s="31" t="n">
        <v>46072</v>
      </c>
      <c r="H11" s="31" t="n">
        <v>46071</v>
      </c>
      <c r="I11" s="33" t="n">
        <f aca="true">IF(B11="","",IF(H11&lt;&gt;"",H11-B11,TODAY()-B11))</f>
        <v>6</v>
      </c>
      <c r="J11" s="34" t="str">
        <f aca="true">IF(A11="","",IF(H11&lt;&gt;"","CLOSED",IF(AND(G11&lt;&gt;"",G11&lt;TODAY()),"OVERDUE","OPEN")))</f>
        <v>CLOSED</v>
      </c>
      <c r="K11" s="32" t="s">
        <v>71</v>
      </c>
      <c r="L11" s="30" t="s">
        <v>72</v>
      </c>
      <c r="M11" s="30"/>
      <c r="N11" s="30"/>
    </row>
    <row r="12" customFormat="false" ht="23.85" hidden="false" customHeight="false" outlineLevel="0" collapsed="false">
      <c r="A12" s="30" t="s">
        <v>73</v>
      </c>
      <c r="B12" s="31" t="n">
        <v>46067</v>
      </c>
      <c r="C12" s="30" t="s">
        <v>74</v>
      </c>
      <c r="D12" s="32" t="s">
        <v>75</v>
      </c>
      <c r="E12" s="30" t="s">
        <v>76</v>
      </c>
      <c r="F12" s="32" t="s">
        <v>77</v>
      </c>
      <c r="G12" s="31" t="n">
        <v>46081</v>
      </c>
      <c r="H12" s="31"/>
      <c r="I12" s="33" t="n">
        <f aca="true">IF(B12="","",IF(H12&lt;&gt;"",H12-B12,TODAY()-B12))</f>
        <v>37</v>
      </c>
      <c r="J12" s="34" t="str">
        <f aca="true">IF(A12="","",IF(H12&lt;&gt;"","CLOSED",IF(AND(G12&lt;&gt;"",G12&lt;TODAY()),"OVERDUE","OPEN")))</f>
        <v>OVERDUE</v>
      </c>
      <c r="K12" s="32" t="s">
        <v>78</v>
      </c>
      <c r="L12" s="30" t="s">
        <v>66</v>
      </c>
      <c r="M12" s="30" t="s">
        <v>79</v>
      </c>
      <c r="N12" s="30"/>
    </row>
    <row r="13" customFormat="false" ht="23.85" hidden="false" customHeight="false" outlineLevel="0" collapsed="false">
      <c r="A13" s="30" t="s">
        <v>80</v>
      </c>
      <c r="B13" s="31" t="n">
        <v>46071</v>
      </c>
      <c r="C13" s="30" t="s">
        <v>53</v>
      </c>
      <c r="D13" s="32" t="s">
        <v>81</v>
      </c>
      <c r="E13" s="30" t="s">
        <v>55</v>
      </c>
      <c r="F13" s="32" t="s">
        <v>64</v>
      </c>
      <c r="G13" s="31" t="n">
        <v>46078</v>
      </c>
      <c r="H13" s="31"/>
      <c r="I13" s="33" t="n">
        <f aca="true">IF(B13="","",IF(H13&lt;&gt;"",H13-B13,TODAY()-B13))</f>
        <v>33</v>
      </c>
      <c r="J13" s="34" t="str">
        <f aca="true">IF(A13="","",IF(H13&lt;&gt;"","CLOSED",IF(AND(G13&lt;&gt;"",G13&lt;TODAY()),"OVERDUE","OPEN")))</f>
        <v>OVERDUE</v>
      </c>
      <c r="K13" s="32" t="s">
        <v>82</v>
      </c>
      <c r="L13" s="30" t="s">
        <v>83</v>
      </c>
      <c r="M13" s="30"/>
      <c r="N13" s="30"/>
    </row>
    <row r="14" customFormat="false" ht="15" hidden="false" customHeight="false" outlineLevel="0" collapsed="false">
      <c r="A14" s="30"/>
      <c r="B14" s="31"/>
      <c r="C14" s="30"/>
      <c r="D14" s="32"/>
      <c r="E14" s="30"/>
      <c r="F14" s="32"/>
      <c r="G14" s="31"/>
      <c r="H14" s="31"/>
      <c r="I14" s="33" t="str">
        <f aca="true">IF(B14="","",IF(H14&lt;&gt;"",H14-B14,TODAY()-B14))</f>
        <v/>
      </c>
      <c r="J14" s="34" t="str">
        <f aca="true">IF(A14="","",IF(H14&lt;&gt;"","CLOSED",IF(AND(G14&lt;&gt;"",G14&lt;TODAY()),"OVERDUE","OPEN")))</f>
        <v/>
      </c>
      <c r="K14" s="32"/>
      <c r="L14" s="30"/>
      <c r="M14" s="30"/>
      <c r="N14" s="30"/>
    </row>
    <row r="15" customFormat="false" ht="15" hidden="false" customHeight="false" outlineLevel="0" collapsed="false">
      <c r="A15" s="30"/>
      <c r="B15" s="31"/>
      <c r="C15" s="30"/>
      <c r="D15" s="32"/>
      <c r="E15" s="30"/>
      <c r="F15" s="32"/>
      <c r="G15" s="31"/>
      <c r="H15" s="31"/>
      <c r="I15" s="33" t="str">
        <f aca="true">IF(B15="","",IF(H15&lt;&gt;"",H15-B15,TODAY()-B15))</f>
        <v/>
      </c>
      <c r="J15" s="34" t="str">
        <f aca="true">IF(A15="","",IF(H15&lt;&gt;"","CLOSED",IF(AND(G15&lt;&gt;"",G15&lt;TODAY()),"OVERDUE","OPEN")))</f>
        <v/>
      </c>
      <c r="K15" s="32"/>
      <c r="L15" s="30"/>
      <c r="M15" s="30"/>
      <c r="N15" s="30"/>
    </row>
    <row r="16" customFormat="false" ht="15" hidden="false" customHeight="false" outlineLevel="0" collapsed="false">
      <c r="A16" s="30"/>
      <c r="B16" s="31"/>
      <c r="C16" s="30"/>
      <c r="D16" s="32"/>
      <c r="E16" s="30"/>
      <c r="F16" s="32"/>
      <c r="G16" s="31"/>
      <c r="H16" s="31"/>
      <c r="I16" s="33" t="str">
        <f aca="true">IF(B16="","",IF(H16&lt;&gt;"",H16-B16,TODAY()-B16))</f>
        <v/>
      </c>
      <c r="J16" s="34" t="str">
        <f aca="true">IF(A16="","",IF(H16&lt;&gt;"","CLOSED",IF(AND(G16&lt;&gt;"",G16&lt;TODAY()),"OVERDUE","OPEN")))</f>
        <v/>
      </c>
      <c r="K16" s="32"/>
      <c r="L16" s="30"/>
      <c r="M16" s="30"/>
      <c r="N16" s="30"/>
    </row>
    <row r="17" customFormat="false" ht="15" hidden="false" customHeight="false" outlineLevel="0" collapsed="false">
      <c r="A17" s="30"/>
      <c r="B17" s="31"/>
      <c r="C17" s="30"/>
      <c r="D17" s="32"/>
      <c r="E17" s="30"/>
      <c r="F17" s="32"/>
      <c r="G17" s="31"/>
      <c r="H17" s="31"/>
      <c r="I17" s="33" t="str">
        <f aca="true">IF(B17="","",IF(H17&lt;&gt;"",H17-B17,TODAY()-B17))</f>
        <v/>
      </c>
      <c r="J17" s="34" t="str">
        <f aca="true">IF(A17="","",IF(H17&lt;&gt;"","CLOSED",IF(AND(G17&lt;&gt;"",G17&lt;TODAY()),"OVERDUE","OPEN")))</f>
        <v/>
      </c>
      <c r="K17" s="32"/>
      <c r="L17" s="30"/>
      <c r="M17" s="30"/>
      <c r="N17" s="30"/>
    </row>
    <row r="18" customFormat="false" ht="15" hidden="false" customHeight="false" outlineLevel="0" collapsed="false">
      <c r="A18" s="30"/>
      <c r="B18" s="31"/>
      <c r="C18" s="30"/>
      <c r="D18" s="32"/>
      <c r="E18" s="30"/>
      <c r="F18" s="32"/>
      <c r="G18" s="31"/>
      <c r="H18" s="31"/>
      <c r="I18" s="33" t="str">
        <f aca="true">IF(B18="","",IF(H18&lt;&gt;"",H18-B18,TODAY()-B18))</f>
        <v/>
      </c>
      <c r="J18" s="34" t="str">
        <f aca="true">IF(A18="","",IF(H18&lt;&gt;"","CLOSED",IF(AND(G18&lt;&gt;"",G18&lt;TODAY()),"OVERDUE","OPEN")))</f>
        <v/>
      </c>
      <c r="K18" s="32"/>
      <c r="L18" s="30"/>
      <c r="M18" s="30"/>
      <c r="N18" s="30"/>
    </row>
    <row r="19" customFormat="false" ht="15" hidden="false" customHeight="false" outlineLevel="0" collapsed="false">
      <c r="A19" s="30"/>
      <c r="B19" s="31"/>
      <c r="C19" s="30"/>
      <c r="D19" s="32"/>
      <c r="E19" s="30"/>
      <c r="F19" s="32"/>
      <c r="G19" s="31"/>
      <c r="H19" s="31"/>
      <c r="I19" s="33" t="str">
        <f aca="true">IF(B19="","",IF(H19&lt;&gt;"",H19-B19,TODAY()-B19))</f>
        <v/>
      </c>
      <c r="J19" s="34" t="str">
        <f aca="true">IF(A19="","",IF(H19&lt;&gt;"","CLOSED",IF(AND(G19&lt;&gt;"",G19&lt;TODAY()),"OVERDUE","OPEN")))</f>
        <v/>
      </c>
      <c r="K19" s="32"/>
      <c r="L19" s="30"/>
      <c r="M19" s="30"/>
      <c r="N19" s="30"/>
    </row>
    <row r="20" customFormat="false" ht="15" hidden="false" customHeight="false" outlineLevel="0" collapsed="false">
      <c r="A20" s="30"/>
      <c r="B20" s="31"/>
      <c r="C20" s="30"/>
      <c r="D20" s="32"/>
      <c r="E20" s="30"/>
      <c r="F20" s="32"/>
      <c r="G20" s="31"/>
      <c r="H20" s="31"/>
      <c r="I20" s="33" t="str">
        <f aca="true">IF(B20="","",IF(H20&lt;&gt;"",H20-B20,TODAY()-B20))</f>
        <v/>
      </c>
      <c r="J20" s="34" t="str">
        <f aca="true">IF(A20="","",IF(H20&lt;&gt;"","CLOSED",IF(AND(G20&lt;&gt;"",G20&lt;TODAY()),"OVERDUE","OPEN")))</f>
        <v/>
      </c>
      <c r="K20" s="32"/>
      <c r="L20" s="30"/>
      <c r="M20" s="30"/>
      <c r="N20" s="30"/>
    </row>
    <row r="21" customFormat="false" ht="15" hidden="false" customHeight="false" outlineLevel="0" collapsed="false">
      <c r="A21" s="30"/>
      <c r="B21" s="31"/>
      <c r="C21" s="30"/>
      <c r="D21" s="32"/>
      <c r="E21" s="30"/>
      <c r="F21" s="32"/>
      <c r="G21" s="31"/>
      <c r="H21" s="31"/>
      <c r="I21" s="33" t="str">
        <f aca="true">IF(B21="","",IF(H21&lt;&gt;"",H21-B21,TODAY()-B21))</f>
        <v/>
      </c>
      <c r="J21" s="34" t="str">
        <f aca="true">IF(A21="","",IF(H21&lt;&gt;"","CLOSED",IF(AND(G21&lt;&gt;"",G21&lt;TODAY()),"OVERDUE","OPEN")))</f>
        <v/>
      </c>
      <c r="K21" s="32"/>
      <c r="L21" s="30"/>
      <c r="M21" s="30"/>
      <c r="N21" s="30"/>
    </row>
    <row r="22" customFormat="false" ht="15" hidden="false" customHeight="false" outlineLevel="0" collapsed="false">
      <c r="A22" s="30"/>
      <c r="B22" s="31"/>
      <c r="C22" s="30"/>
      <c r="D22" s="32"/>
      <c r="E22" s="30"/>
      <c r="F22" s="32"/>
      <c r="G22" s="31"/>
      <c r="H22" s="31"/>
      <c r="I22" s="33" t="str">
        <f aca="true">IF(B22="","",IF(H22&lt;&gt;"",H22-B22,TODAY()-B22))</f>
        <v/>
      </c>
      <c r="J22" s="34" t="str">
        <f aca="true">IF(A22="","",IF(H22&lt;&gt;"","CLOSED",IF(AND(G22&lt;&gt;"",G22&lt;TODAY()),"OVERDUE","OPEN")))</f>
        <v/>
      </c>
      <c r="K22" s="32"/>
      <c r="L22" s="30"/>
      <c r="M22" s="30"/>
      <c r="N22" s="30"/>
    </row>
    <row r="23" customFormat="false" ht="15" hidden="false" customHeight="false" outlineLevel="0" collapsed="false">
      <c r="A23" s="30"/>
      <c r="B23" s="31"/>
      <c r="C23" s="30"/>
      <c r="D23" s="32"/>
      <c r="E23" s="30"/>
      <c r="F23" s="32"/>
      <c r="G23" s="31"/>
      <c r="H23" s="31"/>
      <c r="I23" s="33" t="str">
        <f aca="true">IF(B23="","",IF(H23&lt;&gt;"",H23-B23,TODAY()-B23))</f>
        <v/>
      </c>
      <c r="J23" s="34" t="str">
        <f aca="true">IF(A23="","",IF(H23&lt;&gt;"","CLOSED",IF(AND(G23&lt;&gt;"",G23&lt;TODAY()),"OVERDUE","OPEN")))</f>
        <v/>
      </c>
      <c r="K23" s="32"/>
      <c r="L23" s="30"/>
      <c r="M23" s="30"/>
      <c r="N23" s="30"/>
    </row>
    <row r="24" customFormat="false" ht="15" hidden="false" customHeight="false" outlineLevel="0" collapsed="false">
      <c r="A24" s="30"/>
      <c r="B24" s="31"/>
      <c r="C24" s="30"/>
      <c r="D24" s="32"/>
      <c r="E24" s="30"/>
      <c r="F24" s="32"/>
      <c r="G24" s="31"/>
      <c r="H24" s="31"/>
      <c r="I24" s="33" t="str">
        <f aca="true">IF(B24="","",IF(H24&lt;&gt;"",H24-B24,TODAY()-B24))</f>
        <v/>
      </c>
      <c r="J24" s="34" t="str">
        <f aca="true">IF(A24="","",IF(H24&lt;&gt;"","CLOSED",IF(AND(G24&lt;&gt;"",G24&lt;TODAY()),"OVERDUE","OPEN")))</f>
        <v/>
      </c>
      <c r="K24" s="32"/>
      <c r="L24" s="30"/>
      <c r="M24" s="30"/>
      <c r="N24" s="30"/>
    </row>
    <row r="25" customFormat="false" ht="15" hidden="false" customHeight="false" outlineLevel="0" collapsed="false">
      <c r="A25" s="30"/>
      <c r="B25" s="31"/>
      <c r="C25" s="30"/>
      <c r="D25" s="32"/>
      <c r="E25" s="30"/>
      <c r="F25" s="32"/>
      <c r="G25" s="31"/>
      <c r="H25" s="31"/>
      <c r="I25" s="33" t="str">
        <f aca="true">IF(B25="","",IF(H25&lt;&gt;"",H25-B25,TODAY()-B25))</f>
        <v/>
      </c>
      <c r="J25" s="34" t="str">
        <f aca="true">IF(A25="","",IF(H25&lt;&gt;"","CLOSED",IF(AND(G25&lt;&gt;"",G25&lt;TODAY()),"OVERDUE","OPEN")))</f>
        <v/>
      </c>
      <c r="K25" s="32"/>
      <c r="L25" s="30"/>
      <c r="M25" s="30"/>
      <c r="N25" s="30"/>
    </row>
    <row r="26" customFormat="false" ht="15" hidden="false" customHeight="false" outlineLevel="0" collapsed="false">
      <c r="A26" s="30"/>
      <c r="B26" s="31"/>
      <c r="C26" s="30"/>
      <c r="D26" s="32"/>
      <c r="E26" s="30"/>
      <c r="F26" s="32"/>
      <c r="G26" s="31"/>
      <c r="H26" s="31"/>
      <c r="I26" s="33" t="str">
        <f aca="true">IF(B26="","",IF(H26&lt;&gt;"",H26-B26,TODAY()-B26))</f>
        <v/>
      </c>
      <c r="J26" s="34" t="str">
        <f aca="true">IF(A26="","",IF(H26&lt;&gt;"","CLOSED",IF(AND(G26&lt;&gt;"",G26&lt;TODAY()),"OVERDUE","OPEN")))</f>
        <v/>
      </c>
      <c r="K26" s="32"/>
      <c r="L26" s="30"/>
      <c r="M26" s="30"/>
      <c r="N26" s="30"/>
    </row>
    <row r="27" customFormat="false" ht="15" hidden="false" customHeight="false" outlineLevel="0" collapsed="false">
      <c r="A27" s="30"/>
      <c r="B27" s="31"/>
      <c r="C27" s="30"/>
      <c r="D27" s="32"/>
      <c r="E27" s="30"/>
      <c r="F27" s="32"/>
      <c r="G27" s="31"/>
      <c r="H27" s="31"/>
      <c r="I27" s="33" t="str">
        <f aca="true">IF(B27="","",IF(H27&lt;&gt;"",H27-B27,TODAY()-B27))</f>
        <v/>
      </c>
      <c r="J27" s="34" t="str">
        <f aca="true">IF(A27="","",IF(H27&lt;&gt;"","CLOSED",IF(AND(G27&lt;&gt;"",G27&lt;TODAY()),"OVERDUE","OPEN")))</f>
        <v/>
      </c>
      <c r="K27" s="32"/>
      <c r="L27" s="30"/>
      <c r="M27" s="30"/>
      <c r="N27" s="30"/>
    </row>
    <row r="28" customFormat="false" ht="15" hidden="false" customHeight="false" outlineLevel="0" collapsed="false">
      <c r="A28" s="30"/>
      <c r="B28" s="31"/>
      <c r="C28" s="30"/>
      <c r="D28" s="32"/>
      <c r="E28" s="30"/>
      <c r="F28" s="32"/>
      <c r="G28" s="31"/>
      <c r="H28" s="31"/>
      <c r="I28" s="33" t="str">
        <f aca="true">IF(B28="","",IF(H28&lt;&gt;"",H28-B28,TODAY()-B28))</f>
        <v/>
      </c>
      <c r="J28" s="34" t="str">
        <f aca="true">IF(A28="","",IF(H28&lt;&gt;"","CLOSED",IF(AND(G28&lt;&gt;"",G28&lt;TODAY()),"OVERDUE","OPEN")))</f>
        <v/>
      </c>
      <c r="K28" s="32"/>
      <c r="L28" s="30"/>
      <c r="M28" s="30"/>
      <c r="N28" s="30"/>
    </row>
    <row r="29" customFormat="false" ht="15" hidden="false" customHeight="false" outlineLevel="0" collapsed="false">
      <c r="A29" s="30"/>
      <c r="B29" s="31"/>
      <c r="C29" s="30"/>
      <c r="D29" s="32"/>
      <c r="E29" s="30"/>
      <c r="F29" s="32"/>
      <c r="G29" s="31"/>
      <c r="H29" s="31"/>
      <c r="I29" s="33" t="str">
        <f aca="true">IF(B29="","",IF(H29&lt;&gt;"",H29-B29,TODAY()-B29))</f>
        <v/>
      </c>
      <c r="J29" s="34" t="str">
        <f aca="true">IF(A29="","",IF(H29&lt;&gt;"","CLOSED",IF(AND(G29&lt;&gt;"",G29&lt;TODAY()),"OVERDUE","OPEN")))</f>
        <v/>
      </c>
      <c r="K29" s="32"/>
      <c r="L29" s="30"/>
      <c r="M29" s="30"/>
      <c r="N29" s="30"/>
    </row>
    <row r="30" customFormat="false" ht="15" hidden="false" customHeight="false" outlineLevel="0" collapsed="false">
      <c r="A30" s="30"/>
      <c r="B30" s="31"/>
      <c r="C30" s="30"/>
      <c r="D30" s="32"/>
      <c r="E30" s="30"/>
      <c r="F30" s="32"/>
      <c r="G30" s="31"/>
      <c r="H30" s="31"/>
      <c r="I30" s="33" t="str">
        <f aca="true">IF(B30="","",IF(H30&lt;&gt;"",H30-B30,TODAY()-B30))</f>
        <v/>
      </c>
      <c r="J30" s="34" t="str">
        <f aca="true">IF(A30="","",IF(H30&lt;&gt;"","CLOSED",IF(AND(G30&lt;&gt;"",G30&lt;TODAY()),"OVERDUE","OPEN")))</f>
        <v/>
      </c>
      <c r="K30" s="32"/>
      <c r="L30" s="30"/>
      <c r="M30" s="30"/>
      <c r="N30" s="30"/>
    </row>
    <row r="31" customFormat="false" ht="15" hidden="false" customHeight="false" outlineLevel="0" collapsed="false">
      <c r="A31" s="30"/>
      <c r="B31" s="31"/>
      <c r="C31" s="30"/>
      <c r="D31" s="32"/>
      <c r="E31" s="30"/>
      <c r="F31" s="32"/>
      <c r="G31" s="31"/>
      <c r="H31" s="31"/>
      <c r="I31" s="33" t="str">
        <f aca="true">IF(B31="","",IF(H31&lt;&gt;"",H31-B31,TODAY()-B31))</f>
        <v/>
      </c>
      <c r="J31" s="34" t="str">
        <f aca="true">IF(A31="","",IF(H31&lt;&gt;"","CLOSED",IF(AND(G31&lt;&gt;"",G31&lt;TODAY()),"OVERDUE","OPEN")))</f>
        <v/>
      </c>
      <c r="K31" s="32"/>
      <c r="L31" s="30"/>
      <c r="M31" s="30"/>
      <c r="N31" s="30"/>
    </row>
    <row r="32" customFormat="false" ht="15" hidden="false" customHeight="false" outlineLevel="0" collapsed="false">
      <c r="A32" s="30"/>
      <c r="B32" s="31"/>
      <c r="C32" s="30"/>
      <c r="D32" s="32"/>
      <c r="E32" s="30"/>
      <c r="F32" s="32"/>
      <c r="G32" s="31"/>
      <c r="H32" s="31"/>
      <c r="I32" s="33" t="str">
        <f aca="true">IF(B32="","",IF(H32&lt;&gt;"",H32-B32,TODAY()-B32))</f>
        <v/>
      </c>
      <c r="J32" s="34" t="str">
        <f aca="true">IF(A32="","",IF(H32&lt;&gt;"","CLOSED",IF(AND(G32&lt;&gt;"",G32&lt;TODAY()),"OVERDUE","OPEN")))</f>
        <v/>
      </c>
      <c r="K32" s="32"/>
      <c r="L32" s="30"/>
      <c r="M32" s="30"/>
      <c r="N32" s="30"/>
    </row>
    <row r="33" customFormat="false" ht="15" hidden="false" customHeight="false" outlineLevel="0" collapsed="false">
      <c r="A33" s="30"/>
      <c r="B33" s="31"/>
      <c r="C33" s="30"/>
      <c r="D33" s="32"/>
      <c r="E33" s="30"/>
      <c r="F33" s="32"/>
      <c r="G33" s="31"/>
      <c r="H33" s="31"/>
      <c r="I33" s="33" t="str">
        <f aca="true">IF(B33="","",IF(H33&lt;&gt;"",H33-B33,TODAY()-B33))</f>
        <v/>
      </c>
      <c r="J33" s="34" t="str">
        <f aca="true">IF(A33="","",IF(H33&lt;&gt;"","CLOSED",IF(AND(G33&lt;&gt;"",G33&lt;TODAY()),"OVERDUE","OPEN")))</f>
        <v/>
      </c>
      <c r="K33" s="32"/>
      <c r="L33" s="30"/>
      <c r="M33" s="30"/>
      <c r="N33" s="30"/>
    </row>
    <row r="34" customFormat="false" ht="15" hidden="false" customHeight="false" outlineLevel="0" collapsed="false">
      <c r="A34" s="30"/>
      <c r="B34" s="31"/>
      <c r="C34" s="30"/>
      <c r="D34" s="32"/>
      <c r="E34" s="30"/>
      <c r="F34" s="32"/>
      <c r="G34" s="31"/>
      <c r="H34" s="31"/>
      <c r="I34" s="33" t="str">
        <f aca="true">IF(B34="","",IF(H34&lt;&gt;"",H34-B34,TODAY()-B34))</f>
        <v/>
      </c>
      <c r="J34" s="34" t="str">
        <f aca="true">IF(A34="","",IF(H34&lt;&gt;"","CLOSED",IF(AND(G34&lt;&gt;"",G34&lt;TODAY()),"OVERDUE","OPEN")))</f>
        <v/>
      </c>
      <c r="K34" s="32"/>
      <c r="L34" s="30"/>
      <c r="M34" s="30"/>
      <c r="N34" s="30"/>
    </row>
    <row r="35" customFormat="false" ht="15" hidden="false" customHeight="false" outlineLevel="0" collapsed="false">
      <c r="A35" s="30"/>
      <c r="B35" s="31"/>
      <c r="C35" s="30"/>
      <c r="D35" s="32"/>
      <c r="E35" s="30"/>
      <c r="F35" s="32"/>
      <c r="G35" s="31"/>
      <c r="H35" s="31"/>
      <c r="I35" s="33" t="str">
        <f aca="true">IF(B35="","",IF(H35&lt;&gt;"",H35-B35,TODAY()-B35))</f>
        <v/>
      </c>
      <c r="J35" s="34" t="str">
        <f aca="true">IF(A35="","",IF(H35&lt;&gt;"","CLOSED",IF(AND(G35&lt;&gt;"",G35&lt;TODAY()),"OVERDUE","OPEN")))</f>
        <v/>
      </c>
      <c r="K35" s="32"/>
      <c r="L35" s="30"/>
      <c r="M35" s="30"/>
      <c r="N35" s="30"/>
    </row>
    <row r="36" customFormat="false" ht="15" hidden="false" customHeight="false" outlineLevel="0" collapsed="false">
      <c r="A36" s="30"/>
      <c r="B36" s="31"/>
      <c r="C36" s="30"/>
      <c r="D36" s="32"/>
      <c r="E36" s="30"/>
      <c r="F36" s="32"/>
      <c r="G36" s="31"/>
      <c r="H36" s="31"/>
      <c r="I36" s="33" t="str">
        <f aca="true">IF(B36="","",IF(H36&lt;&gt;"",H36-B36,TODAY()-B36))</f>
        <v/>
      </c>
      <c r="J36" s="34" t="str">
        <f aca="true">IF(A36="","",IF(H36&lt;&gt;"","CLOSED",IF(AND(G36&lt;&gt;"",G36&lt;TODAY()),"OVERDUE","OPEN")))</f>
        <v/>
      </c>
      <c r="K36" s="32"/>
      <c r="L36" s="30"/>
      <c r="M36" s="30"/>
      <c r="N36" s="30"/>
    </row>
    <row r="37" customFormat="false" ht="15" hidden="false" customHeight="false" outlineLevel="0" collapsed="false">
      <c r="A37" s="30"/>
      <c r="B37" s="31"/>
      <c r="C37" s="30"/>
      <c r="D37" s="32"/>
      <c r="E37" s="30"/>
      <c r="F37" s="32"/>
      <c r="G37" s="31"/>
      <c r="H37" s="31"/>
      <c r="I37" s="33" t="str">
        <f aca="true">IF(B37="","",IF(H37&lt;&gt;"",H37-B37,TODAY()-B37))</f>
        <v/>
      </c>
      <c r="J37" s="34" t="str">
        <f aca="true">IF(A37="","",IF(H37&lt;&gt;"","CLOSED",IF(AND(G37&lt;&gt;"",G37&lt;TODAY()),"OVERDUE","OPEN")))</f>
        <v/>
      </c>
      <c r="K37" s="32"/>
      <c r="L37" s="30"/>
      <c r="M37" s="30"/>
      <c r="N37" s="30"/>
    </row>
    <row r="38" customFormat="false" ht="15" hidden="false" customHeight="false" outlineLevel="0" collapsed="false">
      <c r="A38" s="30"/>
      <c r="B38" s="31"/>
      <c r="C38" s="30"/>
      <c r="D38" s="32"/>
      <c r="E38" s="30"/>
      <c r="F38" s="32"/>
      <c r="G38" s="31"/>
      <c r="H38" s="31"/>
      <c r="I38" s="33" t="str">
        <f aca="true">IF(B38="","",IF(H38&lt;&gt;"",H38-B38,TODAY()-B38))</f>
        <v/>
      </c>
      <c r="J38" s="34" t="str">
        <f aca="true">IF(A38="","",IF(H38&lt;&gt;"","CLOSED",IF(AND(G38&lt;&gt;"",G38&lt;TODAY()),"OVERDUE","OPEN")))</f>
        <v/>
      </c>
      <c r="K38" s="32"/>
      <c r="L38" s="30"/>
      <c r="M38" s="30"/>
      <c r="N38" s="30"/>
    </row>
    <row r="39" customFormat="false" ht="15" hidden="false" customHeight="false" outlineLevel="0" collapsed="false">
      <c r="A39" s="30"/>
      <c r="B39" s="31"/>
      <c r="C39" s="30"/>
      <c r="D39" s="32"/>
      <c r="E39" s="30"/>
      <c r="F39" s="32"/>
      <c r="G39" s="31"/>
      <c r="H39" s="31"/>
      <c r="I39" s="33" t="str">
        <f aca="true">IF(B39="","",IF(H39&lt;&gt;"",H39-B39,TODAY()-B39))</f>
        <v/>
      </c>
      <c r="J39" s="34" t="str">
        <f aca="true">IF(A39="","",IF(H39&lt;&gt;"","CLOSED",IF(AND(G39&lt;&gt;"",G39&lt;TODAY()),"OVERDUE","OPEN")))</f>
        <v/>
      </c>
      <c r="K39" s="32"/>
      <c r="L39" s="30"/>
      <c r="M39" s="30"/>
      <c r="N39" s="30"/>
    </row>
    <row r="40" customFormat="false" ht="15" hidden="false" customHeight="false" outlineLevel="0" collapsed="false">
      <c r="A40" s="30"/>
      <c r="B40" s="31"/>
      <c r="C40" s="30"/>
      <c r="D40" s="32"/>
      <c r="E40" s="30"/>
      <c r="F40" s="32"/>
      <c r="G40" s="31"/>
      <c r="H40" s="31"/>
      <c r="I40" s="33" t="str">
        <f aca="true">IF(B40="","",IF(H40&lt;&gt;"",H40-B40,TODAY()-B40))</f>
        <v/>
      </c>
      <c r="J40" s="34" t="str">
        <f aca="true">IF(A40="","",IF(H40&lt;&gt;"","CLOSED",IF(AND(G40&lt;&gt;"",G40&lt;TODAY()),"OVERDUE","OPEN")))</f>
        <v/>
      </c>
      <c r="K40" s="32"/>
      <c r="L40" s="30"/>
      <c r="M40" s="30"/>
      <c r="N40" s="30"/>
    </row>
    <row r="41" customFormat="false" ht="15" hidden="false" customHeight="false" outlineLevel="0" collapsed="false">
      <c r="A41" s="30"/>
      <c r="B41" s="31"/>
      <c r="C41" s="30"/>
      <c r="D41" s="32"/>
      <c r="E41" s="30"/>
      <c r="F41" s="32"/>
      <c r="G41" s="31"/>
      <c r="H41" s="31"/>
      <c r="I41" s="33" t="str">
        <f aca="true">IF(B41="","",IF(H41&lt;&gt;"",H41-B41,TODAY()-B41))</f>
        <v/>
      </c>
      <c r="J41" s="34" t="str">
        <f aca="true">IF(A41="","",IF(H41&lt;&gt;"","CLOSED",IF(AND(G41&lt;&gt;"",G41&lt;TODAY()),"OVERDUE","OPEN")))</f>
        <v/>
      </c>
      <c r="K41" s="32"/>
      <c r="L41" s="30"/>
      <c r="M41" s="30"/>
      <c r="N41" s="30"/>
    </row>
    <row r="42" customFormat="false" ht="15" hidden="false" customHeight="false" outlineLevel="0" collapsed="false">
      <c r="A42" s="30"/>
      <c r="B42" s="31"/>
      <c r="C42" s="30"/>
      <c r="D42" s="32"/>
      <c r="E42" s="30"/>
      <c r="F42" s="32"/>
      <c r="G42" s="31"/>
      <c r="H42" s="31"/>
      <c r="I42" s="33" t="str">
        <f aca="true">IF(B42="","",IF(H42&lt;&gt;"",H42-B42,TODAY()-B42))</f>
        <v/>
      </c>
      <c r="J42" s="34" t="str">
        <f aca="true">IF(A42="","",IF(H42&lt;&gt;"","CLOSED",IF(AND(G42&lt;&gt;"",G42&lt;TODAY()),"OVERDUE","OPEN")))</f>
        <v/>
      </c>
      <c r="K42" s="32"/>
      <c r="L42" s="30"/>
      <c r="M42" s="30"/>
      <c r="N42" s="30"/>
    </row>
    <row r="43" customFormat="false" ht="15" hidden="false" customHeight="false" outlineLevel="0" collapsed="false">
      <c r="A43" s="30"/>
      <c r="B43" s="31"/>
      <c r="C43" s="30"/>
      <c r="D43" s="32"/>
      <c r="E43" s="30"/>
      <c r="F43" s="32"/>
      <c r="G43" s="31"/>
      <c r="H43" s="31"/>
      <c r="I43" s="33" t="str">
        <f aca="true">IF(B43="","",IF(H43&lt;&gt;"",H43-B43,TODAY()-B43))</f>
        <v/>
      </c>
      <c r="J43" s="34" t="str">
        <f aca="true">IF(A43="","",IF(H43&lt;&gt;"","CLOSED",IF(AND(G43&lt;&gt;"",G43&lt;TODAY()),"OVERDUE","OPEN")))</f>
        <v/>
      </c>
      <c r="K43" s="32"/>
      <c r="L43" s="30"/>
      <c r="M43" s="30"/>
      <c r="N43" s="30"/>
    </row>
    <row r="44" customFormat="false" ht="15" hidden="false" customHeight="false" outlineLevel="0" collapsed="false">
      <c r="A44" s="30"/>
      <c r="B44" s="31"/>
      <c r="C44" s="30"/>
      <c r="D44" s="32"/>
      <c r="E44" s="30"/>
      <c r="F44" s="32"/>
      <c r="G44" s="31"/>
      <c r="H44" s="31"/>
      <c r="I44" s="33" t="str">
        <f aca="true">IF(B44="","",IF(H44&lt;&gt;"",H44-B44,TODAY()-B44))</f>
        <v/>
      </c>
      <c r="J44" s="34" t="str">
        <f aca="true">IF(A44="","",IF(H44&lt;&gt;"","CLOSED",IF(AND(G44&lt;&gt;"",G44&lt;TODAY()),"OVERDUE","OPEN")))</f>
        <v/>
      </c>
      <c r="K44" s="32"/>
      <c r="L44" s="30"/>
      <c r="M44" s="30"/>
      <c r="N44" s="30"/>
    </row>
    <row r="45" customFormat="false" ht="15" hidden="false" customHeight="false" outlineLevel="0" collapsed="false">
      <c r="A45" s="30"/>
      <c r="B45" s="31"/>
      <c r="C45" s="30"/>
      <c r="D45" s="32"/>
      <c r="E45" s="30"/>
      <c r="F45" s="32"/>
      <c r="G45" s="31"/>
      <c r="H45" s="31"/>
      <c r="I45" s="33" t="str">
        <f aca="true">IF(B45="","",IF(H45&lt;&gt;"",H45-B45,TODAY()-B45))</f>
        <v/>
      </c>
      <c r="J45" s="34" t="str">
        <f aca="true">IF(A45="","",IF(H45&lt;&gt;"","CLOSED",IF(AND(G45&lt;&gt;"",G45&lt;TODAY()),"OVERDUE","OPEN")))</f>
        <v/>
      </c>
      <c r="K45" s="32"/>
      <c r="L45" s="30"/>
      <c r="M45" s="30"/>
      <c r="N45" s="30"/>
    </row>
    <row r="46" customFormat="false" ht="15" hidden="false" customHeight="false" outlineLevel="0" collapsed="false">
      <c r="A46" s="30"/>
      <c r="B46" s="31"/>
      <c r="C46" s="30"/>
      <c r="D46" s="32"/>
      <c r="E46" s="30"/>
      <c r="F46" s="32"/>
      <c r="G46" s="31"/>
      <c r="H46" s="31"/>
      <c r="I46" s="33" t="str">
        <f aca="true">IF(B46="","",IF(H46&lt;&gt;"",H46-B46,TODAY()-B46))</f>
        <v/>
      </c>
      <c r="J46" s="34" t="str">
        <f aca="true">IF(A46="","",IF(H46&lt;&gt;"","CLOSED",IF(AND(G46&lt;&gt;"",G46&lt;TODAY()),"OVERDUE","OPEN")))</f>
        <v/>
      </c>
      <c r="K46" s="32"/>
      <c r="L46" s="30"/>
      <c r="M46" s="30"/>
      <c r="N46" s="30"/>
    </row>
    <row r="47" customFormat="false" ht="15" hidden="false" customHeight="false" outlineLevel="0" collapsed="false">
      <c r="A47" s="30"/>
      <c r="B47" s="31"/>
      <c r="C47" s="30"/>
      <c r="D47" s="32"/>
      <c r="E47" s="30"/>
      <c r="F47" s="32"/>
      <c r="G47" s="31"/>
      <c r="H47" s="31"/>
      <c r="I47" s="33" t="str">
        <f aca="true">IF(B47="","",IF(H47&lt;&gt;"",H47-B47,TODAY()-B47))</f>
        <v/>
      </c>
      <c r="J47" s="34" t="str">
        <f aca="true">IF(A47="","",IF(H47&lt;&gt;"","CLOSED",IF(AND(G47&lt;&gt;"",G47&lt;TODAY()),"OVERDUE","OPEN")))</f>
        <v/>
      </c>
      <c r="K47" s="32"/>
      <c r="L47" s="30"/>
      <c r="M47" s="30"/>
      <c r="N47" s="30"/>
    </row>
    <row r="48" customFormat="false" ht="15" hidden="false" customHeight="false" outlineLevel="0" collapsed="false">
      <c r="A48" s="30"/>
      <c r="B48" s="31"/>
      <c r="C48" s="30"/>
      <c r="D48" s="32"/>
      <c r="E48" s="30"/>
      <c r="F48" s="32"/>
      <c r="G48" s="31"/>
      <c r="H48" s="31"/>
      <c r="I48" s="33" t="str">
        <f aca="true">IF(B48="","",IF(H48&lt;&gt;"",H48-B48,TODAY()-B48))</f>
        <v/>
      </c>
      <c r="J48" s="34" t="str">
        <f aca="true">IF(A48="","",IF(H48&lt;&gt;"","CLOSED",IF(AND(G48&lt;&gt;"",G48&lt;TODAY()),"OVERDUE","OPEN")))</f>
        <v/>
      </c>
      <c r="K48" s="32"/>
      <c r="L48" s="30"/>
      <c r="M48" s="30"/>
      <c r="N48" s="30"/>
    </row>
    <row r="49" customFormat="false" ht="15" hidden="false" customHeight="false" outlineLevel="0" collapsed="false">
      <c r="A49" s="30"/>
      <c r="B49" s="31"/>
      <c r="C49" s="30"/>
      <c r="D49" s="32"/>
      <c r="E49" s="30"/>
      <c r="F49" s="32"/>
      <c r="G49" s="31"/>
      <c r="H49" s="31"/>
      <c r="I49" s="33" t="str">
        <f aca="true">IF(B49="","",IF(H49&lt;&gt;"",H49-B49,TODAY()-B49))</f>
        <v/>
      </c>
      <c r="J49" s="34" t="str">
        <f aca="true">IF(A49="","",IF(H49&lt;&gt;"","CLOSED",IF(AND(G49&lt;&gt;"",G49&lt;TODAY()),"OVERDUE","OPEN")))</f>
        <v/>
      </c>
      <c r="K49" s="32"/>
      <c r="L49" s="30"/>
      <c r="M49" s="30"/>
      <c r="N49" s="30"/>
    </row>
    <row r="50" customFormat="false" ht="15" hidden="false" customHeight="false" outlineLevel="0" collapsed="false">
      <c r="A50" s="30"/>
      <c r="B50" s="31"/>
      <c r="C50" s="30"/>
      <c r="D50" s="32"/>
      <c r="E50" s="30"/>
      <c r="F50" s="32"/>
      <c r="G50" s="31"/>
      <c r="H50" s="31"/>
      <c r="I50" s="33" t="str">
        <f aca="true">IF(B50="","",IF(H50&lt;&gt;"",H50-B50,TODAY()-B50))</f>
        <v/>
      </c>
      <c r="J50" s="34" t="str">
        <f aca="true">IF(A50="","",IF(H50&lt;&gt;"","CLOSED",IF(AND(G50&lt;&gt;"",G50&lt;TODAY()),"OVERDUE","OPEN")))</f>
        <v/>
      </c>
      <c r="K50" s="32"/>
      <c r="L50" s="30"/>
      <c r="M50" s="30"/>
      <c r="N50" s="30"/>
    </row>
    <row r="51" customFormat="false" ht="15" hidden="false" customHeight="false" outlineLevel="0" collapsed="false">
      <c r="A51" s="30"/>
      <c r="B51" s="31"/>
      <c r="C51" s="30"/>
      <c r="D51" s="32"/>
      <c r="E51" s="30"/>
      <c r="F51" s="32"/>
      <c r="G51" s="31"/>
      <c r="H51" s="31"/>
      <c r="I51" s="33" t="str">
        <f aca="true">IF(B51="","",IF(H51&lt;&gt;"",H51-B51,TODAY()-B51))</f>
        <v/>
      </c>
      <c r="J51" s="34" t="str">
        <f aca="true">IF(A51="","",IF(H51&lt;&gt;"","CLOSED",IF(AND(G51&lt;&gt;"",G51&lt;TODAY()),"OVERDUE","OPEN")))</f>
        <v/>
      </c>
      <c r="K51" s="32"/>
      <c r="L51" s="30"/>
      <c r="M51" s="30"/>
      <c r="N51" s="30"/>
    </row>
    <row r="52" customFormat="false" ht="15" hidden="false" customHeight="false" outlineLevel="0" collapsed="false">
      <c r="A52" s="30"/>
      <c r="B52" s="31"/>
      <c r="C52" s="30"/>
      <c r="D52" s="32"/>
      <c r="E52" s="30"/>
      <c r="F52" s="32"/>
      <c r="G52" s="31"/>
      <c r="H52" s="31"/>
      <c r="I52" s="33" t="str">
        <f aca="true">IF(B52="","",IF(H52&lt;&gt;"",H52-B52,TODAY()-B52))</f>
        <v/>
      </c>
      <c r="J52" s="34" t="str">
        <f aca="true">IF(A52="","",IF(H52&lt;&gt;"","CLOSED",IF(AND(G52&lt;&gt;"",G52&lt;TODAY()),"OVERDUE","OPEN")))</f>
        <v/>
      </c>
      <c r="K52" s="32"/>
      <c r="L52" s="30"/>
      <c r="M52" s="30"/>
      <c r="N52" s="30"/>
    </row>
    <row r="53" customFormat="false" ht="15" hidden="false" customHeight="false" outlineLevel="0" collapsed="false">
      <c r="A53" s="30"/>
      <c r="B53" s="31"/>
      <c r="C53" s="30"/>
      <c r="D53" s="32"/>
      <c r="E53" s="30"/>
      <c r="F53" s="32"/>
      <c r="G53" s="31"/>
      <c r="H53" s="31"/>
      <c r="I53" s="33" t="str">
        <f aca="true">IF(B53="","",IF(H53&lt;&gt;"",H53-B53,TODAY()-B53))</f>
        <v/>
      </c>
      <c r="J53" s="34" t="str">
        <f aca="true">IF(A53="","",IF(H53&lt;&gt;"","CLOSED",IF(AND(G53&lt;&gt;"",G53&lt;TODAY()),"OVERDUE","OPEN")))</f>
        <v/>
      </c>
      <c r="K53" s="32"/>
      <c r="L53" s="30"/>
      <c r="M53" s="30"/>
      <c r="N53" s="30"/>
    </row>
    <row r="54" customFormat="false" ht="15" hidden="false" customHeight="false" outlineLevel="0" collapsed="false">
      <c r="A54" s="30"/>
      <c r="B54" s="31"/>
      <c r="C54" s="30"/>
      <c r="D54" s="32"/>
      <c r="E54" s="30"/>
      <c r="F54" s="32"/>
      <c r="G54" s="31"/>
      <c r="H54" s="31"/>
      <c r="I54" s="33" t="str">
        <f aca="true">IF(B54="","",IF(H54&lt;&gt;"",H54-B54,TODAY()-B54))</f>
        <v/>
      </c>
      <c r="J54" s="34" t="str">
        <f aca="true">IF(A54="","",IF(H54&lt;&gt;"","CLOSED",IF(AND(G54&lt;&gt;"",G54&lt;TODAY()),"OVERDUE","OPEN")))</f>
        <v/>
      </c>
      <c r="K54" s="32"/>
      <c r="L54" s="30"/>
      <c r="M54" s="30"/>
      <c r="N54" s="30"/>
    </row>
    <row r="55" customFormat="false" ht="15" hidden="false" customHeight="false" outlineLevel="0" collapsed="false">
      <c r="A55" s="30"/>
      <c r="B55" s="31"/>
      <c r="C55" s="30"/>
      <c r="D55" s="32"/>
      <c r="E55" s="30"/>
      <c r="F55" s="32"/>
      <c r="G55" s="31"/>
      <c r="H55" s="31"/>
      <c r="I55" s="33" t="str">
        <f aca="true">IF(B55="","",IF(H55&lt;&gt;"",H55-B55,TODAY()-B55))</f>
        <v/>
      </c>
      <c r="J55" s="34" t="str">
        <f aca="true">IF(A55="","",IF(H55&lt;&gt;"","CLOSED",IF(AND(G55&lt;&gt;"",G55&lt;TODAY()),"OVERDUE","OPEN")))</f>
        <v/>
      </c>
      <c r="K55" s="32"/>
      <c r="L55" s="30"/>
      <c r="M55" s="30"/>
      <c r="N55" s="30"/>
    </row>
    <row r="56" customFormat="false" ht="15" hidden="false" customHeight="false" outlineLevel="0" collapsed="false">
      <c r="A56" s="30"/>
      <c r="B56" s="31"/>
      <c r="C56" s="30"/>
      <c r="D56" s="32"/>
      <c r="E56" s="30"/>
      <c r="F56" s="32"/>
      <c r="G56" s="31"/>
      <c r="H56" s="31"/>
      <c r="I56" s="33" t="str">
        <f aca="true">IF(B56="","",IF(H56&lt;&gt;"",H56-B56,TODAY()-B56))</f>
        <v/>
      </c>
      <c r="J56" s="34" t="str">
        <f aca="true">IF(A56="","",IF(H56&lt;&gt;"","CLOSED",IF(AND(G56&lt;&gt;"",G56&lt;TODAY()),"OVERDUE","OPEN")))</f>
        <v/>
      </c>
      <c r="K56" s="32"/>
      <c r="L56" s="30"/>
      <c r="M56" s="30"/>
      <c r="N56" s="30"/>
    </row>
    <row r="57" customFormat="false" ht="15" hidden="false" customHeight="false" outlineLevel="0" collapsed="false">
      <c r="A57" s="30"/>
      <c r="B57" s="31"/>
      <c r="C57" s="30"/>
      <c r="D57" s="32"/>
      <c r="E57" s="30"/>
      <c r="F57" s="32"/>
      <c r="G57" s="31"/>
      <c r="H57" s="31"/>
      <c r="I57" s="33" t="str">
        <f aca="true">IF(B57="","",IF(H57&lt;&gt;"",H57-B57,TODAY()-B57))</f>
        <v/>
      </c>
      <c r="J57" s="34" t="str">
        <f aca="true">IF(A57="","",IF(H57&lt;&gt;"","CLOSED",IF(AND(G57&lt;&gt;"",G57&lt;TODAY()),"OVERDUE","OPEN")))</f>
        <v/>
      </c>
      <c r="K57" s="32"/>
      <c r="L57" s="30"/>
      <c r="M57" s="30"/>
      <c r="N57" s="30"/>
    </row>
    <row r="58" customFormat="false" ht="15" hidden="false" customHeight="false" outlineLevel="0" collapsed="false">
      <c r="A58" s="30"/>
      <c r="B58" s="31"/>
      <c r="C58" s="30"/>
      <c r="D58" s="32"/>
      <c r="E58" s="30"/>
      <c r="F58" s="32"/>
      <c r="G58" s="31"/>
      <c r="H58" s="31"/>
      <c r="I58" s="33" t="str">
        <f aca="true">IF(B58="","",IF(H58&lt;&gt;"",H58-B58,TODAY()-B58))</f>
        <v/>
      </c>
      <c r="J58" s="34" t="str">
        <f aca="true">IF(A58="","",IF(H58&lt;&gt;"","CLOSED",IF(AND(G58&lt;&gt;"",G58&lt;TODAY()),"OVERDUE","OPEN")))</f>
        <v/>
      </c>
      <c r="K58" s="32"/>
      <c r="L58" s="30"/>
      <c r="M58" s="30"/>
      <c r="N58" s="30"/>
    </row>
    <row r="59" customFormat="false" ht="15" hidden="false" customHeight="false" outlineLevel="0" collapsed="false">
      <c r="A59" s="30"/>
      <c r="B59" s="31"/>
      <c r="C59" s="30"/>
      <c r="D59" s="32"/>
      <c r="E59" s="30"/>
      <c r="F59" s="32"/>
      <c r="G59" s="31"/>
      <c r="H59" s="31"/>
      <c r="I59" s="33" t="str">
        <f aca="true">IF(B59="","",IF(H59&lt;&gt;"",H59-B59,TODAY()-B59))</f>
        <v/>
      </c>
      <c r="J59" s="34" t="str">
        <f aca="true">IF(A59="","",IF(H59&lt;&gt;"","CLOSED",IF(AND(G59&lt;&gt;"",G59&lt;TODAY()),"OVERDUE","OPEN")))</f>
        <v/>
      </c>
      <c r="K59" s="32"/>
      <c r="L59" s="30"/>
      <c r="M59" s="30"/>
      <c r="N59" s="30"/>
    </row>
  </sheetData>
  <autoFilter ref="A8:N59"/>
  <mergeCells count="3">
    <mergeCell ref="A1:K1"/>
    <mergeCell ref="A5:K5"/>
    <mergeCell ref="L7:N7"/>
  </mergeCells>
  <conditionalFormatting sqref="J9:J59">
    <cfRule type="cellIs" priority="2" operator="equal" aboveAverage="0" equalAverage="0" bottom="0" percent="0" rank="0" text="" dxfId="9">
      <formula>"CLOSED"</formula>
    </cfRule>
    <cfRule type="cellIs" priority="3" operator="equal" aboveAverage="0" equalAverage="0" bottom="0" percent="0" rank="0" text="" dxfId="10">
      <formula>"OPEN"</formula>
    </cfRule>
    <cfRule type="cellIs" priority="4" operator="equal" aboveAverage="0" equalAverage="0" bottom="0" percent="0" rank="0" text="" dxfId="11">
      <formula>"OVERDUE"</formula>
    </cfRule>
  </conditionalFormatting>
  <conditionalFormatting sqref="E9:E59">
    <cfRule type="cellIs" priority="5" operator="equal" aboveAverage="0" equalAverage="0" bottom="0" percent="0" rank="0" text="" dxfId="11">
      <formula>"Critical"</formula>
    </cfRule>
    <cfRule type="cellIs" priority="6" operator="equal" aboveAverage="0" equalAverage="0" bottom="0" percent="0" rank="0" text="" dxfId="10">
      <formula>"High"</formula>
    </cfRule>
  </conditionalFormatting>
  <conditionalFormatting sqref="I9:I59">
    <cfRule type="expression" priority="7" aboveAverage="0" equalAverage="0" bottom="0" percent="0" rank="0" text="" dxfId="11">
      <formula>AND(I9&lt;&gt;"",J9="OVERDUE",I9&gt;14)</formula>
    </cfRule>
  </conditionalFormatting>
  <dataValidations count="3">
    <dataValidation allowBlank="true" errorStyle="stop" operator="between" showDropDown="false" showErrorMessage="false" showInputMessage="false" sqref="E9:E59" type="list">
      <formula1>"Critical,High,Medium,Low"</formula1>
      <formula2>0</formula2>
    </dataValidation>
    <dataValidation allowBlank="true" errorStyle="stop" operator="between" showDropDown="false" showErrorMessage="false" showInputMessage="false" sqref="C9:C59" type="list">
      <formula1>"Progress Meeting,Site Walk,Audit,Design Review,Client Instruction,H&amp;S,RFI,Other"</formula1>
      <formula2>0</formula2>
    </dataValidation>
    <dataValidation allowBlank="true" errorStyle="stop" operator="between" showDropDown="false" showErrorMessage="false" showInputMessage="false" sqref="L9:L59" type="list">
      <formula1>"Design,Construction,Commercial,H&amp;S,Quality,Programme,Environmental,Logistics,Other"</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&amp;CAction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5" t="s">
        <v>84</v>
      </c>
    </row>
    <row r="2" customFormat="false" ht="15" hidden="false" customHeight="false" outlineLevel="0" collapsed="false">
      <c r="A2" s="35"/>
    </row>
    <row r="3" customFormat="false" ht="15" hidden="false" customHeight="false" outlineLevel="0" collapsed="false">
      <c r="A3" s="35" t="s">
        <v>85</v>
      </c>
    </row>
    <row r="4" customFormat="false" ht="15" hidden="false" customHeight="false" outlineLevel="0" collapsed="false">
      <c r="A4" s="35"/>
    </row>
    <row r="5" customFormat="false" ht="15" hidden="false" customHeight="false" outlineLevel="0" collapsed="false">
      <c r="A5" s="35" t="s">
        <v>86</v>
      </c>
    </row>
    <row r="6" customFormat="false" ht="15" hidden="false" customHeight="false" outlineLevel="0" collapsed="false">
      <c r="A6" s="35"/>
    </row>
    <row r="7" customFormat="false" ht="15" hidden="false" customHeight="false" outlineLevel="0" collapsed="false">
      <c r="A7" s="35" t="s">
        <v>87</v>
      </c>
    </row>
    <row r="8" customFormat="false" ht="15" hidden="false" customHeight="false" outlineLevel="0" collapsed="false">
      <c r="A8" s="35"/>
    </row>
    <row r="9" customFormat="false" ht="15" hidden="false" customHeight="false" outlineLevel="0" collapsed="false">
      <c r="A9" s="35" t="s">
        <v>88</v>
      </c>
    </row>
    <row r="10" customFormat="false" ht="15" hidden="false" customHeight="false" outlineLevel="0" collapsed="false">
      <c r="A10" s="35"/>
    </row>
    <row r="11" customFormat="false" ht="15" hidden="false" customHeight="false" outlineLevel="0" collapsed="false">
      <c r="A11" s="35" t="s">
        <v>89</v>
      </c>
    </row>
    <row r="12" customFormat="false" ht="15" hidden="false" customHeight="false" outlineLevel="0" collapsed="false">
      <c r="A12" s="35"/>
    </row>
    <row r="13" customFormat="false" ht="15" hidden="false" customHeight="false" outlineLevel="0" collapsed="false">
      <c r="A13" s="35" t="s">
        <v>90</v>
      </c>
    </row>
    <row r="14" customFormat="false" ht="15" hidden="false" customHeight="false" outlineLevel="0" collapsed="false">
      <c r="A14" s="35"/>
    </row>
    <row r="15" customFormat="false" ht="15" hidden="false" customHeight="false" outlineLevel="0" collapsed="false">
      <c r="A15" s="35" t="s">
        <v>91</v>
      </c>
    </row>
    <row r="16" customFormat="false" ht="15" hidden="false" customHeight="false" outlineLevel="0" collapsed="false">
      <c r="A16" s="35"/>
    </row>
    <row r="17" customFormat="false" ht="15" hidden="false" customHeight="false" outlineLevel="0" collapsed="false">
      <c r="A17" s="35"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General Business / Admin</cp:category>
  <dcterms:created xsi:type="dcterms:W3CDTF">2026-03-23T17:54:41Z</dcterms:created>
  <dc:creator>Ebrora Ltd</dc:creator>
  <dc:description>Track project actions with priority, ownership, due dates, and automatic overdue monitoring to ensure nothing falls through the cracks.
Free professional construction management template from Ebrora Ltd. Visit ebrora.com for our full range of tools and templates.</dc:description>
  <cp:keywords>Ebrora construction business actions tracker tasks overdue project management</cp:keywords>
  <dc:language>en-US</dc:language>
  <cp:lastModifiedBy>Ebrora Ltd</cp:lastModifiedBy>
  <dcterms:modified xsi:type="dcterms:W3CDTF">2026-03-23T17:54:41Z</dcterms:modified>
  <cp:revision>0</cp:revision>
  <dc:subject>Track project actions with priority, ownership, due dates, and automatic overdue monitoring.</dc:subject>
  <dc:title>Action Tracker</dc:title>
</cp:coreProperties>
</file>

<file path=docProps/custom.xml><?xml version="1.0" encoding="utf-8"?>
<Properties xmlns="http://schemas.openxmlformats.org/officeDocument/2006/custom-properties" xmlns:vt="http://schemas.openxmlformats.org/officeDocument/2006/docPropsVTypes"/>
</file>