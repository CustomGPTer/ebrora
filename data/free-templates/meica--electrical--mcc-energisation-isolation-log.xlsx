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MCC Energisation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1" name="_xlnm.Print_Area" vbProcedure="false">Instructions!$A$1:$F$27</definedName>
    <definedName function="false" hidden="false" localSheetId="2" name="_xlnm.Print_Area" vbProcedure="false">'MCC Energisation Log'!$A$1:$N$82</definedName>
    <definedName function="false" hidden="false" localSheetId="2" name="_xlnm.Print_Titles" vbProcedure="false">'MCC Energisation Log'!$1:$2</definedName>
    <definedName function="false" hidden="true" localSheetId="2" name="_xlnm._FilterDatabase" vbProcedure="false">'MCC Energisation Log'!$A$2:$N$2</definedName>
    <definedName function="false" hidden="false" name="MCCEnergisation_Data" vbProcedure="false">'MCC Energisation Log'!$A$3:$J$81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<sst xmlns="http://schemas.openxmlformats.org/spreadsheetml/2006/main" count="123" uniqueCount="110">
  <si>
    <t xml:space="preserve">EBRORA</t>
  </si>
  <si>
    <t xml:space="preserve">ebrora.com</t>
  </si>
  <si>
    <t xml:space="preserve">MCC Energisation &amp; Isolation Log</t>
  </si>
  <si>
    <t xml:space="preserve">Track every MCC panel, distribution board and field isolator — energisation dates, permits, HV/LV status and current isolation state in one controlled register.</t>
  </si>
  <si>
    <t xml:space="preserve">This is a free template from Ebrora.
For our full range of professional-grade construction management tools, visit ebrora.com</t>
  </si>
  <si>
    <t xml:space="preserve">© Ebrora 2026 — All rights reserved</t>
  </si>
  <si>
    <t xml:space="preserve">How to Use This Template — MCC Energisation &amp; Isolation Log</t>
  </si>
  <si>
    <t xml:space="preserve">Step-by-Step Instructions</t>
  </si>
  <si>
    <t xml:space="preserve">1.</t>
  </si>
  <si>
    <t xml:space="preserve">Go to the 'MCC Energisation Log' sheet. Enter the Project Name, Site Name and Contract Number in the info strip at the top.</t>
  </si>
  <si>
    <t xml:space="preserve">2.</t>
  </si>
  <si>
    <t xml:space="preserve">Each entry is automatically assigned a sequential reference (ENE-001, ENE-002, etc.) once a Panel/Equipment ID is entered in column C.</t>
  </si>
  <si>
    <t xml:space="preserve">3.</t>
  </si>
  <si>
    <t xml:space="preserve">Enter the Energisation Date in column B — the date the panel or circuit was first energised under a valid Energisation Permit.</t>
  </si>
  <si>
    <t xml:space="preserve">4.</t>
  </si>
  <si>
    <t xml:space="preserve">Record the Panel / Equipment ID in column C (e.g. MCC-01, DB-GF-01, LCP-03) and the Panel Description in column D.</t>
  </si>
  <si>
    <t xml:space="preserve">5.</t>
  </si>
  <si>
    <t xml:space="preserve">Select the Voltage Level in column E: LV 415V, LV 230V, 11kV, 33kV, or Other. HV entries should be treated with additional caution.</t>
  </si>
  <si>
    <t xml:space="preserve">6.</t>
  </si>
  <si>
    <t xml:space="preserve">Record the Energisation Permit Reference in column F — every energisation must have an associated permit issued by the Appointed Person.</t>
  </si>
  <si>
    <t xml:space="preserve">7.</t>
  </si>
  <si>
    <t xml:space="preserve">Enter the Appointed Person (AP) who issued the permit in column G.</t>
  </si>
  <si>
    <t xml:space="preserve">8.</t>
  </si>
  <si>
    <t xml:space="preserve">Use the Status dropdown in column H: Isolated (not yet energised), Energised — Commissioning, Energised — Live Service, or De-Energised. Row colour reflects the current live/safe state.</t>
  </si>
  <si>
    <t xml:space="preserve">9.</t>
  </si>
  <si>
    <t xml:space="preserve">Record the current Isolation Reference in column I if an isolation is in place (cross-reference the LOTO/Isolation Register, Template 04).</t>
  </si>
  <si>
    <t xml:space="preserve">10.</t>
  </si>
  <si>
    <t xml:space="preserve">Use column J for notes — e.g. ongoing commissioning works, HV earthing details, or restrictions. Expand Optional Columns K–N for the interlocking scheme, EICR reference, test cert and file path.</t>
  </si>
  <si>
    <t xml:space="preserve">Colour Key</t>
  </si>
  <si>
    <t xml:space="preserve">  </t>
  </si>
  <si>
    <t xml:space="preserve">Energised — Live Service. Panel is live and in normal operation. Treat as LIVE at all times.</t>
  </si>
  <si>
    <t xml:space="preserve">Energised — Commissioning. Panel is energised for commissioning purposes. Permit required for all work.</t>
  </si>
  <si>
    <t xml:space="preserve">Isolated. Panel is safely isolated. Current isolation reference shown in column I.</t>
  </si>
  <si>
    <t xml:space="preserve">De-Energised. Panel has been de-energised and is not currently in service.</t>
  </si>
  <si>
    <t xml:space="preserve">Pending. Panel not yet energised. Pre-energisation checks incomplete.</t>
  </si>
  <si>
    <t xml:space="preserve">Light teal cells — User input / editable fields.</t>
  </si>
  <si>
    <t xml:space="preserve">Tips</t>
  </si>
  <si>
    <t xml:space="preserve">*</t>
  </si>
  <si>
    <t xml:space="preserve">Every energisation — no matter how small — requires a written Energisation Permit signed by the Appointed Person. A verbal instruction to energise is not safe and is not compliant with BS 7671 or the Electricity at Work Regulations 1989.</t>
  </si>
  <si>
    <t xml:space="preserve">For HV systems (11kV and above), the energisation permit must be issued by a qualified HV Authorised Person (AP) with written authority from the Asset Owner. Record the AP's name and their authorisation reference.</t>
  </si>
  <si>
    <t xml:space="preserve">Review this register at the start of every commissioning shift. Any panel showing 'Energised — Commissioning' has live conductors — ensure all personnel working nearby have been briefed and appropriate barriers are in place.</t>
  </si>
  <si>
    <t xml:space="preserve">Project / Site:</t>
  </si>
  <si>
    <t xml:space="preserve">[Enter Project / Site Name]</t>
  </si>
  <si>
    <t xml:space="preserve">Contract No:</t>
  </si>
  <si>
    <t xml:space="preserve">[Contract No]</t>
  </si>
  <si>
    <t xml:space="preserve">▸ Optional Fields — Click [+] to expand</t>
  </si>
  <si>
    <t xml:space="preserve">ENE Ref</t>
  </si>
  <si>
    <t xml:space="preserve">Energisation Date</t>
  </si>
  <si>
    <t xml:space="preserve">Panel / Equipment ID</t>
  </si>
  <si>
    <t xml:space="preserve">Panel Description</t>
  </si>
  <si>
    <t xml:space="preserve">Voltage Level</t>
  </si>
  <si>
    <t xml:space="preserve">Energisation Permit Ref</t>
  </si>
  <si>
    <t xml:space="preserve">Appointed Person (AP)</t>
  </si>
  <si>
    <t xml:space="preserve">Status</t>
  </si>
  <si>
    <t xml:space="preserve">Current Isolation Ref</t>
  </si>
  <si>
    <t xml:space="preserve">Notes</t>
  </si>
  <si>
    <t xml:space="preserve">Interlocking Scheme Ref</t>
  </si>
  <si>
    <t xml:space="preserve">EICR Ref</t>
  </si>
  <si>
    <t xml:space="preserve">Test Cert Ref</t>
  </si>
  <si>
    <t xml:space="preserve">File Path / Link</t>
  </si>
  <si>
    <t xml:space="preserve">MCC-01</t>
  </si>
  <si>
    <t xml:space="preserve">Motor Control Centre 01 — Inlet Works</t>
  </si>
  <si>
    <t xml:space="preserve">LV 415V</t>
  </si>
  <si>
    <t xml:space="preserve">EP-2025-001</t>
  </si>
  <si>
    <t xml:space="preserve">G. Thompson (AP HV)</t>
  </si>
  <si>
    <t xml:space="preserve">Energised — Commissioning</t>
  </si>
  <si>
    <t xml:space="preserve">HV earthing removed 05/03. EICR completed. Commissioning underway.</t>
  </si>
  <si>
    <t xml:space="preserve">INT-MCC01-001</t>
  </si>
  <si>
    <t xml:space="preserve">EICR-MCC01-2025</t>
  </si>
  <si>
    <t xml:space="preserve">TC-MCC01-001</t>
  </si>
  <si>
    <t xml:space="preserve">MCC-02</t>
  </si>
  <si>
    <t xml:space="preserve">Motor Control Centre 02 — Aeration Building</t>
  </si>
  <si>
    <t xml:space="preserve">EP-2025-002</t>
  </si>
  <si>
    <t xml:space="preserve">Energised with MCC-01. Commissioning team on site.</t>
  </si>
  <si>
    <t xml:space="preserve">INT-MCC02-001</t>
  </si>
  <si>
    <t xml:space="preserve">EICR-MCC02-2025</t>
  </si>
  <si>
    <t xml:space="preserve">TC-MCC02-001</t>
  </si>
  <si>
    <t xml:space="preserve">DB-MCC-01</t>
  </si>
  <si>
    <t xml:space="preserve">Distribution Board — MCC Room General Services</t>
  </si>
  <si>
    <t xml:space="preserve">LV 230V</t>
  </si>
  <si>
    <t xml:space="preserve">EP-2025-003</t>
  </si>
  <si>
    <t xml:space="preserve">C. Roberts (AP LV)</t>
  </si>
  <si>
    <t xml:space="preserve">Energised — Live Service</t>
  </si>
  <si>
    <t xml:space="preserve">General services live — lighting, sockets, building services.</t>
  </si>
  <si>
    <t xml:space="preserve">EICR-DB01-2025</t>
  </si>
  <si>
    <t xml:space="preserve">MCC-03</t>
  </si>
  <si>
    <t xml:space="preserve">Motor Control Centre 03 — Final Settlement</t>
  </si>
  <si>
    <t xml:space="preserve">Pending</t>
  </si>
  <si>
    <t xml:space="preserve">Pre-energisation checks not yet complete. Electrical installation ongoing.</t>
  </si>
  <si>
    <t xml:space="preserve">HV-SW-01</t>
  </si>
  <si>
    <t xml:space="preserve">11kV Switchboard — Site Incoming Supply</t>
  </si>
  <si>
    <t xml:space="preserve">11kV</t>
  </si>
  <si>
    <t xml:space="preserve">EP-HV-2025-001</t>
  </si>
  <si>
    <t xml:space="preserve">DNO energisation. G. Thompson AP authority ref GTE-AUTH-2025-001.</t>
  </si>
  <si>
    <t xml:space="preserve">INT-HVSW-001</t>
  </si>
  <si>
    <t xml:space="preserve">TC-HVSW-001</t>
  </si>
  <si>
    <t xml:space="preserve">TOTAL PANELS</t>
  </si>
  <si>
    <t xml:space="preserve">LIVE SERVICE</t>
  </si>
  <si>
    <t xml:space="preserve">COMMISSIONING</t>
  </si>
  <si>
    <t xml:space="preserve">ISOLATED</t>
  </si>
  <si>
    <t xml:space="preserve">PENDING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</si>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</sst>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DDEEFF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DDEEFF"/>
        <bgColor rgb="FFE8F6F7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2AABB3"/>
          <bgColor rgb="FF000000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7D6608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375623"/>
      </font>
      <fill>
        <patternFill>
          <bgColor rgb="FFC6EFCE"/>
        </patternFill>
      </fill>
    </dxf>
    <dxf>
      <font>
        <name val="Calibri"/>
        <charset val="1"/>
        <family val="0"/>
        <color rgb="FF595959"/>
      </font>
      <fill>
        <patternFill>
          <bgColor rgb="FFD9D9D9"/>
        </patternFill>
      </fill>
    </dxf>
    <dxf>
      <font>
        <name val="Calibri"/>
        <charset val="1"/>
        <family val="0"/>
        <color rgb="FF1B2A4A"/>
      </font>
      <fill>
        <patternFill>
          <bgColor rgb="FFDDEEFF"/>
        </patternFill>
      </fill>
    </dxf>
    <dxf>
      <font>
        <name val="Calibri"/>
        <charset val="1"/>
        <family val="0"/>
        <color rgb="FF375623"/>
      </font>
      <fill>
        <patternFill>
          <bgColor rgb="FFC6EFCE"/>
        </patternFill>
      </fill>
    </dxf>
    <dxf>
      <font>
        <name val="Calibri"/>
        <charset val="1"/>
        <family val="0"/>
        <i val="1"/>
        <color rgb="FF8C8C8C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6F7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595959"/>
      <rgbColor rgb="FF8C8C8C"/>
      <rgbColor rgb="FF003366"/>
      <rgbColor rgb="FF339966"/>
      <rgbColor rgb="FF003300"/>
      <rgbColor rgb="FF375623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6.7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9.75" hidden="false" customHeight="tru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7.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48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9.75" hidden="false" customHeight="tru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21.7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9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9.75" hidden="false" customHeight="tru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7" t="s">
        <v>4</v>
      </c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9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8" hidden="false" customHeight="true" outlineLevel="0" collapsed="false">
      <c r="A19" s="8" t="s">
        <v>5</v>
      </c>
      <c r="B19" s="8"/>
      <c r="C19" s="8"/>
      <c r="D19" s="8"/>
      <c r="E19" s="8"/>
      <c r="F19" s="8"/>
      <c r="G19" s="8"/>
      <c r="H19" s="8"/>
    </row>
  </sheetData>
  <mergeCells count="11">
    <mergeCell ref="A1:H3"/>
    <mergeCell ref="A4:H4"/>
    <mergeCell ref="A5:H5"/>
    <mergeCell ref="A6:H8"/>
    <mergeCell ref="A9:H9"/>
    <mergeCell ref="A10:H11"/>
    <mergeCell ref="A12:H12"/>
    <mergeCell ref="A13:H13"/>
    <mergeCell ref="A14:H17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5"/>
    <col collapsed="false" customWidth="true" hidden="false" outlineLevel="0" max="7" min="3" style="0" width="8"/>
  </cols>
  <sheetData>
    <row r="1" customFormat="false" ht="30" hidden="false" customHeight="true" outlineLevel="0" collapsed="false">
      <c r="A1" s="9" t="s">
        <v>6</v>
      </c>
      <c r="B1" s="9"/>
      <c r="C1" s="9"/>
      <c r="D1" s="9"/>
      <c r="E1" s="9"/>
      <c r="F1" s="9"/>
    </row>
    <row r="3" customFormat="false" ht="21.75" hidden="false" customHeight="true" outlineLevel="0" collapsed="false">
      <c r="A3" s="10" t="s">
        <v>7</v>
      </c>
      <c r="B3" s="10"/>
      <c r="C3" s="10"/>
      <c r="D3" s="10"/>
      <c r="E3" s="10"/>
      <c r="F3" s="10"/>
    </row>
    <row r="4" customFormat="false" ht="37.5" hidden="false" customHeight="true" outlineLevel="0" collapsed="false">
      <c r="A4" s="11" t="s">
        <v>8</v>
      </c>
      <c r="B4" s="12" t="s">
        <v>9</v>
      </c>
      <c r="C4" s="12"/>
      <c r="D4" s="12"/>
      <c r="E4" s="12"/>
      <c r="F4" s="12"/>
    </row>
    <row r="5" customFormat="false" ht="37.5" hidden="false" customHeight="true" outlineLevel="0" collapsed="false">
      <c r="A5" s="11" t="s">
        <v>10</v>
      </c>
      <c r="B5" s="12" t="s">
        <v>11</v>
      </c>
      <c r="C5" s="12"/>
      <c r="D5" s="12"/>
      <c r="E5" s="12"/>
      <c r="F5" s="12"/>
    </row>
    <row r="6" customFormat="false" ht="37.5" hidden="false" customHeight="true" outlineLevel="0" collapsed="false">
      <c r="A6" s="11" t="s">
        <v>12</v>
      </c>
      <c r="B6" s="12" t="s">
        <v>13</v>
      </c>
      <c r="C6" s="12"/>
      <c r="D6" s="12"/>
      <c r="E6" s="12"/>
      <c r="F6" s="12"/>
    </row>
    <row r="7" customFormat="false" ht="37.5" hidden="false" customHeight="true" outlineLevel="0" collapsed="false">
      <c r="A7" s="11" t="s">
        <v>14</v>
      </c>
      <c r="B7" s="12" t="s">
        <v>15</v>
      </c>
      <c r="C7" s="12"/>
      <c r="D7" s="12"/>
      <c r="E7" s="12"/>
      <c r="F7" s="12"/>
    </row>
    <row r="8" customFormat="false" ht="37.5" hidden="false" customHeight="true" outlineLevel="0" collapsed="false">
      <c r="A8" s="11" t="s">
        <v>16</v>
      </c>
      <c r="B8" s="12" t="s">
        <v>17</v>
      </c>
      <c r="C8" s="12"/>
      <c r="D8" s="12"/>
      <c r="E8" s="12"/>
      <c r="F8" s="12"/>
    </row>
    <row r="9" customFormat="false" ht="37.5" hidden="false" customHeight="true" outlineLevel="0" collapsed="false">
      <c r="A9" s="11" t="s">
        <v>18</v>
      </c>
      <c r="B9" s="12" t="s">
        <v>19</v>
      </c>
      <c r="C9" s="12"/>
      <c r="D9" s="12"/>
      <c r="E9" s="12"/>
      <c r="F9" s="12"/>
    </row>
    <row r="10" customFormat="false" ht="37.5" hidden="false" customHeight="true" outlineLevel="0" collapsed="false">
      <c r="A10" s="11" t="s">
        <v>20</v>
      </c>
      <c r="B10" s="12" t="s">
        <v>21</v>
      </c>
      <c r="C10" s="12"/>
      <c r="D10" s="12"/>
      <c r="E10" s="12"/>
      <c r="F10" s="12"/>
    </row>
    <row r="11" customFormat="false" ht="37.5" hidden="false" customHeight="true" outlineLevel="0" collapsed="false">
      <c r="A11" s="11" t="s">
        <v>22</v>
      </c>
      <c r="B11" s="12" t="s">
        <v>23</v>
      </c>
      <c r="C11" s="12"/>
      <c r="D11" s="12"/>
      <c r="E11" s="12"/>
      <c r="F11" s="12"/>
    </row>
    <row r="12" customFormat="false" ht="37.5" hidden="false" customHeight="true" outlineLevel="0" collapsed="false">
      <c r="A12" s="11" t="s">
        <v>24</v>
      </c>
      <c r="B12" s="12" t="s">
        <v>25</v>
      </c>
      <c r="C12" s="12"/>
      <c r="D12" s="12"/>
      <c r="E12" s="12"/>
      <c r="F12" s="12"/>
    </row>
    <row r="13" customFormat="false" ht="37.5" hidden="false" customHeight="true" outlineLevel="0" collapsed="false">
      <c r="A13" s="11" t="s">
        <v>26</v>
      </c>
      <c r="B13" s="12" t="s">
        <v>27</v>
      </c>
      <c r="C13" s="12"/>
      <c r="D13" s="12"/>
      <c r="E13" s="12"/>
      <c r="F13" s="12"/>
    </row>
    <row r="15" customFormat="false" ht="21.75" hidden="false" customHeight="true" outlineLevel="0" collapsed="false">
      <c r="A15" s="10" t="s">
        <v>28</v>
      </c>
      <c r="B15" s="10"/>
      <c r="C15" s="10"/>
      <c r="D15" s="10"/>
      <c r="E15" s="10"/>
      <c r="F15" s="10"/>
    </row>
    <row r="16" customFormat="false" ht="24.75" hidden="false" customHeight="true" outlineLevel="0" collapsed="false">
      <c r="A16" s="13" t="s">
        <v>29</v>
      </c>
      <c r="B16" s="12" t="s">
        <v>30</v>
      </c>
      <c r="C16" s="12"/>
      <c r="D16" s="12"/>
      <c r="E16" s="12"/>
      <c r="F16" s="12"/>
    </row>
    <row r="17" customFormat="false" ht="24.75" hidden="false" customHeight="true" outlineLevel="0" collapsed="false">
      <c r="A17" s="14" t="s">
        <v>29</v>
      </c>
      <c r="B17" s="12" t="s">
        <v>31</v>
      </c>
      <c r="C17" s="12"/>
      <c r="D17" s="12"/>
      <c r="E17" s="12"/>
      <c r="F17" s="12"/>
    </row>
    <row r="18" customFormat="false" ht="24.75" hidden="false" customHeight="true" outlineLevel="0" collapsed="false">
      <c r="A18" s="15" t="s">
        <v>29</v>
      </c>
      <c r="B18" s="12" t="s">
        <v>32</v>
      </c>
      <c r="C18" s="12"/>
      <c r="D18" s="12"/>
      <c r="E18" s="12"/>
      <c r="F18" s="12"/>
    </row>
    <row r="19" customFormat="false" ht="24.75" hidden="false" customHeight="true" outlineLevel="0" collapsed="false">
      <c r="A19" s="16" t="s">
        <v>29</v>
      </c>
      <c r="B19" s="12" t="s">
        <v>33</v>
      </c>
      <c r="C19" s="12"/>
      <c r="D19" s="12"/>
      <c r="E19" s="12"/>
      <c r="F19" s="12"/>
    </row>
    <row r="20" customFormat="false" ht="24.75" hidden="false" customHeight="true" outlineLevel="0" collapsed="false">
      <c r="A20" s="17" t="s">
        <v>29</v>
      </c>
      <c r="B20" s="12" t="s">
        <v>34</v>
      </c>
      <c r="C20" s="12"/>
      <c r="D20" s="12"/>
      <c r="E20" s="12"/>
      <c r="F20" s="12"/>
    </row>
    <row r="21" customFormat="false" ht="24.75" hidden="false" customHeight="true" outlineLevel="0" collapsed="false">
      <c r="A21" s="18" t="s">
        <v>29</v>
      </c>
      <c r="B21" s="12" t="s">
        <v>35</v>
      </c>
      <c r="C21" s="12"/>
      <c r="D21" s="12"/>
      <c r="E21" s="12"/>
      <c r="F21" s="12"/>
    </row>
    <row r="23" customFormat="false" ht="21.75" hidden="false" customHeight="true" outlineLevel="0" collapsed="false">
      <c r="A23" s="10" t="s">
        <v>36</v>
      </c>
      <c r="B23" s="10"/>
      <c r="C23" s="10"/>
      <c r="D23" s="10"/>
      <c r="E23" s="10"/>
      <c r="F23" s="10"/>
    </row>
    <row r="24" customFormat="false" ht="37.5" hidden="false" customHeight="true" outlineLevel="0" collapsed="false">
      <c r="A24" s="19" t="s">
        <v>37</v>
      </c>
      <c r="B24" s="12" t="s">
        <v>38</v>
      </c>
      <c r="C24" s="12"/>
      <c r="D24" s="12"/>
      <c r="E24" s="12"/>
      <c r="F24" s="12"/>
    </row>
    <row r="25" customFormat="false" ht="37.5" hidden="false" customHeight="true" outlineLevel="0" collapsed="false">
      <c r="A25" s="19" t="s">
        <v>37</v>
      </c>
      <c r="B25" s="12" t="s">
        <v>39</v>
      </c>
      <c r="C25" s="12"/>
      <c r="D25" s="12"/>
      <c r="E25" s="12"/>
      <c r="F25" s="12"/>
    </row>
    <row r="26" customFormat="false" ht="37.5" hidden="false" customHeight="true" outlineLevel="0" collapsed="false">
      <c r="A26" s="19" t="s">
        <v>37</v>
      </c>
      <c r="B26" s="12" t="s">
        <v>40</v>
      </c>
      <c r="C26" s="12"/>
      <c r="D26" s="12"/>
      <c r="E26" s="12"/>
      <c r="F26" s="12"/>
    </row>
  </sheetData>
  <mergeCells count="23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  <mergeCell ref="B20:F20"/>
    <mergeCell ref="B21:F21"/>
    <mergeCell ref="A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7" min="6" style="0" width="20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32"/>
    <col collapsed="false" customWidth="true" hidden="true" outlineLevel="1" max="14" min="11" style="0" width="20"/>
  </cols>
  <sheetData>
    <row r="1" customFormat="false" ht="21.75" hidden="false" customHeight="true" outlineLevel="0" collapsed="false">
      <c r="A1" s="20" t="s">
        <v>41</v>
      </c>
      <c r="B1" s="20"/>
      <c r="C1" s="21" t="s">
        <v>42</v>
      </c>
      <c r="D1" s="21"/>
      <c r="E1" s="21"/>
      <c r="F1" s="21"/>
      <c r="G1" s="20" t="s">
        <v>43</v>
      </c>
      <c r="H1" s="20"/>
      <c r="I1" s="21" t="s">
        <v>44</v>
      </c>
      <c r="J1" s="21"/>
      <c r="K1" s="22" t="s">
        <v>45</v>
      </c>
      <c r="L1" s="22"/>
      <c r="M1" s="22"/>
      <c r="N1" s="22"/>
    </row>
    <row r="2" customFormat="false" ht="31.5" hidden="false" customHeight="true" outlineLevel="0" collapsed="false">
      <c r="A2" s="23" t="s">
        <v>46</v>
      </c>
      <c r="B2" s="23" t="s">
        <v>47</v>
      </c>
      <c r="C2" s="23" t="s">
        <v>48</v>
      </c>
      <c r="D2" s="23" t="s">
        <v>49</v>
      </c>
      <c r="E2" s="23" t="s">
        <v>50</v>
      </c>
      <c r="F2" s="23" t="s">
        <v>51</v>
      </c>
      <c r="G2" s="23" t="s">
        <v>52</v>
      </c>
      <c r="H2" s="23" t="s">
        <v>53</v>
      </c>
      <c r="I2" s="23" t="s">
        <v>54</v>
      </c>
      <c r="J2" s="23" t="s">
        <v>55</v>
      </c>
      <c r="K2" s="23" t="s">
        <v>56</v>
      </c>
      <c r="L2" s="23" t="s">
        <v>57</v>
      </c>
      <c r="M2" s="23" t="s">
        <v>58</v>
      </c>
      <c r="N2" s="23" t="s">
        <v>59</v>
      </c>
    </row>
    <row r="3" customFormat="false" ht="27.75" hidden="false" customHeight="true" outlineLevel="0" collapsed="false">
      <c r="A3" s="24" t="str">
        <f aca="false">IF(C3&lt;&gt;"","ENE-"&amp;TEXT(ROW()-2,"000"),"")</f>
        <v>ENE-001</v>
      </c>
      <c r="B3" s="25" t="n">
        <v>45721</v>
      </c>
      <c r="C3" s="26" t="s">
        <v>60</v>
      </c>
      <c r="D3" s="26" t="s">
        <v>61</v>
      </c>
      <c r="E3" s="27" t="s">
        <v>62</v>
      </c>
      <c r="F3" s="26" t="s">
        <v>63</v>
      </c>
      <c r="G3" s="26" t="s">
        <v>64</v>
      </c>
      <c r="H3" s="27" t="s">
        <v>65</v>
      </c>
      <c r="I3" s="26"/>
      <c r="J3" s="26" t="s">
        <v>66</v>
      </c>
      <c r="K3" s="28" t="s">
        <v>67</v>
      </c>
      <c r="L3" s="28" t="s">
        <v>68</v>
      </c>
      <c r="M3" s="28" t="s">
        <v>69</v>
      </c>
      <c r="N3" s="28"/>
    </row>
    <row r="4" customFormat="false" ht="27.75" hidden="false" customHeight="true" outlineLevel="0" collapsed="false">
      <c r="A4" s="24" t="str">
        <f aca="false">IF(C4&lt;&gt;"","ENE-"&amp;TEXT(ROW()-2,"000"),"")</f>
        <v>ENE-002</v>
      </c>
      <c r="B4" s="25" t="n">
        <v>45721</v>
      </c>
      <c r="C4" s="26" t="s">
        <v>70</v>
      </c>
      <c r="D4" s="26" t="s">
        <v>71</v>
      </c>
      <c r="E4" s="27" t="s">
        <v>62</v>
      </c>
      <c r="F4" s="26" t="s">
        <v>72</v>
      </c>
      <c r="G4" s="26" t="s">
        <v>64</v>
      </c>
      <c r="H4" s="27" t="s">
        <v>65</v>
      </c>
      <c r="I4" s="26"/>
      <c r="J4" s="26" t="s">
        <v>73</v>
      </c>
      <c r="K4" s="28" t="s">
        <v>74</v>
      </c>
      <c r="L4" s="28" t="s">
        <v>75</v>
      </c>
      <c r="M4" s="28" t="s">
        <v>76</v>
      </c>
      <c r="N4" s="28"/>
    </row>
    <row r="5" customFormat="false" ht="27.75" hidden="false" customHeight="true" outlineLevel="0" collapsed="false">
      <c r="A5" s="24" t="str">
        <f aca="false">IF(C5&lt;&gt;"","ENE-"&amp;TEXT(ROW()-2,"000"),"")</f>
        <v>ENE-003</v>
      </c>
      <c r="B5" s="25" t="n">
        <v>45728</v>
      </c>
      <c r="C5" s="26" t="s">
        <v>77</v>
      </c>
      <c r="D5" s="26" t="s">
        <v>78</v>
      </c>
      <c r="E5" s="27" t="s">
        <v>79</v>
      </c>
      <c r="F5" s="26" t="s">
        <v>80</v>
      </c>
      <c r="G5" s="26" t="s">
        <v>81</v>
      </c>
      <c r="H5" s="27" t="s">
        <v>82</v>
      </c>
      <c r="I5" s="26"/>
      <c r="J5" s="26" t="s">
        <v>83</v>
      </c>
      <c r="K5" s="28"/>
      <c r="L5" s="28" t="s">
        <v>84</v>
      </c>
      <c r="M5" s="28"/>
      <c r="N5" s="28"/>
    </row>
    <row r="6" customFormat="false" ht="27.75" hidden="false" customHeight="true" outlineLevel="0" collapsed="false">
      <c r="A6" s="24" t="str">
        <f aca="false">IF(C6&lt;&gt;"","ENE-"&amp;TEXT(ROW()-2,"000"),"")</f>
        <v>ENE-004</v>
      </c>
      <c r="B6" s="26"/>
      <c r="C6" s="26" t="s">
        <v>85</v>
      </c>
      <c r="D6" s="26" t="s">
        <v>86</v>
      </c>
      <c r="E6" s="27" t="s">
        <v>62</v>
      </c>
      <c r="F6" s="26"/>
      <c r="G6" s="26"/>
      <c r="H6" s="27" t="s">
        <v>87</v>
      </c>
      <c r="I6" s="26"/>
      <c r="J6" s="26" t="s">
        <v>88</v>
      </c>
      <c r="K6" s="28"/>
      <c r="L6" s="28"/>
      <c r="M6" s="28"/>
      <c r="N6" s="28"/>
    </row>
    <row r="7" customFormat="false" ht="27.75" hidden="false" customHeight="true" outlineLevel="0" collapsed="false">
      <c r="A7" s="24" t="str">
        <f aca="false">IF(C7&lt;&gt;"","ENE-"&amp;TEXT(ROW()-2,"000"),"")</f>
        <v>ENE-005</v>
      </c>
      <c r="B7" s="25" t="n">
        <v>45685</v>
      </c>
      <c r="C7" s="26" t="s">
        <v>89</v>
      </c>
      <c r="D7" s="26" t="s">
        <v>90</v>
      </c>
      <c r="E7" s="27" t="s">
        <v>91</v>
      </c>
      <c r="F7" s="26" t="s">
        <v>92</v>
      </c>
      <c r="G7" s="26" t="s">
        <v>64</v>
      </c>
      <c r="H7" s="27" t="s">
        <v>82</v>
      </c>
      <c r="I7" s="26"/>
      <c r="J7" s="26" t="s">
        <v>93</v>
      </c>
      <c r="K7" s="28" t="s">
        <v>94</v>
      </c>
      <c r="L7" s="28"/>
      <c r="M7" s="28" t="s">
        <v>95</v>
      </c>
      <c r="N7" s="28"/>
    </row>
    <row r="8" customFormat="false" ht="19.5" hidden="false" customHeight="true" outlineLevel="0" collapsed="false">
      <c r="A8" s="24" t="str">
        <f aca="false">IF(C8&lt;&gt;"","ENE-"&amp;TEXT(ROW()-2,"000"),"")</f>
        <v/>
      </c>
      <c r="B8" s="25"/>
      <c r="C8" s="26"/>
      <c r="D8" s="26"/>
      <c r="E8" s="27"/>
      <c r="F8" s="26"/>
      <c r="G8" s="26"/>
      <c r="H8" s="27"/>
      <c r="I8" s="26"/>
      <c r="J8" s="26"/>
    </row>
    <row r="9" customFormat="false" ht="19.5" hidden="false" customHeight="true" outlineLevel="0" collapsed="false">
      <c r="A9" s="24" t="str">
        <f aca="false">IF(C9&lt;&gt;"","ENE-"&amp;TEXT(ROW()-2,"000"),"")</f>
        <v/>
      </c>
      <c r="B9" s="25"/>
      <c r="C9" s="26"/>
      <c r="D9" s="26"/>
      <c r="E9" s="27"/>
      <c r="F9" s="26"/>
      <c r="G9" s="26"/>
      <c r="H9" s="27"/>
      <c r="I9" s="26"/>
      <c r="J9" s="26"/>
    </row>
    <row r="10" customFormat="false" ht="19.5" hidden="false" customHeight="true" outlineLevel="0" collapsed="false">
      <c r="A10" s="24" t="str">
        <f aca="false">IF(C10&lt;&gt;"","ENE-"&amp;TEXT(ROW()-2,"000"),"")</f>
        <v/>
      </c>
      <c r="B10" s="25"/>
      <c r="C10" s="26"/>
      <c r="D10" s="26"/>
      <c r="E10" s="27"/>
      <c r="F10" s="26"/>
      <c r="G10" s="26"/>
      <c r="H10" s="27"/>
      <c r="I10" s="26"/>
      <c r="J10" s="26"/>
    </row>
    <row r="11" customFormat="false" ht="19.5" hidden="false" customHeight="true" outlineLevel="0" collapsed="false">
      <c r="A11" s="24" t="str">
        <f aca="false">IF(C11&lt;&gt;"","ENE-"&amp;TEXT(ROW()-2,"000"),"")</f>
        <v/>
      </c>
      <c r="B11" s="25"/>
      <c r="C11" s="26"/>
      <c r="D11" s="26"/>
      <c r="E11" s="27"/>
      <c r="F11" s="26"/>
      <c r="G11" s="26"/>
      <c r="H11" s="27"/>
      <c r="I11" s="26"/>
      <c r="J11" s="26"/>
    </row>
    <row r="12" customFormat="false" ht="19.5" hidden="false" customHeight="true" outlineLevel="0" collapsed="false">
      <c r="A12" s="24" t="str">
        <f aca="false">IF(C12&lt;&gt;"","ENE-"&amp;TEXT(ROW()-2,"000"),"")</f>
        <v/>
      </c>
      <c r="B12" s="25"/>
      <c r="C12" s="26"/>
      <c r="D12" s="26"/>
      <c r="E12" s="27"/>
      <c r="F12" s="26"/>
      <c r="G12" s="26"/>
      <c r="H12" s="27"/>
      <c r="I12" s="26"/>
      <c r="J12" s="26"/>
    </row>
    <row r="13" customFormat="false" ht="19.5" hidden="false" customHeight="true" outlineLevel="0" collapsed="false">
      <c r="A13" s="24" t="str">
        <f aca="false">IF(C13&lt;&gt;"","ENE-"&amp;TEXT(ROW()-2,"000"),"")</f>
        <v/>
      </c>
      <c r="B13" s="25"/>
      <c r="C13" s="26"/>
      <c r="D13" s="26"/>
      <c r="E13" s="27"/>
      <c r="F13" s="26"/>
      <c r="G13" s="26"/>
      <c r="H13" s="27"/>
      <c r="I13" s="26"/>
      <c r="J13" s="26"/>
    </row>
    <row r="14" customFormat="false" ht="19.5" hidden="false" customHeight="true" outlineLevel="0" collapsed="false">
      <c r="A14" s="24" t="str">
        <f aca="false">IF(C14&lt;&gt;"","ENE-"&amp;TEXT(ROW()-2,"000"),"")</f>
        <v/>
      </c>
      <c r="B14" s="25"/>
      <c r="C14" s="26"/>
      <c r="D14" s="26"/>
      <c r="E14" s="27"/>
      <c r="F14" s="26"/>
      <c r="G14" s="26"/>
      <c r="H14" s="27"/>
      <c r="I14" s="26"/>
      <c r="J14" s="26"/>
    </row>
    <row r="15" customFormat="false" ht="19.5" hidden="false" customHeight="true" outlineLevel="0" collapsed="false">
      <c r="A15" s="24" t="str">
        <f aca="false">IF(C15&lt;&gt;"","ENE-"&amp;TEXT(ROW()-2,"000"),"")</f>
        <v/>
      </c>
      <c r="B15" s="25"/>
      <c r="C15" s="26"/>
      <c r="D15" s="26"/>
      <c r="E15" s="27"/>
      <c r="F15" s="26"/>
      <c r="G15" s="26"/>
      <c r="H15" s="27"/>
      <c r="I15" s="26"/>
      <c r="J15" s="26"/>
    </row>
    <row r="16" customFormat="false" ht="19.5" hidden="false" customHeight="true" outlineLevel="0" collapsed="false">
      <c r="A16" s="24" t="str">
        <f aca="false">IF(C16&lt;&gt;"","ENE-"&amp;TEXT(ROW()-2,"000"),"")</f>
        <v/>
      </c>
      <c r="B16" s="25"/>
      <c r="C16" s="26"/>
      <c r="D16" s="26"/>
      <c r="E16" s="27"/>
      <c r="F16" s="26"/>
      <c r="G16" s="26"/>
      <c r="H16" s="27"/>
      <c r="I16" s="26"/>
      <c r="J16" s="26"/>
    </row>
    <row r="17" customFormat="false" ht="19.5" hidden="false" customHeight="true" outlineLevel="0" collapsed="false">
      <c r="A17" s="24" t="str">
        <f aca="false">IF(C17&lt;&gt;"","ENE-"&amp;TEXT(ROW()-2,"000"),"")</f>
        <v/>
      </c>
      <c r="B17" s="25"/>
      <c r="C17" s="26"/>
      <c r="D17" s="26"/>
      <c r="E17" s="27"/>
      <c r="F17" s="26"/>
      <c r="G17" s="26"/>
      <c r="H17" s="27"/>
      <c r="I17" s="26"/>
      <c r="J17" s="26"/>
    </row>
    <row r="18" customFormat="false" ht="19.5" hidden="false" customHeight="true" outlineLevel="0" collapsed="false">
      <c r="A18" s="24" t="str">
        <f aca="false">IF(C18&lt;&gt;"","ENE-"&amp;TEXT(ROW()-2,"000"),"")</f>
        <v/>
      </c>
      <c r="B18" s="25"/>
      <c r="C18" s="26"/>
      <c r="D18" s="26"/>
      <c r="E18" s="27"/>
      <c r="F18" s="26"/>
      <c r="G18" s="26"/>
      <c r="H18" s="27"/>
      <c r="I18" s="26"/>
      <c r="J18" s="26"/>
    </row>
    <row r="19" customFormat="false" ht="19.5" hidden="false" customHeight="true" outlineLevel="0" collapsed="false">
      <c r="A19" s="24" t="str">
        <f aca="false">IF(C19&lt;&gt;"","ENE-"&amp;TEXT(ROW()-2,"000"),"")</f>
        <v/>
      </c>
      <c r="B19" s="25"/>
      <c r="C19" s="26"/>
      <c r="D19" s="26"/>
      <c r="E19" s="27"/>
      <c r="F19" s="26"/>
      <c r="G19" s="26"/>
      <c r="H19" s="27"/>
      <c r="I19" s="26"/>
      <c r="J19" s="26"/>
    </row>
    <row r="20" customFormat="false" ht="19.5" hidden="false" customHeight="true" outlineLevel="0" collapsed="false">
      <c r="A20" s="24" t="str">
        <f aca="false">IF(C20&lt;&gt;"","ENE-"&amp;TEXT(ROW()-2,"000"),"")</f>
        <v/>
      </c>
      <c r="B20" s="25"/>
      <c r="C20" s="26"/>
      <c r="D20" s="26"/>
      <c r="E20" s="27"/>
      <c r="F20" s="26"/>
      <c r="G20" s="26"/>
      <c r="H20" s="27"/>
      <c r="I20" s="26"/>
      <c r="J20" s="26"/>
    </row>
    <row r="21" customFormat="false" ht="19.5" hidden="false" customHeight="true" outlineLevel="0" collapsed="false">
      <c r="A21" s="24" t="str">
        <f aca="false">IF(C21&lt;&gt;"","ENE-"&amp;TEXT(ROW()-2,"000"),"")</f>
        <v/>
      </c>
      <c r="B21" s="25"/>
      <c r="C21" s="26"/>
      <c r="D21" s="26"/>
      <c r="E21" s="27"/>
      <c r="F21" s="26"/>
      <c r="G21" s="26"/>
      <c r="H21" s="27"/>
      <c r="I21" s="26"/>
      <c r="J21" s="26"/>
    </row>
    <row r="22" customFormat="false" ht="19.5" hidden="false" customHeight="true" outlineLevel="0" collapsed="false">
      <c r="A22" s="24" t="str">
        <f aca="false">IF(C22&lt;&gt;"","ENE-"&amp;TEXT(ROW()-2,"000"),"")</f>
        <v/>
      </c>
      <c r="B22" s="25"/>
      <c r="C22" s="26"/>
      <c r="D22" s="26"/>
      <c r="E22" s="27"/>
      <c r="F22" s="26"/>
      <c r="G22" s="26"/>
      <c r="H22" s="27"/>
      <c r="I22" s="26"/>
      <c r="J22" s="26"/>
    </row>
    <row r="23" customFormat="false" ht="19.5" hidden="false" customHeight="true" outlineLevel="0" collapsed="false">
      <c r="A23" s="24" t="str">
        <f aca="false">IF(C23&lt;&gt;"","ENE-"&amp;TEXT(ROW()-2,"000"),"")</f>
        <v/>
      </c>
      <c r="B23" s="25"/>
      <c r="C23" s="26"/>
      <c r="D23" s="26"/>
      <c r="E23" s="27"/>
      <c r="F23" s="26"/>
      <c r="G23" s="26"/>
      <c r="H23" s="27"/>
      <c r="I23" s="26"/>
      <c r="J23" s="26"/>
    </row>
    <row r="24" customFormat="false" ht="19.5" hidden="false" customHeight="true" outlineLevel="0" collapsed="false">
      <c r="A24" s="24" t="str">
        <f aca="false">IF(C24&lt;&gt;"","ENE-"&amp;TEXT(ROW()-2,"000"),"")</f>
        <v/>
      </c>
      <c r="B24" s="25"/>
      <c r="C24" s="26"/>
      <c r="D24" s="26"/>
      <c r="E24" s="27"/>
      <c r="F24" s="26"/>
      <c r="G24" s="26"/>
      <c r="H24" s="27"/>
      <c r="I24" s="26"/>
      <c r="J24" s="26"/>
    </row>
    <row r="25" customFormat="false" ht="19.5" hidden="false" customHeight="true" outlineLevel="0" collapsed="false">
      <c r="A25" s="24" t="str">
        <f aca="false">IF(C25&lt;&gt;"","ENE-"&amp;TEXT(ROW()-2,"000"),"")</f>
        <v/>
      </c>
      <c r="B25" s="25"/>
      <c r="C25" s="26"/>
      <c r="D25" s="26"/>
      <c r="E25" s="27"/>
      <c r="F25" s="26"/>
      <c r="G25" s="26"/>
      <c r="H25" s="27"/>
      <c r="I25" s="26"/>
      <c r="J25" s="26"/>
    </row>
    <row r="26" customFormat="false" ht="19.5" hidden="false" customHeight="true" outlineLevel="0" collapsed="false">
      <c r="A26" s="24" t="str">
        <f aca="false">IF(C26&lt;&gt;"","ENE-"&amp;TEXT(ROW()-2,"000"),"")</f>
        <v/>
      </c>
      <c r="B26" s="25"/>
      <c r="C26" s="26"/>
      <c r="D26" s="26"/>
      <c r="E26" s="27"/>
      <c r="F26" s="26"/>
      <c r="G26" s="26"/>
      <c r="H26" s="27"/>
      <c r="I26" s="26"/>
      <c r="J26" s="26"/>
    </row>
    <row r="27" customFormat="false" ht="19.5" hidden="false" customHeight="true" outlineLevel="0" collapsed="false">
      <c r="A27" s="24" t="str">
        <f aca="false">IF(C27&lt;&gt;"","ENE-"&amp;TEXT(ROW()-2,"000"),"")</f>
        <v/>
      </c>
      <c r="B27" s="25"/>
      <c r="C27" s="26"/>
      <c r="D27" s="26"/>
      <c r="E27" s="27"/>
      <c r="F27" s="26"/>
      <c r="G27" s="26"/>
      <c r="H27" s="27"/>
      <c r="I27" s="26"/>
      <c r="J27" s="26"/>
    </row>
    <row r="28" customFormat="false" ht="19.5" hidden="false" customHeight="true" outlineLevel="0" collapsed="false">
      <c r="A28" s="24" t="str">
        <f aca="false">IF(C28&lt;&gt;"","ENE-"&amp;TEXT(ROW()-2,"000"),"")</f>
        <v/>
      </c>
      <c r="B28" s="25"/>
      <c r="C28" s="26"/>
      <c r="D28" s="26"/>
      <c r="E28" s="27"/>
      <c r="F28" s="26"/>
      <c r="G28" s="26"/>
      <c r="H28" s="27"/>
      <c r="I28" s="26"/>
      <c r="J28" s="26"/>
    </row>
    <row r="29" customFormat="false" ht="19.5" hidden="false" customHeight="true" outlineLevel="0" collapsed="false">
      <c r="A29" s="24" t="str">
        <f aca="false">IF(C29&lt;&gt;"","ENE-"&amp;TEXT(ROW()-2,"000"),"")</f>
        <v/>
      </c>
      <c r="B29" s="25"/>
      <c r="C29" s="26"/>
      <c r="D29" s="26"/>
      <c r="E29" s="27"/>
      <c r="F29" s="26"/>
      <c r="G29" s="26"/>
      <c r="H29" s="27"/>
      <c r="I29" s="26"/>
      <c r="J29" s="26"/>
    </row>
    <row r="30" customFormat="false" ht="19.5" hidden="false" customHeight="true" outlineLevel="0" collapsed="false">
      <c r="A30" s="24" t="str">
        <f aca="false">IF(C30&lt;&gt;"","ENE-"&amp;TEXT(ROW()-2,"000"),"")</f>
        <v/>
      </c>
      <c r="B30" s="25"/>
      <c r="C30" s="26"/>
      <c r="D30" s="26"/>
      <c r="E30" s="27"/>
      <c r="F30" s="26"/>
      <c r="G30" s="26"/>
      <c r="H30" s="27"/>
      <c r="I30" s="26"/>
      <c r="J30" s="26"/>
    </row>
    <row r="31" customFormat="false" ht="19.5" hidden="false" customHeight="true" outlineLevel="0" collapsed="false">
      <c r="A31" s="24" t="str">
        <f aca="false">IF(C31&lt;&gt;"","ENE-"&amp;TEXT(ROW()-2,"000"),"")</f>
        <v/>
      </c>
      <c r="B31" s="25"/>
      <c r="C31" s="26"/>
      <c r="D31" s="26"/>
      <c r="E31" s="27"/>
      <c r="F31" s="26"/>
      <c r="G31" s="26"/>
      <c r="H31" s="27"/>
      <c r="I31" s="26"/>
      <c r="J31" s="26"/>
    </row>
    <row r="32" customFormat="false" ht="19.5" hidden="false" customHeight="true" outlineLevel="0" collapsed="false">
      <c r="A32" s="24" t="str">
        <f aca="false">IF(C32&lt;&gt;"","ENE-"&amp;TEXT(ROW()-2,"000"),"")</f>
        <v/>
      </c>
      <c r="B32" s="25"/>
      <c r="C32" s="26"/>
      <c r="D32" s="26"/>
      <c r="E32" s="27"/>
      <c r="F32" s="26"/>
      <c r="G32" s="26"/>
      <c r="H32" s="27"/>
      <c r="I32" s="26"/>
      <c r="J32" s="26"/>
    </row>
    <row r="33" customFormat="false" ht="19.5" hidden="false" customHeight="true" outlineLevel="0" collapsed="false">
      <c r="A33" s="24" t="str">
        <f aca="false">IF(C33&lt;&gt;"","ENE-"&amp;TEXT(ROW()-2,"000"),"")</f>
        <v/>
      </c>
      <c r="B33" s="25"/>
      <c r="C33" s="26"/>
      <c r="D33" s="26"/>
      <c r="E33" s="27"/>
      <c r="F33" s="26"/>
      <c r="G33" s="26"/>
      <c r="H33" s="27"/>
      <c r="I33" s="26"/>
      <c r="J33" s="26"/>
    </row>
    <row r="34" customFormat="false" ht="19.5" hidden="false" customHeight="true" outlineLevel="0" collapsed="false">
      <c r="A34" s="24" t="str">
        <f aca="false">IF(C34&lt;&gt;"","ENE-"&amp;TEXT(ROW()-2,"000"),"")</f>
        <v/>
      </c>
      <c r="B34" s="25"/>
      <c r="C34" s="26"/>
      <c r="D34" s="26"/>
      <c r="E34" s="27"/>
      <c r="F34" s="26"/>
      <c r="G34" s="26"/>
      <c r="H34" s="27"/>
      <c r="I34" s="26"/>
      <c r="J34" s="26"/>
    </row>
    <row r="35" customFormat="false" ht="19.5" hidden="false" customHeight="true" outlineLevel="0" collapsed="false">
      <c r="A35" s="24" t="str">
        <f aca="false">IF(C35&lt;&gt;"","ENE-"&amp;TEXT(ROW()-2,"000"),"")</f>
        <v/>
      </c>
      <c r="B35" s="25"/>
      <c r="C35" s="26"/>
      <c r="D35" s="26"/>
      <c r="E35" s="27"/>
      <c r="F35" s="26"/>
      <c r="G35" s="26"/>
      <c r="H35" s="27"/>
      <c r="I35" s="26"/>
      <c r="J35" s="26"/>
    </row>
    <row r="36" customFormat="false" ht="19.5" hidden="false" customHeight="true" outlineLevel="0" collapsed="false">
      <c r="A36" s="24" t="str">
        <f aca="false">IF(C36&lt;&gt;"","ENE-"&amp;TEXT(ROW()-2,"000"),"")</f>
        <v/>
      </c>
      <c r="B36" s="25"/>
      <c r="C36" s="26"/>
      <c r="D36" s="26"/>
      <c r="E36" s="27"/>
      <c r="F36" s="26"/>
      <c r="G36" s="26"/>
      <c r="H36" s="27"/>
      <c r="I36" s="26"/>
      <c r="J36" s="26"/>
    </row>
    <row r="37" customFormat="false" ht="19.5" hidden="false" customHeight="true" outlineLevel="0" collapsed="false">
      <c r="A37" s="24" t="str">
        <f aca="false">IF(C37&lt;&gt;"","ENE-"&amp;TEXT(ROW()-2,"000"),"")</f>
        <v/>
      </c>
      <c r="B37" s="25"/>
      <c r="C37" s="26"/>
      <c r="D37" s="26"/>
      <c r="E37" s="27"/>
      <c r="F37" s="26"/>
      <c r="G37" s="26"/>
      <c r="H37" s="27"/>
      <c r="I37" s="26"/>
      <c r="J37" s="26"/>
    </row>
    <row r="38" customFormat="false" ht="19.5" hidden="false" customHeight="true" outlineLevel="0" collapsed="false">
      <c r="A38" s="24" t="str">
        <f aca="false">IF(C38&lt;&gt;"","ENE-"&amp;TEXT(ROW()-2,"000"),"")</f>
        <v/>
      </c>
      <c r="B38" s="25"/>
      <c r="C38" s="26"/>
      <c r="D38" s="26"/>
      <c r="E38" s="27"/>
      <c r="F38" s="26"/>
      <c r="G38" s="26"/>
      <c r="H38" s="27"/>
      <c r="I38" s="26"/>
      <c r="J38" s="26"/>
    </row>
    <row r="39" customFormat="false" ht="19.5" hidden="false" customHeight="true" outlineLevel="0" collapsed="false">
      <c r="A39" s="24" t="str">
        <f aca="false">IF(C39&lt;&gt;"","ENE-"&amp;TEXT(ROW()-2,"000"),"")</f>
        <v/>
      </c>
      <c r="B39" s="25"/>
      <c r="C39" s="26"/>
      <c r="D39" s="26"/>
      <c r="E39" s="27"/>
      <c r="F39" s="26"/>
      <c r="G39" s="26"/>
      <c r="H39" s="27"/>
      <c r="I39" s="26"/>
      <c r="J39" s="26"/>
    </row>
    <row r="40" customFormat="false" ht="19.5" hidden="false" customHeight="true" outlineLevel="0" collapsed="false">
      <c r="A40" s="24" t="str">
        <f aca="false">IF(C40&lt;&gt;"","ENE-"&amp;TEXT(ROW()-2,"000"),"")</f>
        <v/>
      </c>
      <c r="B40" s="25"/>
      <c r="C40" s="26"/>
      <c r="D40" s="26"/>
      <c r="E40" s="27"/>
      <c r="F40" s="26"/>
      <c r="G40" s="26"/>
      <c r="H40" s="27"/>
      <c r="I40" s="26"/>
      <c r="J40" s="26"/>
    </row>
    <row r="41" customFormat="false" ht="19.5" hidden="false" customHeight="true" outlineLevel="0" collapsed="false">
      <c r="A41" s="24" t="str">
        <f aca="false">IF(C41&lt;&gt;"","ENE-"&amp;TEXT(ROW()-2,"000"),"")</f>
        <v/>
      </c>
      <c r="B41" s="25"/>
      <c r="C41" s="26"/>
      <c r="D41" s="26"/>
      <c r="E41" s="27"/>
      <c r="F41" s="26"/>
      <c r="G41" s="26"/>
      <c r="H41" s="27"/>
      <c r="I41" s="26"/>
      <c r="J41" s="26"/>
    </row>
    <row r="42" customFormat="false" ht="19.5" hidden="false" customHeight="true" outlineLevel="0" collapsed="false">
      <c r="A42" s="24" t="str">
        <f aca="false">IF(C42&lt;&gt;"","ENE-"&amp;TEXT(ROW()-2,"000"),"")</f>
        <v/>
      </c>
      <c r="B42" s="25"/>
      <c r="C42" s="26"/>
      <c r="D42" s="26"/>
      <c r="E42" s="27"/>
      <c r="F42" s="26"/>
      <c r="G42" s="26"/>
      <c r="H42" s="27"/>
      <c r="I42" s="26"/>
      <c r="J42" s="26"/>
    </row>
    <row r="43" customFormat="false" ht="19.5" hidden="false" customHeight="true" outlineLevel="0" collapsed="false">
      <c r="A43" s="24" t="str">
        <f aca="false">IF(C43&lt;&gt;"","ENE-"&amp;TEXT(ROW()-2,"000"),"")</f>
        <v/>
      </c>
      <c r="B43" s="25"/>
      <c r="C43" s="26"/>
      <c r="D43" s="26"/>
      <c r="E43" s="27"/>
      <c r="F43" s="26"/>
      <c r="G43" s="26"/>
      <c r="H43" s="27"/>
      <c r="I43" s="26"/>
      <c r="J43" s="26"/>
    </row>
    <row r="44" customFormat="false" ht="19.5" hidden="false" customHeight="true" outlineLevel="0" collapsed="false">
      <c r="A44" s="24" t="str">
        <f aca="false">IF(C44&lt;&gt;"","ENE-"&amp;TEXT(ROW()-2,"000"),"")</f>
        <v/>
      </c>
      <c r="B44" s="25"/>
      <c r="C44" s="26"/>
      <c r="D44" s="26"/>
      <c r="E44" s="27"/>
      <c r="F44" s="26"/>
      <c r="G44" s="26"/>
      <c r="H44" s="27"/>
      <c r="I44" s="26"/>
      <c r="J44" s="26"/>
    </row>
    <row r="45" customFormat="false" ht="19.5" hidden="false" customHeight="true" outlineLevel="0" collapsed="false">
      <c r="A45" s="24" t="str">
        <f aca="false">IF(C45&lt;&gt;"","ENE-"&amp;TEXT(ROW()-2,"000"),"")</f>
        <v/>
      </c>
      <c r="B45" s="25"/>
      <c r="C45" s="26"/>
      <c r="D45" s="26"/>
      <c r="E45" s="27"/>
      <c r="F45" s="26"/>
      <c r="G45" s="26"/>
      <c r="H45" s="27"/>
      <c r="I45" s="26"/>
      <c r="J45" s="26"/>
    </row>
    <row r="46" customFormat="false" ht="19.5" hidden="false" customHeight="true" outlineLevel="0" collapsed="false">
      <c r="A46" s="24" t="str">
        <f aca="false">IF(C46&lt;&gt;"","ENE-"&amp;TEXT(ROW()-2,"000"),"")</f>
        <v/>
      </c>
      <c r="B46" s="25"/>
      <c r="C46" s="26"/>
      <c r="D46" s="26"/>
      <c r="E46" s="27"/>
      <c r="F46" s="26"/>
      <c r="G46" s="26"/>
      <c r="H46" s="27"/>
      <c r="I46" s="26"/>
      <c r="J46" s="26"/>
    </row>
    <row r="47" customFormat="false" ht="19.5" hidden="false" customHeight="true" outlineLevel="0" collapsed="false">
      <c r="A47" s="24" t="str">
        <f aca="false">IF(C47&lt;&gt;"","ENE-"&amp;TEXT(ROW()-2,"000"),"")</f>
        <v/>
      </c>
      <c r="B47" s="25"/>
      <c r="C47" s="26"/>
      <c r="D47" s="26"/>
      <c r="E47" s="27"/>
      <c r="F47" s="26"/>
      <c r="G47" s="26"/>
      <c r="H47" s="27"/>
      <c r="I47" s="26"/>
      <c r="J47" s="26"/>
    </row>
    <row r="48" customFormat="false" ht="19.5" hidden="false" customHeight="true" outlineLevel="0" collapsed="false">
      <c r="A48" s="24" t="str">
        <f aca="false">IF(C48&lt;&gt;"","ENE-"&amp;TEXT(ROW()-2,"000"),"")</f>
        <v/>
      </c>
      <c r="B48" s="25"/>
      <c r="C48" s="26"/>
      <c r="D48" s="26"/>
      <c r="E48" s="27"/>
      <c r="F48" s="26"/>
      <c r="G48" s="26"/>
      <c r="H48" s="27"/>
      <c r="I48" s="26"/>
      <c r="J48" s="26"/>
    </row>
    <row r="49" customFormat="false" ht="19.5" hidden="false" customHeight="true" outlineLevel="0" collapsed="false">
      <c r="A49" s="24" t="str">
        <f aca="false">IF(C49&lt;&gt;"","ENE-"&amp;TEXT(ROW()-2,"000"),"")</f>
        <v/>
      </c>
      <c r="B49" s="25"/>
      <c r="C49" s="26"/>
      <c r="D49" s="26"/>
      <c r="E49" s="27"/>
      <c r="F49" s="26"/>
      <c r="G49" s="26"/>
      <c r="H49" s="27"/>
      <c r="I49" s="26"/>
      <c r="J49" s="26"/>
    </row>
    <row r="50" customFormat="false" ht="19.5" hidden="false" customHeight="true" outlineLevel="0" collapsed="false">
      <c r="A50" s="24" t="str">
        <f aca="false">IF(C50&lt;&gt;"","ENE-"&amp;TEXT(ROW()-2,"000"),"")</f>
        <v/>
      </c>
      <c r="B50" s="25"/>
      <c r="C50" s="26"/>
      <c r="D50" s="26"/>
      <c r="E50" s="27"/>
      <c r="F50" s="26"/>
      <c r="G50" s="26"/>
      <c r="H50" s="27"/>
      <c r="I50" s="26"/>
      <c r="J50" s="26"/>
    </row>
    <row r="51" customFormat="false" ht="19.5" hidden="false" customHeight="true" outlineLevel="0" collapsed="false">
      <c r="A51" s="24" t="str">
        <f aca="false">IF(C51&lt;&gt;"","ENE-"&amp;TEXT(ROW()-2,"000"),"")</f>
        <v/>
      </c>
      <c r="B51" s="25"/>
      <c r="C51" s="26"/>
      <c r="D51" s="26"/>
      <c r="E51" s="27"/>
      <c r="F51" s="26"/>
      <c r="G51" s="26"/>
      <c r="H51" s="27"/>
      <c r="I51" s="26"/>
      <c r="J51" s="26"/>
    </row>
    <row r="52" customFormat="false" ht="19.5" hidden="false" customHeight="true" outlineLevel="0" collapsed="false">
      <c r="A52" s="24" t="str">
        <f aca="false">IF(C52&lt;&gt;"","ENE-"&amp;TEXT(ROW()-2,"000"),"")</f>
        <v/>
      </c>
      <c r="B52" s="25"/>
      <c r="C52" s="26"/>
      <c r="D52" s="26"/>
      <c r="E52" s="27"/>
      <c r="F52" s="26"/>
      <c r="G52" s="26"/>
      <c r="H52" s="27"/>
      <c r="I52" s="26"/>
      <c r="J52" s="26"/>
    </row>
    <row r="53" customFormat="false" ht="19.5" hidden="false" customHeight="true" outlineLevel="0" collapsed="false">
      <c r="A53" s="24" t="str">
        <f aca="false">IF(C53&lt;&gt;"","ENE-"&amp;TEXT(ROW()-2,"000"),"")</f>
        <v/>
      </c>
      <c r="B53" s="25"/>
      <c r="C53" s="26"/>
      <c r="D53" s="26"/>
      <c r="E53" s="27"/>
      <c r="F53" s="26"/>
      <c r="G53" s="26"/>
      <c r="H53" s="27"/>
      <c r="I53" s="26"/>
      <c r="J53" s="26"/>
    </row>
    <row r="54" customFormat="false" ht="19.5" hidden="false" customHeight="true" outlineLevel="0" collapsed="false">
      <c r="A54" s="24" t="str">
        <f aca="false">IF(C54&lt;&gt;"","ENE-"&amp;TEXT(ROW()-2,"000"),"")</f>
        <v/>
      </c>
      <c r="B54" s="25"/>
      <c r="C54" s="26"/>
      <c r="D54" s="26"/>
      <c r="E54" s="27"/>
      <c r="F54" s="26"/>
      <c r="G54" s="26"/>
      <c r="H54" s="27"/>
      <c r="I54" s="26"/>
      <c r="J54" s="26"/>
    </row>
    <row r="55" customFormat="false" ht="19.5" hidden="false" customHeight="true" outlineLevel="0" collapsed="false">
      <c r="A55" s="24" t="str">
        <f aca="false">IF(C55&lt;&gt;"","ENE-"&amp;TEXT(ROW()-2,"000"),"")</f>
        <v/>
      </c>
      <c r="B55" s="25"/>
      <c r="C55" s="26"/>
      <c r="D55" s="26"/>
      <c r="E55" s="27"/>
      <c r="F55" s="26"/>
      <c r="G55" s="26"/>
      <c r="H55" s="27"/>
      <c r="I55" s="26"/>
      <c r="J55" s="26"/>
    </row>
    <row r="56" customFormat="false" ht="19.5" hidden="false" customHeight="true" outlineLevel="0" collapsed="false">
      <c r="A56" s="24" t="str">
        <f aca="false">IF(C56&lt;&gt;"","ENE-"&amp;TEXT(ROW()-2,"000"),"")</f>
        <v/>
      </c>
      <c r="B56" s="25"/>
      <c r="C56" s="26"/>
      <c r="D56" s="26"/>
      <c r="E56" s="27"/>
      <c r="F56" s="26"/>
      <c r="G56" s="26"/>
      <c r="H56" s="27"/>
      <c r="I56" s="26"/>
      <c r="J56" s="26"/>
    </row>
    <row r="57" customFormat="false" ht="19.5" hidden="false" customHeight="true" outlineLevel="0" collapsed="false">
      <c r="A57" s="24" t="str">
        <f aca="false">IF(C57&lt;&gt;"","ENE-"&amp;TEXT(ROW()-2,"000"),"")</f>
        <v/>
      </c>
      <c r="B57" s="25"/>
      <c r="C57" s="26"/>
      <c r="D57" s="26"/>
      <c r="E57" s="27"/>
      <c r="F57" s="26"/>
      <c r="G57" s="26"/>
      <c r="H57" s="27"/>
      <c r="I57" s="26"/>
      <c r="J57" s="26"/>
    </row>
    <row r="58" customFormat="false" ht="19.5" hidden="false" customHeight="true" outlineLevel="0" collapsed="false">
      <c r="A58" s="24" t="str">
        <f aca="false">IF(C58&lt;&gt;"","ENE-"&amp;TEXT(ROW()-2,"000"),"")</f>
        <v/>
      </c>
      <c r="B58" s="25"/>
      <c r="C58" s="26"/>
      <c r="D58" s="26"/>
      <c r="E58" s="27"/>
      <c r="F58" s="26"/>
      <c r="G58" s="26"/>
      <c r="H58" s="27"/>
      <c r="I58" s="26"/>
      <c r="J58" s="26"/>
    </row>
    <row r="59" customFormat="false" ht="19.5" hidden="false" customHeight="true" outlineLevel="0" collapsed="false">
      <c r="A59" s="24" t="str">
        <f aca="false">IF(C59&lt;&gt;"","ENE-"&amp;TEXT(ROW()-2,"000"),"")</f>
        <v/>
      </c>
      <c r="B59" s="25"/>
      <c r="C59" s="26"/>
      <c r="D59" s="26"/>
      <c r="E59" s="27"/>
      <c r="F59" s="26"/>
      <c r="G59" s="26"/>
      <c r="H59" s="27"/>
      <c r="I59" s="26"/>
      <c r="J59" s="26"/>
    </row>
    <row r="60" customFormat="false" ht="19.5" hidden="false" customHeight="true" outlineLevel="0" collapsed="false">
      <c r="A60" s="24" t="str">
        <f aca="false">IF(C60&lt;&gt;"","ENE-"&amp;TEXT(ROW()-2,"000"),"")</f>
        <v/>
      </c>
      <c r="B60" s="25"/>
      <c r="C60" s="26"/>
      <c r="D60" s="26"/>
      <c r="E60" s="27"/>
      <c r="F60" s="26"/>
      <c r="G60" s="26"/>
      <c r="H60" s="27"/>
      <c r="I60" s="26"/>
      <c r="J60" s="26"/>
    </row>
    <row r="61" customFormat="false" ht="19.5" hidden="false" customHeight="true" outlineLevel="0" collapsed="false">
      <c r="A61" s="24" t="str">
        <f aca="false">IF(C61&lt;&gt;"","ENE-"&amp;TEXT(ROW()-2,"000"),"")</f>
        <v/>
      </c>
      <c r="B61" s="25"/>
      <c r="C61" s="26"/>
      <c r="D61" s="26"/>
      <c r="E61" s="27"/>
      <c r="F61" s="26"/>
      <c r="G61" s="26"/>
      <c r="H61" s="27"/>
      <c r="I61" s="26"/>
      <c r="J61" s="26"/>
    </row>
    <row r="62" customFormat="false" ht="19.5" hidden="false" customHeight="true" outlineLevel="0" collapsed="false">
      <c r="A62" s="24" t="str">
        <f aca="false">IF(C62&lt;&gt;"","ENE-"&amp;TEXT(ROW()-2,"000"),"")</f>
        <v/>
      </c>
      <c r="B62" s="25"/>
      <c r="C62" s="26"/>
      <c r="D62" s="26"/>
      <c r="E62" s="27"/>
      <c r="F62" s="26"/>
      <c r="G62" s="26"/>
      <c r="H62" s="27"/>
      <c r="I62" s="26"/>
      <c r="J62" s="26"/>
    </row>
    <row r="63" customFormat="false" ht="19.5" hidden="false" customHeight="true" outlineLevel="0" collapsed="false">
      <c r="A63" s="24" t="str">
        <f aca="false">IF(C63&lt;&gt;"","ENE-"&amp;TEXT(ROW()-2,"000"),"")</f>
        <v/>
      </c>
      <c r="B63" s="25"/>
      <c r="C63" s="26"/>
      <c r="D63" s="26"/>
      <c r="E63" s="27"/>
      <c r="F63" s="26"/>
      <c r="G63" s="26"/>
      <c r="H63" s="27"/>
      <c r="I63" s="26"/>
      <c r="J63" s="26"/>
    </row>
    <row r="64" customFormat="false" ht="19.5" hidden="false" customHeight="true" outlineLevel="0" collapsed="false">
      <c r="A64" s="24" t="str">
        <f aca="false">IF(C64&lt;&gt;"","ENE-"&amp;TEXT(ROW()-2,"000"),"")</f>
        <v/>
      </c>
      <c r="B64" s="25"/>
      <c r="C64" s="26"/>
      <c r="D64" s="26"/>
      <c r="E64" s="27"/>
      <c r="F64" s="26"/>
      <c r="G64" s="26"/>
      <c r="H64" s="27"/>
      <c r="I64" s="26"/>
      <c r="J64" s="26"/>
    </row>
    <row r="65" customFormat="false" ht="19.5" hidden="false" customHeight="true" outlineLevel="0" collapsed="false">
      <c r="A65" s="24" t="str">
        <f aca="false">IF(C65&lt;&gt;"","ENE-"&amp;TEXT(ROW()-2,"000"),"")</f>
        <v/>
      </c>
      <c r="B65" s="25"/>
      <c r="C65" s="26"/>
      <c r="D65" s="26"/>
      <c r="E65" s="27"/>
      <c r="F65" s="26"/>
      <c r="G65" s="26"/>
      <c r="H65" s="27"/>
      <c r="I65" s="26"/>
      <c r="J65" s="26"/>
    </row>
    <row r="66" customFormat="false" ht="19.5" hidden="false" customHeight="true" outlineLevel="0" collapsed="false">
      <c r="A66" s="24" t="str">
        <f aca="false">IF(C66&lt;&gt;"","ENE-"&amp;TEXT(ROW()-2,"000"),"")</f>
        <v/>
      </c>
      <c r="B66" s="25"/>
      <c r="C66" s="26"/>
      <c r="D66" s="26"/>
      <c r="E66" s="27"/>
      <c r="F66" s="26"/>
      <c r="G66" s="26"/>
      <c r="H66" s="27"/>
      <c r="I66" s="26"/>
      <c r="J66" s="26"/>
    </row>
    <row r="67" customFormat="false" ht="19.5" hidden="false" customHeight="true" outlineLevel="0" collapsed="false">
      <c r="A67" s="24" t="str">
        <f aca="false">IF(C67&lt;&gt;"","ENE-"&amp;TEXT(ROW()-2,"000"),"")</f>
        <v/>
      </c>
      <c r="B67" s="25"/>
      <c r="C67" s="26"/>
      <c r="D67" s="26"/>
      <c r="E67" s="27"/>
      <c r="F67" s="26"/>
      <c r="G67" s="26"/>
      <c r="H67" s="27"/>
      <c r="I67" s="26"/>
      <c r="J67" s="26"/>
    </row>
    <row r="68" customFormat="false" ht="19.5" hidden="false" customHeight="true" outlineLevel="0" collapsed="false">
      <c r="A68" s="24" t="str">
        <f aca="false">IF(C68&lt;&gt;"","ENE-"&amp;TEXT(ROW()-2,"000"),"")</f>
        <v/>
      </c>
      <c r="B68" s="25"/>
      <c r="C68" s="26"/>
      <c r="D68" s="26"/>
      <c r="E68" s="27"/>
      <c r="F68" s="26"/>
      <c r="G68" s="26"/>
      <c r="H68" s="27"/>
      <c r="I68" s="26"/>
      <c r="J68" s="26"/>
    </row>
    <row r="69" customFormat="false" ht="19.5" hidden="false" customHeight="true" outlineLevel="0" collapsed="false">
      <c r="A69" s="24" t="str">
        <f aca="false">IF(C69&lt;&gt;"","ENE-"&amp;TEXT(ROW()-2,"000"),"")</f>
        <v/>
      </c>
      <c r="B69" s="25"/>
      <c r="C69" s="26"/>
      <c r="D69" s="26"/>
      <c r="E69" s="27"/>
      <c r="F69" s="26"/>
      <c r="G69" s="26"/>
      <c r="H69" s="27"/>
      <c r="I69" s="26"/>
      <c r="J69" s="26"/>
    </row>
    <row r="70" customFormat="false" ht="19.5" hidden="false" customHeight="true" outlineLevel="0" collapsed="false">
      <c r="A70" s="24" t="str">
        <f aca="false">IF(C70&lt;&gt;"","ENE-"&amp;TEXT(ROW()-2,"000"),"")</f>
        <v/>
      </c>
      <c r="B70" s="25"/>
      <c r="C70" s="26"/>
      <c r="D70" s="26"/>
      <c r="E70" s="27"/>
      <c r="F70" s="26"/>
      <c r="G70" s="26"/>
      <c r="H70" s="27"/>
      <c r="I70" s="26"/>
      <c r="J70" s="26"/>
    </row>
    <row r="71" customFormat="false" ht="19.5" hidden="false" customHeight="true" outlineLevel="0" collapsed="false">
      <c r="A71" s="24" t="str">
        <f aca="false">IF(C71&lt;&gt;"","ENE-"&amp;TEXT(ROW()-2,"000"),"")</f>
        <v/>
      </c>
      <c r="B71" s="25"/>
      <c r="C71" s="26"/>
      <c r="D71" s="26"/>
      <c r="E71" s="27"/>
      <c r="F71" s="26"/>
      <c r="G71" s="26"/>
      <c r="H71" s="27"/>
      <c r="I71" s="26"/>
      <c r="J71" s="26"/>
    </row>
    <row r="72" customFormat="false" ht="19.5" hidden="false" customHeight="true" outlineLevel="0" collapsed="false">
      <c r="A72" s="24" t="str">
        <f aca="false">IF(C72&lt;&gt;"","ENE-"&amp;TEXT(ROW()-2,"000"),"")</f>
        <v/>
      </c>
      <c r="B72" s="25"/>
      <c r="C72" s="26"/>
      <c r="D72" s="26"/>
      <c r="E72" s="27"/>
      <c r="F72" s="26"/>
      <c r="G72" s="26"/>
      <c r="H72" s="27"/>
      <c r="I72" s="26"/>
      <c r="J72" s="26"/>
    </row>
    <row r="73" customFormat="false" ht="19.5" hidden="false" customHeight="true" outlineLevel="0" collapsed="false">
      <c r="A73" s="24" t="str">
        <f aca="false">IF(C73&lt;&gt;"","ENE-"&amp;TEXT(ROW()-2,"000"),"")</f>
        <v/>
      </c>
      <c r="B73" s="25"/>
      <c r="C73" s="26"/>
      <c r="D73" s="26"/>
      <c r="E73" s="27"/>
      <c r="F73" s="26"/>
      <c r="G73" s="26"/>
      <c r="H73" s="27"/>
      <c r="I73" s="26"/>
      <c r="J73" s="26"/>
    </row>
    <row r="74" customFormat="false" ht="19.5" hidden="false" customHeight="true" outlineLevel="0" collapsed="false">
      <c r="A74" s="24" t="str">
        <f aca="false">IF(C74&lt;&gt;"","ENE-"&amp;TEXT(ROW()-2,"000"),"")</f>
        <v/>
      </c>
      <c r="B74" s="25"/>
      <c r="C74" s="26"/>
      <c r="D74" s="26"/>
      <c r="E74" s="27"/>
      <c r="F74" s="26"/>
      <c r="G74" s="26"/>
      <c r="H74" s="27"/>
      <c r="I74" s="26"/>
      <c r="J74" s="26"/>
    </row>
    <row r="75" customFormat="false" ht="19.5" hidden="false" customHeight="true" outlineLevel="0" collapsed="false">
      <c r="A75" s="24" t="str">
        <f aca="false">IF(C75&lt;&gt;"","ENE-"&amp;TEXT(ROW()-2,"000"),"")</f>
        <v/>
      </c>
      <c r="B75" s="25"/>
      <c r="C75" s="26"/>
      <c r="D75" s="26"/>
      <c r="E75" s="27"/>
      <c r="F75" s="26"/>
      <c r="G75" s="26"/>
      <c r="H75" s="27"/>
      <c r="I75" s="26"/>
      <c r="J75" s="26"/>
    </row>
    <row r="76" customFormat="false" ht="19.5" hidden="false" customHeight="true" outlineLevel="0" collapsed="false">
      <c r="A76" s="24" t="str">
        <f aca="false">IF(C76&lt;&gt;"","ENE-"&amp;TEXT(ROW()-2,"000"),"")</f>
        <v/>
      </c>
      <c r="B76" s="25"/>
      <c r="C76" s="26"/>
      <c r="D76" s="26"/>
      <c r="E76" s="27"/>
      <c r="F76" s="26"/>
      <c r="G76" s="26"/>
      <c r="H76" s="27"/>
      <c r="I76" s="26"/>
      <c r="J76" s="26"/>
    </row>
    <row r="77" customFormat="false" ht="19.5" hidden="false" customHeight="true" outlineLevel="0" collapsed="false">
      <c r="A77" s="24" t="str">
        <f aca="false">IF(C77&lt;&gt;"","ENE-"&amp;TEXT(ROW()-2,"000"),"")</f>
        <v/>
      </c>
      <c r="B77" s="25"/>
      <c r="C77" s="26"/>
      <c r="D77" s="26"/>
      <c r="E77" s="27"/>
      <c r="F77" s="26"/>
      <c r="G77" s="26"/>
      <c r="H77" s="27"/>
      <c r="I77" s="26"/>
      <c r="J77" s="26"/>
    </row>
    <row r="78" customFormat="false" ht="19.5" hidden="false" customHeight="true" outlineLevel="0" collapsed="false">
      <c r="A78" s="24" t="str">
        <f aca="false">IF(C78&lt;&gt;"","ENE-"&amp;TEXT(ROW()-2,"000"),"")</f>
        <v/>
      </c>
      <c r="B78" s="25"/>
      <c r="C78" s="26"/>
      <c r="D78" s="26"/>
      <c r="E78" s="27"/>
      <c r="F78" s="26"/>
      <c r="G78" s="26"/>
      <c r="H78" s="27"/>
      <c r="I78" s="26"/>
      <c r="J78" s="26"/>
    </row>
    <row r="79" customFormat="false" ht="19.5" hidden="false" customHeight="true" outlineLevel="0" collapsed="false">
      <c r="A79" s="24" t="str">
        <f aca="false">IF(C79&lt;&gt;"","ENE-"&amp;TEXT(ROW()-2,"000"),"")</f>
        <v/>
      </c>
      <c r="B79" s="25"/>
      <c r="C79" s="26"/>
      <c r="D79" s="26"/>
      <c r="E79" s="27"/>
      <c r="F79" s="26"/>
      <c r="G79" s="26"/>
      <c r="H79" s="27"/>
      <c r="I79" s="26"/>
      <c r="J79" s="26"/>
    </row>
    <row r="80" customFormat="false" ht="19.5" hidden="false" customHeight="true" outlineLevel="0" collapsed="false">
      <c r="A80" s="24" t="str">
        <f aca="false">IF(C80&lt;&gt;"","ENE-"&amp;TEXT(ROW()-2,"000"),"")</f>
        <v/>
      </c>
      <c r="B80" s="25"/>
      <c r="C80" s="26"/>
      <c r="D80" s="26"/>
      <c r="E80" s="27"/>
      <c r="F80" s="26"/>
      <c r="G80" s="26"/>
      <c r="H80" s="27"/>
      <c r="I80" s="26"/>
      <c r="J80" s="26"/>
    </row>
    <row r="82" customFormat="false" ht="24" hidden="false" customHeight="true" outlineLevel="0" collapsed="false">
      <c r="A82" s="29" t="s">
        <v>96</v>
      </c>
      <c r="B82" s="30" t="n">
        <f aca="false">COUNTA(C3:C81)</f>
        <v>5</v>
      </c>
      <c r="C82" s="29" t="s">
        <v>97</v>
      </c>
      <c r="D82" s="30" t="n">
        <f aca="false">COUNTIF(H3:H81,"Energised — Live Service")</f>
        <v>2</v>
      </c>
      <c r="E82" s="29" t="s">
        <v>98</v>
      </c>
      <c r="F82" s="30" t="n">
        <f aca="false">COUNTIF(H3:H81,"Energised — Commissioning")</f>
        <v>2</v>
      </c>
      <c r="G82" s="29" t="s">
        <v>99</v>
      </c>
      <c r="H82" s="30" t="n">
        <f aca="false">COUNTIF(H3:H81,"Isolated")</f>
        <v>0</v>
      </c>
      <c r="I82" s="29" t="s">
        <v>100</v>
      </c>
      <c r="J82" s="30" t="n">
        <f aca="false">COUNTIF(H3:H81,"Pending")</f>
        <v>1</v>
      </c>
      <c r="K82" s="31"/>
      <c r="L82" s="31"/>
      <c r="M82" s="31"/>
      <c r="N82" s="31"/>
    </row>
  </sheetData>
  <autoFilter ref="A2:N2"/>
  <mergeCells count="5">
    <mergeCell ref="A1:B1"/>
    <mergeCell ref="C1:F1"/>
    <mergeCell ref="G1:H1"/>
    <mergeCell ref="I1:J1"/>
    <mergeCell ref="K1:N1"/>
  </mergeCells>
  <conditionalFormatting sqref="H3:H81">
    <cfRule type="cellIs" priority="2" operator="equal" aboveAverage="0" equalAverage="0" bottom="0" percent="0" rank="0" text="" dxfId="4">
      <formula>"Energised — Live Service"</formula>
    </cfRule>
    <cfRule type="cellIs" priority="3" operator="equal" aboveAverage="0" equalAverage="0" bottom="0" percent="0" rank="0" text="" dxfId="5">
      <formula>"Energised — Commissioning"</formula>
    </cfRule>
    <cfRule type="cellIs" priority="4" operator="equal" aboveAverage="0" equalAverage="0" bottom="0" percent="0" rank="0" text="" dxfId="6">
      <formula>"Isolated"</formula>
    </cfRule>
    <cfRule type="cellIs" priority="5" operator="equal" aboveAverage="0" equalAverage="0" bottom="0" percent="0" rank="0" text="" dxfId="7">
      <formula>"De-Energised"</formula>
    </cfRule>
    <cfRule type="cellIs" priority="6" operator="equal" aboveAverage="0" equalAverage="0" bottom="0" percent="0" rank="0" text="" dxfId="8">
      <formula>"Pending"</formula>
    </cfRule>
  </conditionalFormatting>
  <conditionalFormatting sqref="A3:J81">
    <cfRule type="expression" priority="7" aboveAverage="0" equalAverage="0" bottom="0" percent="0" rank="0" text="" dxfId="4">
      <formula>$H3="Energised — Live Service"</formula>
    </cfRule>
    <cfRule type="expression" priority="8" aboveAverage="0" equalAverage="0" bottom="0" percent="0" rank="0" text="" dxfId="5">
      <formula>$H3="Energised — Commissioning"</formula>
    </cfRule>
    <cfRule type="expression" priority="9" aboveAverage="0" equalAverage="0" bottom="0" percent="0" rank="0" text="" dxfId="9">
      <formula>$H3="Isolated"</formula>
    </cfRule>
    <cfRule type="expression" priority="10" aboveAverage="0" equalAverage="0" bottom="0" percent="0" rank="0" text="" dxfId="10">
      <formula>$H3="De-Energised"</formula>
    </cfRule>
  </conditionalFormatting>
  <dataValidations count="2">
    <dataValidation allowBlank="true" errorStyle="stop" operator="between" showDropDown="false" showErrorMessage="false" showInputMessage="false" sqref="H3:H1000" type="list">
      <formula1>"Pending,Isolated,Energised — Commissioning,Energised — Live Service,De-Energised"</formula1>
      <formula2>0</formula2>
    </dataValidation>
    <dataValidation allowBlank="true" errorStyle="stop" operator="between" showDropDown="false" showErrorMessage="false" showInputMessage="false" sqref="E3:E1000" type="list">
      <formula1>"LV 415V,LV 230V,LV 110V,11kV,33kV,Other"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&amp;CMCC Energisation Isolation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32" t="s">
        <v>101</v>
      </c>
    </row>
    <row r="2" customFormat="false" ht="21.75" hidden="false" customHeight="true" outlineLevel="0" collapsed="false">
      <c r="A2" s="33"/>
    </row>
    <row r="3" customFormat="false" ht="21.75" hidden="false" customHeight="true" outlineLevel="0" collapsed="false">
      <c r="A3" s="33" t="s">
        <v>102</v>
      </c>
    </row>
    <row r="4" customFormat="false" ht="21.75" hidden="false" customHeight="true" outlineLevel="0" collapsed="false">
      <c r="A4" s="33"/>
    </row>
    <row r="5" customFormat="false" ht="21.75" hidden="false" customHeight="true" outlineLevel="0" collapsed="false">
      <c r="A5" s="33" t="s">
        <v>103</v>
      </c>
    </row>
    <row r="6" customFormat="false" ht="21.75" hidden="false" customHeight="true" outlineLevel="0" collapsed="false">
      <c r="A6" s="33" t="s">
        <v>104</v>
      </c>
    </row>
    <row r="7" customFormat="false" ht="21.75" hidden="false" customHeight="true" outlineLevel="0" collapsed="false">
      <c r="A7" s="33" t="s">
        <v>105</v>
      </c>
    </row>
    <row r="8" customFormat="false" ht="21.75" hidden="false" customHeight="true" outlineLevel="0" collapsed="false">
      <c r="A8" s="33" t="s">
        <v>106</v>
      </c>
    </row>
    <row r="9" customFormat="false" ht="21.75" hidden="false" customHeight="true" outlineLevel="0" collapsed="false">
      <c r="A9" s="33" t="s">
        <v>107</v>
      </c>
    </row>
    <row r="10" customFormat="false" ht="21.75" hidden="false" customHeight="true" outlineLevel="0" collapsed="false">
      <c r="A10" s="33" t="s">
        <v>108</v>
      </c>
    </row>
    <row r="11" customFormat="false" ht="21.75" hidden="false" customHeight="true" outlineLevel="0" collapsed="false">
      <c r="A11" s="33"/>
    </row>
    <row r="12" customFormat="false" ht="21.75" hidden="false" customHeight="true" outlineLevel="0" collapsed="false">
      <c r="A12" s="3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&amp; Commissioning</cp:category>
  <dcterms:created xsi:type="dcterms:W3CDTF">2026-03-24T13:42:23Z</dcterms:created>
  <dc:creator>Ebrora Ltd</dc:creator>
  <dc:description>MCC energisation and isolation log tracking panel energisation dates, permits, appointed persons and live/isolation status on UK construction projects.
Free professional construction management template from Ebrora Ltd. Visit ebrora.com for our full range of tools and templates.</dc:description>
  <cp:keywords>Ebrora construction MCC energisation isolation HV LV commissioning electrical UK construction</cp:keywords>
  <dc:language>en-US</dc:language>
  <cp:lastModifiedBy>Ebrora Ltd</cp:lastModifiedBy>
  <dcterms:modified xsi:type="dcterms:W3CDTF">2026-03-24T13:42:23Z</dcterms:modified>
  <cp:revision>0</cp:revision>
  <dc:subject>MCC energisation and isolation log tracking every panel, distribution board and field isolator energisation date, permit, AP and current live/isolation status.</dc:subject>
  <dc:title>MCC Energisation &amp; Isolation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