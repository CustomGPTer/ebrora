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Panel MCC Schedule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'Panel MCC Schedule'!$A$1:$I$62</definedName>
    <definedName function="false" hidden="true" localSheetId="2" name="_xlnm._FilterDatabase" vbProcedure="false">'Panel MCC Schedule'!$A$12:$Q$200</definedName>
    <definedName function="false" hidden="false" name="DataTable" vbProcedure="false">'Panel MCC Schedule'!$A$12:$Q$200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<sst xmlns="http://schemas.openxmlformats.org/spreadsheetml/2006/main" count="132" uniqueCount="117">
  <si>
    <t xml:space="preserve">EBRORA</t>
  </si>
  <si>
    <t xml:space="preserve">ebrora.com</t>
  </si>
  <si>
    <t xml:space="preserve">Panel / MCC Schedule</t>
  </si>
  <si>
    <t xml:space="preserve">Track and manage all electrical panels, motor control centres, and distribution boards across your project — from specification through to commissioning sign-off.</t>
  </si>
  <si>
    <t xml:space="preserve">This is a free template from Ebrora. 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</si>
  <si>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</si>
  <si>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</si>
  <si>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1. Open the 'Panel MCC Schedule' sheet. Each row represents one panel, MCC, or distribution board on your project.</t>
  </si>
  <si>
    <t xml:space="preserve">2. Enter your panel tag number in the Panel / MCC Tag column. Use your project's standard naming convention (e.g., MCC-01, DB-L2-01, PNL-HVAC-01).</t>
  </si>
  <si>
    <t xml:space="preserve">3. Fill in the core columns: description, building/area, room/location, panel type, and supply voltage. These are the minimum fields needed for a useful schedule.</t>
  </si>
  <si>
    <t xml:space="preserve">4. Set the Status using the dropdown. Options are: Planned, Ordered, Delivered, Installed, Tested, and Commissioned. Conditional formatting will colour-code the status automatically.</t>
  </si>
  <si>
    <t xml:space="preserve">5. Assign responsibility in the Responsible column — typically the electrical subcontractor or commissioning engineer.</t>
  </si>
  <si>
    <t xml:space="preserve">6. Use the Notes column for any additional context: delivery dates, issues, punch items, etc.</t>
  </si>
  <si>
    <t xml:space="preserve">7. Expand the optional columns by clicking the [+] button above the grouped columns. These contain detailed electrical specifications (rated current, IP rating, incoming supply, ways/outgoing circuits) and commissioning tracking fields.</t>
  </si>
  <si>
    <t xml:space="preserve">8. The Summary Dashboard at the top of the data sheet shows live counts by status and panel type — use this for reporting and progress tracking.</t>
  </si>
  <si>
    <t xml:space="preserve">Colour Key</t>
  </si>
  <si>
    <t xml:space="preserve">Light teal cells = user input / editable fields</t>
  </si>
  <si>
    <t xml:space="preserve">Dark navy headers = do not edit</t>
  </si>
  <si>
    <t xml:space="preserve">Green = Commissioned / Tested (positive status)</t>
  </si>
  <si>
    <t xml:space="preserve">Amber = Installed / Delivered (in progress)</t>
  </si>
  <si>
    <t xml:space="preserve">Red = Planned / Ordered (early stage, needs attention)</t>
  </si>
  <si>
    <t xml:space="preserve">Tips</t>
  </si>
  <si>
    <t xml:space="preserve">• Keep panel tags consistent with your project's electrical drawing register — this makes cross-referencing much easier.</t>
  </si>
  <si>
    <t xml:space="preserve">• Update the status column as panels progress through delivery, installation, and commissioning. The dashboard will update automatically.</t>
  </si>
  <si>
    <t xml:space="preserve">• Use the optional 'Commissioning Date' and 'Commissioned By' columns to create an auditable record for handover documentation.</t>
  </si>
  <si>
    <t xml:space="preserve">Panel / MCC Schedule — Summary Dashboard</t>
  </si>
  <si>
    <t xml:space="preserve">Status Summary</t>
  </si>
  <si>
    <t xml:space="preserve">Panel Type Breakdown</t>
  </si>
  <si>
    <t xml:space="preserve">Status</t>
  </si>
  <si>
    <t xml:space="preserve">Count</t>
  </si>
  <si>
    <t xml:space="preserve">% of Total</t>
  </si>
  <si>
    <t xml:space="preserve">Progress</t>
  </si>
  <si>
    <t xml:space="preserve">Type</t>
  </si>
  <si>
    <t xml:space="preserve">Commissioned</t>
  </si>
  <si>
    <t xml:space="preserve">% Complete</t>
  </si>
  <si>
    <t xml:space="preserve">Planned</t>
  </si>
  <si>
    <t xml:space="preserve">MCC</t>
  </si>
  <si>
    <t xml:space="preserve">Ordered</t>
  </si>
  <si>
    <t xml:space="preserve">Distribution Board</t>
  </si>
  <si>
    <t xml:space="preserve">Delivered</t>
  </si>
  <si>
    <t xml:space="preserve">Control Panel</t>
  </si>
  <si>
    <t xml:space="preserve">Installed</t>
  </si>
  <si>
    <t xml:space="preserve">PLC Cabinet</t>
  </si>
  <si>
    <t xml:space="preserve">Tested</t>
  </si>
  <si>
    <t xml:space="preserve">VSD Panel</t>
  </si>
  <si>
    <t xml:space="preserve">Total Panels:</t>
  </si>
  <si>
    <t xml:space="preserve">Overall Commissioning:</t>
  </si>
  <si>
    <t xml:space="preserve">▸ Optional Fields — Click [+] to expand</t>
  </si>
  <si>
    <t xml:space="preserve">Item No.</t>
  </si>
  <si>
    <t xml:space="preserve">Panel / MCC Tag</t>
  </si>
  <si>
    <t xml:space="preserve">Description</t>
  </si>
  <si>
    <t xml:space="preserve">Building / Area</t>
  </si>
  <si>
    <t xml:space="preserve">Room / Location</t>
  </si>
  <si>
    <t xml:space="preserve">Panel Type</t>
  </si>
  <si>
    <t xml:space="preserve">Responsible</t>
  </si>
  <si>
    <t xml:space="preserve">Notes</t>
  </si>
  <si>
    <t xml:space="preserve">Supply Voltage (V)</t>
  </si>
  <si>
    <t xml:space="preserve">Rated Current (A)</t>
  </si>
  <si>
    <t xml:space="preserve">IP Rating</t>
  </si>
  <si>
    <t xml:space="preserve">No. of Ways</t>
  </si>
  <si>
    <t xml:space="preserve">Incoming Supply</t>
  </si>
  <si>
    <t xml:space="preserve">Manufacturer</t>
  </si>
  <si>
    <t xml:space="preserve">Commissioning Date</t>
  </si>
  <si>
    <t xml:space="preserve">Commissioned By</t>
  </si>
  <si>
    <t xml:space="preserve">MCC-01</t>
  </si>
  <si>
    <t xml:space="preserve">Main Motor Control Centre — WTP Inlet Works</t>
  </si>
  <si>
    <t xml:space="preserve">Inlet Works Building</t>
  </si>
  <si>
    <t xml:space="preserve">MCC Room GF</t>
  </si>
  <si>
    <t xml:space="preserve">Briggs Electrical Ltd</t>
  </si>
  <si>
    <t xml:space="preserve">All drives tested and commissioned 12/02/2026</t>
  </si>
  <si>
    <t xml:space="preserve">IP54</t>
  </si>
  <si>
    <t xml:space="preserve">Transformer T1 — 11kV/415V</t>
  </si>
  <si>
    <t xml:space="preserve">ABB</t>
  </si>
  <si>
    <t xml:space="preserve">J. Harrison</t>
  </si>
  <si>
    <t xml:space="preserve">DB-L2-01</t>
  </si>
  <si>
    <t xml:space="preserve">Distribution Board Level 2 — Admin Block</t>
  </si>
  <si>
    <t xml:space="preserve">Admin Building</t>
  </si>
  <si>
    <t xml:space="preserve">Riser Cupboard L2</t>
  </si>
  <si>
    <t xml:space="preserve">Sparks &amp; Co.</t>
  </si>
  <si>
    <t xml:space="preserve">Awaiting final fix connections</t>
  </si>
  <si>
    <t xml:space="preserve">IP40</t>
  </si>
  <si>
    <t xml:space="preserve">MCC-01 Way 14</t>
  </si>
  <si>
    <t xml:space="preserve">Hager</t>
  </si>
  <si>
    <t xml:space="preserve">PNL-HVAC-01</t>
  </si>
  <si>
    <t xml:space="preserve">HVAC Control Panel — AHU Plant Room</t>
  </si>
  <si>
    <t xml:space="preserve">Process Building</t>
  </si>
  <si>
    <t xml:space="preserve">AHU Plant Room Roof</t>
  </si>
  <si>
    <t xml:space="preserve">ACE Controls</t>
  </si>
  <si>
    <t xml:space="preserve">FAT passed — SAT scheduled next week</t>
  </si>
  <si>
    <t xml:space="preserve">IP55</t>
  </si>
  <si>
    <t xml:space="preserve">DB-L3-02 Way 6</t>
  </si>
  <si>
    <t xml:space="preserve">Schneider</t>
  </si>
  <si>
    <t xml:space="preserve">VSD-PMP-01</t>
  </si>
  <si>
    <t xml:space="preserve">VSD Panel — Raw Water Pumps 1–3</t>
  </si>
  <si>
    <t xml:space="preserve">Pumphouse A</t>
  </si>
  <si>
    <t xml:space="preserve">VSD Room</t>
  </si>
  <si>
    <t xml:space="preserve">Delivered to site 08/03/2026, stored in laydown</t>
  </si>
  <si>
    <t xml:space="preserve">MCC-01 Way 1-3</t>
  </si>
  <si>
    <t xml:space="preserve">Danfoss</t>
  </si>
  <si>
    <t xml:space="preserve">PLC-CAB-01</t>
  </si>
  <si>
    <t xml:space="preserve">PLC Cabinet — SCADA Outstation 1</t>
  </si>
  <si>
    <t xml:space="preserve">Control Room</t>
  </si>
  <si>
    <t xml:space="preserve">SCADA Room</t>
  </si>
  <si>
    <t xml:space="preserve">Integrated Automation Ltd</t>
  </si>
  <si>
    <t xml:space="preserve">Awaiting final I/O schedule confirmation</t>
  </si>
  <si>
    <t xml:space="preserve">IP20</t>
  </si>
  <si>
    <t xml:space="preserve">DB-CR-01 Way 2</t>
  </si>
  <si>
    <t xml:space="preserve">Siemens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</si>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</sst>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dd/mm/yy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sz val="10"/>
      <color rgb="FF2AABB3"/>
      <name val="Calibri"/>
      <family val="0"/>
      <charset val="1"/>
    </font>
    <font>
      <i val="true"/>
      <sz val="9"/>
      <color rgb="FF2AABB3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AABB3"/>
      </left>
      <right style="thin">
        <color rgb="FF2AABB3"/>
      </right>
      <top style="thin">
        <color rgb="FF2AABB3"/>
      </top>
      <bottom style="thin">
        <color rgb="FF2AABB3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tru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7.35" hidden="false" customHeight="false" outlineLevel="0" collapsed="false">
      <c r="A1" s="8" t="s">
        <v>6</v>
      </c>
      <c r="B1" s="8"/>
      <c r="C1" s="8"/>
      <c r="D1" s="8"/>
      <c r="E1" s="8"/>
      <c r="F1" s="8"/>
    </row>
    <row r="3" customFormat="false" ht="39.75" hidden="false" customHeight="true" outlineLevel="0" collapsed="false">
      <c r="A3" s="9" t="s">
        <v>7</v>
      </c>
      <c r="B3" s="9"/>
      <c r="C3" s="9"/>
      <c r="D3" s="9"/>
      <c r="E3" s="9"/>
      <c r="F3" s="9"/>
    </row>
    <row r="4" customFormat="false" ht="39.75" hidden="false" customHeight="true" outlineLevel="0" collapsed="false">
      <c r="A4" s="9" t="s">
        <v>8</v>
      </c>
      <c r="B4" s="9"/>
      <c r="C4" s="9"/>
      <c r="D4" s="9"/>
      <c r="E4" s="9"/>
      <c r="F4" s="9"/>
    </row>
    <row r="5" customFormat="false" ht="39.75" hidden="false" customHeight="true" outlineLevel="0" collapsed="false">
      <c r="A5" s="9" t="s">
        <v>9</v>
      </c>
      <c r="B5" s="9"/>
      <c r="C5" s="9"/>
      <c r="D5" s="9"/>
      <c r="E5" s="9"/>
      <c r="F5" s="9"/>
    </row>
    <row r="6" customFormat="false" ht="39.75" hidden="false" customHeight="true" outlineLevel="0" collapsed="false">
      <c r="A6" s="9" t="s">
        <v>10</v>
      </c>
      <c r="B6" s="9"/>
      <c r="C6" s="9"/>
      <c r="D6" s="9"/>
      <c r="E6" s="9"/>
      <c r="F6" s="9"/>
    </row>
    <row r="7" customFormat="false" ht="39.75" hidden="false" customHeight="true" outlineLevel="0" collapsed="false">
      <c r="A7" s="9" t="s">
        <v>11</v>
      </c>
      <c r="B7" s="9"/>
      <c r="C7" s="9"/>
      <c r="D7" s="9"/>
      <c r="E7" s="9"/>
      <c r="F7" s="9"/>
    </row>
    <row r="8" customFormat="false" ht="39.75" hidden="false" customHeight="true" outlineLevel="0" collapsed="false">
      <c r="A8" s="9" t="s">
        <v>12</v>
      </c>
      <c r="B8" s="9"/>
      <c r="C8" s="9"/>
      <c r="D8" s="9"/>
      <c r="E8" s="9"/>
      <c r="F8" s="9"/>
    </row>
    <row r="9" customFormat="false" ht="39.75" hidden="false" customHeight="true" outlineLevel="0" collapsed="false">
      <c r="A9" s="9" t="s">
        <v>13</v>
      </c>
      <c r="B9" s="9"/>
      <c r="C9" s="9"/>
      <c r="D9" s="9"/>
      <c r="E9" s="9"/>
      <c r="F9" s="9"/>
    </row>
    <row r="10" customFormat="false" ht="39.75" hidden="false" customHeight="true" outlineLevel="0" collapsed="false">
      <c r="A10" s="9" t="s">
        <v>14</v>
      </c>
      <c r="B10" s="9"/>
      <c r="C10" s="9"/>
      <c r="D10" s="9"/>
      <c r="E10" s="9"/>
      <c r="F10" s="9"/>
    </row>
    <row r="12" customFormat="false" ht="15" hidden="false" customHeight="false" outlineLevel="0" collapsed="false">
      <c r="A12" s="10" t="s">
        <v>15</v>
      </c>
      <c r="B12" s="10"/>
      <c r="C12" s="10"/>
      <c r="D12" s="10"/>
      <c r="E12" s="10"/>
      <c r="F12" s="10"/>
    </row>
    <row r="13" customFormat="false" ht="15" hidden="false" customHeight="true" outlineLevel="0" collapsed="false">
      <c r="A13" s="11"/>
      <c r="B13" s="9" t="s">
        <v>16</v>
      </c>
      <c r="C13" s="9"/>
      <c r="D13" s="9"/>
      <c r="E13" s="9"/>
      <c r="F13" s="9"/>
    </row>
    <row r="14" customFormat="false" ht="15" hidden="false" customHeight="true" outlineLevel="0" collapsed="false">
      <c r="A14" s="12"/>
      <c r="B14" s="9" t="s">
        <v>17</v>
      </c>
      <c r="C14" s="9"/>
      <c r="D14" s="9"/>
      <c r="E14" s="9"/>
      <c r="F14" s="9"/>
    </row>
    <row r="15" customFormat="false" ht="15" hidden="false" customHeight="true" outlineLevel="0" collapsed="false">
      <c r="A15" s="13"/>
      <c r="B15" s="9" t="s">
        <v>18</v>
      </c>
      <c r="C15" s="9"/>
      <c r="D15" s="9"/>
      <c r="E15" s="9"/>
      <c r="F15" s="9"/>
    </row>
    <row r="16" customFormat="false" ht="15" hidden="false" customHeight="true" outlineLevel="0" collapsed="false">
      <c r="A16" s="14"/>
      <c r="B16" s="9" t="s">
        <v>19</v>
      </c>
      <c r="C16" s="9"/>
      <c r="D16" s="9"/>
      <c r="E16" s="9"/>
      <c r="F16" s="9"/>
    </row>
    <row r="17" customFormat="false" ht="15" hidden="false" customHeight="true" outlineLevel="0" collapsed="false">
      <c r="A17" s="15"/>
      <c r="B17" s="9" t="s">
        <v>20</v>
      </c>
      <c r="C17" s="9"/>
      <c r="D17" s="9"/>
      <c r="E17" s="9"/>
      <c r="F17" s="9"/>
    </row>
    <row r="19" customFormat="false" ht="15" hidden="false" customHeight="false" outlineLevel="0" collapsed="false">
      <c r="A19" s="10" t="s">
        <v>21</v>
      </c>
      <c r="B19" s="10"/>
      <c r="C19" s="10"/>
      <c r="D19" s="10"/>
      <c r="E19" s="10"/>
      <c r="F19" s="10"/>
    </row>
    <row r="20" customFormat="false" ht="34.5" hidden="false" customHeight="true" outlineLevel="0" collapsed="false">
      <c r="A20" s="9" t="s">
        <v>22</v>
      </c>
      <c r="B20" s="9"/>
      <c r="C20" s="9"/>
      <c r="D20" s="9"/>
      <c r="E20" s="9"/>
      <c r="F20" s="9"/>
    </row>
    <row r="21" customFormat="false" ht="34.5" hidden="false" customHeight="true" outlineLevel="0" collapsed="false">
      <c r="A21" s="9" t="s">
        <v>23</v>
      </c>
      <c r="B21" s="9"/>
      <c r="C21" s="9"/>
      <c r="D21" s="9"/>
      <c r="E21" s="9"/>
      <c r="F21" s="9"/>
    </row>
    <row r="22" customFormat="false" ht="34.5" hidden="false" customHeight="true" outlineLevel="0" collapsed="false">
      <c r="A22" s="9" t="s">
        <v>24</v>
      </c>
      <c r="B22" s="9"/>
      <c r="C22" s="9"/>
      <c r="D22" s="9"/>
      <c r="E22" s="9"/>
      <c r="F22" s="9"/>
    </row>
  </sheetData>
  <mergeCells count="19">
    <mergeCell ref="A1:F1"/>
    <mergeCell ref="A3:F3"/>
    <mergeCell ref="A4:F4"/>
    <mergeCell ref="A5:F5"/>
    <mergeCell ref="A6:F6"/>
    <mergeCell ref="A7:F7"/>
    <mergeCell ref="A8:F8"/>
    <mergeCell ref="A9:F9"/>
    <mergeCell ref="A10:F10"/>
    <mergeCell ref="A12:F12"/>
    <mergeCell ref="B13:F13"/>
    <mergeCell ref="B14:F14"/>
    <mergeCell ref="B15:F15"/>
    <mergeCell ref="B16:F16"/>
    <mergeCell ref="B17:F17"/>
    <mergeCell ref="A19:F19"/>
    <mergeCell ref="A20:F20"/>
    <mergeCell ref="A21:F2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6" min="4" style="0" width="18"/>
    <col collapsed="false" customWidth="true" hidden="false" outlineLevel="0" max="8" min="7" style="0" width="16"/>
    <col collapsed="false" customWidth="true" hidden="false" outlineLevel="0" max="9" min="9" style="0" width="35"/>
    <col collapsed="false" customWidth="true" hidden="true" outlineLevel="1" max="17" min="10" style="0" width="16"/>
  </cols>
  <sheetData>
    <row r="1" customFormat="false" ht="15" hidden="false" customHeight="true" outlineLevel="0" collapsed="false">
      <c r="A1" s="16" t="s">
        <v>25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3" customFormat="false" ht="15" hidden="false" customHeight="false" outlineLevel="0" collapsed="false">
      <c r="A3" s="10" t="s">
        <v>26</v>
      </c>
      <c r="B3" s="10"/>
      <c r="C3" s="10"/>
      <c r="D3" s="10"/>
      <c r="F3" s="10" t="s">
        <v>27</v>
      </c>
      <c r="G3" s="10"/>
      <c r="H3" s="10"/>
      <c r="I3" s="10"/>
    </row>
    <row r="4" customFormat="false" ht="15" hidden="false" customHeight="false" outlineLevel="0" collapsed="false">
      <c r="A4" s="17" t="s">
        <v>28</v>
      </c>
      <c r="B4" s="17" t="s">
        <v>29</v>
      </c>
      <c r="C4" s="17" t="s">
        <v>30</v>
      </c>
      <c r="D4" s="17" t="s">
        <v>31</v>
      </c>
      <c r="F4" s="17" t="s">
        <v>32</v>
      </c>
      <c r="G4" s="17" t="s">
        <v>29</v>
      </c>
      <c r="H4" s="17" t="s">
        <v>33</v>
      </c>
      <c r="I4" s="17" t="s">
        <v>34</v>
      </c>
    </row>
    <row r="5" customFormat="false" ht="15" hidden="false" customHeight="false" outlineLevel="0" collapsed="false">
      <c r="A5" s="18" t="s">
        <v>35</v>
      </c>
      <c r="B5" s="19" t="n">
        <f aca="false">COUNTIF(G13:G200,A5)</f>
        <v>1</v>
      </c>
      <c r="C5" s="20" t="n">
        <f aca="false">IF(SUM(B5:B10)=0,"",B5/SUM(B5:B10))</f>
        <v>0.2</v>
      </c>
      <c r="D5" s="21" t="str">
        <f aca="false">REPT("█",ROUND(IF(SUM(B5:B10)=0,0,B5/SUM(B5:B10))*20,0))</f>
        <v>████</v>
      </c>
      <c r="F5" s="18" t="s">
        <v>36</v>
      </c>
      <c r="G5" s="19" t="n">
        <f aca="false">COUNTIF(F13:F200,F5)</f>
        <v>1</v>
      </c>
      <c r="H5" s="19" t="n">
        <f aca="false">COUNTIFS(F13:F200,F5,G13:G200,"Commissioned")</f>
        <v>1</v>
      </c>
      <c r="I5" s="20" t="n">
        <f aca="false">IF(G5=0,"",H5/G5)</f>
        <v>1</v>
      </c>
    </row>
    <row r="6" customFormat="false" ht="15" hidden="false" customHeight="false" outlineLevel="0" collapsed="false">
      <c r="A6" s="18" t="s">
        <v>37</v>
      </c>
      <c r="B6" s="19" t="n">
        <f aca="false">COUNTIF(G13:G200,A6)</f>
        <v>0</v>
      </c>
      <c r="C6" s="20" t="n">
        <f aca="false">IF(SUM(B5:B10)=0,"",B6/SUM(B5:B10))</f>
        <v>0</v>
      </c>
      <c r="D6" s="21" t="str">
        <f aca="false">REPT("█",ROUND(IF(SUM(B5:B10)=0,0,B6/SUM(B5:B10))*20,0))</f>
        <v/>
      </c>
      <c r="F6" s="18" t="s">
        <v>38</v>
      </c>
      <c r="G6" s="19" t="n">
        <f aca="false">COUNTIF(F13:F200,F6)</f>
        <v>1</v>
      </c>
      <c r="H6" s="19" t="n">
        <f aca="false">COUNTIFS(F13:F200,F6,G13:G200,"Commissioned")</f>
        <v>0</v>
      </c>
      <c r="I6" s="20" t="n">
        <f aca="false">IF(G6=0,"",H6/G6)</f>
        <v>0</v>
      </c>
    </row>
    <row r="7" customFormat="false" ht="15" hidden="false" customHeight="false" outlineLevel="0" collapsed="false">
      <c r="A7" s="18" t="s">
        <v>39</v>
      </c>
      <c r="B7" s="19" t="n">
        <f aca="false">COUNTIF(G13:G200,A7)</f>
        <v>1</v>
      </c>
      <c r="C7" s="20" t="n">
        <f aca="false">IF(SUM(B5:B10)=0,"",B7/SUM(B5:B10))</f>
        <v>0.2</v>
      </c>
      <c r="D7" s="21" t="str">
        <f aca="false">REPT("█",ROUND(IF(SUM(B5:B10)=0,0,B7/SUM(B5:B10))*20,0))</f>
        <v>████</v>
      </c>
      <c r="F7" s="18" t="s">
        <v>40</v>
      </c>
      <c r="G7" s="19" t="n">
        <f aca="false">COUNTIF(F13:F200,F7)</f>
        <v>1</v>
      </c>
      <c r="H7" s="19" t="n">
        <f aca="false">COUNTIFS(F13:F200,F7,G13:G200,"Commissioned")</f>
        <v>0</v>
      </c>
      <c r="I7" s="20" t="n">
        <f aca="false">IF(G7=0,"",H7/G7)</f>
        <v>0</v>
      </c>
    </row>
    <row r="8" customFormat="false" ht="15" hidden="false" customHeight="false" outlineLevel="0" collapsed="false">
      <c r="A8" s="18" t="s">
        <v>41</v>
      </c>
      <c r="B8" s="19" t="n">
        <f aca="false">COUNTIF(G13:G200,A8)</f>
        <v>1</v>
      </c>
      <c r="C8" s="20" t="n">
        <f aca="false">IF(SUM(B5:B10)=0,"",B8/SUM(B5:B10))</f>
        <v>0.2</v>
      </c>
      <c r="D8" s="21" t="str">
        <f aca="false">REPT("█",ROUND(IF(SUM(B5:B10)=0,0,B8/SUM(B5:B10))*20,0))</f>
        <v>████</v>
      </c>
      <c r="F8" s="18" t="s">
        <v>42</v>
      </c>
      <c r="G8" s="19" t="n">
        <f aca="false">COUNTIF(F13:F200,F8)</f>
        <v>1</v>
      </c>
      <c r="H8" s="19" t="n">
        <f aca="false">COUNTIFS(F13:F200,F8,G13:G200,"Commissioned")</f>
        <v>0</v>
      </c>
      <c r="I8" s="20" t="n">
        <f aca="false">IF(G8=0,"",H8/G8)</f>
        <v>0</v>
      </c>
    </row>
    <row r="9" customFormat="false" ht="15" hidden="false" customHeight="false" outlineLevel="0" collapsed="false">
      <c r="A9" s="18" t="s">
        <v>43</v>
      </c>
      <c r="B9" s="19" t="n">
        <f aca="false">COUNTIF(G13:G200,A9)</f>
        <v>1</v>
      </c>
      <c r="C9" s="20" t="n">
        <f aca="false">IF(SUM(B5:B10)=0,"",B9/SUM(B5:B10))</f>
        <v>0.2</v>
      </c>
      <c r="D9" s="21" t="str">
        <f aca="false">REPT("█",ROUND(IF(SUM(B5:B10)=0,0,B9/SUM(B5:B10))*20,0))</f>
        <v>████</v>
      </c>
      <c r="F9" s="18" t="s">
        <v>44</v>
      </c>
      <c r="G9" s="19" t="n">
        <f aca="false">COUNTIF(F13:F200,F9)</f>
        <v>1</v>
      </c>
      <c r="H9" s="19" t="n">
        <f aca="false">COUNTIFS(F13:F200,F9,G13:G200,"Commissioned")</f>
        <v>0</v>
      </c>
      <c r="I9" s="20" t="n">
        <f aca="false">IF(G9=0,"",H9/G9)</f>
        <v>0</v>
      </c>
    </row>
    <row r="10" customFormat="false" ht="15" hidden="false" customHeight="false" outlineLevel="0" collapsed="false">
      <c r="A10" s="18" t="s">
        <v>33</v>
      </c>
      <c r="B10" s="19" t="n">
        <f aca="false">COUNTIF(G13:G200,A10)</f>
        <v>1</v>
      </c>
      <c r="C10" s="20" t="n">
        <f aca="false">IF(SUM(B5:B10)=0,"",B10/SUM(B5:B10))</f>
        <v>0.2</v>
      </c>
      <c r="D10" s="21" t="str">
        <f aca="false">REPT("█",ROUND(IF(SUM(B5:B10)=0,0,B10/SUM(B5:B10))*20,0))</f>
        <v>████</v>
      </c>
    </row>
    <row r="11" customFormat="false" ht="22.35" hidden="false" customHeight="true" outlineLevel="0" collapsed="false">
      <c r="A11" s="22" t="s">
        <v>45</v>
      </c>
      <c r="B11" s="23" t="n">
        <f aca="false">SUM(B5:B10)</f>
        <v>5</v>
      </c>
      <c r="F11" s="24" t="s">
        <v>46</v>
      </c>
      <c r="G11" s="24"/>
      <c r="H11" s="24"/>
      <c r="I11" s="25" t="n">
        <f aca="false">IF(SUM(G5:G9)=0,"",SUM(H5:H9)/SUM(G5:G9))</f>
        <v>0.2</v>
      </c>
      <c r="J11" s="26" t="s">
        <v>47</v>
      </c>
      <c r="K11" s="26"/>
      <c r="L11" s="26"/>
      <c r="M11" s="26"/>
      <c r="N11" s="26"/>
      <c r="O11" s="26"/>
      <c r="P11" s="26"/>
      <c r="Q11" s="26"/>
    </row>
    <row r="12" customFormat="false" ht="27.75" hidden="false" customHeight="true" outlineLevel="0" collapsed="false">
      <c r="A12" s="27" t="s">
        <v>48</v>
      </c>
      <c r="B12" s="27" t="s">
        <v>49</v>
      </c>
      <c r="C12" s="27" t="s">
        <v>50</v>
      </c>
      <c r="D12" s="27" t="s">
        <v>51</v>
      </c>
      <c r="E12" s="27" t="s">
        <v>52</v>
      </c>
      <c r="F12" s="27" t="s">
        <v>53</v>
      </c>
      <c r="G12" s="27" t="s">
        <v>28</v>
      </c>
      <c r="H12" s="27" t="s">
        <v>54</v>
      </c>
      <c r="I12" s="27" t="s">
        <v>55</v>
      </c>
      <c r="J12" s="27" t="s">
        <v>56</v>
      </c>
      <c r="K12" s="27" t="s">
        <v>57</v>
      </c>
      <c r="L12" s="27" t="s">
        <v>58</v>
      </c>
      <c r="M12" s="27" t="s">
        <v>59</v>
      </c>
      <c r="N12" s="27" t="s">
        <v>60</v>
      </c>
      <c r="O12" s="27" t="s">
        <v>61</v>
      </c>
      <c r="P12" s="27" t="s">
        <v>62</v>
      </c>
      <c r="Q12" s="27" t="s">
        <v>63</v>
      </c>
    </row>
    <row r="13" customFormat="false" ht="21.75" hidden="false" customHeight="true" outlineLevel="0" collapsed="false">
      <c r="A13" s="28" t="n">
        <f aca="false">IF(COUNTA(B13:I13)=0,"",ROW()-12)</f>
        <v>1</v>
      </c>
      <c r="B13" s="29" t="s">
        <v>64</v>
      </c>
      <c r="C13" s="30" t="s">
        <v>65</v>
      </c>
      <c r="D13" s="29" t="s">
        <v>66</v>
      </c>
      <c r="E13" s="29" t="s">
        <v>67</v>
      </c>
      <c r="F13" s="29" t="s">
        <v>36</v>
      </c>
      <c r="G13" s="29" t="s">
        <v>33</v>
      </c>
      <c r="H13" s="29" t="s">
        <v>68</v>
      </c>
      <c r="I13" s="30" t="s">
        <v>69</v>
      </c>
      <c r="J13" s="29" t="n">
        <v>415</v>
      </c>
      <c r="K13" s="29" t="n">
        <v>800</v>
      </c>
      <c r="L13" s="29" t="s">
        <v>70</v>
      </c>
      <c r="M13" s="29" t="n">
        <v>24</v>
      </c>
      <c r="N13" s="30" t="s">
        <v>71</v>
      </c>
      <c r="O13" s="29" t="s">
        <v>72</v>
      </c>
      <c r="P13" s="31" t="n">
        <v>46065</v>
      </c>
      <c r="Q13" s="29" t="s">
        <v>73</v>
      </c>
    </row>
    <row r="14" customFormat="false" ht="21.75" hidden="false" customHeight="true" outlineLevel="0" collapsed="false">
      <c r="A14" s="28" t="n">
        <f aca="false">IF(COUNTA(B14:I14)=0,"",ROW()-12)</f>
        <v>2</v>
      </c>
      <c r="B14" s="29" t="s">
        <v>74</v>
      </c>
      <c r="C14" s="30" t="s">
        <v>75</v>
      </c>
      <c r="D14" s="29" t="s">
        <v>76</v>
      </c>
      <c r="E14" s="29" t="s">
        <v>77</v>
      </c>
      <c r="F14" s="29" t="s">
        <v>38</v>
      </c>
      <c r="G14" s="29" t="s">
        <v>41</v>
      </c>
      <c r="H14" s="29" t="s">
        <v>78</v>
      </c>
      <c r="I14" s="30" t="s">
        <v>79</v>
      </c>
      <c r="J14" s="29" t="n">
        <v>230</v>
      </c>
      <c r="K14" s="29" t="n">
        <v>100</v>
      </c>
      <c r="L14" s="29" t="s">
        <v>80</v>
      </c>
      <c r="M14" s="29" t="n">
        <v>12</v>
      </c>
      <c r="N14" s="30" t="s">
        <v>81</v>
      </c>
      <c r="O14" s="29" t="s">
        <v>82</v>
      </c>
      <c r="P14" s="31"/>
      <c r="Q14" s="29"/>
    </row>
    <row r="15" customFormat="false" ht="21.75" hidden="false" customHeight="true" outlineLevel="0" collapsed="false">
      <c r="A15" s="28" t="n">
        <f aca="false">IF(COUNTA(B15:I15)=0,"",ROW()-12)</f>
        <v>3</v>
      </c>
      <c r="B15" s="29" t="s">
        <v>83</v>
      </c>
      <c r="C15" s="30" t="s">
        <v>84</v>
      </c>
      <c r="D15" s="29" t="s">
        <v>85</v>
      </c>
      <c r="E15" s="29" t="s">
        <v>86</v>
      </c>
      <c r="F15" s="29" t="s">
        <v>40</v>
      </c>
      <c r="G15" s="29" t="s">
        <v>43</v>
      </c>
      <c r="H15" s="29" t="s">
        <v>87</v>
      </c>
      <c r="I15" s="30" t="s">
        <v>88</v>
      </c>
      <c r="J15" s="29" t="n">
        <v>415</v>
      </c>
      <c r="K15" s="29" t="n">
        <v>63</v>
      </c>
      <c r="L15" s="29" t="s">
        <v>89</v>
      </c>
      <c r="M15" s="29" t="n">
        <v>8</v>
      </c>
      <c r="N15" s="30" t="s">
        <v>90</v>
      </c>
      <c r="O15" s="29" t="s">
        <v>91</v>
      </c>
      <c r="P15" s="31"/>
      <c r="Q15" s="29"/>
    </row>
    <row r="16" customFormat="false" ht="21.75" hidden="false" customHeight="true" outlineLevel="0" collapsed="false">
      <c r="A16" s="28" t="n">
        <f aca="false">IF(COUNTA(B16:I16)=0,"",ROW()-12)</f>
        <v>4</v>
      </c>
      <c r="B16" s="29" t="s">
        <v>92</v>
      </c>
      <c r="C16" s="30" t="s">
        <v>93</v>
      </c>
      <c r="D16" s="29" t="s">
        <v>94</v>
      </c>
      <c r="E16" s="29" t="s">
        <v>95</v>
      </c>
      <c r="F16" s="29" t="s">
        <v>44</v>
      </c>
      <c r="G16" s="29" t="s">
        <v>39</v>
      </c>
      <c r="H16" s="29" t="s">
        <v>68</v>
      </c>
      <c r="I16" s="30" t="s">
        <v>96</v>
      </c>
      <c r="J16" s="29" t="n">
        <v>415</v>
      </c>
      <c r="K16" s="29" t="n">
        <v>250</v>
      </c>
      <c r="L16" s="29" t="s">
        <v>70</v>
      </c>
      <c r="M16" s="29" t="n">
        <v>3</v>
      </c>
      <c r="N16" s="30" t="s">
        <v>97</v>
      </c>
      <c r="O16" s="29" t="s">
        <v>98</v>
      </c>
      <c r="P16" s="31"/>
      <c r="Q16" s="29"/>
    </row>
    <row r="17" customFormat="false" ht="21.75" hidden="false" customHeight="true" outlineLevel="0" collapsed="false">
      <c r="A17" s="28" t="n">
        <f aca="false">IF(COUNTA(B17:I17)=0,"",ROW()-12)</f>
        <v>5</v>
      </c>
      <c r="B17" s="29" t="s">
        <v>99</v>
      </c>
      <c r="C17" s="30" t="s">
        <v>100</v>
      </c>
      <c r="D17" s="29" t="s">
        <v>101</v>
      </c>
      <c r="E17" s="29" t="s">
        <v>102</v>
      </c>
      <c r="F17" s="29" t="s">
        <v>42</v>
      </c>
      <c r="G17" s="29" t="s">
        <v>35</v>
      </c>
      <c r="H17" s="29" t="s">
        <v>103</v>
      </c>
      <c r="I17" s="30" t="s">
        <v>104</v>
      </c>
      <c r="J17" s="29" t="n">
        <v>230</v>
      </c>
      <c r="K17" s="29" t="n">
        <v>16</v>
      </c>
      <c r="L17" s="29" t="s">
        <v>105</v>
      </c>
      <c r="M17" s="29" t="n">
        <v>0</v>
      </c>
      <c r="N17" s="30" t="s">
        <v>106</v>
      </c>
      <c r="O17" s="29" t="s">
        <v>107</v>
      </c>
      <c r="P17" s="31"/>
      <c r="Q17" s="29"/>
    </row>
    <row r="18" customFormat="false" ht="21.75" hidden="false" customHeight="true" outlineLevel="0" collapsed="false">
      <c r="A18" s="19" t="str">
        <f aca="false">IF(COUNTA(B18:I18)=0,"",ROW()-12)</f>
        <v/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31"/>
      <c r="Q18" s="29"/>
    </row>
    <row r="19" customFormat="false" ht="21.75" hidden="false" customHeight="true" outlineLevel="0" collapsed="false">
      <c r="A19" s="19" t="str">
        <f aca="false">IF(COUNTA(B19:I19)=0,"",ROW()-12)</f>
        <v/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31"/>
      <c r="Q19" s="29"/>
    </row>
    <row r="20" customFormat="false" ht="21.75" hidden="false" customHeight="true" outlineLevel="0" collapsed="false">
      <c r="A20" s="19" t="str">
        <f aca="false">IF(COUNTA(B20:I20)=0,"",ROW()-12)</f>
        <v/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31"/>
      <c r="Q20" s="29"/>
    </row>
    <row r="21" customFormat="false" ht="21.75" hidden="false" customHeight="true" outlineLevel="0" collapsed="false">
      <c r="A21" s="19" t="str">
        <f aca="false">IF(COUNTA(B21:I21)=0,"",ROW()-12)</f>
        <v/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31"/>
      <c r="Q21" s="29"/>
    </row>
    <row r="22" customFormat="false" ht="21.75" hidden="false" customHeight="true" outlineLevel="0" collapsed="false">
      <c r="A22" s="19" t="str">
        <f aca="false">IF(COUNTA(B22:I22)=0,"",ROW()-12)</f>
        <v/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31"/>
      <c r="Q22" s="29"/>
    </row>
    <row r="23" customFormat="false" ht="21.75" hidden="false" customHeight="true" outlineLevel="0" collapsed="false">
      <c r="A23" s="19" t="str">
        <f aca="false">IF(COUNTA(B23:I23)=0,"",ROW()-12)</f>
        <v/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31"/>
      <c r="Q23" s="29"/>
    </row>
    <row r="24" customFormat="false" ht="21.75" hidden="false" customHeight="true" outlineLevel="0" collapsed="false">
      <c r="A24" s="19" t="str">
        <f aca="false">IF(COUNTA(B24:I24)=0,"",ROW()-12)</f>
        <v/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31"/>
      <c r="Q24" s="29"/>
    </row>
    <row r="25" customFormat="false" ht="21.75" hidden="false" customHeight="true" outlineLevel="0" collapsed="false">
      <c r="A25" s="19" t="str">
        <f aca="false">IF(COUNTA(B25:I25)=0,"",ROW()-12)</f>
        <v/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31"/>
      <c r="Q25" s="29"/>
    </row>
    <row r="26" customFormat="false" ht="21.75" hidden="false" customHeight="true" outlineLevel="0" collapsed="false">
      <c r="A26" s="19" t="str">
        <f aca="false">IF(COUNTA(B26:I26)=0,"",ROW()-12)</f>
        <v/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31"/>
      <c r="Q26" s="29"/>
    </row>
    <row r="27" customFormat="false" ht="21.75" hidden="false" customHeight="true" outlineLevel="0" collapsed="false">
      <c r="A27" s="19" t="str">
        <f aca="false">IF(COUNTA(B27:I27)=0,"",ROW()-12)</f>
        <v/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31"/>
      <c r="Q27" s="29"/>
    </row>
    <row r="28" customFormat="false" ht="21.75" hidden="false" customHeight="true" outlineLevel="0" collapsed="false">
      <c r="A28" s="19" t="str">
        <f aca="false">IF(COUNTA(B28:I28)=0,"",ROW()-12)</f>
        <v/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31"/>
      <c r="Q28" s="29"/>
    </row>
    <row r="29" customFormat="false" ht="21.75" hidden="false" customHeight="true" outlineLevel="0" collapsed="false">
      <c r="A29" s="19" t="str">
        <f aca="false">IF(COUNTA(B29:I29)=0,"",ROW()-12)</f>
        <v/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31"/>
      <c r="Q29" s="29"/>
    </row>
    <row r="30" customFormat="false" ht="21.75" hidden="false" customHeight="true" outlineLevel="0" collapsed="false">
      <c r="A30" s="19" t="str">
        <f aca="false">IF(COUNTA(B30:I30)=0,"",ROW()-12)</f>
        <v/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31"/>
      <c r="Q30" s="29"/>
    </row>
    <row r="31" customFormat="false" ht="21.75" hidden="false" customHeight="true" outlineLevel="0" collapsed="false">
      <c r="A31" s="19" t="str">
        <f aca="false">IF(COUNTA(B31:I31)=0,"",ROW()-12)</f>
        <v/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31"/>
      <c r="Q31" s="29"/>
    </row>
    <row r="32" customFormat="false" ht="21.75" hidden="false" customHeight="true" outlineLevel="0" collapsed="false">
      <c r="A32" s="19" t="str">
        <f aca="false">IF(COUNTA(B32:I32)=0,"",ROW()-12)</f>
        <v/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31"/>
      <c r="Q32" s="29"/>
    </row>
    <row r="33" customFormat="false" ht="21.75" hidden="false" customHeight="true" outlineLevel="0" collapsed="false">
      <c r="A33" s="19" t="str">
        <f aca="false">IF(COUNTA(B33:I33)=0,"",ROW()-12)</f>
        <v/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31"/>
      <c r="Q33" s="29"/>
    </row>
    <row r="34" customFormat="false" ht="21.75" hidden="false" customHeight="true" outlineLevel="0" collapsed="false">
      <c r="A34" s="19" t="str">
        <f aca="false">IF(COUNTA(B34:I34)=0,"",ROW()-12)</f>
        <v/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31"/>
      <c r="Q34" s="29"/>
    </row>
    <row r="35" customFormat="false" ht="21.75" hidden="false" customHeight="true" outlineLevel="0" collapsed="false">
      <c r="A35" s="19" t="str">
        <f aca="false">IF(COUNTA(B35:I35)=0,"",ROW()-12)</f>
        <v/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31"/>
      <c r="Q35" s="29"/>
    </row>
    <row r="36" customFormat="false" ht="21.75" hidden="false" customHeight="true" outlineLevel="0" collapsed="false">
      <c r="A36" s="19" t="str">
        <f aca="false">IF(COUNTA(B36:I36)=0,"",ROW()-12)</f>
        <v/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31"/>
      <c r="Q36" s="29"/>
    </row>
    <row r="37" customFormat="false" ht="21.75" hidden="false" customHeight="true" outlineLevel="0" collapsed="false">
      <c r="A37" s="19" t="str">
        <f aca="false">IF(COUNTA(B37:I37)=0,"",ROW()-12)</f>
        <v/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31"/>
      <c r="Q37" s="29"/>
    </row>
    <row r="38" customFormat="false" ht="21.75" hidden="false" customHeight="true" outlineLevel="0" collapsed="false">
      <c r="A38" s="19" t="str">
        <f aca="false">IF(COUNTA(B38:I38)=0,"",ROW()-12)</f>
        <v/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31"/>
      <c r="Q38" s="29"/>
    </row>
    <row r="39" customFormat="false" ht="21.75" hidden="false" customHeight="true" outlineLevel="0" collapsed="false">
      <c r="A39" s="19" t="str">
        <f aca="false">IF(COUNTA(B39:I39)=0,"",ROW()-12)</f>
        <v/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31"/>
      <c r="Q39" s="29"/>
    </row>
    <row r="40" customFormat="false" ht="21.75" hidden="false" customHeight="true" outlineLevel="0" collapsed="false">
      <c r="A40" s="19" t="str">
        <f aca="false">IF(COUNTA(B40:I40)=0,"",ROW()-12)</f>
        <v/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31"/>
      <c r="Q40" s="29"/>
    </row>
    <row r="41" customFormat="false" ht="21.75" hidden="false" customHeight="true" outlineLevel="0" collapsed="false">
      <c r="A41" s="19" t="str">
        <f aca="false">IF(COUNTA(B41:I41)=0,"",ROW()-12)</f>
        <v/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31"/>
      <c r="Q41" s="29"/>
    </row>
    <row r="42" customFormat="false" ht="21.75" hidden="false" customHeight="true" outlineLevel="0" collapsed="false">
      <c r="A42" s="19" t="str">
        <f aca="false">IF(COUNTA(B42:I42)=0,"",ROW()-12)</f>
        <v/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31"/>
      <c r="Q42" s="29"/>
    </row>
    <row r="43" customFormat="false" ht="21.75" hidden="false" customHeight="true" outlineLevel="0" collapsed="false">
      <c r="A43" s="19" t="str">
        <f aca="false">IF(COUNTA(B43:I43)=0,"",ROW()-12)</f>
        <v/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31"/>
      <c r="Q43" s="29"/>
    </row>
    <row r="44" customFormat="false" ht="21.75" hidden="false" customHeight="true" outlineLevel="0" collapsed="false">
      <c r="A44" s="19" t="str">
        <f aca="false">IF(COUNTA(B44:I44)=0,"",ROW()-12)</f>
        <v/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31"/>
      <c r="Q44" s="29"/>
    </row>
    <row r="45" customFormat="false" ht="21.75" hidden="false" customHeight="true" outlineLevel="0" collapsed="false">
      <c r="A45" s="19" t="str">
        <f aca="false">IF(COUNTA(B45:I45)=0,"",ROW()-12)</f>
        <v/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31"/>
      <c r="Q45" s="29"/>
    </row>
    <row r="46" customFormat="false" ht="21.75" hidden="false" customHeight="true" outlineLevel="0" collapsed="false">
      <c r="A46" s="19" t="str">
        <f aca="false">IF(COUNTA(B46:I46)=0,"",ROW()-12)</f>
        <v/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31"/>
      <c r="Q46" s="29"/>
    </row>
    <row r="47" customFormat="false" ht="21.75" hidden="false" customHeight="true" outlineLevel="0" collapsed="false">
      <c r="A47" s="19" t="str">
        <f aca="false">IF(COUNTA(B47:I47)=0,"",ROW()-12)</f>
        <v/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31"/>
      <c r="Q47" s="29"/>
    </row>
    <row r="48" customFormat="false" ht="21.75" hidden="false" customHeight="true" outlineLevel="0" collapsed="false">
      <c r="A48" s="19" t="str">
        <f aca="false">IF(COUNTA(B48:I48)=0,"",ROW()-12)</f>
        <v/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31"/>
      <c r="Q48" s="29"/>
    </row>
    <row r="49" customFormat="false" ht="21.75" hidden="false" customHeight="true" outlineLevel="0" collapsed="false">
      <c r="A49" s="19" t="str">
        <f aca="false">IF(COUNTA(B49:I49)=0,"",ROW()-12)</f>
        <v/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31"/>
      <c r="Q49" s="29"/>
    </row>
    <row r="50" customFormat="false" ht="21.75" hidden="false" customHeight="true" outlineLevel="0" collapsed="false">
      <c r="A50" s="19" t="str">
        <f aca="false">IF(COUNTA(B50:I50)=0,"",ROW()-12)</f>
        <v/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31"/>
      <c r="Q50" s="29"/>
    </row>
    <row r="51" customFormat="false" ht="21.75" hidden="false" customHeight="true" outlineLevel="0" collapsed="false">
      <c r="A51" s="19" t="str">
        <f aca="false">IF(COUNTA(B51:I51)=0,"",ROW()-12)</f>
        <v/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31"/>
      <c r="Q51" s="29"/>
    </row>
    <row r="52" customFormat="false" ht="21.75" hidden="false" customHeight="true" outlineLevel="0" collapsed="false">
      <c r="A52" s="19" t="str">
        <f aca="false">IF(COUNTA(B52:I52)=0,"",ROW()-12)</f>
        <v/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31"/>
      <c r="Q52" s="29"/>
    </row>
    <row r="53" customFormat="false" ht="21.75" hidden="false" customHeight="true" outlineLevel="0" collapsed="false">
      <c r="A53" s="19" t="str">
        <f aca="false">IF(COUNTA(B53:I53)=0,"",ROW()-12)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31"/>
      <c r="Q53" s="29"/>
    </row>
    <row r="54" customFormat="false" ht="21.75" hidden="false" customHeight="true" outlineLevel="0" collapsed="false">
      <c r="A54" s="19" t="str">
        <f aca="false">IF(COUNTA(B54:I54)=0,"",ROW()-12)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31"/>
      <c r="Q54" s="29"/>
    </row>
    <row r="55" customFormat="false" ht="21.75" hidden="false" customHeight="true" outlineLevel="0" collapsed="false">
      <c r="A55" s="19" t="str">
        <f aca="false">IF(COUNTA(B55:I55)=0,"",ROW()-12)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31"/>
      <c r="Q55" s="29"/>
    </row>
    <row r="56" customFormat="false" ht="21.75" hidden="false" customHeight="true" outlineLevel="0" collapsed="false">
      <c r="A56" s="19" t="str">
        <f aca="false">IF(COUNTA(B56:I56)=0,"",ROW()-12)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31"/>
      <c r="Q56" s="29"/>
    </row>
    <row r="57" customFormat="false" ht="21.75" hidden="false" customHeight="true" outlineLevel="0" collapsed="false">
      <c r="A57" s="19" t="str">
        <f aca="false">IF(COUNTA(B57:I57)=0,"",ROW()-12)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31"/>
      <c r="Q57" s="29"/>
    </row>
    <row r="58" customFormat="false" ht="21.75" hidden="false" customHeight="true" outlineLevel="0" collapsed="false">
      <c r="A58" s="19" t="str">
        <f aca="false">IF(COUNTA(B58:I58)=0,"",ROW()-12)</f>
        <v/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31"/>
      <c r="Q58" s="29"/>
    </row>
    <row r="59" customFormat="false" ht="21.75" hidden="false" customHeight="true" outlineLevel="0" collapsed="false">
      <c r="A59" s="19" t="str">
        <f aca="false">IF(COUNTA(B59:I59)=0,"",ROW()-12)</f>
        <v/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31"/>
      <c r="Q59" s="29"/>
    </row>
    <row r="60" customFormat="false" ht="21.75" hidden="false" customHeight="true" outlineLevel="0" collapsed="false">
      <c r="A60" s="19" t="str">
        <f aca="false">IF(COUNTA(B60:I60)=0,"",ROW()-12)</f>
        <v/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31"/>
      <c r="Q60" s="29"/>
    </row>
    <row r="61" customFormat="false" ht="21.75" hidden="false" customHeight="true" outlineLevel="0" collapsed="false">
      <c r="A61" s="19" t="str">
        <f aca="false">IF(COUNTA(B61:I61)=0,"",ROW()-12)</f>
        <v/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31"/>
      <c r="Q61" s="29"/>
    </row>
    <row r="62" customFormat="false" ht="21.75" hidden="false" customHeight="true" outlineLevel="0" collapsed="false">
      <c r="A62" s="19" t="str">
        <f aca="false">IF(COUNTA(B62:I62)=0,"",ROW()-12)</f>
        <v/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31"/>
      <c r="Q62" s="29"/>
    </row>
    <row r="63" customFormat="false" ht="15" hidden="false" customHeight="false" outlineLevel="0" collapsed="false">
      <c r="P63" s="32"/>
    </row>
    <row r="64" customFormat="false" ht="15" hidden="false" customHeight="false" outlineLevel="0" collapsed="false">
      <c r="P64" s="32"/>
    </row>
    <row r="65" customFormat="false" ht="15" hidden="false" customHeight="false" outlineLevel="0" collapsed="false">
      <c r="P65" s="32"/>
    </row>
    <row r="66" customFormat="false" ht="15" hidden="false" customHeight="false" outlineLevel="0" collapsed="false">
      <c r="P66" s="32"/>
    </row>
    <row r="67" customFormat="false" ht="15" hidden="false" customHeight="false" outlineLevel="0" collapsed="false">
      <c r="P67" s="32"/>
    </row>
    <row r="68" customFormat="false" ht="15" hidden="false" customHeight="false" outlineLevel="0" collapsed="false">
      <c r="P68" s="32"/>
    </row>
    <row r="69" customFormat="false" ht="15" hidden="false" customHeight="false" outlineLevel="0" collapsed="false">
      <c r="P69" s="32"/>
    </row>
    <row r="70" customFormat="false" ht="15" hidden="false" customHeight="false" outlineLevel="0" collapsed="false">
      <c r="P70" s="32"/>
    </row>
    <row r="71" customFormat="false" ht="15" hidden="false" customHeight="false" outlineLevel="0" collapsed="false">
      <c r="P71" s="32"/>
    </row>
    <row r="72" customFormat="false" ht="15" hidden="false" customHeight="false" outlineLevel="0" collapsed="false">
      <c r="P72" s="32"/>
    </row>
    <row r="73" customFormat="false" ht="15" hidden="false" customHeight="false" outlineLevel="0" collapsed="false">
      <c r="P73" s="32"/>
    </row>
    <row r="74" customFormat="false" ht="15" hidden="false" customHeight="false" outlineLevel="0" collapsed="false">
      <c r="P74" s="32"/>
    </row>
    <row r="75" customFormat="false" ht="15" hidden="false" customHeight="false" outlineLevel="0" collapsed="false">
      <c r="P75" s="32"/>
    </row>
    <row r="76" customFormat="false" ht="15" hidden="false" customHeight="false" outlineLevel="0" collapsed="false">
      <c r="P76" s="32"/>
    </row>
    <row r="77" customFormat="false" ht="15" hidden="false" customHeight="false" outlineLevel="0" collapsed="false">
      <c r="P77" s="32"/>
    </row>
    <row r="78" customFormat="false" ht="15" hidden="false" customHeight="false" outlineLevel="0" collapsed="false">
      <c r="P78" s="32"/>
    </row>
    <row r="79" customFormat="false" ht="15" hidden="false" customHeight="false" outlineLevel="0" collapsed="false">
      <c r="P79" s="32"/>
    </row>
    <row r="80" customFormat="false" ht="15" hidden="false" customHeight="false" outlineLevel="0" collapsed="false">
      <c r="P80" s="32"/>
    </row>
    <row r="81" customFormat="false" ht="15" hidden="false" customHeight="false" outlineLevel="0" collapsed="false">
      <c r="P81" s="32"/>
    </row>
    <row r="82" customFormat="false" ht="15" hidden="false" customHeight="false" outlineLevel="0" collapsed="false">
      <c r="P82" s="32"/>
    </row>
    <row r="83" customFormat="false" ht="15" hidden="false" customHeight="false" outlineLevel="0" collapsed="false">
      <c r="P83" s="32"/>
    </row>
    <row r="84" customFormat="false" ht="15" hidden="false" customHeight="false" outlineLevel="0" collapsed="false">
      <c r="P84" s="32"/>
    </row>
    <row r="85" customFormat="false" ht="15" hidden="false" customHeight="false" outlineLevel="0" collapsed="false">
      <c r="P85" s="32"/>
    </row>
    <row r="86" customFormat="false" ht="15" hidden="false" customHeight="false" outlineLevel="0" collapsed="false">
      <c r="P86" s="32"/>
    </row>
    <row r="87" customFormat="false" ht="15" hidden="false" customHeight="false" outlineLevel="0" collapsed="false">
      <c r="P87" s="32"/>
    </row>
    <row r="88" customFormat="false" ht="15" hidden="false" customHeight="false" outlineLevel="0" collapsed="false">
      <c r="P88" s="32"/>
    </row>
    <row r="89" customFormat="false" ht="15" hidden="false" customHeight="false" outlineLevel="0" collapsed="false">
      <c r="P89" s="32"/>
    </row>
    <row r="90" customFormat="false" ht="15" hidden="false" customHeight="false" outlineLevel="0" collapsed="false">
      <c r="P90" s="32"/>
    </row>
    <row r="91" customFormat="false" ht="15" hidden="false" customHeight="false" outlineLevel="0" collapsed="false">
      <c r="P91" s="32"/>
    </row>
    <row r="92" customFormat="false" ht="15" hidden="false" customHeight="false" outlineLevel="0" collapsed="false">
      <c r="P92" s="32"/>
    </row>
    <row r="93" customFormat="false" ht="15" hidden="false" customHeight="false" outlineLevel="0" collapsed="false">
      <c r="P93" s="32"/>
    </row>
    <row r="94" customFormat="false" ht="15" hidden="false" customHeight="false" outlineLevel="0" collapsed="false">
      <c r="P94" s="32"/>
    </row>
    <row r="95" customFormat="false" ht="15" hidden="false" customHeight="false" outlineLevel="0" collapsed="false">
      <c r="P95" s="32"/>
    </row>
    <row r="96" customFormat="false" ht="15" hidden="false" customHeight="false" outlineLevel="0" collapsed="false">
      <c r="P96" s="32"/>
    </row>
    <row r="97" customFormat="false" ht="15" hidden="false" customHeight="false" outlineLevel="0" collapsed="false">
      <c r="P97" s="32"/>
    </row>
    <row r="98" customFormat="false" ht="15" hidden="false" customHeight="false" outlineLevel="0" collapsed="false">
      <c r="P98" s="32"/>
    </row>
    <row r="99" customFormat="false" ht="15" hidden="false" customHeight="false" outlineLevel="0" collapsed="false">
      <c r="P99" s="32"/>
    </row>
    <row r="100" customFormat="false" ht="15" hidden="false" customHeight="false" outlineLevel="0" collapsed="false">
      <c r="P100" s="32"/>
    </row>
    <row r="101" customFormat="false" ht="15" hidden="false" customHeight="false" outlineLevel="0" collapsed="false">
      <c r="P101" s="32"/>
    </row>
    <row r="102" customFormat="false" ht="15" hidden="false" customHeight="false" outlineLevel="0" collapsed="false">
      <c r="P102" s="32"/>
    </row>
    <row r="103" customFormat="false" ht="15" hidden="false" customHeight="false" outlineLevel="0" collapsed="false">
      <c r="P103" s="32"/>
    </row>
    <row r="104" customFormat="false" ht="15" hidden="false" customHeight="false" outlineLevel="0" collapsed="false">
      <c r="P104" s="32"/>
    </row>
    <row r="105" customFormat="false" ht="15" hidden="false" customHeight="false" outlineLevel="0" collapsed="false">
      <c r="P105" s="32"/>
    </row>
    <row r="106" customFormat="false" ht="15" hidden="false" customHeight="false" outlineLevel="0" collapsed="false">
      <c r="P106" s="32"/>
    </row>
    <row r="107" customFormat="false" ht="15" hidden="false" customHeight="false" outlineLevel="0" collapsed="false">
      <c r="P107" s="32"/>
    </row>
    <row r="108" customFormat="false" ht="15" hidden="false" customHeight="false" outlineLevel="0" collapsed="false">
      <c r="P108" s="32"/>
    </row>
    <row r="109" customFormat="false" ht="15" hidden="false" customHeight="false" outlineLevel="0" collapsed="false">
      <c r="P109" s="32"/>
    </row>
    <row r="110" customFormat="false" ht="15" hidden="false" customHeight="false" outlineLevel="0" collapsed="false">
      <c r="P110" s="32"/>
    </row>
    <row r="111" customFormat="false" ht="15" hidden="false" customHeight="false" outlineLevel="0" collapsed="false">
      <c r="P111" s="32"/>
    </row>
    <row r="112" customFormat="false" ht="15" hidden="false" customHeight="false" outlineLevel="0" collapsed="false">
      <c r="P112" s="32"/>
    </row>
    <row r="113" customFormat="false" ht="15" hidden="false" customHeight="false" outlineLevel="0" collapsed="false">
      <c r="P113" s="32"/>
    </row>
    <row r="114" customFormat="false" ht="15" hidden="false" customHeight="false" outlineLevel="0" collapsed="false">
      <c r="P114" s="32"/>
    </row>
    <row r="115" customFormat="false" ht="15" hidden="false" customHeight="false" outlineLevel="0" collapsed="false">
      <c r="P115" s="32"/>
    </row>
    <row r="116" customFormat="false" ht="15" hidden="false" customHeight="false" outlineLevel="0" collapsed="false">
      <c r="P116" s="32"/>
    </row>
    <row r="117" customFormat="false" ht="15" hidden="false" customHeight="false" outlineLevel="0" collapsed="false">
      <c r="P117" s="32"/>
    </row>
    <row r="118" customFormat="false" ht="15" hidden="false" customHeight="false" outlineLevel="0" collapsed="false">
      <c r="P118" s="32"/>
    </row>
    <row r="119" customFormat="false" ht="15" hidden="false" customHeight="false" outlineLevel="0" collapsed="false">
      <c r="P119" s="32"/>
    </row>
    <row r="120" customFormat="false" ht="15" hidden="false" customHeight="false" outlineLevel="0" collapsed="false">
      <c r="P120" s="32"/>
    </row>
    <row r="121" customFormat="false" ht="15" hidden="false" customHeight="false" outlineLevel="0" collapsed="false">
      <c r="P121" s="32"/>
    </row>
    <row r="122" customFormat="false" ht="15" hidden="false" customHeight="false" outlineLevel="0" collapsed="false">
      <c r="P122" s="32"/>
    </row>
    <row r="123" customFormat="false" ht="15" hidden="false" customHeight="false" outlineLevel="0" collapsed="false">
      <c r="P123" s="32"/>
    </row>
    <row r="124" customFormat="false" ht="15" hidden="false" customHeight="false" outlineLevel="0" collapsed="false">
      <c r="P124" s="32"/>
    </row>
    <row r="125" customFormat="false" ht="15" hidden="false" customHeight="false" outlineLevel="0" collapsed="false">
      <c r="P125" s="32"/>
    </row>
    <row r="126" customFormat="false" ht="15" hidden="false" customHeight="false" outlineLevel="0" collapsed="false">
      <c r="P126" s="32"/>
    </row>
    <row r="127" customFormat="false" ht="15" hidden="false" customHeight="false" outlineLevel="0" collapsed="false">
      <c r="P127" s="32"/>
    </row>
    <row r="128" customFormat="false" ht="15" hidden="false" customHeight="false" outlineLevel="0" collapsed="false">
      <c r="P128" s="32"/>
    </row>
    <row r="129" customFormat="false" ht="15" hidden="false" customHeight="false" outlineLevel="0" collapsed="false">
      <c r="P129" s="32"/>
    </row>
    <row r="130" customFormat="false" ht="15" hidden="false" customHeight="false" outlineLevel="0" collapsed="false">
      <c r="P130" s="32"/>
    </row>
    <row r="131" customFormat="false" ht="15" hidden="false" customHeight="false" outlineLevel="0" collapsed="false">
      <c r="P131" s="32"/>
    </row>
    <row r="132" customFormat="false" ht="15" hidden="false" customHeight="false" outlineLevel="0" collapsed="false">
      <c r="P132" s="32"/>
    </row>
    <row r="133" customFormat="false" ht="15" hidden="false" customHeight="false" outlineLevel="0" collapsed="false">
      <c r="P133" s="32"/>
    </row>
    <row r="134" customFormat="false" ht="15" hidden="false" customHeight="false" outlineLevel="0" collapsed="false">
      <c r="P134" s="32"/>
    </row>
    <row r="135" customFormat="false" ht="15" hidden="false" customHeight="false" outlineLevel="0" collapsed="false">
      <c r="P135" s="32"/>
    </row>
    <row r="136" customFormat="false" ht="15" hidden="false" customHeight="false" outlineLevel="0" collapsed="false">
      <c r="P136" s="32"/>
    </row>
    <row r="137" customFormat="false" ht="15" hidden="false" customHeight="false" outlineLevel="0" collapsed="false">
      <c r="P137" s="32"/>
    </row>
    <row r="138" customFormat="false" ht="15" hidden="false" customHeight="false" outlineLevel="0" collapsed="false">
      <c r="P138" s="32"/>
    </row>
    <row r="139" customFormat="false" ht="15" hidden="false" customHeight="false" outlineLevel="0" collapsed="false">
      <c r="P139" s="32"/>
    </row>
    <row r="140" customFormat="false" ht="15" hidden="false" customHeight="false" outlineLevel="0" collapsed="false">
      <c r="P140" s="32"/>
    </row>
    <row r="141" customFormat="false" ht="15" hidden="false" customHeight="false" outlineLevel="0" collapsed="false">
      <c r="P141" s="32"/>
    </row>
    <row r="142" customFormat="false" ht="15" hidden="false" customHeight="false" outlineLevel="0" collapsed="false">
      <c r="P142" s="32"/>
    </row>
    <row r="143" customFormat="false" ht="15" hidden="false" customHeight="false" outlineLevel="0" collapsed="false">
      <c r="P143" s="32"/>
    </row>
    <row r="144" customFormat="false" ht="15" hidden="false" customHeight="false" outlineLevel="0" collapsed="false">
      <c r="P144" s="32"/>
    </row>
    <row r="145" customFormat="false" ht="15" hidden="false" customHeight="false" outlineLevel="0" collapsed="false">
      <c r="P145" s="32"/>
    </row>
    <row r="146" customFormat="false" ht="15" hidden="false" customHeight="false" outlineLevel="0" collapsed="false">
      <c r="P146" s="32"/>
    </row>
    <row r="147" customFormat="false" ht="15" hidden="false" customHeight="false" outlineLevel="0" collapsed="false">
      <c r="P147" s="32"/>
    </row>
    <row r="148" customFormat="false" ht="15" hidden="false" customHeight="false" outlineLevel="0" collapsed="false">
      <c r="P148" s="32"/>
    </row>
    <row r="149" customFormat="false" ht="15" hidden="false" customHeight="false" outlineLevel="0" collapsed="false">
      <c r="P149" s="32"/>
    </row>
    <row r="150" customFormat="false" ht="15" hidden="false" customHeight="false" outlineLevel="0" collapsed="false">
      <c r="P150" s="32"/>
    </row>
    <row r="151" customFormat="false" ht="15" hidden="false" customHeight="false" outlineLevel="0" collapsed="false">
      <c r="P151" s="32"/>
    </row>
    <row r="152" customFormat="false" ht="15" hidden="false" customHeight="false" outlineLevel="0" collapsed="false">
      <c r="P152" s="32"/>
    </row>
    <row r="153" customFormat="false" ht="15" hidden="false" customHeight="false" outlineLevel="0" collapsed="false">
      <c r="P153" s="32"/>
    </row>
    <row r="154" customFormat="false" ht="15" hidden="false" customHeight="false" outlineLevel="0" collapsed="false">
      <c r="P154" s="32"/>
    </row>
    <row r="155" customFormat="false" ht="15" hidden="false" customHeight="false" outlineLevel="0" collapsed="false">
      <c r="P155" s="32"/>
    </row>
    <row r="156" customFormat="false" ht="15" hidden="false" customHeight="false" outlineLevel="0" collapsed="false">
      <c r="P156" s="32"/>
    </row>
    <row r="157" customFormat="false" ht="15" hidden="false" customHeight="false" outlineLevel="0" collapsed="false">
      <c r="P157" s="32"/>
    </row>
    <row r="158" customFormat="false" ht="15" hidden="false" customHeight="false" outlineLevel="0" collapsed="false">
      <c r="P158" s="32"/>
    </row>
    <row r="159" customFormat="false" ht="15" hidden="false" customHeight="false" outlineLevel="0" collapsed="false">
      <c r="P159" s="32"/>
    </row>
    <row r="160" customFormat="false" ht="15" hidden="false" customHeight="false" outlineLevel="0" collapsed="false">
      <c r="P160" s="32"/>
    </row>
    <row r="161" customFormat="false" ht="15" hidden="false" customHeight="false" outlineLevel="0" collapsed="false">
      <c r="P161" s="32"/>
    </row>
    <row r="162" customFormat="false" ht="15" hidden="false" customHeight="false" outlineLevel="0" collapsed="false">
      <c r="P162" s="32"/>
    </row>
    <row r="163" customFormat="false" ht="15" hidden="false" customHeight="false" outlineLevel="0" collapsed="false">
      <c r="P163" s="32"/>
    </row>
    <row r="164" customFormat="false" ht="15" hidden="false" customHeight="false" outlineLevel="0" collapsed="false">
      <c r="P164" s="32"/>
    </row>
    <row r="165" customFormat="false" ht="15" hidden="false" customHeight="false" outlineLevel="0" collapsed="false">
      <c r="P165" s="32"/>
    </row>
    <row r="166" customFormat="false" ht="15" hidden="false" customHeight="false" outlineLevel="0" collapsed="false">
      <c r="P166" s="32"/>
    </row>
    <row r="167" customFormat="false" ht="15" hidden="false" customHeight="false" outlineLevel="0" collapsed="false">
      <c r="P167" s="32"/>
    </row>
    <row r="168" customFormat="false" ht="15" hidden="false" customHeight="false" outlineLevel="0" collapsed="false">
      <c r="P168" s="32"/>
    </row>
    <row r="169" customFormat="false" ht="15" hidden="false" customHeight="false" outlineLevel="0" collapsed="false">
      <c r="P169" s="32"/>
    </row>
    <row r="170" customFormat="false" ht="15" hidden="false" customHeight="false" outlineLevel="0" collapsed="false">
      <c r="P170" s="32"/>
    </row>
    <row r="171" customFormat="false" ht="15" hidden="false" customHeight="false" outlineLevel="0" collapsed="false">
      <c r="P171" s="32"/>
    </row>
    <row r="172" customFormat="false" ht="15" hidden="false" customHeight="false" outlineLevel="0" collapsed="false">
      <c r="P172" s="32"/>
    </row>
    <row r="173" customFormat="false" ht="15" hidden="false" customHeight="false" outlineLevel="0" collapsed="false">
      <c r="P173" s="32"/>
    </row>
    <row r="174" customFormat="false" ht="15" hidden="false" customHeight="false" outlineLevel="0" collapsed="false">
      <c r="P174" s="32"/>
    </row>
    <row r="175" customFormat="false" ht="15" hidden="false" customHeight="false" outlineLevel="0" collapsed="false">
      <c r="P175" s="32"/>
    </row>
    <row r="176" customFormat="false" ht="15" hidden="false" customHeight="false" outlineLevel="0" collapsed="false">
      <c r="P176" s="32"/>
    </row>
    <row r="177" customFormat="false" ht="15" hidden="false" customHeight="false" outlineLevel="0" collapsed="false">
      <c r="P177" s="32"/>
    </row>
    <row r="178" customFormat="false" ht="15" hidden="false" customHeight="false" outlineLevel="0" collapsed="false">
      <c r="P178" s="32"/>
    </row>
    <row r="179" customFormat="false" ht="15" hidden="false" customHeight="false" outlineLevel="0" collapsed="false">
      <c r="P179" s="32"/>
    </row>
    <row r="180" customFormat="false" ht="15" hidden="false" customHeight="false" outlineLevel="0" collapsed="false">
      <c r="P180" s="32"/>
    </row>
    <row r="181" customFormat="false" ht="15" hidden="false" customHeight="false" outlineLevel="0" collapsed="false">
      <c r="P181" s="32"/>
    </row>
    <row r="182" customFormat="false" ht="15" hidden="false" customHeight="false" outlineLevel="0" collapsed="false">
      <c r="P182" s="32"/>
    </row>
    <row r="183" customFormat="false" ht="15" hidden="false" customHeight="false" outlineLevel="0" collapsed="false">
      <c r="P183" s="32"/>
    </row>
    <row r="184" customFormat="false" ht="15" hidden="false" customHeight="false" outlineLevel="0" collapsed="false">
      <c r="P184" s="32"/>
    </row>
    <row r="185" customFormat="false" ht="15" hidden="false" customHeight="false" outlineLevel="0" collapsed="false">
      <c r="P185" s="32"/>
    </row>
    <row r="186" customFormat="false" ht="15" hidden="false" customHeight="false" outlineLevel="0" collapsed="false">
      <c r="P186" s="32"/>
    </row>
    <row r="187" customFormat="false" ht="15" hidden="false" customHeight="false" outlineLevel="0" collapsed="false">
      <c r="P187" s="32"/>
    </row>
    <row r="188" customFormat="false" ht="15" hidden="false" customHeight="false" outlineLevel="0" collapsed="false">
      <c r="P188" s="32"/>
    </row>
    <row r="189" customFormat="false" ht="15" hidden="false" customHeight="false" outlineLevel="0" collapsed="false">
      <c r="P189" s="32"/>
    </row>
    <row r="190" customFormat="false" ht="15" hidden="false" customHeight="false" outlineLevel="0" collapsed="false">
      <c r="P190" s="32"/>
    </row>
    <row r="191" customFormat="false" ht="15" hidden="false" customHeight="false" outlineLevel="0" collapsed="false">
      <c r="P191" s="32"/>
    </row>
    <row r="192" customFormat="false" ht="15" hidden="false" customHeight="false" outlineLevel="0" collapsed="false">
      <c r="P192" s="32"/>
    </row>
    <row r="193" customFormat="false" ht="15" hidden="false" customHeight="false" outlineLevel="0" collapsed="false">
      <c r="P193" s="32"/>
    </row>
    <row r="194" customFormat="false" ht="15" hidden="false" customHeight="false" outlineLevel="0" collapsed="false">
      <c r="P194" s="32"/>
    </row>
    <row r="195" customFormat="false" ht="15" hidden="false" customHeight="false" outlineLevel="0" collapsed="false">
      <c r="P195" s="32"/>
    </row>
    <row r="196" customFormat="false" ht="15" hidden="false" customHeight="false" outlineLevel="0" collapsed="false">
      <c r="P196" s="32"/>
    </row>
    <row r="197" customFormat="false" ht="15" hidden="false" customHeight="false" outlineLevel="0" collapsed="false">
      <c r="P197" s="32"/>
    </row>
    <row r="198" customFormat="false" ht="15" hidden="false" customHeight="false" outlineLevel="0" collapsed="false">
      <c r="P198" s="32"/>
    </row>
    <row r="199" customFormat="false" ht="15" hidden="false" customHeight="false" outlineLevel="0" collapsed="false">
      <c r="P199" s="32"/>
    </row>
    <row r="200" customFormat="false" ht="15" hidden="false" customHeight="false" outlineLevel="0" collapsed="false">
      <c r="P200" s="32"/>
    </row>
  </sheetData>
  <autoFilter ref="A12:Q200"/>
  <mergeCells count="5">
    <mergeCell ref="A1:Q1"/>
    <mergeCell ref="A3:D3"/>
    <mergeCell ref="F3:I3"/>
    <mergeCell ref="F11:H11"/>
    <mergeCell ref="J11:Q11"/>
  </mergeCells>
  <conditionalFormatting sqref="G13:G200">
    <cfRule type="cellIs" priority="2" operator="equal" aboveAverage="0" equalAverage="0" bottom="0" percent="0" rank="0" text="" dxfId="8">
      <formula>"Commissioned"</formula>
    </cfRule>
    <cfRule type="cellIs" priority="3" operator="equal" aboveAverage="0" equalAverage="0" bottom="0" percent="0" rank="0" text="" dxfId="8">
      <formula>"Tested"</formula>
    </cfRule>
    <cfRule type="cellIs" priority="4" operator="equal" aboveAverage="0" equalAverage="0" bottom="0" percent="0" rank="0" text="" dxfId="9">
      <formula>"Installed"</formula>
    </cfRule>
    <cfRule type="cellIs" priority="5" operator="equal" aboveAverage="0" equalAverage="0" bottom="0" percent="0" rank="0" text="" dxfId="9">
      <formula>"Delivered"</formula>
    </cfRule>
    <cfRule type="cellIs" priority="6" operator="equal" aboveAverage="0" equalAverage="0" bottom="0" percent="0" rank="0" text="" dxfId="10">
      <formula>"Planned"</formula>
    </cfRule>
    <cfRule type="cellIs" priority="7" operator="equal" aboveAverage="0" equalAverage="0" bottom="0" percent="0" rank="0" text="" dxfId="10">
      <formula>"Ordered"</formula>
    </cfRule>
  </conditionalFormatting>
  <conditionalFormatting sqref="I11">
    <cfRule type="cellIs" priority="8" operator="greaterThanOrEqual" aboveAverage="0" equalAverage="0" bottom="0" percent="0" rank="0" text="" dxfId="8">
      <formula>0.8</formula>
    </cfRule>
    <cfRule type="cellIs" priority="9" operator="between" aboveAverage="0" equalAverage="0" bottom="0" percent="0" rank="0" text="" dxfId="9">
      <formula>0.4</formula>
      <formula>0.79</formula>
    </cfRule>
    <cfRule type="cellIs" priority="10" operator="lessThan" aboveAverage="0" equalAverage="0" bottom="0" percent="0" rank="0" text="" dxfId="10">
      <formula>0.4</formula>
    </cfRule>
  </conditionalFormatting>
  <dataValidations count="4">
    <dataValidation allowBlank="true" error="Please select a valid status" errorStyle="stop" errorTitle="Invalid Status" operator="between" showDropDown="false" showErrorMessage="false" showInputMessage="false" sqref="G13:G200" type="list">
      <formula1>"Planned,Ordered,Delivered,Installed,Tested,Commissioned"</formula1>
      <formula2>0</formula2>
    </dataValidation>
    <dataValidation allowBlank="true" error="Please select a valid panel type" errorStyle="stop" operator="between" showDropDown="false" showErrorMessage="false" showInputMessage="false" sqref="F13:F200" type="list">
      <formula1>"MCC,Distribution Board,Control Panel,PLC Cabinet,VSD Panel,Switchboard,Other"</formula1>
      <formula2>0</formula2>
    </dataValidation>
    <dataValidation allowBlank="true" errorStyle="stop" operator="between" showDropDown="false" showErrorMessage="false" showInputMessage="false" sqref="J13:J200" type="list">
      <formula1>"230,400,415,690,3300,6600,11000"</formula1>
      <formula2>0</formula2>
    </dataValidation>
    <dataValidation allowBlank="true" errorStyle="stop" operator="between" showDropDown="false" showErrorMessage="false" showInputMessage="false" sqref="L13:L200" type="list">
      <formula1>"IP20,IP31,IP40,IP44,IP54,IP55,IP65,IP66"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&amp;CPanel / MCC Schedule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33" t="s">
        <v>108</v>
      </c>
    </row>
    <row r="2" customFormat="false" ht="15" hidden="false" customHeight="false" outlineLevel="0" collapsed="false">
      <c r="A2" s="33"/>
    </row>
    <row r="3" customFormat="false" ht="15" hidden="false" customHeight="false" outlineLevel="0" collapsed="false">
      <c r="A3" s="33" t="s">
        <v>109</v>
      </c>
    </row>
    <row r="4" customFormat="false" ht="15" hidden="false" customHeight="false" outlineLevel="0" collapsed="false">
      <c r="A4" s="33"/>
    </row>
    <row r="5" customFormat="false" ht="15" hidden="false" customHeight="false" outlineLevel="0" collapsed="false">
      <c r="A5" s="33" t="s">
        <v>110</v>
      </c>
    </row>
    <row r="6" customFormat="false" ht="15" hidden="false" customHeight="false" outlineLevel="0" collapsed="false">
      <c r="A6" s="33"/>
    </row>
    <row r="7" customFormat="false" ht="15" hidden="false" customHeight="false" outlineLevel="0" collapsed="false">
      <c r="A7" s="33" t="s">
        <v>111</v>
      </c>
    </row>
    <row r="8" customFormat="false" ht="15" hidden="false" customHeight="false" outlineLevel="0" collapsed="false">
      <c r="A8" s="33"/>
    </row>
    <row r="9" customFormat="false" ht="15" hidden="false" customHeight="false" outlineLevel="0" collapsed="false">
      <c r="A9" s="33" t="s">
        <v>112</v>
      </c>
    </row>
    <row r="10" customFormat="false" ht="15" hidden="false" customHeight="false" outlineLevel="0" collapsed="false">
      <c r="A10" s="33"/>
    </row>
    <row r="11" customFormat="false" ht="15" hidden="false" customHeight="false" outlineLevel="0" collapsed="false">
      <c r="A11" s="33" t="s">
        <v>113</v>
      </c>
    </row>
    <row r="12" customFormat="false" ht="15" hidden="false" customHeight="false" outlineLevel="0" collapsed="false">
      <c r="A12" s="33"/>
    </row>
    <row r="13" customFormat="false" ht="15" hidden="false" customHeight="false" outlineLevel="0" collapsed="false">
      <c r="A13" s="33" t="s">
        <v>114</v>
      </c>
    </row>
    <row r="14" customFormat="false" ht="15" hidden="false" customHeight="false" outlineLevel="0" collapsed="false">
      <c r="A14" s="33"/>
    </row>
    <row r="15" customFormat="false" ht="15" hidden="false" customHeight="false" outlineLevel="0" collapsed="false">
      <c r="A15" s="33" t="s">
        <v>115</v>
      </c>
    </row>
    <row r="16" customFormat="false" ht="15" hidden="false" customHeight="false" outlineLevel="0" collapsed="false">
      <c r="A16" s="33"/>
    </row>
    <row r="17" customFormat="false" ht="15" hidden="false" customHeight="false" outlineLevel="0" collapsed="false">
      <c r="A17" s="33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MEICA / Commissioning</cp:category>
  <dcterms:created xsi:type="dcterms:W3CDTF">2026-03-22T20:32:52Z</dcterms:created>
  <dc:creator>Ebrora Ltd</dc:creator>
  <dc:description>Track and manage all electrical panels, motor control centres, and distribution boards across your project — from specification through to commissioning sign-off.
Free professional construction management template from Ebrora Ltd. Visit ebrora.com for our full range of tools and templates.</dc:description>
  <cp:keywords>Ebrora construction MEICA panel schedule MCC electrical commissioning distribution board</cp:keywords>
  <dc:language>en-US</dc:language>
  <cp:lastModifiedBy>Ebrora Ltd</cp:lastModifiedBy>
  <dcterms:modified xsi:type="dcterms:W3CDTF">2026-03-22T20:32:52Z</dcterms:modified>
  <cp:revision>0</cp:revision>
  <dc:subject>Schedule and tracker for electrical panels, motor control centres, and distribution boards from specification through commissioning.</dc:subject>
  <dc:title>Panel / MCC Schedule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