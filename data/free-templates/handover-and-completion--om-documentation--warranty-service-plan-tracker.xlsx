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arranty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'Warranty Tracker'!$A$1:$W$30</definedName>
    <definedName function="false" hidden="false" localSheetId="2" name="_xlnm.Print_Titles" vbProcedure="false">'Warranty Tracker'!$A:$F,'Warranty Tracker'!$1:$1</definedName>
    <definedName function="false" hidden="false" localSheetId="2" name="_xlnm.Print_Titles" vbProcedure="false">'Warranty Tracker'!$1:$1,'Warranty Tracker'!$A:$F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<sst xmlns="http://schemas.openxmlformats.org/spreadsheetml/2006/main" count="174" uniqueCount="102">
  <si>
    <t xml:space="preserve">EBRORA</t>
  </si>
  <si>
    <t xml:space="preserve">ebrora.com</t>
  </si>
  <si>
    <t xml:space="preserve">Warranty &amp; Service</t>
  </si>
  <si>
    <t xml:space="preserve">Plan Tracker</t>
  </si>
  <si>
    <t xml:space="preserve">Track warranty expiry dates, planned service intervals,</t>
  </si>
  <si>
    <t xml:space="preserve">and supplier contacts for all commissioned assets.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</si>
  <si>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</si>
  <si>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</si>
  <si>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</si>
  <si>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</si>
  <si>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</si>
  <si>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</si>
  <si>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'Warranty Tracker' sheet. Each row is one asset or system with warranty and service plan details.</t>
  </si>
  <si>
    <t xml:space="preserve">2.</t>
  </si>
  <si>
    <t xml:space="preserve">Record the Asset/System, Supplier, Warranty Start/End dates, Service Interval, and Supplier Contact details.</t>
  </si>
  <si>
    <t xml:space="preserve">3.</t>
  </si>
  <si>
    <t xml:space="preserve">The 'Warranty Remaining' column auto-calculates days remaining. The 'Warranty Status' shows Active, Expiring Soon, or Expired.</t>
  </si>
  <si>
    <t xml:space="preserve">4.</t>
  </si>
  <si>
    <t xml:space="preserve">Monthly columns (12 months) show the service schedule. Mark: Planned, Booked, Done, N/A.</t>
  </si>
  <si>
    <t xml:space="preserve">5.</t>
  </si>
  <si>
    <t xml:space="preserve">The Next Service Due column calculates based on last service date and interval.</t>
  </si>
  <si>
    <t xml:space="preserve">6.</t>
  </si>
  <si>
    <t xml:space="preserve">Use this tracker to plan warranty inspections before expiry — claims after expiry are rarely honoured.</t>
  </si>
  <si>
    <t xml:space="preserve">Colour Key</t>
  </si>
  <si>
    <t xml:space="preserve">Light teal = Input</t>
  </si>
  <si>
    <t xml:space="preserve">Green = Active warranty / Done service</t>
  </si>
  <si>
    <t xml:space="preserve">Amber = Expiring within 90 days / Planned or Booked</t>
  </si>
  <si>
    <t xml:space="preserve">Red = Expired warranty / Overdue service</t>
  </si>
  <si>
    <t xml:space="preserve">Tips</t>
  </si>
  <si>
    <t xml:space="preserve">Tip 1:</t>
  </si>
  <si>
    <t xml:space="preserve">Schedule warranty inspections 4-6 weeks before expiry. Identify defects while you can still make a warranty claim.</t>
  </si>
  <si>
    <t xml:space="preserve">Tip 2:</t>
  </si>
  <si>
    <t xml:space="preserve">Hand this tracker to the operator at takeover. It's the single most useful document for their maintenance planning.</t>
  </si>
  <si>
    <t xml:space="preserve">Tip 3:</t>
  </si>
  <si>
    <t xml:space="preserve">Include supplier contact details — the operator needs to know who to call for warranty repairs at 2am on a Sunday.</t>
  </si>
  <si>
    <t xml:space="preserve">Asset / System</t>
  </si>
  <si>
    <t xml:space="preserve">Supplier</t>
  </si>
  <si>
    <t xml:space="preserve">Warranty
Start</t>
  </si>
  <si>
    <t xml:space="preserve">Warranty
End</t>
  </si>
  <si>
    <t xml:space="preserve">Warranty
Remaining</t>
  </si>
  <si>
    <t xml:space="preserve">Warranty
Status</t>
  </si>
  <si>
    <t xml:space="preserve">Service
Interval</t>
  </si>
  <si>
    <t xml:space="preserve">Last Service</t>
  </si>
  <si>
    <t xml:space="preserve">Supplier
Contact</t>
  </si>
  <si>
    <t xml:space="preserve">Supplier
Phone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</si>
  <si>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</si>
  <si>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</si>
  <si>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</si>
  <si>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</si>
  <si>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</si>
  <si>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</si>
  <si>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</si>
  <si>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</si>
  <si>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</si>
  <si>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</si>
  <si>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</si>
  <si>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</si>
  <si>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Next
Service Due</t>
  </si>
  <si>
    <t xml:space="preserve">Inlet Pumps (PMP-INL-001/002)</t>
  </si>
  <si>
    <t xml:space="preserve">Xylem</t>
  </si>
  <si>
    <t xml:space="preserve">6-Monthly</t>
  </si>
  <si>
    <t xml:space="preserve">Service Desk</t>
  </si>
  <si>
    <t xml:space="preserve">01onal 555 0101</t>
  </si>
  <si>
    <t xml:space="preserve">Done</t>
  </si>
  <si>
    <t xml:space="preserve">N/A</t>
  </si>
  <si>
    <t xml:space="preserve">Booked</t>
  </si>
  <si>
    <t xml:space="preserve">MCC Panel 3</t>
  </si>
  <si>
    <t xml:space="preserve">Schneider Electric</t>
  </si>
  <si>
    <t xml:space="preserve">Annually</t>
  </si>
  <si>
    <t xml:space="preserve">Technical Support</t>
  </si>
  <si>
    <t xml:space="preserve">0800 444 5566</t>
  </si>
  <si>
    <t xml:space="preserve">Planned</t>
  </si>
  <si>
    <t xml:space="preserve">Fine Screens (3mm)</t>
  </si>
  <si>
    <t xml:space="preserve">Huber Technology</t>
  </si>
  <si>
    <t xml:space="preserve">Quarterly</t>
  </si>
  <si>
    <t xml:space="preserve">After-Sales</t>
  </si>
  <si>
    <t xml:space="preserve">01onal 555 0202</t>
  </si>
  <si>
    <t xml:space="preserve">UV Disinfection System</t>
  </si>
  <si>
    <t xml:space="preserve">Trojan Technologies</t>
  </si>
  <si>
    <t xml:space="preserve">Service Engineer</t>
  </si>
  <si>
    <t xml:space="preserve">01onal 555 0303</t>
  </si>
  <si>
    <t xml:space="preserve">Sludge Blanket Analyser</t>
  </si>
  <si>
    <t xml:space="preserve">Cerlic</t>
  </si>
  <si>
    <t xml:space="preserve">UK Distributor</t>
  </si>
  <si>
    <t xml:space="preserve">01onal 555 0404</t>
  </si>
  <si>
    <t xml:space="preserve">SCADA Server (Primary)</t>
  </si>
  <si>
    <t xml:space="preserve">SCADA Support</t>
  </si>
  <si>
    <t xml:space="preserve">0800 444 5567</t>
  </si>
  <si>
    <t xml:space="preserve">SUMMARY</t>
  </si>
  <si>
    <t xml:space="preserve">Total Assets:</t>
  </si>
  <si>
    <t xml:space="preserve">Active Warranty:</t>
  </si>
  <si>
    <t xml:space="preserve">Expiring Soon:</t>
  </si>
  <si>
    <t xml:space="preserve">Expired: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</si>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</sst>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1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/>
      <c r="B11" s="12"/>
    </row>
    <row r="12" customFormat="false" ht="15" hidden="false" customHeight="false" outlineLevel="0" collapsed="false">
      <c r="A12" s="13" t="s">
        <v>23</v>
      </c>
      <c r="B12" s="12"/>
    </row>
    <row r="13" customFormat="false" ht="15" hidden="false" customHeight="false" outlineLevel="0" collapsed="false">
      <c r="A13" s="11"/>
      <c r="B13" s="12" t="s">
        <v>24</v>
      </c>
    </row>
    <row r="14" customFormat="false" ht="15" hidden="false" customHeight="false" outlineLevel="0" collapsed="false">
      <c r="A14" s="11"/>
      <c r="B14" s="12" t="s">
        <v>25</v>
      </c>
    </row>
    <row r="15" customFormat="false" ht="15" hidden="false" customHeight="false" outlineLevel="0" collapsed="false">
      <c r="A15" s="11"/>
      <c r="B15" s="12" t="s">
        <v>26</v>
      </c>
    </row>
    <row r="16" customFormat="false" ht="15" hidden="false" customHeight="false" outlineLevel="0" collapsed="false">
      <c r="A16" s="11"/>
      <c r="B16" s="12" t="s">
        <v>27</v>
      </c>
    </row>
    <row r="17" customFormat="false" ht="15" hidden="false" customHeight="false" outlineLevel="0" collapsed="false">
      <c r="A17" s="11"/>
      <c r="B17" s="12"/>
    </row>
    <row r="18" customFormat="false" ht="15" hidden="false" customHeight="false" outlineLevel="0" collapsed="false">
      <c r="A18" s="13" t="s">
        <v>28</v>
      </c>
      <c r="B18" s="12"/>
    </row>
    <row r="19" customFormat="false" ht="15" hidden="false" customHeight="false" outlineLevel="0" collapsed="false">
      <c r="A19" s="14" t="s">
        <v>29</v>
      </c>
      <c r="B19" s="12" t="s">
        <v>30</v>
      </c>
    </row>
    <row r="20" customFormat="false" ht="15" hidden="false" customHeight="false" outlineLevel="0" collapsed="false">
      <c r="A20" s="14" t="s">
        <v>31</v>
      </c>
      <c r="B20" s="12" t="s">
        <v>32</v>
      </c>
    </row>
    <row r="21" customFormat="false" ht="15" hidden="false" customHeight="false" outlineLevel="0" collapsed="false">
      <c r="A21" s="14" t="s">
        <v>33</v>
      </c>
      <c r="B21" s="12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22" min="11" style="0" width="10"/>
    <col collapsed="false" customWidth="true" hidden="false" outlineLevel="0" max="23" min="23" style="0" width="14"/>
  </cols>
  <sheetData>
    <row r="1" customFormat="false" ht="28.35" hidden="false" customHeight="false" outlineLevel="0" collapsed="false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  <c r="K1" s="16" t="s">
        <v>45</v>
      </c>
      <c r="L1" s="16" t="s">
        <v>46</v>
      </c>
      <c r="M1" s="16" t="s">
        <v>47</v>
      </c>
      <c r="N1" s="16" t="s">
        <v>48</v>
      </c>
      <c r="O1" s="16" t="s">
        <v>49</v>
      </c>
      <c r="P1" s="16" t="s">
        <v>50</v>
      </c>
      <c r="Q1" s="16" t="s">
        <v>51</v>
      </c>
      <c r="R1" s="16" t="s">
        <v>52</v>
      </c>
      <c r="S1" s="16" t="s">
        <v>53</v>
      </c>
      <c r="T1" s="16" t="s">
        <v>54</v>
      </c>
      <c r="U1" s="16" t="s">
        <v>55</v>
      </c>
      <c r="V1" s="16" t="s">
        <v>56</v>
      </c>
      <c r="W1" s="15" t="s">
        <v>57</v>
      </c>
    </row>
    <row r="2" customFormat="false" ht="15" hidden="false" customHeight="false" outlineLevel="0" collapsed="false">
      <c r="A2" s="17" t="s">
        <v>58</v>
      </c>
      <c r="B2" s="18" t="s">
        <v>59</v>
      </c>
      <c r="C2" s="19" t="n">
        <v>45458</v>
      </c>
      <c r="D2" s="19" t="n">
        <v>46188</v>
      </c>
      <c r="E2" s="20" t="n">
        <f aca="true">IF(D2="","",D2-TODAY())</f>
        <v>83</v>
      </c>
      <c r="F2" s="21" t="str">
        <f aca="true">IF(D2="","",IF(D2&lt;TODAY(),"Expired",IF(D2&lt;=TODAY()+90,"Expiring Soon","Active")))</f>
        <v>Expiring Soon</v>
      </c>
      <c r="G2" s="18" t="s">
        <v>60</v>
      </c>
      <c r="H2" s="19" t="n">
        <v>46032</v>
      </c>
      <c r="I2" s="17" t="s">
        <v>61</v>
      </c>
      <c r="J2" s="18" t="s">
        <v>62</v>
      </c>
      <c r="K2" s="18" t="s">
        <v>63</v>
      </c>
      <c r="L2" s="18" t="s">
        <v>64</v>
      </c>
      <c r="M2" s="18" t="s">
        <v>64</v>
      </c>
      <c r="N2" s="18" t="s">
        <v>65</v>
      </c>
      <c r="O2" s="18" t="s">
        <v>64</v>
      </c>
      <c r="P2" s="18" t="s">
        <v>64</v>
      </c>
      <c r="Q2" s="18" t="s">
        <v>64</v>
      </c>
      <c r="R2" s="18" t="s">
        <v>64</v>
      </c>
      <c r="S2" s="18" t="s">
        <v>64</v>
      </c>
      <c r="T2" s="18" t="s">
        <v>64</v>
      </c>
      <c r="U2" s="18" t="s">
        <v>64</v>
      </c>
      <c r="V2" s="18" t="s">
        <v>64</v>
      </c>
      <c r="W2" s="22" t="n">
        <f aca="false">IF(OR(H2="",G2="",G2="N/A"),"",IF(G2="Monthly",DATE(YEAR(H2),MONTH(H2)+1,DAY(H2)),IF(G2="Quarterly",DATE(YEAR(H2),MONTH(H2)+3,DAY(H2)),IF(G2="6-Monthly",DATE(YEAR(H2),MONTH(H2)+6,DAY(H2)),IF(G2="Annually",DATE(YEAR(H2)+1,MONTH(H2),DAY(H2)),"—")))))</f>
        <v>46213</v>
      </c>
    </row>
    <row r="3" customFormat="false" ht="15" hidden="false" customHeight="false" outlineLevel="0" collapsed="false">
      <c r="A3" s="17" t="s">
        <v>66</v>
      </c>
      <c r="B3" s="18" t="s">
        <v>67</v>
      </c>
      <c r="C3" s="19" t="n">
        <v>45383</v>
      </c>
      <c r="D3" s="19" t="n">
        <v>46113</v>
      </c>
      <c r="E3" s="20" t="n">
        <f aca="true">IF(D3="","",D3-TODAY())</f>
        <v>8</v>
      </c>
      <c r="F3" s="21" t="str">
        <f aca="true">IF(D3="","",IF(D3&lt;TODAY(),"Expired",IF(D3&lt;=TODAY()+90,"Expiring Soon","Active")))</f>
        <v>Expiring Soon</v>
      </c>
      <c r="G3" s="18" t="s">
        <v>68</v>
      </c>
      <c r="H3" s="19" t="n">
        <v>45748</v>
      </c>
      <c r="I3" s="17" t="s">
        <v>69</v>
      </c>
      <c r="J3" s="18" t="s">
        <v>70</v>
      </c>
      <c r="K3" s="18" t="s">
        <v>64</v>
      </c>
      <c r="L3" s="18" t="s">
        <v>64</v>
      </c>
      <c r="M3" s="18" t="s">
        <v>64</v>
      </c>
      <c r="N3" s="18" t="s">
        <v>71</v>
      </c>
      <c r="O3" s="18" t="s">
        <v>64</v>
      </c>
      <c r="P3" s="18" t="s">
        <v>64</v>
      </c>
      <c r="Q3" s="18" t="s">
        <v>64</v>
      </c>
      <c r="R3" s="18" t="s">
        <v>64</v>
      </c>
      <c r="S3" s="18" t="s">
        <v>64</v>
      </c>
      <c r="T3" s="18" t="s">
        <v>64</v>
      </c>
      <c r="U3" s="18" t="s">
        <v>64</v>
      </c>
      <c r="V3" s="18" t="s">
        <v>64</v>
      </c>
      <c r="W3" s="22" t="n">
        <f aca="false">IF(OR(H3="",G3="",G3="N/A"),"",IF(G3="Monthly",DATE(YEAR(H3),MONTH(H3)+1,DAY(H3)),IF(G3="Quarterly",DATE(YEAR(H3),MONTH(H3)+3,DAY(H3)),IF(G3="6-Monthly",DATE(YEAR(H3),MONTH(H3)+6,DAY(H3)),IF(G3="Annually",DATE(YEAR(H3)+1,MONTH(H3),DAY(H3)),"—")))))</f>
        <v>46113</v>
      </c>
    </row>
    <row r="4" customFormat="false" ht="15" hidden="false" customHeight="false" outlineLevel="0" collapsed="false">
      <c r="A4" s="17" t="s">
        <v>72</v>
      </c>
      <c r="B4" s="18" t="s">
        <v>73</v>
      </c>
      <c r="C4" s="19" t="n">
        <v>46023</v>
      </c>
      <c r="D4" s="19" t="n">
        <v>46753</v>
      </c>
      <c r="E4" s="20" t="n">
        <f aca="true">IF(D4="","",D4-TODAY())</f>
        <v>648</v>
      </c>
      <c r="F4" s="21" t="str">
        <f aca="true">IF(D4="","",IF(D4&lt;TODAY(),"Expired",IF(D4&lt;=TODAY()+90,"Expiring Soon","Active")))</f>
        <v>Active</v>
      </c>
      <c r="G4" s="18" t="s">
        <v>74</v>
      </c>
      <c r="H4" s="19" t="n">
        <v>46096</v>
      </c>
      <c r="I4" s="17" t="s">
        <v>75</v>
      </c>
      <c r="J4" s="18" t="s">
        <v>76</v>
      </c>
      <c r="K4" s="18" t="s">
        <v>64</v>
      </c>
      <c r="L4" s="18" t="s">
        <v>64</v>
      </c>
      <c r="M4" s="18" t="s">
        <v>71</v>
      </c>
      <c r="N4" s="18" t="s">
        <v>64</v>
      </c>
      <c r="O4" s="18" t="s">
        <v>64</v>
      </c>
      <c r="P4" s="18" t="s">
        <v>71</v>
      </c>
      <c r="Q4" s="18" t="s">
        <v>64</v>
      </c>
      <c r="R4" s="18" t="s">
        <v>64</v>
      </c>
      <c r="S4" s="18" t="s">
        <v>71</v>
      </c>
      <c r="T4" s="18" t="s">
        <v>64</v>
      </c>
      <c r="U4" s="18" t="s">
        <v>64</v>
      </c>
      <c r="V4" s="18" t="s">
        <v>71</v>
      </c>
      <c r="W4" s="22" t="n">
        <f aca="false">IF(OR(H4="",G4="",G4="N/A"),"",IF(G4="Monthly",DATE(YEAR(H4),MONTH(H4)+1,DAY(H4)),IF(G4="Quarterly",DATE(YEAR(H4),MONTH(H4)+3,DAY(H4)),IF(G4="6-Monthly",DATE(YEAR(H4),MONTH(H4)+6,DAY(H4)),IF(G4="Annually",DATE(YEAR(H4)+1,MONTH(H4),DAY(H4)),"—")))))</f>
        <v>46188</v>
      </c>
    </row>
    <row r="5" customFormat="false" ht="15" hidden="false" customHeight="false" outlineLevel="0" collapsed="false">
      <c r="A5" s="17" t="s">
        <v>77</v>
      </c>
      <c r="B5" s="18" t="s">
        <v>78</v>
      </c>
      <c r="C5" s="19" t="n">
        <v>46082</v>
      </c>
      <c r="D5" s="19" t="n">
        <v>46813</v>
      </c>
      <c r="E5" s="20" t="n">
        <f aca="true">IF(D5="","",D5-TODAY())</f>
        <v>708</v>
      </c>
      <c r="F5" s="21" t="str">
        <f aca="true">IF(D5="","",IF(D5&lt;TODAY(),"Expired",IF(D5&lt;=TODAY()+90,"Expiring Soon","Active")))</f>
        <v>Active</v>
      </c>
      <c r="G5" s="18" t="s">
        <v>60</v>
      </c>
      <c r="H5" s="19" t="n">
        <v>46082</v>
      </c>
      <c r="I5" s="17" t="s">
        <v>79</v>
      </c>
      <c r="J5" s="18" t="s">
        <v>80</v>
      </c>
      <c r="K5" s="18" t="s">
        <v>64</v>
      </c>
      <c r="L5" s="18" t="s">
        <v>64</v>
      </c>
      <c r="M5" s="18" t="s">
        <v>64</v>
      </c>
      <c r="N5" s="18" t="s">
        <v>64</v>
      </c>
      <c r="O5" s="18" t="s">
        <v>64</v>
      </c>
      <c r="P5" s="18" t="s">
        <v>71</v>
      </c>
      <c r="Q5" s="18" t="s">
        <v>64</v>
      </c>
      <c r="R5" s="18" t="s">
        <v>64</v>
      </c>
      <c r="S5" s="18" t="s">
        <v>64</v>
      </c>
      <c r="T5" s="18" t="s">
        <v>64</v>
      </c>
      <c r="U5" s="18" t="s">
        <v>64</v>
      </c>
      <c r="V5" s="18" t="s">
        <v>64</v>
      </c>
      <c r="W5" s="22" t="n">
        <f aca="false">IF(OR(H5="",G5="",G5="N/A"),"",IF(G5="Monthly",DATE(YEAR(H5),MONTH(H5)+1,DAY(H5)),IF(G5="Quarterly",DATE(YEAR(H5),MONTH(H5)+3,DAY(H5)),IF(G5="6-Monthly",DATE(YEAR(H5),MONTH(H5)+6,DAY(H5)),IF(G5="Annually",DATE(YEAR(H5)+1,MONTH(H5),DAY(H5)),"—")))))</f>
        <v>46266</v>
      </c>
    </row>
    <row r="6" customFormat="false" ht="15" hidden="false" customHeight="false" outlineLevel="0" collapsed="false">
      <c r="A6" s="17" t="s">
        <v>81</v>
      </c>
      <c r="B6" s="18" t="s">
        <v>82</v>
      </c>
      <c r="C6" s="19" t="n">
        <v>45667</v>
      </c>
      <c r="D6" s="19" t="n">
        <v>46397</v>
      </c>
      <c r="E6" s="20" t="n">
        <f aca="true">IF(D6="","",D6-TODAY())</f>
        <v>292</v>
      </c>
      <c r="F6" s="21" t="str">
        <f aca="true">IF(D6="","",IF(D6&lt;TODAY(),"Expired",IF(D6&lt;=TODAY()+90,"Expiring Soon","Active")))</f>
        <v>Active</v>
      </c>
      <c r="G6" s="18" t="s">
        <v>74</v>
      </c>
      <c r="H6" s="19" t="n">
        <v>46032</v>
      </c>
      <c r="I6" s="17" t="s">
        <v>83</v>
      </c>
      <c r="J6" s="18" t="s">
        <v>84</v>
      </c>
      <c r="K6" s="18" t="s">
        <v>63</v>
      </c>
      <c r="L6" s="18" t="s">
        <v>64</v>
      </c>
      <c r="M6" s="18" t="s">
        <v>64</v>
      </c>
      <c r="N6" s="18" t="s">
        <v>71</v>
      </c>
      <c r="O6" s="18" t="s">
        <v>64</v>
      </c>
      <c r="P6" s="18" t="s">
        <v>64</v>
      </c>
      <c r="Q6" s="18" t="s">
        <v>71</v>
      </c>
      <c r="R6" s="18" t="s">
        <v>64</v>
      </c>
      <c r="S6" s="18" t="s">
        <v>64</v>
      </c>
      <c r="T6" s="18" t="s">
        <v>71</v>
      </c>
      <c r="U6" s="18" t="s">
        <v>64</v>
      </c>
      <c r="V6" s="18" t="s">
        <v>64</v>
      </c>
      <c r="W6" s="22" t="n">
        <f aca="false">IF(OR(H6="",G6="",G6="N/A"),"",IF(G6="Monthly",DATE(YEAR(H6),MONTH(H6)+1,DAY(H6)),IF(G6="Quarterly",DATE(YEAR(H6),MONTH(H6)+3,DAY(H6)),IF(G6="6-Monthly",DATE(YEAR(H6),MONTH(H6)+6,DAY(H6)),IF(G6="Annually",DATE(YEAR(H6)+1,MONTH(H6),DAY(H6)),"—")))))</f>
        <v>46122</v>
      </c>
    </row>
    <row r="7" customFormat="false" ht="15" hidden="false" customHeight="false" outlineLevel="0" collapsed="false">
      <c r="A7" s="17" t="s">
        <v>85</v>
      </c>
      <c r="B7" s="18" t="s">
        <v>67</v>
      </c>
      <c r="C7" s="19" t="n">
        <v>45444</v>
      </c>
      <c r="D7" s="19" t="n">
        <v>46174</v>
      </c>
      <c r="E7" s="20" t="n">
        <f aca="true">IF(D7="","",D7-TODAY())</f>
        <v>69</v>
      </c>
      <c r="F7" s="21" t="str">
        <f aca="true">IF(D7="","",IF(D7&lt;TODAY(),"Expired",IF(D7&lt;=TODAY()+90,"Expiring Soon","Active")))</f>
        <v>Expiring Soon</v>
      </c>
      <c r="G7" s="18" t="s">
        <v>68</v>
      </c>
      <c r="H7" s="19" t="n">
        <v>45809</v>
      </c>
      <c r="I7" s="17" t="s">
        <v>86</v>
      </c>
      <c r="J7" s="18" t="s">
        <v>87</v>
      </c>
      <c r="K7" s="18" t="s">
        <v>64</v>
      </c>
      <c r="L7" s="18" t="s">
        <v>64</v>
      </c>
      <c r="M7" s="18" t="s">
        <v>71</v>
      </c>
      <c r="N7" s="18" t="s">
        <v>64</v>
      </c>
      <c r="O7" s="18" t="s">
        <v>64</v>
      </c>
      <c r="P7" s="18" t="s">
        <v>64</v>
      </c>
      <c r="Q7" s="18" t="s">
        <v>64</v>
      </c>
      <c r="R7" s="18" t="s">
        <v>64</v>
      </c>
      <c r="S7" s="18" t="s">
        <v>64</v>
      </c>
      <c r="T7" s="18" t="s">
        <v>64</v>
      </c>
      <c r="U7" s="18" t="s">
        <v>64</v>
      </c>
      <c r="V7" s="18" t="s">
        <v>64</v>
      </c>
      <c r="W7" s="22" t="n">
        <f aca="false">IF(OR(H7="",G7="",G7="N/A"),"",IF(G7="Monthly",DATE(YEAR(H7),MONTH(H7)+1,DAY(H7)),IF(G7="Quarterly",DATE(YEAR(H7),MONTH(H7)+3,DAY(H7)),IF(G7="6-Monthly",DATE(YEAR(H7),MONTH(H7)+6,DAY(H7)),IF(G7="Annually",DATE(YEAR(H7)+1,MONTH(H7),DAY(H7)),"—")))))</f>
        <v>46174</v>
      </c>
    </row>
    <row r="8" customFormat="false" ht="15" hidden="false" customHeight="false" outlineLevel="0" collapsed="false">
      <c r="A8" s="17"/>
      <c r="B8" s="18"/>
      <c r="C8" s="19"/>
      <c r="D8" s="19"/>
      <c r="E8" s="20" t="str">
        <f aca="true">IF(D8="","",D8-TODAY())</f>
        <v/>
      </c>
      <c r="F8" s="21" t="str">
        <f aca="true">IF(D8="","",IF(D8&lt;TODAY(),"Expired",IF(D8&lt;=TODAY()+90,"Expiring Soon","Active")))</f>
        <v/>
      </c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2" t="str">
        <f aca="false">IF(OR(H8="",G8="",G8="N/A"),"",IF(G8="Monthly",DATE(YEAR(H8),MONTH(H8)+1,DAY(H8)),IF(G8="Quarterly",DATE(YEAR(H8),MONTH(H8)+3,DAY(H8)),IF(G8="6-Monthly",DATE(YEAR(H8),MONTH(H8)+6,DAY(H8)),IF(G8="Annually",DATE(YEAR(H8)+1,MONTH(H8),DAY(H8)),"—")))))</f>
        <v/>
      </c>
    </row>
    <row r="9" customFormat="false" ht="15" hidden="false" customHeight="false" outlineLevel="0" collapsed="false">
      <c r="A9" s="17"/>
      <c r="B9" s="18"/>
      <c r="C9" s="19"/>
      <c r="D9" s="19"/>
      <c r="E9" s="20" t="str">
        <f aca="true">IF(D9="","",D9-TODAY())</f>
        <v/>
      </c>
      <c r="F9" s="21" t="str">
        <f aca="true">IF(D9="","",IF(D9&lt;TODAY(),"Expired",IF(D9&lt;=TODAY()+90,"Expiring Soon","Active")))</f>
        <v/>
      </c>
      <c r="G9" s="18"/>
      <c r="H9" s="19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22" t="str">
        <f aca="false">IF(OR(H9="",G9="",G9="N/A"),"",IF(G9="Monthly",DATE(YEAR(H9),MONTH(H9)+1,DAY(H9)),IF(G9="Quarterly",DATE(YEAR(H9),MONTH(H9)+3,DAY(H9)),IF(G9="6-Monthly",DATE(YEAR(H9),MONTH(H9)+6,DAY(H9)),IF(G9="Annually",DATE(YEAR(H9)+1,MONTH(H9),DAY(H9)),"—")))))</f>
        <v/>
      </c>
    </row>
    <row r="10" customFormat="false" ht="15" hidden="false" customHeight="false" outlineLevel="0" collapsed="false">
      <c r="A10" s="17"/>
      <c r="B10" s="18"/>
      <c r="C10" s="19"/>
      <c r="D10" s="19"/>
      <c r="E10" s="20" t="str">
        <f aca="true">IF(D10="","",D10-TODAY())</f>
        <v/>
      </c>
      <c r="F10" s="21" t="str">
        <f aca="true">IF(D10="","",IF(D10&lt;TODAY(),"Expired",IF(D10&lt;=TODAY()+90,"Expiring Soon","Active")))</f>
        <v/>
      </c>
      <c r="G10" s="18"/>
      <c r="H10" s="19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22" t="str">
        <f aca="false">IF(OR(H10="",G10="",G10="N/A"),"",IF(G10="Monthly",DATE(YEAR(H10),MONTH(H10)+1,DAY(H10)),IF(G10="Quarterly",DATE(YEAR(H10),MONTH(H10)+3,DAY(H10)),IF(G10="6-Monthly",DATE(YEAR(H10),MONTH(H10)+6,DAY(H10)),IF(G10="Annually",DATE(YEAR(H10)+1,MONTH(H10),DAY(H10)),"—")))))</f>
        <v/>
      </c>
    </row>
    <row r="11" customFormat="false" ht="15" hidden="false" customHeight="false" outlineLevel="0" collapsed="false">
      <c r="A11" s="17"/>
      <c r="B11" s="18"/>
      <c r="C11" s="19"/>
      <c r="D11" s="19"/>
      <c r="E11" s="20" t="str">
        <f aca="true">IF(D11="","",D11-TODAY())</f>
        <v/>
      </c>
      <c r="F11" s="21" t="str">
        <f aca="true">IF(D11="","",IF(D11&lt;TODAY(),"Expired",IF(D11&lt;=TODAY()+90,"Expiring Soon","Active")))</f>
        <v/>
      </c>
      <c r="G11" s="18"/>
      <c r="H11" s="19"/>
      <c r="I11" s="1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22" t="str">
        <f aca="false">IF(OR(H11="",G11="",G11="N/A"),"",IF(G11="Monthly",DATE(YEAR(H11),MONTH(H11)+1,DAY(H11)),IF(G11="Quarterly",DATE(YEAR(H11),MONTH(H11)+3,DAY(H11)),IF(G11="6-Monthly",DATE(YEAR(H11),MONTH(H11)+6,DAY(H11)),IF(G11="Annually",DATE(YEAR(H11)+1,MONTH(H11),DAY(H11)),"—")))))</f>
        <v/>
      </c>
    </row>
    <row r="12" customFormat="false" ht="15" hidden="false" customHeight="false" outlineLevel="0" collapsed="false">
      <c r="A12" s="17"/>
      <c r="B12" s="18"/>
      <c r="C12" s="19"/>
      <c r="D12" s="19"/>
      <c r="E12" s="20" t="str">
        <f aca="true">IF(D12="","",D12-TODAY())</f>
        <v/>
      </c>
      <c r="F12" s="21" t="str">
        <f aca="true">IF(D12="","",IF(D12&lt;TODAY(),"Expired",IF(D12&lt;=TODAY()+90,"Expiring Soon","Active")))</f>
        <v/>
      </c>
      <c r="G12" s="18"/>
      <c r="H12" s="19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22" t="str">
        <f aca="false">IF(OR(H12="",G12="",G12="N/A"),"",IF(G12="Monthly",DATE(YEAR(H12),MONTH(H12)+1,DAY(H12)),IF(G12="Quarterly",DATE(YEAR(H12),MONTH(H12)+3,DAY(H12)),IF(G12="6-Monthly",DATE(YEAR(H12),MONTH(H12)+6,DAY(H12)),IF(G12="Annually",DATE(YEAR(H12)+1,MONTH(H12),DAY(H12)),"—")))))</f>
        <v/>
      </c>
    </row>
    <row r="13" customFormat="false" ht="15" hidden="false" customHeight="false" outlineLevel="0" collapsed="false">
      <c r="A13" s="17"/>
      <c r="B13" s="18"/>
      <c r="C13" s="19"/>
      <c r="D13" s="19"/>
      <c r="E13" s="20" t="str">
        <f aca="true">IF(D13="","",D13-TODAY())</f>
        <v/>
      </c>
      <c r="F13" s="21" t="str">
        <f aca="true">IF(D13="","",IF(D13&lt;TODAY(),"Expired",IF(D13&lt;=TODAY()+90,"Expiring Soon","Active")))</f>
        <v/>
      </c>
      <c r="G13" s="18"/>
      <c r="H13" s="19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22" t="str">
        <f aca="false">IF(OR(H13="",G13="",G13="N/A"),"",IF(G13="Monthly",DATE(YEAR(H13),MONTH(H13)+1,DAY(H13)),IF(G13="Quarterly",DATE(YEAR(H13),MONTH(H13)+3,DAY(H13)),IF(G13="6-Monthly",DATE(YEAR(H13),MONTH(H13)+6,DAY(H13)),IF(G13="Annually",DATE(YEAR(H13)+1,MONTH(H13),DAY(H13)),"—")))))</f>
        <v/>
      </c>
    </row>
    <row r="14" customFormat="false" ht="15" hidden="false" customHeight="false" outlineLevel="0" collapsed="false">
      <c r="A14" s="17"/>
      <c r="B14" s="18"/>
      <c r="C14" s="19"/>
      <c r="D14" s="19"/>
      <c r="E14" s="20" t="str">
        <f aca="true">IF(D14="","",D14-TODAY())</f>
        <v/>
      </c>
      <c r="F14" s="21" t="str">
        <f aca="true">IF(D14="","",IF(D14&lt;TODAY(),"Expired",IF(D14&lt;=TODAY()+90,"Expiring Soon","Active")))</f>
        <v/>
      </c>
      <c r="G14" s="18"/>
      <c r="H14" s="19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22" t="str">
        <f aca="false">IF(OR(H14="",G14="",G14="N/A"),"",IF(G14="Monthly",DATE(YEAR(H14),MONTH(H14)+1,DAY(H14)),IF(G14="Quarterly",DATE(YEAR(H14),MONTH(H14)+3,DAY(H14)),IF(G14="6-Monthly",DATE(YEAR(H14),MONTH(H14)+6,DAY(H14)),IF(G14="Annually",DATE(YEAR(H14)+1,MONTH(H14),DAY(H14)),"—")))))</f>
        <v/>
      </c>
    </row>
    <row r="15" customFormat="false" ht="15" hidden="false" customHeight="false" outlineLevel="0" collapsed="false">
      <c r="A15" s="17"/>
      <c r="B15" s="18"/>
      <c r="C15" s="19"/>
      <c r="D15" s="19"/>
      <c r="E15" s="20" t="str">
        <f aca="true">IF(D15="","",D15-TODAY())</f>
        <v/>
      </c>
      <c r="F15" s="21" t="str">
        <f aca="true">IF(D15="","",IF(D15&lt;TODAY(),"Expired",IF(D15&lt;=TODAY()+90,"Expiring Soon","Active")))</f>
        <v/>
      </c>
      <c r="G15" s="18"/>
      <c r="H15" s="19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22" t="str">
        <f aca="false">IF(OR(H15="",G15="",G15="N/A"),"",IF(G15="Monthly",DATE(YEAR(H15),MONTH(H15)+1,DAY(H15)),IF(G15="Quarterly",DATE(YEAR(H15),MONTH(H15)+3,DAY(H15)),IF(G15="6-Monthly",DATE(YEAR(H15),MONTH(H15)+6,DAY(H15)),IF(G15="Annually",DATE(YEAR(H15)+1,MONTH(H15),DAY(H15)),"—")))))</f>
        <v/>
      </c>
    </row>
    <row r="16" customFormat="false" ht="15" hidden="false" customHeight="false" outlineLevel="0" collapsed="false">
      <c r="A16" s="17"/>
      <c r="B16" s="18"/>
      <c r="C16" s="19"/>
      <c r="D16" s="19"/>
      <c r="E16" s="20" t="str">
        <f aca="true">IF(D16="","",D16-TODAY())</f>
        <v/>
      </c>
      <c r="F16" s="21" t="str">
        <f aca="true">IF(D16="","",IF(D16&lt;TODAY(),"Expired",IF(D16&lt;=TODAY()+90,"Expiring Soon","Active")))</f>
        <v/>
      </c>
      <c r="G16" s="18"/>
      <c r="H16" s="19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22" t="str">
        <f aca="false">IF(OR(H16="",G16="",G16="N/A"),"",IF(G16="Monthly",DATE(YEAR(H16),MONTH(H16)+1,DAY(H16)),IF(G16="Quarterly",DATE(YEAR(H16),MONTH(H16)+3,DAY(H16)),IF(G16="6-Monthly",DATE(YEAR(H16),MONTH(H16)+6,DAY(H16)),IF(G16="Annually",DATE(YEAR(H16)+1,MONTH(H16),DAY(H16)),"—")))))</f>
        <v/>
      </c>
    </row>
    <row r="17" customFormat="false" ht="15" hidden="false" customHeight="false" outlineLevel="0" collapsed="false">
      <c r="A17" s="17"/>
      <c r="B17" s="18"/>
      <c r="C17" s="19"/>
      <c r="D17" s="19"/>
      <c r="E17" s="20" t="str">
        <f aca="true">IF(D17="","",D17-TODAY())</f>
        <v/>
      </c>
      <c r="F17" s="21" t="str">
        <f aca="true">IF(D17="","",IF(D17&lt;TODAY(),"Expired",IF(D17&lt;=TODAY()+90,"Expiring Soon","Active")))</f>
        <v/>
      </c>
      <c r="G17" s="18"/>
      <c r="H17" s="19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22" t="str">
        <f aca="false">IF(OR(H17="",G17="",G17="N/A"),"",IF(G17="Monthly",DATE(YEAR(H17),MONTH(H17)+1,DAY(H17)),IF(G17="Quarterly",DATE(YEAR(H17),MONTH(H17)+3,DAY(H17)),IF(G17="6-Monthly",DATE(YEAR(H17),MONTH(H17)+6,DAY(H17)),IF(G17="Annually",DATE(YEAR(H17)+1,MONTH(H17),DAY(H17)),"—")))))</f>
        <v/>
      </c>
    </row>
    <row r="18" customFormat="false" ht="15" hidden="false" customHeight="false" outlineLevel="0" collapsed="false">
      <c r="A18" s="17"/>
      <c r="B18" s="18"/>
      <c r="C18" s="19"/>
      <c r="D18" s="19"/>
      <c r="E18" s="20" t="str">
        <f aca="true">IF(D18="","",D18-TODAY())</f>
        <v/>
      </c>
      <c r="F18" s="21" t="str">
        <f aca="true">IF(D18="","",IF(D18&lt;TODAY(),"Expired",IF(D18&lt;=TODAY()+90,"Expiring Soon","Active")))</f>
        <v/>
      </c>
      <c r="G18" s="18"/>
      <c r="H18" s="19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22" t="str">
        <f aca="false">IF(OR(H18="",G18="",G18="N/A"),"",IF(G18="Monthly",DATE(YEAR(H18),MONTH(H18)+1,DAY(H18)),IF(G18="Quarterly",DATE(YEAR(H18),MONTH(H18)+3,DAY(H18)),IF(G18="6-Monthly",DATE(YEAR(H18),MONTH(H18)+6,DAY(H18)),IF(G18="Annually",DATE(YEAR(H18)+1,MONTH(H18),DAY(H18)),"—")))))</f>
        <v/>
      </c>
    </row>
    <row r="19" customFormat="false" ht="15" hidden="false" customHeight="false" outlineLevel="0" collapsed="false">
      <c r="A19" s="17"/>
      <c r="B19" s="18"/>
      <c r="C19" s="19"/>
      <c r="D19" s="19"/>
      <c r="E19" s="20" t="str">
        <f aca="true">IF(D19="","",D19-TODAY())</f>
        <v/>
      </c>
      <c r="F19" s="21" t="str">
        <f aca="true">IF(D19="","",IF(D19&lt;TODAY(),"Expired",IF(D19&lt;=TODAY()+90,"Expiring Soon","Active")))</f>
        <v/>
      </c>
      <c r="G19" s="18"/>
      <c r="H19" s="19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22" t="str">
        <f aca="false">IF(OR(H19="",G19="",G19="N/A"),"",IF(G19="Monthly",DATE(YEAR(H19),MONTH(H19)+1,DAY(H19)),IF(G19="Quarterly",DATE(YEAR(H19),MONTH(H19)+3,DAY(H19)),IF(G19="6-Monthly",DATE(YEAR(H19),MONTH(H19)+6,DAY(H19)),IF(G19="Annually",DATE(YEAR(H19)+1,MONTH(H19),DAY(H19)),"—")))))</f>
        <v/>
      </c>
    </row>
    <row r="20" customFormat="false" ht="15" hidden="false" customHeight="false" outlineLevel="0" collapsed="false">
      <c r="A20" s="17"/>
      <c r="B20" s="18"/>
      <c r="C20" s="19"/>
      <c r="D20" s="19"/>
      <c r="E20" s="20" t="str">
        <f aca="true">IF(D20="","",D20-TODAY())</f>
        <v/>
      </c>
      <c r="F20" s="21" t="str">
        <f aca="true">IF(D20="","",IF(D20&lt;TODAY(),"Expired",IF(D20&lt;=TODAY()+90,"Expiring Soon","Active")))</f>
        <v/>
      </c>
      <c r="G20" s="18"/>
      <c r="H20" s="19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22" t="str">
        <f aca="false">IF(OR(H20="",G20="",G20="N/A"),"",IF(G20="Monthly",DATE(YEAR(H20),MONTH(H20)+1,DAY(H20)),IF(G20="Quarterly",DATE(YEAR(H20),MONTH(H20)+3,DAY(H20)),IF(G20="6-Monthly",DATE(YEAR(H20),MONTH(H20)+6,DAY(H20)),IF(G20="Annually",DATE(YEAR(H20)+1,MONTH(H20),DAY(H20)),"—")))))</f>
        <v/>
      </c>
    </row>
    <row r="21" customFormat="false" ht="15" hidden="false" customHeight="false" outlineLevel="0" collapsed="false">
      <c r="A21" s="17"/>
      <c r="B21" s="18"/>
      <c r="C21" s="19"/>
      <c r="D21" s="19"/>
      <c r="E21" s="20" t="str">
        <f aca="true">IF(D21="","",D21-TODAY())</f>
        <v/>
      </c>
      <c r="F21" s="21" t="str">
        <f aca="true">IF(D21="","",IF(D21&lt;TODAY(),"Expired",IF(D21&lt;=TODAY()+90,"Expiring Soon","Active")))</f>
        <v/>
      </c>
      <c r="G21" s="18"/>
      <c r="H21" s="19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22" t="str">
        <f aca="false">IF(OR(H21="",G21="",G21="N/A"),"",IF(G21="Monthly",DATE(YEAR(H21),MONTH(H21)+1,DAY(H21)),IF(G21="Quarterly",DATE(YEAR(H21),MONTH(H21)+3,DAY(H21)),IF(G21="6-Monthly",DATE(YEAR(H21),MONTH(H21)+6,DAY(H21)),IF(G21="Annually",DATE(YEAR(H21)+1,MONTH(H21),DAY(H21)),"—")))))</f>
        <v/>
      </c>
    </row>
    <row r="22" customFormat="false" ht="15" hidden="false" customHeight="false" outlineLevel="0" collapsed="false">
      <c r="A22" s="17"/>
      <c r="B22" s="18"/>
      <c r="C22" s="19"/>
      <c r="D22" s="19"/>
      <c r="E22" s="20" t="str">
        <f aca="true">IF(D22="","",D22-TODAY())</f>
        <v/>
      </c>
      <c r="F22" s="21" t="str">
        <f aca="true">IF(D22="","",IF(D22&lt;TODAY(),"Expired",IF(D22&lt;=TODAY()+90,"Expiring Soon","Active")))</f>
        <v/>
      </c>
      <c r="G22" s="18"/>
      <c r="H22" s="19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22" t="str">
        <f aca="false">IF(OR(H22="",G22="",G22="N/A"),"",IF(G22="Monthly",DATE(YEAR(H22),MONTH(H22)+1,DAY(H22)),IF(G22="Quarterly",DATE(YEAR(H22),MONTH(H22)+3,DAY(H22)),IF(G22="6-Monthly",DATE(YEAR(H22),MONTH(H22)+6,DAY(H22)),IF(G22="Annually",DATE(YEAR(H22)+1,MONTH(H22),DAY(H22)),"—")))))</f>
        <v/>
      </c>
    </row>
    <row r="23" customFormat="false" ht="15" hidden="false" customHeight="false" outlineLevel="0" collapsed="false">
      <c r="A23" s="17"/>
      <c r="B23" s="18"/>
      <c r="C23" s="19"/>
      <c r="D23" s="19"/>
      <c r="E23" s="20" t="str">
        <f aca="true">IF(D23="","",D23-TODAY())</f>
        <v/>
      </c>
      <c r="F23" s="21" t="str">
        <f aca="true">IF(D23="","",IF(D23&lt;TODAY(),"Expired",IF(D23&lt;=TODAY()+90,"Expiring Soon","Active")))</f>
        <v/>
      </c>
      <c r="G23" s="18"/>
      <c r="H23" s="19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22" t="str">
        <f aca="false">IF(OR(H23="",G23="",G23="N/A"),"",IF(G23="Monthly",DATE(YEAR(H23),MONTH(H23)+1,DAY(H23)),IF(G23="Quarterly",DATE(YEAR(H23),MONTH(H23)+3,DAY(H23)),IF(G23="6-Monthly",DATE(YEAR(H23),MONTH(H23)+6,DAY(H23)),IF(G23="Annually",DATE(YEAR(H23)+1,MONTH(H23),DAY(H23)),"—")))))</f>
        <v/>
      </c>
    </row>
    <row r="24" customFormat="false" ht="15" hidden="false" customHeight="false" outlineLevel="0" collapsed="false">
      <c r="A24" s="17"/>
      <c r="B24" s="18"/>
      <c r="C24" s="19"/>
      <c r="D24" s="19"/>
      <c r="E24" s="20" t="str">
        <f aca="true">IF(D24="","",D24-TODAY())</f>
        <v/>
      </c>
      <c r="F24" s="21" t="str">
        <f aca="true">IF(D24="","",IF(D24&lt;TODAY(),"Expired",IF(D24&lt;=TODAY()+90,"Expiring Soon","Active")))</f>
        <v/>
      </c>
      <c r="G24" s="18"/>
      <c r="H24" s="19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22" t="str">
        <f aca="false">IF(OR(H24="",G24="",G24="N/A"),"",IF(G24="Monthly",DATE(YEAR(H24),MONTH(H24)+1,DAY(H24)),IF(G24="Quarterly",DATE(YEAR(H24),MONTH(H24)+3,DAY(H24)),IF(G24="6-Monthly",DATE(YEAR(H24),MONTH(H24)+6,DAY(H24)),IF(G24="Annually",DATE(YEAR(H24)+1,MONTH(H24),DAY(H24)),"—")))))</f>
        <v/>
      </c>
    </row>
    <row r="25" customFormat="false" ht="15" hidden="false" customHeight="false" outlineLevel="0" collapsed="false">
      <c r="A25" s="17"/>
      <c r="B25" s="18"/>
      <c r="C25" s="19"/>
      <c r="D25" s="19"/>
      <c r="E25" s="20" t="str">
        <f aca="true">IF(D25="","",D25-TODAY())</f>
        <v/>
      </c>
      <c r="F25" s="21" t="str">
        <f aca="true">IF(D25="","",IF(D25&lt;TODAY(),"Expired",IF(D25&lt;=TODAY()+90,"Expiring Soon","Active")))</f>
        <v/>
      </c>
      <c r="G25" s="18"/>
      <c r="H25" s="19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22" t="str">
        <f aca="false">IF(OR(H25="",G25="",G25="N/A"),"",IF(G25="Monthly",DATE(YEAR(H25),MONTH(H25)+1,DAY(H25)),IF(G25="Quarterly",DATE(YEAR(H25),MONTH(H25)+3,DAY(H25)),IF(G25="6-Monthly",DATE(YEAR(H25),MONTH(H25)+6,DAY(H25)),IF(G25="Annually",DATE(YEAR(H25)+1,MONTH(H25),DAY(H25)),"—")))))</f>
        <v/>
      </c>
    </row>
    <row r="26" customFormat="false" ht="15" hidden="false" customHeight="false" outlineLevel="0" collapsed="false">
      <c r="A26" s="17"/>
      <c r="B26" s="18"/>
      <c r="C26" s="19"/>
      <c r="D26" s="19"/>
      <c r="E26" s="20" t="str">
        <f aca="true">IF(D26="","",D26-TODAY())</f>
        <v/>
      </c>
      <c r="F26" s="21" t="str">
        <f aca="true">IF(D26="","",IF(D26&lt;TODAY(),"Expired",IF(D26&lt;=TODAY()+90,"Expiring Soon","Active")))</f>
        <v/>
      </c>
      <c r="G26" s="18"/>
      <c r="H26" s="19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22" t="str">
        <f aca="false">IF(OR(H26="",G26="",G26="N/A"),"",IF(G26="Monthly",DATE(YEAR(H26),MONTH(H26)+1,DAY(H26)),IF(G26="Quarterly",DATE(YEAR(H26),MONTH(H26)+3,DAY(H26)),IF(G26="6-Monthly",DATE(YEAR(H26),MONTH(H26)+6,DAY(H26)),IF(G26="Annually",DATE(YEAR(H26)+1,MONTH(H26),DAY(H26)),"—")))))</f>
        <v/>
      </c>
    </row>
    <row r="27" customFormat="false" ht="15" hidden="false" customHeight="false" outlineLevel="0" collapsed="false">
      <c r="A27" s="17"/>
      <c r="B27" s="18"/>
      <c r="C27" s="19"/>
      <c r="D27" s="19"/>
      <c r="E27" s="20" t="str">
        <f aca="true">IF(D27="","",D27-TODAY())</f>
        <v/>
      </c>
      <c r="F27" s="21" t="str">
        <f aca="true">IF(D27="","",IF(D27&lt;TODAY(),"Expired",IF(D27&lt;=TODAY()+90,"Expiring Soon","Active")))</f>
        <v/>
      </c>
      <c r="G27" s="18"/>
      <c r="H27" s="19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22" t="str">
        <f aca="false">IF(OR(H27="",G27="",G27="N/A"),"",IF(G27="Monthly",DATE(YEAR(H27),MONTH(H27)+1,DAY(H27)),IF(G27="Quarterly",DATE(YEAR(H27),MONTH(H27)+3,DAY(H27)),IF(G27="6-Monthly",DATE(YEAR(H27),MONTH(H27)+6,DAY(H27)),IF(G27="Annually",DATE(YEAR(H27)+1,MONTH(H27),DAY(H27)),"—")))))</f>
        <v/>
      </c>
    </row>
    <row r="28" customFormat="false" ht="15" hidden="false" customHeight="false" outlineLevel="0" collapsed="false">
      <c r="A28" s="17"/>
      <c r="B28" s="18"/>
      <c r="C28" s="19"/>
      <c r="D28" s="19"/>
      <c r="E28" s="20" t="str">
        <f aca="true">IF(D28="","",D28-TODAY())</f>
        <v/>
      </c>
      <c r="F28" s="21" t="str">
        <f aca="true">IF(D28="","",IF(D28&lt;TODAY(),"Expired",IF(D28&lt;=TODAY()+90,"Expiring Soon","Active")))</f>
        <v/>
      </c>
      <c r="G28" s="18"/>
      <c r="H28" s="19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22" t="str">
        <f aca="false">IF(OR(H28="",G28="",G28="N/A"),"",IF(G28="Monthly",DATE(YEAR(H28),MONTH(H28)+1,DAY(H28)),IF(G28="Quarterly",DATE(YEAR(H28),MONTH(H28)+3,DAY(H28)),IF(G28="6-Monthly",DATE(YEAR(H28),MONTH(H28)+6,DAY(H28)),IF(G28="Annually",DATE(YEAR(H28)+1,MONTH(H28),DAY(H28)),"—")))))</f>
        <v/>
      </c>
    </row>
    <row r="29" customFormat="false" ht="15" hidden="false" customHeight="false" outlineLevel="0" collapsed="false">
      <c r="A29" s="17"/>
      <c r="B29" s="18"/>
      <c r="C29" s="19"/>
      <c r="D29" s="19"/>
      <c r="E29" s="20" t="str">
        <f aca="true">IF(D29="","",D29-TODAY())</f>
        <v/>
      </c>
      <c r="F29" s="21" t="str">
        <f aca="true">IF(D29="","",IF(D29&lt;TODAY(),"Expired",IF(D29&lt;=TODAY()+90,"Expiring Soon","Active")))</f>
        <v/>
      </c>
      <c r="G29" s="18"/>
      <c r="H29" s="19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22" t="str">
        <f aca="false">IF(OR(H29="",G29="",G29="N/A"),"",IF(G29="Monthly",DATE(YEAR(H29),MONTH(H29)+1,DAY(H29)),IF(G29="Quarterly",DATE(YEAR(H29),MONTH(H29)+3,DAY(H29)),IF(G29="6-Monthly",DATE(YEAR(H29),MONTH(H29)+6,DAY(H29)),IF(G29="Annually",DATE(YEAR(H29)+1,MONTH(H29),DAY(H29)),"—")))))</f>
        <v/>
      </c>
    </row>
    <row r="30" customFormat="false" ht="15" hidden="false" customHeight="false" outlineLevel="0" collapsed="false">
      <c r="A30" s="17"/>
      <c r="B30" s="18"/>
      <c r="C30" s="19"/>
      <c r="D30" s="19"/>
      <c r="E30" s="20" t="str">
        <f aca="true">IF(D30="","",D30-TODAY())</f>
        <v/>
      </c>
      <c r="F30" s="21" t="str">
        <f aca="true">IF(D30="","",IF(D30&lt;TODAY(),"Expired",IF(D30&lt;=TODAY()+90,"Expiring Soon","Active")))</f>
        <v/>
      </c>
      <c r="G30" s="18"/>
      <c r="H30" s="19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22" t="str">
        <f aca="false">IF(OR(H30="",G30="",G30="N/A"),"",IF(G30="Monthly",DATE(YEAR(H30),MONTH(H30)+1,DAY(H30)),IF(G30="Quarterly",DATE(YEAR(H30),MONTH(H30)+3,DAY(H30)),IF(G30="6-Monthly",DATE(YEAR(H30),MONTH(H30)+6,DAY(H30)),IF(G30="Annually",DATE(YEAR(H30)+1,MONTH(H30),DAY(H30)),"—")))))</f>
        <v/>
      </c>
    </row>
    <row r="32" customFormat="false" ht="15" hidden="false" customHeight="false" outlineLevel="0" collapsed="false">
      <c r="A32" s="23" t="s">
        <v>88</v>
      </c>
      <c r="B32" s="14" t="s">
        <v>89</v>
      </c>
      <c r="C32" s="14" t="n">
        <f aca="false">COUNTA(A2:A30)</f>
        <v>6</v>
      </c>
      <c r="D32" s="14" t="s">
        <v>90</v>
      </c>
      <c r="E32" s="14" t="n">
        <f aca="false">COUNTIF(F2:F30,"Active")</f>
        <v>3</v>
      </c>
      <c r="F32" s="14" t="s">
        <v>91</v>
      </c>
      <c r="G32" s="14" t="n">
        <f aca="false">COUNTIF(F2:F30,"Expiring Soon")</f>
        <v>3</v>
      </c>
      <c r="H32" s="14" t="s">
        <v>92</v>
      </c>
      <c r="I32" s="14" t="n">
        <f aca="false">COUNTIF(F2:F30,"Expired")</f>
        <v>0</v>
      </c>
    </row>
  </sheetData>
  <conditionalFormatting sqref="F2:F30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"Expiring Soon"</formula>
    </cfRule>
    <cfRule type="cellIs" priority="4" operator="equal" aboveAverage="0" equalAverage="0" bottom="0" percent="0" rank="0" text="" dxfId="2">
      <formula>"Expired"</formula>
    </cfRule>
  </conditionalFormatting>
  <conditionalFormatting sqref="E2:E30">
    <cfRule type="cellIs" priority="5" operator="lessThanOrEqual" aboveAverage="0" equalAverage="0" bottom="0" percent="0" rank="0" text="" dxfId="2">
      <formula>0</formula>
    </cfRule>
    <cfRule type="cellIs" priority="6" operator="between" aboveAverage="0" equalAverage="0" bottom="0" percent="0" rank="0" text="" dxfId="1">
      <formula>1</formula>
      <formula>90</formula>
    </cfRule>
    <cfRule type="cellIs" priority="7" operator="greaterThan" aboveAverage="0" equalAverage="0" bottom="0" percent="0" rank="0" text="" dxfId="0">
      <formula>90</formula>
    </cfRule>
  </conditionalFormatting>
  <conditionalFormatting sqref="K2:V30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"Planned"</formula>
    </cfRule>
    <cfRule type="cellIs" priority="10" operator="equal" aboveAverage="0" equalAverage="0" bottom="0" percent="0" rank="0" text="" dxfId="1">
      <formula>"Booked"</formula>
    </cfRule>
  </conditionalFormatting>
  <conditionalFormatting sqref="W2:W30">
    <cfRule type="expression" priority="11" aboveAverage="0" equalAverage="0" bottom="0" percent="0" rank="0" text="" dxfId="2">
      <formula>AND(W2&lt;TODAY(),W2&lt;&gt;"")</formula>
    </cfRule>
    <cfRule type="expression" priority="12" aboveAverage="0" equalAverage="0" bottom="0" percent="0" rank="0" text="" dxfId="1">
      <formula>AND(W2&gt;=TODAY(),W2&lt;=TODAY()+30,W2&lt;&gt;"")</formula>
    </cfRule>
  </conditionalFormatting>
  <dataValidations count="3">
    <dataValidation allowBlank="true" errorStyle="stop" operator="between" showDropDown="false" showErrorMessage="false" showInputMessage="false" sqref="G2:G30" type="list">
      <formula1>"Monthly,Quarterly,6-Monthly,Annually,As Required,N/A"</formula1>
      <formula2>0</formula2>
    </dataValidation>
    <dataValidation allowBlank="true" errorStyle="stop" operator="between" showDropDown="false" showErrorMessage="false" showInputMessage="false" sqref="K2:V30" type="list">
      <formula1>"Planned,Booked,Done,N/A"</formula1>
      <formula2>0</formula2>
    </dataValidation>
    <dataValidation allowBlank="true" errorStyle="stop" operator="between" showDropDown="false" showErrorMessage="false" showInputMessage="false" sqref="C2:D30 H2:H3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&amp;CWarranty Service Plan Tracker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4" t="s">
        <v>93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5" t="s">
        <v>94</v>
      </c>
    </row>
    <row r="4" customFormat="false" ht="15" hidden="false" customHeight="false" outlineLevel="0" collapsed="false">
      <c r="A4" s="25"/>
    </row>
    <row r="5" customFormat="false" ht="15" hidden="false" customHeight="false" outlineLevel="0" collapsed="false">
      <c r="A5" s="26" t="s">
        <v>95</v>
      </c>
    </row>
    <row r="6" customFormat="false" ht="23.85" hidden="false" customHeight="false" outlineLevel="0" collapsed="false">
      <c r="A6" s="26" t="s">
        <v>96</v>
      </c>
    </row>
    <row r="7" customFormat="false" ht="15" hidden="false" customHeight="false" outlineLevel="0" collapsed="false">
      <c r="A7" s="26" t="s">
        <v>97</v>
      </c>
    </row>
    <row r="8" customFormat="false" ht="15" hidden="false" customHeight="false" outlineLevel="0" collapsed="false">
      <c r="A8" s="26" t="s">
        <v>98</v>
      </c>
    </row>
    <row r="9" customFormat="false" ht="23.85" hidden="false" customHeight="false" outlineLevel="0" collapsed="false">
      <c r="A9" s="26" t="s">
        <v>99</v>
      </c>
    </row>
    <row r="10" customFormat="false" ht="15" hidden="false" customHeight="false" outlineLevel="0" collapsed="false">
      <c r="A10" s="26" t="s">
        <v>100</v>
      </c>
    </row>
    <row r="11" customFormat="false" ht="15" hidden="false" customHeight="false" outlineLevel="0" collapsed="false">
      <c r="A11" s="25"/>
    </row>
    <row r="12" customFormat="false" ht="15" hidden="false" customHeight="false" outlineLevel="0" collapsed="false">
      <c r="A12" s="2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Handover &amp; Closeout</cp:category>
  <dcterms:created xsi:type="dcterms:W3CDTF">2026-03-24T17:17:23Z</dcterms:created>
  <dc:creator>Ebrora Ltd</dc:creator>
  <dc:description>Track warranty expiry dates, service intervals, and supplier contacts with 12-month service scheduling calendar and automated warranty status alerts.
Free professional construction management template from Ebrora Ltd. Visit ebrora.com for our full range of tools and templates.</dc:description>
  <cp:keywords>Ebrora construction warranty service maintenance handover closeout supplier</cp:keywords>
  <dc:language>en-US</dc:language>
  <cp:lastModifiedBy>Ebrora Ltd</cp:lastModifiedBy>
  <dcterms:modified xsi:type="dcterms:W3CDTF">2026-03-24T17:17:23Z</dcterms:modified>
  <cp:revision>0</cp:revision>
  <dc:subject>Track warranty expiry dates, planned service intervals, and supplier contacts for commissioned assets.</dc:subject>
  <dc:title>Warranty &amp; Service Plan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