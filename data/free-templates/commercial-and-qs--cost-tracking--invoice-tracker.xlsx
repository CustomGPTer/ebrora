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Invoice Track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Instructions!$A$1:$F$27</definedName>
    <definedName function="false" hidden="false" localSheetId="2" name="_xlnm.Print_Area" vbProcedure="false">'Invoice Tracker'!$A$1:$K$62</definedName>
    <definedName function="false" hidden="true" localSheetId="2" name="_xlnm._FilterDatabase" vbProcedure="false">'Invoice Tracker'!$A$11:$Q$62</definedName>
    <definedName function="false" hidden="false" name="InvoiceData" vbProcedure="false">'Invoice Tracker'!$A$11:$Q$62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<sst xmlns="http://schemas.openxmlformats.org/spreadsheetml/2006/main" count="120" uniqueCount="116">
  <si>
    <t xml:space="preserve">EBRORA</t>
  </si>
  <si>
    <t xml:space="preserve">ebrora.com</t>
  </si>
  <si>
    <t xml:space="preserve">Invoice Tracker</t>
  </si>
  <si>
    <t xml:space="preserve">Track all project invoices from receipt to payment with</t>
  </si>
  <si>
    <t xml:space="preserve">automated aged debt analysis, overdue alerts, and payment monitoring.</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</si>
  <si>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</si>
  <si>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</si>
  <si>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</si>
  <si>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</si>
  <si>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</si>
  <si>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</si>
  <si>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'Invoice Tracker' sheet. The top section contains two analysis panels: a Payment Summary (left) showing total invoiced, paid, and outstanding; and an Aged Debt Analysis (right) breaking outstanding amounts into aging buckets.</t>
  </si>
  <si>
    <t xml:space="preserve">2.</t>
  </si>
  <si>
    <t xml:space="preserve">Each row in the register (starting row 12) represents one invoice. Enter the Invoice Ref, Date Received, Supplier/Subcontractor, Description, Net Amount, and Due Date in the light teal cells.</t>
  </si>
  <si>
    <t xml:space="preserve">3.</t>
  </si>
  <si>
    <t xml:space="preserve">VAT Amount calculates automatically at 20% of net — override manually if the rate differs (e.g. zero-rated items). Gross Amount = Net + VAT.</t>
  </si>
  <si>
    <t xml:space="preserve">4.</t>
  </si>
  <si>
    <t xml:space="preserve">Update the Status dropdown as the invoice progresses: Received → Approved → Paid / Queried / Disputed. Enter the Date Paid when payment is made.</t>
  </si>
  <si>
    <t xml:space="preserve">5.</t>
  </si>
  <si>
    <t xml:space="preserve">The Days Overdue column calculates automatically for unpaid invoices past their due date. The Aged Debt Analysis at the top updates in real time.</t>
  </si>
  <si>
    <t xml:space="preserve">Optional Fields</t>
  </si>
  <si>
    <t xml:space="preserve">6.</t>
  </si>
  <si>
    <t xml:space="preserve">Click [+] to expand optional fields: Cost Code, Purchase Order Ref, Payment Method, Retention Held, and Remittance Ref.</t>
  </si>
  <si>
    <t xml:space="preserve">7.</t>
  </si>
  <si>
    <t xml:space="preserve">Use Cost Code and PO Ref to cross-reference with your Budget vs Actual tracker and procurement records.</t>
  </si>
  <si>
    <t xml:space="preserve">Colour Key</t>
  </si>
  <si>
    <t xml:space="preserve">Light teal cells (#E8F6F7) — User input. Enter your data here.</t>
  </si>
  <si>
    <t xml:space="preserve">Dark navy headers — Do not edit.</t>
  </si>
  <si>
    <t xml:space="preserve">Green — Status 'Paid', or Days Overdue = 0 (within terms).</t>
  </si>
  <si>
    <t xml:space="preserve">Amber — Status 'Approved' (awaiting payment), or 30–60 days overdue.</t>
  </si>
  <si>
    <t xml:space="preserve">Orange — 60–90 days overdue.</t>
  </si>
  <si>
    <t xml:space="preserve">Red — Status 'Disputed', 'Queried', or 90+ days overdue.</t>
  </si>
  <si>
    <t xml:space="preserve">Blue — Status 'Received' (not yet approved).</t>
  </si>
  <si>
    <t xml:space="preserve">Tips</t>
  </si>
  <si>
    <t xml:space="preserve">Tip 1:</t>
  </si>
  <si>
    <t xml:space="preserve">Run the Aged Debt Analysis weekly and flag any invoices moving from 30 to 60+ days. Early intervention prevents supplier disputes and retention of title claims.</t>
  </si>
  <si>
    <t xml:space="preserve">Tip 2:</t>
  </si>
  <si>
    <t xml:space="preserve">Always cross-reference the PO Ref before approving an invoice. Invoices without valid POs are one of the most common audit findings on construction projects.</t>
  </si>
  <si>
    <t xml:space="preserve">Tip 3:</t>
  </si>
  <si>
    <t xml:space="preserve">Use the filter on the Status column to isolate 'Approved' invoices for your next payment run, then update to 'Paid' with the date after processing.</t>
  </si>
  <si>
    <t xml:space="preserve">INVOICE TRACKER</t>
  </si>
  <si>
    <t xml:space="preserve">PAYMENT SUMMARY</t>
  </si>
  <si>
    <t xml:space="preserve">AGED DEBT ANALYSIS</t>
  </si>
  <si>
    <t xml:space="preserve">Total Invoiced (£)</t>
  </si>
  <si>
    <t xml:space="preserve">Current (0–30 days)</t>
  </si>
  <si>
    <t xml:space="preserve">Total Paid (£)</t>
  </si>
  <si>
    <t xml:space="preserve">30–60 days</t>
  </si>
  <si>
    <t xml:space="preserve">Total Outstanding (£)</t>
  </si>
  <si>
    <t xml:space="preserve">60–90 days</t>
  </si>
  <si>
    <t xml:space="preserve">Total Invoices</t>
  </si>
  <si>
    <t xml:space="preserve">90+ days</t>
  </si>
  <si>
    <t xml:space="preserve">Invoices Overdue</t>
  </si>
  <si>
    <t xml:space="preserve">TOTAL OUTSTANDING</t>
  </si>
  <si>
    <t xml:space="preserve">▸ Optional Fields — Click [+] to expand</t>
  </si>
  <si>
    <t xml:space="preserve">Invoice Ref</t>
  </si>
  <si>
    <t xml:space="preserve">Date Received</t>
  </si>
  <si>
    <t xml:space="preserve">Supplier / Subcontractor</t>
  </si>
  <si>
    <t xml:space="preserve">Description</t>
  </si>
  <si>
    <t xml:space="preserve">Net Amount
(£)</t>
  </si>
  <si>
    <t xml:space="preserve">VAT
(£)</t>
  </si>
  <si>
    <t xml:space="preserve">Gross Amount
(£)</t>
  </si>
  <si>
    <t xml:space="preserve">Due Date</t>
  </si>
  <si>
    <t xml:space="preserve">Status</t>
  </si>
  <si>
    <t xml:space="preserve">Days
Overdue</t>
  </si>
  <si>
    <t xml:space="preserve">Notes</t>
  </si>
  <si>
    <t xml:space="preserve">Cost Code</t>
  </si>
  <si>
    <t xml:space="preserve">PO Ref</t>
  </si>
  <si>
    <t xml:space="preserve">Date Paid</t>
  </si>
  <si>
    <t xml:space="preserve">Payment
Method</t>
  </si>
  <si>
    <t xml:space="preserve">Retention
Held (£)</t>
  </si>
  <si>
    <t xml:space="preserve">Remittance
Ref</t>
  </si>
  <si>
    <t xml:space="preserve">INV-4821</t>
  </si>
  <si>
    <t xml:space="preserve">Murphy Ground Engineering</t>
  </si>
  <si>
    <t xml:space="preserve">Piling works — interim application 3</t>
  </si>
  <si>
    <t xml:space="preserve">Paid</t>
  </si>
  <si>
    <t xml:space="preserve">Paid 10/09/25 via BACS</t>
  </si>
  <si>
    <t xml:space="preserve">2.02</t>
  </si>
  <si>
    <t xml:space="preserve">PO-0045</t>
  </si>
  <si>
    <t xml:space="preserve">BACS</t>
  </si>
  <si>
    <t xml:space="preserve">REM-0891</t>
  </si>
  <si>
    <t xml:space="preserve">INV-5102</t>
  </si>
  <si>
    <t xml:space="preserve">Severfield UK Ltd</t>
  </si>
  <si>
    <t xml:space="preserve">Structural steel — Stage 2 valuation</t>
  </si>
  <si>
    <t xml:space="preserve">Final account pending</t>
  </si>
  <si>
    <t xml:space="preserve">3.01</t>
  </si>
  <si>
    <t xml:space="preserve">PO-0062</t>
  </si>
  <si>
    <t xml:space="preserve">REM-0923</t>
  </si>
  <si>
    <t xml:space="preserve">INV-5340</t>
  </si>
  <si>
    <t xml:space="preserve">Kawneer UK</t>
  </si>
  <si>
    <t xml:space="preserve">Curtain wall system — materials delivery 1</t>
  </si>
  <si>
    <t xml:space="preserve">Approved</t>
  </si>
  <si>
    <t xml:space="preserve">Approved 25/11 — in next payment run</t>
  </si>
  <si>
    <t xml:space="preserve">3.03</t>
  </si>
  <si>
    <t xml:space="preserve">PO-0078</t>
  </si>
  <si>
    <t xml:space="preserve">INV-5512</t>
  </si>
  <si>
    <t xml:space="preserve">Trend Controls Ltd</t>
  </si>
  <si>
    <t xml:space="preserve">BMS controls — design and procurement</t>
  </si>
  <si>
    <t xml:space="preserve">Queried</t>
  </si>
  <si>
    <t xml:space="preserve">Queried — PO value is £28k, invoice exceeds PO</t>
  </si>
  <si>
    <t xml:space="preserve">4.05</t>
  </si>
  <si>
    <t xml:space="preserve">PO-0091</t>
  </si>
  <si>
    <t xml:space="preserve">INV-5673</t>
  </si>
  <si>
    <t xml:space="preserve">Wates Interiors</t>
  </si>
  <si>
    <t xml:space="preserve">Drylining Phase 1 — labour and materials</t>
  </si>
  <si>
    <t xml:space="preserve">Received</t>
  </si>
  <si>
    <t xml:space="preserve">Awaiting QS review</t>
  </si>
  <si>
    <t xml:space="preserve">PO-0084</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</si>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</sst>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6">
    <numFmt numFmtId="164" formatCode="General"/>
    <numFmt numFmtId="165" formatCode="\£#,##0"/>
    <numFmt numFmtId="166" formatCode="General"/>
    <numFmt numFmtId="167" formatCode="dd/mm/yyyy"/>
    <numFmt numFmtId="168" formatCode="\£#,##0.00"/>
    <numFmt numFmtId="169" formatCode="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2"/>
      <color rgb="FF1B2A4A"/>
      <name val="Calibri"/>
      <family val="0"/>
      <charset val="1"/>
    </font>
    <font>
      <i val="true"/>
      <sz val="9"/>
      <color rgb="FF2AABB3"/>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C6EFCE"/>
        <bgColor rgb="FFCCFFFF"/>
      </patternFill>
    </fill>
    <fill>
      <patternFill patternType="solid">
        <fgColor rgb="FFFFEB9C"/>
        <bgColor rgb="FFF2F2F2"/>
      </patternFill>
    </fill>
    <fill>
      <patternFill patternType="solid">
        <fgColor rgb="FFF4B084"/>
        <bgColor rgb="FFFFC7CE"/>
      </patternFill>
    </fill>
    <fill>
      <patternFill patternType="solid">
        <fgColor rgb="FFFFC7CE"/>
        <bgColor rgb="FFF4B084"/>
      </patternFill>
    </fill>
  </fills>
  <borders count="4">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5" fontId="15" fillId="3" borderId="2" xfId="0" applyFont="true" applyBorder="true" applyAlignment="true" applyProtection="false">
      <alignment horizontal="right" vertical="center" textRotation="0" wrapText="true" indent="0" shrinkToFit="false"/>
      <protection locked="true" hidden="false"/>
    </xf>
    <xf numFmtId="164" fontId="12" fillId="6" borderId="2" xfId="0" applyFont="true" applyBorder="true" applyAlignment="true" applyProtection="false">
      <alignment horizontal="left" vertical="center" textRotation="0" wrapText="true" indent="0" shrinkToFit="false"/>
      <protection locked="true" hidden="false"/>
    </xf>
    <xf numFmtId="164" fontId="12" fillId="7" borderId="2"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left" vertical="center" textRotation="0" wrapText="true" indent="0" shrinkToFit="false"/>
      <protection locked="true" hidden="false"/>
    </xf>
    <xf numFmtId="166" fontId="15" fillId="3" borderId="2" xfId="0" applyFont="true" applyBorder="true" applyAlignment="true" applyProtection="false">
      <alignment horizontal="right" vertical="center" textRotation="0" wrapText="true" indent="0" shrinkToFit="false"/>
      <protection locked="true" hidden="false"/>
    </xf>
    <xf numFmtId="164" fontId="12" fillId="9" borderId="2" xfId="0" applyFont="true" applyBorder="true" applyAlignment="true" applyProtection="false">
      <alignment horizontal="left" vertical="center" textRotation="0" wrapText="tru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16" fillId="0" borderId="3" xfId="0" applyFont="true" applyBorder="true" applyAlignment="true" applyProtection="false">
      <alignment horizontal="center" vertical="center" textRotation="0" wrapText="tru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7" fontId="13" fillId="4"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8" fontId="13" fillId="4" borderId="2" xfId="0" applyFont="true" applyBorder="true" applyAlignment="true" applyProtection="false">
      <alignment horizontal="right" vertical="center" textRotation="0" wrapText="true" indent="0" shrinkToFit="false"/>
      <protection locked="true" hidden="false"/>
    </xf>
    <xf numFmtId="168" fontId="13" fillId="3" borderId="2" xfId="0" applyFont="true" applyBorder="true" applyAlignment="true" applyProtection="false">
      <alignment horizontal="right" vertical="center" textRotation="0" wrapText="true" indent="0" shrinkToFit="false"/>
      <protection locked="true" hidden="false"/>
    </xf>
    <xf numFmtId="169" fontId="13" fillId="3" borderId="2" xfId="0" applyFont="true" applyBorder="true" applyAlignment="true" applyProtection="false">
      <alignment horizontal="center" vertical="center" textRotation="0" wrapText="true" indent="0" shrinkToFit="false"/>
      <protection locked="true" hidden="false"/>
    </xf>
    <xf numFmtId="168" fontId="13" fillId="4" borderId="2" xfId="0" applyFont="true" applyBorder="true" applyAlignment="true" applyProtection="false">
      <alignment horizontal="center" vertical="center" textRotation="0" wrapText="true" indent="0" shrinkToFit="false"/>
      <protection locked="true" hidden="false"/>
    </xf>
    <xf numFmtId="168" fontId="13" fillId="3"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4B084"/>
          <bgColor rgb="FF000000"/>
        </patternFill>
      </fill>
    </dxf>
    <dxf>
      <fill>
        <patternFill>
          <bgColor rgb="FFBDD7EE"/>
        </patternFill>
      </fill>
    </dxf>
    <dxf>
      <fill>
        <patternFill>
          <bgColor rgb="FFFFEB9C"/>
        </patternFill>
      </fill>
    </dxf>
    <dxf>
      <fill>
        <patternFill>
          <bgColor rgb="FFC6EFCE"/>
        </patternFill>
      </fill>
    </dxf>
    <dxf>
      <fill>
        <patternFill>
          <bgColor rgb="FFFFC7CE"/>
        </patternFill>
      </fill>
    </dxf>
    <dxf>
      <fill>
        <patternFill>
          <bgColor rgb="FFF4B08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4B084"/>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14"/>
  </cols>
  <sheetData>
    <row r="1" customFormat="false" ht="15" hidden="false" customHeight="true" outlineLevel="0" collapsed="false">
      <c r="A1" s="2"/>
      <c r="B1" s="2"/>
      <c r="C1" s="2"/>
      <c r="D1" s="2"/>
      <c r="E1" s="2"/>
      <c r="F1" s="2"/>
      <c r="G1" s="2"/>
      <c r="H1" s="2"/>
    </row>
    <row r="2" customFormat="false" ht="45" hidden="false" customHeight="true" outlineLevel="0" collapsed="false">
      <c r="A2" s="3" t="s">
        <v>0</v>
      </c>
      <c r="B2" s="3"/>
      <c r="C2" s="3"/>
      <c r="D2" s="3"/>
      <c r="E2" s="3"/>
      <c r="F2" s="3"/>
      <c r="G2" s="3"/>
      <c r="H2" s="3"/>
    </row>
    <row r="3" customFormat="false" ht="15" hidden="false" customHeight="true" outlineLevel="0" collapsed="false">
      <c r="A3" s="2"/>
      <c r="B3" s="2"/>
      <c r="C3" s="2"/>
      <c r="D3" s="2"/>
      <c r="E3" s="2"/>
      <c r="F3" s="2"/>
      <c r="G3" s="2"/>
      <c r="H3" s="2"/>
    </row>
    <row r="4" customFormat="false" ht="15" hidden="false" customHeight="true" outlineLevel="0" collapsed="false">
      <c r="A4" s="4" t="s">
        <v>1</v>
      </c>
      <c r="B4" s="4"/>
      <c r="C4" s="4"/>
      <c r="D4" s="4"/>
      <c r="E4" s="4"/>
      <c r="F4" s="4"/>
      <c r="G4" s="4"/>
      <c r="H4" s="4"/>
    </row>
    <row r="5" customFormat="false" ht="15" hidden="false" customHeight="true" outlineLevel="0" collapsed="false">
      <c r="A5" s="5"/>
      <c r="B5" s="5"/>
      <c r="C5" s="5"/>
      <c r="D5" s="5"/>
      <c r="E5" s="5"/>
      <c r="F5" s="5"/>
      <c r="G5" s="5"/>
      <c r="H5" s="5"/>
    </row>
    <row r="6" customFormat="false" ht="15" hidden="false" customHeight="true" outlineLevel="0" collapsed="false">
      <c r="A6" s="2"/>
      <c r="B6" s="2"/>
      <c r="C6" s="2"/>
      <c r="D6" s="2"/>
      <c r="E6" s="2"/>
      <c r="F6" s="2"/>
      <c r="G6" s="2"/>
      <c r="H6" s="2"/>
    </row>
    <row r="7" customFormat="false" ht="34.5" hidden="false" customHeight="true" outlineLevel="0" collapsed="false">
      <c r="A7" s="6" t="s">
        <v>2</v>
      </c>
      <c r="B7" s="6"/>
      <c r="C7" s="6"/>
      <c r="D7" s="6"/>
      <c r="E7" s="6"/>
      <c r="F7" s="6"/>
      <c r="G7" s="6"/>
      <c r="H7" s="6"/>
    </row>
    <row r="8" customFormat="false" ht="15" hidden="false" customHeight="true" outlineLevel="0" collapsed="false">
      <c r="A8" s="2"/>
      <c r="B8" s="2"/>
      <c r="C8" s="2"/>
      <c r="D8" s="2"/>
      <c r="E8" s="2"/>
      <c r="F8" s="2"/>
      <c r="G8" s="2"/>
      <c r="H8" s="2"/>
    </row>
    <row r="9" customFormat="false" ht="15" hidden="false" customHeight="true" outlineLevel="0" collapsed="false">
      <c r="A9" s="5"/>
      <c r="B9" s="5"/>
      <c r="C9" s="5"/>
      <c r="D9" s="5"/>
      <c r="E9" s="5"/>
      <c r="F9" s="5"/>
      <c r="G9" s="5"/>
      <c r="H9" s="5"/>
    </row>
    <row r="10" customFormat="false" ht="15" hidden="false" customHeight="true" outlineLevel="0" collapsed="false">
      <c r="A10" s="7" t="s">
        <v>3</v>
      </c>
      <c r="B10" s="7"/>
      <c r="C10" s="7"/>
      <c r="D10" s="7"/>
      <c r="E10" s="7"/>
      <c r="F10" s="7"/>
      <c r="G10" s="7"/>
      <c r="H10" s="7"/>
    </row>
    <row r="11" customFormat="false" ht="15" hidden="false" customHeight="true" outlineLevel="0" collapsed="false">
      <c r="A11" s="7" t="s">
        <v>4</v>
      </c>
      <c r="B11" s="7"/>
      <c r="C11" s="7"/>
      <c r="D11" s="7"/>
      <c r="E11" s="7"/>
      <c r="F11" s="7"/>
      <c r="G11" s="7"/>
      <c r="H11" s="7"/>
    </row>
    <row r="12" customFormat="false" ht="15" hidden="false" customHeight="true" outlineLevel="0" collapsed="false">
      <c r="A12" s="5"/>
      <c r="B12" s="5"/>
      <c r="C12" s="5"/>
      <c r="D12" s="5"/>
      <c r="E12" s="5"/>
      <c r="F12" s="5"/>
      <c r="G12" s="5"/>
      <c r="H12" s="5"/>
    </row>
    <row r="13" customFormat="false" ht="15" hidden="false" customHeight="true" outlineLevel="0" collapsed="false">
      <c r="A13" s="5"/>
      <c r="B13" s="5"/>
      <c r="C13" s="5"/>
      <c r="D13" s="5"/>
      <c r="E13" s="5"/>
      <c r="F13" s="5"/>
      <c r="G13" s="5"/>
      <c r="H13" s="5"/>
    </row>
    <row r="14" customFormat="false" ht="15" hidden="false" customHeight="true" outlineLevel="0" collapsed="false">
      <c r="A14" s="8"/>
      <c r="B14" s="8"/>
      <c r="C14" s="8"/>
      <c r="D14" s="8"/>
      <c r="E14" s="8"/>
      <c r="F14" s="8"/>
      <c r="G14" s="8"/>
      <c r="H14" s="8"/>
    </row>
    <row r="15" customFormat="false" ht="15" hidden="false" customHeight="true" outlineLevel="0" collapsed="false">
      <c r="A15" s="9" t="s">
        <v>5</v>
      </c>
      <c r="B15" s="9"/>
      <c r="C15" s="9"/>
      <c r="D15" s="9"/>
      <c r="E15" s="9"/>
      <c r="F15" s="9"/>
      <c r="G15" s="9"/>
      <c r="H15" s="9"/>
    </row>
    <row r="16" customFormat="false" ht="15" hidden="false" customHeight="true" outlineLevel="0" collapsed="false">
      <c r="A16" s="9" t="s">
        <v>6</v>
      </c>
      <c r="B16" s="9"/>
      <c r="C16" s="9"/>
      <c r="D16" s="9"/>
      <c r="E16" s="9"/>
      <c r="F16" s="9"/>
      <c r="G16" s="9"/>
      <c r="H16" s="9"/>
    </row>
    <row r="17" customFormat="false" ht="15" hidden="false" customHeight="true" outlineLevel="0" collapsed="false">
      <c r="A17" s="8"/>
      <c r="B17" s="8"/>
      <c r="C17" s="8"/>
      <c r="D17" s="8"/>
      <c r="E17" s="8"/>
      <c r="F17" s="8"/>
      <c r="G17" s="8"/>
      <c r="H17" s="8"/>
    </row>
    <row r="18" customFormat="false" ht="15" hidden="false" customHeight="true" outlineLevel="0" collapsed="false">
      <c r="A18" s="5"/>
      <c r="B18" s="5"/>
      <c r="C18" s="5"/>
      <c r="D18" s="5"/>
      <c r="E18" s="5"/>
      <c r="F18" s="5"/>
      <c r="G18" s="5"/>
      <c r="H18" s="5"/>
    </row>
    <row r="19" customFormat="false" ht="15" hidden="false" customHeight="true" outlineLevel="0" collapsed="false">
      <c r="A19" s="10" t="s">
        <v>7</v>
      </c>
      <c r="B19" s="10"/>
      <c r="C19" s="10"/>
      <c r="D19" s="10"/>
      <c r="E19" s="10"/>
      <c r="F19" s="10"/>
      <c r="G19" s="10"/>
      <c r="H19" s="10"/>
    </row>
    <row r="20" customFormat="false" ht="15" hidden="false" customHeight="true" outlineLevel="0" collapsed="false">
      <c r="A20" s="5"/>
      <c r="B20" s="5"/>
      <c r="C20" s="5"/>
      <c r="D20" s="5"/>
      <c r="E20" s="5"/>
      <c r="F20" s="5"/>
      <c r="G20" s="5"/>
      <c r="H20" s="5"/>
    </row>
    <row r="21" customFormat="false" ht="15" hidden="false" customHeight="true" outlineLevel="0" collapsed="false">
      <c r="A21" s="5"/>
      <c r="B21" s="5"/>
      <c r="C21" s="5"/>
      <c r="D21" s="5"/>
      <c r="E21" s="5"/>
      <c r="F21" s="5"/>
      <c r="G21" s="5"/>
      <c r="H21" s="5"/>
    </row>
    <row r="22" customFormat="false" ht="15" hidden="false" customHeight="true" outlineLevel="0" collapsed="false">
      <c r="A22" s="5"/>
      <c r="B22" s="5"/>
      <c r="C22" s="5"/>
      <c r="D22" s="5"/>
      <c r="E22" s="5"/>
      <c r="F22" s="5"/>
      <c r="G22" s="5"/>
      <c r="H22" s="5"/>
    </row>
    <row r="23" customFormat="false" ht="15" hidden="false" customHeight="true" outlineLevel="0" collapsed="false">
      <c r="A23" s="5"/>
      <c r="B23" s="5"/>
      <c r="C23" s="5"/>
      <c r="D23" s="5"/>
      <c r="E23" s="5"/>
      <c r="F23" s="5"/>
      <c r="G23" s="5"/>
      <c r="H23" s="5"/>
    </row>
    <row r="24" customFormat="false" ht="15" hidden="false" customHeight="true" outlineLevel="0" collapsed="false">
      <c r="A24" s="5"/>
      <c r="B24" s="5"/>
      <c r="C24" s="5"/>
      <c r="D24" s="5"/>
      <c r="E24" s="5"/>
      <c r="F24" s="5"/>
      <c r="G24" s="5"/>
      <c r="H24" s="5"/>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6" min="2" style="1" width="18"/>
  </cols>
  <sheetData>
    <row r="1" customFormat="false" ht="18" hidden="false" customHeight="true" outlineLevel="0" collapsed="false">
      <c r="A1" s="11" t="s">
        <v>8</v>
      </c>
      <c r="B1" s="11"/>
      <c r="C1" s="11"/>
      <c r="D1" s="11"/>
      <c r="E1" s="11"/>
      <c r="F1" s="11"/>
    </row>
    <row r="3" customFormat="false" ht="15" hidden="false" customHeight="true" outlineLevel="0" collapsed="false">
      <c r="A3" s="12" t="s">
        <v>9</v>
      </c>
      <c r="B3" s="12"/>
      <c r="C3" s="12"/>
      <c r="D3" s="12"/>
      <c r="E3" s="12"/>
      <c r="F3" s="12"/>
    </row>
    <row r="4" customFormat="false" ht="23.25" hidden="false" customHeight="true" outlineLevel="0" collapsed="false">
      <c r="A4" s="13" t="s">
        <v>10</v>
      </c>
      <c r="B4" s="14" t="s">
        <v>11</v>
      </c>
      <c r="C4" s="14"/>
      <c r="D4" s="14"/>
      <c r="E4" s="14"/>
      <c r="F4" s="14"/>
    </row>
    <row r="5" customFormat="false" ht="23.25" hidden="false" customHeight="true" outlineLevel="0" collapsed="false">
      <c r="A5" s="13" t="s">
        <v>12</v>
      </c>
      <c r="B5" s="14" t="s">
        <v>13</v>
      </c>
      <c r="C5" s="14"/>
      <c r="D5" s="14"/>
      <c r="E5" s="14"/>
      <c r="F5" s="14"/>
    </row>
    <row r="6" customFormat="false" ht="23.25" hidden="false" customHeight="true" outlineLevel="0" collapsed="false">
      <c r="A6" s="13" t="s">
        <v>14</v>
      </c>
      <c r="B6" s="14" t="s">
        <v>15</v>
      </c>
      <c r="C6" s="14"/>
      <c r="D6" s="14"/>
      <c r="E6" s="14"/>
      <c r="F6" s="14"/>
    </row>
    <row r="7" customFormat="false" ht="23.25" hidden="false" customHeight="true" outlineLevel="0" collapsed="false">
      <c r="A7" s="13" t="s">
        <v>16</v>
      </c>
      <c r="B7" s="14" t="s">
        <v>17</v>
      </c>
      <c r="C7" s="14"/>
      <c r="D7" s="14"/>
      <c r="E7" s="14"/>
      <c r="F7" s="14"/>
    </row>
    <row r="8" customFormat="false" ht="23.25" hidden="false" customHeight="true" outlineLevel="0" collapsed="false">
      <c r="A8" s="13" t="s">
        <v>18</v>
      </c>
      <c r="B8" s="14" t="s">
        <v>19</v>
      </c>
      <c r="C8" s="14"/>
      <c r="D8" s="14"/>
      <c r="E8" s="14"/>
      <c r="F8" s="14"/>
    </row>
    <row r="10" customFormat="false" ht="15" hidden="false" customHeight="true" outlineLevel="0" collapsed="false">
      <c r="A10" s="12" t="s">
        <v>20</v>
      </c>
      <c r="B10" s="12"/>
      <c r="C10" s="12"/>
      <c r="D10" s="12"/>
      <c r="E10" s="12"/>
      <c r="F10" s="12"/>
    </row>
    <row r="11" customFormat="false" ht="15" hidden="false" customHeight="true" outlineLevel="0" collapsed="false">
      <c r="A11" s="13" t="s">
        <v>21</v>
      </c>
      <c r="B11" s="14" t="s">
        <v>22</v>
      </c>
      <c r="C11" s="14"/>
      <c r="D11" s="14"/>
      <c r="E11" s="14"/>
      <c r="F11" s="14"/>
    </row>
    <row r="12" customFormat="false" ht="15" hidden="false" customHeight="true" outlineLevel="0" collapsed="false">
      <c r="A12" s="13" t="s">
        <v>23</v>
      </c>
      <c r="B12" s="14" t="s">
        <v>24</v>
      </c>
      <c r="C12" s="14"/>
      <c r="D12" s="14"/>
      <c r="E12" s="14"/>
      <c r="F12" s="14"/>
    </row>
    <row r="14" customFormat="false" ht="15" hidden="false" customHeight="true" outlineLevel="0" collapsed="false">
      <c r="A14" s="12" t="s">
        <v>25</v>
      </c>
      <c r="B14" s="12"/>
      <c r="C14" s="12"/>
      <c r="D14" s="12"/>
      <c r="E14" s="12"/>
      <c r="F14" s="12"/>
    </row>
    <row r="15" customFormat="false" ht="15" hidden="false" customHeight="true" outlineLevel="0" collapsed="false">
      <c r="A15" s="15" t="s">
        <v>26</v>
      </c>
      <c r="B15" s="15"/>
      <c r="C15" s="15"/>
      <c r="D15" s="15"/>
      <c r="E15" s="15"/>
      <c r="F15" s="15"/>
    </row>
    <row r="16" customFormat="false" ht="15" hidden="false" customHeight="true" outlineLevel="0" collapsed="false">
      <c r="A16" s="15" t="s">
        <v>27</v>
      </c>
      <c r="B16" s="15"/>
      <c r="C16" s="15"/>
      <c r="D16" s="15"/>
      <c r="E16" s="15"/>
      <c r="F16" s="15"/>
    </row>
    <row r="17" customFormat="false" ht="15" hidden="false" customHeight="true" outlineLevel="0" collapsed="false">
      <c r="A17" s="15" t="s">
        <v>28</v>
      </c>
      <c r="B17" s="15"/>
      <c r="C17" s="15"/>
      <c r="D17" s="15"/>
      <c r="E17" s="15"/>
      <c r="F17" s="15"/>
    </row>
    <row r="18" customFormat="false" ht="15" hidden="false" customHeight="true" outlineLevel="0" collapsed="false">
      <c r="A18" s="15" t="s">
        <v>29</v>
      </c>
      <c r="B18" s="15"/>
      <c r="C18" s="15"/>
      <c r="D18" s="15"/>
      <c r="E18" s="15"/>
      <c r="F18" s="15"/>
    </row>
    <row r="19" customFormat="false" ht="15" hidden="false" customHeight="true" outlineLevel="0" collapsed="false">
      <c r="A19" s="15" t="s">
        <v>30</v>
      </c>
      <c r="B19" s="15"/>
      <c r="C19" s="15"/>
      <c r="D19" s="15"/>
      <c r="E19" s="15"/>
      <c r="F19" s="15"/>
    </row>
    <row r="20" customFormat="false" ht="15" hidden="false" customHeight="true" outlineLevel="0" collapsed="false">
      <c r="A20" s="15" t="s">
        <v>31</v>
      </c>
      <c r="B20" s="15"/>
      <c r="C20" s="15"/>
      <c r="D20" s="15"/>
      <c r="E20" s="15"/>
      <c r="F20" s="15"/>
    </row>
    <row r="21" customFormat="false" ht="15" hidden="false" customHeight="true" outlineLevel="0" collapsed="false">
      <c r="A21" s="15" t="s">
        <v>32</v>
      </c>
      <c r="B21" s="15"/>
      <c r="C21" s="15"/>
      <c r="D21" s="15"/>
      <c r="E21" s="15"/>
      <c r="F21" s="15"/>
    </row>
    <row r="23" customFormat="false" ht="15" hidden="false" customHeight="true" outlineLevel="0" collapsed="false">
      <c r="A23" s="12" t="s">
        <v>33</v>
      </c>
      <c r="B23" s="12"/>
      <c r="C23" s="12"/>
      <c r="D23" s="12"/>
      <c r="E23" s="12"/>
      <c r="F23" s="12"/>
    </row>
    <row r="24" customFormat="false" ht="23.25" hidden="false" customHeight="true" outlineLevel="0" collapsed="false">
      <c r="A24" s="13" t="s">
        <v>34</v>
      </c>
      <c r="B24" s="14" t="s">
        <v>35</v>
      </c>
      <c r="C24" s="14"/>
      <c r="D24" s="14"/>
      <c r="E24" s="14"/>
      <c r="F24" s="14"/>
    </row>
    <row r="25" customFormat="false" ht="23.25" hidden="false" customHeight="true" outlineLevel="0" collapsed="false">
      <c r="A25" s="13" t="s">
        <v>36</v>
      </c>
      <c r="B25" s="14" t="s">
        <v>37</v>
      </c>
      <c r="C25" s="14"/>
      <c r="D25" s="14"/>
      <c r="E25" s="14"/>
      <c r="F25" s="14"/>
    </row>
    <row r="26" customFormat="false" ht="23.25" hidden="false" customHeight="true" outlineLevel="0" collapsed="false">
      <c r="A26" s="13" t="s">
        <v>38</v>
      </c>
      <c r="B26" s="14" t="s">
        <v>39</v>
      </c>
      <c r="C26" s="14"/>
      <c r="D26" s="14"/>
      <c r="E26" s="14"/>
      <c r="F26" s="14"/>
    </row>
  </sheetData>
  <mergeCells count="22">
    <mergeCell ref="A1:F1"/>
    <mergeCell ref="A3:F3"/>
    <mergeCell ref="B4:F4"/>
    <mergeCell ref="B5:F5"/>
    <mergeCell ref="B6:F6"/>
    <mergeCell ref="B7:F7"/>
    <mergeCell ref="B8:F8"/>
    <mergeCell ref="A10:F10"/>
    <mergeCell ref="B11:F11"/>
    <mergeCell ref="B12:F12"/>
    <mergeCell ref="A14:F14"/>
    <mergeCell ref="A15:F15"/>
    <mergeCell ref="A16:F16"/>
    <mergeCell ref="A17:F17"/>
    <mergeCell ref="A18:F18"/>
    <mergeCell ref="A19:F19"/>
    <mergeCell ref="A20:F20"/>
    <mergeCell ref="A21:F21"/>
    <mergeCell ref="A23:F23"/>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1"/>
  <cols>
    <col collapsed="false" customWidth="true" hidden="false" outlineLevel="0" max="2" min="1" style="1" width="14"/>
    <col collapsed="false" customWidth="true" hidden="false" outlineLevel="0" max="3" min="3" style="1" width="28"/>
    <col collapsed="false" customWidth="true" hidden="false" outlineLevel="0" max="4" min="4" style="1" width="35"/>
    <col collapsed="false" customWidth="true" hidden="false" outlineLevel="0" max="5" min="5" style="1" width="14"/>
    <col collapsed="false" customWidth="true" hidden="false" outlineLevel="0" max="6" min="6" style="1" width="12"/>
    <col collapsed="false" customWidth="true" hidden="false" outlineLevel="0" max="7" min="7" style="1" width="14"/>
    <col collapsed="false" customWidth="true" hidden="false" outlineLevel="0" max="8" min="8" style="1" width="13"/>
    <col collapsed="false" customWidth="true" hidden="false" outlineLevel="0" max="9" min="9" style="1" width="14"/>
    <col collapsed="false" customWidth="true" hidden="false" outlineLevel="0" max="10" min="10" style="1" width="11"/>
    <col collapsed="false" customWidth="true" hidden="false" outlineLevel="0" max="11" min="11" style="1" width="30"/>
    <col collapsed="false" customWidth="true" hidden="true" outlineLevel="1" max="17" min="12" style="1" width="12"/>
  </cols>
  <sheetData>
    <row r="1" customFormat="false" ht="15" hidden="false" customHeight="true" outlineLevel="0" collapsed="false">
      <c r="A1" s="16" t="s">
        <v>40</v>
      </c>
      <c r="B1" s="16"/>
      <c r="C1" s="16"/>
      <c r="D1" s="16"/>
      <c r="E1" s="16"/>
      <c r="F1" s="16"/>
      <c r="G1" s="16"/>
      <c r="H1" s="16"/>
      <c r="I1" s="16"/>
      <c r="J1" s="16"/>
      <c r="K1" s="16"/>
      <c r="L1" s="16"/>
      <c r="M1" s="16"/>
      <c r="N1" s="16"/>
      <c r="O1" s="16"/>
      <c r="P1" s="16"/>
      <c r="Q1" s="16"/>
    </row>
    <row r="3" customFormat="false" ht="15" hidden="false" customHeight="true" outlineLevel="0" collapsed="false">
      <c r="A3" s="16" t="s">
        <v>41</v>
      </c>
      <c r="B3" s="16"/>
      <c r="C3" s="16"/>
      <c r="D3" s="16"/>
      <c r="E3" s="16"/>
      <c r="G3" s="16" t="s">
        <v>42</v>
      </c>
      <c r="H3" s="16"/>
      <c r="I3" s="16"/>
      <c r="J3" s="16"/>
      <c r="K3" s="16"/>
    </row>
    <row r="5" customFormat="false" ht="15" hidden="false" customHeight="true" outlineLevel="0" collapsed="false">
      <c r="A5" s="17" t="s">
        <v>43</v>
      </c>
      <c r="B5" s="17"/>
      <c r="C5" s="17"/>
      <c r="D5" s="18" t="n">
        <f aca="false">SUM(G12:G62)</f>
        <v>746400</v>
      </c>
      <c r="E5" s="18"/>
      <c r="G5" s="19" t="s">
        <v>44</v>
      </c>
      <c r="H5" s="19"/>
      <c r="I5" s="19"/>
      <c r="J5" s="18" t="n">
        <f aca="true">SUMIFS(G12:G62,I12:I62,"&lt;&gt;Paid",I12:I62,"&lt;&gt;",H12:H62,"&gt;="&amp;TODAY()-30)</f>
        <v>0</v>
      </c>
      <c r="K5" s="18"/>
    </row>
    <row r="6" customFormat="false" ht="15" hidden="false" customHeight="true" outlineLevel="0" collapsed="false">
      <c r="A6" s="17" t="s">
        <v>45</v>
      </c>
      <c r="B6" s="17"/>
      <c r="C6" s="17"/>
      <c r="D6" s="18" t="n">
        <f aca="false">SUMIFS(G12:G62,I12:I62,"Paid")</f>
        <v>512400</v>
      </c>
      <c r="E6" s="18"/>
      <c r="G6" s="20" t="s">
        <v>46</v>
      </c>
      <c r="H6" s="20"/>
      <c r="I6" s="20"/>
      <c r="J6" s="18" t="n">
        <f aca="true">SUMIFS(G12:G62,I12:I62,"&lt;&gt;Paid",I12:I62,"&lt;&gt;",H12:H62,"&lt;"&amp;TODAY()-30,H12:H62,"&gt;="&amp;TODAY()-60)</f>
        <v>113400</v>
      </c>
      <c r="K6" s="18"/>
    </row>
    <row r="7" customFormat="false" ht="15" hidden="false" customHeight="true" outlineLevel="0" collapsed="false">
      <c r="A7" s="17" t="s">
        <v>47</v>
      </c>
      <c r="B7" s="17"/>
      <c r="C7" s="17"/>
      <c r="D7" s="18" t="n">
        <f aca="false">D5-D6</f>
        <v>234000</v>
      </c>
      <c r="E7" s="18"/>
      <c r="G7" s="21" t="s">
        <v>48</v>
      </c>
      <c r="H7" s="21"/>
      <c r="I7" s="21"/>
      <c r="J7" s="18" t="n">
        <f aca="true">SUMIFS(G12:G62,I12:I62,"&lt;&gt;Paid",I12:I62,"&lt;&gt;",H12:H62,"&lt;"&amp;TODAY()-60,H12:H62,"&gt;="&amp;TODAY()-90)</f>
        <v>38400</v>
      </c>
      <c r="K7" s="18"/>
    </row>
    <row r="8" customFormat="false" ht="15" hidden="false" customHeight="true" outlineLevel="0" collapsed="false">
      <c r="A8" s="17" t="s">
        <v>49</v>
      </c>
      <c r="B8" s="17"/>
      <c r="C8" s="17"/>
      <c r="D8" s="22" t="n">
        <f aca="false">COUNTA(A12:A62)</f>
        <v>5</v>
      </c>
      <c r="E8" s="22"/>
      <c r="G8" s="23" t="s">
        <v>50</v>
      </c>
      <c r="H8" s="23"/>
      <c r="I8" s="23"/>
      <c r="J8" s="18" t="n">
        <f aca="true">SUMIFS(G12:G62,I12:I62,"&lt;&gt;Paid",I12:I62,"&lt;&gt;",H12:H62,"&lt;"&amp;TODAY()-90)</f>
        <v>82200</v>
      </c>
      <c r="K8" s="18"/>
    </row>
    <row r="9" customFormat="false" ht="15" hidden="false" customHeight="true" outlineLevel="0" collapsed="false">
      <c r="A9" s="17" t="s">
        <v>51</v>
      </c>
      <c r="B9" s="17"/>
      <c r="C9" s="17"/>
      <c r="D9" s="22" t="n">
        <f aca="true">COUNTIFS(H12:H62,"&lt;"&amp;TODAY(),I12:I62,"&lt;&gt;Paid",I12:I62,"&lt;&gt;",H12:H62,"&lt;&gt;")</f>
        <v>3</v>
      </c>
      <c r="E9" s="22"/>
      <c r="G9" s="17" t="s">
        <v>52</v>
      </c>
      <c r="H9" s="17"/>
      <c r="I9" s="17"/>
      <c r="J9" s="18" t="n">
        <f aca="false">J5+J6+J7+J8</f>
        <v>234000</v>
      </c>
      <c r="K9" s="18"/>
    </row>
    <row r="10" customFormat="false" ht="32.25" hidden="false" customHeight="true" outlineLevel="0" collapsed="false">
      <c r="A10" s="24"/>
      <c r="B10" s="24"/>
      <c r="C10" s="24"/>
      <c r="D10" s="24"/>
      <c r="E10" s="24"/>
      <c r="F10" s="24"/>
      <c r="G10" s="24"/>
      <c r="H10" s="24"/>
      <c r="I10" s="24"/>
      <c r="J10" s="24"/>
      <c r="K10" s="24"/>
      <c r="L10" s="25" t="s">
        <v>53</v>
      </c>
      <c r="M10" s="25"/>
      <c r="N10" s="25"/>
      <c r="O10" s="25"/>
      <c r="P10" s="25"/>
      <c r="Q10" s="25"/>
    </row>
    <row r="11" customFormat="false" ht="41.25" hidden="false" customHeight="true" outlineLevel="0" collapsed="false">
      <c r="A11" s="26" t="s">
        <v>54</v>
      </c>
      <c r="B11" s="26" t="s">
        <v>55</v>
      </c>
      <c r="C11" s="26" t="s">
        <v>56</v>
      </c>
      <c r="D11" s="26" t="s">
        <v>57</v>
      </c>
      <c r="E11" s="26" t="s">
        <v>58</v>
      </c>
      <c r="F11" s="26" t="s">
        <v>59</v>
      </c>
      <c r="G11" s="26" t="s">
        <v>60</v>
      </c>
      <c r="H11" s="26" t="s">
        <v>61</v>
      </c>
      <c r="I11" s="26" t="s">
        <v>62</v>
      </c>
      <c r="J11" s="26" t="s">
        <v>63</v>
      </c>
      <c r="K11" s="26" t="s">
        <v>64</v>
      </c>
      <c r="L11" s="26" t="s">
        <v>65</v>
      </c>
      <c r="M11" s="26" t="s">
        <v>66</v>
      </c>
      <c r="N11" s="26" t="s">
        <v>67</v>
      </c>
      <c r="O11" s="26" t="s">
        <v>68</v>
      </c>
      <c r="P11" s="26" t="s">
        <v>69</v>
      </c>
      <c r="Q11" s="26" t="s">
        <v>70</v>
      </c>
    </row>
    <row r="12" customFormat="false" ht="15" hidden="false" customHeight="true" outlineLevel="0" collapsed="false">
      <c r="A12" s="27" t="s">
        <v>71</v>
      </c>
      <c r="B12" s="28" t="n">
        <v>45881</v>
      </c>
      <c r="C12" s="27" t="s">
        <v>72</v>
      </c>
      <c r="D12" s="29" t="s">
        <v>73</v>
      </c>
      <c r="E12" s="30" t="n">
        <v>142000</v>
      </c>
      <c r="F12" s="31" t="n">
        <f aca="false">E12*0.2</f>
        <v>28400</v>
      </c>
      <c r="G12" s="31" t="n">
        <f aca="false">E12+F12</f>
        <v>170400</v>
      </c>
      <c r="H12" s="28" t="n">
        <v>45912</v>
      </c>
      <c r="I12" s="27" t="s">
        <v>74</v>
      </c>
      <c r="J12" s="32" t="n">
        <f aca="true">IF(AND(H12&lt;&gt;"",I12&lt;&gt;"Paid",H12&lt;TODAY()),TODAY()-H12,0)</f>
        <v>0</v>
      </c>
      <c r="K12" s="29" t="s">
        <v>75</v>
      </c>
      <c r="L12" s="27" t="s">
        <v>76</v>
      </c>
      <c r="M12" s="27" t="s">
        <v>77</v>
      </c>
      <c r="N12" s="28" t="n">
        <v>45910</v>
      </c>
      <c r="O12" s="27" t="s">
        <v>78</v>
      </c>
      <c r="P12" s="30" t="n">
        <v>7100</v>
      </c>
      <c r="Q12" s="27" t="s">
        <v>79</v>
      </c>
    </row>
    <row r="13" customFormat="false" ht="15" hidden="false" customHeight="true" outlineLevel="0" collapsed="false">
      <c r="A13" s="27" t="s">
        <v>80</v>
      </c>
      <c r="B13" s="28" t="n">
        <v>45931</v>
      </c>
      <c r="C13" s="27" t="s">
        <v>81</v>
      </c>
      <c r="D13" s="29" t="s">
        <v>82</v>
      </c>
      <c r="E13" s="30" t="n">
        <v>285000</v>
      </c>
      <c r="F13" s="31" t="n">
        <f aca="false">E13*0.2</f>
        <v>57000</v>
      </c>
      <c r="G13" s="31" t="n">
        <f aca="false">E13+F13</f>
        <v>342000</v>
      </c>
      <c r="H13" s="28" t="n">
        <v>45961</v>
      </c>
      <c r="I13" s="27" t="s">
        <v>74</v>
      </c>
      <c r="J13" s="32" t="n">
        <f aca="true">IF(AND(H13&lt;&gt;"",I13&lt;&gt;"Paid",H13&lt;TODAY()),TODAY()-H13,0)</f>
        <v>0</v>
      </c>
      <c r="K13" s="29" t="s">
        <v>83</v>
      </c>
      <c r="L13" s="27" t="s">
        <v>84</v>
      </c>
      <c r="M13" s="27" t="s">
        <v>85</v>
      </c>
      <c r="N13" s="28" t="n">
        <v>45959</v>
      </c>
      <c r="O13" s="27" t="s">
        <v>78</v>
      </c>
      <c r="P13" s="30" t="n">
        <v>14250</v>
      </c>
      <c r="Q13" s="27" t="s">
        <v>86</v>
      </c>
    </row>
    <row r="14" customFormat="false" ht="15" hidden="false" customHeight="true" outlineLevel="0" collapsed="false">
      <c r="A14" s="27" t="s">
        <v>87</v>
      </c>
      <c r="B14" s="28" t="n">
        <v>45979</v>
      </c>
      <c r="C14" s="27" t="s">
        <v>88</v>
      </c>
      <c r="D14" s="29" t="s">
        <v>89</v>
      </c>
      <c r="E14" s="30" t="n">
        <v>68500</v>
      </c>
      <c r="F14" s="31" t="n">
        <f aca="false">E14*0.2</f>
        <v>13700</v>
      </c>
      <c r="G14" s="31" t="n">
        <f aca="false">E14+F14</f>
        <v>82200</v>
      </c>
      <c r="H14" s="28" t="n">
        <v>46009</v>
      </c>
      <c r="I14" s="27" t="s">
        <v>90</v>
      </c>
      <c r="J14" s="32" t="n">
        <f aca="true">IF(AND(H14&lt;&gt;"",I14&lt;&gt;"Paid",H14&lt;TODAY()),TODAY()-H14,0)</f>
        <v>94</v>
      </c>
      <c r="K14" s="29" t="s">
        <v>91</v>
      </c>
      <c r="L14" s="27" t="s">
        <v>92</v>
      </c>
      <c r="M14" s="27" t="s">
        <v>93</v>
      </c>
      <c r="N14" s="28"/>
      <c r="O14" s="27" t="s">
        <v>78</v>
      </c>
      <c r="P14" s="30" t="n">
        <v>3425</v>
      </c>
      <c r="Q14" s="27"/>
    </row>
    <row r="15" customFormat="false" ht="23.25" hidden="false" customHeight="true" outlineLevel="0" collapsed="false">
      <c r="A15" s="27" t="s">
        <v>94</v>
      </c>
      <c r="B15" s="28" t="n">
        <v>45996</v>
      </c>
      <c r="C15" s="27" t="s">
        <v>95</v>
      </c>
      <c r="D15" s="29" t="s">
        <v>96</v>
      </c>
      <c r="E15" s="30" t="n">
        <v>32000</v>
      </c>
      <c r="F15" s="31" t="n">
        <f aca="false">E15*0.2</f>
        <v>6400</v>
      </c>
      <c r="G15" s="31" t="n">
        <f aca="false">E15+F15</f>
        <v>38400</v>
      </c>
      <c r="H15" s="28" t="n">
        <v>46027</v>
      </c>
      <c r="I15" s="27" t="s">
        <v>97</v>
      </c>
      <c r="J15" s="32" t="n">
        <f aca="true">IF(AND(H15&lt;&gt;"",I15&lt;&gt;"Paid",H15&lt;TODAY()),TODAY()-H15,0)</f>
        <v>76</v>
      </c>
      <c r="K15" s="29" t="s">
        <v>98</v>
      </c>
      <c r="L15" s="27" t="s">
        <v>99</v>
      </c>
      <c r="M15" s="27" t="s">
        <v>100</v>
      </c>
      <c r="N15" s="28"/>
      <c r="O15" s="27"/>
      <c r="P15" s="30" t="n">
        <v>0</v>
      </c>
      <c r="Q15" s="27"/>
    </row>
    <row r="16" customFormat="false" ht="15" hidden="false" customHeight="true" outlineLevel="0" collapsed="false">
      <c r="A16" s="27" t="s">
        <v>101</v>
      </c>
      <c r="B16" s="28" t="n">
        <v>46037</v>
      </c>
      <c r="C16" s="27" t="s">
        <v>102</v>
      </c>
      <c r="D16" s="29" t="s">
        <v>103</v>
      </c>
      <c r="E16" s="30" t="n">
        <v>94500</v>
      </c>
      <c r="F16" s="31" t="n">
        <f aca="false">E16*0.2</f>
        <v>18900</v>
      </c>
      <c r="G16" s="31" t="n">
        <f aca="false">E16+F16</f>
        <v>113400</v>
      </c>
      <c r="H16" s="28" t="n">
        <v>46068</v>
      </c>
      <c r="I16" s="27" t="s">
        <v>104</v>
      </c>
      <c r="J16" s="32" t="n">
        <f aca="true">IF(AND(H16&lt;&gt;"",I16&lt;&gt;"Paid",H16&lt;TODAY()),TODAY()-H16,0)</f>
        <v>35</v>
      </c>
      <c r="K16" s="29" t="s">
        <v>105</v>
      </c>
      <c r="L16" s="27" t="s">
        <v>92</v>
      </c>
      <c r="M16" s="27" t="s">
        <v>106</v>
      </c>
      <c r="N16" s="28"/>
      <c r="O16" s="27"/>
      <c r="P16" s="30" t="n">
        <v>4725</v>
      </c>
      <c r="Q16" s="27"/>
    </row>
    <row r="17" customFormat="false" ht="15" hidden="false" customHeight="true" outlineLevel="0" collapsed="false">
      <c r="A17" s="27"/>
      <c r="B17" s="28"/>
      <c r="C17" s="27"/>
      <c r="D17" s="29"/>
      <c r="E17" s="33"/>
      <c r="F17" s="34" t="str">
        <f aca="false">IF(E17&lt;&gt;"",E17*0.2,"")</f>
        <v/>
      </c>
      <c r="G17" s="34" t="str">
        <f aca="false">IF(E17&lt;&gt;"",E17+F17,"")</f>
        <v/>
      </c>
      <c r="H17" s="28"/>
      <c r="I17" s="27"/>
      <c r="J17" s="32" t="n">
        <f aca="true">IF(AND(H17&lt;&gt;"",I17&lt;&gt;"Paid",H17&lt;TODAY()),TODAY()-H17,0)</f>
        <v>0</v>
      </c>
      <c r="K17" s="29"/>
      <c r="L17" s="27"/>
      <c r="M17" s="27"/>
      <c r="N17" s="28"/>
      <c r="O17" s="27"/>
      <c r="P17" s="33"/>
      <c r="Q17" s="27"/>
    </row>
    <row r="18" customFormat="false" ht="15" hidden="false" customHeight="true" outlineLevel="0" collapsed="false">
      <c r="A18" s="27"/>
      <c r="B18" s="28"/>
      <c r="C18" s="27"/>
      <c r="D18" s="29"/>
      <c r="E18" s="33"/>
      <c r="F18" s="34" t="str">
        <f aca="false">IF(E18&lt;&gt;"",E18*0.2,"")</f>
        <v/>
      </c>
      <c r="G18" s="34" t="str">
        <f aca="false">IF(E18&lt;&gt;"",E18+F18,"")</f>
        <v/>
      </c>
      <c r="H18" s="28"/>
      <c r="I18" s="27"/>
      <c r="J18" s="32" t="n">
        <f aca="true">IF(AND(H18&lt;&gt;"",I18&lt;&gt;"Paid",H18&lt;TODAY()),TODAY()-H18,0)</f>
        <v>0</v>
      </c>
      <c r="K18" s="29"/>
      <c r="L18" s="27"/>
      <c r="M18" s="27"/>
      <c r="N18" s="28"/>
      <c r="O18" s="27"/>
      <c r="P18" s="33"/>
      <c r="Q18" s="27"/>
    </row>
    <row r="19" customFormat="false" ht="15" hidden="false" customHeight="true" outlineLevel="0" collapsed="false">
      <c r="A19" s="27"/>
      <c r="B19" s="28"/>
      <c r="C19" s="27"/>
      <c r="D19" s="29"/>
      <c r="E19" s="33"/>
      <c r="F19" s="34" t="str">
        <f aca="false">IF(E19&lt;&gt;"",E19*0.2,"")</f>
        <v/>
      </c>
      <c r="G19" s="34" t="str">
        <f aca="false">IF(E19&lt;&gt;"",E19+F19,"")</f>
        <v/>
      </c>
      <c r="H19" s="28"/>
      <c r="I19" s="27"/>
      <c r="J19" s="32" t="n">
        <f aca="true">IF(AND(H19&lt;&gt;"",I19&lt;&gt;"Paid",H19&lt;TODAY()),TODAY()-H19,0)</f>
        <v>0</v>
      </c>
      <c r="K19" s="29"/>
      <c r="L19" s="27"/>
      <c r="M19" s="27"/>
      <c r="N19" s="28"/>
      <c r="O19" s="27"/>
      <c r="P19" s="33"/>
      <c r="Q19" s="27"/>
    </row>
    <row r="20" customFormat="false" ht="15" hidden="false" customHeight="true" outlineLevel="0" collapsed="false">
      <c r="A20" s="27"/>
      <c r="B20" s="28"/>
      <c r="C20" s="27"/>
      <c r="D20" s="29"/>
      <c r="E20" s="33"/>
      <c r="F20" s="34" t="str">
        <f aca="false">IF(E20&lt;&gt;"",E20*0.2,"")</f>
        <v/>
      </c>
      <c r="G20" s="34" t="str">
        <f aca="false">IF(E20&lt;&gt;"",E20+F20,"")</f>
        <v/>
      </c>
      <c r="H20" s="28"/>
      <c r="I20" s="27"/>
      <c r="J20" s="32" t="n">
        <f aca="true">IF(AND(H20&lt;&gt;"",I20&lt;&gt;"Paid",H20&lt;TODAY()),TODAY()-H20,0)</f>
        <v>0</v>
      </c>
      <c r="K20" s="29"/>
      <c r="L20" s="27"/>
      <c r="M20" s="27"/>
      <c r="N20" s="28"/>
      <c r="O20" s="27"/>
      <c r="P20" s="33"/>
      <c r="Q20" s="27"/>
    </row>
    <row r="21" customFormat="false" ht="15" hidden="false" customHeight="true" outlineLevel="0" collapsed="false">
      <c r="A21" s="27"/>
      <c r="B21" s="28"/>
      <c r="C21" s="27"/>
      <c r="D21" s="29"/>
      <c r="E21" s="33"/>
      <c r="F21" s="34" t="str">
        <f aca="false">IF(E21&lt;&gt;"",E21*0.2,"")</f>
        <v/>
      </c>
      <c r="G21" s="34" t="str">
        <f aca="false">IF(E21&lt;&gt;"",E21+F21,"")</f>
        <v/>
      </c>
      <c r="H21" s="28"/>
      <c r="I21" s="27"/>
      <c r="J21" s="32" t="n">
        <f aca="true">IF(AND(H21&lt;&gt;"",I21&lt;&gt;"Paid",H21&lt;TODAY()),TODAY()-H21,0)</f>
        <v>0</v>
      </c>
      <c r="K21" s="29"/>
      <c r="L21" s="27"/>
      <c r="M21" s="27"/>
      <c r="N21" s="28"/>
      <c r="O21" s="27"/>
      <c r="P21" s="33"/>
      <c r="Q21" s="27"/>
    </row>
    <row r="22" customFormat="false" ht="15" hidden="false" customHeight="true" outlineLevel="0" collapsed="false">
      <c r="A22" s="27"/>
      <c r="B22" s="28"/>
      <c r="C22" s="27"/>
      <c r="D22" s="29"/>
      <c r="E22" s="33"/>
      <c r="F22" s="34" t="str">
        <f aca="false">IF(E22&lt;&gt;"",E22*0.2,"")</f>
        <v/>
      </c>
      <c r="G22" s="34" t="str">
        <f aca="false">IF(E22&lt;&gt;"",E22+F22,"")</f>
        <v/>
      </c>
      <c r="H22" s="28"/>
      <c r="I22" s="27"/>
      <c r="J22" s="32" t="n">
        <f aca="true">IF(AND(H22&lt;&gt;"",I22&lt;&gt;"Paid",H22&lt;TODAY()),TODAY()-H22,0)</f>
        <v>0</v>
      </c>
      <c r="K22" s="29"/>
      <c r="L22" s="27"/>
      <c r="M22" s="27"/>
      <c r="N22" s="28"/>
      <c r="O22" s="27"/>
      <c r="P22" s="33"/>
      <c r="Q22" s="27"/>
    </row>
    <row r="23" customFormat="false" ht="15" hidden="false" customHeight="true" outlineLevel="0" collapsed="false">
      <c r="A23" s="27"/>
      <c r="B23" s="28"/>
      <c r="C23" s="27"/>
      <c r="D23" s="29"/>
      <c r="E23" s="33"/>
      <c r="F23" s="34" t="str">
        <f aca="false">IF(E23&lt;&gt;"",E23*0.2,"")</f>
        <v/>
      </c>
      <c r="G23" s="34" t="str">
        <f aca="false">IF(E23&lt;&gt;"",E23+F23,"")</f>
        <v/>
      </c>
      <c r="H23" s="28"/>
      <c r="I23" s="27"/>
      <c r="J23" s="32" t="n">
        <f aca="true">IF(AND(H23&lt;&gt;"",I23&lt;&gt;"Paid",H23&lt;TODAY()),TODAY()-H23,0)</f>
        <v>0</v>
      </c>
      <c r="K23" s="29"/>
      <c r="L23" s="27"/>
      <c r="M23" s="27"/>
      <c r="N23" s="28"/>
      <c r="O23" s="27"/>
      <c r="P23" s="33"/>
      <c r="Q23" s="27"/>
    </row>
    <row r="24" customFormat="false" ht="15" hidden="false" customHeight="true" outlineLevel="0" collapsed="false">
      <c r="A24" s="27"/>
      <c r="B24" s="28"/>
      <c r="C24" s="27"/>
      <c r="D24" s="29"/>
      <c r="E24" s="33"/>
      <c r="F24" s="34" t="str">
        <f aca="false">IF(E24&lt;&gt;"",E24*0.2,"")</f>
        <v/>
      </c>
      <c r="G24" s="34" t="str">
        <f aca="false">IF(E24&lt;&gt;"",E24+F24,"")</f>
        <v/>
      </c>
      <c r="H24" s="28"/>
      <c r="I24" s="27"/>
      <c r="J24" s="32" t="n">
        <f aca="true">IF(AND(H24&lt;&gt;"",I24&lt;&gt;"Paid",H24&lt;TODAY()),TODAY()-H24,0)</f>
        <v>0</v>
      </c>
      <c r="K24" s="29"/>
      <c r="L24" s="27"/>
      <c r="M24" s="27"/>
      <c r="N24" s="28"/>
      <c r="O24" s="27"/>
      <c r="P24" s="33"/>
      <c r="Q24" s="27"/>
    </row>
    <row r="25" customFormat="false" ht="15" hidden="false" customHeight="true" outlineLevel="0" collapsed="false">
      <c r="A25" s="27"/>
      <c r="B25" s="28"/>
      <c r="C25" s="27"/>
      <c r="D25" s="29"/>
      <c r="E25" s="33"/>
      <c r="F25" s="34" t="str">
        <f aca="false">IF(E25&lt;&gt;"",E25*0.2,"")</f>
        <v/>
      </c>
      <c r="G25" s="34" t="str">
        <f aca="false">IF(E25&lt;&gt;"",E25+F25,"")</f>
        <v/>
      </c>
      <c r="H25" s="28"/>
      <c r="I25" s="27"/>
      <c r="J25" s="32" t="n">
        <f aca="true">IF(AND(H25&lt;&gt;"",I25&lt;&gt;"Paid",H25&lt;TODAY()),TODAY()-H25,0)</f>
        <v>0</v>
      </c>
      <c r="K25" s="29"/>
      <c r="L25" s="27"/>
      <c r="M25" s="27"/>
      <c r="N25" s="28"/>
      <c r="O25" s="27"/>
      <c r="P25" s="33"/>
      <c r="Q25" s="27"/>
    </row>
    <row r="26" customFormat="false" ht="15" hidden="false" customHeight="true" outlineLevel="0" collapsed="false">
      <c r="A26" s="27"/>
      <c r="B26" s="28"/>
      <c r="C26" s="27"/>
      <c r="D26" s="29"/>
      <c r="E26" s="33"/>
      <c r="F26" s="34" t="str">
        <f aca="false">IF(E26&lt;&gt;"",E26*0.2,"")</f>
        <v/>
      </c>
      <c r="G26" s="34" t="str">
        <f aca="false">IF(E26&lt;&gt;"",E26+F26,"")</f>
        <v/>
      </c>
      <c r="H26" s="28"/>
      <c r="I26" s="27"/>
      <c r="J26" s="32" t="n">
        <f aca="true">IF(AND(H26&lt;&gt;"",I26&lt;&gt;"Paid",H26&lt;TODAY()),TODAY()-H26,0)</f>
        <v>0</v>
      </c>
      <c r="K26" s="29"/>
      <c r="L26" s="27"/>
      <c r="M26" s="27"/>
      <c r="N26" s="28"/>
      <c r="O26" s="27"/>
      <c r="P26" s="33"/>
      <c r="Q26" s="27"/>
    </row>
    <row r="27" customFormat="false" ht="15" hidden="false" customHeight="true" outlineLevel="0" collapsed="false">
      <c r="A27" s="27"/>
      <c r="B27" s="28"/>
      <c r="C27" s="27"/>
      <c r="D27" s="29"/>
      <c r="E27" s="33"/>
      <c r="F27" s="34" t="str">
        <f aca="false">IF(E27&lt;&gt;"",E27*0.2,"")</f>
        <v/>
      </c>
      <c r="G27" s="34" t="str">
        <f aca="false">IF(E27&lt;&gt;"",E27+F27,"")</f>
        <v/>
      </c>
      <c r="H27" s="28"/>
      <c r="I27" s="27"/>
      <c r="J27" s="32" t="n">
        <f aca="true">IF(AND(H27&lt;&gt;"",I27&lt;&gt;"Paid",H27&lt;TODAY()),TODAY()-H27,0)</f>
        <v>0</v>
      </c>
      <c r="K27" s="29"/>
      <c r="L27" s="27"/>
      <c r="M27" s="27"/>
      <c r="N27" s="28"/>
      <c r="O27" s="27"/>
      <c r="P27" s="33"/>
      <c r="Q27" s="27"/>
    </row>
    <row r="28" customFormat="false" ht="15" hidden="false" customHeight="true" outlineLevel="0" collapsed="false">
      <c r="A28" s="27"/>
      <c r="B28" s="28"/>
      <c r="C28" s="27"/>
      <c r="D28" s="29"/>
      <c r="E28" s="33"/>
      <c r="F28" s="34" t="str">
        <f aca="false">IF(E28&lt;&gt;"",E28*0.2,"")</f>
        <v/>
      </c>
      <c r="G28" s="34" t="str">
        <f aca="false">IF(E28&lt;&gt;"",E28+F28,"")</f>
        <v/>
      </c>
      <c r="H28" s="28"/>
      <c r="I28" s="27"/>
      <c r="J28" s="32" t="n">
        <f aca="true">IF(AND(H28&lt;&gt;"",I28&lt;&gt;"Paid",H28&lt;TODAY()),TODAY()-H28,0)</f>
        <v>0</v>
      </c>
      <c r="K28" s="29"/>
      <c r="L28" s="27"/>
      <c r="M28" s="27"/>
      <c r="N28" s="28"/>
      <c r="O28" s="27"/>
      <c r="P28" s="33"/>
      <c r="Q28" s="27"/>
    </row>
    <row r="29" customFormat="false" ht="15" hidden="false" customHeight="true" outlineLevel="0" collapsed="false">
      <c r="A29" s="27"/>
      <c r="B29" s="28"/>
      <c r="C29" s="27"/>
      <c r="D29" s="29"/>
      <c r="E29" s="33"/>
      <c r="F29" s="34" t="str">
        <f aca="false">IF(E29&lt;&gt;"",E29*0.2,"")</f>
        <v/>
      </c>
      <c r="G29" s="34" t="str">
        <f aca="false">IF(E29&lt;&gt;"",E29+F29,"")</f>
        <v/>
      </c>
      <c r="H29" s="28"/>
      <c r="I29" s="27"/>
      <c r="J29" s="32" t="n">
        <f aca="true">IF(AND(H29&lt;&gt;"",I29&lt;&gt;"Paid",H29&lt;TODAY()),TODAY()-H29,0)</f>
        <v>0</v>
      </c>
      <c r="K29" s="29"/>
      <c r="L29" s="27"/>
      <c r="M29" s="27"/>
      <c r="N29" s="28"/>
      <c r="O29" s="27"/>
      <c r="P29" s="33"/>
      <c r="Q29" s="27"/>
    </row>
    <row r="30" customFormat="false" ht="15" hidden="false" customHeight="true" outlineLevel="0" collapsed="false">
      <c r="A30" s="27"/>
      <c r="B30" s="28"/>
      <c r="C30" s="27"/>
      <c r="D30" s="29"/>
      <c r="E30" s="33"/>
      <c r="F30" s="34" t="str">
        <f aca="false">IF(E30&lt;&gt;"",E30*0.2,"")</f>
        <v/>
      </c>
      <c r="G30" s="34" t="str">
        <f aca="false">IF(E30&lt;&gt;"",E30+F30,"")</f>
        <v/>
      </c>
      <c r="H30" s="28"/>
      <c r="I30" s="27"/>
      <c r="J30" s="32" t="n">
        <f aca="true">IF(AND(H30&lt;&gt;"",I30&lt;&gt;"Paid",H30&lt;TODAY()),TODAY()-H30,0)</f>
        <v>0</v>
      </c>
      <c r="K30" s="29"/>
      <c r="L30" s="27"/>
      <c r="M30" s="27"/>
      <c r="N30" s="28"/>
      <c r="O30" s="27"/>
      <c r="P30" s="33"/>
      <c r="Q30" s="27"/>
    </row>
    <row r="31" customFormat="false" ht="15" hidden="false" customHeight="true" outlineLevel="0" collapsed="false">
      <c r="A31" s="27"/>
      <c r="B31" s="28"/>
      <c r="C31" s="27"/>
      <c r="D31" s="29"/>
      <c r="E31" s="33"/>
      <c r="F31" s="34" t="str">
        <f aca="false">IF(E31&lt;&gt;"",E31*0.2,"")</f>
        <v/>
      </c>
      <c r="G31" s="34" t="str">
        <f aca="false">IF(E31&lt;&gt;"",E31+F31,"")</f>
        <v/>
      </c>
      <c r="H31" s="28"/>
      <c r="I31" s="27"/>
      <c r="J31" s="32" t="n">
        <f aca="true">IF(AND(H31&lt;&gt;"",I31&lt;&gt;"Paid",H31&lt;TODAY()),TODAY()-H31,0)</f>
        <v>0</v>
      </c>
      <c r="K31" s="29"/>
      <c r="L31" s="27"/>
      <c r="M31" s="27"/>
      <c r="N31" s="28"/>
      <c r="O31" s="27"/>
      <c r="P31" s="33"/>
      <c r="Q31" s="27"/>
    </row>
    <row r="32" customFormat="false" ht="15" hidden="false" customHeight="true" outlineLevel="0" collapsed="false">
      <c r="A32" s="27"/>
      <c r="B32" s="28"/>
      <c r="C32" s="27"/>
      <c r="D32" s="29"/>
      <c r="E32" s="33"/>
      <c r="F32" s="34" t="str">
        <f aca="false">IF(E32&lt;&gt;"",E32*0.2,"")</f>
        <v/>
      </c>
      <c r="G32" s="34" t="str">
        <f aca="false">IF(E32&lt;&gt;"",E32+F32,"")</f>
        <v/>
      </c>
      <c r="H32" s="28"/>
      <c r="I32" s="27"/>
      <c r="J32" s="32" t="n">
        <f aca="true">IF(AND(H32&lt;&gt;"",I32&lt;&gt;"Paid",H32&lt;TODAY()),TODAY()-H32,0)</f>
        <v>0</v>
      </c>
      <c r="K32" s="29"/>
      <c r="L32" s="27"/>
      <c r="M32" s="27"/>
      <c r="N32" s="28"/>
      <c r="O32" s="27"/>
      <c r="P32" s="33"/>
      <c r="Q32" s="27"/>
    </row>
    <row r="33" customFormat="false" ht="15" hidden="false" customHeight="true" outlineLevel="0" collapsed="false">
      <c r="A33" s="27"/>
      <c r="B33" s="28"/>
      <c r="C33" s="27"/>
      <c r="D33" s="29"/>
      <c r="E33" s="33"/>
      <c r="F33" s="34" t="str">
        <f aca="false">IF(E33&lt;&gt;"",E33*0.2,"")</f>
        <v/>
      </c>
      <c r="G33" s="34" t="str">
        <f aca="false">IF(E33&lt;&gt;"",E33+F33,"")</f>
        <v/>
      </c>
      <c r="H33" s="28"/>
      <c r="I33" s="27"/>
      <c r="J33" s="32" t="n">
        <f aca="true">IF(AND(H33&lt;&gt;"",I33&lt;&gt;"Paid",H33&lt;TODAY()),TODAY()-H33,0)</f>
        <v>0</v>
      </c>
      <c r="K33" s="29"/>
      <c r="L33" s="27"/>
      <c r="M33" s="27"/>
      <c r="N33" s="28"/>
      <c r="O33" s="27"/>
      <c r="P33" s="33"/>
      <c r="Q33" s="27"/>
    </row>
    <row r="34" customFormat="false" ht="15" hidden="false" customHeight="true" outlineLevel="0" collapsed="false">
      <c r="A34" s="27"/>
      <c r="B34" s="28"/>
      <c r="C34" s="27"/>
      <c r="D34" s="29"/>
      <c r="E34" s="33"/>
      <c r="F34" s="34" t="str">
        <f aca="false">IF(E34&lt;&gt;"",E34*0.2,"")</f>
        <v/>
      </c>
      <c r="G34" s="34" t="str">
        <f aca="false">IF(E34&lt;&gt;"",E34+F34,"")</f>
        <v/>
      </c>
      <c r="H34" s="28"/>
      <c r="I34" s="27"/>
      <c r="J34" s="32" t="n">
        <f aca="true">IF(AND(H34&lt;&gt;"",I34&lt;&gt;"Paid",H34&lt;TODAY()),TODAY()-H34,0)</f>
        <v>0</v>
      </c>
      <c r="K34" s="29"/>
      <c r="L34" s="27"/>
      <c r="M34" s="27"/>
      <c r="N34" s="28"/>
      <c r="O34" s="27"/>
      <c r="P34" s="33"/>
      <c r="Q34" s="27"/>
    </row>
    <row r="35" customFormat="false" ht="15" hidden="false" customHeight="true" outlineLevel="0" collapsed="false">
      <c r="A35" s="27"/>
      <c r="B35" s="28"/>
      <c r="C35" s="27"/>
      <c r="D35" s="29"/>
      <c r="E35" s="33"/>
      <c r="F35" s="34" t="str">
        <f aca="false">IF(E35&lt;&gt;"",E35*0.2,"")</f>
        <v/>
      </c>
      <c r="G35" s="34" t="str">
        <f aca="false">IF(E35&lt;&gt;"",E35+F35,"")</f>
        <v/>
      </c>
      <c r="H35" s="28"/>
      <c r="I35" s="27"/>
      <c r="J35" s="32" t="n">
        <f aca="true">IF(AND(H35&lt;&gt;"",I35&lt;&gt;"Paid",H35&lt;TODAY()),TODAY()-H35,0)</f>
        <v>0</v>
      </c>
      <c r="K35" s="29"/>
      <c r="L35" s="27"/>
      <c r="M35" s="27"/>
      <c r="N35" s="28"/>
      <c r="O35" s="27"/>
      <c r="P35" s="33"/>
      <c r="Q35" s="27"/>
    </row>
    <row r="36" customFormat="false" ht="15" hidden="false" customHeight="true" outlineLevel="0" collapsed="false">
      <c r="A36" s="27"/>
      <c r="B36" s="28"/>
      <c r="C36" s="27"/>
      <c r="D36" s="29"/>
      <c r="E36" s="33"/>
      <c r="F36" s="34" t="str">
        <f aca="false">IF(E36&lt;&gt;"",E36*0.2,"")</f>
        <v/>
      </c>
      <c r="G36" s="34" t="str">
        <f aca="false">IF(E36&lt;&gt;"",E36+F36,"")</f>
        <v/>
      </c>
      <c r="H36" s="28"/>
      <c r="I36" s="27"/>
      <c r="J36" s="32" t="n">
        <f aca="true">IF(AND(H36&lt;&gt;"",I36&lt;&gt;"Paid",H36&lt;TODAY()),TODAY()-H36,0)</f>
        <v>0</v>
      </c>
      <c r="K36" s="29"/>
      <c r="L36" s="27"/>
      <c r="M36" s="27"/>
      <c r="N36" s="28"/>
      <c r="O36" s="27"/>
      <c r="P36" s="33"/>
      <c r="Q36" s="27"/>
    </row>
    <row r="37" customFormat="false" ht="15" hidden="false" customHeight="true" outlineLevel="0" collapsed="false">
      <c r="A37" s="27"/>
      <c r="B37" s="28"/>
      <c r="C37" s="27"/>
      <c r="D37" s="29"/>
      <c r="E37" s="33"/>
      <c r="F37" s="34" t="str">
        <f aca="false">IF(E37&lt;&gt;"",E37*0.2,"")</f>
        <v/>
      </c>
      <c r="G37" s="34" t="str">
        <f aca="false">IF(E37&lt;&gt;"",E37+F37,"")</f>
        <v/>
      </c>
      <c r="H37" s="28"/>
      <c r="I37" s="27"/>
      <c r="J37" s="32" t="n">
        <f aca="true">IF(AND(H37&lt;&gt;"",I37&lt;&gt;"Paid",H37&lt;TODAY()),TODAY()-H37,0)</f>
        <v>0</v>
      </c>
      <c r="K37" s="29"/>
      <c r="L37" s="27"/>
      <c r="M37" s="27"/>
      <c r="N37" s="28"/>
      <c r="O37" s="27"/>
      <c r="P37" s="33"/>
      <c r="Q37" s="27"/>
    </row>
    <row r="38" customFormat="false" ht="15" hidden="false" customHeight="true" outlineLevel="0" collapsed="false">
      <c r="A38" s="27"/>
      <c r="B38" s="28"/>
      <c r="C38" s="27"/>
      <c r="D38" s="29"/>
      <c r="E38" s="33"/>
      <c r="F38" s="34" t="str">
        <f aca="false">IF(E38&lt;&gt;"",E38*0.2,"")</f>
        <v/>
      </c>
      <c r="G38" s="34" t="str">
        <f aca="false">IF(E38&lt;&gt;"",E38+F38,"")</f>
        <v/>
      </c>
      <c r="H38" s="28"/>
      <c r="I38" s="27"/>
      <c r="J38" s="32" t="n">
        <f aca="true">IF(AND(H38&lt;&gt;"",I38&lt;&gt;"Paid",H38&lt;TODAY()),TODAY()-H38,0)</f>
        <v>0</v>
      </c>
      <c r="K38" s="29"/>
      <c r="L38" s="27"/>
      <c r="M38" s="27"/>
      <c r="N38" s="28"/>
      <c r="O38" s="27"/>
      <c r="P38" s="33"/>
      <c r="Q38" s="27"/>
    </row>
    <row r="39" customFormat="false" ht="15" hidden="false" customHeight="true" outlineLevel="0" collapsed="false">
      <c r="A39" s="27"/>
      <c r="B39" s="28"/>
      <c r="C39" s="27"/>
      <c r="D39" s="29"/>
      <c r="E39" s="33"/>
      <c r="F39" s="34" t="str">
        <f aca="false">IF(E39&lt;&gt;"",E39*0.2,"")</f>
        <v/>
      </c>
      <c r="G39" s="34" t="str">
        <f aca="false">IF(E39&lt;&gt;"",E39+F39,"")</f>
        <v/>
      </c>
      <c r="H39" s="28"/>
      <c r="I39" s="27"/>
      <c r="J39" s="32" t="n">
        <f aca="true">IF(AND(H39&lt;&gt;"",I39&lt;&gt;"Paid",H39&lt;TODAY()),TODAY()-H39,0)</f>
        <v>0</v>
      </c>
      <c r="K39" s="29"/>
      <c r="L39" s="27"/>
      <c r="M39" s="27"/>
      <c r="N39" s="28"/>
      <c r="O39" s="27"/>
      <c r="P39" s="33"/>
      <c r="Q39" s="27"/>
    </row>
    <row r="40" customFormat="false" ht="15" hidden="false" customHeight="true" outlineLevel="0" collapsed="false">
      <c r="A40" s="27"/>
      <c r="B40" s="28"/>
      <c r="C40" s="27"/>
      <c r="D40" s="29"/>
      <c r="E40" s="33"/>
      <c r="F40" s="34" t="str">
        <f aca="false">IF(E40&lt;&gt;"",E40*0.2,"")</f>
        <v/>
      </c>
      <c r="G40" s="34" t="str">
        <f aca="false">IF(E40&lt;&gt;"",E40+F40,"")</f>
        <v/>
      </c>
      <c r="H40" s="28"/>
      <c r="I40" s="27"/>
      <c r="J40" s="32" t="n">
        <f aca="true">IF(AND(H40&lt;&gt;"",I40&lt;&gt;"Paid",H40&lt;TODAY()),TODAY()-H40,0)</f>
        <v>0</v>
      </c>
      <c r="K40" s="29"/>
      <c r="L40" s="27"/>
      <c r="M40" s="27"/>
      <c r="N40" s="28"/>
      <c r="O40" s="27"/>
      <c r="P40" s="33"/>
      <c r="Q40" s="27"/>
    </row>
    <row r="41" customFormat="false" ht="15" hidden="false" customHeight="true" outlineLevel="0" collapsed="false">
      <c r="A41" s="27"/>
      <c r="B41" s="28"/>
      <c r="C41" s="27"/>
      <c r="D41" s="29"/>
      <c r="E41" s="33"/>
      <c r="F41" s="34" t="str">
        <f aca="false">IF(E41&lt;&gt;"",E41*0.2,"")</f>
        <v/>
      </c>
      <c r="G41" s="34" t="str">
        <f aca="false">IF(E41&lt;&gt;"",E41+F41,"")</f>
        <v/>
      </c>
      <c r="H41" s="28"/>
      <c r="I41" s="27"/>
      <c r="J41" s="32" t="n">
        <f aca="true">IF(AND(H41&lt;&gt;"",I41&lt;&gt;"Paid",H41&lt;TODAY()),TODAY()-H41,0)</f>
        <v>0</v>
      </c>
      <c r="K41" s="29"/>
      <c r="L41" s="27"/>
      <c r="M41" s="27"/>
      <c r="N41" s="28"/>
      <c r="O41" s="27"/>
      <c r="P41" s="33"/>
      <c r="Q41" s="27"/>
    </row>
    <row r="42" customFormat="false" ht="15" hidden="false" customHeight="true" outlineLevel="0" collapsed="false">
      <c r="A42" s="27"/>
      <c r="B42" s="28"/>
      <c r="C42" s="27"/>
      <c r="D42" s="29"/>
      <c r="E42" s="33"/>
      <c r="F42" s="34" t="str">
        <f aca="false">IF(E42&lt;&gt;"",E42*0.2,"")</f>
        <v/>
      </c>
      <c r="G42" s="34" t="str">
        <f aca="false">IF(E42&lt;&gt;"",E42+F42,"")</f>
        <v/>
      </c>
      <c r="H42" s="28"/>
      <c r="I42" s="27"/>
      <c r="J42" s="32" t="n">
        <f aca="true">IF(AND(H42&lt;&gt;"",I42&lt;&gt;"Paid",H42&lt;TODAY()),TODAY()-H42,0)</f>
        <v>0</v>
      </c>
      <c r="K42" s="29"/>
      <c r="L42" s="27"/>
      <c r="M42" s="27"/>
      <c r="N42" s="28"/>
      <c r="O42" s="27"/>
      <c r="P42" s="33"/>
      <c r="Q42" s="27"/>
    </row>
    <row r="43" customFormat="false" ht="15" hidden="false" customHeight="true" outlineLevel="0" collapsed="false">
      <c r="A43" s="27"/>
      <c r="B43" s="28"/>
      <c r="C43" s="27"/>
      <c r="D43" s="29"/>
      <c r="E43" s="33"/>
      <c r="F43" s="34" t="str">
        <f aca="false">IF(E43&lt;&gt;"",E43*0.2,"")</f>
        <v/>
      </c>
      <c r="G43" s="34" t="str">
        <f aca="false">IF(E43&lt;&gt;"",E43+F43,"")</f>
        <v/>
      </c>
      <c r="H43" s="28"/>
      <c r="I43" s="27"/>
      <c r="J43" s="32" t="n">
        <f aca="true">IF(AND(H43&lt;&gt;"",I43&lt;&gt;"Paid",H43&lt;TODAY()),TODAY()-H43,0)</f>
        <v>0</v>
      </c>
      <c r="K43" s="29"/>
      <c r="L43" s="27"/>
      <c r="M43" s="27"/>
      <c r="N43" s="28"/>
      <c r="O43" s="27"/>
      <c r="P43" s="33"/>
      <c r="Q43" s="27"/>
    </row>
    <row r="44" customFormat="false" ht="15" hidden="false" customHeight="true" outlineLevel="0" collapsed="false">
      <c r="A44" s="27"/>
      <c r="B44" s="28"/>
      <c r="C44" s="27"/>
      <c r="D44" s="29"/>
      <c r="E44" s="33"/>
      <c r="F44" s="34" t="str">
        <f aca="false">IF(E44&lt;&gt;"",E44*0.2,"")</f>
        <v/>
      </c>
      <c r="G44" s="34" t="str">
        <f aca="false">IF(E44&lt;&gt;"",E44+F44,"")</f>
        <v/>
      </c>
      <c r="H44" s="28"/>
      <c r="I44" s="27"/>
      <c r="J44" s="32" t="n">
        <f aca="true">IF(AND(H44&lt;&gt;"",I44&lt;&gt;"Paid",H44&lt;TODAY()),TODAY()-H44,0)</f>
        <v>0</v>
      </c>
      <c r="K44" s="29"/>
      <c r="L44" s="27"/>
      <c r="M44" s="27"/>
      <c r="N44" s="28"/>
      <c r="O44" s="27"/>
      <c r="P44" s="33"/>
      <c r="Q44" s="27"/>
    </row>
    <row r="45" customFormat="false" ht="15" hidden="false" customHeight="true" outlineLevel="0" collapsed="false">
      <c r="A45" s="27"/>
      <c r="B45" s="28"/>
      <c r="C45" s="27"/>
      <c r="D45" s="29"/>
      <c r="E45" s="33"/>
      <c r="F45" s="34" t="str">
        <f aca="false">IF(E45&lt;&gt;"",E45*0.2,"")</f>
        <v/>
      </c>
      <c r="G45" s="34" t="str">
        <f aca="false">IF(E45&lt;&gt;"",E45+F45,"")</f>
        <v/>
      </c>
      <c r="H45" s="28"/>
      <c r="I45" s="27"/>
      <c r="J45" s="32" t="n">
        <f aca="true">IF(AND(H45&lt;&gt;"",I45&lt;&gt;"Paid",H45&lt;TODAY()),TODAY()-H45,0)</f>
        <v>0</v>
      </c>
      <c r="K45" s="29"/>
      <c r="L45" s="27"/>
      <c r="M45" s="27"/>
      <c r="N45" s="28"/>
      <c r="O45" s="27"/>
      <c r="P45" s="33"/>
      <c r="Q45" s="27"/>
    </row>
    <row r="46" customFormat="false" ht="15" hidden="false" customHeight="true" outlineLevel="0" collapsed="false">
      <c r="A46" s="27"/>
      <c r="B46" s="28"/>
      <c r="C46" s="27"/>
      <c r="D46" s="29"/>
      <c r="E46" s="33"/>
      <c r="F46" s="34" t="str">
        <f aca="false">IF(E46&lt;&gt;"",E46*0.2,"")</f>
        <v/>
      </c>
      <c r="G46" s="34" t="str">
        <f aca="false">IF(E46&lt;&gt;"",E46+F46,"")</f>
        <v/>
      </c>
      <c r="H46" s="28"/>
      <c r="I46" s="27"/>
      <c r="J46" s="32" t="n">
        <f aca="true">IF(AND(H46&lt;&gt;"",I46&lt;&gt;"Paid",H46&lt;TODAY()),TODAY()-H46,0)</f>
        <v>0</v>
      </c>
      <c r="K46" s="29"/>
      <c r="L46" s="27"/>
      <c r="M46" s="27"/>
      <c r="N46" s="28"/>
      <c r="O46" s="27"/>
      <c r="P46" s="33"/>
      <c r="Q46" s="27"/>
    </row>
    <row r="47" customFormat="false" ht="15" hidden="false" customHeight="true" outlineLevel="0" collapsed="false">
      <c r="A47" s="27"/>
      <c r="B47" s="28"/>
      <c r="C47" s="27"/>
      <c r="D47" s="29"/>
      <c r="E47" s="33"/>
      <c r="F47" s="34" t="str">
        <f aca="false">IF(E47&lt;&gt;"",E47*0.2,"")</f>
        <v/>
      </c>
      <c r="G47" s="34" t="str">
        <f aca="false">IF(E47&lt;&gt;"",E47+F47,"")</f>
        <v/>
      </c>
      <c r="H47" s="28"/>
      <c r="I47" s="27"/>
      <c r="J47" s="32" t="n">
        <f aca="true">IF(AND(H47&lt;&gt;"",I47&lt;&gt;"Paid",H47&lt;TODAY()),TODAY()-H47,0)</f>
        <v>0</v>
      </c>
      <c r="K47" s="29"/>
      <c r="L47" s="27"/>
      <c r="M47" s="27"/>
      <c r="N47" s="28"/>
      <c r="O47" s="27"/>
      <c r="P47" s="33"/>
      <c r="Q47" s="27"/>
    </row>
    <row r="48" customFormat="false" ht="15" hidden="false" customHeight="true" outlineLevel="0" collapsed="false">
      <c r="A48" s="27"/>
      <c r="B48" s="28"/>
      <c r="C48" s="27"/>
      <c r="D48" s="29"/>
      <c r="E48" s="33"/>
      <c r="F48" s="34" t="str">
        <f aca="false">IF(E48&lt;&gt;"",E48*0.2,"")</f>
        <v/>
      </c>
      <c r="G48" s="34" t="str">
        <f aca="false">IF(E48&lt;&gt;"",E48+F48,"")</f>
        <v/>
      </c>
      <c r="H48" s="28"/>
      <c r="I48" s="27"/>
      <c r="J48" s="32" t="n">
        <f aca="true">IF(AND(H48&lt;&gt;"",I48&lt;&gt;"Paid",H48&lt;TODAY()),TODAY()-H48,0)</f>
        <v>0</v>
      </c>
      <c r="K48" s="29"/>
      <c r="L48" s="27"/>
      <c r="M48" s="27"/>
      <c r="N48" s="28"/>
      <c r="O48" s="27"/>
      <c r="P48" s="33"/>
      <c r="Q48" s="27"/>
    </row>
    <row r="49" customFormat="false" ht="15" hidden="false" customHeight="true" outlineLevel="0" collapsed="false">
      <c r="A49" s="27"/>
      <c r="B49" s="28"/>
      <c r="C49" s="27"/>
      <c r="D49" s="29"/>
      <c r="E49" s="33"/>
      <c r="F49" s="34" t="str">
        <f aca="false">IF(E49&lt;&gt;"",E49*0.2,"")</f>
        <v/>
      </c>
      <c r="G49" s="34" t="str">
        <f aca="false">IF(E49&lt;&gt;"",E49+F49,"")</f>
        <v/>
      </c>
      <c r="H49" s="28"/>
      <c r="I49" s="27"/>
      <c r="J49" s="32" t="n">
        <f aca="true">IF(AND(H49&lt;&gt;"",I49&lt;&gt;"Paid",H49&lt;TODAY()),TODAY()-H49,0)</f>
        <v>0</v>
      </c>
      <c r="K49" s="29"/>
      <c r="L49" s="27"/>
      <c r="M49" s="27"/>
      <c r="N49" s="28"/>
      <c r="O49" s="27"/>
      <c r="P49" s="33"/>
      <c r="Q49" s="27"/>
    </row>
    <row r="50" customFormat="false" ht="15" hidden="false" customHeight="true" outlineLevel="0" collapsed="false">
      <c r="A50" s="27"/>
      <c r="B50" s="28"/>
      <c r="C50" s="27"/>
      <c r="D50" s="29"/>
      <c r="E50" s="33"/>
      <c r="F50" s="34" t="str">
        <f aca="false">IF(E50&lt;&gt;"",E50*0.2,"")</f>
        <v/>
      </c>
      <c r="G50" s="34" t="str">
        <f aca="false">IF(E50&lt;&gt;"",E50+F50,"")</f>
        <v/>
      </c>
      <c r="H50" s="28"/>
      <c r="I50" s="27"/>
      <c r="J50" s="32" t="n">
        <f aca="true">IF(AND(H50&lt;&gt;"",I50&lt;&gt;"Paid",H50&lt;TODAY()),TODAY()-H50,0)</f>
        <v>0</v>
      </c>
      <c r="K50" s="29"/>
      <c r="L50" s="27"/>
      <c r="M50" s="27"/>
      <c r="N50" s="28"/>
      <c r="O50" s="27"/>
      <c r="P50" s="33"/>
      <c r="Q50" s="27"/>
    </row>
    <row r="51" customFormat="false" ht="15" hidden="false" customHeight="true" outlineLevel="0" collapsed="false">
      <c r="A51" s="27"/>
      <c r="B51" s="28"/>
      <c r="C51" s="27"/>
      <c r="D51" s="29"/>
      <c r="E51" s="33"/>
      <c r="F51" s="34" t="str">
        <f aca="false">IF(E51&lt;&gt;"",E51*0.2,"")</f>
        <v/>
      </c>
      <c r="G51" s="34" t="str">
        <f aca="false">IF(E51&lt;&gt;"",E51+F51,"")</f>
        <v/>
      </c>
      <c r="H51" s="28"/>
      <c r="I51" s="27"/>
      <c r="J51" s="32" t="n">
        <f aca="true">IF(AND(H51&lt;&gt;"",I51&lt;&gt;"Paid",H51&lt;TODAY()),TODAY()-H51,0)</f>
        <v>0</v>
      </c>
      <c r="K51" s="29"/>
      <c r="L51" s="27"/>
      <c r="M51" s="27"/>
      <c r="N51" s="28"/>
      <c r="O51" s="27"/>
      <c r="P51" s="33"/>
      <c r="Q51" s="27"/>
    </row>
    <row r="52" customFormat="false" ht="15" hidden="false" customHeight="true" outlineLevel="0" collapsed="false">
      <c r="A52" s="27"/>
      <c r="B52" s="28"/>
      <c r="C52" s="27"/>
      <c r="D52" s="29"/>
      <c r="E52" s="33"/>
      <c r="F52" s="34" t="str">
        <f aca="false">IF(E52&lt;&gt;"",E52*0.2,"")</f>
        <v/>
      </c>
      <c r="G52" s="34" t="str">
        <f aca="false">IF(E52&lt;&gt;"",E52+F52,"")</f>
        <v/>
      </c>
      <c r="H52" s="28"/>
      <c r="I52" s="27"/>
      <c r="J52" s="32" t="n">
        <f aca="true">IF(AND(H52&lt;&gt;"",I52&lt;&gt;"Paid",H52&lt;TODAY()),TODAY()-H52,0)</f>
        <v>0</v>
      </c>
      <c r="K52" s="29"/>
      <c r="L52" s="27"/>
      <c r="M52" s="27"/>
      <c r="N52" s="28"/>
      <c r="O52" s="27"/>
      <c r="P52" s="33"/>
      <c r="Q52" s="27"/>
    </row>
    <row r="53" customFormat="false" ht="15" hidden="false" customHeight="true" outlineLevel="0" collapsed="false">
      <c r="A53" s="27"/>
      <c r="B53" s="28"/>
      <c r="C53" s="27"/>
      <c r="D53" s="29"/>
      <c r="E53" s="33"/>
      <c r="F53" s="34" t="str">
        <f aca="false">IF(E53&lt;&gt;"",E53*0.2,"")</f>
        <v/>
      </c>
      <c r="G53" s="34" t="str">
        <f aca="false">IF(E53&lt;&gt;"",E53+F53,"")</f>
        <v/>
      </c>
      <c r="H53" s="28"/>
      <c r="I53" s="27"/>
      <c r="J53" s="32" t="n">
        <f aca="true">IF(AND(H53&lt;&gt;"",I53&lt;&gt;"Paid",H53&lt;TODAY()),TODAY()-H53,0)</f>
        <v>0</v>
      </c>
      <c r="K53" s="29"/>
      <c r="L53" s="27"/>
      <c r="M53" s="27"/>
      <c r="N53" s="28"/>
      <c r="O53" s="27"/>
      <c r="P53" s="33"/>
      <c r="Q53" s="27"/>
    </row>
    <row r="54" customFormat="false" ht="15" hidden="false" customHeight="true" outlineLevel="0" collapsed="false">
      <c r="A54" s="27"/>
      <c r="B54" s="28"/>
      <c r="C54" s="27"/>
      <c r="D54" s="29"/>
      <c r="E54" s="33"/>
      <c r="F54" s="34" t="str">
        <f aca="false">IF(E54&lt;&gt;"",E54*0.2,"")</f>
        <v/>
      </c>
      <c r="G54" s="34" t="str">
        <f aca="false">IF(E54&lt;&gt;"",E54+F54,"")</f>
        <v/>
      </c>
      <c r="H54" s="28"/>
      <c r="I54" s="27"/>
      <c r="J54" s="32" t="n">
        <f aca="true">IF(AND(H54&lt;&gt;"",I54&lt;&gt;"Paid",H54&lt;TODAY()),TODAY()-H54,0)</f>
        <v>0</v>
      </c>
      <c r="K54" s="29"/>
      <c r="L54" s="27"/>
      <c r="M54" s="27"/>
      <c r="N54" s="28"/>
      <c r="O54" s="27"/>
      <c r="P54" s="33"/>
      <c r="Q54" s="27"/>
    </row>
    <row r="55" customFormat="false" ht="15" hidden="false" customHeight="true" outlineLevel="0" collapsed="false">
      <c r="A55" s="27"/>
      <c r="B55" s="28"/>
      <c r="C55" s="27"/>
      <c r="D55" s="29"/>
      <c r="E55" s="33"/>
      <c r="F55" s="34" t="str">
        <f aca="false">IF(E55&lt;&gt;"",E55*0.2,"")</f>
        <v/>
      </c>
      <c r="G55" s="34" t="str">
        <f aca="false">IF(E55&lt;&gt;"",E55+F55,"")</f>
        <v/>
      </c>
      <c r="H55" s="28"/>
      <c r="I55" s="27"/>
      <c r="J55" s="32" t="n">
        <f aca="true">IF(AND(H55&lt;&gt;"",I55&lt;&gt;"Paid",H55&lt;TODAY()),TODAY()-H55,0)</f>
        <v>0</v>
      </c>
      <c r="K55" s="29"/>
      <c r="L55" s="27"/>
      <c r="M55" s="27"/>
      <c r="N55" s="28"/>
      <c r="O55" s="27"/>
      <c r="P55" s="33"/>
      <c r="Q55" s="27"/>
    </row>
    <row r="56" customFormat="false" ht="15" hidden="false" customHeight="true" outlineLevel="0" collapsed="false">
      <c r="A56" s="27"/>
      <c r="B56" s="28"/>
      <c r="C56" s="27"/>
      <c r="D56" s="29"/>
      <c r="E56" s="33"/>
      <c r="F56" s="34" t="str">
        <f aca="false">IF(E56&lt;&gt;"",E56*0.2,"")</f>
        <v/>
      </c>
      <c r="G56" s="34" t="str">
        <f aca="false">IF(E56&lt;&gt;"",E56+F56,"")</f>
        <v/>
      </c>
      <c r="H56" s="28"/>
      <c r="I56" s="27"/>
      <c r="J56" s="32" t="n">
        <f aca="true">IF(AND(H56&lt;&gt;"",I56&lt;&gt;"Paid",H56&lt;TODAY()),TODAY()-H56,0)</f>
        <v>0</v>
      </c>
      <c r="K56" s="29"/>
      <c r="L56" s="27"/>
      <c r="M56" s="27"/>
      <c r="N56" s="28"/>
      <c r="O56" s="27"/>
      <c r="P56" s="33"/>
      <c r="Q56" s="27"/>
    </row>
    <row r="57" customFormat="false" ht="15" hidden="false" customHeight="true" outlineLevel="0" collapsed="false">
      <c r="A57" s="27"/>
      <c r="B57" s="28"/>
      <c r="C57" s="27"/>
      <c r="D57" s="29"/>
      <c r="E57" s="33"/>
      <c r="F57" s="34" t="str">
        <f aca="false">IF(E57&lt;&gt;"",E57*0.2,"")</f>
        <v/>
      </c>
      <c r="G57" s="34" t="str">
        <f aca="false">IF(E57&lt;&gt;"",E57+F57,"")</f>
        <v/>
      </c>
      <c r="H57" s="28"/>
      <c r="I57" s="27"/>
      <c r="J57" s="32" t="n">
        <f aca="true">IF(AND(H57&lt;&gt;"",I57&lt;&gt;"Paid",H57&lt;TODAY()),TODAY()-H57,0)</f>
        <v>0</v>
      </c>
      <c r="K57" s="29"/>
      <c r="L57" s="27"/>
      <c r="M57" s="27"/>
      <c r="N57" s="28"/>
      <c r="O57" s="27"/>
      <c r="P57" s="33"/>
      <c r="Q57" s="27"/>
    </row>
    <row r="58" customFormat="false" ht="15" hidden="false" customHeight="true" outlineLevel="0" collapsed="false">
      <c r="A58" s="27"/>
      <c r="B58" s="28"/>
      <c r="C58" s="27"/>
      <c r="D58" s="29"/>
      <c r="E58" s="33"/>
      <c r="F58" s="34" t="str">
        <f aca="false">IF(E58&lt;&gt;"",E58*0.2,"")</f>
        <v/>
      </c>
      <c r="G58" s="34" t="str">
        <f aca="false">IF(E58&lt;&gt;"",E58+F58,"")</f>
        <v/>
      </c>
      <c r="H58" s="28"/>
      <c r="I58" s="27"/>
      <c r="J58" s="32" t="n">
        <f aca="true">IF(AND(H58&lt;&gt;"",I58&lt;&gt;"Paid",H58&lt;TODAY()),TODAY()-H58,0)</f>
        <v>0</v>
      </c>
      <c r="K58" s="29"/>
      <c r="L58" s="27"/>
      <c r="M58" s="27"/>
      <c r="N58" s="28"/>
      <c r="O58" s="27"/>
      <c r="P58" s="33"/>
      <c r="Q58" s="27"/>
    </row>
    <row r="59" customFormat="false" ht="15" hidden="false" customHeight="true" outlineLevel="0" collapsed="false">
      <c r="A59" s="27"/>
      <c r="B59" s="28"/>
      <c r="C59" s="27"/>
      <c r="D59" s="29"/>
      <c r="E59" s="33"/>
      <c r="F59" s="34" t="str">
        <f aca="false">IF(E59&lt;&gt;"",E59*0.2,"")</f>
        <v/>
      </c>
      <c r="G59" s="34" t="str">
        <f aca="false">IF(E59&lt;&gt;"",E59+F59,"")</f>
        <v/>
      </c>
      <c r="H59" s="28"/>
      <c r="I59" s="27"/>
      <c r="J59" s="32" t="n">
        <f aca="true">IF(AND(H59&lt;&gt;"",I59&lt;&gt;"Paid",H59&lt;TODAY()),TODAY()-H59,0)</f>
        <v>0</v>
      </c>
      <c r="K59" s="29"/>
      <c r="L59" s="27"/>
      <c r="M59" s="27"/>
      <c r="N59" s="28"/>
      <c r="O59" s="27"/>
      <c r="P59" s="33"/>
      <c r="Q59" s="27"/>
    </row>
    <row r="60" customFormat="false" ht="15" hidden="false" customHeight="true" outlineLevel="0" collapsed="false">
      <c r="A60" s="27"/>
      <c r="B60" s="28"/>
      <c r="C60" s="27"/>
      <c r="D60" s="29"/>
      <c r="E60" s="33"/>
      <c r="F60" s="34" t="str">
        <f aca="false">IF(E60&lt;&gt;"",E60*0.2,"")</f>
        <v/>
      </c>
      <c r="G60" s="34" t="str">
        <f aca="false">IF(E60&lt;&gt;"",E60+F60,"")</f>
        <v/>
      </c>
      <c r="H60" s="28"/>
      <c r="I60" s="27"/>
      <c r="J60" s="32" t="n">
        <f aca="true">IF(AND(H60&lt;&gt;"",I60&lt;&gt;"Paid",H60&lt;TODAY()),TODAY()-H60,0)</f>
        <v>0</v>
      </c>
      <c r="K60" s="29"/>
      <c r="L60" s="27"/>
      <c r="M60" s="27"/>
      <c r="N60" s="28"/>
      <c r="O60" s="27"/>
      <c r="P60" s="33"/>
      <c r="Q60" s="27"/>
    </row>
    <row r="61" customFormat="false" ht="15" hidden="false" customHeight="true" outlineLevel="0" collapsed="false">
      <c r="A61" s="27"/>
      <c r="B61" s="28"/>
      <c r="C61" s="27"/>
      <c r="D61" s="29"/>
      <c r="E61" s="33"/>
      <c r="F61" s="34" t="str">
        <f aca="false">IF(E61&lt;&gt;"",E61*0.2,"")</f>
        <v/>
      </c>
      <c r="G61" s="34" t="str">
        <f aca="false">IF(E61&lt;&gt;"",E61+F61,"")</f>
        <v/>
      </c>
      <c r="H61" s="28"/>
      <c r="I61" s="27"/>
      <c r="J61" s="32" t="n">
        <f aca="true">IF(AND(H61&lt;&gt;"",I61&lt;&gt;"Paid",H61&lt;TODAY()),TODAY()-H61,0)</f>
        <v>0</v>
      </c>
      <c r="K61" s="29"/>
      <c r="L61" s="27"/>
      <c r="M61" s="27"/>
      <c r="N61" s="28"/>
      <c r="O61" s="27"/>
      <c r="P61" s="33"/>
      <c r="Q61" s="27"/>
    </row>
    <row r="62" customFormat="false" ht="15" hidden="false" customHeight="true" outlineLevel="0" collapsed="false">
      <c r="A62" s="27"/>
      <c r="B62" s="28"/>
      <c r="C62" s="27"/>
      <c r="D62" s="29"/>
      <c r="E62" s="33"/>
      <c r="F62" s="34" t="str">
        <f aca="false">IF(E62&lt;&gt;"",E62*0.2,"")</f>
        <v/>
      </c>
      <c r="G62" s="34" t="str">
        <f aca="false">IF(E62&lt;&gt;"",E62+F62,"")</f>
        <v/>
      </c>
      <c r="H62" s="28"/>
      <c r="I62" s="27"/>
      <c r="J62" s="32" t="n">
        <f aca="true">IF(AND(H62&lt;&gt;"",I62&lt;&gt;"Paid",H62&lt;TODAY()),TODAY()-H62,0)</f>
        <v>0</v>
      </c>
      <c r="K62" s="29"/>
      <c r="L62" s="27"/>
      <c r="M62" s="27"/>
      <c r="N62" s="28"/>
      <c r="O62" s="27"/>
      <c r="P62" s="33"/>
      <c r="Q62" s="27"/>
    </row>
  </sheetData>
  <autoFilter ref="A11:Q62"/>
  <mergeCells count="24">
    <mergeCell ref="A1:Q1"/>
    <mergeCell ref="A3:E3"/>
    <mergeCell ref="G3:K3"/>
    <mergeCell ref="A5:C5"/>
    <mergeCell ref="D5:E5"/>
    <mergeCell ref="G5:I5"/>
    <mergeCell ref="J5:K5"/>
    <mergeCell ref="A6:C6"/>
    <mergeCell ref="D6:E6"/>
    <mergeCell ref="G6:I6"/>
    <mergeCell ref="J6:K6"/>
    <mergeCell ref="A7:C7"/>
    <mergeCell ref="D7:E7"/>
    <mergeCell ref="G7:I7"/>
    <mergeCell ref="J7:K7"/>
    <mergeCell ref="A8:C8"/>
    <mergeCell ref="D8:E8"/>
    <mergeCell ref="G8:I8"/>
    <mergeCell ref="J8:K8"/>
    <mergeCell ref="A9:C9"/>
    <mergeCell ref="D9:E9"/>
    <mergeCell ref="G9:I9"/>
    <mergeCell ref="J9:K9"/>
    <mergeCell ref="L10:Q10"/>
  </mergeCells>
  <conditionalFormatting sqref="I12:I62">
    <cfRule type="cellIs" priority="2" operator="equal" aboveAverage="0" equalAverage="0" bottom="0" percent="0" rank="0" text="" dxfId="8">
      <formula>"Received"</formula>
    </cfRule>
    <cfRule type="cellIs" priority="3" operator="equal" aboveAverage="0" equalAverage="0" bottom="0" percent="0" rank="0" text="" dxfId="9">
      <formula>"Approved"</formula>
    </cfRule>
    <cfRule type="cellIs" priority="4" operator="equal" aboveAverage="0" equalAverage="0" bottom="0" percent="0" rank="0" text="" dxfId="10">
      <formula>"Paid"</formula>
    </cfRule>
    <cfRule type="cellIs" priority="5" operator="equal" aboveAverage="0" equalAverage="0" bottom="0" percent="0" rank="0" text="" dxfId="11">
      <formula>"Queried"</formula>
    </cfRule>
    <cfRule type="cellIs" priority="6" operator="equal" aboveAverage="0" equalAverage="0" bottom="0" percent="0" rank="0" text="" dxfId="11">
      <formula>"Disputed"</formula>
    </cfRule>
  </conditionalFormatting>
  <conditionalFormatting sqref="J12:J62">
    <cfRule type="expression" priority="7" aboveAverage="0" equalAverage="0" bottom="0" percent="0" rank="0" text="" dxfId="11">
      <formula>AND(J12&gt;60)</formula>
    </cfRule>
    <cfRule type="expression" priority="8" aboveAverage="0" equalAverage="0" bottom="0" percent="0" rank="0" text="" dxfId="12">
      <formula>AND(J12&gt;30,J12&lt;=60)</formula>
    </cfRule>
    <cfRule type="expression" priority="9" aboveAverage="0" equalAverage="0" bottom="0" percent="0" rank="0" text="" dxfId="9">
      <formula>AND(J12&gt;0,J12&lt;=30)</formula>
    </cfRule>
  </conditionalFormatting>
  <conditionalFormatting sqref="D9:E9">
    <cfRule type="expression" priority="10" aboveAverage="0" equalAverage="0" bottom="0" percent="0" rank="0" text="" dxfId="11">
      <formula>D9&gt;0</formula>
    </cfRule>
  </conditionalFormatting>
  <dataValidations count="2">
    <dataValidation allowBlank="true" error="Select a valid status" errorStyle="stop" operator="between" showDropDown="false" showErrorMessage="false" showInputMessage="false" sqref="I12:I62" type="list">
      <formula1>"Received,Approved,Paid,Queried,Disputed"</formula1>
      <formula2>0</formula2>
    </dataValidation>
    <dataValidation allowBlank="true" errorStyle="stop" operator="between" showDropDown="false" showErrorMessage="false" showInputMessage="false" sqref="O12:O62" type="list">
      <formula1>"BACS,Cheque,Direct Debit,Card,Other"</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&amp;CInvoice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35" t="s">
        <v>107</v>
      </c>
    </row>
    <row r="2" customFormat="false" ht="15" hidden="false" customHeight="true" outlineLevel="0" collapsed="false">
      <c r="A2" s="35"/>
    </row>
    <row r="3" customFormat="false" ht="15" hidden="false" customHeight="true" outlineLevel="0" collapsed="false">
      <c r="A3" s="35" t="s">
        <v>108</v>
      </c>
    </row>
    <row r="4" customFormat="false" ht="15" hidden="false" customHeight="true" outlineLevel="0" collapsed="false">
      <c r="A4" s="35"/>
    </row>
    <row r="5" customFormat="false" ht="15" hidden="false" customHeight="true" outlineLevel="0" collapsed="false">
      <c r="A5" s="35" t="s">
        <v>109</v>
      </c>
    </row>
    <row r="6" customFormat="false" ht="15" hidden="false" customHeight="true" outlineLevel="0" collapsed="false">
      <c r="A6" s="35"/>
    </row>
    <row r="7" customFormat="false" ht="15" hidden="false" customHeight="true" outlineLevel="0" collapsed="false">
      <c r="A7" s="35" t="s">
        <v>110</v>
      </c>
    </row>
    <row r="8" customFormat="false" ht="15" hidden="false" customHeight="true" outlineLevel="0" collapsed="false">
      <c r="A8" s="35"/>
    </row>
    <row r="9" customFormat="false" ht="15" hidden="false" customHeight="true" outlineLevel="0" collapsed="false">
      <c r="A9" s="35" t="s">
        <v>111</v>
      </c>
    </row>
    <row r="10" customFormat="false" ht="15" hidden="false" customHeight="true" outlineLevel="0" collapsed="false">
      <c r="A10" s="35"/>
    </row>
    <row r="11" customFormat="false" ht="15" hidden="false" customHeight="true" outlineLevel="0" collapsed="false">
      <c r="A11" s="35" t="s">
        <v>112</v>
      </c>
    </row>
    <row r="12" customFormat="false" ht="15" hidden="false" customHeight="true" outlineLevel="0" collapsed="false">
      <c r="A12" s="35"/>
    </row>
    <row r="13" customFormat="false" ht="15" hidden="false" customHeight="true" outlineLevel="0" collapsed="false">
      <c r="A13" s="35" t="s">
        <v>113</v>
      </c>
    </row>
    <row r="14" customFormat="false" ht="15" hidden="false" customHeight="true" outlineLevel="0" collapsed="false">
      <c r="A14" s="35"/>
    </row>
    <row r="15" customFormat="false" ht="15" hidden="false" customHeight="true" outlineLevel="0" collapsed="false">
      <c r="A15" s="35" t="s">
        <v>114</v>
      </c>
    </row>
    <row r="16" customFormat="false" ht="15" hidden="false" customHeight="true" outlineLevel="0" collapsed="false">
      <c r="A16" s="35"/>
    </row>
    <row r="17" customFormat="false" ht="15" hidden="false" customHeight="true" outlineLevel="0" collapsed="false">
      <c r="A17" s="35"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2026-03-22T21:24:43Z</dcterms:created>
  <dc:creator>Ebrora Ltd</dc:creator>
  <dc:description>Track all project invoices from receipt to payment with automated aged debt analysis, VAT calculation, overdue alerts and payment monitoring, designed for UK construction commercial teams.
Free professional construction management template from Ebrora Ltd. Visit ebrora.com for our full range of tools and templates.</dc:description>
  <cp:keywords>Ebrora construction invoice payment aged debt accounts payable commercial cost control</cp:keywords>
  <dc:language>en-US</dc:language>
  <cp:lastModifiedBy>Ebrora Ltd</cp:lastModifiedBy>
  <dcterms:modified xsi:type="dcterms:W3CDTF">2026-03-22T21:25:14Z</dcterms:modified>
  <cp:revision>0</cp:revision>
  <dc:subject>Tracker for managing project invoices from receipt through approval to payment with aged debt analysis.</dc:subject>
  <dc:title>Invoice Tracker</dc:title>
</cp:coreProperties>
</file>

<file path=docProps/custom.xml><?xml version="1.0" encoding="utf-8"?>
<Properties xmlns="http://schemas.openxmlformats.org/officeDocument/2006/custom-properties" xmlns:vt="http://schemas.openxmlformats.org/officeDocument/2006/docPropsVTypes"/>
</file>