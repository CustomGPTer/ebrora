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PUWER Matrix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'PUWER Matrix'!$A$1:$N$50</definedName>
    <definedName function="false" hidden="false" localSheetId="2" name="_xlnm.Print_Titles" vbProcedure="false">'PUWER Matrix'!$1:$1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<sst xmlns="http://schemas.openxmlformats.org/spreadsheetml/2006/main" count="152" uniqueCount="112">
  <si>
    <t xml:space="preserve">EBRORA</t>
  </si>
  <si>
    <t xml:space="preserve">ebrora.com</t>
  </si>
  <si>
    <t xml:space="preserve">PUWER Inspection</t>
  </si>
  <si>
    <t xml:space="preserve">Matrix</t>
  </si>
  <si>
    <t xml:space="preserve">Inspect small plant and power tools against PUWER requirements</t>
  </si>
  <si>
    <t xml:space="preserve">with pass/fail criteria, condition ratings, and inspection scheduling.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</si>
  <si>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</si>
  <si>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</si>
  <si>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</si>
  <si>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</si>
  <si>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</si>
  <si>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</si>
  <si>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'PUWER Matrix' sheet. Each row is one item of work equipment (power tools, bench saws, grinders, etc.).</t>
  </si>
  <si>
    <t xml:space="preserve">2.</t>
  </si>
  <si>
    <t xml:space="preserve">Record the Equipment ID, Description, Category (from dropdown), and Location on site.</t>
  </si>
  <si>
    <t xml:space="preserve">3.</t>
  </si>
  <si>
    <t xml:space="preserve">For each inspection criterion (columns E–H), mark Pass, Fail, or N/A. These form the PUWER compliance check.</t>
  </si>
  <si>
    <t xml:space="preserve">4.</t>
  </si>
  <si>
    <t xml:space="preserve">Assign a Condition Rating: Good, Fair, or Poor. Items rated Poor must be removed from service immediately.</t>
  </si>
  <si>
    <t xml:space="preserve">5.</t>
  </si>
  <si>
    <t xml:space="preserve">Record the Last Inspection date, Inspector name, and Next Due date (typically weekly or monthly for small plant).</t>
  </si>
  <si>
    <t xml:space="preserve">6.</t>
  </si>
  <si>
    <t xml:space="preserve">The Overall Status auto-calculates: if any criterion is Fail or Condition is Poor, the status shows 'FAIL — Remove from Service'.</t>
  </si>
  <si>
    <t xml:space="preserve">7.</t>
  </si>
  <si>
    <t xml:space="preserve">Use the Completion % row at the bottom to track how many items have been inspected this period.</t>
  </si>
  <si>
    <t xml:space="preserve">Colour Key</t>
  </si>
  <si>
    <t xml:space="preserve">Light teal cells = User input</t>
  </si>
  <si>
    <t xml:space="preserve">Green = Pass / Good condition</t>
  </si>
  <si>
    <t xml:space="preserve">Amber = Fair condition (monitor)</t>
  </si>
  <si>
    <t xml:space="preserve">Red = Fail / Poor condition / Overdue inspection</t>
  </si>
  <si>
    <t xml:space="preserve">Tips</t>
  </si>
  <si>
    <t xml:space="preserve">Tip 1:</t>
  </si>
  <si>
    <t xml:space="preserve">PUWER inspections must be carried out by a competent person. For power tools, this is typically a trained supervisor — not the operator.</t>
  </si>
  <si>
    <t xml:space="preserve">Tip 2:</t>
  </si>
  <si>
    <t xml:space="preserve">Failed items must be immediately quarantined with a 'DO NOT USE' tag. Never leave a failed tool accessible.</t>
  </si>
  <si>
    <t xml:space="preserve">Tip 3:</t>
  </si>
  <si>
    <t xml:space="preserve">Weekly visual inspections + quarterly formal inspections is a sensible regime for most construction small plant.</t>
  </si>
  <si>
    <t xml:space="preserve">Equipment ID</t>
  </si>
  <si>
    <t xml:space="preserve">Description</t>
  </si>
  <si>
    <t xml:space="preserve">Category</t>
  </si>
  <si>
    <t xml:space="preserve">Location</t>
  </si>
  <si>
    <t xml:space="preserve">Visual Check</t>
  </si>
  <si>
    <t xml:space="preserve">Guards &amp;
Safety Devices</t>
  </si>
  <si>
    <t xml:space="preserve">Emergency
Stop</t>
  </si>
  <si>
    <t xml:space="preserve">Electrical
Test (PAT)</t>
  </si>
  <si>
    <t xml:space="preserve">Condition
Rating</t>
  </si>
  <si>
    <t xml:space="preserve">Last Inspection</t>
  </si>
  <si>
    <t xml:space="preserve">Inspector</t>
  </si>
  <si>
    <t xml:space="preserve">Next Due</t>
  </si>
  <si>
    <t xml:space="preserve">Overall Status</t>
  </si>
  <si>
    <t xml:space="preserve">Notes</t>
  </si>
  <si>
    <t xml:space="preserve">PT-001</t>
  </si>
  <si>
    <t xml:space="preserve">Makita GA9050 — 230mm Angle Grinder</t>
  </si>
  <si>
    <t xml:space="preserve">Angle Grinder</t>
  </si>
  <si>
    <t xml:space="preserve">Inlet Works</t>
  </si>
  <si>
    <t xml:space="preserve">Pass</t>
  </si>
  <si>
    <t xml:space="preserve">N/A</t>
  </si>
  <si>
    <t xml:space="preserve">Good</t>
  </si>
  <si>
    <t xml:space="preserve">R. Evans</t>
  </si>
  <si>
    <t xml:space="preserve">Disc guard in place, cable intact</t>
  </si>
  <si>
    <t xml:space="preserve">PT-002</t>
  </si>
  <si>
    <t xml:space="preserve">Hilti TE 60-ATC — SDS Breaker</t>
  </si>
  <si>
    <t xml:space="preserve">Breaker</t>
  </si>
  <si>
    <t xml:space="preserve">Storm Tanks</t>
  </si>
  <si>
    <t xml:space="preserve">PT-003</t>
  </si>
  <si>
    <t xml:space="preserve">Stihl TS 420 — Petrol Cut-Off Saw</t>
  </si>
  <si>
    <t xml:space="preserve">Circular Saw</t>
  </si>
  <si>
    <t xml:space="preserve">General Site</t>
  </si>
  <si>
    <t xml:space="preserve">Fail</t>
  </si>
  <si>
    <t xml:space="preserve">Fair</t>
  </si>
  <si>
    <t xml:space="preserve">Blade guard return spring weak — replace before next use</t>
  </si>
  <si>
    <t xml:space="preserve">PT-004</t>
  </si>
  <si>
    <t xml:space="preserve">DeWalt DCD996 — 18V Combi Drill</t>
  </si>
  <si>
    <t xml:space="preserve">Drill (Cordless)</t>
  </si>
  <si>
    <t xml:space="preserve">MCC Building</t>
  </si>
  <si>
    <t xml:space="preserve">A. Khan</t>
  </si>
  <si>
    <t xml:space="preserve">Battery charge OK</t>
  </si>
  <si>
    <t xml:space="preserve">PT-005</t>
  </si>
  <si>
    <t xml:space="preserve">Honda EU70is — 7kVA Generator</t>
  </si>
  <si>
    <t xml:space="preserve">Generator</t>
  </si>
  <si>
    <t xml:space="preserve">Compound</t>
  </si>
  <si>
    <t xml:space="preserve">Earth bonding checked</t>
  </si>
  <si>
    <t xml:space="preserve">PT-006</t>
  </si>
  <si>
    <t xml:space="preserve">Lincoln Invertec V270-T — TIG Welder</t>
  </si>
  <si>
    <t xml:space="preserve">Welder</t>
  </si>
  <si>
    <t xml:space="preserve">Pipe Fabrication Area</t>
  </si>
  <si>
    <t xml:space="preserve">M. Thompson</t>
  </si>
  <si>
    <t xml:space="preserve">Flash-back arrestors fitted</t>
  </si>
  <si>
    <t xml:space="preserve">PT-007</t>
  </si>
  <si>
    <t xml:space="preserve">Wacker Neuson BS 60-4As — Rammer</t>
  </si>
  <si>
    <t xml:space="preserve">Compactor</t>
  </si>
  <si>
    <t xml:space="preserve">Trench Works</t>
  </si>
  <si>
    <t xml:space="preserve">Handle vibration slightly high — monitor</t>
  </si>
  <si>
    <t xml:space="preserve">PT-008</t>
  </si>
  <si>
    <t xml:space="preserve">110V Transformer — 5kVA</t>
  </si>
  <si>
    <t xml:space="preserve">Other</t>
  </si>
  <si>
    <t xml:space="preserve">Poor</t>
  </si>
  <si>
    <t xml:space="preserve">REMOVED FROM SERVICE — earth fault detected on PAT test</t>
  </si>
  <si>
    <t xml:space="preserve">SUMMARY</t>
  </si>
  <si>
    <t xml:space="preserve">Total Items:</t>
  </si>
  <si>
    <t xml:space="preserve">Pass:</t>
  </si>
  <si>
    <t xml:space="preserve">Monitor:</t>
  </si>
  <si>
    <t xml:space="preserve">Fail: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</si>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</sst>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15" hidden="false" customHeight="false" outlineLevel="0" collapsed="false">
      <c r="A7" s="11" t="s">
        <v>15</v>
      </c>
      <c r="B7" s="12" t="s">
        <v>16</v>
      </c>
    </row>
    <row r="8" customFormat="false" ht="1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23.8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 t="s">
        <v>23</v>
      </c>
      <c r="B11" s="12" t="s">
        <v>24</v>
      </c>
    </row>
    <row r="12" customFormat="false" ht="15" hidden="false" customHeight="false" outlineLevel="0" collapsed="false">
      <c r="A12" s="11"/>
      <c r="B12" s="12"/>
    </row>
    <row r="13" customFormat="false" ht="15" hidden="false" customHeight="false" outlineLevel="0" collapsed="false">
      <c r="A13" s="13" t="s">
        <v>25</v>
      </c>
      <c r="B13" s="12"/>
    </row>
    <row r="14" customFormat="false" ht="15" hidden="false" customHeight="false" outlineLevel="0" collapsed="false">
      <c r="A14" s="11"/>
      <c r="B14" s="12" t="s">
        <v>26</v>
      </c>
    </row>
    <row r="15" customFormat="false" ht="15" hidden="false" customHeight="false" outlineLevel="0" collapsed="false">
      <c r="A15" s="11"/>
      <c r="B15" s="12" t="s">
        <v>27</v>
      </c>
    </row>
    <row r="16" customFormat="false" ht="15" hidden="false" customHeight="false" outlineLevel="0" collapsed="false">
      <c r="A16" s="11"/>
      <c r="B16" s="12" t="s">
        <v>28</v>
      </c>
    </row>
    <row r="17" customFormat="false" ht="15" hidden="false" customHeight="false" outlineLevel="0" collapsed="false">
      <c r="A17" s="11"/>
      <c r="B17" s="12" t="s">
        <v>29</v>
      </c>
    </row>
    <row r="18" customFormat="false" ht="15" hidden="false" customHeight="false" outlineLevel="0" collapsed="false">
      <c r="A18" s="11"/>
      <c r="B18" s="12"/>
    </row>
    <row r="19" customFormat="false" ht="15" hidden="false" customHeight="false" outlineLevel="0" collapsed="false">
      <c r="A19" s="13" t="s">
        <v>30</v>
      </c>
      <c r="B19" s="12"/>
    </row>
    <row r="20" customFormat="false" ht="23.85" hidden="false" customHeight="false" outlineLevel="0" collapsed="false">
      <c r="A20" s="14" t="s">
        <v>31</v>
      </c>
      <c r="B20" s="12" t="s">
        <v>32</v>
      </c>
    </row>
    <row r="21" customFormat="false" ht="15" hidden="false" customHeight="false" outlineLevel="0" collapsed="false">
      <c r="A21" s="14" t="s">
        <v>33</v>
      </c>
      <c r="B21" s="12" t="s">
        <v>34</v>
      </c>
    </row>
    <row r="22" customFormat="false" ht="15" hidden="false" customHeight="false" outlineLevel="0" collapsed="false">
      <c r="A22" s="14" t="s">
        <v>35</v>
      </c>
      <c r="B22" s="12" t="s">
        <v>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28"/>
  </cols>
  <sheetData>
    <row r="1" customFormat="false" ht="28.35" hidden="false" customHeight="false" outlineLevel="0" collapsed="false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48</v>
      </c>
      <c r="M1" s="15" t="s">
        <v>49</v>
      </c>
      <c r="N1" s="15" t="s">
        <v>50</v>
      </c>
    </row>
    <row r="2" customFormat="false" ht="23.85" hidden="false" customHeight="false" outlineLevel="0" collapsed="false">
      <c r="A2" s="16" t="s">
        <v>51</v>
      </c>
      <c r="B2" s="17" t="s">
        <v>52</v>
      </c>
      <c r="C2" s="16" t="s">
        <v>53</v>
      </c>
      <c r="D2" s="17" t="s">
        <v>54</v>
      </c>
      <c r="E2" s="16" t="s">
        <v>55</v>
      </c>
      <c r="F2" s="16" t="s">
        <v>55</v>
      </c>
      <c r="G2" s="16" t="s">
        <v>56</v>
      </c>
      <c r="H2" s="16" t="s">
        <v>55</v>
      </c>
      <c r="I2" s="16" t="s">
        <v>57</v>
      </c>
      <c r="J2" s="18" t="n">
        <v>46100</v>
      </c>
      <c r="K2" s="16" t="s">
        <v>58</v>
      </c>
      <c r="L2" s="18" t="n">
        <v>46128</v>
      </c>
      <c r="M2" s="19" t="str">
        <f aca="false">IF(COUNTA(E2:I2)=0,"",IF(OR(E2="Fail",F2="Fail",G2="Fail",H2="Fail",I2="Poor"),"FAIL — Remove",IF(I2="Fair","PASS — Monitor","PASS")))</f>
        <v>PASS</v>
      </c>
      <c r="N2" s="17" t="s">
        <v>59</v>
      </c>
    </row>
    <row r="3" customFormat="false" ht="15" hidden="false" customHeight="false" outlineLevel="0" collapsed="false">
      <c r="A3" s="16" t="s">
        <v>60</v>
      </c>
      <c r="B3" s="17" t="s">
        <v>61</v>
      </c>
      <c r="C3" s="16" t="s">
        <v>62</v>
      </c>
      <c r="D3" s="17" t="s">
        <v>63</v>
      </c>
      <c r="E3" s="16" t="s">
        <v>55</v>
      </c>
      <c r="F3" s="16" t="s">
        <v>55</v>
      </c>
      <c r="G3" s="16" t="s">
        <v>56</v>
      </c>
      <c r="H3" s="16" t="s">
        <v>55</v>
      </c>
      <c r="I3" s="16" t="s">
        <v>57</v>
      </c>
      <c r="J3" s="18" t="n">
        <v>46100</v>
      </c>
      <c r="K3" s="16" t="s">
        <v>58</v>
      </c>
      <c r="L3" s="18" t="n">
        <v>46128</v>
      </c>
      <c r="M3" s="19" t="str">
        <f aca="false">IF(COUNTA(E3:I3)=0,"",IF(OR(E3="Fail",F3="Fail",G3="Fail",H3="Fail",I3="Poor"),"FAIL — Remove",IF(I3="Fair","PASS — Monitor","PASS")))</f>
        <v>PASS</v>
      </c>
      <c r="N3" s="17"/>
    </row>
    <row r="4" customFormat="false" ht="23.85" hidden="false" customHeight="false" outlineLevel="0" collapsed="false">
      <c r="A4" s="16" t="s">
        <v>64</v>
      </c>
      <c r="B4" s="17" t="s">
        <v>65</v>
      </c>
      <c r="C4" s="16" t="s">
        <v>66</v>
      </c>
      <c r="D4" s="17" t="s">
        <v>67</v>
      </c>
      <c r="E4" s="16" t="s">
        <v>55</v>
      </c>
      <c r="F4" s="16" t="s">
        <v>68</v>
      </c>
      <c r="G4" s="16" t="s">
        <v>56</v>
      </c>
      <c r="H4" s="16" t="s">
        <v>56</v>
      </c>
      <c r="I4" s="16" t="s">
        <v>69</v>
      </c>
      <c r="J4" s="18" t="n">
        <v>46100</v>
      </c>
      <c r="K4" s="16" t="s">
        <v>58</v>
      </c>
      <c r="L4" s="18" t="n">
        <v>46128</v>
      </c>
      <c r="M4" s="19" t="str">
        <f aca="false">IF(COUNTA(E4:I4)=0,"",IF(OR(E4="Fail",F4="Fail",G4="Fail",H4="Fail",I4="Poor"),"FAIL — Remove",IF(I4="Fair","PASS — Monitor","PASS")))</f>
        <v>FAIL — Remove</v>
      </c>
      <c r="N4" s="17" t="s">
        <v>70</v>
      </c>
    </row>
    <row r="5" customFormat="false" ht="15" hidden="false" customHeight="false" outlineLevel="0" collapsed="false">
      <c r="A5" s="16" t="s">
        <v>71</v>
      </c>
      <c r="B5" s="17" t="s">
        <v>72</v>
      </c>
      <c r="C5" s="16" t="s">
        <v>73</v>
      </c>
      <c r="D5" s="17" t="s">
        <v>74</v>
      </c>
      <c r="E5" s="16" t="s">
        <v>55</v>
      </c>
      <c r="F5" s="16" t="s">
        <v>56</v>
      </c>
      <c r="G5" s="16" t="s">
        <v>56</v>
      </c>
      <c r="H5" s="16" t="s">
        <v>56</v>
      </c>
      <c r="I5" s="16" t="s">
        <v>57</v>
      </c>
      <c r="J5" s="18" t="n">
        <v>46100</v>
      </c>
      <c r="K5" s="16" t="s">
        <v>75</v>
      </c>
      <c r="L5" s="18" t="n">
        <v>46128</v>
      </c>
      <c r="M5" s="19" t="str">
        <f aca="false">IF(COUNTA(E5:I5)=0,"",IF(OR(E5="Fail",F5="Fail",G5="Fail",H5="Fail",I5="Poor"),"FAIL — Remove",IF(I5="Fair","PASS — Monitor","PASS")))</f>
        <v>PASS</v>
      </c>
      <c r="N5" s="17" t="s">
        <v>76</v>
      </c>
    </row>
    <row r="6" customFormat="false" ht="15" hidden="false" customHeight="false" outlineLevel="0" collapsed="false">
      <c r="A6" s="16" t="s">
        <v>77</v>
      </c>
      <c r="B6" s="17" t="s">
        <v>78</v>
      </c>
      <c r="C6" s="16" t="s">
        <v>79</v>
      </c>
      <c r="D6" s="17" t="s">
        <v>80</v>
      </c>
      <c r="E6" s="16" t="s">
        <v>55</v>
      </c>
      <c r="F6" s="16" t="s">
        <v>55</v>
      </c>
      <c r="G6" s="16" t="s">
        <v>55</v>
      </c>
      <c r="H6" s="16" t="s">
        <v>55</v>
      </c>
      <c r="I6" s="16" t="s">
        <v>57</v>
      </c>
      <c r="J6" s="18" t="n">
        <v>46093</v>
      </c>
      <c r="K6" s="16" t="s">
        <v>58</v>
      </c>
      <c r="L6" s="18" t="n">
        <v>46121</v>
      </c>
      <c r="M6" s="19" t="str">
        <f aca="false">IF(COUNTA(E6:I6)=0,"",IF(OR(E6="Fail",F6="Fail",G6="Fail",H6="Fail",I6="Poor"),"FAIL — Remove",IF(I6="Fair","PASS — Monitor","PASS")))</f>
        <v>PASS</v>
      </c>
      <c r="N6" s="17" t="s">
        <v>81</v>
      </c>
    </row>
    <row r="7" customFormat="false" ht="23.85" hidden="false" customHeight="false" outlineLevel="0" collapsed="false">
      <c r="A7" s="16" t="s">
        <v>82</v>
      </c>
      <c r="B7" s="17" t="s">
        <v>83</v>
      </c>
      <c r="C7" s="16" t="s">
        <v>84</v>
      </c>
      <c r="D7" s="17" t="s">
        <v>85</v>
      </c>
      <c r="E7" s="16" t="s">
        <v>55</v>
      </c>
      <c r="F7" s="16" t="s">
        <v>55</v>
      </c>
      <c r="G7" s="16" t="s">
        <v>55</v>
      </c>
      <c r="H7" s="16" t="s">
        <v>55</v>
      </c>
      <c r="I7" s="16" t="s">
        <v>57</v>
      </c>
      <c r="J7" s="18" t="n">
        <v>46102</v>
      </c>
      <c r="K7" s="16" t="s">
        <v>86</v>
      </c>
      <c r="L7" s="18" t="n">
        <v>46130</v>
      </c>
      <c r="M7" s="19" t="str">
        <f aca="false">IF(COUNTA(E7:I7)=0,"",IF(OR(E7="Fail",F7="Fail",G7="Fail",H7="Fail",I7="Poor"),"FAIL — Remove",IF(I7="Fair","PASS — Monitor","PASS")))</f>
        <v>PASS</v>
      </c>
      <c r="N7" s="17" t="s">
        <v>87</v>
      </c>
    </row>
    <row r="8" customFormat="false" ht="23.85" hidden="false" customHeight="false" outlineLevel="0" collapsed="false">
      <c r="A8" s="16" t="s">
        <v>88</v>
      </c>
      <c r="B8" s="17" t="s">
        <v>89</v>
      </c>
      <c r="C8" s="16" t="s">
        <v>90</v>
      </c>
      <c r="D8" s="17" t="s">
        <v>91</v>
      </c>
      <c r="E8" s="16" t="s">
        <v>55</v>
      </c>
      <c r="F8" s="16" t="s">
        <v>55</v>
      </c>
      <c r="G8" s="16" t="s">
        <v>56</v>
      </c>
      <c r="H8" s="16" t="s">
        <v>56</v>
      </c>
      <c r="I8" s="16" t="s">
        <v>69</v>
      </c>
      <c r="J8" s="18" t="n">
        <v>46097</v>
      </c>
      <c r="K8" s="16" t="s">
        <v>58</v>
      </c>
      <c r="L8" s="18" t="n">
        <v>46125</v>
      </c>
      <c r="M8" s="19" t="str">
        <f aca="false">IF(COUNTA(E8:I8)=0,"",IF(OR(E8="Fail",F8="Fail",G8="Fail",H8="Fail",I8="Poor"),"FAIL — Remove",IF(I8="Fair","PASS — Monitor","PASS")))</f>
        <v>PASS — Monitor</v>
      </c>
      <c r="N8" s="17" t="s">
        <v>92</v>
      </c>
    </row>
    <row r="9" customFormat="false" ht="23.85" hidden="false" customHeight="false" outlineLevel="0" collapsed="false">
      <c r="A9" s="16" t="s">
        <v>93</v>
      </c>
      <c r="B9" s="17" t="s">
        <v>94</v>
      </c>
      <c r="C9" s="16" t="s">
        <v>95</v>
      </c>
      <c r="D9" s="17" t="s">
        <v>67</v>
      </c>
      <c r="E9" s="16" t="s">
        <v>68</v>
      </c>
      <c r="F9" s="16" t="s">
        <v>56</v>
      </c>
      <c r="G9" s="16" t="s">
        <v>56</v>
      </c>
      <c r="H9" s="16" t="s">
        <v>68</v>
      </c>
      <c r="I9" s="16" t="s">
        <v>96</v>
      </c>
      <c r="J9" s="18" t="n">
        <v>46103</v>
      </c>
      <c r="K9" s="16" t="s">
        <v>58</v>
      </c>
      <c r="L9" s="18" t="n">
        <v>46103</v>
      </c>
      <c r="M9" s="19" t="str">
        <f aca="false">IF(COUNTA(E9:I9)=0,"",IF(OR(E9="Fail",F9="Fail",G9="Fail",H9="Fail",I9="Poor"),"FAIL — Remove",IF(I9="Fair","PASS — Monitor","PASS")))</f>
        <v>FAIL — Remove</v>
      </c>
      <c r="N9" s="17" t="s">
        <v>97</v>
      </c>
    </row>
    <row r="10" customFormat="false" ht="15" hidden="false" customHeight="false" outlineLevel="0" collapsed="false">
      <c r="A10" s="16"/>
      <c r="B10" s="17"/>
      <c r="C10" s="16"/>
      <c r="D10" s="17"/>
      <c r="E10" s="16"/>
      <c r="F10" s="16"/>
      <c r="G10" s="16"/>
      <c r="H10" s="16"/>
      <c r="I10" s="16"/>
      <c r="J10" s="18"/>
      <c r="K10" s="16"/>
      <c r="L10" s="18"/>
      <c r="M10" s="19" t="str">
        <f aca="false">IF(COUNTA(E10:I10)=0,"",IF(OR(E10="Fail",F10="Fail",G10="Fail",H10="Fail",I10="Poor"),"FAIL — Remove",IF(I10="Fair","PASS — Monitor","PASS")))</f>
        <v/>
      </c>
      <c r="N10" s="17"/>
    </row>
    <row r="11" customFormat="false" ht="15" hidden="false" customHeight="false" outlineLevel="0" collapsed="false">
      <c r="A11" s="16"/>
      <c r="B11" s="17"/>
      <c r="C11" s="16"/>
      <c r="D11" s="17"/>
      <c r="E11" s="16"/>
      <c r="F11" s="16"/>
      <c r="G11" s="16"/>
      <c r="H11" s="16"/>
      <c r="I11" s="16"/>
      <c r="J11" s="18"/>
      <c r="K11" s="16"/>
      <c r="L11" s="18"/>
      <c r="M11" s="19" t="str">
        <f aca="false">IF(COUNTA(E11:I11)=0,"",IF(OR(E11="Fail",F11="Fail",G11="Fail",H11="Fail",I11="Poor"),"FAIL — Remove",IF(I11="Fair","PASS — Monitor","PASS")))</f>
        <v/>
      </c>
      <c r="N11" s="17"/>
    </row>
    <row r="12" customFormat="false" ht="15" hidden="false" customHeight="false" outlineLevel="0" collapsed="false">
      <c r="A12" s="16"/>
      <c r="B12" s="17"/>
      <c r="C12" s="16"/>
      <c r="D12" s="17"/>
      <c r="E12" s="16"/>
      <c r="F12" s="16"/>
      <c r="G12" s="16"/>
      <c r="H12" s="16"/>
      <c r="I12" s="16"/>
      <c r="J12" s="18"/>
      <c r="K12" s="16"/>
      <c r="L12" s="18"/>
      <c r="M12" s="19" t="str">
        <f aca="false">IF(COUNTA(E12:I12)=0,"",IF(OR(E12="Fail",F12="Fail",G12="Fail",H12="Fail",I12="Poor"),"FAIL — Remove",IF(I12="Fair","PASS — Monitor","PASS")))</f>
        <v/>
      </c>
      <c r="N12" s="17"/>
    </row>
    <row r="13" customFormat="false" ht="15" hidden="false" customHeight="false" outlineLevel="0" collapsed="false">
      <c r="A13" s="16"/>
      <c r="B13" s="17"/>
      <c r="C13" s="16"/>
      <c r="D13" s="17"/>
      <c r="E13" s="16"/>
      <c r="F13" s="16"/>
      <c r="G13" s="16"/>
      <c r="H13" s="16"/>
      <c r="I13" s="16"/>
      <c r="J13" s="18"/>
      <c r="K13" s="16"/>
      <c r="L13" s="18"/>
      <c r="M13" s="19" t="str">
        <f aca="false">IF(COUNTA(E13:I13)=0,"",IF(OR(E13="Fail",F13="Fail",G13="Fail",H13="Fail",I13="Poor"),"FAIL — Remove",IF(I13="Fair","PASS — Monitor","PASS")))</f>
        <v/>
      </c>
      <c r="N13" s="17"/>
    </row>
    <row r="14" customFormat="false" ht="15" hidden="false" customHeight="false" outlineLevel="0" collapsed="false">
      <c r="A14" s="16"/>
      <c r="B14" s="17"/>
      <c r="C14" s="16"/>
      <c r="D14" s="17"/>
      <c r="E14" s="16"/>
      <c r="F14" s="16"/>
      <c r="G14" s="16"/>
      <c r="H14" s="16"/>
      <c r="I14" s="16"/>
      <c r="J14" s="18"/>
      <c r="K14" s="16"/>
      <c r="L14" s="18"/>
      <c r="M14" s="19" t="str">
        <f aca="false">IF(COUNTA(E14:I14)=0,"",IF(OR(E14="Fail",F14="Fail",G14="Fail",H14="Fail",I14="Poor"),"FAIL — Remove",IF(I14="Fair","PASS — Monitor","PASS")))</f>
        <v/>
      </c>
      <c r="N14" s="17"/>
    </row>
    <row r="15" customFormat="false" ht="15" hidden="false" customHeight="false" outlineLevel="0" collapsed="false">
      <c r="A15" s="16"/>
      <c r="B15" s="17"/>
      <c r="C15" s="16"/>
      <c r="D15" s="17"/>
      <c r="E15" s="16"/>
      <c r="F15" s="16"/>
      <c r="G15" s="16"/>
      <c r="H15" s="16"/>
      <c r="I15" s="16"/>
      <c r="J15" s="18"/>
      <c r="K15" s="16"/>
      <c r="L15" s="18"/>
      <c r="M15" s="19" t="str">
        <f aca="false">IF(COUNTA(E15:I15)=0,"",IF(OR(E15="Fail",F15="Fail",G15="Fail",H15="Fail",I15="Poor"),"FAIL — Remove",IF(I15="Fair","PASS — Monitor","PASS")))</f>
        <v/>
      </c>
      <c r="N15" s="17"/>
    </row>
    <row r="16" customFormat="false" ht="15" hidden="false" customHeight="false" outlineLevel="0" collapsed="false">
      <c r="A16" s="16"/>
      <c r="B16" s="17"/>
      <c r="C16" s="16"/>
      <c r="D16" s="17"/>
      <c r="E16" s="16"/>
      <c r="F16" s="16"/>
      <c r="G16" s="16"/>
      <c r="H16" s="16"/>
      <c r="I16" s="16"/>
      <c r="J16" s="18"/>
      <c r="K16" s="16"/>
      <c r="L16" s="18"/>
      <c r="M16" s="19" t="str">
        <f aca="false">IF(COUNTA(E16:I16)=0,"",IF(OR(E16="Fail",F16="Fail",G16="Fail",H16="Fail",I16="Poor"),"FAIL — Remove",IF(I16="Fair","PASS — Monitor","PASS")))</f>
        <v/>
      </c>
      <c r="N16" s="17"/>
    </row>
    <row r="17" customFormat="false" ht="15" hidden="false" customHeight="false" outlineLevel="0" collapsed="false">
      <c r="A17" s="16"/>
      <c r="B17" s="17"/>
      <c r="C17" s="16"/>
      <c r="D17" s="17"/>
      <c r="E17" s="16"/>
      <c r="F17" s="16"/>
      <c r="G17" s="16"/>
      <c r="H17" s="16"/>
      <c r="I17" s="16"/>
      <c r="J17" s="18"/>
      <c r="K17" s="16"/>
      <c r="L17" s="18"/>
      <c r="M17" s="19" t="str">
        <f aca="false">IF(COUNTA(E17:I17)=0,"",IF(OR(E17="Fail",F17="Fail",G17="Fail",H17="Fail",I17="Poor"),"FAIL — Remove",IF(I17="Fair","PASS — Monitor","PASS")))</f>
        <v/>
      </c>
      <c r="N17" s="17"/>
    </row>
    <row r="18" customFormat="false" ht="15" hidden="false" customHeight="false" outlineLevel="0" collapsed="false">
      <c r="A18" s="16"/>
      <c r="B18" s="17"/>
      <c r="C18" s="16"/>
      <c r="D18" s="17"/>
      <c r="E18" s="16"/>
      <c r="F18" s="16"/>
      <c r="G18" s="16"/>
      <c r="H18" s="16"/>
      <c r="I18" s="16"/>
      <c r="J18" s="18"/>
      <c r="K18" s="16"/>
      <c r="L18" s="18"/>
      <c r="M18" s="19" t="str">
        <f aca="false">IF(COUNTA(E18:I18)=0,"",IF(OR(E18="Fail",F18="Fail",G18="Fail",H18="Fail",I18="Poor"),"FAIL — Remove",IF(I18="Fair","PASS — Monitor","PASS")))</f>
        <v/>
      </c>
      <c r="N18" s="17"/>
    </row>
    <row r="19" customFormat="false" ht="15" hidden="false" customHeight="false" outlineLevel="0" collapsed="false">
      <c r="A19" s="16"/>
      <c r="B19" s="17"/>
      <c r="C19" s="16"/>
      <c r="D19" s="17"/>
      <c r="E19" s="16"/>
      <c r="F19" s="16"/>
      <c r="G19" s="16"/>
      <c r="H19" s="16"/>
      <c r="I19" s="16"/>
      <c r="J19" s="18"/>
      <c r="K19" s="16"/>
      <c r="L19" s="18"/>
      <c r="M19" s="19" t="str">
        <f aca="false">IF(COUNTA(E19:I19)=0,"",IF(OR(E19="Fail",F19="Fail",G19="Fail",H19="Fail",I19="Poor"),"FAIL — Remove",IF(I19="Fair","PASS — Monitor","PASS")))</f>
        <v/>
      </c>
      <c r="N19" s="17"/>
    </row>
    <row r="20" customFormat="false" ht="15" hidden="false" customHeight="false" outlineLevel="0" collapsed="false">
      <c r="A20" s="16"/>
      <c r="B20" s="17"/>
      <c r="C20" s="16"/>
      <c r="D20" s="17"/>
      <c r="E20" s="16"/>
      <c r="F20" s="16"/>
      <c r="G20" s="16"/>
      <c r="H20" s="16"/>
      <c r="I20" s="16"/>
      <c r="J20" s="18"/>
      <c r="K20" s="16"/>
      <c r="L20" s="18"/>
      <c r="M20" s="19" t="str">
        <f aca="false">IF(COUNTA(E20:I20)=0,"",IF(OR(E20="Fail",F20="Fail",G20="Fail",H20="Fail",I20="Poor"),"FAIL — Remove",IF(I20="Fair","PASS — Monitor","PASS")))</f>
        <v/>
      </c>
      <c r="N20" s="17"/>
    </row>
    <row r="21" customFormat="false" ht="15" hidden="false" customHeight="false" outlineLevel="0" collapsed="false">
      <c r="A21" s="16"/>
      <c r="B21" s="17"/>
      <c r="C21" s="16"/>
      <c r="D21" s="17"/>
      <c r="E21" s="16"/>
      <c r="F21" s="16"/>
      <c r="G21" s="16"/>
      <c r="H21" s="16"/>
      <c r="I21" s="16"/>
      <c r="J21" s="18"/>
      <c r="K21" s="16"/>
      <c r="L21" s="18"/>
      <c r="M21" s="19" t="str">
        <f aca="false">IF(COUNTA(E21:I21)=0,"",IF(OR(E21="Fail",F21="Fail",G21="Fail",H21="Fail",I21="Poor"),"FAIL — Remove",IF(I21="Fair","PASS — Monitor","PASS")))</f>
        <v/>
      </c>
      <c r="N21" s="17"/>
    </row>
    <row r="22" customFormat="false" ht="15" hidden="false" customHeight="false" outlineLevel="0" collapsed="false">
      <c r="A22" s="16"/>
      <c r="B22" s="17"/>
      <c r="C22" s="16"/>
      <c r="D22" s="17"/>
      <c r="E22" s="16"/>
      <c r="F22" s="16"/>
      <c r="G22" s="16"/>
      <c r="H22" s="16"/>
      <c r="I22" s="16"/>
      <c r="J22" s="18"/>
      <c r="K22" s="16"/>
      <c r="L22" s="18"/>
      <c r="M22" s="19" t="str">
        <f aca="false">IF(COUNTA(E22:I22)=0,"",IF(OR(E22="Fail",F22="Fail",G22="Fail",H22="Fail",I22="Poor"),"FAIL — Remove",IF(I22="Fair","PASS — Monitor","PASS")))</f>
        <v/>
      </c>
      <c r="N22" s="17"/>
    </row>
    <row r="23" customFormat="false" ht="15" hidden="false" customHeight="false" outlineLevel="0" collapsed="false">
      <c r="A23" s="16"/>
      <c r="B23" s="17"/>
      <c r="C23" s="16"/>
      <c r="D23" s="17"/>
      <c r="E23" s="16"/>
      <c r="F23" s="16"/>
      <c r="G23" s="16"/>
      <c r="H23" s="16"/>
      <c r="I23" s="16"/>
      <c r="J23" s="18"/>
      <c r="K23" s="16"/>
      <c r="L23" s="18"/>
      <c r="M23" s="19" t="str">
        <f aca="false">IF(COUNTA(E23:I23)=0,"",IF(OR(E23="Fail",F23="Fail",G23="Fail",H23="Fail",I23="Poor"),"FAIL — Remove",IF(I23="Fair","PASS — Monitor","PASS")))</f>
        <v/>
      </c>
      <c r="N23" s="17"/>
    </row>
    <row r="24" customFormat="false" ht="15" hidden="false" customHeight="false" outlineLevel="0" collapsed="false">
      <c r="A24" s="16"/>
      <c r="B24" s="17"/>
      <c r="C24" s="16"/>
      <c r="D24" s="17"/>
      <c r="E24" s="16"/>
      <c r="F24" s="16"/>
      <c r="G24" s="16"/>
      <c r="H24" s="16"/>
      <c r="I24" s="16"/>
      <c r="J24" s="18"/>
      <c r="K24" s="16"/>
      <c r="L24" s="18"/>
      <c r="M24" s="19" t="str">
        <f aca="false">IF(COUNTA(E24:I24)=0,"",IF(OR(E24="Fail",F24="Fail",G24="Fail",H24="Fail",I24="Poor"),"FAIL — Remove",IF(I24="Fair","PASS — Monitor","PASS")))</f>
        <v/>
      </c>
      <c r="N24" s="17"/>
    </row>
    <row r="25" customFormat="false" ht="15" hidden="false" customHeight="false" outlineLevel="0" collapsed="false">
      <c r="A25" s="16"/>
      <c r="B25" s="17"/>
      <c r="C25" s="16"/>
      <c r="D25" s="17"/>
      <c r="E25" s="16"/>
      <c r="F25" s="16"/>
      <c r="G25" s="16"/>
      <c r="H25" s="16"/>
      <c r="I25" s="16"/>
      <c r="J25" s="18"/>
      <c r="K25" s="16"/>
      <c r="L25" s="18"/>
      <c r="M25" s="19" t="str">
        <f aca="false">IF(COUNTA(E25:I25)=0,"",IF(OR(E25="Fail",F25="Fail",G25="Fail",H25="Fail",I25="Poor"),"FAIL — Remove",IF(I25="Fair","PASS — Monitor","PASS")))</f>
        <v/>
      </c>
      <c r="N25" s="17"/>
    </row>
    <row r="26" customFormat="false" ht="15" hidden="false" customHeight="false" outlineLevel="0" collapsed="false">
      <c r="A26" s="16"/>
      <c r="B26" s="17"/>
      <c r="C26" s="16"/>
      <c r="D26" s="17"/>
      <c r="E26" s="16"/>
      <c r="F26" s="16"/>
      <c r="G26" s="16"/>
      <c r="H26" s="16"/>
      <c r="I26" s="16"/>
      <c r="J26" s="18"/>
      <c r="K26" s="16"/>
      <c r="L26" s="18"/>
      <c r="M26" s="19" t="str">
        <f aca="false">IF(COUNTA(E26:I26)=0,"",IF(OR(E26="Fail",F26="Fail",G26="Fail",H26="Fail",I26="Poor"),"FAIL — Remove",IF(I26="Fair","PASS — Monitor","PASS")))</f>
        <v/>
      </c>
      <c r="N26" s="17"/>
    </row>
    <row r="27" customFormat="false" ht="15" hidden="false" customHeight="false" outlineLevel="0" collapsed="false">
      <c r="A27" s="16"/>
      <c r="B27" s="17"/>
      <c r="C27" s="16"/>
      <c r="D27" s="17"/>
      <c r="E27" s="16"/>
      <c r="F27" s="16"/>
      <c r="G27" s="16"/>
      <c r="H27" s="16"/>
      <c r="I27" s="16"/>
      <c r="J27" s="18"/>
      <c r="K27" s="16"/>
      <c r="L27" s="18"/>
      <c r="M27" s="19" t="str">
        <f aca="false">IF(COUNTA(E27:I27)=0,"",IF(OR(E27="Fail",F27="Fail",G27="Fail",H27="Fail",I27="Poor"),"FAIL — Remove",IF(I27="Fair","PASS — Monitor","PASS")))</f>
        <v/>
      </c>
      <c r="N27" s="17"/>
    </row>
    <row r="28" customFormat="false" ht="15" hidden="false" customHeight="false" outlineLevel="0" collapsed="false">
      <c r="A28" s="16"/>
      <c r="B28" s="17"/>
      <c r="C28" s="16"/>
      <c r="D28" s="17"/>
      <c r="E28" s="16"/>
      <c r="F28" s="16"/>
      <c r="G28" s="16"/>
      <c r="H28" s="16"/>
      <c r="I28" s="16"/>
      <c r="J28" s="18"/>
      <c r="K28" s="16"/>
      <c r="L28" s="18"/>
      <c r="M28" s="19" t="str">
        <f aca="false">IF(COUNTA(E28:I28)=0,"",IF(OR(E28="Fail",F28="Fail",G28="Fail",H28="Fail",I28="Poor"),"FAIL — Remove",IF(I28="Fair","PASS — Monitor","PASS")))</f>
        <v/>
      </c>
      <c r="N28" s="17"/>
    </row>
    <row r="29" customFormat="false" ht="15" hidden="false" customHeight="false" outlineLevel="0" collapsed="false">
      <c r="A29" s="16"/>
      <c r="B29" s="17"/>
      <c r="C29" s="16"/>
      <c r="D29" s="17"/>
      <c r="E29" s="16"/>
      <c r="F29" s="16"/>
      <c r="G29" s="16"/>
      <c r="H29" s="16"/>
      <c r="I29" s="16"/>
      <c r="J29" s="18"/>
      <c r="K29" s="16"/>
      <c r="L29" s="18"/>
      <c r="M29" s="19" t="str">
        <f aca="false">IF(COUNTA(E29:I29)=0,"",IF(OR(E29="Fail",F29="Fail",G29="Fail",H29="Fail",I29="Poor"),"FAIL — Remove",IF(I29="Fair","PASS — Monitor","PASS")))</f>
        <v/>
      </c>
      <c r="N29" s="17"/>
    </row>
    <row r="30" customFormat="false" ht="15" hidden="false" customHeight="false" outlineLevel="0" collapsed="false">
      <c r="A30" s="16"/>
      <c r="B30" s="17"/>
      <c r="C30" s="16"/>
      <c r="D30" s="17"/>
      <c r="E30" s="16"/>
      <c r="F30" s="16"/>
      <c r="G30" s="16"/>
      <c r="H30" s="16"/>
      <c r="I30" s="16"/>
      <c r="J30" s="18"/>
      <c r="K30" s="16"/>
      <c r="L30" s="18"/>
      <c r="M30" s="19" t="str">
        <f aca="false">IF(COUNTA(E30:I30)=0,"",IF(OR(E30="Fail",F30="Fail",G30="Fail",H30="Fail",I30="Poor"),"FAIL — Remove",IF(I30="Fair","PASS — Monitor","PASS")))</f>
        <v/>
      </c>
      <c r="N30" s="17"/>
    </row>
    <row r="31" customFormat="false" ht="15" hidden="false" customHeight="false" outlineLevel="0" collapsed="false">
      <c r="A31" s="16"/>
      <c r="B31" s="17"/>
      <c r="C31" s="16"/>
      <c r="D31" s="17"/>
      <c r="E31" s="16"/>
      <c r="F31" s="16"/>
      <c r="G31" s="16"/>
      <c r="H31" s="16"/>
      <c r="I31" s="16"/>
      <c r="J31" s="18"/>
      <c r="K31" s="16"/>
      <c r="L31" s="18"/>
      <c r="M31" s="19" t="str">
        <f aca="false">IF(COUNTA(E31:I31)=0,"",IF(OR(E31="Fail",F31="Fail",G31="Fail",H31="Fail",I31="Poor"),"FAIL — Remove",IF(I31="Fair","PASS — Monitor","PASS")))</f>
        <v/>
      </c>
      <c r="N31" s="17"/>
    </row>
    <row r="32" customFormat="false" ht="15" hidden="false" customHeight="false" outlineLevel="0" collapsed="false">
      <c r="A32" s="16"/>
      <c r="B32" s="17"/>
      <c r="C32" s="16"/>
      <c r="D32" s="17"/>
      <c r="E32" s="16"/>
      <c r="F32" s="16"/>
      <c r="G32" s="16"/>
      <c r="H32" s="16"/>
      <c r="I32" s="16"/>
      <c r="J32" s="18"/>
      <c r="K32" s="16"/>
      <c r="L32" s="18"/>
      <c r="M32" s="19" t="str">
        <f aca="false">IF(COUNTA(E32:I32)=0,"",IF(OR(E32="Fail",F32="Fail",G32="Fail",H32="Fail",I32="Poor"),"FAIL — Remove",IF(I32="Fair","PASS — Monitor","PASS")))</f>
        <v/>
      </c>
      <c r="N32" s="17"/>
    </row>
    <row r="33" customFormat="false" ht="15" hidden="false" customHeight="false" outlineLevel="0" collapsed="false">
      <c r="A33" s="16"/>
      <c r="B33" s="17"/>
      <c r="C33" s="16"/>
      <c r="D33" s="17"/>
      <c r="E33" s="16"/>
      <c r="F33" s="16"/>
      <c r="G33" s="16"/>
      <c r="H33" s="16"/>
      <c r="I33" s="16"/>
      <c r="J33" s="18"/>
      <c r="K33" s="16"/>
      <c r="L33" s="18"/>
      <c r="M33" s="19" t="str">
        <f aca="false">IF(COUNTA(E33:I33)=0,"",IF(OR(E33="Fail",F33="Fail",G33="Fail",H33="Fail",I33="Poor"),"FAIL — Remove",IF(I33="Fair","PASS — Monitor","PASS")))</f>
        <v/>
      </c>
      <c r="N33" s="17"/>
    </row>
    <row r="34" customFormat="false" ht="15" hidden="false" customHeight="false" outlineLevel="0" collapsed="false">
      <c r="A34" s="16"/>
      <c r="B34" s="17"/>
      <c r="C34" s="16"/>
      <c r="D34" s="17"/>
      <c r="E34" s="16"/>
      <c r="F34" s="16"/>
      <c r="G34" s="16"/>
      <c r="H34" s="16"/>
      <c r="I34" s="16"/>
      <c r="J34" s="18"/>
      <c r="K34" s="16"/>
      <c r="L34" s="18"/>
      <c r="M34" s="19" t="str">
        <f aca="false">IF(COUNTA(E34:I34)=0,"",IF(OR(E34="Fail",F34="Fail",G34="Fail",H34="Fail",I34="Poor"),"FAIL — Remove",IF(I34="Fair","PASS — Monitor","PASS")))</f>
        <v/>
      </c>
      <c r="N34" s="17"/>
    </row>
    <row r="35" customFormat="false" ht="15" hidden="false" customHeight="false" outlineLevel="0" collapsed="false">
      <c r="A35" s="16"/>
      <c r="B35" s="17"/>
      <c r="C35" s="16"/>
      <c r="D35" s="17"/>
      <c r="E35" s="16"/>
      <c r="F35" s="16"/>
      <c r="G35" s="16"/>
      <c r="H35" s="16"/>
      <c r="I35" s="16"/>
      <c r="J35" s="18"/>
      <c r="K35" s="16"/>
      <c r="L35" s="18"/>
      <c r="M35" s="19" t="str">
        <f aca="false">IF(COUNTA(E35:I35)=0,"",IF(OR(E35="Fail",F35="Fail",G35="Fail",H35="Fail",I35="Poor"),"FAIL — Remove",IF(I35="Fair","PASS — Monitor","PASS")))</f>
        <v/>
      </c>
      <c r="N35" s="17"/>
    </row>
    <row r="36" customFormat="false" ht="15" hidden="false" customHeight="false" outlineLevel="0" collapsed="false">
      <c r="A36" s="16"/>
      <c r="B36" s="17"/>
      <c r="C36" s="16"/>
      <c r="D36" s="17"/>
      <c r="E36" s="16"/>
      <c r="F36" s="16"/>
      <c r="G36" s="16"/>
      <c r="H36" s="16"/>
      <c r="I36" s="16"/>
      <c r="J36" s="18"/>
      <c r="K36" s="16"/>
      <c r="L36" s="18"/>
      <c r="M36" s="19" t="str">
        <f aca="false">IF(COUNTA(E36:I36)=0,"",IF(OR(E36="Fail",F36="Fail",G36="Fail",H36="Fail",I36="Poor"),"FAIL — Remove",IF(I36="Fair","PASS — Monitor","PASS")))</f>
        <v/>
      </c>
      <c r="N36" s="17"/>
    </row>
    <row r="37" customFormat="false" ht="15" hidden="false" customHeight="false" outlineLevel="0" collapsed="false">
      <c r="A37" s="16"/>
      <c r="B37" s="17"/>
      <c r="C37" s="16"/>
      <c r="D37" s="17"/>
      <c r="E37" s="16"/>
      <c r="F37" s="16"/>
      <c r="G37" s="16"/>
      <c r="H37" s="16"/>
      <c r="I37" s="16"/>
      <c r="J37" s="18"/>
      <c r="K37" s="16"/>
      <c r="L37" s="18"/>
      <c r="M37" s="19" t="str">
        <f aca="false">IF(COUNTA(E37:I37)=0,"",IF(OR(E37="Fail",F37="Fail",G37="Fail",H37="Fail",I37="Poor"),"FAIL — Remove",IF(I37="Fair","PASS — Monitor","PASS")))</f>
        <v/>
      </c>
      <c r="N37" s="17"/>
    </row>
    <row r="38" customFormat="false" ht="15" hidden="false" customHeight="false" outlineLevel="0" collapsed="false">
      <c r="A38" s="16"/>
      <c r="B38" s="17"/>
      <c r="C38" s="16"/>
      <c r="D38" s="17"/>
      <c r="E38" s="16"/>
      <c r="F38" s="16"/>
      <c r="G38" s="16"/>
      <c r="H38" s="16"/>
      <c r="I38" s="16"/>
      <c r="J38" s="18"/>
      <c r="K38" s="16"/>
      <c r="L38" s="18"/>
      <c r="M38" s="19" t="str">
        <f aca="false">IF(COUNTA(E38:I38)=0,"",IF(OR(E38="Fail",F38="Fail",G38="Fail",H38="Fail",I38="Poor"),"FAIL — Remove",IF(I38="Fair","PASS — Monitor","PASS")))</f>
        <v/>
      </c>
      <c r="N38" s="17"/>
    </row>
    <row r="39" customFormat="false" ht="15" hidden="false" customHeight="false" outlineLevel="0" collapsed="false">
      <c r="A39" s="16"/>
      <c r="B39" s="17"/>
      <c r="C39" s="16"/>
      <c r="D39" s="17"/>
      <c r="E39" s="16"/>
      <c r="F39" s="16"/>
      <c r="G39" s="16"/>
      <c r="H39" s="16"/>
      <c r="I39" s="16"/>
      <c r="J39" s="18"/>
      <c r="K39" s="16"/>
      <c r="L39" s="18"/>
      <c r="M39" s="19" t="str">
        <f aca="false">IF(COUNTA(E39:I39)=0,"",IF(OR(E39="Fail",F39="Fail",G39="Fail",H39="Fail",I39="Poor"),"FAIL — Remove",IF(I39="Fair","PASS — Monitor","PASS")))</f>
        <v/>
      </c>
      <c r="N39" s="17"/>
    </row>
    <row r="40" customFormat="false" ht="15" hidden="false" customHeight="false" outlineLevel="0" collapsed="false">
      <c r="A40" s="16"/>
      <c r="B40" s="17"/>
      <c r="C40" s="16"/>
      <c r="D40" s="17"/>
      <c r="E40" s="16"/>
      <c r="F40" s="16"/>
      <c r="G40" s="16"/>
      <c r="H40" s="16"/>
      <c r="I40" s="16"/>
      <c r="J40" s="18"/>
      <c r="K40" s="16"/>
      <c r="L40" s="18"/>
      <c r="M40" s="19" t="str">
        <f aca="false">IF(COUNTA(E40:I40)=0,"",IF(OR(E40="Fail",F40="Fail",G40="Fail",H40="Fail",I40="Poor"),"FAIL — Remove",IF(I40="Fair","PASS — Monitor","PASS")))</f>
        <v/>
      </c>
      <c r="N40" s="17"/>
    </row>
    <row r="41" customFormat="false" ht="15" hidden="false" customHeight="false" outlineLevel="0" collapsed="false">
      <c r="A41" s="16"/>
      <c r="B41" s="17"/>
      <c r="C41" s="16"/>
      <c r="D41" s="17"/>
      <c r="E41" s="16"/>
      <c r="F41" s="16"/>
      <c r="G41" s="16"/>
      <c r="H41" s="16"/>
      <c r="I41" s="16"/>
      <c r="J41" s="18"/>
      <c r="K41" s="16"/>
      <c r="L41" s="18"/>
      <c r="M41" s="19" t="str">
        <f aca="false">IF(COUNTA(E41:I41)=0,"",IF(OR(E41="Fail",F41="Fail",G41="Fail",H41="Fail",I41="Poor"),"FAIL — Remove",IF(I41="Fair","PASS — Monitor","PASS")))</f>
        <v/>
      </c>
      <c r="N41" s="17"/>
    </row>
    <row r="42" customFormat="false" ht="15" hidden="false" customHeight="false" outlineLevel="0" collapsed="false">
      <c r="A42" s="16"/>
      <c r="B42" s="17"/>
      <c r="C42" s="16"/>
      <c r="D42" s="17"/>
      <c r="E42" s="16"/>
      <c r="F42" s="16"/>
      <c r="G42" s="16"/>
      <c r="H42" s="16"/>
      <c r="I42" s="16"/>
      <c r="J42" s="18"/>
      <c r="K42" s="16"/>
      <c r="L42" s="18"/>
      <c r="M42" s="19" t="str">
        <f aca="false">IF(COUNTA(E42:I42)=0,"",IF(OR(E42="Fail",F42="Fail",G42="Fail",H42="Fail",I42="Poor"),"FAIL — Remove",IF(I42="Fair","PASS — Monitor","PASS")))</f>
        <v/>
      </c>
      <c r="N42" s="17"/>
    </row>
    <row r="43" customFormat="false" ht="15" hidden="false" customHeight="false" outlineLevel="0" collapsed="false">
      <c r="A43" s="16"/>
      <c r="B43" s="17"/>
      <c r="C43" s="16"/>
      <c r="D43" s="17"/>
      <c r="E43" s="16"/>
      <c r="F43" s="16"/>
      <c r="G43" s="16"/>
      <c r="H43" s="16"/>
      <c r="I43" s="16"/>
      <c r="J43" s="18"/>
      <c r="K43" s="16"/>
      <c r="L43" s="18"/>
      <c r="M43" s="19" t="str">
        <f aca="false">IF(COUNTA(E43:I43)=0,"",IF(OR(E43="Fail",F43="Fail",G43="Fail",H43="Fail",I43="Poor"),"FAIL — Remove",IF(I43="Fair","PASS — Monitor","PASS")))</f>
        <v/>
      </c>
      <c r="N43" s="17"/>
    </row>
    <row r="44" customFormat="false" ht="15" hidden="false" customHeight="false" outlineLevel="0" collapsed="false">
      <c r="A44" s="16"/>
      <c r="B44" s="17"/>
      <c r="C44" s="16"/>
      <c r="D44" s="17"/>
      <c r="E44" s="16"/>
      <c r="F44" s="16"/>
      <c r="G44" s="16"/>
      <c r="H44" s="16"/>
      <c r="I44" s="16"/>
      <c r="J44" s="18"/>
      <c r="K44" s="16"/>
      <c r="L44" s="18"/>
      <c r="M44" s="19" t="str">
        <f aca="false">IF(COUNTA(E44:I44)=0,"",IF(OR(E44="Fail",F44="Fail",G44="Fail",H44="Fail",I44="Poor"),"FAIL — Remove",IF(I44="Fair","PASS — Monitor","PASS")))</f>
        <v/>
      </c>
      <c r="N44" s="17"/>
    </row>
    <row r="45" customFormat="false" ht="15" hidden="false" customHeight="false" outlineLevel="0" collapsed="false">
      <c r="A45" s="16"/>
      <c r="B45" s="17"/>
      <c r="C45" s="16"/>
      <c r="D45" s="17"/>
      <c r="E45" s="16"/>
      <c r="F45" s="16"/>
      <c r="G45" s="16"/>
      <c r="H45" s="16"/>
      <c r="I45" s="16"/>
      <c r="J45" s="18"/>
      <c r="K45" s="16"/>
      <c r="L45" s="18"/>
      <c r="M45" s="19" t="str">
        <f aca="false">IF(COUNTA(E45:I45)=0,"",IF(OR(E45="Fail",F45="Fail",G45="Fail",H45="Fail",I45="Poor"),"FAIL — Remove",IF(I45="Fair","PASS — Monitor","PASS")))</f>
        <v/>
      </c>
      <c r="N45" s="17"/>
    </row>
    <row r="46" customFormat="false" ht="15" hidden="false" customHeight="false" outlineLevel="0" collapsed="false">
      <c r="A46" s="16"/>
      <c r="B46" s="17"/>
      <c r="C46" s="16"/>
      <c r="D46" s="17"/>
      <c r="E46" s="16"/>
      <c r="F46" s="16"/>
      <c r="G46" s="16"/>
      <c r="H46" s="16"/>
      <c r="I46" s="16"/>
      <c r="J46" s="18"/>
      <c r="K46" s="16"/>
      <c r="L46" s="18"/>
      <c r="M46" s="19" t="str">
        <f aca="false">IF(COUNTA(E46:I46)=0,"",IF(OR(E46="Fail",F46="Fail",G46="Fail",H46="Fail",I46="Poor"),"FAIL — Remove",IF(I46="Fair","PASS — Monitor","PASS")))</f>
        <v/>
      </c>
      <c r="N46" s="17"/>
    </row>
    <row r="47" customFormat="false" ht="15" hidden="false" customHeight="false" outlineLevel="0" collapsed="false">
      <c r="A47" s="16"/>
      <c r="B47" s="17"/>
      <c r="C47" s="16"/>
      <c r="D47" s="17"/>
      <c r="E47" s="16"/>
      <c r="F47" s="16"/>
      <c r="G47" s="16"/>
      <c r="H47" s="16"/>
      <c r="I47" s="16"/>
      <c r="J47" s="18"/>
      <c r="K47" s="16"/>
      <c r="L47" s="18"/>
      <c r="M47" s="19" t="str">
        <f aca="false">IF(COUNTA(E47:I47)=0,"",IF(OR(E47="Fail",F47="Fail",G47="Fail",H47="Fail",I47="Poor"),"FAIL — Remove",IF(I47="Fair","PASS — Monitor","PASS")))</f>
        <v/>
      </c>
      <c r="N47" s="17"/>
    </row>
    <row r="48" customFormat="false" ht="15" hidden="false" customHeight="false" outlineLevel="0" collapsed="false">
      <c r="A48" s="16"/>
      <c r="B48" s="17"/>
      <c r="C48" s="16"/>
      <c r="D48" s="17"/>
      <c r="E48" s="16"/>
      <c r="F48" s="16"/>
      <c r="G48" s="16"/>
      <c r="H48" s="16"/>
      <c r="I48" s="16"/>
      <c r="J48" s="18"/>
      <c r="K48" s="16"/>
      <c r="L48" s="18"/>
      <c r="M48" s="19" t="str">
        <f aca="false">IF(COUNTA(E48:I48)=0,"",IF(OR(E48="Fail",F48="Fail",G48="Fail",H48="Fail",I48="Poor"),"FAIL — Remove",IF(I48="Fair","PASS — Monitor","PASS")))</f>
        <v/>
      </c>
      <c r="N48" s="17"/>
    </row>
    <row r="49" customFormat="false" ht="15" hidden="false" customHeight="false" outlineLevel="0" collapsed="false">
      <c r="A49" s="16"/>
      <c r="B49" s="17"/>
      <c r="C49" s="16"/>
      <c r="D49" s="17"/>
      <c r="E49" s="16"/>
      <c r="F49" s="16"/>
      <c r="G49" s="16"/>
      <c r="H49" s="16"/>
      <c r="I49" s="16"/>
      <c r="J49" s="18"/>
      <c r="K49" s="16"/>
      <c r="L49" s="18"/>
      <c r="M49" s="19" t="str">
        <f aca="false">IF(COUNTA(E49:I49)=0,"",IF(OR(E49="Fail",F49="Fail",G49="Fail",H49="Fail",I49="Poor"),"FAIL — Remove",IF(I49="Fair","PASS — Monitor","PASS")))</f>
        <v/>
      </c>
      <c r="N49" s="17"/>
    </row>
    <row r="50" customFormat="false" ht="15" hidden="false" customHeight="false" outlineLevel="0" collapsed="false">
      <c r="A50" s="16"/>
      <c r="B50" s="17"/>
      <c r="C50" s="16"/>
      <c r="D50" s="17"/>
      <c r="E50" s="16"/>
      <c r="F50" s="16"/>
      <c r="G50" s="16"/>
      <c r="H50" s="16"/>
      <c r="I50" s="16"/>
      <c r="J50" s="18"/>
      <c r="K50" s="16"/>
      <c r="L50" s="18"/>
      <c r="M50" s="19" t="str">
        <f aca="false">IF(COUNTA(E50:I50)=0,"",IF(OR(E50="Fail",F50="Fail",G50="Fail",H50="Fail",I50="Poor"),"FAIL — Remove",IF(I50="Fair","PASS — Monitor","PASS")))</f>
        <v/>
      </c>
      <c r="N50" s="17"/>
    </row>
    <row r="52" customFormat="false" ht="15" hidden="false" customHeight="false" outlineLevel="0" collapsed="false">
      <c r="A52" s="20" t="s">
        <v>98</v>
      </c>
      <c r="B52" s="14" t="s">
        <v>99</v>
      </c>
      <c r="C52" s="14" t="n">
        <f aca="false">COUNTA(A2:A50)</f>
        <v>8</v>
      </c>
      <c r="D52" s="14" t="s">
        <v>100</v>
      </c>
      <c r="E52" s="14" t="n">
        <f aca="false">COUNTIF(M2:M50,"PASS")</f>
        <v>5</v>
      </c>
      <c r="F52" s="14" t="s">
        <v>101</v>
      </c>
      <c r="G52" s="14" t="n">
        <f aca="false">COUNTIF(M2:M50,"PASS — Monitor")</f>
        <v>1</v>
      </c>
      <c r="H52" s="14" t="s">
        <v>102</v>
      </c>
      <c r="I52" s="14" t="n">
        <f aca="false">COUNTIF(M2:M50,"FAIL*")</f>
        <v>2</v>
      </c>
    </row>
  </sheetData>
  <conditionalFormatting sqref="E2:E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F2:F50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conditionalFormatting sqref="G2:G50">
    <cfRule type="cellIs" priority="6" operator="equal" aboveAverage="0" equalAverage="0" bottom="0" percent="0" rank="0" text="" dxfId="0">
      <formula>"Pass"</formula>
    </cfRule>
    <cfRule type="cellIs" priority="7" operator="equal" aboveAverage="0" equalAverage="0" bottom="0" percent="0" rank="0" text="" dxfId="1">
      <formula>"Fail"</formula>
    </cfRule>
  </conditionalFormatting>
  <conditionalFormatting sqref="H2:H50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</conditionalFormatting>
  <conditionalFormatting sqref="I2:I50">
    <cfRule type="cellIs" priority="10" operator="equal" aboveAverage="0" equalAverage="0" bottom="0" percent="0" rank="0" text="" dxfId="0">
      <formula>"Good"</formula>
    </cfRule>
    <cfRule type="cellIs" priority="11" operator="equal" aboveAverage="0" equalAverage="0" bottom="0" percent="0" rank="0" text="" dxfId="2">
      <formula>"Fair"</formula>
    </cfRule>
    <cfRule type="cellIs" priority="12" operator="equal" aboveAverage="0" equalAverage="0" bottom="0" percent="0" rank="0" text="" dxfId="1">
      <formula>"Poor"</formula>
    </cfRule>
  </conditionalFormatting>
  <conditionalFormatting sqref="M2:M50">
    <cfRule type="cellIs" priority="13" operator="equal" aboveAverage="0" equalAverage="0" bottom="0" percent="0" rank="0" text="" dxfId="0">
      <formula>"PASS"</formula>
    </cfRule>
    <cfRule type="cellIs" priority="14" operator="equal" aboveAverage="0" equalAverage="0" bottom="0" percent="0" rank="0" text="" dxfId="2">
      <formula>"PASS — Monitor"</formula>
    </cfRule>
    <cfRule type="expression" priority="15" aboveAverage="0" equalAverage="0" bottom="0" percent="0" rank="0" text="" dxfId="1">
      <formula>LEFT(M2,4)="FAIL"</formula>
    </cfRule>
  </conditionalFormatting>
  <conditionalFormatting sqref="L2:L50">
    <cfRule type="expression" priority="16" aboveAverage="0" equalAverage="0" bottom="0" percent="0" rank="0" text="" dxfId="1">
      <formula>AND(L2&lt;TODAY(),L2&lt;&gt;"")</formula>
    </cfRule>
  </conditionalFormatting>
  <dataValidations count="4">
    <dataValidation allowBlank="true" errorStyle="stop" operator="between" showDropDown="false" showErrorMessage="false" showInputMessage="false" sqref="C2:C50" type="list">
      <formula1>"Angle Grinder,Circular Saw,Bench Saw,Drill (Cordless),Drill (110V),Breaker,Compactor,Generator,Welder,Compressor,Pump,Mixer,Chop Saw,Other"</formula1>
      <formula2>0</formula2>
    </dataValidation>
    <dataValidation allowBlank="true" errorStyle="stop" operator="between" showDropDown="false" showErrorMessage="false" showInputMessage="false" sqref="E2:H50" type="list">
      <formula1>"Pass,Fail,N/A"</formula1>
      <formula2>0</formula2>
    </dataValidation>
    <dataValidation allowBlank="true" errorStyle="stop" operator="between" showDropDown="false" showErrorMessage="false" showInputMessage="false" sqref="I2:I50" type="list">
      <formula1>"Good,Fair,Poor"</formula1>
      <formula2>0</formula2>
    </dataValidation>
    <dataValidation allowBlank="true" errorStyle="stop" operator="between" showDropDown="false" showErrorMessage="false" showInputMessage="false" sqref="J2:J50 L2:L5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&amp;CPUWER Inspection Matrix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1" t="s">
        <v>103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104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3" t="s">
        <v>105</v>
      </c>
    </row>
    <row r="6" customFormat="false" ht="23.85" hidden="false" customHeight="false" outlineLevel="0" collapsed="false">
      <c r="A6" s="23" t="s">
        <v>106</v>
      </c>
    </row>
    <row r="7" customFormat="false" ht="15" hidden="false" customHeight="false" outlineLevel="0" collapsed="false">
      <c r="A7" s="23" t="s">
        <v>107</v>
      </c>
    </row>
    <row r="8" customFormat="false" ht="15" hidden="false" customHeight="false" outlineLevel="0" collapsed="false">
      <c r="A8" s="23" t="s">
        <v>108</v>
      </c>
    </row>
    <row r="9" customFormat="false" ht="23.85" hidden="false" customHeight="false" outlineLevel="0" collapsed="false">
      <c r="A9" s="23" t="s">
        <v>109</v>
      </c>
    </row>
    <row r="10" customFormat="false" ht="15" hidden="false" customHeight="false" outlineLevel="0" collapsed="false">
      <c r="A10" s="23" t="s">
        <v>110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Health, Safety &amp; Statutory</cp:category>
  <dcterms:created xsi:type="dcterms:W3CDTF">2026-03-24T17:02:01Z</dcterms:created>
  <dc:creator>Ebrora Ltd</dc:creator>
  <dc:description>Inspect small plant and power tools against PUWER requirements including visual checks, guards, emergency stops, PAT testing, and condition ratings with automated overall pass/fail status.
Free professional construction management template from Ebrora Ltd. Visit ebrora.com for our full range of tools and templates.</dc:description>
  <cp:keywords>Ebrora construction PUWER inspection plant tools safety statutory equipment</cp:keywords>
  <dc:language>en-US</dc:language>
  <cp:lastModifiedBy>Ebrora Ltd</cp:lastModifiedBy>
  <dcterms:modified xsi:type="dcterms:W3CDTF">2026-03-24T17:02:01Z</dcterms:modified>
  <cp:revision>0</cp:revision>
  <dc:subject>Inspect small plant and power tools against PUWER requirements with pass/fail criteria and condition ratings.</dc:subject>
  <dc:title>PUWER Inspection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