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ework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'Rework Register'!$A$1:$L$59</definedName>
    <definedName function="false" hidden="true" localSheetId="2" name="_xlnm._FilterDatabase" vbProcedure="false">'Rework Register'!$A$8:$O$59</definedName>
    <definedName function="false" hidden="false" name="DataTable" vbProcedure="false">'Rework Register'!$A$8:$O$59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<sst xmlns="http://schemas.openxmlformats.org/spreadsheetml/2006/main" count="106" uniqueCount="99">
  <si>
    <t xml:space="preserve">EBRORA</t>
  </si>
  <si>
    <t xml:space="preserve">ebrora.com</t>
  </si>
  <si>
    <t xml:space="preserve">Rework Register</t>
  </si>
  <si>
    <t xml:space="preserve">Track rework items with root cause analysis, cost impact, schedule delay, and resolution status to drive quality improvement.</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</si>
  <si>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</si>
  <si>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</si>
  <si>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</si>
  <si>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</si>
  <si>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'Rework Register' sheet. The cost-impact panel at the top summarises total rework spend, open items, and cause breakdown.</t>
  </si>
  <si>
    <t xml:space="preserve">2. Log each rework item with its reference, the defective element, a description of what went wrong, and the root cause category.</t>
  </si>
  <si>
    <t xml:space="preserve">3. Enter the estimated rework cost (£) and estimated delay (days) to quantify the impact on the project.</t>
  </si>
  <si>
    <t xml:space="preserve">4. Link to the originating NCR number if applicable — this provides traceability back to the non-conformance process.</t>
  </si>
  <si>
    <t xml:space="preserve">5. Track the rework through to completion: enter the date completed and update the status (Open/In Progress/Complete/Verified).</t>
  </si>
  <si>
    <t xml:space="preserve">6. 'Days Open' calculates automatically from date raised to completion (or today if still open). Items open &gt;14 days go red.</t>
  </si>
  <si>
    <t xml:space="preserve">7. The summary panel shows total rework cost, count by cause category, and items still open — use this for management reporting.</t>
  </si>
  <si>
    <t xml:space="preserve">8. Expand optional columns [+] for responsible party, method statement ref, and re-inspection details.</t>
  </si>
  <si>
    <t xml:space="preserve">Colour Key</t>
  </si>
  <si>
    <t xml:space="preserve">Light teal</t>
  </si>
  <si>
    <t xml:space="preserve">Editable cells</t>
  </si>
  <si>
    <t xml:space="preserve">Dark navy</t>
  </si>
  <si>
    <t xml:space="preserve">Headers</t>
  </si>
  <si>
    <t xml:space="preserve">Green</t>
  </si>
  <si>
    <t xml:space="preserve">COMPLETE or VERIFIED — rework closed</t>
  </si>
  <si>
    <t xml:space="preserve">Amber</t>
  </si>
  <si>
    <t xml:space="preserve">IN PROGRESS — rework underway</t>
  </si>
  <si>
    <t xml:space="preserve">Red</t>
  </si>
  <si>
    <t xml:space="preserve">OPEN — not yet started, or overdue</t>
  </si>
  <si>
    <t xml:space="preserve">Tips</t>
  </si>
  <si>
    <t xml:space="preserve">• Every rework item should have a linked NCR — if it doesn't, raise one. Rework without documentation is a recurring audit finding.</t>
  </si>
  <si>
    <t xml:space="preserve">• Use the cause categories to identify trends — if 'Workmanship' keeps coming up, target training interventions.</t>
  </si>
  <si>
    <t xml:space="preserve">• Always get rework re-inspected and verified before closing — recording 'Verified' proves the corrective action worked.</t>
  </si>
  <si>
    <t xml:space="preserve">REWORK REGISTER — COST &amp; IMPACT TRACKER</t>
  </si>
  <si>
    <t xml:space="preserve">Total Items</t>
  </si>
  <si>
    <t xml:space="preserve">Open</t>
  </si>
  <si>
    <t xml:space="preserve">In Progress</t>
  </si>
  <si>
    <t xml:space="preserve">Complete</t>
  </si>
  <si>
    <t xml:space="preserve">Total Cost (£)</t>
  </si>
  <si>
    <t xml:space="preserve">Avg Days Open</t>
  </si>
  <si>
    <t xml:space="preserve">▸ Optional Fields — Click [+] to expand</t>
  </si>
  <si>
    <t xml:space="preserve">Rework
Ref</t>
  </si>
  <si>
    <t xml:space="preserve">Date
Raised</t>
  </si>
  <si>
    <t xml:space="preserve">Element / Location</t>
  </si>
  <si>
    <t xml:space="preserve">Description of Defect</t>
  </si>
  <si>
    <t xml:space="preserve">Root
Cause</t>
  </si>
  <si>
    <t xml:space="preserve">NCR
Ref</t>
  </si>
  <si>
    <t xml:space="preserve">Est. Cost
(£)</t>
  </si>
  <si>
    <t xml:space="preserve">Est. Delay
(days)</t>
  </si>
  <si>
    <t xml:space="preserve">Status</t>
  </si>
  <si>
    <t xml:space="preserve">Date
Completed</t>
  </si>
  <si>
    <t xml:space="preserve">Days
Open</t>
  </si>
  <si>
    <t xml:space="preserve">Notes</t>
  </si>
  <si>
    <t xml:space="preserve">Responsible
Party</t>
  </si>
  <si>
    <t xml:space="preserve">Method
Stmt Ref</t>
  </si>
  <si>
    <t xml:space="preserve">Re-inspection
Date</t>
  </si>
  <si>
    <t xml:space="preserve">RW-001</t>
  </si>
  <si>
    <t xml:space="preserve">Column C4 Base Plate</t>
  </si>
  <si>
    <t xml:space="preserve">Base plate misaligned by 15mm — outside tolerance</t>
  </si>
  <si>
    <t xml:space="preserve">Incorrect Setting Out</t>
  </si>
  <si>
    <t xml:space="preserve">NCR-018</t>
  </si>
  <si>
    <t xml:space="preserve">Re-set and re-welded</t>
  </si>
  <si>
    <t xml:space="preserve">Steel Contractor</t>
  </si>
  <si>
    <t xml:space="preserve">MS-042</t>
  </si>
  <si>
    <t xml:space="preserve">RW-002</t>
  </si>
  <si>
    <t xml:space="preserve">Ground Floor Slab Bay 3</t>
  </si>
  <si>
    <t xml:space="preserve">Surface finish failed flatness spec (&gt;5mm deviation over 3m)</t>
  </si>
  <si>
    <t xml:space="preserve">Workmanship</t>
  </si>
  <si>
    <t xml:space="preserve">NCR-020</t>
  </si>
  <si>
    <t xml:space="preserve">Levelling screed applied</t>
  </si>
  <si>
    <t xml:space="preserve">Concreting Gang</t>
  </si>
  <si>
    <t xml:space="preserve">MS-038</t>
  </si>
  <si>
    <t xml:space="preserve">RW-003</t>
  </si>
  <si>
    <t xml:space="preserve">Pipe Spool PS-22</t>
  </si>
  <si>
    <t xml:space="preserve">Weld undercut &gt;1mm on branch connection — failed VT</t>
  </si>
  <si>
    <t xml:space="preserve">NCR-022</t>
  </si>
  <si>
    <t xml:space="preserve">Grind out and re-weld in progress</t>
  </si>
  <si>
    <t xml:space="preserve">Pipe Contractor</t>
  </si>
  <si>
    <t xml:space="preserve">MS-055</t>
  </si>
  <si>
    <t xml:space="preserve">RW-004</t>
  </si>
  <si>
    <t xml:space="preserve">Retaining Wall W2</t>
  </si>
  <si>
    <t xml:space="preserve">Honeycombing in concrete face — poor vibration</t>
  </si>
  <si>
    <t xml:space="preserve">NCR-025</t>
  </si>
  <si>
    <t xml:space="preserve">Repair method to be agreed with engineer</t>
  </si>
  <si>
    <t xml:space="preserve">Main Contractor</t>
  </si>
  <si>
    <t xml:space="preserve">RW-005</t>
  </si>
  <si>
    <t xml:space="preserve">Steelwork Beam B7</t>
  </si>
  <si>
    <t xml:space="preserve">Incorrect member delivered — wrong section size</t>
  </si>
  <si>
    <t xml:space="preserve">Material Defect</t>
  </si>
  <si>
    <t xml:space="preserve">NCR-027</t>
  </si>
  <si>
    <t xml:space="preserve">Re-order placed — 5 day lead time</t>
  </si>
  <si>
    <t xml:space="preserve">Steel Supplier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</si>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</sst>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
    <numFmt numFmtId="167" formatCode="0.0"/>
    <numFmt numFmtId="168" formatCode="dd/mm/yyyy"/>
    <numFmt numFmtId="169"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0006"/>
      <name val="Calibri"/>
      <family val="0"/>
      <charset val="1"/>
    </font>
    <font>
      <b val="true"/>
      <sz val="16"/>
      <color rgb="FF006100"/>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9"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1"/>
    <col collapsed="false" customWidth="true" hidden="false" outlineLevel="0" max="2" min="2" style="0" width="13"/>
    <col collapsed="false" customWidth="true" hidden="false" outlineLevel="0" max="3" min="3" style="0" width="24"/>
    <col collapsed="false" customWidth="true" hidden="false" outlineLevel="0" max="4" min="4" style="0" width="30"/>
    <col collapsed="false" customWidth="true" hidden="false" outlineLevel="0" max="5" min="5" style="0" width="16"/>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10" min="9" style="0" width="14"/>
    <col collapsed="false" customWidth="true" hidden="false" outlineLevel="0" max="11" min="11" style="0" width="11"/>
    <col collapsed="false" customWidth="true" hidden="false" outlineLevel="0" max="12" min="12" style="0" width="28"/>
    <col collapsed="false" customWidth="true" hidden="true" outlineLevel="1" max="15" min="13" style="0" width="18"/>
  </cols>
  <sheetData>
    <row r="1" customFormat="false" ht="18.65" hidden="false" customHeight="true" outlineLevel="0" collapsed="false">
      <c r="A1" s="18" t="s">
        <v>31</v>
      </c>
      <c r="B1" s="18"/>
      <c r="C1" s="18"/>
      <c r="D1" s="18"/>
      <c r="E1" s="18"/>
      <c r="F1" s="18"/>
      <c r="G1" s="18"/>
      <c r="H1" s="18"/>
      <c r="I1" s="18"/>
      <c r="J1" s="18"/>
      <c r="K1" s="18"/>
      <c r="L1" s="18"/>
      <c r="M1" s="19"/>
      <c r="N1" s="19"/>
      <c r="O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COUNTA(A9:A59)</f>
        <v>5</v>
      </c>
      <c r="C4" s="22" t="n">
        <f aca="false">COUNTIF(I9:I59,"Open")</f>
        <v>2</v>
      </c>
      <c r="E4" s="21" t="n">
        <f aca="false">COUNTIF(I9:I59,"In Progress")</f>
        <v>1</v>
      </c>
      <c r="G4" s="23" t="n">
        <f aca="false">COUNTIF(I9:I59,"Complete")+COUNTIF(I9:I59,"Verified")</f>
        <v>2</v>
      </c>
      <c r="I4" s="24" t="n">
        <f aca="false">SUM(G9:G59)</f>
        <v>18200</v>
      </c>
      <c r="K4" s="25" t="n">
        <f aca="false">IFERROR(AVERAGE(K9:K59),0)</f>
        <v>23.8</v>
      </c>
    </row>
    <row r="5" customFormat="false" ht="15" hidden="false" customHeight="false" outlineLevel="0" collapsed="false">
      <c r="A5" s="26" t="str">
        <f aca="false">CONCATENATE("Causes: Workmanship ",COUNTIF(E9:E59,"Workmanship")," | Design ",COUNTIF(E9:E59,"Design Error")," | Material ",COUNTIF(E9:E59,"Material Defect")," | Damage ",COUNTIF(E9:E59,"Damage")," | Other ",COUNTIF(E9:E59,"Other"))</f>
        <v>Causes: Workmanship 3 | Design 0 | Material 1 | Damage 0 | Other 0</v>
      </c>
      <c r="B5" s="26"/>
      <c r="C5" s="26"/>
      <c r="D5" s="26"/>
      <c r="E5" s="26"/>
      <c r="F5" s="26"/>
      <c r="G5" s="26"/>
      <c r="H5" s="26"/>
      <c r="I5" s="26"/>
      <c r="J5" s="26"/>
      <c r="K5" s="26"/>
      <c r="L5" s="26"/>
    </row>
    <row r="6" customFormat="false" ht="15" hidden="false" customHeight="false" outlineLevel="0" collapsed="false">
      <c r="A6" s="27"/>
      <c r="B6" s="27"/>
      <c r="C6" s="27"/>
      <c r="D6" s="27"/>
      <c r="E6" s="27"/>
      <c r="F6" s="27"/>
      <c r="G6" s="27"/>
      <c r="H6" s="27"/>
      <c r="I6" s="27"/>
      <c r="J6" s="27"/>
      <c r="K6" s="27"/>
      <c r="L6" s="27"/>
      <c r="M6" s="27"/>
      <c r="N6" s="27"/>
      <c r="O6" s="27"/>
    </row>
    <row r="7" customFormat="false" ht="3.75" hidden="false" customHeight="true" outlineLevel="0" collapsed="false">
      <c r="M7" s="28" t="s">
        <v>38</v>
      </c>
      <c r="N7" s="28"/>
      <c r="O7" s="28"/>
    </row>
    <row r="8" customFormat="false" ht="36" hidden="false" customHeight="true" outlineLevel="0" collapsed="false">
      <c r="A8" s="29" t="s">
        <v>39</v>
      </c>
      <c r="B8" s="29" t="s">
        <v>40</v>
      </c>
      <c r="C8" s="29" t="s">
        <v>41</v>
      </c>
      <c r="D8" s="29" t="s">
        <v>42</v>
      </c>
      <c r="E8" s="29" t="s">
        <v>43</v>
      </c>
      <c r="F8" s="29" t="s">
        <v>44</v>
      </c>
      <c r="G8" s="29" t="s">
        <v>45</v>
      </c>
      <c r="H8" s="29" t="s">
        <v>46</v>
      </c>
      <c r="I8" s="29" t="s">
        <v>47</v>
      </c>
      <c r="J8" s="29" t="s">
        <v>48</v>
      </c>
      <c r="K8" s="29" t="s">
        <v>49</v>
      </c>
      <c r="L8" s="29" t="s">
        <v>50</v>
      </c>
      <c r="M8" s="29" t="s">
        <v>51</v>
      </c>
      <c r="N8" s="29" t="s">
        <v>52</v>
      </c>
      <c r="O8" s="29" t="s">
        <v>53</v>
      </c>
    </row>
    <row r="9" customFormat="false" ht="23.85" hidden="false" customHeight="false" outlineLevel="0" collapsed="false">
      <c r="A9" s="30" t="s">
        <v>54</v>
      </c>
      <c r="B9" s="31" t="n">
        <v>46058</v>
      </c>
      <c r="C9" s="32" t="s">
        <v>55</v>
      </c>
      <c r="D9" s="32" t="s">
        <v>56</v>
      </c>
      <c r="E9" s="30" t="s">
        <v>57</v>
      </c>
      <c r="F9" s="30" t="s">
        <v>58</v>
      </c>
      <c r="G9" s="33" t="n">
        <v>2800</v>
      </c>
      <c r="H9" s="30" t="n">
        <v>2</v>
      </c>
      <c r="I9" s="30" t="s">
        <v>35</v>
      </c>
      <c r="J9" s="31" t="n">
        <v>46061</v>
      </c>
      <c r="K9" s="34" t="n">
        <f aca="true">IF(B9="","",IF(J9&lt;&gt;"",J9-B9,TODAY()-B9))</f>
        <v>3</v>
      </c>
      <c r="L9" s="32" t="s">
        <v>59</v>
      </c>
      <c r="M9" s="30" t="s">
        <v>60</v>
      </c>
      <c r="N9" s="30" t="s">
        <v>61</v>
      </c>
      <c r="O9" s="31" t="n">
        <v>46062</v>
      </c>
    </row>
    <row r="10" customFormat="false" ht="23.85" hidden="false" customHeight="false" outlineLevel="0" collapsed="false">
      <c r="A10" s="30" t="s">
        <v>62</v>
      </c>
      <c r="B10" s="31" t="n">
        <v>46061</v>
      </c>
      <c r="C10" s="32" t="s">
        <v>63</v>
      </c>
      <c r="D10" s="32" t="s">
        <v>64</v>
      </c>
      <c r="E10" s="30" t="s">
        <v>65</v>
      </c>
      <c r="F10" s="30" t="s">
        <v>66</v>
      </c>
      <c r="G10" s="33" t="n">
        <v>4500</v>
      </c>
      <c r="H10" s="30" t="n">
        <v>3</v>
      </c>
      <c r="I10" s="30" t="s">
        <v>35</v>
      </c>
      <c r="J10" s="31" t="n">
        <v>46065</v>
      </c>
      <c r="K10" s="34" t="n">
        <f aca="true">IF(B10="","",IF(J10&lt;&gt;"",J10-B10,TODAY()-B10))</f>
        <v>4</v>
      </c>
      <c r="L10" s="32" t="s">
        <v>67</v>
      </c>
      <c r="M10" s="30" t="s">
        <v>68</v>
      </c>
      <c r="N10" s="30" t="s">
        <v>69</v>
      </c>
      <c r="O10" s="31" t="n">
        <v>46066</v>
      </c>
    </row>
    <row r="11" customFormat="false" ht="23.85" hidden="false" customHeight="false" outlineLevel="0" collapsed="false">
      <c r="A11" s="30" t="s">
        <v>70</v>
      </c>
      <c r="B11" s="31" t="n">
        <v>46064</v>
      </c>
      <c r="C11" s="32" t="s">
        <v>71</v>
      </c>
      <c r="D11" s="32" t="s">
        <v>72</v>
      </c>
      <c r="E11" s="30" t="s">
        <v>65</v>
      </c>
      <c r="F11" s="30" t="s">
        <v>73</v>
      </c>
      <c r="G11" s="33" t="n">
        <v>1200</v>
      </c>
      <c r="H11" s="30" t="n">
        <v>1</v>
      </c>
      <c r="I11" s="30" t="s">
        <v>34</v>
      </c>
      <c r="J11" s="31"/>
      <c r="K11" s="34" t="n">
        <f aca="true">IF(B11="","",IF(J11&lt;&gt;"",J11-B11,TODAY()-B11))</f>
        <v>40</v>
      </c>
      <c r="L11" s="32" t="s">
        <v>74</v>
      </c>
      <c r="M11" s="30" t="s">
        <v>75</v>
      </c>
      <c r="N11" s="30" t="s">
        <v>76</v>
      </c>
      <c r="O11" s="31"/>
    </row>
    <row r="12" customFormat="false" ht="23.85" hidden="false" customHeight="false" outlineLevel="0" collapsed="false">
      <c r="A12" s="30" t="s">
        <v>77</v>
      </c>
      <c r="B12" s="31" t="n">
        <v>46067</v>
      </c>
      <c r="C12" s="32" t="s">
        <v>78</v>
      </c>
      <c r="D12" s="32" t="s">
        <v>79</v>
      </c>
      <c r="E12" s="30" t="s">
        <v>65</v>
      </c>
      <c r="F12" s="30" t="s">
        <v>80</v>
      </c>
      <c r="G12" s="33" t="n">
        <v>3200</v>
      </c>
      <c r="H12" s="30" t="n">
        <v>4</v>
      </c>
      <c r="I12" s="30" t="s">
        <v>33</v>
      </c>
      <c r="J12" s="31"/>
      <c r="K12" s="34" t="n">
        <f aca="true">IF(B12="","",IF(J12&lt;&gt;"",J12-B12,TODAY()-B12))</f>
        <v>37</v>
      </c>
      <c r="L12" s="32" t="s">
        <v>81</v>
      </c>
      <c r="M12" s="30" t="s">
        <v>82</v>
      </c>
      <c r="N12" s="30"/>
      <c r="O12" s="31"/>
    </row>
    <row r="13" customFormat="false" ht="23.85" hidden="false" customHeight="false" outlineLevel="0" collapsed="false">
      <c r="A13" s="30" t="s">
        <v>83</v>
      </c>
      <c r="B13" s="31" t="n">
        <v>46069</v>
      </c>
      <c r="C13" s="32" t="s">
        <v>84</v>
      </c>
      <c r="D13" s="32" t="s">
        <v>85</v>
      </c>
      <c r="E13" s="30" t="s">
        <v>86</v>
      </c>
      <c r="F13" s="30" t="s">
        <v>87</v>
      </c>
      <c r="G13" s="33" t="n">
        <v>6500</v>
      </c>
      <c r="H13" s="30" t="n">
        <v>7</v>
      </c>
      <c r="I13" s="30" t="s">
        <v>33</v>
      </c>
      <c r="J13" s="31"/>
      <c r="K13" s="34" t="n">
        <f aca="true">IF(B13="","",IF(J13&lt;&gt;"",J13-B13,TODAY()-B13))</f>
        <v>35</v>
      </c>
      <c r="L13" s="32" t="s">
        <v>88</v>
      </c>
      <c r="M13" s="30" t="s">
        <v>89</v>
      </c>
      <c r="N13" s="30"/>
      <c r="O13" s="31"/>
    </row>
    <row r="14" customFormat="false" ht="15" hidden="false" customHeight="false" outlineLevel="0" collapsed="false">
      <c r="A14" s="30"/>
      <c r="B14" s="31"/>
      <c r="C14" s="32"/>
      <c r="D14" s="32"/>
      <c r="E14" s="30"/>
      <c r="F14" s="30"/>
      <c r="G14" s="33"/>
      <c r="H14" s="30"/>
      <c r="I14" s="30"/>
      <c r="J14" s="31"/>
      <c r="K14" s="34" t="str">
        <f aca="true">IF(B14="","",IF(J14&lt;&gt;"",J14-B14,TODAY()-B14))</f>
        <v/>
      </c>
      <c r="L14" s="32"/>
      <c r="M14" s="30"/>
      <c r="N14" s="30"/>
      <c r="O14" s="31"/>
    </row>
    <row r="15" customFormat="false" ht="15" hidden="false" customHeight="false" outlineLevel="0" collapsed="false">
      <c r="A15" s="30"/>
      <c r="B15" s="31"/>
      <c r="C15" s="32"/>
      <c r="D15" s="32"/>
      <c r="E15" s="30"/>
      <c r="F15" s="30"/>
      <c r="G15" s="33"/>
      <c r="H15" s="30"/>
      <c r="I15" s="30"/>
      <c r="J15" s="31"/>
      <c r="K15" s="34" t="str">
        <f aca="true">IF(B15="","",IF(J15&lt;&gt;"",J15-B15,TODAY()-B15))</f>
        <v/>
      </c>
      <c r="L15" s="32"/>
      <c r="M15" s="30"/>
      <c r="N15" s="30"/>
      <c r="O15" s="31"/>
    </row>
    <row r="16" customFormat="false" ht="15" hidden="false" customHeight="false" outlineLevel="0" collapsed="false">
      <c r="A16" s="30"/>
      <c r="B16" s="31"/>
      <c r="C16" s="32"/>
      <c r="D16" s="32"/>
      <c r="E16" s="30"/>
      <c r="F16" s="30"/>
      <c r="G16" s="33"/>
      <c r="H16" s="30"/>
      <c r="I16" s="30"/>
      <c r="J16" s="31"/>
      <c r="K16" s="34" t="str">
        <f aca="true">IF(B16="","",IF(J16&lt;&gt;"",J16-B16,TODAY()-B16))</f>
        <v/>
      </c>
      <c r="L16" s="32"/>
      <c r="M16" s="30"/>
      <c r="N16" s="30"/>
      <c r="O16" s="31"/>
    </row>
    <row r="17" customFormat="false" ht="15" hidden="false" customHeight="false" outlineLevel="0" collapsed="false">
      <c r="A17" s="30"/>
      <c r="B17" s="31"/>
      <c r="C17" s="32"/>
      <c r="D17" s="32"/>
      <c r="E17" s="30"/>
      <c r="F17" s="30"/>
      <c r="G17" s="33"/>
      <c r="H17" s="30"/>
      <c r="I17" s="30"/>
      <c r="J17" s="31"/>
      <c r="K17" s="34" t="str">
        <f aca="true">IF(B17="","",IF(J17&lt;&gt;"",J17-B17,TODAY()-B17))</f>
        <v/>
      </c>
      <c r="L17" s="32"/>
      <c r="M17" s="30"/>
      <c r="N17" s="30"/>
      <c r="O17" s="31"/>
    </row>
    <row r="18" customFormat="false" ht="15" hidden="false" customHeight="false" outlineLevel="0" collapsed="false">
      <c r="A18" s="30"/>
      <c r="B18" s="31"/>
      <c r="C18" s="32"/>
      <c r="D18" s="32"/>
      <c r="E18" s="30"/>
      <c r="F18" s="30"/>
      <c r="G18" s="33"/>
      <c r="H18" s="30"/>
      <c r="I18" s="30"/>
      <c r="J18" s="31"/>
      <c r="K18" s="34" t="str">
        <f aca="true">IF(B18="","",IF(J18&lt;&gt;"",J18-B18,TODAY()-B18))</f>
        <v/>
      </c>
      <c r="L18" s="32"/>
      <c r="M18" s="30"/>
      <c r="N18" s="30"/>
      <c r="O18" s="31"/>
    </row>
    <row r="19" customFormat="false" ht="15" hidden="false" customHeight="false" outlineLevel="0" collapsed="false">
      <c r="A19" s="30"/>
      <c r="B19" s="31"/>
      <c r="C19" s="32"/>
      <c r="D19" s="32"/>
      <c r="E19" s="30"/>
      <c r="F19" s="30"/>
      <c r="G19" s="33"/>
      <c r="H19" s="30"/>
      <c r="I19" s="30"/>
      <c r="J19" s="31"/>
      <c r="K19" s="34" t="str">
        <f aca="true">IF(B19="","",IF(J19&lt;&gt;"",J19-B19,TODAY()-B19))</f>
        <v/>
      </c>
      <c r="L19" s="32"/>
      <c r="M19" s="30"/>
      <c r="N19" s="30"/>
      <c r="O19" s="31"/>
    </row>
    <row r="20" customFormat="false" ht="15" hidden="false" customHeight="false" outlineLevel="0" collapsed="false">
      <c r="A20" s="30"/>
      <c r="B20" s="31"/>
      <c r="C20" s="32"/>
      <c r="D20" s="32"/>
      <c r="E20" s="30"/>
      <c r="F20" s="30"/>
      <c r="G20" s="33"/>
      <c r="H20" s="30"/>
      <c r="I20" s="30"/>
      <c r="J20" s="31"/>
      <c r="K20" s="34" t="str">
        <f aca="true">IF(B20="","",IF(J20&lt;&gt;"",J20-B20,TODAY()-B20))</f>
        <v/>
      </c>
      <c r="L20" s="32"/>
      <c r="M20" s="30"/>
      <c r="N20" s="30"/>
      <c r="O20" s="31"/>
    </row>
    <row r="21" customFormat="false" ht="15" hidden="false" customHeight="false" outlineLevel="0" collapsed="false">
      <c r="A21" s="30"/>
      <c r="B21" s="31"/>
      <c r="C21" s="32"/>
      <c r="D21" s="32"/>
      <c r="E21" s="30"/>
      <c r="F21" s="30"/>
      <c r="G21" s="33"/>
      <c r="H21" s="30"/>
      <c r="I21" s="30"/>
      <c r="J21" s="31"/>
      <c r="K21" s="34" t="str">
        <f aca="true">IF(B21="","",IF(J21&lt;&gt;"",J21-B21,TODAY()-B21))</f>
        <v/>
      </c>
      <c r="L21" s="32"/>
      <c r="M21" s="30"/>
      <c r="N21" s="30"/>
      <c r="O21" s="31"/>
    </row>
    <row r="22" customFormat="false" ht="15" hidden="false" customHeight="false" outlineLevel="0" collapsed="false">
      <c r="A22" s="30"/>
      <c r="B22" s="31"/>
      <c r="C22" s="32"/>
      <c r="D22" s="32"/>
      <c r="E22" s="30"/>
      <c r="F22" s="30"/>
      <c r="G22" s="33"/>
      <c r="H22" s="30"/>
      <c r="I22" s="30"/>
      <c r="J22" s="31"/>
      <c r="K22" s="34" t="str">
        <f aca="true">IF(B22="","",IF(J22&lt;&gt;"",J22-B22,TODAY()-B22))</f>
        <v/>
      </c>
      <c r="L22" s="32"/>
      <c r="M22" s="30"/>
      <c r="N22" s="30"/>
      <c r="O22" s="31"/>
    </row>
    <row r="23" customFormat="false" ht="15" hidden="false" customHeight="false" outlineLevel="0" collapsed="false">
      <c r="A23" s="30"/>
      <c r="B23" s="31"/>
      <c r="C23" s="32"/>
      <c r="D23" s="32"/>
      <c r="E23" s="30"/>
      <c r="F23" s="30"/>
      <c r="G23" s="33"/>
      <c r="H23" s="30"/>
      <c r="I23" s="30"/>
      <c r="J23" s="31"/>
      <c r="K23" s="34" t="str">
        <f aca="true">IF(B23="","",IF(J23&lt;&gt;"",J23-B23,TODAY()-B23))</f>
        <v/>
      </c>
      <c r="L23" s="32"/>
      <c r="M23" s="30"/>
      <c r="N23" s="30"/>
      <c r="O23" s="31"/>
    </row>
    <row r="24" customFormat="false" ht="15" hidden="false" customHeight="false" outlineLevel="0" collapsed="false">
      <c r="A24" s="30"/>
      <c r="B24" s="31"/>
      <c r="C24" s="32"/>
      <c r="D24" s="32"/>
      <c r="E24" s="30"/>
      <c r="F24" s="30"/>
      <c r="G24" s="33"/>
      <c r="H24" s="30"/>
      <c r="I24" s="30"/>
      <c r="J24" s="31"/>
      <c r="K24" s="34" t="str">
        <f aca="true">IF(B24="","",IF(J24&lt;&gt;"",J24-B24,TODAY()-B24))</f>
        <v/>
      </c>
      <c r="L24" s="32"/>
      <c r="M24" s="30"/>
      <c r="N24" s="30"/>
      <c r="O24" s="31"/>
    </row>
    <row r="25" customFormat="false" ht="15" hidden="false" customHeight="false" outlineLevel="0" collapsed="false">
      <c r="A25" s="30"/>
      <c r="B25" s="31"/>
      <c r="C25" s="32"/>
      <c r="D25" s="32"/>
      <c r="E25" s="30"/>
      <c r="F25" s="30"/>
      <c r="G25" s="33"/>
      <c r="H25" s="30"/>
      <c r="I25" s="30"/>
      <c r="J25" s="31"/>
      <c r="K25" s="34" t="str">
        <f aca="true">IF(B25="","",IF(J25&lt;&gt;"",J25-B25,TODAY()-B25))</f>
        <v/>
      </c>
      <c r="L25" s="32"/>
      <c r="M25" s="30"/>
      <c r="N25" s="30"/>
      <c r="O25" s="31"/>
    </row>
    <row r="26" customFormat="false" ht="15" hidden="false" customHeight="false" outlineLevel="0" collapsed="false">
      <c r="A26" s="30"/>
      <c r="B26" s="31"/>
      <c r="C26" s="32"/>
      <c r="D26" s="32"/>
      <c r="E26" s="30"/>
      <c r="F26" s="30"/>
      <c r="G26" s="33"/>
      <c r="H26" s="30"/>
      <c r="I26" s="30"/>
      <c r="J26" s="31"/>
      <c r="K26" s="34" t="str">
        <f aca="true">IF(B26="","",IF(J26&lt;&gt;"",J26-B26,TODAY()-B26))</f>
        <v/>
      </c>
      <c r="L26" s="32"/>
      <c r="M26" s="30"/>
      <c r="N26" s="30"/>
      <c r="O26" s="31"/>
    </row>
    <row r="27" customFormat="false" ht="15" hidden="false" customHeight="false" outlineLevel="0" collapsed="false">
      <c r="A27" s="30"/>
      <c r="B27" s="31"/>
      <c r="C27" s="32"/>
      <c r="D27" s="32"/>
      <c r="E27" s="30"/>
      <c r="F27" s="30"/>
      <c r="G27" s="33"/>
      <c r="H27" s="30"/>
      <c r="I27" s="30"/>
      <c r="J27" s="31"/>
      <c r="K27" s="34" t="str">
        <f aca="true">IF(B27="","",IF(J27&lt;&gt;"",J27-B27,TODAY()-B27))</f>
        <v/>
      </c>
      <c r="L27" s="32"/>
      <c r="M27" s="30"/>
      <c r="N27" s="30"/>
      <c r="O27" s="31"/>
    </row>
    <row r="28" customFormat="false" ht="15" hidden="false" customHeight="false" outlineLevel="0" collapsed="false">
      <c r="A28" s="30"/>
      <c r="B28" s="31"/>
      <c r="C28" s="32"/>
      <c r="D28" s="32"/>
      <c r="E28" s="30"/>
      <c r="F28" s="30"/>
      <c r="G28" s="33"/>
      <c r="H28" s="30"/>
      <c r="I28" s="30"/>
      <c r="J28" s="31"/>
      <c r="K28" s="34" t="str">
        <f aca="true">IF(B28="","",IF(J28&lt;&gt;"",J28-B28,TODAY()-B28))</f>
        <v/>
      </c>
      <c r="L28" s="32"/>
      <c r="M28" s="30"/>
      <c r="N28" s="30"/>
      <c r="O28" s="31"/>
    </row>
    <row r="29" customFormat="false" ht="15" hidden="false" customHeight="false" outlineLevel="0" collapsed="false">
      <c r="A29" s="30"/>
      <c r="B29" s="31"/>
      <c r="C29" s="32"/>
      <c r="D29" s="32"/>
      <c r="E29" s="30"/>
      <c r="F29" s="30"/>
      <c r="G29" s="33"/>
      <c r="H29" s="30"/>
      <c r="I29" s="30"/>
      <c r="J29" s="31"/>
      <c r="K29" s="34" t="str">
        <f aca="true">IF(B29="","",IF(J29&lt;&gt;"",J29-B29,TODAY()-B29))</f>
        <v/>
      </c>
      <c r="L29" s="32"/>
      <c r="M29" s="30"/>
      <c r="N29" s="30"/>
      <c r="O29" s="31"/>
    </row>
    <row r="30" customFormat="false" ht="15" hidden="false" customHeight="false" outlineLevel="0" collapsed="false">
      <c r="A30" s="30"/>
      <c r="B30" s="31"/>
      <c r="C30" s="32"/>
      <c r="D30" s="32"/>
      <c r="E30" s="30"/>
      <c r="F30" s="30"/>
      <c r="G30" s="33"/>
      <c r="H30" s="30"/>
      <c r="I30" s="30"/>
      <c r="J30" s="31"/>
      <c r="K30" s="34" t="str">
        <f aca="true">IF(B30="","",IF(J30&lt;&gt;"",J30-B30,TODAY()-B30))</f>
        <v/>
      </c>
      <c r="L30" s="32"/>
      <c r="M30" s="30"/>
      <c r="N30" s="30"/>
      <c r="O30" s="31"/>
    </row>
    <row r="31" customFormat="false" ht="15" hidden="false" customHeight="false" outlineLevel="0" collapsed="false">
      <c r="A31" s="30"/>
      <c r="B31" s="31"/>
      <c r="C31" s="32"/>
      <c r="D31" s="32"/>
      <c r="E31" s="30"/>
      <c r="F31" s="30"/>
      <c r="G31" s="33"/>
      <c r="H31" s="30"/>
      <c r="I31" s="30"/>
      <c r="J31" s="31"/>
      <c r="K31" s="34" t="str">
        <f aca="true">IF(B31="","",IF(J31&lt;&gt;"",J31-B31,TODAY()-B31))</f>
        <v/>
      </c>
      <c r="L31" s="32"/>
      <c r="M31" s="30"/>
      <c r="N31" s="30"/>
      <c r="O31" s="31"/>
    </row>
    <row r="32" customFormat="false" ht="15" hidden="false" customHeight="false" outlineLevel="0" collapsed="false">
      <c r="A32" s="30"/>
      <c r="B32" s="31"/>
      <c r="C32" s="32"/>
      <c r="D32" s="32"/>
      <c r="E32" s="30"/>
      <c r="F32" s="30"/>
      <c r="G32" s="33"/>
      <c r="H32" s="30"/>
      <c r="I32" s="30"/>
      <c r="J32" s="31"/>
      <c r="K32" s="34" t="str">
        <f aca="true">IF(B32="","",IF(J32&lt;&gt;"",J32-B32,TODAY()-B32))</f>
        <v/>
      </c>
      <c r="L32" s="32"/>
      <c r="M32" s="30"/>
      <c r="N32" s="30"/>
      <c r="O32" s="31"/>
    </row>
    <row r="33" customFormat="false" ht="15" hidden="false" customHeight="false" outlineLevel="0" collapsed="false">
      <c r="A33" s="30"/>
      <c r="B33" s="31"/>
      <c r="C33" s="32"/>
      <c r="D33" s="32"/>
      <c r="E33" s="30"/>
      <c r="F33" s="30"/>
      <c r="G33" s="33"/>
      <c r="H33" s="30"/>
      <c r="I33" s="30"/>
      <c r="J33" s="31"/>
      <c r="K33" s="34" t="str">
        <f aca="true">IF(B33="","",IF(J33&lt;&gt;"",J33-B33,TODAY()-B33))</f>
        <v/>
      </c>
      <c r="L33" s="32"/>
      <c r="M33" s="30"/>
      <c r="N33" s="30"/>
      <c r="O33" s="31"/>
    </row>
    <row r="34" customFormat="false" ht="15" hidden="false" customHeight="false" outlineLevel="0" collapsed="false">
      <c r="A34" s="30"/>
      <c r="B34" s="31"/>
      <c r="C34" s="32"/>
      <c r="D34" s="32"/>
      <c r="E34" s="30"/>
      <c r="F34" s="30"/>
      <c r="G34" s="33"/>
      <c r="H34" s="30"/>
      <c r="I34" s="30"/>
      <c r="J34" s="31"/>
      <c r="K34" s="34" t="str">
        <f aca="true">IF(B34="","",IF(J34&lt;&gt;"",J34-B34,TODAY()-B34))</f>
        <v/>
      </c>
      <c r="L34" s="32"/>
      <c r="M34" s="30"/>
      <c r="N34" s="30"/>
      <c r="O34" s="31"/>
    </row>
    <row r="35" customFormat="false" ht="15" hidden="false" customHeight="false" outlineLevel="0" collapsed="false">
      <c r="A35" s="30"/>
      <c r="B35" s="31"/>
      <c r="C35" s="32"/>
      <c r="D35" s="32"/>
      <c r="E35" s="30"/>
      <c r="F35" s="30"/>
      <c r="G35" s="33"/>
      <c r="H35" s="30"/>
      <c r="I35" s="30"/>
      <c r="J35" s="31"/>
      <c r="K35" s="34" t="str">
        <f aca="true">IF(B35="","",IF(J35&lt;&gt;"",J35-B35,TODAY()-B35))</f>
        <v/>
      </c>
      <c r="L35" s="32"/>
      <c r="M35" s="30"/>
      <c r="N35" s="30"/>
      <c r="O35" s="31"/>
    </row>
    <row r="36" customFormat="false" ht="15" hidden="false" customHeight="false" outlineLevel="0" collapsed="false">
      <c r="A36" s="30"/>
      <c r="B36" s="31"/>
      <c r="C36" s="32"/>
      <c r="D36" s="32"/>
      <c r="E36" s="30"/>
      <c r="F36" s="30"/>
      <c r="G36" s="33"/>
      <c r="H36" s="30"/>
      <c r="I36" s="30"/>
      <c r="J36" s="31"/>
      <c r="K36" s="34" t="str">
        <f aca="true">IF(B36="","",IF(J36&lt;&gt;"",J36-B36,TODAY()-B36))</f>
        <v/>
      </c>
      <c r="L36" s="32"/>
      <c r="M36" s="30"/>
      <c r="N36" s="30"/>
      <c r="O36" s="31"/>
    </row>
    <row r="37" customFormat="false" ht="15" hidden="false" customHeight="false" outlineLevel="0" collapsed="false">
      <c r="A37" s="30"/>
      <c r="B37" s="31"/>
      <c r="C37" s="32"/>
      <c r="D37" s="32"/>
      <c r="E37" s="30"/>
      <c r="F37" s="30"/>
      <c r="G37" s="33"/>
      <c r="H37" s="30"/>
      <c r="I37" s="30"/>
      <c r="J37" s="31"/>
      <c r="K37" s="34" t="str">
        <f aca="true">IF(B37="","",IF(J37&lt;&gt;"",J37-B37,TODAY()-B37))</f>
        <v/>
      </c>
      <c r="L37" s="32"/>
      <c r="M37" s="30"/>
      <c r="N37" s="30"/>
      <c r="O37" s="31"/>
    </row>
    <row r="38" customFormat="false" ht="15" hidden="false" customHeight="false" outlineLevel="0" collapsed="false">
      <c r="A38" s="30"/>
      <c r="B38" s="31"/>
      <c r="C38" s="32"/>
      <c r="D38" s="32"/>
      <c r="E38" s="30"/>
      <c r="F38" s="30"/>
      <c r="G38" s="33"/>
      <c r="H38" s="30"/>
      <c r="I38" s="30"/>
      <c r="J38" s="31"/>
      <c r="K38" s="34" t="str">
        <f aca="true">IF(B38="","",IF(J38&lt;&gt;"",J38-B38,TODAY()-B38))</f>
        <v/>
      </c>
      <c r="L38" s="32"/>
      <c r="M38" s="30"/>
      <c r="N38" s="30"/>
      <c r="O38" s="31"/>
    </row>
    <row r="39" customFormat="false" ht="15" hidden="false" customHeight="false" outlineLevel="0" collapsed="false">
      <c r="A39" s="30"/>
      <c r="B39" s="31"/>
      <c r="C39" s="32"/>
      <c r="D39" s="32"/>
      <c r="E39" s="30"/>
      <c r="F39" s="30"/>
      <c r="G39" s="33"/>
      <c r="H39" s="30"/>
      <c r="I39" s="30"/>
      <c r="J39" s="31"/>
      <c r="K39" s="34" t="str">
        <f aca="true">IF(B39="","",IF(J39&lt;&gt;"",J39-B39,TODAY()-B39))</f>
        <v/>
      </c>
      <c r="L39" s="32"/>
      <c r="M39" s="30"/>
      <c r="N39" s="30"/>
      <c r="O39" s="31"/>
    </row>
    <row r="40" customFormat="false" ht="15" hidden="false" customHeight="false" outlineLevel="0" collapsed="false">
      <c r="A40" s="30"/>
      <c r="B40" s="31"/>
      <c r="C40" s="32"/>
      <c r="D40" s="32"/>
      <c r="E40" s="30"/>
      <c r="F40" s="30"/>
      <c r="G40" s="33"/>
      <c r="H40" s="30"/>
      <c r="I40" s="30"/>
      <c r="J40" s="31"/>
      <c r="K40" s="34" t="str">
        <f aca="true">IF(B40="","",IF(J40&lt;&gt;"",J40-B40,TODAY()-B40))</f>
        <v/>
      </c>
      <c r="L40" s="32"/>
      <c r="M40" s="30"/>
      <c r="N40" s="30"/>
      <c r="O40" s="31"/>
    </row>
    <row r="41" customFormat="false" ht="15" hidden="false" customHeight="false" outlineLevel="0" collapsed="false">
      <c r="A41" s="30"/>
      <c r="B41" s="31"/>
      <c r="C41" s="32"/>
      <c r="D41" s="32"/>
      <c r="E41" s="30"/>
      <c r="F41" s="30"/>
      <c r="G41" s="33"/>
      <c r="H41" s="30"/>
      <c r="I41" s="30"/>
      <c r="J41" s="31"/>
      <c r="K41" s="34" t="str">
        <f aca="true">IF(B41="","",IF(J41&lt;&gt;"",J41-B41,TODAY()-B41))</f>
        <v/>
      </c>
      <c r="L41" s="32"/>
      <c r="M41" s="30"/>
      <c r="N41" s="30"/>
      <c r="O41" s="31"/>
    </row>
    <row r="42" customFormat="false" ht="15" hidden="false" customHeight="false" outlineLevel="0" collapsed="false">
      <c r="A42" s="30"/>
      <c r="B42" s="31"/>
      <c r="C42" s="32"/>
      <c r="D42" s="32"/>
      <c r="E42" s="30"/>
      <c r="F42" s="30"/>
      <c r="G42" s="33"/>
      <c r="H42" s="30"/>
      <c r="I42" s="30"/>
      <c r="J42" s="31"/>
      <c r="K42" s="34" t="str">
        <f aca="true">IF(B42="","",IF(J42&lt;&gt;"",J42-B42,TODAY()-B42))</f>
        <v/>
      </c>
      <c r="L42" s="32"/>
      <c r="M42" s="30"/>
      <c r="N42" s="30"/>
      <c r="O42" s="31"/>
    </row>
    <row r="43" customFormat="false" ht="15" hidden="false" customHeight="false" outlineLevel="0" collapsed="false">
      <c r="A43" s="30"/>
      <c r="B43" s="31"/>
      <c r="C43" s="32"/>
      <c r="D43" s="32"/>
      <c r="E43" s="30"/>
      <c r="F43" s="30"/>
      <c r="G43" s="33"/>
      <c r="H43" s="30"/>
      <c r="I43" s="30"/>
      <c r="J43" s="31"/>
      <c r="K43" s="34" t="str">
        <f aca="true">IF(B43="","",IF(J43&lt;&gt;"",J43-B43,TODAY()-B43))</f>
        <v/>
      </c>
      <c r="L43" s="32"/>
      <c r="M43" s="30"/>
      <c r="N43" s="30"/>
      <c r="O43" s="31"/>
    </row>
    <row r="44" customFormat="false" ht="15" hidden="false" customHeight="false" outlineLevel="0" collapsed="false">
      <c r="A44" s="30"/>
      <c r="B44" s="31"/>
      <c r="C44" s="32"/>
      <c r="D44" s="32"/>
      <c r="E44" s="30"/>
      <c r="F44" s="30"/>
      <c r="G44" s="33"/>
      <c r="H44" s="30"/>
      <c r="I44" s="30"/>
      <c r="J44" s="31"/>
      <c r="K44" s="34" t="str">
        <f aca="true">IF(B44="","",IF(J44&lt;&gt;"",J44-B44,TODAY()-B44))</f>
        <v/>
      </c>
      <c r="L44" s="32"/>
      <c r="M44" s="30"/>
      <c r="N44" s="30"/>
      <c r="O44" s="31"/>
    </row>
    <row r="45" customFormat="false" ht="15" hidden="false" customHeight="false" outlineLevel="0" collapsed="false">
      <c r="A45" s="30"/>
      <c r="B45" s="31"/>
      <c r="C45" s="32"/>
      <c r="D45" s="32"/>
      <c r="E45" s="30"/>
      <c r="F45" s="30"/>
      <c r="G45" s="33"/>
      <c r="H45" s="30"/>
      <c r="I45" s="30"/>
      <c r="J45" s="31"/>
      <c r="K45" s="34" t="str">
        <f aca="true">IF(B45="","",IF(J45&lt;&gt;"",J45-B45,TODAY()-B45))</f>
        <v/>
      </c>
      <c r="L45" s="32"/>
      <c r="M45" s="30"/>
      <c r="N45" s="30"/>
      <c r="O45" s="31"/>
    </row>
    <row r="46" customFormat="false" ht="15" hidden="false" customHeight="false" outlineLevel="0" collapsed="false">
      <c r="A46" s="30"/>
      <c r="B46" s="31"/>
      <c r="C46" s="32"/>
      <c r="D46" s="32"/>
      <c r="E46" s="30"/>
      <c r="F46" s="30"/>
      <c r="G46" s="33"/>
      <c r="H46" s="30"/>
      <c r="I46" s="30"/>
      <c r="J46" s="31"/>
      <c r="K46" s="34" t="str">
        <f aca="true">IF(B46="","",IF(J46&lt;&gt;"",J46-B46,TODAY()-B46))</f>
        <v/>
      </c>
      <c r="L46" s="32"/>
      <c r="M46" s="30"/>
      <c r="N46" s="30"/>
      <c r="O46" s="31"/>
    </row>
    <row r="47" customFormat="false" ht="15" hidden="false" customHeight="false" outlineLevel="0" collapsed="false">
      <c r="A47" s="30"/>
      <c r="B47" s="31"/>
      <c r="C47" s="32"/>
      <c r="D47" s="32"/>
      <c r="E47" s="30"/>
      <c r="F47" s="30"/>
      <c r="G47" s="33"/>
      <c r="H47" s="30"/>
      <c r="I47" s="30"/>
      <c r="J47" s="31"/>
      <c r="K47" s="34" t="str">
        <f aca="true">IF(B47="","",IF(J47&lt;&gt;"",J47-B47,TODAY()-B47))</f>
        <v/>
      </c>
      <c r="L47" s="32"/>
      <c r="M47" s="30"/>
      <c r="N47" s="30"/>
      <c r="O47" s="31"/>
    </row>
    <row r="48" customFormat="false" ht="15" hidden="false" customHeight="false" outlineLevel="0" collapsed="false">
      <c r="A48" s="30"/>
      <c r="B48" s="31"/>
      <c r="C48" s="32"/>
      <c r="D48" s="32"/>
      <c r="E48" s="30"/>
      <c r="F48" s="30"/>
      <c r="G48" s="33"/>
      <c r="H48" s="30"/>
      <c r="I48" s="30"/>
      <c r="J48" s="31"/>
      <c r="K48" s="34" t="str">
        <f aca="true">IF(B48="","",IF(J48&lt;&gt;"",J48-B48,TODAY()-B48))</f>
        <v/>
      </c>
      <c r="L48" s="32"/>
      <c r="M48" s="30"/>
      <c r="N48" s="30"/>
      <c r="O48" s="31"/>
    </row>
    <row r="49" customFormat="false" ht="15" hidden="false" customHeight="false" outlineLevel="0" collapsed="false">
      <c r="A49" s="30"/>
      <c r="B49" s="31"/>
      <c r="C49" s="32"/>
      <c r="D49" s="32"/>
      <c r="E49" s="30"/>
      <c r="F49" s="30"/>
      <c r="G49" s="33"/>
      <c r="H49" s="30"/>
      <c r="I49" s="30"/>
      <c r="J49" s="31"/>
      <c r="K49" s="34" t="str">
        <f aca="true">IF(B49="","",IF(J49&lt;&gt;"",J49-B49,TODAY()-B49))</f>
        <v/>
      </c>
      <c r="L49" s="32"/>
      <c r="M49" s="30"/>
      <c r="N49" s="30"/>
      <c r="O49" s="31"/>
    </row>
    <row r="50" customFormat="false" ht="15" hidden="false" customHeight="false" outlineLevel="0" collapsed="false">
      <c r="A50" s="30"/>
      <c r="B50" s="31"/>
      <c r="C50" s="32"/>
      <c r="D50" s="32"/>
      <c r="E50" s="30"/>
      <c r="F50" s="30"/>
      <c r="G50" s="33"/>
      <c r="H50" s="30"/>
      <c r="I50" s="30"/>
      <c r="J50" s="31"/>
      <c r="K50" s="34" t="str">
        <f aca="true">IF(B50="","",IF(J50&lt;&gt;"",J50-B50,TODAY()-B50))</f>
        <v/>
      </c>
      <c r="L50" s="32"/>
      <c r="M50" s="30"/>
      <c r="N50" s="30"/>
      <c r="O50" s="31"/>
    </row>
    <row r="51" customFormat="false" ht="15" hidden="false" customHeight="false" outlineLevel="0" collapsed="false">
      <c r="A51" s="30"/>
      <c r="B51" s="31"/>
      <c r="C51" s="32"/>
      <c r="D51" s="32"/>
      <c r="E51" s="30"/>
      <c r="F51" s="30"/>
      <c r="G51" s="33"/>
      <c r="H51" s="30"/>
      <c r="I51" s="30"/>
      <c r="J51" s="31"/>
      <c r="K51" s="34" t="str">
        <f aca="true">IF(B51="","",IF(J51&lt;&gt;"",J51-B51,TODAY()-B51))</f>
        <v/>
      </c>
      <c r="L51" s="32"/>
      <c r="M51" s="30"/>
      <c r="N51" s="30"/>
      <c r="O51" s="31"/>
    </row>
    <row r="52" customFormat="false" ht="15" hidden="false" customHeight="false" outlineLevel="0" collapsed="false">
      <c r="A52" s="30"/>
      <c r="B52" s="31"/>
      <c r="C52" s="32"/>
      <c r="D52" s="32"/>
      <c r="E52" s="30"/>
      <c r="F52" s="30"/>
      <c r="G52" s="33"/>
      <c r="H52" s="30"/>
      <c r="I52" s="30"/>
      <c r="J52" s="31"/>
      <c r="K52" s="34" t="str">
        <f aca="true">IF(B52="","",IF(J52&lt;&gt;"",J52-B52,TODAY()-B52))</f>
        <v/>
      </c>
      <c r="L52" s="32"/>
      <c r="M52" s="30"/>
      <c r="N52" s="30"/>
      <c r="O52" s="31"/>
    </row>
    <row r="53" customFormat="false" ht="15" hidden="false" customHeight="false" outlineLevel="0" collapsed="false">
      <c r="A53" s="30"/>
      <c r="B53" s="31"/>
      <c r="C53" s="32"/>
      <c r="D53" s="32"/>
      <c r="E53" s="30"/>
      <c r="F53" s="30"/>
      <c r="G53" s="33"/>
      <c r="H53" s="30"/>
      <c r="I53" s="30"/>
      <c r="J53" s="31"/>
      <c r="K53" s="34" t="str">
        <f aca="true">IF(B53="","",IF(J53&lt;&gt;"",J53-B53,TODAY()-B53))</f>
        <v/>
      </c>
      <c r="L53" s="32"/>
      <c r="M53" s="30"/>
      <c r="N53" s="30"/>
      <c r="O53" s="31"/>
    </row>
    <row r="54" customFormat="false" ht="15" hidden="false" customHeight="false" outlineLevel="0" collapsed="false">
      <c r="A54" s="30"/>
      <c r="B54" s="31"/>
      <c r="C54" s="32"/>
      <c r="D54" s="32"/>
      <c r="E54" s="30"/>
      <c r="F54" s="30"/>
      <c r="G54" s="33"/>
      <c r="H54" s="30"/>
      <c r="I54" s="30"/>
      <c r="J54" s="31"/>
      <c r="K54" s="34" t="str">
        <f aca="true">IF(B54="","",IF(J54&lt;&gt;"",J54-B54,TODAY()-B54))</f>
        <v/>
      </c>
      <c r="L54" s="32"/>
      <c r="M54" s="30"/>
      <c r="N54" s="30"/>
      <c r="O54" s="31"/>
    </row>
    <row r="55" customFormat="false" ht="15" hidden="false" customHeight="false" outlineLevel="0" collapsed="false">
      <c r="A55" s="30"/>
      <c r="B55" s="31"/>
      <c r="C55" s="32"/>
      <c r="D55" s="32"/>
      <c r="E55" s="30"/>
      <c r="F55" s="30"/>
      <c r="G55" s="33"/>
      <c r="H55" s="30"/>
      <c r="I55" s="30"/>
      <c r="J55" s="31"/>
      <c r="K55" s="34" t="str">
        <f aca="true">IF(B55="","",IF(J55&lt;&gt;"",J55-B55,TODAY()-B55))</f>
        <v/>
      </c>
      <c r="L55" s="32"/>
      <c r="M55" s="30"/>
      <c r="N55" s="30"/>
      <c r="O55" s="31"/>
    </row>
    <row r="56" customFormat="false" ht="15" hidden="false" customHeight="false" outlineLevel="0" collapsed="false">
      <c r="A56" s="30"/>
      <c r="B56" s="31"/>
      <c r="C56" s="32"/>
      <c r="D56" s="32"/>
      <c r="E56" s="30"/>
      <c r="F56" s="30"/>
      <c r="G56" s="33"/>
      <c r="H56" s="30"/>
      <c r="I56" s="30"/>
      <c r="J56" s="31"/>
      <c r="K56" s="34" t="str">
        <f aca="true">IF(B56="","",IF(J56&lt;&gt;"",J56-B56,TODAY()-B56))</f>
        <v/>
      </c>
      <c r="L56" s="32"/>
      <c r="M56" s="30"/>
      <c r="N56" s="30"/>
      <c r="O56" s="31"/>
    </row>
    <row r="57" customFormat="false" ht="15" hidden="false" customHeight="false" outlineLevel="0" collapsed="false">
      <c r="A57" s="30"/>
      <c r="B57" s="31"/>
      <c r="C57" s="32"/>
      <c r="D57" s="32"/>
      <c r="E57" s="30"/>
      <c r="F57" s="30"/>
      <c r="G57" s="33"/>
      <c r="H57" s="30"/>
      <c r="I57" s="30"/>
      <c r="J57" s="31"/>
      <c r="K57" s="34" t="str">
        <f aca="true">IF(B57="","",IF(J57&lt;&gt;"",J57-B57,TODAY()-B57))</f>
        <v/>
      </c>
      <c r="L57" s="32"/>
      <c r="M57" s="30"/>
      <c r="N57" s="30"/>
      <c r="O57" s="31"/>
    </row>
    <row r="58" customFormat="false" ht="15" hidden="false" customHeight="false" outlineLevel="0" collapsed="false">
      <c r="A58" s="30"/>
      <c r="B58" s="31"/>
      <c r="C58" s="32"/>
      <c r="D58" s="32"/>
      <c r="E58" s="30"/>
      <c r="F58" s="30"/>
      <c r="G58" s="33"/>
      <c r="H58" s="30"/>
      <c r="I58" s="30"/>
      <c r="J58" s="31"/>
      <c r="K58" s="34" t="str">
        <f aca="true">IF(B58="","",IF(J58&lt;&gt;"",J58-B58,TODAY()-B58))</f>
        <v/>
      </c>
      <c r="L58" s="32"/>
      <c r="M58" s="30"/>
      <c r="N58" s="30"/>
      <c r="O58" s="31"/>
    </row>
    <row r="59" customFormat="false" ht="15" hidden="false" customHeight="false" outlineLevel="0" collapsed="false">
      <c r="A59" s="30"/>
      <c r="B59" s="31"/>
      <c r="C59" s="32"/>
      <c r="D59" s="32"/>
      <c r="E59" s="30"/>
      <c r="F59" s="30"/>
      <c r="G59" s="33"/>
      <c r="H59" s="30"/>
      <c r="I59" s="30"/>
      <c r="J59" s="31"/>
      <c r="K59" s="34" t="str">
        <f aca="true">IF(B59="","",IF(J59&lt;&gt;"",J59-B59,TODAY()-B59))</f>
        <v/>
      </c>
      <c r="L59" s="32"/>
      <c r="M59" s="30"/>
      <c r="N59" s="30"/>
      <c r="O59" s="31"/>
    </row>
  </sheetData>
  <autoFilter ref="A8:O59"/>
  <mergeCells count="3">
    <mergeCell ref="A1:L1"/>
    <mergeCell ref="A5:L5"/>
    <mergeCell ref="M7:O7"/>
  </mergeCells>
  <conditionalFormatting sqref="I9:I59">
    <cfRule type="cellIs" priority="2" operator="equal" aboveAverage="0" equalAverage="0" bottom="0" percent="0" rank="0" text="" dxfId="9">
      <formula>"Complete"</formula>
    </cfRule>
    <cfRule type="cellIs" priority="3" operator="equal" aboveAverage="0" equalAverage="0" bottom="0" percent="0" rank="0" text="" dxfId="9">
      <formula>"Verified"</formula>
    </cfRule>
    <cfRule type="cellIs" priority="4" operator="equal" aboveAverage="0" equalAverage="0" bottom="0" percent="0" rank="0" text="" dxfId="10">
      <formula>"In Progress"</formula>
    </cfRule>
    <cfRule type="cellIs" priority="5" operator="equal" aboveAverage="0" equalAverage="0" bottom="0" percent="0" rank="0" text="" dxfId="11">
      <formula>"Open"</formula>
    </cfRule>
  </conditionalFormatting>
  <conditionalFormatting sqref="K9:K59">
    <cfRule type="expression" priority="6" aboveAverage="0" equalAverage="0" bottom="0" percent="0" rank="0" text="" dxfId="11">
      <formula>AND(K9&lt;&gt;"",OR(I9="Open",I9="In Progress"),K9&gt;14)</formula>
    </cfRule>
    <cfRule type="expression" priority="7" aboveAverage="0" equalAverage="0" bottom="0" percent="0" rank="0" text="" dxfId="12">
      <formula>AND(K9&lt;&gt;"",OR(I9="Open",I9="In Progress"),K9&gt;7,K9&lt;=14)</formula>
    </cfRule>
  </conditionalFormatting>
  <dataValidations count="2">
    <dataValidation allowBlank="true" errorStyle="stop" operator="between" showDropDown="false" showErrorMessage="false" showInputMessage="false" sqref="E9:E59" type="list">
      <formula1>"Workmanship,Design Error,Material Defect,Damage,Incorrect Setting Out,Specification Change,Other"</formula1>
      <formula2>0</formula2>
    </dataValidation>
    <dataValidation allowBlank="true" errorStyle="stop" operator="between" showDropDown="false" showErrorMessage="false" showInputMessage="false" sqref="I9:I59" type="list">
      <formula1>"Open,In Progress,Complete,Verified"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&amp;CRework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90</v>
      </c>
    </row>
    <row r="2" customFormat="false" ht="15" hidden="false" customHeight="false" outlineLevel="0" collapsed="false">
      <c r="A2" s="35"/>
    </row>
    <row r="3" customFormat="false" ht="15" hidden="false" customHeight="false" outlineLevel="0" collapsed="false">
      <c r="A3" s="35" t="s">
        <v>91</v>
      </c>
    </row>
    <row r="4" customFormat="false" ht="15" hidden="false" customHeight="false" outlineLevel="0" collapsed="false">
      <c r="A4" s="35"/>
    </row>
    <row r="5" customFormat="false" ht="15" hidden="false" customHeight="false" outlineLevel="0" collapsed="false">
      <c r="A5" s="35" t="s">
        <v>92</v>
      </c>
    </row>
    <row r="6" customFormat="false" ht="15" hidden="false" customHeight="false" outlineLevel="0" collapsed="false">
      <c r="A6" s="35"/>
    </row>
    <row r="7" customFormat="false" ht="15" hidden="false" customHeight="false" outlineLevel="0" collapsed="false">
      <c r="A7" s="35" t="s">
        <v>93</v>
      </c>
    </row>
    <row r="8" customFormat="false" ht="15" hidden="false" customHeight="false" outlineLevel="0" collapsed="false">
      <c r="A8" s="35"/>
    </row>
    <row r="9" customFormat="false" ht="15" hidden="false" customHeight="false" outlineLevel="0" collapsed="false">
      <c r="A9" s="35" t="s">
        <v>94</v>
      </c>
    </row>
    <row r="10" customFormat="false" ht="15" hidden="false" customHeight="false" outlineLevel="0" collapsed="false">
      <c r="A10" s="35"/>
    </row>
    <row r="11" customFormat="false" ht="15" hidden="false" customHeight="false" outlineLevel="0" collapsed="false">
      <c r="A11" s="35" t="s">
        <v>95</v>
      </c>
    </row>
    <row r="12" customFormat="false" ht="15" hidden="false" customHeight="false" outlineLevel="0" collapsed="false">
      <c r="A12" s="35"/>
    </row>
    <row r="13" customFormat="false" ht="15" hidden="false" customHeight="false" outlineLevel="0" collapsed="false">
      <c r="A13" s="35" t="s">
        <v>96</v>
      </c>
    </row>
    <row r="14" customFormat="false" ht="15" hidden="false" customHeight="false" outlineLevel="0" collapsed="false">
      <c r="A14" s="35"/>
    </row>
    <row r="15" customFormat="false" ht="15" hidden="false" customHeight="false" outlineLevel="0" collapsed="false">
      <c r="A15" s="35" t="s">
        <v>97</v>
      </c>
    </row>
    <row r="16" customFormat="false" ht="15" hidden="false" customHeight="false" outlineLevel="0" collapsed="false">
      <c r="A16" s="35"/>
    </row>
    <row r="17" customFormat="false" ht="15" hidden="false" customHeight="false" outlineLevel="0" collapsed="false">
      <c r="A17" s="35"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2026-03-23T10:08:15Z</dcterms:created>
  <dc:creator>Ebrora Ltd</dc:creator>
  <dc:description>Track rework items with root cause analysis, cost impact, schedule delay, and resolution status to drive quality improvement.
Free professional construction management template from Ebrora Ltd. Visit ebrora.com for our full range of tools and templates.</dc:description>
  <cp:keywords>Ebrora construction quality rework defect NCR cost root cause</cp:keywords>
  <dc:language>en-US</dc:language>
  <cp:lastModifiedBy>Ebrora Ltd</cp:lastModifiedBy>
  <dcterms:modified xsi:type="dcterms:W3CDTF">2026-03-23T10:08:15Z</dcterms:modified>
  <cp:revision>0</cp:revision>
  <dc:subject>Track rework items with root cause analysis, cost impact, schedule delay, and resolution status.</dc:subject>
  <dc:title>Rework Register</dc:title>
</cp:coreProperties>
</file>

<file path=docProps/custom.xml><?xml version="1.0" encoding="utf-8"?>
<Properties xmlns="http://schemas.openxmlformats.org/officeDocument/2006/custom-properties" xmlns:vt="http://schemas.openxmlformats.org/officeDocument/2006/docPropsVTypes"/>
</file>