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Topsoil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'Topsoil Log'!$A$1:$L$38</definedName>
    <definedName function="false" hidden="true" localSheetId="2" name="_xlnm._FilterDatabase" vbProcedure="false">'Topsoil Log'!$A$7:$O$38</definedName>
    <definedName function="false" hidden="false" name="DataTable" vbProcedure="false">'Topsoil Log'!$A$7:$O$38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<sst xmlns="http://schemas.openxmlformats.org/spreadsheetml/2006/main" count="102" uniqueCount="94">
  <si>
    <t xml:space="preserve">EBRORA</t>
  </si>
  <si>
    <t xml:space="preserve">ebrora.com</t>
  </si>
  <si>
    <t xml:space="preserve">Topsoil Stripping
&amp; Storage Log</t>
  </si>
  <si>
    <t xml:space="preserve">Track topsoil stripping volumes, storage locations, quality grading, and re-use allocation for site restoration and landscaping.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</si>
  <si>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</si>
  <si>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</si>
  <si>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</si>
  <si>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</si>
  <si>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'Topsoil Log' sheet. The balance panel shows total stripped vs allocated volumes.</t>
  </si>
  <si>
    <t xml:space="preserve">2. Enter each strip area with its reference, date, strip area (m²), and average topsoil depth (m).</t>
  </si>
  <si>
    <t xml:space="preserve">3. Volume Stripped auto-calculates (area × depth). Record the storage location (stockpile reference).</t>
  </si>
  <si>
    <t xml:space="preserve">4. Grade the topsoil quality (A=good/B=acceptable/C=poor) — this determines re-use suitability.</t>
  </si>
  <si>
    <t xml:space="preserve">5. When topsoil is allocated for re-use (landscaping, verges, etc.), enter the allocated volume and destination.</t>
  </si>
  <si>
    <t xml:space="preserve">6. The Balance column shows unallocated stock per entry. The summary shows total surplus/deficit.</t>
  </si>
  <si>
    <t xml:space="preserve">7. Expand optional columns [+] for contamination screening results, seed mix, and amelioration notes.</t>
  </si>
  <si>
    <t xml:space="preserve">8. Update this log whenever topsoil is stripped, moved between stockpiles, or spread for landscaping.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</si>
  <si>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</si>
  <si>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</si>
  <si>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</si>
  <si>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</si>
  <si>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</si>
  <si>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</si>
  <si>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Grade A topsoil / surplus available</t>
  </si>
  <si>
    <t xml:space="preserve">Amber</t>
  </si>
  <si>
    <t xml:space="preserve">Grade B / partially allocated</t>
  </si>
  <si>
    <t xml:space="preserve">Red</t>
  </si>
  <si>
    <t xml:space="preserve">Grade C (poor) / deficit</t>
  </si>
  <si>
    <t xml:space="preserve">Tips</t>
  </si>
  <si>
    <t xml:space="preserve">• Store topsoil in mounds no higher than 2m to preserve soil biology and prevent anaerobic conditions.</t>
  </si>
  <si>
    <t xml:space="preserve">• Keep subsoil and topsoil stockpiles separate and clearly labelled — mixing them degrades both.</t>
  </si>
  <si>
    <t xml:space="preserve">• Grade A topsoil should be reserved for areas visible to the public (landscaping, front verges).</t>
  </si>
  <si>
    <t xml:space="preserve">TOPSOIL STRIPPING &amp; STORAGE LOG</t>
  </si>
  <si>
    <t xml:space="preserve">Total Stripped (m³)</t>
  </si>
  <si>
    <t xml:space="preserve">Total Allocated (m³)</t>
  </si>
  <si>
    <t xml:space="preserve">Surplus (m³)</t>
  </si>
  <si>
    <t xml:space="preserve">Grade A (m³)</t>
  </si>
  <si>
    <t xml:space="preserve">Grade B (m³)</t>
  </si>
  <si>
    <t xml:space="preserve">Entries</t>
  </si>
  <si>
    <t xml:space="preserve">▸ Optional Fields — Click [+] to expand</t>
  </si>
  <si>
    <t xml:space="preserve">Ref</t>
  </si>
  <si>
    <t xml:space="preserve">Date
Stripped</t>
  </si>
  <si>
    <t xml:space="preserve">Strip Area / Zone</t>
  </si>
  <si>
    <t xml:space="preserve">Area
(m²)</t>
  </si>
  <si>
    <t xml:space="preserve">Avg Depth
(m)</t>
  </si>
  <si>
    <t xml:space="preserve">Vol Stripped
(m³)</t>
  </si>
  <si>
    <t xml:space="preserve">Storage
Location</t>
  </si>
  <si>
    <t xml:space="preserve">Quality
Grade</t>
  </si>
  <si>
    <t xml:space="preserve">Allocated
Vol (m³)</t>
  </si>
  <si>
    <t xml:space="preserve">Allocated To</t>
  </si>
  <si>
    <t xml:space="preserve">Balance
(m³)</t>
  </si>
  <si>
    <t xml:space="preserve">Notes</t>
  </si>
  <si>
    <t xml:space="preserve">Contamination
Screen</t>
  </si>
  <si>
    <t xml:space="preserve">Seed Mix</t>
  </si>
  <si>
    <t xml:space="preserve">Amelioration</t>
  </si>
  <si>
    <t xml:space="preserve">TS-001</t>
  </si>
  <si>
    <t xml:space="preserve">Main Building Footprint</t>
  </si>
  <si>
    <t xml:space="preserve">Stockpile A (NW corner)</t>
  </si>
  <si>
    <t xml:space="preserve">A</t>
  </si>
  <si>
    <t xml:space="preserve">Front Landscaping</t>
  </si>
  <si>
    <t xml:space="preserve">Good quality — dark brown, well-structured</t>
  </si>
  <si>
    <t xml:space="preserve">Clear</t>
  </si>
  <si>
    <t xml:space="preserve">Wildflower mix</t>
  </si>
  <si>
    <t xml:space="preserve">None required</t>
  </si>
  <si>
    <t xml:space="preserve">TS-002</t>
  </si>
  <si>
    <t xml:space="preserve">Access Road Corridor</t>
  </si>
  <si>
    <t xml:space="preserve">Combined with TS-001 stockpile</t>
  </si>
  <si>
    <t xml:space="preserve">TS-003</t>
  </si>
  <si>
    <t xml:space="preserve">Car Park Area</t>
  </si>
  <si>
    <t xml:space="preserve">Stockpile B (South)</t>
  </si>
  <si>
    <t xml:space="preserve">B</t>
  </si>
  <si>
    <t xml:space="preserve">Rear embankment seeding</t>
  </si>
  <si>
    <t xml:space="preserve">Some clay content — acceptable for slopes</t>
  </si>
  <si>
    <t xml:space="preserve">Grass seed</t>
  </si>
  <si>
    <t xml:space="preserve">Lime amendment 2t/ha</t>
  </si>
  <si>
    <t xml:space="preserve">TS-004</t>
  </si>
  <si>
    <t xml:space="preserve">Service Yard</t>
  </si>
  <si>
    <t xml:space="preserve">C</t>
  </si>
  <si>
    <t xml:space="preserve">Poor quality — rubble inclusions, possible contamination</t>
  </si>
  <si>
    <t xml:space="preserve">Suspect</t>
  </si>
  <si>
    <t xml:space="preserve">Requires screening</t>
  </si>
  <si>
    <t xml:space="preserve">TS-005</t>
  </si>
  <si>
    <t xml:space="preserve">Attenuation Basin</t>
  </si>
  <si>
    <t xml:space="preserve">Attenuation basin surrounds</t>
  </si>
  <si>
    <t xml:space="preserve">Excellent quality — deep profile</t>
  </si>
  <si>
    <t xml:space="preserve">Native species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</si>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</sst>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dd/mm/yyyy"/>
    <numFmt numFmtId="168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Calibri"/>
        <charset val="1"/>
        <family val="0"/>
        <b val="1"/>
        <color rgb="FF006100"/>
        <sz val="16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true" outlineLevel="1" max="15" min="13" style="0" width="16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  <c r="O1" s="19"/>
    </row>
    <row r="2" customFormat="false" ht="6" hidden="false" customHeight="true" outlineLevel="0" collapsed="false"/>
    <row r="3" customFormat="false" ht="35.0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  <c r="K3" s="20" t="s">
        <v>37</v>
      </c>
    </row>
    <row r="4" customFormat="false" ht="20.85" hidden="false" customHeight="false" outlineLevel="0" collapsed="false">
      <c r="A4" s="21" t="n">
        <f aca="false">SUM(F8:F38)</f>
        <v>1409</v>
      </c>
      <c r="C4" s="21" t="n">
        <f aca="false">SUM(I8:I38)</f>
        <v>812</v>
      </c>
      <c r="E4" s="21" t="n">
        <f aca="false">A4-C4</f>
        <v>597</v>
      </c>
      <c r="G4" s="21" t="n">
        <f aca="false">SUMPRODUCT((H8:H38="A")*F8:F38)</f>
        <v>1142.5</v>
      </c>
      <c r="I4" s="21" t="n">
        <f aca="false">SUMPRODUCT((H8:H38="B")*F8:F38)</f>
        <v>190</v>
      </c>
      <c r="K4" s="22" t="n">
        <f aca="false">COUNTA(A8:A38)</f>
        <v>5</v>
      </c>
    </row>
    <row r="5" customFormat="false" ht="15" hidden="false" customHeight="false" outlineLevel="0" collapsed="false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customFormat="false" ht="3.75" hidden="false" customHeight="true" outlineLevel="0" collapsed="false">
      <c r="M6" s="24" t="s">
        <v>38</v>
      </c>
      <c r="N6" s="24"/>
      <c r="O6" s="24"/>
    </row>
    <row r="7" customFormat="false" ht="37.5" hidden="false" customHeight="true" outlineLevel="0" collapsed="false">
      <c r="A7" s="25" t="s">
        <v>39</v>
      </c>
      <c r="B7" s="25" t="s">
        <v>40</v>
      </c>
      <c r="C7" s="25" t="s">
        <v>41</v>
      </c>
      <c r="D7" s="25" t="s">
        <v>42</v>
      </c>
      <c r="E7" s="25" t="s">
        <v>43</v>
      </c>
      <c r="F7" s="25" t="s">
        <v>44</v>
      </c>
      <c r="G7" s="25" t="s">
        <v>45</v>
      </c>
      <c r="H7" s="25" t="s">
        <v>46</v>
      </c>
      <c r="I7" s="25" t="s">
        <v>47</v>
      </c>
      <c r="J7" s="25" t="s">
        <v>48</v>
      </c>
      <c r="K7" s="25" t="s">
        <v>49</v>
      </c>
      <c r="L7" s="25" t="s">
        <v>50</v>
      </c>
      <c r="M7" s="25" t="s">
        <v>51</v>
      </c>
      <c r="N7" s="25" t="s">
        <v>52</v>
      </c>
      <c r="O7" s="25" t="s">
        <v>53</v>
      </c>
    </row>
    <row r="8" customFormat="false" ht="23.85" hidden="false" customHeight="false" outlineLevel="0" collapsed="false">
      <c r="A8" s="26" t="s">
        <v>54</v>
      </c>
      <c r="B8" s="27" t="n">
        <v>46042</v>
      </c>
      <c r="C8" s="28" t="s">
        <v>55</v>
      </c>
      <c r="D8" s="26" t="n">
        <v>2400</v>
      </c>
      <c r="E8" s="29" t="n">
        <v>0.3</v>
      </c>
      <c r="F8" s="30" t="n">
        <f aca="false">IFERROR(D8*E8,"")</f>
        <v>720</v>
      </c>
      <c r="G8" s="28" t="s">
        <v>56</v>
      </c>
      <c r="H8" s="26" t="s">
        <v>57</v>
      </c>
      <c r="I8" s="26" t="n">
        <v>500</v>
      </c>
      <c r="J8" s="28" t="s">
        <v>58</v>
      </c>
      <c r="K8" s="30" t="n">
        <f aca="false">IFERROR(F8-I8,"")</f>
        <v>220</v>
      </c>
      <c r="L8" s="28" t="s">
        <v>59</v>
      </c>
      <c r="M8" s="26" t="s">
        <v>60</v>
      </c>
      <c r="N8" s="26" t="s">
        <v>61</v>
      </c>
      <c r="O8" s="28" t="s">
        <v>62</v>
      </c>
    </row>
    <row r="9" customFormat="false" ht="23.85" hidden="false" customHeight="false" outlineLevel="0" collapsed="false">
      <c r="A9" s="26" t="s">
        <v>63</v>
      </c>
      <c r="B9" s="27" t="n">
        <v>46044</v>
      </c>
      <c r="C9" s="28" t="s">
        <v>64</v>
      </c>
      <c r="D9" s="26" t="n">
        <v>1200</v>
      </c>
      <c r="E9" s="29" t="n">
        <v>0.25</v>
      </c>
      <c r="F9" s="30" t="n">
        <f aca="false">IFERROR(D9*E9,"")</f>
        <v>300</v>
      </c>
      <c r="G9" s="28" t="s">
        <v>56</v>
      </c>
      <c r="H9" s="26" t="s">
        <v>57</v>
      </c>
      <c r="I9" s="26" t="n">
        <v>0</v>
      </c>
      <c r="J9" s="28"/>
      <c r="K9" s="30" t="n">
        <f aca="false">IFERROR(F9-I9,"")</f>
        <v>300</v>
      </c>
      <c r="L9" s="28" t="s">
        <v>65</v>
      </c>
      <c r="M9" s="26" t="s">
        <v>60</v>
      </c>
      <c r="N9" s="26"/>
      <c r="O9" s="28"/>
    </row>
    <row r="10" customFormat="false" ht="23.85" hidden="false" customHeight="false" outlineLevel="0" collapsed="false">
      <c r="A10" s="26" t="s">
        <v>66</v>
      </c>
      <c r="B10" s="27" t="n">
        <v>46047</v>
      </c>
      <c r="C10" s="28" t="s">
        <v>67</v>
      </c>
      <c r="D10" s="26" t="n">
        <v>950</v>
      </c>
      <c r="E10" s="29" t="n">
        <v>0.2</v>
      </c>
      <c r="F10" s="30" t="n">
        <f aca="false">IFERROR(D10*E10,"")</f>
        <v>190</v>
      </c>
      <c r="G10" s="28" t="s">
        <v>68</v>
      </c>
      <c r="H10" s="26" t="s">
        <v>69</v>
      </c>
      <c r="I10" s="26" t="n">
        <v>190</v>
      </c>
      <c r="J10" s="28" t="s">
        <v>70</v>
      </c>
      <c r="K10" s="30" t="n">
        <f aca="false">IFERROR(F10-I10,"")</f>
        <v>0</v>
      </c>
      <c r="L10" s="28" t="s">
        <v>71</v>
      </c>
      <c r="M10" s="26" t="s">
        <v>60</v>
      </c>
      <c r="N10" s="26" t="s">
        <v>72</v>
      </c>
      <c r="O10" s="28" t="s">
        <v>73</v>
      </c>
    </row>
    <row r="11" customFormat="false" ht="23.85" hidden="false" customHeight="false" outlineLevel="0" collapsed="false">
      <c r="A11" s="26" t="s">
        <v>74</v>
      </c>
      <c r="B11" s="27" t="n">
        <v>46054</v>
      </c>
      <c r="C11" s="28" t="s">
        <v>75</v>
      </c>
      <c r="D11" s="26" t="n">
        <v>510</v>
      </c>
      <c r="E11" s="29" t="n">
        <v>0.15</v>
      </c>
      <c r="F11" s="30" t="n">
        <f aca="false">IFERROR(D11*E11,"")</f>
        <v>76.5</v>
      </c>
      <c r="G11" s="28" t="s">
        <v>68</v>
      </c>
      <c r="H11" s="26" t="s">
        <v>76</v>
      </c>
      <c r="I11" s="26" t="n">
        <v>0</v>
      </c>
      <c r="J11" s="28"/>
      <c r="K11" s="30" t="n">
        <f aca="false">IFERROR(F11-I11,"")</f>
        <v>76.5</v>
      </c>
      <c r="L11" s="28" t="s">
        <v>77</v>
      </c>
      <c r="M11" s="26" t="s">
        <v>78</v>
      </c>
      <c r="N11" s="26"/>
      <c r="O11" s="28" t="s">
        <v>79</v>
      </c>
    </row>
    <row r="12" customFormat="false" ht="23.85" hidden="false" customHeight="false" outlineLevel="0" collapsed="false">
      <c r="A12" s="26" t="s">
        <v>80</v>
      </c>
      <c r="B12" s="27" t="n">
        <v>46058</v>
      </c>
      <c r="C12" s="28" t="s">
        <v>81</v>
      </c>
      <c r="D12" s="26" t="n">
        <v>350</v>
      </c>
      <c r="E12" s="29" t="n">
        <v>0.35</v>
      </c>
      <c r="F12" s="30" t="n">
        <f aca="false">IFERROR(D12*E12,"")</f>
        <v>122.5</v>
      </c>
      <c r="G12" s="28" t="s">
        <v>56</v>
      </c>
      <c r="H12" s="26" t="s">
        <v>57</v>
      </c>
      <c r="I12" s="26" t="n">
        <v>122</v>
      </c>
      <c r="J12" s="28" t="s">
        <v>82</v>
      </c>
      <c r="K12" s="30" t="n">
        <f aca="false">IFERROR(F12-I12,"")</f>
        <v>0.499999999999986</v>
      </c>
      <c r="L12" s="28" t="s">
        <v>83</v>
      </c>
      <c r="M12" s="26" t="s">
        <v>60</v>
      </c>
      <c r="N12" s="26" t="s">
        <v>84</v>
      </c>
      <c r="O12" s="28"/>
    </row>
    <row r="13" customFormat="false" ht="15" hidden="false" customHeight="false" outlineLevel="0" collapsed="false">
      <c r="A13" s="26"/>
      <c r="B13" s="27"/>
      <c r="C13" s="28"/>
      <c r="D13" s="26"/>
      <c r="E13" s="29"/>
      <c r="F13" s="30" t="n">
        <f aca="false">IFERROR(D13*E13,"")</f>
        <v>0</v>
      </c>
      <c r="G13" s="28"/>
      <c r="H13" s="26"/>
      <c r="I13" s="26"/>
      <c r="J13" s="28"/>
      <c r="K13" s="30" t="n">
        <f aca="false">IFERROR(F13-I13,"")</f>
        <v>0</v>
      </c>
      <c r="L13" s="28"/>
      <c r="M13" s="26"/>
      <c r="N13" s="26"/>
      <c r="O13" s="28"/>
    </row>
    <row r="14" customFormat="false" ht="15" hidden="false" customHeight="false" outlineLevel="0" collapsed="false">
      <c r="A14" s="26"/>
      <c r="B14" s="27"/>
      <c r="C14" s="28"/>
      <c r="D14" s="26"/>
      <c r="E14" s="29"/>
      <c r="F14" s="30" t="n">
        <f aca="false">IFERROR(D14*E14,"")</f>
        <v>0</v>
      </c>
      <c r="G14" s="28"/>
      <c r="H14" s="26"/>
      <c r="I14" s="26"/>
      <c r="J14" s="28"/>
      <c r="K14" s="30" t="n">
        <f aca="false">IFERROR(F14-I14,"")</f>
        <v>0</v>
      </c>
      <c r="L14" s="28"/>
      <c r="M14" s="26"/>
      <c r="N14" s="26"/>
      <c r="O14" s="28"/>
    </row>
    <row r="15" customFormat="false" ht="15" hidden="false" customHeight="false" outlineLevel="0" collapsed="false">
      <c r="A15" s="26"/>
      <c r="B15" s="27"/>
      <c r="C15" s="28"/>
      <c r="D15" s="26"/>
      <c r="E15" s="29"/>
      <c r="F15" s="30" t="n">
        <f aca="false">IFERROR(D15*E15,"")</f>
        <v>0</v>
      </c>
      <c r="G15" s="28"/>
      <c r="H15" s="26"/>
      <c r="I15" s="26"/>
      <c r="J15" s="28"/>
      <c r="K15" s="30" t="n">
        <f aca="false">IFERROR(F15-I15,"")</f>
        <v>0</v>
      </c>
      <c r="L15" s="28"/>
      <c r="M15" s="26"/>
      <c r="N15" s="26"/>
      <c r="O15" s="28"/>
    </row>
    <row r="16" customFormat="false" ht="15" hidden="false" customHeight="false" outlineLevel="0" collapsed="false">
      <c r="A16" s="26"/>
      <c r="B16" s="27"/>
      <c r="C16" s="28"/>
      <c r="D16" s="26"/>
      <c r="E16" s="29"/>
      <c r="F16" s="30" t="n">
        <f aca="false">IFERROR(D16*E16,"")</f>
        <v>0</v>
      </c>
      <c r="G16" s="28"/>
      <c r="H16" s="26"/>
      <c r="I16" s="26"/>
      <c r="J16" s="28"/>
      <c r="K16" s="30" t="n">
        <f aca="false">IFERROR(F16-I16,"")</f>
        <v>0</v>
      </c>
      <c r="L16" s="28"/>
      <c r="M16" s="26"/>
      <c r="N16" s="26"/>
      <c r="O16" s="28"/>
    </row>
    <row r="17" customFormat="false" ht="15" hidden="false" customHeight="false" outlineLevel="0" collapsed="false">
      <c r="A17" s="26"/>
      <c r="B17" s="27"/>
      <c r="C17" s="28"/>
      <c r="D17" s="26"/>
      <c r="E17" s="29"/>
      <c r="F17" s="30" t="n">
        <f aca="false">IFERROR(D17*E17,"")</f>
        <v>0</v>
      </c>
      <c r="G17" s="28"/>
      <c r="H17" s="26"/>
      <c r="I17" s="26"/>
      <c r="J17" s="28"/>
      <c r="K17" s="30" t="n">
        <f aca="false">IFERROR(F17-I17,"")</f>
        <v>0</v>
      </c>
      <c r="L17" s="28"/>
      <c r="M17" s="26"/>
      <c r="N17" s="26"/>
      <c r="O17" s="28"/>
    </row>
    <row r="18" customFormat="false" ht="15" hidden="false" customHeight="false" outlineLevel="0" collapsed="false">
      <c r="A18" s="26"/>
      <c r="B18" s="27"/>
      <c r="C18" s="28"/>
      <c r="D18" s="26"/>
      <c r="E18" s="29"/>
      <c r="F18" s="30" t="n">
        <f aca="false">IFERROR(D18*E18,"")</f>
        <v>0</v>
      </c>
      <c r="G18" s="28"/>
      <c r="H18" s="26"/>
      <c r="I18" s="26"/>
      <c r="J18" s="28"/>
      <c r="K18" s="30" t="n">
        <f aca="false">IFERROR(F18-I18,"")</f>
        <v>0</v>
      </c>
      <c r="L18" s="28"/>
      <c r="M18" s="26"/>
      <c r="N18" s="26"/>
      <c r="O18" s="28"/>
    </row>
    <row r="19" customFormat="false" ht="15" hidden="false" customHeight="false" outlineLevel="0" collapsed="false">
      <c r="A19" s="26"/>
      <c r="B19" s="27"/>
      <c r="C19" s="28"/>
      <c r="D19" s="26"/>
      <c r="E19" s="29"/>
      <c r="F19" s="30" t="n">
        <f aca="false">IFERROR(D19*E19,"")</f>
        <v>0</v>
      </c>
      <c r="G19" s="28"/>
      <c r="H19" s="26"/>
      <c r="I19" s="26"/>
      <c r="J19" s="28"/>
      <c r="K19" s="30" t="n">
        <f aca="false">IFERROR(F19-I19,"")</f>
        <v>0</v>
      </c>
      <c r="L19" s="28"/>
      <c r="M19" s="26"/>
      <c r="N19" s="26"/>
      <c r="O19" s="28"/>
    </row>
    <row r="20" customFormat="false" ht="15" hidden="false" customHeight="false" outlineLevel="0" collapsed="false">
      <c r="A20" s="26"/>
      <c r="B20" s="27"/>
      <c r="C20" s="28"/>
      <c r="D20" s="26"/>
      <c r="E20" s="29"/>
      <c r="F20" s="30" t="n">
        <f aca="false">IFERROR(D20*E20,"")</f>
        <v>0</v>
      </c>
      <c r="G20" s="28"/>
      <c r="H20" s="26"/>
      <c r="I20" s="26"/>
      <c r="J20" s="28"/>
      <c r="K20" s="30" t="n">
        <f aca="false">IFERROR(F20-I20,"")</f>
        <v>0</v>
      </c>
      <c r="L20" s="28"/>
      <c r="M20" s="26"/>
      <c r="N20" s="26"/>
      <c r="O20" s="28"/>
    </row>
    <row r="21" customFormat="false" ht="15" hidden="false" customHeight="false" outlineLevel="0" collapsed="false">
      <c r="A21" s="26"/>
      <c r="B21" s="27"/>
      <c r="C21" s="28"/>
      <c r="D21" s="26"/>
      <c r="E21" s="29"/>
      <c r="F21" s="30" t="n">
        <f aca="false">IFERROR(D21*E21,"")</f>
        <v>0</v>
      </c>
      <c r="G21" s="28"/>
      <c r="H21" s="26"/>
      <c r="I21" s="26"/>
      <c r="J21" s="28"/>
      <c r="K21" s="30" t="n">
        <f aca="false">IFERROR(F21-I21,"")</f>
        <v>0</v>
      </c>
      <c r="L21" s="28"/>
      <c r="M21" s="26"/>
      <c r="N21" s="26"/>
      <c r="O21" s="28"/>
    </row>
    <row r="22" customFormat="false" ht="15" hidden="false" customHeight="false" outlineLevel="0" collapsed="false">
      <c r="A22" s="26"/>
      <c r="B22" s="27"/>
      <c r="C22" s="28"/>
      <c r="D22" s="26"/>
      <c r="E22" s="29"/>
      <c r="F22" s="30" t="n">
        <f aca="false">IFERROR(D22*E22,"")</f>
        <v>0</v>
      </c>
      <c r="G22" s="28"/>
      <c r="H22" s="26"/>
      <c r="I22" s="26"/>
      <c r="J22" s="28"/>
      <c r="K22" s="30" t="n">
        <f aca="false">IFERROR(F22-I22,"")</f>
        <v>0</v>
      </c>
      <c r="L22" s="28"/>
      <c r="M22" s="26"/>
      <c r="N22" s="26"/>
      <c r="O22" s="28"/>
    </row>
    <row r="23" customFormat="false" ht="15" hidden="false" customHeight="false" outlineLevel="0" collapsed="false">
      <c r="A23" s="26"/>
      <c r="B23" s="27"/>
      <c r="C23" s="28"/>
      <c r="D23" s="26"/>
      <c r="E23" s="29"/>
      <c r="F23" s="30" t="n">
        <f aca="false">IFERROR(D23*E23,"")</f>
        <v>0</v>
      </c>
      <c r="G23" s="28"/>
      <c r="H23" s="26"/>
      <c r="I23" s="26"/>
      <c r="J23" s="28"/>
      <c r="K23" s="30" t="n">
        <f aca="false">IFERROR(F23-I23,"")</f>
        <v>0</v>
      </c>
      <c r="L23" s="28"/>
      <c r="M23" s="26"/>
      <c r="N23" s="26"/>
      <c r="O23" s="28"/>
    </row>
    <row r="24" customFormat="false" ht="15" hidden="false" customHeight="false" outlineLevel="0" collapsed="false">
      <c r="A24" s="26"/>
      <c r="B24" s="27"/>
      <c r="C24" s="28"/>
      <c r="D24" s="26"/>
      <c r="E24" s="29"/>
      <c r="F24" s="30" t="n">
        <f aca="false">IFERROR(D24*E24,"")</f>
        <v>0</v>
      </c>
      <c r="G24" s="28"/>
      <c r="H24" s="26"/>
      <c r="I24" s="26"/>
      <c r="J24" s="28"/>
      <c r="K24" s="30" t="n">
        <f aca="false">IFERROR(F24-I24,"")</f>
        <v>0</v>
      </c>
      <c r="L24" s="28"/>
      <c r="M24" s="26"/>
      <c r="N24" s="26"/>
      <c r="O24" s="28"/>
    </row>
    <row r="25" customFormat="false" ht="15" hidden="false" customHeight="false" outlineLevel="0" collapsed="false">
      <c r="A25" s="26"/>
      <c r="B25" s="27"/>
      <c r="C25" s="28"/>
      <c r="D25" s="26"/>
      <c r="E25" s="29"/>
      <c r="F25" s="30" t="n">
        <f aca="false">IFERROR(D25*E25,"")</f>
        <v>0</v>
      </c>
      <c r="G25" s="28"/>
      <c r="H25" s="26"/>
      <c r="I25" s="26"/>
      <c r="J25" s="28"/>
      <c r="K25" s="30" t="n">
        <f aca="false">IFERROR(F25-I25,"")</f>
        <v>0</v>
      </c>
      <c r="L25" s="28"/>
      <c r="M25" s="26"/>
      <c r="N25" s="26"/>
      <c r="O25" s="28"/>
    </row>
    <row r="26" customFormat="false" ht="15" hidden="false" customHeight="false" outlineLevel="0" collapsed="false">
      <c r="A26" s="26"/>
      <c r="B26" s="27"/>
      <c r="C26" s="28"/>
      <c r="D26" s="26"/>
      <c r="E26" s="29"/>
      <c r="F26" s="30" t="n">
        <f aca="false">IFERROR(D26*E26,"")</f>
        <v>0</v>
      </c>
      <c r="G26" s="28"/>
      <c r="H26" s="26"/>
      <c r="I26" s="26"/>
      <c r="J26" s="28"/>
      <c r="K26" s="30" t="n">
        <f aca="false">IFERROR(F26-I26,"")</f>
        <v>0</v>
      </c>
      <c r="L26" s="28"/>
      <c r="M26" s="26"/>
      <c r="N26" s="26"/>
      <c r="O26" s="28"/>
    </row>
    <row r="27" customFormat="false" ht="15" hidden="false" customHeight="false" outlineLevel="0" collapsed="false">
      <c r="A27" s="26"/>
      <c r="B27" s="27"/>
      <c r="C27" s="28"/>
      <c r="D27" s="26"/>
      <c r="E27" s="29"/>
      <c r="F27" s="30" t="n">
        <f aca="false">IFERROR(D27*E27,"")</f>
        <v>0</v>
      </c>
      <c r="G27" s="28"/>
      <c r="H27" s="26"/>
      <c r="I27" s="26"/>
      <c r="J27" s="28"/>
      <c r="K27" s="30" t="n">
        <f aca="false">IFERROR(F27-I27,"")</f>
        <v>0</v>
      </c>
      <c r="L27" s="28"/>
      <c r="M27" s="26"/>
      <c r="N27" s="26"/>
      <c r="O27" s="28"/>
    </row>
    <row r="28" customFormat="false" ht="15" hidden="false" customHeight="false" outlineLevel="0" collapsed="false">
      <c r="A28" s="26"/>
      <c r="B28" s="27"/>
      <c r="C28" s="28"/>
      <c r="D28" s="26"/>
      <c r="E28" s="29"/>
      <c r="F28" s="30" t="n">
        <f aca="false">IFERROR(D28*E28,"")</f>
        <v>0</v>
      </c>
      <c r="G28" s="28"/>
      <c r="H28" s="26"/>
      <c r="I28" s="26"/>
      <c r="J28" s="28"/>
      <c r="K28" s="30" t="n">
        <f aca="false">IFERROR(F28-I28,"")</f>
        <v>0</v>
      </c>
      <c r="L28" s="28"/>
      <c r="M28" s="26"/>
      <c r="N28" s="26"/>
      <c r="O28" s="28"/>
    </row>
    <row r="29" customFormat="false" ht="15" hidden="false" customHeight="false" outlineLevel="0" collapsed="false">
      <c r="A29" s="26"/>
      <c r="B29" s="27"/>
      <c r="C29" s="28"/>
      <c r="D29" s="26"/>
      <c r="E29" s="29"/>
      <c r="F29" s="30" t="n">
        <f aca="false">IFERROR(D29*E29,"")</f>
        <v>0</v>
      </c>
      <c r="G29" s="28"/>
      <c r="H29" s="26"/>
      <c r="I29" s="26"/>
      <c r="J29" s="28"/>
      <c r="K29" s="30" t="n">
        <f aca="false">IFERROR(F29-I29,"")</f>
        <v>0</v>
      </c>
      <c r="L29" s="28"/>
      <c r="M29" s="26"/>
      <c r="N29" s="26"/>
      <c r="O29" s="28"/>
    </row>
    <row r="30" customFormat="false" ht="15" hidden="false" customHeight="false" outlineLevel="0" collapsed="false">
      <c r="A30" s="26"/>
      <c r="B30" s="27"/>
      <c r="C30" s="28"/>
      <c r="D30" s="26"/>
      <c r="E30" s="29"/>
      <c r="F30" s="30" t="n">
        <f aca="false">IFERROR(D30*E30,"")</f>
        <v>0</v>
      </c>
      <c r="G30" s="28"/>
      <c r="H30" s="26"/>
      <c r="I30" s="26"/>
      <c r="J30" s="28"/>
      <c r="K30" s="30" t="n">
        <f aca="false">IFERROR(F30-I30,"")</f>
        <v>0</v>
      </c>
      <c r="L30" s="28"/>
      <c r="M30" s="26"/>
      <c r="N30" s="26"/>
      <c r="O30" s="28"/>
    </row>
    <row r="31" customFormat="false" ht="15" hidden="false" customHeight="false" outlineLevel="0" collapsed="false">
      <c r="A31" s="26"/>
      <c r="B31" s="27"/>
      <c r="C31" s="28"/>
      <c r="D31" s="26"/>
      <c r="E31" s="29"/>
      <c r="F31" s="30" t="n">
        <f aca="false">IFERROR(D31*E31,"")</f>
        <v>0</v>
      </c>
      <c r="G31" s="28"/>
      <c r="H31" s="26"/>
      <c r="I31" s="26"/>
      <c r="J31" s="28"/>
      <c r="K31" s="30" t="n">
        <f aca="false">IFERROR(F31-I31,"")</f>
        <v>0</v>
      </c>
      <c r="L31" s="28"/>
      <c r="M31" s="26"/>
      <c r="N31" s="26"/>
      <c r="O31" s="28"/>
    </row>
    <row r="32" customFormat="false" ht="15" hidden="false" customHeight="false" outlineLevel="0" collapsed="false">
      <c r="A32" s="26"/>
      <c r="B32" s="27"/>
      <c r="C32" s="28"/>
      <c r="D32" s="26"/>
      <c r="E32" s="29"/>
      <c r="F32" s="30" t="n">
        <f aca="false">IFERROR(D32*E32,"")</f>
        <v>0</v>
      </c>
      <c r="G32" s="28"/>
      <c r="H32" s="26"/>
      <c r="I32" s="26"/>
      <c r="J32" s="28"/>
      <c r="K32" s="30" t="n">
        <f aca="false">IFERROR(F32-I32,"")</f>
        <v>0</v>
      </c>
      <c r="L32" s="28"/>
      <c r="M32" s="26"/>
      <c r="N32" s="26"/>
      <c r="O32" s="28"/>
    </row>
    <row r="33" customFormat="false" ht="15" hidden="false" customHeight="false" outlineLevel="0" collapsed="false">
      <c r="A33" s="26"/>
      <c r="B33" s="27"/>
      <c r="C33" s="28"/>
      <c r="D33" s="26"/>
      <c r="E33" s="29"/>
      <c r="F33" s="30" t="n">
        <f aca="false">IFERROR(D33*E33,"")</f>
        <v>0</v>
      </c>
      <c r="G33" s="28"/>
      <c r="H33" s="26"/>
      <c r="I33" s="26"/>
      <c r="J33" s="28"/>
      <c r="K33" s="30" t="n">
        <f aca="false">IFERROR(F33-I33,"")</f>
        <v>0</v>
      </c>
      <c r="L33" s="28"/>
      <c r="M33" s="26"/>
      <c r="N33" s="26"/>
      <c r="O33" s="28"/>
    </row>
    <row r="34" customFormat="false" ht="15" hidden="false" customHeight="false" outlineLevel="0" collapsed="false">
      <c r="A34" s="26"/>
      <c r="B34" s="27"/>
      <c r="C34" s="28"/>
      <c r="D34" s="26"/>
      <c r="E34" s="29"/>
      <c r="F34" s="30" t="n">
        <f aca="false">IFERROR(D34*E34,"")</f>
        <v>0</v>
      </c>
      <c r="G34" s="28"/>
      <c r="H34" s="26"/>
      <c r="I34" s="26"/>
      <c r="J34" s="28"/>
      <c r="K34" s="30" t="n">
        <f aca="false">IFERROR(F34-I34,"")</f>
        <v>0</v>
      </c>
      <c r="L34" s="28"/>
      <c r="M34" s="26"/>
      <c r="N34" s="26"/>
      <c r="O34" s="28"/>
    </row>
    <row r="35" customFormat="false" ht="15" hidden="false" customHeight="false" outlineLevel="0" collapsed="false">
      <c r="A35" s="26"/>
      <c r="B35" s="27"/>
      <c r="C35" s="28"/>
      <c r="D35" s="26"/>
      <c r="E35" s="29"/>
      <c r="F35" s="30" t="n">
        <f aca="false">IFERROR(D35*E35,"")</f>
        <v>0</v>
      </c>
      <c r="G35" s="28"/>
      <c r="H35" s="26"/>
      <c r="I35" s="26"/>
      <c r="J35" s="28"/>
      <c r="K35" s="30" t="n">
        <f aca="false">IFERROR(F35-I35,"")</f>
        <v>0</v>
      </c>
      <c r="L35" s="28"/>
      <c r="M35" s="26"/>
      <c r="N35" s="26"/>
      <c r="O35" s="28"/>
    </row>
    <row r="36" customFormat="false" ht="15" hidden="false" customHeight="false" outlineLevel="0" collapsed="false">
      <c r="A36" s="26"/>
      <c r="B36" s="27"/>
      <c r="C36" s="28"/>
      <c r="D36" s="26"/>
      <c r="E36" s="29"/>
      <c r="F36" s="30" t="n">
        <f aca="false">IFERROR(D36*E36,"")</f>
        <v>0</v>
      </c>
      <c r="G36" s="28"/>
      <c r="H36" s="26"/>
      <c r="I36" s="26"/>
      <c r="J36" s="28"/>
      <c r="K36" s="30" t="n">
        <f aca="false">IFERROR(F36-I36,"")</f>
        <v>0</v>
      </c>
      <c r="L36" s="28"/>
      <c r="M36" s="26"/>
      <c r="N36" s="26"/>
      <c r="O36" s="28"/>
    </row>
    <row r="37" customFormat="false" ht="15" hidden="false" customHeight="false" outlineLevel="0" collapsed="false">
      <c r="A37" s="26"/>
      <c r="B37" s="27"/>
      <c r="C37" s="28"/>
      <c r="D37" s="26"/>
      <c r="E37" s="29"/>
      <c r="F37" s="30" t="n">
        <f aca="false">IFERROR(D37*E37,"")</f>
        <v>0</v>
      </c>
      <c r="G37" s="28"/>
      <c r="H37" s="26"/>
      <c r="I37" s="26"/>
      <c r="J37" s="28"/>
      <c r="K37" s="30" t="n">
        <f aca="false">IFERROR(F37-I37,"")</f>
        <v>0</v>
      </c>
      <c r="L37" s="28"/>
      <c r="M37" s="26"/>
      <c r="N37" s="26"/>
      <c r="O37" s="28"/>
    </row>
    <row r="38" customFormat="false" ht="15" hidden="false" customHeight="false" outlineLevel="0" collapsed="false">
      <c r="A38" s="26"/>
      <c r="B38" s="27"/>
      <c r="C38" s="28"/>
      <c r="D38" s="26"/>
      <c r="E38" s="29"/>
      <c r="F38" s="30" t="n">
        <f aca="false">IFERROR(D38*E38,"")</f>
        <v>0</v>
      </c>
      <c r="G38" s="28"/>
      <c r="H38" s="26"/>
      <c r="I38" s="26"/>
      <c r="J38" s="28"/>
      <c r="K38" s="30" t="n">
        <f aca="false">IFERROR(F38-I38,"")</f>
        <v>0</v>
      </c>
      <c r="L38" s="28"/>
      <c r="M38" s="26"/>
      <c r="N38" s="26"/>
      <c r="O38" s="28"/>
    </row>
  </sheetData>
  <autoFilter ref="A7:O38"/>
  <mergeCells count="2">
    <mergeCell ref="A1:L1"/>
    <mergeCell ref="M6:O6"/>
  </mergeCells>
  <conditionalFormatting sqref="E4">
    <cfRule type="expression" priority="2" aboveAverage="0" equalAverage="0" bottom="0" percent="0" rank="0" text="" dxfId="9">
      <formula>E4&gt;0</formula>
    </cfRule>
    <cfRule type="expression" priority="3" aboveAverage="0" equalAverage="0" bottom="0" percent="0" rank="0" text="" dxfId="10">
      <formula>E4&lt;0</formula>
    </cfRule>
  </conditionalFormatting>
  <conditionalFormatting sqref="H8:H38">
    <cfRule type="cellIs" priority="4" operator="equal" aboveAverage="0" equalAverage="0" bottom="0" percent="0" rank="0" text="" dxfId="11">
      <formula>"A"</formula>
    </cfRule>
    <cfRule type="cellIs" priority="5" operator="equal" aboveAverage="0" equalAverage="0" bottom="0" percent="0" rank="0" text="" dxfId="12">
      <formula>"B"</formula>
    </cfRule>
    <cfRule type="cellIs" priority="6" operator="equal" aboveAverage="0" equalAverage="0" bottom="0" percent="0" rank="0" text="" dxfId="13">
      <formula>"C"</formula>
    </cfRule>
  </conditionalFormatting>
  <conditionalFormatting sqref="K8:K38">
    <cfRule type="expression" priority="7" aboveAverage="0" equalAverage="0" bottom="0" percent="0" rank="0" text="" dxfId="14">
      <formula>AND(K8&lt;&gt;"",K8&gt;0)</formula>
    </cfRule>
    <cfRule type="expression" priority="8" aboveAverage="0" equalAverage="0" bottom="0" percent="0" rank="0" text="" dxfId="15">
      <formula>AND(K8&lt;&gt;"",K8&lt;0)</formula>
    </cfRule>
  </conditionalFormatting>
  <dataValidations count="2">
    <dataValidation allowBlank="true" errorStyle="stop" operator="between" showDropDown="false" showErrorMessage="false" showInputMessage="false" sqref="H8:H38" type="list">
      <formula1>"A,B,C"</formula1>
      <formula2>0</formula2>
    </dataValidation>
    <dataValidation allowBlank="true" errorStyle="stop" operator="between" showDropDown="false" showErrorMessage="false" showInputMessage="false" sqref="M8:M38" type="list">
      <formula1>"Clear,Suspect,Contaminated,Not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&amp;CTopsoil Stripping Storage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1" t="s">
        <v>85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31" t="s">
        <v>86</v>
      </c>
    </row>
    <row r="4" customFormat="false" ht="15" hidden="false" customHeight="false" outlineLevel="0" collapsed="false">
      <c r="A4" s="31"/>
    </row>
    <row r="5" customFormat="false" ht="15" hidden="false" customHeight="false" outlineLevel="0" collapsed="false">
      <c r="A5" s="31" t="s">
        <v>87</v>
      </c>
    </row>
    <row r="6" customFormat="false" ht="15" hidden="false" customHeight="false" outlineLevel="0" collapsed="false">
      <c r="A6" s="31"/>
    </row>
    <row r="7" customFormat="false" ht="15" hidden="false" customHeight="false" outlineLevel="0" collapsed="false">
      <c r="A7" s="31" t="s">
        <v>88</v>
      </c>
    </row>
    <row r="8" customFormat="false" ht="15" hidden="false" customHeight="false" outlineLevel="0" collapsed="false">
      <c r="A8" s="31"/>
    </row>
    <row r="9" customFormat="false" ht="15" hidden="false" customHeight="false" outlineLevel="0" collapsed="false">
      <c r="A9" s="31" t="s">
        <v>89</v>
      </c>
    </row>
    <row r="10" customFormat="false" ht="15" hidden="false" customHeight="false" outlineLevel="0" collapsed="false">
      <c r="A10" s="31"/>
    </row>
    <row r="11" customFormat="false" ht="15" hidden="false" customHeight="false" outlineLevel="0" collapsed="false">
      <c r="A11" s="31" t="s">
        <v>90</v>
      </c>
    </row>
    <row r="12" customFormat="false" ht="15" hidden="false" customHeight="false" outlineLevel="0" collapsed="false">
      <c r="A12" s="31"/>
    </row>
    <row r="13" customFormat="false" ht="15" hidden="false" customHeight="false" outlineLevel="0" collapsed="false">
      <c r="A13" s="31" t="s">
        <v>91</v>
      </c>
    </row>
    <row r="14" customFormat="false" ht="15" hidden="false" customHeight="false" outlineLevel="0" collapsed="false">
      <c r="A14" s="31"/>
    </row>
    <row r="15" customFormat="false" ht="15" hidden="false" customHeight="false" outlineLevel="0" collapsed="false">
      <c r="A15" s="31" t="s">
        <v>92</v>
      </c>
    </row>
    <row r="16" customFormat="false" ht="15" hidden="false" customHeight="false" outlineLevel="0" collapsed="false">
      <c r="A16" s="31"/>
    </row>
    <row r="17" customFormat="false" ht="15" hidden="false" customHeight="false" outlineLevel="0" collapsed="false">
      <c r="A17" s="3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Civils &amp; Groundworks</cp:category>
  <dcterms:created xsi:type="dcterms:W3CDTF">2026-03-23T13:47:23Z</dcterms:created>
  <dc:creator>Ebrora Ltd</dc:creator>
  <dc:description>Track topsoil stripping volumes, storage locations, quality grading, and re-use allocation for site restoration and landscaping.
Free professional construction management template from Ebrora Ltd. Visit ebrora.com for our full range of tools and templates.</dc:description>
  <cp:keywords>Ebrora construction civils topsoil stripping storage landscaping earthworks groundworks</cp:keywords>
  <dc:language>en-US</dc:language>
  <cp:lastModifiedBy>Ebrora Ltd</cp:lastModifiedBy>
  <dcterms:modified xsi:type="dcterms:W3CDTF">2026-03-23T13:47:23Z</dcterms:modified>
  <cp:revision>0</cp:revision>
  <dc:subject>Track topsoil stripping volumes, storage locations, quality grading, and re-use allocation.</dc:subject>
  <dc:title>Topsoil Stripping &amp; Storage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