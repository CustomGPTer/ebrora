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Concrete Record" sheetId="3" state="visible" r:id="rId5"/>
    <sheet name="Terms of Use" sheetId="4" state="hidden" r:id="rId6"/>
  </sheets>
  <definedNames>
    <definedName function="false" hidden="false" localSheetId="2" name="_xlnm.Print_Area" vbProcedure="false">'Concrete Record'!$A$1:$N$60</definedName>
    <definedName function="false" hidden="true" localSheetId="2" name="_xlnm._FilterDatabase" vbProcedure="false">'Concrete Record'!$A$9:$R$60</definedName>
    <definedName function="false" hidden="false" localSheetId="0" name="_xlnm.Print_Area" vbProcedure="false">Cover!$A$1:$H$20</definedName>
    <definedName function="false" hidden="false" name="DataTable" vbProcedure="false">'Concrete Record'!$A$9:$R$60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<sst xmlns="http://schemas.openxmlformats.org/spreadsheetml/2006/main" count="117" uniqueCount="93">
  <si>
    <t xml:space="preserve">EBRORA</t>
  </si>
  <si>
    <t xml:space="preserve">ebrora.com</t>
  </si>
  <si>
    <t xml:space="preserve">Concrete Works
Daily Record</t>
  </si>
  <si>
    <t xml:space="preserve">Record daily concrete pours with mix details, delivery tickets, slump results, volumes placed, and cube sample tracking.</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</si>
  <si>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</si>
  <si>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</si>
  <si>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</si>
  <si>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Step-by-Step Instructions</t>
  </si>
  <si>
    <t xml:space="preserve">1. Go to the 'Concrete Record' sheet. Each row is one delivery/load. The summary panel shows cumulative volume.</t>
  </si>
  <si>
    <t xml:space="preserve">2. Enter the pour reference, date, element being poured, and the mix grade from the delivery ticket.</t>
  </si>
  <si>
    <t xml:space="preserve">3. Record the delivery ticket number, load volume, and the batching plant details.</t>
  </si>
  <si>
    <t xml:space="preserve">4. Enter the slump result on arrival. The template flags out-of-spec slumps (±25mm tolerance is typical).</t>
  </si>
  <si>
    <t xml:space="preserve">5. Record whether cubes were taken from this load and the cube sample reference for traceability.</t>
  </si>
  <si>
    <t xml:space="preserve">6. Volume Placed and Cumulative Volume track automatically. Overconsumption % shows actual vs theoretical volume.</t>
  </si>
  <si>
    <t xml:space="preserve">7. Expand optional columns [+] for air temperature, concrete temperature, admixtures, and water additions.</t>
  </si>
  <si>
    <t xml:space="preserve">8. Use this as a daily record — one sheet per day or per pour depending on your project's documentation requirements.</t>
  </si>
  <si>
    <t xml:space="preserve">Colour Key</t>
  </si>
  <si>
    <t xml:space="preserve">Light teal</t>
  </si>
  <si>
    <t xml:space="preserve">Editable cells</t>
  </si>
  <si>
    <t xml:space="preserve">Dark navy</t>
  </si>
  <si>
    <t xml:space="preserve">Headers</t>
  </si>
  <si>
    <t xml:space="preserve">Green</t>
  </si>
  <si>
    <t xml:space="preserve">Slump within tolerance / cubes taken</t>
  </si>
  <si>
    <t xml:space="preserve">Amber</t>
  </si>
  <si>
    <t xml:space="preserve">Slump marginal or no cubes for this load</t>
  </si>
  <si>
    <t xml:space="preserve">Red</t>
  </si>
  <si>
    <t xml:space="preserve">Slump out of spec — reject consideration</t>
  </si>
  <si>
    <t xml:space="preserve">Tips</t>
  </si>
  <si>
    <t xml:space="preserve">• Always check the delivery ticket matches the specified mix before accepting the load on site.</t>
  </si>
  <si>
    <t xml:space="preserve">• Take slump tests from the first load and every 50m³ thereafter as a minimum — your spec may require more.</t>
  </si>
  <si>
    <t xml:space="preserve">• Never add water to the mix on site unless authorised by the concrete supplier — it voids the design mix.</t>
  </si>
  <si>
    <t xml:space="preserve">CONCRETE WORKS DAILY RECORD</t>
  </si>
  <si>
    <t xml:space="preserve">Total Loads</t>
  </si>
  <si>
    <t xml:space="preserve">Total Volume (m³)</t>
  </si>
  <si>
    <t xml:space="preserve">Cubes Taken</t>
  </si>
  <si>
    <t xml:space="preserve">Slump Passes</t>
  </si>
  <si>
    <t xml:space="preserve">Slump Fails</t>
  </si>
  <si>
    <t xml:space="preserve">Avg Slump (mm)</t>
  </si>
  <si>
    <t xml:space="preserve">DATE / REF</t>
  </si>
  <si>
    <t xml:space="preserve">DELIVERY DETAILS</t>
  </si>
  <si>
    <t xml:space="preserve">QUALITY CHECKS</t>
  </si>
  <si>
    <t xml:space="preserve">TRACKING</t>
  </si>
  <si>
    <t xml:space="preserve">▸ Optional — Conditions</t>
  </si>
  <si>
    <t xml:space="preserve">Pour
Ref</t>
  </si>
  <si>
    <t xml:space="preserve">Date</t>
  </si>
  <si>
    <t xml:space="preserve">Element / Location</t>
  </si>
  <si>
    <t xml:space="preserve">Mix
Grade</t>
  </si>
  <si>
    <t xml:space="preserve">Ticket
No.</t>
  </si>
  <si>
    <t xml:space="preserve">Supplier / Plant</t>
  </si>
  <si>
    <t xml:space="preserve">Load Vol
(m³)</t>
  </si>
  <si>
    <t xml:space="preserve">Slump
(mm)</t>
  </si>
  <si>
    <t xml:space="preserve">Target
Slump (mm)</t>
  </si>
  <si>
    <t xml:space="preserve">Slump
OK?</t>
  </si>
  <si>
    <t xml:space="preserve">Cubes
Taken</t>
  </si>
  <si>
    <t xml:space="preserve">Cube
Ref</t>
  </si>
  <si>
    <t xml:space="preserve">Cumul.
Vol (m³)</t>
  </si>
  <si>
    <t xml:space="preserve">Notes</t>
  </si>
  <si>
    <t xml:space="preserve">Air Temp
(°C)</t>
  </si>
  <si>
    <t xml:space="preserve">Conc Temp
(°C)</t>
  </si>
  <si>
    <t xml:space="preserve">Admixtures</t>
  </si>
  <si>
    <t xml:space="preserve">Water
Added?</t>
  </si>
  <si>
    <t xml:space="preserve">PC-001</t>
  </si>
  <si>
    <t xml:space="preserve">Pad Foundation PF-01</t>
  </si>
  <si>
    <t xml:space="preserve">C30/37</t>
  </si>
  <si>
    <t xml:space="preserve">DT-44210</t>
  </si>
  <si>
    <t xml:space="preserve">Hanson Concrete — Theale</t>
  </si>
  <si>
    <t xml:space="preserve">Yes</t>
  </si>
  <si>
    <t xml:space="preserve">CC-001</t>
  </si>
  <si>
    <t xml:space="preserve">First load — slump tested</t>
  </si>
  <si>
    <t xml:space="preserve">None</t>
  </si>
  <si>
    <t xml:space="preserve">No</t>
  </si>
  <si>
    <t xml:space="preserve">DT-44211</t>
  </si>
  <si>
    <t xml:space="preserve">DT-44212</t>
  </si>
  <si>
    <t xml:space="preserve">CC-002</t>
  </si>
  <si>
    <t xml:space="preserve">Cubes taken at 12m³</t>
  </si>
  <si>
    <t xml:space="preserve">PC-002</t>
  </si>
  <si>
    <t xml:space="preserve">Ground Floor Slab Bay 1</t>
  </si>
  <si>
    <t xml:space="preserve">C28/35</t>
  </si>
  <si>
    <t xml:space="preserve">DT-44225</t>
  </si>
  <si>
    <t xml:space="preserve">CC-003</t>
  </si>
  <si>
    <t xml:space="preserve">First load</t>
  </si>
  <si>
    <t xml:space="preserve">Fibres 0.9kg/m³</t>
  </si>
  <si>
    <t xml:space="preserve">DT-44226</t>
  </si>
  <si>
    <t xml:space="preserve">Slump high — load rejected, returned to plant</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</si>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</sst>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General"/>
    <numFmt numFmtId="166" formatCode="#,##0.0"/>
    <numFmt numFmtId="167" formatCode="0"/>
    <numFmt numFmtId="168" formatCode="dd/mm/yyyy"/>
  </numFmts>
  <fonts count="21">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4"/>
      <color rgb="FFFFFFFF"/>
      <name val="Calibri"/>
      <family val="0"/>
      <charset val="1"/>
    </font>
    <font>
      <b val="true"/>
      <sz val="10"/>
      <color rgb="FF2AABB3"/>
      <name val="Calibri"/>
      <family val="0"/>
      <charset val="1"/>
    </font>
    <font>
      <b val="true"/>
      <sz val="16"/>
      <color rgb="FF1B2A4A"/>
      <name val="Calibri"/>
      <family val="0"/>
      <charset val="1"/>
    </font>
    <font>
      <b val="true"/>
      <sz val="16"/>
      <color rgb="FF9C0006"/>
      <name val="Calibri"/>
      <family val="0"/>
      <charset val="1"/>
    </font>
    <font>
      <b val="true"/>
      <sz val="10"/>
      <color rgb="FFFFFFFF"/>
      <name val="Calibri"/>
      <family val="0"/>
      <charset val="1"/>
    </font>
    <font>
      <i val="true"/>
      <sz val="9"/>
      <color rgb="FFFFFFFF"/>
      <name val="Calibri"/>
      <family val="0"/>
      <charset val="1"/>
    </font>
    <font>
      <b val="true"/>
      <sz val="11"/>
      <color rgb="FFFFFFFF"/>
      <name val="Calibri"/>
      <family val="0"/>
      <charset val="1"/>
    </font>
  </fonts>
  <fills count="9">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
      <patternFill patternType="solid">
        <fgColor rgb="FF2AABB3"/>
        <bgColor rgb="FF339966"/>
      </patternFill>
    </fill>
  </fills>
  <borders count="3">
    <border diagonalUp="false" diagonalDown="false">
      <left/>
      <right/>
      <top/>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true" indent="0" shrinkToFit="false"/>
      <protection locked="true" hidden="false"/>
    </xf>
    <xf numFmtId="166" fontId="16" fillId="0" borderId="0" xfId="0" applyFont="true" applyBorder="false" applyAlignment="true" applyProtection="false">
      <alignment horizontal="center" vertical="center" textRotation="0" wrapText="true" indent="0" shrinkToFit="false"/>
      <protection locked="true" hidden="false"/>
    </xf>
    <xf numFmtId="165" fontId="17" fillId="0" borderId="0" xfId="0" applyFont="true" applyBorder="false" applyAlignment="true" applyProtection="false">
      <alignment horizontal="center" vertical="center" textRotation="0" wrapText="true" indent="0" shrinkToFit="false"/>
      <protection locked="true" hidden="false"/>
    </xf>
    <xf numFmtId="167" fontId="16" fillId="0" borderId="0" xfId="0" applyFont="true" applyBorder="fals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8" fillId="8" borderId="0" xfId="0" applyFont="true" applyBorder="true" applyAlignment="true" applyProtection="false">
      <alignment horizontal="center" vertical="center" textRotation="0" wrapText="true" indent="0" shrinkToFit="false"/>
      <protection locked="true" hidden="false"/>
    </xf>
    <xf numFmtId="164" fontId="19" fillId="8" borderId="0" xfId="0" applyFont="true" applyBorder="true" applyAlignment="true" applyProtection="false">
      <alignment horizontal="center" vertical="center" textRotation="0" wrapText="tru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8" fontId="12"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6" fontId="12" fillId="3"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9C0006"/>
          <bgColor rgb="FF000000"/>
        </patternFill>
      </fill>
    </dxf>
    <dxf>
      <font>
        <name val="Calibri"/>
        <charset val="1"/>
        <family val="0"/>
        <b val="1"/>
        <color rgb="FF006100"/>
      </font>
      <fill>
        <patternFill>
          <bgColor rgb="FFC6EFCE"/>
        </patternFill>
      </fill>
    </dxf>
    <dxf>
      <font>
        <name val="Calibri"/>
        <charset val="1"/>
        <family val="0"/>
        <b val="1"/>
        <color rgb="FF9C6500"/>
      </font>
      <fill>
        <patternFill>
          <bgColor rgb="FFFFEB9C"/>
        </patternFill>
      </fill>
    </dxf>
    <dxf>
      <font>
        <name val="Calibri"/>
        <charset val="1"/>
        <family val="0"/>
        <b val="1"/>
        <color rgb="FF9C0006"/>
      </font>
      <fill>
        <patternFill>
          <bgColor rgb="FFFFC7CE"/>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tru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tru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tru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6" min="2" style="0" width="22"/>
  </cols>
  <sheetData>
    <row r="1" customFormat="false" ht="17.35" hidden="false" customHeight="false" outlineLevel="0" collapsed="false">
      <c r="A1" s="8" t="s">
        <v>6</v>
      </c>
      <c r="B1" s="8"/>
      <c r="C1" s="8"/>
      <c r="D1" s="8"/>
      <c r="E1" s="8"/>
      <c r="F1" s="8"/>
    </row>
    <row r="3" customFormat="false" ht="15" hidden="false" customHeight="false" outlineLevel="0" collapsed="false">
      <c r="A3" s="9" t="s">
        <v>7</v>
      </c>
      <c r="B3" s="9"/>
      <c r="C3" s="9"/>
      <c r="D3" s="9"/>
      <c r="E3" s="9"/>
      <c r="F3" s="9"/>
    </row>
    <row r="4" customFormat="false" ht="30" hidden="false" customHeight="true" outlineLevel="0" collapsed="false">
      <c r="A4" s="10" t="s">
        <v>8</v>
      </c>
      <c r="B4" s="10"/>
      <c r="C4" s="10"/>
      <c r="D4" s="10"/>
      <c r="E4" s="10"/>
      <c r="F4" s="10"/>
    </row>
    <row r="5" customFormat="false" ht="30" hidden="false" customHeight="true" outlineLevel="0" collapsed="false">
      <c r="A5" s="10" t="s">
        <v>9</v>
      </c>
      <c r="B5" s="10"/>
      <c r="C5" s="10"/>
      <c r="D5" s="10"/>
      <c r="E5" s="10"/>
      <c r="F5" s="10"/>
    </row>
    <row r="6" customFormat="false" ht="30" hidden="false" customHeight="true" outlineLevel="0" collapsed="false">
      <c r="A6" s="10" t="s">
        <v>10</v>
      </c>
      <c r="B6" s="10"/>
      <c r="C6" s="10"/>
      <c r="D6" s="10"/>
      <c r="E6" s="10"/>
      <c r="F6" s="10"/>
    </row>
    <row r="7" customFormat="false" ht="30" hidden="false" customHeight="true" outlineLevel="0" collapsed="false">
      <c r="A7" s="10" t="s">
        <v>11</v>
      </c>
      <c r="B7" s="10"/>
      <c r="C7" s="10"/>
      <c r="D7" s="10"/>
      <c r="E7" s="10"/>
      <c r="F7" s="10"/>
    </row>
    <row r="8" customFormat="false" ht="30" hidden="false" customHeight="true" outlineLevel="0" collapsed="false">
      <c r="A8" s="10" t="s">
        <v>12</v>
      </c>
      <c r="B8" s="10"/>
      <c r="C8" s="10"/>
      <c r="D8" s="10"/>
      <c r="E8" s="10"/>
      <c r="F8" s="10"/>
    </row>
    <row r="9" customFormat="false" ht="30" hidden="false" customHeight="true" outlineLevel="0" collapsed="false">
      <c r="A9" s="10" t="s">
        <v>13</v>
      </c>
      <c r="B9" s="10"/>
      <c r="C9" s="10"/>
      <c r="D9" s="10"/>
      <c r="E9" s="10"/>
      <c r="F9" s="10"/>
    </row>
    <row r="10" customFormat="false" ht="30" hidden="false" customHeight="true" outlineLevel="0" collapsed="false">
      <c r="A10" s="10" t="s">
        <v>14</v>
      </c>
      <c r="B10" s="10"/>
      <c r="C10" s="10"/>
      <c r="D10" s="10"/>
      <c r="E10" s="10"/>
      <c r="F10" s="10"/>
    </row>
    <row r="11" customFormat="false" ht="30" hidden="false" customHeight="true" outlineLevel="0" collapsed="false">
      <c r="A11" s="10" t="s">
        <v>15</v>
      </c>
      <c r="B11" s="10"/>
      <c r="C11" s="10"/>
      <c r="D11" s="10"/>
      <c r="E11" s="10"/>
      <c r="F11" s="10"/>
    </row>
    <row r="13" customFormat="false" ht="15" hidden="false" customHeight="false" outlineLevel="0" collapsed="false">
      <c r="A13" s="9" t="s">
        <v>16</v>
      </c>
      <c r="B13" s="9"/>
      <c r="C13" s="9"/>
      <c r="D13" s="9"/>
      <c r="E13" s="9"/>
      <c r="F13" s="9"/>
    </row>
    <row r="14" customFormat="false" ht="15" hidden="false" customHeight="false" outlineLevel="0" collapsed="false">
      <c r="A14" s="11"/>
      <c r="B14" s="12" t="s">
        <v>17</v>
      </c>
      <c r="C14" s="12"/>
      <c r="D14" s="13" t="s">
        <v>18</v>
      </c>
      <c r="E14" s="13"/>
      <c r="F14" s="13"/>
    </row>
    <row r="15" customFormat="false" ht="15" hidden="false" customHeight="false" outlineLevel="0" collapsed="false">
      <c r="A15" s="14"/>
      <c r="B15" s="12" t="s">
        <v>19</v>
      </c>
      <c r="C15" s="12"/>
      <c r="D15" s="13" t="s">
        <v>20</v>
      </c>
      <c r="E15" s="13"/>
      <c r="F15" s="13"/>
    </row>
    <row r="16" customFormat="false" ht="15" hidden="false" customHeight="false" outlineLevel="0" collapsed="false">
      <c r="A16" s="15"/>
      <c r="B16" s="12" t="s">
        <v>21</v>
      </c>
      <c r="C16" s="12"/>
      <c r="D16" s="13" t="s">
        <v>22</v>
      </c>
      <c r="E16" s="13"/>
      <c r="F16" s="13"/>
    </row>
    <row r="17" customFormat="false" ht="15" hidden="false" customHeight="false" outlineLevel="0" collapsed="false">
      <c r="A17" s="16"/>
      <c r="B17" s="12" t="s">
        <v>23</v>
      </c>
      <c r="C17" s="12"/>
      <c r="D17" s="13" t="s">
        <v>24</v>
      </c>
      <c r="E17" s="13"/>
      <c r="F17" s="13"/>
    </row>
    <row r="18" customFormat="false" ht="15" hidden="false" customHeight="false" outlineLevel="0" collapsed="false">
      <c r="A18" s="17"/>
      <c r="B18" s="12" t="s">
        <v>25</v>
      </c>
      <c r="C18" s="12"/>
      <c r="D18" s="13" t="s">
        <v>26</v>
      </c>
      <c r="E18" s="13"/>
      <c r="F18" s="13"/>
    </row>
    <row r="20" customFormat="false" ht="15" hidden="false" customHeight="false" outlineLevel="0" collapsed="false">
      <c r="A20" s="9" t="s">
        <v>27</v>
      </c>
      <c r="B20" s="9"/>
      <c r="C20" s="9"/>
      <c r="D20" s="9"/>
      <c r="E20" s="9"/>
      <c r="F20" s="9"/>
    </row>
    <row r="21" customFormat="false" ht="30" hidden="false" customHeight="true" outlineLevel="0" collapsed="false">
      <c r="A21" s="10" t="s">
        <v>28</v>
      </c>
      <c r="B21" s="10"/>
      <c r="C21" s="10"/>
      <c r="D21" s="10"/>
      <c r="E21" s="10"/>
      <c r="F21" s="10"/>
    </row>
    <row r="22" customFormat="false" ht="30" hidden="false" customHeight="true" outlineLevel="0" collapsed="false">
      <c r="A22" s="10" t="s">
        <v>29</v>
      </c>
      <c r="B22" s="10"/>
      <c r="C22" s="10"/>
      <c r="D22" s="10"/>
      <c r="E22" s="10"/>
      <c r="F22" s="10"/>
    </row>
    <row r="23" customFormat="false" ht="30" hidden="false" customHeight="true" outlineLevel="0" collapsed="false">
      <c r="A23" s="10" t="s">
        <v>30</v>
      </c>
      <c r="B23" s="10"/>
      <c r="C23" s="10"/>
      <c r="D23" s="10"/>
      <c r="E23" s="10"/>
      <c r="F23" s="10"/>
    </row>
  </sheetData>
  <mergeCells count="25">
    <mergeCell ref="A1:F1"/>
    <mergeCell ref="A3:F3"/>
    <mergeCell ref="A4:F4"/>
    <mergeCell ref="A5:F5"/>
    <mergeCell ref="A6:F6"/>
    <mergeCell ref="A7:F7"/>
    <mergeCell ref="A8:F8"/>
    <mergeCell ref="A9:F9"/>
    <mergeCell ref="A10:F10"/>
    <mergeCell ref="A11:F11"/>
    <mergeCell ref="A13:F13"/>
    <mergeCell ref="B14:C14"/>
    <mergeCell ref="D14:F14"/>
    <mergeCell ref="B15:C15"/>
    <mergeCell ref="D15:F15"/>
    <mergeCell ref="B16:C16"/>
    <mergeCell ref="D16:F16"/>
    <mergeCell ref="B17:C17"/>
    <mergeCell ref="D17:F17"/>
    <mergeCell ref="B18:C18"/>
    <mergeCell ref="D18:F18"/>
    <mergeCell ref="A20:F20"/>
    <mergeCell ref="A21:F21"/>
    <mergeCell ref="A22:F2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2"/>
    <col collapsed="false" customWidth="true" hidden="false" outlineLevel="0" max="3" min="3" style="0" width="26"/>
    <col collapsed="false" customWidth="true" hidden="false" outlineLevel="0" max="5" min="4" style="0" width="12"/>
    <col collapsed="false" customWidth="true" hidden="false" outlineLevel="0" max="6" min="6" style="0" width="20"/>
    <col collapsed="false" customWidth="true" hidden="false" outlineLevel="0" max="8" min="7" style="0" width="11"/>
    <col collapsed="false" customWidth="true" hidden="false" outlineLevel="0" max="9" min="9" style="0" width="12"/>
    <col collapsed="false" customWidth="true" hidden="false" outlineLevel="0" max="11" min="10" style="0" width="10"/>
    <col collapsed="false" customWidth="true" hidden="false" outlineLevel="0" max="13" min="12" style="0" width="12"/>
    <col collapsed="false" customWidth="true" hidden="false" outlineLevel="0" max="14" min="14" style="0" width="28"/>
    <col collapsed="false" customWidth="true" hidden="true" outlineLevel="1" max="18" min="15" style="0" width="11"/>
  </cols>
  <sheetData>
    <row r="1" customFormat="false" ht="18.65" hidden="false" customHeight="true" outlineLevel="0" collapsed="false">
      <c r="A1" s="18" t="s">
        <v>31</v>
      </c>
      <c r="B1" s="18"/>
      <c r="C1" s="18"/>
      <c r="D1" s="18"/>
      <c r="E1" s="18"/>
      <c r="F1" s="18"/>
      <c r="G1" s="18"/>
      <c r="H1" s="18"/>
      <c r="I1" s="18"/>
      <c r="J1" s="18"/>
      <c r="K1" s="18"/>
      <c r="L1" s="18"/>
      <c r="M1" s="18"/>
      <c r="N1" s="18"/>
      <c r="O1" s="19"/>
      <c r="P1" s="19"/>
      <c r="Q1" s="19"/>
      <c r="R1" s="19"/>
    </row>
    <row r="2" customFormat="false" ht="6" hidden="false" customHeight="true" outlineLevel="0" collapsed="false"/>
    <row r="3" customFormat="false" ht="23.85" hidden="false" customHeight="false" outlineLevel="0" collapsed="false">
      <c r="A3" s="20" t="s">
        <v>32</v>
      </c>
      <c r="C3" s="20" t="s">
        <v>33</v>
      </c>
      <c r="E3" s="20" t="s">
        <v>34</v>
      </c>
      <c r="G3" s="20" t="s">
        <v>35</v>
      </c>
      <c r="I3" s="20" t="s">
        <v>36</v>
      </c>
      <c r="K3" s="20" t="s">
        <v>37</v>
      </c>
    </row>
    <row r="4" customFormat="false" ht="20.85" hidden="false" customHeight="false" outlineLevel="0" collapsed="false">
      <c r="A4" s="21" t="n">
        <f aca="false">COUNTA(A10:A60)</f>
        <v>5</v>
      </c>
      <c r="C4" s="22" t="n">
        <f aca="false">SUM(G10:G60)</f>
        <v>34</v>
      </c>
      <c r="E4" s="21" t="n">
        <f aca="false">COUNTIF(K10:K60,"Yes")</f>
        <v>3</v>
      </c>
      <c r="G4" s="21" t="n">
        <f aca="false">COUNTIF(J10:J60,"OK")</f>
        <v>4</v>
      </c>
      <c r="I4" s="23" t="n">
        <f aca="false">COUNTIF(J10:J60,"REJECT")</f>
        <v>1</v>
      </c>
      <c r="K4" s="24" t="n">
        <f aca="false">IFERROR(AVERAGE(H10:H60),0)</f>
        <v>86</v>
      </c>
    </row>
    <row r="5" customFormat="false" ht="15" hidden="false" customHeight="false" outlineLevel="0" collapsed="false">
      <c r="A5" s="25"/>
      <c r="B5" s="25"/>
      <c r="C5" s="25"/>
      <c r="D5" s="25"/>
      <c r="E5" s="25"/>
      <c r="F5" s="25"/>
      <c r="G5" s="25"/>
      <c r="H5" s="25"/>
      <c r="I5" s="25"/>
      <c r="J5" s="25"/>
      <c r="K5" s="25"/>
      <c r="L5" s="25"/>
      <c r="M5" s="25"/>
      <c r="N5" s="25"/>
      <c r="O5" s="25"/>
      <c r="P5" s="25"/>
      <c r="Q5" s="25"/>
      <c r="R5" s="25"/>
    </row>
    <row r="6" customFormat="false" ht="3.75" hidden="false" customHeight="true" outlineLevel="0" collapsed="false"/>
    <row r="7" customFormat="false" ht="21.75" hidden="false" customHeight="true" outlineLevel="0" collapsed="false">
      <c r="A7" s="26" t="s">
        <v>38</v>
      </c>
      <c r="B7" s="26"/>
      <c r="C7" s="26" t="s">
        <v>39</v>
      </c>
      <c r="D7" s="26"/>
      <c r="E7" s="26"/>
      <c r="F7" s="26"/>
      <c r="G7" s="26" t="s">
        <v>40</v>
      </c>
      <c r="H7" s="26"/>
      <c r="I7" s="26"/>
      <c r="J7" s="26"/>
      <c r="K7" s="26" t="s">
        <v>41</v>
      </c>
      <c r="L7" s="26"/>
      <c r="M7" s="26"/>
      <c r="N7" s="26"/>
      <c r="O7" s="27" t="s">
        <v>42</v>
      </c>
      <c r="P7" s="27"/>
      <c r="Q7" s="27"/>
      <c r="R7" s="27"/>
    </row>
    <row r="8" customFormat="false" ht="3.75" hidden="false" customHeight="true" outlineLevel="0" collapsed="false"/>
    <row r="9" customFormat="false" ht="37.5" hidden="false" customHeight="true" outlineLevel="0" collapsed="false">
      <c r="A9" s="28" t="s">
        <v>43</v>
      </c>
      <c r="B9" s="28" t="s">
        <v>44</v>
      </c>
      <c r="C9" s="28" t="s">
        <v>45</v>
      </c>
      <c r="D9" s="28" t="s">
        <v>46</v>
      </c>
      <c r="E9" s="28" t="s">
        <v>47</v>
      </c>
      <c r="F9" s="28" t="s">
        <v>48</v>
      </c>
      <c r="G9" s="28" t="s">
        <v>49</v>
      </c>
      <c r="H9" s="28" t="s">
        <v>50</v>
      </c>
      <c r="I9" s="28" t="s">
        <v>51</v>
      </c>
      <c r="J9" s="28" t="s">
        <v>52</v>
      </c>
      <c r="K9" s="28" t="s">
        <v>53</v>
      </c>
      <c r="L9" s="28" t="s">
        <v>54</v>
      </c>
      <c r="M9" s="28" t="s">
        <v>55</v>
      </c>
      <c r="N9" s="28" t="s">
        <v>56</v>
      </c>
      <c r="O9" s="28" t="s">
        <v>57</v>
      </c>
      <c r="P9" s="28" t="s">
        <v>58</v>
      </c>
      <c r="Q9" s="28" t="s">
        <v>59</v>
      </c>
      <c r="R9" s="28" t="s">
        <v>60</v>
      </c>
    </row>
    <row r="10" customFormat="false" ht="23.85" hidden="false" customHeight="false" outlineLevel="0" collapsed="false">
      <c r="A10" s="29" t="s">
        <v>61</v>
      </c>
      <c r="B10" s="30" t="n">
        <v>46068</v>
      </c>
      <c r="C10" s="31" t="s">
        <v>62</v>
      </c>
      <c r="D10" s="29" t="s">
        <v>63</v>
      </c>
      <c r="E10" s="29" t="s">
        <v>64</v>
      </c>
      <c r="F10" s="31" t="s">
        <v>65</v>
      </c>
      <c r="G10" s="29" t="n">
        <v>6</v>
      </c>
      <c r="H10" s="29" t="n">
        <v>80</v>
      </c>
      <c r="I10" s="29" t="n">
        <v>75</v>
      </c>
      <c r="J10" s="32" t="str">
        <f aca="false">IF(OR(H10="",I10=""),"",IF(ABS(H10-I10)&lt;=25,"OK",IF(ABS(H10-I10)&lt;=40,"MARGINAL","REJECT")))</f>
        <v>OK</v>
      </c>
      <c r="K10" s="29" t="s">
        <v>66</v>
      </c>
      <c r="L10" s="29" t="s">
        <v>67</v>
      </c>
      <c r="M10" s="33" t="n">
        <f aca="false">IFERROR(G10,"")</f>
        <v>6</v>
      </c>
      <c r="N10" s="31" t="s">
        <v>68</v>
      </c>
      <c r="O10" s="29" t="n">
        <v>8</v>
      </c>
      <c r="P10" s="29" t="n">
        <v>12</v>
      </c>
      <c r="Q10" s="29" t="s">
        <v>69</v>
      </c>
      <c r="R10" s="29" t="s">
        <v>70</v>
      </c>
    </row>
    <row r="11" customFormat="false" ht="23.85" hidden="false" customHeight="false" outlineLevel="0" collapsed="false">
      <c r="A11" s="29" t="s">
        <v>61</v>
      </c>
      <c r="B11" s="30" t="n">
        <v>46068</v>
      </c>
      <c r="C11" s="31" t="s">
        <v>62</v>
      </c>
      <c r="D11" s="29" t="s">
        <v>63</v>
      </c>
      <c r="E11" s="29" t="s">
        <v>71</v>
      </c>
      <c r="F11" s="31" t="s">
        <v>65</v>
      </c>
      <c r="G11" s="29" t="n">
        <v>6</v>
      </c>
      <c r="H11" s="29" t="n">
        <v>70</v>
      </c>
      <c r="I11" s="29" t="n">
        <v>75</v>
      </c>
      <c r="J11" s="32" t="str">
        <f aca="false">IF(OR(H11="",I11=""),"",IF(ABS(H11-I11)&lt;=25,"OK",IF(ABS(H11-I11)&lt;=40,"MARGINAL","REJECT")))</f>
        <v>OK</v>
      </c>
      <c r="K11" s="29" t="s">
        <v>70</v>
      </c>
      <c r="L11" s="29"/>
      <c r="M11" s="33" t="n">
        <f aca="false">IFERROR(IF(A11="","",M10+G11),"")</f>
        <v>12</v>
      </c>
      <c r="N11" s="31"/>
      <c r="O11" s="29" t="n">
        <v>8</v>
      </c>
      <c r="P11" s="29" t="n">
        <v>13</v>
      </c>
      <c r="Q11" s="29" t="s">
        <v>69</v>
      </c>
      <c r="R11" s="29" t="s">
        <v>70</v>
      </c>
    </row>
    <row r="12" customFormat="false" ht="23.85" hidden="false" customHeight="false" outlineLevel="0" collapsed="false">
      <c r="A12" s="29" t="s">
        <v>61</v>
      </c>
      <c r="B12" s="30" t="n">
        <v>46068</v>
      </c>
      <c r="C12" s="31" t="s">
        <v>62</v>
      </c>
      <c r="D12" s="29" t="s">
        <v>63</v>
      </c>
      <c r="E12" s="29" t="s">
        <v>72</v>
      </c>
      <c r="F12" s="31" t="s">
        <v>65</v>
      </c>
      <c r="G12" s="29" t="n">
        <v>6</v>
      </c>
      <c r="H12" s="29" t="n">
        <v>85</v>
      </c>
      <c r="I12" s="29" t="n">
        <v>75</v>
      </c>
      <c r="J12" s="32" t="str">
        <f aca="false">IF(OR(H12="",I12=""),"",IF(ABS(H12-I12)&lt;=25,"OK",IF(ABS(H12-I12)&lt;=40,"MARGINAL","REJECT")))</f>
        <v>OK</v>
      </c>
      <c r="K12" s="29" t="s">
        <v>66</v>
      </c>
      <c r="L12" s="29" t="s">
        <v>73</v>
      </c>
      <c r="M12" s="33" t="n">
        <f aca="false">IFERROR(IF(A12="","",M11+G12),"")</f>
        <v>18</v>
      </c>
      <c r="N12" s="31" t="s">
        <v>74</v>
      </c>
      <c r="O12" s="29" t="n">
        <v>9</v>
      </c>
      <c r="P12" s="29" t="n">
        <v>14</v>
      </c>
      <c r="Q12" s="29" t="s">
        <v>69</v>
      </c>
      <c r="R12" s="29" t="s">
        <v>70</v>
      </c>
    </row>
    <row r="13" customFormat="false" ht="23.85" hidden="false" customHeight="false" outlineLevel="0" collapsed="false">
      <c r="A13" s="29" t="s">
        <v>75</v>
      </c>
      <c r="B13" s="30" t="n">
        <v>46069</v>
      </c>
      <c r="C13" s="31" t="s">
        <v>76</v>
      </c>
      <c r="D13" s="29" t="s">
        <v>77</v>
      </c>
      <c r="E13" s="29" t="s">
        <v>78</v>
      </c>
      <c r="F13" s="31" t="s">
        <v>65</v>
      </c>
      <c r="G13" s="29" t="n">
        <v>8</v>
      </c>
      <c r="H13" s="29" t="n">
        <v>65</v>
      </c>
      <c r="I13" s="29" t="n">
        <v>75</v>
      </c>
      <c r="J13" s="32" t="str">
        <f aca="false">IF(OR(H13="",I13=""),"",IF(ABS(H13-I13)&lt;=25,"OK",IF(ABS(H13-I13)&lt;=40,"MARGINAL","REJECT")))</f>
        <v>OK</v>
      </c>
      <c r="K13" s="29" t="s">
        <v>66</v>
      </c>
      <c r="L13" s="29" t="s">
        <v>79</v>
      </c>
      <c r="M13" s="33" t="n">
        <f aca="false">IFERROR(IF(A13="","",M12+G13),"")</f>
        <v>26</v>
      </c>
      <c r="N13" s="31" t="s">
        <v>80</v>
      </c>
      <c r="O13" s="29" t="n">
        <v>6</v>
      </c>
      <c r="P13" s="29" t="n">
        <v>11</v>
      </c>
      <c r="Q13" s="29" t="s">
        <v>81</v>
      </c>
      <c r="R13" s="29" t="s">
        <v>70</v>
      </c>
    </row>
    <row r="14" customFormat="false" ht="23.85" hidden="false" customHeight="false" outlineLevel="0" collapsed="false">
      <c r="A14" s="29" t="s">
        <v>75</v>
      </c>
      <c r="B14" s="30" t="n">
        <v>46069</v>
      </c>
      <c r="C14" s="31" t="s">
        <v>76</v>
      </c>
      <c r="D14" s="29" t="s">
        <v>77</v>
      </c>
      <c r="E14" s="29" t="s">
        <v>82</v>
      </c>
      <c r="F14" s="31" t="s">
        <v>65</v>
      </c>
      <c r="G14" s="29" t="n">
        <v>8</v>
      </c>
      <c r="H14" s="29" t="n">
        <v>130</v>
      </c>
      <c r="I14" s="29" t="n">
        <v>75</v>
      </c>
      <c r="J14" s="32" t="str">
        <f aca="false">IF(OR(H14="",I14=""),"",IF(ABS(H14-I14)&lt;=25,"OK",IF(ABS(H14-I14)&lt;=40,"MARGINAL","REJECT")))</f>
        <v>REJECT</v>
      </c>
      <c r="K14" s="29" t="s">
        <v>70</v>
      </c>
      <c r="L14" s="29"/>
      <c r="M14" s="33" t="n">
        <f aca="false">IFERROR(IF(A14="","",M13+G14),"")</f>
        <v>34</v>
      </c>
      <c r="N14" s="31" t="s">
        <v>83</v>
      </c>
      <c r="O14" s="29" t="n">
        <v>7</v>
      </c>
      <c r="P14" s="29" t="n">
        <v>15</v>
      </c>
      <c r="Q14" s="29" t="s">
        <v>81</v>
      </c>
      <c r="R14" s="29" t="s">
        <v>70</v>
      </c>
    </row>
    <row r="15" customFormat="false" ht="15" hidden="false" customHeight="false" outlineLevel="0" collapsed="false">
      <c r="A15" s="29"/>
      <c r="B15" s="30"/>
      <c r="C15" s="31"/>
      <c r="D15" s="29"/>
      <c r="E15" s="29"/>
      <c r="F15" s="31"/>
      <c r="G15" s="29"/>
      <c r="H15" s="29"/>
      <c r="I15" s="29"/>
      <c r="J15" s="32" t="str">
        <f aca="false">IF(OR(H15="",I15=""),"",IF(ABS(H15-I15)&lt;=25,"OK",IF(ABS(H15-I15)&lt;=40,"MARGINAL","REJECT")))</f>
        <v/>
      </c>
      <c r="K15" s="29"/>
      <c r="L15" s="29"/>
      <c r="M15" s="33" t="str">
        <f aca="false">IFERROR(IF(A15="","",M14+G15),"")</f>
        <v/>
      </c>
      <c r="N15" s="31"/>
      <c r="O15" s="29"/>
      <c r="P15" s="29"/>
      <c r="Q15" s="29"/>
      <c r="R15" s="29"/>
    </row>
    <row r="16" customFormat="false" ht="15" hidden="false" customHeight="false" outlineLevel="0" collapsed="false">
      <c r="A16" s="29"/>
      <c r="B16" s="30"/>
      <c r="C16" s="31"/>
      <c r="D16" s="29"/>
      <c r="E16" s="29"/>
      <c r="F16" s="31"/>
      <c r="G16" s="29"/>
      <c r="H16" s="29"/>
      <c r="I16" s="29"/>
      <c r="J16" s="32" t="str">
        <f aca="false">IF(OR(H16="",I16=""),"",IF(ABS(H16-I16)&lt;=25,"OK",IF(ABS(H16-I16)&lt;=40,"MARGINAL","REJECT")))</f>
        <v/>
      </c>
      <c r="K16" s="29"/>
      <c r="L16" s="29"/>
      <c r="M16" s="33" t="str">
        <f aca="false">IFERROR(IF(A16="","",M15+G16),"")</f>
        <v/>
      </c>
      <c r="N16" s="31"/>
      <c r="O16" s="29"/>
      <c r="P16" s="29"/>
      <c r="Q16" s="29"/>
      <c r="R16" s="29"/>
    </row>
    <row r="17" customFormat="false" ht="15" hidden="false" customHeight="false" outlineLevel="0" collapsed="false">
      <c r="A17" s="29"/>
      <c r="B17" s="30"/>
      <c r="C17" s="31"/>
      <c r="D17" s="29"/>
      <c r="E17" s="29"/>
      <c r="F17" s="31"/>
      <c r="G17" s="29"/>
      <c r="H17" s="29"/>
      <c r="I17" s="29"/>
      <c r="J17" s="32" t="str">
        <f aca="false">IF(OR(H17="",I17=""),"",IF(ABS(H17-I17)&lt;=25,"OK",IF(ABS(H17-I17)&lt;=40,"MARGINAL","REJECT")))</f>
        <v/>
      </c>
      <c r="K17" s="29"/>
      <c r="L17" s="29"/>
      <c r="M17" s="33" t="str">
        <f aca="false">IFERROR(IF(A17="","",M16+G17),"")</f>
        <v/>
      </c>
      <c r="N17" s="31"/>
      <c r="O17" s="29"/>
      <c r="P17" s="29"/>
      <c r="Q17" s="29"/>
      <c r="R17" s="29"/>
    </row>
    <row r="18" customFormat="false" ht="15" hidden="false" customHeight="false" outlineLevel="0" collapsed="false">
      <c r="A18" s="29"/>
      <c r="B18" s="30"/>
      <c r="C18" s="31"/>
      <c r="D18" s="29"/>
      <c r="E18" s="29"/>
      <c r="F18" s="31"/>
      <c r="G18" s="29"/>
      <c r="H18" s="29"/>
      <c r="I18" s="29"/>
      <c r="J18" s="32" t="str">
        <f aca="false">IF(OR(H18="",I18=""),"",IF(ABS(H18-I18)&lt;=25,"OK",IF(ABS(H18-I18)&lt;=40,"MARGINAL","REJECT")))</f>
        <v/>
      </c>
      <c r="K18" s="29"/>
      <c r="L18" s="29"/>
      <c r="M18" s="33" t="str">
        <f aca="false">IFERROR(IF(A18="","",M17+G18),"")</f>
        <v/>
      </c>
      <c r="N18" s="31"/>
      <c r="O18" s="29"/>
      <c r="P18" s="29"/>
      <c r="Q18" s="29"/>
      <c r="R18" s="29"/>
    </row>
    <row r="19" customFormat="false" ht="15" hidden="false" customHeight="false" outlineLevel="0" collapsed="false">
      <c r="A19" s="29"/>
      <c r="B19" s="30"/>
      <c r="C19" s="31"/>
      <c r="D19" s="29"/>
      <c r="E19" s="29"/>
      <c r="F19" s="31"/>
      <c r="G19" s="29"/>
      <c r="H19" s="29"/>
      <c r="I19" s="29"/>
      <c r="J19" s="32" t="str">
        <f aca="false">IF(OR(H19="",I19=""),"",IF(ABS(H19-I19)&lt;=25,"OK",IF(ABS(H19-I19)&lt;=40,"MARGINAL","REJECT")))</f>
        <v/>
      </c>
      <c r="K19" s="29"/>
      <c r="L19" s="29"/>
      <c r="M19" s="33" t="str">
        <f aca="false">IFERROR(IF(A19="","",M18+G19),"")</f>
        <v/>
      </c>
      <c r="N19" s="31"/>
      <c r="O19" s="29"/>
      <c r="P19" s="29"/>
      <c r="Q19" s="29"/>
      <c r="R19" s="29"/>
    </row>
    <row r="20" customFormat="false" ht="15" hidden="false" customHeight="false" outlineLevel="0" collapsed="false">
      <c r="A20" s="29"/>
      <c r="B20" s="30"/>
      <c r="C20" s="31"/>
      <c r="D20" s="29"/>
      <c r="E20" s="29"/>
      <c r="F20" s="31"/>
      <c r="G20" s="29"/>
      <c r="H20" s="29"/>
      <c r="I20" s="29"/>
      <c r="J20" s="32" t="str">
        <f aca="false">IF(OR(H20="",I20=""),"",IF(ABS(H20-I20)&lt;=25,"OK",IF(ABS(H20-I20)&lt;=40,"MARGINAL","REJECT")))</f>
        <v/>
      </c>
      <c r="K20" s="29"/>
      <c r="L20" s="29"/>
      <c r="M20" s="33" t="str">
        <f aca="false">IFERROR(IF(A20="","",M19+G20),"")</f>
        <v/>
      </c>
      <c r="N20" s="31"/>
      <c r="O20" s="29"/>
      <c r="P20" s="29"/>
      <c r="Q20" s="29"/>
      <c r="R20" s="29"/>
    </row>
    <row r="21" customFormat="false" ht="15" hidden="false" customHeight="false" outlineLevel="0" collapsed="false">
      <c r="A21" s="29"/>
      <c r="B21" s="30"/>
      <c r="C21" s="31"/>
      <c r="D21" s="29"/>
      <c r="E21" s="29"/>
      <c r="F21" s="31"/>
      <c r="G21" s="29"/>
      <c r="H21" s="29"/>
      <c r="I21" s="29"/>
      <c r="J21" s="32" t="str">
        <f aca="false">IF(OR(H21="",I21=""),"",IF(ABS(H21-I21)&lt;=25,"OK",IF(ABS(H21-I21)&lt;=40,"MARGINAL","REJECT")))</f>
        <v/>
      </c>
      <c r="K21" s="29"/>
      <c r="L21" s="29"/>
      <c r="M21" s="33" t="str">
        <f aca="false">IFERROR(IF(A21="","",M20+G21),"")</f>
        <v/>
      </c>
      <c r="N21" s="31"/>
      <c r="O21" s="29"/>
      <c r="P21" s="29"/>
      <c r="Q21" s="29"/>
      <c r="R21" s="29"/>
    </row>
    <row r="22" customFormat="false" ht="15" hidden="false" customHeight="false" outlineLevel="0" collapsed="false">
      <c r="A22" s="29"/>
      <c r="B22" s="30"/>
      <c r="C22" s="31"/>
      <c r="D22" s="29"/>
      <c r="E22" s="29"/>
      <c r="F22" s="31"/>
      <c r="G22" s="29"/>
      <c r="H22" s="29"/>
      <c r="I22" s="29"/>
      <c r="J22" s="32" t="str">
        <f aca="false">IF(OR(H22="",I22=""),"",IF(ABS(H22-I22)&lt;=25,"OK",IF(ABS(H22-I22)&lt;=40,"MARGINAL","REJECT")))</f>
        <v/>
      </c>
      <c r="K22" s="29"/>
      <c r="L22" s="29"/>
      <c r="M22" s="33" t="str">
        <f aca="false">IFERROR(IF(A22="","",M21+G22),"")</f>
        <v/>
      </c>
      <c r="N22" s="31"/>
      <c r="O22" s="29"/>
      <c r="P22" s="29"/>
      <c r="Q22" s="29"/>
      <c r="R22" s="29"/>
    </row>
    <row r="23" customFormat="false" ht="15" hidden="false" customHeight="false" outlineLevel="0" collapsed="false">
      <c r="A23" s="29"/>
      <c r="B23" s="30"/>
      <c r="C23" s="31"/>
      <c r="D23" s="29"/>
      <c r="E23" s="29"/>
      <c r="F23" s="31"/>
      <c r="G23" s="29"/>
      <c r="H23" s="29"/>
      <c r="I23" s="29"/>
      <c r="J23" s="32" t="str">
        <f aca="false">IF(OR(H23="",I23=""),"",IF(ABS(H23-I23)&lt;=25,"OK",IF(ABS(H23-I23)&lt;=40,"MARGINAL","REJECT")))</f>
        <v/>
      </c>
      <c r="K23" s="29"/>
      <c r="L23" s="29"/>
      <c r="M23" s="33" t="str">
        <f aca="false">IFERROR(IF(A23="","",M22+G23),"")</f>
        <v/>
      </c>
      <c r="N23" s="31"/>
      <c r="O23" s="29"/>
      <c r="P23" s="29"/>
      <c r="Q23" s="29"/>
      <c r="R23" s="29"/>
    </row>
    <row r="24" customFormat="false" ht="15" hidden="false" customHeight="false" outlineLevel="0" collapsed="false">
      <c r="A24" s="29"/>
      <c r="B24" s="30"/>
      <c r="C24" s="31"/>
      <c r="D24" s="29"/>
      <c r="E24" s="29"/>
      <c r="F24" s="31"/>
      <c r="G24" s="29"/>
      <c r="H24" s="29"/>
      <c r="I24" s="29"/>
      <c r="J24" s="32" t="str">
        <f aca="false">IF(OR(H24="",I24=""),"",IF(ABS(H24-I24)&lt;=25,"OK",IF(ABS(H24-I24)&lt;=40,"MARGINAL","REJECT")))</f>
        <v/>
      </c>
      <c r="K24" s="29"/>
      <c r="L24" s="29"/>
      <c r="M24" s="33" t="str">
        <f aca="false">IFERROR(IF(A24="","",M23+G24),"")</f>
        <v/>
      </c>
      <c r="N24" s="31"/>
      <c r="O24" s="29"/>
      <c r="P24" s="29"/>
      <c r="Q24" s="29"/>
      <c r="R24" s="29"/>
    </row>
    <row r="25" customFormat="false" ht="15" hidden="false" customHeight="false" outlineLevel="0" collapsed="false">
      <c r="A25" s="29"/>
      <c r="B25" s="30"/>
      <c r="C25" s="31"/>
      <c r="D25" s="29"/>
      <c r="E25" s="29"/>
      <c r="F25" s="31"/>
      <c r="G25" s="29"/>
      <c r="H25" s="29"/>
      <c r="I25" s="29"/>
      <c r="J25" s="32" t="str">
        <f aca="false">IF(OR(H25="",I25=""),"",IF(ABS(H25-I25)&lt;=25,"OK",IF(ABS(H25-I25)&lt;=40,"MARGINAL","REJECT")))</f>
        <v/>
      </c>
      <c r="K25" s="29"/>
      <c r="L25" s="29"/>
      <c r="M25" s="33" t="str">
        <f aca="false">IFERROR(IF(A25="","",M24+G25),"")</f>
        <v/>
      </c>
      <c r="N25" s="31"/>
      <c r="O25" s="29"/>
      <c r="P25" s="29"/>
      <c r="Q25" s="29"/>
      <c r="R25" s="29"/>
    </row>
    <row r="26" customFormat="false" ht="15" hidden="false" customHeight="false" outlineLevel="0" collapsed="false">
      <c r="A26" s="29"/>
      <c r="B26" s="30"/>
      <c r="C26" s="31"/>
      <c r="D26" s="29"/>
      <c r="E26" s="29"/>
      <c r="F26" s="31"/>
      <c r="G26" s="29"/>
      <c r="H26" s="29"/>
      <c r="I26" s="29"/>
      <c r="J26" s="32" t="str">
        <f aca="false">IF(OR(H26="",I26=""),"",IF(ABS(H26-I26)&lt;=25,"OK",IF(ABS(H26-I26)&lt;=40,"MARGINAL","REJECT")))</f>
        <v/>
      </c>
      <c r="K26" s="29"/>
      <c r="L26" s="29"/>
      <c r="M26" s="33" t="str">
        <f aca="false">IFERROR(IF(A26="","",M25+G26),"")</f>
        <v/>
      </c>
      <c r="N26" s="31"/>
      <c r="O26" s="29"/>
      <c r="P26" s="29"/>
      <c r="Q26" s="29"/>
      <c r="R26" s="29"/>
    </row>
    <row r="27" customFormat="false" ht="15" hidden="false" customHeight="false" outlineLevel="0" collapsed="false">
      <c r="A27" s="29"/>
      <c r="B27" s="30"/>
      <c r="C27" s="31"/>
      <c r="D27" s="29"/>
      <c r="E27" s="29"/>
      <c r="F27" s="31"/>
      <c r="G27" s="29"/>
      <c r="H27" s="29"/>
      <c r="I27" s="29"/>
      <c r="J27" s="32" t="str">
        <f aca="false">IF(OR(H27="",I27=""),"",IF(ABS(H27-I27)&lt;=25,"OK",IF(ABS(H27-I27)&lt;=40,"MARGINAL","REJECT")))</f>
        <v/>
      </c>
      <c r="K27" s="29"/>
      <c r="L27" s="29"/>
      <c r="M27" s="33" t="str">
        <f aca="false">IFERROR(IF(A27="","",M26+G27),"")</f>
        <v/>
      </c>
      <c r="N27" s="31"/>
      <c r="O27" s="29"/>
      <c r="P27" s="29"/>
      <c r="Q27" s="29"/>
      <c r="R27" s="29"/>
    </row>
    <row r="28" customFormat="false" ht="15" hidden="false" customHeight="false" outlineLevel="0" collapsed="false">
      <c r="A28" s="29"/>
      <c r="B28" s="30"/>
      <c r="C28" s="31"/>
      <c r="D28" s="29"/>
      <c r="E28" s="29"/>
      <c r="F28" s="31"/>
      <c r="G28" s="29"/>
      <c r="H28" s="29"/>
      <c r="I28" s="29"/>
      <c r="J28" s="32" t="str">
        <f aca="false">IF(OR(H28="",I28=""),"",IF(ABS(H28-I28)&lt;=25,"OK",IF(ABS(H28-I28)&lt;=40,"MARGINAL","REJECT")))</f>
        <v/>
      </c>
      <c r="K28" s="29"/>
      <c r="L28" s="29"/>
      <c r="M28" s="33" t="str">
        <f aca="false">IFERROR(IF(A28="","",M27+G28),"")</f>
        <v/>
      </c>
      <c r="N28" s="31"/>
      <c r="O28" s="29"/>
      <c r="P28" s="29"/>
      <c r="Q28" s="29"/>
      <c r="R28" s="29"/>
    </row>
    <row r="29" customFormat="false" ht="15" hidden="false" customHeight="false" outlineLevel="0" collapsed="false">
      <c r="A29" s="29"/>
      <c r="B29" s="30"/>
      <c r="C29" s="31"/>
      <c r="D29" s="29"/>
      <c r="E29" s="29"/>
      <c r="F29" s="31"/>
      <c r="G29" s="29"/>
      <c r="H29" s="29"/>
      <c r="I29" s="29"/>
      <c r="J29" s="32" t="str">
        <f aca="false">IF(OR(H29="",I29=""),"",IF(ABS(H29-I29)&lt;=25,"OK",IF(ABS(H29-I29)&lt;=40,"MARGINAL","REJECT")))</f>
        <v/>
      </c>
      <c r="K29" s="29"/>
      <c r="L29" s="29"/>
      <c r="M29" s="33" t="str">
        <f aca="false">IFERROR(IF(A29="","",M28+G29),"")</f>
        <v/>
      </c>
      <c r="N29" s="31"/>
      <c r="O29" s="29"/>
      <c r="P29" s="29"/>
      <c r="Q29" s="29"/>
      <c r="R29" s="29"/>
    </row>
    <row r="30" customFormat="false" ht="15" hidden="false" customHeight="false" outlineLevel="0" collapsed="false">
      <c r="A30" s="29"/>
      <c r="B30" s="30"/>
      <c r="C30" s="31"/>
      <c r="D30" s="29"/>
      <c r="E30" s="29"/>
      <c r="F30" s="31"/>
      <c r="G30" s="29"/>
      <c r="H30" s="29"/>
      <c r="I30" s="29"/>
      <c r="J30" s="32" t="str">
        <f aca="false">IF(OR(H30="",I30=""),"",IF(ABS(H30-I30)&lt;=25,"OK",IF(ABS(H30-I30)&lt;=40,"MARGINAL","REJECT")))</f>
        <v/>
      </c>
      <c r="K30" s="29"/>
      <c r="L30" s="29"/>
      <c r="M30" s="33" t="str">
        <f aca="false">IFERROR(IF(A30="","",M29+G30),"")</f>
        <v/>
      </c>
      <c r="N30" s="31"/>
      <c r="O30" s="29"/>
      <c r="P30" s="29"/>
      <c r="Q30" s="29"/>
      <c r="R30" s="29"/>
    </row>
    <row r="31" customFormat="false" ht="15" hidden="false" customHeight="false" outlineLevel="0" collapsed="false">
      <c r="A31" s="29"/>
      <c r="B31" s="30"/>
      <c r="C31" s="31"/>
      <c r="D31" s="29"/>
      <c r="E31" s="29"/>
      <c r="F31" s="31"/>
      <c r="G31" s="29"/>
      <c r="H31" s="29"/>
      <c r="I31" s="29"/>
      <c r="J31" s="32" t="str">
        <f aca="false">IF(OR(H31="",I31=""),"",IF(ABS(H31-I31)&lt;=25,"OK",IF(ABS(H31-I31)&lt;=40,"MARGINAL","REJECT")))</f>
        <v/>
      </c>
      <c r="K31" s="29"/>
      <c r="L31" s="29"/>
      <c r="M31" s="33" t="str">
        <f aca="false">IFERROR(IF(A31="","",M30+G31),"")</f>
        <v/>
      </c>
      <c r="N31" s="31"/>
      <c r="O31" s="29"/>
      <c r="P31" s="29"/>
      <c r="Q31" s="29"/>
      <c r="R31" s="29"/>
    </row>
    <row r="32" customFormat="false" ht="15" hidden="false" customHeight="false" outlineLevel="0" collapsed="false">
      <c r="A32" s="29"/>
      <c r="B32" s="30"/>
      <c r="C32" s="31"/>
      <c r="D32" s="29"/>
      <c r="E32" s="29"/>
      <c r="F32" s="31"/>
      <c r="G32" s="29"/>
      <c r="H32" s="29"/>
      <c r="I32" s="29"/>
      <c r="J32" s="32" t="str">
        <f aca="false">IF(OR(H32="",I32=""),"",IF(ABS(H32-I32)&lt;=25,"OK",IF(ABS(H32-I32)&lt;=40,"MARGINAL","REJECT")))</f>
        <v/>
      </c>
      <c r="K32" s="29"/>
      <c r="L32" s="29"/>
      <c r="M32" s="33" t="str">
        <f aca="false">IFERROR(IF(A32="","",M31+G32),"")</f>
        <v/>
      </c>
      <c r="N32" s="31"/>
      <c r="O32" s="29"/>
      <c r="P32" s="29"/>
      <c r="Q32" s="29"/>
      <c r="R32" s="29"/>
    </row>
    <row r="33" customFormat="false" ht="15" hidden="false" customHeight="false" outlineLevel="0" collapsed="false">
      <c r="A33" s="29"/>
      <c r="B33" s="30"/>
      <c r="C33" s="31"/>
      <c r="D33" s="29"/>
      <c r="E33" s="29"/>
      <c r="F33" s="31"/>
      <c r="G33" s="29"/>
      <c r="H33" s="29"/>
      <c r="I33" s="29"/>
      <c r="J33" s="32" t="str">
        <f aca="false">IF(OR(H33="",I33=""),"",IF(ABS(H33-I33)&lt;=25,"OK",IF(ABS(H33-I33)&lt;=40,"MARGINAL","REJECT")))</f>
        <v/>
      </c>
      <c r="K33" s="29"/>
      <c r="L33" s="29"/>
      <c r="M33" s="33" t="str">
        <f aca="false">IFERROR(IF(A33="","",M32+G33),"")</f>
        <v/>
      </c>
      <c r="N33" s="31"/>
      <c r="O33" s="29"/>
      <c r="P33" s="29"/>
      <c r="Q33" s="29"/>
      <c r="R33" s="29"/>
    </row>
    <row r="34" customFormat="false" ht="15" hidden="false" customHeight="false" outlineLevel="0" collapsed="false">
      <c r="A34" s="29"/>
      <c r="B34" s="30"/>
      <c r="C34" s="31"/>
      <c r="D34" s="29"/>
      <c r="E34" s="29"/>
      <c r="F34" s="31"/>
      <c r="G34" s="29"/>
      <c r="H34" s="29"/>
      <c r="I34" s="29"/>
      <c r="J34" s="32" t="str">
        <f aca="false">IF(OR(H34="",I34=""),"",IF(ABS(H34-I34)&lt;=25,"OK",IF(ABS(H34-I34)&lt;=40,"MARGINAL","REJECT")))</f>
        <v/>
      </c>
      <c r="K34" s="29"/>
      <c r="L34" s="29"/>
      <c r="M34" s="33" t="str">
        <f aca="false">IFERROR(IF(A34="","",M33+G34),"")</f>
        <v/>
      </c>
      <c r="N34" s="31"/>
      <c r="O34" s="29"/>
      <c r="P34" s="29"/>
      <c r="Q34" s="29"/>
      <c r="R34" s="29"/>
    </row>
    <row r="35" customFormat="false" ht="15" hidden="false" customHeight="false" outlineLevel="0" collapsed="false">
      <c r="A35" s="29"/>
      <c r="B35" s="30"/>
      <c r="C35" s="31"/>
      <c r="D35" s="29"/>
      <c r="E35" s="29"/>
      <c r="F35" s="31"/>
      <c r="G35" s="29"/>
      <c r="H35" s="29"/>
      <c r="I35" s="29"/>
      <c r="J35" s="32" t="str">
        <f aca="false">IF(OR(H35="",I35=""),"",IF(ABS(H35-I35)&lt;=25,"OK",IF(ABS(H35-I35)&lt;=40,"MARGINAL","REJECT")))</f>
        <v/>
      </c>
      <c r="K35" s="29"/>
      <c r="L35" s="29"/>
      <c r="M35" s="33" t="str">
        <f aca="false">IFERROR(IF(A35="","",M34+G35),"")</f>
        <v/>
      </c>
      <c r="N35" s="31"/>
      <c r="O35" s="29"/>
      <c r="P35" s="29"/>
      <c r="Q35" s="29"/>
      <c r="R35" s="29"/>
    </row>
    <row r="36" customFormat="false" ht="15" hidden="false" customHeight="false" outlineLevel="0" collapsed="false">
      <c r="A36" s="29"/>
      <c r="B36" s="30"/>
      <c r="C36" s="31"/>
      <c r="D36" s="29"/>
      <c r="E36" s="29"/>
      <c r="F36" s="31"/>
      <c r="G36" s="29"/>
      <c r="H36" s="29"/>
      <c r="I36" s="29"/>
      <c r="J36" s="32" t="str">
        <f aca="false">IF(OR(H36="",I36=""),"",IF(ABS(H36-I36)&lt;=25,"OK",IF(ABS(H36-I36)&lt;=40,"MARGINAL","REJECT")))</f>
        <v/>
      </c>
      <c r="K36" s="29"/>
      <c r="L36" s="29"/>
      <c r="M36" s="33" t="str">
        <f aca="false">IFERROR(IF(A36="","",M35+G36),"")</f>
        <v/>
      </c>
      <c r="N36" s="31"/>
      <c r="O36" s="29"/>
      <c r="P36" s="29"/>
      <c r="Q36" s="29"/>
      <c r="R36" s="29"/>
    </row>
    <row r="37" customFormat="false" ht="15" hidden="false" customHeight="false" outlineLevel="0" collapsed="false">
      <c r="A37" s="29"/>
      <c r="B37" s="30"/>
      <c r="C37" s="31"/>
      <c r="D37" s="29"/>
      <c r="E37" s="29"/>
      <c r="F37" s="31"/>
      <c r="G37" s="29"/>
      <c r="H37" s="29"/>
      <c r="I37" s="29"/>
      <c r="J37" s="32" t="str">
        <f aca="false">IF(OR(H37="",I37=""),"",IF(ABS(H37-I37)&lt;=25,"OK",IF(ABS(H37-I37)&lt;=40,"MARGINAL","REJECT")))</f>
        <v/>
      </c>
      <c r="K37" s="29"/>
      <c r="L37" s="29"/>
      <c r="M37" s="33" t="str">
        <f aca="false">IFERROR(IF(A37="","",M36+G37),"")</f>
        <v/>
      </c>
      <c r="N37" s="31"/>
      <c r="O37" s="29"/>
      <c r="P37" s="29"/>
      <c r="Q37" s="29"/>
      <c r="R37" s="29"/>
    </row>
    <row r="38" customFormat="false" ht="15" hidden="false" customHeight="false" outlineLevel="0" collapsed="false">
      <c r="A38" s="29"/>
      <c r="B38" s="30"/>
      <c r="C38" s="31"/>
      <c r="D38" s="29"/>
      <c r="E38" s="29"/>
      <c r="F38" s="31"/>
      <c r="G38" s="29"/>
      <c r="H38" s="29"/>
      <c r="I38" s="29"/>
      <c r="J38" s="32" t="str">
        <f aca="false">IF(OR(H38="",I38=""),"",IF(ABS(H38-I38)&lt;=25,"OK",IF(ABS(H38-I38)&lt;=40,"MARGINAL","REJECT")))</f>
        <v/>
      </c>
      <c r="K38" s="29"/>
      <c r="L38" s="29"/>
      <c r="M38" s="33" t="str">
        <f aca="false">IFERROR(IF(A38="","",M37+G38),"")</f>
        <v/>
      </c>
      <c r="N38" s="31"/>
      <c r="O38" s="29"/>
      <c r="P38" s="29"/>
      <c r="Q38" s="29"/>
      <c r="R38" s="29"/>
    </row>
    <row r="39" customFormat="false" ht="15" hidden="false" customHeight="false" outlineLevel="0" collapsed="false">
      <c r="A39" s="29"/>
      <c r="B39" s="30"/>
      <c r="C39" s="31"/>
      <c r="D39" s="29"/>
      <c r="E39" s="29"/>
      <c r="F39" s="31"/>
      <c r="G39" s="29"/>
      <c r="H39" s="29"/>
      <c r="I39" s="29"/>
      <c r="J39" s="32" t="str">
        <f aca="false">IF(OR(H39="",I39=""),"",IF(ABS(H39-I39)&lt;=25,"OK",IF(ABS(H39-I39)&lt;=40,"MARGINAL","REJECT")))</f>
        <v/>
      </c>
      <c r="K39" s="29"/>
      <c r="L39" s="29"/>
      <c r="M39" s="33" t="str">
        <f aca="false">IFERROR(IF(A39="","",M38+G39),"")</f>
        <v/>
      </c>
      <c r="N39" s="31"/>
      <c r="O39" s="29"/>
      <c r="P39" s="29"/>
      <c r="Q39" s="29"/>
      <c r="R39" s="29"/>
    </row>
    <row r="40" customFormat="false" ht="15" hidden="false" customHeight="false" outlineLevel="0" collapsed="false">
      <c r="A40" s="29"/>
      <c r="B40" s="30"/>
      <c r="C40" s="31"/>
      <c r="D40" s="29"/>
      <c r="E40" s="29"/>
      <c r="F40" s="31"/>
      <c r="G40" s="29"/>
      <c r="H40" s="29"/>
      <c r="I40" s="29"/>
      <c r="J40" s="32" t="str">
        <f aca="false">IF(OR(H40="",I40=""),"",IF(ABS(H40-I40)&lt;=25,"OK",IF(ABS(H40-I40)&lt;=40,"MARGINAL","REJECT")))</f>
        <v/>
      </c>
      <c r="K40" s="29"/>
      <c r="L40" s="29"/>
      <c r="M40" s="33" t="str">
        <f aca="false">IFERROR(IF(A40="","",M39+G40),"")</f>
        <v/>
      </c>
      <c r="N40" s="31"/>
      <c r="O40" s="29"/>
      <c r="P40" s="29"/>
      <c r="Q40" s="29"/>
      <c r="R40" s="29"/>
    </row>
    <row r="41" customFormat="false" ht="15" hidden="false" customHeight="false" outlineLevel="0" collapsed="false">
      <c r="A41" s="29"/>
      <c r="B41" s="30"/>
      <c r="C41" s="31"/>
      <c r="D41" s="29"/>
      <c r="E41" s="29"/>
      <c r="F41" s="31"/>
      <c r="G41" s="29"/>
      <c r="H41" s="29"/>
      <c r="I41" s="29"/>
      <c r="J41" s="32" t="str">
        <f aca="false">IF(OR(H41="",I41=""),"",IF(ABS(H41-I41)&lt;=25,"OK",IF(ABS(H41-I41)&lt;=40,"MARGINAL","REJECT")))</f>
        <v/>
      </c>
      <c r="K41" s="29"/>
      <c r="L41" s="29"/>
      <c r="M41" s="33" t="str">
        <f aca="false">IFERROR(IF(A41="","",M40+G41),"")</f>
        <v/>
      </c>
      <c r="N41" s="31"/>
      <c r="O41" s="29"/>
      <c r="P41" s="29"/>
      <c r="Q41" s="29"/>
      <c r="R41" s="29"/>
    </row>
    <row r="42" customFormat="false" ht="15" hidden="false" customHeight="false" outlineLevel="0" collapsed="false">
      <c r="A42" s="29"/>
      <c r="B42" s="30"/>
      <c r="C42" s="31"/>
      <c r="D42" s="29"/>
      <c r="E42" s="29"/>
      <c r="F42" s="31"/>
      <c r="G42" s="29"/>
      <c r="H42" s="29"/>
      <c r="I42" s="29"/>
      <c r="J42" s="32" t="str">
        <f aca="false">IF(OR(H42="",I42=""),"",IF(ABS(H42-I42)&lt;=25,"OK",IF(ABS(H42-I42)&lt;=40,"MARGINAL","REJECT")))</f>
        <v/>
      </c>
      <c r="K42" s="29"/>
      <c r="L42" s="29"/>
      <c r="M42" s="33" t="str">
        <f aca="false">IFERROR(IF(A42="","",M41+G42),"")</f>
        <v/>
      </c>
      <c r="N42" s="31"/>
      <c r="O42" s="29"/>
      <c r="P42" s="29"/>
      <c r="Q42" s="29"/>
      <c r="R42" s="29"/>
    </row>
    <row r="43" customFormat="false" ht="15" hidden="false" customHeight="false" outlineLevel="0" collapsed="false">
      <c r="A43" s="29"/>
      <c r="B43" s="30"/>
      <c r="C43" s="31"/>
      <c r="D43" s="29"/>
      <c r="E43" s="29"/>
      <c r="F43" s="31"/>
      <c r="G43" s="29"/>
      <c r="H43" s="29"/>
      <c r="I43" s="29"/>
      <c r="J43" s="32" t="str">
        <f aca="false">IF(OR(H43="",I43=""),"",IF(ABS(H43-I43)&lt;=25,"OK",IF(ABS(H43-I43)&lt;=40,"MARGINAL","REJECT")))</f>
        <v/>
      </c>
      <c r="K43" s="29"/>
      <c r="L43" s="29"/>
      <c r="M43" s="33" t="str">
        <f aca="false">IFERROR(IF(A43="","",M42+G43),"")</f>
        <v/>
      </c>
      <c r="N43" s="31"/>
      <c r="O43" s="29"/>
      <c r="P43" s="29"/>
      <c r="Q43" s="29"/>
      <c r="R43" s="29"/>
    </row>
    <row r="44" customFormat="false" ht="15" hidden="false" customHeight="false" outlineLevel="0" collapsed="false">
      <c r="A44" s="29"/>
      <c r="B44" s="30"/>
      <c r="C44" s="31"/>
      <c r="D44" s="29"/>
      <c r="E44" s="29"/>
      <c r="F44" s="31"/>
      <c r="G44" s="29"/>
      <c r="H44" s="29"/>
      <c r="I44" s="29"/>
      <c r="J44" s="32" t="str">
        <f aca="false">IF(OR(H44="",I44=""),"",IF(ABS(H44-I44)&lt;=25,"OK",IF(ABS(H44-I44)&lt;=40,"MARGINAL","REJECT")))</f>
        <v/>
      </c>
      <c r="K44" s="29"/>
      <c r="L44" s="29"/>
      <c r="M44" s="33" t="str">
        <f aca="false">IFERROR(IF(A44="","",M43+G44),"")</f>
        <v/>
      </c>
      <c r="N44" s="31"/>
      <c r="O44" s="29"/>
      <c r="P44" s="29"/>
      <c r="Q44" s="29"/>
      <c r="R44" s="29"/>
    </row>
    <row r="45" customFormat="false" ht="15" hidden="false" customHeight="false" outlineLevel="0" collapsed="false">
      <c r="A45" s="29"/>
      <c r="B45" s="30"/>
      <c r="C45" s="31"/>
      <c r="D45" s="29"/>
      <c r="E45" s="29"/>
      <c r="F45" s="31"/>
      <c r="G45" s="29"/>
      <c r="H45" s="29"/>
      <c r="I45" s="29"/>
      <c r="J45" s="32" t="str">
        <f aca="false">IF(OR(H45="",I45=""),"",IF(ABS(H45-I45)&lt;=25,"OK",IF(ABS(H45-I45)&lt;=40,"MARGINAL","REJECT")))</f>
        <v/>
      </c>
      <c r="K45" s="29"/>
      <c r="L45" s="29"/>
      <c r="M45" s="33" t="str">
        <f aca="false">IFERROR(IF(A45="","",M44+G45),"")</f>
        <v/>
      </c>
      <c r="N45" s="31"/>
      <c r="O45" s="29"/>
      <c r="P45" s="29"/>
      <c r="Q45" s="29"/>
      <c r="R45" s="29"/>
    </row>
    <row r="46" customFormat="false" ht="15" hidden="false" customHeight="false" outlineLevel="0" collapsed="false">
      <c r="A46" s="29"/>
      <c r="B46" s="30"/>
      <c r="C46" s="31"/>
      <c r="D46" s="29"/>
      <c r="E46" s="29"/>
      <c r="F46" s="31"/>
      <c r="G46" s="29"/>
      <c r="H46" s="29"/>
      <c r="I46" s="29"/>
      <c r="J46" s="32" t="str">
        <f aca="false">IF(OR(H46="",I46=""),"",IF(ABS(H46-I46)&lt;=25,"OK",IF(ABS(H46-I46)&lt;=40,"MARGINAL","REJECT")))</f>
        <v/>
      </c>
      <c r="K46" s="29"/>
      <c r="L46" s="29"/>
      <c r="M46" s="33" t="str">
        <f aca="false">IFERROR(IF(A46="","",M45+G46),"")</f>
        <v/>
      </c>
      <c r="N46" s="31"/>
      <c r="O46" s="29"/>
      <c r="P46" s="29"/>
      <c r="Q46" s="29"/>
      <c r="R46" s="29"/>
    </row>
    <row r="47" customFormat="false" ht="15" hidden="false" customHeight="false" outlineLevel="0" collapsed="false">
      <c r="A47" s="29"/>
      <c r="B47" s="30"/>
      <c r="C47" s="31"/>
      <c r="D47" s="29"/>
      <c r="E47" s="29"/>
      <c r="F47" s="31"/>
      <c r="G47" s="29"/>
      <c r="H47" s="29"/>
      <c r="I47" s="29"/>
      <c r="J47" s="32" t="str">
        <f aca="false">IF(OR(H47="",I47=""),"",IF(ABS(H47-I47)&lt;=25,"OK",IF(ABS(H47-I47)&lt;=40,"MARGINAL","REJECT")))</f>
        <v/>
      </c>
      <c r="K47" s="29"/>
      <c r="L47" s="29"/>
      <c r="M47" s="33" t="str">
        <f aca="false">IFERROR(IF(A47="","",M46+G47),"")</f>
        <v/>
      </c>
      <c r="N47" s="31"/>
      <c r="O47" s="29"/>
      <c r="P47" s="29"/>
      <c r="Q47" s="29"/>
      <c r="R47" s="29"/>
    </row>
    <row r="48" customFormat="false" ht="15" hidden="false" customHeight="false" outlineLevel="0" collapsed="false">
      <c r="A48" s="29"/>
      <c r="B48" s="30"/>
      <c r="C48" s="31"/>
      <c r="D48" s="29"/>
      <c r="E48" s="29"/>
      <c r="F48" s="31"/>
      <c r="G48" s="29"/>
      <c r="H48" s="29"/>
      <c r="I48" s="29"/>
      <c r="J48" s="32" t="str">
        <f aca="false">IF(OR(H48="",I48=""),"",IF(ABS(H48-I48)&lt;=25,"OK",IF(ABS(H48-I48)&lt;=40,"MARGINAL","REJECT")))</f>
        <v/>
      </c>
      <c r="K48" s="29"/>
      <c r="L48" s="29"/>
      <c r="M48" s="33" t="str">
        <f aca="false">IFERROR(IF(A48="","",M47+G48),"")</f>
        <v/>
      </c>
      <c r="N48" s="31"/>
      <c r="O48" s="29"/>
      <c r="P48" s="29"/>
      <c r="Q48" s="29"/>
      <c r="R48" s="29"/>
    </row>
    <row r="49" customFormat="false" ht="15" hidden="false" customHeight="false" outlineLevel="0" collapsed="false">
      <c r="A49" s="29"/>
      <c r="B49" s="30"/>
      <c r="C49" s="31"/>
      <c r="D49" s="29"/>
      <c r="E49" s="29"/>
      <c r="F49" s="31"/>
      <c r="G49" s="29"/>
      <c r="H49" s="29"/>
      <c r="I49" s="29"/>
      <c r="J49" s="32" t="str">
        <f aca="false">IF(OR(H49="",I49=""),"",IF(ABS(H49-I49)&lt;=25,"OK",IF(ABS(H49-I49)&lt;=40,"MARGINAL","REJECT")))</f>
        <v/>
      </c>
      <c r="K49" s="29"/>
      <c r="L49" s="29"/>
      <c r="M49" s="33" t="str">
        <f aca="false">IFERROR(IF(A49="","",M48+G49),"")</f>
        <v/>
      </c>
      <c r="N49" s="31"/>
      <c r="O49" s="29"/>
      <c r="P49" s="29"/>
      <c r="Q49" s="29"/>
      <c r="R49" s="29"/>
    </row>
    <row r="50" customFormat="false" ht="15" hidden="false" customHeight="false" outlineLevel="0" collapsed="false">
      <c r="A50" s="29"/>
      <c r="B50" s="30"/>
      <c r="C50" s="31"/>
      <c r="D50" s="29"/>
      <c r="E50" s="29"/>
      <c r="F50" s="31"/>
      <c r="G50" s="29"/>
      <c r="H50" s="29"/>
      <c r="I50" s="29"/>
      <c r="J50" s="32" t="str">
        <f aca="false">IF(OR(H50="",I50=""),"",IF(ABS(H50-I50)&lt;=25,"OK",IF(ABS(H50-I50)&lt;=40,"MARGINAL","REJECT")))</f>
        <v/>
      </c>
      <c r="K50" s="29"/>
      <c r="L50" s="29"/>
      <c r="M50" s="33" t="str">
        <f aca="false">IFERROR(IF(A50="","",M49+G50),"")</f>
        <v/>
      </c>
      <c r="N50" s="31"/>
      <c r="O50" s="29"/>
      <c r="P50" s="29"/>
      <c r="Q50" s="29"/>
      <c r="R50" s="29"/>
    </row>
    <row r="51" customFormat="false" ht="15" hidden="false" customHeight="false" outlineLevel="0" collapsed="false">
      <c r="A51" s="29"/>
      <c r="B51" s="30"/>
      <c r="C51" s="31"/>
      <c r="D51" s="29"/>
      <c r="E51" s="29"/>
      <c r="F51" s="31"/>
      <c r="G51" s="29"/>
      <c r="H51" s="29"/>
      <c r="I51" s="29"/>
      <c r="J51" s="32" t="str">
        <f aca="false">IF(OR(H51="",I51=""),"",IF(ABS(H51-I51)&lt;=25,"OK",IF(ABS(H51-I51)&lt;=40,"MARGINAL","REJECT")))</f>
        <v/>
      </c>
      <c r="K51" s="29"/>
      <c r="L51" s="29"/>
      <c r="M51" s="33" t="str">
        <f aca="false">IFERROR(IF(A51="","",M50+G51),"")</f>
        <v/>
      </c>
      <c r="N51" s="31"/>
      <c r="O51" s="29"/>
      <c r="P51" s="29"/>
      <c r="Q51" s="29"/>
      <c r="R51" s="29"/>
    </row>
    <row r="52" customFormat="false" ht="15" hidden="false" customHeight="false" outlineLevel="0" collapsed="false">
      <c r="A52" s="29"/>
      <c r="B52" s="30"/>
      <c r="C52" s="31"/>
      <c r="D52" s="29"/>
      <c r="E52" s="29"/>
      <c r="F52" s="31"/>
      <c r="G52" s="29"/>
      <c r="H52" s="29"/>
      <c r="I52" s="29"/>
      <c r="J52" s="32" t="str">
        <f aca="false">IF(OR(H52="",I52=""),"",IF(ABS(H52-I52)&lt;=25,"OK",IF(ABS(H52-I52)&lt;=40,"MARGINAL","REJECT")))</f>
        <v/>
      </c>
      <c r="K52" s="29"/>
      <c r="L52" s="29"/>
      <c r="M52" s="33" t="str">
        <f aca="false">IFERROR(IF(A52="","",M51+G52),"")</f>
        <v/>
      </c>
      <c r="N52" s="31"/>
      <c r="O52" s="29"/>
      <c r="P52" s="29"/>
      <c r="Q52" s="29"/>
      <c r="R52" s="29"/>
    </row>
    <row r="53" customFormat="false" ht="15" hidden="false" customHeight="false" outlineLevel="0" collapsed="false">
      <c r="A53" s="29"/>
      <c r="B53" s="30"/>
      <c r="C53" s="31"/>
      <c r="D53" s="29"/>
      <c r="E53" s="29"/>
      <c r="F53" s="31"/>
      <c r="G53" s="29"/>
      <c r="H53" s="29"/>
      <c r="I53" s="29"/>
      <c r="J53" s="32" t="str">
        <f aca="false">IF(OR(H53="",I53=""),"",IF(ABS(H53-I53)&lt;=25,"OK",IF(ABS(H53-I53)&lt;=40,"MARGINAL","REJECT")))</f>
        <v/>
      </c>
      <c r="K53" s="29"/>
      <c r="L53" s="29"/>
      <c r="M53" s="33" t="str">
        <f aca="false">IFERROR(IF(A53="","",M52+G53),"")</f>
        <v/>
      </c>
      <c r="N53" s="31"/>
      <c r="O53" s="29"/>
      <c r="P53" s="29"/>
      <c r="Q53" s="29"/>
      <c r="R53" s="29"/>
    </row>
    <row r="54" customFormat="false" ht="15" hidden="false" customHeight="false" outlineLevel="0" collapsed="false">
      <c r="A54" s="29"/>
      <c r="B54" s="30"/>
      <c r="C54" s="31"/>
      <c r="D54" s="29"/>
      <c r="E54" s="29"/>
      <c r="F54" s="31"/>
      <c r="G54" s="29"/>
      <c r="H54" s="29"/>
      <c r="I54" s="29"/>
      <c r="J54" s="32" t="str">
        <f aca="false">IF(OR(H54="",I54=""),"",IF(ABS(H54-I54)&lt;=25,"OK",IF(ABS(H54-I54)&lt;=40,"MARGINAL","REJECT")))</f>
        <v/>
      </c>
      <c r="K54" s="29"/>
      <c r="L54" s="29"/>
      <c r="M54" s="33" t="str">
        <f aca="false">IFERROR(IF(A54="","",M53+G54),"")</f>
        <v/>
      </c>
      <c r="N54" s="31"/>
      <c r="O54" s="29"/>
      <c r="P54" s="29"/>
      <c r="Q54" s="29"/>
      <c r="R54" s="29"/>
    </row>
    <row r="55" customFormat="false" ht="15" hidden="false" customHeight="false" outlineLevel="0" collapsed="false">
      <c r="A55" s="29"/>
      <c r="B55" s="30"/>
      <c r="C55" s="31"/>
      <c r="D55" s="29"/>
      <c r="E55" s="29"/>
      <c r="F55" s="31"/>
      <c r="G55" s="29"/>
      <c r="H55" s="29"/>
      <c r="I55" s="29"/>
      <c r="J55" s="32" t="str">
        <f aca="false">IF(OR(H55="",I55=""),"",IF(ABS(H55-I55)&lt;=25,"OK",IF(ABS(H55-I55)&lt;=40,"MARGINAL","REJECT")))</f>
        <v/>
      </c>
      <c r="K55" s="29"/>
      <c r="L55" s="29"/>
      <c r="M55" s="33" t="str">
        <f aca="false">IFERROR(IF(A55="","",M54+G55),"")</f>
        <v/>
      </c>
      <c r="N55" s="31"/>
      <c r="O55" s="29"/>
      <c r="P55" s="29"/>
      <c r="Q55" s="29"/>
      <c r="R55" s="29"/>
    </row>
    <row r="56" customFormat="false" ht="15" hidden="false" customHeight="false" outlineLevel="0" collapsed="false">
      <c r="A56" s="29"/>
      <c r="B56" s="30"/>
      <c r="C56" s="31"/>
      <c r="D56" s="29"/>
      <c r="E56" s="29"/>
      <c r="F56" s="31"/>
      <c r="G56" s="29"/>
      <c r="H56" s="29"/>
      <c r="I56" s="29"/>
      <c r="J56" s="32" t="str">
        <f aca="false">IF(OR(H56="",I56=""),"",IF(ABS(H56-I56)&lt;=25,"OK",IF(ABS(H56-I56)&lt;=40,"MARGINAL","REJECT")))</f>
        <v/>
      </c>
      <c r="K56" s="29"/>
      <c r="L56" s="29"/>
      <c r="M56" s="33" t="str">
        <f aca="false">IFERROR(IF(A56="","",M55+G56),"")</f>
        <v/>
      </c>
      <c r="N56" s="31"/>
      <c r="O56" s="29"/>
      <c r="P56" s="29"/>
      <c r="Q56" s="29"/>
      <c r="R56" s="29"/>
    </row>
    <row r="57" customFormat="false" ht="15" hidden="false" customHeight="false" outlineLevel="0" collapsed="false">
      <c r="A57" s="29"/>
      <c r="B57" s="30"/>
      <c r="C57" s="31"/>
      <c r="D57" s="29"/>
      <c r="E57" s="29"/>
      <c r="F57" s="31"/>
      <c r="G57" s="29"/>
      <c r="H57" s="29"/>
      <c r="I57" s="29"/>
      <c r="J57" s="32" t="str">
        <f aca="false">IF(OR(H57="",I57=""),"",IF(ABS(H57-I57)&lt;=25,"OK",IF(ABS(H57-I57)&lt;=40,"MARGINAL","REJECT")))</f>
        <v/>
      </c>
      <c r="K57" s="29"/>
      <c r="L57" s="29"/>
      <c r="M57" s="33" t="str">
        <f aca="false">IFERROR(IF(A57="","",M56+G57),"")</f>
        <v/>
      </c>
      <c r="N57" s="31"/>
      <c r="O57" s="29"/>
      <c r="P57" s="29"/>
      <c r="Q57" s="29"/>
      <c r="R57" s="29"/>
    </row>
    <row r="58" customFormat="false" ht="15" hidden="false" customHeight="false" outlineLevel="0" collapsed="false">
      <c r="A58" s="29"/>
      <c r="B58" s="30"/>
      <c r="C58" s="31"/>
      <c r="D58" s="29"/>
      <c r="E58" s="29"/>
      <c r="F58" s="31"/>
      <c r="G58" s="29"/>
      <c r="H58" s="29"/>
      <c r="I58" s="29"/>
      <c r="J58" s="32" t="str">
        <f aca="false">IF(OR(H58="",I58=""),"",IF(ABS(H58-I58)&lt;=25,"OK",IF(ABS(H58-I58)&lt;=40,"MARGINAL","REJECT")))</f>
        <v/>
      </c>
      <c r="K58" s="29"/>
      <c r="L58" s="29"/>
      <c r="M58" s="33" t="str">
        <f aca="false">IFERROR(IF(A58="","",M57+G58),"")</f>
        <v/>
      </c>
      <c r="N58" s="31"/>
      <c r="O58" s="29"/>
      <c r="P58" s="29"/>
      <c r="Q58" s="29"/>
      <c r="R58" s="29"/>
    </row>
    <row r="59" customFormat="false" ht="15" hidden="false" customHeight="false" outlineLevel="0" collapsed="false">
      <c r="A59" s="29"/>
      <c r="B59" s="30"/>
      <c r="C59" s="31"/>
      <c r="D59" s="29"/>
      <c r="E59" s="29"/>
      <c r="F59" s="31"/>
      <c r="G59" s="29"/>
      <c r="H59" s="29"/>
      <c r="I59" s="29"/>
      <c r="J59" s="32" t="str">
        <f aca="false">IF(OR(H59="",I59=""),"",IF(ABS(H59-I59)&lt;=25,"OK",IF(ABS(H59-I59)&lt;=40,"MARGINAL","REJECT")))</f>
        <v/>
      </c>
      <c r="K59" s="29"/>
      <c r="L59" s="29"/>
      <c r="M59" s="33" t="str">
        <f aca="false">IFERROR(IF(A59="","",M58+G59),"")</f>
        <v/>
      </c>
      <c r="N59" s="31"/>
      <c r="O59" s="29"/>
      <c r="P59" s="29"/>
      <c r="Q59" s="29"/>
      <c r="R59" s="29"/>
    </row>
    <row r="60" customFormat="false" ht="15" hidden="false" customHeight="false" outlineLevel="0" collapsed="false">
      <c r="A60" s="29"/>
      <c r="B60" s="30"/>
      <c r="C60" s="31"/>
      <c r="D60" s="29"/>
      <c r="E60" s="29"/>
      <c r="F60" s="31"/>
      <c r="G60" s="29"/>
      <c r="H60" s="29"/>
      <c r="I60" s="29"/>
      <c r="J60" s="32" t="str">
        <f aca="false">IF(OR(H60="",I60=""),"",IF(ABS(H60-I60)&lt;=25,"OK",IF(ABS(H60-I60)&lt;=40,"MARGINAL","REJECT")))</f>
        <v/>
      </c>
      <c r="K60" s="29"/>
      <c r="L60" s="29"/>
      <c r="M60" s="33" t="str">
        <f aca="false">IFERROR(IF(A60="","",M59+G60),"")</f>
        <v/>
      </c>
      <c r="N60" s="31"/>
      <c r="O60" s="29"/>
      <c r="P60" s="29"/>
      <c r="Q60" s="29"/>
      <c r="R60" s="29"/>
    </row>
  </sheetData>
  <autoFilter ref="A9:R60"/>
  <mergeCells count="6">
    <mergeCell ref="A1:N1"/>
    <mergeCell ref="A7:B7"/>
    <mergeCell ref="C7:F7"/>
    <mergeCell ref="G7:J7"/>
    <mergeCell ref="K7:N7"/>
    <mergeCell ref="O7:R7"/>
  </mergeCells>
  <conditionalFormatting sqref="J10:J60">
    <cfRule type="cellIs" priority="2" operator="equal" aboveAverage="0" equalAverage="0" bottom="0" percent="0" rank="0" text="" dxfId="7">
      <formula>"OK"</formula>
    </cfRule>
    <cfRule type="cellIs" priority="3" operator="equal" aboveAverage="0" equalAverage="0" bottom="0" percent="0" rank="0" text="" dxfId="8">
      <formula>"MARGINAL"</formula>
    </cfRule>
    <cfRule type="cellIs" priority="4" operator="equal" aboveAverage="0" equalAverage="0" bottom="0" percent="0" rank="0" text="" dxfId="9">
      <formula>"REJECT"</formula>
    </cfRule>
  </conditionalFormatting>
  <conditionalFormatting sqref="K10:K60">
    <cfRule type="cellIs" priority="5" operator="equal" aboveAverage="0" equalAverage="0" bottom="0" percent="0" rank="0" text="" dxfId="10">
      <formula>"Yes"</formula>
    </cfRule>
  </conditionalFormatting>
  <dataValidations count="2">
    <dataValidation allowBlank="true" errorStyle="stop" operator="between" showDropDown="false" showErrorMessage="false" showInputMessage="false" sqref="D10:D60" type="list">
      <formula1>"C20/25,C25/30,C28/35,C30/37,C32/40,C35/45,C40/50,C50/60"</formula1>
      <formula2>0</formula2>
    </dataValidation>
    <dataValidation allowBlank="true" errorStyle="stop" operator="between" showDropDown="false" showErrorMessage="false" showInputMessage="false" sqref="K10:K60 R10:R60" type="list">
      <formula1>"Yes,No"</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&amp;CConcrete Works Daily Record</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15" hidden="false" customHeight="false" outlineLevel="0" collapsed="false">
      <c r="A1" s="34" t="s">
        <v>84</v>
      </c>
    </row>
    <row r="2" customFormat="false" ht="15" hidden="false" customHeight="false" outlineLevel="0" collapsed="false">
      <c r="A2" s="34"/>
    </row>
    <row r="3" customFormat="false" ht="15" hidden="false" customHeight="false" outlineLevel="0" collapsed="false">
      <c r="A3" s="34" t="s">
        <v>85</v>
      </c>
    </row>
    <row r="4" customFormat="false" ht="15" hidden="false" customHeight="false" outlineLevel="0" collapsed="false">
      <c r="A4" s="34"/>
    </row>
    <row r="5" customFormat="false" ht="15" hidden="false" customHeight="false" outlineLevel="0" collapsed="false">
      <c r="A5" s="34" t="s">
        <v>86</v>
      </c>
    </row>
    <row r="6" customFormat="false" ht="15" hidden="false" customHeight="false" outlineLevel="0" collapsed="false">
      <c r="A6" s="34"/>
    </row>
    <row r="7" customFormat="false" ht="15" hidden="false" customHeight="false" outlineLevel="0" collapsed="false">
      <c r="A7" s="34" t="s">
        <v>87</v>
      </c>
    </row>
    <row r="8" customFormat="false" ht="15" hidden="false" customHeight="false" outlineLevel="0" collapsed="false">
      <c r="A8" s="34"/>
    </row>
    <row r="9" customFormat="false" ht="15" hidden="false" customHeight="false" outlineLevel="0" collapsed="false">
      <c r="A9" s="34" t="s">
        <v>88</v>
      </c>
    </row>
    <row r="10" customFormat="false" ht="15" hidden="false" customHeight="false" outlineLevel="0" collapsed="false">
      <c r="A10" s="34"/>
    </row>
    <row r="11" customFormat="false" ht="15" hidden="false" customHeight="false" outlineLevel="0" collapsed="false">
      <c r="A11" s="34" t="s">
        <v>89</v>
      </c>
    </row>
    <row r="12" customFormat="false" ht="15" hidden="false" customHeight="false" outlineLevel="0" collapsed="false">
      <c r="A12" s="34"/>
    </row>
    <row r="13" customFormat="false" ht="15" hidden="false" customHeight="false" outlineLevel="0" collapsed="false">
      <c r="A13" s="34" t="s">
        <v>90</v>
      </c>
    </row>
    <row r="14" customFormat="false" ht="15" hidden="false" customHeight="false" outlineLevel="0" collapsed="false">
      <c r="A14" s="34"/>
    </row>
    <row r="15" customFormat="false" ht="15" hidden="false" customHeight="false" outlineLevel="0" collapsed="false">
      <c r="A15" s="34" t="s">
        <v>91</v>
      </c>
    </row>
    <row r="16" customFormat="false" ht="15" hidden="false" customHeight="false" outlineLevel="0" collapsed="false">
      <c r="A16" s="34"/>
    </row>
    <row r="17" customFormat="false" ht="15" hidden="false" customHeight="false" outlineLevel="0" collapsed="false">
      <c r="A17" s="34" t="s">
        <v>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Civils &amp; Groundworks</cp:category>
  <dcterms:created xsi:type="dcterms:W3CDTF">2026-03-23T13:34:32Z</dcterms:created>
  <dc:creator>Ebrora Ltd</dc:creator>
  <dc:description>Record daily concrete pours with mix details, delivery tickets, slump results, volumes placed, and cube sample tracking.
Free professional construction management template from Ebrora Ltd. Visit ebrora.com for our full range of tools and templates.</dc:description>
  <cp:keywords>Ebrora construction civils concrete pour record slump mix design cubes groundworks</cp:keywords>
  <dc:language>en-US</dc:language>
  <cp:lastModifiedBy>Ebrora Ltd</cp:lastModifiedBy>
  <dcterms:modified xsi:type="dcterms:W3CDTF">2026-03-23T13:34:32Z</dcterms:modified>
  <cp:revision>0</cp:revision>
  <dc:subject>Record daily concrete pours with mix details, delivery tickets, slump results, and cube sample tracking.</dc:subject>
  <dc:title>Concrete Works Daily Record</dc:title>
</cp:coreProperties>
</file>

<file path=docProps/custom.xml><?xml version="1.0" encoding="utf-8"?>
<Properties xmlns="http://schemas.openxmlformats.org/officeDocument/2006/custom-properties" xmlns:vt="http://schemas.openxmlformats.org/officeDocument/2006/docPropsVTypes"/>
</file>