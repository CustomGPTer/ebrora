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 AND GENNY CALIBRATION LOG" sheetId="1" state="visible" r:id="rId3"/>
    <sheet name="Instructions" sheetId="2" state="visible" r:id="rId4"/>
  </sheets>
  <definedNames>
    <definedName function="false" hidden="false" localSheetId="0" name="_xlnm.Print_Area" vbProcedure="false">'CAT AND GENNY CALIBRATION LOG'!$A$1:$O$37</definedName>
    <definedName function="false" hidden="false" localSheetId="0" name="_xlnm.Print_Titles" vbProcedure="false">'CAT AND GENNY CALIBRATION LOG'!$1:$6</definedName>
    <definedName function="false" hidden="true" localSheetId="0" name="_xlnm._FilterDatabase" vbProcedure="false">'CAT AND GENNY CALIBRATION LOG'!$A$6:$O$31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<sst xmlns="http://schemas.openxmlformats.org/spreadsheetml/2006/main" count="35" uniqueCount="34">
  <si>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ebrora.com</t>
  </si>
  <si>
    <t xml:space="preserve">CAT AND GENNY CALIBRATION LOG</t>
  </si>
  <si>
    <t xml:space="preserve">Ref: HSE HSG47; PAS 128; Calibration requirements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</si>
  <si>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</si>
  <si>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</si>
  <si>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</si>
  <si>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</si>
  <si>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</si>
  <si>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Equipment
Type</t>
  </si>
  <si>
    <t xml:space="preserve">Make /
Model</t>
  </si>
  <si>
    <t xml:space="preserve">Serial No.</t>
  </si>
  <si>
    <t xml:space="preserve">Calibration
Date</t>
  </si>
  <si>
    <t xml:space="preserve">Calibration
Due Date</t>
  </si>
  <si>
    <t xml:space="preserve">Days Until
Due</t>
  </si>
  <si>
    <t xml:space="preserve">Calibrated
By</t>
  </si>
  <si>
    <t xml:space="preserve">Certificate
Ref</t>
  </si>
  <si>
    <t xml:space="preserve">Functional
Check
Passed?
(Yes/No)</t>
  </si>
  <si>
    <t xml:space="preserve">Battery
Condition
(Good/Poor)</t>
  </si>
  <si>
    <t xml:space="preserve">Status</t>
  </si>
  <si>
    <t xml:space="preserve">Assigned To</t>
  </si>
  <si>
    <t xml:space="preserve">Comments</t>
  </si>
  <si>
    <t xml:space="preserve">SUMMARY</t>
  </si>
  <si>
    <t xml:space="preserve">Total Equipment:</t>
  </si>
  <si>
    <t xml:space="preserve">In Calibration:</t>
  </si>
  <si>
    <t xml:space="preserve">Overdue:</t>
  </si>
  <si>
    <t xml:space="preserve">INSTRUCTIONS — CAT AND GENNY CALIBRATION LOG</t>
  </si>
  <si>
    <t xml:space="preserve">How to Use</t>
  </si>
  <si>
    <t xml:space="preserve">1. Record all CAT and Genny equipment with calibration dates.</t>
  </si>
  <si>
    <t xml:space="preserve">2. Calibration typically required annually — check manufacturer's guidance.</t>
  </si>
  <si>
    <t xml:space="preserve">3. Perform daily functional checks before use.</t>
  </si>
  <si>
    <t xml:space="preserve">4. Overdue calibration = equipment must not be used.</t>
  </si>
  <si>
    <t xml:space="preserve">References:</t>
  </si>
  <si>
    <t xml:space="preserve">  HSE HSG47 — Avoiding Danger from Underground Services</t>
  </si>
  <si>
    <t xml:space="preserve">  PAS 128 — Underground Utility Detection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</si>
</sst>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0"/>
    <col collapsed="false" customWidth="true" hidden="false" outlineLevel="0" max="5" min="4" style="1" width="12"/>
    <col collapsed="false" customWidth="true" hidden="false" outlineLevel="0" max="7" min="6" style="1" width="10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2" min="10" style="1" width="10"/>
    <col collapsed="false" customWidth="true" hidden="false" outlineLevel="0" max="14" min="13" style="1" width="12"/>
    <col collapsed="false" customWidth="true" hidden="false" outlineLevel="0" max="15" min="15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10" t="str">
        <f aca="true">IF(G7="","",G7-TODAY())</f>
        <v/>
      </c>
      <c r="I7" s="9"/>
      <c r="J7" s="9"/>
      <c r="K7" s="9"/>
      <c r="L7" s="9"/>
      <c r="M7" s="9"/>
      <c r="N7" s="9"/>
      <c r="O7" s="9"/>
    </row>
    <row r="8" customFormat="false" ht="21.75" hidden="false" customHeight="true" outlineLevel="0" collapsed="false">
      <c r="A8" s="11" t="n">
        <v>2</v>
      </c>
      <c r="B8" s="6"/>
      <c r="C8" s="6"/>
      <c r="D8" s="6"/>
      <c r="E8" s="9"/>
      <c r="F8" s="9"/>
      <c r="G8" s="9"/>
      <c r="H8" s="12" t="str">
        <f aca="true">IF(G8="","",G8-TODAY())</f>
        <v/>
      </c>
      <c r="I8" s="9"/>
      <c r="J8" s="9"/>
      <c r="K8" s="9"/>
      <c r="L8" s="9"/>
      <c r="M8" s="9"/>
      <c r="N8" s="9"/>
      <c r="O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10" t="str">
        <f aca="true">IF(G9="","",G9-TODAY())</f>
        <v/>
      </c>
      <c r="I9" s="9"/>
      <c r="J9" s="9"/>
      <c r="K9" s="9"/>
      <c r="L9" s="9"/>
      <c r="M9" s="9"/>
      <c r="N9" s="9"/>
      <c r="O9" s="9"/>
    </row>
    <row r="10" customFormat="false" ht="21.75" hidden="false" customHeight="true" outlineLevel="0" collapsed="false">
      <c r="A10" s="11" t="n">
        <v>4</v>
      </c>
      <c r="B10" s="6"/>
      <c r="C10" s="6"/>
      <c r="D10" s="6"/>
      <c r="E10" s="9"/>
      <c r="F10" s="9"/>
      <c r="G10" s="9"/>
      <c r="H10" s="12" t="str">
        <f aca="true">IF(G10="","",G10-TODAY())</f>
        <v/>
      </c>
      <c r="I10" s="9"/>
      <c r="J10" s="9"/>
      <c r="K10" s="9"/>
      <c r="L10" s="9"/>
      <c r="M10" s="9"/>
      <c r="N10" s="9"/>
      <c r="O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10" t="str">
        <f aca="true">IF(G11="","",G11-TODAY())</f>
        <v/>
      </c>
      <c r="I11" s="9"/>
      <c r="J11" s="9"/>
      <c r="K11" s="9"/>
      <c r="L11" s="9"/>
      <c r="M11" s="9"/>
      <c r="N11" s="9"/>
      <c r="O11" s="9"/>
    </row>
    <row r="12" customFormat="false" ht="21.75" hidden="false" customHeight="true" outlineLevel="0" collapsed="false">
      <c r="A12" s="11" t="n">
        <v>6</v>
      </c>
      <c r="B12" s="6"/>
      <c r="C12" s="6"/>
      <c r="D12" s="6"/>
      <c r="E12" s="9"/>
      <c r="F12" s="9"/>
      <c r="G12" s="9"/>
      <c r="H12" s="12" t="str">
        <f aca="true">IF(G12="","",G12-TODAY())</f>
        <v/>
      </c>
      <c r="I12" s="9"/>
      <c r="J12" s="9"/>
      <c r="K12" s="9"/>
      <c r="L12" s="9"/>
      <c r="M12" s="9"/>
      <c r="N12" s="9"/>
      <c r="O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10" t="str">
        <f aca="true">IF(G13="","",G13-TODAY())</f>
        <v/>
      </c>
      <c r="I13" s="9"/>
      <c r="J13" s="9"/>
      <c r="K13" s="9"/>
      <c r="L13" s="9"/>
      <c r="M13" s="9"/>
      <c r="N13" s="9"/>
      <c r="O13" s="9"/>
    </row>
    <row r="14" customFormat="false" ht="21.75" hidden="false" customHeight="true" outlineLevel="0" collapsed="false">
      <c r="A14" s="11" t="n">
        <v>8</v>
      </c>
      <c r="B14" s="6"/>
      <c r="C14" s="6"/>
      <c r="D14" s="6"/>
      <c r="E14" s="9"/>
      <c r="F14" s="9"/>
      <c r="G14" s="9"/>
      <c r="H14" s="12" t="str">
        <f aca="true">IF(G14="","",G14-TODAY())</f>
        <v/>
      </c>
      <c r="I14" s="9"/>
      <c r="J14" s="9"/>
      <c r="K14" s="9"/>
      <c r="L14" s="9"/>
      <c r="M14" s="9"/>
      <c r="N14" s="9"/>
      <c r="O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10" t="str">
        <f aca="true">IF(G15="","",G15-TODAY())</f>
        <v/>
      </c>
      <c r="I15" s="9"/>
      <c r="J15" s="9"/>
      <c r="K15" s="9"/>
      <c r="L15" s="9"/>
      <c r="M15" s="9"/>
      <c r="N15" s="9"/>
      <c r="O15" s="9"/>
    </row>
    <row r="16" customFormat="false" ht="21.75" hidden="false" customHeight="true" outlineLevel="0" collapsed="false">
      <c r="A16" s="11" t="n">
        <v>10</v>
      </c>
      <c r="B16" s="6"/>
      <c r="C16" s="6"/>
      <c r="D16" s="6"/>
      <c r="E16" s="9"/>
      <c r="F16" s="9"/>
      <c r="G16" s="9"/>
      <c r="H16" s="12" t="str">
        <f aca="true">IF(G16="","",G16-TODAY())</f>
        <v/>
      </c>
      <c r="I16" s="9"/>
      <c r="J16" s="9"/>
      <c r="K16" s="9"/>
      <c r="L16" s="9"/>
      <c r="M16" s="9"/>
      <c r="N16" s="9"/>
      <c r="O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10" t="str">
        <f aca="true">IF(G17="","",G17-TODAY())</f>
        <v/>
      </c>
      <c r="I17" s="9"/>
      <c r="J17" s="9"/>
      <c r="K17" s="9"/>
      <c r="L17" s="9"/>
      <c r="M17" s="9"/>
      <c r="N17" s="9"/>
      <c r="O17" s="9"/>
    </row>
    <row r="18" customFormat="false" ht="21.75" hidden="false" customHeight="true" outlineLevel="0" collapsed="false">
      <c r="A18" s="11" t="n">
        <v>12</v>
      </c>
      <c r="B18" s="6"/>
      <c r="C18" s="6"/>
      <c r="D18" s="6"/>
      <c r="E18" s="9"/>
      <c r="F18" s="9"/>
      <c r="G18" s="9"/>
      <c r="H18" s="12" t="str">
        <f aca="true">IF(G18="","",G18-TODAY())</f>
        <v/>
      </c>
      <c r="I18" s="9"/>
      <c r="J18" s="9"/>
      <c r="K18" s="9"/>
      <c r="L18" s="9"/>
      <c r="M18" s="9"/>
      <c r="N18" s="9"/>
      <c r="O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10" t="str">
        <f aca="true">IF(G19="","",G19-TODAY())</f>
        <v/>
      </c>
      <c r="I19" s="9"/>
      <c r="J19" s="9"/>
      <c r="K19" s="9"/>
      <c r="L19" s="9"/>
      <c r="M19" s="9"/>
      <c r="N19" s="9"/>
      <c r="O19" s="9"/>
    </row>
    <row r="20" customFormat="false" ht="21.75" hidden="false" customHeight="true" outlineLevel="0" collapsed="false">
      <c r="A20" s="11" t="n">
        <v>14</v>
      </c>
      <c r="B20" s="6"/>
      <c r="C20" s="6"/>
      <c r="D20" s="6"/>
      <c r="E20" s="9"/>
      <c r="F20" s="9"/>
      <c r="G20" s="9"/>
      <c r="H20" s="12" t="str">
        <f aca="true">IF(G20="","",G20-TODAY())</f>
        <v/>
      </c>
      <c r="I20" s="9"/>
      <c r="J20" s="9"/>
      <c r="K20" s="9"/>
      <c r="L20" s="9"/>
      <c r="M20" s="9"/>
      <c r="N20" s="9"/>
      <c r="O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10" t="str">
        <f aca="true">IF(G21="","",G21-TODAY())</f>
        <v/>
      </c>
      <c r="I21" s="9"/>
      <c r="J21" s="9"/>
      <c r="K21" s="9"/>
      <c r="L21" s="9"/>
      <c r="M21" s="9"/>
      <c r="N21" s="9"/>
      <c r="O21" s="9"/>
    </row>
    <row r="22" customFormat="false" ht="21.75" hidden="false" customHeight="true" outlineLevel="0" collapsed="false">
      <c r="A22" s="11" t="n">
        <v>16</v>
      </c>
      <c r="B22" s="6"/>
      <c r="C22" s="6"/>
      <c r="D22" s="6"/>
      <c r="E22" s="9"/>
      <c r="F22" s="9"/>
      <c r="G22" s="9"/>
      <c r="H22" s="12" t="str">
        <f aca="true">IF(G22="","",G22-TODAY())</f>
        <v/>
      </c>
      <c r="I22" s="9"/>
      <c r="J22" s="9"/>
      <c r="K22" s="9"/>
      <c r="L22" s="9"/>
      <c r="M22" s="9"/>
      <c r="N22" s="9"/>
      <c r="O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10" t="str">
        <f aca="true">IF(G23="","",G23-TODAY())</f>
        <v/>
      </c>
      <c r="I23" s="9"/>
      <c r="J23" s="9"/>
      <c r="K23" s="9"/>
      <c r="L23" s="9"/>
      <c r="M23" s="9"/>
      <c r="N23" s="9"/>
      <c r="O23" s="9"/>
    </row>
    <row r="24" customFormat="false" ht="21.75" hidden="false" customHeight="true" outlineLevel="0" collapsed="false">
      <c r="A24" s="11" t="n">
        <v>18</v>
      </c>
      <c r="B24" s="6"/>
      <c r="C24" s="6"/>
      <c r="D24" s="6"/>
      <c r="E24" s="9"/>
      <c r="F24" s="9"/>
      <c r="G24" s="9"/>
      <c r="H24" s="12" t="str">
        <f aca="true">IF(G24="","",G24-TODAY())</f>
        <v/>
      </c>
      <c r="I24" s="9"/>
      <c r="J24" s="9"/>
      <c r="K24" s="9"/>
      <c r="L24" s="9"/>
      <c r="M24" s="9"/>
      <c r="N24" s="9"/>
      <c r="O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10" t="str">
        <f aca="true">IF(G25="","",G25-TODAY())</f>
        <v/>
      </c>
      <c r="I25" s="9"/>
      <c r="J25" s="9"/>
      <c r="K25" s="9"/>
      <c r="L25" s="9"/>
      <c r="M25" s="9"/>
      <c r="N25" s="9"/>
      <c r="O25" s="9"/>
    </row>
    <row r="26" customFormat="false" ht="21.75" hidden="false" customHeight="true" outlineLevel="0" collapsed="false">
      <c r="A26" s="11" t="n">
        <v>20</v>
      </c>
      <c r="B26" s="6"/>
      <c r="C26" s="6"/>
      <c r="D26" s="6"/>
      <c r="E26" s="9"/>
      <c r="F26" s="9"/>
      <c r="G26" s="9"/>
      <c r="H26" s="12" t="str">
        <f aca="true">IF(G26="","",G26-TODAY())</f>
        <v/>
      </c>
      <c r="I26" s="9"/>
      <c r="J26" s="9"/>
      <c r="K26" s="9"/>
      <c r="L26" s="9"/>
      <c r="M26" s="9"/>
      <c r="N26" s="9"/>
      <c r="O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10" t="str">
        <f aca="true">IF(G27="","",G27-TODAY())</f>
        <v/>
      </c>
      <c r="I27" s="9"/>
      <c r="J27" s="9"/>
      <c r="K27" s="9"/>
      <c r="L27" s="9"/>
      <c r="M27" s="9"/>
      <c r="N27" s="9"/>
      <c r="O27" s="9"/>
    </row>
    <row r="28" customFormat="false" ht="21.75" hidden="false" customHeight="true" outlineLevel="0" collapsed="false">
      <c r="A28" s="11" t="n">
        <v>22</v>
      </c>
      <c r="B28" s="6"/>
      <c r="C28" s="6"/>
      <c r="D28" s="6"/>
      <c r="E28" s="9"/>
      <c r="F28" s="9"/>
      <c r="G28" s="9"/>
      <c r="H28" s="12" t="str">
        <f aca="true">IF(G28="","",G28-TODAY())</f>
        <v/>
      </c>
      <c r="I28" s="9"/>
      <c r="J28" s="9"/>
      <c r="K28" s="9"/>
      <c r="L28" s="9"/>
      <c r="M28" s="9"/>
      <c r="N28" s="9"/>
      <c r="O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10" t="str">
        <f aca="true">IF(G29="","",G29-TODAY())</f>
        <v/>
      </c>
      <c r="I29" s="9"/>
      <c r="J29" s="9"/>
      <c r="K29" s="9"/>
      <c r="L29" s="9"/>
      <c r="M29" s="9"/>
      <c r="N29" s="9"/>
      <c r="O29" s="9"/>
    </row>
    <row r="30" customFormat="false" ht="21.75" hidden="false" customHeight="true" outlineLevel="0" collapsed="false">
      <c r="A30" s="11" t="n">
        <v>24</v>
      </c>
      <c r="B30" s="6"/>
      <c r="C30" s="6"/>
      <c r="D30" s="6"/>
      <c r="E30" s="9"/>
      <c r="F30" s="9"/>
      <c r="G30" s="9"/>
      <c r="H30" s="12" t="str">
        <f aca="true">IF(G30="","",G30-TODAY())</f>
        <v/>
      </c>
      <c r="I30" s="9"/>
      <c r="J30" s="9"/>
      <c r="K30" s="9"/>
      <c r="L30" s="9"/>
      <c r="M30" s="9"/>
      <c r="N30" s="9"/>
      <c r="O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10" t="str">
        <f aca="true">IF(G31="","",G31-TODAY())</f>
        <v/>
      </c>
      <c r="I31" s="9"/>
      <c r="J31" s="9"/>
      <c r="K31" s="9"/>
      <c r="L31" s="9"/>
      <c r="M31" s="9"/>
      <c r="N31" s="9"/>
      <c r="O31" s="9"/>
    </row>
    <row r="33" customFormat="false" ht="15" hidden="false" customHeight="true" outlineLevel="0" collapsed="false">
      <c r="A33" s="13" t="s">
        <v>21</v>
      </c>
      <c r="B33" s="13"/>
      <c r="C33" s="13"/>
    </row>
    <row r="34" customFormat="false" ht="23.85" hidden="false" customHeight="true" outlineLevel="0" collapsed="false">
      <c r="A34" s="5" t="s">
        <v>22</v>
      </c>
      <c r="B34" s="5"/>
      <c r="C34" s="14" t="n">
        <f aca="false">COUNTA(C7:C31)</f>
        <v>0</v>
      </c>
    </row>
    <row r="35" customFormat="false" ht="15" hidden="false" customHeight="true" outlineLevel="0" collapsed="false">
      <c r="A35" s="5" t="s">
        <v>23</v>
      </c>
      <c r="B35" s="5"/>
      <c r="C35" s="14" t="n">
        <f aca="false">COUNTIF(M7:M31,"In Calibration")</f>
        <v>0</v>
      </c>
    </row>
    <row r="36" customFormat="false" ht="15" hidden="false" customHeight="true" outlineLevel="0" collapsed="false">
      <c r="A36" s="5" t="s">
        <v>24</v>
      </c>
      <c r="B36" s="5"/>
      <c r="C36" s="14" t="n">
        <f aca="false">COUNTIF(M7:M31,"Overdue")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M7:M31">
    <cfRule type="cellIs" priority="2" operator="equal" aboveAverage="0" equalAverage="0" bottom="0" percent="0" rank="0" text="" dxfId="6">
      <formula>"In Calibration"</formula>
    </cfRule>
    <cfRule type="cellIs" priority="3" operator="equal" aboveAverage="0" equalAverage="0" bottom="0" percent="0" rank="0" text="" dxfId="7">
      <formula>"Due"</formula>
    </cfRule>
    <cfRule type="cellIs" priority="4" operator="equal" aboveAverage="0" equalAverage="0" bottom="0" percent="0" rank="0" text="" dxfId="8">
      <formula>"Overdue"</formula>
    </cfRule>
  </conditionalFormatting>
  <dataValidations count="4">
    <dataValidation allowBlank="true" errorStyle="stop" operator="between" showDropDown="false" showErrorMessage="false" showInputMessage="false" sqref="C7:C31" type="list">
      <formula1>"CAT4,CAT4+,Genny4,C.A.T &amp; Genny Set,GPR Unit,Other"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"Good,Poor"</formula1>
      <formula2>0</formula2>
    </dataValidation>
    <dataValidation allowBlank="true" errorStyle="stop" operator="between" showDropDown="false" showErrorMessage="false" showInputMessage="false" sqref="M7:M31" type="list">
      <formula1>"In Calibration,Due,Overdue,Out of Service"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25</v>
      </c>
      <c r="B2" s="3"/>
    </row>
    <row r="4" customFormat="false" ht="15" hidden="false" customHeight="false" outlineLevel="0" collapsed="false">
      <c r="B4" s="13" t="s">
        <v>26</v>
      </c>
    </row>
    <row r="5" customFormat="false" ht="15" hidden="false" customHeight="false" outlineLevel="0" collapsed="false">
      <c r="B5" s="15"/>
    </row>
    <row r="6" customFormat="false" ht="15" hidden="false" customHeight="false" outlineLevel="0" collapsed="false">
      <c r="B6" s="15" t="s">
        <v>27</v>
      </c>
    </row>
    <row r="7" customFormat="false" ht="15" hidden="false" customHeight="false" outlineLevel="0" collapsed="false">
      <c r="B7" s="15" t="s">
        <v>28</v>
      </c>
    </row>
    <row r="8" customFormat="false" ht="15" hidden="false" customHeight="false" outlineLevel="0" collapsed="false">
      <c r="B8" s="15" t="s">
        <v>29</v>
      </c>
    </row>
    <row r="9" customFormat="false" ht="15" hidden="false" customHeight="false" outlineLevel="0" collapsed="false">
      <c r="B9" s="15" t="s">
        <v>30</v>
      </c>
    </row>
    <row r="10" customFormat="false" ht="15" hidden="false" customHeight="false" outlineLevel="0" collapsed="false">
      <c r="B10" s="15"/>
    </row>
    <row r="11" customFormat="false" ht="15" hidden="false" customHeight="false" outlineLevel="0" collapsed="false">
      <c r="B11" s="13" t="s">
        <v>31</v>
      </c>
    </row>
    <row r="12" customFormat="false" ht="15" hidden="false" customHeight="false" outlineLevel="0" collapsed="false">
      <c r="B12" s="4" t="s">
        <v>32</v>
      </c>
    </row>
    <row r="13" customFormat="false" ht="15" hidden="false" customHeight="false" outlineLevel="0" collapsed="false">
      <c r="B13" s="4" t="s">
        <v>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