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STANDING WORKS REGISTER" sheetId="1" state="visible" r:id="rId3"/>
    <sheet name="Instructions" sheetId="2" state="visible" r:id="rId4"/>
  </sheets>
  <definedNames>
    <definedName function="false" hidden="false" localSheetId="0" name="_xlnm.Print_Area" vbProcedure="false">'OUTSTANDING WORKS REGISTER'!$A$1:$N$38</definedName>
    <definedName function="false" hidden="false" localSheetId="0" name="_xlnm.Print_Titles" vbProcedure="false">'OUTSTANDING WORKS REGISTER'!$1:$6</definedName>
    <definedName function="false" hidden="true" localSheetId="0" name="_xlnm._FilterDatabase" vbProcedure="false">'OUTSTANDING WORKS REGISTER'!$A$6:$N$31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<sst xmlns="http://schemas.openxmlformats.org/spreadsheetml/2006/main" count="35" uniqueCount="34">
  <si>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</si>
  <si>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OUTSTANDING WORKS REGISTER</t>
  </si>
  <si>
    <t xml:space="preserve">Ref: NEC4 Clause 30.3; JCT Practical Completion; Contract Completion Provisions</t>
  </si>
  <si>
    <t xml:space="preserve">Project:</t>
  </si>
  <si>
    <t xml:space="preserve">Prepared By:</t>
  </si>
  <si>
    <t xml:space="preserve">Rev:</t>
  </si>
  <si>
    <t xml:space="preserve">No.</t>
  </si>
  <si>
    <t xml:space="preserve">Item
Ref</t>
  </si>
  <si>
    <t xml:space="preserve">Date
Identified</t>
  </si>
  <si>
    <t xml:space="preserve">Description of
Outstanding Work</t>
  </si>
  <si>
    <t xml:space="preserve">Location /
Area</t>
  </si>
  <si>
    <t xml:space="preserve">Trade /
Discipline</t>
  </si>
  <si>
    <t xml:space="preserve">Responsible
Contractor</t>
  </si>
  <si>
    <t xml:space="preserve">Priority
(A/B/C)</t>
  </si>
  <si>
    <t xml:space="preserve">Target
Completion
Date</t>
  </si>
  <si>
    <t xml:space="preserve">Actual
Completion
Date</t>
  </si>
  <si>
    <t xml:space="preserve">Days
Open</t>
  </si>
  <si>
    <t xml:space="preserve">Verified By</t>
  </si>
  <si>
    <t xml:space="preserve">Status</t>
  </si>
  <si>
    <t xml:space="preserve">Comments</t>
  </si>
  <si>
    <t xml:space="preserve">SUMMARY</t>
  </si>
  <si>
    <t xml:space="preserve">Total Items:</t>
  </si>
  <si>
    <t xml:space="preserve">Open:</t>
  </si>
  <si>
    <t xml:space="preserve">Closed:</t>
  </si>
  <si>
    <t xml:space="preserve">Priority A (Critical):</t>
  </si>
  <si>
    <t xml:space="preserve">INSTRUCTIONS — OUTSTANDING WORKS REGISTER</t>
  </si>
  <si>
    <t xml:space="preserve">How to Use This Template</t>
  </si>
  <si>
    <t xml:space="preserve">1. List all outstanding works identified prior to practical completion.</t>
  </si>
  <si>
    <t xml:space="preserve">2. Classify priority: A=blocks completion, B=pre-handover, C=post-handover acceptable.</t>
  </si>
  <si>
    <t xml:space="preserve">3. Days open auto-calculates. Track to completion and verification.</t>
  </si>
  <si>
    <t xml:space="preserve">4. Priority A items must be completed before issuing PC certificate.</t>
  </si>
  <si>
    <t xml:space="preserve">References:</t>
  </si>
  <si>
    <t xml:space="preserve">  NEC4 Clause 30.3</t>
  </si>
  <si>
    <t xml:space="preserve">  JCT — Practical Completion definition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</si>
</sst>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8"/>
    <col collapsed="false" customWidth="true" hidden="false" outlineLevel="0" max="10" min="9" style="1" width="10"/>
    <col collapsed="false" customWidth="true" hidden="false" outlineLevel="0" max="11" min="11" style="1" width="8"/>
    <col collapsed="false" customWidth="true" hidden="false" outlineLevel="0" max="13" min="12" style="1" width="12"/>
    <col collapsed="false" customWidth="true" hidden="false" outlineLevel="0" max="14" min="14" style="1" width="18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10" t="str">
        <f aca="true">IF(C7="","",IF(J7&lt;&gt;"",J7-C7,TODAY()-C7))</f>
        <v/>
      </c>
      <c r="L7" s="9"/>
      <c r="M7" s="9"/>
      <c r="N7" s="9"/>
    </row>
    <row r="8" customFormat="false" ht="21.75" hidden="false" customHeight="true" outlineLevel="0" collapsed="false">
      <c r="A8" s="11" t="n">
        <v>2</v>
      </c>
      <c r="B8" s="6"/>
      <c r="C8" s="6"/>
      <c r="D8" s="6"/>
      <c r="E8" s="9"/>
      <c r="F8" s="9"/>
      <c r="G8" s="9"/>
      <c r="H8" s="9"/>
      <c r="I8" s="9"/>
      <c r="J8" s="9"/>
      <c r="K8" s="12" t="str">
        <f aca="true">IF(C8="","",IF(J8&lt;&gt;"",J8-C8,TODAY()-C8))</f>
        <v/>
      </c>
      <c r="L8" s="9"/>
      <c r="M8" s="9"/>
      <c r="N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10" t="str">
        <f aca="true">IF(C9="","",IF(J9&lt;&gt;"",J9-C9,TODAY()-C9))</f>
        <v/>
      </c>
      <c r="L9" s="9"/>
      <c r="M9" s="9"/>
      <c r="N9" s="9"/>
    </row>
    <row r="10" customFormat="false" ht="21.75" hidden="false" customHeight="true" outlineLevel="0" collapsed="false">
      <c r="A10" s="11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12" t="str">
        <f aca="true">IF(C10="","",IF(J10&lt;&gt;"",J10-C10,TODAY()-C10))</f>
        <v/>
      </c>
      <c r="L10" s="9"/>
      <c r="M10" s="9"/>
      <c r="N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10" t="str">
        <f aca="true">IF(C11="","",IF(J11&lt;&gt;"",J11-C11,TODAY()-C11))</f>
        <v/>
      </c>
      <c r="L11" s="9"/>
      <c r="M11" s="9"/>
      <c r="N11" s="9"/>
    </row>
    <row r="12" customFormat="false" ht="21.75" hidden="false" customHeight="true" outlineLevel="0" collapsed="false">
      <c r="A12" s="11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12" t="str">
        <f aca="true">IF(C12="","",IF(J12&lt;&gt;"",J12-C12,TODAY()-C12))</f>
        <v/>
      </c>
      <c r="L12" s="9"/>
      <c r="M12" s="9"/>
      <c r="N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10" t="str">
        <f aca="true">IF(C13="","",IF(J13&lt;&gt;"",J13-C13,TODAY()-C13))</f>
        <v/>
      </c>
      <c r="L13" s="9"/>
      <c r="M13" s="9"/>
      <c r="N13" s="9"/>
    </row>
    <row r="14" customFormat="false" ht="21.75" hidden="false" customHeight="true" outlineLevel="0" collapsed="false">
      <c r="A14" s="11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12" t="str">
        <f aca="true">IF(C14="","",IF(J14&lt;&gt;"",J14-C14,TODAY()-C14))</f>
        <v/>
      </c>
      <c r="L14" s="9"/>
      <c r="M14" s="9"/>
      <c r="N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10" t="str">
        <f aca="true">IF(C15="","",IF(J15&lt;&gt;"",J15-C15,TODAY()-C15))</f>
        <v/>
      </c>
      <c r="L15" s="9"/>
      <c r="M15" s="9"/>
      <c r="N15" s="9"/>
    </row>
    <row r="16" customFormat="false" ht="21.75" hidden="false" customHeight="true" outlineLevel="0" collapsed="false">
      <c r="A16" s="11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12" t="str">
        <f aca="true">IF(C16="","",IF(J16&lt;&gt;"",J16-C16,TODAY()-C16))</f>
        <v/>
      </c>
      <c r="L16" s="9"/>
      <c r="M16" s="9"/>
      <c r="N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10" t="str">
        <f aca="true">IF(C17="","",IF(J17&lt;&gt;"",J17-C17,TODAY()-C17))</f>
        <v/>
      </c>
      <c r="L17" s="9"/>
      <c r="M17" s="9"/>
      <c r="N17" s="9"/>
    </row>
    <row r="18" customFormat="false" ht="21.75" hidden="false" customHeight="true" outlineLevel="0" collapsed="false">
      <c r="A18" s="11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12" t="str">
        <f aca="true">IF(C18="","",IF(J18&lt;&gt;"",J18-C18,TODAY()-C18))</f>
        <v/>
      </c>
      <c r="L18" s="9"/>
      <c r="M18" s="9"/>
      <c r="N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10" t="str">
        <f aca="true">IF(C19="","",IF(J19&lt;&gt;"",J19-C19,TODAY()-C19))</f>
        <v/>
      </c>
      <c r="L19" s="9"/>
      <c r="M19" s="9"/>
      <c r="N19" s="9"/>
    </row>
    <row r="20" customFormat="false" ht="21.75" hidden="false" customHeight="true" outlineLevel="0" collapsed="false">
      <c r="A20" s="11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12" t="str">
        <f aca="true">IF(C20="","",IF(J20&lt;&gt;"",J20-C20,TODAY()-C20))</f>
        <v/>
      </c>
      <c r="L20" s="9"/>
      <c r="M20" s="9"/>
      <c r="N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10" t="str">
        <f aca="true">IF(C21="","",IF(J21&lt;&gt;"",J21-C21,TODAY()-C21))</f>
        <v/>
      </c>
      <c r="L21" s="9"/>
      <c r="M21" s="9"/>
      <c r="N21" s="9"/>
    </row>
    <row r="22" customFormat="false" ht="21.75" hidden="false" customHeight="true" outlineLevel="0" collapsed="false">
      <c r="A22" s="11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12" t="str">
        <f aca="true">IF(C22="","",IF(J22&lt;&gt;"",J22-C22,TODAY()-C22))</f>
        <v/>
      </c>
      <c r="L22" s="9"/>
      <c r="M22" s="9"/>
      <c r="N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10" t="str">
        <f aca="true">IF(C23="","",IF(J23&lt;&gt;"",J23-C23,TODAY()-C23))</f>
        <v/>
      </c>
      <c r="L23" s="9"/>
      <c r="M23" s="9"/>
      <c r="N23" s="9"/>
    </row>
    <row r="24" customFormat="false" ht="21.75" hidden="false" customHeight="true" outlineLevel="0" collapsed="false">
      <c r="A24" s="11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12" t="str">
        <f aca="true">IF(C24="","",IF(J24&lt;&gt;"",J24-C24,TODAY()-C24))</f>
        <v/>
      </c>
      <c r="L24" s="9"/>
      <c r="M24" s="9"/>
      <c r="N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10" t="str">
        <f aca="true">IF(C25="","",IF(J25&lt;&gt;"",J25-C25,TODAY()-C25))</f>
        <v/>
      </c>
      <c r="L25" s="9"/>
      <c r="M25" s="9"/>
      <c r="N25" s="9"/>
    </row>
    <row r="26" customFormat="false" ht="21.75" hidden="false" customHeight="true" outlineLevel="0" collapsed="false">
      <c r="A26" s="11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12" t="str">
        <f aca="true">IF(C26="","",IF(J26&lt;&gt;"",J26-C26,TODAY()-C26))</f>
        <v/>
      </c>
      <c r="L26" s="9"/>
      <c r="M26" s="9"/>
      <c r="N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10" t="str">
        <f aca="true">IF(C27="","",IF(J27&lt;&gt;"",J27-C27,TODAY()-C27))</f>
        <v/>
      </c>
      <c r="L27" s="9"/>
      <c r="M27" s="9"/>
      <c r="N27" s="9"/>
    </row>
    <row r="28" customFormat="false" ht="21.75" hidden="false" customHeight="true" outlineLevel="0" collapsed="false">
      <c r="A28" s="11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12" t="str">
        <f aca="true">IF(C28="","",IF(J28&lt;&gt;"",J28-C28,TODAY()-C28))</f>
        <v/>
      </c>
      <c r="L28" s="9"/>
      <c r="M28" s="9"/>
      <c r="N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10" t="str">
        <f aca="true">IF(C29="","",IF(J29&lt;&gt;"",J29-C29,TODAY()-C29))</f>
        <v/>
      </c>
      <c r="L29" s="9"/>
      <c r="M29" s="9"/>
      <c r="N29" s="9"/>
    </row>
    <row r="30" customFormat="false" ht="21.75" hidden="false" customHeight="true" outlineLevel="0" collapsed="false">
      <c r="A30" s="11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12" t="str">
        <f aca="true">IF(C30="","",IF(J30&lt;&gt;"",J30-C30,TODAY()-C30))</f>
        <v/>
      </c>
      <c r="L30" s="9"/>
      <c r="M30" s="9"/>
      <c r="N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10" t="str">
        <f aca="true">IF(C31="","",IF(J31&lt;&gt;"",J31-C31,TODAY()-C31))</f>
        <v/>
      </c>
      <c r="L31" s="9"/>
      <c r="M31" s="9"/>
      <c r="N31" s="9"/>
    </row>
    <row r="33" customFormat="false" ht="15" hidden="false" customHeight="true" outlineLevel="0" collapsed="false">
      <c r="A33" s="13" t="s">
        <v>20</v>
      </c>
      <c r="B33" s="13"/>
      <c r="C33" s="13"/>
    </row>
    <row r="34" customFormat="false" ht="15" hidden="false" customHeight="true" outlineLevel="0" collapsed="false">
      <c r="A34" s="5" t="s">
        <v>21</v>
      </c>
      <c r="B34" s="5"/>
      <c r="C34" s="14" t="n">
        <f aca="false">COUNTA(D7:D31)</f>
        <v>0</v>
      </c>
    </row>
    <row r="35" customFormat="false" ht="15" hidden="false" customHeight="true" outlineLevel="0" collapsed="false">
      <c r="A35" s="5" t="s">
        <v>22</v>
      </c>
      <c r="B35" s="5"/>
      <c r="C35" s="14" t="n">
        <f aca="false">COUNTIF(M7:M31,"Open")+COUNTIF(M7:M31,"In Progress")</f>
        <v>0</v>
      </c>
    </row>
    <row r="36" customFormat="false" ht="15" hidden="false" customHeight="true" outlineLevel="0" collapsed="false">
      <c r="A36" s="5" t="s">
        <v>23</v>
      </c>
      <c r="B36" s="5"/>
      <c r="C36" s="14" t="n">
        <f aca="false">COUNTIF(M7:M31,"Closed")</f>
        <v>0</v>
      </c>
    </row>
    <row r="37" customFormat="false" ht="23.85" hidden="false" customHeight="true" outlineLevel="0" collapsed="false">
      <c r="A37" s="5" t="s">
        <v>24</v>
      </c>
      <c r="B37" s="5"/>
      <c r="C37" s="14" t="n">
        <f aca="false">COUNTIF(H7:H31,"A*")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M7:M31">
    <cfRule type="cellIs" priority="2" operator="equal" aboveAverage="0" equalAverage="0" bottom="0" percent="0" rank="0" text="" dxfId="6">
      <formula>"Closed"</formula>
    </cfRule>
    <cfRule type="cellIs" priority="3" operator="equal" aboveAverage="0" equalAverage="0" bottom="0" percent="0" rank="0" text="" dxfId="7">
      <formula>"Open"</formula>
    </cfRule>
    <cfRule type="cellIs" priority="4" operator="equal" aboveAverage="0" equalAverage="0" bottom="0" percent="0" rank="0" text="" dxfId="8">
      <formula>"In Progress"</formula>
    </cfRule>
  </conditionalFormatting>
  <conditionalFormatting sqref="H7:H31">
    <cfRule type="cellIs" priority="5" operator="equal" aboveAverage="0" equalAverage="0" bottom="0" percent="0" rank="0" text="" dxfId="7">
      <formula>"A - Critical (blocks completion)"</formula>
    </cfRule>
  </conditionalFormatting>
  <dataValidations count="2">
    <dataValidation allowBlank="true" errorStyle="stop" operator="between" showDropDown="false" showErrorMessage="false" showInputMessage="false" sqref="H7:H31" type="list">
      <formula1>"A - Critical (blocks completion),B - Required pre-handover,C - Can complete post-handover"</formula1>
      <formula2>0</formula2>
    </dataValidation>
    <dataValidation allowBlank="true" errorStyle="stop" operator="between" showDropDown="false" showErrorMessage="false" showInputMessage="false" sqref="M7:M31" type="list">
      <formula1>"Open,In Progress,Complete - Awaiting Verification,Closed,Disputed"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3" t="s">
        <v>26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27</v>
      </c>
    </row>
    <row r="7" customFormat="false" ht="15" hidden="false" customHeight="false" outlineLevel="0" collapsed="false">
      <c r="B7" s="15" t="s">
        <v>28</v>
      </c>
    </row>
    <row r="8" customFormat="false" ht="15" hidden="false" customHeight="false" outlineLevel="0" collapsed="false">
      <c r="B8" s="15" t="s">
        <v>29</v>
      </c>
    </row>
    <row r="9" customFormat="false" ht="15" hidden="false" customHeight="false" outlineLevel="0" collapsed="false">
      <c r="B9" s="15" t="s">
        <v>30</v>
      </c>
    </row>
    <row r="10" customFormat="false" ht="15" hidden="false" customHeight="false" outlineLevel="0" collapsed="false">
      <c r="B10" s="15"/>
    </row>
    <row r="11" customFormat="false" ht="15" hidden="false" customHeight="false" outlineLevel="0" collapsed="false">
      <c r="B11" s="13" t="s">
        <v>31</v>
      </c>
    </row>
    <row r="12" customFormat="false" ht="15" hidden="false" customHeight="false" outlineLevel="0" collapsed="false">
      <c r="B12" s="4" t="s">
        <v>32</v>
      </c>
    </row>
    <row r="13" customFormat="false" ht="15" hidden="false" customHeight="false" outlineLevel="0" collapsed="false">
      <c r="B13" s="4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