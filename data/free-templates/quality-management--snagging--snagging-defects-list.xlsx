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efects 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'Defects List'!$A$1:$K$66</definedName>
    <definedName function="false" hidden="true" localSheetId="2" name="_xlnm._FilterDatabase" vbProcedure="false">'Defects List'!$A$16:$P$66</definedName>
    <definedName function="false" hidden="false" name="DataTable" vbProcedure="false">'Defects List'!$A$16:$P$66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<sst xmlns="http://schemas.openxmlformats.org/spreadsheetml/2006/main" count="145" uniqueCount="114">
  <si>
    <t xml:space="preserve">EBRORA</t>
  </si>
  <si>
    <t xml:space="preserve">ebrora.com</t>
  </si>
  <si>
    <t xml:space="preserve">Snagging / Defects List</t>
  </si>
  <si>
    <t xml:space="preserve">Track, manage and close out snagging items and defects through to practical completion — with priority tracking, category breakdown, and overdue alerts.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</si>
  <si>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</si>
  <si>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</si>
  <si>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</si>
  <si>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</si>
  <si>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</si>
  <si>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'Defects List' sheet. The top section shows a live dashboard with status counts, priority breakdown, and completion percentage.</t>
  </si>
  <si>
    <t xml:space="preserve">2.</t>
  </si>
  <si>
    <t xml:space="preserve">Each row in the main log below represents one snagging or defect item. Fill in the light teal cells.</t>
  </si>
  <si>
    <t xml:space="preserve">3.</t>
  </si>
  <si>
    <t xml:space="preserve">Enter an Item Number, Date Raised, the Location (room, zone, or grid ref), and a clear Description of the defect.</t>
  </si>
  <si>
    <t xml:space="preserve">4.</t>
  </si>
  <si>
    <t xml:space="preserve">Select a Category from the dropdown (Architectural, M&amp;E, Structural, Finishes, External, Services) and set the Priority (High, Medium, Low).</t>
  </si>
  <si>
    <t xml:space="preserve">5.</t>
  </si>
  <si>
    <t xml:space="preserve">Set the Status: Open, In Progress, Resolved, or Disputed. Assign the item to a person and set a Target Date for resolution.</t>
  </si>
  <si>
    <t xml:space="preserve">6.</t>
  </si>
  <si>
    <t xml:space="preserve">The 'Days Overdue' column calculates automatically — it shows how many days past the target date an unresolved item is. Zero or blank means it's not yet overdue.</t>
  </si>
  <si>
    <t xml:space="preserve">7.</t>
  </si>
  <si>
    <t xml:space="preserve">Expand the optional columns (click [+]) to record subcontractor, estimated cost to rectify, photo references, resolution date, and sign-off details.</t>
  </si>
  <si>
    <t xml:space="preserve">8.</t>
  </si>
  <si>
    <t xml:space="preserve">The dashboard updates in real time as you add and resolve items.</t>
  </si>
  <si>
    <t xml:space="preserve">Colour Key</t>
  </si>
  <si>
    <t xml:space="preserve">Light teal cells (#E8F6F7) — Editable input cells.</t>
  </si>
  <si>
    <t xml:space="preserve">Dark navy headers (#1B2A4A) — Do not edit.</t>
  </si>
  <si>
    <t xml:space="preserve">Green — Status is 'Resolved' or Priority is 'Low'.</t>
  </si>
  <si>
    <t xml:space="preserve">Amber — Status is 'In Progress' or Priority is 'Medium'.</t>
  </si>
  <si>
    <t xml:space="preserve">Red — Status is 'Open' / 'Disputed', Priority is 'High', or item is overdue.</t>
  </si>
  <si>
    <t xml:space="preserve">Tips</t>
  </si>
  <si>
    <t xml:space="preserve">Tip 1:</t>
  </si>
  <si>
    <t xml:space="preserve">Walk the site with this list on a tablet. Log items in real time with location and photo references — it's far more reliable than writing notes and typing them up later.</t>
  </si>
  <si>
    <t xml:space="preserve">Tip 2:</t>
  </si>
  <si>
    <t xml:space="preserve">Filter by Status = 'Open' and sort by Priority = 'High' before your weekly subcontractor coordination meeting. This gives you a focused punch list.</t>
  </si>
  <si>
    <t xml:space="preserve">Tip 3:</t>
  </si>
  <si>
    <t xml:space="preserve">Don't close items without physical verification. Use the 'Verified By' optional column to record who checked the fix on site.</t>
  </si>
  <si>
    <t xml:space="preserve">SNAGGING / DEFECTS LIST</t>
  </si>
  <si>
    <t xml:space="preserve">STATUS OVERVIEW</t>
  </si>
  <si>
    <t xml:space="preserve">Total Items</t>
  </si>
  <si>
    <t xml:space="preserve">Open</t>
  </si>
  <si>
    <t xml:space="preserve">In Progress</t>
  </si>
  <si>
    <t xml:space="preserve">Resolved</t>
  </si>
  <si>
    <t xml:space="preserve">Disputed</t>
  </si>
  <si>
    <t xml:space="preserve">% Complete</t>
  </si>
  <si>
    <t xml:space="preserve"> </t>
  </si>
  <si>
    <t xml:space="preserve">PRIORITY BREAKDOWN</t>
  </si>
  <si>
    <t xml:space="preserve">High (Open)</t>
  </si>
  <si>
    <t xml:space="preserve">Medium (Open)</t>
  </si>
  <si>
    <t xml:space="preserve">Low (Open)</t>
  </si>
  <si>
    <t xml:space="preserve">Overdue Items</t>
  </si>
  <si>
    <t xml:space="preserve">BY CATEGORY (OPEN)</t>
  </si>
  <si>
    <t xml:space="preserve">Architectural</t>
  </si>
  <si>
    <t xml:space="preserve">M&amp;E</t>
  </si>
  <si>
    <t xml:space="preserve">Structural</t>
  </si>
  <si>
    <t xml:space="preserve">Finishes</t>
  </si>
  <si>
    <t xml:space="preserve">External</t>
  </si>
  <si>
    <t xml:space="preserve">Services</t>
  </si>
  <si>
    <t xml:space="preserve">▸ Optional Fields — Click [+] to expand</t>
  </si>
  <si>
    <t xml:space="preserve">Item No.</t>
  </si>
  <si>
    <t xml:space="preserve">Date Raised</t>
  </si>
  <si>
    <t xml:space="preserve">Location</t>
  </si>
  <si>
    <t xml:space="preserve">Description</t>
  </si>
  <si>
    <t xml:space="preserve">Category</t>
  </si>
  <si>
    <t xml:space="preserve">Priority</t>
  </si>
  <si>
    <t xml:space="preserve">Status</t>
  </si>
  <si>
    <t xml:space="preserve">Assigned To</t>
  </si>
  <si>
    <t xml:space="preserve">Target Date</t>
  </si>
  <si>
    <t xml:space="preserve">Date Resolved</t>
  </si>
  <si>
    <t xml:space="preserve">Days Overdue</t>
  </si>
  <si>
    <t xml:space="preserve">Subcontractor</t>
  </si>
  <si>
    <t xml:space="preserve">Est. Cost (£)</t>
  </si>
  <si>
    <t xml:space="preserve">Photo Ref</t>
  </si>
  <si>
    <t xml:space="preserve">Verified By</t>
  </si>
  <si>
    <t xml:space="preserve">Sign-Off Date</t>
  </si>
  <si>
    <t xml:space="preserve">Block A - Flat 12 - Bathroom</t>
  </si>
  <si>
    <t xml:space="preserve">Cracked wall tile behind WC — visible hairline crack running 150mm vertically</t>
  </si>
  <si>
    <t xml:space="preserve">Medium</t>
  </si>
  <si>
    <t xml:space="preserve">J. Wilson (Apex Tiling)</t>
  </si>
  <si>
    <t xml:space="preserve">Apex Tiling Ltd</t>
  </si>
  <si>
    <t xml:space="preserve">IMG_0412.jpg</t>
  </si>
  <si>
    <t xml:space="preserve">Block A - Flat 14 - Kitchen</t>
  </si>
  <si>
    <t xml:space="preserve">Worktop not level — 5mm fall over 600mm run. Does not meet tolerance.</t>
  </si>
  <si>
    <t xml:space="preserve">High</t>
  </si>
  <si>
    <t xml:space="preserve">D. Khan (Interiors Ltd)</t>
  </si>
  <si>
    <t xml:space="preserve">Interiors Ltd</t>
  </si>
  <si>
    <t xml:space="preserve">IMG_0415.jpg</t>
  </si>
  <si>
    <t xml:space="preserve">Block B - Corridor L1</t>
  </si>
  <si>
    <t xml:space="preserve">Fire door closer not engaging — door stays open past 15 degrees</t>
  </si>
  <si>
    <t xml:space="preserve">T. Brennan (FireSafe)</t>
  </si>
  <si>
    <t xml:space="preserve">FireSafe Installations</t>
  </si>
  <si>
    <t xml:space="preserve">IMG_0430.jpg</t>
  </si>
  <si>
    <t xml:space="preserve">S. Patel</t>
  </si>
  <si>
    <t xml:space="preserve">Block A - Stairwell 2</t>
  </si>
  <si>
    <t xml:space="preserve">Handrail bracket loose at mid-landing — wobbles under load</t>
  </si>
  <si>
    <t xml:space="preserve">R. Okonkwo (SteelFix)</t>
  </si>
  <si>
    <t xml:space="preserve">SteelFix Metalwork</t>
  </si>
  <si>
    <t xml:space="preserve">IMG_0445.jpg</t>
  </si>
  <si>
    <t xml:space="preserve">External - Car Park</t>
  </si>
  <si>
    <t xml:space="preserve">Line marking paint faded on 3 disabled bays — not to BS 8300 standard</t>
  </si>
  <si>
    <t xml:space="preserve">Low</t>
  </si>
  <si>
    <t xml:space="preserve">M. Briggs (Groundworks)</t>
  </si>
  <si>
    <t xml:space="preserve">Briggs Groundworks</t>
  </si>
  <si>
    <t xml:space="preserve">IMG_0460.jpg</t>
  </si>
  <si>
    <t xml:space="preserve">A. Hughes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</si>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</sst>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dd/mm/yyyy"/>
    <numFmt numFmtId="168" formatCode="0"/>
    <numFmt numFmtId="169" formatCode="\£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8C8C8C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sz val="2"/>
      <color rgb="FF1B2A4A"/>
      <name val="Calibri"/>
      <family val="0"/>
      <charset val="1"/>
    </font>
    <font>
      <sz val="2"/>
      <color rgb="FFFFC7CE"/>
      <name val="Calibri"/>
      <family val="0"/>
      <charset val="1"/>
    </font>
    <font>
      <sz val="2"/>
      <color rgb="FFFFEB9C"/>
      <name val="Calibri"/>
      <family val="0"/>
      <charset val="1"/>
    </font>
    <font>
      <sz val="2"/>
      <color rgb="FFC6EFCE"/>
      <name val="Calibri"/>
      <family val="0"/>
      <charset val="1"/>
    </font>
    <font>
      <sz val="2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sz val="9"/>
      <color rgb="FF8C8C8C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0F0"/>
      </patternFill>
    </fill>
    <fill>
      <patternFill patternType="solid">
        <fgColor rgb="FFE8F6F7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0F0"/>
      </patternFill>
    </fill>
    <fill>
      <patternFill patternType="solid">
        <fgColor rgb="FFC6EFCE"/>
        <bgColor rgb="FFE8F6F7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F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F0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  <c r="G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  <c r="G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  <c r="G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  <c r="G6" s="10"/>
    </row>
    <row r="7" customFormat="false" ht="1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  <c r="G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  <c r="G8" s="10"/>
    </row>
    <row r="9" customFormat="false" ht="1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  <c r="G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  <c r="G10" s="10"/>
    </row>
    <row r="11" customFormat="false" ht="23.8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  <c r="G11" s="10"/>
    </row>
    <row r="12" customFormat="false" ht="15" hidden="false" customHeight="true" outlineLevel="0" collapsed="false">
      <c r="A12" s="9" t="s">
        <v>22</v>
      </c>
      <c r="B12" s="10" t="s">
        <v>23</v>
      </c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9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11" t="s">
        <v>24</v>
      </c>
      <c r="B14" s="11"/>
      <c r="C14" s="11"/>
      <c r="D14" s="11"/>
      <c r="E14" s="11"/>
      <c r="F14" s="11"/>
      <c r="G14" s="11"/>
    </row>
    <row r="15" customFormat="false" ht="15" hidden="false" customHeight="true" outlineLevel="0" collapsed="false">
      <c r="A15" s="9"/>
      <c r="B15" s="10" t="s">
        <v>25</v>
      </c>
      <c r="C15" s="10"/>
      <c r="D15" s="10"/>
      <c r="E15" s="10"/>
      <c r="F15" s="10"/>
      <c r="G15" s="10"/>
    </row>
    <row r="16" customFormat="false" ht="15" hidden="false" customHeight="true" outlineLevel="0" collapsed="false">
      <c r="A16" s="9"/>
      <c r="B16" s="10" t="s">
        <v>26</v>
      </c>
      <c r="C16" s="10"/>
      <c r="D16" s="10"/>
      <c r="E16" s="10"/>
      <c r="F16" s="10"/>
      <c r="G16" s="10"/>
    </row>
    <row r="17" customFormat="false" ht="15" hidden="false" customHeight="true" outlineLevel="0" collapsed="false">
      <c r="A17" s="9"/>
      <c r="B17" s="10" t="s">
        <v>27</v>
      </c>
      <c r="C17" s="10"/>
      <c r="D17" s="10"/>
      <c r="E17" s="10"/>
      <c r="F17" s="10"/>
      <c r="G17" s="10"/>
    </row>
    <row r="18" customFormat="false" ht="15" hidden="false" customHeight="true" outlineLevel="0" collapsed="false">
      <c r="A18" s="9"/>
      <c r="B18" s="10" t="s">
        <v>28</v>
      </c>
      <c r="C18" s="10"/>
      <c r="D18" s="10"/>
      <c r="E18" s="10"/>
      <c r="F18" s="10"/>
      <c r="G18" s="10"/>
    </row>
    <row r="19" customFormat="false" ht="15" hidden="false" customHeight="true" outlineLevel="0" collapsed="false">
      <c r="A19" s="9"/>
      <c r="B19" s="10" t="s">
        <v>29</v>
      </c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11" t="s">
        <v>30</v>
      </c>
      <c r="B21" s="11"/>
      <c r="C21" s="11"/>
      <c r="D21" s="11"/>
      <c r="E21" s="11"/>
      <c r="F21" s="11"/>
      <c r="G21" s="11"/>
    </row>
    <row r="22" customFormat="false" ht="23.85" hidden="false" customHeight="true" outlineLevel="0" collapsed="false">
      <c r="A22" s="12" t="s">
        <v>31</v>
      </c>
      <c r="B22" s="10" t="s">
        <v>32</v>
      </c>
      <c r="C22" s="10"/>
      <c r="D22" s="10"/>
      <c r="E22" s="10"/>
      <c r="F22" s="10"/>
      <c r="G22" s="10"/>
    </row>
    <row r="23" customFormat="false" ht="23.85" hidden="false" customHeight="true" outlineLevel="0" collapsed="false">
      <c r="A23" s="12" t="s">
        <v>33</v>
      </c>
      <c r="B23" s="10" t="s">
        <v>34</v>
      </c>
      <c r="C23" s="10"/>
      <c r="D23" s="10"/>
      <c r="E23" s="10"/>
      <c r="F23" s="10"/>
      <c r="G23" s="10"/>
    </row>
    <row r="24" customFormat="false" ht="15" hidden="false" customHeight="true" outlineLevel="0" collapsed="false">
      <c r="A24" s="12" t="s">
        <v>35</v>
      </c>
      <c r="B24" s="10" t="s">
        <v>36</v>
      </c>
      <c r="C24" s="10"/>
      <c r="D24" s="10"/>
      <c r="E24" s="10"/>
      <c r="F24" s="10"/>
      <c r="G24" s="10"/>
    </row>
  </sheetData>
  <mergeCells count="26">
    <mergeCell ref="A1:G1"/>
    <mergeCell ref="B3:G3"/>
    <mergeCell ref="A4:G4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4:G14"/>
    <mergeCell ref="B14:G14"/>
    <mergeCell ref="B15:G15"/>
    <mergeCell ref="B16:G16"/>
    <mergeCell ref="B17:G17"/>
    <mergeCell ref="B18:G18"/>
    <mergeCell ref="B19:G19"/>
    <mergeCell ref="B20:G20"/>
    <mergeCell ref="A21:G21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1" min="9" style="0" width="13"/>
    <col collapsed="false" customWidth="true" hidden="true" outlineLevel="1" max="16" min="12" style="0" width="20"/>
  </cols>
  <sheetData>
    <row r="1" customFormat="false" ht="18.65" hidden="false" customHeight="true" outlineLevel="0" collapsed="false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</row>
    <row r="3" customFormat="false" ht="15" hidden="false" customHeight="true" outlineLevel="0" collapsed="false">
      <c r="A3" s="15" t="s">
        <v>38</v>
      </c>
      <c r="B3" s="15"/>
    </row>
    <row r="4" customFormat="false" ht="15" hidden="false" customHeight="true" outlineLevel="0" collapsed="false">
      <c r="A4" s="16" t="s">
        <v>39</v>
      </c>
      <c r="B4" s="16"/>
      <c r="C4" s="16" t="s">
        <v>40</v>
      </c>
      <c r="D4" s="16"/>
      <c r="E4" s="16" t="s">
        <v>41</v>
      </c>
      <c r="F4" s="16"/>
      <c r="G4" s="16" t="s">
        <v>42</v>
      </c>
      <c r="H4" s="16"/>
      <c r="I4" s="16" t="s">
        <v>43</v>
      </c>
      <c r="J4" s="16"/>
      <c r="K4" s="16" t="s">
        <v>44</v>
      </c>
      <c r="L4" s="16"/>
    </row>
    <row r="5" customFormat="false" ht="23.1" hidden="false" customHeight="false" outlineLevel="0" collapsed="false">
      <c r="A5" s="17" t="n">
        <f aca="false">COUNTA(A17:A66)</f>
        <v>5</v>
      </c>
      <c r="B5" s="17"/>
      <c r="C5" s="17" t="n">
        <f aca="false">COUNTIF(G17:G66,"Open")</f>
        <v>1</v>
      </c>
      <c r="D5" s="17"/>
      <c r="E5" s="17" t="n">
        <f aca="false">COUNTIF(G17:G66,"In Progress")</f>
        <v>1</v>
      </c>
      <c r="F5" s="17"/>
      <c r="G5" s="17" t="n">
        <f aca="false">COUNTIF(G17:G66,"Resolved")</f>
        <v>2</v>
      </c>
      <c r="H5" s="17"/>
      <c r="I5" s="17" t="n">
        <f aca="false">COUNTIF(G17:G66,"Disputed")</f>
        <v>1</v>
      </c>
      <c r="J5" s="17"/>
      <c r="K5" s="18" t="n">
        <f aca="false">IFERROR(COUNTIF(G17:G66,"Resolved")/COUNTA(G17:G66),0)</f>
        <v>0.4</v>
      </c>
      <c r="L5" s="18"/>
    </row>
    <row r="6" customFormat="false" ht="15" hidden="false" customHeight="false" outlineLevel="0" collapsed="false">
      <c r="A6" s="19" t="s">
        <v>45</v>
      </c>
      <c r="B6" s="19" t="s">
        <v>45</v>
      </c>
      <c r="C6" s="20" t="s">
        <v>45</v>
      </c>
      <c r="D6" s="20" t="s">
        <v>45</v>
      </c>
      <c r="E6" s="21" t="s">
        <v>45</v>
      </c>
      <c r="F6" s="21" t="s">
        <v>45</v>
      </c>
      <c r="G6" s="22" t="s">
        <v>45</v>
      </c>
      <c r="H6" s="22" t="s">
        <v>45</v>
      </c>
      <c r="I6" s="20" t="s">
        <v>45</v>
      </c>
      <c r="J6" s="20" t="s">
        <v>45</v>
      </c>
      <c r="K6" s="23" t="s">
        <v>45</v>
      </c>
      <c r="L6" s="23" t="s">
        <v>45</v>
      </c>
    </row>
    <row r="8" customFormat="false" ht="15" hidden="false" customHeight="true" outlineLevel="0" collapsed="false">
      <c r="A8" s="15" t="s">
        <v>46</v>
      </c>
      <c r="B8" s="15"/>
    </row>
    <row r="9" customFormat="false" ht="15" hidden="false" customHeight="true" outlineLevel="0" collapsed="false">
      <c r="A9" s="16" t="s">
        <v>47</v>
      </c>
      <c r="B9" s="16"/>
      <c r="D9" s="16" t="s">
        <v>48</v>
      </c>
      <c r="E9" s="16"/>
      <c r="G9" s="16" t="s">
        <v>49</v>
      </c>
      <c r="H9" s="16"/>
      <c r="J9" s="16" t="s">
        <v>50</v>
      </c>
      <c r="K9" s="16"/>
    </row>
    <row r="10" customFormat="false" ht="20.85" hidden="false" customHeight="false" outlineLevel="0" collapsed="false">
      <c r="A10" s="24" t="n">
        <f aca="false">COUNTIFS(F17:F66,"High",G17:G66,"&lt;&gt;Resolved")</f>
        <v>2</v>
      </c>
      <c r="B10" s="24"/>
      <c r="D10" s="24" t="n">
        <f aca="false">COUNTIFS(F17:F66,"Medium",G17:G66,"&lt;&gt;Resolved")</f>
        <v>1</v>
      </c>
      <c r="E10" s="24"/>
      <c r="G10" s="24" t="n">
        <f aca="false">COUNTIFS(F17:F66,"Low",G17:G66,"&lt;&gt;Resolved")</f>
        <v>0</v>
      </c>
      <c r="H10" s="24"/>
      <c r="J10" s="24" t="n">
        <f aca="false">COUNTIF(K17:K66,"&gt;"&amp;0)</f>
        <v>3</v>
      </c>
      <c r="K10" s="24"/>
    </row>
    <row r="11" customFormat="false" ht="15" hidden="false" customHeight="false" outlineLevel="0" collapsed="false">
      <c r="A11" s="20" t="s">
        <v>45</v>
      </c>
      <c r="B11" s="20" t="s">
        <v>45</v>
      </c>
      <c r="D11" s="21" t="s">
        <v>45</v>
      </c>
      <c r="E11" s="21" t="s">
        <v>45</v>
      </c>
      <c r="G11" s="22" t="s">
        <v>45</v>
      </c>
      <c r="H11" s="22" t="s">
        <v>45</v>
      </c>
      <c r="J11" s="20" t="s">
        <v>45</v>
      </c>
      <c r="K11" s="20" t="s">
        <v>45</v>
      </c>
    </row>
    <row r="12" customFormat="false" ht="15" hidden="false" customHeight="true" outlineLevel="0" collapsed="false">
      <c r="A12" s="15" t="s">
        <v>51</v>
      </c>
      <c r="B12" s="15"/>
    </row>
    <row r="13" customFormat="false" ht="15" hidden="false" customHeight="true" outlineLevel="0" collapsed="false">
      <c r="A13" s="25" t="s">
        <v>52</v>
      </c>
      <c r="B13" s="25"/>
      <c r="C13" s="25" t="s">
        <v>53</v>
      </c>
      <c r="D13" s="25"/>
      <c r="E13" s="25" t="s">
        <v>54</v>
      </c>
      <c r="F13" s="25"/>
      <c r="G13" s="25" t="s">
        <v>55</v>
      </c>
      <c r="H13" s="25"/>
      <c r="I13" s="25" t="s">
        <v>56</v>
      </c>
      <c r="J13" s="25"/>
      <c r="K13" s="25" t="s">
        <v>57</v>
      </c>
      <c r="L13" s="25"/>
    </row>
    <row r="14" customFormat="false" ht="18.65" hidden="false" customHeight="false" outlineLevel="0" collapsed="false">
      <c r="A14" s="26" t="n">
        <f aca="false">COUNTIFS(E17:E66,"Architectural",G17:G66,"&lt;&gt;Resolved")</f>
        <v>1</v>
      </c>
      <c r="B14" s="26"/>
      <c r="C14" s="26" t="n">
        <f aca="false">COUNTIFS(E17:E66,"M&amp;E",G17:G66,"&lt;&gt;Resolved")</f>
        <v>0</v>
      </c>
      <c r="D14" s="26"/>
      <c r="E14" s="26" t="n">
        <f aca="false">COUNTIFS(E17:E66,"Structural",G17:G66,"&lt;&gt;Resolved")</f>
        <v>1</v>
      </c>
      <c r="F14" s="26"/>
      <c r="G14" s="26" t="n">
        <f aca="false">COUNTIFS(E17:E66,"Finishes",G17:G66,"&lt;&gt;Resolved")</f>
        <v>1</v>
      </c>
      <c r="H14" s="26"/>
      <c r="I14" s="26" t="n">
        <f aca="false">COUNTIFS(E17:E66,"External",G17:G66,"&lt;&gt;Resolved")</f>
        <v>0</v>
      </c>
      <c r="J14" s="26"/>
      <c r="K14" s="26" t="n">
        <f aca="false">COUNTIFS(E17:E66,"Services",G17:G66,"&lt;&gt;Resolved")</f>
        <v>0</v>
      </c>
      <c r="L14" s="26"/>
    </row>
    <row r="15" customFormat="false" ht="22.3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 t="s">
        <v>58</v>
      </c>
      <c r="M15" s="28"/>
      <c r="N15" s="28"/>
      <c r="O15" s="28"/>
      <c r="P15" s="28"/>
    </row>
    <row r="16" customFormat="false" ht="28.35" hidden="false" customHeight="false" outlineLevel="0" collapsed="false">
      <c r="A16" s="29" t="s">
        <v>59</v>
      </c>
      <c r="B16" s="29" t="s">
        <v>60</v>
      </c>
      <c r="C16" s="29" t="s">
        <v>61</v>
      </c>
      <c r="D16" s="29" t="s">
        <v>62</v>
      </c>
      <c r="E16" s="29" t="s">
        <v>63</v>
      </c>
      <c r="F16" s="29" t="s">
        <v>64</v>
      </c>
      <c r="G16" s="29" t="s">
        <v>65</v>
      </c>
      <c r="H16" s="29" t="s">
        <v>66</v>
      </c>
      <c r="I16" s="29" t="s">
        <v>67</v>
      </c>
      <c r="J16" s="29" t="s">
        <v>68</v>
      </c>
      <c r="K16" s="29" t="s">
        <v>69</v>
      </c>
      <c r="L16" s="29" t="s">
        <v>70</v>
      </c>
      <c r="M16" s="29" t="s">
        <v>71</v>
      </c>
      <c r="N16" s="29" t="s">
        <v>72</v>
      </c>
      <c r="O16" s="29" t="s">
        <v>73</v>
      </c>
      <c r="P16" s="29" t="s">
        <v>74</v>
      </c>
    </row>
    <row r="17" customFormat="false" ht="23.85" hidden="false" customHeight="false" outlineLevel="0" collapsed="false">
      <c r="A17" s="30" t="n">
        <v>1</v>
      </c>
      <c r="B17" s="31" t="n">
        <v>46063</v>
      </c>
      <c r="C17" s="30" t="s">
        <v>75</v>
      </c>
      <c r="D17" s="30" t="s">
        <v>76</v>
      </c>
      <c r="E17" s="30" t="s">
        <v>55</v>
      </c>
      <c r="F17" s="30" t="s">
        <v>77</v>
      </c>
      <c r="G17" s="30" t="s">
        <v>41</v>
      </c>
      <c r="H17" s="30" t="s">
        <v>78</v>
      </c>
      <c r="I17" s="31" t="n">
        <v>46091</v>
      </c>
      <c r="J17" s="31"/>
      <c r="K17" s="32" t="n">
        <f aca="true">IF(AND(I17&lt;&gt;"",G17&lt;&gt;"Resolved",G17&lt;&gt;"",TODAY()&gt;I17),TODAY()-I17,"")</f>
        <v>12</v>
      </c>
      <c r="L17" s="30" t="s">
        <v>79</v>
      </c>
      <c r="M17" s="33" t="n">
        <v>85</v>
      </c>
      <c r="N17" s="30" t="s">
        <v>80</v>
      </c>
      <c r="O17" s="30"/>
      <c r="P17" s="31"/>
    </row>
    <row r="18" customFormat="false" ht="23.85" hidden="false" customHeight="false" outlineLevel="0" collapsed="false">
      <c r="A18" s="34" t="n">
        <v>2</v>
      </c>
      <c r="B18" s="35" t="n">
        <v>46063</v>
      </c>
      <c r="C18" s="34" t="s">
        <v>81</v>
      </c>
      <c r="D18" s="34" t="s">
        <v>82</v>
      </c>
      <c r="E18" s="34" t="s">
        <v>52</v>
      </c>
      <c r="F18" s="34" t="s">
        <v>83</v>
      </c>
      <c r="G18" s="34" t="s">
        <v>40</v>
      </c>
      <c r="H18" s="34" t="s">
        <v>84</v>
      </c>
      <c r="I18" s="35" t="n">
        <v>46082</v>
      </c>
      <c r="J18" s="35"/>
      <c r="K18" s="32" t="n">
        <f aca="true">IF(AND(I18&lt;&gt;"",G18&lt;&gt;"Resolved",G18&lt;&gt;"",TODAY()&gt;I18),TODAY()-I18,"")</f>
        <v>21</v>
      </c>
      <c r="L18" s="30" t="s">
        <v>85</v>
      </c>
      <c r="M18" s="33" t="n">
        <v>320</v>
      </c>
      <c r="N18" s="30" t="s">
        <v>86</v>
      </c>
      <c r="O18" s="30"/>
      <c r="P18" s="31"/>
    </row>
    <row r="19" customFormat="false" ht="23.85" hidden="false" customHeight="false" outlineLevel="0" collapsed="false">
      <c r="A19" s="30" t="n">
        <v>3</v>
      </c>
      <c r="B19" s="31" t="n">
        <v>46065</v>
      </c>
      <c r="C19" s="30" t="s">
        <v>87</v>
      </c>
      <c r="D19" s="30" t="s">
        <v>88</v>
      </c>
      <c r="E19" s="30" t="s">
        <v>53</v>
      </c>
      <c r="F19" s="30" t="s">
        <v>83</v>
      </c>
      <c r="G19" s="30" t="s">
        <v>42</v>
      </c>
      <c r="H19" s="30" t="s">
        <v>89</v>
      </c>
      <c r="I19" s="31" t="n">
        <v>46081</v>
      </c>
      <c r="J19" s="31" t="n">
        <v>46078</v>
      </c>
      <c r="K19" s="32" t="str">
        <f aca="true">IF(AND(I19&lt;&gt;"",G19&lt;&gt;"Resolved",G19&lt;&gt;"",TODAY()&gt;I19),TODAY()-I19,"")</f>
        <v/>
      </c>
      <c r="L19" s="30" t="s">
        <v>90</v>
      </c>
      <c r="M19" s="33" t="n">
        <v>0</v>
      </c>
      <c r="N19" s="30" t="s">
        <v>91</v>
      </c>
      <c r="O19" s="30" t="s">
        <v>92</v>
      </c>
      <c r="P19" s="31" t="n">
        <v>46079</v>
      </c>
    </row>
    <row r="20" customFormat="false" ht="23.85" hidden="false" customHeight="false" outlineLevel="0" collapsed="false">
      <c r="A20" s="34" t="n">
        <v>4</v>
      </c>
      <c r="B20" s="35" t="n">
        <v>46068</v>
      </c>
      <c r="C20" s="34" t="s">
        <v>93</v>
      </c>
      <c r="D20" s="34" t="s">
        <v>94</v>
      </c>
      <c r="E20" s="34" t="s">
        <v>54</v>
      </c>
      <c r="F20" s="34" t="s">
        <v>83</v>
      </c>
      <c r="G20" s="34" t="s">
        <v>43</v>
      </c>
      <c r="H20" s="34" t="s">
        <v>95</v>
      </c>
      <c r="I20" s="35" t="n">
        <v>46086</v>
      </c>
      <c r="J20" s="35"/>
      <c r="K20" s="32" t="n">
        <f aca="true">IF(AND(I20&lt;&gt;"",G20&lt;&gt;"Resolved",G20&lt;&gt;"",TODAY()&gt;I20),TODAY()-I20,"")</f>
        <v>17</v>
      </c>
      <c r="L20" s="30" t="s">
        <v>96</v>
      </c>
      <c r="M20" s="33" t="n">
        <v>150</v>
      </c>
      <c r="N20" s="30" t="s">
        <v>97</v>
      </c>
      <c r="O20" s="30"/>
      <c r="P20" s="31"/>
    </row>
    <row r="21" customFormat="false" ht="23.85" hidden="false" customHeight="false" outlineLevel="0" collapsed="false">
      <c r="A21" s="30" t="n">
        <v>5</v>
      </c>
      <c r="B21" s="31" t="n">
        <v>46071</v>
      </c>
      <c r="C21" s="30" t="s">
        <v>98</v>
      </c>
      <c r="D21" s="30" t="s">
        <v>99</v>
      </c>
      <c r="E21" s="30" t="s">
        <v>56</v>
      </c>
      <c r="F21" s="30" t="s">
        <v>100</v>
      </c>
      <c r="G21" s="30" t="s">
        <v>42</v>
      </c>
      <c r="H21" s="30" t="s">
        <v>101</v>
      </c>
      <c r="I21" s="31" t="n">
        <v>46096</v>
      </c>
      <c r="J21" s="31" t="n">
        <v>46089</v>
      </c>
      <c r="K21" s="32" t="str">
        <f aca="true">IF(AND(I21&lt;&gt;"",G21&lt;&gt;"Resolved",G21&lt;&gt;"",TODAY()&gt;I21),TODAY()-I21,"")</f>
        <v/>
      </c>
      <c r="L21" s="30" t="s">
        <v>102</v>
      </c>
      <c r="M21" s="33" t="n">
        <v>200</v>
      </c>
      <c r="N21" s="30" t="s">
        <v>103</v>
      </c>
      <c r="O21" s="30" t="s">
        <v>104</v>
      </c>
      <c r="P21" s="31" t="n">
        <v>46090</v>
      </c>
    </row>
    <row r="22" customFormat="false" ht="15" hidden="false" customHeight="false" outlineLevel="0" collapsed="false">
      <c r="A22" s="34"/>
      <c r="B22" s="35"/>
      <c r="C22" s="34"/>
      <c r="D22" s="34"/>
      <c r="E22" s="34"/>
      <c r="F22" s="34"/>
      <c r="G22" s="34"/>
      <c r="H22" s="34"/>
      <c r="I22" s="35"/>
      <c r="J22" s="35"/>
      <c r="K22" s="32" t="str">
        <f aca="true">IF(AND(I22&lt;&gt;"",G22&lt;&gt;"Resolved",G22&lt;&gt;"",TODAY()&gt;I22),TODAY()-I22,"")</f>
        <v/>
      </c>
      <c r="L22" s="30"/>
      <c r="M22" s="33"/>
      <c r="N22" s="30"/>
      <c r="O22" s="30"/>
      <c r="P22" s="31"/>
    </row>
    <row r="23" customFormat="false" ht="15" hidden="false" customHeight="false" outlineLevel="0" collapsed="false">
      <c r="A23" s="30"/>
      <c r="B23" s="31"/>
      <c r="C23" s="30"/>
      <c r="D23" s="30"/>
      <c r="E23" s="30"/>
      <c r="F23" s="30"/>
      <c r="G23" s="30"/>
      <c r="H23" s="30"/>
      <c r="I23" s="31"/>
      <c r="J23" s="31"/>
      <c r="K23" s="32" t="str">
        <f aca="true">IF(AND(I23&lt;&gt;"",G23&lt;&gt;"Resolved",G23&lt;&gt;"",TODAY()&gt;I23),TODAY()-I23,"")</f>
        <v/>
      </c>
      <c r="L23" s="30"/>
      <c r="M23" s="33"/>
      <c r="N23" s="30"/>
      <c r="O23" s="30"/>
      <c r="P23" s="31"/>
    </row>
    <row r="24" customFormat="false" ht="15" hidden="false" customHeight="false" outlineLevel="0" collapsed="false">
      <c r="A24" s="34"/>
      <c r="B24" s="35"/>
      <c r="C24" s="34"/>
      <c r="D24" s="34"/>
      <c r="E24" s="34"/>
      <c r="F24" s="34"/>
      <c r="G24" s="34"/>
      <c r="H24" s="34"/>
      <c r="I24" s="35"/>
      <c r="J24" s="35"/>
      <c r="K24" s="32" t="str">
        <f aca="true">IF(AND(I24&lt;&gt;"",G24&lt;&gt;"Resolved",G24&lt;&gt;"",TODAY()&gt;I24),TODAY()-I24,"")</f>
        <v/>
      </c>
      <c r="L24" s="30"/>
      <c r="M24" s="33"/>
      <c r="N24" s="30"/>
      <c r="O24" s="30"/>
      <c r="P24" s="31"/>
    </row>
    <row r="25" customFormat="false" ht="15" hidden="false" customHeight="false" outlineLevel="0" collapsed="false">
      <c r="A25" s="30"/>
      <c r="B25" s="31"/>
      <c r="C25" s="30"/>
      <c r="D25" s="30"/>
      <c r="E25" s="30"/>
      <c r="F25" s="30"/>
      <c r="G25" s="30"/>
      <c r="H25" s="30"/>
      <c r="I25" s="31"/>
      <c r="J25" s="31"/>
      <c r="K25" s="32" t="str">
        <f aca="true">IF(AND(I25&lt;&gt;"",G25&lt;&gt;"Resolved",G25&lt;&gt;"",TODAY()&gt;I25),TODAY()-I25,"")</f>
        <v/>
      </c>
      <c r="L25" s="30"/>
      <c r="M25" s="33"/>
      <c r="N25" s="30"/>
      <c r="O25" s="30"/>
      <c r="P25" s="31"/>
    </row>
    <row r="26" customFormat="false" ht="15" hidden="false" customHeight="false" outlineLevel="0" collapsed="false">
      <c r="A26" s="34"/>
      <c r="B26" s="35"/>
      <c r="C26" s="34"/>
      <c r="D26" s="34"/>
      <c r="E26" s="34"/>
      <c r="F26" s="34"/>
      <c r="G26" s="34"/>
      <c r="H26" s="34"/>
      <c r="I26" s="35"/>
      <c r="J26" s="35"/>
      <c r="K26" s="32" t="str">
        <f aca="true">IF(AND(I26&lt;&gt;"",G26&lt;&gt;"Resolved",G26&lt;&gt;"",TODAY()&gt;I26),TODAY()-I26,"")</f>
        <v/>
      </c>
      <c r="L26" s="30"/>
      <c r="M26" s="33"/>
      <c r="N26" s="30"/>
      <c r="O26" s="30"/>
      <c r="P26" s="31"/>
    </row>
    <row r="27" customFormat="false" ht="15" hidden="false" customHeight="false" outlineLevel="0" collapsed="false">
      <c r="A27" s="30"/>
      <c r="B27" s="31"/>
      <c r="C27" s="30"/>
      <c r="D27" s="30"/>
      <c r="E27" s="30"/>
      <c r="F27" s="30"/>
      <c r="G27" s="30"/>
      <c r="H27" s="30"/>
      <c r="I27" s="31"/>
      <c r="J27" s="31"/>
      <c r="K27" s="32" t="str">
        <f aca="true">IF(AND(I27&lt;&gt;"",G27&lt;&gt;"Resolved",G27&lt;&gt;"",TODAY()&gt;I27),TODAY()-I27,"")</f>
        <v/>
      </c>
      <c r="L27" s="30"/>
      <c r="M27" s="33"/>
      <c r="N27" s="30"/>
      <c r="O27" s="30"/>
      <c r="P27" s="31"/>
    </row>
    <row r="28" customFormat="false" ht="15" hidden="false" customHeight="false" outlineLevel="0" collapsed="false">
      <c r="A28" s="34"/>
      <c r="B28" s="35"/>
      <c r="C28" s="34"/>
      <c r="D28" s="34"/>
      <c r="E28" s="34"/>
      <c r="F28" s="34"/>
      <c r="G28" s="34"/>
      <c r="H28" s="34"/>
      <c r="I28" s="35"/>
      <c r="J28" s="35"/>
      <c r="K28" s="32" t="str">
        <f aca="true">IF(AND(I28&lt;&gt;"",G28&lt;&gt;"Resolved",G28&lt;&gt;"",TODAY()&gt;I28),TODAY()-I28,"")</f>
        <v/>
      </c>
      <c r="L28" s="30"/>
      <c r="M28" s="33"/>
      <c r="N28" s="30"/>
      <c r="O28" s="30"/>
      <c r="P28" s="31"/>
    </row>
    <row r="29" customFormat="false" ht="15" hidden="false" customHeight="false" outlineLevel="0" collapsed="false">
      <c r="A29" s="30"/>
      <c r="B29" s="31"/>
      <c r="C29" s="30"/>
      <c r="D29" s="30"/>
      <c r="E29" s="30"/>
      <c r="F29" s="30"/>
      <c r="G29" s="30"/>
      <c r="H29" s="30"/>
      <c r="I29" s="31"/>
      <c r="J29" s="31"/>
      <c r="K29" s="32" t="str">
        <f aca="true">IF(AND(I29&lt;&gt;"",G29&lt;&gt;"Resolved",G29&lt;&gt;"",TODAY()&gt;I29),TODAY()-I29,"")</f>
        <v/>
      </c>
      <c r="L29" s="30"/>
      <c r="M29" s="33"/>
      <c r="N29" s="30"/>
      <c r="O29" s="30"/>
      <c r="P29" s="31"/>
    </row>
    <row r="30" customFormat="false" ht="15" hidden="false" customHeight="false" outlineLevel="0" collapsed="false">
      <c r="A30" s="34"/>
      <c r="B30" s="35"/>
      <c r="C30" s="34"/>
      <c r="D30" s="34"/>
      <c r="E30" s="34"/>
      <c r="F30" s="34"/>
      <c r="G30" s="34"/>
      <c r="H30" s="34"/>
      <c r="I30" s="35"/>
      <c r="J30" s="35"/>
      <c r="K30" s="32" t="str">
        <f aca="true">IF(AND(I30&lt;&gt;"",G30&lt;&gt;"Resolved",G30&lt;&gt;"",TODAY()&gt;I30),TODAY()-I30,"")</f>
        <v/>
      </c>
      <c r="L30" s="30"/>
      <c r="M30" s="33"/>
      <c r="N30" s="30"/>
      <c r="O30" s="30"/>
      <c r="P30" s="31"/>
    </row>
    <row r="31" customFormat="false" ht="15" hidden="false" customHeight="false" outlineLevel="0" collapsed="false">
      <c r="A31" s="30"/>
      <c r="B31" s="31"/>
      <c r="C31" s="30"/>
      <c r="D31" s="30"/>
      <c r="E31" s="30"/>
      <c r="F31" s="30"/>
      <c r="G31" s="30"/>
      <c r="H31" s="30"/>
      <c r="I31" s="31"/>
      <c r="J31" s="31"/>
      <c r="K31" s="32" t="str">
        <f aca="true">IF(AND(I31&lt;&gt;"",G31&lt;&gt;"Resolved",G31&lt;&gt;"",TODAY()&gt;I31),TODAY()-I31,"")</f>
        <v/>
      </c>
      <c r="L31" s="30"/>
      <c r="M31" s="33"/>
      <c r="N31" s="30"/>
      <c r="O31" s="30"/>
      <c r="P31" s="31"/>
    </row>
    <row r="32" customFormat="false" ht="15" hidden="false" customHeight="false" outlineLevel="0" collapsed="false">
      <c r="A32" s="34"/>
      <c r="B32" s="35"/>
      <c r="C32" s="34"/>
      <c r="D32" s="34"/>
      <c r="E32" s="34"/>
      <c r="F32" s="34"/>
      <c r="G32" s="34"/>
      <c r="H32" s="34"/>
      <c r="I32" s="35"/>
      <c r="J32" s="35"/>
      <c r="K32" s="32" t="str">
        <f aca="true">IF(AND(I32&lt;&gt;"",G32&lt;&gt;"Resolved",G32&lt;&gt;"",TODAY()&gt;I32),TODAY()-I32,"")</f>
        <v/>
      </c>
      <c r="L32" s="30"/>
      <c r="M32" s="33"/>
      <c r="N32" s="30"/>
      <c r="O32" s="30"/>
      <c r="P32" s="31"/>
    </row>
    <row r="33" customFormat="false" ht="15" hidden="false" customHeight="false" outlineLevel="0" collapsed="false">
      <c r="A33" s="30"/>
      <c r="B33" s="31"/>
      <c r="C33" s="30"/>
      <c r="D33" s="30"/>
      <c r="E33" s="30"/>
      <c r="F33" s="30"/>
      <c r="G33" s="30"/>
      <c r="H33" s="30"/>
      <c r="I33" s="31"/>
      <c r="J33" s="31"/>
      <c r="K33" s="32" t="str">
        <f aca="true">IF(AND(I33&lt;&gt;"",G33&lt;&gt;"Resolved",G33&lt;&gt;"",TODAY()&gt;I33),TODAY()-I33,"")</f>
        <v/>
      </c>
      <c r="L33" s="30"/>
      <c r="M33" s="33"/>
      <c r="N33" s="30"/>
      <c r="O33" s="30"/>
      <c r="P33" s="31"/>
    </row>
    <row r="34" customFormat="false" ht="15" hidden="false" customHeight="false" outlineLevel="0" collapsed="false">
      <c r="A34" s="34"/>
      <c r="B34" s="35"/>
      <c r="C34" s="34"/>
      <c r="D34" s="34"/>
      <c r="E34" s="34"/>
      <c r="F34" s="34"/>
      <c r="G34" s="34"/>
      <c r="H34" s="34"/>
      <c r="I34" s="35"/>
      <c r="J34" s="35"/>
      <c r="K34" s="32" t="str">
        <f aca="true">IF(AND(I34&lt;&gt;"",G34&lt;&gt;"Resolved",G34&lt;&gt;"",TODAY()&gt;I34),TODAY()-I34,"")</f>
        <v/>
      </c>
      <c r="L34" s="30"/>
      <c r="M34" s="33"/>
      <c r="N34" s="30"/>
      <c r="O34" s="30"/>
      <c r="P34" s="31"/>
    </row>
    <row r="35" customFormat="false" ht="15" hidden="false" customHeight="false" outlineLevel="0" collapsed="false">
      <c r="A35" s="30"/>
      <c r="B35" s="31"/>
      <c r="C35" s="30"/>
      <c r="D35" s="30"/>
      <c r="E35" s="30"/>
      <c r="F35" s="30"/>
      <c r="G35" s="30"/>
      <c r="H35" s="30"/>
      <c r="I35" s="31"/>
      <c r="J35" s="31"/>
      <c r="K35" s="32" t="str">
        <f aca="true">IF(AND(I35&lt;&gt;"",G35&lt;&gt;"Resolved",G35&lt;&gt;"",TODAY()&gt;I35),TODAY()-I35,"")</f>
        <v/>
      </c>
      <c r="L35" s="30"/>
      <c r="M35" s="33"/>
      <c r="N35" s="30"/>
      <c r="O35" s="30"/>
      <c r="P35" s="31"/>
    </row>
    <row r="36" customFormat="false" ht="15" hidden="false" customHeight="false" outlineLevel="0" collapsed="false">
      <c r="A36" s="34"/>
      <c r="B36" s="35"/>
      <c r="C36" s="34"/>
      <c r="D36" s="34"/>
      <c r="E36" s="34"/>
      <c r="F36" s="34"/>
      <c r="G36" s="34"/>
      <c r="H36" s="34"/>
      <c r="I36" s="35"/>
      <c r="J36" s="35"/>
      <c r="K36" s="32" t="str">
        <f aca="true">IF(AND(I36&lt;&gt;"",G36&lt;&gt;"Resolved",G36&lt;&gt;"",TODAY()&gt;I36),TODAY()-I36,"")</f>
        <v/>
      </c>
      <c r="L36" s="30"/>
      <c r="M36" s="33"/>
      <c r="N36" s="30"/>
      <c r="O36" s="30"/>
      <c r="P36" s="31"/>
    </row>
    <row r="37" customFormat="false" ht="15" hidden="false" customHeight="false" outlineLevel="0" collapsed="false">
      <c r="A37" s="30"/>
      <c r="B37" s="31"/>
      <c r="C37" s="30"/>
      <c r="D37" s="30"/>
      <c r="E37" s="30"/>
      <c r="F37" s="30"/>
      <c r="G37" s="30"/>
      <c r="H37" s="30"/>
      <c r="I37" s="31"/>
      <c r="J37" s="31"/>
      <c r="K37" s="32" t="str">
        <f aca="true">IF(AND(I37&lt;&gt;"",G37&lt;&gt;"Resolved",G37&lt;&gt;"",TODAY()&gt;I37),TODAY()-I37,"")</f>
        <v/>
      </c>
      <c r="L37" s="30"/>
      <c r="M37" s="33"/>
      <c r="N37" s="30"/>
      <c r="O37" s="30"/>
      <c r="P37" s="31"/>
    </row>
    <row r="38" customFormat="false" ht="15" hidden="false" customHeight="false" outlineLevel="0" collapsed="false">
      <c r="A38" s="34"/>
      <c r="B38" s="35"/>
      <c r="C38" s="34"/>
      <c r="D38" s="34"/>
      <c r="E38" s="34"/>
      <c r="F38" s="34"/>
      <c r="G38" s="34"/>
      <c r="H38" s="34"/>
      <c r="I38" s="35"/>
      <c r="J38" s="35"/>
      <c r="K38" s="32" t="str">
        <f aca="true">IF(AND(I38&lt;&gt;"",G38&lt;&gt;"Resolved",G38&lt;&gt;"",TODAY()&gt;I38),TODAY()-I38,"")</f>
        <v/>
      </c>
      <c r="L38" s="30"/>
      <c r="M38" s="33"/>
      <c r="N38" s="30"/>
      <c r="O38" s="30"/>
      <c r="P38" s="31"/>
    </row>
    <row r="39" customFormat="false" ht="15" hidden="false" customHeight="false" outlineLevel="0" collapsed="false">
      <c r="A39" s="30"/>
      <c r="B39" s="31"/>
      <c r="C39" s="30"/>
      <c r="D39" s="30"/>
      <c r="E39" s="30"/>
      <c r="F39" s="30"/>
      <c r="G39" s="30"/>
      <c r="H39" s="30"/>
      <c r="I39" s="31"/>
      <c r="J39" s="31"/>
      <c r="K39" s="32" t="str">
        <f aca="true">IF(AND(I39&lt;&gt;"",G39&lt;&gt;"Resolved",G39&lt;&gt;"",TODAY()&gt;I39),TODAY()-I39,"")</f>
        <v/>
      </c>
      <c r="L39" s="30"/>
      <c r="M39" s="33"/>
      <c r="N39" s="30"/>
      <c r="O39" s="30"/>
      <c r="P39" s="31"/>
    </row>
    <row r="40" customFormat="false" ht="15" hidden="false" customHeight="false" outlineLevel="0" collapsed="false">
      <c r="A40" s="34"/>
      <c r="B40" s="35"/>
      <c r="C40" s="34"/>
      <c r="D40" s="34"/>
      <c r="E40" s="34"/>
      <c r="F40" s="34"/>
      <c r="G40" s="34"/>
      <c r="H40" s="34"/>
      <c r="I40" s="35"/>
      <c r="J40" s="35"/>
      <c r="K40" s="32" t="str">
        <f aca="true">IF(AND(I40&lt;&gt;"",G40&lt;&gt;"Resolved",G40&lt;&gt;"",TODAY()&gt;I40),TODAY()-I40,"")</f>
        <v/>
      </c>
      <c r="L40" s="30"/>
      <c r="M40" s="33"/>
      <c r="N40" s="30"/>
      <c r="O40" s="30"/>
      <c r="P40" s="31"/>
    </row>
    <row r="41" customFormat="false" ht="15" hidden="false" customHeight="false" outlineLevel="0" collapsed="false">
      <c r="A41" s="30"/>
      <c r="B41" s="31"/>
      <c r="C41" s="30"/>
      <c r="D41" s="30"/>
      <c r="E41" s="30"/>
      <c r="F41" s="30"/>
      <c r="G41" s="30"/>
      <c r="H41" s="30"/>
      <c r="I41" s="31"/>
      <c r="J41" s="31"/>
      <c r="K41" s="32" t="str">
        <f aca="true">IF(AND(I41&lt;&gt;"",G41&lt;&gt;"Resolved",G41&lt;&gt;"",TODAY()&gt;I41),TODAY()-I41,"")</f>
        <v/>
      </c>
      <c r="L41" s="30"/>
      <c r="M41" s="33"/>
      <c r="N41" s="30"/>
      <c r="O41" s="30"/>
      <c r="P41" s="31"/>
    </row>
    <row r="42" customFormat="false" ht="15" hidden="false" customHeight="false" outlineLevel="0" collapsed="false">
      <c r="A42" s="34"/>
      <c r="B42" s="35"/>
      <c r="C42" s="34"/>
      <c r="D42" s="34"/>
      <c r="E42" s="34"/>
      <c r="F42" s="34"/>
      <c r="G42" s="34"/>
      <c r="H42" s="34"/>
      <c r="I42" s="35"/>
      <c r="J42" s="35"/>
      <c r="K42" s="32" t="str">
        <f aca="true">IF(AND(I42&lt;&gt;"",G42&lt;&gt;"Resolved",G42&lt;&gt;"",TODAY()&gt;I42),TODAY()-I42,"")</f>
        <v/>
      </c>
      <c r="L42" s="30"/>
      <c r="M42" s="33"/>
      <c r="N42" s="30"/>
      <c r="O42" s="30"/>
      <c r="P42" s="31"/>
    </row>
    <row r="43" customFormat="false" ht="15" hidden="false" customHeight="false" outlineLevel="0" collapsed="false">
      <c r="A43" s="30"/>
      <c r="B43" s="31"/>
      <c r="C43" s="30"/>
      <c r="D43" s="30"/>
      <c r="E43" s="30"/>
      <c r="F43" s="30"/>
      <c r="G43" s="30"/>
      <c r="H43" s="30"/>
      <c r="I43" s="31"/>
      <c r="J43" s="31"/>
      <c r="K43" s="32" t="str">
        <f aca="true">IF(AND(I43&lt;&gt;"",G43&lt;&gt;"Resolved",G43&lt;&gt;"",TODAY()&gt;I43),TODAY()-I43,"")</f>
        <v/>
      </c>
      <c r="L43" s="30"/>
      <c r="M43" s="33"/>
      <c r="N43" s="30"/>
      <c r="O43" s="30"/>
      <c r="P43" s="31"/>
    </row>
    <row r="44" customFormat="false" ht="15" hidden="false" customHeight="false" outlineLevel="0" collapsed="false">
      <c r="A44" s="34"/>
      <c r="B44" s="35"/>
      <c r="C44" s="34"/>
      <c r="D44" s="34"/>
      <c r="E44" s="34"/>
      <c r="F44" s="34"/>
      <c r="G44" s="34"/>
      <c r="H44" s="34"/>
      <c r="I44" s="35"/>
      <c r="J44" s="35"/>
      <c r="K44" s="32" t="str">
        <f aca="true">IF(AND(I44&lt;&gt;"",G44&lt;&gt;"Resolved",G44&lt;&gt;"",TODAY()&gt;I44),TODAY()-I44,"")</f>
        <v/>
      </c>
      <c r="L44" s="30"/>
      <c r="M44" s="33"/>
      <c r="N44" s="30"/>
      <c r="O44" s="30"/>
      <c r="P44" s="31"/>
    </row>
    <row r="45" customFormat="false" ht="15" hidden="false" customHeight="false" outlineLevel="0" collapsed="false">
      <c r="A45" s="30"/>
      <c r="B45" s="31"/>
      <c r="C45" s="30"/>
      <c r="D45" s="30"/>
      <c r="E45" s="30"/>
      <c r="F45" s="30"/>
      <c r="G45" s="30"/>
      <c r="H45" s="30"/>
      <c r="I45" s="31"/>
      <c r="J45" s="31"/>
      <c r="K45" s="32" t="str">
        <f aca="true">IF(AND(I45&lt;&gt;"",G45&lt;&gt;"Resolved",G45&lt;&gt;"",TODAY()&gt;I45),TODAY()-I45,"")</f>
        <v/>
      </c>
      <c r="L45" s="30"/>
      <c r="M45" s="33"/>
      <c r="N45" s="30"/>
      <c r="O45" s="30"/>
      <c r="P45" s="31"/>
    </row>
    <row r="46" customFormat="false" ht="15" hidden="false" customHeight="false" outlineLevel="0" collapsed="false">
      <c r="A46" s="34"/>
      <c r="B46" s="35"/>
      <c r="C46" s="34"/>
      <c r="D46" s="34"/>
      <c r="E46" s="34"/>
      <c r="F46" s="34"/>
      <c r="G46" s="34"/>
      <c r="H46" s="34"/>
      <c r="I46" s="35"/>
      <c r="J46" s="35"/>
      <c r="K46" s="32" t="str">
        <f aca="true">IF(AND(I46&lt;&gt;"",G46&lt;&gt;"Resolved",G46&lt;&gt;"",TODAY()&gt;I46),TODAY()-I46,"")</f>
        <v/>
      </c>
      <c r="L46" s="30"/>
      <c r="M46" s="33"/>
      <c r="N46" s="30"/>
      <c r="O46" s="30"/>
      <c r="P46" s="31"/>
    </row>
    <row r="47" customFormat="false" ht="15" hidden="false" customHeight="false" outlineLevel="0" collapsed="false">
      <c r="A47" s="30"/>
      <c r="B47" s="31"/>
      <c r="C47" s="30"/>
      <c r="D47" s="30"/>
      <c r="E47" s="30"/>
      <c r="F47" s="30"/>
      <c r="G47" s="30"/>
      <c r="H47" s="30"/>
      <c r="I47" s="31"/>
      <c r="J47" s="31"/>
      <c r="K47" s="32" t="str">
        <f aca="true">IF(AND(I47&lt;&gt;"",G47&lt;&gt;"Resolved",G47&lt;&gt;"",TODAY()&gt;I47),TODAY()-I47,"")</f>
        <v/>
      </c>
      <c r="L47" s="30"/>
      <c r="M47" s="33"/>
      <c r="N47" s="30"/>
      <c r="O47" s="30"/>
      <c r="P47" s="31"/>
    </row>
    <row r="48" customFormat="false" ht="15" hidden="false" customHeight="false" outlineLevel="0" collapsed="false">
      <c r="A48" s="34"/>
      <c r="B48" s="35"/>
      <c r="C48" s="34"/>
      <c r="D48" s="34"/>
      <c r="E48" s="34"/>
      <c r="F48" s="34"/>
      <c r="G48" s="34"/>
      <c r="H48" s="34"/>
      <c r="I48" s="35"/>
      <c r="J48" s="35"/>
      <c r="K48" s="32" t="str">
        <f aca="true">IF(AND(I48&lt;&gt;"",G48&lt;&gt;"Resolved",G48&lt;&gt;"",TODAY()&gt;I48),TODAY()-I48,"")</f>
        <v/>
      </c>
      <c r="L48" s="30"/>
      <c r="M48" s="33"/>
      <c r="N48" s="30"/>
      <c r="O48" s="30"/>
      <c r="P48" s="31"/>
    </row>
    <row r="49" customFormat="false" ht="15" hidden="false" customHeight="false" outlineLevel="0" collapsed="false">
      <c r="A49" s="30"/>
      <c r="B49" s="31"/>
      <c r="C49" s="30"/>
      <c r="D49" s="30"/>
      <c r="E49" s="30"/>
      <c r="F49" s="30"/>
      <c r="G49" s="30"/>
      <c r="H49" s="30"/>
      <c r="I49" s="31"/>
      <c r="J49" s="31"/>
      <c r="K49" s="32" t="str">
        <f aca="true">IF(AND(I49&lt;&gt;"",G49&lt;&gt;"Resolved",G49&lt;&gt;"",TODAY()&gt;I49),TODAY()-I49,"")</f>
        <v/>
      </c>
      <c r="L49" s="30"/>
      <c r="M49" s="33"/>
      <c r="N49" s="30"/>
      <c r="O49" s="30"/>
      <c r="P49" s="31"/>
    </row>
    <row r="50" customFormat="false" ht="15" hidden="false" customHeight="false" outlineLevel="0" collapsed="false">
      <c r="A50" s="34"/>
      <c r="B50" s="35"/>
      <c r="C50" s="34"/>
      <c r="D50" s="34"/>
      <c r="E50" s="34"/>
      <c r="F50" s="34"/>
      <c r="G50" s="34"/>
      <c r="H50" s="34"/>
      <c r="I50" s="35"/>
      <c r="J50" s="35"/>
      <c r="K50" s="32" t="str">
        <f aca="true">IF(AND(I50&lt;&gt;"",G50&lt;&gt;"Resolved",G50&lt;&gt;"",TODAY()&gt;I50),TODAY()-I50,"")</f>
        <v/>
      </c>
      <c r="L50" s="30"/>
      <c r="M50" s="33"/>
      <c r="N50" s="30"/>
      <c r="O50" s="30"/>
      <c r="P50" s="31"/>
    </row>
    <row r="51" customFormat="false" ht="15" hidden="false" customHeight="false" outlineLevel="0" collapsed="false">
      <c r="A51" s="30"/>
      <c r="B51" s="31"/>
      <c r="C51" s="30"/>
      <c r="D51" s="30"/>
      <c r="E51" s="30"/>
      <c r="F51" s="30"/>
      <c r="G51" s="30"/>
      <c r="H51" s="30"/>
      <c r="I51" s="31"/>
      <c r="J51" s="31"/>
      <c r="K51" s="32" t="str">
        <f aca="true">IF(AND(I51&lt;&gt;"",G51&lt;&gt;"Resolved",G51&lt;&gt;"",TODAY()&gt;I51),TODAY()-I51,"")</f>
        <v/>
      </c>
      <c r="L51" s="30"/>
      <c r="M51" s="33"/>
      <c r="N51" s="30"/>
      <c r="O51" s="30"/>
      <c r="P51" s="31"/>
    </row>
    <row r="52" customFormat="false" ht="15" hidden="false" customHeight="false" outlineLevel="0" collapsed="false">
      <c r="A52" s="34"/>
      <c r="B52" s="35"/>
      <c r="C52" s="34"/>
      <c r="D52" s="34"/>
      <c r="E52" s="34"/>
      <c r="F52" s="34"/>
      <c r="G52" s="34"/>
      <c r="H52" s="34"/>
      <c r="I52" s="35"/>
      <c r="J52" s="35"/>
      <c r="K52" s="32" t="str">
        <f aca="true">IF(AND(I52&lt;&gt;"",G52&lt;&gt;"Resolved",G52&lt;&gt;"",TODAY()&gt;I52),TODAY()-I52,"")</f>
        <v/>
      </c>
      <c r="L52" s="30"/>
      <c r="M52" s="33"/>
      <c r="N52" s="30"/>
      <c r="O52" s="30"/>
      <c r="P52" s="31"/>
    </row>
    <row r="53" customFormat="false" ht="15" hidden="false" customHeight="false" outlineLevel="0" collapsed="false">
      <c r="A53" s="30"/>
      <c r="B53" s="31"/>
      <c r="C53" s="30"/>
      <c r="D53" s="30"/>
      <c r="E53" s="30"/>
      <c r="F53" s="30"/>
      <c r="G53" s="30"/>
      <c r="H53" s="30"/>
      <c r="I53" s="31"/>
      <c r="J53" s="31"/>
      <c r="K53" s="32" t="str">
        <f aca="true">IF(AND(I53&lt;&gt;"",G53&lt;&gt;"Resolved",G53&lt;&gt;"",TODAY()&gt;I53),TODAY()-I53,"")</f>
        <v/>
      </c>
      <c r="L53" s="30"/>
      <c r="M53" s="33"/>
      <c r="N53" s="30"/>
      <c r="O53" s="30"/>
      <c r="P53" s="31"/>
    </row>
    <row r="54" customFormat="false" ht="15" hidden="false" customHeight="false" outlineLevel="0" collapsed="false">
      <c r="A54" s="34"/>
      <c r="B54" s="35"/>
      <c r="C54" s="34"/>
      <c r="D54" s="34"/>
      <c r="E54" s="34"/>
      <c r="F54" s="34"/>
      <c r="G54" s="34"/>
      <c r="H54" s="34"/>
      <c r="I54" s="35"/>
      <c r="J54" s="35"/>
      <c r="K54" s="32" t="str">
        <f aca="true">IF(AND(I54&lt;&gt;"",G54&lt;&gt;"Resolved",G54&lt;&gt;"",TODAY()&gt;I54),TODAY()-I54,"")</f>
        <v/>
      </c>
      <c r="L54" s="30"/>
      <c r="M54" s="33"/>
      <c r="N54" s="30"/>
      <c r="O54" s="30"/>
      <c r="P54" s="31"/>
    </row>
    <row r="55" customFormat="false" ht="15" hidden="false" customHeight="false" outlineLevel="0" collapsed="false">
      <c r="A55" s="30"/>
      <c r="B55" s="31"/>
      <c r="C55" s="30"/>
      <c r="D55" s="30"/>
      <c r="E55" s="30"/>
      <c r="F55" s="30"/>
      <c r="G55" s="30"/>
      <c r="H55" s="30"/>
      <c r="I55" s="31"/>
      <c r="J55" s="31"/>
      <c r="K55" s="32" t="str">
        <f aca="true">IF(AND(I55&lt;&gt;"",G55&lt;&gt;"Resolved",G55&lt;&gt;"",TODAY()&gt;I55),TODAY()-I55,"")</f>
        <v/>
      </c>
      <c r="L55" s="30"/>
      <c r="M55" s="33"/>
      <c r="N55" s="30"/>
      <c r="O55" s="30"/>
      <c r="P55" s="31"/>
    </row>
    <row r="56" customFormat="false" ht="15" hidden="false" customHeight="false" outlineLevel="0" collapsed="false">
      <c r="A56" s="34"/>
      <c r="B56" s="35"/>
      <c r="C56" s="34"/>
      <c r="D56" s="34"/>
      <c r="E56" s="34"/>
      <c r="F56" s="34"/>
      <c r="G56" s="34"/>
      <c r="H56" s="34"/>
      <c r="I56" s="35"/>
      <c r="J56" s="35"/>
      <c r="K56" s="32" t="str">
        <f aca="true">IF(AND(I56&lt;&gt;"",G56&lt;&gt;"Resolved",G56&lt;&gt;"",TODAY()&gt;I56),TODAY()-I56,"")</f>
        <v/>
      </c>
      <c r="L56" s="30"/>
      <c r="M56" s="33"/>
      <c r="N56" s="30"/>
      <c r="O56" s="30"/>
      <c r="P56" s="31"/>
    </row>
    <row r="57" customFormat="false" ht="15" hidden="false" customHeight="false" outlineLevel="0" collapsed="false">
      <c r="A57" s="30"/>
      <c r="B57" s="31"/>
      <c r="C57" s="30"/>
      <c r="D57" s="30"/>
      <c r="E57" s="30"/>
      <c r="F57" s="30"/>
      <c r="G57" s="30"/>
      <c r="H57" s="30"/>
      <c r="I57" s="31"/>
      <c r="J57" s="31"/>
      <c r="K57" s="32" t="str">
        <f aca="true">IF(AND(I57&lt;&gt;"",G57&lt;&gt;"Resolved",G57&lt;&gt;"",TODAY()&gt;I57),TODAY()-I57,"")</f>
        <v/>
      </c>
      <c r="L57" s="30"/>
      <c r="M57" s="33"/>
      <c r="N57" s="30"/>
      <c r="O57" s="30"/>
      <c r="P57" s="31"/>
    </row>
    <row r="58" customFormat="false" ht="15" hidden="false" customHeight="false" outlineLevel="0" collapsed="false">
      <c r="A58" s="34"/>
      <c r="B58" s="35"/>
      <c r="C58" s="34"/>
      <c r="D58" s="34"/>
      <c r="E58" s="34"/>
      <c r="F58" s="34"/>
      <c r="G58" s="34"/>
      <c r="H58" s="34"/>
      <c r="I58" s="35"/>
      <c r="J58" s="35"/>
      <c r="K58" s="32" t="str">
        <f aca="true">IF(AND(I58&lt;&gt;"",G58&lt;&gt;"Resolved",G58&lt;&gt;"",TODAY()&gt;I58),TODAY()-I58,"")</f>
        <v/>
      </c>
      <c r="L58" s="30"/>
      <c r="M58" s="33"/>
      <c r="N58" s="30"/>
      <c r="O58" s="30"/>
      <c r="P58" s="31"/>
    </row>
    <row r="59" customFormat="false" ht="15" hidden="false" customHeight="false" outlineLevel="0" collapsed="false">
      <c r="A59" s="30"/>
      <c r="B59" s="31"/>
      <c r="C59" s="30"/>
      <c r="D59" s="30"/>
      <c r="E59" s="30"/>
      <c r="F59" s="30"/>
      <c r="G59" s="30"/>
      <c r="H59" s="30"/>
      <c r="I59" s="31"/>
      <c r="J59" s="31"/>
      <c r="K59" s="32" t="str">
        <f aca="true">IF(AND(I59&lt;&gt;"",G59&lt;&gt;"Resolved",G59&lt;&gt;"",TODAY()&gt;I59),TODAY()-I59,"")</f>
        <v/>
      </c>
      <c r="L59" s="30"/>
      <c r="M59" s="33"/>
      <c r="N59" s="30"/>
      <c r="O59" s="30"/>
      <c r="P59" s="31"/>
    </row>
    <row r="60" customFormat="false" ht="15" hidden="false" customHeight="false" outlineLevel="0" collapsed="false">
      <c r="A60" s="34"/>
      <c r="B60" s="35"/>
      <c r="C60" s="34"/>
      <c r="D60" s="34"/>
      <c r="E60" s="34"/>
      <c r="F60" s="34"/>
      <c r="G60" s="34"/>
      <c r="H60" s="34"/>
      <c r="I60" s="35"/>
      <c r="J60" s="35"/>
      <c r="K60" s="32" t="str">
        <f aca="true">IF(AND(I60&lt;&gt;"",G60&lt;&gt;"Resolved",G60&lt;&gt;"",TODAY()&gt;I60),TODAY()-I60,"")</f>
        <v/>
      </c>
      <c r="L60" s="30"/>
      <c r="M60" s="33"/>
      <c r="N60" s="30"/>
      <c r="O60" s="30"/>
      <c r="P60" s="31"/>
    </row>
    <row r="61" customFormat="false" ht="15" hidden="false" customHeight="false" outlineLevel="0" collapsed="false">
      <c r="A61" s="30"/>
      <c r="B61" s="31"/>
      <c r="C61" s="30"/>
      <c r="D61" s="30"/>
      <c r="E61" s="30"/>
      <c r="F61" s="30"/>
      <c r="G61" s="30"/>
      <c r="H61" s="30"/>
      <c r="I61" s="31"/>
      <c r="J61" s="31"/>
      <c r="K61" s="32" t="str">
        <f aca="true">IF(AND(I61&lt;&gt;"",G61&lt;&gt;"Resolved",G61&lt;&gt;"",TODAY()&gt;I61),TODAY()-I61,"")</f>
        <v/>
      </c>
      <c r="L61" s="30"/>
      <c r="M61" s="33"/>
      <c r="N61" s="30"/>
      <c r="O61" s="30"/>
      <c r="P61" s="31"/>
    </row>
    <row r="62" customFormat="false" ht="15" hidden="false" customHeight="false" outlineLevel="0" collapsed="false">
      <c r="A62" s="34"/>
      <c r="B62" s="35"/>
      <c r="C62" s="34"/>
      <c r="D62" s="34"/>
      <c r="E62" s="34"/>
      <c r="F62" s="34"/>
      <c r="G62" s="34"/>
      <c r="H62" s="34"/>
      <c r="I62" s="35"/>
      <c r="J62" s="35"/>
      <c r="K62" s="32" t="str">
        <f aca="true">IF(AND(I62&lt;&gt;"",G62&lt;&gt;"Resolved",G62&lt;&gt;"",TODAY()&gt;I62),TODAY()-I62,"")</f>
        <v/>
      </c>
      <c r="L62" s="30"/>
      <c r="M62" s="33"/>
      <c r="N62" s="30"/>
      <c r="O62" s="30"/>
      <c r="P62" s="31"/>
    </row>
    <row r="63" customFormat="false" ht="15" hidden="false" customHeight="false" outlineLevel="0" collapsed="false">
      <c r="A63" s="30"/>
      <c r="B63" s="31"/>
      <c r="C63" s="30"/>
      <c r="D63" s="30"/>
      <c r="E63" s="30"/>
      <c r="F63" s="30"/>
      <c r="G63" s="30"/>
      <c r="H63" s="30"/>
      <c r="I63" s="31"/>
      <c r="J63" s="31"/>
      <c r="K63" s="32" t="str">
        <f aca="true">IF(AND(I63&lt;&gt;"",G63&lt;&gt;"Resolved",G63&lt;&gt;"",TODAY()&gt;I63),TODAY()-I63,"")</f>
        <v/>
      </c>
      <c r="L63" s="30"/>
      <c r="M63" s="33"/>
      <c r="N63" s="30"/>
      <c r="O63" s="30"/>
      <c r="P63" s="31"/>
    </row>
    <row r="64" customFormat="false" ht="15" hidden="false" customHeight="false" outlineLevel="0" collapsed="false">
      <c r="A64" s="34"/>
      <c r="B64" s="35"/>
      <c r="C64" s="34"/>
      <c r="D64" s="34"/>
      <c r="E64" s="34"/>
      <c r="F64" s="34"/>
      <c r="G64" s="34"/>
      <c r="H64" s="34"/>
      <c r="I64" s="35"/>
      <c r="J64" s="35"/>
      <c r="K64" s="32" t="str">
        <f aca="true">IF(AND(I64&lt;&gt;"",G64&lt;&gt;"Resolved",G64&lt;&gt;"",TODAY()&gt;I64),TODAY()-I64,"")</f>
        <v/>
      </c>
      <c r="L64" s="30"/>
      <c r="M64" s="33"/>
      <c r="N64" s="30"/>
      <c r="O64" s="30"/>
      <c r="P64" s="31"/>
    </row>
    <row r="65" customFormat="false" ht="15" hidden="false" customHeight="false" outlineLevel="0" collapsed="false">
      <c r="A65" s="30"/>
      <c r="B65" s="31"/>
      <c r="C65" s="30"/>
      <c r="D65" s="30"/>
      <c r="E65" s="30"/>
      <c r="F65" s="30"/>
      <c r="G65" s="30"/>
      <c r="H65" s="30"/>
      <c r="I65" s="31"/>
      <c r="J65" s="31"/>
      <c r="K65" s="32" t="str">
        <f aca="true">IF(AND(I65&lt;&gt;"",G65&lt;&gt;"Resolved",G65&lt;&gt;"",TODAY()&gt;I65),TODAY()-I65,"")</f>
        <v/>
      </c>
      <c r="L65" s="30"/>
      <c r="M65" s="33"/>
      <c r="N65" s="30"/>
      <c r="O65" s="30"/>
      <c r="P65" s="31"/>
    </row>
    <row r="66" customFormat="false" ht="15" hidden="false" customHeight="false" outlineLevel="0" collapsed="false">
      <c r="A66" s="34"/>
      <c r="B66" s="35"/>
      <c r="C66" s="34"/>
      <c r="D66" s="34"/>
      <c r="E66" s="34"/>
      <c r="F66" s="34"/>
      <c r="G66" s="34"/>
      <c r="H66" s="34"/>
      <c r="I66" s="35"/>
      <c r="J66" s="35"/>
      <c r="K66" s="32" t="str">
        <f aca="true">IF(AND(I66&lt;&gt;"",G66&lt;&gt;"Resolved",G66&lt;&gt;"",TODAY()&gt;I66),TODAY()-I66,"")</f>
        <v/>
      </c>
      <c r="L66" s="30"/>
      <c r="M66" s="33"/>
      <c r="N66" s="30"/>
      <c r="O66" s="30"/>
      <c r="P66" s="31"/>
    </row>
  </sheetData>
  <autoFilter ref="A16:P66"/>
  <mergeCells count="37">
    <mergeCell ref="A1:J1"/>
    <mergeCell ref="A3:B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8:B8"/>
    <mergeCell ref="A9:B9"/>
    <mergeCell ref="D9:E9"/>
    <mergeCell ref="G9:H9"/>
    <mergeCell ref="J9:K9"/>
    <mergeCell ref="A10:B10"/>
    <mergeCell ref="D10:E10"/>
    <mergeCell ref="G10:H10"/>
    <mergeCell ref="J10:K10"/>
    <mergeCell ref="A12:B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L15:P15"/>
  </mergeCells>
  <conditionalFormatting sqref="G17:G66">
    <cfRule type="cellIs" priority="2" operator="equal" aboveAverage="0" equalAverage="0" bottom="0" percent="0" rank="0" text="" dxfId="7">
      <formula>"Resolved"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"Open"</formula>
    </cfRule>
    <cfRule type="cellIs" priority="5" operator="equal" aboveAverage="0" equalAverage="0" bottom="0" percent="0" rank="0" text="" dxfId="9">
      <formula>"Disputed"</formula>
    </cfRule>
  </conditionalFormatting>
  <conditionalFormatting sqref="F17:F66">
    <cfRule type="cellIs" priority="6" operator="equal" aboveAverage="0" equalAverage="0" bottom="0" percent="0" rank="0" text="" dxfId="9">
      <formula>"High"</formula>
    </cfRule>
    <cfRule type="cellIs" priority="7" operator="equal" aboveAverage="0" equalAverage="0" bottom="0" percent="0" rank="0" text="" dxfId="8">
      <formula>"Medium"</formula>
    </cfRule>
    <cfRule type="cellIs" priority="8" operator="equal" aboveAverage="0" equalAverage="0" bottom="0" percent="0" rank="0" text="" dxfId="7">
      <formula>"Low"</formula>
    </cfRule>
  </conditionalFormatting>
  <conditionalFormatting sqref="K17:K66">
    <cfRule type="cellIs" priority="9" operator="greaterThan" aboveAverage="0" equalAverage="0" bottom="0" percent="0" rank="0" text="" dxfId="9">
      <formula>0</formula>
    </cfRule>
  </conditionalFormatting>
  <conditionalFormatting sqref="A17:J66">
    <cfRule type="expression" priority="10" aboveAverage="0" equalAverage="0" bottom="0" percent="0" rank="0" text="" dxfId="10">
      <formula>AND($K17&gt;7,$G17&lt;&gt;"Resolved")</formula>
    </cfRule>
  </conditionalFormatting>
  <dataValidations count="4">
    <dataValidation allowBlank="true" errorStyle="stop" operator="between" showDropDown="false" showErrorMessage="false" showInputMessage="false" sqref="E17:E66" type="list">
      <formula1>"Architectural,M&amp;E,Structural,Finishes,External,Services"</formula1>
      <formula2>0</formula2>
    </dataValidation>
    <dataValidation allowBlank="true" errorStyle="stop" operator="between" showDropDown="false" showErrorMessage="false" showInputMessage="false" sqref="F17:F66" type="list">
      <formula1>"High,Medium,Low"</formula1>
      <formula2>0</formula2>
    </dataValidation>
    <dataValidation allowBlank="true" errorStyle="stop" operator="between" showDropDown="false" showErrorMessage="false" showInputMessage="false" sqref="G17:G66" type="list">
      <formula1>"Open,In Progress,Resolved,Disputed"</formula1>
      <formula2>0</formula2>
    </dataValidation>
    <dataValidation allowBlank="true" errorStyle="stop" operator="between" showDropDown="false" showErrorMessage="false" showInputMessage="false" sqref="B17:B66 I17:I66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&amp;CSnagging / Defects List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6" t="s">
        <v>105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106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107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108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109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110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111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112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2026-03-22T18:34:17Z</dcterms:created>
  <dc:creator>Ebrora Ltd</dc:creator>
  <dc:description>Track, prioritise and close out snagging items and defects with status dashboards, overdue alerts, and category breakdowns — designed for UK construction site managers and project teams.
Free professional construction management template from Ebrora Ltd. Visit ebrora.com for our full range of tools and templates.</dc:description>
  <cp:keywords>Ebrora construction snagging defects punch list quality handover practical completion site management</cp:keywords>
  <dc:language>en-US</dc:language>
  <cp:lastModifiedBy>Ebrora Ltd</cp:lastModifiedBy>
  <dcterms:modified xsi:type="dcterms:W3CDTF">2026-03-22T18:34:17Z</dcterms:modified>
  <cp:revision>0</cp:revision>
  <dc:subject>Register for tracking snagging items and defects through to resolution, with priority and category management.</dc:subject>
  <dc:title>Snagging / Defects 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