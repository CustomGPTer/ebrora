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3.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Cover" sheetId="1" state="visible" r:id="rId3"/>
    <sheet name="Instructions" sheetId="2" state="visible" r:id="rId4"/>
    <sheet name="Asbestos Register" sheetId="3" state="visible" r:id="rId5"/>
    <sheet name="Terms of Use" sheetId="4" state="hidden" r:id="rId6"/>
  </sheets>
  <definedNames>
    <definedName function="false" hidden="false" localSheetId="2" name="_xlnm.Print_Area" vbProcedure="false">'Asbestos Register'!$A$1:$J$58</definedName>
    <definedName function="false" hidden="true" localSheetId="2" name="_xlnm._FilterDatabase" vbProcedure="false">'Asbestos Register'!$A$8:$P$8</definedName>
    <definedName function="false" hidden="false" localSheetId="0" name="_xlnm.Print_Area" vbProcedure="false">Cover!$A$1:$H$20</definedName>
    <definedName function="false" hidden="false" localSheetId="1" name="_xlnm.Print_Area" vbProcedure="false">Instructions!$A$1:$F$33</definedName>
    <definedName function="false" hidden="false" name="DataTable" vbProcedure="false">'Asbestos Register'!$A$8:$P$508</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<sst xmlns="http://schemas.openxmlformats.org/spreadsheetml/2006/main" count="157" uniqueCount="130">
  <si>
    <t xml:space="preserve">EBRORA</t>
  </si>
  <si>
    <t xml:space="preserve">ebrora.com</t>
  </si>
  <si>
    <t xml:space="preserve">Asbestos Register /
Awareness Log</t>
  </si>
  <si>
    <t xml:space="preserve">Record and manage known and suspected asbestos-containing materials on site — track condition, risk, management actions, and review dates.</t>
  </si>
  <si>
    <t xml:space="preserve">This is a free template from Ebrora.
For our full range of professional-grade construction management tools, visit ebrora.com</t>
  </si>
  <si>
    <t xml:space="preserve">© Ebrora 2026 — All rights reserved</t>
  </si>
  <si>
    <t xml:space="preserve">How to Use This Template</t>
  </si>
  <si>
    <t xml:space="preserve">Getting Started</t>
  </si>
  <si>
    <t xml:space="preserve">1.</t>
  </si>
  <si>
    <t xml:space="preserve">Go to the “Asbestos Register” tab. Each row records one identified or presumed asbestos-containing material (ACM) on site.</t>
  </si>
  <si>
    <t xml:space="preserve">2.</t>
  </si>
  <si>
    <t xml:space="preserve">Enter the Date Identified and the Location/Building where the ACM is found (e.g. “Block A, Boiler Room, Pipe Lagging above false ceiling”).</t>
  </si>
  <si>
    <t xml:space="preserve">3.</t>
  </si>
  <si>
    <t xml:space="preserve">Describe the Material (e.g. “Pipe insulation lagging”, “Floor tiles 300x300mm”, “Textured coating (Artex) to ceiling”, “Cement sheet roof panels”).</t>
  </si>
  <si>
    <t xml:space="preserve">4.</t>
  </si>
  <si>
    <t xml:space="preserve">Select the ACM Type: Chrysotile (white asbestos — most common), Amosite (brown), Crocidolite (blue — most dangerous), Presumed (not yet sampled), or Unknown.</t>
  </si>
  <si>
    <t xml:space="preserve">5.</t>
  </si>
  <si>
    <t xml:space="preserve">Assess the Condition: Good (intact, sealed, no damage), Fair (minor surface damage but not releasing fibres), Poor (significant damage, friable), or Damaged (actively releasing fibres — requires immediate action).</t>
  </si>
  <si>
    <t xml:space="preserve">6.</t>
  </si>
  <si>
    <t xml:space="preserve">Assign a Risk Score: Low (good condition, low likelihood of disturbance), Medium (fair condition or moderate disturbance potential), High (poor condition or high disturbance likelihood), or Very High (damaged and accessible — immediate action required).</t>
  </si>
  <si>
    <t xml:space="preserve">7.</t>
  </si>
  <si>
    <t xml:space="preserve">Set the Management Action: Monitor (leave in place, re-inspect regularly), Encapsulate (seal surface), Enclose (box in), Remove (licensed removal required for most ACM types), or No Action (confirmed non-asbestos after sampling).</t>
  </si>
  <si>
    <t xml:space="preserve">8.</t>
  </si>
  <si>
    <t xml:space="preserve">Enter the Responsible Person and set the Next Review Date. ACM condition must be reviewed at regular intervals — typically every 6–12 months depending on risk.</t>
  </si>
  <si>
    <t xml:space="preserve">9.</t>
  </si>
  <si>
    <t xml:space="preserve">Expand optional columns for: Survey Report Ref, Sample/Lab Ref, Quantity/Area, Access Restrictions, Removal Contractor, and Notes.</t>
  </si>
  <si>
    <t xml:space="preserve">10.</t>
  </si>
  <si>
    <t xml:space="preserve">The dashboard auto-calculates total ACMs, condition and risk breakdowns, items due for review, removal actions, and presumed vs confirmed counts.</t>
  </si>
  <si>
    <t xml:space="preserve">Colour Key</t>
  </si>
  <si>
    <t xml:space="preserve">•</t>
  </si>
  <si>
    <t xml:space="preserve">Light teal cells = User input / editable fields.</t>
  </si>
  <si>
    <t xml:space="preserve">Dark navy headers = Column headers. Do not edit.</t>
  </si>
  <si>
    <t xml:space="preserve">Condition: Green = Good, Amber = Fair, Red = Poor, Dark Red = Damaged.</t>
  </si>
  <si>
    <t xml:space="preserve">Risk Score: Green = Low, Amber = Medium, Red = High, Dark Red = Very High.</t>
  </si>
  <si>
    <t xml:space="preserve">Management Action “Remove” = Red highlight (licensed removal needed).</t>
  </si>
  <si>
    <t xml:space="preserve">Red in Review Date = Overdue for review. Amber = Due within 30 days.</t>
  </si>
  <si>
    <t xml:space="preserve">Legal Context</t>
  </si>
  <si>
    <t xml:space="preserve">The Control of Asbestos Regulations 2012 (Regulation 4) place a duty on the person responsible for maintenance of non-domestic premises to manage asbestos. This includes identifying ACMs, assessing condition and risk, and maintaining a register.</t>
  </si>
  <si>
    <t xml:space="preserve">Any work with asbestos (except minor work with certain low-risk materials) must be carried out by a licensed contractor holding an HSE asbestos licence.</t>
  </si>
  <si>
    <t xml:space="preserve">All persons who may disturb ACMs during their work must receive asbestos awareness training (Category A) as a minimum. This includes maintenance workers, electricians, plumbers, and demolition operatives.</t>
  </si>
  <si>
    <t xml:space="preserve">Tips</t>
  </si>
  <si>
    <t xml:space="preserve">If in doubt, presume it’s asbestos until proven otherwise by laboratory analysis. Mark it as “Presumed” and treat it accordingly.</t>
  </si>
  <si>
    <t xml:space="preserve">This register must be made available to anyone who is liable to disturb ACMs during their work. Keep a copy in the site safety file, at the site entrance, and with the principal contractor.</t>
  </si>
  <si>
    <t xml:space="preserve">Review the register before any refurbishment or demolition work. A Refurbishment &amp; Demolition (R&amp;D) survey may be required in addition to a Management survey.</t>
  </si>
  <si>
    <t xml:space="preserve">ASBESTOS REGISTER / AWARENESS LOG</t>
  </si>
  <si>
    <t xml:space="preserve">Total ACMs:</t>
  </si>
  <si>
    <t xml:space="preserve">Reviews Overdue:</t>
  </si>
  <si>
    <t xml:space="preserve">Good:</t>
  </si>
  <si>
    <t xml:space="preserve">Fair:</t>
  </si>
  <si>
    <t xml:space="preserve">Poor:</t>
  </si>
  <si>
    <t xml:space="preserve">Risk — Low:</t>
  </si>
  <si>
    <t xml:space="preserve">Medium:</t>
  </si>
  <si>
    <t xml:space="preserve">High:</t>
  </si>
  <si>
    <t xml:space="preserve">Very High Risk:</t>
  </si>
  <si>
    <t xml:space="preserve">Requiring Removal:</t>
  </si>
  <si>
    <t xml:space="preserve">Presumed (unconfirmed):</t>
  </si>
  <si>
    <t xml:space="preserve">Reviews Due (30 days):</t>
  </si>
  <si>
    <t xml:space="preserve">Damaged:</t>
  </si>
  <si>
    <t xml:space="preserve">▸ Optional Fields — Click [+] to expand</t>
  </si>
  <si>
    <t xml:space="preserve">ACM Ref No.</t>
  </si>
  <si>
    <t xml:space="preserve">Date Identified</t>
  </si>
  <si>
    <t xml:space="preserve">Location / Building</t>
  </si>
  <si>
    <t xml:space="preserve">Material Description</t>
  </si>
  <si>
    <t xml:space="preserve">ACM Type</t>
  </si>
  <si>
    <t xml:space="preserve">Condition Rating</t>
  </si>
  <si>
    <t xml:space="preserve">Risk Score</t>
  </si>
  <si>
    <t xml:space="preserve">Management Action</t>
  </si>
  <si>
    <t xml:space="preserve">Responsible Person</t>
  </si>
  <si>
    <t xml:space="preserve">Next Review Date</t>
  </si>
  <si>
    <t xml:space="preserve">Survey Report Ref</t>
  </si>
  <si>
    <t xml:space="preserve">Sample / Lab Ref</t>
  </si>
  <si>
    <t xml:space="preserve">Quantity / Area (m²)</t>
  </si>
  <si>
    <t xml:space="preserve">Access Restrictions (Y/N)</t>
  </si>
  <si>
    <t xml:space="preserve">Removal Contractor</t>
  </si>
  <si>
    <t xml:space="preserve">Notes</t>
  </si>
  <si>
    <t xml:space="preserve">ACM-001</t>
  </si>
  <si>
    <t xml:space="preserve">Block A, Boiler Room, Pipe runs above false ceiling</t>
  </si>
  <si>
    <t xml:space="preserve">Pipe insulation lagging to heating pipework (50mm dia, grey fibrous material)</t>
  </si>
  <si>
    <t xml:space="preserve">Amosite</t>
  </si>
  <si>
    <t xml:space="preserve">Fair</t>
  </si>
  <si>
    <t xml:space="preserve">Medium</t>
  </si>
  <si>
    <t xml:space="preserve">Encapsulate</t>
  </si>
  <si>
    <t xml:space="preserve">R. Thomas</t>
  </si>
  <si>
    <t xml:space="preserve">MS-2026-001 (Management Survey)</t>
  </si>
  <si>
    <t xml:space="preserve">LAB-2026-0041</t>
  </si>
  <si>
    <t xml:space="preserve">Yes</t>
  </si>
  <si>
    <t xml:space="preserve">Encapsulated with PVA sealant 15/01/2026. Labelled. Access restricted to authorised persons only.</t>
  </si>
  <si>
    <t xml:space="preserve">ACM-002</t>
  </si>
  <si>
    <t xml:space="preserve">Block A, Ground Floor, Corridor ceiling throughout</t>
  </si>
  <si>
    <t xml:space="preserve">Textured decorative coating (Artex-type) to ceiling, approx 3mm thick</t>
  </si>
  <si>
    <t xml:space="preserve">Chrysotile</t>
  </si>
  <si>
    <t xml:space="preserve">Good</t>
  </si>
  <si>
    <t xml:space="preserve">Low</t>
  </si>
  <si>
    <t xml:space="preserve">Monitor</t>
  </si>
  <si>
    <t xml:space="preserve">MS-2026-001</t>
  </si>
  <si>
    <t xml:space="preserve">LAB-2026-0042</t>
  </si>
  <si>
    <t xml:space="preserve">No</t>
  </si>
  <si>
    <t xml:space="preserve">Good condition. Intact and sealed with overcoat of emulsion paint. Low risk if undisturbed. Do not drill, sand, or scrape.</t>
  </si>
  <si>
    <t xml:space="preserve">ACM-003</t>
  </si>
  <si>
    <t xml:space="preserve">Block B, Roof, External fascia and soffit panels</t>
  </si>
  <si>
    <t xml:space="preserve">Cement sheet panels (grey, corrugated profile) to roof fascia</t>
  </si>
  <si>
    <t xml:space="preserve">Poor</t>
  </si>
  <si>
    <t xml:space="preserve">High</t>
  </si>
  <si>
    <t xml:space="preserve">Remove</t>
  </si>
  <si>
    <t xml:space="preserve">LAB-2026-0043</t>
  </si>
  <si>
    <t xml:space="preserve">Aspect Asbestos Ltd (HSE Licence L1234)</t>
  </si>
  <si>
    <t xml:space="preserve">Panels weathered and cracking. Licensed removal scheduled for April 2026 during planned roof works. Area barriered.</t>
  </si>
  <si>
    <t xml:space="preserve">ACM-004</t>
  </si>
  <si>
    <t xml:space="preserve">External, South Boundary, Old substation base slab</t>
  </si>
  <si>
    <t xml:space="preserve">Presumed ACM — debris around base slab including possible gasket material and rope seals</t>
  </si>
  <si>
    <t xml:space="preserve">Presumed</t>
  </si>
  <si>
    <t xml:space="preserve">R&amp;D Survey pending</t>
  </si>
  <si>
    <t xml:space="preserve">TBC — awaiting R&amp;D survey results</t>
  </si>
  <si>
    <t xml:space="preserve">Discovered during site clearance. Area fenced off. R&amp;D survey commissioned 10/02/2026. No works in this area until survey complete.</t>
  </si>
  <si>
    <t xml:space="preserve">ACM-005</t>
  </si>
  <si>
    <t xml:space="preserve">Block A, Level 1, Electrical riser cupboard</t>
  </si>
  <si>
    <t xml:space="preserve">Asbestos insulating board (AIB) partition panel inside riser, 1200x2400mm</t>
  </si>
  <si>
    <t xml:space="preserve">Damaged</t>
  </si>
  <si>
    <t xml:space="preserve">Very High</t>
  </si>
  <si>
    <t xml:space="preserve">LAB-2026-0044</t>
  </si>
  <si>
    <t xml:space="preserve">CRITICAL. Panel damaged during M&amp;E survey — corner broken, fibres visible. Area sealed and locked. Air monitoring installed. Emergency licensed removal arranged for w/c 16/03/2026.</t>
  </si>
  <si>
    <t xml:space="preserve">EBRORA — TERMS OF USE</t>
  </si>
  <si>
    <t xml:space="preserve">This template is provided free of charge by Ebrora (ebrora.com) for personal and professional use.</t>
  </si>
  <si>
    <t xml:space="preserve">1. LICENCE: You may use this template for your own projects. You may not resell, redistribute, or claim authorship of this template.</t>
  </si>
  <si>
    <t xml:space="preserve">2. NO WARRANTY: This template is provided "as is" without warranty of any kind. Ebrora accepts no liability for errors, omissions, or losses arising from use of this template.</t>
  </si>
  <si>
    <t xml:space="preserve">3. INTELLECTUAL PROPERTY: All design, layout, branding, and content remain the intellectual property of Ebrora.</t>
  </si>
  <si>
    <t xml:space="preserve">4. MODIFICATIONS: You may modify this template for your own use. Modified versions may not be distributed or sold.</t>
  </si>
  <si>
    <t xml:space="preserve">5. ATTRIBUTION: If you share outputs generated using this template, attribution to Ebrora (ebrora.com) is appreciated but not required.</t>
  </si>
  <si>
    <t xml:space="preserve">6. SUPPORT: For queries, feedback, or to report errors, contact support@ebrora.com.</t>
  </si>
  <si>
    <t xml:space="preserve">For our full range of professional construction management tools, visit ebrora.com.</t>
  </si>
</sst>
</file>

<file path=xl/styles.xml><?xml version="1.0" encoding="utf-8"?>
<styleSheet xmlns="http://schemas.openxmlformats.org/spreadsheetml/2006/main">
  <numFmts count="4">
    <numFmt numFmtId="164" formatCode="General"/>
    <numFmt numFmtId="165" formatCode="General"/>
    <numFmt numFmtId="166" formatCode="dd/mm/yyyy"/>
    <numFmt numFmtId="167" formatCode="0.0"/>
  </numFmts>
  <fonts count="21">
    <font>
      <sz val="11"/>
      <color theme="1"/>
      <name val="Calibri"/>
      <family val="2"/>
      <charset val="1"/>
    </font>
    <font>
      <sz val="10"/>
      <name val="Arial"/>
      <family val="0"/>
    </font>
    <font>
      <sz val="10"/>
      <name val="Arial"/>
      <family val="0"/>
    </font>
    <font>
      <sz val="10"/>
      <name val="Arial"/>
      <family val="0"/>
    </font>
    <font>
      <b val="true"/>
      <sz val="36"/>
      <color rgb="FFFFFFFF"/>
      <name val="Calibri"/>
      <family val="0"/>
      <charset val="1"/>
    </font>
    <font>
      <sz val="12"/>
      <color rgb="FF2AABB3"/>
      <name val="Calibri"/>
      <family val="0"/>
      <charset val="1"/>
    </font>
    <font>
      <b val="true"/>
      <sz val="28"/>
      <color rgb="FFFFFFFF"/>
      <name val="Calibri"/>
      <family val="0"/>
      <charset val="1"/>
    </font>
    <font>
      <sz val="12"/>
      <color rgb="FFFFFFFF"/>
      <name val="Calibri"/>
      <family val="0"/>
      <charset val="1"/>
    </font>
    <font>
      <sz val="11"/>
      <color rgb="FF1B2A4A"/>
      <name val="Calibri"/>
      <family val="0"/>
      <charset val="1"/>
    </font>
    <font>
      <i val="true"/>
      <sz val="9"/>
      <color rgb="FF8C8C8C"/>
      <name val="Calibri"/>
      <family val="0"/>
      <charset val="1"/>
    </font>
    <font>
      <b val="true"/>
      <sz val="14"/>
      <color rgb="FF1B2A4A"/>
      <name val="Calibri"/>
      <family val="0"/>
      <charset val="1"/>
    </font>
    <font>
      <b val="true"/>
      <sz val="11"/>
      <color rgb="FF2AABB3"/>
      <name val="Calibri"/>
      <family val="0"/>
      <charset val="1"/>
    </font>
    <font>
      <sz val="10"/>
      <color rgb="FF1B2A4A"/>
      <name val="Calibri"/>
      <family val="0"/>
      <charset val="1"/>
    </font>
    <font>
      <b val="true"/>
      <sz val="10"/>
      <color rgb="FF1B2A4A"/>
      <name val="Calibri"/>
      <family val="0"/>
      <charset val="1"/>
    </font>
    <font>
      <b val="true"/>
      <sz val="10"/>
      <color rgb="FF2AABB3"/>
      <name val="Calibri"/>
      <family val="0"/>
      <charset val="1"/>
    </font>
    <font>
      <b val="true"/>
      <sz val="10"/>
      <color rgb="FFFF0000"/>
      <name val="Calibri"/>
      <family val="0"/>
      <charset val="1"/>
    </font>
    <font>
      <b val="true"/>
      <sz val="10"/>
      <color rgb="FF006100"/>
      <name val="Calibri"/>
      <family val="0"/>
      <charset val="1"/>
    </font>
    <font>
      <b val="true"/>
      <sz val="10"/>
      <color rgb="FF9C6500"/>
      <name val="Calibri"/>
      <family val="0"/>
      <charset val="1"/>
    </font>
    <font>
      <b val="true"/>
      <sz val="10"/>
      <color rgb="FF9C0006"/>
      <name val="Calibri"/>
      <family val="0"/>
      <charset val="1"/>
    </font>
    <font>
      <b val="true"/>
      <sz val="9"/>
      <color rgb="FF2AABB3"/>
      <name val="Calibri"/>
      <family val="0"/>
      <charset val="1"/>
    </font>
    <font>
      <b val="true"/>
      <sz val="11"/>
      <color rgb="FFFFFFFF"/>
      <name val="Calibri"/>
      <family val="0"/>
      <charset val="1"/>
    </font>
  </fonts>
  <fills count="5">
    <fill>
      <patternFill patternType="none"/>
    </fill>
    <fill>
      <patternFill patternType="gray125"/>
    </fill>
    <fill>
      <patternFill patternType="solid">
        <fgColor rgb="FF1B2A4A"/>
        <bgColor rgb="FF003366"/>
      </patternFill>
    </fill>
    <fill>
      <patternFill patternType="solid">
        <fgColor rgb="FFFFFFFF"/>
        <bgColor rgb="FFF2F2F2"/>
      </patternFill>
    </fill>
    <fill>
      <patternFill patternType="solid">
        <fgColor rgb="FFE8F6F7"/>
        <bgColor rgb="FFF2F2F2"/>
      </patternFill>
    </fill>
  </fills>
  <borders count="3">
    <border diagonalUp="false" diagonalDown="false">
      <left/>
      <right/>
      <top/>
      <bottom/>
      <diagonal/>
    </border>
    <border diagonalUp="false" diagonalDown="false">
      <left style="medium">
        <color rgb="FF2AABB3"/>
      </left>
      <right style="medium">
        <color rgb="FF2AABB3"/>
      </right>
      <top style="medium">
        <color rgb="FF2AABB3"/>
      </top>
      <bottom style="medium">
        <color rgb="FF2AABB3"/>
      </bottom>
      <diagonal/>
    </border>
    <border diagonalUp="false" diagonalDown="false">
      <left style="thin">
        <color rgb="FFF2F2F2"/>
      </left>
      <right style="thin">
        <color rgb="FFF2F2F2"/>
      </right>
      <top style="thin">
        <color rgb="FFF2F2F2"/>
      </top>
      <bottom style="thin">
        <color rgb="FFF2F2F2"/>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6">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true" applyAlignment="true" applyProtection="false">
      <alignment horizontal="center" vertical="center" textRotation="0" wrapText="true" indent="0" shrinkToFit="false"/>
      <protection locked="true" hidden="false"/>
    </xf>
    <xf numFmtId="164" fontId="0" fillId="3" borderId="0" xfId="0" applyFont="false" applyBorder="false" applyAlignment="false" applyProtection="false">
      <alignment horizontal="general" vertical="bottom" textRotation="0" wrapText="false" indent="0" shrinkToFit="false"/>
      <protection locked="true" hidden="false"/>
    </xf>
    <xf numFmtId="164" fontId="5" fillId="2" borderId="0" xfId="0" applyFont="true" applyBorder="true" applyAlignment="true" applyProtection="false">
      <alignment horizontal="center" vertical="center" textRotation="0" wrapText="true" indent="0" shrinkToFit="false"/>
      <protection locked="true" hidden="false"/>
    </xf>
    <xf numFmtId="164" fontId="6" fillId="2" borderId="0" xfId="0" applyFont="true" applyBorder="true" applyAlignment="true" applyProtection="false">
      <alignment horizontal="center" vertical="center" textRotation="0" wrapText="true" indent="0" shrinkToFit="false"/>
      <protection locked="true" hidden="false"/>
    </xf>
    <xf numFmtId="164" fontId="7" fillId="2" borderId="0" xfId="0" applyFont="true" applyBorder="true" applyAlignment="true" applyProtection="false">
      <alignment horizontal="center" vertical="center" textRotation="0" wrapText="true" indent="0" shrinkToFit="false"/>
      <protection locked="true" hidden="false"/>
    </xf>
    <xf numFmtId="164" fontId="8" fillId="4" borderId="1" xfId="0" applyFont="true" applyBorder="true" applyAlignment="true" applyProtection="false">
      <alignment horizontal="center" vertical="center" textRotation="0" wrapText="true" indent="0" shrinkToFit="false"/>
      <protection locked="true" hidden="false"/>
    </xf>
    <xf numFmtId="164" fontId="9" fillId="3" borderId="0" xfId="0" applyFont="true" applyBorder="true" applyAlignment="true" applyProtection="false">
      <alignment horizontal="center" vertical="center" textRotation="0" wrapText="true" indent="0" shrinkToFit="false"/>
      <protection locked="true" hidden="false"/>
    </xf>
    <xf numFmtId="164" fontId="10" fillId="3" borderId="0" xfId="0" applyFont="true" applyBorder="true" applyAlignment="false" applyProtection="false">
      <alignment horizontal="general" vertical="bottom" textRotation="0" wrapText="false" indent="0" shrinkToFit="false"/>
      <protection locked="true" hidden="false"/>
    </xf>
    <xf numFmtId="164" fontId="11" fillId="3" borderId="0" xfId="0" applyFont="true" applyBorder="false" applyAlignment="false" applyProtection="false">
      <alignment horizontal="general" vertical="bottom" textRotation="0" wrapText="false" indent="0" shrinkToFit="false"/>
      <protection locked="true" hidden="false"/>
    </xf>
    <xf numFmtId="164" fontId="12" fillId="3" borderId="0" xfId="0" applyFont="true" applyBorder="false" applyAlignment="false" applyProtection="false">
      <alignment horizontal="general" vertical="bottom" textRotation="0" wrapText="false" indent="0" shrinkToFit="false"/>
      <protection locked="true" hidden="false"/>
    </xf>
    <xf numFmtId="164" fontId="12" fillId="3" borderId="0" xfId="0" applyFont="true" applyBorder="true" applyAlignment="true" applyProtection="false">
      <alignment horizontal="general" vertical="center" textRotation="0" wrapText="true" indent="0" shrinkToFit="false"/>
      <protection locked="true" hidden="false"/>
    </xf>
    <xf numFmtId="164" fontId="10" fillId="0" borderId="0" xfId="0" applyFont="true" applyBorder="true" applyAlignment="false" applyProtection="false">
      <alignment horizontal="general" vertical="bottom" textRotation="0" wrapText="false" indent="0" shrinkToFit="false"/>
      <protection locked="true" hidden="false"/>
    </xf>
    <xf numFmtId="164" fontId="13" fillId="0" borderId="0" xfId="0" applyFont="true" applyBorder="false" applyAlignment="true" applyProtection="false">
      <alignment horizontal="right" vertical="center" textRotation="0" wrapText="false" indent="0" shrinkToFit="false"/>
      <protection locked="true" hidden="false"/>
    </xf>
    <xf numFmtId="165" fontId="14" fillId="0" borderId="0" xfId="0" applyFont="true" applyBorder="false" applyAlignment="false" applyProtection="false">
      <alignment horizontal="general" vertical="bottom" textRotation="0" wrapText="false" indent="0" shrinkToFit="false"/>
      <protection locked="true" hidden="false"/>
    </xf>
    <xf numFmtId="165" fontId="15" fillId="0" borderId="0" xfId="0" applyFont="true" applyBorder="false" applyAlignment="false" applyProtection="false">
      <alignment horizontal="general" vertical="bottom" textRotation="0" wrapText="false" indent="0" shrinkToFit="false"/>
      <protection locked="true" hidden="false"/>
    </xf>
    <xf numFmtId="164" fontId="16" fillId="0" borderId="0" xfId="0" applyFont="true" applyBorder="false" applyAlignment="true" applyProtection="false">
      <alignment horizontal="right" vertical="center" textRotation="0" wrapText="false" indent="0" shrinkToFit="false"/>
      <protection locked="true" hidden="false"/>
    </xf>
    <xf numFmtId="164" fontId="17" fillId="0" borderId="0" xfId="0" applyFont="true" applyBorder="false" applyAlignment="true" applyProtection="false">
      <alignment horizontal="right" vertical="center" textRotation="0" wrapText="false" indent="0" shrinkToFit="false"/>
      <protection locked="true" hidden="false"/>
    </xf>
    <xf numFmtId="164" fontId="18" fillId="0" borderId="0" xfId="0" applyFont="true" applyBorder="false" applyAlignment="true" applyProtection="false">
      <alignment horizontal="right" vertical="center" textRotation="0" wrapText="false" indent="0" shrinkToFit="false"/>
      <protection locked="true" hidden="false"/>
    </xf>
    <xf numFmtId="164" fontId="19" fillId="4" borderId="0" xfId="0" applyFont="true" applyBorder="true" applyAlignment="true" applyProtection="false">
      <alignment horizontal="center" vertical="center" textRotation="0" wrapText="true" indent="0" shrinkToFit="false"/>
      <protection locked="true" hidden="false"/>
    </xf>
    <xf numFmtId="164" fontId="20" fillId="2" borderId="2" xfId="0" applyFont="true" applyBorder="true" applyAlignment="true" applyProtection="false">
      <alignment horizontal="center" vertical="center" textRotation="0" wrapText="true" indent="0" shrinkToFit="false"/>
      <protection locked="true" hidden="false"/>
    </xf>
    <xf numFmtId="164" fontId="12" fillId="4" borderId="2" xfId="0" applyFont="true" applyBorder="true" applyAlignment="true" applyProtection="false">
      <alignment horizontal="center" vertical="center" textRotation="0" wrapText="true" indent="0" shrinkToFit="false"/>
      <protection locked="true" hidden="false"/>
    </xf>
    <xf numFmtId="166" fontId="12" fillId="4" borderId="2" xfId="0" applyFont="true" applyBorder="true" applyAlignment="true" applyProtection="false">
      <alignment horizontal="left" vertical="center" textRotation="0" wrapText="true" indent="0" shrinkToFit="false"/>
      <protection locked="true" hidden="false"/>
    </xf>
    <xf numFmtId="164" fontId="12" fillId="4" borderId="2" xfId="0" applyFont="true" applyBorder="true" applyAlignment="true" applyProtection="false">
      <alignment horizontal="left" vertical="center" textRotation="0" wrapText="true" indent="0" shrinkToFit="false"/>
      <protection locked="true" hidden="false"/>
    </xf>
    <xf numFmtId="167" fontId="12" fillId="4" borderId="2" xfId="0" applyFont="true" applyBorder="true" applyAlignment="true" applyProtection="false">
      <alignment horizontal="left" vertical="center" textRotation="0" wrapText="true" indent="0" shrinkToFit="false"/>
      <protection locked="true" hidden="false"/>
    </xf>
    <xf numFmtId="164" fontId="12"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7">
    <dxf>
      <fill>
        <patternFill patternType="solid">
          <fgColor rgb="FF1B2A4A"/>
          <bgColor rgb="FF000000"/>
        </patternFill>
      </fill>
    </dxf>
    <dxf>
      <fill>
        <patternFill patternType="solid">
          <fgColor rgb="FFFFFFFF"/>
          <bgColor rgb="FF000000"/>
        </patternFill>
      </fill>
    </dxf>
    <dxf>
      <fill>
        <patternFill patternType="solid">
          <fgColor rgb="FFE8F6F7"/>
          <bgColor rgb="FF000000"/>
        </patternFill>
      </fill>
    </dxf>
    <dxf>
      <fill>
        <patternFill>
          <bgColor rgb="FFC6EFCE"/>
        </patternFill>
      </fill>
    </dxf>
    <dxf>
      <fill>
        <patternFill>
          <bgColor rgb="FFFFEB9C"/>
        </patternFill>
      </fill>
    </dxf>
    <dxf>
      <fill>
        <patternFill>
          <bgColor rgb="FFFFC7CE"/>
        </patternFill>
      </fill>
    </dxf>
    <dxf>
      <fill>
        <patternFill>
          <bgColor rgb="FFE06060"/>
        </patternFill>
      </fill>
    </dxf>
  </dxfs>
  <colors>
    <indexedColors>
      <rgbColor rgb="FF000000"/>
      <rgbColor rgb="FFFFFFFF"/>
      <rgbColor rgb="FFFF0000"/>
      <rgbColor rgb="FF00FF00"/>
      <rgbColor rgb="FF0000FF"/>
      <rgbColor rgb="FFFFFF00"/>
      <rgbColor rgb="FFFF00FF"/>
      <rgbColor rgb="FF00FFFF"/>
      <rgbColor rgb="FF9C0006"/>
      <rgbColor rgb="FF006100"/>
      <rgbColor rgb="FF000080"/>
      <rgbColor rgb="FF9C6500"/>
      <rgbColor rgb="FF800080"/>
      <rgbColor rgb="FF008080"/>
      <rgbColor rgb="FFC0C0C0"/>
      <rgbColor rgb="FF808080"/>
      <rgbColor rgb="FF9999FF"/>
      <rgbColor rgb="FF993366"/>
      <rgbColor rgb="FFF2F2F2"/>
      <rgbColor rgb="FFE8F6F7"/>
      <rgbColor rgb="FF660066"/>
      <rgbColor rgb="FFE06060"/>
      <rgbColor rgb="FF0066CC"/>
      <rgbColor rgb="FFCCCCFF"/>
      <rgbColor rgb="FF000080"/>
      <rgbColor rgb="FFFF00FF"/>
      <rgbColor rgb="FFFFFF00"/>
      <rgbColor rgb="FF00FFFF"/>
      <rgbColor rgb="FF800080"/>
      <rgbColor rgb="FF800000"/>
      <rgbColor rgb="FF008080"/>
      <rgbColor rgb="FF0000FF"/>
      <rgbColor rgb="FF00CCFF"/>
      <rgbColor rgb="FFCCFFFF"/>
      <rgbColor rgb="FFC6EFCE"/>
      <rgbColor rgb="FFFFEB9C"/>
      <rgbColor rgb="FF99CCFF"/>
      <rgbColor rgb="FFFF99CC"/>
      <rgbColor rgb="FFCC99FF"/>
      <rgbColor rgb="FFFFC7CE"/>
      <rgbColor rgb="FF3366FF"/>
      <rgbColor rgb="FF2AABB3"/>
      <rgbColor rgb="FF99CC00"/>
      <rgbColor rgb="FFFFCC00"/>
      <rgbColor rgb="FFFF9900"/>
      <rgbColor rgb="FFFF6600"/>
      <rgbColor rgb="FF666699"/>
      <rgbColor rgb="FF8C8C8C"/>
      <rgbColor rgb="FF003366"/>
      <rgbColor rgb="FF339966"/>
      <rgbColor rgb="FF003300"/>
      <rgbColor rgb="FF333300"/>
      <rgbColor rgb="FF993300"/>
      <rgbColor rgb="FF993366"/>
      <rgbColor rgb="FF333399"/>
      <rgbColor rgb="FF1B2A4A"/>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3.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B2A4A"/>
    <pageSetUpPr fitToPage="false"/>
  </sheetPr>
  <dimension ref="A1:J25"/>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8" min="1" style="0" width="14"/>
  </cols>
  <sheetData>
    <row r="1" customFormat="false" ht="30" hidden="false" customHeight="true" outlineLevel="0" collapsed="false">
      <c r="A1" s="1" t="s">
        <v>0</v>
      </c>
      <c r="B1" s="1"/>
      <c r="C1" s="1"/>
      <c r="D1" s="1"/>
      <c r="E1" s="1"/>
      <c r="F1" s="1"/>
      <c r="G1" s="1"/>
      <c r="H1" s="1"/>
      <c r="I1" s="2"/>
      <c r="J1" s="2"/>
    </row>
    <row r="2" customFormat="false" ht="30" hidden="false" customHeight="true" outlineLevel="0" collapsed="false">
      <c r="A2" s="1"/>
      <c r="B2" s="1"/>
      <c r="C2" s="1"/>
      <c r="D2" s="1"/>
      <c r="E2" s="1"/>
      <c r="F2" s="1"/>
      <c r="G2" s="1"/>
      <c r="H2" s="1"/>
      <c r="I2" s="2"/>
      <c r="J2" s="2"/>
    </row>
    <row r="3" customFormat="false" ht="30" hidden="false" customHeight="true" outlineLevel="0" collapsed="false">
      <c r="A3" s="1"/>
      <c r="B3" s="1"/>
      <c r="C3" s="1"/>
      <c r="D3" s="1"/>
      <c r="E3" s="1"/>
      <c r="F3" s="1"/>
      <c r="G3" s="1"/>
      <c r="H3" s="1"/>
      <c r="I3" s="2"/>
      <c r="J3" s="2"/>
    </row>
    <row r="4" customFormat="false" ht="15" hidden="false" customHeight="true" outlineLevel="0" collapsed="false">
      <c r="A4" s="3" t="s">
        <v>1</v>
      </c>
      <c r="B4" s="3"/>
      <c r="C4" s="3"/>
      <c r="D4" s="3"/>
      <c r="E4" s="3"/>
      <c r="F4" s="3"/>
      <c r="G4" s="3"/>
      <c r="H4" s="3"/>
      <c r="I4" s="2"/>
      <c r="J4" s="2"/>
    </row>
    <row r="5" customFormat="false" ht="15" hidden="false" customHeight="false" outlineLevel="0" collapsed="false">
      <c r="A5" s="2"/>
      <c r="B5" s="2"/>
      <c r="C5" s="2"/>
      <c r="D5" s="2"/>
      <c r="E5" s="2"/>
      <c r="F5" s="2"/>
      <c r="G5" s="2"/>
      <c r="H5" s="2"/>
      <c r="I5" s="2"/>
      <c r="J5" s="2"/>
    </row>
    <row r="6" customFormat="false" ht="24.75" hidden="false" customHeight="true" outlineLevel="0" collapsed="false">
      <c r="A6" s="4" t="s">
        <v>2</v>
      </c>
      <c r="B6" s="4"/>
      <c r="C6" s="4"/>
      <c r="D6" s="4"/>
      <c r="E6" s="4"/>
      <c r="F6" s="4"/>
      <c r="G6" s="4"/>
      <c r="H6" s="4"/>
      <c r="I6" s="2"/>
      <c r="J6" s="2"/>
    </row>
    <row r="7" customFormat="false" ht="24.75" hidden="false" customHeight="true" outlineLevel="0" collapsed="false">
      <c r="A7" s="4"/>
      <c r="B7" s="4"/>
      <c r="C7" s="4"/>
      <c r="D7" s="4"/>
      <c r="E7" s="4"/>
      <c r="F7" s="4"/>
      <c r="G7" s="4"/>
      <c r="H7" s="4"/>
      <c r="I7" s="2"/>
      <c r="J7" s="2"/>
    </row>
    <row r="8" customFormat="false" ht="24.75" hidden="false" customHeight="true" outlineLevel="0" collapsed="false">
      <c r="A8" s="4"/>
      <c r="B8" s="4"/>
      <c r="C8" s="4"/>
      <c r="D8" s="4"/>
      <c r="E8" s="4"/>
      <c r="F8" s="4"/>
      <c r="G8" s="4"/>
      <c r="H8" s="4"/>
      <c r="I8" s="2"/>
      <c r="J8" s="2"/>
    </row>
    <row r="9" customFormat="false" ht="15" hidden="false" customHeight="false" outlineLevel="0" collapsed="false">
      <c r="A9" s="2"/>
      <c r="B9" s="2"/>
      <c r="C9" s="2"/>
      <c r="D9" s="2"/>
      <c r="E9" s="2"/>
      <c r="F9" s="2"/>
      <c r="G9" s="2"/>
      <c r="H9" s="2"/>
      <c r="I9" s="2"/>
      <c r="J9" s="2"/>
    </row>
    <row r="10" customFormat="false" ht="15" hidden="false" customHeight="true" outlineLevel="0" collapsed="false">
      <c r="A10" s="5" t="s">
        <v>3</v>
      </c>
      <c r="B10" s="5"/>
      <c r="C10" s="5"/>
      <c r="D10" s="5"/>
      <c r="E10" s="5"/>
      <c r="F10" s="5"/>
      <c r="G10" s="5"/>
      <c r="H10" s="5"/>
      <c r="I10" s="2"/>
      <c r="J10" s="2"/>
    </row>
    <row r="11" customFormat="false" ht="15" hidden="false" customHeight="false" outlineLevel="0" collapsed="false">
      <c r="A11" s="5"/>
      <c r="B11" s="5"/>
      <c r="C11" s="5"/>
      <c r="D11" s="5"/>
      <c r="E11" s="5"/>
      <c r="F11" s="5"/>
      <c r="G11" s="5"/>
      <c r="H11" s="5"/>
      <c r="I11" s="2"/>
      <c r="J11" s="2"/>
    </row>
    <row r="12" customFormat="false" ht="15" hidden="false" customHeight="false" outlineLevel="0" collapsed="false">
      <c r="A12" s="2"/>
      <c r="B12" s="2"/>
      <c r="C12" s="2"/>
      <c r="D12" s="2"/>
      <c r="E12" s="2"/>
      <c r="F12" s="2"/>
      <c r="G12" s="2"/>
      <c r="H12" s="2"/>
      <c r="I12" s="2"/>
      <c r="J12" s="2"/>
    </row>
    <row r="13" customFormat="false" ht="15" hidden="false" customHeight="false" outlineLevel="0" collapsed="false">
      <c r="A13" s="2"/>
      <c r="B13" s="2"/>
      <c r="C13" s="2"/>
      <c r="D13" s="2"/>
      <c r="E13" s="2"/>
      <c r="F13" s="2"/>
      <c r="G13" s="2"/>
      <c r="H13" s="2"/>
      <c r="I13" s="2"/>
      <c r="J13" s="2"/>
    </row>
    <row r="14" customFormat="false" ht="15" hidden="false" customHeight="true" outlineLevel="0" collapsed="false">
      <c r="A14" s="6" t="s">
        <v>4</v>
      </c>
      <c r="B14" s="6"/>
      <c r="C14" s="6"/>
      <c r="D14" s="6"/>
      <c r="E14" s="6"/>
      <c r="F14" s="6"/>
      <c r="G14" s="6"/>
      <c r="H14" s="6"/>
      <c r="I14" s="2"/>
      <c r="J14" s="2"/>
    </row>
    <row r="15" customFormat="false" ht="15" hidden="false" customHeight="false" outlineLevel="0" collapsed="false">
      <c r="A15" s="6"/>
      <c r="B15" s="6"/>
      <c r="C15" s="6"/>
      <c r="D15" s="6"/>
      <c r="E15" s="6"/>
      <c r="F15" s="6"/>
      <c r="G15" s="6"/>
      <c r="H15" s="6"/>
      <c r="I15" s="2"/>
      <c r="J15" s="2"/>
    </row>
    <row r="16" customFormat="false" ht="15" hidden="false" customHeight="false" outlineLevel="0" collapsed="false">
      <c r="A16" s="6"/>
      <c r="B16" s="6"/>
      <c r="C16" s="6"/>
      <c r="D16" s="6"/>
      <c r="E16" s="6"/>
      <c r="F16" s="6"/>
      <c r="G16" s="6"/>
      <c r="H16" s="6"/>
      <c r="I16" s="2"/>
      <c r="J16" s="2"/>
    </row>
    <row r="17" customFormat="false" ht="15" hidden="false" customHeight="false" outlineLevel="0" collapsed="false">
      <c r="A17" s="6"/>
      <c r="B17" s="6"/>
      <c r="C17" s="6"/>
      <c r="D17" s="6"/>
      <c r="E17" s="6"/>
      <c r="F17" s="6"/>
      <c r="G17" s="6"/>
      <c r="H17" s="6"/>
      <c r="I17" s="2"/>
      <c r="J17" s="2"/>
    </row>
    <row r="18" customFormat="false" ht="15" hidden="false" customHeight="false" outlineLevel="0" collapsed="false">
      <c r="A18" s="2"/>
      <c r="B18" s="2"/>
      <c r="C18" s="2"/>
      <c r="D18" s="2"/>
      <c r="E18" s="2"/>
      <c r="F18" s="2"/>
      <c r="G18" s="2"/>
      <c r="H18" s="2"/>
      <c r="I18" s="2"/>
      <c r="J18" s="2"/>
    </row>
    <row r="19" customFormat="false" ht="15" hidden="false" customHeight="true" outlineLevel="0" collapsed="false">
      <c r="A19" s="7" t="s">
        <v>5</v>
      </c>
      <c r="B19" s="7"/>
      <c r="C19" s="7"/>
      <c r="D19" s="7"/>
      <c r="E19" s="7"/>
      <c r="F19" s="7"/>
      <c r="G19" s="7"/>
      <c r="H19" s="7"/>
      <c r="I19" s="2"/>
      <c r="J19" s="2"/>
    </row>
    <row r="20" customFormat="false" ht="15" hidden="false" customHeight="false" outlineLevel="0" collapsed="false">
      <c r="A20" s="2"/>
      <c r="B20" s="2"/>
      <c r="C20" s="2"/>
      <c r="D20" s="2"/>
      <c r="E20" s="2"/>
      <c r="F20" s="2"/>
      <c r="G20" s="2"/>
      <c r="H20" s="2"/>
      <c r="I20" s="2"/>
      <c r="J20" s="2"/>
    </row>
    <row r="21" customFormat="false" ht="15" hidden="false" customHeight="false" outlineLevel="0" collapsed="false">
      <c r="A21" s="2"/>
      <c r="B21" s="2"/>
      <c r="C21" s="2"/>
      <c r="D21" s="2"/>
      <c r="E21" s="2"/>
      <c r="F21" s="2"/>
      <c r="G21" s="2"/>
      <c r="H21" s="2"/>
      <c r="I21" s="2"/>
      <c r="J21" s="2"/>
    </row>
    <row r="22" customFormat="false" ht="15" hidden="false" customHeight="false" outlineLevel="0" collapsed="false">
      <c r="A22" s="2"/>
      <c r="B22" s="2"/>
      <c r="C22" s="2"/>
      <c r="D22" s="2"/>
      <c r="E22" s="2"/>
      <c r="F22" s="2"/>
      <c r="G22" s="2"/>
      <c r="H22" s="2"/>
      <c r="I22" s="2"/>
      <c r="J22" s="2"/>
    </row>
    <row r="23" customFormat="false" ht="15" hidden="false" customHeight="false" outlineLevel="0" collapsed="false">
      <c r="A23" s="2"/>
      <c r="B23" s="2"/>
      <c r="C23" s="2"/>
      <c r="D23" s="2"/>
      <c r="E23" s="2"/>
      <c r="F23" s="2"/>
      <c r="G23" s="2"/>
      <c r="H23" s="2"/>
      <c r="I23" s="2"/>
      <c r="J23" s="2"/>
    </row>
    <row r="24" customFormat="false" ht="15" hidden="false" customHeight="false" outlineLevel="0" collapsed="false">
      <c r="A24" s="2"/>
      <c r="B24" s="2"/>
      <c r="C24" s="2"/>
      <c r="D24" s="2"/>
      <c r="E24" s="2"/>
      <c r="F24" s="2"/>
      <c r="G24" s="2"/>
      <c r="H24" s="2"/>
      <c r="I24" s="2"/>
      <c r="J24" s="2"/>
    </row>
    <row r="25" customFormat="false" ht="15" hidden="false" customHeight="false" outlineLevel="0" collapsed="false">
      <c r="A25" s="2"/>
      <c r="B25" s="2"/>
      <c r="C25" s="2"/>
      <c r="D25" s="2"/>
      <c r="E25" s="2"/>
      <c r="F25" s="2"/>
      <c r="G25" s="2"/>
      <c r="H25" s="2"/>
      <c r="I25" s="2"/>
      <c r="J25" s="2"/>
    </row>
  </sheetData>
  <mergeCells count="6">
    <mergeCell ref="A1:H3"/>
    <mergeCell ref="A4:H4"/>
    <mergeCell ref="A6:H8"/>
    <mergeCell ref="A10:H11"/>
    <mergeCell ref="A14:H17"/>
    <mergeCell ref="A19:H19"/>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AABB3"/>
    <pageSetUpPr fitToPage="false"/>
  </sheetPr>
  <dimension ref="A1:H3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5"/>
    <col collapsed="false" customWidth="true" hidden="false" outlineLevel="0" max="2" min="2" style="0" width="95"/>
  </cols>
  <sheetData>
    <row r="1" customFormat="false" ht="17.35" hidden="false" customHeight="false" outlineLevel="0" collapsed="false">
      <c r="A1" s="8" t="s">
        <v>6</v>
      </c>
      <c r="B1" s="8"/>
      <c r="C1" s="8"/>
      <c r="D1" s="8"/>
      <c r="E1" s="8"/>
      <c r="F1" s="8"/>
      <c r="G1" s="2"/>
      <c r="H1" s="2"/>
    </row>
    <row r="2" customFormat="false" ht="15" hidden="false" customHeight="false" outlineLevel="0" collapsed="false">
      <c r="A2" s="2"/>
      <c r="B2" s="2"/>
      <c r="C2" s="2"/>
      <c r="D2" s="2"/>
      <c r="E2" s="2"/>
      <c r="F2" s="2"/>
      <c r="G2" s="2"/>
      <c r="H2" s="2"/>
    </row>
    <row r="3" customFormat="false" ht="15" hidden="false" customHeight="false" outlineLevel="0" collapsed="false">
      <c r="A3" s="2"/>
      <c r="B3" s="2"/>
      <c r="C3" s="2"/>
      <c r="D3" s="2"/>
      <c r="E3" s="2"/>
      <c r="F3" s="2"/>
      <c r="G3" s="2"/>
      <c r="H3" s="2"/>
    </row>
    <row r="4" customFormat="false" ht="15" hidden="false" customHeight="false" outlineLevel="0" collapsed="false">
      <c r="A4" s="9" t="s">
        <v>7</v>
      </c>
      <c r="B4" s="2"/>
      <c r="C4" s="2"/>
      <c r="D4" s="2"/>
      <c r="E4" s="2"/>
      <c r="F4" s="2"/>
      <c r="G4" s="2"/>
      <c r="H4" s="2"/>
    </row>
    <row r="5" customFormat="false" ht="15" hidden="false" customHeight="true" outlineLevel="0" collapsed="false">
      <c r="A5" s="10" t="s">
        <v>8</v>
      </c>
      <c r="B5" s="11" t="s">
        <v>9</v>
      </c>
      <c r="C5" s="11"/>
      <c r="D5" s="11"/>
      <c r="E5" s="11"/>
      <c r="F5" s="11"/>
      <c r="G5" s="2"/>
      <c r="H5" s="2"/>
    </row>
    <row r="6" customFormat="false" ht="15" hidden="false" customHeight="true" outlineLevel="0" collapsed="false">
      <c r="A6" s="10" t="s">
        <v>10</v>
      </c>
      <c r="B6" s="11" t="s">
        <v>11</v>
      </c>
      <c r="C6" s="11"/>
      <c r="D6" s="11"/>
      <c r="E6" s="11"/>
      <c r="F6" s="11"/>
      <c r="G6" s="2"/>
      <c r="H6" s="2"/>
    </row>
    <row r="7" customFormat="false" ht="15" hidden="false" customHeight="true" outlineLevel="0" collapsed="false">
      <c r="A7" s="10" t="s">
        <v>12</v>
      </c>
      <c r="B7" s="11" t="s">
        <v>13</v>
      </c>
      <c r="C7" s="11"/>
      <c r="D7" s="11"/>
      <c r="E7" s="11"/>
      <c r="F7" s="11"/>
      <c r="G7" s="2"/>
      <c r="H7" s="2"/>
    </row>
    <row r="8" customFormat="false" ht="15" hidden="false" customHeight="true" outlineLevel="0" collapsed="false">
      <c r="A8" s="10" t="s">
        <v>14</v>
      </c>
      <c r="B8" s="11" t="s">
        <v>15</v>
      </c>
      <c r="C8" s="11"/>
      <c r="D8" s="11"/>
      <c r="E8" s="11"/>
      <c r="F8" s="11"/>
      <c r="G8" s="2"/>
      <c r="H8" s="2"/>
    </row>
    <row r="9" customFormat="false" ht="23.85" hidden="false" customHeight="true" outlineLevel="0" collapsed="false">
      <c r="A9" s="10" t="s">
        <v>16</v>
      </c>
      <c r="B9" s="11" t="s">
        <v>17</v>
      </c>
      <c r="C9" s="11"/>
      <c r="D9" s="11"/>
      <c r="E9" s="11"/>
      <c r="F9" s="11"/>
      <c r="G9" s="2"/>
      <c r="H9" s="2"/>
    </row>
    <row r="10" customFormat="false" ht="23.85" hidden="false" customHeight="true" outlineLevel="0" collapsed="false">
      <c r="A10" s="10" t="s">
        <v>18</v>
      </c>
      <c r="B10" s="11" t="s">
        <v>19</v>
      </c>
      <c r="C10" s="11"/>
      <c r="D10" s="11"/>
      <c r="E10" s="11"/>
      <c r="F10" s="11"/>
      <c r="G10" s="2"/>
      <c r="H10" s="2"/>
    </row>
    <row r="11" customFormat="false" ht="23.85" hidden="false" customHeight="true" outlineLevel="0" collapsed="false">
      <c r="A11" s="10" t="s">
        <v>20</v>
      </c>
      <c r="B11" s="11" t="s">
        <v>21</v>
      </c>
      <c r="C11" s="11"/>
      <c r="D11" s="11"/>
      <c r="E11" s="11"/>
      <c r="F11" s="11"/>
      <c r="G11" s="2"/>
      <c r="H11" s="2"/>
    </row>
    <row r="12" customFormat="false" ht="15" hidden="false" customHeight="true" outlineLevel="0" collapsed="false">
      <c r="A12" s="10" t="s">
        <v>22</v>
      </c>
      <c r="B12" s="11" t="s">
        <v>23</v>
      </c>
      <c r="C12" s="11"/>
      <c r="D12" s="11"/>
      <c r="E12" s="11"/>
      <c r="F12" s="11"/>
      <c r="G12" s="2"/>
      <c r="H12" s="2"/>
    </row>
    <row r="13" customFormat="false" ht="15" hidden="false" customHeight="true" outlineLevel="0" collapsed="false">
      <c r="A13" s="10" t="s">
        <v>24</v>
      </c>
      <c r="B13" s="11" t="s">
        <v>25</v>
      </c>
      <c r="C13" s="11"/>
      <c r="D13" s="11"/>
      <c r="E13" s="11"/>
      <c r="F13" s="11"/>
      <c r="G13" s="2"/>
      <c r="H13" s="2"/>
    </row>
    <row r="14" customFormat="false" ht="15" hidden="false" customHeight="true" outlineLevel="0" collapsed="false">
      <c r="A14" s="10" t="s">
        <v>26</v>
      </c>
      <c r="B14" s="11" t="s">
        <v>27</v>
      </c>
      <c r="C14" s="11"/>
      <c r="D14" s="11"/>
      <c r="E14" s="11"/>
      <c r="F14" s="11"/>
      <c r="G14" s="2"/>
      <c r="H14" s="2"/>
    </row>
    <row r="15" customFormat="false" ht="15" hidden="false" customHeight="false" outlineLevel="0" collapsed="false">
      <c r="A15" s="2"/>
      <c r="B15" s="2"/>
      <c r="C15" s="2"/>
      <c r="D15" s="2"/>
      <c r="E15" s="2"/>
      <c r="F15" s="2"/>
      <c r="G15" s="2"/>
      <c r="H15" s="2"/>
    </row>
    <row r="16" customFormat="false" ht="15" hidden="false" customHeight="false" outlineLevel="0" collapsed="false">
      <c r="A16" s="9" t="s">
        <v>28</v>
      </c>
      <c r="B16" s="2"/>
      <c r="C16" s="2"/>
      <c r="D16" s="2"/>
      <c r="E16" s="2"/>
      <c r="F16" s="2"/>
      <c r="G16" s="2"/>
      <c r="H16" s="2"/>
    </row>
    <row r="17" customFormat="false" ht="15" hidden="false" customHeight="true" outlineLevel="0" collapsed="false">
      <c r="A17" s="10" t="s">
        <v>29</v>
      </c>
      <c r="B17" s="11" t="s">
        <v>30</v>
      </c>
      <c r="C17" s="11"/>
      <c r="D17" s="11"/>
      <c r="E17" s="11"/>
      <c r="F17" s="11"/>
      <c r="G17" s="2"/>
      <c r="H17" s="2"/>
    </row>
    <row r="18" customFormat="false" ht="15" hidden="false" customHeight="true" outlineLevel="0" collapsed="false">
      <c r="A18" s="10" t="s">
        <v>29</v>
      </c>
      <c r="B18" s="11" t="s">
        <v>31</v>
      </c>
      <c r="C18" s="11"/>
      <c r="D18" s="11"/>
      <c r="E18" s="11"/>
      <c r="F18" s="11"/>
      <c r="G18" s="2"/>
      <c r="H18" s="2"/>
    </row>
    <row r="19" customFormat="false" ht="15" hidden="false" customHeight="true" outlineLevel="0" collapsed="false">
      <c r="A19" s="10" t="s">
        <v>29</v>
      </c>
      <c r="B19" s="11" t="s">
        <v>32</v>
      </c>
      <c r="C19" s="11"/>
      <c r="D19" s="11"/>
      <c r="E19" s="11"/>
      <c r="F19" s="11"/>
      <c r="G19" s="2"/>
      <c r="H19" s="2"/>
    </row>
    <row r="20" customFormat="false" ht="15" hidden="false" customHeight="true" outlineLevel="0" collapsed="false">
      <c r="A20" s="10" t="s">
        <v>29</v>
      </c>
      <c r="B20" s="11" t="s">
        <v>33</v>
      </c>
      <c r="C20" s="11"/>
      <c r="D20" s="11"/>
      <c r="E20" s="11"/>
      <c r="F20" s="11"/>
      <c r="G20" s="2"/>
      <c r="H20" s="2"/>
    </row>
    <row r="21" customFormat="false" ht="15" hidden="false" customHeight="true" outlineLevel="0" collapsed="false">
      <c r="A21" s="10" t="s">
        <v>29</v>
      </c>
      <c r="B21" s="11" t="s">
        <v>34</v>
      </c>
      <c r="C21" s="11"/>
      <c r="D21" s="11"/>
      <c r="E21" s="11"/>
      <c r="F21" s="11"/>
      <c r="G21" s="2"/>
      <c r="H21" s="2"/>
    </row>
    <row r="22" customFormat="false" ht="15" hidden="false" customHeight="true" outlineLevel="0" collapsed="false">
      <c r="A22" s="10" t="s">
        <v>29</v>
      </c>
      <c r="B22" s="11" t="s">
        <v>35</v>
      </c>
      <c r="C22" s="11"/>
      <c r="D22" s="11"/>
      <c r="E22" s="11"/>
      <c r="F22" s="11"/>
      <c r="G22" s="2"/>
      <c r="H22" s="2"/>
    </row>
    <row r="23" customFormat="false" ht="15" hidden="false" customHeight="false" outlineLevel="0" collapsed="false">
      <c r="A23" s="2"/>
      <c r="B23" s="2"/>
      <c r="C23" s="2"/>
      <c r="D23" s="2"/>
      <c r="E23" s="2"/>
      <c r="F23" s="2"/>
      <c r="G23" s="2"/>
      <c r="H23" s="2"/>
    </row>
    <row r="24" customFormat="false" ht="15" hidden="false" customHeight="false" outlineLevel="0" collapsed="false">
      <c r="A24" s="9" t="s">
        <v>36</v>
      </c>
      <c r="B24" s="2"/>
      <c r="C24" s="2"/>
      <c r="D24" s="2"/>
      <c r="E24" s="2"/>
      <c r="F24" s="2"/>
      <c r="G24" s="2"/>
      <c r="H24" s="2"/>
    </row>
    <row r="25" customFormat="false" ht="23.85" hidden="false" customHeight="true" outlineLevel="0" collapsed="false">
      <c r="A25" s="10" t="s">
        <v>29</v>
      </c>
      <c r="B25" s="11" t="s">
        <v>37</v>
      </c>
      <c r="C25" s="11"/>
      <c r="D25" s="11"/>
      <c r="E25" s="11"/>
      <c r="F25" s="11"/>
      <c r="G25" s="2"/>
      <c r="H25" s="2"/>
    </row>
    <row r="26" customFormat="false" ht="15" hidden="false" customHeight="true" outlineLevel="0" collapsed="false">
      <c r="A26" s="10" t="s">
        <v>29</v>
      </c>
      <c r="B26" s="11" t="s">
        <v>38</v>
      </c>
      <c r="C26" s="11"/>
      <c r="D26" s="11"/>
      <c r="E26" s="11"/>
      <c r="F26" s="11"/>
      <c r="G26" s="2"/>
      <c r="H26" s="2"/>
    </row>
    <row r="27" customFormat="false" ht="23.85" hidden="false" customHeight="true" outlineLevel="0" collapsed="false">
      <c r="A27" s="10" t="s">
        <v>29</v>
      </c>
      <c r="B27" s="11" t="s">
        <v>39</v>
      </c>
      <c r="C27" s="11"/>
      <c r="D27" s="11"/>
      <c r="E27" s="11"/>
      <c r="F27" s="11"/>
      <c r="G27" s="2"/>
      <c r="H27" s="2"/>
    </row>
    <row r="28" customFormat="false" ht="15" hidden="false" customHeight="false" outlineLevel="0" collapsed="false">
      <c r="A28" s="2"/>
      <c r="B28" s="2"/>
      <c r="C28" s="2"/>
      <c r="D28" s="2"/>
      <c r="E28" s="2"/>
      <c r="F28" s="2"/>
      <c r="G28" s="2"/>
      <c r="H28" s="2"/>
    </row>
    <row r="29" customFormat="false" ht="15" hidden="false" customHeight="false" outlineLevel="0" collapsed="false">
      <c r="A29" s="9" t="s">
        <v>40</v>
      </c>
      <c r="B29" s="2"/>
      <c r="C29" s="2"/>
      <c r="D29" s="2"/>
      <c r="E29" s="2"/>
      <c r="F29" s="2"/>
      <c r="G29" s="2"/>
      <c r="H29" s="2"/>
    </row>
    <row r="30" customFormat="false" ht="15" hidden="false" customHeight="true" outlineLevel="0" collapsed="false">
      <c r="A30" s="10" t="s">
        <v>29</v>
      </c>
      <c r="B30" s="11" t="s">
        <v>41</v>
      </c>
      <c r="C30" s="11"/>
      <c r="D30" s="11"/>
      <c r="E30" s="11"/>
      <c r="F30" s="11"/>
      <c r="G30" s="2"/>
      <c r="H30" s="2"/>
    </row>
    <row r="31" customFormat="false" ht="23.85" hidden="false" customHeight="true" outlineLevel="0" collapsed="false">
      <c r="A31" s="10" t="s">
        <v>29</v>
      </c>
      <c r="B31" s="11" t="s">
        <v>42</v>
      </c>
      <c r="C31" s="11"/>
      <c r="D31" s="11"/>
      <c r="E31" s="11"/>
      <c r="F31" s="11"/>
      <c r="G31" s="2"/>
      <c r="H31" s="2"/>
    </row>
    <row r="32" customFormat="false" ht="15" hidden="false" customHeight="true" outlineLevel="0" collapsed="false">
      <c r="A32" s="10" t="s">
        <v>29</v>
      </c>
      <c r="B32" s="11" t="s">
        <v>43</v>
      </c>
      <c r="C32" s="11"/>
      <c r="D32" s="11"/>
      <c r="E32" s="11"/>
      <c r="F32" s="11"/>
      <c r="G32" s="2"/>
      <c r="H32" s="2"/>
    </row>
    <row r="33" customFormat="false" ht="15" hidden="false" customHeight="false" outlineLevel="0" collapsed="false">
      <c r="A33" s="2"/>
      <c r="B33" s="2"/>
      <c r="C33" s="2"/>
      <c r="D33" s="2"/>
      <c r="E33" s="2"/>
      <c r="F33" s="2"/>
      <c r="G33" s="2"/>
      <c r="H33" s="2"/>
    </row>
    <row r="34" customFormat="false" ht="15" hidden="false" customHeight="false" outlineLevel="0" collapsed="false">
      <c r="A34" s="2"/>
      <c r="B34" s="2"/>
      <c r="C34" s="2"/>
      <c r="D34" s="2"/>
      <c r="E34" s="2"/>
      <c r="F34" s="2"/>
      <c r="G34" s="2"/>
      <c r="H34" s="2"/>
    </row>
    <row r="35" customFormat="false" ht="15" hidden="false" customHeight="false" outlineLevel="0" collapsed="false">
      <c r="A35" s="2"/>
      <c r="B35" s="2"/>
      <c r="C35" s="2"/>
      <c r="D35" s="2"/>
      <c r="E35" s="2"/>
      <c r="F35" s="2"/>
      <c r="G35" s="2"/>
      <c r="H35" s="2"/>
    </row>
    <row r="36" customFormat="false" ht="15" hidden="false" customHeight="false" outlineLevel="0" collapsed="false">
      <c r="A36" s="2"/>
      <c r="B36" s="2"/>
      <c r="C36" s="2"/>
      <c r="D36" s="2"/>
      <c r="E36" s="2"/>
      <c r="F36" s="2"/>
      <c r="G36" s="2"/>
      <c r="H36" s="2"/>
    </row>
    <row r="37" customFormat="false" ht="15" hidden="false" customHeight="false" outlineLevel="0" collapsed="false">
      <c r="A37" s="2"/>
      <c r="B37" s="2"/>
      <c r="C37" s="2"/>
      <c r="D37" s="2"/>
      <c r="E37" s="2"/>
      <c r="F37" s="2"/>
      <c r="G37" s="2"/>
      <c r="H37" s="2"/>
    </row>
    <row r="38" customFormat="false" ht="15" hidden="false" customHeight="false" outlineLevel="0" collapsed="false">
      <c r="A38" s="2"/>
      <c r="B38" s="2"/>
      <c r="C38" s="2"/>
      <c r="D38" s="2"/>
      <c r="E38" s="2"/>
      <c r="F38" s="2"/>
      <c r="G38" s="2"/>
      <c r="H38" s="2"/>
    </row>
  </sheetData>
  <mergeCells count="23">
    <mergeCell ref="A1:F1"/>
    <mergeCell ref="B5:F5"/>
    <mergeCell ref="B6:F6"/>
    <mergeCell ref="B7:F7"/>
    <mergeCell ref="B8:F8"/>
    <mergeCell ref="B9:F9"/>
    <mergeCell ref="B10:F10"/>
    <mergeCell ref="B11:F11"/>
    <mergeCell ref="B12:F12"/>
    <mergeCell ref="B13:F13"/>
    <mergeCell ref="B14:F14"/>
    <mergeCell ref="B17:F17"/>
    <mergeCell ref="B18:F18"/>
    <mergeCell ref="B19:F19"/>
    <mergeCell ref="B20:F20"/>
    <mergeCell ref="B21:F21"/>
    <mergeCell ref="B22:F22"/>
    <mergeCell ref="B25:F25"/>
    <mergeCell ref="B26:F26"/>
    <mergeCell ref="B27:F27"/>
    <mergeCell ref="B30:F30"/>
    <mergeCell ref="B31:F31"/>
    <mergeCell ref="B32:F3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P5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8" topLeftCell="A9" activePane="bottomLeft" state="frozen"/>
      <selection pane="topLeft" activeCell="A1" activeCellId="0" sqref="A1"/>
      <selection pane="bottomLeft" activeCell="A1" activeCellId="0" sqref="A1"/>
    </sheetView>
  </sheetViews>
  <sheetFormatPr defaultColWidth="8.6796875" defaultRowHeight="15" zeroHeight="false" outlineLevelRow="0" outlineLevelCol="1"/>
  <cols>
    <col collapsed="false" customWidth="true" hidden="false" outlineLevel="0" max="1" min="1" style="0" width="12"/>
    <col collapsed="false" customWidth="true" hidden="false" outlineLevel="0" max="2" min="2" style="0" width="14"/>
    <col collapsed="false" customWidth="true" hidden="false" outlineLevel="0" max="4" min="3" style="0" width="28"/>
    <col collapsed="false" customWidth="true" hidden="false" outlineLevel="0" max="5" min="5" style="0" width="14"/>
    <col collapsed="false" customWidth="true" hidden="false" outlineLevel="0" max="6" min="6" style="0" width="16"/>
    <col collapsed="false" customWidth="true" hidden="false" outlineLevel="0" max="7" min="7" style="0" width="12"/>
    <col collapsed="false" customWidth="true" hidden="false" outlineLevel="0" max="9" min="8" style="0" width="18"/>
    <col collapsed="false" customWidth="true" hidden="false" outlineLevel="0" max="10" min="10" style="0" width="16"/>
    <col collapsed="false" customWidth="true" hidden="true" outlineLevel="1" max="16" min="11" style="0" width="16"/>
  </cols>
  <sheetData>
    <row r="1" customFormat="false" ht="17.35" hidden="false" customHeight="false" outlineLevel="0" collapsed="false">
      <c r="A1" s="12" t="s">
        <v>44</v>
      </c>
      <c r="B1" s="12"/>
      <c r="C1" s="12"/>
      <c r="E1" s="13" t="s">
        <v>45</v>
      </c>
      <c r="F1" s="14" t="n">
        <f aca="false">COUNTA(B9:B508)</f>
        <v>5</v>
      </c>
      <c r="H1" s="13" t="s">
        <v>46</v>
      </c>
      <c r="I1" s="15" t="n">
        <f aca="true">COUNTIFS(J9:J508,"&lt;"&amp;TODAY(),J9:J508,"&lt;&gt;")</f>
        <v>1</v>
      </c>
    </row>
    <row r="2" customFormat="false" ht="15" hidden="false" customHeight="false" outlineLevel="0" collapsed="false">
      <c r="E2" s="16" t="s">
        <v>47</v>
      </c>
      <c r="F2" s="14" t="n">
        <f aca="false">COUNTIF(F9:F508,"Good")</f>
        <v>1</v>
      </c>
      <c r="G2" s="17" t="s">
        <v>48</v>
      </c>
      <c r="H2" s="14" t="n">
        <f aca="false">COUNTIF(F9:F508,"Fair")</f>
        <v>1</v>
      </c>
      <c r="I2" s="18" t="s">
        <v>49</v>
      </c>
      <c r="J2" s="14" t="n">
        <f aca="false">COUNTIF(F9:F508,"Poor")</f>
        <v>2</v>
      </c>
    </row>
    <row r="3" customFormat="false" ht="15" hidden="false" customHeight="false" outlineLevel="0" collapsed="false">
      <c r="E3" s="16" t="s">
        <v>50</v>
      </c>
      <c r="F3" s="14" t="n">
        <f aca="false">COUNTIF(G9:G508,"Low")</f>
        <v>1</v>
      </c>
      <c r="G3" s="17" t="s">
        <v>51</v>
      </c>
      <c r="H3" s="14" t="n">
        <f aca="false">COUNTIF(G9:G508,"Medium")</f>
        <v>1</v>
      </c>
      <c r="I3" s="18" t="s">
        <v>52</v>
      </c>
      <c r="J3" s="14" t="n">
        <f aca="false">COUNTIF(G9:G508,"High")</f>
        <v>2</v>
      </c>
    </row>
    <row r="4" customFormat="false" ht="15" hidden="false" customHeight="false" outlineLevel="0" collapsed="false">
      <c r="E4" s="13" t="s">
        <v>53</v>
      </c>
      <c r="F4" s="15" t="n">
        <f aca="false">COUNTIF(G9:G508,"Very High")</f>
        <v>1</v>
      </c>
      <c r="H4" s="13" t="s">
        <v>54</v>
      </c>
      <c r="I4" s="15" t="n">
        <f aca="false">COUNTIF(H9:H508,"Remove")</f>
        <v>3</v>
      </c>
    </row>
    <row r="5" customFormat="false" ht="15" hidden="false" customHeight="false" outlineLevel="0" collapsed="false">
      <c r="E5" s="13" t="s">
        <v>55</v>
      </c>
      <c r="F5" s="14" t="n">
        <f aca="false">COUNTIF(E9:E508,"Presumed")+COUNTIF(E9:E508,"Unknown")</f>
        <v>1</v>
      </c>
      <c r="H5" s="13" t="s">
        <v>56</v>
      </c>
      <c r="I5" s="14" t="n">
        <f aca="true">COUNTIFS(J9:J508,"&gt;="&amp;TODAY(),J9:J508,"&lt;="&amp;TODAY()+30)</f>
        <v>1</v>
      </c>
    </row>
    <row r="6" customFormat="false" ht="15" hidden="false" customHeight="false" outlineLevel="0" collapsed="false">
      <c r="E6" s="13" t="s">
        <v>57</v>
      </c>
      <c r="F6" s="15" t="n">
        <f aca="false">COUNTIF(F9:F508,"Damaged")</f>
        <v>1</v>
      </c>
    </row>
    <row r="7" customFormat="false" ht="22.35" hidden="false" customHeight="true" outlineLevel="0" collapsed="false">
      <c r="K7" s="19" t="s">
        <v>58</v>
      </c>
      <c r="L7" s="19"/>
      <c r="M7" s="19"/>
      <c r="N7" s="19"/>
      <c r="O7" s="19"/>
      <c r="P7" s="19"/>
    </row>
    <row r="8" customFormat="false" ht="41.75" hidden="false" customHeight="false" outlineLevel="0" collapsed="false">
      <c r="A8" s="20" t="s">
        <v>59</v>
      </c>
      <c r="B8" s="20" t="s">
        <v>60</v>
      </c>
      <c r="C8" s="20" t="s">
        <v>61</v>
      </c>
      <c r="D8" s="20" t="s">
        <v>62</v>
      </c>
      <c r="E8" s="20" t="s">
        <v>63</v>
      </c>
      <c r="F8" s="20" t="s">
        <v>64</v>
      </c>
      <c r="G8" s="20" t="s">
        <v>65</v>
      </c>
      <c r="H8" s="20" t="s">
        <v>66</v>
      </c>
      <c r="I8" s="20" t="s">
        <v>67</v>
      </c>
      <c r="J8" s="20" t="s">
        <v>68</v>
      </c>
      <c r="K8" s="20" t="s">
        <v>69</v>
      </c>
      <c r="L8" s="20" t="s">
        <v>70</v>
      </c>
      <c r="M8" s="20" t="s">
        <v>71</v>
      </c>
      <c r="N8" s="20" t="s">
        <v>72</v>
      </c>
      <c r="O8" s="20" t="s">
        <v>73</v>
      </c>
      <c r="P8" s="20" t="s">
        <v>74</v>
      </c>
    </row>
    <row r="9" customFormat="false" ht="33.75" hidden="false" customHeight="true" outlineLevel="0" collapsed="false">
      <c r="A9" s="21" t="s">
        <v>75</v>
      </c>
      <c r="B9" s="22" t="n">
        <v>46032</v>
      </c>
      <c r="C9" s="23" t="s">
        <v>76</v>
      </c>
      <c r="D9" s="23" t="s">
        <v>77</v>
      </c>
      <c r="E9" s="21" t="s">
        <v>78</v>
      </c>
      <c r="F9" s="21" t="s">
        <v>79</v>
      </c>
      <c r="G9" s="21" t="s">
        <v>80</v>
      </c>
      <c r="H9" s="21" t="s">
        <v>81</v>
      </c>
      <c r="I9" s="23" t="s">
        <v>82</v>
      </c>
      <c r="J9" s="22" t="n">
        <v>46213</v>
      </c>
      <c r="K9" s="23" t="s">
        <v>83</v>
      </c>
      <c r="L9" s="23" t="s">
        <v>84</v>
      </c>
      <c r="M9" s="24" t="n">
        <v>12.5</v>
      </c>
      <c r="N9" s="21" t="s">
        <v>85</v>
      </c>
      <c r="O9" s="23"/>
      <c r="P9" s="23" t="s">
        <v>86</v>
      </c>
    </row>
    <row r="10" customFormat="false" ht="33.75" hidden="false" customHeight="true" outlineLevel="0" collapsed="false">
      <c r="A10" s="21" t="s">
        <v>87</v>
      </c>
      <c r="B10" s="22" t="n">
        <v>46032</v>
      </c>
      <c r="C10" s="23" t="s">
        <v>88</v>
      </c>
      <c r="D10" s="23" t="s">
        <v>89</v>
      </c>
      <c r="E10" s="21" t="s">
        <v>90</v>
      </c>
      <c r="F10" s="21" t="s">
        <v>91</v>
      </c>
      <c r="G10" s="21" t="s">
        <v>92</v>
      </c>
      <c r="H10" s="21" t="s">
        <v>93</v>
      </c>
      <c r="I10" s="23" t="s">
        <v>82</v>
      </c>
      <c r="J10" s="22" t="n">
        <v>46397</v>
      </c>
      <c r="K10" s="23" t="s">
        <v>94</v>
      </c>
      <c r="L10" s="23" t="s">
        <v>95</v>
      </c>
      <c r="M10" s="24" t="n">
        <v>85</v>
      </c>
      <c r="N10" s="21" t="s">
        <v>96</v>
      </c>
      <c r="O10" s="23"/>
      <c r="P10" s="23" t="s">
        <v>97</v>
      </c>
    </row>
    <row r="11" customFormat="false" ht="33.75" hidden="false" customHeight="true" outlineLevel="0" collapsed="false">
      <c r="A11" s="21" t="s">
        <v>98</v>
      </c>
      <c r="B11" s="22" t="n">
        <v>46032</v>
      </c>
      <c r="C11" s="23" t="s">
        <v>99</v>
      </c>
      <c r="D11" s="23" t="s">
        <v>100</v>
      </c>
      <c r="E11" s="21" t="s">
        <v>90</v>
      </c>
      <c r="F11" s="21" t="s">
        <v>101</v>
      </c>
      <c r="G11" s="21" t="s">
        <v>102</v>
      </c>
      <c r="H11" s="21" t="s">
        <v>103</v>
      </c>
      <c r="I11" s="23" t="s">
        <v>82</v>
      </c>
      <c r="J11" s="22" t="n">
        <v>46122</v>
      </c>
      <c r="K11" s="23" t="s">
        <v>94</v>
      </c>
      <c r="L11" s="23" t="s">
        <v>104</v>
      </c>
      <c r="M11" s="24" t="n">
        <v>45</v>
      </c>
      <c r="N11" s="21" t="s">
        <v>85</v>
      </c>
      <c r="O11" s="23" t="s">
        <v>105</v>
      </c>
      <c r="P11" s="23" t="s">
        <v>106</v>
      </c>
    </row>
    <row r="12" customFormat="false" ht="33.75" hidden="false" customHeight="true" outlineLevel="0" collapsed="false">
      <c r="A12" s="21" t="s">
        <v>107</v>
      </c>
      <c r="B12" s="22" t="n">
        <v>46058</v>
      </c>
      <c r="C12" s="23" t="s">
        <v>108</v>
      </c>
      <c r="D12" s="23" t="s">
        <v>109</v>
      </c>
      <c r="E12" s="21" t="s">
        <v>110</v>
      </c>
      <c r="F12" s="21" t="s">
        <v>101</v>
      </c>
      <c r="G12" s="21" t="s">
        <v>102</v>
      </c>
      <c r="H12" s="21" t="s">
        <v>103</v>
      </c>
      <c r="I12" s="23" t="s">
        <v>82</v>
      </c>
      <c r="J12" s="22" t="n">
        <v>46142</v>
      </c>
      <c r="K12" s="23" t="s">
        <v>111</v>
      </c>
      <c r="L12" s="23"/>
      <c r="M12" s="24" t="n">
        <v>2</v>
      </c>
      <c r="N12" s="21" t="s">
        <v>85</v>
      </c>
      <c r="O12" s="23" t="s">
        <v>112</v>
      </c>
      <c r="P12" s="23" t="s">
        <v>113</v>
      </c>
    </row>
    <row r="13" customFormat="false" ht="33.75" hidden="false" customHeight="true" outlineLevel="0" collapsed="false">
      <c r="A13" s="21" t="s">
        <v>114</v>
      </c>
      <c r="B13" s="22" t="n">
        <v>46082</v>
      </c>
      <c r="C13" s="23" t="s">
        <v>115</v>
      </c>
      <c r="D13" s="23" t="s">
        <v>116</v>
      </c>
      <c r="E13" s="21" t="s">
        <v>78</v>
      </c>
      <c r="F13" s="21" t="s">
        <v>117</v>
      </c>
      <c r="G13" s="21" t="s">
        <v>118</v>
      </c>
      <c r="H13" s="21" t="s">
        <v>103</v>
      </c>
      <c r="I13" s="23" t="s">
        <v>82</v>
      </c>
      <c r="J13" s="22" t="n">
        <v>46096</v>
      </c>
      <c r="K13" s="23" t="s">
        <v>94</v>
      </c>
      <c r="L13" s="23" t="s">
        <v>119</v>
      </c>
      <c r="M13" s="24" t="n">
        <v>2.9</v>
      </c>
      <c r="N13" s="21" t="s">
        <v>85</v>
      </c>
      <c r="O13" s="23" t="s">
        <v>105</v>
      </c>
      <c r="P13" s="23" t="s">
        <v>120</v>
      </c>
    </row>
    <row r="14" customFormat="false" ht="33.75" hidden="false" customHeight="true" outlineLevel="0" collapsed="false">
      <c r="A14" s="21"/>
      <c r="B14" s="22"/>
      <c r="C14" s="23"/>
      <c r="D14" s="23"/>
      <c r="E14" s="21"/>
      <c r="F14" s="21"/>
      <c r="G14" s="21"/>
      <c r="H14" s="21"/>
      <c r="I14" s="23"/>
      <c r="J14" s="22"/>
      <c r="K14" s="23"/>
      <c r="L14" s="23"/>
      <c r="M14" s="24"/>
      <c r="N14" s="21"/>
      <c r="O14" s="23"/>
      <c r="P14" s="23"/>
    </row>
    <row r="15" customFormat="false" ht="33.75" hidden="false" customHeight="true" outlineLevel="0" collapsed="false">
      <c r="A15" s="21"/>
      <c r="B15" s="22"/>
      <c r="C15" s="23"/>
      <c r="D15" s="23"/>
      <c r="E15" s="21"/>
      <c r="F15" s="21"/>
      <c r="G15" s="21"/>
      <c r="H15" s="21"/>
      <c r="I15" s="23"/>
      <c r="J15" s="22"/>
      <c r="K15" s="23"/>
      <c r="L15" s="23"/>
      <c r="M15" s="24"/>
      <c r="N15" s="21"/>
      <c r="O15" s="23"/>
      <c r="P15" s="23"/>
    </row>
    <row r="16" customFormat="false" ht="33.75" hidden="false" customHeight="true" outlineLevel="0" collapsed="false">
      <c r="A16" s="21"/>
      <c r="B16" s="22"/>
      <c r="C16" s="23"/>
      <c r="D16" s="23"/>
      <c r="E16" s="21"/>
      <c r="F16" s="21"/>
      <c r="G16" s="21"/>
      <c r="H16" s="21"/>
      <c r="I16" s="23"/>
      <c r="J16" s="22"/>
      <c r="K16" s="23"/>
      <c r="L16" s="23"/>
      <c r="M16" s="24"/>
      <c r="N16" s="21"/>
      <c r="O16" s="23"/>
      <c r="P16" s="23"/>
    </row>
    <row r="17" customFormat="false" ht="33.75" hidden="false" customHeight="true" outlineLevel="0" collapsed="false">
      <c r="A17" s="21"/>
      <c r="B17" s="22"/>
      <c r="C17" s="23"/>
      <c r="D17" s="23"/>
      <c r="E17" s="21"/>
      <c r="F17" s="21"/>
      <c r="G17" s="21"/>
      <c r="H17" s="21"/>
      <c r="I17" s="23"/>
      <c r="J17" s="22"/>
      <c r="K17" s="23"/>
      <c r="L17" s="23"/>
      <c r="M17" s="24"/>
      <c r="N17" s="21"/>
      <c r="O17" s="23"/>
      <c r="P17" s="23"/>
    </row>
    <row r="18" customFormat="false" ht="33.75" hidden="false" customHeight="true" outlineLevel="0" collapsed="false">
      <c r="A18" s="21"/>
      <c r="B18" s="22"/>
      <c r="C18" s="23"/>
      <c r="D18" s="23"/>
      <c r="E18" s="21"/>
      <c r="F18" s="21"/>
      <c r="G18" s="21"/>
      <c r="H18" s="21"/>
      <c r="I18" s="23"/>
      <c r="J18" s="22"/>
      <c r="K18" s="23"/>
      <c r="L18" s="23"/>
      <c r="M18" s="24"/>
      <c r="N18" s="21"/>
      <c r="O18" s="23"/>
      <c r="P18" s="23"/>
    </row>
    <row r="19" customFormat="false" ht="33.75" hidden="false" customHeight="true" outlineLevel="0" collapsed="false">
      <c r="A19" s="21"/>
      <c r="B19" s="22"/>
      <c r="C19" s="23"/>
      <c r="D19" s="23"/>
      <c r="E19" s="21"/>
      <c r="F19" s="21"/>
      <c r="G19" s="21"/>
      <c r="H19" s="21"/>
      <c r="I19" s="23"/>
      <c r="J19" s="22"/>
      <c r="K19" s="23"/>
      <c r="L19" s="23"/>
      <c r="M19" s="24"/>
      <c r="N19" s="21"/>
      <c r="O19" s="23"/>
      <c r="P19" s="23"/>
    </row>
    <row r="20" customFormat="false" ht="33.75" hidden="false" customHeight="true" outlineLevel="0" collapsed="false">
      <c r="A20" s="21"/>
      <c r="B20" s="22"/>
      <c r="C20" s="23"/>
      <c r="D20" s="23"/>
      <c r="E20" s="21"/>
      <c r="F20" s="21"/>
      <c r="G20" s="21"/>
      <c r="H20" s="21"/>
      <c r="I20" s="23"/>
      <c r="J20" s="22"/>
      <c r="K20" s="23"/>
      <c r="L20" s="23"/>
      <c r="M20" s="24"/>
      <c r="N20" s="21"/>
      <c r="O20" s="23"/>
      <c r="P20" s="23"/>
    </row>
    <row r="21" customFormat="false" ht="33.75" hidden="false" customHeight="true" outlineLevel="0" collapsed="false">
      <c r="A21" s="21"/>
      <c r="B21" s="22"/>
      <c r="C21" s="23"/>
      <c r="D21" s="23"/>
      <c r="E21" s="21"/>
      <c r="F21" s="21"/>
      <c r="G21" s="21"/>
      <c r="H21" s="21"/>
      <c r="I21" s="23"/>
      <c r="J21" s="22"/>
      <c r="K21" s="23"/>
      <c r="L21" s="23"/>
      <c r="M21" s="24"/>
      <c r="N21" s="21"/>
      <c r="O21" s="23"/>
      <c r="P21" s="23"/>
    </row>
    <row r="22" customFormat="false" ht="33.75" hidden="false" customHeight="true" outlineLevel="0" collapsed="false">
      <c r="A22" s="21"/>
      <c r="B22" s="22"/>
      <c r="C22" s="23"/>
      <c r="D22" s="23"/>
      <c r="E22" s="21"/>
      <c r="F22" s="21"/>
      <c r="G22" s="21"/>
      <c r="H22" s="21"/>
      <c r="I22" s="23"/>
      <c r="J22" s="22"/>
      <c r="K22" s="23"/>
      <c r="L22" s="23"/>
      <c r="M22" s="24"/>
      <c r="N22" s="21"/>
      <c r="O22" s="23"/>
      <c r="P22" s="23"/>
    </row>
    <row r="23" customFormat="false" ht="33.75" hidden="false" customHeight="true" outlineLevel="0" collapsed="false">
      <c r="A23" s="21"/>
      <c r="B23" s="22"/>
      <c r="C23" s="23"/>
      <c r="D23" s="23"/>
      <c r="E23" s="21"/>
      <c r="F23" s="21"/>
      <c r="G23" s="21"/>
      <c r="H23" s="21"/>
      <c r="I23" s="23"/>
      <c r="J23" s="22"/>
      <c r="K23" s="23"/>
      <c r="L23" s="23"/>
      <c r="M23" s="24"/>
      <c r="N23" s="21"/>
      <c r="O23" s="23"/>
      <c r="P23" s="23"/>
    </row>
    <row r="24" customFormat="false" ht="33.75" hidden="false" customHeight="true" outlineLevel="0" collapsed="false">
      <c r="A24" s="21"/>
      <c r="B24" s="22"/>
      <c r="C24" s="23"/>
      <c r="D24" s="23"/>
      <c r="E24" s="21"/>
      <c r="F24" s="21"/>
      <c r="G24" s="21"/>
      <c r="H24" s="21"/>
      <c r="I24" s="23"/>
      <c r="J24" s="22"/>
      <c r="K24" s="23"/>
      <c r="L24" s="23"/>
      <c r="M24" s="24"/>
      <c r="N24" s="21"/>
      <c r="O24" s="23"/>
      <c r="P24" s="23"/>
    </row>
    <row r="25" customFormat="false" ht="33.75" hidden="false" customHeight="true" outlineLevel="0" collapsed="false">
      <c r="A25" s="21"/>
      <c r="B25" s="22"/>
      <c r="C25" s="23"/>
      <c r="D25" s="23"/>
      <c r="E25" s="21"/>
      <c r="F25" s="21"/>
      <c r="G25" s="21"/>
      <c r="H25" s="21"/>
      <c r="I25" s="23"/>
      <c r="J25" s="22"/>
      <c r="K25" s="23"/>
      <c r="L25" s="23"/>
      <c r="M25" s="24"/>
      <c r="N25" s="21"/>
      <c r="O25" s="23"/>
      <c r="P25" s="23"/>
    </row>
    <row r="26" customFormat="false" ht="33.75" hidden="false" customHeight="true" outlineLevel="0" collapsed="false">
      <c r="A26" s="21"/>
      <c r="B26" s="22"/>
      <c r="C26" s="23"/>
      <c r="D26" s="23"/>
      <c r="E26" s="21"/>
      <c r="F26" s="21"/>
      <c r="G26" s="21"/>
      <c r="H26" s="21"/>
      <c r="I26" s="23"/>
      <c r="J26" s="22"/>
      <c r="K26" s="23"/>
      <c r="L26" s="23"/>
      <c r="M26" s="24"/>
      <c r="N26" s="21"/>
      <c r="O26" s="23"/>
      <c r="P26" s="23"/>
    </row>
    <row r="27" customFormat="false" ht="33.75" hidden="false" customHeight="true" outlineLevel="0" collapsed="false">
      <c r="A27" s="21"/>
      <c r="B27" s="22"/>
      <c r="C27" s="23"/>
      <c r="D27" s="23"/>
      <c r="E27" s="21"/>
      <c r="F27" s="21"/>
      <c r="G27" s="21"/>
      <c r="H27" s="21"/>
      <c r="I27" s="23"/>
      <c r="J27" s="22"/>
      <c r="K27" s="23"/>
      <c r="L27" s="23"/>
      <c r="M27" s="24"/>
      <c r="N27" s="21"/>
      <c r="O27" s="23"/>
      <c r="P27" s="23"/>
    </row>
    <row r="28" customFormat="false" ht="33.75" hidden="false" customHeight="true" outlineLevel="0" collapsed="false">
      <c r="A28" s="21"/>
      <c r="B28" s="22"/>
      <c r="C28" s="23"/>
      <c r="D28" s="23"/>
      <c r="E28" s="21"/>
      <c r="F28" s="21"/>
      <c r="G28" s="21"/>
      <c r="H28" s="21"/>
      <c r="I28" s="23"/>
      <c r="J28" s="22"/>
      <c r="K28" s="23"/>
      <c r="L28" s="23"/>
      <c r="M28" s="24"/>
      <c r="N28" s="21"/>
      <c r="O28" s="23"/>
      <c r="P28" s="23"/>
    </row>
    <row r="29" customFormat="false" ht="33.75" hidden="false" customHeight="true" outlineLevel="0" collapsed="false">
      <c r="A29" s="21"/>
      <c r="B29" s="22"/>
      <c r="C29" s="23"/>
      <c r="D29" s="23"/>
      <c r="E29" s="21"/>
      <c r="F29" s="21"/>
      <c r="G29" s="21"/>
      <c r="H29" s="21"/>
      <c r="I29" s="23"/>
      <c r="J29" s="22"/>
      <c r="K29" s="23"/>
      <c r="L29" s="23"/>
      <c r="M29" s="24"/>
      <c r="N29" s="21"/>
      <c r="O29" s="23"/>
      <c r="P29" s="23"/>
    </row>
    <row r="30" customFormat="false" ht="33.75" hidden="false" customHeight="true" outlineLevel="0" collapsed="false">
      <c r="A30" s="21"/>
      <c r="B30" s="22"/>
      <c r="C30" s="23"/>
      <c r="D30" s="23"/>
      <c r="E30" s="21"/>
      <c r="F30" s="21"/>
      <c r="G30" s="21"/>
      <c r="H30" s="21"/>
      <c r="I30" s="23"/>
      <c r="J30" s="22"/>
      <c r="K30" s="23"/>
      <c r="L30" s="23"/>
      <c r="M30" s="24"/>
      <c r="N30" s="21"/>
      <c r="O30" s="23"/>
      <c r="P30" s="23"/>
    </row>
    <row r="31" customFormat="false" ht="33.75" hidden="false" customHeight="true" outlineLevel="0" collapsed="false">
      <c r="A31" s="21"/>
      <c r="B31" s="22"/>
      <c r="C31" s="23"/>
      <c r="D31" s="23"/>
      <c r="E31" s="21"/>
      <c r="F31" s="21"/>
      <c r="G31" s="21"/>
      <c r="H31" s="21"/>
      <c r="I31" s="23"/>
      <c r="J31" s="22"/>
      <c r="K31" s="23"/>
      <c r="L31" s="23"/>
      <c r="M31" s="24"/>
      <c r="N31" s="21"/>
      <c r="O31" s="23"/>
      <c r="P31" s="23"/>
    </row>
    <row r="32" customFormat="false" ht="33.75" hidden="false" customHeight="true" outlineLevel="0" collapsed="false">
      <c r="A32" s="21"/>
      <c r="B32" s="22"/>
      <c r="C32" s="23"/>
      <c r="D32" s="23"/>
      <c r="E32" s="21"/>
      <c r="F32" s="21"/>
      <c r="G32" s="21"/>
      <c r="H32" s="21"/>
      <c r="I32" s="23"/>
      <c r="J32" s="22"/>
      <c r="K32" s="23"/>
      <c r="L32" s="23"/>
      <c r="M32" s="24"/>
      <c r="N32" s="21"/>
      <c r="O32" s="23"/>
      <c r="P32" s="23"/>
    </row>
    <row r="33" customFormat="false" ht="33.75" hidden="false" customHeight="true" outlineLevel="0" collapsed="false">
      <c r="A33" s="21"/>
      <c r="B33" s="22"/>
      <c r="C33" s="23"/>
      <c r="D33" s="23"/>
      <c r="E33" s="21"/>
      <c r="F33" s="21"/>
      <c r="G33" s="21"/>
      <c r="H33" s="21"/>
      <c r="I33" s="23"/>
      <c r="J33" s="22"/>
      <c r="K33" s="23"/>
      <c r="L33" s="23"/>
      <c r="M33" s="24"/>
      <c r="N33" s="21"/>
      <c r="O33" s="23"/>
      <c r="P33" s="23"/>
    </row>
    <row r="34" customFormat="false" ht="33.75" hidden="false" customHeight="true" outlineLevel="0" collapsed="false">
      <c r="A34" s="21"/>
      <c r="B34" s="22"/>
      <c r="C34" s="23"/>
      <c r="D34" s="23"/>
      <c r="E34" s="21"/>
      <c r="F34" s="21"/>
      <c r="G34" s="21"/>
      <c r="H34" s="21"/>
      <c r="I34" s="23"/>
      <c r="J34" s="22"/>
      <c r="K34" s="23"/>
      <c r="L34" s="23"/>
      <c r="M34" s="24"/>
      <c r="N34" s="21"/>
      <c r="O34" s="23"/>
      <c r="P34" s="23"/>
    </row>
    <row r="35" customFormat="false" ht="33.75" hidden="false" customHeight="true" outlineLevel="0" collapsed="false">
      <c r="A35" s="21"/>
      <c r="B35" s="22"/>
      <c r="C35" s="23"/>
      <c r="D35" s="23"/>
      <c r="E35" s="21"/>
      <c r="F35" s="21"/>
      <c r="G35" s="21"/>
      <c r="H35" s="21"/>
      <c r="I35" s="23"/>
      <c r="J35" s="22"/>
      <c r="K35" s="23"/>
      <c r="L35" s="23"/>
      <c r="M35" s="24"/>
      <c r="N35" s="21"/>
      <c r="O35" s="23"/>
      <c r="P35" s="23"/>
    </row>
    <row r="36" customFormat="false" ht="33.75" hidden="false" customHeight="true" outlineLevel="0" collapsed="false">
      <c r="A36" s="21"/>
      <c r="B36" s="22"/>
      <c r="C36" s="23"/>
      <c r="D36" s="23"/>
      <c r="E36" s="21"/>
      <c r="F36" s="21"/>
      <c r="G36" s="21"/>
      <c r="H36" s="21"/>
      <c r="I36" s="23"/>
      <c r="J36" s="22"/>
      <c r="K36" s="23"/>
      <c r="L36" s="23"/>
      <c r="M36" s="24"/>
      <c r="N36" s="21"/>
      <c r="O36" s="23"/>
      <c r="P36" s="23"/>
    </row>
    <row r="37" customFormat="false" ht="33.75" hidden="false" customHeight="true" outlineLevel="0" collapsed="false">
      <c r="A37" s="21"/>
      <c r="B37" s="22"/>
      <c r="C37" s="23"/>
      <c r="D37" s="23"/>
      <c r="E37" s="21"/>
      <c r="F37" s="21"/>
      <c r="G37" s="21"/>
      <c r="H37" s="21"/>
      <c r="I37" s="23"/>
      <c r="J37" s="22"/>
      <c r="K37" s="23"/>
      <c r="L37" s="23"/>
      <c r="M37" s="24"/>
      <c r="N37" s="21"/>
      <c r="O37" s="23"/>
      <c r="P37" s="23"/>
    </row>
    <row r="38" customFormat="false" ht="33.75" hidden="false" customHeight="true" outlineLevel="0" collapsed="false">
      <c r="A38" s="21"/>
      <c r="B38" s="22"/>
      <c r="C38" s="23"/>
      <c r="D38" s="23"/>
      <c r="E38" s="21"/>
      <c r="F38" s="21"/>
      <c r="G38" s="21"/>
      <c r="H38" s="21"/>
      <c r="I38" s="23"/>
      <c r="J38" s="22"/>
      <c r="K38" s="23"/>
      <c r="L38" s="23"/>
      <c r="M38" s="24"/>
      <c r="N38" s="21"/>
      <c r="O38" s="23"/>
      <c r="P38" s="23"/>
    </row>
    <row r="39" customFormat="false" ht="33.75" hidden="false" customHeight="true" outlineLevel="0" collapsed="false">
      <c r="A39" s="21"/>
      <c r="B39" s="22"/>
      <c r="C39" s="23"/>
      <c r="D39" s="23"/>
      <c r="E39" s="21"/>
      <c r="F39" s="21"/>
      <c r="G39" s="21"/>
      <c r="H39" s="21"/>
      <c r="I39" s="23"/>
      <c r="J39" s="22"/>
      <c r="K39" s="23"/>
      <c r="L39" s="23"/>
      <c r="M39" s="24"/>
      <c r="N39" s="21"/>
      <c r="O39" s="23"/>
      <c r="P39" s="23"/>
    </row>
    <row r="40" customFormat="false" ht="33.75" hidden="false" customHeight="true" outlineLevel="0" collapsed="false">
      <c r="A40" s="21"/>
      <c r="B40" s="22"/>
      <c r="C40" s="23"/>
      <c r="D40" s="23"/>
      <c r="E40" s="21"/>
      <c r="F40" s="21"/>
      <c r="G40" s="21"/>
      <c r="H40" s="21"/>
      <c r="I40" s="23"/>
      <c r="J40" s="22"/>
      <c r="K40" s="23"/>
      <c r="L40" s="23"/>
      <c r="M40" s="24"/>
      <c r="N40" s="21"/>
      <c r="O40" s="23"/>
      <c r="P40" s="23"/>
    </row>
    <row r="41" customFormat="false" ht="33.75" hidden="false" customHeight="true" outlineLevel="0" collapsed="false">
      <c r="A41" s="21"/>
      <c r="B41" s="22"/>
      <c r="C41" s="23"/>
      <c r="D41" s="23"/>
      <c r="E41" s="21"/>
      <c r="F41" s="21"/>
      <c r="G41" s="21"/>
      <c r="H41" s="21"/>
      <c r="I41" s="23"/>
      <c r="J41" s="22"/>
      <c r="K41" s="23"/>
      <c r="L41" s="23"/>
      <c r="M41" s="24"/>
      <c r="N41" s="21"/>
      <c r="O41" s="23"/>
      <c r="P41" s="23"/>
    </row>
    <row r="42" customFormat="false" ht="33.75" hidden="false" customHeight="true" outlineLevel="0" collapsed="false">
      <c r="A42" s="21"/>
      <c r="B42" s="22"/>
      <c r="C42" s="23"/>
      <c r="D42" s="23"/>
      <c r="E42" s="21"/>
      <c r="F42" s="21"/>
      <c r="G42" s="21"/>
      <c r="H42" s="21"/>
      <c r="I42" s="23"/>
      <c r="J42" s="22"/>
      <c r="K42" s="23"/>
      <c r="L42" s="23"/>
      <c r="M42" s="24"/>
      <c r="N42" s="21"/>
      <c r="O42" s="23"/>
      <c r="P42" s="23"/>
    </row>
    <row r="43" customFormat="false" ht="33.75" hidden="false" customHeight="true" outlineLevel="0" collapsed="false">
      <c r="A43" s="21"/>
      <c r="B43" s="22"/>
      <c r="C43" s="23"/>
      <c r="D43" s="23"/>
      <c r="E43" s="21"/>
      <c r="F43" s="21"/>
      <c r="G43" s="21"/>
      <c r="H43" s="21"/>
      <c r="I43" s="23"/>
      <c r="J43" s="22"/>
      <c r="K43" s="23"/>
      <c r="L43" s="23"/>
      <c r="M43" s="24"/>
      <c r="N43" s="21"/>
      <c r="O43" s="23"/>
      <c r="P43" s="23"/>
    </row>
    <row r="44" customFormat="false" ht="33.75" hidden="false" customHeight="true" outlineLevel="0" collapsed="false">
      <c r="A44" s="21"/>
      <c r="B44" s="22"/>
      <c r="C44" s="23"/>
      <c r="D44" s="23"/>
      <c r="E44" s="21"/>
      <c r="F44" s="21"/>
      <c r="G44" s="21"/>
      <c r="H44" s="21"/>
      <c r="I44" s="23"/>
      <c r="J44" s="22"/>
      <c r="K44" s="23"/>
      <c r="L44" s="23"/>
      <c r="M44" s="24"/>
      <c r="N44" s="21"/>
      <c r="O44" s="23"/>
      <c r="P44" s="23"/>
    </row>
    <row r="45" customFormat="false" ht="33.75" hidden="false" customHeight="true" outlineLevel="0" collapsed="false">
      <c r="A45" s="21"/>
      <c r="B45" s="22"/>
      <c r="C45" s="23"/>
      <c r="D45" s="23"/>
      <c r="E45" s="21"/>
      <c r="F45" s="21"/>
      <c r="G45" s="21"/>
      <c r="H45" s="21"/>
      <c r="I45" s="23"/>
      <c r="J45" s="22"/>
      <c r="K45" s="23"/>
      <c r="L45" s="23"/>
      <c r="M45" s="24"/>
      <c r="N45" s="21"/>
      <c r="O45" s="23"/>
      <c r="P45" s="23"/>
    </row>
    <row r="46" customFormat="false" ht="33.75" hidden="false" customHeight="true" outlineLevel="0" collapsed="false">
      <c r="A46" s="21"/>
      <c r="B46" s="22"/>
      <c r="C46" s="23"/>
      <c r="D46" s="23"/>
      <c r="E46" s="21"/>
      <c r="F46" s="21"/>
      <c r="G46" s="21"/>
      <c r="H46" s="21"/>
      <c r="I46" s="23"/>
      <c r="J46" s="22"/>
      <c r="K46" s="23"/>
      <c r="L46" s="23"/>
      <c r="M46" s="24"/>
      <c r="N46" s="21"/>
      <c r="O46" s="23"/>
      <c r="P46" s="23"/>
    </row>
    <row r="47" customFormat="false" ht="33.75" hidden="false" customHeight="true" outlineLevel="0" collapsed="false">
      <c r="A47" s="21"/>
      <c r="B47" s="22"/>
      <c r="C47" s="23"/>
      <c r="D47" s="23"/>
      <c r="E47" s="21"/>
      <c r="F47" s="21"/>
      <c r="G47" s="21"/>
      <c r="H47" s="21"/>
      <c r="I47" s="23"/>
      <c r="J47" s="22"/>
      <c r="K47" s="23"/>
      <c r="L47" s="23"/>
      <c r="M47" s="24"/>
      <c r="N47" s="21"/>
      <c r="O47" s="23"/>
      <c r="P47" s="23"/>
    </row>
    <row r="48" customFormat="false" ht="33.75" hidden="false" customHeight="true" outlineLevel="0" collapsed="false">
      <c r="A48" s="21"/>
      <c r="B48" s="22"/>
      <c r="C48" s="23"/>
      <c r="D48" s="23"/>
      <c r="E48" s="21"/>
      <c r="F48" s="21"/>
      <c r="G48" s="21"/>
      <c r="H48" s="21"/>
      <c r="I48" s="23"/>
      <c r="J48" s="22"/>
      <c r="K48" s="23"/>
      <c r="L48" s="23"/>
      <c r="M48" s="24"/>
      <c r="N48" s="21"/>
      <c r="O48" s="23"/>
      <c r="P48" s="23"/>
    </row>
    <row r="49" customFormat="false" ht="33.75" hidden="false" customHeight="true" outlineLevel="0" collapsed="false">
      <c r="A49" s="21"/>
      <c r="B49" s="22"/>
      <c r="C49" s="23"/>
      <c r="D49" s="23"/>
      <c r="E49" s="21"/>
      <c r="F49" s="21"/>
      <c r="G49" s="21"/>
      <c r="H49" s="21"/>
      <c r="I49" s="23"/>
      <c r="J49" s="22"/>
      <c r="K49" s="23"/>
      <c r="L49" s="23"/>
      <c r="M49" s="24"/>
      <c r="N49" s="21"/>
      <c r="O49" s="23"/>
      <c r="P49" s="23"/>
    </row>
    <row r="50" customFormat="false" ht="33.75" hidden="false" customHeight="true" outlineLevel="0" collapsed="false">
      <c r="A50" s="21"/>
      <c r="B50" s="22"/>
      <c r="C50" s="23"/>
      <c r="D50" s="23"/>
      <c r="E50" s="21"/>
      <c r="F50" s="21"/>
      <c r="G50" s="21"/>
      <c r="H50" s="21"/>
      <c r="I50" s="23"/>
      <c r="J50" s="22"/>
      <c r="K50" s="23"/>
      <c r="L50" s="23"/>
      <c r="M50" s="24"/>
      <c r="N50" s="21"/>
      <c r="O50" s="23"/>
      <c r="P50" s="23"/>
    </row>
    <row r="51" customFormat="false" ht="33.75" hidden="false" customHeight="true" outlineLevel="0" collapsed="false">
      <c r="A51" s="21"/>
      <c r="B51" s="22"/>
      <c r="C51" s="23"/>
      <c r="D51" s="23"/>
      <c r="E51" s="21"/>
      <c r="F51" s="21"/>
      <c r="G51" s="21"/>
      <c r="H51" s="21"/>
      <c r="I51" s="23"/>
      <c r="J51" s="22"/>
      <c r="K51" s="23"/>
      <c r="L51" s="23"/>
      <c r="M51" s="24"/>
      <c r="N51" s="21"/>
      <c r="O51" s="23"/>
      <c r="P51" s="23"/>
    </row>
    <row r="52" customFormat="false" ht="33.75" hidden="false" customHeight="true" outlineLevel="0" collapsed="false">
      <c r="A52" s="21"/>
      <c r="B52" s="22"/>
      <c r="C52" s="23"/>
      <c r="D52" s="23"/>
      <c r="E52" s="21"/>
      <c r="F52" s="21"/>
      <c r="G52" s="21"/>
      <c r="H52" s="21"/>
      <c r="I52" s="23"/>
      <c r="J52" s="22"/>
      <c r="K52" s="23"/>
      <c r="L52" s="23"/>
      <c r="M52" s="24"/>
      <c r="N52" s="21"/>
      <c r="O52" s="23"/>
      <c r="P52" s="23"/>
    </row>
    <row r="53" customFormat="false" ht="33.75" hidden="false" customHeight="true" outlineLevel="0" collapsed="false">
      <c r="A53" s="21"/>
      <c r="B53" s="22"/>
      <c r="C53" s="23"/>
      <c r="D53" s="23"/>
      <c r="E53" s="21"/>
      <c r="F53" s="21"/>
      <c r="G53" s="21"/>
      <c r="H53" s="21"/>
      <c r="I53" s="23"/>
      <c r="J53" s="22"/>
      <c r="K53" s="23"/>
      <c r="L53" s="23"/>
      <c r="M53" s="24"/>
      <c r="N53" s="21"/>
      <c r="O53" s="23"/>
      <c r="P53" s="23"/>
    </row>
    <row r="54" customFormat="false" ht="33.75" hidden="false" customHeight="true" outlineLevel="0" collapsed="false">
      <c r="A54" s="21"/>
      <c r="B54" s="22"/>
      <c r="C54" s="23"/>
      <c r="D54" s="23"/>
      <c r="E54" s="21"/>
      <c r="F54" s="21"/>
      <c r="G54" s="21"/>
      <c r="H54" s="21"/>
      <c r="I54" s="23"/>
      <c r="J54" s="22"/>
      <c r="K54" s="23"/>
      <c r="L54" s="23"/>
      <c r="M54" s="24"/>
      <c r="N54" s="21"/>
      <c r="O54" s="23"/>
      <c r="P54" s="23"/>
    </row>
    <row r="55" customFormat="false" ht="33.75" hidden="false" customHeight="true" outlineLevel="0" collapsed="false">
      <c r="A55" s="21"/>
      <c r="B55" s="22"/>
      <c r="C55" s="23"/>
      <c r="D55" s="23"/>
      <c r="E55" s="21"/>
      <c r="F55" s="21"/>
      <c r="G55" s="21"/>
      <c r="H55" s="21"/>
      <c r="I55" s="23"/>
      <c r="J55" s="22"/>
      <c r="K55" s="23"/>
      <c r="L55" s="23"/>
      <c r="M55" s="24"/>
      <c r="N55" s="21"/>
      <c r="O55" s="23"/>
      <c r="P55" s="23"/>
    </row>
    <row r="56" customFormat="false" ht="33.75" hidden="false" customHeight="true" outlineLevel="0" collapsed="false">
      <c r="A56" s="21"/>
      <c r="B56" s="22"/>
      <c r="C56" s="23"/>
      <c r="D56" s="23"/>
      <c r="E56" s="21"/>
      <c r="F56" s="21"/>
      <c r="G56" s="21"/>
      <c r="H56" s="21"/>
      <c r="I56" s="23"/>
      <c r="J56" s="22"/>
      <c r="K56" s="23"/>
      <c r="L56" s="23"/>
      <c r="M56" s="24"/>
      <c r="N56" s="21"/>
      <c r="O56" s="23"/>
      <c r="P56" s="23"/>
    </row>
    <row r="57" customFormat="false" ht="33.75" hidden="false" customHeight="true" outlineLevel="0" collapsed="false">
      <c r="A57" s="21"/>
      <c r="B57" s="22"/>
      <c r="C57" s="23"/>
      <c r="D57" s="23"/>
      <c r="E57" s="21"/>
      <c r="F57" s="21"/>
      <c r="G57" s="21"/>
      <c r="H57" s="21"/>
      <c r="I57" s="23"/>
      <c r="J57" s="22"/>
      <c r="K57" s="23"/>
      <c r="L57" s="23"/>
      <c r="M57" s="24"/>
      <c r="N57" s="21"/>
      <c r="O57" s="23"/>
      <c r="P57" s="23"/>
    </row>
    <row r="58" customFormat="false" ht="33.75" hidden="false" customHeight="true" outlineLevel="0" collapsed="false">
      <c r="A58" s="21"/>
      <c r="B58" s="22"/>
      <c r="C58" s="23"/>
      <c r="D58" s="23"/>
      <c r="E58" s="21"/>
      <c r="F58" s="21"/>
      <c r="G58" s="21"/>
      <c r="H58" s="21"/>
      <c r="I58" s="23"/>
      <c r="J58" s="22"/>
      <c r="K58" s="23"/>
      <c r="L58" s="23"/>
      <c r="M58" s="24"/>
      <c r="N58" s="21"/>
      <c r="O58" s="23"/>
      <c r="P58" s="23"/>
    </row>
  </sheetData>
  <autoFilter ref="A8:P8"/>
  <mergeCells count="2">
    <mergeCell ref="A1:C1"/>
    <mergeCell ref="K7:P7"/>
  </mergeCells>
  <conditionalFormatting sqref="F9:F508">
    <cfRule type="expression" priority="2" aboveAverage="0" equalAverage="0" bottom="0" percent="0" rank="0" text="" dxfId="3">
      <formula>$F9="Good"</formula>
    </cfRule>
    <cfRule type="expression" priority="3" aboveAverage="0" equalAverage="0" bottom="0" percent="0" rank="0" text="" dxfId="4">
      <formula>$F9="Fair"</formula>
    </cfRule>
    <cfRule type="expression" priority="4" aboveAverage="0" equalAverage="0" bottom="0" percent="0" rank="0" text="" dxfId="5">
      <formula>$F9="Poor"</formula>
    </cfRule>
    <cfRule type="expression" priority="5" aboveAverage="0" equalAverage="0" bottom="0" percent="0" rank="0" text="" dxfId="6">
      <formula>$F9="Damaged"</formula>
    </cfRule>
  </conditionalFormatting>
  <conditionalFormatting sqref="G9:G508">
    <cfRule type="expression" priority="6" aboveAverage="0" equalAverage="0" bottom="0" percent="0" rank="0" text="" dxfId="3">
      <formula>$G9="Low"</formula>
    </cfRule>
    <cfRule type="expression" priority="7" aboveAverage="0" equalAverage="0" bottom="0" percent="0" rank="0" text="" dxfId="4">
      <formula>$G9="Medium"</formula>
    </cfRule>
    <cfRule type="expression" priority="8" aboveAverage="0" equalAverage="0" bottom="0" percent="0" rank="0" text="" dxfId="5">
      <formula>$G9="High"</formula>
    </cfRule>
    <cfRule type="expression" priority="9" aboveAverage="0" equalAverage="0" bottom="0" percent="0" rank="0" text="" dxfId="6">
      <formula>$G9="Very High"</formula>
    </cfRule>
  </conditionalFormatting>
  <conditionalFormatting sqref="H9:H508">
    <cfRule type="expression" priority="10" aboveAverage="0" equalAverage="0" bottom="0" percent="0" rank="0" text="" dxfId="5">
      <formula>$H9="Remove"</formula>
    </cfRule>
  </conditionalFormatting>
  <conditionalFormatting sqref="A9:J508">
    <cfRule type="expression" priority="11" aboveAverage="0" equalAverage="0" bottom="0" percent="0" rank="0" text="" dxfId="5">
      <formula>$H9="Remove"</formula>
    </cfRule>
    <cfRule type="expression" priority="12" aboveAverage="0" equalAverage="0" bottom="0" percent="0" rank="0" text="" dxfId="6">
      <formula>$G9="Very High"</formula>
    </cfRule>
  </conditionalFormatting>
  <conditionalFormatting sqref="J9:J508">
    <cfRule type="expression" priority="13" aboveAverage="0" equalAverage="0" bottom="0" percent="0" rank="0" text="" dxfId="5">
      <formula>AND($J9&lt;&gt;"",$J9&lt;TODAY())</formula>
    </cfRule>
    <cfRule type="expression" priority="14" aboveAverage="0" equalAverage="0" bottom="0" percent="0" rank="0" text="" dxfId="4">
      <formula>AND($J9&lt;&gt;"",$J9&gt;=TODAY(),$J9&lt;=TODAY()+30)</formula>
    </cfRule>
  </conditionalFormatting>
  <dataValidations count="6">
    <dataValidation allowBlank="true" errorStyle="stop" operator="between" prompt="Select ACM type" showDropDown="false" showErrorMessage="false" showInputMessage="false" sqref="E9:E508" type="list">
      <formula1>"Chrysotile,Amosite,Crocidolite,Presumed,Unknown"</formula1>
      <formula2>0</formula2>
    </dataValidation>
    <dataValidation allowBlank="true" errorStyle="stop" operator="between" showDropDown="false" showErrorMessage="false" showInputMessage="false" sqref="F9:F508" type="list">
      <formula1>"Good,Fair,Poor,Damaged"</formula1>
      <formula2>0</formula2>
    </dataValidation>
    <dataValidation allowBlank="true" errorStyle="stop" operator="between" showDropDown="false" showErrorMessage="false" showInputMessage="false" sqref="G9:G508" type="list">
      <formula1>"Low,Medium,High,Very High"</formula1>
      <formula2>0</formula2>
    </dataValidation>
    <dataValidation allowBlank="true" errorStyle="stop" operator="between" showDropDown="false" showErrorMessage="false" showInputMessage="false" sqref="H9:H508" type="list">
      <formula1>"Monitor,Encapsulate,Enclose,Remove,No Action"</formula1>
      <formula2>0</formula2>
    </dataValidation>
    <dataValidation allowBlank="true" errorStyle="stop" operator="between" showDropDown="false" showErrorMessage="false" showInputMessage="false" sqref="N9:N508" type="list">
      <formula1>"Yes,No"</formula1>
      <formula2>0</formula2>
    </dataValidation>
    <dataValidation allowBlank="true" errorStyle="stop" operator="between" showDropDown="false" showErrorMessage="false" showInputMessage="false" sqref="B9:B508 J9:J508" type="date">
      <formula1>0</formula1>
      <formula2>0</formula2>
    </dataValidation>
  </dataValidations>
  <printOptions headings="false" gridLines="false" gridLinesSet="true" horizontalCentered="false" verticalCentered="false"/>
  <pageMargins left="0.75" right="0.75" top="1" bottom="1" header="0.5" footer="0.5"/>
  <pageSetup paperSize="9" scale="100" fitToWidth="1" fitToHeight="1" pageOrder="downThenOver" orientation="landscape" blackAndWhite="false" draft="false" cellComments="none" horizontalDpi="300" verticalDpi="300" copies="1"/>
  <headerFooter differentFirst="false" differentOddEven="false">
    <oddHeader>&amp;CAsbestos Register / Awareness Log</oddHeader>
    <oddFooter>&amp;Rebrora.com</oddFooter>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B2A4A"/>
    <pageSetUpPr fitToPage="false"/>
  </sheetPr>
  <dimension ref="A1:A1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00"/>
  </cols>
  <sheetData>
    <row r="1" customFormat="false" ht="15" hidden="false" customHeight="false" outlineLevel="0" collapsed="false">
      <c r="A1" s="25" t="s">
        <v>121</v>
      </c>
    </row>
    <row r="2" customFormat="false" ht="15" hidden="false" customHeight="false" outlineLevel="0" collapsed="false">
      <c r="A2" s="25"/>
    </row>
    <row r="3" customFormat="false" ht="15" hidden="false" customHeight="false" outlineLevel="0" collapsed="false">
      <c r="A3" s="25" t="s">
        <v>122</v>
      </c>
    </row>
    <row r="4" customFormat="false" ht="15" hidden="false" customHeight="false" outlineLevel="0" collapsed="false">
      <c r="A4" s="25"/>
    </row>
    <row r="5" customFormat="false" ht="15" hidden="false" customHeight="false" outlineLevel="0" collapsed="false">
      <c r="A5" s="25" t="s">
        <v>123</v>
      </c>
    </row>
    <row r="6" customFormat="false" ht="15" hidden="false" customHeight="false" outlineLevel="0" collapsed="false">
      <c r="A6" s="25"/>
    </row>
    <row r="7" customFormat="false" ht="15" hidden="false" customHeight="false" outlineLevel="0" collapsed="false">
      <c r="A7" s="25" t="s">
        <v>124</v>
      </c>
    </row>
    <row r="8" customFormat="false" ht="15" hidden="false" customHeight="false" outlineLevel="0" collapsed="false">
      <c r="A8" s="25"/>
    </row>
    <row r="9" customFormat="false" ht="15" hidden="false" customHeight="false" outlineLevel="0" collapsed="false">
      <c r="A9" s="25" t="s">
        <v>125</v>
      </c>
    </row>
    <row r="10" customFormat="false" ht="15" hidden="false" customHeight="false" outlineLevel="0" collapsed="false">
      <c r="A10" s="25"/>
    </row>
    <row r="11" customFormat="false" ht="15" hidden="false" customHeight="false" outlineLevel="0" collapsed="false">
      <c r="A11" s="25" t="s">
        <v>126</v>
      </c>
    </row>
    <row r="12" customFormat="false" ht="15" hidden="false" customHeight="false" outlineLevel="0" collapsed="false">
      <c r="A12" s="25"/>
    </row>
    <row r="13" customFormat="false" ht="15" hidden="false" customHeight="false" outlineLevel="0" collapsed="false">
      <c r="A13" s="25" t="s">
        <v>127</v>
      </c>
    </row>
    <row r="14" customFormat="false" ht="15" hidden="false" customHeight="false" outlineLevel="0" collapsed="false">
      <c r="A14" s="25"/>
    </row>
    <row r="15" customFormat="false" ht="15" hidden="false" customHeight="false" outlineLevel="0" collapsed="false">
      <c r="A15" s="25" t="s">
        <v>128</v>
      </c>
    </row>
    <row r="16" customFormat="false" ht="15" hidden="false" customHeight="false" outlineLevel="0" collapsed="false">
      <c r="A16" s="25"/>
    </row>
    <row r="17" customFormat="false" ht="15" hidden="false" customHeight="false" outlineLevel="0" collapsed="false">
      <c r="A17" s="25" t="s">
        <v>129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category>Health &amp; Safety</cp:category>
  <dcterms:created xsi:type="dcterms:W3CDTF">2026-03-22T17:39:26Z</dcterms:created>
  <dc:creator>Ebrora Ltd</dc:creator>
  <dc:description>Record and manage known and suspected asbestos-containing materials on site with condition assessment, risk scoring, management action tracking, review date alerts, and presumed/confirmed ACM monitoring. Designed for UK construction site managers, duty holders, and asbestos consultants.
Free professional construction management template from Ebrora Ltd. Visit ebrora.com for our full range of tools and templates.</dc:description>
  <cp:keywords>Ebrora construction asbestos ACM register CAR 2012 Regulation 4 management survey health and safety site management</cp:keywords>
  <dc:language>en-US</dc:language>
  <cp:lastModifiedBy>Ebrora Ltd</cp:lastModifiedBy>
  <dcterms:modified xsi:type="dcterms:W3CDTF">2026-03-22T17:39:26Z</dcterms:modified>
  <cp:revision>0</cp:revision>
  <dc:subject>Register for recording and managing known and suspected asbestos-containing materials on construction sites.</dc:subject>
  <dc:title>Asbestos Register / Awareness Log</dc:title>
</cp:coreProperties>
</file>

<file path=docProps/custom.xml><?xml version="1.0" encoding="utf-8"?>
<Properties xmlns="http://schemas.openxmlformats.org/officeDocument/2006/custom-properties" xmlns:vt="http://schemas.openxmlformats.org/officeDocument/2006/docPropsVTypes"/>
</file>