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Test Pack Tracker"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'Test Pack Tracker'!$A$1:$Q$59</definedName>
    <definedName function="false" hidden="true" localSheetId="2" name="_xlnm._FilterDatabase" vbProcedure="false">'Test Pack Tracker'!$A$9:$Q$9</definedName>
    <definedName function="false" hidden="false" name="DataTable" vbProcedure="false">'Test Pack Tracker'!$A$9:$Q$59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<sst xmlns="http://schemas.openxmlformats.org/spreadsheetml/2006/main" count="129" uniqueCount="122">
  <si>
    <t xml:space="preserve">EBRORA</t>
  </si>
  <si>
    <t xml:space="preserve">ebrora.com</t>
  </si>
  <si>
    <t xml:space="preserve">Test Pack Tracker</t>
  </si>
  <si>
    <t xml:space="preserve">Track every test pack through its full lifecycle — from preparation through review, testing, approval, and handover — in a single progress pipeline.</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</si>
  <si>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</si>
  <si>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</si>
  <si>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</si>
  <si>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</si>
  <si>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</si>
  <si>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Go to the 'Test Pack Tracker' sheet. Each row represents one test pack in your commissioning programme.</t>
  </si>
  <si>
    <t xml:space="preserve">2.</t>
  </si>
  <si>
    <t xml:space="preserve">Enter the Test Pack No. in column A (e.g., TP-001, TP-002). Use your project's numbering convention.</t>
  </si>
  <si>
    <t xml:space="preserve">3.</t>
  </si>
  <si>
    <t xml:space="preserve">Fill in the system, description, and discipline to categorise each pack.</t>
  </si>
  <si>
    <t xml:space="preserve">4.</t>
  </si>
  <si>
    <t xml:space="preserve">Track each pack through five pipeline stages by entering dates as each milestone is reached:</t>
  </si>
  <si>
    <t xml:space="preserve">   Prepared → Reviewed → Tested → Approved → Handed Over</t>
  </si>
  <si>
    <t xml:space="preserve">5.</t>
  </si>
  <si>
    <t xml:space="preserve">The 'Current Stage' column auto-calculates based on which date columns are filled — no manual entry needed.</t>
  </si>
  <si>
    <t xml:space="preserve">6.</t>
  </si>
  <si>
    <t xml:space="preserve">The '% Progress' column scores each pack: 0% (not started) through to 100% (handed over), in 20% increments per stage.</t>
  </si>
  <si>
    <t xml:space="preserve">Dashboard</t>
  </si>
  <si>
    <t xml:space="preserve">7.</t>
  </si>
  <si>
    <t xml:space="preserve">The summary block shows total packs, counts at each stage, and overall programme completion percentage. Use this for weekly commissioning progress reports.</t>
  </si>
  <si>
    <t xml:space="preserve">Optional Fields</t>
  </si>
  <si>
    <t xml:space="preserve">8.</t>
  </si>
  <si>
    <t xml:space="preserve">Click [+] to expand optional columns: Punch Items Open, Witness Required, Approved By, and Comments.</t>
  </si>
  <si>
    <t xml:space="preserve">Colour Key</t>
  </si>
  <si>
    <t xml:space="preserve">Light Teal cells</t>
  </si>
  <si>
    <t xml:space="preserve">Editable — enter your data here</t>
  </si>
  <si>
    <t xml:space="preserve">Dark Navy headers</t>
  </si>
  <si>
    <t xml:space="preserve">Do not edit — column headings and structure</t>
  </si>
  <si>
    <t xml:space="preserve">White cells</t>
  </si>
  <si>
    <t xml:space="preserve">Formula cells — auto-calculated, do not edit</t>
  </si>
  <si>
    <t xml:space="preserve">Green</t>
  </si>
  <si>
    <t xml:space="preserve">Stage complete or pack handed over</t>
  </si>
  <si>
    <t xml:space="preserve">Amber</t>
  </si>
  <si>
    <t xml:space="preserve">Pack in progress (tested or reviewed)</t>
  </si>
  <si>
    <t xml:space="preserve">Red</t>
  </si>
  <si>
    <t xml:space="preserve">Not started or only at preparation stage</t>
  </si>
  <si>
    <t xml:space="preserve">Pipeline Stages</t>
  </si>
  <si>
    <t xml:space="preserve">1. Prepared</t>
  </si>
  <si>
    <t xml:space="preserve">Test pack documentation compiled — ITPs, procedures, datasheets, and checklists assembled.</t>
  </si>
  <si>
    <t xml:space="preserve">2. Reviewed</t>
  </si>
  <si>
    <t xml:space="preserve">Pack reviewed by commissioning lead or QA — content checked, hold points confirmed.</t>
  </si>
  <si>
    <t xml:space="preserve">3. Tested</t>
  </si>
  <si>
    <t xml:space="preserve">Physical testing complete — pressure tests, loop checks, functional tests, or inspections carried out.</t>
  </si>
  <si>
    <t xml:space="preserve">4. Approved</t>
  </si>
  <si>
    <t xml:space="preserve">Test results reviewed and approved by the engineer or client representative.</t>
  </si>
  <si>
    <t xml:space="preserve">5. Handed Over</t>
  </si>
  <si>
    <t xml:space="preserve">Pack formally handed over to the client or operations team with all signatures.</t>
  </si>
  <si>
    <t xml:space="preserve">Tips</t>
  </si>
  <si>
    <t xml:space="preserve">•</t>
  </si>
  <si>
    <t xml:space="preserve">Filter by 'Current Stage' to generate stage-specific action lists — e.g., all packs awaiting review.</t>
  </si>
  <si>
    <t xml:space="preserve">Use the Punch Items Open column (optional) to flag packs that can't progress until punch items are cleared.</t>
  </si>
  <si>
    <t xml:space="preserve">Print landscape on A4. The core pipeline columns fit one page wide for commissioning progress boards.</t>
  </si>
  <si>
    <t xml:space="preserve">TEST PACK TRACKER — PIPELINE DASHBOARD</t>
  </si>
  <si>
    <t xml:space="preserve">Total Packs:</t>
  </si>
  <si>
    <t xml:space="preserve">Not Started:</t>
  </si>
  <si>
    <t xml:space="preserve">Prepared:</t>
  </si>
  <si>
    <t xml:space="preserve">Reviewed:</t>
  </si>
  <si>
    <t xml:space="preserve">Tested:</t>
  </si>
  <si>
    <t xml:space="preserve">Approved:</t>
  </si>
  <si>
    <t xml:space="preserve">Handed Over:</t>
  </si>
  <si>
    <t xml:space="preserve">Programme %:</t>
  </si>
  <si>
    <t xml:space="preserve">PIPELINE STAGES — Enter date when each stage is complete</t>
  </si>
  <si>
    <t xml:space="preserve">▸ Optional Fields — Click [+] to expand</t>
  </si>
  <si>
    <t xml:space="preserve">Test Pack No.</t>
  </si>
  <si>
    <t xml:space="preserve">System / Area</t>
  </si>
  <si>
    <t xml:space="preserve">Description</t>
  </si>
  <si>
    <t xml:space="preserve">Discipline</t>
  </si>
  <si>
    <t xml:space="preserve">Responsible</t>
  </si>
  <si>
    <t xml:space="preserve">Prepared</t>
  </si>
  <si>
    <t xml:space="preserve">Reviewed</t>
  </si>
  <si>
    <t xml:space="preserve">Tested</t>
  </si>
  <si>
    <t xml:space="preserve">Approved</t>
  </si>
  <si>
    <t xml:space="preserve">Handed Over</t>
  </si>
  <si>
    <t xml:space="preserve">Target Date</t>
  </si>
  <si>
    <t xml:space="preserve">Current Stage</t>
  </si>
  <si>
    <t xml:space="preserve">% Progress</t>
  </si>
  <si>
    <t xml:space="preserve">Punch Open</t>
  </si>
  <si>
    <t xml:space="preserve">Witness Req.</t>
  </si>
  <si>
    <t xml:space="preserve">Approved By</t>
  </si>
  <si>
    <t xml:space="preserve">Comments</t>
  </si>
  <si>
    <t xml:space="preserve">TP-001</t>
  </si>
  <si>
    <t xml:space="preserve">Pump House PH-01</t>
  </si>
  <si>
    <t xml:space="preserve">Pressure test — raw water inlet pipework 100-PW-001</t>
  </si>
  <si>
    <t xml:space="preserve">Piping</t>
  </si>
  <si>
    <t xml:space="preserve">PipeFit Ltd</t>
  </si>
  <si>
    <t xml:space="preserve">No</t>
  </si>
  <si>
    <t xml:space="preserve">A. Thompson</t>
  </si>
  <si>
    <t xml:space="preserve">TP-002</t>
  </si>
  <si>
    <t xml:space="preserve">MCC Room</t>
  </si>
  <si>
    <t xml:space="preserve">Electrical test — MCC-01 switchgear functional checks</t>
  </si>
  <si>
    <t xml:space="preserve">Electrical</t>
  </si>
  <si>
    <t xml:space="preserve">SparksElec Ltd</t>
  </si>
  <si>
    <t xml:space="preserve">Yes</t>
  </si>
  <si>
    <t xml:space="preserve">Awaiting client witness</t>
  </si>
  <si>
    <t xml:space="preserve">TP-003</t>
  </si>
  <si>
    <t xml:space="preserve">Chemical Dosing</t>
  </si>
  <si>
    <t xml:space="preserve">Loop check — dosing pump DP-201 control loop LP-201</t>
  </si>
  <si>
    <t xml:space="preserve">C&amp;I</t>
  </si>
  <si>
    <t xml:space="preserve">Automation Ltd</t>
  </si>
  <si>
    <t xml:space="preserve">TP-004</t>
  </si>
  <si>
    <t xml:space="preserve">Outlet Chamber</t>
  </si>
  <si>
    <t xml:space="preserve">Hydrostatic test — treated water outlet main 100-TW-001</t>
  </si>
  <si>
    <t xml:space="preserve">Awaiting reinstatement of flanges</t>
  </si>
  <si>
    <t xml:space="preserve">TP-005</t>
  </si>
  <si>
    <t xml:space="preserve">Plant Room</t>
  </si>
  <si>
    <t xml:space="preserve">HVAC commissioning — AHU-01 air balance and controls</t>
  </si>
  <si>
    <t xml:space="preserve">HVAC</t>
  </si>
  <si>
    <t xml:space="preserve">AirTech Ltd</t>
  </si>
  <si>
    <t xml:space="preserve">Pack being compiled</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</si>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</sst>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General"/>
    <numFmt numFmtId="166" formatCode="0%"/>
    <numFmt numFmtId="167" formatCode="dd/mm/yyyy"/>
  </numFmts>
  <fonts count="20">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4"/>
      <color rgb="FFFFFFFF"/>
      <name val="Calibri"/>
      <family val="0"/>
      <charset val="1"/>
    </font>
    <font>
      <b val="true"/>
      <sz val="9"/>
      <color rgb="FF1B2A4A"/>
      <name val="Calibri"/>
      <family val="0"/>
      <charset val="1"/>
    </font>
    <font>
      <b val="true"/>
      <sz val="12"/>
      <color rgb="FF1B2A4A"/>
      <name val="Calibri"/>
      <family val="0"/>
      <charset val="1"/>
    </font>
    <font>
      <b val="true"/>
      <sz val="9"/>
      <color rgb="FFFFFFFF"/>
      <name val="Calibri"/>
      <family val="0"/>
      <charset val="1"/>
    </font>
    <font>
      <b val="true"/>
      <i val="true"/>
      <sz val="9"/>
      <color rgb="FF2AABB3"/>
      <name val="Calibri"/>
      <family val="0"/>
      <charset val="1"/>
    </font>
    <font>
      <b val="true"/>
      <sz val="11"/>
      <color rgb="FFFFFFFF"/>
      <name val="Calibri"/>
      <family val="0"/>
      <charset val="1"/>
    </font>
  </fonts>
  <fills count="9">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C6EFCE"/>
        <bgColor rgb="FFCCFFFF"/>
      </patternFill>
    </fill>
    <fill>
      <patternFill patternType="solid">
        <fgColor rgb="FFFFEB9C"/>
        <bgColor rgb="FFF2F2F2"/>
      </patternFill>
    </fill>
    <fill>
      <patternFill patternType="solid">
        <fgColor rgb="FFFFC7CE"/>
        <bgColor rgb="FFFFEB9C"/>
      </patternFill>
    </fill>
    <fill>
      <patternFill patternType="solid">
        <fgColor rgb="FF2AABB3"/>
        <bgColor rgb="FF339966"/>
      </patternFill>
    </fill>
  </fills>
  <borders count="6">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right/>
      <top/>
      <bottom style="medium">
        <color rgb="FF2AABB3"/>
      </bottom>
      <diagonal/>
    </border>
    <border diagonalUp="false" diagonalDown="false">
      <left style="thin">
        <color rgb="FF8C8C8C"/>
      </left>
      <right style="thin">
        <color rgb="FF8C8C8C"/>
      </right>
      <top style="thin">
        <color rgb="FF8C8C8C"/>
      </top>
      <bottom style="thin">
        <color rgb="FF8C8C8C"/>
      </bottom>
      <diagonal/>
    </border>
    <border diagonalUp="false" diagonalDown="false">
      <left style="thin">
        <color rgb="FF2AABB3"/>
      </left>
      <right style="thin">
        <color rgb="FF2AABB3"/>
      </right>
      <top style="thin">
        <color rgb="FF2AABB3"/>
      </top>
      <bottom style="thin">
        <color rgb="FF2AABB3"/>
      </bottom>
      <diagonal/>
    </border>
    <border diagonalUp="false" diagonalDown="false">
      <left style="thin">
        <color rgb="FFF2F2F2"/>
      </left>
      <right style="thin">
        <color rgb="FFF2F2F2"/>
      </right>
      <top style="thin">
        <color rgb="FFF2F2F2"/>
      </top>
      <bottom style="thin">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0" fillId="4" borderId="3"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3" borderId="3" xfId="0" applyFont="false" applyBorder="true" applyAlignment="false" applyProtection="false">
      <alignment horizontal="general" vertical="bottom" textRotation="0" wrapText="false" indent="0" shrinkToFit="false"/>
      <protection locked="true" hidden="false"/>
    </xf>
    <xf numFmtId="164" fontId="0" fillId="5" borderId="3" xfId="0" applyFont="false" applyBorder="true" applyAlignment="false" applyProtection="false">
      <alignment horizontal="general" vertical="bottom" textRotation="0" wrapText="false" indent="0" shrinkToFit="false"/>
      <protection locked="true" hidden="false"/>
    </xf>
    <xf numFmtId="164" fontId="0" fillId="6" borderId="3" xfId="0" applyFont="false" applyBorder="true" applyAlignment="false" applyProtection="false">
      <alignment horizontal="general" vertical="bottom" textRotation="0" wrapText="false" indent="0" shrinkToFit="false"/>
      <protection locked="true" hidden="false"/>
    </xf>
    <xf numFmtId="164" fontId="0" fillId="7" borderId="3"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top"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5" fillId="4" borderId="4" xfId="0" applyFont="true" applyBorder="true" applyAlignment="true" applyProtection="false">
      <alignment horizontal="right" vertical="center" textRotation="0" wrapText="false" indent="0" shrinkToFit="false"/>
      <protection locked="true" hidden="false"/>
    </xf>
    <xf numFmtId="165" fontId="16" fillId="4" borderId="4" xfId="0" applyFont="true" applyBorder="true" applyAlignment="true" applyProtection="false">
      <alignment horizontal="center" vertical="center" textRotation="0" wrapText="true" indent="0" shrinkToFit="false"/>
      <protection locked="true" hidden="false"/>
    </xf>
    <xf numFmtId="164" fontId="15" fillId="3" borderId="5" xfId="0" applyFont="true" applyBorder="true" applyAlignment="true" applyProtection="false">
      <alignment horizontal="right" vertical="center" textRotation="0" wrapText="false" indent="0" shrinkToFit="false"/>
      <protection locked="true" hidden="false"/>
    </xf>
    <xf numFmtId="165" fontId="16" fillId="3" borderId="5" xfId="0" applyFont="true" applyBorder="true" applyAlignment="true" applyProtection="false">
      <alignment horizontal="center" vertical="center" textRotation="0" wrapText="true" indent="0" shrinkToFit="false"/>
      <protection locked="true" hidden="false"/>
    </xf>
    <xf numFmtId="166" fontId="16" fillId="3" borderId="5"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7" fillId="8" borderId="0"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true" applyAlignment="true" applyProtection="false">
      <alignment horizontal="center" vertical="center" textRotation="0" wrapText="true" indent="0" shrinkToFit="false"/>
      <protection locked="true" hidden="false"/>
    </xf>
    <xf numFmtId="164" fontId="19" fillId="2" borderId="3" xfId="0" applyFont="true" applyBorder="true" applyAlignment="true" applyProtection="false">
      <alignment horizontal="center" vertical="center" textRotation="0" wrapText="true" indent="0" shrinkToFit="false"/>
      <protection locked="true" hidden="false"/>
    </xf>
    <xf numFmtId="164" fontId="13" fillId="4" borderId="3" xfId="0" applyFont="true" applyBorder="true" applyAlignment="true" applyProtection="false">
      <alignment horizontal="center" vertical="center" textRotation="0" wrapText="true" indent="0" shrinkToFit="false"/>
      <protection locked="true" hidden="false"/>
    </xf>
    <xf numFmtId="164" fontId="13" fillId="4" borderId="3" xfId="0" applyFont="true" applyBorder="true" applyAlignment="true" applyProtection="false">
      <alignment horizontal="left" vertical="center" textRotation="0" wrapText="true" indent="0" shrinkToFit="false"/>
      <protection locked="true" hidden="false"/>
    </xf>
    <xf numFmtId="167" fontId="13" fillId="4" borderId="3" xfId="0" applyFont="true" applyBorder="true" applyAlignment="true" applyProtection="false">
      <alignment horizontal="center" vertical="center" textRotation="0" wrapText="true" indent="0" shrinkToFit="false"/>
      <protection locked="true" hidden="false"/>
    </xf>
    <xf numFmtId="164" fontId="13" fillId="3" borderId="3" xfId="0" applyFont="true" applyBorder="true" applyAlignment="true" applyProtection="false">
      <alignment horizontal="center" vertical="center" textRotation="0" wrapText="true" indent="0" shrinkToFit="false"/>
      <protection locked="true" hidden="false"/>
    </xf>
    <xf numFmtId="166" fontId="13" fillId="3" borderId="3"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B2A4A"/>
          <bgColor rgb="FF000000"/>
        </patternFill>
      </fill>
    </dxf>
    <dxf>
      <fill>
        <patternFill patternType="solid">
          <fgColor rgb="FFFFFFFF"/>
          <bgColor rgb="FF000000"/>
        </patternFill>
      </fill>
    </dxf>
    <dxf>
      <font>
        <name val="Calibri"/>
        <charset val="1"/>
        <family val="0"/>
        <b val="1"/>
        <color rgb="FF006100"/>
        <sz val="10"/>
      </font>
      <fill>
        <patternFill>
          <bgColor rgb="FFC6EFCE"/>
        </patternFill>
      </fill>
    </dxf>
    <dxf>
      <fill>
        <patternFill>
          <bgColor rgb="FFC6EFCE"/>
        </patternFill>
      </fill>
    </dxf>
    <dxf>
      <fill>
        <patternFill>
          <bgColor rgb="FFFFEB9C"/>
        </patternFill>
      </fill>
    </dxf>
    <dxf>
      <fill>
        <patternFill>
          <bgColor rgb="FFFFC7CE"/>
        </patternFill>
      </fill>
    </dxf>
    <dxf>
      <font>
        <name val="Calibri"/>
        <charset val="1"/>
        <family val="0"/>
        <b val="1"/>
        <color rgb="FF9C0006"/>
        <sz val="10"/>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fals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fals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fals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80"/>
    <col collapsed="false" customWidth="true" hidden="false" outlineLevel="0" max="6" min="3" style="0" width="18"/>
  </cols>
  <sheetData>
    <row r="1" customFormat="false" ht="18.65" hidden="false" customHeight="true" outlineLevel="0" collapsed="false">
      <c r="A1" s="8" t="s">
        <v>6</v>
      </c>
      <c r="B1" s="8"/>
      <c r="C1" s="8"/>
      <c r="D1" s="8"/>
      <c r="E1" s="8"/>
      <c r="F1" s="8"/>
    </row>
    <row r="3" customFormat="false" ht="15" hidden="false" customHeight="true" outlineLevel="0" collapsed="false">
      <c r="A3" s="9" t="s">
        <v>7</v>
      </c>
      <c r="B3" s="9"/>
      <c r="C3" s="9"/>
      <c r="D3" s="9"/>
      <c r="E3" s="9"/>
      <c r="F3" s="9"/>
    </row>
    <row r="4" customFormat="false" ht="15" hidden="false" customHeight="true" outlineLevel="0" collapsed="false">
      <c r="A4" s="10" t="s">
        <v>8</v>
      </c>
      <c r="B4" s="11" t="s">
        <v>9</v>
      </c>
      <c r="C4" s="11"/>
      <c r="D4" s="11"/>
      <c r="E4" s="11"/>
      <c r="F4" s="11"/>
    </row>
    <row r="5" customFormat="false" ht="15" hidden="false" customHeight="true" outlineLevel="0" collapsed="false">
      <c r="A5" s="10" t="s">
        <v>10</v>
      </c>
      <c r="B5" s="11" t="s">
        <v>11</v>
      </c>
      <c r="C5" s="11"/>
      <c r="D5" s="11"/>
      <c r="E5" s="11"/>
      <c r="F5" s="11"/>
    </row>
    <row r="6" customFormat="false" ht="15" hidden="false" customHeight="true" outlineLevel="0" collapsed="false">
      <c r="A6" s="10" t="s">
        <v>12</v>
      </c>
      <c r="B6" s="11" t="s">
        <v>13</v>
      </c>
      <c r="C6" s="11"/>
      <c r="D6" s="11"/>
      <c r="E6" s="11"/>
      <c r="F6" s="11"/>
    </row>
    <row r="7" customFormat="false" ht="15" hidden="false" customHeight="true" outlineLevel="0" collapsed="false">
      <c r="A7" s="10" t="s">
        <v>14</v>
      </c>
      <c r="B7" s="11" t="s">
        <v>15</v>
      </c>
      <c r="C7" s="11"/>
      <c r="D7" s="11"/>
      <c r="E7" s="11"/>
      <c r="F7" s="11"/>
    </row>
    <row r="8" customFormat="false" ht="15" hidden="false" customHeight="true" outlineLevel="0" collapsed="false">
      <c r="A8" s="10"/>
      <c r="B8" s="11" t="s">
        <v>16</v>
      </c>
      <c r="C8" s="11"/>
      <c r="D8" s="11"/>
      <c r="E8" s="11"/>
      <c r="F8" s="11"/>
    </row>
    <row r="9" customFormat="false" ht="15" hidden="false" customHeight="true" outlineLevel="0" collapsed="false">
      <c r="A9" s="10" t="s">
        <v>17</v>
      </c>
      <c r="B9" s="11" t="s">
        <v>18</v>
      </c>
      <c r="C9" s="11"/>
      <c r="D9" s="11"/>
      <c r="E9" s="11"/>
      <c r="F9" s="11"/>
    </row>
    <row r="10" customFormat="false" ht="15" hidden="false" customHeight="true" outlineLevel="0" collapsed="false">
      <c r="A10" s="10" t="s">
        <v>19</v>
      </c>
      <c r="B10" s="11" t="s">
        <v>20</v>
      </c>
      <c r="C10" s="11"/>
      <c r="D10" s="11"/>
      <c r="E10" s="11"/>
      <c r="F10" s="11"/>
    </row>
    <row r="12" customFormat="false" ht="15" hidden="false" customHeight="true" outlineLevel="0" collapsed="false">
      <c r="A12" s="9" t="s">
        <v>21</v>
      </c>
      <c r="B12" s="9"/>
      <c r="C12" s="9"/>
      <c r="D12" s="9"/>
      <c r="E12" s="9"/>
      <c r="F12" s="9"/>
    </row>
    <row r="13" customFormat="false" ht="15" hidden="false" customHeight="true" outlineLevel="0" collapsed="false">
      <c r="A13" s="10" t="s">
        <v>22</v>
      </c>
      <c r="B13" s="11" t="s">
        <v>23</v>
      </c>
      <c r="C13" s="11"/>
      <c r="D13" s="11"/>
      <c r="E13" s="11"/>
      <c r="F13" s="11"/>
    </row>
    <row r="15" customFormat="false" ht="15" hidden="false" customHeight="true" outlineLevel="0" collapsed="false">
      <c r="A15" s="9" t="s">
        <v>24</v>
      </c>
      <c r="B15" s="9"/>
      <c r="C15" s="9"/>
      <c r="D15" s="9"/>
      <c r="E15" s="9"/>
      <c r="F15" s="9"/>
    </row>
    <row r="16" customFormat="false" ht="15" hidden="false" customHeight="true" outlineLevel="0" collapsed="false">
      <c r="A16" s="10" t="s">
        <v>25</v>
      </c>
      <c r="B16" s="11" t="s">
        <v>26</v>
      </c>
      <c r="C16" s="11"/>
      <c r="D16" s="11"/>
      <c r="E16" s="11"/>
      <c r="F16" s="11"/>
    </row>
    <row r="18" customFormat="false" ht="18.65" hidden="false" customHeight="true" outlineLevel="0" collapsed="false">
      <c r="A18" s="8" t="s">
        <v>27</v>
      </c>
      <c r="B18" s="8"/>
      <c r="C18" s="8"/>
      <c r="D18" s="8"/>
      <c r="E18" s="8"/>
      <c r="F18" s="8"/>
    </row>
    <row r="20" customFormat="false" ht="15" hidden="false" customHeight="false" outlineLevel="0" collapsed="false">
      <c r="A20" s="12"/>
      <c r="B20" s="13" t="s">
        <v>28</v>
      </c>
      <c r="C20" s="13"/>
      <c r="D20" s="14" t="s">
        <v>29</v>
      </c>
      <c r="E20" s="14"/>
      <c r="F20" s="14"/>
    </row>
    <row r="21" customFormat="false" ht="15" hidden="false" customHeight="false" outlineLevel="0" collapsed="false">
      <c r="A21" s="15"/>
      <c r="B21" s="13" t="s">
        <v>30</v>
      </c>
      <c r="C21" s="13"/>
      <c r="D21" s="14" t="s">
        <v>31</v>
      </c>
      <c r="E21" s="14"/>
      <c r="F21" s="14"/>
    </row>
    <row r="22" customFormat="false" ht="15" hidden="false" customHeight="false" outlineLevel="0" collapsed="false">
      <c r="A22" s="16"/>
      <c r="B22" s="13" t="s">
        <v>32</v>
      </c>
      <c r="C22" s="13"/>
      <c r="D22" s="14" t="s">
        <v>33</v>
      </c>
      <c r="E22" s="14"/>
      <c r="F22" s="14"/>
    </row>
    <row r="23" customFormat="false" ht="15" hidden="false" customHeight="false" outlineLevel="0" collapsed="false">
      <c r="A23" s="17"/>
      <c r="B23" s="13" t="s">
        <v>34</v>
      </c>
      <c r="C23" s="13"/>
      <c r="D23" s="14" t="s">
        <v>35</v>
      </c>
      <c r="E23" s="14"/>
      <c r="F23" s="14"/>
    </row>
    <row r="24" customFormat="false" ht="15" hidden="false" customHeight="false" outlineLevel="0" collapsed="false">
      <c r="A24" s="18"/>
      <c r="B24" s="13" t="s">
        <v>36</v>
      </c>
      <c r="C24" s="13"/>
      <c r="D24" s="14" t="s">
        <v>37</v>
      </c>
      <c r="E24" s="14"/>
      <c r="F24" s="14"/>
    </row>
    <row r="25" customFormat="false" ht="15" hidden="false" customHeight="false" outlineLevel="0" collapsed="false">
      <c r="A25" s="19"/>
      <c r="B25" s="13" t="s">
        <v>38</v>
      </c>
      <c r="C25" s="13"/>
      <c r="D25" s="14" t="s">
        <v>39</v>
      </c>
      <c r="E25" s="14"/>
      <c r="F25" s="14"/>
    </row>
    <row r="27" customFormat="false" ht="18.65" hidden="false" customHeight="true" outlineLevel="0" collapsed="false">
      <c r="A27" s="8" t="s">
        <v>40</v>
      </c>
      <c r="B27" s="8"/>
      <c r="C27" s="8"/>
      <c r="D27" s="8"/>
      <c r="E27" s="8"/>
      <c r="F27" s="8"/>
    </row>
    <row r="29" customFormat="false" ht="15" hidden="false" customHeight="true" outlineLevel="0" collapsed="false">
      <c r="A29" s="20" t="s">
        <v>41</v>
      </c>
      <c r="B29" s="11" t="s">
        <v>42</v>
      </c>
      <c r="C29" s="11"/>
      <c r="D29" s="11"/>
      <c r="E29" s="11"/>
      <c r="F29" s="11"/>
    </row>
    <row r="30" customFormat="false" ht="15" hidden="false" customHeight="true" outlineLevel="0" collapsed="false">
      <c r="A30" s="20" t="s">
        <v>43</v>
      </c>
      <c r="B30" s="11" t="s">
        <v>44</v>
      </c>
      <c r="C30" s="11"/>
      <c r="D30" s="11"/>
      <c r="E30" s="11"/>
      <c r="F30" s="11"/>
    </row>
    <row r="31" customFormat="false" ht="15" hidden="false" customHeight="true" outlineLevel="0" collapsed="false">
      <c r="A31" s="20" t="s">
        <v>45</v>
      </c>
      <c r="B31" s="11" t="s">
        <v>46</v>
      </c>
      <c r="C31" s="11"/>
      <c r="D31" s="11"/>
      <c r="E31" s="11"/>
      <c r="F31" s="11"/>
    </row>
    <row r="32" customFormat="false" ht="15" hidden="false" customHeight="true" outlineLevel="0" collapsed="false">
      <c r="A32" s="20" t="s">
        <v>47</v>
      </c>
      <c r="B32" s="11" t="s">
        <v>48</v>
      </c>
      <c r="C32" s="11"/>
      <c r="D32" s="11"/>
      <c r="E32" s="11"/>
      <c r="F32" s="11"/>
    </row>
    <row r="33" customFormat="false" ht="15" hidden="false" customHeight="true" outlineLevel="0" collapsed="false">
      <c r="A33" s="20" t="s">
        <v>49</v>
      </c>
      <c r="B33" s="11" t="s">
        <v>50</v>
      </c>
      <c r="C33" s="11"/>
      <c r="D33" s="11"/>
      <c r="E33" s="11"/>
      <c r="F33" s="11"/>
    </row>
    <row r="35" customFormat="false" ht="18.65" hidden="false" customHeight="true" outlineLevel="0" collapsed="false">
      <c r="A35" s="8" t="s">
        <v>51</v>
      </c>
      <c r="B35" s="8"/>
      <c r="C35" s="8"/>
      <c r="D35" s="8"/>
      <c r="E35" s="8"/>
      <c r="F35" s="8"/>
    </row>
    <row r="37" customFormat="false" ht="15" hidden="false" customHeight="true" outlineLevel="0" collapsed="false">
      <c r="A37" s="10" t="s">
        <v>52</v>
      </c>
      <c r="B37" s="11" t="s">
        <v>53</v>
      </c>
      <c r="C37" s="11"/>
      <c r="D37" s="11"/>
      <c r="E37" s="11"/>
      <c r="F37" s="11"/>
    </row>
    <row r="38" customFormat="false" ht="15" hidden="false" customHeight="true" outlineLevel="0" collapsed="false">
      <c r="A38" s="10" t="s">
        <v>52</v>
      </c>
      <c r="B38" s="11" t="s">
        <v>54</v>
      </c>
      <c r="C38" s="11"/>
      <c r="D38" s="11"/>
      <c r="E38" s="11"/>
      <c r="F38" s="11"/>
    </row>
    <row r="39" customFormat="false" ht="15" hidden="false" customHeight="true" outlineLevel="0" collapsed="false">
      <c r="A39" s="10" t="s">
        <v>52</v>
      </c>
      <c r="B39" s="11" t="s">
        <v>55</v>
      </c>
      <c r="C39" s="11"/>
      <c r="D39" s="11"/>
      <c r="E39" s="11"/>
      <c r="F39" s="11"/>
    </row>
  </sheetData>
  <mergeCells count="36">
    <mergeCell ref="A1:F1"/>
    <mergeCell ref="A3:F3"/>
    <mergeCell ref="B4:F4"/>
    <mergeCell ref="B5:F5"/>
    <mergeCell ref="B6:F6"/>
    <mergeCell ref="B7:F7"/>
    <mergeCell ref="B8:F8"/>
    <mergeCell ref="B9:F9"/>
    <mergeCell ref="B10:F10"/>
    <mergeCell ref="A12:F12"/>
    <mergeCell ref="B13:F13"/>
    <mergeCell ref="A15:F15"/>
    <mergeCell ref="B16:F16"/>
    <mergeCell ref="A18:F18"/>
    <mergeCell ref="B20:C20"/>
    <mergeCell ref="D20:F20"/>
    <mergeCell ref="B21:C21"/>
    <mergeCell ref="D21:F21"/>
    <mergeCell ref="B22:C22"/>
    <mergeCell ref="D22:F22"/>
    <mergeCell ref="B23:C23"/>
    <mergeCell ref="D23:F23"/>
    <mergeCell ref="B24:C24"/>
    <mergeCell ref="D24:F24"/>
    <mergeCell ref="B25:C25"/>
    <mergeCell ref="D25:F25"/>
    <mergeCell ref="A27:F27"/>
    <mergeCell ref="B29:F29"/>
    <mergeCell ref="B30:F30"/>
    <mergeCell ref="B31:F31"/>
    <mergeCell ref="B32:F32"/>
    <mergeCell ref="B33:F33"/>
    <mergeCell ref="A35:F35"/>
    <mergeCell ref="B37:F37"/>
    <mergeCell ref="B38:F38"/>
    <mergeCell ref="B39:F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4"/>
    <col collapsed="false" customWidth="true" hidden="false" outlineLevel="0" max="2" min="2" style="0" width="22"/>
    <col collapsed="false" customWidth="true" hidden="false" outlineLevel="0" max="3" min="3" style="0" width="32"/>
    <col collapsed="false" customWidth="true" hidden="false" outlineLevel="0" max="4" min="4" style="0" width="14"/>
    <col collapsed="false" customWidth="true" hidden="false" outlineLevel="0" max="5" min="5" style="0" width="18"/>
    <col collapsed="false" customWidth="true" hidden="false" outlineLevel="0" max="11" min="6" style="0" width="13"/>
    <col collapsed="false" customWidth="true" hidden="false" outlineLevel="0" max="12" min="12" style="0" width="16"/>
    <col collapsed="false" customWidth="true" hidden="false" outlineLevel="0" max="13" min="13" style="0" width="12"/>
    <col collapsed="false" customWidth="true" hidden="true" outlineLevel="1" max="17" min="14" style="0" width="12"/>
  </cols>
  <sheetData>
    <row r="1" customFormat="false" ht="18.65" hidden="false" customHeight="true" outlineLevel="0" collapsed="false">
      <c r="A1" s="21" t="s">
        <v>56</v>
      </c>
      <c r="B1" s="21"/>
      <c r="C1" s="21"/>
      <c r="D1" s="21"/>
      <c r="E1" s="21"/>
      <c r="F1" s="21"/>
      <c r="G1" s="21"/>
      <c r="H1" s="21"/>
      <c r="I1" s="21"/>
      <c r="J1" s="21"/>
      <c r="K1" s="21"/>
      <c r="L1" s="21"/>
      <c r="M1" s="21"/>
      <c r="N1" s="21"/>
      <c r="O1" s="21"/>
      <c r="P1" s="21"/>
      <c r="Q1" s="21"/>
    </row>
    <row r="3" customFormat="false" ht="15" hidden="false" customHeight="false" outlineLevel="0" collapsed="false">
      <c r="A3" s="22" t="s">
        <v>57</v>
      </c>
      <c r="B3" s="23" t="n">
        <f aca="false">COUNTA(A10:A509)-COUNTBLANK(A10:A509)</f>
        <v>-490</v>
      </c>
      <c r="C3" s="22" t="s">
        <v>58</v>
      </c>
      <c r="D3" s="23" t="n">
        <f aca="false">COUNTIF(L10:L509,"Not Started")</f>
        <v>46</v>
      </c>
      <c r="E3" s="22" t="s">
        <v>59</v>
      </c>
      <c r="F3" s="23" t="n">
        <f aca="false">COUNTIF(L10:L509,"Prepared")</f>
        <v>1</v>
      </c>
      <c r="G3" s="22" t="s">
        <v>60</v>
      </c>
      <c r="H3" s="23" t="n">
        <f aca="false">COUNTIF(L10:L509,"Reviewed")</f>
        <v>1</v>
      </c>
      <c r="I3" s="22" t="s">
        <v>61</v>
      </c>
      <c r="J3" s="23" t="n">
        <f aca="false">COUNTIF(L10:L509,"Tested")</f>
        <v>1</v>
      </c>
      <c r="K3" s="22" t="s">
        <v>62</v>
      </c>
      <c r="L3" s="23" t="n">
        <f aca="false">COUNTIF(L10:L509,"Approved")</f>
        <v>0</v>
      </c>
      <c r="M3" s="3"/>
      <c r="N3" s="3"/>
      <c r="O3" s="3"/>
      <c r="P3" s="3"/>
      <c r="Q3" s="3"/>
    </row>
    <row r="4" customFormat="false" ht="15" hidden="false" customHeight="false" outlineLevel="0" collapsed="false">
      <c r="A4" s="24" t="s">
        <v>63</v>
      </c>
      <c r="B4" s="25" t="n">
        <f aca="false">COUNTIF(L10:L509,"Handed Over")</f>
        <v>1</v>
      </c>
      <c r="C4" s="24" t="s">
        <v>64</v>
      </c>
      <c r="D4" s="26" t="n">
        <f aca="false">IF(B3&gt;0,AVERAGE(M10:M509),0)</f>
        <v>0</v>
      </c>
      <c r="M4" s="3"/>
      <c r="N4" s="3"/>
      <c r="O4" s="3"/>
      <c r="P4" s="3"/>
      <c r="Q4" s="3"/>
    </row>
    <row r="5" customFormat="false" ht="15" hidden="false" customHeight="false" outlineLevel="0" collapsed="false">
      <c r="A5" s="27"/>
      <c r="B5" s="27"/>
      <c r="C5" s="27"/>
      <c r="D5" s="27"/>
      <c r="E5" s="27"/>
      <c r="F5" s="27"/>
      <c r="G5" s="27"/>
      <c r="H5" s="27"/>
      <c r="I5" s="27"/>
      <c r="J5" s="27"/>
      <c r="K5" s="27"/>
      <c r="L5" s="27"/>
      <c r="M5" s="27"/>
      <c r="N5" s="27"/>
      <c r="O5" s="27"/>
      <c r="P5" s="27"/>
      <c r="Q5" s="27"/>
    </row>
    <row r="8" customFormat="false" ht="32.8" hidden="false" customHeight="true" outlineLevel="0" collapsed="false">
      <c r="F8" s="28" t="s">
        <v>65</v>
      </c>
      <c r="G8" s="28"/>
      <c r="H8" s="28"/>
      <c r="I8" s="28"/>
      <c r="J8" s="28"/>
      <c r="K8" s="28"/>
      <c r="N8" s="29" t="s">
        <v>66</v>
      </c>
      <c r="O8" s="29"/>
      <c r="P8" s="29"/>
      <c r="Q8" s="29"/>
    </row>
    <row r="9" customFormat="false" ht="28.35" hidden="false" customHeight="false" outlineLevel="0" collapsed="false">
      <c r="A9" s="30" t="s">
        <v>67</v>
      </c>
      <c r="B9" s="30" t="s">
        <v>68</v>
      </c>
      <c r="C9" s="30" t="s">
        <v>69</v>
      </c>
      <c r="D9" s="30" t="s">
        <v>70</v>
      </c>
      <c r="E9" s="30" t="s">
        <v>71</v>
      </c>
      <c r="F9" s="30" t="s">
        <v>72</v>
      </c>
      <c r="G9" s="30" t="s">
        <v>73</v>
      </c>
      <c r="H9" s="30" t="s">
        <v>74</v>
      </c>
      <c r="I9" s="30" t="s">
        <v>75</v>
      </c>
      <c r="J9" s="30" t="s">
        <v>76</v>
      </c>
      <c r="K9" s="30" t="s">
        <v>77</v>
      </c>
      <c r="L9" s="30" t="s">
        <v>78</v>
      </c>
      <c r="M9" s="30" t="s">
        <v>79</v>
      </c>
      <c r="N9" s="30" t="s">
        <v>80</v>
      </c>
      <c r="O9" s="30" t="s">
        <v>81</v>
      </c>
      <c r="P9" s="30" t="s">
        <v>82</v>
      </c>
      <c r="Q9" s="30" t="s">
        <v>83</v>
      </c>
    </row>
    <row r="10" customFormat="false" ht="23.85" hidden="false" customHeight="false" outlineLevel="0" collapsed="false">
      <c r="A10" s="31" t="s">
        <v>84</v>
      </c>
      <c r="B10" s="31" t="s">
        <v>85</v>
      </c>
      <c r="C10" s="32" t="s">
        <v>86</v>
      </c>
      <c r="D10" s="31" t="s">
        <v>87</v>
      </c>
      <c r="E10" s="31" t="s">
        <v>88</v>
      </c>
      <c r="F10" s="33" t="n">
        <v>46075</v>
      </c>
      <c r="G10" s="33" t="n">
        <v>46082</v>
      </c>
      <c r="H10" s="33" t="n">
        <v>46089</v>
      </c>
      <c r="I10" s="33" t="n">
        <v>46096</v>
      </c>
      <c r="J10" s="33" t="n">
        <v>46101</v>
      </c>
      <c r="K10" s="33" t="n">
        <v>46098</v>
      </c>
      <c r="L10" s="34" t="str">
        <f aca="false">IF(J10&lt;&gt;"","Handed Over",IF(I10&lt;&gt;"","Approved",IF(H10&lt;&gt;"","Tested",IF(G10&lt;&gt;"","Reviewed",IF(F10&lt;&gt;"","Prepared","Not Started")))))</f>
        <v>Handed Over</v>
      </c>
      <c r="M10" s="35" t="n">
        <f aca="false">IF(A10="","",(IF(F10&lt;&gt;"",20%,0%)+IF(G10&lt;&gt;"",20%,0%)+IF(H10&lt;&gt;"",20%,0%)+IF(I10&lt;&gt;"",20%,0%)+IF(J10&lt;&gt;"",20%,0%)))</f>
        <v>1</v>
      </c>
      <c r="N10" s="31" t="n">
        <v>0</v>
      </c>
      <c r="O10" s="31" t="s">
        <v>89</v>
      </c>
      <c r="P10" s="31" t="s">
        <v>90</v>
      </c>
      <c r="Q10" s="32"/>
    </row>
    <row r="11" customFormat="false" ht="23.85" hidden="false" customHeight="false" outlineLevel="0" collapsed="false">
      <c r="A11" s="31" t="s">
        <v>91</v>
      </c>
      <c r="B11" s="31" t="s">
        <v>92</v>
      </c>
      <c r="C11" s="32" t="s">
        <v>93</v>
      </c>
      <c r="D11" s="31" t="s">
        <v>94</v>
      </c>
      <c r="E11" s="31" t="s">
        <v>95</v>
      </c>
      <c r="F11" s="33" t="n">
        <v>46082</v>
      </c>
      <c r="G11" s="33" t="n">
        <v>46089</v>
      </c>
      <c r="H11" s="33" t="n">
        <v>46096</v>
      </c>
      <c r="I11" s="33"/>
      <c r="J11" s="33"/>
      <c r="K11" s="33" t="n">
        <v>46110</v>
      </c>
      <c r="L11" s="34" t="str">
        <f aca="false">IF(J11&lt;&gt;"","Handed Over",IF(I11&lt;&gt;"","Approved",IF(H11&lt;&gt;"","Tested",IF(G11&lt;&gt;"","Reviewed",IF(F11&lt;&gt;"","Prepared","Not Started")))))</f>
        <v>Tested</v>
      </c>
      <c r="M11" s="35" t="n">
        <f aca="false">IF(A11="","",(IF(F11&lt;&gt;"",20%,0%)+IF(G11&lt;&gt;"",20%,0%)+IF(H11&lt;&gt;"",20%,0%)+IF(I11&lt;&gt;"",20%,0%)+IF(J11&lt;&gt;"",20%,0%)))</f>
        <v>0.6</v>
      </c>
      <c r="N11" s="31" t="n">
        <v>2</v>
      </c>
      <c r="O11" s="31" t="s">
        <v>96</v>
      </c>
      <c r="P11" s="31"/>
      <c r="Q11" s="32" t="s">
        <v>97</v>
      </c>
    </row>
    <row r="12" customFormat="false" ht="23.85" hidden="false" customHeight="false" outlineLevel="0" collapsed="false">
      <c r="A12" s="31" t="s">
        <v>98</v>
      </c>
      <c r="B12" s="31" t="s">
        <v>99</v>
      </c>
      <c r="C12" s="32" t="s">
        <v>100</v>
      </c>
      <c r="D12" s="31" t="s">
        <v>101</v>
      </c>
      <c r="E12" s="31" t="s">
        <v>102</v>
      </c>
      <c r="F12" s="33" t="n">
        <v>46089</v>
      </c>
      <c r="G12" s="33" t="n">
        <v>46096</v>
      </c>
      <c r="H12" s="33"/>
      <c r="I12" s="33"/>
      <c r="J12" s="33"/>
      <c r="K12" s="33" t="n">
        <v>46117</v>
      </c>
      <c r="L12" s="34" t="str">
        <f aca="false">IF(J12&lt;&gt;"","Handed Over",IF(I12&lt;&gt;"","Approved",IF(H12&lt;&gt;"","Tested",IF(G12&lt;&gt;"","Reviewed",IF(F12&lt;&gt;"","Prepared","Not Started")))))</f>
        <v>Reviewed</v>
      </c>
      <c r="M12" s="35" t="n">
        <f aca="false">IF(A12="","",(IF(F12&lt;&gt;"",20%,0%)+IF(G12&lt;&gt;"",20%,0%)+IF(H12&lt;&gt;"",20%,0%)+IF(I12&lt;&gt;"",20%,0%)+IF(J12&lt;&gt;"",20%,0%)))</f>
        <v>0.4</v>
      </c>
      <c r="N12" s="31" t="n">
        <v>1</v>
      </c>
      <c r="O12" s="31" t="s">
        <v>96</v>
      </c>
      <c r="P12" s="31"/>
      <c r="Q12" s="32"/>
    </row>
    <row r="13" customFormat="false" ht="35.05" hidden="false" customHeight="false" outlineLevel="0" collapsed="false">
      <c r="A13" s="31" t="s">
        <v>103</v>
      </c>
      <c r="B13" s="31" t="s">
        <v>104</v>
      </c>
      <c r="C13" s="32" t="s">
        <v>105</v>
      </c>
      <c r="D13" s="31" t="s">
        <v>87</v>
      </c>
      <c r="E13" s="31" t="s">
        <v>88</v>
      </c>
      <c r="F13" s="33" t="n">
        <v>46096</v>
      </c>
      <c r="G13" s="33"/>
      <c r="H13" s="33"/>
      <c r="I13" s="33"/>
      <c r="J13" s="33"/>
      <c r="K13" s="33" t="n">
        <v>46124</v>
      </c>
      <c r="L13" s="34" t="str">
        <f aca="false">IF(J13&lt;&gt;"","Handed Over",IF(I13&lt;&gt;"","Approved",IF(H13&lt;&gt;"","Tested",IF(G13&lt;&gt;"","Reviewed",IF(F13&lt;&gt;"","Prepared","Not Started")))))</f>
        <v>Prepared</v>
      </c>
      <c r="M13" s="35" t="n">
        <f aca="false">IF(A13="","",(IF(F13&lt;&gt;"",20%,0%)+IF(G13&lt;&gt;"",20%,0%)+IF(H13&lt;&gt;"",20%,0%)+IF(I13&lt;&gt;"",20%,0%)+IF(J13&lt;&gt;"",20%,0%)))</f>
        <v>0.2</v>
      </c>
      <c r="N13" s="31" t="n">
        <v>0</v>
      </c>
      <c r="O13" s="31" t="s">
        <v>89</v>
      </c>
      <c r="P13" s="31"/>
      <c r="Q13" s="32" t="s">
        <v>106</v>
      </c>
    </row>
    <row r="14" customFormat="false" ht="23.85" hidden="false" customHeight="false" outlineLevel="0" collapsed="false">
      <c r="A14" s="31" t="s">
        <v>107</v>
      </c>
      <c r="B14" s="31" t="s">
        <v>108</v>
      </c>
      <c r="C14" s="32" t="s">
        <v>109</v>
      </c>
      <c r="D14" s="31" t="s">
        <v>110</v>
      </c>
      <c r="E14" s="31" t="s">
        <v>111</v>
      </c>
      <c r="F14" s="33"/>
      <c r="G14" s="33"/>
      <c r="H14" s="33"/>
      <c r="I14" s="33"/>
      <c r="J14" s="33"/>
      <c r="K14" s="33" t="n">
        <v>46131</v>
      </c>
      <c r="L14" s="34" t="str">
        <f aca="false">IF(J14&lt;&gt;"","Handed Over",IF(I14&lt;&gt;"","Approved",IF(H14&lt;&gt;"","Tested",IF(G14&lt;&gt;"","Reviewed",IF(F14&lt;&gt;"","Prepared","Not Started")))))</f>
        <v>Not Started</v>
      </c>
      <c r="M14" s="35" t="n">
        <f aca="false">IF(A14="","",(IF(F14&lt;&gt;"",20%,0%)+IF(G14&lt;&gt;"",20%,0%)+IF(H14&lt;&gt;"",20%,0%)+IF(I14&lt;&gt;"",20%,0%)+IF(J14&lt;&gt;"",20%,0%)))</f>
        <v>0</v>
      </c>
      <c r="N14" s="31" t="n">
        <v>0</v>
      </c>
      <c r="O14" s="31" t="s">
        <v>89</v>
      </c>
      <c r="P14" s="31"/>
      <c r="Q14" s="32" t="s">
        <v>112</v>
      </c>
    </row>
    <row r="15" customFormat="false" ht="15" hidden="false" customHeight="false" outlineLevel="0" collapsed="false">
      <c r="A15" s="31"/>
      <c r="B15" s="31"/>
      <c r="C15" s="32"/>
      <c r="D15" s="31"/>
      <c r="E15" s="31"/>
      <c r="F15" s="33"/>
      <c r="G15" s="33"/>
      <c r="H15" s="33"/>
      <c r="I15" s="33"/>
      <c r="J15" s="33"/>
      <c r="K15" s="33"/>
      <c r="L15" s="34" t="str">
        <f aca="false">IF(J15&lt;&gt;"","Handed Over",IF(I15&lt;&gt;"","Approved",IF(H15&lt;&gt;"","Tested",IF(G15&lt;&gt;"","Reviewed",IF(F15&lt;&gt;"","Prepared","Not Started")))))</f>
        <v>Not Started</v>
      </c>
      <c r="M15" s="35" t="str">
        <f aca="false">IF(A15="","",(IF(F15&lt;&gt;"",20%,0%)+IF(G15&lt;&gt;"",20%,0%)+IF(H15&lt;&gt;"",20%,0%)+IF(I15&lt;&gt;"",20%,0%)+IF(J15&lt;&gt;"",20%,0%)))</f>
        <v/>
      </c>
      <c r="N15" s="31"/>
      <c r="O15" s="31"/>
      <c r="P15" s="31"/>
      <c r="Q15" s="32"/>
    </row>
    <row r="16" customFormat="false" ht="15" hidden="false" customHeight="false" outlineLevel="0" collapsed="false">
      <c r="A16" s="31"/>
      <c r="B16" s="31"/>
      <c r="C16" s="32"/>
      <c r="D16" s="31"/>
      <c r="E16" s="31"/>
      <c r="F16" s="33"/>
      <c r="G16" s="33"/>
      <c r="H16" s="33"/>
      <c r="I16" s="33"/>
      <c r="J16" s="33"/>
      <c r="K16" s="33"/>
      <c r="L16" s="34" t="str">
        <f aca="false">IF(J16&lt;&gt;"","Handed Over",IF(I16&lt;&gt;"","Approved",IF(H16&lt;&gt;"","Tested",IF(G16&lt;&gt;"","Reviewed",IF(F16&lt;&gt;"","Prepared","Not Started")))))</f>
        <v>Not Started</v>
      </c>
      <c r="M16" s="35" t="str">
        <f aca="false">IF(A16="","",(IF(F16&lt;&gt;"",20%,0%)+IF(G16&lt;&gt;"",20%,0%)+IF(H16&lt;&gt;"",20%,0%)+IF(I16&lt;&gt;"",20%,0%)+IF(J16&lt;&gt;"",20%,0%)))</f>
        <v/>
      </c>
      <c r="N16" s="31"/>
      <c r="O16" s="31"/>
      <c r="P16" s="31"/>
      <c r="Q16" s="32"/>
    </row>
    <row r="17" customFormat="false" ht="15" hidden="false" customHeight="false" outlineLevel="0" collapsed="false">
      <c r="A17" s="31"/>
      <c r="B17" s="31"/>
      <c r="C17" s="32"/>
      <c r="D17" s="31"/>
      <c r="E17" s="31"/>
      <c r="F17" s="33"/>
      <c r="G17" s="33"/>
      <c r="H17" s="33"/>
      <c r="I17" s="33"/>
      <c r="J17" s="33"/>
      <c r="K17" s="33"/>
      <c r="L17" s="34" t="str">
        <f aca="false">IF(J17&lt;&gt;"","Handed Over",IF(I17&lt;&gt;"","Approved",IF(H17&lt;&gt;"","Tested",IF(G17&lt;&gt;"","Reviewed",IF(F17&lt;&gt;"","Prepared","Not Started")))))</f>
        <v>Not Started</v>
      </c>
      <c r="M17" s="35" t="str">
        <f aca="false">IF(A17="","",(IF(F17&lt;&gt;"",20%,0%)+IF(G17&lt;&gt;"",20%,0%)+IF(H17&lt;&gt;"",20%,0%)+IF(I17&lt;&gt;"",20%,0%)+IF(J17&lt;&gt;"",20%,0%)))</f>
        <v/>
      </c>
      <c r="N17" s="31"/>
      <c r="O17" s="31"/>
      <c r="P17" s="31"/>
      <c r="Q17" s="32"/>
    </row>
    <row r="18" customFormat="false" ht="15" hidden="false" customHeight="false" outlineLevel="0" collapsed="false">
      <c r="A18" s="31"/>
      <c r="B18" s="31"/>
      <c r="C18" s="32"/>
      <c r="D18" s="31"/>
      <c r="E18" s="31"/>
      <c r="F18" s="33"/>
      <c r="G18" s="33"/>
      <c r="H18" s="33"/>
      <c r="I18" s="33"/>
      <c r="J18" s="33"/>
      <c r="K18" s="33"/>
      <c r="L18" s="34" t="str">
        <f aca="false">IF(J18&lt;&gt;"","Handed Over",IF(I18&lt;&gt;"","Approved",IF(H18&lt;&gt;"","Tested",IF(G18&lt;&gt;"","Reviewed",IF(F18&lt;&gt;"","Prepared","Not Started")))))</f>
        <v>Not Started</v>
      </c>
      <c r="M18" s="35" t="str">
        <f aca="false">IF(A18="","",(IF(F18&lt;&gt;"",20%,0%)+IF(G18&lt;&gt;"",20%,0%)+IF(H18&lt;&gt;"",20%,0%)+IF(I18&lt;&gt;"",20%,0%)+IF(J18&lt;&gt;"",20%,0%)))</f>
        <v/>
      </c>
      <c r="N18" s="31"/>
      <c r="O18" s="31"/>
      <c r="P18" s="31"/>
      <c r="Q18" s="32"/>
    </row>
    <row r="19" customFormat="false" ht="15" hidden="false" customHeight="false" outlineLevel="0" collapsed="false">
      <c r="A19" s="31"/>
      <c r="B19" s="31"/>
      <c r="C19" s="32"/>
      <c r="D19" s="31"/>
      <c r="E19" s="31"/>
      <c r="F19" s="33"/>
      <c r="G19" s="33"/>
      <c r="H19" s="33"/>
      <c r="I19" s="33"/>
      <c r="J19" s="33"/>
      <c r="K19" s="33"/>
      <c r="L19" s="34" t="str">
        <f aca="false">IF(J19&lt;&gt;"","Handed Over",IF(I19&lt;&gt;"","Approved",IF(H19&lt;&gt;"","Tested",IF(G19&lt;&gt;"","Reviewed",IF(F19&lt;&gt;"","Prepared","Not Started")))))</f>
        <v>Not Started</v>
      </c>
      <c r="M19" s="35" t="str">
        <f aca="false">IF(A19="","",(IF(F19&lt;&gt;"",20%,0%)+IF(G19&lt;&gt;"",20%,0%)+IF(H19&lt;&gt;"",20%,0%)+IF(I19&lt;&gt;"",20%,0%)+IF(J19&lt;&gt;"",20%,0%)))</f>
        <v/>
      </c>
      <c r="N19" s="31"/>
      <c r="O19" s="31"/>
      <c r="P19" s="31"/>
      <c r="Q19" s="32"/>
    </row>
    <row r="20" customFormat="false" ht="15" hidden="false" customHeight="false" outlineLevel="0" collapsed="false">
      <c r="A20" s="31"/>
      <c r="B20" s="31"/>
      <c r="C20" s="32"/>
      <c r="D20" s="31"/>
      <c r="E20" s="31"/>
      <c r="F20" s="33"/>
      <c r="G20" s="33"/>
      <c r="H20" s="33"/>
      <c r="I20" s="33"/>
      <c r="J20" s="33"/>
      <c r="K20" s="33"/>
      <c r="L20" s="34" t="str">
        <f aca="false">IF(J20&lt;&gt;"","Handed Over",IF(I20&lt;&gt;"","Approved",IF(H20&lt;&gt;"","Tested",IF(G20&lt;&gt;"","Reviewed",IF(F20&lt;&gt;"","Prepared","Not Started")))))</f>
        <v>Not Started</v>
      </c>
      <c r="M20" s="35" t="str">
        <f aca="false">IF(A20="","",(IF(F20&lt;&gt;"",20%,0%)+IF(G20&lt;&gt;"",20%,0%)+IF(H20&lt;&gt;"",20%,0%)+IF(I20&lt;&gt;"",20%,0%)+IF(J20&lt;&gt;"",20%,0%)))</f>
        <v/>
      </c>
      <c r="N20" s="31"/>
      <c r="O20" s="31"/>
      <c r="P20" s="31"/>
      <c r="Q20" s="32"/>
    </row>
    <row r="21" customFormat="false" ht="15" hidden="false" customHeight="false" outlineLevel="0" collapsed="false">
      <c r="A21" s="31"/>
      <c r="B21" s="31"/>
      <c r="C21" s="32"/>
      <c r="D21" s="31"/>
      <c r="E21" s="31"/>
      <c r="F21" s="33"/>
      <c r="G21" s="33"/>
      <c r="H21" s="33"/>
      <c r="I21" s="33"/>
      <c r="J21" s="33"/>
      <c r="K21" s="33"/>
      <c r="L21" s="34" t="str">
        <f aca="false">IF(J21&lt;&gt;"","Handed Over",IF(I21&lt;&gt;"","Approved",IF(H21&lt;&gt;"","Tested",IF(G21&lt;&gt;"","Reviewed",IF(F21&lt;&gt;"","Prepared","Not Started")))))</f>
        <v>Not Started</v>
      </c>
      <c r="M21" s="35" t="str">
        <f aca="false">IF(A21="","",(IF(F21&lt;&gt;"",20%,0%)+IF(G21&lt;&gt;"",20%,0%)+IF(H21&lt;&gt;"",20%,0%)+IF(I21&lt;&gt;"",20%,0%)+IF(J21&lt;&gt;"",20%,0%)))</f>
        <v/>
      </c>
      <c r="N21" s="31"/>
      <c r="O21" s="31"/>
      <c r="P21" s="31"/>
      <c r="Q21" s="32"/>
    </row>
    <row r="22" customFormat="false" ht="15" hidden="false" customHeight="false" outlineLevel="0" collapsed="false">
      <c r="A22" s="31"/>
      <c r="B22" s="31"/>
      <c r="C22" s="32"/>
      <c r="D22" s="31"/>
      <c r="E22" s="31"/>
      <c r="F22" s="33"/>
      <c r="G22" s="33"/>
      <c r="H22" s="33"/>
      <c r="I22" s="33"/>
      <c r="J22" s="33"/>
      <c r="K22" s="33"/>
      <c r="L22" s="34" t="str">
        <f aca="false">IF(J22&lt;&gt;"","Handed Over",IF(I22&lt;&gt;"","Approved",IF(H22&lt;&gt;"","Tested",IF(G22&lt;&gt;"","Reviewed",IF(F22&lt;&gt;"","Prepared","Not Started")))))</f>
        <v>Not Started</v>
      </c>
      <c r="M22" s="35" t="str">
        <f aca="false">IF(A22="","",(IF(F22&lt;&gt;"",20%,0%)+IF(G22&lt;&gt;"",20%,0%)+IF(H22&lt;&gt;"",20%,0%)+IF(I22&lt;&gt;"",20%,0%)+IF(J22&lt;&gt;"",20%,0%)))</f>
        <v/>
      </c>
      <c r="N22" s="31"/>
      <c r="O22" s="31"/>
      <c r="P22" s="31"/>
      <c r="Q22" s="32"/>
    </row>
    <row r="23" customFormat="false" ht="15" hidden="false" customHeight="false" outlineLevel="0" collapsed="false">
      <c r="A23" s="31"/>
      <c r="B23" s="31"/>
      <c r="C23" s="32"/>
      <c r="D23" s="31"/>
      <c r="E23" s="31"/>
      <c r="F23" s="33"/>
      <c r="G23" s="33"/>
      <c r="H23" s="33"/>
      <c r="I23" s="33"/>
      <c r="J23" s="33"/>
      <c r="K23" s="33"/>
      <c r="L23" s="34" t="str">
        <f aca="false">IF(J23&lt;&gt;"","Handed Over",IF(I23&lt;&gt;"","Approved",IF(H23&lt;&gt;"","Tested",IF(G23&lt;&gt;"","Reviewed",IF(F23&lt;&gt;"","Prepared","Not Started")))))</f>
        <v>Not Started</v>
      </c>
      <c r="M23" s="35" t="str">
        <f aca="false">IF(A23="","",(IF(F23&lt;&gt;"",20%,0%)+IF(G23&lt;&gt;"",20%,0%)+IF(H23&lt;&gt;"",20%,0%)+IF(I23&lt;&gt;"",20%,0%)+IF(J23&lt;&gt;"",20%,0%)))</f>
        <v/>
      </c>
      <c r="N23" s="31"/>
      <c r="O23" s="31"/>
      <c r="P23" s="31"/>
      <c r="Q23" s="32"/>
    </row>
    <row r="24" customFormat="false" ht="15" hidden="false" customHeight="false" outlineLevel="0" collapsed="false">
      <c r="A24" s="31"/>
      <c r="B24" s="31"/>
      <c r="C24" s="32"/>
      <c r="D24" s="31"/>
      <c r="E24" s="31"/>
      <c r="F24" s="33"/>
      <c r="G24" s="33"/>
      <c r="H24" s="33"/>
      <c r="I24" s="33"/>
      <c r="J24" s="33"/>
      <c r="K24" s="33"/>
      <c r="L24" s="34" t="str">
        <f aca="false">IF(J24&lt;&gt;"","Handed Over",IF(I24&lt;&gt;"","Approved",IF(H24&lt;&gt;"","Tested",IF(G24&lt;&gt;"","Reviewed",IF(F24&lt;&gt;"","Prepared","Not Started")))))</f>
        <v>Not Started</v>
      </c>
      <c r="M24" s="35" t="str">
        <f aca="false">IF(A24="","",(IF(F24&lt;&gt;"",20%,0%)+IF(G24&lt;&gt;"",20%,0%)+IF(H24&lt;&gt;"",20%,0%)+IF(I24&lt;&gt;"",20%,0%)+IF(J24&lt;&gt;"",20%,0%)))</f>
        <v/>
      </c>
      <c r="N24" s="31"/>
      <c r="O24" s="31"/>
      <c r="P24" s="31"/>
      <c r="Q24" s="32"/>
    </row>
    <row r="25" customFormat="false" ht="15" hidden="false" customHeight="false" outlineLevel="0" collapsed="false">
      <c r="A25" s="31"/>
      <c r="B25" s="31"/>
      <c r="C25" s="32"/>
      <c r="D25" s="31"/>
      <c r="E25" s="31"/>
      <c r="F25" s="33"/>
      <c r="G25" s="33"/>
      <c r="H25" s="33"/>
      <c r="I25" s="33"/>
      <c r="J25" s="33"/>
      <c r="K25" s="33"/>
      <c r="L25" s="34" t="str">
        <f aca="false">IF(J25&lt;&gt;"","Handed Over",IF(I25&lt;&gt;"","Approved",IF(H25&lt;&gt;"","Tested",IF(G25&lt;&gt;"","Reviewed",IF(F25&lt;&gt;"","Prepared","Not Started")))))</f>
        <v>Not Started</v>
      </c>
      <c r="M25" s="35" t="str">
        <f aca="false">IF(A25="","",(IF(F25&lt;&gt;"",20%,0%)+IF(G25&lt;&gt;"",20%,0%)+IF(H25&lt;&gt;"",20%,0%)+IF(I25&lt;&gt;"",20%,0%)+IF(J25&lt;&gt;"",20%,0%)))</f>
        <v/>
      </c>
      <c r="N25" s="31"/>
      <c r="O25" s="31"/>
      <c r="P25" s="31"/>
      <c r="Q25" s="32"/>
    </row>
    <row r="26" customFormat="false" ht="15" hidden="false" customHeight="false" outlineLevel="0" collapsed="false">
      <c r="A26" s="31"/>
      <c r="B26" s="31"/>
      <c r="C26" s="32"/>
      <c r="D26" s="31"/>
      <c r="E26" s="31"/>
      <c r="F26" s="33"/>
      <c r="G26" s="33"/>
      <c r="H26" s="33"/>
      <c r="I26" s="33"/>
      <c r="J26" s="33"/>
      <c r="K26" s="33"/>
      <c r="L26" s="34" t="str">
        <f aca="false">IF(J26&lt;&gt;"","Handed Over",IF(I26&lt;&gt;"","Approved",IF(H26&lt;&gt;"","Tested",IF(G26&lt;&gt;"","Reviewed",IF(F26&lt;&gt;"","Prepared","Not Started")))))</f>
        <v>Not Started</v>
      </c>
      <c r="M26" s="35" t="str">
        <f aca="false">IF(A26="","",(IF(F26&lt;&gt;"",20%,0%)+IF(G26&lt;&gt;"",20%,0%)+IF(H26&lt;&gt;"",20%,0%)+IF(I26&lt;&gt;"",20%,0%)+IF(J26&lt;&gt;"",20%,0%)))</f>
        <v/>
      </c>
      <c r="N26" s="31"/>
      <c r="O26" s="31"/>
      <c r="P26" s="31"/>
      <c r="Q26" s="32"/>
    </row>
    <row r="27" customFormat="false" ht="15" hidden="false" customHeight="false" outlineLevel="0" collapsed="false">
      <c r="A27" s="31"/>
      <c r="B27" s="31"/>
      <c r="C27" s="32"/>
      <c r="D27" s="31"/>
      <c r="E27" s="31"/>
      <c r="F27" s="33"/>
      <c r="G27" s="33"/>
      <c r="H27" s="33"/>
      <c r="I27" s="33"/>
      <c r="J27" s="33"/>
      <c r="K27" s="33"/>
      <c r="L27" s="34" t="str">
        <f aca="false">IF(J27&lt;&gt;"","Handed Over",IF(I27&lt;&gt;"","Approved",IF(H27&lt;&gt;"","Tested",IF(G27&lt;&gt;"","Reviewed",IF(F27&lt;&gt;"","Prepared","Not Started")))))</f>
        <v>Not Started</v>
      </c>
      <c r="M27" s="35" t="str">
        <f aca="false">IF(A27="","",(IF(F27&lt;&gt;"",20%,0%)+IF(G27&lt;&gt;"",20%,0%)+IF(H27&lt;&gt;"",20%,0%)+IF(I27&lt;&gt;"",20%,0%)+IF(J27&lt;&gt;"",20%,0%)))</f>
        <v/>
      </c>
      <c r="N27" s="31"/>
      <c r="O27" s="31"/>
      <c r="P27" s="31"/>
      <c r="Q27" s="32"/>
    </row>
    <row r="28" customFormat="false" ht="15" hidden="false" customHeight="false" outlineLevel="0" collapsed="false">
      <c r="A28" s="31"/>
      <c r="B28" s="31"/>
      <c r="C28" s="32"/>
      <c r="D28" s="31"/>
      <c r="E28" s="31"/>
      <c r="F28" s="33"/>
      <c r="G28" s="33"/>
      <c r="H28" s="33"/>
      <c r="I28" s="33"/>
      <c r="J28" s="33"/>
      <c r="K28" s="33"/>
      <c r="L28" s="34" t="str">
        <f aca="false">IF(J28&lt;&gt;"","Handed Over",IF(I28&lt;&gt;"","Approved",IF(H28&lt;&gt;"","Tested",IF(G28&lt;&gt;"","Reviewed",IF(F28&lt;&gt;"","Prepared","Not Started")))))</f>
        <v>Not Started</v>
      </c>
      <c r="M28" s="35" t="str">
        <f aca="false">IF(A28="","",(IF(F28&lt;&gt;"",20%,0%)+IF(G28&lt;&gt;"",20%,0%)+IF(H28&lt;&gt;"",20%,0%)+IF(I28&lt;&gt;"",20%,0%)+IF(J28&lt;&gt;"",20%,0%)))</f>
        <v/>
      </c>
      <c r="N28" s="31"/>
      <c r="O28" s="31"/>
      <c r="P28" s="31"/>
      <c r="Q28" s="32"/>
    </row>
    <row r="29" customFormat="false" ht="15" hidden="false" customHeight="false" outlineLevel="0" collapsed="false">
      <c r="A29" s="31"/>
      <c r="B29" s="31"/>
      <c r="C29" s="32"/>
      <c r="D29" s="31"/>
      <c r="E29" s="31"/>
      <c r="F29" s="33"/>
      <c r="G29" s="33"/>
      <c r="H29" s="33"/>
      <c r="I29" s="33"/>
      <c r="J29" s="33"/>
      <c r="K29" s="33"/>
      <c r="L29" s="34" t="str">
        <f aca="false">IF(J29&lt;&gt;"","Handed Over",IF(I29&lt;&gt;"","Approved",IF(H29&lt;&gt;"","Tested",IF(G29&lt;&gt;"","Reviewed",IF(F29&lt;&gt;"","Prepared","Not Started")))))</f>
        <v>Not Started</v>
      </c>
      <c r="M29" s="35" t="str">
        <f aca="false">IF(A29="","",(IF(F29&lt;&gt;"",20%,0%)+IF(G29&lt;&gt;"",20%,0%)+IF(H29&lt;&gt;"",20%,0%)+IF(I29&lt;&gt;"",20%,0%)+IF(J29&lt;&gt;"",20%,0%)))</f>
        <v/>
      </c>
      <c r="N29" s="31"/>
      <c r="O29" s="31"/>
      <c r="P29" s="31"/>
      <c r="Q29" s="32"/>
    </row>
    <row r="30" customFormat="false" ht="15" hidden="false" customHeight="false" outlineLevel="0" collapsed="false">
      <c r="A30" s="31"/>
      <c r="B30" s="31"/>
      <c r="C30" s="32"/>
      <c r="D30" s="31"/>
      <c r="E30" s="31"/>
      <c r="F30" s="33"/>
      <c r="G30" s="33"/>
      <c r="H30" s="33"/>
      <c r="I30" s="33"/>
      <c r="J30" s="33"/>
      <c r="K30" s="33"/>
      <c r="L30" s="34" t="str">
        <f aca="false">IF(J30&lt;&gt;"","Handed Over",IF(I30&lt;&gt;"","Approved",IF(H30&lt;&gt;"","Tested",IF(G30&lt;&gt;"","Reviewed",IF(F30&lt;&gt;"","Prepared","Not Started")))))</f>
        <v>Not Started</v>
      </c>
      <c r="M30" s="35" t="str">
        <f aca="false">IF(A30="","",(IF(F30&lt;&gt;"",20%,0%)+IF(G30&lt;&gt;"",20%,0%)+IF(H30&lt;&gt;"",20%,0%)+IF(I30&lt;&gt;"",20%,0%)+IF(J30&lt;&gt;"",20%,0%)))</f>
        <v/>
      </c>
      <c r="N30" s="31"/>
      <c r="O30" s="31"/>
      <c r="P30" s="31"/>
      <c r="Q30" s="32"/>
    </row>
    <row r="31" customFormat="false" ht="15" hidden="false" customHeight="false" outlineLevel="0" collapsed="false">
      <c r="A31" s="31"/>
      <c r="B31" s="31"/>
      <c r="C31" s="32"/>
      <c r="D31" s="31"/>
      <c r="E31" s="31"/>
      <c r="F31" s="33"/>
      <c r="G31" s="33"/>
      <c r="H31" s="33"/>
      <c r="I31" s="33"/>
      <c r="J31" s="33"/>
      <c r="K31" s="33"/>
      <c r="L31" s="34" t="str">
        <f aca="false">IF(J31&lt;&gt;"","Handed Over",IF(I31&lt;&gt;"","Approved",IF(H31&lt;&gt;"","Tested",IF(G31&lt;&gt;"","Reviewed",IF(F31&lt;&gt;"","Prepared","Not Started")))))</f>
        <v>Not Started</v>
      </c>
      <c r="M31" s="35" t="str">
        <f aca="false">IF(A31="","",(IF(F31&lt;&gt;"",20%,0%)+IF(G31&lt;&gt;"",20%,0%)+IF(H31&lt;&gt;"",20%,0%)+IF(I31&lt;&gt;"",20%,0%)+IF(J31&lt;&gt;"",20%,0%)))</f>
        <v/>
      </c>
      <c r="N31" s="31"/>
      <c r="O31" s="31"/>
      <c r="P31" s="31"/>
      <c r="Q31" s="32"/>
    </row>
    <row r="32" customFormat="false" ht="15" hidden="false" customHeight="false" outlineLevel="0" collapsed="false">
      <c r="A32" s="31"/>
      <c r="B32" s="31"/>
      <c r="C32" s="32"/>
      <c r="D32" s="31"/>
      <c r="E32" s="31"/>
      <c r="F32" s="33"/>
      <c r="G32" s="33"/>
      <c r="H32" s="33"/>
      <c r="I32" s="33"/>
      <c r="J32" s="33"/>
      <c r="K32" s="33"/>
      <c r="L32" s="34" t="str">
        <f aca="false">IF(J32&lt;&gt;"","Handed Over",IF(I32&lt;&gt;"","Approved",IF(H32&lt;&gt;"","Tested",IF(G32&lt;&gt;"","Reviewed",IF(F32&lt;&gt;"","Prepared","Not Started")))))</f>
        <v>Not Started</v>
      </c>
      <c r="M32" s="35" t="str">
        <f aca="false">IF(A32="","",(IF(F32&lt;&gt;"",20%,0%)+IF(G32&lt;&gt;"",20%,0%)+IF(H32&lt;&gt;"",20%,0%)+IF(I32&lt;&gt;"",20%,0%)+IF(J32&lt;&gt;"",20%,0%)))</f>
        <v/>
      </c>
      <c r="N32" s="31"/>
      <c r="O32" s="31"/>
      <c r="P32" s="31"/>
      <c r="Q32" s="32"/>
    </row>
    <row r="33" customFormat="false" ht="15" hidden="false" customHeight="false" outlineLevel="0" collapsed="false">
      <c r="A33" s="31"/>
      <c r="B33" s="31"/>
      <c r="C33" s="32"/>
      <c r="D33" s="31"/>
      <c r="E33" s="31"/>
      <c r="F33" s="33"/>
      <c r="G33" s="33"/>
      <c r="H33" s="33"/>
      <c r="I33" s="33"/>
      <c r="J33" s="33"/>
      <c r="K33" s="33"/>
      <c r="L33" s="34" t="str">
        <f aca="false">IF(J33&lt;&gt;"","Handed Over",IF(I33&lt;&gt;"","Approved",IF(H33&lt;&gt;"","Tested",IF(G33&lt;&gt;"","Reviewed",IF(F33&lt;&gt;"","Prepared","Not Started")))))</f>
        <v>Not Started</v>
      </c>
      <c r="M33" s="35" t="str">
        <f aca="false">IF(A33="","",(IF(F33&lt;&gt;"",20%,0%)+IF(G33&lt;&gt;"",20%,0%)+IF(H33&lt;&gt;"",20%,0%)+IF(I33&lt;&gt;"",20%,0%)+IF(J33&lt;&gt;"",20%,0%)))</f>
        <v/>
      </c>
      <c r="N33" s="31"/>
      <c r="O33" s="31"/>
      <c r="P33" s="31"/>
      <c r="Q33" s="32"/>
    </row>
    <row r="34" customFormat="false" ht="15" hidden="false" customHeight="false" outlineLevel="0" collapsed="false">
      <c r="A34" s="31"/>
      <c r="B34" s="31"/>
      <c r="C34" s="32"/>
      <c r="D34" s="31"/>
      <c r="E34" s="31"/>
      <c r="F34" s="33"/>
      <c r="G34" s="33"/>
      <c r="H34" s="33"/>
      <c r="I34" s="33"/>
      <c r="J34" s="33"/>
      <c r="K34" s="33"/>
      <c r="L34" s="34" t="str">
        <f aca="false">IF(J34&lt;&gt;"","Handed Over",IF(I34&lt;&gt;"","Approved",IF(H34&lt;&gt;"","Tested",IF(G34&lt;&gt;"","Reviewed",IF(F34&lt;&gt;"","Prepared","Not Started")))))</f>
        <v>Not Started</v>
      </c>
      <c r="M34" s="35" t="str">
        <f aca="false">IF(A34="","",(IF(F34&lt;&gt;"",20%,0%)+IF(G34&lt;&gt;"",20%,0%)+IF(H34&lt;&gt;"",20%,0%)+IF(I34&lt;&gt;"",20%,0%)+IF(J34&lt;&gt;"",20%,0%)))</f>
        <v/>
      </c>
      <c r="N34" s="31"/>
      <c r="O34" s="31"/>
      <c r="P34" s="31"/>
      <c r="Q34" s="32"/>
    </row>
    <row r="35" customFormat="false" ht="15" hidden="false" customHeight="false" outlineLevel="0" collapsed="false">
      <c r="A35" s="31"/>
      <c r="B35" s="31"/>
      <c r="C35" s="32"/>
      <c r="D35" s="31"/>
      <c r="E35" s="31"/>
      <c r="F35" s="33"/>
      <c r="G35" s="33"/>
      <c r="H35" s="33"/>
      <c r="I35" s="33"/>
      <c r="J35" s="33"/>
      <c r="K35" s="33"/>
      <c r="L35" s="34" t="str">
        <f aca="false">IF(J35&lt;&gt;"","Handed Over",IF(I35&lt;&gt;"","Approved",IF(H35&lt;&gt;"","Tested",IF(G35&lt;&gt;"","Reviewed",IF(F35&lt;&gt;"","Prepared","Not Started")))))</f>
        <v>Not Started</v>
      </c>
      <c r="M35" s="35" t="str">
        <f aca="false">IF(A35="","",(IF(F35&lt;&gt;"",20%,0%)+IF(G35&lt;&gt;"",20%,0%)+IF(H35&lt;&gt;"",20%,0%)+IF(I35&lt;&gt;"",20%,0%)+IF(J35&lt;&gt;"",20%,0%)))</f>
        <v/>
      </c>
      <c r="N35" s="31"/>
      <c r="O35" s="31"/>
      <c r="P35" s="31"/>
      <c r="Q35" s="32"/>
    </row>
    <row r="36" customFormat="false" ht="15" hidden="false" customHeight="false" outlineLevel="0" collapsed="false">
      <c r="A36" s="31"/>
      <c r="B36" s="31"/>
      <c r="C36" s="32"/>
      <c r="D36" s="31"/>
      <c r="E36" s="31"/>
      <c r="F36" s="33"/>
      <c r="G36" s="33"/>
      <c r="H36" s="33"/>
      <c r="I36" s="33"/>
      <c r="J36" s="33"/>
      <c r="K36" s="33"/>
      <c r="L36" s="34" t="str">
        <f aca="false">IF(J36&lt;&gt;"","Handed Over",IF(I36&lt;&gt;"","Approved",IF(H36&lt;&gt;"","Tested",IF(G36&lt;&gt;"","Reviewed",IF(F36&lt;&gt;"","Prepared","Not Started")))))</f>
        <v>Not Started</v>
      </c>
      <c r="M36" s="35" t="str">
        <f aca="false">IF(A36="","",(IF(F36&lt;&gt;"",20%,0%)+IF(G36&lt;&gt;"",20%,0%)+IF(H36&lt;&gt;"",20%,0%)+IF(I36&lt;&gt;"",20%,0%)+IF(J36&lt;&gt;"",20%,0%)))</f>
        <v/>
      </c>
      <c r="N36" s="31"/>
      <c r="O36" s="31"/>
      <c r="P36" s="31"/>
      <c r="Q36" s="32"/>
    </row>
    <row r="37" customFormat="false" ht="15" hidden="false" customHeight="false" outlineLevel="0" collapsed="false">
      <c r="A37" s="31"/>
      <c r="B37" s="31"/>
      <c r="C37" s="32"/>
      <c r="D37" s="31"/>
      <c r="E37" s="31"/>
      <c r="F37" s="33"/>
      <c r="G37" s="33"/>
      <c r="H37" s="33"/>
      <c r="I37" s="33"/>
      <c r="J37" s="33"/>
      <c r="K37" s="33"/>
      <c r="L37" s="34" t="str">
        <f aca="false">IF(J37&lt;&gt;"","Handed Over",IF(I37&lt;&gt;"","Approved",IF(H37&lt;&gt;"","Tested",IF(G37&lt;&gt;"","Reviewed",IF(F37&lt;&gt;"","Prepared","Not Started")))))</f>
        <v>Not Started</v>
      </c>
      <c r="M37" s="35" t="str">
        <f aca="false">IF(A37="","",(IF(F37&lt;&gt;"",20%,0%)+IF(G37&lt;&gt;"",20%,0%)+IF(H37&lt;&gt;"",20%,0%)+IF(I37&lt;&gt;"",20%,0%)+IF(J37&lt;&gt;"",20%,0%)))</f>
        <v/>
      </c>
      <c r="N37" s="31"/>
      <c r="O37" s="31"/>
      <c r="P37" s="31"/>
      <c r="Q37" s="32"/>
    </row>
    <row r="38" customFormat="false" ht="15" hidden="false" customHeight="false" outlineLevel="0" collapsed="false">
      <c r="A38" s="31"/>
      <c r="B38" s="31"/>
      <c r="C38" s="32"/>
      <c r="D38" s="31"/>
      <c r="E38" s="31"/>
      <c r="F38" s="33"/>
      <c r="G38" s="33"/>
      <c r="H38" s="33"/>
      <c r="I38" s="33"/>
      <c r="J38" s="33"/>
      <c r="K38" s="33"/>
      <c r="L38" s="34" t="str">
        <f aca="false">IF(J38&lt;&gt;"","Handed Over",IF(I38&lt;&gt;"","Approved",IF(H38&lt;&gt;"","Tested",IF(G38&lt;&gt;"","Reviewed",IF(F38&lt;&gt;"","Prepared","Not Started")))))</f>
        <v>Not Started</v>
      </c>
      <c r="M38" s="35" t="str">
        <f aca="false">IF(A38="","",(IF(F38&lt;&gt;"",20%,0%)+IF(G38&lt;&gt;"",20%,0%)+IF(H38&lt;&gt;"",20%,0%)+IF(I38&lt;&gt;"",20%,0%)+IF(J38&lt;&gt;"",20%,0%)))</f>
        <v/>
      </c>
      <c r="N38" s="31"/>
      <c r="O38" s="31"/>
      <c r="P38" s="31"/>
      <c r="Q38" s="32"/>
    </row>
    <row r="39" customFormat="false" ht="15" hidden="false" customHeight="false" outlineLevel="0" collapsed="false">
      <c r="A39" s="31"/>
      <c r="B39" s="31"/>
      <c r="C39" s="32"/>
      <c r="D39" s="31"/>
      <c r="E39" s="31"/>
      <c r="F39" s="33"/>
      <c r="G39" s="33"/>
      <c r="H39" s="33"/>
      <c r="I39" s="33"/>
      <c r="J39" s="33"/>
      <c r="K39" s="33"/>
      <c r="L39" s="34" t="str">
        <f aca="false">IF(J39&lt;&gt;"","Handed Over",IF(I39&lt;&gt;"","Approved",IF(H39&lt;&gt;"","Tested",IF(G39&lt;&gt;"","Reviewed",IF(F39&lt;&gt;"","Prepared","Not Started")))))</f>
        <v>Not Started</v>
      </c>
      <c r="M39" s="35" t="str">
        <f aca="false">IF(A39="","",(IF(F39&lt;&gt;"",20%,0%)+IF(G39&lt;&gt;"",20%,0%)+IF(H39&lt;&gt;"",20%,0%)+IF(I39&lt;&gt;"",20%,0%)+IF(J39&lt;&gt;"",20%,0%)))</f>
        <v/>
      </c>
      <c r="N39" s="31"/>
      <c r="O39" s="31"/>
      <c r="P39" s="31"/>
      <c r="Q39" s="32"/>
    </row>
    <row r="40" customFormat="false" ht="15" hidden="false" customHeight="false" outlineLevel="0" collapsed="false">
      <c r="A40" s="31"/>
      <c r="B40" s="31"/>
      <c r="C40" s="32"/>
      <c r="D40" s="31"/>
      <c r="E40" s="31"/>
      <c r="F40" s="33"/>
      <c r="G40" s="33"/>
      <c r="H40" s="33"/>
      <c r="I40" s="33"/>
      <c r="J40" s="33"/>
      <c r="K40" s="33"/>
      <c r="L40" s="34" t="str">
        <f aca="false">IF(J40&lt;&gt;"","Handed Over",IF(I40&lt;&gt;"","Approved",IF(H40&lt;&gt;"","Tested",IF(G40&lt;&gt;"","Reviewed",IF(F40&lt;&gt;"","Prepared","Not Started")))))</f>
        <v>Not Started</v>
      </c>
      <c r="M40" s="35" t="str">
        <f aca="false">IF(A40="","",(IF(F40&lt;&gt;"",20%,0%)+IF(G40&lt;&gt;"",20%,0%)+IF(H40&lt;&gt;"",20%,0%)+IF(I40&lt;&gt;"",20%,0%)+IF(J40&lt;&gt;"",20%,0%)))</f>
        <v/>
      </c>
      <c r="N40" s="31"/>
      <c r="O40" s="31"/>
      <c r="P40" s="31"/>
      <c r="Q40" s="32"/>
    </row>
    <row r="41" customFormat="false" ht="15" hidden="false" customHeight="false" outlineLevel="0" collapsed="false">
      <c r="A41" s="31"/>
      <c r="B41" s="31"/>
      <c r="C41" s="32"/>
      <c r="D41" s="31"/>
      <c r="E41" s="31"/>
      <c r="F41" s="33"/>
      <c r="G41" s="33"/>
      <c r="H41" s="33"/>
      <c r="I41" s="33"/>
      <c r="J41" s="33"/>
      <c r="K41" s="33"/>
      <c r="L41" s="34" t="str">
        <f aca="false">IF(J41&lt;&gt;"","Handed Over",IF(I41&lt;&gt;"","Approved",IF(H41&lt;&gt;"","Tested",IF(G41&lt;&gt;"","Reviewed",IF(F41&lt;&gt;"","Prepared","Not Started")))))</f>
        <v>Not Started</v>
      </c>
      <c r="M41" s="35" t="str">
        <f aca="false">IF(A41="","",(IF(F41&lt;&gt;"",20%,0%)+IF(G41&lt;&gt;"",20%,0%)+IF(H41&lt;&gt;"",20%,0%)+IF(I41&lt;&gt;"",20%,0%)+IF(J41&lt;&gt;"",20%,0%)))</f>
        <v/>
      </c>
      <c r="N41" s="31"/>
      <c r="O41" s="31"/>
      <c r="P41" s="31"/>
      <c r="Q41" s="32"/>
    </row>
    <row r="42" customFormat="false" ht="15" hidden="false" customHeight="false" outlineLevel="0" collapsed="false">
      <c r="A42" s="31"/>
      <c r="B42" s="31"/>
      <c r="C42" s="32"/>
      <c r="D42" s="31"/>
      <c r="E42" s="31"/>
      <c r="F42" s="33"/>
      <c r="G42" s="33"/>
      <c r="H42" s="33"/>
      <c r="I42" s="33"/>
      <c r="J42" s="33"/>
      <c r="K42" s="33"/>
      <c r="L42" s="34" t="str">
        <f aca="false">IF(J42&lt;&gt;"","Handed Over",IF(I42&lt;&gt;"","Approved",IF(H42&lt;&gt;"","Tested",IF(G42&lt;&gt;"","Reviewed",IF(F42&lt;&gt;"","Prepared","Not Started")))))</f>
        <v>Not Started</v>
      </c>
      <c r="M42" s="35" t="str">
        <f aca="false">IF(A42="","",(IF(F42&lt;&gt;"",20%,0%)+IF(G42&lt;&gt;"",20%,0%)+IF(H42&lt;&gt;"",20%,0%)+IF(I42&lt;&gt;"",20%,0%)+IF(J42&lt;&gt;"",20%,0%)))</f>
        <v/>
      </c>
      <c r="N42" s="31"/>
      <c r="O42" s="31"/>
      <c r="P42" s="31"/>
      <c r="Q42" s="32"/>
    </row>
    <row r="43" customFormat="false" ht="15" hidden="false" customHeight="false" outlineLevel="0" collapsed="false">
      <c r="A43" s="31"/>
      <c r="B43" s="31"/>
      <c r="C43" s="32"/>
      <c r="D43" s="31"/>
      <c r="E43" s="31"/>
      <c r="F43" s="33"/>
      <c r="G43" s="33"/>
      <c r="H43" s="33"/>
      <c r="I43" s="33"/>
      <c r="J43" s="33"/>
      <c r="K43" s="33"/>
      <c r="L43" s="34" t="str">
        <f aca="false">IF(J43&lt;&gt;"","Handed Over",IF(I43&lt;&gt;"","Approved",IF(H43&lt;&gt;"","Tested",IF(G43&lt;&gt;"","Reviewed",IF(F43&lt;&gt;"","Prepared","Not Started")))))</f>
        <v>Not Started</v>
      </c>
      <c r="M43" s="35" t="str">
        <f aca="false">IF(A43="","",(IF(F43&lt;&gt;"",20%,0%)+IF(G43&lt;&gt;"",20%,0%)+IF(H43&lt;&gt;"",20%,0%)+IF(I43&lt;&gt;"",20%,0%)+IF(J43&lt;&gt;"",20%,0%)))</f>
        <v/>
      </c>
      <c r="N43" s="31"/>
      <c r="O43" s="31"/>
      <c r="P43" s="31"/>
      <c r="Q43" s="32"/>
    </row>
    <row r="44" customFormat="false" ht="15" hidden="false" customHeight="false" outlineLevel="0" collapsed="false">
      <c r="A44" s="31"/>
      <c r="B44" s="31"/>
      <c r="C44" s="32"/>
      <c r="D44" s="31"/>
      <c r="E44" s="31"/>
      <c r="F44" s="33"/>
      <c r="G44" s="33"/>
      <c r="H44" s="33"/>
      <c r="I44" s="33"/>
      <c r="J44" s="33"/>
      <c r="K44" s="33"/>
      <c r="L44" s="34" t="str">
        <f aca="false">IF(J44&lt;&gt;"","Handed Over",IF(I44&lt;&gt;"","Approved",IF(H44&lt;&gt;"","Tested",IF(G44&lt;&gt;"","Reviewed",IF(F44&lt;&gt;"","Prepared","Not Started")))))</f>
        <v>Not Started</v>
      </c>
      <c r="M44" s="35" t="str">
        <f aca="false">IF(A44="","",(IF(F44&lt;&gt;"",20%,0%)+IF(G44&lt;&gt;"",20%,0%)+IF(H44&lt;&gt;"",20%,0%)+IF(I44&lt;&gt;"",20%,0%)+IF(J44&lt;&gt;"",20%,0%)))</f>
        <v/>
      </c>
      <c r="N44" s="31"/>
      <c r="O44" s="31"/>
      <c r="P44" s="31"/>
      <c r="Q44" s="32"/>
    </row>
    <row r="45" customFormat="false" ht="15" hidden="false" customHeight="false" outlineLevel="0" collapsed="false">
      <c r="A45" s="31"/>
      <c r="B45" s="31"/>
      <c r="C45" s="32"/>
      <c r="D45" s="31"/>
      <c r="E45" s="31"/>
      <c r="F45" s="33"/>
      <c r="G45" s="33"/>
      <c r="H45" s="33"/>
      <c r="I45" s="33"/>
      <c r="J45" s="33"/>
      <c r="K45" s="33"/>
      <c r="L45" s="34" t="str">
        <f aca="false">IF(J45&lt;&gt;"","Handed Over",IF(I45&lt;&gt;"","Approved",IF(H45&lt;&gt;"","Tested",IF(G45&lt;&gt;"","Reviewed",IF(F45&lt;&gt;"","Prepared","Not Started")))))</f>
        <v>Not Started</v>
      </c>
      <c r="M45" s="35" t="str">
        <f aca="false">IF(A45="","",(IF(F45&lt;&gt;"",20%,0%)+IF(G45&lt;&gt;"",20%,0%)+IF(H45&lt;&gt;"",20%,0%)+IF(I45&lt;&gt;"",20%,0%)+IF(J45&lt;&gt;"",20%,0%)))</f>
        <v/>
      </c>
      <c r="N45" s="31"/>
      <c r="O45" s="31"/>
      <c r="P45" s="31"/>
      <c r="Q45" s="32"/>
    </row>
    <row r="46" customFormat="false" ht="15" hidden="false" customHeight="false" outlineLevel="0" collapsed="false">
      <c r="A46" s="31"/>
      <c r="B46" s="31"/>
      <c r="C46" s="32"/>
      <c r="D46" s="31"/>
      <c r="E46" s="31"/>
      <c r="F46" s="33"/>
      <c r="G46" s="33"/>
      <c r="H46" s="33"/>
      <c r="I46" s="33"/>
      <c r="J46" s="33"/>
      <c r="K46" s="33"/>
      <c r="L46" s="34" t="str">
        <f aca="false">IF(J46&lt;&gt;"","Handed Over",IF(I46&lt;&gt;"","Approved",IF(H46&lt;&gt;"","Tested",IF(G46&lt;&gt;"","Reviewed",IF(F46&lt;&gt;"","Prepared","Not Started")))))</f>
        <v>Not Started</v>
      </c>
      <c r="M46" s="35" t="str">
        <f aca="false">IF(A46="","",(IF(F46&lt;&gt;"",20%,0%)+IF(G46&lt;&gt;"",20%,0%)+IF(H46&lt;&gt;"",20%,0%)+IF(I46&lt;&gt;"",20%,0%)+IF(J46&lt;&gt;"",20%,0%)))</f>
        <v/>
      </c>
      <c r="N46" s="31"/>
      <c r="O46" s="31"/>
      <c r="P46" s="31"/>
      <c r="Q46" s="32"/>
    </row>
    <row r="47" customFormat="false" ht="15" hidden="false" customHeight="false" outlineLevel="0" collapsed="false">
      <c r="A47" s="31"/>
      <c r="B47" s="31"/>
      <c r="C47" s="32"/>
      <c r="D47" s="31"/>
      <c r="E47" s="31"/>
      <c r="F47" s="33"/>
      <c r="G47" s="33"/>
      <c r="H47" s="33"/>
      <c r="I47" s="33"/>
      <c r="J47" s="33"/>
      <c r="K47" s="33"/>
      <c r="L47" s="34" t="str">
        <f aca="false">IF(J47&lt;&gt;"","Handed Over",IF(I47&lt;&gt;"","Approved",IF(H47&lt;&gt;"","Tested",IF(G47&lt;&gt;"","Reviewed",IF(F47&lt;&gt;"","Prepared","Not Started")))))</f>
        <v>Not Started</v>
      </c>
      <c r="M47" s="35" t="str">
        <f aca="false">IF(A47="","",(IF(F47&lt;&gt;"",20%,0%)+IF(G47&lt;&gt;"",20%,0%)+IF(H47&lt;&gt;"",20%,0%)+IF(I47&lt;&gt;"",20%,0%)+IF(J47&lt;&gt;"",20%,0%)))</f>
        <v/>
      </c>
      <c r="N47" s="31"/>
      <c r="O47" s="31"/>
      <c r="P47" s="31"/>
      <c r="Q47" s="32"/>
    </row>
    <row r="48" customFormat="false" ht="15" hidden="false" customHeight="false" outlineLevel="0" collapsed="false">
      <c r="A48" s="31"/>
      <c r="B48" s="31"/>
      <c r="C48" s="32"/>
      <c r="D48" s="31"/>
      <c r="E48" s="31"/>
      <c r="F48" s="33"/>
      <c r="G48" s="33"/>
      <c r="H48" s="33"/>
      <c r="I48" s="33"/>
      <c r="J48" s="33"/>
      <c r="K48" s="33"/>
      <c r="L48" s="34" t="str">
        <f aca="false">IF(J48&lt;&gt;"","Handed Over",IF(I48&lt;&gt;"","Approved",IF(H48&lt;&gt;"","Tested",IF(G48&lt;&gt;"","Reviewed",IF(F48&lt;&gt;"","Prepared","Not Started")))))</f>
        <v>Not Started</v>
      </c>
      <c r="M48" s="35" t="str">
        <f aca="false">IF(A48="","",(IF(F48&lt;&gt;"",20%,0%)+IF(G48&lt;&gt;"",20%,0%)+IF(H48&lt;&gt;"",20%,0%)+IF(I48&lt;&gt;"",20%,0%)+IF(J48&lt;&gt;"",20%,0%)))</f>
        <v/>
      </c>
      <c r="N48" s="31"/>
      <c r="O48" s="31"/>
      <c r="P48" s="31"/>
      <c r="Q48" s="32"/>
    </row>
    <row r="49" customFormat="false" ht="15" hidden="false" customHeight="false" outlineLevel="0" collapsed="false">
      <c r="A49" s="31"/>
      <c r="B49" s="31"/>
      <c r="C49" s="32"/>
      <c r="D49" s="31"/>
      <c r="E49" s="31"/>
      <c r="F49" s="33"/>
      <c r="G49" s="33"/>
      <c r="H49" s="33"/>
      <c r="I49" s="33"/>
      <c r="J49" s="33"/>
      <c r="K49" s="33"/>
      <c r="L49" s="34" t="str">
        <f aca="false">IF(J49&lt;&gt;"","Handed Over",IF(I49&lt;&gt;"","Approved",IF(H49&lt;&gt;"","Tested",IF(G49&lt;&gt;"","Reviewed",IF(F49&lt;&gt;"","Prepared","Not Started")))))</f>
        <v>Not Started</v>
      </c>
      <c r="M49" s="35" t="str">
        <f aca="false">IF(A49="","",(IF(F49&lt;&gt;"",20%,0%)+IF(G49&lt;&gt;"",20%,0%)+IF(H49&lt;&gt;"",20%,0%)+IF(I49&lt;&gt;"",20%,0%)+IF(J49&lt;&gt;"",20%,0%)))</f>
        <v/>
      </c>
      <c r="N49" s="31"/>
      <c r="O49" s="31"/>
      <c r="P49" s="31"/>
      <c r="Q49" s="32"/>
    </row>
    <row r="50" customFormat="false" ht="15" hidden="false" customHeight="false" outlineLevel="0" collapsed="false">
      <c r="A50" s="31"/>
      <c r="B50" s="31"/>
      <c r="C50" s="32"/>
      <c r="D50" s="31"/>
      <c r="E50" s="31"/>
      <c r="F50" s="33"/>
      <c r="G50" s="33"/>
      <c r="H50" s="33"/>
      <c r="I50" s="33"/>
      <c r="J50" s="33"/>
      <c r="K50" s="33"/>
      <c r="L50" s="34" t="str">
        <f aca="false">IF(J50&lt;&gt;"","Handed Over",IF(I50&lt;&gt;"","Approved",IF(H50&lt;&gt;"","Tested",IF(G50&lt;&gt;"","Reviewed",IF(F50&lt;&gt;"","Prepared","Not Started")))))</f>
        <v>Not Started</v>
      </c>
      <c r="M50" s="35" t="str">
        <f aca="false">IF(A50="","",(IF(F50&lt;&gt;"",20%,0%)+IF(G50&lt;&gt;"",20%,0%)+IF(H50&lt;&gt;"",20%,0%)+IF(I50&lt;&gt;"",20%,0%)+IF(J50&lt;&gt;"",20%,0%)))</f>
        <v/>
      </c>
      <c r="N50" s="31"/>
      <c r="O50" s="31"/>
      <c r="P50" s="31"/>
      <c r="Q50" s="32"/>
    </row>
    <row r="51" customFormat="false" ht="15" hidden="false" customHeight="false" outlineLevel="0" collapsed="false">
      <c r="A51" s="31"/>
      <c r="B51" s="31"/>
      <c r="C51" s="32"/>
      <c r="D51" s="31"/>
      <c r="E51" s="31"/>
      <c r="F51" s="33"/>
      <c r="G51" s="33"/>
      <c r="H51" s="33"/>
      <c r="I51" s="33"/>
      <c r="J51" s="33"/>
      <c r="K51" s="33"/>
      <c r="L51" s="34" t="str">
        <f aca="false">IF(J51&lt;&gt;"","Handed Over",IF(I51&lt;&gt;"","Approved",IF(H51&lt;&gt;"","Tested",IF(G51&lt;&gt;"","Reviewed",IF(F51&lt;&gt;"","Prepared","Not Started")))))</f>
        <v>Not Started</v>
      </c>
      <c r="M51" s="35" t="str">
        <f aca="false">IF(A51="","",(IF(F51&lt;&gt;"",20%,0%)+IF(G51&lt;&gt;"",20%,0%)+IF(H51&lt;&gt;"",20%,0%)+IF(I51&lt;&gt;"",20%,0%)+IF(J51&lt;&gt;"",20%,0%)))</f>
        <v/>
      </c>
      <c r="N51" s="31"/>
      <c r="O51" s="31"/>
      <c r="P51" s="31"/>
      <c r="Q51" s="32"/>
    </row>
    <row r="52" customFormat="false" ht="15" hidden="false" customHeight="false" outlineLevel="0" collapsed="false">
      <c r="A52" s="31"/>
      <c r="B52" s="31"/>
      <c r="C52" s="32"/>
      <c r="D52" s="31"/>
      <c r="E52" s="31"/>
      <c r="F52" s="33"/>
      <c r="G52" s="33"/>
      <c r="H52" s="33"/>
      <c r="I52" s="33"/>
      <c r="J52" s="33"/>
      <c r="K52" s="33"/>
      <c r="L52" s="34" t="str">
        <f aca="false">IF(J52&lt;&gt;"","Handed Over",IF(I52&lt;&gt;"","Approved",IF(H52&lt;&gt;"","Tested",IF(G52&lt;&gt;"","Reviewed",IF(F52&lt;&gt;"","Prepared","Not Started")))))</f>
        <v>Not Started</v>
      </c>
      <c r="M52" s="35" t="str">
        <f aca="false">IF(A52="","",(IF(F52&lt;&gt;"",20%,0%)+IF(G52&lt;&gt;"",20%,0%)+IF(H52&lt;&gt;"",20%,0%)+IF(I52&lt;&gt;"",20%,0%)+IF(J52&lt;&gt;"",20%,0%)))</f>
        <v/>
      </c>
      <c r="N52" s="31"/>
      <c r="O52" s="31"/>
      <c r="P52" s="31"/>
      <c r="Q52" s="32"/>
    </row>
    <row r="53" customFormat="false" ht="15" hidden="false" customHeight="false" outlineLevel="0" collapsed="false">
      <c r="A53" s="31"/>
      <c r="B53" s="31"/>
      <c r="C53" s="32"/>
      <c r="D53" s="31"/>
      <c r="E53" s="31"/>
      <c r="F53" s="33"/>
      <c r="G53" s="33"/>
      <c r="H53" s="33"/>
      <c r="I53" s="33"/>
      <c r="J53" s="33"/>
      <c r="K53" s="33"/>
      <c r="L53" s="34" t="str">
        <f aca="false">IF(J53&lt;&gt;"","Handed Over",IF(I53&lt;&gt;"","Approved",IF(H53&lt;&gt;"","Tested",IF(G53&lt;&gt;"","Reviewed",IF(F53&lt;&gt;"","Prepared","Not Started")))))</f>
        <v>Not Started</v>
      </c>
      <c r="M53" s="35" t="str">
        <f aca="false">IF(A53="","",(IF(F53&lt;&gt;"",20%,0%)+IF(G53&lt;&gt;"",20%,0%)+IF(H53&lt;&gt;"",20%,0%)+IF(I53&lt;&gt;"",20%,0%)+IF(J53&lt;&gt;"",20%,0%)))</f>
        <v/>
      </c>
      <c r="N53" s="31"/>
      <c r="O53" s="31"/>
      <c r="P53" s="31"/>
      <c r="Q53" s="32"/>
    </row>
    <row r="54" customFormat="false" ht="15" hidden="false" customHeight="false" outlineLevel="0" collapsed="false">
      <c r="A54" s="31"/>
      <c r="B54" s="31"/>
      <c r="C54" s="32"/>
      <c r="D54" s="31"/>
      <c r="E54" s="31"/>
      <c r="F54" s="33"/>
      <c r="G54" s="33"/>
      <c r="H54" s="33"/>
      <c r="I54" s="33"/>
      <c r="J54" s="33"/>
      <c r="K54" s="33"/>
      <c r="L54" s="34" t="str">
        <f aca="false">IF(J54&lt;&gt;"","Handed Over",IF(I54&lt;&gt;"","Approved",IF(H54&lt;&gt;"","Tested",IF(G54&lt;&gt;"","Reviewed",IF(F54&lt;&gt;"","Prepared","Not Started")))))</f>
        <v>Not Started</v>
      </c>
      <c r="M54" s="35" t="str">
        <f aca="false">IF(A54="","",(IF(F54&lt;&gt;"",20%,0%)+IF(G54&lt;&gt;"",20%,0%)+IF(H54&lt;&gt;"",20%,0%)+IF(I54&lt;&gt;"",20%,0%)+IF(J54&lt;&gt;"",20%,0%)))</f>
        <v/>
      </c>
      <c r="N54" s="31"/>
      <c r="O54" s="31"/>
      <c r="P54" s="31"/>
      <c r="Q54" s="32"/>
    </row>
    <row r="55" customFormat="false" ht="15" hidden="false" customHeight="false" outlineLevel="0" collapsed="false">
      <c r="A55" s="31"/>
      <c r="B55" s="31"/>
      <c r="C55" s="32"/>
      <c r="D55" s="31"/>
      <c r="E55" s="31"/>
      <c r="F55" s="33"/>
      <c r="G55" s="33"/>
      <c r="H55" s="33"/>
      <c r="I55" s="33"/>
      <c r="J55" s="33"/>
      <c r="K55" s="33"/>
      <c r="L55" s="34" t="str">
        <f aca="false">IF(J55&lt;&gt;"","Handed Over",IF(I55&lt;&gt;"","Approved",IF(H55&lt;&gt;"","Tested",IF(G55&lt;&gt;"","Reviewed",IF(F55&lt;&gt;"","Prepared","Not Started")))))</f>
        <v>Not Started</v>
      </c>
      <c r="M55" s="35" t="str">
        <f aca="false">IF(A55="","",(IF(F55&lt;&gt;"",20%,0%)+IF(G55&lt;&gt;"",20%,0%)+IF(H55&lt;&gt;"",20%,0%)+IF(I55&lt;&gt;"",20%,0%)+IF(J55&lt;&gt;"",20%,0%)))</f>
        <v/>
      </c>
      <c r="N55" s="31"/>
      <c r="O55" s="31"/>
      <c r="P55" s="31"/>
      <c r="Q55" s="32"/>
    </row>
    <row r="56" customFormat="false" ht="15" hidden="false" customHeight="false" outlineLevel="0" collapsed="false">
      <c r="A56" s="31"/>
      <c r="B56" s="31"/>
      <c r="C56" s="32"/>
      <c r="D56" s="31"/>
      <c r="E56" s="31"/>
      <c r="F56" s="33"/>
      <c r="G56" s="33"/>
      <c r="H56" s="33"/>
      <c r="I56" s="33"/>
      <c r="J56" s="33"/>
      <c r="K56" s="33"/>
      <c r="L56" s="34" t="str">
        <f aca="false">IF(J56&lt;&gt;"","Handed Over",IF(I56&lt;&gt;"","Approved",IF(H56&lt;&gt;"","Tested",IF(G56&lt;&gt;"","Reviewed",IF(F56&lt;&gt;"","Prepared","Not Started")))))</f>
        <v>Not Started</v>
      </c>
      <c r="M56" s="35" t="str">
        <f aca="false">IF(A56="","",(IF(F56&lt;&gt;"",20%,0%)+IF(G56&lt;&gt;"",20%,0%)+IF(H56&lt;&gt;"",20%,0%)+IF(I56&lt;&gt;"",20%,0%)+IF(J56&lt;&gt;"",20%,0%)))</f>
        <v/>
      </c>
      <c r="N56" s="31"/>
      <c r="O56" s="31"/>
      <c r="P56" s="31"/>
      <c r="Q56" s="32"/>
    </row>
    <row r="57" customFormat="false" ht="15" hidden="false" customHeight="false" outlineLevel="0" collapsed="false">
      <c r="A57" s="31"/>
      <c r="B57" s="31"/>
      <c r="C57" s="32"/>
      <c r="D57" s="31"/>
      <c r="E57" s="31"/>
      <c r="F57" s="33"/>
      <c r="G57" s="33"/>
      <c r="H57" s="33"/>
      <c r="I57" s="33"/>
      <c r="J57" s="33"/>
      <c r="K57" s="33"/>
      <c r="L57" s="34" t="str">
        <f aca="false">IF(J57&lt;&gt;"","Handed Over",IF(I57&lt;&gt;"","Approved",IF(H57&lt;&gt;"","Tested",IF(G57&lt;&gt;"","Reviewed",IF(F57&lt;&gt;"","Prepared","Not Started")))))</f>
        <v>Not Started</v>
      </c>
      <c r="M57" s="35" t="str">
        <f aca="false">IF(A57="","",(IF(F57&lt;&gt;"",20%,0%)+IF(G57&lt;&gt;"",20%,0%)+IF(H57&lt;&gt;"",20%,0%)+IF(I57&lt;&gt;"",20%,0%)+IF(J57&lt;&gt;"",20%,0%)))</f>
        <v/>
      </c>
      <c r="N57" s="31"/>
      <c r="O57" s="31"/>
      <c r="P57" s="31"/>
      <c r="Q57" s="32"/>
    </row>
    <row r="58" customFormat="false" ht="15" hidden="false" customHeight="false" outlineLevel="0" collapsed="false">
      <c r="A58" s="31"/>
      <c r="B58" s="31"/>
      <c r="C58" s="32"/>
      <c r="D58" s="31"/>
      <c r="E58" s="31"/>
      <c r="F58" s="33"/>
      <c r="G58" s="33"/>
      <c r="H58" s="33"/>
      <c r="I58" s="33"/>
      <c r="J58" s="33"/>
      <c r="K58" s="33"/>
      <c r="L58" s="34" t="str">
        <f aca="false">IF(J58&lt;&gt;"","Handed Over",IF(I58&lt;&gt;"","Approved",IF(H58&lt;&gt;"","Tested",IF(G58&lt;&gt;"","Reviewed",IF(F58&lt;&gt;"","Prepared","Not Started")))))</f>
        <v>Not Started</v>
      </c>
      <c r="M58" s="35" t="str">
        <f aca="false">IF(A58="","",(IF(F58&lt;&gt;"",20%,0%)+IF(G58&lt;&gt;"",20%,0%)+IF(H58&lt;&gt;"",20%,0%)+IF(I58&lt;&gt;"",20%,0%)+IF(J58&lt;&gt;"",20%,0%)))</f>
        <v/>
      </c>
      <c r="N58" s="31"/>
      <c r="O58" s="31"/>
      <c r="P58" s="31"/>
      <c r="Q58" s="32"/>
    </row>
    <row r="59" customFormat="false" ht="15" hidden="false" customHeight="false" outlineLevel="0" collapsed="false">
      <c r="A59" s="31"/>
      <c r="B59" s="31"/>
      <c r="C59" s="32"/>
      <c r="D59" s="31"/>
      <c r="E59" s="31"/>
      <c r="F59" s="33"/>
      <c r="G59" s="33"/>
      <c r="H59" s="33"/>
      <c r="I59" s="33"/>
      <c r="J59" s="33"/>
      <c r="K59" s="33"/>
      <c r="L59" s="34" t="str">
        <f aca="false">IF(J59&lt;&gt;"","Handed Over",IF(I59&lt;&gt;"","Approved",IF(H59&lt;&gt;"","Tested",IF(G59&lt;&gt;"","Reviewed",IF(F59&lt;&gt;"","Prepared","Not Started")))))</f>
        <v>Not Started</v>
      </c>
      <c r="M59" s="35" t="str">
        <f aca="false">IF(A59="","",(IF(F59&lt;&gt;"",20%,0%)+IF(G59&lt;&gt;"",20%,0%)+IF(H59&lt;&gt;"",20%,0%)+IF(I59&lt;&gt;"",20%,0%)+IF(J59&lt;&gt;"",20%,0%)))</f>
        <v/>
      </c>
      <c r="N59" s="31"/>
      <c r="O59" s="31"/>
      <c r="P59" s="31"/>
      <c r="Q59" s="32"/>
    </row>
  </sheetData>
  <autoFilter ref="A9:Q9"/>
  <mergeCells count="3">
    <mergeCell ref="A1:Q1"/>
    <mergeCell ref="F8:K8"/>
    <mergeCell ref="N8:Q8"/>
  </mergeCells>
  <conditionalFormatting sqref="L10:L509">
    <cfRule type="cellIs" priority="2" operator="equal" aboveAverage="0" equalAverage="0" bottom="0" percent="0" rank="0" text="" dxfId="2">
      <formula>"Handed Over"</formula>
    </cfRule>
    <cfRule type="cellIs" priority="3" operator="equal" aboveAverage="0" equalAverage="0" bottom="0" percent="0" rank="0" text="" dxfId="3">
      <formula>"Approved"</formula>
    </cfRule>
    <cfRule type="cellIs" priority="4" operator="equal" aboveAverage="0" equalAverage="0" bottom="0" percent="0" rank="0" text="" dxfId="4">
      <formula>"Tested"</formula>
    </cfRule>
    <cfRule type="cellIs" priority="5" operator="equal" aboveAverage="0" equalAverage="0" bottom="0" percent="0" rank="0" text="" dxfId="4">
      <formula>"Reviewed"</formula>
    </cfRule>
    <cfRule type="cellIs" priority="6" operator="equal" aboveAverage="0" equalAverage="0" bottom="0" percent="0" rank="0" text="" dxfId="5">
      <formula>"Prepared"</formula>
    </cfRule>
    <cfRule type="cellIs" priority="7" operator="equal" aboveAverage="0" equalAverage="0" bottom="0" percent="0" rank="0" text="" dxfId="5">
      <formula>"Not Started"</formula>
    </cfRule>
  </conditionalFormatting>
  <conditionalFormatting sqref="M10:M509">
    <cfRule type="expression" priority="8" aboveAverage="0" equalAverage="0" bottom="0" percent="0" rank="0" text="" dxfId="3">
      <formula>AND(M10&lt;&gt;"",M10&gt;=0.8)</formula>
    </cfRule>
    <cfRule type="expression" priority="9" aboveAverage="0" equalAverage="0" bottom="0" percent="0" rank="0" text="" dxfId="4">
      <formula>AND(M10&lt;&gt;"",M10&gt;=0.4,M10&lt;0.8)</formula>
    </cfRule>
    <cfRule type="expression" priority="10" aboveAverage="0" equalAverage="0" bottom="0" percent="0" rank="0" text="" dxfId="5">
      <formula>AND(M10&lt;&gt;"",M10&lt;0.4,M10&gt;0)</formula>
    </cfRule>
  </conditionalFormatting>
  <conditionalFormatting sqref="K10:K509">
    <cfRule type="expression" priority="11" aboveAverage="0" equalAverage="0" bottom="0" percent="0" rank="0" text="" dxfId="6">
      <formula>AND(K10&lt;&gt;"",K10&lt;TODAY(),L10&lt;&gt;"Handed Over")</formula>
    </cfRule>
  </conditionalFormatting>
  <conditionalFormatting sqref="F10:F509">
    <cfRule type="expression" priority="12" aboveAverage="0" equalAverage="0" bottom="0" percent="0" rank="0" text="" dxfId="3">
      <formula>F10&lt;&gt;""</formula>
    </cfRule>
  </conditionalFormatting>
  <conditionalFormatting sqref="G10:G509">
    <cfRule type="expression" priority="13" aboveAverage="0" equalAverage="0" bottom="0" percent="0" rank="0" text="" dxfId="3">
      <formula>G10&lt;&gt;""</formula>
    </cfRule>
  </conditionalFormatting>
  <conditionalFormatting sqref="H10:H509">
    <cfRule type="expression" priority="14" aboveAverage="0" equalAverage="0" bottom="0" percent="0" rank="0" text="" dxfId="3">
      <formula>H10&lt;&gt;""</formula>
    </cfRule>
  </conditionalFormatting>
  <conditionalFormatting sqref="I10:I509">
    <cfRule type="expression" priority="15" aboveAverage="0" equalAverage="0" bottom="0" percent="0" rank="0" text="" dxfId="3">
      <formula>I10&lt;&gt;""</formula>
    </cfRule>
  </conditionalFormatting>
  <conditionalFormatting sqref="J10:J509">
    <cfRule type="expression" priority="16" aboveAverage="0" equalAverage="0" bottom="0" percent="0" rank="0" text="" dxfId="3">
      <formula>J10&lt;&gt;""</formula>
    </cfRule>
  </conditionalFormatting>
  <dataValidations count="4">
    <dataValidation allowBlank="true" errorStyle="stop" operator="between" showDropDown="false" showErrorMessage="false" showInputMessage="false" sqref="D10:D509" type="list">
      <formula1>"Mechanical,Electrical,C&amp;I,Piping,HVAC,Civil,Process,Multi-Discipline"</formula1>
      <formula2>0</formula2>
    </dataValidation>
    <dataValidation allowBlank="true" errorStyle="stop" operator="between" showDropDown="false" showErrorMessage="false" showInputMessage="false" sqref="O10:O509" type="list">
      <formula1>"Yes,No"</formula1>
      <formula2>0</formula2>
    </dataValidation>
    <dataValidation allowBlank="true" errorStyle="stop" operator="between" showDropDown="false" showErrorMessage="false" showInputMessage="false" sqref="F10:K509" type="date">
      <formula1>0</formula1>
      <formula2>0</formula2>
    </dataValidation>
    <dataValidation allowBlank="true" errorStyle="stop" operator="greaterThanOrEqual" showDropDown="false" showErrorMessage="false" showInputMessage="false" sqref="N10:N509" type="whole">
      <formula1>0</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&amp;CTest Pack Tracker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8.65" hidden="false" customHeight="false" outlineLevel="0" collapsed="false">
      <c r="A1" s="36" t="s">
        <v>113</v>
      </c>
    </row>
    <row r="2" customFormat="false" ht="15" hidden="false" customHeight="false" outlineLevel="0" collapsed="false">
      <c r="A2" s="37"/>
    </row>
    <row r="3" customFormat="false" ht="15" hidden="false" customHeight="false" outlineLevel="0" collapsed="false">
      <c r="A3" s="37" t="s">
        <v>114</v>
      </c>
    </row>
    <row r="4" customFormat="false" ht="15" hidden="false" customHeight="false" outlineLevel="0" collapsed="false">
      <c r="A4" s="37"/>
    </row>
    <row r="5" customFormat="false" ht="15" hidden="false" customHeight="false" outlineLevel="0" collapsed="false">
      <c r="A5" s="37" t="s">
        <v>115</v>
      </c>
    </row>
    <row r="6" customFormat="false" ht="15" hidden="false" customHeight="false" outlineLevel="0" collapsed="false">
      <c r="A6" s="37"/>
    </row>
    <row r="7" customFormat="false" ht="23.85" hidden="false" customHeight="false" outlineLevel="0" collapsed="false">
      <c r="A7" s="37" t="s">
        <v>116</v>
      </c>
    </row>
    <row r="8" customFormat="false" ht="15" hidden="false" customHeight="false" outlineLevel="0" collapsed="false">
      <c r="A8" s="37"/>
    </row>
    <row r="9" customFormat="false" ht="15" hidden="false" customHeight="false" outlineLevel="0" collapsed="false">
      <c r="A9" s="37" t="s">
        <v>117</v>
      </c>
    </row>
    <row r="10" customFormat="false" ht="15" hidden="false" customHeight="false" outlineLevel="0" collapsed="false">
      <c r="A10" s="37"/>
    </row>
    <row r="11" customFormat="false" ht="15" hidden="false" customHeight="false" outlineLevel="0" collapsed="false">
      <c r="A11" s="37" t="s">
        <v>118</v>
      </c>
    </row>
    <row r="12" customFormat="false" ht="15" hidden="false" customHeight="false" outlineLevel="0" collapsed="false">
      <c r="A12" s="37"/>
    </row>
    <row r="13" customFormat="false" ht="23.85" hidden="false" customHeight="false" outlineLevel="0" collapsed="false">
      <c r="A13" s="37" t="s">
        <v>119</v>
      </c>
    </row>
    <row r="14" customFormat="false" ht="15" hidden="false" customHeight="false" outlineLevel="0" collapsed="false">
      <c r="A14" s="37"/>
    </row>
    <row r="15" customFormat="false" ht="15" hidden="false" customHeight="false" outlineLevel="0" collapsed="false">
      <c r="A15" s="37" t="s">
        <v>120</v>
      </c>
    </row>
    <row r="16" customFormat="false" ht="15" hidden="false" customHeight="false" outlineLevel="0" collapsed="false">
      <c r="A16" s="37"/>
    </row>
    <row r="17" customFormat="false" ht="15" hidden="false" customHeight="false" outlineLevel="0" collapsed="false">
      <c r="A17" s="37" t="s">
        <v>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MEICA / Commissioning</cp:category>
  <dcterms:created xsi:type="dcterms:W3CDTF">2026-03-22T20:10:12Z</dcterms:created>
  <dc:creator>Ebrora Ltd</dc:creator>
  <dc:description>Track every test pack through its full lifecycle — Prepared, Reviewed, Tested, Approved, Handed Over — with automatic stage detection, progress percentage, and overdue alerts. Designed for commissioning managers and QA engineers on UK construction projects.
Free professional construction management template from Ebrora Ltd. Visit ebrora.com for our full range of tools and templates.</dc:description>
  <cp:keywords>Ebrora construction MEICA commissioning test pack ITP testing handover quality</cp:keywords>
  <dc:language>en-US</dc:language>
  <cp:lastModifiedBy>Ebrora Ltd</cp:lastModifiedBy>
  <dcterms:modified xsi:type="dcterms:W3CDTF">2026-03-22T20:10:12Z</dcterms:modified>
  <cp:revision>0</cp:revision>
  <dc:subject>Track test packs through a five-stage pipeline from preparation to handover with automatic stage detection and progress scoring.</dc:subject>
  <dc:title>Test Pack Tracker</dc:title>
</cp:coreProperties>
</file>

<file path=docProps/custom.xml><?xml version="1.0" encoding="utf-8"?>
<Properties xmlns="http://schemas.openxmlformats.org/officeDocument/2006/custom-properties" xmlns:vt="http://schemas.openxmlformats.org/officeDocument/2006/docPropsVTypes"/>
</file>