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EDI Monitorin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'EDI Monitoring'!$A$1:$J$47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<sst xmlns="http://schemas.openxmlformats.org/spreadsheetml/2006/main" count="149" uniqueCount="87">
  <si>
    <t xml:space="preserve">EBRORA</t>
  </si>
  <si>
    <t xml:space="preserve">ebrora.com</t>
  </si>
  <si>
    <t xml:space="preserve">Equality, Diversity &amp; Inclusion
Monitoring Sheet</t>
  </si>
  <si>
    <t xml:space="preserve">Monitor workforce diversity across protected characteristics with aggregated summary data.</t>
  </si>
  <si>
    <t xml:space="preserve">Supports Equality Act 2010 monitoring and Social Value reporting for UK construction projects.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</si>
  <si>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</si>
  <si>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</si>
  <si>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</si>
  <si>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</si>
  <si>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</si>
  <si>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'EDI Monitoring' sheet. It uses aggregated category counts — NOT individual names — to protect anonymity.</t>
  </si>
  <si>
    <t xml:space="preserve">2.</t>
  </si>
  <si>
    <t xml:space="preserve">Enter the total workforce headcount in the header. This is the denominator for all percentage calculations.</t>
  </si>
  <si>
    <t xml:space="preserve">3.</t>
  </si>
  <si>
    <t xml:space="preserve">For each diversity category (Gender, Age Band, Ethnicity, Disability, etc.), enter the count of workers in each sub-category.</t>
  </si>
  <si>
    <t xml:space="preserve">4.</t>
  </si>
  <si>
    <t xml:space="preserve">The Percentage column auto-calculates each group as a proportion of total headcount. The Total row verifies your counts add up.</t>
  </si>
  <si>
    <t xml:space="preserve">5.</t>
  </si>
  <si>
    <t xml:space="preserve">If you have targets (e.g. Social Value commitments), enter them in the Target column. Variance auto-calculates.</t>
  </si>
  <si>
    <t xml:space="preserve">6.</t>
  </si>
  <si>
    <t xml:space="preserve">Quarterly trend columns let you track changes over time. Enter updated counts each quarter.</t>
  </si>
  <si>
    <t xml:space="preserve">7.</t>
  </si>
  <si>
    <t xml:space="preserve">This data supports Social Value Act reporting, CITB workforce monitoring, and client EDI KPIs.</t>
  </si>
  <si>
    <t xml:space="preserve">Colour Key</t>
  </si>
  <si>
    <t xml:space="preserve">Light teal — user input / editable counts</t>
  </si>
  <si>
    <t xml:space="preserve">  </t>
  </si>
  <si>
    <t xml:space="preserve">Dark navy — category headers</t>
  </si>
  <si>
    <t xml:space="preserve">Grey — auto-calculated percentages</t>
  </si>
  <si>
    <t xml:space="preserve">Green — at or above target</t>
  </si>
  <si>
    <t xml:space="preserve">Red — below target</t>
  </si>
  <si>
    <t xml:space="preserve">Tips</t>
  </si>
  <si>
    <t xml:space="preserve">•</t>
  </si>
  <si>
    <t xml:space="preserve">All EDI data must be collected anonymously and voluntarily. Never require individuals to disclose protected characteristics.</t>
  </si>
  <si>
    <t xml:space="preserve">Use this data for positive action only — to identify gaps and improve representation. Never for discriminatory decisions.</t>
  </si>
  <si>
    <t xml:space="preserve">The construction industry average for female representation is ~15%. Set ambitious but realistic improvement targets.</t>
  </si>
  <si>
    <t xml:space="preserve">EQUALITY, DIVERSITY &amp; INCLUSION MONITORING</t>
  </si>
  <si>
    <t xml:space="preserve">Project:</t>
  </si>
  <si>
    <t xml:space="preserve">Example Infrastructure Project</t>
  </si>
  <si>
    <t xml:space="preserve">Reporting Period:</t>
  </si>
  <si>
    <t xml:space="preserve">Q1 2026</t>
  </si>
  <si>
    <t xml:space="preserve">Total Headcount:</t>
  </si>
  <si>
    <t xml:space="preserve">GENDER</t>
  </si>
  <si>
    <t xml:space="preserve">Category</t>
  </si>
  <si>
    <t xml:space="preserve">Count</t>
  </si>
  <si>
    <t xml:space="preserve">%</t>
  </si>
  <si>
    <t xml:space="preserve">Target %</t>
  </si>
  <si>
    <t xml:space="preserve">Var.</t>
  </si>
  <si>
    <t xml:space="preserve">Q1</t>
  </si>
  <si>
    <t xml:space="preserve">Q2</t>
  </si>
  <si>
    <t xml:space="preserve">Q3</t>
  </si>
  <si>
    <t xml:space="preserve">Q4</t>
  </si>
  <si>
    <t xml:space="preserve">Male</t>
  </si>
  <si>
    <t xml:space="preserve">—</t>
  </si>
  <si>
    <t xml:space="preserve">Female</t>
  </si>
  <si>
    <t xml:space="preserve">Non-binary / Other</t>
  </si>
  <si>
    <t xml:space="preserve">Prefer not to say</t>
  </si>
  <si>
    <t xml:space="preserve">Total</t>
  </si>
  <si>
    <t xml:space="preserve">AGE BAND</t>
  </si>
  <si>
    <t xml:space="preserve">16–24</t>
  </si>
  <si>
    <t xml:space="preserve">25–34</t>
  </si>
  <si>
    <t xml:space="preserve">35–44</t>
  </si>
  <si>
    <t xml:space="preserve">45–54</t>
  </si>
  <si>
    <t xml:space="preserve">55–64</t>
  </si>
  <si>
    <t xml:space="preserve">65+</t>
  </si>
  <si>
    <t xml:space="preserve">ETHNICITY</t>
  </si>
  <si>
    <t xml:space="preserve">White British</t>
  </si>
  <si>
    <t xml:space="preserve">White Other</t>
  </si>
  <si>
    <t xml:space="preserve">Asian / Asian British</t>
  </si>
  <si>
    <t xml:space="preserve">Black / Black British</t>
  </si>
  <si>
    <t xml:space="preserve">Mixed / Multiple</t>
  </si>
  <si>
    <t xml:space="preserve">Other</t>
  </si>
  <si>
    <t xml:space="preserve">DISABILITY</t>
  </si>
  <si>
    <t xml:space="preserve">No disability declared</t>
  </si>
  <si>
    <t xml:space="preserve">Disability declared</t>
  </si>
  <si>
    <t xml:space="preserve">LOCAL WORKFORCE (within 25 miles)</t>
  </si>
  <si>
    <t xml:space="preserve">Local</t>
  </si>
  <si>
    <t xml:space="preserve">Non-local</t>
  </si>
  <si>
    <t xml:space="preserve">Note: All data is collected anonymously via voluntary self-declaration. 'Prefer not to say' must always be an option. This data is for monitoring purposes only under the Equality Act 2010.</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</si>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</sst>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0%"/>
    <numFmt numFmtId="166" formatCode="0%"/>
    <numFmt numFmtId="167" formatCode="\+0.0%;\-0.0%"/>
    <numFmt numFmtId="168" formatCode="General"/>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4"/>
      <color rgb="FF2AABB3"/>
      <name val="Calibri"/>
      <family val="0"/>
      <charset val="1"/>
    </font>
    <font>
      <b val="true"/>
      <sz val="10"/>
      <color rgb="FFFFFFFF"/>
      <name val="Calibri"/>
      <family val="0"/>
      <charset val="1"/>
    </font>
    <font>
      <b val="true"/>
      <sz val="9"/>
      <color rgb="FF2AABB3"/>
      <name val="Calibri"/>
      <family val="0"/>
      <charset val="1"/>
    </font>
    <font>
      <b val="true"/>
      <sz val="10"/>
      <color rgb="FF2AABB3"/>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C6EFCE"/>
        <bgColor rgb="FFD9D9D9"/>
      </patternFill>
    </fill>
    <fill>
      <patternFill patternType="solid">
        <fgColor rgb="FFFFC7CE"/>
        <bgColor rgb="FFD9D9D9"/>
      </patternFill>
    </fill>
  </fills>
  <borders count="6">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2AABB3"/>
      </bottom>
      <diagonal/>
    </border>
    <border diagonalUp="false" diagonalDown="false">
      <left/>
      <right/>
      <top/>
      <bottom style="thin">
        <color rgb="FFD9D9D9"/>
      </bottom>
      <diagonal/>
    </border>
    <border diagonalUp="false" diagonalDown="false">
      <left/>
      <right/>
      <top style="medium">
        <color rgb="FF2AABB3"/>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right" vertical="center" textRotation="0" wrapText="false" indent="0" shrinkToFit="false"/>
      <protection locked="true" hidden="false"/>
    </xf>
    <xf numFmtId="164" fontId="12" fillId="4" borderId="0" xfId="0" applyFont="true" applyBorder="tru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false" applyAlignment="true" applyProtection="false">
      <alignment horizontal="center"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12" fillId="0" borderId="4" xfId="0" applyFont="true" applyBorder="true" applyAlignment="true" applyProtection="false">
      <alignment horizontal="left" vertical="center" textRotation="0" wrapText="true" indent="0" shrinkToFit="false"/>
      <protection locked="true" hidden="false"/>
    </xf>
    <xf numFmtId="164" fontId="12" fillId="4" borderId="4" xfId="0" applyFont="true" applyBorder="true" applyAlignment="true" applyProtection="false">
      <alignment horizontal="center" vertical="center" textRotation="0" wrapText="true" indent="0" shrinkToFit="false"/>
      <protection locked="true" hidden="false"/>
    </xf>
    <xf numFmtId="165" fontId="12" fillId="5" borderId="4" xfId="0" applyFont="true" applyBorder="true" applyAlignment="true" applyProtection="false">
      <alignment horizontal="center" vertical="center" textRotation="0" wrapText="true" indent="0" shrinkToFit="false"/>
      <protection locked="true" hidden="false"/>
    </xf>
    <xf numFmtId="164" fontId="9" fillId="5" borderId="4" xfId="0" applyFont="true" applyBorder="true" applyAlignment="true" applyProtection="false">
      <alignment horizontal="center" vertical="center" textRotation="0" wrapText="true" indent="0" shrinkToFit="false"/>
      <protection locked="true" hidden="false"/>
    </xf>
    <xf numFmtId="164" fontId="0" fillId="5" borderId="4"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6" fontId="12" fillId="4" borderId="4" xfId="0" applyFont="true" applyBorder="true" applyAlignment="true" applyProtection="false">
      <alignment horizontal="center" vertical="center" textRotation="0" wrapText="true" indent="0" shrinkToFit="false"/>
      <protection locked="true" hidden="false"/>
    </xf>
    <xf numFmtId="167" fontId="12" fillId="5" borderId="4" xfId="0" applyFont="true" applyBorder="true" applyAlignment="true" applyProtection="false">
      <alignment horizontal="center" vertical="center" textRotation="0" wrapText="true" indent="0" shrinkToFit="false"/>
      <protection locked="true" hidden="false"/>
    </xf>
    <xf numFmtId="164" fontId="11" fillId="0" borderId="5" xfId="0" applyFont="true" applyBorder="true" applyAlignment="true" applyProtection="false">
      <alignment horizontal="right" vertical="center" textRotation="0" wrapText="false" indent="0" shrinkToFit="false"/>
      <protection locked="true" hidden="false"/>
    </xf>
    <xf numFmtId="168" fontId="17" fillId="0" borderId="5" xfId="0" applyFont="true" applyBorder="true" applyAlignment="true" applyProtection="false">
      <alignment horizontal="center" vertical="center" textRotation="0" wrapText="true" indent="0" shrinkToFit="false"/>
      <protection locked="true" hidden="false"/>
    </xf>
    <xf numFmtId="165" fontId="17" fillId="0" borderId="5" xfId="0" applyFont="true" applyBorder="true" applyAlignment="true" applyProtection="false">
      <alignment horizontal="center" vertical="center"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68.6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5" min="3" style="0" width="11"/>
    <col collapsed="false" customWidth="true" hidden="false" outlineLevel="0" max="6" min="6" style="0" width="4"/>
    <col collapsed="false" customWidth="true" hidden="false" outlineLevel="0" max="10" min="7" style="0" width="11"/>
  </cols>
  <sheetData>
    <row r="1" customFormat="false" ht="30" hidden="false" customHeight="true" outlineLevel="0" collapsed="false">
      <c r="A1" s="21" t="s">
        <v>35</v>
      </c>
      <c r="B1" s="21"/>
      <c r="C1" s="21"/>
      <c r="D1" s="21"/>
      <c r="E1" s="21"/>
      <c r="F1" s="21"/>
      <c r="G1" s="21"/>
      <c r="H1" s="21"/>
      <c r="I1" s="21"/>
      <c r="J1" s="21"/>
    </row>
    <row r="2" customFormat="false" ht="15" hidden="false" customHeight="true" outlineLevel="0" collapsed="false">
      <c r="A2" s="22" t="s">
        <v>36</v>
      </c>
      <c r="B2" s="22"/>
      <c r="C2" s="23" t="s">
        <v>37</v>
      </c>
      <c r="D2" s="23"/>
      <c r="E2" s="23"/>
      <c r="G2" s="22" t="s">
        <v>38</v>
      </c>
      <c r="H2" s="22"/>
      <c r="I2" s="24" t="s">
        <v>39</v>
      </c>
      <c r="J2" s="24"/>
    </row>
    <row r="3" customFormat="false" ht="18.65" hidden="false" customHeight="false" outlineLevel="0" collapsed="false">
      <c r="A3" s="22" t="s">
        <v>40</v>
      </c>
      <c r="B3" s="22"/>
      <c r="C3" s="25" t="n">
        <v>48</v>
      </c>
    </row>
    <row r="4" customFormat="false" ht="6" hidden="false" customHeight="true" outlineLevel="0" collapsed="false"/>
    <row r="5" customFormat="false" ht="24" hidden="false" customHeight="true" outlineLevel="0" collapsed="false">
      <c r="A5" s="26" t="s">
        <v>41</v>
      </c>
      <c r="B5" s="26"/>
      <c r="C5" s="26"/>
      <c r="D5" s="26"/>
      <c r="E5" s="26"/>
      <c r="F5" s="26"/>
      <c r="G5" s="26"/>
      <c r="H5" s="26"/>
      <c r="I5" s="26"/>
      <c r="J5" s="26"/>
    </row>
    <row r="6" customFormat="false" ht="15" hidden="false" customHeight="false" outlineLevel="0" collapsed="false">
      <c r="A6" s="27" t="s">
        <v>42</v>
      </c>
      <c r="B6" s="27" t="s">
        <v>43</v>
      </c>
      <c r="C6" s="27" t="s">
        <v>44</v>
      </c>
      <c r="D6" s="27" t="s">
        <v>45</v>
      </c>
      <c r="E6" s="27" t="s">
        <v>46</v>
      </c>
      <c r="F6" s="27"/>
      <c r="G6" s="27" t="s">
        <v>47</v>
      </c>
      <c r="H6" s="27" t="s">
        <v>48</v>
      </c>
      <c r="I6" s="27" t="s">
        <v>49</v>
      </c>
      <c r="J6" s="27" t="s">
        <v>50</v>
      </c>
    </row>
    <row r="7" customFormat="false" ht="19.5" hidden="false" customHeight="true" outlineLevel="0" collapsed="false">
      <c r="A7" s="28" t="s">
        <v>51</v>
      </c>
      <c r="B7" s="29" t="n">
        <v>40</v>
      </c>
      <c r="C7" s="30" t="n">
        <f aca="false">IF($C$3&gt;0,B7/$C$3,0)</f>
        <v>0.833333333333333</v>
      </c>
      <c r="D7" s="31" t="s">
        <v>52</v>
      </c>
      <c r="E7" s="32"/>
      <c r="F7" s="33"/>
      <c r="G7" s="29" t="n">
        <v>40</v>
      </c>
      <c r="H7" s="29"/>
      <c r="I7" s="29"/>
      <c r="J7" s="29"/>
    </row>
    <row r="8" customFormat="false" ht="19.5" hidden="false" customHeight="true" outlineLevel="0" collapsed="false">
      <c r="A8" s="28" t="s">
        <v>53</v>
      </c>
      <c r="B8" s="29" t="n">
        <v>6</v>
      </c>
      <c r="C8" s="30" t="n">
        <f aca="false">IF($C$3&gt;0,B8/$C$3,0)</f>
        <v>0.125</v>
      </c>
      <c r="D8" s="34" t="n">
        <v>0.15</v>
      </c>
      <c r="E8" s="35" t="n">
        <f aca="false">C8-D8</f>
        <v>-0.025</v>
      </c>
      <c r="F8" s="33"/>
      <c r="G8" s="29" t="n">
        <v>6</v>
      </c>
      <c r="H8" s="29"/>
      <c r="I8" s="29"/>
      <c r="J8" s="29"/>
    </row>
    <row r="9" customFormat="false" ht="19.5" hidden="false" customHeight="true" outlineLevel="0" collapsed="false">
      <c r="A9" s="28" t="s">
        <v>54</v>
      </c>
      <c r="B9" s="29" t="n">
        <v>0</v>
      </c>
      <c r="C9" s="30" t="n">
        <f aca="false">IF($C$3&gt;0,B9/$C$3,0)</f>
        <v>0</v>
      </c>
      <c r="D9" s="31" t="s">
        <v>52</v>
      </c>
      <c r="E9" s="32"/>
      <c r="F9" s="33"/>
      <c r="G9" s="29" t="n">
        <v>0</v>
      </c>
      <c r="H9" s="29"/>
      <c r="I9" s="29"/>
      <c r="J9" s="29"/>
    </row>
    <row r="10" customFormat="false" ht="19.5" hidden="false" customHeight="true" outlineLevel="0" collapsed="false">
      <c r="A10" s="28" t="s">
        <v>55</v>
      </c>
      <c r="B10" s="29" t="n">
        <v>2</v>
      </c>
      <c r="C10" s="30" t="n">
        <f aca="false">IF($C$3&gt;0,B10/$C$3,0)</f>
        <v>0.0416666666666667</v>
      </c>
      <c r="D10" s="31" t="s">
        <v>52</v>
      </c>
      <c r="E10" s="32"/>
      <c r="F10" s="33"/>
      <c r="G10" s="29" t="n">
        <v>2</v>
      </c>
      <c r="H10" s="29"/>
      <c r="I10" s="29"/>
      <c r="J10" s="29"/>
    </row>
    <row r="11" customFormat="false" ht="15" hidden="false" customHeight="false" outlineLevel="0" collapsed="false">
      <c r="A11" s="36" t="s">
        <v>56</v>
      </c>
      <c r="B11" s="37" t="n">
        <f aca="false">SUM(B7:B10)</f>
        <v>48</v>
      </c>
      <c r="C11" s="38" t="n">
        <f aca="false">SUM(C7:C10)</f>
        <v>1</v>
      </c>
      <c r="D11" s="39"/>
      <c r="E11" s="39"/>
      <c r="F11" s="39"/>
      <c r="G11" s="37" t="n">
        <f aca="false">SUM(G7:G10)</f>
        <v>48</v>
      </c>
      <c r="H11" s="39"/>
      <c r="I11" s="39"/>
      <c r="J11" s="39"/>
    </row>
    <row r="13" customFormat="false" ht="24" hidden="false" customHeight="true" outlineLevel="0" collapsed="false">
      <c r="A13" s="26" t="s">
        <v>57</v>
      </c>
      <c r="B13" s="26"/>
      <c r="C13" s="26"/>
      <c r="D13" s="26"/>
      <c r="E13" s="26"/>
      <c r="F13" s="26"/>
      <c r="G13" s="26"/>
      <c r="H13" s="26"/>
      <c r="I13" s="26"/>
      <c r="J13" s="26"/>
    </row>
    <row r="14" customFormat="false" ht="15" hidden="false" customHeight="false" outlineLevel="0" collapsed="false">
      <c r="A14" s="27" t="s">
        <v>42</v>
      </c>
      <c r="B14" s="27" t="s">
        <v>43</v>
      </c>
      <c r="C14" s="27" t="s">
        <v>44</v>
      </c>
      <c r="D14" s="27" t="s">
        <v>45</v>
      </c>
      <c r="E14" s="27" t="s">
        <v>46</v>
      </c>
      <c r="F14" s="27"/>
      <c r="G14" s="27" t="s">
        <v>47</v>
      </c>
      <c r="H14" s="27" t="s">
        <v>48</v>
      </c>
      <c r="I14" s="27" t="s">
        <v>49</v>
      </c>
      <c r="J14" s="27" t="s">
        <v>50</v>
      </c>
    </row>
    <row r="15" customFormat="false" ht="19.5" hidden="false" customHeight="true" outlineLevel="0" collapsed="false">
      <c r="A15" s="28" t="s">
        <v>58</v>
      </c>
      <c r="B15" s="29" t="n">
        <v>5</v>
      </c>
      <c r="C15" s="30" t="n">
        <f aca="false">IF($C$3&gt;0,B15/$C$3,0)</f>
        <v>0.104166666666667</v>
      </c>
      <c r="D15" s="34" t="n">
        <v>0.1</v>
      </c>
      <c r="E15" s="35" t="n">
        <f aca="false">C15-D15</f>
        <v>0.00416666666666667</v>
      </c>
      <c r="F15" s="33"/>
      <c r="G15" s="29" t="n">
        <v>5</v>
      </c>
      <c r="H15" s="29"/>
      <c r="I15" s="29"/>
      <c r="J15" s="29"/>
    </row>
    <row r="16" customFormat="false" ht="19.5" hidden="false" customHeight="true" outlineLevel="0" collapsed="false">
      <c r="A16" s="28" t="s">
        <v>59</v>
      </c>
      <c r="B16" s="29" t="n">
        <v>14</v>
      </c>
      <c r="C16" s="30" t="n">
        <f aca="false">IF($C$3&gt;0,B16/$C$3,0)</f>
        <v>0.291666666666667</v>
      </c>
      <c r="D16" s="31" t="s">
        <v>52</v>
      </c>
      <c r="E16" s="32"/>
      <c r="F16" s="33"/>
      <c r="G16" s="29" t="n">
        <v>14</v>
      </c>
      <c r="H16" s="29"/>
      <c r="I16" s="29"/>
      <c r="J16" s="29"/>
    </row>
    <row r="17" customFormat="false" ht="19.5" hidden="false" customHeight="true" outlineLevel="0" collapsed="false">
      <c r="A17" s="28" t="s">
        <v>60</v>
      </c>
      <c r="B17" s="29" t="n">
        <v>16</v>
      </c>
      <c r="C17" s="30" t="n">
        <f aca="false">IF($C$3&gt;0,B17/$C$3,0)</f>
        <v>0.333333333333333</v>
      </c>
      <c r="D17" s="31" t="s">
        <v>52</v>
      </c>
      <c r="E17" s="32"/>
      <c r="F17" s="33"/>
      <c r="G17" s="29" t="n">
        <v>16</v>
      </c>
      <c r="H17" s="29"/>
      <c r="I17" s="29"/>
      <c r="J17" s="29"/>
    </row>
    <row r="18" customFormat="false" ht="19.5" hidden="false" customHeight="true" outlineLevel="0" collapsed="false">
      <c r="A18" s="28" t="s">
        <v>61</v>
      </c>
      <c r="B18" s="29" t="n">
        <v>9</v>
      </c>
      <c r="C18" s="30" t="n">
        <f aca="false">IF($C$3&gt;0,B18/$C$3,0)</f>
        <v>0.1875</v>
      </c>
      <c r="D18" s="31" t="s">
        <v>52</v>
      </c>
      <c r="E18" s="32"/>
      <c r="F18" s="33"/>
      <c r="G18" s="29" t="n">
        <v>9</v>
      </c>
      <c r="H18" s="29"/>
      <c r="I18" s="29"/>
      <c r="J18" s="29"/>
    </row>
    <row r="19" customFormat="false" ht="19.5" hidden="false" customHeight="true" outlineLevel="0" collapsed="false">
      <c r="A19" s="28" t="s">
        <v>62</v>
      </c>
      <c r="B19" s="29" t="n">
        <v>3</v>
      </c>
      <c r="C19" s="30" t="n">
        <f aca="false">IF($C$3&gt;0,B19/$C$3,0)</f>
        <v>0.0625</v>
      </c>
      <c r="D19" s="31" t="s">
        <v>52</v>
      </c>
      <c r="E19" s="32"/>
      <c r="F19" s="33"/>
      <c r="G19" s="29" t="n">
        <v>3</v>
      </c>
      <c r="H19" s="29"/>
      <c r="I19" s="29"/>
      <c r="J19" s="29"/>
    </row>
    <row r="20" customFormat="false" ht="19.5" hidden="false" customHeight="true" outlineLevel="0" collapsed="false">
      <c r="A20" s="28" t="s">
        <v>63</v>
      </c>
      <c r="B20" s="29" t="n">
        <v>1</v>
      </c>
      <c r="C20" s="30" t="n">
        <f aca="false">IF($C$3&gt;0,B20/$C$3,0)</f>
        <v>0.0208333333333333</v>
      </c>
      <c r="D20" s="31" t="s">
        <v>52</v>
      </c>
      <c r="E20" s="32"/>
      <c r="F20" s="33"/>
      <c r="G20" s="29" t="n">
        <v>1</v>
      </c>
      <c r="H20" s="29"/>
      <c r="I20" s="29"/>
      <c r="J20" s="29"/>
    </row>
    <row r="21" customFormat="false" ht="15" hidden="false" customHeight="false" outlineLevel="0" collapsed="false">
      <c r="A21" s="36" t="s">
        <v>56</v>
      </c>
      <c r="B21" s="37" t="n">
        <f aca="false">SUM(B15:B20)</f>
        <v>48</v>
      </c>
      <c r="C21" s="38" t="n">
        <f aca="false">SUM(C15:C20)</f>
        <v>1</v>
      </c>
      <c r="D21" s="39"/>
      <c r="E21" s="39"/>
      <c r="F21" s="39"/>
      <c r="G21" s="37" t="n">
        <f aca="false">SUM(G15:G20)</f>
        <v>48</v>
      </c>
      <c r="H21" s="39"/>
      <c r="I21" s="39"/>
      <c r="J21" s="39"/>
    </row>
    <row r="23" customFormat="false" ht="24" hidden="false" customHeight="true" outlineLevel="0" collapsed="false">
      <c r="A23" s="26" t="s">
        <v>64</v>
      </c>
      <c r="B23" s="26"/>
      <c r="C23" s="26"/>
      <c r="D23" s="26"/>
      <c r="E23" s="26"/>
      <c r="F23" s="26"/>
      <c r="G23" s="26"/>
      <c r="H23" s="26"/>
      <c r="I23" s="26"/>
      <c r="J23" s="26"/>
    </row>
    <row r="24" customFormat="false" ht="15" hidden="false" customHeight="false" outlineLevel="0" collapsed="false">
      <c r="A24" s="27" t="s">
        <v>42</v>
      </c>
      <c r="B24" s="27" t="s">
        <v>43</v>
      </c>
      <c r="C24" s="27" t="s">
        <v>44</v>
      </c>
      <c r="D24" s="27" t="s">
        <v>45</v>
      </c>
      <c r="E24" s="27" t="s">
        <v>46</v>
      </c>
      <c r="F24" s="27"/>
      <c r="G24" s="27" t="s">
        <v>47</v>
      </c>
      <c r="H24" s="27" t="s">
        <v>48</v>
      </c>
      <c r="I24" s="27" t="s">
        <v>49</v>
      </c>
      <c r="J24" s="27" t="s">
        <v>50</v>
      </c>
    </row>
    <row r="25" customFormat="false" ht="19.5" hidden="false" customHeight="true" outlineLevel="0" collapsed="false">
      <c r="A25" s="28" t="s">
        <v>65</v>
      </c>
      <c r="B25" s="29" t="n">
        <v>32</v>
      </c>
      <c r="C25" s="30" t="n">
        <f aca="false">IF($C$3&gt;0,B25/$C$3,0)</f>
        <v>0.666666666666667</v>
      </c>
      <c r="D25" s="31" t="s">
        <v>52</v>
      </c>
      <c r="E25" s="32"/>
      <c r="F25" s="33"/>
      <c r="G25" s="29" t="n">
        <v>32</v>
      </c>
      <c r="H25" s="29"/>
      <c r="I25" s="29"/>
      <c r="J25" s="29"/>
    </row>
    <row r="26" customFormat="false" ht="19.5" hidden="false" customHeight="true" outlineLevel="0" collapsed="false">
      <c r="A26" s="28" t="s">
        <v>66</v>
      </c>
      <c r="B26" s="29" t="n">
        <v>8</v>
      </c>
      <c r="C26" s="30" t="n">
        <f aca="false">IF($C$3&gt;0,B26/$C$3,0)</f>
        <v>0.166666666666667</v>
      </c>
      <c r="D26" s="31" t="s">
        <v>52</v>
      </c>
      <c r="E26" s="32"/>
      <c r="F26" s="33"/>
      <c r="G26" s="29" t="n">
        <v>8</v>
      </c>
      <c r="H26" s="29"/>
      <c r="I26" s="29"/>
      <c r="J26" s="29"/>
    </row>
    <row r="27" customFormat="false" ht="19.5" hidden="false" customHeight="true" outlineLevel="0" collapsed="false">
      <c r="A27" s="28" t="s">
        <v>67</v>
      </c>
      <c r="B27" s="29" t="n">
        <v>4</v>
      </c>
      <c r="C27" s="30" t="n">
        <f aca="false">IF($C$3&gt;0,B27/$C$3,0)</f>
        <v>0.0833333333333333</v>
      </c>
      <c r="D27" s="31" t="s">
        <v>52</v>
      </c>
      <c r="E27" s="32"/>
      <c r="F27" s="33"/>
      <c r="G27" s="29" t="n">
        <v>4</v>
      </c>
      <c r="H27" s="29"/>
      <c r="I27" s="29"/>
      <c r="J27" s="29"/>
    </row>
    <row r="28" customFormat="false" ht="19.5" hidden="false" customHeight="true" outlineLevel="0" collapsed="false">
      <c r="A28" s="28" t="s">
        <v>68</v>
      </c>
      <c r="B28" s="29" t="n">
        <v>2</v>
      </c>
      <c r="C28" s="30" t="n">
        <f aca="false">IF($C$3&gt;0,B28/$C$3,0)</f>
        <v>0.0416666666666667</v>
      </c>
      <c r="D28" s="31" t="s">
        <v>52</v>
      </c>
      <c r="E28" s="32"/>
      <c r="F28" s="33"/>
      <c r="G28" s="29" t="n">
        <v>2</v>
      </c>
      <c r="H28" s="29"/>
      <c r="I28" s="29"/>
      <c r="J28" s="29"/>
    </row>
    <row r="29" customFormat="false" ht="19.5" hidden="false" customHeight="true" outlineLevel="0" collapsed="false">
      <c r="A29" s="28" t="s">
        <v>69</v>
      </c>
      <c r="B29" s="29" t="n">
        <v>1</v>
      </c>
      <c r="C29" s="30" t="n">
        <f aca="false">IF($C$3&gt;0,B29/$C$3,0)</f>
        <v>0.0208333333333333</v>
      </c>
      <c r="D29" s="31" t="s">
        <v>52</v>
      </c>
      <c r="E29" s="32"/>
      <c r="F29" s="33"/>
      <c r="G29" s="29" t="n">
        <v>1</v>
      </c>
      <c r="H29" s="29"/>
      <c r="I29" s="29"/>
      <c r="J29" s="29"/>
    </row>
    <row r="30" customFormat="false" ht="19.5" hidden="false" customHeight="true" outlineLevel="0" collapsed="false">
      <c r="A30" s="28" t="s">
        <v>70</v>
      </c>
      <c r="B30" s="29" t="n">
        <v>0</v>
      </c>
      <c r="C30" s="30" t="n">
        <f aca="false">IF($C$3&gt;0,B30/$C$3,0)</f>
        <v>0</v>
      </c>
      <c r="D30" s="31" t="s">
        <v>52</v>
      </c>
      <c r="E30" s="32"/>
      <c r="F30" s="33"/>
      <c r="G30" s="29" t="n">
        <v>0</v>
      </c>
      <c r="H30" s="29"/>
      <c r="I30" s="29"/>
      <c r="J30" s="29"/>
    </row>
    <row r="31" customFormat="false" ht="19.5" hidden="false" customHeight="true" outlineLevel="0" collapsed="false">
      <c r="A31" s="28" t="s">
        <v>55</v>
      </c>
      <c r="B31" s="29" t="n">
        <v>1</v>
      </c>
      <c r="C31" s="30" t="n">
        <f aca="false">IF($C$3&gt;0,B31/$C$3,0)</f>
        <v>0.0208333333333333</v>
      </c>
      <c r="D31" s="31" t="s">
        <v>52</v>
      </c>
      <c r="E31" s="32"/>
      <c r="F31" s="33"/>
      <c r="G31" s="29" t="n">
        <v>1</v>
      </c>
      <c r="H31" s="29"/>
      <c r="I31" s="29"/>
      <c r="J31" s="29"/>
    </row>
    <row r="32" customFormat="false" ht="15" hidden="false" customHeight="false" outlineLevel="0" collapsed="false">
      <c r="A32" s="36" t="s">
        <v>56</v>
      </c>
      <c r="B32" s="37" t="n">
        <f aca="false">SUM(B25:B31)</f>
        <v>48</v>
      </c>
      <c r="C32" s="38" t="n">
        <f aca="false">SUM(C25:C31)</f>
        <v>1</v>
      </c>
      <c r="D32" s="39"/>
      <c r="E32" s="39"/>
      <c r="F32" s="39"/>
      <c r="G32" s="37" t="n">
        <f aca="false">SUM(G25:G31)</f>
        <v>48</v>
      </c>
      <c r="H32" s="39"/>
      <c r="I32" s="39"/>
      <c r="J32" s="39"/>
    </row>
    <row r="34" customFormat="false" ht="24" hidden="false" customHeight="true" outlineLevel="0" collapsed="false">
      <c r="A34" s="26" t="s">
        <v>71</v>
      </c>
      <c r="B34" s="26"/>
      <c r="C34" s="26"/>
      <c r="D34" s="26"/>
      <c r="E34" s="26"/>
      <c r="F34" s="26"/>
      <c r="G34" s="26"/>
      <c r="H34" s="26"/>
      <c r="I34" s="26"/>
      <c r="J34" s="26"/>
    </row>
    <row r="35" customFormat="false" ht="15" hidden="false" customHeight="false" outlineLevel="0" collapsed="false">
      <c r="A35" s="27" t="s">
        <v>42</v>
      </c>
      <c r="B35" s="27" t="s">
        <v>43</v>
      </c>
      <c r="C35" s="27" t="s">
        <v>44</v>
      </c>
      <c r="D35" s="27" t="s">
        <v>45</v>
      </c>
      <c r="E35" s="27" t="s">
        <v>46</v>
      </c>
      <c r="F35" s="27"/>
      <c r="G35" s="27" t="s">
        <v>47</v>
      </c>
      <c r="H35" s="27" t="s">
        <v>48</v>
      </c>
      <c r="I35" s="27" t="s">
        <v>49</v>
      </c>
      <c r="J35" s="27" t="s">
        <v>50</v>
      </c>
    </row>
    <row r="36" customFormat="false" ht="19.5" hidden="false" customHeight="true" outlineLevel="0" collapsed="false">
      <c r="A36" s="28" t="s">
        <v>72</v>
      </c>
      <c r="B36" s="29" t="n">
        <v>42</v>
      </c>
      <c r="C36" s="30" t="n">
        <f aca="false">IF($C$3&gt;0,B36/$C$3,0)</f>
        <v>0.875</v>
      </c>
      <c r="D36" s="31" t="s">
        <v>52</v>
      </c>
      <c r="E36" s="32"/>
      <c r="F36" s="33"/>
      <c r="G36" s="29" t="n">
        <v>42</v>
      </c>
      <c r="H36" s="29"/>
      <c r="I36" s="29"/>
      <c r="J36" s="29"/>
    </row>
    <row r="37" customFormat="false" ht="19.5" hidden="false" customHeight="true" outlineLevel="0" collapsed="false">
      <c r="A37" s="28" t="s">
        <v>73</v>
      </c>
      <c r="B37" s="29" t="n">
        <v>3</v>
      </c>
      <c r="C37" s="30" t="n">
        <f aca="false">IF($C$3&gt;0,B37/$C$3,0)</f>
        <v>0.0625</v>
      </c>
      <c r="D37" s="31" t="s">
        <v>52</v>
      </c>
      <c r="E37" s="32"/>
      <c r="F37" s="33"/>
      <c r="G37" s="29" t="n">
        <v>3</v>
      </c>
      <c r="H37" s="29"/>
      <c r="I37" s="29"/>
      <c r="J37" s="29"/>
    </row>
    <row r="38" customFormat="false" ht="19.5" hidden="false" customHeight="true" outlineLevel="0" collapsed="false">
      <c r="A38" s="28" t="s">
        <v>55</v>
      </c>
      <c r="B38" s="29" t="n">
        <v>3</v>
      </c>
      <c r="C38" s="30" t="n">
        <f aca="false">IF($C$3&gt;0,B38/$C$3,0)</f>
        <v>0.0625</v>
      </c>
      <c r="D38" s="31" t="s">
        <v>52</v>
      </c>
      <c r="E38" s="32"/>
      <c r="F38" s="33"/>
      <c r="G38" s="29" t="n">
        <v>3</v>
      </c>
      <c r="H38" s="29"/>
      <c r="I38" s="29"/>
      <c r="J38" s="29"/>
    </row>
    <row r="39" customFormat="false" ht="15" hidden="false" customHeight="false" outlineLevel="0" collapsed="false">
      <c r="A39" s="36" t="s">
        <v>56</v>
      </c>
      <c r="B39" s="37" t="n">
        <f aca="false">SUM(B36:B38)</f>
        <v>48</v>
      </c>
      <c r="C39" s="38" t="n">
        <f aca="false">SUM(C36:C38)</f>
        <v>1</v>
      </c>
      <c r="D39" s="39"/>
      <c r="E39" s="39"/>
      <c r="F39" s="39"/>
      <c r="G39" s="37" t="n">
        <f aca="false">SUM(G36:G38)</f>
        <v>48</v>
      </c>
      <c r="H39" s="39"/>
      <c r="I39" s="39"/>
      <c r="J39" s="39"/>
    </row>
    <row r="41" customFormat="false" ht="24" hidden="false" customHeight="true" outlineLevel="0" collapsed="false">
      <c r="A41" s="26" t="s">
        <v>74</v>
      </c>
      <c r="B41" s="26"/>
      <c r="C41" s="26"/>
      <c r="D41" s="26"/>
      <c r="E41" s="26"/>
      <c r="F41" s="26"/>
      <c r="G41" s="26"/>
      <c r="H41" s="26"/>
      <c r="I41" s="26"/>
      <c r="J41" s="26"/>
    </row>
    <row r="42" customFormat="false" ht="15" hidden="false" customHeight="false" outlineLevel="0" collapsed="false">
      <c r="A42" s="27" t="s">
        <v>42</v>
      </c>
      <c r="B42" s="27" t="s">
        <v>43</v>
      </c>
      <c r="C42" s="27" t="s">
        <v>44</v>
      </c>
      <c r="D42" s="27" t="s">
        <v>45</v>
      </c>
      <c r="E42" s="27" t="s">
        <v>46</v>
      </c>
      <c r="F42" s="27"/>
      <c r="G42" s="27" t="s">
        <v>47</v>
      </c>
      <c r="H42" s="27" t="s">
        <v>48</v>
      </c>
      <c r="I42" s="27" t="s">
        <v>49</v>
      </c>
      <c r="J42" s="27" t="s">
        <v>50</v>
      </c>
    </row>
    <row r="43" customFormat="false" ht="19.5" hidden="false" customHeight="true" outlineLevel="0" collapsed="false">
      <c r="A43" s="28" t="s">
        <v>75</v>
      </c>
      <c r="B43" s="29" t="n">
        <v>30</v>
      </c>
      <c r="C43" s="30" t="n">
        <f aca="false">IF($C$3&gt;0,B43/$C$3,0)</f>
        <v>0.625</v>
      </c>
      <c r="D43" s="34" t="n">
        <v>0.5</v>
      </c>
      <c r="E43" s="35" t="n">
        <f aca="false">C43-D43</f>
        <v>0.125</v>
      </c>
      <c r="F43" s="33"/>
      <c r="G43" s="29" t="n">
        <v>30</v>
      </c>
      <c r="H43" s="29"/>
      <c r="I43" s="29"/>
      <c r="J43" s="29"/>
    </row>
    <row r="44" customFormat="false" ht="19.5" hidden="false" customHeight="true" outlineLevel="0" collapsed="false">
      <c r="A44" s="28" t="s">
        <v>76</v>
      </c>
      <c r="B44" s="29" t="n">
        <v>18</v>
      </c>
      <c r="C44" s="30" t="n">
        <f aca="false">IF($C$3&gt;0,B44/$C$3,0)</f>
        <v>0.375</v>
      </c>
      <c r="D44" s="31" t="s">
        <v>52</v>
      </c>
      <c r="E44" s="32"/>
      <c r="F44" s="33"/>
      <c r="G44" s="29" t="n">
        <v>18</v>
      </c>
      <c r="H44" s="29"/>
      <c r="I44" s="29"/>
      <c r="J44" s="29"/>
    </row>
    <row r="45" customFormat="false" ht="15" hidden="false" customHeight="false" outlineLevel="0" collapsed="false">
      <c r="A45" s="36" t="s">
        <v>56</v>
      </c>
      <c r="B45" s="37" t="n">
        <f aca="false">SUM(B43:B44)</f>
        <v>48</v>
      </c>
      <c r="C45" s="38" t="n">
        <f aca="false">SUM(C43:C44)</f>
        <v>1</v>
      </c>
      <c r="D45" s="39"/>
      <c r="E45" s="39"/>
      <c r="F45" s="39"/>
      <c r="G45" s="37" t="n">
        <f aca="false">SUM(G43:G44)</f>
        <v>48</v>
      </c>
      <c r="H45" s="39"/>
      <c r="I45" s="39"/>
      <c r="J45" s="39"/>
    </row>
    <row r="47" customFormat="false" ht="22.35" hidden="false" customHeight="true" outlineLevel="0" collapsed="false">
      <c r="A47" s="40" t="s">
        <v>77</v>
      </c>
      <c r="B47" s="40"/>
      <c r="C47" s="40"/>
      <c r="D47" s="40"/>
      <c r="E47" s="40"/>
      <c r="F47" s="40"/>
      <c r="G47" s="40"/>
      <c r="H47" s="40"/>
      <c r="I47" s="40"/>
      <c r="J47" s="40"/>
    </row>
  </sheetData>
  <mergeCells count="12">
    <mergeCell ref="A1:J1"/>
    <mergeCell ref="A2:B2"/>
    <mergeCell ref="C2:E2"/>
    <mergeCell ref="G2:H2"/>
    <mergeCell ref="I2:J2"/>
    <mergeCell ref="A3:B3"/>
    <mergeCell ref="A5:J5"/>
    <mergeCell ref="A13:J13"/>
    <mergeCell ref="A23:J23"/>
    <mergeCell ref="A34:J34"/>
    <mergeCell ref="A41:J41"/>
    <mergeCell ref="A47:J47"/>
  </mergeCells>
  <conditionalFormatting sqref="E5:E47">
    <cfRule type="expression" priority="2" aboveAverage="0" equalAverage="0" bottom="0" percent="0" rank="0" text="" dxfId="0">
      <formula>AND(ISNUMBER(E5),E5&gt;=0)</formula>
    </cfRule>
    <cfRule type="expression" priority="3" aboveAverage="0" equalAverage="0" bottom="0" percent="0" rank="0" text="" dxfId="1">
      <formula>AND(ISNUMBER(E5),E5&lt;0)</formula>
    </cfRule>
  </conditionalFormatting>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&amp;CEDI Monitoring Sheet</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78</v>
      </c>
    </row>
    <row r="2" customFormat="false" ht="15" hidden="false" customHeight="false" outlineLevel="0" collapsed="false">
      <c r="A2" s="20"/>
    </row>
    <row r="3" customFormat="false" ht="15" hidden="false" customHeight="false" outlineLevel="0" collapsed="false">
      <c r="A3" s="20" t="s">
        <v>79</v>
      </c>
    </row>
    <row r="4" customFormat="false" ht="15" hidden="false" customHeight="false" outlineLevel="0" collapsed="false">
      <c r="A4" s="20"/>
    </row>
    <row r="5" customFormat="false" ht="15" hidden="false" customHeight="false" outlineLevel="0" collapsed="false">
      <c r="A5" s="20" t="s">
        <v>80</v>
      </c>
    </row>
    <row r="6" customFormat="false" ht="15" hidden="false" customHeight="false" outlineLevel="0" collapsed="false">
      <c r="A6" s="20"/>
    </row>
    <row r="7" customFormat="false" ht="15" hidden="false" customHeight="false" outlineLevel="0" collapsed="false">
      <c r="A7" s="20" t="s">
        <v>81</v>
      </c>
    </row>
    <row r="8" customFormat="false" ht="15" hidden="false" customHeight="false" outlineLevel="0" collapsed="false">
      <c r="A8" s="20"/>
    </row>
    <row r="9" customFormat="false" ht="15" hidden="false" customHeight="false" outlineLevel="0" collapsed="false">
      <c r="A9" s="20" t="s">
        <v>82</v>
      </c>
    </row>
    <row r="10" customFormat="false" ht="15" hidden="false" customHeight="false" outlineLevel="0" collapsed="false">
      <c r="A10" s="20"/>
    </row>
    <row r="11" customFormat="false" ht="15" hidden="false" customHeight="false" outlineLevel="0" collapsed="false">
      <c r="A11" s="20" t="s">
        <v>83</v>
      </c>
    </row>
    <row r="12" customFormat="false" ht="15" hidden="false" customHeight="false" outlineLevel="0" collapsed="false">
      <c r="A12" s="20"/>
    </row>
    <row r="13" customFormat="false" ht="15" hidden="false" customHeight="false" outlineLevel="0" collapsed="false">
      <c r="A13" s="20" t="s">
        <v>84</v>
      </c>
    </row>
    <row r="14" customFormat="false" ht="15" hidden="false" customHeight="false" outlineLevel="0" collapsed="false">
      <c r="A14" s="20"/>
    </row>
    <row r="15" customFormat="false" ht="15" hidden="false" customHeight="false" outlineLevel="0" collapsed="false">
      <c r="A15" s="20" t="s">
        <v>85</v>
      </c>
    </row>
    <row r="16" customFormat="false" ht="15" hidden="false" customHeight="false" outlineLevel="0" collapsed="false">
      <c r="A16" s="20"/>
    </row>
    <row r="17" customFormat="false" ht="15" hidden="false" customHeight="false" outlineLevel="0" collapsed="false">
      <c r="A17" s="20"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People / HR</cp:category>
  <dcterms:created xsi:type="dcterms:W3CDTF">2026-03-23T07:31:08Z</dcterms:created>
  <dc:creator>Ebrora Ltd</dc:creator>
  <dc:description>Monitor workforce diversity across protected characteristics with aggregated summary data, target comparison, and quarterly trends.
Free professional construction management template from Ebrora Ltd. Visit ebrora.com for our full range of tools and templates.</dc:description>
  <cp:keywords>Ebrora construction equality diversity inclusion EDI monitoring Social Value HR people</cp:keywords>
  <dc:language>en-US</dc:language>
  <cp:lastModifiedBy>Ebrora Ltd</cp:lastModifiedBy>
  <dcterms:modified xsi:type="dcterms:W3CDTF">2026-03-23T07:31:08Z</dcterms:modified>
  <cp:revision>0</cp:revision>
  <dc:subject>Monitor workforce diversity across protected characteristics with aggregated summary data and target comparison.</dc:subject>
  <dc:title>Equality, Diversity &amp; Inclusion Monitoring Sheet</dc:title>
</cp:coreProperties>
</file>

<file path=docProps/custom.xml><?xml version="1.0" encoding="utf-8"?>
<Properties xmlns="http://schemas.openxmlformats.org/officeDocument/2006/custom-properties" xmlns:vt="http://schemas.openxmlformats.org/officeDocument/2006/docPropsVTypes"/>
</file>