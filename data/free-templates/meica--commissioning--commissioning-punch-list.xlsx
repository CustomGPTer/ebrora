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Punch List" sheetId="3" state="visible" r:id="rId5"/>
    <sheet name="Terms of Use" sheetId="4" state="hidden" r:id="rId6"/>
  </sheets>
  <definedNames>
    <definedName function="false" hidden="false" localSheetId="0" name="_xlnm.Print_Area" vbProcedure="false">Cover!$A$1:$H$20</definedName>
    <definedName function="false" hidden="false" localSheetId="2" name="_xlnm.Print_Area" vbProcedure="false">'Punch List'!$A$1:$P$58</definedName>
    <definedName function="false" hidden="true" localSheetId="2" name="_xlnm._FilterDatabase" vbProcedure="false">'Punch List'!$A$8:$P$8</definedName>
    <definedName function="false" hidden="false" name="DataTable" vbProcedure="false">'Punch List'!$A$8:$P$58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<sst xmlns="http://schemas.openxmlformats.org/spreadsheetml/2006/main" count="130" uniqueCount="118">
  <si>
    <t xml:space="preserve">EBRORA</t>
  </si>
  <si>
    <t xml:space="preserve">ebrora.com</t>
  </si>
  <si>
    <t xml:space="preserve">Commissioning Punch List</t>
  </si>
  <si>
    <t xml:space="preserve">Track, prioritise, and close out commissioning punch items — with A/B/C priority scoring, responsible parties, and target dates.</t>
  </si>
  <si>
    <t xml:space="preserve">This is a free template from Ebrora. For our full range of professional-grade construction management tools, visit ebrora.com</t>
  </si>
  <si>
    <t xml:space="preserve">© Ebrora 2026 — All rights reserved</t>
  </si>
  <si>
    <t xml:space="preserve">How to Use This Template</t>
  </si>
  <si>
    <t xml:space="preserve">Getting Started</t>
  </si>
  <si>
    <t xml:space="preserve">1.</t>
  </si>
  <si>
    <t xml:space="preserve">Go to the 'Punch List' sheet. Each row is a single punch item raised during commissioning.</t>
  </si>
  <si>
    <t xml:space="preserve">2.</t>
  </si>
  <si>
    <t xml:space="preserve">The Punch No. column uses an auto-incrementing format (PL-001, PL-002, etc.). Enter these manually or use your own numbering.</t>
  </si>
  <si>
    <t xml:space="preserve">3.</t>
  </si>
  <si>
    <t xml:space="preserve">Enter the date raised, a clear description of the defect or outstanding item, and the system/area it relates to.</t>
  </si>
  <si>
    <t xml:space="preserve">4.</t>
  </si>
  <si>
    <t xml:space="preserve">Assign a Priority from the dropdown: A (critical — prevents handover), B (significant — must fix before takeover), or C (minor — can be deferred to defects period).</t>
  </si>
  <si>
    <t xml:space="preserve">5.</t>
  </si>
  <si>
    <t xml:space="preserve">Assign the item to a responsible party (subcontractor, installer, or engineer) and set a target close-out date.</t>
  </si>
  <si>
    <t xml:space="preserve">6.</t>
  </si>
  <si>
    <t xml:space="preserve">Update the Status as work progresses: Open → In Progress → Closed → Verified. Items overdue against target date highlight automatically in red.</t>
  </si>
  <si>
    <t xml:space="preserve">7.</t>
  </si>
  <si>
    <t xml:space="preserve">When the item is resolved, enter the actual close-out date. The 'Days to Close' formula calculates automatically.</t>
  </si>
  <si>
    <t xml:space="preserve">Dashboard</t>
  </si>
  <si>
    <t xml:space="preserve">8.</t>
  </si>
  <si>
    <t xml:space="preserve">The summary block at the top shows total items, open/closed split, and a breakdown by priority. Use this for commissioning progress reporting.</t>
  </si>
  <si>
    <t xml:space="preserve">Optional Fields</t>
  </si>
  <si>
    <t xml:space="preserve">9.</t>
  </si>
  <si>
    <t xml:space="preserve">Click [+] to expand optional columns: Photo Ref, Originator, Verification Sign-Off, and Remarks. These support formal punch list close-out processes.</t>
  </si>
  <si>
    <t xml:space="preserve">Colour Key</t>
  </si>
  <si>
    <t xml:space="preserve">Light Teal cells</t>
  </si>
  <si>
    <t xml:space="preserve">Editable — enter your data here</t>
  </si>
  <si>
    <t xml:space="preserve">Dark Navy headers</t>
  </si>
  <si>
    <t xml:space="preserve">Do not edit — column headings and structure</t>
  </si>
  <si>
    <t xml:space="preserve">Green</t>
  </si>
  <si>
    <t xml:space="preserve">Closed or Verified</t>
  </si>
  <si>
    <t xml:space="preserve">Amber</t>
  </si>
  <si>
    <t xml:space="preserve">In Progress</t>
  </si>
  <si>
    <t xml:space="preserve">Red</t>
  </si>
  <si>
    <t xml:space="preserve">Open, overdue, or Priority A items</t>
  </si>
  <si>
    <t xml:space="preserve">Priority Definitions</t>
  </si>
  <si>
    <t xml:space="preserve">A</t>
  </si>
  <si>
    <t xml:space="preserve">Critical — prevents system handover or safe operation. Must be resolved before energisation / process start-up.</t>
  </si>
  <si>
    <t xml:space="preserve">B</t>
  </si>
  <si>
    <t xml:space="preserve">Significant — must be resolved before practical completion or client takeover. Does not prevent commissioning.</t>
  </si>
  <si>
    <t xml:space="preserve">C</t>
  </si>
  <si>
    <t xml:space="preserve">Minor — cosmetic or non-critical. Can be deferred to the defects liability period with client agreement.</t>
  </si>
  <si>
    <t xml:space="preserve">Tips</t>
  </si>
  <si>
    <t xml:space="preserve">•</t>
  </si>
  <si>
    <t xml:space="preserve">Filter by Priority A and Status Open to generate a critical items list for daily commissioning stand-ups.</t>
  </si>
  <si>
    <t xml:space="preserve">Use the 'Days to Close' column to identify slow-moving items — anything open more than 14 days should be escalated.</t>
  </si>
  <si>
    <t xml:space="preserve">Print landscape on A4 for commissioning walkdowns. Take a copy with you and mark items off on site.</t>
  </si>
  <si>
    <t xml:space="preserve">COMMISSIONING PUNCH LIST — STATUS DASHBOARD</t>
  </si>
  <si>
    <t xml:space="preserve">Total Items:</t>
  </si>
  <si>
    <t xml:space="preserve">Open:</t>
  </si>
  <si>
    <t xml:space="preserve">In Progress:</t>
  </si>
  <si>
    <t xml:space="preserve">Closed:</t>
  </si>
  <si>
    <t xml:space="preserve">Close-Out %:</t>
  </si>
  <si>
    <t xml:space="preserve">Priority A (Open):</t>
  </si>
  <si>
    <t xml:space="preserve">Priority B (Open):</t>
  </si>
  <si>
    <t xml:space="preserve">Priority C (Open):</t>
  </si>
  <si>
    <t xml:space="preserve">Overdue:</t>
  </si>
  <si>
    <t xml:space="preserve">Avg Days to Close:</t>
  </si>
  <si>
    <t xml:space="preserve">▸ Optional Fields — Click [+] to expand</t>
  </si>
  <si>
    <t xml:space="preserve">Punch No.</t>
  </si>
  <si>
    <t xml:space="preserve">Date Raised</t>
  </si>
  <si>
    <t xml:space="preserve">System / Area</t>
  </si>
  <si>
    <t xml:space="preserve">Description of Item</t>
  </si>
  <si>
    <t xml:space="preserve">Priority</t>
  </si>
  <si>
    <t xml:space="preserve">Discipline</t>
  </si>
  <si>
    <t xml:space="preserve">Responsible Party</t>
  </si>
  <si>
    <t xml:space="preserve">Raised By</t>
  </si>
  <si>
    <t xml:space="preserve">Target Date</t>
  </si>
  <si>
    <t xml:space="preserve">Status</t>
  </si>
  <si>
    <t xml:space="preserve">Close-Out Date</t>
  </si>
  <si>
    <t xml:space="preserve">Days to Close</t>
  </si>
  <si>
    <t xml:space="preserve">Photo Ref</t>
  </si>
  <si>
    <t xml:space="preserve">Originator</t>
  </si>
  <si>
    <t xml:space="preserve">Verified By</t>
  </si>
  <si>
    <t xml:space="preserve">Remarks</t>
  </si>
  <si>
    <t xml:space="preserve">PL-001</t>
  </si>
  <si>
    <t xml:space="preserve">Pump House PH-01</t>
  </si>
  <si>
    <t xml:space="preserve">Motor M-101 vibration alarm not configured in SCADA — requires point mapping and testing</t>
  </si>
  <si>
    <t xml:space="preserve">C&amp;I</t>
  </si>
  <si>
    <t xml:space="preserve">Automation Ltd</t>
  </si>
  <si>
    <t xml:space="preserve">J. Williams</t>
  </si>
  <si>
    <t xml:space="preserve">Open</t>
  </si>
  <si>
    <t xml:space="preserve">PL-002</t>
  </si>
  <si>
    <t xml:space="preserve">MCC Room</t>
  </si>
  <si>
    <t xml:space="preserve">MCC-01 Panel 3 door gasket damaged during cable pull — replacement gasket required</t>
  </si>
  <si>
    <t xml:space="preserve">Electrical</t>
  </si>
  <si>
    <t xml:space="preserve">SparksElec Ltd</t>
  </si>
  <si>
    <t xml:space="preserve">M. Khan</t>
  </si>
  <si>
    <t xml:space="preserve">PL-003</t>
  </si>
  <si>
    <t xml:space="preserve">Chemical Dosing</t>
  </si>
  <si>
    <t xml:space="preserve">Sodium Hypo dosing pump DP-201 discharge NRV installed backwards — needs reversing</t>
  </si>
  <si>
    <t xml:space="preserve">Mechanical</t>
  </si>
  <si>
    <t xml:space="preserve">PipeFit Ltd</t>
  </si>
  <si>
    <t xml:space="preserve">S. Patel</t>
  </si>
  <si>
    <t xml:space="preserve">Closed</t>
  </si>
  <si>
    <t xml:space="preserve">PL-004</t>
  </si>
  <si>
    <t xml:space="preserve">Outlet Chamber</t>
  </si>
  <si>
    <t xml:space="preserve">Flow meter FT-301 label plate missing — request replacement from ABB</t>
  </si>
  <si>
    <t xml:space="preserve">ABB Service</t>
  </si>
  <si>
    <t xml:space="preserve">PL-005</t>
  </si>
  <si>
    <t xml:space="preserve">Plant Room</t>
  </si>
  <si>
    <t xml:space="preserve">AHU-01 access panel bolts not torqued to spec — 3 of 8 bolts finger-tight only</t>
  </si>
  <si>
    <t xml:space="preserve">HVAC</t>
  </si>
  <si>
    <t xml:space="preserve">AirTech Ltd</t>
  </si>
  <si>
    <t xml:space="preserve">R. Davies</t>
  </si>
  <si>
    <t xml:space="preserve">EBRORA — TERMS OF USE</t>
  </si>
  <si>
    <t xml:space="preserve">This template is provided free of charge by Ebrora (ebrora.com) for personal and professional use.</t>
  </si>
  <si>
    <t xml:space="preserve">1. LICENCE: You may use this template for your own projects. You may not resell, redistribute, or claim authorship of this template.</t>
  </si>
  <si>
    <t xml:space="preserve">2. NO WARRANTY: This template is provided "as is" without warranty of any kind. Ebrora accepts no liability for errors, omissions, or losses arising from use of this template.</t>
  </si>
  <si>
    <t xml:space="preserve">3. INTELLECTUAL PROPERTY: All design, layout, branding, and content remain the intellectual property of Ebrora.</t>
  </si>
  <si>
    <t xml:space="preserve">4. MODIFICATIONS: You may modify this template for your own use. Modified versions may not be distributed or sold.</t>
  </si>
  <si>
    <t xml:space="preserve">5. ATTRIBUTION: If you share outputs generated using this template, attribution to Ebrora (ebrora.com) is appreciated but not required.</t>
  </si>
  <si>
    <t xml:space="preserve">6. 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</si>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</sst>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%"/>
    <numFmt numFmtId="167" formatCode="0.0"/>
    <numFmt numFmtId="168" formatCode="dd/mm/yyyy"/>
    <numFmt numFmtId="169" formatCode="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2"/>
      <color rgb="FF1B2A4A"/>
      <name val="Calibri"/>
      <family val="0"/>
      <charset val="1"/>
    </font>
    <font>
      <b val="true"/>
      <sz val="9"/>
      <color rgb="FF1B2A4A"/>
      <name val="Calibri"/>
      <family val="0"/>
      <charset val="1"/>
    </font>
    <font>
      <b val="true"/>
      <sz val="11"/>
      <color rgb="FF1B2A4A"/>
      <name val="Calibri"/>
      <family val="0"/>
      <charset val="1"/>
    </font>
    <font>
      <b val="true"/>
      <i val="true"/>
      <sz val="9"/>
      <color rgb="FF2AABB3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F2F2F2"/>
      </patternFill>
    </fill>
    <fill>
      <patternFill patternType="solid">
        <fgColor rgb="FFE8F6F7"/>
        <bgColor rgb="FFF2F2F2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2F2F2"/>
      </patternFill>
    </fill>
    <fill>
      <patternFill patternType="solid">
        <fgColor rgb="FFFFC7CE"/>
        <bgColor rgb="FFFFEB9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>
        <color rgb="FF2AABB3"/>
      </left>
      <right style="medium">
        <color rgb="FF2AABB3"/>
      </right>
      <top style="medium">
        <color rgb="FF2AABB3"/>
      </top>
      <bottom style="medium">
        <color rgb="FF2AABB3"/>
      </bottom>
      <diagonal/>
    </border>
    <border diagonalUp="false" diagonalDown="false">
      <left/>
      <right/>
      <top/>
      <bottom style="medium">
        <color rgb="FF2AABB3"/>
      </bottom>
      <diagonal/>
    </border>
    <border diagonalUp="false" diagonalDown="false"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  <diagonal/>
    </border>
    <border diagonalUp="false" diagonalDown="false">
      <left style="thin">
        <color rgb="FF2AABB3"/>
      </left>
      <right style="thin">
        <color rgb="FF2AABB3"/>
      </right>
      <top style="thin">
        <color rgb="FF2AABB3"/>
      </top>
      <bottom style="thin">
        <color rgb="FF2AABB3"/>
      </bottom>
      <diagonal/>
    </border>
    <border diagonalUp="false" diagonalDown="false"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8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3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ont>
        <name val="Calibri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ont>
        <name val="Calibri"/>
        <charset val="1"/>
        <family val="0"/>
        <b val="1"/>
        <color rgb="FF9C6500"/>
        <sz val="10"/>
      </font>
      <fill>
        <patternFill>
          <bgColor rgb="FFFFEB9C"/>
        </patternFill>
      </fill>
    </dxf>
    <dxf>
      <font>
        <name val="Calibri"/>
        <charset val="1"/>
        <family val="0"/>
        <b val="1"/>
        <color rgb="FF006100"/>
        <sz val="1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2F2F2"/>
      <rgbColor rgb="FFE8F6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false" outlineLevel="0" collapsed="false">
      <c r="A4" s="2" t="s">
        <v>1</v>
      </c>
      <c r="B4" s="2"/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</row>
    <row r="6" customFormat="false" ht="15" hidden="false" customHeight="false" outlineLevel="0" collapsed="false">
      <c r="A6" s="4" t="s">
        <v>2</v>
      </c>
      <c r="B6" s="4"/>
      <c r="C6" s="4"/>
      <c r="D6" s="4"/>
      <c r="E6" s="4"/>
      <c r="F6" s="4"/>
      <c r="G6" s="4"/>
      <c r="H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</row>
    <row r="10" customFormat="false" ht="15" hidden="false" customHeight="true" outlineLevel="0" collapsed="false">
      <c r="A10" s="5" t="s">
        <v>3</v>
      </c>
      <c r="B10" s="5"/>
      <c r="C10" s="5"/>
      <c r="D10" s="5"/>
      <c r="E10" s="5"/>
      <c r="F10" s="5"/>
      <c r="G10" s="5"/>
      <c r="H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</row>
    <row r="14" customFormat="false" ht="15" hidden="false" customHeight="true" outlineLevel="0" collapsed="false">
      <c r="A14" s="6" t="s">
        <v>4</v>
      </c>
      <c r="B14" s="6"/>
      <c r="C14" s="6"/>
      <c r="D14" s="6"/>
      <c r="E14" s="6"/>
      <c r="F14" s="6"/>
      <c r="G14" s="6"/>
      <c r="H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</row>
    <row r="19" customFormat="false" ht="15" hidden="false" customHeight="false" outlineLevel="0" collapsed="false">
      <c r="A19" s="7" t="s">
        <v>5</v>
      </c>
      <c r="B19" s="7"/>
      <c r="C19" s="7"/>
      <c r="D19" s="7"/>
      <c r="E19" s="7"/>
      <c r="F19" s="7"/>
      <c r="G19" s="7"/>
      <c r="H19" s="7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</row>
  </sheetData>
  <mergeCells count="6">
    <mergeCell ref="A1:H3"/>
    <mergeCell ref="A4:H4"/>
    <mergeCell ref="A6:H8"/>
    <mergeCell ref="A10:H11"/>
    <mergeCell ref="A14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  <col collapsed="false" customWidth="true" hidden="false" outlineLevel="0" max="6" min="3" style="0" width="18"/>
  </cols>
  <sheetData>
    <row r="1" customFormat="false" ht="18.65" hidden="false" customHeight="true" outlineLevel="0" collapsed="false">
      <c r="A1" s="8" t="s">
        <v>6</v>
      </c>
      <c r="B1" s="8"/>
      <c r="C1" s="8"/>
      <c r="D1" s="8"/>
      <c r="E1" s="8"/>
      <c r="F1" s="8"/>
    </row>
    <row r="3" customFormat="false" ht="15" hidden="false" customHeight="true" outlineLevel="0" collapsed="false">
      <c r="A3" s="9" t="s">
        <v>7</v>
      </c>
      <c r="B3" s="9"/>
      <c r="C3" s="9"/>
      <c r="D3" s="9"/>
      <c r="E3" s="9"/>
      <c r="F3" s="9"/>
    </row>
    <row r="4" customFormat="false" ht="15" hidden="false" customHeight="true" outlineLevel="0" collapsed="false">
      <c r="A4" s="10" t="s">
        <v>8</v>
      </c>
      <c r="B4" s="11" t="s">
        <v>9</v>
      </c>
      <c r="C4" s="11"/>
      <c r="D4" s="11"/>
      <c r="E4" s="11"/>
      <c r="F4" s="11"/>
    </row>
    <row r="5" customFormat="false" ht="15" hidden="false" customHeight="true" outlineLevel="0" collapsed="false">
      <c r="A5" s="10" t="s">
        <v>10</v>
      </c>
      <c r="B5" s="11" t="s">
        <v>11</v>
      </c>
      <c r="C5" s="11"/>
      <c r="D5" s="11"/>
      <c r="E5" s="11"/>
      <c r="F5" s="11"/>
    </row>
    <row r="6" customFormat="false" ht="15" hidden="false" customHeight="true" outlineLevel="0" collapsed="false">
      <c r="A6" s="10" t="s">
        <v>12</v>
      </c>
      <c r="B6" s="11" t="s">
        <v>13</v>
      </c>
      <c r="C6" s="11"/>
      <c r="D6" s="11"/>
      <c r="E6" s="11"/>
      <c r="F6" s="11"/>
    </row>
    <row r="7" customFormat="false" ht="15" hidden="false" customHeight="true" outlineLevel="0" collapsed="false">
      <c r="A7" s="10" t="s">
        <v>14</v>
      </c>
      <c r="B7" s="11" t="s">
        <v>15</v>
      </c>
      <c r="C7" s="11"/>
      <c r="D7" s="11"/>
      <c r="E7" s="11"/>
      <c r="F7" s="11"/>
    </row>
    <row r="8" customFormat="false" ht="15" hidden="false" customHeight="true" outlineLevel="0" collapsed="false">
      <c r="A8" s="10" t="s">
        <v>16</v>
      </c>
      <c r="B8" s="11" t="s">
        <v>17</v>
      </c>
      <c r="C8" s="11"/>
      <c r="D8" s="11"/>
      <c r="E8" s="11"/>
      <c r="F8" s="11"/>
    </row>
    <row r="9" customFormat="false" ht="15" hidden="false" customHeight="true" outlineLevel="0" collapsed="false">
      <c r="A9" s="10" t="s">
        <v>18</v>
      </c>
      <c r="B9" s="11" t="s">
        <v>19</v>
      </c>
      <c r="C9" s="11"/>
      <c r="D9" s="11"/>
      <c r="E9" s="11"/>
      <c r="F9" s="11"/>
    </row>
    <row r="10" customFormat="false" ht="15" hidden="false" customHeight="true" outlineLevel="0" collapsed="false">
      <c r="A10" s="10" t="s">
        <v>20</v>
      </c>
      <c r="B10" s="11" t="s">
        <v>21</v>
      </c>
      <c r="C10" s="11"/>
      <c r="D10" s="11"/>
      <c r="E10" s="11"/>
      <c r="F10" s="11"/>
    </row>
    <row r="12" customFormat="false" ht="15" hidden="false" customHeight="true" outlineLevel="0" collapsed="false">
      <c r="A12" s="9" t="s">
        <v>22</v>
      </c>
      <c r="B12" s="9"/>
      <c r="C12" s="9"/>
      <c r="D12" s="9"/>
      <c r="E12" s="9"/>
      <c r="F12" s="9"/>
    </row>
    <row r="13" customFormat="false" ht="15" hidden="false" customHeight="true" outlineLevel="0" collapsed="false">
      <c r="A13" s="10" t="s">
        <v>23</v>
      </c>
      <c r="B13" s="11" t="s">
        <v>24</v>
      </c>
      <c r="C13" s="11"/>
      <c r="D13" s="11"/>
      <c r="E13" s="11"/>
      <c r="F13" s="11"/>
    </row>
    <row r="15" customFormat="false" ht="15" hidden="false" customHeight="true" outlineLevel="0" collapsed="false">
      <c r="A15" s="9" t="s">
        <v>25</v>
      </c>
      <c r="B15" s="9"/>
      <c r="C15" s="9"/>
      <c r="D15" s="9"/>
      <c r="E15" s="9"/>
      <c r="F15" s="9"/>
    </row>
    <row r="16" customFormat="false" ht="15" hidden="false" customHeight="true" outlineLevel="0" collapsed="false">
      <c r="A16" s="10" t="s">
        <v>26</v>
      </c>
      <c r="B16" s="11" t="s">
        <v>27</v>
      </c>
      <c r="C16" s="11"/>
      <c r="D16" s="11"/>
      <c r="E16" s="11"/>
      <c r="F16" s="11"/>
    </row>
    <row r="18" customFormat="false" ht="18.65" hidden="false" customHeight="true" outlineLevel="0" collapsed="false">
      <c r="A18" s="8" t="s">
        <v>28</v>
      </c>
      <c r="B18" s="8"/>
      <c r="C18" s="8"/>
      <c r="D18" s="8"/>
      <c r="E18" s="8"/>
      <c r="F18" s="8"/>
    </row>
    <row r="20" customFormat="false" ht="15" hidden="false" customHeight="false" outlineLevel="0" collapsed="false">
      <c r="A20" s="12"/>
      <c r="B20" s="13" t="s">
        <v>29</v>
      </c>
      <c r="C20" s="13"/>
      <c r="D20" s="14" t="s">
        <v>30</v>
      </c>
      <c r="E20" s="14"/>
      <c r="F20" s="14"/>
    </row>
    <row r="21" customFormat="false" ht="15" hidden="false" customHeight="false" outlineLevel="0" collapsed="false">
      <c r="A21" s="15"/>
      <c r="B21" s="13" t="s">
        <v>31</v>
      </c>
      <c r="C21" s="13"/>
      <c r="D21" s="14" t="s">
        <v>32</v>
      </c>
      <c r="E21" s="14"/>
      <c r="F21" s="14"/>
    </row>
    <row r="22" customFormat="false" ht="15" hidden="false" customHeight="false" outlineLevel="0" collapsed="false">
      <c r="A22" s="16"/>
      <c r="B22" s="13" t="s">
        <v>33</v>
      </c>
      <c r="C22" s="13"/>
      <c r="D22" s="14" t="s">
        <v>34</v>
      </c>
      <c r="E22" s="14"/>
      <c r="F22" s="14"/>
    </row>
    <row r="23" customFormat="false" ht="15" hidden="false" customHeight="false" outlineLevel="0" collapsed="false">
      <c r="A23" s="17"/>
      <c r="B23" s="13" t="s">
        <v>35</v>
      </c>
      <c r="C23" s="13"/>
      <c r="D23" s="14" t="s">
        <v>36</v>
      </c>
      <c r="E23" s="14"/>
      <c r="F23" s="14"/>
    </row>
    <row r="24" customFormat="false" ht="15" hidden="false" customHeight="false" outlineLevel="0" collapsed="false">
      <c r="A24" s="18"/>
      <c r="B24" s="13" t="s">
        <v>37</v>
      </c>
      <c r="C24" s="13"/>
      <c r="D24" s="14" t="s">
        <v>38</v>
      </c>
      <c r="E24" s="14"/>
      <c r="F24" s="14"/>
    </row>
    <row r="26" customFormat="false" ht="18.65" hidden="false" customHeight="true" outlineLevel="0" collapsed="false">
      <c r="A26" s="8" t="s">
        <v>39</v>
      </c>
      <c r="B26" s="8"/>
      <c r="C26" s="8"/>
      <c r="D26" s="8"/>
      <c r="E26" s="8"/>
      <c r="F26" s="8"/>
    </row>
    <row r="28" customFormat="false" ht="15" hidden="false" customHeight="true" outlineLevel="0" collapsed="false">
      <c r="A28" s="19" t="s">
        <v>40</v>
      </c>
      <c r="B28" s="11" t="s">
        <v>41</v>
      </c>
      <c r="C28" s="11"/>
      <c r="D28" s="11"/>
      <c r="E28" s="11"/>
      <c r="F28" s="11"/>
    </row>
    <row r="29" customFormat="false" ht="15" hidden="false" customHeight="true" outlineLevel="0" collapsed="false">
      <c r="A29" s="20" t="s">
        <v>42</v>
      </c>
      <c r="B29" s="11" t="s">
        <v>43</v>
      </c>
      <c r="C29" s="11"/>
      <c r="D29" s="11"/>
      <c r="E29" s="11"/>
      <c r="F29" s="11"/>
    </row>
    <row r="30" customFormat="false" ht="15" hidden="false" customHeight="true" outlineLevel="0" collapsed="false">
      <c r="A30" s="21" t="s">
        <v>44</v>
      </c>
      <c r="B30" s="11" t="s">
        <v>45</v>
      </c>
      <c r="C30" s="11"/>
      <c r="D30" s="11"/>
      <c r="E30" s="11"/>
      <c r="F30" s="11"/>
    </row>
    <row r="32" customFormat="false" ht="18.65" hidden="false" customHeight="true" outlineLevel="0" collapsed="false">
      <c r="A32" s="8" t="s">
        <v>46</v>
      </c>
      <c r="B32" s="8"/>
      <c r="C32" s="8"/>
      <c r="D32" s="8"/>
      <c r="E32" s="8"/>
      <c r="F32" s="8"/>
    </row>
    <row r="34" customFormat="false" ht="15" hidden="false" customHeight="true" outlineLevel="0" collapsed="false">
      <c r="A34" s="10" t="s">
        <v>47</v>
      </c>
      <c r="B34" s="11" t="s">
        <v>48</v>
      </c>
      <c r="C34" s="11"/>
      <c r="D34" s="11"/>
      <c r="E34" s="11"/>
      <c r="F34" s="11"/>
    </row>
    <row r="35" customFormat="false" ht="15" hidden="false" customHeight="true" outlineLevel="0" collapsed="false">
      <c r="A35" s="10" t="s">
        <v>47</v>
      </c>
      <c r="B35" s="11" t="s">
        <v>49</v>
      </c>
      <c r="C35" s="11"/>
      <c r="D35" s="11"/>
      <c r="E35" s="11"/>
      <c r="F35" s="11"/>
    </row>
    <row r="36" customFormat="false" ht="15" hidden="false" customHeight="true" outlineLevel="0" collapsed="false">
      <c r="A36" s="10" t="s">
        <v>47</v>
      </c>
      <c r="B36" s="11" t="s">
        <v>50</v>
      </c>
      <c r="C36" s="11"/>
      <c r="D36" s="11"/>
      <c r="E36" s="11"/>
      <c r="F36" s="11"/>
    </row>
  </sheetData>
  <mergeCells count="32">
    <mergeCell ref="A1:F1"/>
    <mergeCell ref="A3:F3"/>
    <mergeCell ref="B4:F4"/>
    <mergeCell ref="B5:F5"/>
    <mergeCell ref="B6:F6"/>
    <mergeCell ref="B7:F7"/>
    <mergeCell ref="B8:F8"/>
    <mergeCell ref="B9:F9"/>
    <mergeCell ref="B10:F10"/>
    <mergeCell ref="A12:F12"/>
    <mergeCell ref="B13:F13"/>
    <mergeCell ref="A15:F15"/>
    <mergeCell ref="B16:F16"/>
    <mergeCell ref="A18:F18"/>
    <mergeCell ref="B20:C20"/>
    <mergeCell ref="D20:F20"/>
    <mergeCell ref="B21:C21"/>
    <mergeCell ref="D21:F21"/>
    <mergeCell ref="B22:C22"/>
    <mergeCell ref="D22:F22"/>
    <mergeCell ref="B23:C23"/>
    <mergeCell ref="D23:F23"/>
    <mergeCell ref="B24:C24"/>
    <mergeCell ref="D24:F24"/>
    <mergeCell ref="A26:F26"/>
    <mergeCell ref="B28:F28"/>
    <mergeCell ref="B29:F29"/>
    <mergeCell ref="B30:F30"/>
    <mergeCell ref="A32:F32"/>
    <mergeCell ref="B34:F34"/>
    <mergeCell ref="B35:F35"/>
    <mergeCell ref="B36:F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40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16"/>
    <col collapsed="false" customWidth="true" hidden="false" outlineLevel="0" max="11" min="9" style="0" width="14"/>
    <col collapsed="false" customWidth="true" hidden="false" outlineLevel="0" max="12" min="12" style="0" width="13"/>
    <col collapsed="false" customWidth="true" hidden="true" outlineLevel="1" max="16" min="13" style="0" width="14"/>
  </cols>
  <sheetData>
    <row r="1" customFormat="false" ht="18.65" hidden="false" customHeight="true" outlineLevel="0" collapsed="false">
      <c r="A1" s="22" t="s">
        <v>51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3" customFormat="false" ht="15" hidden="false" customHeight="false" outlineLevel="0" collapsed="false">
      <c r="A3" s="23" t="s">
        <v>52</v>
      </c>
      <c r="B3" s="24" t="n">
        <f aca="false">COUNTA(A9:A508)-COUNTBLANK(A9:A508)</f>
        <v>-490</v>
      </c>
      <c r="C3" s="23" t="s">
        <v>53</v>
      </c>
      <c r="D3" s="24" t="n">
        <f aca="false">COUNTIF(J9:J508,"Open")</f>
        <v>2</v>
      </c>
      <c r="E3" s="23" t="s">
        <v>54</v>
      </c>
      <c r="F3" s="24" t="n">
        <f aca="false">COUNTIF(J9:J508,"In Progress")</f>
        <v>2</v>
      </c>
      <c r="G3" s="23" t="s">
        <v>55</v>
      </c>
      <c r="H3" s="24" t="n">
        <f aca="false">COUNTIF(J9:J508,"Closed")+COUNTIF(J9:J508,"Verified")</f>
        <v>1</v>
      </c>
      <c r="I3" s="23" t="s">
        <v>56</v>
      </c>
      <c r="J3" s="25" t="n">
        <f aca="false">IF(B3&gt;0,H3/B3,0)</f>
        <v>0</v>
      </c>
      <c r="K3" s="3"/>
      <c r="L3" s="3"/>
      <c r="M3" s="3"/>
      <c r="N3" s="3"/>
      <c r="O3" s="3"/>
      <c r="P3" s="3"/>
    </row>
    <row r="4" customFormat="false" ht="15" hidden="false" customHeight="false" outlineLevel="0" collapsed="false">
      <c r="A4" s="26" t="s">
        <v>57</v>
      </c>
      <c r="B4" s="27" t="n">
        <f aca="false">COUNTIFS(E9:E508,"A",J9:J508,"Open")+COUNTIFS(E9:E508,"A",J9:J508,"In Progress")</f>
        <v>1</v>
      </c>
      <c r="C4" s="26" t="s">
        <v>58</v>
      </c>
      <c r="D4" s="27" t="n">
        <f aca="false">COUNTIFS(E9:E508,"B",J9:J508,"Open")+COUNTIFS(E9:E508,"B",J9:J508,"In Progress")</f>
        <v>2</v>
      </c>
      <c r="E4" s="26" t="s">
        <v>59</v>
      </c>
      <c r="F4" s="27" t="n">
        <f aca="false">COUNTIFS(E9:E508,"C",J9:J508,"Open")+COUNTIFS(E9:E508,"C",J9:J508,"In Progress")</f>
        <v>1</v>
      </c>
      <c r="G4" s="26" t="s">
        <v>60</v>
      </c>
      <c r="H4" s="27" t="n">
        <f aca="true">COUNTIFS(I9:I508,"&lt;"&amp;TODAY(),J9:J508,"&lt;&gt;Closed",J9:J508,"&lt;&gt;Verified",I9:I508,"&lt;&gt;")</f>
        <v>2</v>
      </c>
      <c r="I4" s="26" t="s">
        <v>61</v>
      </c>
      <c r="J4" s="28" t="n">
        <f aca="false">IFERROR(AVERAGEIFS(L9:L508,L9:L508,"&gt;0"),0)</f>
        <v>12.2</v>
      </c>
      <c r="K4" s="3"/>
      <c r="L4" s="3"/>
      <c r="M4" s="3"/>
      <c r="N4" s="3"/>
      <c r="O4" s="3"/>
      <c r="P4" s="3"/>
    </row>
    <row r="5" customFormat="false" ht="15" hidden="false" customHeight="false" outlineLevel="0" collapsed="false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</row>
    <row r="7" customFormat="false" ht="22.35" hidden="false" customHeight="true" outlineLevel="0" collapsed="false">
      <c r="M7" s="30" t="s">
        <v>62</v>
      </c>
      <c r="N7" s="30"/>
      <c r="O7" s="30"/>
      <c r="P7" s="30"/>
    </row>
    <row r="8" customFormat="false" ht="28.35" hidden="false" customHeight="false" outlineLevel="0" collapsed="false">
      <c r="A8" s="31" t="s">
        <v>63</v>
      </c>
      <c r="B8" s="31" t="s">
        <v>64</v>
      </c>
      <c r="C8" s="31" t="s">
        <v>65</v>
      </c>
      <c r="D8" s="31" t="s">
        <v>66</v>
      </c>
      <c r="E8" s="31" t="s">
        <v>67</v>
      </c>
      <c r="F8" s="31" t="s">
        <v>68</v>
      </c>
      <c r="G8" s="31" t="s">
        <v>69</v>
      </c>
      <c r="H8" s="31" t="s">
        <v>70</v>
      </c>
      <c r="I8" s="31" t="s">
        <v>71</v>
      </c>
      <c r="J8" s="31" t="s">
        <v>72</v>
      </c>
      <c r="K8" s="31" t="s">
        <v>73</v>
      </c>
      <c r="L8" s="31" t="s">
        <v>74</v>
      </c>
      <c r="M8" s="31" t="s">
        <v>75</v>
      </c>
      <c r="N8" s="31" t="s">
        <v>76</v>
      </c>
      <c r="O8" s="31" t="s">
        <v>77</v>
      </c>
      <c r="P8" s="31" t="s">
        <v>78</v>
      </c>
    </row>
    <row r="9" customFormat="false" ht="23.85" hidden="false" customHeight="false" outlineLevel="0" collapsed="false">
      <c r="A9" s="32" t="s">
        <v>79</v>
      </c>
      <c r="B9" s="33" t="n">
        <v>46085</v>
      </c>
      <c r="C9" s="32" t="s">
        <v>80</v>
      </c>
      <c r="D9" s="34" t="s">
        <v>81</v>
      </c>
      <c r="E9" s="32" t="s">
        <v>40</v>
      </c>
      <c r="F9" s="32" t="s">
        <v>82</v>
      </c>
      <c r="G9" s="34" t="s">
        <v>83</v>
      </c>
      <c r="H9" s="32" t="s">
        <v>84</v>
      </c>
      <c r="I9" s="33" t="n">
        <v>46099</v>
      </c>
      <c r="J9" s="32" t="s">
        <v>85</v>
      </c>
      <c r="K9" s="33"/>
      <c r="L9" s="35" t="n">
        <f aca="true">IF(AND(B9&lt;&gt;"",K9&lt;&gt;""),K9-B9,IF(AND(B9&lt;&gt;"",OR(J9="Open",J9="In Progress")),TODAY()-B9,""))</f>
        <v>18</v>
      </c>
      <c r="M9" s="32"/>
      <c r="N9" s="32"/>
      <c r="O9" s="32"/>
      <c r="P9" s="34"/>
    </row>
    <row r="10" customFormat="false" ht="23.85" hidden="false" customHeight="false" outlineLevel="0" collapsed="false">
      <c r="A10" s="32" t="s">
        <v>86</v>
      </c>
      <c r="B10" s="33" t="n">
        <v>46088</v>
      </c>
      <c r="C10" s="32" t="s">
        <v>87</v>
      </c>
      <c r="D10" s="34" t="s">
        <v>88</v>
      </c>
      <c r="E10" s="32" t="s">
        <v>42</v>
      </c>
      <c r="F10" s="32" t="s">
        <v>89</v>
      </c>
      <c r="G10" s="34" t="s">
        <v>90</v>
      </c>
      <c r="H10" s="32" t="s">
        <v>91</v>
      </c>
      <c r="I10" s="33" t="n">
        <v>46102</v>
      </c>
      <c r="J10" s="32" t="s">
        <v>36</v>
      </c>
      <c r="K10" s="33"/>
      <c r="L10" s="35" t="n">
        <f aca="true">IF(AND(B10&lt;&gt;"",K10&lt;&gt;""),K10-B10,IF(AND(B10&lt;&gt;"",OR(J10="Open",J10="In Progress")),TODAY()-B10,""))</f>
        <v>15</v>
      </c>
      <c r="M10" s="32"/>
      <c r="N10" s="32"/>
      <c r="O10" s="32"/>
      <c r="P10" s="34"/>
    </row>
    <row r="11" customFormat="false" ht="23.85" hidden="false" customHeight="false" outlineLevel="0" collapsed="false">
      <c r="A11" s="32" t="s">
        <v>92</v>
      </c>
      <c r="B11" s="33" t="n">
        <v>46091</v>
      </c>
      <c r="C11" s="32" t="s">
        <v>93</v>
      </c>
      <c r="D11" s="34" t="s">
        <v>94</v>
      </c>
      <c r="E11" s="32" t="s">
        <v>40</v>
      </c>
      <c r="F11" s="32" t="s">
        <v>95</v>
      </c>
      <c r="G11" s="34" t="s">
        <v>96</v>
      </c>
      <c r="H11" s="32" t="s">
        <v>97</v>
      </c>
      <c r="I11" s="33" t="n">
        <v>46098</v>
      </c>
      <c r="J11" s="32" t="s">
        <v>98</v>
      </c>
      <c r="K11" s="33" t="n">
        <v>46101</v>
      </c>
      <c r="L11" s="35" t="n">
        <f aca="true">IF(AND(B11&lt;&gt;"",K11&lt;&gt;""),K11-B11,IF(AND(B11&lt;&gt;"",OR(J11="Open",J11="In Progress")),TODAY()-B11,""))</f>
        <v>10</v>
      </c>
      <c r="M11" s="32"/>
      <c r="N11" s="32"/>
      <c r="O11" s="32"/>
      <c r="P11" s="34"/>
    </row>
    <row r="12" customFormat="false" ht="23.85" hidden="false" customHeight="false" outlineLevel="0" collapsed="false">
      <c r="A12" s="32" t="s">
        <v>99</v>
      </c>
      <c r="B12" s="33" t="n">
        <v>46093</v>
      </c>
      <c r="C12" s="32" t="s">
        <v>100</v>
      </c>
      <c r="D12" s="34" t="s">
        <v>101</v>
      </c>
      <c r="E12" s="32" t="s">
        <v>44</v>
      </c>
      <c r="F12" s="32" t="s">
        <v>82</v>
      </c>
      <c r="G12" s="34" t="s">
        <v>102</v>
      </c>
      <c r="H12" s="32" t="s">
        <v>84</v>
      </c>
      <c r="I12" s="33" t="n">
        <v>46110</v>
      </c>
      <c r="J12" s="32" t="s">
        <v>85</v>
      </c>
      <c r="K12" s="33"/>
      <c r="L12" s="35" t="n">
        <f aca="true">IF(AND(B12&lt;&gt;"",K12&lt;&gt;""),K12-B12,IF(AND(B12&lt;&gt;"",OR(J12="Open",J12="In Progress")),TODAY()-B12,""))</f>
        <v>10</v>
      </c>
      <c r="M12" s="32"/>
      <c r="N12" s="32"/>
      <c r="O12" s="32"/>
      <c r="P12" s="34"/>
    </row>
    <row r="13" customFormat="false" ht="23.85" hidden="false" customHeight="false" outlineLevel="0" collapsed="false">
      <c r="A13" s="32" t="s">
        <v>103</v>
      </c>
      <c r="B13" s="33" t="n">
        <v>46095</v>
      </c>
      <c r="C13" s="32" t="s">
        <v>104</v>
      </c>
      <c r="D13" s="34" t="s">
        <v>105</v>
      </c>
      <c r="E13" s="32" t="s">
        <v>42</v>
      </c>
      <c r="F13" s="32" t="s">
        <v>106</v>
      </c>
      <c r="G13" s="34" t="s">
        <v>107</v>
      </c>
      <c r="H13" s="32" t="s">
        <v>108</v>
      </c>
      <c r="I13" s="33" t="n">
        <v>46106</v>
      </c>
      <c r="J13" s="32" t="s">
        <v>36</v>
      </c>
      <c r="K13" s="33"/>
      <c r="L13" s="35" t="n">
        <f aca="true">IF(AND(B13&lt;&gt;"",K13&lt;&gt;""),K13-B13,IF(AND(B13&lt;&gt;"",OR(J13="Open",J13="In Progress")),TODAY()-B13,""))</f>
        <v>8</v>
      </c>
      <c r="M13" s="32"/>
      <c r="N13" s="32"/>
      <c r="O13" s="32"/>
      <c r="P13" s="34"/>
    </row>
    <row r="14" customFormat="false" ht="15" hidden="false" customHeight="false" outlineLevel="0" collapsed="false">
      <c r="A14" s="32"/>
      <c r="B14" s="33"/>
      <c r="C14" s="32"/>
      <c r="D14" s="34"/>
      <c r="E14" s="32"/>
      <c r="F14" s="32"/>
      <c r="G14" s="34"/>
      <c r="H14" s="32"/>
      <c r="I14" s="33"/>
      <c r="J14" s="32"/>
      <c r="K14" s="33"/>
      <c r="L14" s="35" t="str">
        <f aca="true">IF(AND(B14&lt;&gt;"",K14&lt;&gt;""),K14-B14,IF(AND(B14&lt;&gt;"",OR(J14="Open",J14="In Progress")),TODAY()-B14,""))</f>
        <v/>
      </c>
      <c r="M14" s="32"/>
      <c r="N14" s="32"/>
      <c r="O14" s="32"/>
      <c r="P14" s="34"/>
    </row>
    <row r="15" customFormat="false" ht="15" hidden="false" customHeight="false" outlineLevel="0" collapsed="false">
      <c r="A15" s="32"/>
      <c r="B15" s="33"/>
      <c r="C15" s="32"/>
      <c r="D15" s="34"/>
      <c r="E15" s="32"/>
      <c r="F15" s="32"/>
      <c r="G15" s="34"/>
      <c r="H15" s="32"/>
      <c r="I15" s="33"/>
      <c r="J15" s="32"/>
      <c r="K15" s="33"/>
      <c r="L15" s="35" t="str">
        <f aca="true">IF(AND(B15&lt;&gt;"",K15&lt;&gt;""),K15-B15,IF(AND(B15&lt;&gt;"",OR(J15="Open",J15="In Progress")),TODAY()-B15,""))</f>
        <v/>
      </c>
      <c r="M15" s="32"/>
      <c r="N15" s="32"/>
      <c r="O15" s="32"/>
      <c r="P15" s="34"/>
    </row>
    <row r="16" customFormat="false" ht="15" hidden="false" customHeight="false" outlineLevel="0" collapsed="false">
      <c r="A16" s="32"/>
      <c r="B16" s="33"/>
      <c r="C16" s="32"/>
      <c r="D16" s="34"/>
      <c r="E16" s="32"/>
      <c r="F16" s="32"/>
      <c r="G16" s="34"/>
      <c r="H16" s="32"/>
      <c r="I16" s="33"/>
      <c r="J16" s="32"/>
      <c r="K16" s="33"/>
      <c r="L16" s="35" t="str">
        <f aca="true">IF(AND(B16&lt;&gt;"",K16&lt;&gt;""),K16-B16,IF(AND(B16&lt;&gt;"",OR(J16="Open",J16="In Progress")),TODAY()-B16,""))</f>
        <v/>
      </c>
      <c r="M16" s="32"/>
      <c r="N16" s="32"/>
      <c r="O16" s="32"/>
      <c r="P16" s="34"/>
    </row>
    <row r="17" customFormat="false" ht="15" hidden="false" customHeight="false" outlineLevel="0" collapsed="false">
      <c r="A17" s="32"/>
      <c r="B17" s="33"/>
      <c r="C17" s="32"/>
      <c r="D17" s="34"/>
      <c r="E17" s="32"/>
      <c r="F17" s="32"/>
      <c r="G17" s="34"/>
      <c r="H17" s="32"/>
      <c r="I17" s="33"/>
      <c r="J17" s="32"/>
      <c r="K17" s="33"/>
      <c r="L17" s="35" t="str">
        <f aca="true">IF(AND(B17&lt;&gt;"",K17&lt;&gt;""),K17-B17,IF(AND(B17&lt;&gt;"",OR(J17="Open",J17="In Progress")),TODAY()-B17,""))</f>
        <v/>
      </c>
      <c r="M17" s="32"/>
      <c r="N17" s="32"/>
      <c r="O17" s="32"/>
      <c r="P17" s="34"/>
    </row>
    <row r="18" customFormat="false" ht="15" hidden="false" customHeight="false" outlineLevel="0" collapsed="false">
      <c r="A18" s="32"/>
      <c r="B18" s="33"/>
      <c r="C18" s="32"/>
      <c r="D18" s="34"/>
      <c r="E18" s="32"/>
      <c r="F18" s="32"/>
      <c r="G18" s="34"/>
      <c r="H18" s="32"/>
      <c r="I18" s="33"/>
      <c r="J18" s="32"/>
      <c r="K18" s="33"/>
      <c r="L18" s="35" t="str">
        <f aca="true">IF(AND(B18&lt;&gt;"",K18&lt;&gt;""),K18-B18,IF(AND(B18&lt;&gt;"",OR(J18="Open",J18="In Progress")),TODAY()-B18,""))</f>
        <v/>
      </c>
      <c r="M18" s="32"/>
      <c r="N18" s="32"/>
      <c r="O18" s="32"/>
      <c r="P18" s="34"/>
    </row>
    <row r="19" customFormat="false" ht="15" hidden="false" customHeight="false" outlineLevel="0" collapsed="false">
      <c r="A19" s="32"/>
      <c r="B19" s="33"/>
      <c r="C19" s="32"/>
      <c r="D19" s="34"/>
      <c r="E19" s="32"/>
      <c r="F19" s="32"/>
      <c r="G19" s="34"/>
      <c r="H19" s="32"/>
      <c r="I19" s="33"/>
      <c r="J19" s="32"/>
      <c r="K19" s="33"/>
      <c r="L19" s="35" t="str">
        <f aca="true">IF(AND(B19&lt;&gt;"",K19&lt;&gt;""),K19-B19,IF(AND(B19&lt;&gt;"",OR(J19="Open",J19="In Progress")),TODAY()-B19,""))</f>
        <v/>
      </c>
      <c r="M19" s="32"/>
      <c r="N19" s="32"/>
      <c r="O19" s="32"/>
      <c r="P19" s="34"/>
    </row>
    <row r="20" customFormat="false" ht="15" hidden="false" customHeight="false" outlineLevel="0" collapsed="false">
      <c r="A20" s="32"/>
      <c r="B20" s="33"/>
      <c r="C20" s="32"/>
      <c r="D20" s="34"/>
      <c r="E20" s="32"/>
      <c r="F20" s="32"/>
      <c r="G20" s="34"/>
      <c r="H20" s="32"/>
      <c r="I20" s="33"/>
      <c r="J20" s="32"/>
      <c r="K20" s="33"/>
      <c r="L20" s="35" t="str">
        <f aca="true">IF(AND(B20&lt;&gt;"",K20&lt;&gt;""),K20-B20,IF(AND(B20&lt;&gt;"",OR(J20="Open",J20="In Progress")),TODAY()-B20,""))</f>
        <v/>
      </c>
      <c r="M20" s="32"/>
      <c r="N20" s="32"/>
      <c r="O20" s="32"/>
      <c r="P20" s="34"/>
    </row>
    <row r="21" customFormat="false" ht="15" hidden="false" customHeight="false" outlineLevel="0" collapsed="false">
      <c r="A21" s="32"/>
      <c r="B21" s="33"/>
      <c r="C21" s="32"/>
      <c r="D21" s="34"/>
      <c r="E21" s="32"/>
      <c r="F21" s="32"/>
      <c r="G21" s="34"/>
      <c r="H21" s="32"/>
      <c r="I21" s="33"/>
      <c r="J21" s="32"/>
      <c r="K21" s="33"/>
      <c r="L21" s="35" t="str">
        <f aca="true">IF(AND(B21&lt;&gt;"",K21&lt;&gt;""),K21-B21,IF(AND(B21&lt;&gt;"",OR(J21="Open",J21="In Progress")),TODAY()-B21,""))</f>
        <v/>
      </c>
      <c r="M21" s="32"/>
      <c r="N21" s="32"/>
      <c r="O21" s="32"/>
      <c r="P21" s="34"/>
    </row>
    <row r="22" customFormat="false" ht="15" hidden="false" customHeight="false" outlineLevel="0" collapsed="false">
      <c r="A22" s="32"/>
      <c r="B22" s="33"/>
      <c r="C22" s="32"/>
      <c r="D22" s="34"/>
      <c r="E22" s="32"/>
      <c r="F22" s="32"/>
      <c r="G22" s="34"/>
      <c r="H22" s="32"/>
      <c r="I22" s="33"/>
      <c r="J22" s="32"/>
      <c r="K22" s="33"/>
      <c r="L22" s="35" t="str">
        <f aca="true">IF(AND(B22&lt;&gt;"",K22&lt;&gt;""),K22-B22,IF(AND(B22&lt;&gt;"",OR(J22="Open",J22="In Progress")),TODAY()-B22,""))</f>
        <v/>
      </c>
      <c r="M22" s="32"/>
      <c r="N22" s="32"/>
      <c r="O22" s="32"/>
      <c r="P22" s="34"/>
    </row>
    <row r="23" customFormat="false" ht="15" hidden="false" customHeight="false" outlineLevel="0" collapsed="false">
      <c r="A23" s="32"/>
      <c r="B23" s="33"/>
      <c r="C23" s="32"/>
      <c r="D23" s="34"/>
      <c r="E23" s="32"/>
      <c r="F23" s="32"/>
      <c r="G23" s="34"/>
      <c r="H23" s="32"/>
      <c r="I23" s="33"/>
      <c r="J23" s="32"/>
      <c r="K23" s="33"/>
      <c r="L23" s="35" t="str">
        <f aca="true">IF(AND(B23&lt;&gt;"",K23&lt;&gt;""),K23-B23,IF(AND(B23&lt;&gt;"",OR(J23="Open",J23="In Progress")),TODAY()-B23,""))</f>
        <v/>
      </c>
      <c r="M23" s="32"/>
      <c r="N23" s="32"/>
      <c r="O23" s="32"/>
      <c r="P23" s="34"/>
    </row>
    <row r="24" customFormat="false" ht="15" hidden="false" customHeight="false" outlineLevel="0" collapsed="false">
      <c r="A24" s="32"/>
      <c r="B24" s="33"/>
      <c r="C24" s="32"/>
      <c r="D24" s="34"/>
      <c r="E24" s="32"/>
      <c r="F24" s="32"/>
      <c r="G24" s="34"/>
      <c r="H24" s="32"/>
      <c r="I24" s="33"/>
      <c r="J24" s="32"/>
      <c r="K24" s="33"/>
      <c r="L24" s="35" t="str">
        <f aca="true">IF(AND(B24&lt;&gt;"",K24&lt;&gt;""),K24-B24,IF(AND(B24&lt;&gt;"",OR(J24="Open",J24="In Progress")),TODAY()-B24,""))</f>
        <v/>
      </c>
      <c r="M24" s="32"/>
      <c r="N24" s="32"/>
      <c r="O24" s="32"/>
      <c r="P24" s="34"/>
    </row>
    <row r="25" customFormat="false" ht="15" hidden="false" customHeight="false" outlineLevel="0" collapsed="false">
      <c r="A25" s="32"/>
      <c r="B25" s="33"/>
      <c r="C25" s="32"/>
      <c r="D25" s="34"/>
      <c r="E25" s="32"/>
      <c r="F25" s="32"/>
      <c r="G25" s="34"/>
      <c r="H25" s="32"/>
      <c r="I25" s="33"/>
      <c r="J25" s="32"/>
      <c r="K25" s="33"/>
      <c r="L25" s="35" t="str">
        <f aca="true">IF(AND(B25&lt;&gt;"",K25&lt;&gt;""),K25-B25,IF(AND(B25&lt;&gt;"",OR(J25="Open",J25="In Progress")),TODAY()-B25,""))</f>
        <v/>
      </c>
      <c r="M25" s="32"/>
      <c r="N25" s="32"/>
      <c r="O25" s="32"/>
      <c r="P25" s="34"/>
    </row>
    <row r="26" customFormat="false" ht="15" hidden="false" customHeight="false" outlineLevel="0" collapsed="false">
      <c r="A26" s="32"/>
      <c r="B26" s="33"/>
      <c r="C26" s="32"/>
      <c r="D26" s="34"/>
      <c r="E26" s="32"/>
      <c r="F26" s="32"/>
      <c r="G26" s="34"/>
      <c r="H26" s="32"/>
      <c r="I26" s="33"/>
      <c r="J26" s="32"/>
      <c r="K26" s="33"/>
      <c r="L26" s="35" t="str">
        <f aca="true">IF(AND(B26&lt;&gt;"",K26&lt;&gt;""),K26-B26,IF(AND(B26&lt;&gt;"",OR(J26="Open",J26="In Progress")),TODAY()-B26,""))</f>
        <v/>
      </c>
      <c r="M26" s="32"/>
      <c r="N26" s="32"/>
      <c r="O26" s="32"/>
      <c r="P26" s="34"/>
    </row>
    <row r="27" customFormat="false" ht="15" hidden="false" customHeight="false" outlineLevel="0" collapsed="false">
      <c r="A27" s="32"/>
      <c r="B27" s="33"/>
      <c r="C27" s="32"/>
      <c r="D27" s="34"/>
      <c r="E27" s="32"/>
      <c r="F27" s="32"/>
      <c r="G27" s="34"/>
      <c r="H27" s="32"/>
      <c r="I27" s="33"/>
      <c r="J27" s="32"/>
      <c r="K27" s="33"/>
      <c r="L27" s="35" t="str">
        <f aca="true">IF(AND(B27&lt;&gt;"",K27&lt;&gt;""),K27-B27,IF(AND(B27&lt;&gt;"",OR(J27="Open",J27="In Progress")),TODAY()-B27,""))</f>
        <v/>
      </c>
      <c r="M27" s="32"/>
      <c r="N27" s="32"/>
      <c r="O27" s="32"/>
      <c r="P27" s="34"/>
    </row>
    <row r="28" customFormat="false" ht="15" hidden="false" customHeight="false" outlineLevel="0" collapsed="false">
      <c r="A28" s="32"/>
      <c r="B28" s="33"/>
      <c r="C28" s="32"/>
      <c r="D28" s="34"/>
      <c r="E28" s="32"/>
      <c r="F28" s="32"/>
      <c r="G28" s="34"/>
      <c r="H28" s="32"/>
      <c r="I28" s="33"/>
      <c r="J28" s="32"/>
      <c r="K28" s="33"/>
      <c r="L28" s="35" t="str">
        <f aca="true">IF(AND(B28&lt;&gt;"",K28&lt;&gt;""),K28-B28,IF(AND(B28&lt;&gt;"",OR(J28="Open",J28="In Progress")),TODAY()-B28,""))</f>
        <v/>
      </c>
      <c r="M28" s="32"/>
      <c r="N28" s="32"/>
      <c r="O28" s="32"/>
      <c r="P28" s="34"/>
    </row>
    <row r="29" customFormat="false" ht="15" hidden="false" customHeight="false" outlineLevel="0" collapsed="false">
      <c r="A29" s="32"/>
      <c r="B29" s="33"/>
      <c r="C29" s="32"/>
      <c r="D29" s="34"/>
      <c r="E29" s="32"/>
      <c r="F29" s="32"/>
      <c r="G29" s="34"/>
      <c r="H29" s="32"/>
      <c r="I29" s="33"/>
      <c r="J29" s="32"/>
      <c r="K29" s="33"/>
      <c r="L29" s="35" t="str">
        <f aca="true">IF(AND(B29&lt;&gt;"",K29&lt;&gt;""),K29-B29,IF(AND(B29&lt;&gt;"",OR(J29="Open",J29="In Progress")),TODAY()-B29,""))</f>
        <v/>
      </c>
      <c r="M29" s="32"/>
      <c r="N29" s="32"/>
      <c r="O29" s="32"/>
      <c r="P29" s="34"/>
    </row>
    <row r="30" customFormat="false" ht="15" hidden="false" customHeight="false" outlineLevel="0" collapsed="false">
      <c r="A30" s="32"/>
      <c r="B30" s="33"/>
      <c r="C30" s="32"/>
      <c r="D30" s="34"/>
      <c r="E30" s="32"/>
      <c r="F30" s="32"/>
      <c r="G30" s="34"/>
      <c r="H30" s="32"/>
      <c r="I30" s="33"/>
      <c r="J30" s="32"/>
      <c r="K30" s="33"/>
      <c r="L30" s="35" t="str">
        <f aca="true">IF(AND(B30&lt;&gt;"",K30&lt;&gt;""),K30-B30,IF(AND(B30&lt;&gt;"",OR(J30="Open",J30="In Progress")),TODAY()-B30,""))</f>
        <v/>
      </c>
      <c r="M30" s="32"/>
      <c r="N30" s="32"/>
      <c r="O30" s="32"/>
      <c r="P30" s="34"/>
    </row>
    <row r="31" customFormat="false" ht="15" hidden="false" customHeight="false" outlineLevel="0" collapsed="false">
      <c r="A31" s="32"/>
      <c r="B31" s="33"/>
      <c r="C31" s="32"/>
      <c r="D31" s="34"/>
      <c r="E31" s="32"/>
      <c r="F31" s="32"/>
      <c r="G31" s="34"/>
      <c r="H31" s="32"/>
      <c r="I31" s="33"/>
      <c r="J31" s="32"/>
      <c r="K31" s="33"/>
      <c r="L31" s="35" t="str">
        <f aca="true">IF(AND(B31&lt;&gt;"",K31&lt;&gt;""),K31-B31,IF(AND(B31&lt;&gt;"",OR(J31="Open",J31="In Progress")),TODAY()-B31,""))</f>
        <v/>
      </c>
      <c r="M31" s="32"/>
      <c r="N31" s="32"/>
      <c r="O31" s="32"/>
      <c r="P31" s="34"/>
    </row>
    <row r="32" customFormat="false" ht="15" hidden="false" customHeight="false" outlineLevel="0" collapsed="false">
      <c r="A32" s="32"/>
      <c r="B32" s="33"/>
      <c r="C32" s="32"/>
      <c r="D32" s="34"/>
      <c r="E32" s="32"/>
      <c r="F32" s="32"/>
      <c r="G32" s="34"/>
      <c r="H32" s="32"/>
      <c r="I32" s="33"/>
      <c r="J32" s="32"/>
      <c r="K32" s="33"/>
      <c r="L32" s="35" t="str">
        <f aca="true">IF(AND(B32&lt;&gt;"",K32&lt;&gt;""),K32-B32,IF(AND(B32&lt;&gt;"",OR(J32="Open",J32="In Progress")),TODAY()-B32,""))</f>
        <v/>
      </c>
      <c r="M32" s="32"/>
      <c r="N32" s="32"/>
      <c r="O32" s="32"/>
      <c r="P32" s="34"/>
    </row>
    <row r="33" customFormat="false" ht="15" hidden="false" customHeight="false" outlineLevel="0" collapsed="false">
      <c r="A33" s="32"/>
      <c r="B33" s="33"/>
      <c r="C33" s="32"/>
      <c r="D33" s="34"/>
      <c r="E33" s="32"/>
      <c r="F33" s="32"/>
      <c r="G33" s="34"/>
      <c r="H33" s="32"/>
      <c r="I33" s="33"/>
      <c r="J33" s="32"/>
      <c r="K33" s="33"/>
      <c r="L33" s="35" t="str">
        <f aca="true">IF(AND(B33&lt;&gt;"",K33&lt;&gt;""),K33-B33,IF(AND(B33&lt;&gt;"",OR(J33="Open",J33="In Progress")),TODAY()-B33,""))</f>
        <v/>
      </c>
      <c r="M33" s="32"/>
      <c r="N33" s="32"/>
      <c r="O33" s="32"/>
      <c r="P33" s="34"/>
    </row>
    <row r="34" customFormat="false" ht="15" hidden="false" customHeight="false" outlineLevel="0" collapsed="false">
      <c r="A34" s="32"/>
      <c r="B34" s="33"/>
      <c r="C34" s="32"/>
      <c r="D34" s="34"/>
      <c r="E34" s="32"/>
      <c r="F34" s="32"/>
      <c r="G34" s="34"/>
      <c r="H34" s="32"/>
      <c r="I34" s="33"/>
      <c r="J34" s="32"/>
      <c r="K34" s="33"/>
      <c r="L34" s="35" t="str">
        <f aca="true">IF(AND(B34&lt;&gt;"",K34&lt;&gt;""),K34-B34,IF(AND(B34&lt;&gt;"",OR(J34="Open",J34="In Progress")),TODAY()-B34,""))</f>
        <v/>
      </c>
      <c r="M34" s="32"/>
      <c r="N34" s="32"/>
      <c r="O34" s="32"/>
      <c r="P34" s="34"/>
    </row>
    <row r="35" customFormat="false" ht="15" hidden="false" customHeight="false" outlineLevel="0" collapsed="false">
      <c r="A35" s="32"/>
      <c r="B35" s="33"/>
      <c r="C35" s="32"/>
      <c r="D35" s="34"/>
      <c r="E35" s="32"/>
      <c r="F35" s="32"/>
      <c r="G35" s="34"/>
      <c r="H35" s="32"/>
      <c r="I35" s="33"/>
      <c r="J35" s="32"/>
      <c r="K35" s="33"/>
      <c r="L35" s="35" t="str">
        <f aca="true">IF(AND(B35&lt;&gt;"",K35&lt;&gt;""),K35-B35,IF(AND(B35&lt;&gt;"",OR(J35="Open",J35="In Progress")),TODAY()-B35,""))</f>
        <v/>
      </c>
      <c r="M35" s="32"/>
      <c r="N35" s="32"/>
      <c r="O35" s="32"/>
      <c r="P35" s="34"/>
    </row>
    <row r="36" customFormat="false" ht="15" hidden="false" customHeight="false" outlineLevel="0" collapsed="false">
      <c r="A36" s="32"/>
      <c r="B36" s="33"/>
      <c r="C36" s="32"/>
      <c r="D36" s="34"/>
      <c r="E36" s="32"/>
      <c r="F36" s="32"/>
      <c r="G36" s="34"/>
      <c r="H36" s="32"/>
      <c r="I36" s="33"/>
      <c r="J36" s="32"/>
      <c r="K36" s="33"/>
      <c r="L36" s="35" t="str">
        <f aca="true">IF(AND(B36&lt;&gt;"",K36&lt;&gt;""),K36-B36,IF(AND(B36&lt;&gt;"",OR(J36="Open",J36="In Progress")),TODAY()-B36,""))</f>
        <v/>
      </c>
      <c r="M36" s="32"/>
      <c r="N36" s="32"/>
      <c r="O36" s="32"/>
      <c r="P36" s="34"/>
    </row>
    <row r="37" customFormat="false" ht="15" hidden="false" customHeight="false" outlineLevel="0" collapsed="false">
      <c r="A37" s="32"/>
      <c r="B37" s="33"/>
      <c r="C37" s="32"/>
      <c r="D37" s="34"/>
      <c r="E37" s="32"/>
      <c r="F37" s="32"/>
      <c r="G37" s="34"/>
      <c r="H37" s="32"/>
      <c r="I37" s="33"/>
      <c r="J37" s="32"/>
      <c r="K37" s="33"/>
      <c r="L37" s="35" t="str">
        <f aca="true">IF(AND(B37&lt;&gt;"",K37&lt;&gt;""),K37-B37,IF(AND(B37&lt;&gt;"",OR(J37="Open",J37="In Progress")),TODAY()-B37,""))</f>
        <v/>
      </c>
      <c r="M37" s="32"/>
      <c r="N37" s="32"/>
      <c r="O37" s="32"/>
      <c r="P37" s="34"/>
    </row>
    <row r="38" customFormat="false" ht="15" hidden="false" customHeight="false" outlineLevel="0" collapsed="false">
      <c r="A38" s="32"/>
      <c r="B38" s="33"/>
      <c r="C38" s="32"/>
      <c r="D38" s="34"/>
      <c r="E38" s="32"/>
      <c r="F38" s="32"/>
      <c r="G38" s="34"/>
      <c r="H38" s="32"/>
      <c r="I38" s="33"/>
      <c r="J38" s="32"/>
      <c r="K38" s="33"/>
      <c r="L38" s="35" t="str">
        <f aca="true">IF(AND(B38&lt;&gt;"",K38&lt;&gt;""),K38-B38,IF(AND(B38&lt;&gt;"",OR(J38="Open",J38="In Progress")),TODAY()-B38,""))</f>
        <v/>
      </c>
      <c r="M38" s="32"/>
      <c r="N38" s="32"/>
      <c r="O38" s="32"/>
      <c r="P38" s="34"/>
    </row>
    <row r="39" customFormat="false" ht="15" hidden="false" customHeight="false" outlineLevel="0" collapsed="false">
      <c r="A39" s="32"/>
      <c r="B39" s="33"/>
      <c r="C39" s="32"/>
      <c r="D39" s="34"/>
      <c r="E39" s="32"/>
      <c r="F39" s="32"/>
      <c r="G39" s="34"/>
      <c r="H39" s="32"/>
      <c r="I39" s="33"/>
      <c r="J39" s="32"/>
      <c r="K39" s="33"/>
      <c r="L39" s="35" t="str">
        <f aca="true">IF(AND(B39&lt;&gt;"",K39&lt;&gt;""),K39-B39,IF(AND(B39&lt;&gt;"",OR(J39="Open",J39="In Progress")),TODAY()-B39,""))</f>
        <v/>
      </c>
      <c r="M39" s="32"/>
      <c r="N39" s="32"/>
      <c r="O39" s="32"/>
      <c r="P39" s="34"/>
    </row>
    <row r="40" customFormat="false" ht="15" hidden="false" customHeight="false" outlineLevel="0" collapsed="false">
      <c r="A40" s="32"/>
      <c r="B40" s="33"/>
      <c r="C40" s="32"/>
      <c r="D40" s="34"/>
      <c r="E40" s="32"/>
      <c r="F40" s="32"/>
      <c r="G40" s="34"/>
      <c r="H40" s="32"/>
      <c r="I40" s="33"/>
      <c r="J40" s="32"/>
      <c r="K40" s="33"/>
      <c r="L40" s="35" t="str">
        <f aca="true">IF(AND(B40&lt;&gt;"",K40&lt;&gt;""),K40-B40,IF(AND(B40&lt;&gt;"",OR(J40="Open",J40="In Progress")),TODAY()-B40,""))</f>
        <v/>
      </c>
      <c r="M40" s="32"/>
      <c r="N40" s="32"/>
      <c r="O40" s="32"/>
      <c r="P40" s="34"/>
    </row>
    <row r="41" customFormat="false" ht="15" hidden="false" customHeight="false" outlineLevel="0" collapsed="false">
      <c r="A41" s="32"/>
      <c r="B41" s="33"/>
      <c r="C41" s="32"/>
      <c r="D41" s="34"/>
      <c r="E41" s="32"/>
      <c r="F41" s="32"/>
      <c r="G41" s="34"/>
      <c r="H41" s="32"/>
      <c r="I41" s="33"/>
      <c r="J41" s="32"/>
      <c r="K41" s="33"/>
      <c r="L41" s="35" t="str">
        <f aca="true">IF(AND(B41&lt;&gt;"",K41&lt;&gt;""),K41-B41,IF(AND(B41&lt;&gt;"",OR(J41="Open",J41="In Progress")),TODAY()-B41,""))</f>
        <v/>
      </c>
      <c r="M41" s="32"/>
      <c r="N41" s="32"/>
      <c r="O41" s="32"/>
      <c r="P41" s="34"/>
    </row>
    <row r="42" customFormat="false" ht="15" hidden="false" customHeight="false" outlineLevel="0" collapsed="false">
      <c r="A42" s="32"/>
      <c r="B42" s="33"/>
      <c r="C42" s="32"/>
      <c r="D42" s="34"/>
      <c r="E42" s="32"/>
      <c r="F42" s="32"/>
      <c r="G42" s="34"/>
      <c r="H42" s="32"/>
      <c r="I42" s="33"/>
      <c r="J42" s="32"/>
      <c r="K42" s="33"/>
      <c r="L42" s="35" t="str">
        <f aca="true">IF(AND(B42&lt;&gt;"",K42&lt;&gt;""),K42-B42,IF(AND(B42&lt;&gt;"",OR(J42="Open",J42="In Progress")),TODAY()-B42,""))</f>
        <v/>
      </c>
      <c r="M42" s="32"/>
      <c r="N42" s="32"/>
      <c r="O42" s="32"/>
      <c r="P42" s="34"/>
    </row>
    <row r="43" customFormat="false" ht="15" hidden="false" customHeight="false" outlineLevel="0" collapsed="false">
      <c r="A43" s="32"/>
      <c r="B43" s="33"/>
      <c r="C43" s="32"/>
      <c r="D43" s="34"/>
      <c r="E43" s="32"/>
      <c r="F43" s="32"/>
      <c r="G43" s="34"/>
      <c r="H43" s="32"/>
      <c r="I43" s="33"/>
      <c r="J43" s="32"/>
      <c r="K43" s="33"/>
      <c r="L43" s="35" t="str">
        <f aca="true">IF(AND(B43&lt;&gt;"",K43&lt;&gt;""),K43-B43,IF(AND(B43&lt;&gt;"",OR(J43="Open",J43="In Progress")),TODAY()-B43,""))</f>
        <v/>
      </c>
      <c r="M43" s="32"/>
      <c r="N43" s="32"/>
      <c r="O43" s="32"/>
      <c r="P43" s="34"/>
    </row>
    <row r="44" customFormat="false" ht="15" hidden="false" customHeight="false" outlineLevel="0" collapsed="false">
      <c r="A44" s="32"/>
      <c r="B44" s="33"/>
      <c r="C44" s="32"/>
      <c r="D44" s="34"/>
      <c r="E44" s="32"/>
      <c r="F44" s="32"/>
      <c r="G44" s="34"/>
      <c r="H44" s="32"/>
      <c r="I44" s="33"/>
      <c r="J44" s="32"/>
      <c r="K44" s="33"/>
      <c r="L44" s="35" t="str">
        <f aca="true">IF(AND(B44&lt;&gt;"",K44&lt;&gt;""),K44-B44,IF(AND(B44&lt;&gt;"",OR(J44="Open",J44="In Progress")),TODAY()-B44,""))</f>
        <v/>
      </c>
      <c r="M44" s="32"/>
      <c r="N44" s="32"/>
      <c r="O44" s="32"/>
      <c r="P44" s="34"/>
    </row>
    <row r="45" customFormat="false" ht="15" hidden="false" customHeight="false" outlineLevel="0" collapsed="false">
      <c r="A45" s="32"/>
      <c r="B45" s="33"/>
      <c r="C45" s="32"/>
      <c r="D45" s="34"/>
      <c r="E45" s="32"/>
      <c r="F45" s="32"/>
      <c r="G45" s="34"/>
      <c r="H45" s="32"/>
      <c r="I45" s="33"/>
      <c r="J45" s="32"/>
      <c r="K45" s="33"/>
      <c r="L45" s="35" t="str">
        <f aca="true">IF(AND(B45&lt;&gt;"",K45&lt;&gt;""),K45-B45,IF(AND(B45&lt;&gt;"",OR(J45="Open",J45="In Progress")),TODAY()-B45,""))</f>
        <v/>
      </c>
      <c r="M45" s="32"/>
      <c r="N45" s="32"/>
      <c r="O45" s="32"/>
      <c r="P45" s="34"/>
    </row>
    <row r="46" customFormat="false" ht="15" hidden="false" customHeight="false" outlineLevel="0" collapsed="false">
      <c r="A46" s="32"/>
      <c r="B46" s="33"/>
      <c r="C46" s="32"/>
      <c r="D46" s="34"/>
      <c r="E46" s="32"/>
      <c r="F46" s="32"/>
      <c r="G46" s="34"/>
      <c r="H46" s="32"/>
      <c r="I46" s="33"/>
      <c r="J46" s="32"/>
      <c r="K46" s="33"/>
      <c r="L46" s="35" t="str">
        <f aca="true">IF(AND(B46&lt;&gt;"",K46&lt;&gt;""),K46-B46,IF(AND(B46&lt;&gt;"",OR(J46="Open",J46="In Progress")),TODAY()-B46,""))</f>
        <v/>
      </c>
      <c r="M46" s="32"/>
      <c r="N46" s="32"/>
      <c r="O46" s="32"/>
      <c r="P46" s="34"/>
    </row>
    <row r="47" customFormat="false" ht="15" hidden="false" customHeight="false" outlineLevel="0" collapsed="false">
      <c r="A47" s="32"/>
      <c r="B47" s="33"/>
      <c r="C47" s="32"/>
      <c r="D47" s="34"/>
      <c r="E47" s="32"/>
      <c r="F47" s="32"/>
      <c r="G47" s="34"/>
      <c r="H47" s="32"/>
      <c r="I47" s="33"/>
      <c r="J47" s="32"/>
      <c r="K47" s="33"/>
      <c r="L47" s="35" t="str">
        <f aca="true">IF(AND(B47&lt;&gt;"",K47&lt;&gt;""),K47-B47,IF(AND(B47&lt;&gt;"",OR(J47="Open",J47="In Progress")),TODAY()-B47,""))</f>
        <v/>
      </c>
      <c r="M47" s="32"/>
      <c r="N47" s="32"/>
      <c r="O47" s="32"/>
      <c r="P47" s="34"/>
    </row>
    <row r="48" customFormat="false" ht="15" hidden="false" customHeight="false" outlineLevel="0" collapsed="false">
      <c r="A48" s="32"/>
      <c r="B48" s="33"/>
      <c r="C48" s="32"/>
      <c r="D48" s="34"/>
      <c r="E48" s="32"/>
      <c r="F48" s="32"/>
      <c r="G48" s="34"/>
      <c r="H48" s="32"/>
      <c r="I48" s="33"/>
      <c r="J48" s="32"/>
      <c r="K48" s="33"/>
      <c r="L48" s="35" t="str">
        <f aca="true">IF(AND(B48&lt;&gt;"",K48&lt;&gt;""),K48-B48,IF(AND(B48&lt;&gt;"",OR(J48="Open",J48="In Progress")),TODAY()-B48,""))</f>
        <v/>
      </c>
      <c r="M48" s="32"/>
      <c r="N48" s="32"/>
      <c r="O48" s="32"/>
      <c r="P48" s="34"/>
    </row>
    <row r="49" customFormat="false" ht="15" hidden="false" customHeight="false" outlineLevel="0" collapsed="false">
      <c r="A49" s="32"/>
      <c r="B49" s="33"/>
      <c r="C49" s="32"/>
      <c r="D49" s="34"/>
      <c r="E49" s="32"/>
      <c r="F49" s="32"/>
      <c r="G49" s="34"/>
      <c r="H49" s="32"/>
      <c r="I49" s="33"/>
      <c r="J49" s="32"/>
      <c r="K49" s="33"/>
      <c r="L49" s="35" t="str">
        <f aca="true">IF(AND(B49&lt;&gt;"",K49&lt;&gt;""),K49-B49,IF(AND(B49&lt;&gt;"",OR(J49="Open",J49="In Progress")),TODAY()-B49,""))</f>
        <v/>
      </c>
      <c r="M49" s="32"/>
      <c r="N49" s="32"/>
      <c r="O49" s="32"/>
      <c r="P49" s="34"/>
    </row>
    <row r="50" customFormat="false" ht="15" hidden="false" customHeight="false" outlineLevel="0" collapsed="false">
      <c r="A50" s="32"/>
      <c r="B50" s="33"/>
      <c r="C50" s="32"/>
      <c r="D50" s="34"/>
      <c r="E50" s="32"/>
      <c r="F50" s="32"/>
      <c r="G50" s="34"/>
      <c r="H50" s="32"/>
      <c r="I50" s="33"/>
      <c r="J50" s="32"/>
      <c r="K50" s="33"/>
      <c r="L50" s="35" t="str">
        <f aca="true">IF(AND(B50&lt;&gt;"",K50&lt;&gt;""),K50-B50,IF(AND(B50&lt;&gt;"",OR(J50="Open",J50="In Progress")),TODAY()-B50,""))</f>
        <v/>
      </c>
      <c r="M50" s="32"/>
      <c r="N50" s="32"/>
      <c r="O50" s="32"/>
      <c r="P50" s="34"/>
    </row>
    <row r="51" customFormat="false" ht="15" hidden="false" customHeight="false" outlineLevel="0" collapsed="false">
      <c r="A51" s="32"/>
      <c r="B51" s="33"/>
      <c r="C51" s="32"/>
      <c r="D51" s="34"/>
      <c r="E51" s="32"/>
      <c r="F51" s="32"/>
      <c r="G51" s="34"/>
      <c r="H51" s="32"/>
      <c r="I51" s="33"/>
      <c r="J51" s="32"/>
      <c r="K51" s="33"/>
      <c r="L51" s="35" t="str">
        <f aca="true">IF(AND(B51&lt;&gt;"",K51&lt;&gt;""),K51-B51,IF(AND(B51&lt;&gt;"",OR(J51="Open",J51="In Progress")),TODAY()-B51,""))</f>
        <v/>
      </c>
      <c r="M51" s="32"/>
      <c r="N51" s="32"/>
      <c r="O51" s="32"/>
      <c r="P51" s="34"/>
    </row>
    <row r="52" customFormat="false" ht="15" hidden="false" customHeight="false" outlineLevel="0" collapsed="false">
      <c r="A52" s="32"/>
      <c r="B52" s="33"/>
      <c r="C52" s="32"/>
      <c r="D52" s="34"/>
      <c r="E52" s="32"/>
      <c r="F52" s="32"/>
      <c r="G52" s="34"/>
      <c r="H52" s="32"/>
      <c r="I52" s="33"/>
      <c r="J52" s="32"/>
      <c r="K52" s="33"/>
      <c r="L52" s="35" t="str">
        <f aca="true">IF(AND(B52&lt;&gt;"",K52&lt;&gt;""),K52-B52,IF(AND(B52&lt;&gt;"",OR(J52="Open",J52="In Progress")),TODAY()-B52,""))</f>
        <v/>
      </c>
      <c r="M52" s="32"/>
      <c r="N52" s="32"/>
      <c r="O52" s="32"/>
      <c r="P52" s="34"/>
    </row>
    <row r="53" customFormat="false" ht="15" hidden="false" customHeight="false" outlineLevel="0" collapsed="false">
      <c r="A53" s="32"/>
      <c r="B53" s="33"/>
      <c r="C53" s="32"/>
      <c r="D53" s="34"/>
      <c r="E53" s="32"/>
      <c r="F53" s="32"/>
      <c r="G53" s="34"/>
      <c r="H53" s="32"/>
      <c r="I53" s="33"/>
      <c r="J53" s="32"/>
      <c r="K53" s="33"/>
      <c r="L53" s="35" t="str">
        <f aca="true">IF(AND(B53&lt;&gt;"",K53&lt;&gt;""),K53-B53,IF(AND(B53&lt;&gt;"",OR(J53="Open",J53="In Progress")),TODAY()-B53,""))</f>
        <v/>
      </c>
      <c r="M53" s="32"/>
      <c r="N53" s="32"/>
      <c r="O53" s="32"/>
      <c r="P53" s="34"/>
    </row>
    <row r="54" customFormat="false" ht="15" hidden="false" customHeight="false" outlineLevel="0" collapsed="false">
      <c r="A54" s="32"/>
      <c r="B54" s="33"/>
      <c r="C54" s="32"/>
      <c r="D54" s="34"/>
      <c r="E54" s="32"/>
      <c r="F54" s="32"/>
      <c r="G54" s="34"/>
      <c r="H54" s="32"/>
      <c r="I54" s="33"/>
      <c r="J54" s="32"/>
      <c r="K54" s="33"/>
      <c r="L54" s="35" t="str">
        <f aca="true">IF(AND(B54&lt;&gt;"",K54&lt;&gt;""),K54-B54,IF(AND(B54&lt;&gt;"",OR(J54="Open",J54="In Progress")),TODAY()-B54,""))</f>
        <v/>
      </c>
      <c r="M54" s="32"/>
      <c r="N54" s="32"/>
      <c r="O54" s="32"/>
      <c r="P54" s="34"/>
    </row>
    <row r="55" customFormat="false" ht="15" hidden="false" customHeight="false" outlineLevel="0" collapsed="false">
      <c r="A55" s="32"/>
      <c r="B55" s="33"/>
      <c r="C55" s="32"/>
      <c r="D55" s="34"/>
      <c r="E55" s="32"/>
      <c r="F55" s="32"/>
      <c r="G55" s="34"/>
      <c r="H55" s="32"/>
      <c r="I55" s="33"/>
      <c r="J55" s="32"/>
      <c r="K55" s="33"/>
      <c r="L55" s="35" t="str">
        <f aca="true">IF(AND(B55&lt;&gt;"",K55&lt;&gt;""),K55-B55,IF(AND(B55&lt;&gt;"",OR(J55="Open",J55="In Progress")),TODAY()-B55,""))</f>
        <v/>
      </c>
      <c r="M55" s="32"/>
      <c r="N55" s="32"/>
      <c r="O55" s="32"/>
      <c r="P55" s="34"/>
    </row>
    <row r="56" customFormat="false" ht="15" hidden="false" customHeight="false" outlineLevel="0" collapsed="false">
      <c r="A56" s="32"/>
      <c r="B56" s="33"/>
      <c r="C56" s="32"/>
      <c r="D56" s="34"/>
      <c r="E56" s="32"/>
      <c r="F56" s="32"/>
      <c r="G56" s="34"/>
      <c r="H56" s="32"/>
      <c r="I56" s="33"/>
      <c r="J56" s="32"/>
      <c r="K56" s="33"/>
      <c r="L56" s="35" t="str">
        <f aca="true">IF(AND(B56&lt;&gt;"",K56&lt;&gt;""),K56-B56,IF(AND(B56&lt;&gt;"",OR(J56="Open",J56="In Progress")),TODAY()-B56,""))</f>
        <v/>
      </c>
      <c r="M56" s="32"/>
      <c r="N56" s="32"/>
      <c r="O56" s="32"/>
      <c r="P56" s="34"/>
    </row>
    <row r="57" customFormat="false" ht="15" hidden="false" customHeight="false" outlineLevel="0" collapsed="false">
      <c r="A57" s="32"/>
      <c r="B57" s="33"/>
      <c r="C57" s="32"/>
      <c r="D57" s="34"/>
      <c r="E57" s="32"/>
      <c r="F57" s="32"/>
      <c r="G57" s="34"/>
      <c r="H57" s="32"/>
      <c r="I57" s="33"/>
      <c r="J57" s="32"/>
      <c r="K57" s="33"/>
      <c r="L57" s="35" t="str">
        <f aca="true">IF(AND(B57&lt;&gt;"",K57&lt;&gt;""),K57-B57,IF(AND(B57&lt;&gt;"",OR(J57="Open",J57="In Progress")),TODAY()-B57,""))</f>
        <v/>
      </c>
      <c r="M57" s="32"/>
      <c r="N57" s="32"/>
      <c r="O57" s="32"/>
      <c r="P57" s="34"/>
    </row>
    <row r="58" customFormat="false" ht="15" hidden="false" customHeight="false" outlineLevel="0" collapsed="false">
      <c r="A58" s="32"/>
      <c r="B58" s="33"/>
      <c r="C58" s="32"/>
      <c r="D58" s="34"/>
      <c r="E58" s="32"/>
      <c r="F58" s="32"/>
      <c r="G58" s="34"/>
      <c r="H58" s="32"/>
      <c r="I58" s="33"/>
      <c r="J58" s="32"/>
      <c r="K58" s="33"/>
      <c r="L58" s="35" t="str">
        <f aca="true">IF(AND(B58&lt;&gt;"",K58&lt;&gt;""),K58-B58,IF(AND(B58&lt;&gt;"",OR(J58="Open",J58="In Progress")),TODAY()-B58,""))</f>
        <v/>
      </c>
      <c r="M58" s="32"/>
      <c r="N58" s="32"/>
      <c r="O58" s="32"/>
      <c r="P58" s="34"/>
    </row>
  </sheetData>
  <autoFilter ref="A8:P8"/>
  <mergeCells count="2">
    <mergeCell ref="A1:P1"/>
    <mergeCell ref="M7:P7"/>
  </mergeCells>
  <conditionalFormatting sqref="J9:J508">
    <cfRule type="cellIs" priority="2" operator="equal" aboveAverage="0" equalAverage="0" bottom="0" percent="0" rank="0" text="" dxfId="2">
      <formula>"Open"</formula>
    </cfRule>
    <cfRule type="cellIs" priority="3" operator="equal" aboveAverage="0" equalAverage="0" bottom="0" percent="0" rank="0" text="" dxfId="3">
      <formula>"In Progress"</formula>
    </cfRule>
    <cfRule type="cellIs" priority="4" operator="equal" aboveAverage="0" equalAverage="0" bottom="0" percent="0" rank="0" text="" dxfId="4">
      <formula>"Closed"</formula>
    </cfRule>
    <cfRule type="cellIs" priority="5" operator="equal" aboveAverage="0" equalAverage="0" bottom="0" percent="0" rank="0" text="" dxfId="4">
      <formula>"Verified"</formula>
    </cfRule>
  </conditionalFormatting>
  <conditionalFormatting sqref="E9:E508">
    <cfRule type="cellIs" priority="6" operator="equal" aboveAverage="0" equalAverage="0" bottom="0" percent="0" rank="0" text="" dxfId="5">
      <formula>"A"</formula>
    </cfRule>
    <cfRule type="cellIs" priority="7" operator="equal" aboveAverage="0" equalAverage="0" bottom="0" percent="0" rank="0" text="" dxfId="6">
      <formula>"B"</formula>
    </cfRule>
    <cfRule type="cellIs" priority="8" operator="equal" aboveAverage="0" equalAverage="0" bottom="0" percent="0" rank="0" text="" dxfId="7">
      <formula>"C"</formula>
    </cfRule>
  </conditionalFormatting>
  <conditionalFormatting sqref="I9:I508">
    <cfRule type="expression" priority="9" aboveAverage="0" equalAverage="0" bottom="0" percent="0" rank="0" text="" dxfId="5">
      <formula>AND(I9&lt;&gt;"",I9&lt;TODAY(),OR(J9="Open",J9="In Progress"))</formula>
    </cfRule>
  </conditionalFormatting>
  <conditionalFormatting sqref="L9:L508">
    <cfRule type="expression" priority="10" aboveAverage="0" equalAverage="0" bottom="0" percent="0" rank="0" text="" dxfId="2">
      <formula>AND(L9&lt;&gt;"",L9&gt;14,OR(J9="Open",J9="In Progress"))</formula>
    </cfRule>
    <cfRule type="expression" priority="11" aboveAverage="0" equalAverage="0" bottom="0" percent="0" rank="0" text="" dxfId="4">
      <formula>AND(L9&lt;&gt;"",L9&lt;=7)</formula>
    </cfRule>
  </conditionalFormatting>
  <dataValidations count="4">
    <dataValidation allowBlank="true" error="Enter A, B, or C" errorStyle="stop" operator="between" showDropDown="false" showErrorMessage="false" showInputMessage="false" sqref="E9:E508" type="list">
      <formula1>"A,B,C"</formula1>
      <formula2>0</formula2>
    </dataValidation>
    <dataValidation allowBlank="true" errorStyle="stop" operator="between" showDropDown="false" showErrorMessage="false" showInputMessage="false" sqref="J9:J508" type="list">
      <formula1>"Open,In Progress,Closed,Verified"</formula1>
      <formula2>0</formula2>
    </dataValidation>
    <dataValidation allowBlank="true" errorStyle="stop" operator="between" showDropDown="false" showErrorMessage="false" showInputMessage="false" sqref="F9:F508" type="list">
      <formula1>"Mechanical,Electrical,C&amp;I,Civil,HVAC,Piping,Structural,General"</formula1>
      <formula2>0</formula2>
    </dataValidation>
    <dataValidation allowBlank="true" errorStyle="stop" operator="between" showDropDown="false" showErrorMessage="false" showInputMessage="false" sqref="B9:B508 I9:I508 K9:K508" type="dat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&amp;CCommissioning Punch List</oddHeader>
    <oddFooter>&amp;Rebrora.com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8.65" hidden="false" customHeight="false" outlineLevel="0" collapsed="false">
      <c r="A1" s="36" t="s">
        <v>109</v>
      </c>
    </row>
    <row r="2" customFormat="false" ht="15" hidden="false" customHeight="false" outlineLevel="0" collapsed="false">
      <c r="A2" s="37"/>
    </row>
    <row r="3" customFormat="false" ht="15" hidden="false" customHeight="false" outlineLevel="0" collapsed="false">
      <c r="A3" s="37" t="s">
        <v>110</v>
      </c>
    </row>
    <row r="4" customFormat="false" ht="15" hidden="false" customHeight="false" outlineLevel="0" collapsed="false">
      <c r="A4" s="37"/>
    </row>
    <row r="5" customFormat="false" ht="15" hidden="false" customHeight="false" outlineLevel="0" collapsed="false">
      <c r="A5" s="37" t="s">
        <v>111</v>
      </c>
    </row>
    <row r="6" customFormat="false" ht="15" hidden="false" customHeight="false" outlineLevel="0" collapsed="false">
      <c r="A6" s="37"/>
    </row>
    <row r="7" customFormat="false" ht="23.85" hidden="false" customHeight="false" outlineLevel="0" collapsed="false">
      <c r="A7" s="37" t="s">
        <v>112</v>
      </c>
    </row>
    <row r="8" customFormat="false" ht="15" hidden="false" customHeight="false" outlineLevel="0" collapsed="false">
      <c r="A8" s="37"/>
    </row>
    <row r="9" customFormat="false" ht="15" hidden="false" customHeight="false" outlineLevel="0" collapsed="false">
      <c r="A9" s="37" t="s">
        <v>113</v>
      </c>
    </row>
    <row r="10" customFormat="false" ht="15" hidden="false" customHeight="false" outlineLevel="0" collapsed="false">
      <c r="A10" s="37"/>
    </row>
    <row r="11" customFormat="false" ht="15" hidden="false" customHeight="false" outlineLevel="0" collapsed="false">
      <c r="A11" s="37" t="s">
        <v>114</v>
      </c>
    </row>
    <row r="12" customFormat="false" ht="15" hidden="false" customHeight="false" outlineLevel="0" collapsed="false">
      <c r="A12" s="37"/>
    </row>
    <row r="13" customFormat="false" ht="23.85" hidden="false" customHeight="false" outlineLevel="0" collapsed="false">
      <c r="A13" s="37" t="s">
        <v>115</v>
      </c>
    </row>
    <row r="14" customFormat="false" ht="15" hidden="false" customHeight="false" outlineLevel="0" collapsed="false">
      <c r="A14" s="37"/>
    </row>
    <row r="15" customFormat="false" ht="15" hidden="false" customHeight="false" outlineLevel="0" collapsed="false">
      <c r="A15" s="37" t="s">
        <v>116</v>
      </c>
    </row>
    <row r="16" customFormat="false" ht="15" hidden="false" customHeight="false" outlineLevel="0" collapsed="false">
      <c r="A16" s="37"/>
    </row>
    <row r="17" customFormat="false" ht="15" hidden="false" customHeight="false" outlineLevel="0" collapsed="false">
      <c r="A17" s="37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MEICA / Commissioning</cp:category>
  <dcterms:created xsi:type="dcterms:W3CDTF">2026-03-22T20:06:39Z</dcterms:created>
  <dc:creator>Ebrora Ltd</dc:creator>
  <dc:description>Track, prioritise, and close out commissioning punch items with A/B/C scoring, responsible parties, target dates, and overdue alerts — designed for commissioning managers and MEICA engineers on UK construction projects.
Free professional construction management template from Ebrora Ltd. Visit ebrora.com for our full range of tools and templates.</dc:description>
  <cp:keywords>Ebrora construction MEICA commissioning punch list snagging defects handover</cp:keywords>
  <dc:language>en-US</dc:language>
  <cp:lastModifiedBy>Ebrora Ltd</cp:lastModifiedBy>
  <dcterms:modified xsi:type="dcterms:W3CDTF">2026-03-22T20:06:39Z</dcterms:modified>
  <cp:revision>0</cp:revision>
  <dc:subject>Track and close out commissioning punch items with A/B/C priority scoring, responsible parties, and target dates.</dc:subject>
  <dc:title>Commissioning Punch List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