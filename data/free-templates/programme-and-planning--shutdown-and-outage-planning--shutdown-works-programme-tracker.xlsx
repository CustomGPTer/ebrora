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utdown Tracker" sheetId="1" state="visible" r:id="rId3"/>
    <sheet name="Instructions" sheetId="2" state="visible" r:id="rId4"/>
  </sheets>
  <definedNames>
    <definedName function="false" hidden="false" localSheetId="0" name="_xlnm.Print_Area" vbProcedure="false">'Shutdown Tracker'!$A$1:$Q$39</definedName>
    <definedName function="false" hidden="false" localSheetId="0" name="_xlnm.Print_Titles" vbProcedure="false">'Shutdown Tracker'!$1:$5</definedName>
    <definedName function="false" hidden="true" localSheetId="0" name="_xlnm._FilterDatabase" vbProcedure="false">'Shutdown Tracker'!$A$5:$Q$30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<sst xmlns="http://schemas.openxmlformats.org/spreadsheetml/2006/main" count="46" uniqueCount="45">
  <si>
    <t xml:space="preserve">ebrora.com</t>
  </si>
  <si>
    <t xml:space="preserve">SHUTDOWN WORKS PROGRAMME TRACKER</t>
  </si>
  <si>
    <t xml:space="preserve">Project / Plant:</t>
  </si>
  <si>
    <t xml:space="preserve">Shutdown Window:</t>
  </si>
  <si>
    <t xml:space="preserve">to</t>
  </si>
  <si>
    <t xml:space="preserve">Outage Mgr:</t>
  </si>
  <si>
    <t xml:space="preserve">No.</t>
  </si>
  <si>
    <t xml:space="preserve">Work Order /
Ref No.</t>
  </si>
  <si>
    <t xml:space="preserve">Task Description</t>
  </si>
  <si>
    <t xml:space="preserve">Discipline</t>
  </si>
  <si>
    <t xml:space="preserve">Work Pack
Ready?
(Yes/No)</t>
  </si>
  <si>
    <t xml:space="preserve">Isolations
Required?
(Yes/No)</t>
  </si>
  <si>
    <t xml:space="preserve">Permits
Required</t>
  </si>
  <si>
    <t xml:space="preserve">Planned
Start</t>
  </si>
  <si>
    <t xml:space="preserve">Planned
Finish</t>
  </si>
  <si>
    <t xml:space="preserve">Actual
Start</t>
  </si>
  <si>
    <t xml:space="preserve">Actual
Finish</t>
  </si>
  <si>
    <t xml:space="preserve">Duration
(Planned)</t>
  </si>
  <si>
    <t xml:space="preserve">Duration
(Actual)</t>
  </si>
  <si>
    <t xml:space="preserve">% Complete</t>
  </si>
  <si>
    <t xml:space="preserve">Critical
Path?
(Yes/No)</t>
  </si>
  <si>
    <t xml:space="preserve">Status</t>
  </si>
  <si>
    <t xml:space="preserve">Comments /
Dependencies</t>
  </si>
  <si>
    <t xml:space="preserve">SUMMARY</t>
  </si>
  <si>
    <t xml:space="preserve">Total Tasks:</t>
  </si>
  <si>
    <t xml:space="preserve">Complete:</t>
  </si>
  <si>
    <t xml:space="preserve">In Progress:</t>
  </si>
  <si>
    <t xml:space="preserve">Delayed:</t>
  </si>
  <si>
    <t xml:space="preserve">Work Packs Not Ready:</t>
  </si>
  <si>
    <t xml:space="preserve">Critical Path Items:</t>
  </si>
  <si>
    <t xml:space="preserve">% Programme Complete:</t>
  </si>
  <si>
    <t xml:space="preserve">INSTRUCTIONS — Shutdown Works Programme Tracker</t>
  </si>
  <si>
    <t xml:space="preserve">How to Use This Template</t>
  </si>
  <si>
    <t xml:space="preserve">1. Define the shutdown/outage window dates at the top of the sheet.</t>
  </si>
  <si>
    <t xml:space="preserve">2. List every work task with work order reference and discipline.</t>
  </si>
  <si>
    <t xml:space="preserve">3. Confirm work pack readiness and isolation/permit requirements.</t>
  </si>
  <si>
    <t xml:space="preserve">4. Enter planned and actual start/finish dates — durations auto-calculate.</t>
  </si>
  <si>
    <t xml:space="preserve">5. Flag critical path items — these require priority management.</t>
  </si>
  <si>
    <t xml:space="preserve">6. Update % complete and status throughout the shutdown window.</t>
  </si>
  <si>
    <t xml:space="preserve">7. Work packs flagged 'Not Ready' are highlighted red — resolve before shutdown.</t>
  </si>
  <si>
    <t xml:space="preserve">8. Review daily during shutdown execution meetings.</t>
  </si>
  <si>
    <t xml:space="preserve">References:</t>
  </si>
  <si>
    <t xml:space="preserve">  HSE HSG253 — Safe Isolation of Plant and Equipment</t>
  </si>
  <si>
    <t xml:space="preserve">  Shutdown/Turnaround Management best practice</t>
  </si>
  <si>
    <t xml:space="preserve">  NEC4/JCT contract provisions for possessions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</si>
</sst>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%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808080"/>
        </patternFill>
      </fill>
    </dxf>
    <dxf>
      <fill>
        <patternFill>
          <bgColor rgb="FFFF8C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6" min="5" style="0" width="9"/>
    <col collapsed="false" customWidth="true" hidden="false" outlineLevel="0" max="7" min="7" style="0" width="12"/>
    <col collapsed="false" customWidth="true" hidden="false" outlineLevel="0" max="11" min="8" style="0" width="10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2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46.25" hidden="false" customHeight="true" outlineLevel="0" collapsed="false">
      <c r="A3" s="3" t="s">
        <v>2</v>
      </c>
      <c r="B3" s="4"/>
      <c r="C3" s="4"/>
      <c r="D3" s="4"/>
      <c r="E3" s="3" t="s">
        <v>3</v>
      </c>
      <c r="F3" s="3"/>
      <c r="G3" s="5"/>
      <c r="H3" s="6" t="s">
        <v>4</v>
      </c>
      <c r="I3" s="5"/>
      <c r="J3" s="3" t="s">
        <v>5</v>
      </c>
      <c r="K3" s="4"/>
      <c r="L3" s="4"/>
      <c r="M3" s="4"/>
    </row>
    <row r="5" customFormat="false" ht="48" hidden="false" customHeight="true" outlineLevel="0" collapsed="false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19</v>
      </c>
      <c r="O5" s="7" t="s">
        <v>20</v>
      </c>
      <c r="P5" s="7" t="s">
        <v>21</v>
      </c>
      <c r="Q5" s="7" t="s">
        <v>22</v>
      </c>
    </row>
    <row r="6" customFormat="false" ht="24" hidden="false" customHeight="true" outlineLevel="0" collapsed="false">
      <c r="A6" s="8" t="n">
        <v>1</v>
      </c>
      <c r="B6" s="9"/>
      <c r="C6" s="4"/>
      <c r="D6" s="9"/>
      <c r="E6" s="9"/>
      <c r="F6" s="9"/>
      <c r="G6" s="9"/>
      <c r="H6" s="10"/>
      <c r="I6" s="10"/>
      <c r="J6" s="10"/>
      <c r="K6" s="10"/>
      <c r="L6" s="8" t="str">
        <f aca="false">IF(OR(H6="",I6=""),"",I6-H6)</f>
        <v/>
      </c>
      <c r="M6" s="8" t="str">
        <f aca="false">IF(OR(J6="",K6=""),"",K6-J6)</f>
        <v/>
      </c>
      <c r="N6" s="11"/>
      <c r="O6" s="9"/>
      <c r="P6" s="9"/>
      <c r="Q6" s="4"/>
    </row>
    <row r="7" customFormat="false" ht="24" hidden="false" customHeight="true" outlineLevel="0" collapsed="false">
      <c r="A7" s="12" t="n">
        <v>2</v>
      </c>
      <c r="B7" s="9"/>
      <c r="C7" s="4"/>
      <c r="D7" s="9"/>
      <c r="E7" s="9"/>
      <c r="F7" s="9"/>
      <c r="G7" s="9"/>
      <c r="H7" s="10"/>
      <c r="I7" s="10"/>
      <c r="J7" s="10"/>
      <c r="K7" s="10"/>
      <c r="L7" s="12" t="str">
        <f aca="false">IF(OR(H7="",I7=""),"",I7-H7)</f>
        <v/>
      </c>
      <c r="M7" s="12" t="str">
        <f aca="false">IF(OR(J7="",K7=""),"",K7-J7)</f>
        <v/>
      </c>
      <c r="N7" s="11"/>
      <c r="O7" s="9"/>
      <c r="P7" s="9"/>
      <c r="Q7" s="4"/>
    </row>
    <row r="8" customFormat="false" ht="24" hidden="false" customHeight="true" outlineLevel="0" collapsed="false">
      <c r="A8" s="8" t="n">
        <v>3</v>
      </c>
      <c r="B8" s="9"/>
      <c r="C8" s="4"/>
      <c r="D8" s="9"/>
      <c r="E8" s="9"/>
      <c r="F8" s="9"/>
      <c r="G8" s="9"/>
      <c r="H8" s="10"/>
      <c r="I8" s="10"/>
      <c r="J8" s="10"/>
      <c r="K8" s="10"/>
      <c r="L8" s="8" t="str">
        <f aca="false">IF(OR(H8="",I8=""),"",I8-H8)</f>
        <v/>
      </c>
      <c r="M8" s="8" t="str">
        <f aca="false">IF(OR(J8="",K8=""),"",K8-J8)</f>
        <v/>
      </c>
      <c r="N8" s="11"/>
      <c r="O8" s="9"/>
      <c r="P8" s="9"/>
      <c r="Q8" s="4"/>
    </row>
    <row r="9" customFormat="false" ht="24" hidden="false" customHeight="true" outlineLevel="0" collapsed="false">
      <c r="A9" s="12" t="n">
        <v>4</v>
      </c>
      <c r="B9" s="9"/>
      <c r="C9" s="4"/>
      <c r="D9" s="9"/>
      <c r="E9" s="9"/>
      <c r="F9" s="9"/>
      <c r="G9" s="9"/>
      <c r="H9" s="10"/>
      <c r="I9" s="10"/>
      <c r="J9" s="10"/>
      <c r="K9" s="10"/>
      <c r="L9" s="12" t="str">
        <f aca="false">IF(OR(H9="",I9=""),"",I9-H9)</f>
        <v/>
      </c>
      <c r="M9" s="12" t="str">
        <f aca="false">IF(OR(J9="",K9=""),"",K9-J9)</f>
        <v/>
      </c>
      <c r="N9" s="11"/>
      <c r="O9" s="9"/>
      <c r="P9" s="9"/>
      <c r="Q9" s="4"/>
    </row>
    <row r="10" customFormat="false" ht="24" hidden="false" customHeight="true" outlineLevel="0" collapsed="false">
      <c r="A10" s="8" t="n">
        <v>5</v>
      </c>
      <c r="B10" s="9"/>
      <c r="C10" s="4"/>
      <c r="D10" s="9"/>
      <c r="E10" s="9"/>
      <c r="F10" s="9"/>
      <c r="G10" s="9"/>
      <c r="H10" s="10"/>
      <c r="I10" s="10"/>
      <c r="J10" s="10"/>
      <c r="K10" s="10"/>
      <c r="L10" s="8" t="str">
        <f aca="false">IF(OR(H10="",I10=""),"",I10-H10)</f>
        <v/>
      </c>
      <c r="M10" s="8" t="str">
        <f aca="false">IF(OR(J10="",K10=""),"",K10-J10)</f>
        <v/>
      </c>
      <c r="N10" s="11"/>
      <c r="O10" s="9"/>
      <c r="P10" s="9"/>
      <c r="Q10" s="4"/>
    </row>
    <row r="11" customFormat="false" ht="24" hidden="false" customHeight="true" outlineLevel="0" collapsed="false">
      <c r="A11" s="12" t="n">
        <v>6</v>
      </c>
      <c r="B11" s="9"/>
      <c r="C11" s="4"/>
      <c r="D11" s="9"/>
      <c r="E11" s="9"/>
      <c r="F11" s="9"/>
      <c r="G11" s="9"/>
      <c r="H11" s="10"/>
      <c r="I11" s="10"/>
      <c r="J11" s="10"/>
      <c r="K11" s="10"/>
      <c r="L11" s="12" t="str">
        <f aca="false">IF(OR(H11="",I11=""),"",I11-H11)</f>
        <v/>
      </c>
      <c r="M11" s="12" t="str">
        <f aca="false">IF(OR(J11="",K11=""),"",K11-J11)</f>
        <v/>
      </c>
      <c r="N11" s="11"/>
      <c r="O11" s="9"/>
      <c r="P11" s="9"/>
      <c r="Q11" s="4"/>
    </row>
    <row r="12" customFormat="false" ht="24" hidden="false" customHeight="true" outlineLevel="0" collapsed="false">
      <c r="A12" s="8" t="n">
        <v>7</v>
      </c>
      <c r="B12" s="9"/>
      <c r="C12" s="4"/>
      <c r="D12" s="9"/>
      <c r="E12" s="9"/>
      <c r="F12" s="9"/>
      <c r="G12" s="9"/>
      <c r="H12" s="10"/>
      <c r="I12" s="10"/>
      <c r="J12" s="10"/>
      <c r="K12" s="10"/>
      <c r="L12" s="8" t="str">
        <f aca="false">IF(OR(H12="",I12=""),"",I12-H12)</f>
        <v/>
      </c>
      <c r="M12" s="8" t="str">
        <f aca="false">IF(OR(J12="",K12=""),"",K12-J12)</f>
        <v/>
      </c>
      <c r="N12" s="11"/>
      <c r="O12" s="9"/>
      <c r="P12" s="9"/>
      <c r="Q12" s="4"/>
    </row>
    <row r="13" customFormat="false" ht="24" hidden="false" customHeight="true" outlineLevel="0" collapsed="false">
      <c r="A13" s="12" t="n">
        <v>8</v>
      </c>
      <c r="B13" s="9"/>
      <c r="C13" s="4"/>
      <c r="D13" s="9"/>
      <c r="E13" s="9"/>
      <c r="F13" s="9"/>
      <c r="G13" s="9"/>
      <c r="H13" s="10"/>
      <c r="I13" s="10"/>
      <c r="J13" s="10"/>
      <c r="K13" s="10"/>
      <c r="L13" s="12" t="str">
        <f aca="false">IF(OR(H13="",I13=""),"",I13-H13)</f>
        <v/>
      </c>
      <c r="M13" s="12" t="str">
        <f aca="false">IF(OR(J13="",K13=""),"",K13-J13)</f>
        <v/>
      </c>
      <c r="N13" s="11"/>
      <c r="O13" s="9"/>
      <c r="P13" s="9"/>
      <c r="Q13" s="4"/>
    </row>
    <row r="14" customFormat="false" ht="24" hidden="false" customHeight="true" outlineLevel="0" collapsed="false">
      <c r="A14" s="8" t="n">
        <v>9</v>
      </c>
      <c r="B14" s="9"/>
      <c r="C14" s="4"/>
      <c r="D14" s="9"/>
      <c r="E14" s="9"/>
      <c r="F14" s="9"/>
      <c r="G14" s="9"/>
      <c r="H14" s="10"/>
      <c r="I14" s="10"/>
      <c r="J14" s="10"/>
      <c r="K14" s="10"/>
      <c r="L14" s="8" t="str">
        <f aca="false">IF(OR(H14="",I14=""),"",I14-H14)</f>
        <v/>
      </c>
      <c r="M14" s="8" t="str">
        <f aca="false">IF(OR(J14="",K14=""),"",K14-J14)</f>
        <v/>
      </c>
      <c r="N14" s="11"/>
      <c r="O14" s="9"/>
      <c r="P14" s="9"/>
      <c r="Q14" s="4"/>
    </row>
    <row r="15" customFormat="false" ht="24" hidden="false" customHeight="true" outlineLevel="0" collapsed="false">
      <c r="A15" s="12" t="n">
        <v>10</v>
      </c>
      <c r="B15" s="9"/>
      <c r="C15" s="4"/>
      <c r="D15" s="9"/>
      <c r="E15" s="9"/>
      <c r="F15" s="9"/>
      <c r="G15" s="9"/>
      <c r="H15" s="10"/>
      <c r="I15" s="10"/>
      <c r="J15" s="10"/>
      <c r="K15" s="10"/>
      <c r="L15" s="12" t="str">
        <f aca="false">IF(OR(H15="",I15=""),"",I15-H15)</f>
        <v/>
      </c>
      <c r="M15" s="12" t="str">
        <f aca="false">IF(OR(J15="",K15=""),"",K15-J15)</f>
        <v/>
      </c>
      <c r="N15" s="11"/>
      <c r="O15" s="9"/>
      <c r="P15" s="9"/>
      <c r="Q15" s="4"/>
    </row>
    <row r="16" customFormat="false" ht="24" hidden="false" customHeight="true" outlineLevel="0" collapsed="false">
      <c r="A16" s="8" t="n">
        <v>11</v>
      </c>
      <c r="B16" s="9"/>
      <c r="C16" s="4"/>
      <c r="D16" s="9"/>
      <c r="E16" s="9"/>
      <c r="F16" s="9"/>
      <c r="G16" s="9"/>
      <c r="H16" s="10"/>
      <c r="I16" s="10"/>
      <c r="J16" s="10"/>
      <c r="K16" s="10"/>
      <c r="L16" s="8" t="str">
        <f aca="false">IF(OR(H16="",I16=""),"",I16-H16)</f>
        <v/>
      </c>
      <c r="M16" s="8" t="str">
        <f aca="false">IF(OR(J16="",K16=""),"",K16-J16)</f>
        <v/>
      </c>
      <c r="N16" s="11"/>
      <c r="O16" s="9"/>
      <c r="P16" s="9"/>
      <c r="Q16" s="4"/>
    </row>
    <row r="17" customFormat="false" ht="24" hidden="false" customHeight="true" outlineLevel="0" collapsed="false">
      <c r="A17" s="12" t="n">
        <v>12</v>
      </c>
      <c r="B17" s="9"/>
      <c r="C17" s="4"/>
      <c r="D17" s="9"/>
      <c r="E17" s="9"/>
      <c r="F17" s="9"/>
      <c r="G17" s="9"/>
      <c r="H17" s="10"/>
      <c r="I17" s="10"/>
      <c r="J17" s="10"/>
      <c r="K17" s="10"/>
      <c r="L17" s="12" t="str">
        <f aca="false">IF(OR(H17="",I17=""),"",I17-H17)</f>
        <v/>
      </c>
      <c r="M17" s="12" t="str">
        <f aca="false">IF(OR(J17="",K17=""),"",K17-J17)</f>
        <v/>
      </c>
      <c r="N17" s="11"/>
      <c r="O17" s="9"/>
      <c r="P17" s="9"/>
      <c r="Q17" s="4"/>
    </row>
    <row r="18" customFormat="false" ht="24" hidden="false" customHeight="true" outlineLevel="0" collapsed="false">
      <c r="A18" s="8" t="n">
        <v>13</v>
      </c>
      <c r="B18" s="9"/>
      <c r="C18" s="4"/>
      <c r="D18" s="9"/>
      <c r="E18" s="9"/>
      <c r="F18" s="9"/>
      <c r="G18" s="9"/>
      <c r="H18" s="10"/>
      <c r="I18" s="10"/>
      <c r="J18" s="10"/>
      <c r="K18" s="10"/>
      <c r="L18" s="8" t="str">
        <f aca="false">IF(OR(H18="",I18=""),"",I18-H18)</f>
        <v/>
      </c>
      <c r="M18" s="8" t="str">
        <f aca="false">IF(OR(J18="",K18=""),"",K18-J18)</f>
        <v/>
      </c>
      <c r="N18" s="11"/>
      <c r="O18" s="9"/>
      <c r="P18" s="9"/>
      <c r="Q18" s="4"/>
    </row>
    <row r="19" customFormat="false" ht="24" hidden="false" customHeight="true" outlineLevel="0" collapsed="false">
      <c r="A19" s="12" t="n">
        <v>14</v>
      </c>
      <c r="B19" s="9"/>
      <c r="C19" s="4"/>
      <c r="D19" s="9"/>
      <c r="E19" s="9"/>
      <c r="F19" s="9"/>
      <c r="G19" s="9"/>
      <c r="H19" s="10"/>
      <c r="I19" s="10"/>
      <c r="J19" s="10"/>
      <c r="K19" s="10"/>
      <c r="L19" s="12" t="str">
        <f aca="false">IF(OR(H19="",I19=""),"",I19-H19)</f>
        <v/>
      </c>
      <c r="M19" s="12" t="str">
        <f aca="false">IF(OR(J19="",K19=""),"",K19-J19)</f>
        <v/>
      </c>
      <c r="N19" s="11"/>
      <c r="O19" s="9"/>
      <c r="P19" s="9"/>
      <c r="Q19" s="4"/>
    </row>
    <row r="20" customFormat="false" ht="24" hidden="false" customHeight="true" outlineLevel="0" collapsed="false">
      <c r="A20" s="8" t="n">
        <v>15</v>
      </c>
      <c r="B20" s="9"/>
      <c r="C20" s="4"/>
      <c r="D20" s="9"/>
      <c r="E20" s="9"/>
      <c r="F20" s="9"/>
      <c r="G20" s="9"/>
      <c r="H20" s="10"/>
      <c r="I20" s="10"/>
      <c r="J20" s="10"/>
      <c r="K20" s="10"/>
      <c r="L20" s="8" t="str">
        <f aca="false">IF(OR(H20="",I20=""),"",I20-H20)</f>
        <v/>
      </c>
      <c r="M20" s="8" t="str">
        <f aca="false">IF(OR(J20="",K20=""),"",K20-J20)</f>
        <v/>
      </c>
      <c r="N20" s="11"/>
      <c r="O20" s="9"/>
      <c r="P20" s="9"/>
      <c r="Q20" s="4"/>
    </row>
    <row r="21" customFormat="false" ht="24" hidden="false" customHeight="true" outlineLevel="0" collapsed="false">
      <c r="A21" s="12" t="n">
        <v>16</v>
      </c>
      <c r="B21" s="9"/>
      <c r="C21" s="4"/>
      <c r="D21" s="9"/>
      <c r="E21" s="9"/>
      <c r="F21" s="9"/>
      <c r="G21" s="9"/>
      <c r="H21" s="10"/>
      <c r="I21" s="10"/>
      <c r="J21" s="10"/>
      <c r="K21" s="10"/>
      <c r="L21" s="12" t="str">
        <f aca="false">IF(OR(H21="",I21=""),"",I21-H21)</f>
        <v/>
      </c>
      <c r="M21" s="12" t="str">
        <f aca="false">IF(OR(J21="",K21=""),"",K21-J21)</f>
        <v/>
      </c>
      <c r="N21" s="11"/>
      <c r="O21" s="9"/>
      <c r="P21" s="9"/>
      <c r="Q21" s="4"/>
    </row>
    <row r="22" customFormat="false" ht="24" hidden="false" customHeight="true" outlineLevel="0" collapsed="false">
      <c r="A22" s="8" t="n">
        <v>17</v>
      </c>
      <c r="B22" s="9"/>
      <c r="C22" s="4"/>
      <c r="D22" s="9"/>
      <c r="E22" s="9"/>
      <c r="F22" s="9"/>
      <c r="G22" s="9"/>
      <c r="H22" s="10"/>
      <c r="I22" s="10"/>
      <c r="J22" s="10"/>
      <c r="K22" s="10"/>
      <c r="L22" s="8" t="str">
        <f aca="false">IF(OR(H22="",I22=""),"",I22-H22)</f>
        <v/>
      </c>
      <c r="M22" s="8" t="str">
        <f aca="false">IF(OR(J22="",K22=""),"",K22-J22)</f>
        <v/>
      </c>
      <c r="N22" s="11"/>
      <c r="O22" s="9"/>
      <c r="P22" s="9"/>
      <c r="Q22" s="4"/>
    </row>
    <row r="23" customFormat="false" ht="24" hidden="false" customHeight="true" outlineLevel="0" collapsed="false">
      <c r="A23" s="12" t="n">
        <v>18</v>
      </c>
      <c r="B23" s="9"/>
      <c r="C23" s="4"/>
      <c r="D23" s="9"/>
      <c r="E23" s="9"/>
      <c r="F23" s="9"/>
      <c r="G23" s="9"/>
      <c r="H23" s="10"/>
      <c r="I23" s="10"/>
      <c r="J23" s="10"/>
      <c r="K23" s="10"/>
      <c r="L23" s="12" t="str">
        <f aca="false">IF(OR(H23="",I23=""),"",I23-H23)</f>
        <v/>
      </c>
      <c r="M23" s="12" t="str">
        <f aca="false">IF(OR(J23="",K23=""),"",K23-J23)</f>
        <v/>
      </c>
      <c r="N23" s="11"/>
      <c r="O23" s="9"/>
      <c r="P23" s="9"/>
      <c r="Q23" s="4"/>
    </row>
    <row r="24" customFormat="false" ht="24" hidden="false" customHeight="true" outlineLevel="0" collapsed="false">
      <c r="A24" s="8" t="n">
        <v>19</v>
      </c>
      <c r="B24" s="9"/>
      <c r="C24" s="4"/>
      <c r="D24" s="9"/>
      <c r="E24" s="9"/>
      <c r="F24" s="9"/>
      <c r="G24" s="9"/>
      <c r="H24" s="10"/>
      <c r="I24" s="10"/>
      <c r="J24" s="10"/>
      <c r="K24" s="10"/>
      <c r="L24" s="8" t="str">
        <f aca="false">IF(OR(H24="",I24=""),"",I24-H24)</f>
        <v/>
      </c>
      <c r="M24" s="8" t="str">
        <f aca="false">IF(OR(J24="",K24=""),"",K24-J24)</f>
        <v/>
      </c>
      <c r="N24" s="11"/>
      <c r="O24" s="9"/>
      <c r="P24" s="9"/>
      <c r="Q24" s="4"/>
    </row>
    <row r="25" customFormat="false" ht="24" hidden="false" customHeight="true" outlineLevel="0" collapsed="false">
      <c r="A25" s="12" t="n">
        <v>20</v>
      </c>
      <c r="B25" s="9"/>
      <c r="C25" s="4"/>
      <c r="D25" s="9"/>
      <c r="E25" s="9"/>
      <c r="F25" s="9"/>
      <c r="G25" s="9"/>
      <c r="H25" s="10"/>
      <c r="I25" s="10"/>
      <c r="J25" s="10"/>
      <c r="K25" s="10"/>
      <c r="L25" s="12" t="str">
        <f aca="false">IF(OR(H25="",I25=""),"",I25-H25)</f>
        <v/>
      </c>
      <c r="M25" s="12" t="str">
        <f aca="false">IF(OR(J25="",K25=""),"",K25-J25)</f>
        <v/>
      </c>
      <c r="N25" s="11"/>
      <c r="O25" s="9"/>
      <c r="P25" s="9"/>
      <c r="Q25" s="4"/>
    </row>
    <row r="26" customFormat="false" ht="24" hidden="false" customHeight="true" outlineLevel="0" collapsed="false">
      <c r="A26" s="8" t="n">
        <v>21</v>
      </c>
      <c r="B26" s="9"/>
      <c r="C26" s="4"/>
      <c r="D26" s="9"/>
      <c r="E26" s="9"/>
      <c r="F26" s="9"/>
      <c r="G26" s="9"/>
      <c r="H26" s="10"/>
      <c r="I26" s="10"/>
      <c r="J26" s="10"/>
      <c r="K26" s="10"/>
      <c r="L26" s="8" t="str">
        <f aca="false">IF(OR(H26="",I26=""),"",I26-H26)</f>
        <v/>
      </c>
      <c r="M26" s="8" t="str">
        <f aca="false">IF(OR(J26="",K26=""),"",K26-J26)</f>
        <v/>
      </c>
      <c r="N26" s="11"/>
      <c r="O26" s="9"/>
      <c r="P26" s="9"/>
      <c r="Q26" s="4"/>
    </row>
    <row r="27" customFormat="false" ht="24" hidden="false" customHeight="true" outlineLevel="0" collapsed="false">
      <c r="A27" s="12" t="n">
        <v>22</v>
      </c>
      <c r="B27" s="9"/>
      <c r="C27" s="4"/>
      <c r="D27" s="9"/>
      <c r="E27" s="9"/>
      <c r="F27" s="9"/>
      <c r="G27" s="9"/>
      <c r="H27" s="10"/>
      <c r="I27" s="10"/>
      <c r="J27" s="10"/>
      <c r="K27" s="10"/>
      <c r="L27" s="12" t="str">
        <f aca="false">IF(OR(H27="",I27=""),"",I27-H27)</f>
        <v/>
      </c>
      <c r="M27" s="12" t="str">
        <f aca="false">IF(OR(J27="",K27=""),"",K27-J27)</f>
        <v/>
      </c>
      <c r="N27" s="11"/>
      <c r="O27" s="9"/>
      <c r="P27" s="9"/>
      <c r="Q27" s="4"/>
    </row>
    <row r="28" customFormat="false" ht="24" hidden="false" customHeight="true" outlineLevel="0" collapsed="false">
      <c r="A28" s="8" t="n">
        <v>23</v>
      </c>
      <c r="B28" s="9"/>
      <c r="C28" s="4"/>
      <c r="D28" s="9"/>
      <c r="E28" s="9"/>
      <c r="F28" s="9"/>
      <c r="G28" s="9"/>
      <c r="H28" s="10"/>
      <c r="I28" s="10"/>
      <c r="J28" s="10"/>
      <c r="K28" s="10"/>
      <c r="L28" s="8" t="str">
        <f aca="false">IF(OR(H28="",I28=""),"",I28-H28)</f>
        <v/>
      </c>
      <c r="M28" s="8" t="str">
        <f aca="false">IF(OR(J28="",K28=""),"",K28-J28)</f>
        <v/>
      </c>
      <c r="N28" s="11"/>
      <c r="O28" s="9"/>
      <c r="P28" s="9"/>
      <c r="Q28" s="4"/>
    </row>
    <row r="29" customFormat="false" ht="24" hidden="false" customHeight="true" outlineLevel="0" collapsed="false">
      <c r="A29" s="12" t="n">
        <v>24</v>
      </c>
      <c r="B29" s="9"/>
      <c r="C29" s="4"/>
      <c r="D29" s="9"/>
      <c r="E29" s="9"/>
      <c r="F29" s="9"/>
      <c r="G29" s="9"/>
      <c r="H29" s="10"/>
      <c r="I29" s="10"/>
      <c r="J29" s="10"/>
      <c r="K29" s="10"/>
      <c r="L29" s="12" t="str">
        <f aca="false">IF(OR(H29="",I29=""),"",I29-H29)</f>
        <v/>
      </c>
      <c r="M29" s="12" t="str">
        <f aca="false">IF(OR(J29="",K29=""),"",K29-J29)</f>
        <v/>
      </c>
      <c r="N29" s="11"/>
      <c r="O29" s="9"/>
      <c r="P29" s="9"/>
      <c r="Q29" s="4"/>
    </row>
    <row r="30" customFormat="false" ht="24" hidden="false" customHeight="true" outlineLevel="0" collapsed="false">
      <c r="A30" s="8" t="n">
        <v>25</v>
      </c>
      <c r="B30" s="9"/>
      <c r="C30" s="4"/>
      <c r="D30" s="9"/>
      <c r="E30" s="9"/>
      <c r="F30" s="9"/>
      <c r="G30" s="9"/>
      <c r="H30" s="10"/>
      <c r="I30" s="10"/>
      <c r="J30" s="10"/>
      <c r="K30" s="10"/>
      <c r="L30" s="8" t="str">
        <f aca="false">IF(OR(H30="",I30=""),"",I30-H30)</f>
        <v/>
      </c>
      <c r="M30" s="8" t="str">
        <f aca="false">IF(OR(J30="",K30=""),"",K30-J30)</f>
        <v/>
      </c>
      <c r="N30" s="11"/>
      <c r="O30" s="9"/>
      <c r="P30" s="9"/>
      <c r="Q30" s="4"/>
    </row>
    <row r="32" customFormat="false" ht="15" hidden="false" customHeight="true" outlineLevel="0" collapsed="false">
      <c r="A32" s="13" t="s">
        <v>23</v>
      </c>
      <c r="B32" s="13"/>
      <c r="C32" s="13"/>
    </row>
    <row r="33" customFormat="false" ht="15" hidden="false" customHeight="true" outlineLevel="0" collapsed="false">
      <c r="A33" s="3" t="s">
        <v>24</v>
      </c>
      <c r="B33" s="3"/>
      <c r="C33" s="14" t="n">
        <f aca="false">COUNTA(C6:C30)</f>
        <v>0</v>
      </c>
    </row>
    <row r="34" customFormat="false" ht="15" hidden="false" customHeight="true" outlineLevel="0" collapsed="false">
      <c r="A34" s="3" t="s">
        <v>25</v>
      </c>
      <c r="B34" s="3"/>
      <c r="C34" s="14" t="n">
        <f aca="false">COUNTIF(P6:P30,"Complete")</f>
        <v>0</v>
      </c>
    </row>
    <row r="35" customFormat="false" ht="15" hidden="false" customHeight="true" outlineLevel="0" collapsed="false">
      <c r="A35" s="3" t="s">
        <v>26</v>
      </c>
      <c r="B35" s="3"/>
      <c r="C35" s="14" t="n">
        <f aca="false">COUNTIF(P6:P30,"In Progress")</f>
        <v>0</v>
      </c>
    </row>
    <row r="36" customFormat="false" ht="15" hidden="false" customHeight="true" outlineLevel="0" collapsed="false">
      <c r="A36" s="3" t="s">
        <v>27</v>
      </c>
      <c r="B36" s="3"/>
      <c r="C36" s="14" t="n">
        <f aca="false">COUNTIF(P6:P30,"Delayed")</f>
        <v>0</v>
      </c>
    </row>
    <row r="37" customFormat="false" ht="23.85" hidden="false" customHeight="true" outlineLevel="0" collapsed="false">
      <c r="A37" s="3" t="s">
        <v>28</v>
      </c>
      <c r="B37" s="3"/>
      <c r="C37" s="14" t="n">
        <f aca="false">COUNTIF(E6:E30,"No")</f>
        <v>0</v>
      </c>
    </row>
    <row r="38" customFormat="false" ht="15" hidden="false" customHeight="true" outlineLevel="0" collapsed="false">
      <c r="A38" s="3" t="s">
        <v>29</v>
      </c>
      <c r="B38" s="3"/>
      <c r="C38" s="14" t="n">
        <f aca="false">COUNTIF(O6:O30,"Yes")</f>
        <v>0</v>
      </c>
    </row>
    <row r="39" customFormat="false" ht="23.85" hidden="false" customHeight="true" outlineLevel="0" collapsed="false">
      <c r="A39" s="3" t="s">
        <v>30</v>
      </c>
      <c r="B39" s="3"/>
      <c r="C39" s="15" t="str">
        <f aca="false">IF(COUNTA(C6:C30)=0,"",AVERAGE(N6:N30))</f>
        <v/>
      </c>
    </row>
  </sheetData>
  <autoFilter ref="A5:Q30"/>
  <mergeCells count="13">
    <mergeCell ref="A1:Q1"/>
    <mergeCell ref="A2:Q2"/>
    <mergeCell ref="B3:D3"/>
    <mergeCell ref="E3:F3"/>
    <mergeCell ref="K3:M3"/>
    <mergeCell ref="A32:C32"/>
    <mergeCell ref="A33:B33"/>
    <mergeCell ref="A34:B34"/>
    <mergeCell ref="A35:B35"/>
    <mergeCell ref="A36:B36"/>
    <mergeCell ref="A37:B37"/>
    <mergeCell ref="A38:B38"/>
    <mergeCell ref="A39:B39"/>
  </mergeCells>
  <conditionalFormatting sqref="P6:P30">
    <cfRule type="cellIs" priority="2" operator="equal" aboveAverage="0" equalAverage="0" bottom="0" percent="0" rank="0" text="" dxfId="5">
      <formula>"Complete"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"Delayed"</formula>
    </cfRule>
    <cfRule type="cellIs" priority="5" operator="equal" aboveAverage="0" equalAverage="0" bottom="0" percent="0" rank="0" text="" dxfId="8">
      <formula>"On Hold"</formula>
    </cfRule>
  </conditionalFormatting>
  <conditionalFormatting sqref="E6:E30">
    <cfRule type="cellIs" priority="6" operator="equal" aboveAverage="0" equalAverage="0" bottom="0" percent="0" rank="0" text="" dxfId="7">
      <formula>"No"</formula>
    </cfRule>
  </conditionalFormatting>
  <conditionalFormatting sqref="O6:O30">
    <cfRule type="cellIs" priority="7" operator="equal" aboveAverage="0" equalAverage="0" bottom="0" percent="0" rank="0" text="" dxfId="9">
      <formula>"Yes"</formula>
    </cfRule>
  </conditionalFormatting>
  <dataValidations count="4">
    <dataValidation allowBlank="true" errorStyle="stop" operator="between" showDropDown="false" showErrorMessage="false" showInputMessage="false" sqref="D6:D30" type="list">
      <formula1>"Mechanical,Electrical,Instrumentation,Civil,Process,Scaffolding,Insulation,Cleaning,NDT/Inspection,Other"</formula1>
      <formula2>0</formula2>
    </dataValidation>
    <dataValidation allowBlank="true" errorStyle="stop" operator="between" showDropDown="false" showErrorMessage="false" showInputMessage="false" sqref="E6:F30 O6:O30" type="list">
      <formula1>"Yes,No"</formula1>
      <formula2>0</formula2>
    </dataValidation>
    <dataValidation allowBlank="true" errorStyle="stop" operator="between" showDropDown="false" showErrorMessage="false" showInputMessage="false" sqref="P6:P30" type="list">
      <formula1>"Not Started,Mobilised,In Progress,Complete,On Hold,Delayed,Cancelled"</formula1>
      <formula2>0</formula2>
    </dataValidation>
    <dataValidation allowBlank="true" errorStyle="stop" operator="between" showDropDown="false" showErrorMessage="false" showInputMessage="false" sqref="G6:G30" type="list">
      <formula1>"None,Hot Works,Confined Space,Isolation,Excavation,Working at Height,Multiple,Other"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31</v>
      </c>
      <c r="B2" s="2"/>
    </row>
    <row r="4" customFormat="false" ht="15" hidden="false" customHeight="false" outlineLevel="0" collapsed="false">
      <c r="B4" s="13" t="s">
        <v>32</v>
      </c>
    </row>
    <row r="5" customFormat="false" ht="15" hidden="false" customHeight="false" outlineLevel="0" collapsed="false">
      <c r="B5" s="16"/>
    </row>
    <row r="6" customFormat="false" ht="15" hidden="false" customHeight="false" outlineLevel="0" collapsed="false">
      <c r="B6" s="16" t="s">
        <v>33</v>
      </c>
    </row>
    <row r="7" customFormat="false" ht="15" hidden="false" customHeight="false" outlineLevel="0" collapsed="false">
      <c r="B7" s="16" t="s">
        <v>34</v>
      </c>
    </row>
    <row r="8" customFormat="false" ht="15" hidden="false" customHeight="false" outlineLevel="0" collapsed="false">
      <c r="B8" s="16" t="s">
        <v>35</v>
      </c>
    </row>
    <row r="9" customFormat="false" ht="15" hidden="false" customHeight="false" outlineLevel="0" collapsed="false">
      <c r="B9" s="16" t="s">
        <v>36</v>
      </c>
    </row>
    <row r="10" customFormat="false" ht="15" hidden="false" customHeight="false" outlineLevel="0" collapsed="false">
      <c r="B10" s="16" t="s">
        <v>37</v>
      </c>
    </row>
    <row r="11" customFormat="false" ht="15" hidden="false" customHeight="false" outlineLevel="0" collapsed="false">
      <c r="B11" s="16" t="s">
        <v>38</v>
      </c>
    </row>
    <row r="12" customFormat="false" ht="15" hidden="false" customHeight="false" outlineLevel="0" collapsed="false">
      <c r="B12" s="16" t="s">
        <v>39</v>
      </c>
    </row>
    <row r="13" customFormat="false" ht="15" hidden="false" customHeight="false" outlineLevel="0" collapsed="false">
      <c r="B13" s="16" t="s">
        <v>40</v>
      </c>
    </row>
    <row r="14" customFormat="false" ht="15" hidden="false" customHeight="false" outlineLevel="0" collapsed="false">
      <c r="B14" s="16"/>
    </row>
    <row r="15" customFormat="false" ht="15" hidden="false" customHeight="false" outlineLevel="0" collapsed="false">
      <c r="B15" s="13" t="s">
        <v>41</v>
      </c>
    </row>
    <row r="16" customFormat="false" ht="15" hidden="false" customHeight="false" outlineLevel="0" collapsed="false">
      <c r="B16" s="17" t="s">
        <v>42</v>
      </c>
    </row>
    <row r="17" customFormat="false" ht="15" hidden="false" customHeight="false" outlineLevel="0" collapsed="false">
      <c r="B17" s="17" t="s">
        <v>43</v>
      </c>
    </row>
    <row r="18" customFormat="false" ht="15" hidden="false" customHeight="false" outlineLevel="0" collapsed="false">
      <c r="B18" s="17" t="s">
        <v>44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2026-03-27T17:02:39Z</dcterms:created>
  <dc:creator>openpyxl</dc:creator>
  <dc:description/>
  <dc:language>en-US</dc:language>
  <cp:lastModifiedBy/>
  <dcterms:modified xsi:type="dcterms:W3CDTF">2026-03-27T17:02:40Z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