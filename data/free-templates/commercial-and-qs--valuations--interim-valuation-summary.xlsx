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Interim Valuation"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Instructions!$A$1:$F$26</definedName>
    <definedName function="false" hidden="false" localSheetId="2" name="_xlnm.Print_Area" vbProcedure="false">'Interim Valuation'!$A$1:$G$58</definedName>
    <definedName function="false" hidden="false" name="ValuationTable" vbProcedure="false">'Interim Valuation'!$A$9:$G$40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<sst xmlns="http://schemas.openxmlformats.org/spreadsheetml/2006/main" count="135" uniqueCount="134">
  <si>
    <t xml:space="preserve">EBRORA</t>
  </si>
  <si>
    <t xml:space="preserve">ebrora.com</t>
  </si>
  <si>
    <t xml:space="preserve">Interim Valuation Summary</t>
  </si>
  <si>
    <t xml:space="preserve">Structured interim payment valuation with automatic calculation of</t>
  </si>
  <si>
    <t xml:space="preserve">retention, deductions, VAT, and amount due per certificate period.</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</si>
  <si>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</si>
  <si>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</si>
  <si>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</si>
  <si>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</si>
  <si>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</si>
  <si>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</si>
  <si>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'Interim Valuation' sheet. The top section is a form-style header — fill in the project name, employer, contractor, contract reference, valuation number, and the period dates.</t>
  </si>
  <si>
    <t xml:space="preserve">2.</t>
  </si>
  <si>
    <t xml:space="preserve">The main valuation table is split into work categories. For each line, enter the Contract Sum allocation (original budget per item), Cumulative Value to Date (total value of work completed), and Previous Certified amount (value certified in all prior valuations).</t>
  </si>
  <si>
    <t xml:space="preserve">3.</t>
  </si>
  <si>
    <t xml:space="preserve">This Period Value calculates automatically: Cumulative – Previous. This is the new value being claimed in this certificate.</t>
  </si>
  <si>
    <t xml:space="preserve">4.</t>
  </si>
  <si>
    <t xml:space="preserve">Below the valuation table, the Deductions &amp; Payment block calculates retention, adds approved variations, deducts contra charges, applies VAT, and arrives at the Amount Due This Certificate.</t>
  </si>
  <si>
    <t xml:space="preserve">5.</t>
  </si>
  <si>
    <t xml:space="preserve">Adjust the retention percentage in the input cell (default 5%). The template handles retention on the gross valuation automatically.</t>
  </si>
  <si>
    <t xml:space="preserve">Layout Explanation</t>
  </si>
  <si>
    <t xml:space="preserve">6.</t>
  </si>
  <si>
    <t xml:space="preserve">This is a single-certificate form. Duplicate the 'Interim Valuation' sheet for each new valuation period, updating the header details and Previous Certified column from the prior sheet.</t>
  </si>
  <si>
    <t xml:space="preserve">7.</t>
  </si>
  <si>
    <t xml:space="preserve">The % Complete column is auto-calculated as Cumulative / Contract Sum. This gives a visual read of progress per category.</t>
  </si>
  <si>
    <t xml:space="preserve">Colour Key</t>
  </si>
  <si>
    <t xml:space="preserve">Light teal cells (#E8F6F7) — User input. Fill in your valuation data here.</t>
  </si>
  <si>
    <t xml:space="preserve">Dark navy headers — Do not edit. Section headers and labels.</t>
  </si>
  <si>
    <t xml:space="preserve">Grey rows — Subtotal and total rows with SUM formulas.</t>
  </si>
  <si>
    <t xml:space="preserve">Green % Complete — 90%+ complete.</t>
  </si>
  <si>
    <t xml:space="preserve">Amber % Complete — 50–89% complete.</t>
  </si>
  <si>
    <t xml:space="preserve">Red (negative variance) — This period value is negative (reduction).</t>
  </si>
  <si>
    <t xml:space="preserve">Tips</t>
  </si>
  <si>
    <t xml:space="preserve">Tip 1:</t>
  </si>
  <si>
    <t xml:space="preserve">Always agree the valuation with the QS or contract administrator before issuing. The summary format is designed to accompany a detailed measured breakdown.</t>
  </si>
  <si>
    <t xml:space="preserve">Tip 2:</t>
  </si>
  <si>
    <t xml:space="preserve">Track retention separately — note that retention is automatically calculated as a percentage of the gross valuation, not of this period’s value.</t>
  </si>
  <si>
    <t xml:space="preserve">Tip 3:</t>
  </si>
  <si>
    <t xml:space="preserve">Keep a copy of each completed valuation sheet as your payment audit trail. Name tabs IPC-01, IPC-02, etc.</t>
  </si>
  <si>
    <t xml:space="preserve">INTERIM VALUATION SUMMARY</t>
  </si>
  <si>
    <t xml:space="preserve">Project Name:</t>
  </si>
  <si>
    <t xml:space="preserve">Riverside Business Park — Phase 2</t>
  </si>
  <si>
    <t xml:space="preserve">Valuation No:</t>
  </si>
  <si>
    <t xml:space="preserve">IPC-05</t>
  </si>
  <si>
    <t xml:space="preserve">Employer:</t>
  </si>
  <si>
    <t xml:space="preserve">Riverside Developments Ltd</t>
  </si>
  <si>
    <t xml:space="preserve">Valuation Date:</t>
  </si>
  <si>
    <t xml:space="preserve">Main Contractor:</t>
  </si>
  <si>
    <t xml:space="preserve">Kier Construction Ltd</t>
  </si>
  <si>
    <t xml:space="preserve">Period From:</t>
  </si>
  <si>
    <t xml:space="preserve">Contract Ref:</t>
  </si>
  <si>
    <t xml:space="preserve">RBP2-MC-001</t>
  </si>
  <si>
    <t xml:space="preserve">Period To:</t>
  </si>
  <si>
    <t xml:space="preserve">Ref</t>
  </si>
  <si>
    <t xml:space="preserve">Work Element</t>
  </si>
  <si>
    <t xml:space="preserve">Contract
Sum (£)</t>
  </si>
  <si>
    <t xml:space="preserve">Cumulative
Value (£)</t>
  </si>
  <si>
    <t xml:space="preserve">Previous
Certified (£)</t>
  </si>
  <si>
    <t xml:space="preserve">This Period
(£)</t>
  </si>
  <si>
    <t xml:space="preserve">% Complete</t>
  </si>
  <si>
    <t xml:space="preserve">1.0  PRELIMINARIES</t>
  </si>
  <si>
    <t xml:space="preserve">1.1</t>
  </si>
  <si>
    <t xml:space="preserve">Site establishment</t>
  </si>
  <si>
    <t xml:space="preserve">1.2</t>
  </si>
  <si>
    <t xml:space="preserve">Site management</t>
  </si>
  <si>
    <t xml:space="preserve">1.3</t>
  </si>
  <si>
    <t xml:space="preserve">Temporary services</t>
  </si>
  <si>
    <t xml:space="preserve">1.4</t>
  </si>
  <si>
    <t xml:space="preserve">Insurance &amp; bonds</t>
  </si>
  <si>
    <t xml:space="preserve">Subtotal — PRELIMINARIES</t>
  </si>
  <si>
    <t xml:space="preserve">2.0  SUBSTRUCTURE</t>
  </si>
  <si>
    <t xml:space="preserve">2.1</t>
  </si>
  <si>
    <t xml:space="preserve">Excavation &amp; earthworks</t>
  </si>
  <si>
    <t xml:space="preserve">2.2</t>
  </si>
  <si>
    <t xml:space="preserve">Piling</t>
  </si>
  <si>
    <t xml:space="preserve">2.3</t>
  </si>
  <si>
    <t xml:space="preserve">Ground beams</t>
  </si>
  <si>
    <t xml:space="preserve">2.4</t>
  </si>
  <si>
    <t xml:space="preserve">Below-ground drainage</t>
  </si>
  <si>
    <t xml:space="preserve">Subtotal — SUBSTRUCTURE</t>
  </si>
  <si>
    <t xml:space="preserve">3.0  SUPERSTRUCTURE</t>
  </si>
  <si>
    <t xml:space="preserve">3.1</t>
  </si>
  <si>
    <t xml:space="preserve">Structural steel frame</t>
  </si>
  <si>
    <t xml:space="preserve">3.2</t>
  </si>
  <si>
    <t xml:space="preserve">Precast floors</t>
  </si>
  <si>
    <t xml:space="preserve">3.3</t>
  </si>
  <si>
    <t xml:space="preserve">External envelope</t>
  </si>
  <si>
    <t xml:space="preserve">3.4</t>
  </si>
  <si>
    <t xml:space="preserve">Roofing</t>
  </si>
  <si>
    <t xml:space="preserve">Subtotal — SUPERSTRUCTURE</t>
  </si>
  <si>
    <t xml:space="preserve">4.0  M&amp;E SERVICES</t>
  </si>
  <si>
    <t xml:space="preserve">4.1</t>
  </si>
  <si>
    <t xml:space="preserve">HVAC</t>
  </si>
  <si>
    <t xml:space="preserve">4.2</t>
  </si>
  <si>
    <t xml:space="preserve">Electrical</t>
  </si>
  <si>
    <t xml:space="preserve">4.3</t>
  </si>
  <si>
    <t xml:space="preserve">Plumbing</t>
  </si>
  <si>
    <t xml:space="preserve">4.4</t>
  </si>
  <si>
    <t xml:space="preserve">Fire systems</t>
  </si>
  <si>
    <t xml:space="preserve">4.5</t>
  </si>
  <si>
    <t xml:space="preserve">BMS &amp; controls</t>
  </si>
  <si>
    <t xml:space="preserve">Subtotal — M&amp;E SERVICES</t>
  </si>
  <si>
    <t xml:space="preserve">5.0  EXTERNAL WORKS</t>
  </si>
  <si>
    <t xml:space="preserve">5.1</t>
  </si>
  <si>
    <t xml:space="preserve">Hard landscaping</t>
  </si>
  <si>
    <t xml:space="preserve">5.2</t>
  </si>
  <si>
    <t xml:space="preserve">Soft landscaping</t>
  </si>
  <si>
    <t xml:space="preserve">5.3</t>
  </si>
  <si>
    <t xml:space="preserve">External services</t>
  </si>
  <si>
    <t xml:space="preserve">Subtotal — EXTERNAL WORKS</t>
  </si>
  <si>
    <t xml:space="preserve">GROSS VALUATION TOTAL</t>
  </si>
  <si>
    <t xml:space="preserve">DEDUCTIONS &amp; AMOUNT DUE</t>
  </si>
  <si>
    <t xml:space="preserve">A.  Gross Valuation This Period</t>
  </si>
  <si>
    <t xml:space="preserve">B.  Retention Percentage</t>
  </si>
  <si>
    <t xml:space="preserve">C.  Retention on Cumulative Valuation</t>
  </si>
  <si>
    <t xml:space="preserve">D.  Previous Retention Held</t>
  </si>
  <si>
    <t xml:space="preserve">E.  Retention Deducted This Period (C – D)</t>
  </si>
  <si>
    <t xml:space="preserve">F.  Approved Variations This Period</t>
  </si>
  <si>
    <t xml:space="preserve">G.  Contra Charges / Deductions</t>
  </si>
  <si>
    <t xml:space="preserve">H.  Net Valuation This Period (A – E + F + G)</t>
  </si>
  <si>
    <t xml:space="preserve">I.   VAT @ 20%</t>
  </si>
  <si>
    <t xml:space="preserve">AMOUNT DUE THIS CERTIFICATE</t>
  </si>
  <si>
    <t xml:space="preserve">Prepared by:</t>
  </si>
  <si>
    <t xml:space="preserve">Approved by:</t>
  </si>
  <si>
    <t xml:space="preserve">Name / Date</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</si>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</sst>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dd/mm/yyyy"/>
    <numFmt numFmtId="166" formatCode="\£#,##0"/>
    <numFmt numFmtId="167" formatCode="0.0%"/>
    <numFmt numFmtId="168" formatCode="0%"/>
    <numFmt numFmtId="169" formatCode="\£#,##0.0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0"/>
      <color rgb="FFFFFFFF"/>
      <name val="Calibri"/>
      <family val="0"/>
      <charset val="1"/>
    </font>
    <font>
      <b val="true"/>
      <sz val="16"/>
      <color rgb="FF1B2A4A"/>
      <name val="Calibri"/>
      <family val="0"/>
      <charset val="1"/>
    </font>
  </fonts>
  <fills count="7">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2AABB3"/>
        <bgColor rgb="FF339966"/>
      </patternFill>
    </fill>
  </fills>
  <borders count="8">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 diagonalUp="false" diagonalDown="false">
      <left/>
      <right/>
      <top/>
      <bottom style="double">
        <color rgb="FF1B2A4A"/>
      </bottom>
      <diagonal/>
    </border>
    <border diagonalUp="false" diagonalDown="false">
      <left style="medium">
        <color rgb="FF1B2A4A"/>
      </left>
      <right/>
      <top style="medium">
        <color rgb="FF1B2A4A"/>
      </top>
      <bottom style="medium">
        <color rgb="FF1B2A4A"/>
      </bottom>
      <diagonal/>
    </border>
    <border diagonalUp="false" diagonalDown="false">
      <left/>
      <right style="medium">
        <color rgb="FF1B2A4A"/>
      </right>
      <top style="medium">
        <color rgb="FF1B2A4A"/>
      </top>
      <bottom style="medium">
        <color rgb="FF1B2A4A"/>
      </bottom>
      <diagonal/>
    </border>
    <border diagonalUp="false" diagonalDown="false">
      <left/>
      <right/>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right"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5" fontId="13" fillId="4" borderId="2" xfId="0" applyFont="true" applyBorder="true" applyAlignment="true" applyProtection="false">
      <alignment horizontal="center" vertical="center"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5" fillId="6" borderId="0" xfId="0" applyFont="true" applyBorder="true" applyAlignment="true" applyProtection="false">
      <alignment horizontal="left" vertical="center" textRotation="0" wrapText="true" indent="0" shrinkToFit="false"/>
      <protection locked="true" hidden="false"/>
    </xf>
    <xf numFmtId="166" fontId="13" fillId="4" borderId="2" xfId="0" applyFont="true" applyBorder="true" applyAlignment="true" applyProtection="false">
      <alignment horizontal="right" vertical="center" textRotation="0" wrapText="true" indent="0" shrinkToFit="false"/>
      <protection locked="true" hidden="false"/>
    </xf>
    <xf numFmtId="166" fontId="13" fillId="3" borderId="2" xfId="0" applyFont="true" applyBorder="true" applyAlignment="true" applyProtection="false">
      <alignment horizontal="right" vertical="center" textRotation="0" wrapText="true" indent="0" shrinkToFit="false"/>
      <protection locked="true" hidden="false"/>
    </xf>
    <xf numFmtId="167" fontId="13" fillId="3" borderId="2" xfId="0" applyFont="true" applyBorder="true" applyAlignment="true" applyProtection="false">
      <alignment horizontal="center"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6" fontId="12" fillId="5" borderId="2" xfId="0" applyFont="true" applyBorder="true" applyAlignment="true" applyProtection="false">
      <alignment horizontal="right" vertical="center" textRotation="0" wrapText="true" indent="0" shrinkToFit="false"/>
      <protection locked="true" hidden="false"/>
    </xf>
    <xf numFmtId="167" fontId="12" fillId="5" borderId="2" xfId="0" applyFont="true" applyBorder="true" applyAlignment="true" applyProtection="false">
      <alignment horizontal="center" vertical="center" textRotation="0" wrapText="tru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14" fillId="2" borderId="2" xfId="0" applyFont="true" applyBorder="true" applyAlignment="true" applyProtection="false">
      <alignment horizontal="left" vertical="center" textRotation="0" wrapText="true" indent="0" shrinkToFit="false"/>
      <protection locked="true" hidden="false"/>
    </xf>
    <xf numFmtId="166" fontId="14" fillId="2" borderId="2" xfId="0" applyFont="true" applyBorder="true" applyAlignment="true" applyProtection="false">
      <alignment horizontal="right" vertical="center" textRotation="0" wrapText="true" indent="0" shrinkToFit="false"/>
      <protection locked="true" hidden="false"/>
    </xf>
    <xf numFmtId="167" fontId="14" fillId="2" borderId="2" xfId="0" applyFont="true" applyBorder="true" applyAlignment="true" applyProtection="false">
      <alignment horizontal="center" vertical="center" textRotation="0" wrapText="true" indent="0" shrinkToFit="false"/>
      <protection locked="true" hidden="false"/>
    </xf>
    <xf numFmtId="164" fontId="12" fillId="3" borderId="2" xfId="0" applyFont="true" applyBorder="true" applyAlignment="true" applyProtection="false">
      <alignment horizontal="left" vertical="center" textRotation="0" wrapText="true" indent="0" shrinkToFit="false"/>
      <protection locked="true" hidden="false"/>
    </xf>
    <xf numFmtId="166" fontId="12" fillId="3" borderId="2" xfId="0" applyFont="true" applyBorder="true" applyAlignment="true" applyProtection="false">
      <alignment horizontal="right" vertical="center" textRotation="0" wrapText="true" indent="0" shrinkToFit="false"/>
      <protection locked="true" hidden="false"/>
    </xf>
    <xf numFmtId="164" fontId="13" fillId="3" borderId="2" xfId="0" applyFont="true" applyBorder="true" applyAlignment="true" applyProtection="false">
      <alignment horizontal="left" vertical="center" textRotation="0" wrapText="true" indent="0" shrinkToFit="false"/>
      <protection locked="true" hidden="false"/>
    </xf>
    <xf numFmtId="168" fontId="12" fillId="4" borderId="2" xfId="0" applyFont="tru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0" fillId="5" borderId="5" xfId="0" applyFont="true" applyBorder="true" applyAlignment="true" applyProtection="false">
      <alignment horizontal="left" vertical="center" textRotation="0" wrapText="true" indent="0" shrinkToFit="false"/>
      <protection locked="true" hidden="false"/>
    </xf>
    <xf numFmtId="169" fontId="16" fillId="5" borderId="6" xfId="0" applyFont="true" applyBorder="true" applyAlignment="true" applyProtection="false">
      <alignment horizontal="right"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35.05" hidden="false" customHeight="true" outlineLevel="0" collapsed="false">
      <c r="A5" s="12" t="s">
        <v>12</v>
      </c>
      <c r="B5" s="13" t="s">
        <v>13</v>
      </c>
      <c r="C5" s="13"/>
      <c r="D5" s="13"/>
      <c r="E5" s="13"/>
      <c r="F5" s="13"/>
    </row>
    <row r="6" customFormat="false" ht="15" hidden="false" customHeight="true" outlineLevel="0" collapsed="false">
      <c r="A6" s="12" t="s">
        <v>14</v>
      </c>
      <c r="B6" s="13" t="s">
        <v>15</v>
      </c>
      <c r="C6" s="13"/>
      <c r="D6" s="13"/>
      <c r="E6" s="13"/>
      <c r="F6" s="13"/>
    </row>
    <row r="7" customFormat="false" ht="23.85" hidden="false" customHeight="true" outlineLevel="0" collapsed="false">
      <c r="A7" s="12" t="s">
        <v>16</v>
      </c>
      <c r="B7" s="13" t="s">
        <v>17</v>
      </c>
      <c r="C7" s="13"/>
      <c r="D7" s="13"/>
      <c r="E7" s="13"/>
      <c r="F7" s="13"/>
    </row>
    <row r="8" customFormat="false" ht="23.8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23.85" hidden="false" customHeight="true" outlineLevel="0" collapsed="false">
      <c r="A11" s="12" t="s">
        <v>21</v>
      </c>
      <c r="B11" s="13" t="s">
        <v>22</v>
      </c>
      <c r="C11" s="13"/>
      <c r="D11" s="13"/>
      <c r="E11" s="13"/>
      <c r="F11" s="13"/>
    </row>
    <row r="12" customFormat="false" ht="23.85" hidden="false" customHeight="true" outlineLevel="0" collapsed="false">
      <c r="A12" s="12" t="s">
        <v>23</v>
      </c>
      <c r="B12" s="13" t="s">
        <v>24</v>
      </c>
      <c r="C12" s="13"/>
      <c r="D12" s="13"/>
      <c r="E12" s="13"/>
      <c r="F12" s="13"/>
    </row>
    <row r="14" customFormat="false" ht="15" hidden="false" customHeight="true" outlineLevel="0" collapsed="false">
      <c r="A14" s="11" t="s">
        <v>25</v>
      </c>
      <c r="B14" s="11"/>
      <c r="C14" s="11"/>
      <c r="D14" s="11"/>
      <c r="E14" s="11"/>
      <c r="F14" s="11"/>
    </row>
    <row r="15" customFormat="false" ht="15" hidden="false" customHeight="true" outlineLevel="0" collapsed="false">
      <c r="A15" s="14" t="s">
        <v>26</v>
      </c>
      <c r="B15" s="14"/>
      <c r="C15" s="14"/>
      <c r="D15" s="14"/>
      <c r="E15" s="14"/>
      <c r="F15" s="14"/>
    </row>
    <row r="16" customFormat="false" ht="15" hidden="false" customHeight="true" outlineLevel="0" collapsed="false">
      <c r="A16" s="14" t="s">
        <v>27</v>
      </c>
      <c r="B16" s="14"/>
      <c r="C16" s="14"/>
      <c r="D16" s="14"/>
      <c r="E16" s="14"/>
      <c r="F16" s="14"/>
    </row>
    <row r="17" customFormat="false" ht="15" hidden="false" customHeight="true" outlineLevel="0" collapsed="false">
      <c r="A17" s="14" t="s">
        <v>28</v>
      </c>
      <c r="B17" s="14"/>
      <c r="C17" s="14"/>
      <c r="D17" s="14"/>
      <c r="E17" s="14"/>
      <c r="F17" s="14"/>
    </row>
    <row r="18" customFormat="false" ht="15" hidden="false" customHeight="true" outlineLevel="0" collapsed="false">
      <c r="A18" s="14" t="s">
        <v>29</v>
      </c>
      <c r="B18" s="14"/>
      <c r="C18" s="14"/>
      <c r="D18" s="14"/>
      <c r="E18" s="14"/>
      <c r="F18" s="14"/>
    </row>
    <row r="19" customFormat="false" ht="15" hidden="false" customHeight="true" outlineLevel="0" collapsed="false">
      <c r="A19" s="14" t="s">
        <v>30</v>
      </c>
      <c r="B19" s="14"/>
      <c r="C19" s="14"/>
      <c r="D19" s="14"/>
      <c r="E19" s="14"/>
      <c r="F19" s="14"/>
    </row>
    <row r="20" customFormat="false" ht="15" hidden="false" customHeight="true" outlineLevel="0" collapsed="false">
      <c r="A20" s="14" t="s">
        <v>31</v>
      </c>
      <c r="B20" s="14"/>
      <c r="C20" s="14"/>
      <c r="D20" s="14"/>
      <c r="E20" s="14"/>
      <c r="F20" s="14"/>
    </row>
    <row r="22" customFormat="false" ht="15" hidden="false" customHeight="true" outlineLevel="0" collapsed="false">
      <c r="A22" s="11" t="s">
        <v>32</v>
      </c>
      <c r="B22" s="11"/>
      <c r="C22" s="11"/>
      <c r="D22" s="11"/>
      <c r="E22" s="11"/>
      <c r="F22" s="11"/>
    </row>
    <row r="23" customFormat="false" ht="23.85" hidden="false" customHeight="true" outlineLevel="0" collapsed="false">
      <c r="A23" s="12" t="s">
        <v>33</v>
      </c>
      <c r="B23" s="13" t="s">
        <v>34</v>
      </c>
      <c r="C23" s="13"/>
      <c r="D23" s="13"/>
      <c r="E23" s="13"/>
      <c r="F23" s="13"/>
    </row>
    <row r="24" customFormat="false" ht="23.85" hidden="false" customHeight="true" outlineLevel="0" collapsed="false">
      <c r="A24" s="12" t="s">
        <v>35</v>
      </c>
      <c r="B24" s="13" t="s">
        <v>36</v>
      </c>
      <c r="C24" s="13"/>
      <c r="D24" s="13"/>
      <c r="E24" s="13"/>
      <c r="F24" s="13"/>
    </row>
    <row r="25" customFormat="false" ht="15" hidden="false" customHeight="true" outlineLevel="0" collapsed="false">
      <c r="A25" s="12" t="s">
        <v>37</v>
      </c>
      <c r="B25" s="13" t="s">
        <v>38</v>
      </c>
      <c r="C25" s="13"/>
      <c r="D25" s="13"/>
      <c r="E25" s="13"/>
      <c r="F25" s="13"/>
    </row>
  </sheetData>
  <mergeCells count="21">
    <mergeCell ref="A1:F1"/>
    <mergeCell ref="A3:F3"/>
    <mergeCell ref="B4:F4"/>
    <mergeCell ref="B5:F5"/>
    <mergeCell ref="B6:F6"/>
    <mergeCell ref="B7:F7"/>
    <mergeCell ref="B8:F8"/>
    <mergeCell ref="A10:F10"/>
    <mergeCell ref="B11:F11"/>
    <mergeCell ref="B12:F12"/>
    <mergeCell ref="A14:F14"/>
    <mergeCell ref="A15:F15"/>
    <mergeCell ref="A16:F16"/>
    <mergeCell ref="A17:F17"/>
    <mergeCell ref="A18:F18"/>
    <mergeCell ref="A19:F19"/>
    <mergeCell ref="A20:F20"/>
    <mergeCell ref="A22:F22"/>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6" min="3" style="0" width="17"/>
    <col collapsed="false" customWidth="true" hidden="false" outlineLevel="0" max="7" min="7" style="0" width="13"/>
    <col collapsed="false" customWidth="true" hidden="false" outlineLevel="0" max="8" min="8" style="0" width="30"/>
  </cols>
  <sheetData>
    <row r="1" customFormat="false" ht="15" hidden="false" customHeight="true" outlineLevel="0" collapsed="false">
      <c r="A1" s="15" t="s">
        <v>39</v>
      </c>
      <c r="B1" s="15"/>
      <c r="C1" s="15"/>
      <c r="D1" s="15"/>
      <c r="E1" s="15"/>
      <c r="F1" s="15"/>
      <c r="G1" s="15"/>
    </row>
    <row r="3" customFormat="false" ht="46.25" hidden="false" customHeight="true" outlineLevel="0" collapsed="false">
      <c r="A3" s="16" t="s">
        <v>40</v>
      </c>
      <c r="B3" s="17" t="s">
        <v>41</v>
      </c>
      <c r="C3" s="17"/>
      <c r="E3" s="16" t="s">
        <v>42</v>
      </c>
      <c r="F3" s="18" t="s">
        <v>43</v>
      </c>
      <c r="G3" s="18"/>
    </row>
    <row r="4" customFormat="false" ht="23.85" hidden="false" customHeight="true" outlineLevel="0" collapsed="false">
      <c r="A4" s="16" t="s">
        <v>44</v>
      </c>
      <c r="B4" s="17" t="s">
        <v>45</v>
      </c>
      <c r="C4" s="17"/>
      <c r="E4" s="16" t="s">
        <v>46</v>
      </c>
      <c r="F4" s="19" t="n">
        <v>46081</v>
      </c>
      <c r="G4" s="19"/>
    </row>
    <row r="5" customFormat="false" ht="35.05" hidden="false" customHeight="true" outlineLevel="0" collapsed="false">
      <c r="A5" s="16" t="s">
        <v>47</v>
      </c>
      <c r="B5" s="17" t="s">
        <v>48</v>
      </c>
      <c r="C5" s="17"/>
      <c r="E5" s="16" t="s">
        <v>49</v>
      </c>
      <c r="F5" s="19" t="n">
        <v>46054</v>
      </c>
      <c r="G5" s="19"/>
    </row>
    <row r="6" customFormat="false" ht="35.05" hidden="false" customHeight="true" outlineLevel="0" collapsed="false">
      <c r="A6" s="16" t="s">
        <v>50</v>
      </c>
      <c r="B6" s="17" t="s">
        <v>51</v>
      </c>
      <c r="C6" s="17"/>
      <c r="E6" s="16" t="s">
        <v>52</v>
      </c>
      <c r="F6" s="19" t="n">
        <v>46081</v>
      </c>
      <c r="G6" s="19"/>
    </row>
    <row r="8" customFormat="false" ht="15" hidden="false" customHeight="false" outlineLevel="0" collapsed="false">
      <c r="A8" s="20"/>
      <c r="B8" s="20"/>
      <c r="C8" s="20"/>
      <c r="D8" s="20"/>
      <c r="E8" s="20"/>
      <c r="F8" s="20"/>
      <c r="G8" s="20"/>
    </row>
    <row r="9" customFormat="false" ht="28.35" hidden="false" customHeight="false" outlineLevel="0" collapsed="false">
      <c r="A9" s="21" t="s">
        <v>53</v>
      </c>
      <c r="B9" s="21" t="s">
        <v>54</v>
      </c>
      <c r="C9" s="21" t="s">
        <v>55</v>
      </c>
      <c r="D9" s="21" t="s">
        <v>56</v>
      </c>
      <c r="E9" s="21" t="s">
        <v>57</v>
      </c>
      <c r="F9" s="21" t="s">
        <v>58</v>
      </c>
      <c r="G9" s="21" t="s">
        <v>59</v>
      </c>
    </row>
    <row r="10" customFormat="false" ht="15" hidden="false" customHeight="true" outlineLevel="0" collapsed="false">
      <c r="A10" s="22" t="s">
        <v>60</v>
      </c>
      <c r="B10" s="22"/>
      <c r="C10" s="22"/>
      <c r="D10" s="22"/>
      <c r="E10" s="22"/>
      <c r="F10" s="22"/>
      <c r="G10" s="22"/>
    </row>
    <row r="11" customFormat="false" ht="15" hidden="false" customHeight="false" outlineLevel="0" collapsed="false">
      <c r="A11" s="18" t="s">
        <v>61</v>
      </c>
      <c r="B11" s="17" t="s">
        <v>62</v>
      </c>
      <c r="C11" s="23" t="n">
        <v>85000</v>
      </c>
      <c r="D11" s="23" t="n">
        <v>85000</v>
      </c>
      <c r="E11" s="23" t="n">
        <v>85000</v>
      </c>
      <c r="F11" s="24" t="n">
        <f aca="false">D11-E11</f>
        <v>0</v>
      </c>
      <c r="G11" s="25" t="n">
        <f aca="false">IFERROR(D11/C11,0)</f>
        <v>1</v>
      </c>
    </row>
    <row r="12" customFormat="false" ht="15" hidden="false" customHeight="false" outlineLevel="0" collapsed="false">
      <c r="A12" s="18" t="s">
        <v>63</v>
      </c>
      <c r="B12" s="17" t="s">
        <v>64</v>
      </c>
      <c r="C12" s="23" t="n">
        <v>320000</v>
      </c>
      <c r="D12" s="23" t="n">
        <v>260000</v>
      </c>
      <c r="E12" s="23" t="n">
        <v>225000</v>
      </c>
      <c r="F12" s="24" t="n">
        <f aca="false">D12-E12</f>
        <v>35000</v>
      </c>
      <c r="G12" s="25" t="n">
        <f aca="false">IFERROR(D12/C12,0)</f>
        <v>0.8125</v>
      </c>
    </row>
    <row r="13" customFormat="false" ht="15" hidden="false" customHeight="false" outlineLevel="0" collapsed="false">
      <c r="A13" s="18" t="s">
        <v>65</v>
      </c>
      <c r="B13" s="17" t="s">
        <v>66</v>
      </c>
      <c r="C13" s="23" t="n">
        <v>45000</v>
      </c>
      <c r="D13" s="23" t="n">
        <v>38000</v>
      </c>
      <c r="E13" s="23" t="n">
        <v>32000</v>
      </c>
      <c r="F13" s="24" t="n">
        <f aca="false">D13-E13</f>
        <v>6000</v>
      </c>
      <c r="G13" s="25" t="n">
        <f aca="false">IFERROR(D13/C13,0)</f>
        <v>0.844444444444444</v>
      </c>
    </row>
    <row r="14" customFormat="false" ht="15" hidden="false" customHeight="false" outlineLevel="0" collapsed="false">
      <c r="A14" s="18" t="s">
        <v>67</v>
      </c>
      <c r="B14" s="17" t="s">
        <v>68</v>
      </c>
      <c r="C14" s="23" t="n">
        <v>18000</v>
      </c>
      <c r="D14" s="23" t="n">
        <v>18000</v>
      </c>
      <c r="E14" s="23" t="n">
        <v>18000</v>
      </c>
      <c r="F14" s="24" t="n">
        <f aca="false">D14-E14</f>
        <v>0</v>
      </c>
      <c r="G14" s="25" t="n">
        <f aca="false">IFERROR(D14/C14,0)</f>
        <v>1</v>
      </c>
    </row>
    <row r="15" customFormat="false" ht="15" hidden="false" customHeight="false" outlineLevel="0" collapsed="false">
      <c r="A15" s="26"/>
      <c r="B15" s="27" t="s">
        <v>69</v>
      </c>
      <c r="C15" s="28" t="n">
        <f aca="false">SUM(C11:C14)</f>
        <v>468000</v>
      </c>
      <c r="D15" s="28" t="n">
        <f aca="false">SUM(D11:D14)</f>
        <v>401000</v>
      </c>
      <c r="E15" s="28" t="n">
        <f aca="false">SUM(E11:E14)</f>
        <v>360000</v>
      </c>
      <c r="F15" s="28" t="n">
        <f aca="false">SUM(F11:F14)</f>
        <v>41000</v>
      </c>
      <c r="G15" s="29" t="n">
        <f aca="false">IFERROR(D15/C15,0)</f>
        <v>0.856837606837607</v>
      </c>
    </row>
    <row r="16" customFormat="false" ht="15" hidden="false" customHeight="true" outlineLevel="0" collapsed="false">
      <c r="A16" s="22" t="s">
        <v>70</v>
      </c>
      <c r="B16" s="22"/>
      <c r="C16" s="22"/>
      <c r="D16" s="22"/>
      <c r="E16" s="22"/>
      <c r="F16" s="22"/>
      <c r="G16" s="22"/>
    </row>
    <row r="17" customFormat="false" ht="15" hidden="false" customHeight="false" outlineLevel="0" collapsed="false">
      <c r="A17" s="18" t="s">
        <v>71</v>
      </c>
      <c r="B17" s="17" t="s">
        <v>72</v>
      </c>
      <c r="C17" s="23" t="n">
        <v>150000</v>
      </c>
      <c r="D17" s="23" t="n">
        <v>150000</v>
      </c>
      <c r="E17" s="23" t="n">
        <v>150000</v>
      </c>
      <c r="F17" s="24" t="n">
        <f aca="false">D17-E17</f>
        <v>0</v>
      </c>
      <c r="G17" s="25" t="n">
        <f aca="false">IFERROR(D17/C17,0)</f>
        <v>1</v>
      </c>
    </row>
    <row r="18" customFormat="false" ht="15" hidden="false" customHeight="false" outlineLevel="0" collapsed="false">
      <c r="A18" s="18" t="s">
        <v>73</v>
      </c>
      <c r="B18" s="17" t="s">
        <v>74</v>
      </c>
      <c r="C18" s="23" t="n">
        <v>280000</v>
      </c>
      <c r="D18" s="23" t="n">
        <v>280000</v>
      </c>
      <c r="E18" s="23" t="n">
        <v>280000</v>
      </c>
      <c r="F18" s="24" t="n">
        <f aca="false">D18-E18</f>
        <v>0</v>
      </c>
      <c r="G18" s="25" t="n">
        <f aca="false">IFERROR(D18/C18,0)</f>
        <v>1</v>
      </c>
    </row>
    <row r="19" customFormat="false" ht="15" hidden="false" customHeight="false" outlineLevel="0" collapsed="false">
      <c r="A19" s="18" t="s">
        <v>75</v>
      </c>
      <c r="B19" s="17" t="s">
        <v>76</v>
      </c>
      <c r="C19" s="23" t="n">
        <v>95000</v>
      </c>
      <c r="D19" s="23" t="n">
        <v>95000</v>
      </c>
      <c r="E19" s="23" t="n">
        <v>88000</v>
      </c>
      <c r="F19" s="24" t="n">
        <f aca="false">D19-E19</f>
        <v>7000</v>
      </c>
      <c r="G19" s="25" t="n">
        <f aca="false">IFERROR(D19/C19,0)</f>
        <v>1</v>
      </c>
    </row>
    <row r="20" customFormat="false" ht="15" hidden="false" customHeight="false" outlineLevel="0" collapsed="false">
      <c r="A20" s="18" t="s">
        <v>77</v>
      </c>
      <c r="B20" s="17" t="s">
        <v>78</v>
      </c>
      <c r="C20" s="23" t="n">
        <v>65000</v>
      </c>
      <c r="D20" s="23" t="n">
        <v>52000</v>
      </c>
      <c r="E20" s="23" t="n">
        <v>42000</v>
      </c>
      <c r="F20" s="24" t="n">
        <f aca="false">D20-E20</f>
        <v>10000</v>
      </c>
      <c r="G20" s="25" t="n">
        <f aca="false">IFERROR(D20/C20,0)</f>
        <v>0.8</v>
      </c>
    </row>
    <row r="21" customFormat="false" ht="15" hidden="false" customHeight="false" outlineLevel="0" collapsed="false">
      <c r="A21" s="26"/>
      <c r="B21" s="27" t="s">
        <v>79</v>
      </c>
      <c r="C21" s="28" t="n">
        <f aca="false">SUM(C17:C20)</f>
        <v>590000</v>
      </c>
      <c r="D21" s="28" t="n">
        <f aca="false">SUM(D17:D20)</f>
        <v>577000</v>
      </c>
      <c r="E21" s="28" t="n">
        <f aca="false">SUM(E17:E20)</f>
        <v>560000</v>
      </c>
      <c r="F21" s="28" t="n">
        <f aca="false">SUM(F17:F20)</f>
        <v>17000</v>
      </c>
      <c r="G21" s="29" t="n">
        <f aca="false">IFERROR(D21/C21,0)</f>
        <v>0.977966101694915</v>
      </c>
    </row>
    <row r="22" customFormat="false" ht="15" hidden="false" customHeight="true" outlineLevel="0" collapsed="false">
      <c r="A22" s="22" t="s">
        <v>80</v>
      </c>
      <c r="B22" s="22"/>
      <c r="C22" s="22"/>
      <c r="D22" s="22"/>
      <c r="E22" s="22"/>
      <c r="F22" s="22"/>
      <c r="G22" s="22"/>
    </row>
    <row r="23" customFormat="false" ht="15" hidden="false" customHeight="false" outlineLevel="0" collapsed="false">
      <c r="A23" s="18" t="s">
        <v>81</v>
      </c>
      <c r="B23" s="17" t="s">
        <v>82</v>
      </c>
      <c r="C23" s="23" t="n">
        <v>520000</v>
      </c>
      <c r="D23" s="23" t="n">
        <v>480000</v>
      </c>
      <c r="E23" s="23" t="n">
        <v>420000</v>
      </c>
      <c r="F23" s="24" t="n">
        <f aca="false">D23-E23</f>
        <v>60000</v>
      </c>
      <c r="G23" s="25" t="n">
        <f aca="false">IFERROR(D23/C23,0)</f>
        <v>0.923076923076923</v>
      </c>
    </row>
    <row r="24" customFormat="false" ht="15" hidden="false" customHeight="false" outlineLevel="0" collapsed="false">
      <c r="A24" s="18" t="s">
        <v>83</v>
      </c>
      <c r="B24" s="17" t="s">
        <v>84</v>
      </c>
      <c r="C24" s="23" t="n">
        <v>210000</v>
      </c>
      <c r="D24" s="23" t="n">
        <v>210000</v>
      </c>
      <c r="E24" s="23" t="n">
        <v>205000</v>
      </c>
      <c r="F24" s="24" t="n">
        <f aca="false">D24-E24</f>
        <v>5000</v>
      </c>
      <c r="G24" s="25" t="n">
        <f aca="false">IFERROR(D24/C24,0)</f>
        <v>1</v>
      </c>
    </row>
    <row r="25" customFormat="false" ht="15" hidden="false" customHeight="false" outlineLevel="0" collapsed="false">
      <c r="A25" s="18" t="s">
        <v>85</v>
      </c>
      <c r="B25" s="17" t="s">
        <v>86</v>
      </c>
      <c r="C25" s="23" t="n">
        <v>310000</v>
      </c>
      <c r="D25" s="23" t="n">
        <v>185000</v>
      </c>
      <c r="E25" s="23" t="n">
        <v>120000</v>
      </c>
      <c r="F25" s="24" t="n">
        <f aca="false">D25-E25</f>
        <v>65000</v>
      </c>
      <c r="G25" s="25" t="n">
        <f aca="false">IFERROR(D25/C25,0)</f>
        <v>0.596774193548387</v>
      </c>
    </row>
    <row r="26" customFormat="false" ht="15" hidden="false" customHeight="false" outlineLevel="0" collapsed="false">
      <c r="A26" s="18" t="s">
        <v>87</v>
      </c>
      <c r="B26" s="17" t="s">
        <v>88</v>
      </c>
      <c r="C26" s="23" t="n">
        <v>140000</v>
      </c>
      <c r="D26" s="23" t="n">
        <v>45000</v>
      </c>
      <c r="E26" s="23" t="n">
        <v>18000</v>
      </c>
      <c r="F26" s="24" t="n">
        <f aca="false">D26-E26</f>
        <v>27000</v>
      </c>
      <c r="G26" s="25" t="n">
        <f aca="false">IFERROR(D26/C26,0)</f>
        <v>0.321428571428571</v>
      </c>
    </row>
    <row r="27" customFormat="false" ht="15" hidden="false" customHeight="false" outlineLevel="0" collapsed="false">
      <c r="A27" s="26"/>
      <c r="B27" s="27" t="s">
        <v>89</v>
      </c>
      <c r="C27" s="28" t="n">
        <f aca="false">SUM(C23:C26)</f>
        <v>1180000</v>
      </c>
      <c r="D27" s="28" t="n">
        <f aca="false">SUM(D23:D26)</f>
        <v>920000</v>
      </c>
      <c r="E27" s="28" t="n">
        <f aca="false">SUM(E23:E26)</f>
        <v>763000</v>
      </c>
      <c r="F27" s="28" t="n">
        <f aca="false">SUM(F23:F26)</f>
        <v>157000</v>
      </c>
      <c r="G27" s="29" t="n">
        <f aca="false">IFERROR(D27/C27,0)</f>
        <v>0.779661016949153</v>
      </c>
    </row>
    <row r="28" customFormat="false" ht="15" hidden="false" customHeight="true" outlineLevel="0" collapsed="false">
      <c r="A28" s="22" t="s">
        <v>90</v>
      </c>
      <c r="B28" s="22"/>
      <c r="C28" s="22"/>
      <c r="D28" s="22"/>
      <c r="E28" s="22"/>
      <c r="F28" s="22"/>
      <c r="G28" s="22"/>
    </row>
    <row r="29" customFormat="false" ht="15" hidden="false" customHeight="false" outlineLevel="0" collapsed="false">
      <c r="A29" s="18" t="s">
        <v>91</v>
      </c>
      <c r="B29" s="17" t="s">
        <v>92</v>
      </c>
      <c r="C29" s="23" t="n">
        <v>310000</v>
      </c>
      <c r="D29" s="23" t="n">
        <v>125000</v>
      </c>
      <c r="E29" s="23" t="n">
        <v>85000</v>
      </c>
      <c r="F29" s="24" t="n">
        <f aca="false">D29-E29</f>
        <v>40000</v>
      </c>
      <c r="G29" s="25" t="n">
        <f aca="false">IFERROR(D29/C29,0)</f>
        <v>0.403225806451613</v>
      </c>
    </row>
    <row r="30" customFormat="false" ht="15" hidden="false" customHeight="false" outlineLevel="0" collapsed="false">
      <c r="A30" s="18" t="s">
        <v>93</v>
      </c>
      <c r="B30" s="17" t="s">
        <v>94</v>
      </c>
      <c r="C30" s="23" t="n">
        <v>280000</v>
      </c>
      <c r="D30" s="23" t="n">
        <v>110000</v>
      </c>
      <c r="E30" s="23" t="n">
        <v>72000</v>
      </c>
      <c r="F30" s="24" t="n">
        <f aca="false">D30-E30</f>
        <v>38000</v>
      </c>
      <c r="G30" s="25" t="n">
        <f aca="false">IFERROR(D30/C30,0)</f>
        <v>0.392857142857143</v>
      </c>
    </row>
    <row r="31" customFormat="false" ht="15" hidden="false" customHeight="false" outlineLevel="0" collapsed="false">
      <c r="A31" s="18" t="s">
        <v>95</v>
      </c>
      <c r="B31" s="17" t="s">
        <v>96</v>
      </c>
      <c r="C31" s="23" t="n">
        <v>120000</v>
      </c>
      <c r="D31" s="23" t="n">
        <v>42000</v>
      </c>
      <c r="E31" s="23" t="n">
        <v>28000</v>
      </c>
      <c r="F31" s="24" t="n">
        <f aca="false">D31-E31</f>
        <v>14000</v>
      </c>
      <c r="G31" s="25" t="n">
        <f aca="false">IFERROR(D31/C31,0)</f>
        <v>0.35</v>
      </c>
    </row>
    <row r="32" customFormat="false" ht="15" hidden="false" customHeight="false" outlineLevel="0" collapsed="false">
      <c r="A32" s="18" t="s">
        <v>97</v>
      </c>
      <c r="B32" s="17" t="s">
        <v>98</v>
      </c>
      <c r="C32" s="23" t="n">
        <v>65000</v>
      </c>
      <c r="D32" s="23" t="n">
        <v>18000</v>
      </c>
      <c r="E32" s="23" t="n">
        <v>8000</v>
      </c>
      <c r="F32" s="24" t="n">
        <f aca="false">D32-E32</f>
        <v>10000</v>
      </c>
      <c r="G32" s="25" t="n">
        <f aca="false">IFERROR(D32/C32,0)</f>
        <v>0.276923076923077</v>
      </c>
    </row>
    <row r="33" customFormat="false" ht="15" hidden="false" customHeight="false" outlineLevel="0" collapsed="false">
      <c r="A33" s="18" t="s">
        <v>99</v>
      </c>
      <c r="B33" s="17" t="s">
        <v>100</v>
      </c>
      <c r="C33" s="23" t="n">
        <v>90000</v>
      </c>
      <c r="D33" s="23" t="n">
        <v>12000</v>
      </c>
      <c r="E33" s="23" t="n">
        <v>5000</v>
      </c>
      <c r="F33" s="24" t="n">
        <f aca="false">D33-E33</f>
        <v>7000</v>
      </c>
      <c r="G33" s="25" t="n">
        <f aca="false">IFERROR(D33/C33,0)</f>
        <v>0.133333333333333</v>
      </c>
    </row>
    <row r="34" customFormat="false" ht="15" hidden="false" customHeight="false" outlineLevel="0" collapsed="false">
      <c r="A34" s="26"/>
      <c r="B34" s="27" t="s">
        <v>101</v>
      </c>
      <c r="C34" s="28" t="n">
        <f aca="false">SUM(C29:C33)</f>
        <v>865000</v>
      </c>
      <c r="D34" s="28" t="n">
        <f aca="false">SUM(D29:D33)</f>
        <v>307000</v>
      </c>
      <c r="E34" s="28" t="n">
        <f aca="false">SUM(E29:E33)</f>
        <v>198000</v>
      </c>
      <c r="F34" s="28" t="n">
        <f aca="false">SUM(F29:F33)</f>
        <v>109000</v>
      </c>
      <c r="G34" s="29" t="n">
        <f aca="false">IFERROR(D34/C34,0)</f>
        <v>0.354913294797688</v>
      </c>
    </row>
    <row r="35" customFormat="false" ht="15" hidden="false" customHeight="true" outlineLevel="0" collapsed="false">
      <c r="A35" s="22" t="s">
        <v>102</v>
      </c>
      <c r="B35" s="22"/>
      <c r="C35" s="22"/>
      <c r="D35" s="22"/>
      <c r="E35" s="22"/>
      <c r="F35" s="22"/>
      <c r="G35" s="22"/>
    </row>
    <row r="36" customFormat="false" ht="15" hidden="false" customHeight="false" outlineLevel="0" collapsed="false">
      <c r="A36" s="18" t="s">
        <v>103</v>
      </c>
      <c r="B36" s="17" t="s">
        <v>104</v>
      </c>
      <c r="C36" s="23" t="n">
        <v>95000</v>
      </c>
      <c r="D36" s="23" t="n">
        <v>0</v>
      </c>
      <c r="E36" s="23" t="n">
        <v>0</v>
      </c>
      <c r="F36" s="24" t="n">
        <f aca="false">D36-E36</f>
        <v>0</v>
      </c>
      <c r="G36" s="25" t="n">
        <f aca="false">IFERROR(D36/C36,0)</f>
        <v>0</v>
      </c>
    </row>
    <row r="37" customFormat="false" ht="15" hidden="false" customHeight="false" outlineLevel="0" collapsed="false">
      <c r="A37" s="18" t="s">
        <v>105</v>
      </c>
      <c r="B37" s="17" t="s">
        <v>106</v>
      </c>
      <c r="C37" s="23" t="n">
        <v>45000</v>
      </c>
      <c r="D37" s="23" t="n">
        <v>0</v>
      </c>
      <c r="E37" s="23" t="n">
        <v>0</v>
      </c>
      <c r="F37" s="24" t="n">
        <f aca="false">D37-E37</f>
        <v>0</v>
      </c>
      <c r="G37" s="25" t="n">
        <f aca="false">IFERROR(D37/C37,0)</f>
        <v>0</v>
      </c>
    </row>
    <row r="38" customFormat="false" ht="15" hidden="false" customHeight="false" outlineLevel="0" collapsed="false">
      <c r="A38" s="18" t="s">
        <v>107</v>
      </c>
      <c r="B38" s="17" t="s">
        <v>108</v>
      </c>
      <c r="C38" s="23" t="n">
        <v>78000</v>
      </c>
      <c r="D38" s="23" t="n">
        <v>18000</v>
      </c>
      <c r="E38" s="23" t="n">
        <v>10000</v>
      </c>
      <c r="F38" s="24" t="n">
        <f aca="false">D38-E38</f>
        <v>8000</v>
      </c>
      <c r="G38" s="25" t="n">
        <f aca="false">IFERROR(D38/C38,0)</f>
        <v>0.230769230769231</v>
      </c>
    </row>
    <row r="39" customFormat="false" ht="15" hidden="false" customHeight="false" outlineLevel="0" collapsed="false">
      <c r="A39" s="26"/>
      <c r="B39" s="27" t="s">
        <v>109</v>
      </c>
      <c r="C39" s="28" t="n">
        <f aca="false">SUM(C36:C38)</f>
        <v>218000</v>
      </c>
      <c r="D39" s="28" t="n">
        <f aca="false">SUM(D36:D38)</f>
        <v>18000</v>
      </c>
      <c r="E39" s="28" t="n">
        <f aca="false">SUM(E36:E38)</f>
        <v>10000</v>
      </c>
      <c r="F39" s="28" t="n">
        <f aca="false">SUM(F36:F38)</f>
        <v>8000</v>
      </c>
      <c r="G39" s="29" t="n">
        <f aca="false">IFERROR(D39/C39,0)</f>
        <v>0.0825688073394496</v>
      </c>
    </row>
    <row r="40" customFormat="false" ht="15" hidden="false" customHeight="false" outlineLevel="0" collapsed="false">
      <c r="A40" s="30"/>
      <c r="B40" s="31" t="s">
        <v>110</v>
      </c>
      <c r="C40" s="32" t="n">
        <f aca="false">C15+C21+C27+C34+C39</f>
        <v>3321000</v>
      </c>
      <c r="D40" s="32" t="n">
        <f aca="false">D15+D21+D27+D34+D39</f>
        <v>2223000</v>
      </c>
      <c r="E40" s="32" t="n">
        <f aca="false">E15+E21+E27+E34+E39</f>
        <v>1891000</v>
      </c>
      <c r="F40" s="32" t="n">
        <f aca="false">F15+F21+F27+F34+F39</f>
        <v>332000</v>
      </c>
      <c r="G40" s="33" t="n">
        <f aca="false">IFERROR(D40/C40,0)</f>
        <v>0.669376693766938</v>
      </c>
    </row>
    <row r="42" customFormat="false" ht="15" hidden="false" customHeight="true" outlineLevel="0" collapsed="false">
      <c r="A42" s="15" t="s">
        <v>111</v>
      </c>
      <c r="B42" s="15"/>
      <c r="C42" s="15"/>
      <c r="D42" s="15"/>
      <c r="E42" s="15"/>
      <c r="F42" s="15"/>
      <c r="G42" s="15"/>
    </row>
    <row r="43" customFormat="false" ht="15" hidden="false" customHeight="true" outlineLevel="0" collapsed="false">
      <c r="A43" s="34" t="s">
        <v>112</v>
      </c>
      <c r="B43" s="34"/>
      <c r="C43" s="34"/>
      <c r="D43" s="34"/>
      <c r="E43" s="34"/>
      <c r="F43" s="35" t="n">
        <f aca="false">F40</f>
        <v>332000</v>
      </c>
      <c r="G43" s="35"/>
    </row>
    <row r="44" customFormat="false" ht="15" hidden="false" customHeight="true" outlineLevel="0" collapsed="false">
      <c r="A44" s="36" t="s">
        <v>113</v>
      </c>
      <c r="B44" s="36"/>
      <c r="C44" s="36"/>
      <c r="D44" s="36"/>
      <c r="E44" s="36"/>
      <c r="F44" s="37" t="n">
        <v>0.05</v>
      </c>
      <c r="G44" s="37"/>
    </row>
    <row r="45" customFormat="false" ht="15" hidden="false" customHeight="true" outlineLevel="0" collapsed="false">
      <c r="A45" s="36" t="s">
        <v>114</v>
      </c>
      <c r="B45" s="36"/>
      <c r="C45" s="36"/>
      <c r="D45" s="36"/>
      <c r="E45" s="36"/>
      <c r="F45" s="35" t="n">
        <f aca="false">D40*F44</f>
        <v>111150</v>
      </c>
      <c r="G45" s="35"/>
    </row>
    <row r="46" customFormat="false" ht="15" hidden="false" customHeight="true" outlineLevel="0" collapsed="false">
      <c r="A46" s="36" t="s">
        <v>115</v>
      </c>
      <c r="B46" s="36"/>
      <c r="C46" s="36"/>
      <c r="D46" s="36"/>
      <c r="E46" s="36"/>
      <c r="F46" s="23" t="n">
        <v>80425</v>
      </c>
      <c r="G46" s="23"/>
    </row>
    <row r="47" customFormat="false" ht="15" hidden="false" customHeight="true" outlineLevel="0" collapsed="false">
      <c r="A47" s="36" t="s">
        <v>116</v>
      </c>
      <c r="B47" s="36"/>
      <c r="C47" s="36"/>
      <c r="D47" s="36"/>
      <c r="E47" s="36"/>
      <c r="F47" s="35" t="n">
        <f aca="false">F45-F46</f>
        <v>30725</v>
      </c>
      <c r="G47" s="35"/>
    </row>
    <row r="48" customFormat="false" ht="15" hidden="false" customHeight="true" outlineLevel="0" collapsed="false">
      <c r="A48" s="36" t="s">
        <v>117</v>
      </c>
      <c r="B48" s="36"/>
      <c r="C48" s="36"/>
      <c r="D48" s="36"/>
      <c r="E48" s="36"/>
      <c r="F48" s="23" t="n">
        <v>25300</v>
      </c>
      <c r="G48" s="23"/>
    </row>
    <row r="49" customFormat="false" ht="15" hidden="false" customHeight="true" outlineLevel="0" collapsed="false">
      <c r="A49" s="36" t="s">
        <v>118</v>
      </c>
      <c r="B49" s="36"/>
      <c r="C49" s="36"/>
      <c r="D49" s="36"/>
      <c r="E49" s="36"/>
      <c r="F49" s="23" t="n">
        <v>-3200</v>
      </c>
      <c r="G49" s="23"/>
    </row>
    <row r="50" customFormat="false" ht="15" hidden="false" customHeight="true" outlineLevel="0" collapsed="false">
      <c r="A50" s="34" t="s">
        <v>119</v>
      </c>
      <c r="B50" s="34"/>
      <c r="C50" s="34"/>
      <c r="D50" s="34"/>
      <c r="E50" s="34"/>
      <c r="F50" s="35" t="n">
        <f aca="false">F43-F47+F48+F49</f>
        <v>323375</v>
      </c>
      <c r="G50" s="35"/>
    </row>
    <row r="51" customFormat="false" ht="15" hidden="false" customHeight="true" outlineLevel="0" collapsed="false">
      <c r="A51" s="36" t="s">
        <v>120</v>
      </c>
      <c r="B51" s="36"/>
      <c r="C51" s="36"/>
      <c r="D51" s="36"/>
      <c r="E51" s="36"/>
      <c r="F51" s="35" t="n">
        <f aca="false">F50*0.2</f>
        <v>64675</v>
      </c>
      <c r="G51" s="35"/>
    </row>
    <row r="52" customFormat="false" ht="15" hidden="false" customHeight="false" outlineLevel="0" collapsed="false">
      <c r="A52" s="38"/>
      <c r="B52" s="38"/>
      <c r="C52" s="38"/>
      <c r="D52" s="38"/>
      <c r="E52" s="38"/>
      <c r="F52" s="38"/>
      <c r="G52" s="38"/>
    </row>
    <row r="53" customFormat="false" ht="20.85" hidden="false" customHeight="true" outlineLevel="0" collapsed="false">
      <c r="A53" s="39" t="s">
        <v>121</v>
      </c>
      <c r="B53" s="39"/>
      <c r="C53" s="39"/>
      <c r="D53" s="39"/>
      <c r="E53" s="39"/>
      <c r="F53" s="40" t="n">
        <f aca="false">F50+F51</f>
        <v>388050</v>
      </c>
      <c r="G53" s="40"/>
    </row>
    <row r="55" customFormat="false" ht="15" hidden="false" customHeight="true" outlineLevel="0" collapsed="false">
      <c r="A55" s="41" t="s">
        <v>122</v>
      </c>
      <c r="B55" s="41"/>
      <c r="C55" s="41"/>
      <c r="E55" s="41" t="s">
        <v>123</v>
      </c>
      <c r="F55" s="41"/>
      <c r="G55" s="41"/>
    </row>
    <row r="57" customFormat="false" ht="15" hidden="false" customHeight="false" outlineLevel="0" collapsed="false">
      <c r="A57" s="42"/>
      <c r="B57" s="42"/>
      <c r="C57" s="42"/>
      <c r="E57" s="42"/>
      <c r="F57" s="42"/>
      <c r="G57" s="42"/>
    </row>
    <row r="58" customFormat="false" ht="15" hidden="false" customHeight="false" outlineLevel="0" collapsed="false">
      <c r="A58" s="43" t="s">
        <v>124</v>
      </c>
      <c r="E58" s="43" t="s">
        <v>124</v>
      </c>
    </row>
  </sheetData>
  <mergeCells count="39">
    <mergeCell ref="A1:G1"/>
    <mergeCell ref="B3:C3"/>
    <mergeCell ref="F3:G3"/>
    <mergeCell ref="B4:C4"/>
    <mergeCell ref="F4:G4"/>
    <mergeCell ref="B5:C5"/>
    <mergeCell ref="F5:G5"/>
    <mergeCell ref="B6:C6"/>
    <mergeCell ref="F6:G6"/>
    <mergeCell ref="A10:G10"/>
    <mergeCell ref="A16:G16"/>
    <mergeCell ref="A22:G22"/>
    <mergeCell ref="A28:G28"/>
    <mergeCell ref="A35:G35"/>
    <mergeCell ref="A42:G42"/>
    <mergeCell ref="A43:E43"/>
    <mergeCell ref="F43:G43"/>
    <mergeCell ref="A44:E44"/>
    <mergeCell ref="F44:G44"/>
    <mergeCell ref="A45:E45"/>
    <mergeCell ref="F45:G45"/>
    <mergeCell ref="A46:E46"/>
    <mergeCell ref="F46:G46"/>
    <mergeCell ref="A47:E47"/>
    <mergeCell ref="F47:G47"/>
    <mergeCell ref="A48:E48"/>
    <mergeCell ref="F48:G48"/>
    <mergeCell ref="A49:E49"/>
    <mergeCell ref="F49:G49"/>
    <mergeCell ref="A50:E50"/>
    <mergeCell ref="F50:G50"/>
    <mergeCell ref="A51:E51"/>
    <mergeCell ref="F51:G51"/>
    <mergeCell ref="A53:E53"/>
    <mergeCell ref="F53:G53"/>
    <mergeCell ref="A55:C55"/>
    <mergeCell ref="E55:G55"/>
    <mergeCell ref="A57:C57"/>
    <mergeCell ref="E57:G57"/>
  </mergeCells>
  <conditionalFormatting sqref="G10:G40">
    <cfRule type="expression" priority="2" aboveAverage="0" equalAverage="0" bottom="0" percent="0" rank="0" text="" dxfId="0">
      <formula>AND(G10&gt;=0.9,G10&gt;0)</formula>
    </cfRule>
    <cfRule type="expression" priority="3" aboveAverage="0" equalAverage="0" bottom="0" percent="0" rank="0" text="" dxfId="1">
      <formula>AND(G10&gt;=0.5,G10&lt;0.9)</formula>
    </cfRule>
  </conditionalFormatting>
  <conditionalFormatting sqref="F10:F40">
    <cfRule type="cellIs" priority="4"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&amp;CInterim Valuation Summary</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44" t="s">
        <v>125</v>
      </c>
    </row>
    <row r="2" customFormat="false" ht="15" hidden="false" customHeight="false" outlineLevel="0" collapsed="false">
      <c r="A2" s="44"/>
    </row>
    <row r="3" customFormat="false" ht="15" hidden="false" customHeight="false" outlineLevel="0" collapsed="false">
      <c r="A3" s="44" t="s">
        <v>126</v>
      </c>
    </row>
    <row r="4" customFormat="false" ht="15" hidden="false" customHeight="false" outlineLevel="0" collapsed="false">
      <c r="A4" s="44"/>
    </row>
    <row r="5" customFormat="false" ht="15" hidden="false" customHeight="false" outlineLevel="0" collapsed="false">
      <c r="A5" s="44" t="s">
        <v>127</v>
      </c>
    </row>
    <row r="6" customFormat="false" ht="15" hidden="false" customHeight="false" outlineLevel="0" collapsed="false">
      <c r="A6" s="44"/>
    </row>
    <row r="7" customFormat="false" ht="15" hidden="false" customHeight="false" outlineLevel="0" collapsed="false">
      <c r="A7" s="44" t="s">
        <v>128</v>
      </c>
    </row>
    <row r="8" customFormat="false" ht="15" hidden="false" customHeight="false" outlineLevel="0" collapsed="false">
      <c r="A8" s="44"/>
    </row>
    <row r="9" customFormat="false" ht="15" hidden="false" customHeight="false" outlineLevel="0" collapsed="false">
      <c r="A9" s="44" t="s">
        <v>129</v>
      </c>
    </row>
    <row r="10" customFormat="false" ht="15" hidden="false" customHeight="false" outlineLevel="0" collapsed="false">
      <c r="A10" s="44"/>
    </row>
    <row r="11" customFormat="false" ht="15" hidden="false" customHeight="false" outlineLevel="0" collapsed="false">
      <c r="A11" s="44" t="s">
        <v>130</v>
      </c>
    </row>
    <row r="12" customFormat="false" ht="15" hidden="false" customHeight="false" outlineLevel="0" collapsed="false">
      <c r="A12" s="44"/>
    </row>
    <row r="13" customFormat="false" ht="15" hidden="false" customHeight="false" outlineLevel="0" collapsed="false">
      <c r="A13" s="44" t="s">
        <v>131</v>
      </c>
    </row>
    <row r="14" customFormat="false" ht="15" hidden="false" customHeight="false" outlineLevel="0" collapsed="false">
      <c r="A14" s="44"/>
    </row>
    <row r="15" customFormat="false" ht="15" hidden="false" customHeight="false" outlineLevel="0" collapsed="false">
      <c r="A15" s="44" t="s">
        <v>132</v>
      </c>
    </row>
    <row r="16" customFormat="false" ht="15" hidden="false" customHeight="false" outlineLevel="0" collapsed="false">
      <c r="A16" s="44"/>
    </row>
    <row r="17" customFormat="false" ht="15" hidden="false" customHeight="false" outlineLevel="0" collapsed="false">
      <c r="A17" s="44"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2026-03-22T21:29:36Z</dcterms:created>
  <dc:creator>Ebrora Ltd</dc:creator>
  <dc:description>Formal interim valuation summary with category-banded work element table, automatic retention calculation, deductions block and amount due per certificate, designed for UK construction QS and commercial teams.
Free professional construction management template from Ebrora Ltd. Visit ebrora.com for our full range of tools and templates.</dc:description>
  <cp:keywords>Ebrora construction interim valuation payment certificate retention IPC commercial QS</cp:keywords>
  <dc:language>en-US</dc:language>
  <cp:lastModifiedBy>Ebrora Ltd</cp:lastModifiedBy>
  <dcterms:modified xsi:type="dcterms:W3CDTF">2026-03-22T21:29:36Z</dcterms:modified>
  <cp:revision>0</cp:revision>
  <dc:subject>Structured interim payment valuation certificate with retention, deductions, VAT and amount due calculation.</dc:subject>
  <dc:title>Interim Valuation Summary</dc:title>
</cp:coreProperties>
</file>

<file path=docProps/custom.xml><?xml version="1.0" encoding="utf-8"?>
<Properties xmlns="http://schemas.openxmlformats.org/officeDocument/2006/custom-properties" xmlns:vt="http://schemas.openxmlformats.org/officeDocument/2006/docPropsVTypes"/>
</file>