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Instructions" sheetId="2" state="visible" r:id="rId4"/>
    <sheet name="Retention Tracker" sheetId="3" state="visible" r:id="rId5"/>
    <sheet name="Terms of Use" sheetId="4" state="hidden" r:id="rId6"/>
  </sheets>
  <definedNames>
    <definedName function="false" hidden="false" localSheetId="0" name="_xlnm.Print_Area" vbProcedure="false">Cover!$A$1:$H$20</definedName>
    <definedName function="false" hidden="false" localSheetId="1" name="_xlnm.Print_Area" vbProcedure="false">Instructions!$A$1:$F$29</definedName>
    <definedName function="false" hidden="false" localSheetId="2" name="_xlnm.Print_Area" vbProcedure="false">'Retention Tracker'!$A$1:$L$46</definedName>
    <definedName function="false" hidden="true" localSheetId="2" name="_xlnm._FilterDatabase" vbProcedure="false">'Retention Tracker'!$A$14:$P$45</definedName>
    <definedName function="false" hidden="false" name="RetentionData" vbProcedure="false">'Retention Tracker'!$A$14:$P$46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<sst xmlns="http://schemas.openxmlformats.org/spreadsheetml/2006/main" count="122" uniqueCount="111">
  <si>
    <t xml:space="preserve">EBRORA</t>
  </si>
  <si>
    <t xml:space="preserve">ebrora.com</t>
  </si>
  <si>
    <t xml:space="preserve">Retention Release Tracker</t>
  </si>
  <si>
    <t xml:space="preserve">Track retention held against each subcontract package with</t>
  </si>
  <si>
    <t xml:space="preserve">automatic two-tranche release at PC and end of defects liability.</t>
  </si>
  <si>
    <t xml:space="preserve">This is a free template from Ebrora.</t>
  </si>
  <si>
    <t xml:space="preserve">For our full range of professional-grade construction management tools, visit ebrora.com</t>
  </si>
  <si>
    <t xml:space="preserve">© Ebrora 2026 — All rights reserved</t>
  </si>
  <si>
    <t xml:space="preserve">How to Use This Template</t>
  </si>
  <si>
    <t xml:space="preserve">Getting Started</t>
  </si>
  <si>
    <t xml:space="preserve">1.</t>
  </si>
  <si>
    <t xml:space="preserve">Open the 'Retention Tracker' sheet. The top section has a three-block retention pool summary: Total Retention Held, Released to Date, and Still Outstanding — plus a visual breakdown of the two release tranches.</t>
  </si>
  <si>
    <t xml:space="preserve">2.</t>
  </si>
  <si>
    <t xml:space="preserve">Each row is one subcontract package. Enter the Package Ref, Subcontractor name, the Certified Value to Date (£), and the Retention % (default 5%, editable per row).</t>
  </si>
  <si>
    <t xml:space="preserve">3.</t>
  </si>
  <si>
    <t xml:space="preserve">Retention Held calculates automatically as Certified Value × Retention %. This is the total retention being withheld against that package.</t>
  </si>
  <si>
    <t xml:space="preserve">4.</t>
  </si>
  <si>
    <t xml:space="preserve">Under most standard forms, retention is released in two halves: 50% at Practical Completion (PC) and the remaining 50% at the end of the Defects Liability Period (DLP).</t>
  </si>
  <si>
    <t xml:space="preserve">5.</t>
  </si>
  <si>
    <t xml:space="preserve">Enter the PC Date and DLP End Date for each package. The Release Status column auto-calculates whether PC Release or DLP Release is due based on today’s date. Mark releases as actioned using the PC Released and DLP Released Yes/No dropdowns.</t>
  </si>
  <si>
    <t xml:space="preserve">Release Logic</t>
  </si>
  <si>
    <t xml:space="preserve">PC Release Amount = 50% of Retention Held. Due when the PC Date is reached.</t>
  </si>
  <si>
    <t xml:space="preserve">DLP Release Amount = remaining 50% of Retention Held. Due when DLP End Date is reached.</t>
  </si>
  <si>
    <t xml:space="preserve">Retention Still Held = Retention Held – amounts actually released (based on Yes/No flags).</t>
  </si>
  <si>
    <t xml:space="preserve">The template does not auto-release funds — you must confirm each release by setting the dropdown to 'Yes'. This prevents accidental early release.</t>
  </si>
  <si>
    <t xml:space="preserve">Colour Key</t>
  </si>
  <si>
    <t xml:space="preserve">Light teal cells (#E8F6F7) — User input.</t>
  </si>
  <si>
    <t xml:space="preserve">Dark navy headers — Do not edit.</t>
  </si>
  <si>
    <t xml:space="preserve">Green Release Status — Fully released (both PC and DLP released).</t>
  </si>
  <si>
    <t xml:space="preserve">Amber Release Status — PC released, DLP retention still held.</t>
  </si>
  <si>
    <t xml:space="preserve">Blue Release Status — PC due (PC date passed but not yet released).</t>
  </si>
  <si>
    <t xml:space="preserve">Red Release Status — DLP overdue (DLP end date passed but not released).</t>
  </si>
  <si>
    <t xml:space="preserve">Grey — Not yet due (both milestones in future).</t>
  </si>
  <si>
    <t xml:space="preserve">Tips</t>
  </si>
  <si>
    <t xml:space="preserve">Tip 1:</t>
  </si>
  <si>
    <t xml:space="preserve">Review this tracker monthly and at every valuation. Subcontractors are entitled to retention release — late release can trigger interest claims under the Housing Grants Act 1996.</t>
  </si>
  <si>
    <t xml:space="preserve">Tip 2:</t>
  </si>
  <si>
    <t xml:space="preserve">Always confirm PC and DLP completion formally before releasing retention. A signed practical completion certificate or making-good certificate should be on file.</t>
  </si>
  <si>
    <t xml:space="preserve">Tip 3:</t>
  </si>
  <si>
    <t xml:space="preserve">Cross-reference the PC and DLP dates with your Snagging/Defects List (Template 26) to ensure all defects are resolved before releasing the final 50%.</t>
  </si>
  <si>
    <t xml:space="preserve">RETENTION RELEASE TRACKER</t>
  </si>
  <si>
    <t xml:space="preserve">Total Retention Held (£)</t>
  </si>
  <si>
    <t xml:space="preserve">Total Released to Date (£)</t>
  </si>
  <si>
    <t xml:space="preserve">Retention Still Outstanding (£)</t>
  </si>
  <si>
    <t xml:space="preserve">Packages Tracked</t>
  </si>
  <si>
    <t xml:space="preserve">PC Releases Due (date passed)</t>
  </si>
  <si>
    <t xml:space="preserve">PC Releases Made</t>
  </si>
  <si>
    <t xml:space="preserve">DLP Releases Due (date passed)</t>
  </si>
  <si>
    <t xml:space="preserve">DLP Releases Made</t>
  </si>
  <si>
    <t xml:space="preserve">Standard retention: 5% (3% on some contracts). Release: 50% at Practical Completion, 50% at end of Defects Liability Period (typically 12 months post-PC).</t>
  </si>
  <si>
    <t xml:space="preserve">▸ Optional Fields — Click [+] to expand</t>
  </si>
  <si>
    <t xml:space="preserve">TRANCHE 1: PC RELEASE</t>
  </si>
  <si>
    <t xml:space="preserve">TRANCHE 2: DLP RELEASE</t>
  </si>
  <si>
    <t xml:space="preserve">Package
Ref</t>
  </si>
  <si>
    <t xml:space="preserve">Subcontractor</t>
  </si>
  <si>
    <t xml:space="preserve">Certified Value
to Date (£)</t>
  </si>
  <si>
    <t xml:space="preserve">Retention
%</t>
  </si>
  <si>
    <t xml:space="preserve">Retention
Held (£)</t>
  </si>
  <si>
    <t xml:space="preserve">PC Date</t>
  </si>
  <si>
    <t xml:space="preserve">PC
Released?</t>
  </si>
  <si>
    <t xml:space="preserve">DLP End
Date</t>
  </si>
  <si>
    <t xml:space="preserve">DLP
Released?</t>
  </si>
  <si>
    <t xml:space="preserve">Retention Still
Held (£)</t>
  </si>
  <si>
    <t xml:space="preserve">Release
Status</t>
  </si>
  <si>
    <t xml:space="preserve">Notes</t>
  </si>
  <si>
    <t xml:space="preserve">Contract
Value (£)</t>
  </si>
  <si>
    <t xml:space="preserve">Subcontract
Ref</t>
  </si>
  <si>
    <t xml:space="preserve">Defects
Outstanding</t>
  </si>
  <si>
    <t xml:space="preserve">Payment
Cert Ref</t>
  </si>
  <si>
    <t xml:space="preserve">PKG-01</t>
  </si>
  <si>
    <t xml:space="preserve">Murphy Ground Engineering</t>
  </si>
  <si>
    <t xml:space="preserve">Yes</t>
  </si>
  <si>
    <t xml:space="preserve">No</t>
  </si>
  <si>
    <t xml:space="preserve">PC retention released IPC-06. DLP active.</t>
  </si>
  <si>
    <t xml:space="preserve">SC-001</t>
  </si>
  <si>
    <t xml:space="preserve">0</t>
  </si>
  <si>
    <t xml:space="preserve">IPC-06</t>
  </si>
  <si>
    <t xml:space="preserve">PKG-02</t>
  </si>
  <si>
    <t xml:space="preserve">Severfield UK Ltd</t>
  </si>
  <si>
    <t xml:space="preserve">Steel frame complete. Awaiting formal PC cert.</t>
  </si>
  <si>
    <t xml:space="preserve">SC-002</t>
  </si>
  <si>
    <t xml:space="preserve">2</t>
  </si>
  <si>
    <t xml:space="preserve">IPC-08</t>
  </si>
  <si>
    <t xml:space="preserve">PKG-03</t>
  </si>
  <si>
    <t xml:space="preserve">Kawneer UK</t>
  </si>
  <si>
    <t xml:space="preserve">Curtain wall installation ongoing. PC not yet reached.</t>
  </si>
  <si>
    <t xml:space="preserve">SC-003</t>
  </si>
  <si>
    <t xml:space="preserve">N/A</t>
  </si>
  <si>
    <t xml:space="preserve">IPC-07</t>
  </si>
  <si>
    <t xml:space="preserve">PKG-04</t>
  </si>
  <si>
    <t xml:space="preserve">McCann Electrical Ltd</t>
  </si>
  <si>
    <t xml:space="preserve">Electrical first fix in progress.</t>
  </si>
  <si>
    <t xml:space="preserve">SC-004</t>
  </si>
  <si>
    <t xml:space="preserve">PKG-05</t>
  </si>
  <si>
    <t xml:space="preserve">Trend Controls Ltd</t>
  </si>
  <si>
    <t xml:space="preserve">BMS design and procurement stage.</t>
  </si>
  <si>
    <t xml:space="preserve">SC-005</t>
  </si>
  <si>
    <t xml:space="preserve">PKG-06</t>
  </si>
  <si>
    <t xml:space="preserve">Wates Interiors</t>
  </si>
  <si>
    <t xml:space="preserve">Drylining Phase 1 complete. 3% retention per subcontract.</t>
  </si>
  <si>
    <t xml:space="preserve">SC-006</t>
  </si>
  <si>
    <t xml:space="preserve">TOTALS</t>
  </si>
  <si>
    <t xml:space="preserve">EBRORA — TERMS OF USE</t>
  </si>
  <si>
    <t xml:space="preserve">This template is provided free of charge by Ebrora (ebrora.com) for personal and professional use.</t>
  </si>
  <si>
    <t xml:space="preserve">1. LICENCE: You may use this template for your own projects. You may not resell, redistribute, or claim authorship of this template.</t>
  </si>
  <si>
    <t xml:space="preserve">2. NO WARRANTY: This template is provided "as is" without warranty of any kind. Ebrora accepts no liability for errors, omissions, or losses arising from use of this template.</t>
  </si>
  <si>
    <t xml:space="preserve">3. INTELLECTUAL PROPERTY: All design, layout, branding, and content remain the intellectual property of Ebrora.</t>
  </si>
  <si>
    <t xml:space="preserve">4. MODIFICATIONS: You may modify this template for your own use. Modified versions may not be distributed or sold.</t>
  </si>
  <si>
    <t xml:space="preserve">5. ATTRIBUTION: If you share outputs generated using this template, attribution to Ebrora (ebrora.com) is appreciated but not required.</t>
  </si>
  <si>
    <t xml:space="preserve">6. SUPPORT: For queries, feedback, or to report errors, contact support@ebrora.com.</t>
  </si>
  <si>
    <t xml:space="preserve">For our full range of professional construction management tools, visit ebrora.com.</t>
  </si>
</sst>
</file>

<file path=xl/styles.xml><?xml version="1.0" encoding="utf-8"?>
<styleSheet xmlns="http://schemas.openxmlformats.org/spreadsheetml/2006/main">
  <numFmts count="5">
    <numFmt numFmtId="164" formatCode="General"/>
    <numFmt numFmtId="165" formatCode="\£#,##0"/>
    <numFmt numFmtId="166" formatCode="General"/>
    <numFmt numFmtId="167" formatCode="0.0%"/>
    <numFmt numFmtId="168" formatCode="dd/mm/yyyy"/>
  </numFmts>
  <fonts count="19">
    <font>
      <sz val="11"/>
      <color theme="1"/>
      <name val="Calibri"/>
      <family val="2"/>
      <charset val="1"/>
    </font>
    <font>
      <sz val="10"/>
      <name val="Arial"/>
      <family val="0"/>
    </font>
    <font>
      <sz val="10"/>
      <name val="Arial"/>
      <family val="0"/>
    </font>
    <font>
      <sz val="10"/>
      <name val="Arial"/>
      <family val="0"/>
    </font>
    <font>
      <b val="true"/>
      <sz val="36"/>
      <color rgb="FFFFFFFF"/>
      <name val="Calibri"/>
      <family val="0"/>
      <charset val="1"/>
    </font>
    <font>
      <sz val="12"/>
      <color rgb="FF2AABB3"/>
      <name val="Calibri"/>
      <family val="0"/>
      <charset val="1"/>
    </font>
    <font>
      <b val="true"/>
      <sz val="28"/>
      <color rgb="FFFFFFFF"/>
      <name val="Calibri"/>
      <family val="0"/>
      <charset val="1"/>
    </font>
    <font>
      <sz val="12"/>
      <color rgb="FFFFFFFF"/>
      <name val="Calibri"/>
      <family val="0"/>
      <charset val="1"/>
    </font>
    <font>
      <b val="true"/>
      <sz val="11"/>
      <color rgb="FF1B2A4A"/>
      <name val="Calibri"/>
      <family val="0"/>
      <charset val="1"/>
    </font>
    <font>
      <i val="true"/>
      <sz val="9"/>
      <color rgb="FF8C8C8C"/>
      <name val="Calibri"/>
      <family val="0"/>
      <charset val="1"/>
    </font>
    <font>
      <b val="true"/>
      <sz val="14"/>
      <color rgb="FF1B2A4A"/>
      <name val="Calibri"/>
      <family val="0"/>
      <charset val="1"/>
    </font>
    <font>
      <b val="true"/>
      <sz val="11"/>
      <color rgb="FF2AABB3"/>
      <name val="Calibri"/>
      <family val="0"/>
      <charset val="1"/>
    </font>
    <font>
      <b val="true"/>
      <sz val="10"/>
      <color rgb="FF1B2A4A"/>
      <name val="Calibri"/>
      <family val="0"/>
      <charset val="1"/>
    </font>
    <font>
      <sz val="10"/>
      <color rgb="FF1B2A4A"/>
      <name val="Calibri"/>
      <family val="0"/>
      <charset val="1"/>
    </font>
    <font>
      <b val="true"/>
      <sz val="11"/>
      <color rgb="FFFFFFFF"/>
      <name val="Calibri"/>
      <family val="0"/>
      <charset val="1"/>
    </font>
    <font>
      <b val="true"/>
      <sz val="12"/>
      <color rgb="FF1B2A4A"/>
      <name val="Calibri"/>
      <family val="0"/>
      <charset val="1"/>
    </font>
    <font>
      <i val="true"/>
      <sz val="9"/>
      <color rgb="FF2AABB3"/>
      <name val="Calibri"/>
      <family val="0"/>
      <charset val="1"/>
    </font>
    <font>
      <b val="true"/>
      <sz val="9"/>
      <color rgb="FF2AABB3"/>
      <name val="Calibri"/>
      <family val="0"/>
      <charset val="1"/>
    </font>
    <font>
      <b val="true"/>
      <sz val="10"/>
      <color rgb="FFFFFFFF"/>
      <name val="Calibri"/>
      <family val="0"/>
      <charset val="1"/>
    </font>
  </fonts>
  <fills count="9">
    <fill>
      <patternFill patternType="none"/>
    </fill>
    <fill>
      <patternFill patternType="gray125"/>
    </fill>
    <fill>
      <patternFill patternType="solid">
        <fgColor rgb="FF1B2A4A"/>
        <bgColor rgb="FF003366"/>
      </patternFill>
    </fill>
    <fill>
      <patternFill patternType="solid">
        <fgColor rgb="FFFFFFFF"/>
        <bgColor rgb="FFF2F2F2"/>
      </patternFill>
    </fill>
    <fill>
      <patternFill patternType="solid">
        <fgColor rgb="FFE8F6F7"/>
        <bgColor rgb="FFF2F2F2"/>
      </patternFill>
    </fill>
    <fill>
      <patternFill patternType="solid">
        <fgColor rgb="FFF2F2F2"/>
        <bgColor rgb="FFE8F6F7"/>
      </patternFill>
    </fill>
    <fill>
      <patternFill patternType="solid">
        <fgColor rgb="FFBDD7EE"/>
        <bgColor rgb="FFC6EFCE"/>
      </patternFill>
    </fill>
    <fill>
      <patternFill patternType="solid">
        <fgColor rgb="FFC6EFCE"/>
        <bgColor rgb="FFCCFFFF"/>
      </patternFill>
    </fill>
    <fill>
      <patternFill patternType="solid">
        <fgColor rgb="FFFFEB9C"/>
        <bgColor rgb="FFF2F2F2"/>
      </patternFill>
    </fill>
  </fills>
  <borders count="4">
    <border diagonalUp="false" diagonalDown="false">
      <left/>
      <right/>
      <top/>
      <bottom/>
      <diagonal/>
    </border>
    <border diagonalUp="false" diagonalDown="false">
      <left style="thin">
        <color rgb="FF2AABB3"/>
      </left>
      <right style="thin">
        <color rgb="FF2AABB3"/>
      </right>
      <top style="thin">
        <color rgb="FF2AABB3"/>
      </top>
      <bottom style="thin">
        <color rgb="FF2AABB3"/>
      </bottom>
      <diagonal/>
    </border>
    <border diagonalUp="false" diagonalDown="false">
      <left style="thin">
        <color rgb="FF8C8C8C"/>
      </left>
      <right style="thin">
        <color rgb="FF8C8C8C"/>
      </right>
      <top style="thin">
        <color rgb="FF8C8C8C"/>
      </top>
      <bottom style="thin">
        <color rgb="FF8C8C8C"/>
      </bottom>
      <diagonal/>
    </border>
    <border diagonalUp="false" diagonalDown="false">
      <left/>
      <right/>
      <top/>
      <bottom style="medium">
        <color rgb="FF2AABB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tru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true" applyAlignment="true" applyProtection="false">
      <alignment horizontal="center" vertical="center" textRotation="0" wrapText="tru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9" fillId="3" borderId="0"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true" applyAlignment="true" applyProtection="false">
      <alignment horizontal="left" vertical="center" textRotation="0" wrapText="true" indent="0" shrinkToFit="false"/>
      <protection locked="true" hidden="false"/>
    </xf>
    <xf numFmtId="164" fontId="11" fillId="0" borderId="0" xfId="0" applyFont="true" applyBorder="true" applyAlignment="true" applyProtection="false">
      <alignment horizontal="left" vertical="center" textRotation="0" wrapText="true" indent="0" shrinkToFit="false"/>
      <protection locked="true" hidden="false"/>
    </xf>
    <xf numFmtId="164" fontId="12" fillId="0" borderId="0" xfId="0" applyFont="true" applyBorder="false" applyAlignment="true" applyProtection="false">
      <alignment horizontal="right" vertical="top" textRotation="0" wrapText="false" indent="0" shrinkToFit="false"/>
      <protection locked="true" hidden="false"/>
    </xf>
    <xf numFmtId="164" fontId="13" fillId="0" borderId="0" xfId="0" applyFont="true" applyBorder="true" applyAlignment="true" applyProtection="false">
      <alignment horizontal="left" vertical="top" textRotation="0" wrapText="true" indent="0" shrinkToFit="false"/>
      <protection locked="true" hidden="false"/>
    </xf>
    <xf numFmtId="164" fontId="13" fillId="0" borderId="0" xfId="0" applyFont="true" applyBorder="true" applyAlignment="true" applyProtection="false">
      <alignment horizontal="left" vertical="center" textRotation="0" wrapText="true" indent="0" shrinkToFit="false"/>
      <protection locked="true" hidden="false"/>
    </xf>
    <xf numFmtId="164" fontId="14" fillId="2" borderId="0" xfId="0" applyFont="true" applyBorder="true" applyAlignment="true" applyProtection="false">
      <alignment horizontal="center" vertical="center" textRotation="0" wrapText="true" indent="0" shrinkToFit="false"/>
      <protection locked="true" hidden="false"/>
    </xf>
    <xf numFmtId="164" fontId="12" fillId="5" borderId="0" xfId="0" applyFont="true" applyBorder="true" applyAlignment="true" applyProtection="false">
      <alignment horizontal="center" vertical="center" textRotation="0" wrapText="true" indent="0" shrinkToFit="false"/>
      <protection locked="true" hidden="false"/>
    </xf>
    <xf numFmtId="165" fontId="15" fillId="3" borderId="0" xfId="0" applyFont="true" applyBorder="true" applyAlignment="true" applyProtection="false">
      <alignment horizontal="center" vertical="center" textRotation="0" wrapText="true" indent="0" shrinkToFit="false"/>
      <protection locked="true" hidden="false"/>
    </xf>
    <xf numFmtId="166" fontId="15" fillId="3" borderId="0" xfId="0" applyFont="true" applyBorder="true" applyAlignment="true" applyProtection="false">
      <alignment horizontal="center" vertical="center" textRotation="0" wrapText="true" indent="0" shrinkToFit="false"/>
      <protection locked="true" hidden="false"/>
    </xf>
    <xf numFmtId="164" fontId="12" fillId="6" borderId="2" xfId="0" applyFont="true" applyBorder="true" applyAlignment="true" applyProtection="false">
      <alignment horizontal="center" vertical="center" textRotation="0" wrapText="true" indent="0" shrinkToFit="false"/>
      <protection locked="true" hidden="false"/>
    </xf>
    <xf numFmtId="164" fontId="12" fillId="7" borderId="2" xfId="0" applyFont="true" applyBorder="true" applyAlignment="true" applyProtection="false">
      <alignment horizontal="center" vertical="center" textRotation="0" wrapText="true" indent="0" shrinkToFit="false"/>
      <protection locked="true" hidden="false"/>
    </xf>
    <xf numFmtId="164" fontId="12" fillId="8" borderId="2" xfId="0" applyFont="true" applyBorder="true" applyAlignment="true" applyProtection="false">
      <alignment horizontal="center" vertical="center" textRotation="0" wrapText="true" indent="0" shrinkToFit="false"/>
      <protection locked="true" hidden="false"/>
    </xf>
    <xf numFmtId="166" fontId="15" fillId="3" borderId="2" xfId="0" applyFont="true" applyBorder="true" applyAlignment="true" applyProtection="false">
      <alignment horizontal="center" vertical="center" textRotation="0" wrapText="true" indent="0" shrinkToFit="false"/>
      <protection locked="true" hidden="false"/>
    </xf>
    <xf numFmtId="164" fontId="16" fillId="4" borderId="0" xfId="0" applyFont="true" applyBorder="true" applyAlignment="true" applyProtection="false">
      <alignment horizontal="left" vertical="center" textRotation="0" wrapText="tru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16" fillId="0" borderId="3" xfId="0" applyFont="true" applyBorder="true" applyAlignment="true" applyProtection="false">
      <alignment horizontal="center" vertical="center" textRotation="0" wrapText="true" indent="0" shrinkToFit="false"/>
      <protection locked="true" hidden="false"/>
    </xf>
    <xf numFmtId="164" fontId="17" fillId="0" borderId="0" xfId="0" applyFont="true" applyBorder="true" applyAlignment="true" applyProtection="false">
      <alignment horizontal="center" vertical="center" textRotation="0" wrapText="true" indent="0" shrinkToFit="false"/>
      <protection locked="true" hidden="false"/>
    </xf>
    <xf numFmtId="164" fontId="14" fillId="2" borderId="2" xfId="0" applyFont="true" applyBorder="true" applyAlignment="true" applyProtection="false">
      <alignment horizontal="center" vertical="center" textRotation="0" wrapText="true" indent="0" shrinkToFit="false"/>
      <protection locked="true" hidden="false"/>
    </xf>
    <xf numFmtId="164" fontId="13" fillId="4" borderId="2" xfId="0" applyFont="true" applyBorder="true" applyAlignment="true" applyProtection="false">
      <alignment horizontal="center" vertical="center" textRotation="0" wrapText="true" indent="0" shrinkToFit="false"/>
      <protection locked="true" hidden="false"/>
    </xf>
    <xf numFmtId="164" fontId="13" fillId="4" borderId="2" xfId="0" applyFont="true" applyBorder="true" applyAlignment="true" applyProtection="false">
      <alignment horizontal="left" vertical="center" textRotation="0" wrapText="true" indent="0" shrinkToFit="false"/>
      <protection locked="true" hidden="false"/>
    </xf>
    <xf numFmtId="165" fontId="13" fillId="4" borderId="2" xfId="0" applyFont="true" applyBorder="true" applyAlignment="true" applyProtection="false">
      <alignment horizontal="right" vertical="center" textRotation="0" wrapText="true" indent="0" shrinkToFit="false"/>
      <protection locked="true" hidden="false"/>
    </xf>
    <xf numFmtId="167" fontId="13" fillId="4" borderId="2" xfId="0" applyFont="true" applyBorder="true" applyAlignment="true" applyProtection="false">
      <alignment horizontal="center" vertical="center" textRotation="0" wrapText="true" indent="0" shrinkToFit="false"/>
      <protection locked="true" hidden="false"/>
    </xf>
    <xf numFmtId="165" fontId="13" fillId="3" borderId="2" xfId="0" applyFont="true" applyBorder="true" applyAlignment="true" applyProtection="false">
      <alignment horizontal="right" vertical="center" textRotation="0" wrapText="true" indent="0" shrinkToFit="false"/>
      <protection locked="true" hidden="false"/>
    </xf>
    <xf numFmtId="168" fontId="13" fillId="4" borderId="2" xfId="0" applyFont="true" applyBorder="true" applyAlignment="true" applyProtection="false">
      <alignment horizontal="center" vertical="center" textRotation="0" wrapText="true" indent="0" shrinkToFit="false"/>
      <protection locked="true" hidden="false"/>
    </xf>
    <xf numFmtId="164" fontId="13" fillId="3" borderId="2" xfId="0" applyFont="true" applyBorder="true" applyAlignment="true" applyProtection="false">
      <alignment horizontal="center" vertical="center" textRotation="0" wrapText="true" indent="0" shrinkToFit="false"/>
      <protection locked="true" hidden="false"/>
    </xf>
    <xf numFmtId="165" fontId="14" fillId="2" borderId="2" xfId="0" applyFont="true" applyBorder="true" applyAlignment="true" applyProtection="false">
      <alignment horizontal="right" vertical="center" textRotation="0" wrapText="true" indent="0" shrinkToFit="false"/>
      <protection locked="true" hidden="false"/>
    </xf>
    <xf numFmtId="164" fontId="0" fillId="2" borderId="2" xfId="0" applyFont="false" applyBorder="true" applyAlignment="false" applyProtection="false">
      <alignment horizontal="general" vertical="bottom" textRotation="0" wrapText="false" indent="0" shrinkToFit="false"/>
      <protection locked="true" hidden="false"/>
    </xf>
    <xf numFmtId="165" fontId="18" fillId="2" borderId="2" xfId="0" applyFont="true" applyBorder="true" applyAlignment="true" applyProtection="false">
      <alignment horizontal="right" vertical="center"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ill>
        <patternFill patternType="solid">
          <fgColor rgb="FF1B2A4A"/>
          <bgColor rgb="FF000000"/>
        </patternFill>
      </fill>
    </dxf>
    <dxf>
      <fill>
        <patternFill patternType="solid">
          <fgColor rgb="FFE8F6F7"/>
          <bgColor rgb="FF000000"/>
        </patternFill>
      </fill>
    </dxf>
    <dxf>
      <fill>
        <patternFill patternType="solid">
          <fgColor rgb="FFFFFFFF"/>
          <bgColor rgb="FF000000"/>
        </patternFill>
      </fill>
    </dxf>
    <dxf>
      <fill>
        <patternFill patternType="solid">
          <fgColor rgb="FFC6EFCE"/>
          <bgColor rgb="FF000000"/>
        </patternFill>
      </fill>
    </dxf>
    <dxf>
      <fill>
        <patternFill patternType="solid">
          <fgColor rgb="FFFFEB9C"/>
          <bgColor rgb="FF000000"/>
        </patternFill>
      </fill>
    </dxf>
    <dxf>
      <fill>
        <patternFill patternType="solid">
          <fgColor rgb="FFFFC7CE"/>
          <bgColor rgb="FF000000"/>
        </patternFill>
      </fill>
    </dxf>
    <dxf>
      <fill>
        <patternFill patternType="solid">
          <fgColor rgb="FFBDD7EE"/>
          <bgColor rgb="FF000000"/>
        </patternFill>
      </fill>
    </dxf>
    <dxf>
      <fill>
        <patternFill patternType="solid">
          <fgColor rgb="FFF2F2F2"/>
          <bgColor rgb="FF000000"/>
        </patternFill>
      </fill>
    </dxf>
    <dxf>
      <fill>
        <patternFill>
          <bgColor rgb="FFC6EFCE"/>
        </patternFill>
      </fill>
    </dxf>
    <dxf>
      <fill>
        <patternFill>
          <bgColor rgb="FFFFEB9C"/>
        </patternFill>
      </fill>
    </dxf>
    <dxf>
      <fill>
        <patternFill>
          <bgColor rgb="FFBDD7EE"/>
        </patternFill>
      </fill>
    </dxf>
    <dxf>
      <fill>
        <patternFill>
          <bgColor rgb="FFFFC7CE"/>
        </patternFill>
      </fill>
    </dxf>
    <dxf>
      <fill>
        <patternFill>
          <bgColor rgb="FFF2F2F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E8F6F7"/>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2AABB3"/>
      <rgbColor rgb="FF99CC00"/>
      <rgbColor rgb="FFFFCC00"/>
      <rgbColor rgb="FFFF9900"/>
      <rgbColor rgb="FFFF6600"/>
      <rgbColor rgb="FF666699"/>
      <rgbColor rgb="FF8C8C8C"/>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H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14"/>
  </cols>
  <sheetData>
    <row r="1" customFormat="false" ht="15" hidden="false" customHeight="false" outlineLevel="0" collapsed="false">
      <c r="A1" s="1"/>
      <c r="B1" s="1"/>
      <c r="C1" s="1"/>
      <c r="D1" s="1"/>
      <c r="E1" s="1"/>
      <c r="F1" s="1"/>
      <c r="G1" s="1"/>
      <c r="H1" s="1"/>
    </row>
    <row r="2" customFormat="false" ht="45.5" hidden="false" customHeight="true" outlineLevel="0" collapsed="false">
      <c r="A2" s="2" t="s">
        <v>0</v>
      </c>
      <c r="B2" s="2"/>
      <c r="C2" s="2"/>
      <c r="D2" s="2"/>
      <c r="E2" s="2"/>
      <c r="F2" s="2"/>
      <c r="G2" s="2"/>
      <c r="H2" s="2"/>
    </row>
    <row r="3" customFormat="false" ht="15" hidden="false" customHeight="false" outlineLevel="0" collapsed="false">
      <c r="A3" s="1"/>
      <c r="B3" s="1"/>
      <c r="C3" s="1"/>
      <c r="D3" s="1"/>
      <c r="E3" s="1"/>
      <c r="F3" s="1"/>
      <c r="G3" s="1"/>
      <c r="H3" s="1"/>
    </row>
    <row r="4" customFormat="false" ht="15" hidden="false" customHeight="true" outlineLevel="0" collapsed="false">
      <c r="A4" s="3" t="s">
        <v>1</v>
      </c>
      <c r="B4" s="3"/>
      <c r="C4" s="3"/>
      <c r="D4" s="3"/>
      <c r="E4" s="3"/>
      <c r="F4" s="3"/>
      <c r="G4" s="3"/>
      <c r="H4" s="3"/>
    </row>
    <row r="5" customFormat="false" ht="15" hidden="false" customHeight="false" outlineLevel="0" collapsed="false">
      <c r="A5" s="4"/>
      <c r="B5" s="4"/>
      <c r="C5" s="4"/>
      <c r="D5" s="4"/>
      <c r="E5" s="4"/>
      <c r="F5" s="4"/>
      <c r="G5" s="4"/>
      <c r="H5" s="4"/>
    </row>
    <row r="6" customFormat="false" ht="15" hidden="false" customHeight="false" outlineLevel="0" collapsed="false">
      <c r="A6" s="1"/>
      <c r="B6" s="1"/>
      <c r="C6" s="1"/>
      <c r="D6" s="1"/>
      <c r="E6" s="1"/>
      <c r="F6" s="1"/>
      <c r="G6" s="1"/>
      <c r="H6" s="1"/>
    </row>
    <row r="7" customFormat="false" ht="35.05" hidden="false" customHeight="true" outlineLevel="0" collapsed="false">
      <c r="A7" s="5" t="s">
        <v>2</v>
      </c>
      <c r="B7" s="5"/>
      <c r="C7" s="5"/>
      <c r="D7" s="5"/>
      <c r="E7" s="5"/>
      <c r="F7" s="5"/>
      <c r="G7" s="5"/>
      <c r="H7" s="5"/>
    </row>
    <row r="8" customFormat="false" ht="15" hidden="false" customHeight="false" outlineLevel="0" collapsed="false">
      <c r="A8" s="1"/>
      <c r="B8" s="1"/>
      <c r="C8" s="1"/>
      <c r="D8" s="1"/>
      <c r="E8" s="1"/>
      <c r="F8" s="1"/>
      <c r="G8" s="1"/>
      <c r="H8" s="1"/>
    </row>
    <row r="9" customFormat="false" ht="15" hidden="false" customHeight="false" outlineLevel="0" collapsed="false">
      <c r="A9" s="4"/>
      <c r="B9" s="4"/>
      <c r="C9" s="4"/>
      <c r="D9" s="4"/>
      <c r="E9" s="4"/>
      <c r="F9" s="4"/>
      <c r="G9" s="4"/>
      <c r="H9" s="4"/>
    </row>
    <row r="10" customFormat="false" ht="15" hidden="false" customHeight="true" outlineLevel="0" collapsed="false">
      <c r="A10" s="6" t="s">
        <v>3</v>
      </c>
      <c r="B10" s="6"/>
      <c r="C10" s="6"/>
      <c r="D10" s="6"/>
      <c r="E10" s="6"/>
      <c r="F10" s="6"/>
      <c r="G10" s="6"/>
      <c r="H10" s="6"/>
    </row>
    <row r="11" customFormat="false" ht="15" hidden="false" customHeight="true" outlineLevel="0" collapsed="false">
      <c r="A11" s="6" t="s">
        <v>4</v>
      </c>
      <c r="B11" s="6"/>
      <c r="C11" s="6"/>
      <c r="D11" s="6"/>
      <c r="E11" s="6"/>
      <c r="F11" s="6"/>
      <c r="G11" s="6"/>
      <c r="H11" s="6"/>
    </row>
    <row r="12" customFormat="false" ht="15" hidden="false" customHeight="false" outlineLevel="0" collapsed="false">
      <c r="A12" s="4"/>
      <c r="B12" s="4"/>
      <c r="C12" s="4"/>
      <c r="D12" s="4"/>
      <c r="E12" s="4"/>
      <c r="F12" s="4"/>
      <c r="G12" s="4"/>
      <c r="H12" s="4"/>
    </row>
    <row r="13" customFormat="false" ht="15" hidden="false" customHeight="false" outlineLevel="0" collapsed="false">
      <c r="A13" s="4"/>
      <c r="B13" s="4"/>
      <c r="C13" s="4"/>
      <c r="D13" s="4"/>
      <c r="E13" s="4"/>
      <c r="F13" s="4"/>
      <c r="G13" s="4"/>
      <c r="H13" s="4"/>
    </row>
    <row r="14" customFormat="false" ht="15" hidden="false" customHeight="false" outlineLevel="0" collapsed="false">
      <c r="A14" s="7"/>
      <c r="B14" s="7"/>
      <c r="C14" s="7"/>
      <c r="D14" s="7"/>
      <c r="E14" s="7"/>
      <c r="F14" s="7"/>
      <c r="G14" s="7"/>
      <c r="H14" s="7"/>
    </row>
    <row r="15" customFormat="false" ht="15" hidden="false" customHeight="true" outlineLevel="0" collapsed="false">
      <c r="A15" s="8" t="s">
        <v>5</v>
      </c>
      <c r="B15" s="8"/>
      <c r="C15" s="8"/>
      <c r="D15" s="8"/>
      <c r="E15" s="8"/>
      <c r="F15" s="8"/>
      <c r="G15" s="8"/>
      <c r="H15" s="8"/>
    </row>
    <row r="16" customFormat="false" ht="15" hidden="false" customHeight="true" outlineLevel="0" collapsed="false">
      <c r="A16" s="8" t="s">
        <v>6</v>
      </c>
      <c r="B16" s="8"/>
      <c r="C16" s="8"/>
      <c r="D16" s="8"/>
      <c r="E16" s="8"/>
      <c r="F16" s="8"/>
      <c r="G16" s="8"/>
      <c r="H16" s="8"/>
    </row>
    <row r="17" customFormat="false" ht="15" hidden="false" customHeight="false" outlineLevel="0" collapsed="false">
      <c r="A17" s="7"/>
      <c r="B17" s="7"/>
      <c r="C17" s="7"/>
      <c r="D17" s="7"/>
      <c r="E17" s="7"/>
      <c r="F17" s="7"/>
      <c r="G17" s="7"/>
      <c r="H17" s="7"/>
    </row>
    <row r="18" customFormat="false" ht="15" hidden="false" customHeight="false" outlineLevel="0" collapsed="false">
      <c r="A18" s="4"/>
      <c r="B18" s="4"/>
      <c r="C18" s="4"/>
      <c r="D18" s="4"/>
      <c r="E18" s="4"/>
      <c r="F18" s="4"/>
      <c r="G18" s="4"/>
      <c r="H18" s="4"/>
    </row>
    <row r="19" customFormat="false" ht="15" hidden="false" customHeight="true" outlineLevel="0" collapsed="false">
      <c r="A19" s="9" t="s">
        <v>7</v>
      </c>
      <c r="B19" s="9"/>
      <c r="C19" s="9"/>
      <c r="D19" s="9"/>
      <c r="E19" s="9"/>
      <c r="F19" s="9"/>
      <c r="G19" s="9"/>
      <c r="H19" s="9"/>
    </row>
    <row r="20" customFormat="false" ht="15" hidden="false" customHeight="false" outlineLevel="0" collapsed="false">
      <c r="A20" s="4"/>
      <c r="B20" s="4"/>
      <c r="C20" s="4"/>
      <c r="D20" s="4"/>
      <c r="E20" s="4"/>
      <c r="F20" s="4"/>
      <c r="G20" s="4"/>
      <c r="H20" s="4"/>
    </row>
    <row r="21" customFormat="false" ht="15" hidden="false" customHeight="false" outlineLevel="0" collapsed="false">
      <c r="A21" s="4"/>
      <c r="B21" s="4"/>
      <c r="C21" s="4"/>
      <c r="D21" s="4"/>
      <c r="E21" s="4"/>
      <c r="F21" s="4"/>
      <c r="G21" s="4"/>
      <c r="H21" s="4"/>
    </row>
    <row r="22" customFormat="false" ht="15" hidden="false" customHeight="false" outlineLevel="0" collapsed="false">
      <c r="A22" s="4"/>
      <c r="B22" s="4"/>
      <c r="C22" s="4"/>
      <c r="D22" s="4"/>
      <c r="E22" s="4"/>
      <c r="F22" s="4"/>
      <c r="G22" s="4"/>
      <c r="H22" s="4"/>
    </row>
    <row r="23" customFormat="false" ht="15" hidden="false" customHeight="false" outlineLevel="0" collapsed="false">
      <c r="A23" s="4"/>
      <c r="B23" s="4"/>
      <c r="C23" s="4"/>
      <c r="D23" s="4"/>
      <c r="E23" s="4"/>
      <c r="F23" s="4"/>
      <c r="G23" s="4"/>
      <c r="H23" s="4"/>
    </row>
    <row r="24" customFormat="false" ht="15" hidden="false" customHeight="false" outlineLevel="0" collapsed="false">
      <c r="A24" s="4"/>
      <c r="B24" s="4"/>
      <c r="C24" s="4"/>
      <c r="D24" s="4"/>
      <c r="E24" s="4"/>
      <c r="F24" s="4"/>
      <c r="G24" s="4"/>
      <c r="H24" s="4"/>
    </row>
  </sheetData>
  <mergeCells count="14">
    <mergeCell ref="A1:H1"/>
    <mergeCell ref="A2:H2"/>
    <mergeCell ref="A3:H3"/>
    <mergeCell ref="A4:H4"/>
    <mergeCell ref="A6:H6"/>
    <mergeCell ref="A7:H7"/>
    <mergeCell ref="A8:H8"/>
    <mergeCell ref="A10:H10"/>
    <mergeCell ref="A11:H11"/>
    <mergeCell ref="A14:H14"/>
    <mergeCell ref="A15:H15"/>
    <mergeCell ref="A16:H16"/>
    <mergeCell ref="A17:H17"/>
    <mergeCell ref="A19:H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ABB3"/>
    <pageSetUpPr fitToPage="false"/>
  </sheetPr>
  <dimension ref="A1:F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6" min="2" style="0" width="18"/>
  </cols>
  <sheetData>
    <row r="1" customFormat="false" ht="18.65" hidden="false" customHeight="true" outlineLevel="0" collapsed="false">
      <c r="A1" s="10" t="s">
        <v>8</v>
      </c>
      <c r="B1" s="10"/>
      <c r="C1" s="10"/>
      <c r="D1" s="10"/>
      <c r="E1" s="10"/>
      <c r="F1" s="10"/>
    </row>
    <row r="3" customFormat="false" ht="15" hidden="false" customHeight="true" outlineLevel="0" collapsed="false">
      <c r="A3" s="11" t="s">
        <v>9</v>
      </c>
      <c r="B3" s="11"/>
      <c r="C3" s="11"/>
      <c r="D3" s="11"/>
      <c r="E3" s="11"/>
      <c r="F3" s="11"/>
    </row>
    <row r="4" customFormat="false" ht="23.85" hidden="false" customHeight="true" outlineLevel="0" collapsed="false">
      <c r="A4" s="12" t="s">
        <v>10</v>
      </c>
      <c r="B4" s="13" t="s">
        <v>11</v>
      </c>
      <c r="C4" s="13"/>
      <c r="D4" s="13"/>
      <c r="E4" s="13"/>
      <c r="F4" s="13"/>
    </row>
    <row r="5" customFormat="false" ht="23.85" hidden="false" customHeight="true" outlineLevel="0" collapsed="false">
      <c r="A5" s="12" t="s">
        <v>12</v>
      </c>
      <c r="B5" s="13" t="s">
        <v>13</v>
      </c>
      <c r="C5" s="13"/>
      <c r="D5" s="13"/>
      <c r="E5" s="13"/>
      <c r="F5" s="13"/>
    </row>
    <row r="6" customFormat="false" ht="23.85" hidden="false" customHeight="true" outlineLevel="0" collapsed="false">
      <c r="A6" s="12" t="s">
        <v>14</v>
      </c>
      <c r="B6" s="13" t="s">
        <v>15</v>
      </c>
      <c r="C6" s="13"/>
      <c r="D6" s="13"/>
      <c r="E6" s="13"/>
      <c r="F6" s="13"/>
    </row>
    <row r="7" customFormat="false" ht="23.85" hidden="false" customHeight="true" outlineLevel="0" collapsed="false">
      <c r="A7" s="12" t="s">
        <v>16</v>
      </c>
      <c r="B7" s="13" t="s">
        <v>17</v>
      </c>
      <c r="C7" s="13"/>
      <c r="D7" s="13"/>
      <c r="E7" s="13"/>
      <c r="F7" s="13"/>
    </row>
    <row r="8" customFormat="false" ht="35.05" hidden="false" customHeight="true" outlineLevel="0" collapsed="false">
      <c r="A8" s="12" t="s">
        <v>18</v>
      </c>
      <c r="B8" s="13" t="s">
        <v>19</v>
      </c>
      <c r="C8" s="13"/>
      <c r="D8" s="13"/>
      <c r="E8" s="13"/>
      <c r="F8" s="13"/>
    </row>
    <row r="10" customFormat="false" ht="15" hidden="false" customHeight="true" outlineLevel="0" collapsed="false">
      <c r="A10" s="11" t="s">
        <v>20</v>
      </c>
      <c r="B10" s="11"/>
      <c r="C10" s="11"/>
      <c r="D10" s="11"/>
      <c r="E10" s="11"/>
      <c r="F10" s="11"/>
    </row>
    <row r="11" customFormat="false" ht="15" hidden="false" customHeight="true" outlineLevel="0" collapsed="false">
      <c r="A11" s="14" t="s">
        <v>21</v>
      </c>
      <c r="B11" s="14"/>
      <c r="C11" s="14"/>
      <c r="D11" s="14"/>
      <c r="E11" s="14"/>
      <c r="F11" s="14"/>
    </row>
    <row r="12" customFormat="false" ht="15" hidden="false" customHeight="true" outlineLevel="0" collapsed="false">
      <c r="A12" s="14" t="s">
        <v>22</v>
      </c>
      <c r="B12" s="14"/>
      <c r="C12" s="14"/>
      <c r="D12" s="14"/>
      <c r="E12" s="14"/>
      <c r="F12" s="14"/>
    </row>
    <row r="13" customFormat="false" ht="15" hidden="false" customHeight="true" outlineLevel="0" collapsed="false">
      <c r="A13" s="14" t="s">
        <v>23</v>
      </c>
      <c r="B13" s="14"/>
      <c r="C13" s="14"/>
      <c r="D13" s="14"/>
      <c r="E13" s="14"/>
      <c r="F13" s="14"/>
    </row>
    <row r="14" customFormat="false" ht="23.85" hidden="false" customHeight="true" outlineLevel="0" collapsed="false">
      <c r="A14" s="14" t="s">
        <v>24</v>
      </c>
      <c r="B14" s="14"/>
      <c r="C14" s="14"/>
      <c r="D14" s="14"/>
      <c r="E14" s="14"/>
      <c r="F14" s="14"/>
    </row>
    <row r="16" customFormat="false" ht="15" hidden="false" customHeight="true" outlineLevel="0" collapsed="false">
      <c r="A16" s="11" t="s">
        <v>25</v>
      </c>
      <c r="B16" s="11"/>
      <c r="C16" s="11"/>
      <c r="D16" s="11"/>
      <c r="E16" s="11"/>
      <c r="F16" s="11"/>
    </row>
    <row r="17" customFormat="false" ht="15" hidden="false" customHeight="true" outlineLevel="0" collapsed="false">
      <c r="A17" s="14" t="s">
        <v>26</v>
      </c>
      <c r="B17" s="14"/>
      <c r="C17" s="14"/>
      <c r="D17" s="14"/>
      <c r="E17" s="14"/>
      <c r="F17" s="14"/>
    </row>
    <row r="18" customFormat="false" ht="15" hidden="false" customHeight="true" outlineLevel="0" collapsed="false">
      <c r="A18" s="14" t="s">
        <v>27</v>
      </c>
      <c r="B18" s="14"/>
      <c r="C18" s="14"/>
      <c r="D18" s="14"/>
      <c r="E18" s="14"/>
      <c r="F18" s="14"/>
    </row>
    <row r="19" customFormat="false" ht="15" hidden="false" customHeight="true" outlineLevel="0" collapsed="false">
      <c r="A19" s="14" t="s">
        <v>28</v>
      </c>
      <c r="B19" s="14"/>
      <c r="C19" s="14"/>
      <c r="D19" s="14"/>
      <c r="E19" s="14"/>
      <c r="F19" s="14"/>
    </row>
    <row r="20" customFormat="false" ht="15" hidden="false" customHeight="true" outlineLevel="0" collapsed="false">
      <c r="A20" s="14" t="s">
        <v>29</v>
      </c>
      <c r="B20" s="14"/>
      <c r="C20" s="14"/>
      <c r="D20" s="14"/>
      <c r="E20" s="14"/>
      <c r="F20" s="14"/>
    </row>
    <row r="21" customFormat="false" ht="15" hidden="false" customHeight="true" outlineLevel="0" collapsed="false">
      <c r="A21" s="14" t="s">
        <v>30</v>
      </c>
      <c r="B21" s="14"/>
      <c r="C21" s="14"/>
      <c r="D21" s="14"/>
      <c r="E21" s="14"/>
      <c r="F21" s="14"/>
    </row>
    <row r="22" customFormat="false" ht="15" hidden="false" customHeight="true" outlineLevel="0" collapsed="false">
      <c r="A22" s="14" t="s">
        <v>31</v>
      </c>
      <c r="B22" s="14"/>
      <c r="C22" s="14"/>
      <c r="D22" s="14"/>
      <c r="E22" s="14"/>
      <c r="F22" s="14"/>
    </row>
    <row r="23" customFormat="false" ht="15" hidden="false" customHeight="true" outlineLevel="0" collapsed="false">
      <c r="A23" s="14" t="s">
        <v>32</v>
      </c>
      <c r="B23" s="14"/>
      <c r="C23" s="14"/>
      <c r="D23" s="14"/>
      <c r="E23" s="14"/>
      <c r="F23" s="14"/>
    </row>
    <row r="25" customFormat="false" ht="15" hidden="false" customHeight="true" outlineLevel="0" collapsed="false">
      <c r="A25" s="11" t="s">
        <v>33</v>
      </c>
      <c r="B25" s="11"/>
      <c r="C25" s="11"/>
      <c r="D25" s="11"/>
      <c r="E25" s="11"/>
      <c r="F25" s="11"/>
    </row>
    <row r="26" customFormat="false" ht="23.85" hidden="false" customHeight="true" outlineLevel="0" collapsed="false">
      <c r="A26" s="12" t="s">
        <v>34</v>
      </c>
      <c r="B26" s="13" t="s">
        <v>35</v>
      </c>
      <c r="C26" s="13"/>
      <c r="D26" s="13"/>
      <c r="E26" s="13"/>
      <c r="F26" s="13"/>
    </row>
    <row r="27" customFormat="false" ht="23.85" hidden="false" customHeight="true" outlineLevel="0" collapsed="false">
      <c r="A27" s="12" t="s">
        <v>36</v>
      </c>
      <c r="B27" s="13" t="s">
        <v>37</v>
      </c>
      <c r="C27" s="13"/>
      <c r="D27" s="13"/>
      <c r="E27" s="13"/>
      <c r="F27" s="13"/>
    </row>
    <row r="28" customFormat="false" ht="23.85" hidden="false" customHeight="true" outlineLevel="0" collapsed="false">
      <c r="A28" s="12" t="s">
        <v>38</v>
      </c>
      <c r="B28" s="13" t="s">
        <v>39</v>
      </c>
      <c r="C28" s="13"/>
      <c r="D28" s="13"/>
      <c r="E28" s="13"/>
      <c r="F28" s="13"/>
    </row>
  </sheetData>
  <mergeCells count="24">
    <mergeCell ref="A1:F1"/>
    <mergeCell ref="A3:F3"/>
    <mergeCell ref="B4:F4"/>
    <mergeCell ref="B5:F5"/>
    <mergeCell ref="B6:F6"/>
    <mergeCell ref="B7:F7"/>
    <mergeCell ref="B8:F8"/>
    <mergeCell ref="A10:F10"/>
    <mergeCell ref="A11:F11"/>
    <mergeCell ref="A12:F12"/>
    <mergeCell ref="A13:F13"/>
    <mergeCell ref="A14:F14"/>
    <mergeCell ref="A16:F16"/>
    <mergeCell ref="A17:F17"/>
    <mergeCell ref="A18:F18"/>
    <mergeCell ref="A19:F19"/>
    <mergeCell ref="A20:F20"/>
    <mergeCell ref="A21:F21"/>
    <mergeCell ref="A22:F22"/>
    <mergeCell ref="A23:F23"/>
    <mergeCell ref="A25:F25"/>
    <mergeCell ref="B26:F26"/>
    <mergeCell ref="B27:F27"/>
    <mergeCell ref="B28:F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4" topLeftCell="C15" activePane="bottomRight" state="frozen"/>
      <selection pane="topLeft" activeCell="A1" activeCellId="0" sqref="A1"/>
      <selection pane="topRight" activeCell="C1" activeCellId="0" sqref="C1"/>
      <selection pane="bottomLeft" activeCell="A15" activeCellId="0" sqref="A15"/>
      <selection pane="bottomRight" activeCell="A1" activeCellId="0" sqref="A1"/>
    </sheetView>
  </sheetViews>
  <sheetFormatPr defaultColWidth="8.6796875" defaultRowHeight="15" zeroHeight="false" outlineLevelRow="0" outlineLevelCol="1"/>
  <cols>
    <col collapsed="false" customWidth="true" hidden="false" outlineLevel="0" max="1" min="1" style="0" width="10"/>
    <col collapsed="false" customWidth="true" hidden="false" outlineLevel="0" max="2" min="2" style="0" width="26"/>
    <col collapsed="false" customWidth="true" hidden="false" outlineLevel="0" max="3" min="3" style="0" width="16"/>
    <col collapsed="false" customWidth="true" hidden="false" outlineLevel="0" max="4" min="4" style="0" width="10"/>
    <col collapsed="false" customWidth="true" hidden="false" outlineLevel="0" max="5" min="5" style="0" width="14"/>
    <col collapsed="false" customWidth="true" hidden="false" outlineLevel="0" max="6" min="6" style="0" width="12"/>
    <col collapsed="false" customWidth="true" hidden="false" outlineLevel="0" max="7" min="7" style="0" width="10"/>
    <col collapsed="false" customWidth="true" hidden="false" outlineLevel="0" max="8" min="8" style="0" width="12"/>
    <col collapsed="false" customWidth="true" hidden="false" outlineLevel="0" max="9" min="9" style="0" width="10"/>
    <col collapsed="false" customWidth="true" hidden="false" outlineLevel="0" max="11" min="10" style="0" width="14"/>
    <col collapsed="false" customWidth="true" hidden="false" outlineLevel="0" max="12" min="12" style="0" width="30"/>
    <col collapsed="false" customWidth="true" hidden="true" outlineLevel="1" max="16" min="13" style="0" width="15"/>
  </cols>
  <sheetData>
    <row r="1" customFormat="false" ht="15" hidden="false" customHeight="true" outlineLevel="0" collapsed="false">
      <c r="A1" s="15" t="s">
        <v>40</v>
      </c>
      <c r="B1" s="15"/>
      <c r="C1" s="15"/>
      <c r="D1" s="15"/>
      <c r="E1" s="15"/>
      <c r="F1" s="15"/>
      <c r="G1" s="15"/>
      <c r="H1" s="15"/>
      <c r="I1" s="15"/>
      <c r="J1" s="15"/>
      <c r="K1" s="15"/>
      <c r="L1" s="15"/>
      <c r="M1" s="15"/>
      <c r="N1" s="15"/>
      <c r="O1" s="15"/>
      <c r="P1" s="15"/>
    </row>
    <row r="3" customFormat="false" ht="15" hidden="false" customHeight="true" outlineLevel="0" collapsed="false">
      <c r="A3" s="16" t="s">
        <v>41</v>
      </c>
      <c r="B3" s="16"/>
      <c r="C3" s="16"/>
      <c r="D3" s="16" t="s">
        <v>42</v>
      </c>
      <c r="E3" s="16"/>
      <c r="F3" s="16"/>
      <c r="G3" s="16" t="s">
        <v>43</v>
      </c>
      <c r="H3" s="16"/>
      <c r="I3" s="16"/>
      <c r="J3" s="16" t="s">
        <v>44</v>
      </c>
      <c r="K3" s="16"/>
      <c r="L3" s="16"/>
    </row>
    <row r="4" customFormat="false" ht="15" hidden="false" customHeight="false" outlineLevel="0" collapsed="false">
      <c r="A4" s="17" t="n">
        <f aca="false">SUM(E15:E45)</f>
        <v>80800</v>
      </c>
      <c r="B4" s="17"/>
      <c r="C4" s="17"/>
      <c r="D4" s="17" t="n">
        <f aca="false">A4-G4</f>
        <v>14375</v>
      </c>
      <c r="E4" s="17"/>
      <c r="F4" s="17"/>
      <c r="G4" s="17" t="n">
        <f aca="false">SUM(J15:J45)</f>
        <v>66425</v>
      </c>
      <c r="H4" s="17"/>
      <c r="I4" s="17"/>
      <c r="J4" s="18" t="n">
        <f aca="false">COUNTA(A15:A45)</f>
        <v>6</v>
      </c>
      <c r="K4" s="18"/>
      <c r="L4" s="18"/>
    </row>
    <row r="6" customFormat="false" ht="15" hidden="false" customHeight="true" outlineLevel="0" collapsed="false">
      <c r="A6" s="19" t="s">
        <v>45</v>
      </c>
      <c r="B6" s="19"/>
      <c r="C6" s="19"/>
      <c r="D6" s="20" t="s">
        <v>46</v>
      </c>
      <c r="E6" s="20"/>
      <c r="F6" s="20"/>
      <c r="G6" s="21" t="s">
        <v>47</v>
      </c>
      <c r="H6" s="21"/>
      <c r="I6" s="21"/>
      <c r="J6" s="20" t="s">
        <v>48</v>
      </c>
      <c r="K6" s="20"/>
      <c r="L6" s="20"/>
    </row>
    <row r="7" customFormat="false" ht="15" hidden="false" customHeight="false" outlineLevel="0" collapsed="false">
      <c r="A7" s="22" t="n">
        <f aca="true">COUNTIFS(F15:F45,"&lt;="&amp;TODAY(),F15:F45,"&lt;&gt;",G15:G45,"No")</f>
        <v>1</v>
      </c>
      <c r="B7" s="22"/>
      <c r="C7" s="22"/>
      <c r="D7" s="22" t="n">
        <f aca="false">COUNTIF(G15:G45,"Yes")</f>
        <v>1</v>
      </c>
      <c r="E7" s="22"/>
      <c r="F7" s="22"/>
      <c r="G7" s="22" t="n">
        <f aca="true">COUNTIFS(H15:H45,"&lt;="&amp;TODAY(),H15:H45,"&lt;&gt;",I15:I45,"No")</f>
        <v>0</v>
      </c>
      <c r="H7" s="22"/>
      <c r="I7" s="22"/>
      <c r="J7" s="22" t="n">
        <f aca="false">COUNTIF(I15:I45,"Yes")</f>
        <v>0</v>
      </c>
      <c r="K7" s="22"/>
      <c r="L7" s="22"/>
    </row>
    <row r="9" customFormat="false" ht="15" hidden="false" customHeight="true" outlineLevel="0" collapsed="false">
      <c r="A9" s="23" t="s">
        <v>49</v>
      </c>
      <c r="B9" s="23"/>
      <c r="C9" s="23"/>
      <c r="D9" s="23"/>
      <c r="E9" s="23"/>
      <c r="F9" s="23"/>
      <c r="G9" s="23"/>
      <c r="H9" s="23"/>
      <c r="I9" s="23"/>
      <c r="J9" s="23"/>
      <c r="K9" s="23"/>
      <c r="L9" s="23"/>
      <c r="M9" s="24"/>
      <c r="N9" s="24"/>
      <c r="O9" s="24"/>
      <c r="P9" s="24"/>
    </row>
    <row r="12" customFormat="false" ht="22.35" hidden="false" customHeight="true" outlineLevel="0" collapsed="false">
      <c r="A12" s="25"/>
      <c r="B12" s="25"/>
      <c r="C12" s="25"/>
      <c r="D12" s="25"/>
      <c r="E12" s="25"/>
      <c r="F12" s="25"/>
      <c r="G12" s="25"/>
      <c r="H12" s="25"/>
      <c r="I12" s="25"/>
      <c r="J12" s="25"/>
      <c r="K12" s="25"/>
      <c r="L12" s="25"/>
      <c r="M12" s="26" t="s">
        <v>50</v>
      </c>
      <c r="N12" s="26"/>
      <c r="O12" s="26"/>
      <c r="P12" s="26"/>
    </row>
    <row r="13" customFormat="false" ht="15" hidden="false" customHeight="true" outlineLevel="0" collapsed="false">
      <c r="F13" s="27" t="s">
        <v>51</v>
      </c>
      <c r="G13" s="27"/>
      <c r="H13" s="27" t="s">
        <v>52</v>
      </c>
      <c r="I13" s="27"/>
    </row>
    <row r="14" customFormat="false" ht="41.75" hidden="false" customHeight="false" outlineLevel="0" collapsed="false">
      <c r="A14" s="28" t="s">
        <v>53</v>
      </c>
      <c r="B14" s="28" t="s">
        <v>54</v>
      </c>
      <c r="C14" s="28" t="s">
        <v>55</v>
      </c>
      <c r="D14" s="28" t="s">
        <v>56</v>
      </c>
      <c r="E14" s="28" t="s">
        <v>57</v>
      </c>
      <c r="F14" s="28" t="s">
        <v>58</v>
      </c>
      <c r="G14" s="28" t="s">
        <v>59</v>
      </c>
      <c r="H14" s="28" t="s">
        <v>60</v>
      </c>
      <c r="I14" s="28" t="s">
        <v>61</v>
      </c>
      <c r="J14" s="28" t="s">
        <v>62</v>
      </c>
      <c r="K14" s="28" t="s">
        <v>63</v>
      </c>
      <c r="L14" s="28" t="s">
        <v>64</v>
      </c>
      <c r="M14" s="28" t="s">
        <v>65</v>
      </c>
      <c r="N14" s="28" t="s">
        <v>66</v>
      </c>
      <c r="O14" s="28" t="s">
        <v>67</v>
      </c>
      <c r="P14" s="28" t="s">
        <v>68</v>
      </c>
    </row>
    <row r="15" customFormat="false" ht="23.85" hidden="false" customHeight="false" outlineLevel="0" collapsed="false">
      <c r="A15" s="29" t="s">
        <v>69</v>
      </c>
      <c r="B15" s="30" t="s">
        <v>70</v>
      </c>
      <c r="C15" s="31" t="n">
        <v>575000</v>
      </c>
      <c r="D15" s="32" t="n">
        <v>0.05</v>
      </c>
      <c r="E15" s="33" t="n">
        <f aca="false">IF(AND(C15&lt;&gt;"",D15&lt;&gt;""),C15*D15,"")</f>
        <v>28750</v>
      </c>
      <c r="F15" s="34" t="n">
        <v>45976</v>
      </c>
      <c r="G15" s="29" t="s">
        <v>71</v>
      </c>
      <c r="H15" s="34" t="n">
        <v>46341</v>
      </c>
      <c r="I15" s="29" t="s">
        <v>72</v>
      </c>
      <c r="J15" s="33" t="n">
        <f aca="false">IF(E15="","",E15-IF(G15="Yes",E15*0.5,0)-IF(I15="Yes",E15*0.5,0))</f>
        <v>14375</v>
      </c>
      <c r="K15" s="35" t="str">
        <f aca="true">IF(E15="","",IF(AND(G15="Yes",I15="Yes"),"Fully Released",IF(AND(G15="Yes",I15="No"),IF(AND(H15&lt;&gt;"",H15&lt;=TODAY()),"DLP Due","PC Released"),IF(AND(F15&lt;&gt;"",F15&lt;=TODAY(),G15="No"),"PC Due","Not Yet Due"))))</f>
        <v>PC Released</v>
      </c>
      <c r="L15" s="30" t="s">
        <v>73</v>
      </c>
      <c r="M15" s="31" t="n">
        <v>620000</v>
      </c>
      <c r="N15" s="29" t="s">
        <v>74</v>
      </c>
      <c r="O15" s="29" t="s">
        <v>75</v>
      </c>
      <c r="P15" s="29" t="s">
        <v>76</v>
      </c>
    </row>
    <row r="16" customFormat="false" ht="23.85" hidden="false" customHeight="false" outlineLevel="0" collapsed="false">
      <c r="A16" s="29" t="s">
        <v>77</v>
      </c>
      <c r="B16" s="30" t="s">
        <v>78</v>
      </c>
      <c r="C16" s="31" t="n">
        <v>490000</v>
      </c>
      <c r="D16" s="32" t="n">
        <v>0.05</v>
      </c>
      <c r="E16" s="33" t="n">
        <f aca="false">IF(AND(C16&lt;&gt;"",D16&lt;&gt;""),C16*D16,"")</f>
        <v>24500</v>
      </c>
      <c r="F16" s="34" t="n">
        <v>46101</v>
      </c>
      <c r="G16" s="29" t="s">
        <v>72</v>
      </c>
      <c r="H16" s="34" t="n">
        <v>46466</v>
      </c>
      <c r="I16" s="29" t="s">
        <v>72</v>
      </c>
      <c r="J16" s="33" t="n">
        <f aca="false">IF(E16="","",E16-IF(G16="Yes",E16*0.5,0)-IF(I16="Yes",E16*0.5,0))</f>
        <v>24500</v>
      </c>
      <c r="K16" s="35" t="str">
        <f aca="true">IF(E16="","",IF(AND(G16="Yes",I16="Yes"),"Fully Released",IF(AND(G16="Yes",I16="No"),IF(AND(H16&lt;&gt;"",H16&lt;=TODAY()),"DLP Due","PC Released"),IF(AND(F16&lt;&gt;"",F16&lt;=TODAY(),G16="No"),"PC Due","Not Yet Due"))))</f>
        <v>PC Due</v>
      </c>
      <c r="L16" s="30" t="s">
        <v>79</v>
      </c>
      <c r="M16" s="31" t="n">
        <v>520000</v>
      </c>
      <c r="N16" s="29" t="s">
        <v>80</v>
      </c>
      <c r="O16" s="29" t="s">
        <v>81</v>
      </c>
      <c r="P16" s="29" t="s">
        <v>82</v>
      </c>
    </row>
    <row r="17" customFormat="false" ht="23.85" hidden="false" customHeight="false" outlineLevel="0" collapsed="false">
      <c r="A17" s="29" t="s">
        <v>83</v>
      </c>
      <c r="B17" s="30" t="s">
        <v>84</v>
      </c>
      <c r="C17" s="31" t="n">
        <v>185000</v>
      </c>
      <c r="D17" s="32" t="n">
        <v>0.05</v>
      </c>
      <c r="E17" s="33" t="n">
        <f aca="false">IF(AND(C17&lt;&gt;"",D17&lt;&gt;""),C17*D17,"")</f>
        <v>9250</v>
      </c>
      <c r="F17" s="34"/>
      <c r="G17" s="29"/>
      <c r="H17" s="34"/>
      <c r="I17" s="29" t="s">
        <v>72</v>
      </c>
      <c r="J17" s="33" t="n">
        <f aca="false">IF(E17="","",E17-IF(G17="Yes",E17*0.5,0)-IF(I17="Yes",E17*0.5,0))</f>
        <v>9250</v>
      </c>
      <c r="K17" s="35" t="str">
        <f aca="true">IF(E17="","",IF(AND(G17="Yes",I17="Yes"),"Fully Released",IF(AND(G17="Yes",I17="No"),IF(AND(H17&lt;&gt;"",H17&lt;=TODAY()),"DLP Due","PC Released"),IF(AND(F17&lt;&gt;"",F17&lt;=TODAY(),G17="No"),"PC Due","Not Yet Due"))))</f>
        <v>Not Yet Due</v>
      </c>
      <c r="L17" s="30" t="s">
        <v>85</v>
      </c>
      <c r="M17" s="31" t="n">
        <v>310000</v>
      </c>
      <c r="N17" s="29" t="s">
        <v>86</v>
      </c>
      <c r="O17" s="29" t="s">
        <v>87</v>
      </c>
      <c r="P17" s="29" t="s">
        <v>88</v>
      </c>
    </row>
    <row r="18" customFormat="false" ht="15" hidden="false" customHeight="false" outlineLevel="0" collapsed="false">
      <c r="A18" s="29" t="s">
        <v>89</v>
      </c>
      <c r="B18" s="30" t="s">
        <v>90</v>
      </c>
      <c r="C18" s="31" t="n">
        <v>225000</v>
      </c>
      <c r="D18" s="32" t="n">
        <v>0.05</v>
      </c>
      <c r="E18" s="33" t="n">
        <f aca="false">IF(AND(C18&lt;&gt;"",D18&lt;&gt;""),C18*D18,"")</f>
        <v>11250</v>
      </c>
      <c r="F18" s="34"/>
      <c r="G18" s="29"/>
      <c r="H18" s="34"/>
      <c r="I18" s="29" t="s">
        <v>72</v>
      </c>
      <c r="J18" s="33" t="n">
        <f aca="false">IF(E18="","",E18-IF(G18="Yes",E18*0.5,0)-IF(I18="Yes",E18*0.5,0))</f>
        <v>11250</v>
      </c>
      <c r="K18" s="35" t="str">
        <f aca="true">IF(E18="","",IF(AND(G18="Yes",I18="Yes"),"Fully Released",IF(AND(G18="Yes",I18="No"),IF(AND(H18&lt;&gt;"",H18&lt;=TODAY()),"DLP Due","PC Released"),IF(AND(F18&lt;&gt;"",F18&lt;=TODAY(),G18="No"),"PC Due","Not Yet Due"))))</f>
        <v>Not Yet Due</v>
      </c>
      <c r="L18" s="30" t="s">
        <v>91</v>
      </c>
      <c r="M18" s="31" t="n">
        <v>480000</v>
      </c>
      <c r="N18" s="29" t="s">
        <v>92</v>
      </c>
      <c r="O18" s="29" t="s">
        <v>87</v>
      </c>
      <c r="P18" s="29" t="s">
        <v>88</v>
      </c>
    </row>
    <row r="19" customFormat="false" ht="15" hidden="false" customHeight="false" outlineLevel="0" collapsed="false">
      <c r="A19" s="29" t="s">
        <v>93</v>
      </c>
      <c r="B19" s="30" t="s">
        <v>94</v>
      </c>
      <c r="C19" s="31" t="n">
        <v>42000</v>
      </c>
      <c r="D19" s="32" t="n">
        <v>0.05</v>
      </c>
      <c r="E19" s="33" t="n">
        <f aca="false">IF(AND(C19&lt;&gt;"",D19&lt;&gt;""),C19*D19,"")</f>
        <v>2100</v>
      </c>
      <c r="F19" s="34"/>
      <c r="G19" s="29"/>
      <c r="H19" s="34"/>
      <c r="I19" s="29" t="s">
        <v>72</v>
      </c>
      <c r="J19" s="33" t="n">
        <f aca="false">IF(E19="","",E19-IF(G19="Yes",E19*0.5,0)-IF(I19="Yes",E19*0.5,0))</f>
        <v>2100</v>
      </c>
      <c r="K19" s="35" t="str">
        <f aca="true">IF(E19="","",IF(AND(G19="Yes",I19="Yes"),"Fully Released",IF(AND(G19="Yes",I19="No"),IF(AND(H19&lt;&gt;"",H19&lt;=TODAY()),"DLP Due","PC Released"),IF(AND(F19&lt;&gt;"",F19&lt;=TODAY(),G19="No"),"PC Due","Not Yet Due"))))</f>
        <v>Not Yet Due</v>
      </c>
      <c r="L19" s="30" t="s">
        <v>95</v>
      </c>
      <c r="M19" s="31" t="n">
        <v>90000</v>
      </c>
      <c r="N19" s="29" t="s">
        <v>96</v>
      </c>
      <c r="O19" s="29" t="s">
        <v>87</v>
      </c>
      <c r="P19" s="29"/>
    </row>
    <row r="20" customFormat="false" ht="23.85" hidden="false" customHeight="false" outlineLevel="0" collapsed="false">
      <c r="A20" s="29" t="s">
        <v>97</v>
      </c>
      <c r="B20" s="30" t="s">
        <v>98</v>
      </c>
      <c r="C20" s="31" t="n">
        <v>165000</v>
      </c>
      <c r="D20" s="32" t="n">
        <v>0.03</v>
      </c>
      <c r="E20" s="33" t="n">
        <f aca="false">IF(AND(C20&lt;&gt;"",D20&lt;&gt;""),C20*D20,"")</f>
        <v>4950</v>
      </c>
      <c r="F20" s="34"/>
      <c r="G20" s="29"/>
      <c r="H20" s="34"/>
      <c r="I20" s="29" t="s">
        <v>72</v>
      </c>
      <c r="J20" s="33" t="n">
        <f aca="false">IF(E20="","",E20-IF(G20="Yes",E20*0.5,0)-IF(I20="Yes",E20*0.5,0))</f>
        <v>4950</v>
      </c>
      <c r="K20" s="35" t="str">
        <f aca="true">IF(E20="","",IF(AND(G20="Yes",I20="Yes"),"Fully Released",IF(AND(G20="Yes",I20="No"),IF(AND(H20&lt;&gt;"",H20&lt;=TODAY()),"DLP Due","PC Released"),IF(AND(F20&lt;&gt;"",F20&lt;=TODAY(),G20="No"),"PC Due","Not Yet Due"))))</f>
        <v>Not Yet Due</v>
      </c>
      <c r="L20" s="30" t="s">
        <v>99</v>
      </c>
      <c r="M20" s="31" t="n">
        <v>340000</v>
      </c>
      <c r="N20" s="29" t="s">
        <v>100</v>
      </c>
      <c r="O20" s="29" t="s">
        <v>87</v>
      </c>
      <c r="P20" s="29" t="s">
        <v>88</v>
      </c>
    </row>
    <row r="21" customFormat="false" ht="15" hidden="false" customHeight="false" outlineLevel="0" collapsed="false">
      <c r="A21" s="29"/>
      <c r="B21" s="30"/>
      <c r="C21" s="31"/>
      <c r="D21" s="32"/>
      <c r="E21" s="33" t="str">
        <f aca="false">IF(AND(C21&lt;&gt;"",D21&lt;&gt;""),C21*D21,"")</f>
        <v/>
      </c>
      <c r="F21" s="34"/>
      <c r="G21" s="29"/>
      <c r="H21" s="34"/>
      <c r="I21" s="29"/>
      <c r="J21" s="33" t="str">
        <f aca="false">IF(E21="","",E21-IF(G21="Yes",E21*0.5,0)-IF(I21="Yes",E21*0.5,0))</f>
        <v/>
      </c>
      <c r="K21" s="35" t="str">
        <f aca="true">IF(E21="","",IF(AND(G21="Yes",I21="Yes"),"Fully Released",IF(AND(G21="Yes",I21="No"),IF(AND(H21&lt;&gt;"",H21&lt;=TODAY()),"DLP Due","PC Released"),IF(AND(F21&lt;&gt;"",F21&lt;=TODAY(),G21="No"),"PC Due","Not Yet Due"))))</f>
        <v/>
      </c>
      <c r="L21" s="30"/>
      <c r="M21" s="31"/>
      <c r="N21" s="29"/>
      <c r="O21" s="29"/>
      <c r="P21" s="29"/>
    </row>
    <row r="22" customFormat="false" ht="15" hidden="false" customHeight="false" outlineLevel="0" collapsed="false">
      <c r="A22" s="29"/>
      <c r="B22" s="30"/>
      <c r="C22" s="31"/>
      <c r="D22" s="32"/>
      <c r="E22" s="33" t="str">
        <f aca="false">IF(AND(C22&lt;&gt;"",D22&lt;&gt;""),C22*D22,"")</f>
        <v/>
      </c>
      <c r="F22" s="34"/>
      <c r="G22" s="29"/>
      <c r="H22" s="34"/>
      <c r="I22" s="29"/>
      <c r="J22" s="33" t="str">
        <f aca="false">IF(E22="","",E22-IF(G22="Yes",E22*0.5,0)-IF(I22="Yes",E22*0.5,0))</f>
        <v/>
      </c>
      <c r="K22" s="35" t="str">
        <f aca="true">IF(E22="","",IF(AND(G22="Yes",I22="Yes"),"Fully Released",IF(AND(G22="Yes",I22="No"),IF(AND(H22&lt;&gt;"",H22&lt;=TODAY()),"DLP Due","PC Released"),IF(AND(F22&lt;&gt;"",F22&lt;=TODAY(),G22="No"),"PC Due","Not Yet Due"))))</f>
        <v/>
      </c>
      <c r="L22" s="30"/>
      <c r="M22" s="31"/>
      <c r="N22" s="29"/>
      <c r="O22" s="29"/>
      <c r="P22" s="29"/>
    </row>
    <row r="23" customFormat="false" ht="15" hidden="false" customHeight="false" outlineLevel="0" collapsed="false">
      <c r="A23" s="29"/>
      <c r="B23" s="30"/>
      <c r="C23" s="31"/>
      <c r="D23" s="32"/>
      <c r="E23" s="33" t="str">
        <f aca="false">IF(AND(C23&lt;&gt;"",D23&lt;&gt;""),C23*D23,"")</f>
        <v/>
      </c>
      <c r="F23" s="34"/>
      <c r="G23" s="29"/>
      <c r="H23" s="34"/>
      <c r="I23" s="29"/>
      <c r="J23" s="33" t="str">
        <f aca="false">IF(E23="","",E23-IF(G23="Yes",E23*0.5,0)-IF(I23="Yes",E23*0.5,0))</f>
        <v/>
      </c>
      <c r="K23" s="35" t="str">
        <f aca="true">IF(E23="","",IF(AND(G23="Yes",I23="Yes"),"Fully Released",IF(AND(G23="Yes",I23="No"),IF(AND(H23&lt;&gt;"",H23&lt;=TODAY()),"DLP Due","PC Released"),IF(AND(F23&lt;&gt;"",F23&lt;=TODAY(),G23="No"),"PC Due","Not Yet Due"))))</f>
        <v/>
      </c>
      <c r="L23" s="30"/>
      <c r="M23" s="31"/>
      <c r="N23" s="29"/>
      <c r="O23" s="29"/>
      <c r="P23" s="29"/>
    </row>
    <row r="24" customFormat="false" ht="15" hidden="false" customHeight="false" outlineLevel="0" collapsed="false">
      <c r="A24" s="29"/>
      <c r="B24" s="30"/>
      <c r="C24" s="31"/>
      <c r="D24" s="32"/>
      <c r="E24" s="33" t="str">
        <f aca="false">IF(AND(C24&lt;&gt;"",D24&lt;&gt;""),C24*D24,"")</f>
        <v/>
      </c>
      <c r="F24" s="34"/>
      <c r="G24" s="29"/>
      <c r="H24" s="34"/>
      <c r="I24" s="29"/>
      <c r="J24" s="33" t="str">
        <f aca="false">IF(E24="","",E24-IF(G24="Yes",E24*0.5,0)-IF(I24="Yes",E24*0.5,0))</f>
        <v/>
      </c>
      <c r="K24" s="35" t="str">
        <f aca="true">IF(E24="","",IF(AND(G24="Yes",I24="Yes"),"Fully Released",IF(AND(G24="Yes",I24="No"),IF(AND(H24&lt;&gt;"",H24&lt;=TODAY()),"DLP Due","PC Released"),IF(AND(F24&lt;&gt;"",F24&lt;=TODAY(),G24="No"),"PC Due","Not Yet Due"))))</f>
        <v/>
      </c>
      <c r="L24" s="30"/>
      <c r="M24" s="31"/>
      <c r="N24" s="29"/>
      <c r="O24" s="29"/>
      <c r="P24" s="29"/>
    </row>
    <row r="25" customFormat="false" ht="15" hidden="false" customHeight="false" outlineLevel="0" collapsed="false">
      <c r="A25" s="29"/>
      <c r="B25" s="30"/>
      <c r="C25" s="31"/>
      <c r="D25" s="32"/>
      <c r="E25" s="33" t="str">
        <f aca="false">IF(AND(C25&lt;&gt;"",D25&lt;&gt;""),C25*D25,"")</f>
        <v/>
      </c>
      <c r="F25" s="34"/>
      <c r="G25" s="29"/>
      <c r="H25" s="34"/>
      <c r="I25" s="29"/>
      <c r="J25" s="33" t="str">
        <f aca="false">IF(E25="","",E25-IF(G25="Yes",E25*0.5,0)-IF(I25="Yes",E25*0.5,0))</f>
        <v/>
      </c>
      <c r="K25" s="35" t="str">
        <f aca="true">IF(E25="","",IF(AND(G25="Yes",I25="Yes"),"Fully Released",IF(AND(G25="Yes",I25="No"),IF(AND(H25&lt;&gt;"",H25&lt;=TODAY()),"DLP Due","PC Released"),IF(AND(F25&lt;&gt;"",F25&lt;=TODAY(),G25="No"),"PC Due","Not Yet Due"))))</f>
        <v/>
      </c>
      <c r="L25" s="30"/>
      <c r="M25" s="31"/>
      <c r="N25" s="29"/>
      <c r="O25" s="29"/>
      <c r="P25" s="29"/>
    </row>
    <row r="26" customFormat="false" ht="15" hidden="false" customHeight="false" outlineLevel="0" collapsed="false">
      <c r="A26" s="29"/>
      <c r="B26" s="30"/>
      <c r="C26" s="31"/>
      <c r="D26" s="32"/>
      <c r="E26" s="33" t="str">
        <f aca="false">IF(AND(C26&lt;&gt;"",D26&lt;&gt;""),C26*D26,"")</f>
        <v/>
      </c>
      <c r="F26" s="34"/>
      <c r="G26" s="29"/>
      <c r="H26" s="34"/>
      <c r="I26" s="29"/>
      <c r="J26" s="33" t="str">
        <f aca="false">IF(E26="","",E26-IF(G26="Yes",E26*0.5,0)-IF(I26="Yes",E26*0.5,0))</f>
        <v/>
      </c>
      <c r="K26" s="35" t="str">
        <f aca="true">IF(E26="","",IF(AND(G26="Yes",I26="Yes"),"Fully Released",IF(AND(G26="Yes",I26="No"),IF(AND(H26&lt;&gt;"",H26&lt;=TODAY()),"DLP Due","PC Released"),IF(AND(F26&lt;&gt;"",F26&lt;=TODAY(),G26="No"),"PC Due","Not Yet Due"))))</f>
        <v/>
      </c>
      <c r="L26" s="30"/>
      <c r="M26" s="31"/>
      <c r="N26" s="29"/>
      <c r="O26" s="29"/>
      <c r="P26" s="29"/>
    </row>
    <row r="27" customFormat="false" ht="15" hidden="false" customHeight="false" outlineLevel="0" collapsed="false">
      <c r="A27" s="29"/>
      <c r="B27" s="30"/>
      <c r="C27" s="31"/>
      <c r="D27" s="32"/>
      <c r="E27" s="33" t="str">
        <f aca="false">IF(AND(C27&lt;&gt;"",D27&lt;&gt;""),C27*D27,"")</f>
        <v/>
      </c>
      <c r="F27" s="34"/>
      <c r="G27" s="29"/>
      <c r="H27" s="34"/>
      <c r="I27" s="29"/>
      <c r="J27" s="33" t="str">
        <f aca="false">IF(E27="","",E27-IF(G27="Yes",E27*0.5,0)-IF(I27="Yes",E27*0.5,0))</f>
        <v/>
      </c>
      <c r="K27" s="35" t="str">
        <f aca="true">IF(E27="","",IF(AND(G27="Yes",I27="Yes"),"Fully Released",IF(AND(G27="Yes",I27="No"),IF(AND(H27&lt;&gt;"",H27&lt;=TODAY()),"DLP Due","PC Released"),IF(AND(F27&lt;&gt;"",F27&lt;=TODAY(),G27="No"),"PC Due","Not Yet Due"))))</f>
        <v/>
      </c>
      <c r="L27" s="30"/>
      <c r="M27" s="31"/>
      <c r="N27" s="29"/>
      <c r="O27" s="29"/>
      <c r="P27" s="29"/>
    </row>
    <row r="28" customFormat="false" ht="15" hidden="false" customHeight="false" outlineLevel="0" collapsed="false">
      <c r="A28" s="29"/>
      <c r="B28" s="30"/>
      <c r="C28" s="31"/>
      <c r="D28" s="32"/>
      <c r="E28" s="33" t="str">
        <f aca="false">IF(AND(C28&lt;&gt;"",D28&lt;&gt;""),C28*D28,"")</f>
        <v/>
      </c>
      <c r="F28" s="34"/>
      <c r="G28" s="29"/>
      <c r="H28" s="34"/>
      <c r="I28" s="29"/>
      <c r="J28" s="33" t="str">
        <f aca="false">IF(E28="","",E28-IF(G28="Yes",E28*0.5,0)-IF(I28="Yes",E28*0.5,0))</f>
        <v/>
      </c>
      <c r="K28" s="35" t="str">
        <f aca="true">IF(E28="","",IF(AND(G28="Yes",I28="Yes"),"Fully Released",IF(AND(G28="Yes",I28="No"),IF(AND(H28&lt;&gt;"",H28&lt;=TODAY()),"DLP Due","PC Released"),IF(AND(F28&lt;&gt;"",F28&lt;=TODAY(),G28="No"),"PC Due","Not Yet Due"))))</f>
        <v/>
      </c>
      <c r="L28" s="30"/>
      <c r="M28" s="31"/>
      <c r="N28" s="29"/>
      <c r="O28" s="29"/>
      <c r="P28" s="29"/>
    </row>
    <row r="29" customFormat="false" ht="15" hidden="false" customHeight="false" outlineLevel="0" collapsed="false">
      <c r="A29" s="29"/>
      <c r="B29" s="30"/>
      <c r="C29" s="31"/>
      <c r="D29" s="32"/>
      <c r="E29" s="33" t="str">
        <f aca="false">IF(AND(C29&lt;&gt;"",D29&lt;&gt;""),C29*D29,"")</f>
        <v/>
      </c>
      <c r="F29" s="34"/>
      <c r="G29" s="29"/>
      <c r="H29" s="34"/>
      <c r="I29" s="29"/>
      <c r="J29" s="33" t="str">
        <f aca="false">IF(E29="","",E29-IF(G29="Yes",E29*0.5,0)-IF(I29="Yes",E29*0.5,0))</f>
        <v/>
      </c>
      <c r="K29" s="35" t="str">
        <f aca="true">IF(E29="","",IF(AND(G29="Yes",I29="Yes"),"Fully Released",IF(AND(G29="Yes",I29="No"),IF(AND(H29&lt;&gt;"",H29&lt;=TODAY()),"DLP Due","PC Released"),IF(AND(F29&lt;&gt;"",F29&lt;=TODAY(),G29="No"),"PC Due","Not Yet Due"))))</f>
        <v/>
      </c>
      <c r="L29" s="30"/>
      <c r="M29" s="31"/>
      <c r="N29" s="29"/>
      <c r="O29" s="29"/>
      <c r="P29" s="29"/>
    </row>
    <row r="30" customFormat="false" ht="15" hidden="false" customHeight="false" outlineLevel="0" collapsed="false">
      <c r="A30" s="29"/>
      <c r="B30" s="30"/>
      <c r="C30" s="31"/>
      <c r="D30" s="32"/>
      <c r="E30" s="33" t="str">
        <f aca="false">IF(AND(C30&lt;&gt;"",D30&lt;&gt;""),C30*D30,"")</f>
        <v/>
      </c>
      <c r="F30" s="34"/>
      <c r="G30" s="29"/>
      <c r="H30" s="34"/>
      <c r="I30" s="29"/>
      <c r="J30" s="33" t="str">
        <f aca="false">IF(E30="","",E30-IF(G30="Yes",E30*0.5,0)-IF(I30="Yes",E30*0.5,0))</f>
        <v/>
      </c>
      <c r="K30" s="35" t="str">
        <f aca="true">IF(E30="","",IF(AND(G30="Yes",I30="Yes"),"Fully Released",IF(AND(G30="Yes",I30="No"),IF(AND(H30&lt;&gt;"",H30&lt;=TODAY()),"DLP Due","PC Released"),IF(AND(F30&lt;&gt;"",F30&lt;=TODAY(),G30="No"),"PC Due","Not Yet Due"))))</f>
        <v/>
      </c>
      <c r="L30" s="30"/>
      <c r="M30" s="31"/>
      <c r="N30" s="29"/>
      <c r="O30" s="29"/>
      <c r="P30" s="29"/>
    </row>
    <row r="31" customFormat="false" ht="15" hidden="false" customHeight="false" outlineLevel="0" collapsed="false">
      <c r="A31" s="29"/>
      <c r="B31" s="30"/>
      <c r="C31" s="31"/>
      <c r="D31" s="32"/>
      <c r="E31" s="33" t="str">
        <f aca="false">IF(AND(C31&lt;&gt;"",D31&lt;&gt;""),C31*D31,"")</f>
        <v/>
      </c>
      <c r="F31" s="34"/>
      <c r="G31" s="29"/>
      <c r="H31" s="34"/>
      <c r="I31" s="29"/>
      <c r="J31" s="33" t="str">
        <f aca="false">IF(E31="","",E31-IF(G31="Yes",E31*0.5,0)-IF(I31="Yes",E31*0.5,0))</f>
        <v/>
      </c>
      <c r="K31" s="35" t="str">
        <f aca="true">IF(E31="","",IF(AND(G31="Yes",I31="Yes"),"Fully Released",IF(AND(G31="Yes",I31="No"),IF(AND(H31&lt;&gt;"",H31&lt;=TODAY()),"DLP Due","PC Released"),IF(AND(F31&lt;&gt;"",F31&lt;=TODAY(),G31="No"),"PC Due","Not Yet Due"))))</f>
        <v/>
      </c>
      <c r="L31" s="30"/>
      <c r="M31" s="31"/>
      <c r="N31" s="29"/>
      <c r="O31" s="29"/>
      <c r="P31" s="29"/>
    </row>
    <row r="32" customFormat="false" ht="15" hidden="false" customHeight="false" outlineLevel="0" collapsed="false">
      <c r="A32" s="29"/>
      <c r="B32" s="30"/>
      <c r="C32" s="31"/>
      <c r="D32" s="32"/>
      <c r="E32" s="33" t="str">
        <f aca="false">IF(AND(C32&lt;&gt;"",D32&lt;&gt;""),C32*D32,"")</f>
        <v/>
      </c>
      <c r="F32" s="34"/>
      <c r="G32" s="29"/>
      <c r="H32" s="34"/>
      <c r="I32" s="29"/>
      <c r="J32" s="33" t="str">
        <f aca="false">IF(E32="","",E32-IF(G32="Yes",E32*0.5,0)-IF(I32="Yes",E32*0.5,0))</f>
        <v/>
      </c>
      <c r="K32" s="35" t="str">
        <f aca="true">IF(E32="","",IF(AND(G32="Yes",I32="Yes"),"Fully Released",IF(AND(G32="Yes",I32="No"),IF(AND(H32&lt;&gt;"",H32&lt;=TODAY()),"DLP Due","PC Released"),IF(AND(F32&lt;&gt;"",F32&lt;=TODAY(),G32="No"),"PC Due","Not Yet Due"))))</f>
        <v/>
      </c>
      <c r="L32" s="30"/>
      <c r="M32" s="31"/>
      <c r="N32" s="29"/>
      <c r="O32" s="29"/>
      <c r="P32" s="29"/>
    </row>
    <row r="33" customFormat="false" ht="15" hidden="false" customHeight="false" outlineLevel="0" collapsed="false">
      <c r="A33" s="29"/>
      <c r="B33" s="30"/>
      <c r="C33" s="31"/>
      <c r="D33" s="32"/>
      <c r="E33" s="33" t="str">
        <f aca="false">IF(AND(C33&lt;&gt;"",D33&lt;&gt;""),C33*D33,"")</f>
        <v/>
      </c>
      <c r="F33" s="34"/>
      <c r="G33" s="29"/>
      <c r="H33" s="34"/>
      <c r="I33" s="29"/>
      <c r="J33" s="33" t="str">
        <f aca="false">IF(E33="","",E33-IF(G33="Yes",E33*0.5,0)-IF(I33="Yes",E33*0.5,0))</f>
        <v/>
      </c>
      <c r="K33" s="35" t="str">
        <f aca="true">IF(E33="","",IF(AND(G33="Yes",I33="Yes"),"Fully Released",IF(AND(G33="Yes",I33="No"),IF(AND(H33&lt;&gt;"",H33&lt;=TODAY()),"DLP Due","PC Released"),IF(AND(F33&lt;&gt;"",F33&lt;=TODAY(),G33="No"),"PC Due","Not Yet Due"))))</f>
        <v/>
      </c>
      <c r="L33" s="30"/>
      <c r="M33" s="31"/>
      <c r="N33" s="29"/>
      <c r="O33" s="29"/>
      <c r="P33" s="29"/>
    </row>
    <row r="34" customFormat="false" ht="15" hidden="false" customHeight="false" outlineLevel="0" collapsed="false">
      <c r="A34" s="29"/>
      <c r="B34" s="30"/>
      <c r="C34" s="31"/>
      <c r="D34" s="32"/>
      <c r="E34" s="33" t="str">
        <f aca="false">IF(AND(C34&lt;&gt;"",D34&lt;&gt;""),C34*D34,"")</f>
        <v/>
      </c>
      <c r="F34" s="34"/>
      <c r="G34" s="29"/>
      <c r="H34" s="34"/>
      <c r="I34" s="29"/>
      <c r="J34" s="33" t="str">
        <f aca="false">IF(E34="","",E34-IF(G34="Yes",E34*0.5,0)-IF(I34="Yes",E34*0.5,0))</f>
        <v/>
      </c>
      <c r="K34" s="35" t="str">
        <f aca="true">IF(E34="","",IF(AND(G34="Yes",I34="Yes"),"Fully Released",IF(AND(G34="Yes",I34="No"),IF(AND(H34&lt;&gt;"",H34&lt;=TODAY()),"DLP Due","PC Released"),IF(AND(F34&lt;&gt;"",F34&lt;=TODAY(),G34="No"),"PC Due","Not Yet Due"))))</f>
        <v/>
      </c>
      <c r="L34" s="30"/>
      <c r="M34" s="31"/>
      <c r="N34" s="29"/>
      <c r="O34" s="29"/>
      <c r="P34" s="29"/>
    </row>
    <row r="35" customFormat="false" ht="15" hidden="false" customHeight="false" outlineLevel="0" collapsed="false">
      <c r="A35" s="29"/>
      <c r="B35" s="30"/>
      <c r="C35" s="31"/>
      <c r="D35" s="32"/>
      <c r="E35" s="33" t="str">
        <f aca="false">IF(AND(C35&lt;&gt;"",D35&lt;&gt;""),C35*D35,"")</f>
        <v/>
      </c>
      <c r="F35" s="34"/>
      <c r="G35" s="29"/>
      <c r="H35" s="34"/>
      <c r="I35" s="29"/>
      <c r="J35" s="33" t="str">
        <f aca="false">IF(E35="","",E35-IF(G35="Yes",E35*0.5,0)-IF(I35="Yes",E35*0.5,0))</f>
        <v/>
      </c>
      <c r="K35" s="35" t="str">
        <f aca="true">IF(E35="","",IF(AND(G35="Yes",I35="Yes"),"Fully Released",IF(AND(G35="Yes",I35="No"),IF(AND(H35&lt;&gt;"",H35&lt;=TODAY()),"DLP Due","PC Released"),IF(AND(F35&lt;&gt;"",F35&lt;=TODAY(),G35="No"),"PC Due","Not Yet Due"))))</f>
        <v/>
      </c>
      <c r="L35" s="30"/>
      <c r="M35" s="31"/>
      <c r="N35" s="29"/>
      <c r="O35" s="29"/>
      <c r="P35" s="29"/>
    </row>
    <row r="36" customFormat="false" ht="15" hidden="false" customHeight="false" outlineLevel="0" collapsed="false">
      <c r="A36" s="29"/>
      <c r="B36" s="30"/>
      <c r="C36" s="31"/>
      <c r="D36" s="32"/>
      <c r="E36" s="33" t="str">
        <f aca="false">IF(AND(C36&lt;&gt;"",D36&lt;&gt;""),C36*D36,"")</f>
        <v/>
      </c>
      <c r="F36" s="34"/>
      <c r="G36" s="29"/>
      <c r="H36" s="34"/>
      <c r="I36" s="29"/>
      <c r="J36" s="33" t="str">
        <f aca="false">IF(E36="","",E36-IF(G36="Yes",E36*0.5,0)-IF(I36="Yes",E36*0.5,0))</f>
        <v/>
      </c>
      <c r="K36" s="35" t="str">
        <f aca="true">IF(E36="","",IF(AND(G36="Yes",I36="Yes"),"Fully Released",IF(AND(G36="Yes",I36="No"),IF(AND(H36&lt;&gt;"",H36&lt;=TODAY()),"DLP Due","PC Released"),IF(AND(F36&lt;&gt;"",F36&lt;=TODAY(),G36="No"),"PC Due","Not Yet Due"))))</f>
        <v/>
      </c>
      <c r="L36" s="30"/>
      <c r="M36" s="31"/>
      <c r="N36" s="29"/>
      <c r="O36" s="29"/>
      <c r="P36" s="29"/>
    </row>
    <row r="37" customFormat="false" ht="15" hidden="false" customHeight="false" outlineLevel="0" collapsed="false">
      <c r="A37" s="29"/>
      <c r="B37" s="30"/>
      <c r="C37" s="31"/>
      <c r="D37" s="32"/>
      <c r="E37" s="33" t="str">
        <f aca="false">IF(AND(C37&lt;&gt;"",D37&lt;&gt;""),C37*D37,"")</f>
        <v/>
      </c>
      <c r="F37" s="34"/>
      <c r="G37" s="29"/>
      <c r="H37" s="34"/>
      <c r="I37" s="29"/>
      <c r="J37" s="33" t="str">
        <f aca="false">IF(E37="","",E37-IF(G37="Yes",E37*0.5,0)-IF(I37="Yes",E37*0.5,0))</f>
        <v/>
      </c>
      <c r="K37" s="35" t="str">
        <f aca="true">IF(E37="","",IF(AND(G37="Yes",I37="Yes"),"Fully Released",IF(AND(G37="Yes",I37="No"),IF(AND(H37&lt;&gt;"",H37&lt;=TODAY()),"DLP Due","PC Released"),IF(AND(F37&lt;&gt;"",F37&lt;=TODAY(),G37="No"),"PC Due","Not Yet Due"))))</f>
        <v/>
      </c>
      <c r="L37" s="30"/>
      <c r="M37" s="31"/>
      <c r="N37" s="29"/>
      <c r="O37" s="29"/>
      <c r="P37" s="29"/>
    </row>
    <row r="38" customFormat="false" ht="15" hidden="false" customHeight="false" outlineLevel="0" collapsed="false">
      <c r="A38" s="29"/>
      <c r="B38" s="30"/>
      <c r="C38" s="31"/>
      <c r="D38" s="32"/>
      <c r="E38" s="33" t="str">
        <f aca="false">IF(AND(C38&lt;&gt;"",D38&lt;&gt;""),C38*D38,"")</f>
        <v/>
      </c>
      <c r="F38" s="34"/>
      <c r="G38" s="29"/>
      <c r="H38" s="34"/>
      <c r="I38" s="29"/>
      <c r="J38" s="33" t="str">
        <f aca="false">IF(E38="","",E38-IF(G38="Yes",E38*0.5,0)-IF(I38="Yes",E38*0.5,0))</f>
        <v/>
      </c>
      <c r="K38" s="35" t="str">
        <f aca="true">IF(E38="","",IF(AND(G38="Yes",I38="Yes"),"Fully Released",IF(AND(G38="Yes",I38="No"),IF(AND(H38&lt;&gt;"",H38&lt;=TODAY()),"DLP Due","PC Released"),IF(AND(F38&lt;&gt;"",F38&lt;=TODAY(),G38="No"),"PC Due","Not Yet Due"))))</f>
        <v/>
      </c>
      <c r="L38" s="30"/>
      <c r="M38" s="31"/>
      <c r="N38" s="29"/>
      <c r="O38" s="29"/>
      <c r="P38" s="29"/>
    </row>
    <row r="39" customFormat="false" ht="15" hidden="false" customHeight="false" outlineLevel="0" collapsed="false">
      <c r="A39" s="29"/>
      <c r="B39" s="30"/>
      <c r="C39" s="31"/>
      <c r="D39" s="32"/>
      <c r="E39" s="33" t="str">
        <f aca="false">IF(AND(C39&lt;&gt;"",D39&lt;&gt;""),C39*D39,"")</f>
        <v/>
      </c>
      <c r="F39" s="34"/>
      <c r="G39" s="29"/>
      <c r="H39" s="34"/>
      <c r="I39" s="29"/>
      <c r="J39" s="33" t="str">
        <f aca="false">IF(E39="","",E39-IF(G39="Yes",E39*0.5,0)-IF(I39="Yes",E39*0.5,0))</f>
        <v/>
      </c>
      <c r="K39" s="35" t="str">
        <f aca="true">IF(E39="","",IF(AND(G39="Yes",I39="Yes"),"Fully Released",IF(AND(G39="Yes",I39="No"),IF(AND(H39&lt;&gt;"",H39&lt;=TODAY()),"DLP Due","PC Released"),IF(AND(F39&lt;&gt;"",F39&lt;=TODAY(),G39="No"),"PC Due","Not Yet Due"))))</f>
        <v/>
      </c>
      <c r="L39" s="30"/>
      <c r="M39" s="31"/>
      <c r="N39" s="29"/>
      <c r="O39" s="29"/>
      <c r="P39" s="29"/>
    </row>
    <row r="40" customFormat="false" ht="15" hidden="false" customHeight="false" outlineLevel="0" collapsed="false">
      <c r="A40" s="29"/>
      <c r="B40" s="30"/>
      <c r="C40" s="31"/>
      <c r="D40" s="32"/>
      <c r="E40" s="33" t="str">
        <f aca="false">IF(AND(C40&lt;&gt;"",D40&lt;&gt;""),C40*D40,"")</f>
        <v/>
      </c>
      <c r="F40" s="34"/>
      <c r="G40" s="29"/>
      <c r="H40" s="34"/>
      <c r="I40" s="29"/>
      <c r="J40" s="33" t="str">
        <f aca="false">IF(E40="","",E40-IF(G40="Yes",E40*0.5,0)-IF(I40="Yes",E40*0.5,0))</f>
        <v/>
      </c>
      <c r="K40" s="35" t="str">
        <f aca="true">IF(E40="","",IF(AND(G40="Yes",I40="Yes"),"Fully Released",IF(AND(G40="Yes",I40="No"),IF(AND(H40&lt;&gt;"",H40&lt;=TODAY()),"DLP Due","PC Released"),IF(AND(F40&lt;&gt;"",F40&lt;=TODAY(),G40="No"),"PC Due","Not Yet Due"))))</f>
        <v/>
      </c>
      <c r="L40" s="30"/>
      <c r="M40" s="31"/>
      <c r="N40" s="29"/>
      <c r="O40" s="29"/>
      <c r="P40" s="29"/>
    </row>
    <row r="41" customFormat="false" ht="15" hidden="false" customHeight="false" outlineLevel="0" collapsed="false">
      <c r="A41" s="29"/>
      <c r="B41" s="30"/>
      <c r="C41" s="31"/>
      <c r="D41" s="32"/>
      <c r="E41" s="33" t="str">
        <f aca="false">IF(AND(C41&lt;&gt;"",D41&lt;&gt;""),C41*D41,"")</f>
        <v/>
      </c>
      <c r="F41" s="34"/>
      <c r="G41" s="29"/>
      <c r="H41" s="34"/>
      <c r="I41" s="29"/>
      <c r="J41" s="33" t="str">
        <f aca="false">IF(E41="","",E41-IF(G41="Yes",E41*0.5,0)-IF(I41="Yes",E41*0.5,0))</f>
        <v/>
      </c>
      <c r="K41" s="35" t="str">
        <f aca="true">IF(E41="","",IF(AND(G41="Yes",I41="Yes"),"Fully Released",IF(AND(G41="Yes",I41="No"),IF(AND(H41&lt;&gt;"",H41&lt;=TODAY()),"DLP Due","PC Released"),IF(AND(F41&lt;&gt;"",F41&lt;=TODAY(),G41="No"),"PC Due","Not Yet Due"))))</f>
        <v/>
      </c>
      <c r="L41" s="30"/>
      <c r="M41" s="31"/>
      <c r="N41" s="29"/>
      <c r="O41" s="29"/>
      <c r="P41" s="29"/>
    </row>
    <row r="42" customFormat="false" ht="15" hidden="false" customHeight="false" outlineLevel="0" collapsed="false">
      <c r="A42" s="29"/>
      <c r="B42" s="30"/>
      <c r="C42" s="31"/>
      <c r="D42" s="32"/>
      <c r="E42" s="33" t="str">
        <f aca="false">IF(AND(C42&lt;&gt;"",D42&lt;&gt;""),C42*D42,"")</f>
        <v/>
      </c>
      <c r="F42" s="34"/>
      <c r="G42" s="29"/>
      <c r="H42" s="34"/>
      <c r="I42" s="29"/>
      <c r="J42" s="33" t="str">
        <f aca="false">IF(E42="","",E42-IF(G42="Yes",E42*0.5,0)-IF(I42="Yes",E42*0.5,0))</f>
        <v/>
      </c>
      <c r="K42" s="35" t="str">
        <f aca="true">IF(E42="","",IF(AND(G42="Yes",I42="Yes"),"Fully Released",IF(AND(G42="Yes",I42="No"),IF(AND(H42&lt;&gt;"",H42&lt;=TODAY()),"DLP Due","PC Released"),IF(AND(F42&lt;&gt;"",F42&lt;=TODAY(),G42="No"),"PC Due","Not Yet Due"))))</f>
        <v/>
      </c>
      <c r="L42" s="30"/>
      <c r="M42" s="31"/>
      <c r="N42" s="29"/>
      <c r="O42" s="29"/>
      <c r="P42" s="29"/>
    </row>
    <row r="43" customFormat="false" ht="15" hidden="false" customHeight="false" outlineLevel="0" collapsed="false">
      <c r="A43" s="29"/>
      <c r="B43" s="30"/>
      <c r="C43" s="31"/>
      <c r="D43" s="32"/>
      <c r="E43" s="33" t="str">
        <f aca="false">IF(AND(C43&lt;&gt;"",D43&lt;&gt;""),C43*D43,"")</f>
        <v/>
      </c>
      <c r="F43" s="34"/>
      <c r="G43" s="29"/>
      <c r="H43" s="34"/>
      <c r="I43" s="29"/>
      <c r="J43" s="33" t="str">
        <f aca="false">IF(E43="","",E43-IF(G43="Yes",E43*0.5,0)-IF(I43="Yes",E43*0.5,0))</f>
        <v/>
      </c>
      <c r="K43" s="35" t="str">
        <f aca="true">IF(E43="","",IF(AND(G43="Yes",I43="Yes"),"Fully Released",IF(AND(G43="Yes",I43="No"),IF(AND(H43&lt;&gt;"",H43&lt;=TODAY()),"DLP Due","PC Released"),IF(AND(F43&lt;&gt;"",F43&lt;=TODAY(),G43="No"),"PC Due","Not Yet Due"))))</f>
        <v/>
      </c>
      <c r="L43" s="30"/>
      <c r="M43" s="31"/>
      <c r="N43" s="29"/>
      <c r="O43" s="29"/>
      <c r="P43" s="29"/>
    </row>
    <row r="44" customFormat="false" ht="15" hidden="false" customHeight="false" outlineLevel="0" collapsed="false">
      <c r="A44" s="29"/>
      <c r="B44" s="30"/>
      <c r="C44" s="31"/>
      <c r="D44" s="32"/>
      <c r="E44" s="33" t="str">
        <f aca="false">IF(AND(C44&lt;&gt;"",D44&lt;&gt;""),C44*D44,"")</f>
        <v/>
      </c>
      <c r="F44" s="34"/>
      <c r="G44" s="29"/>
      <c r="H44" s="34"/>
      <c r="I44" s="29"/>
      <c r="J44" s="33" t="str">
        <f aca="false">IF(E44="","",E44-IF(G44="Yes",E44*0.5,0)-IF(I44="Yes",E44*0.5,0))</f>
        <v/>
      </c>
      <c r="K44" s="35" t="str">
        <f aca="true">IF(E44="","",IF(AND(G44="Yes",I44="Yes"),"Fully Released",IF(AND(G44="Yes",I44="No"),IF(AND(H44&lt;&gt;"",H44&lt;=TODAY()),"DLP Due","PC Released"),IF(AND(F44&lt;&gt;"",F44&lt;=TODAY(),G44="No"),"PC Due","Not Yet Due"))))</f>
        <v/>
      </c>
      <c r="L44" s="30"/>
      <c r="M44" s="31"/>
      <c r="N44" s="29"/>
      <c r="O44" s="29"/>
      <c r="P44" s="29"/>
    </row>
    <row r="45" customFormat="false" ht="15" hidden="false" customHeight="false" outlineLevel="0" collapsed="false">
      <c r="A45" s="29"/>
      <c r="B45" s="30"/>
      <c r="C45" s="31"/>
      <c r="D45" s="32"/>
      <c r="E45" s="33" t="str">
        <f aca="false">IF(AND(C45&lt;&gt;"",D45&lt;&gt;""),C45*D45,"")</f>
        <v/>
      </c>
      <c r="F45" s="34"/>
      <c r="G45" s="29"/>
      <c r="H45" s="34"/>
      <c r="I45" s="29"/>
      <c r="J45" s="33" t="str">
        <f aca="false">IF(E45="","",E45-IF(G45="Yes",E45*0.5,0)-IF(I45="Yes",E45*0.5,0))</f>
        <v/>
      </c>
      <c r="K45" s="35" t="str">
        <f aca="true">IF(E45="","",IF(AND(G45="Yes",I45="Yes"),"Fully Released",IF(AND(G45="Yes",I45="No"),IF(AND(H45&lt;&gt;"",H45&lt;=TODAY()),"DLP Due","PC Released"),IF(AND(F45&lt;&gt;"",F45&lt;=TODAY(),G45="No"),"PC Due","Not Yet Due"))))</f>
        <v/>
      </c>
      <c r="L45" s="30"/>
      <c r="M45" s="31"/>
      <c r="N45" s="29"/>
      <c r="O45" s="29"/>
      <c r="P45" s="29"/>
    </row>
    <row r="46" customFormat="false" ht="15" hidden="false" customHeight="true" outlineLevel="0" collapsed="false">
      <c r="A46" s="28" t="s">
        <v>101</v>
      </c>
      <c r="B46" s="28"/>
      <c r="C46" s="36" t="n">
        <f aca="false">SUM(C15:C45)</f>
        <v>1682000</v>
      </c>
      <c r="D46" s="37"/>
      <c r="E46" s="36" t="n">
        <f aca="false">SUM(E15:E45)</f>
        <v>80800</v>
      </c>
      <c r="F46" s="37"/>
      <c r="G46" s="37"/>
      <c r="H46" s="37"/>
      <c r="I46" s="37"/>
      <c r="J46" s="36" t="n">
        <f aca="false">SUM(J15:J45)</f>
        <v>66425</v>
      </c>
      <c r="K46" s="37"/>
      <c r="L46" s="37"/>
      <c r="M46" s="38" t="n">
        <f aca="false">SUM(M15:M45)</f>
        <v>2360000</v>
      </c>
      <c r="N46" s="37"/>
      <c r="O46" s="37"/>
      <c r="P46" s="37"/>
    </row>
  </sheetData>
  <autoFilter ref="A14:P45"/>
  <mergeCells count="22">
    <mergeCell ref="A1:P1"/>
    <mergeCell ref="A3:C3"/>
    <mergeCell ref="D3:F3"/>
    <mergeCell ref="G3:I3"/>
    <mergeCell ref="J3:L3"/>
    <mergeCell ref="A4:C4"/>
    <mergeCell ref="D4:F4"/>
    <mergeCell ref="G4:I4"/>
    <mergeCell ref="J4:L4"/>
    <mergeCell ref="A6:C6"/>
    <mergeCell ref="D6:F6"/>
    <mergeCell ref="G6:I6"/>
    <mergeCell ref="J6:L6"/>
    <mergeCell ref="A7:C7"/>
    <mergeCell ref="D7:F7"/>
    <mergeCell ref="G7:I7"/>
    <mergeCell ref="J7:L7"/>
    <mergeCell ref="A9:L9"/>
    <mergeCell ref="M12:P12"/>
    <mergeCell ref="F13:G13"/>
    <mergeCell ref="H13:I13"/>
    <mergeCell ref="A46:B46"/>
  </mergeCells>
  <conditionalFormatting sqref="K15:K45">
    <cfRule type="cellIs" priority="2" operator="equal" aboveAverage="0" equalAverage="0" bottom="0" percent="0" rank="0" text="" dxfId="8">
      <formula>"Fully Released"</formula>
    </cfRule>
    <cfRule type="cellIs" priority="3" operator="equal" aboveAverage="0" equalAverage="0" bottom="0" percent="0" rank="0" text="" dxfId="9">
      <formula>"PC Released"</formula>
    </cfRule>
    <cfRule type="cellIs" priority="4" operator="equal" aboveAverage="0" equalAverage="0" bottom="0" percent="0" rank="0" text="" dxfId="10">
      <formula>"PC Due"</formula>
    </cfRule>
    <cfRule type="cellIs" priority="5" operator="equal" aboveAverage="0" equalAverage="0" bottom="0" percent="0" rank="0" text="" dxfId="11">
      <formula>"DLP Due"</formula>
    </cfRule>
    <cfRule type="cellIs" priority="6" operator="equal" aboveAverage="0" equalAverage="0" bottom="0" percent="0" rank="0" text="" dxfId="12">
      <formula>"Not Yet Due"</formula>
    </cfRule>
  </conditionalFormatting>
  <conditionalFormatting sqref="G15:G45">
    <cfRule type="cellIs" priority="7" operator="equal" aboveAverage="0" equalAverage="0" bottom="0" percent="0" rank="0" text="" dxfId="8">
      <formula>"Yes"</formula>
    </cfRule>
    <cfRule type="cellIs" priority="8" operator="equal" aboveAverage="0" equalAverage="0" bottom="0" percent="0" rank="0" text="" dxfId="9">
      <formula>"No"</formula>
    </cfRule>
  </conditionalFormatting>
  <conditionalFormatting sqref="I15:I45">
    <cfRule type="cellIs" priority="9" operator="equal" aboveAverage="0" equalAverage="0" bottom="0" percent="0" rank="0" text="" dxfId="8">
      <formula>"Yes"</formula>
    </cfRule>
    <cfRule type="cellIs" priority="10" operator="equal" aboveAverage="0" equalAverage="0" bottom="0" percent="0" rank="0" text="" dxfId="9">
      <formula>"No"</formula>
    </cfRule>
  </conditionalFormatting>
  <conditionalFormatting sqref="J15:J45">
    <cfRule type="expression" priority="11" aboveAverage="0" equalAverage="0" bottom="0" percent="0" rank="0" text="" dxfId="11">
      <formula>AND(J15&gt;0,OR(K15="PC Due",K15="DLP Due"))</formula>
    </cfRule>
  </conditionalFormatting>
  <conditionalFormatting sqref="G4:I4">
    <cfRule type="expression" priority="12" aboveAverage="0" equalAverage="0" bottom="0" percent="0" rank="0" text="" dxfId="9">
      <formula>G4&gt;0</formula>
    </cfRule>
  </conditionalFormatting>
  <dataValidations count="3">
    <dataValidation allowBlank="true" errorStyle="stop" operator="between" showDropDown="false" showErrorMessage="false" showInputMessage="false" sqref="G15:G45" type="list">
      <formula1>"Yes,No"</formula1>
      <formula2>0</formula2>
    </dataValidation>
    <dataValidation allowBlank="true" errorStyle="stop" operator="between" showDropDown="false" showErrorMessage="false" showInputMessage="false" sqref="I15:I45" type="list">
      <formula1>"Yes,No"</formula1>
      <formula2>0</formula2>
    </dataValidation>
    <dataValidation allowBlank="true" errorStyle="stop" operator="between" showDropDown="false" showErrorMessage="false" showInputMessage="false" sqref="O15:O45" type="list">
      <formula1>"0,1,2,3,4,5,6,7,8,9,10,10+,N/A"</formula1>
      <formula2>0</formula2>
    </dataValidation>
  </dataValidations>
  <printOptions headings="false" gridLines="false" gridLinesSet="true" horizontalCentered="false" verticalCentered="false"/>
  <pageMargins left="0.75" right="0.75" top="1" bottom="1" header="0.5" footer="0.5"/>
  <pageSetup paperSize="9" scale="100" fitToWidth="1" fitToHeight="1" pageOrder="downThenOver" orientation="landscape" blackAndWhite="false" draft="false" cellComments="none" horizontalDpi="300" verticalDpi="300" copies="1"/>
  <headerFooter differentFirst="false" differentOddEven="false">
    <oddHeader>&amp;CRetention Release Tracker</oddHeader>
    <oddFooter>&amp;Rebrora.com</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A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39" t="s">
        <v>102</v>
      </c>
    </row>
    <row r="2" customFormat="false" ht="15" hidden="false" customHeight="false" outlineLevel="0" collapsed="false">
      <c r="A2" s="39"/>
    </row>
    <row r="3" customFormat="false" ht="15" hidden="false" customHeight="false" outlineLevel="0" collapsed="false">
      <c r="A3" s="39" t="s">
        <v>103</v>
      </c>
    </row>
    <row r="4" customFormat="false" ht="15" hidden="false" customHeight="false" outlineLevel="0" collapsed="false">
      <c r="A4" s="39"/>
    </row>
    <row r="5" customFormat="false" ht="15" hidden="false" customHeight="false" outlineLevel="0" collapsed="false">
      <c r="A5" s="39" t="s">
        <v>104</v>
      </c>
    </row>
    <row r="6" customFormat="false" ht="15" hidden="false" customHeight="false" outlineLevel="0" collapsed="false">
      <c r="A6" s="39"/>
    </row>
    <row r="7" customFormat="false" ht="15" hidden="false" customHeight="false" outlineLevel="0" collapsed="false">
      <c r="A7" s="39" t="s">
        <v>105</v>
      </c>
    </row>
    <row r="8" customFormat="false" ht="15" hidden="false" customHeight="false" outlineLevel="0" collapsed="false">
      <c r="A8" s="39"/>
    </row>
    <row r="9" customFormat="false" ht="15" hidden="false" customHeight="false" outlineLevel="0" collapsed="false">
      <c r="A9" s="39" t="s">
        <v>106</v>
      </c>
    </row>
    <row r="10" customFormat="false" ht="15" hidden="false" customHeight="false" outlineLevel="0" collapsed="false">
      <c r="A10" s="39"/>
    </row>
    <row r="11" customFormat="false" ht="15" hidden="false" customHeight="false" outlineLevel="0" collapsed="false">
      <c r="A11" s="39" t="s">
        <v>107</v>
      </c>
    </row>
    <row r="12" customFormat="false" ht="15" hidden="false" customHeight="false" outlineLevel="0" collapsed="false">
      <c r="A12" s="39"/>
    </row>
    <row r="13" customFormat="false" ht="15" hidden="false" customHeight="false" outlineLevel="0" collapsed="false">
      <c r="A13" s="39" t="s">
        <v>108</v>
      </c>
    </row>
    <row r="14" customFormat="false" ht="15" hidden="false" customHeight="false" outlineLevel="0" collapsed="false">
      <c r="A14" s="39"/>
    </row>
    <row r="15" customFormat="false" ht="15" hidden="false" customHeight="false" outlineLevel="0" collapsed="false">
      <c r="A15" s="39" t="s">
        <v>109</v>
      </c>
    </row>
    <row r="16" customFormat="false" ht="15" hidden="false" customHeight="false" outlineLevel="0" collapsed="false">
      <c r="A16" s="39"/>
    </row>
    <row r="17" customFormat="false" ht="15" hidden="false" customHeight="false" outlineLevel="0" collapsed="false">
      <c r="A17" s="39" t="s">
        <v>110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Commercial &amp; Project Controls</cp:category>
  <dcterms:created xsi:type="dcterms:W3CDTF">2026-03-22T21:58:48Z</dcterms:created>
  <dc:creator>Ebrora Ltd</dc:creator>
  <dc:description>Track retention held against each subcontract package with automatic two-tranche release calculation at practical completion and end of defects liability period, designed for UK construction QS and commercial teams.
Free professional construction management template from Ebrora Ltd. Visit ebrora.com for our full range of tools and templates.</dc:description>
  <cp:keywords>Ebrora construction retention release practical completion defects liability DLP commercial subcontract</cp:keywords>
  <dc:language>en-US</dc:language>
  <cp:lastModifiedBy>Ebrora Ltd</cp:lastModifiedBy>
  <dcterms:modified xsi:type="dcterms:W3CDTF">2026-03-22T21:58:48Z</dcterms:modified>
  <cp:revision>0</cp:revision>
  <dc:subject>Tracker for monitoring retention held against subcontract packages with two-tranche release at practical completion and end of defects liability period.</dc:subject>
  <dc:title>Retention Release Tracker</dc:title>
</cp:coreProperties>
</file>

<file path=docProps/custom.xml><?xml version="1.0" encoding="utf-8"?>
<Properties xmlns="http://schemas.openxmlformats.org/officeDocument/2006/custom-properties" xmlns:vt="http://schemas.openxmlformats.org/officeDocument/2006/docPropsVTypes"/>
</file>