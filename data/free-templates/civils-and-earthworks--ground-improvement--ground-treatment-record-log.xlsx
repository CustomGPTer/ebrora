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ND TREATMENT RECORD LOG" sheetId="1" state="visible" r:id="rId3"/>
    <sheet name="Instructions" sheetId="2" state="visible" r:id="rId4"/>
  </sheets>
  <definedNames>
    <definedName function="false" hidden="false" localSheetId="0" name="_xlnm.Print_Area" vbProcedure="false">'GROUND TREATMENT RECORD LOG'!$A$1:$P$38</definedName>
    <definedName function="false" hidden="false" localSheetId="0" name="_xlnm.Print_Titles" vbProcedure="false">'GROUND TREATMENT RECORD LOG'!$1:$6</definedName>
    <definedName function="false" hidden="true" localSheetId="0" name="_xlnm._FilterDatabase" vbProcedure="false">'GROUND TREATMENT RECORD LOG'!$A$6:$P$31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<sst xmlns="http://schemas.openxmlformats.org/spreadsheetml/2006/main" count="37" uniqueCount="36">
  <si>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ebrora.com</t>
  </si>
  <si>
    <t xml:space="preserve">GROUND TREATMENT RECORD LOG</t>
  </si>
  <si>
    <t xml:space="preserve">Ref: BS EN 14731 — Ground Treatment by Deep Vibration; BRE Report BR 391; Specification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</si>
  <si>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</si>
  <si>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</si>
  <si>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</si>
  <si>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</si>
  <si>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</si>
  <si>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Treatment
Point Ref</t>
  </si>
  <si>
    <t xml:space="preserve">Grid Ref /
Chainage</t>
  </si>
  <si>
    <t xml:space="preserve">Treatment
Method</t>
  </si>
  <si>
    <t xml:space="preserve">Depth
(m)</t>
  </si>
  <si>
    <t xml:space="preserve">Column
Diameter
(mm)</t>
  </si>
  <si>
    <t xml:space="preserve">Material
Used</t>
  </si>
  <si>
    <t xml:space="preserve">Quantity
(tonnes
or m³)</t>
  </si>
  <si>
    <t xml:space="preserve">Rig /
Equipment ID</t>
  </si>
  <si>
    <t xml:space="preserve">Start
Time</t>
  </si>
  <si>
    <t xml:space="preserve">End
Time</t>
  </si>
  <si>
    <t xml:space="preserve">Achieved
Criteria
Met?
(Yes/No)</t>
  </si>
  <si>
    <t xml:space="preserve">Test /
Verification
Ref</t>
  </si>
  <si>
    <t xml:space="preserve">Status</t>
  </si>
  <si>
    <t xml:space="preserve">Comments</t>
  </si>
  <si>
    <t xml:space="preserve">SUMMARY</t>
  </si>
  <si>
    <t xml:space="preserve">Total Points:</t>
  </si>
  <si>
    <t xml:space="preserve">Complete:</t>
  </si>
  <si>
    <t xml:space="preserve">Failed:</t>
  </si>
  <si>
    <t xml:space="preserve">Re-Treatment:</t>
  </si>
  <si>
    <t xml:space="preserve">INSTRUCTIONS — GROUND TREATMENT RECORD LOG</t>
  </si>
  <si>
    <t xml:space="preserve">How to Use This Template</t>
  </si>
  <si>
    <t xml:space="preserve">1. Record all ground treatment installations with unique point references.</t>
  </si>
  <si>
    <t xml:space="preserve">2. Note treatment method, depth, diameter, material, and quantities.</t>
  </si>
  <si>
    <t xml:space="preserve">3. Confirm achievement criteria are met per specification.</t>
  </si>
  <si>
    <t xml:space="preserve">4. Reference verification testing (e.g., plate load, SPT, CPT).</t>
  </si>
  <si>
    <t xml:space="preserve">References:</t>
  </si>
  <si>
    <t xml:space="preserve">  BS EN 14731 — Ground Treatment by Deep Vibration</t>
  </si>
  <si>
    <t xml:space="preserve">  BRE Report BR 391 — Formation of Soils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</si>
</sst>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8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2" min="11" style="1" width="8"/>
    <col collapsed="false" customWidth="true" hidden="false" outlineLevel="0" max="13" min="13" style="1" width="10"/>
    <col collapsed="false" customWidth="true" hidden="false" outlineLevel="0" max="15" min="14" style="1" width="12"/>
    <col collapsed="false" customWidth="true" hidden="false" outlineLevel="0" max="16" min="16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3" customFormat="false" ht="15" hidden="false" customHeight="true" outlineLevel="0" collapsed="false">
      <c r="A33" s="11" t="s">
        <v>22</v>
      </c>
      <c r="B33" s="11"/>
      <c r="C33" s="11"/>
    </row>
    <row r="34" customFormat="false" ht="15" hidden="false" customHeight="true" outlineLevel="0" collapsed="false">
      <c r="A34" s="5" t="s">
        <v>23</v>
      </c>
      <c r="B34" s="5"/>
      <c r="C34" s="12" t="n">
        <f aca="false">COUNTA(C7:C31)</f>
        <v>0</v>
      </c>
    </row>
    <row r="35" customFormat="false" ht="15" hidden="false" customHeight="true" outlineLevel="0" collapsed="false">
      <c r="A35" s="5" t="s">
        <v>24</v>
      </c>
      <c r="B35" s="5"/>
      <c r="C35" s="12" t="n">
        <f aca="false">COUNTIF(O7:O31,"Complete")</f>
        <v>0</v>
      </c>
    </row>
    <row r="36" customFormat="false" ht="15" hidden="false" customHeight="true" outlineLevel="0" collapsed="false">
      <c r="A36" s="5" t="s">
        <v>25</v>
      </c>
      <c r="B36" s="5"/>
      <c r="C36" s="12" t="n">
        <f aca="false">COUNTIF(O7:O31,"Failed")</f>
        <v>0</v>
      </c>
    </row>
    <row r="37" customFormat="false" ht="15" hidden="false" customHeight="true" outlineLevel="0" collapsed="false">
      <c r="A37" s="5" t="s">
        <v>26</v>
      </c>
      <c r="B37" s="5"/>
      <c r="C37" s="12" t="n">
        <f aca="false">COUNTIF(O7:O31,"Re-Treatment Required")</f>
        <v>0</v>
      </c>
    </row>
  </sheetData>
  <autoFilter ref="A6:P31"/>
  <mergeCells count="10">
    <mergeCell ref="A1:P1"/>
    <mergeCell ref="A2:P2"/>
    <mergeCell ref="A3:P3"/>
    <mergeCell ref="B4:D4"/>
    <mergeCell ref="F4:H4"/>
    <mergeCell ref="A33:C33"/>
    <mergeCell ref="A34:B34"/>
    <mergeCell ref="A35:B35"/>
    <mergeCell ref="A36:B36"/>
    <mergeCell ref="A37:B37"/>
  </mergeCells>
  <conditionalFormatting sqref="O7:O31">
    <cfRule type="cellIs" priority="2" operator="equal" aboveAverage="0" equalAverage="0" bottom="0" percent="0" rank="0" text="" dxfId="5">
      <formula>"Complete"</formula>
    </cfRule>
    <cfRule type="cellIs" priority="3" operator="equal" aboveAverage="0" equalAverage="0" bottom="0" percent="0" rank="0" text="" dxfId="6">
      <formula>"Failed"</formula>
    </cfRule>
    <cfRule type="cellIs" priority="4" operator="equal" aboveAverage="0" equalAverage="0" bottom="0" percent="0" rank="0" text="" dxfId="7">
      <formula>"Re-Treatment Required"</formula>
    </cfRule>
  </conditionalFormatting>
  <dataValidations count="3">
    <dataValidation allowBlank="true" errorStyle="stop" operator="between" showDropDown="false" showErrorMessage="false" showInputMessage="false" sqref="E7:E31" type="list">
      <formula1>"Vibro Replacement (Stone Columns),Vibro Compaction,Dynamic Compaction,Grouting (Cement),Grouting (Chemical),Jet Grouting,Soil Mixing,Lime Stabilisation,Cement Stabilisation,Surcharge,PVDs,Other"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"Complete,In Progress,Failed,Re-Treatment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27</v>
      </c>
      <c r="B2" s="3"/>
    </row>
    <row r="4" customFormat="false" ht="15" hidden="false" customHeight="false" outlineLevel="0" collapsed="false">
      <c r="B4" s="11" t="s">
        <v>28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29</v>
      </c>
    </row>
    <row r="7" customFormat="false" ht="15" hidden="false" customHeight="false" outlineLevel="0" collapsed="false">
      <c r="B7" s="13" t="s">
        <v>30</v>
      </c>
    </row>
    <row r="8" customFormat="false" ht="15" hidden="false" customHeight="false" outlineLevel="0" collapsed="false">
      <c r="B8" s="13" t="s">
        <v>31</v>
      </c>
    </row>
    <row r="9" customFormat="false" ht="15" hidden="false" customHeight="false" outlineLevel="0" collapsed="false">
      <c r="B9" s="13" t="s">
        <v>32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33</v>
      </c>
    </row>
    <row r="12" customFormat="false" ht="15" hidden="false" customHeight="false" outlineLevel="0" collapsed="false">
      <c r="B12" s="4" t="s">
        <v>34</v>
      </c>
    </row>
    <row r="13" customFormat="false" ht="15" hidden="false" customHeight="false" outlineLevel="0" collapsed="false">
      <c r="B13" s="4" t="s">
        <v>35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2026-03-27T17:32:39Z</dcterms:created>
  <dc:creator>openpyxl</dc:creator>
  <dc:description/>
  <dc:language>en-US</dc:language>
  <cp:lastModifiedBy/>
  <dcterms:modified xsi:type="dcterms:W3CDTF">2026-03-27T17:32:39Z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