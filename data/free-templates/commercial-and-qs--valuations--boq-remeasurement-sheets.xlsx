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e-Measuremen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'Re-Measurement'!$A$1:$O$50</definedName>
    <definedName function="false" hidden="false" localSheetId="2" name="_xlnm.Print_Titles" vbProcedure="false">'Re-Measurement'!$1:$9</definedName>
    <definedName function="false" hidden="true" localSheetId="2" name="_xlnm._FilterDatabase" vbProcedure="false">'Re-Measurement'!$A$9:$T$9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<sst xmlns="http://schemas.openxmlformats.org/spreadsheetml/2006/main" count="133" uniqueCount="118">
  <si>
    <t xml:space="preserve">EBRORA</t>
  </si>
  <si>
    <t xml:space="preserve">ebrora.com</t>
  </si>
  <si>
    <t xml:space="preserve">BOQ Re-Measurement</t>
  </si>
  <si>
    <t xml:space="preserve">Sheets</t>
  </si>
  <si>
    <t xml:space="preserve">Re-measure BOQ line items with original vs revised quantities,</t>
  </si>
  <si>
    <t xml:space="preserve">variance calculations, sign-off tracking, and financial summary.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</si>
  <si>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</si>
  <si>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</si>
  <si>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</si>
  <si>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</si>
  <si>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</si>
  <si>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</si>
  <si>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Open the 'Re-Measurement' sheet. The top section (rows 2–6) is a financial summary that auto-calculates from the data below.</t>
  </si>
  <si>
    <t xml:space="preserve">2.</t>
  </si>
  <si>
    <t xml:space="preserve">Data entry starts at row 9. Each row is one BOQ line item being re-measured.</t>
  </si>
  <si>
    <t xml:space="preserve">3.</t>
  </si>
  <si>
    <t xml:space="preserve">Enter the Item Ref and Description to match your contract BOQ. Select the Unit from the dropdown.</t>
  </si>
  <si>
    <t xml:space="preserve">4.</t>
  </si>
  <si>
    <t xml:space="preserve">Enter the Original Qty and Original Rate from the contract BOQ. The Original Value calculates automatically (Qty × Rate).</t>
  </si>
  <si>
    <t xml:space="preserve">5.</t>
  </si>
  <si>
    <t xml:space="preserve">Enter the Re-Measured Qty (actual site quantity) and Agreed Rate (may differ from original if rate is adjusted).</t>
  </si>
  <si>
    <t xml:space="preserve">6.</t>
  </si>
  <si>
    <t xml:space="preserve">Re-Measured Value, Variance (£), and % Change all calculate automatically. Do not edit these columns.</t>
  </si>
  <si>
    <t xml:space="preserve">7.</t>
  </si>
  <si>
    <t xml:space="preserve">Record who measured, who checked, and the sign-off date for audit trail.</t>
  </si>
  <si>
    <t xml:space="preserve">8.</t>
  </si>
  <si>
    <t xml:space="preserve">Expand optional columns for drawing refs, location/chainage, measurement sheet numbers, agreement status, and valuation period.</t>
  </si>
  <si>
    <t xml:space="preserve">Colour Key</t>
  </si>
  <si>
    <t xml:space="preserve">Light teal cells (#E8F6F7) = User input / editable fields</t>
  </si>
  <si>
    <t xml:space="preserve">Dark navy headers (#1B2A4A) = Do not edit</t>
  </si>
  <si>
    <t xml:space="preserve">White cells with formulas = Auto-calculated, do not edit</t>
  </si>
  <si>
    <t xml:space="preserve">Green variance = Favourable (re-measured value less than original)</t>
  </si>
  <si>
    <t xml:space="preserve">Red variance = Adverse (re-measured value more than original)</t>
  </si>
  <si>
    <t xml:space="preserve">Negative values shown in red with brackets: (£1,234.00)</t>
  </si>
  <si>
    <t xml:space="preserve">Tips</t>
  </si>
  <si>
    <t xml:space="preserve">Tip 1:</t>
  </si>
  <si>
    <t xml:space="preserve">Re-measure as you go — don't leave it all to final account. Monthly re-measurement keeps valuations accurate and disputes manageable.</t>
  </si>
  <si>
    <t xml:space="preserve">Tip 2:</t>
  </si>
  <si>
    <t xml:space="preserve">Always get re-measurements jointly checked. A measurement signed by both parties is much harder to dispute later.</t>
  </si>
  <si>
    <t xml:space="preserve">Tip 3:</t>
  </si>
  <si>
    <t xml:space="preserve">The financial summary at the top gives you the headline variance instantly — use it at commercial review meetings.</t>
  </si>
  <si>
    <t xml:space="preserve">BOQ Re-Measurement — Financial Summary</t>
  </si>
  <si>
    <t xml:space="preserve">Original BOQ Total:</t>
  </si>
  <si>
    <t xml:space="preserve">Items Measured:</t>
  </si>
  <si>
    <t xml:space="preserve">Re-Measured Total:</t>
  </si>
  <si>
    <t xml:space="preserve">Items Agreed:</t>
  </si>
  <si>
    <t xml:space="preserve">Overall Variance (£):</t>
  </si>
  <si>
    <t xml:space="preserve">Favourable Items:</t>
  </si>
  <si>
    <t xml:space="preserve">Overall Variance (%):</t>
  </si>
  <si>
    <t xml:space="preserve">Adverse Items:</t>
  </si>
  <si>
    <t xml:space="preserve">▼ BOQ Line Items</t>
  </si>
  <si>
    <t xml:space="preserve">Item Ref</t>
  </si>
  <si>
    <t xml:space="preserve">Description</t>
  </si>
  <si>
    <t xml:space="preserve">Unit</t>
  </si>
  <si>
    <t xml:space="preserve">Original Qty</t>
  </si>
  <si>
    <t xml:space="preserve">Original Rate (£)</t>
  </si>
  <si>
    <t xml:space="preserve">Original Value (£)</t>
  </si>
  <si>
    <t xml:space="preserve">Re-Measured Qty</t>
  </si>
  <si>
    <t xml:space="preserve">Agreed Rate (£)</t>
  </si>
  <si>
    <t xml:space="preserve">Re-Measured Value (£)</t>
  </si>
  <si>
    <t xml:space="preserve">Variance (£)</t>
  </si>
  <si>
    <t xml:space="preserve">% Change</t>
  </si>
  <si>
    <t xml:space="preserve">Measured By</t>
  </si>
  <si>
    <t xml:space="preserve">Checked By</t>
  </si>
  <si>
    <t xml:space="preserve">Sign-Off Date</t>
  </si>
  <si>
    <t xml:space="preserve">Notes</t>
  </si>
  <si>
    <t xml:space="preserve">Drawing Ref</t>
  </si>
  <si>
    <t xml:space="preserve">Location / Chainage</t>
  </si>
  <si>
    <t xml:space="preserve">Measurement Sheet No</t>
  </si>
  <si>
    <t xml:space="preserve">Agreed (Y/N)</t>
  </si>
  <si>
    <t xml:space="preserve">Valuation Period</t>
  </si>
  <si>
    <t xml:space="preserve">1.01</t>
  </si>
  <si>
    <t xml:space="preserve">Excavation to formation level — inlet works</t>
  </si>
  <si>
    <t xml:space="preserve">m³</t>
  </si>
  <si>
    <t xml:space="preserve">J. Davies</t>
  </si>
  <si>
    <t xml:space="preserve">R. Evans</t>
  </si>
  <si>
    <t xml:space="preserve">Rock encountered below 2.5m — additional qty</t>
  </si>
  <si>
    <t xml:space="preserve">DWG-INL-003</t>
  </si>
  <si>
    <t xml:space="preserve">Ch. 0+000 to 0+045</t>
  </si>
  <si>
    <t xml:space="preserve">MS-001</t>
  </si>
  <si>
    <t xml:space="preserve">Yes</t>
  </si>
  <si>
    <t xml:space="preserve">VP-06</t>
  </si>
  <si>
    <t xml:space="preserve">1.02</t>
  </si>
  <si>
    <t xml:space="preserve">Disposal of excavated material to tip</t>
  </si>
  <si>
    <t xml:space="preserve">Increased in line with excavation qty</t>
  </si>
  <si>
    <t xml:space="preserve">2.01</t>
  </si>
  <si>
    <t xml:space="preserve">Reinforced concrete C35/45 — base slabs</t>
  </si>
  <si>
    <t xml:space="preserve">A. Khan</t>
  </si>
  <si>
    <t xml:space="preserve">M. Thompson</t>
  </si>
  <si>
    <t xml:space="preserve">Slightly less than BOQ — design optimisation</t>
  </si>
  <si>
    <t xml:space="preserve">DWG-STR-012</t>
  </si>
  <si>
    <t xml:space="preserve">Inlet PStn base</t>
  </si>
  <si>
    <t xml:space="preserve">MS-002</t>
  </si>
  <si>
    <t xml:space="preserve">2.02</t>
  </si>
  <si>
    <t xml:space="preserve">Formwork to vertical faces</t>
  </si>
  <si>
    <t xml:space="preserve">m²</t>
  </si>
  <si>
    <t xml:space="preserve">Additional shutter faces from design change</t>
  </si>
  <si>
    <t xml:space="preserve">Inlet PStn walls</t>
  </si>
  <si>
    <t xml:space="preserve">MS-003</t>
  </si>
  <si>
    <t xml:space="preserve">No</t>
  </si>
  <si>
    <t xml:space="preserve">3.01</t>
  </si>
  <si>
    <t xml:space="preserve">Supply and install 150mm ductile iron pipe</t>
  </si>
  <si>
    <t xml:space="preserve">m</t>
  </si>
  <si>
    <t xml:space="preserve">S. Patel</t>
  </si>
  <si>
    <t xml:space="preserve">Shorter run confirmed on site — awaiting check</t>
  </si>
  <si>
    <t xml:space="preserve">DWG-PW-005</t>
  </si>
  <si>
    <t xml:space="preserve">Ch. 0+100 to 0+408</t>
  </si>
  <si>
    <t xml:space="preserve">MS-004</t>
  </si>
  <si>
    <t xml:space="preserve">GRAND TOTAL</t>
  </si>
  <si>
    <t xml:space="preserve">EBRORA — TERMS OF USE</t>
  </si>
  <si>
    <t xml:space="preserve">This template is provided free of charge by Ebrora (ebrora.com) for personal and professional use.</t>
  </si>
  <si>
    <t xml:space="preserve">LICENCE: You may use this template for your own projects. You may not resell, redistribute, or claim authorship of this template.</t>
  </si>
  <si>
    <t xml:space="preserve">NO WARRANTY: This template is provided "as is" without warranty of any kind. Ebrora accepts no liability for errors, omissions, or losses arising from use of this template.</t>
  </si>
  <si>
    <t xml:space="preserve">INTELLECTUAL PROPERTY: All design, layout, branding, and content remain the intellectual property of Ebrora.</t>
  </si>
  <si>
    <t xml:space="preserve">MODIFICATIONS: You may modify this template for your own use. Modified versions may not be distributed or sold.</t>
  </si>
  <si>
    <t xml:space="preserve">ATTRIBUTION: If you share outputs generated using this template, attribution to Ebrora (ebrora.com) is appreciated but not required.</t>
  </si>
  <si>
    <t xml:space="preserve">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</si>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</sst>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.00"/>
    <numFmt numFmtId="166" formatCode="0"/>
    <numFmt numFmtId="167" formatCode="\£#,##0.00;[RED]&quot;(£&quot;#,##0.00\);\-"/>
    <numFmt numFmtId="168" formatCode="0.0%"/>
    <numFmt numFmtId="169" formatCode="0.0%;[RED]\(0.0%\);\-"/>
    <numFmt numFmtId="170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1B2A4A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4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35.05" hidden="false" customHeight="true" outlineLevel="0" collapsed="false">
      <c r="A6" s="5" t="s">
        <v>2</v>
      </c>
      <c r="B6" s="5"/>
      <c r="C6" s="5"/>
      <c r="D6" s="5"/>
      <c r="E6" s="5"/>
      <c r="F6" s="5"/>
      <c r="G6" s="5"/>
      <c r="H6" s="5"/>
    </row>
    <row r="7" customFormat="false" ht="35.05" hidden="false" customHeight="true" outlineLevel="0" collapsed="false">
      <c r="A7" s="5" t="s">
        <v>3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5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6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7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8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0" t="s">
        <v>9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11"/>
      <c r="B3" s="12"/>
    </row>
    <row r="4" customFormat="false" ht="15" hidden="false" customHeight="false" outlineLevel="0" collapsed="false">
      <c r="A4" s="13" t="s">
        <v>10</v>
      </c>
      <c r="B4" s="12"/>
    </row>
    <row r="5" customFormat="false" ht="23.85" hidden="false" customHeight="false" outlineLevel="0" collapsed="false">
      <c r="A5" s="11" t="s">
        <v>11</v>
      </c>
      <c r="B5" s="12" t="s">
        <v>12</v>
      </c>
    </row>
    <row r="6" customFormat="false" ht="15" hidden="false" customHeight="false" outlineLevel="0" collapsed="false">
      <c r="A6" s="11" t="s">
        <v>13</v>
      </c>
      <c r="B6" s="12" t="s">
        <v>14</v>
      </c>
    </row>
    <row r="7" customFormat="false" ht="15" hidden="false" customHeight="false" outlineLevel="0" collapsed="false">
      <c r="A7" s="11" t="s">
        <v>15</v>
      </c>
      <c r="B7" s="12" t="s">
        <v>16</v>
      </c>
    </row>
    <row r="8" customFormat="false" ht="15" hidden="false" customHeight="false" outlineLevel="0" collapsed="false">
      <c r="A8" s="11" t="s">
        <v>17</v>
      </c>
      <c r="B8" s="12" t="s">
        <v>18</v>
      </c>
    </row>
    <row r="9" customFormat="false" ht="15" hidden="false" customHeight="false" outlineLevel="0" collapsed="false">
      <c r="A9" s="11" t="s">
        <v>19</v>
      </c>
      <c r="B9" s="12" t="s">
        <v>20</v>
      </c>
    </row>
    <row r="10" customFormat="false" ht="15" hidden="false" customHeight="false" outlineLevel="0" collapsed="false">
      <c r="A10" s="11" t="s">
        <v>21</v>
      </c>
      <c r="B10" s="12" t="s">
        <v>22</v>
      </c>
    </row>
    <row r="11" customFormat="false" ht="15" hidden="false" customHeight="false" outlineLevel="0" collapsed="false">
      <c r="A11" s="11" t="s">
        <v>23</v>
      </c>
      <c r="B11" s="12" t="s">
        <v>24</v>
      </c>
    </row>
    <row r="12" customFormat="false" ht="23.85" hidden="false" customHeight="false" outlineLevel="0" collapsed="false">
      <c r="A12" s="11" t="s">
        <v>25</v>
      </c>
      <c r="B12" s="12" t="s">
        <v>26</v>
      </c>
    </row>
    <row r="13" customFormat="false" ht="15" hidden="false" customHeight="false" outlineLevel="0" collapsed="false">
      <c r="A13" s="11"/>
      <c r="B13" s="12"/>
    </row>
    <row r="14" customFormat="false" ht="15" hidden="false" customHeight="false" outlineLevel="0" collapsed="false">
      <c r="A14" s="13" t="s">
        <v>27</v>
      </c>
      <c r="B14" s="12"/>
    </row>
    <row r="15" customFormat="false" ht="15" hidden="false" customHeight="false" outlineLevel="0" collapsed="false">
      <c r="A15" s="11"/>
      <c r="B15" s="12" t="s">
        <v>28</v>
      </c>
    </row>
    <row r="16" customFormat="false" ht="15" hidden="false" customHeight="false" outlineLevel="0" collapsed="false">
      <c r="A16" s="11"/>
      <c r="B16" s="12" t="s">
        <v>29</v>
      </c>
    </row>
    <row r="17" customFormat="false" ht="15" hidden="false" customHeight="false" outlineLevel="0" collapsed="false">
      <c r="A17" s="11"/>
      <c r="B17" s="12" t="s">
        <v>30</v>
      </c>
    </row>
    <row r="18" customFormat="false" ht="15" hidden="false" customHeight="false" outlineLevel="0" collapsed="false">
      <c r="A18" s="11"/>
      <c r="B18" s="12" t="s">
        <v>31</v>
      </c>
    </row>
    <row r="19" customFormat="false" ht="15" hidden="false" customHeight="false" outlineLevel="0" collapsed="false">
      <c r="A19" s="11"/>
      <c r="B19" s="12" t="s">
        <v>32</v>
      </c>
    </row>
    <row r="20" customFormat="false" ht="15" hidden="false" customHeight="false" outlineLevel="0" collapsed="false">
      <c r="A20" s="11"/>
      <c r="B20" s="12" t="s">
        <v>33</v>
      </c>
    </row>
    <row r="21" customFormat="false" ht="15" hidden="false" customHeight="false" outlineLevel="0" collapsed="false">
      <c r="A21" s="11"/>
      <c r="B21" s="12"/>
    </row>
    <row r="22" customFormat="false" ht="15" hidden="false" customHeight="false" outlineLevel="0" collapsed="false">
      <c r="A22" s="13" t="s">
        <v>34</v>
      </c>
      <c r="B22" s="12"/>
    </row>
    <row r="23" customFormat="false" ht="23.85" hidden="false" customHeight="false" outlineLevel="0" collapsed="false">
      <c r="A23" s="14" t="s">
        <v>35</v>
      </c>
      <c r="B23" s="12" t="s">
        <v>36</v>
      </c>
    </row>
    <row r="24" customFormat="false" ht="15" hidden="false" customHeight="false" outlineLevel="0" collapsed="false">
      <c r="A24" s="14" t="s">
        <v>37</v>
      </c>
      <c r="B24" s="12" t="s">
        <v>38</v>
      </c>
    </row>
    <row r="25" customFormat="false" ht="15" hidden="false" customHeight="false" outlineLevel="0" collapsed="false">
      <c r="A25" s="14" t="s">
        <v>39</v>
      </c>
      <c r="B25" s="12" t="s">
        <v>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10" min="9" style="0" width="16"/>
    <col collapsed="false" customWidth="true" hidden="false" outlineLevel="0" max="11" min="11" style="0" width="12"/>
    <col collapsed="false" customWidth="true" hidden="false" outlineLevel="0" max="13" min="12" style="0" width="16"/>
    <col collapsed="false" customWidth="true" hidden="false" outlineLevel="0" max="14" min="14" style="0" width="14"/>
    <col collapsed="false" customWidth="true" hidden="false" outlineLevel="0" max="15" min="15" style="0" width="28"/>
    <col collapsed="false" customWidth="true" hidden="true" outlineLevel="1" max="20" min="16" style="0" width="18"/>
  </cols>
  <sheetData>
    <row r="1" customFormat="false" ht="17.35" hidden="false" customHeight="false" outlineLevel="0" collapsed="false">
      <c r="A1" s="15" t="s">
        <v>41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3" customFormat="false" ht="15" hidden="false" customHeight="false" outlineLevel="0" collapsed="false">
      <c r="B3" s="16" t="s">
        <v>42</v>
      </c>
      <c r="C3" s="17" t="n">
        <f aca="false">SUM(F10:F200)</f>
        <v>150800</v>
      </c>
      <c r="E3" s="16" t="s">
        <v>43</v>
      </c>
      <c r="F3" s="18" t="n">
        <f aca="false">COUNTA(A10:A200)</f>
        <v>5</v>
      </c>
    </row>
    <row r="4" customFormat="false" ht="15" hidden="false" customHeight="false" outlineLevel="0" collapsed="false">
      <c r="B4" s="16" t="s">
        <v>44</v>
      </c>
      <c r="C4" s="17" t="n">
        <f aca="false">SUM(I10:I200)</f>
        <v>164097.5</v>
      </c>
      <c r="E4" s="16" t="s">
        <v>45</v>
      </c>
      <c r="F4" s="18" t="n">
        <f aca="false">COUNTIF(S10:S200,"Yes")</f>
        <v>3</v>
      </c>
    </row>
    <row r="5" customFormat="false" ht="15" hidden="false" customHeight="false" outlineLevel="0" collapsed="false">
      <c r="B5" s="16" t="s">
        <v>46</v>
      </c>
      <c r="C5" s="19" t="n">
        <f aca="false">C4-C3</f>
        <v>13297.5</v>
      </c>
      <c r="E5" s="16" t="s">
        <v>47</v>
      </c>
      <c r="F5" s="18" t="n">
        <f aca="false">COUNTIF(J10:J200,"&lt;0")</f>
        <v>2</v>
      </c>
    </row>
    <row r="6" customFormat="false" ht="15" hidden="false" customHeight="false" outlineLevel="0" collapsed="false">
      <c r="B6" s="16" t="s">
        <v>48</v>
      </c>
      <c r="C6" s="20" t="n">
        <f aca="false">IF(C3=0,"—",(C4-C3)/C3)</f>
        <v>0.0881797082228117</v>
      </c>
      <c r="E6" s="16" t="s">
        <v>49</v>
      </c>
      <c r="F6" s="18" t="n">
        <f aca="false">COUNTIF(J10:J200,"&gt;0")</f>
        <v>3</v>
      </c>
    </row>
    <row r="8" customFormat="false" ht="15" hidden="false" customHeight="false" outlineLevel="0" collapsed="false">
      <c r="A8" s="21" t="s">
        <v>50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9" customFormat="false" ht="41.75" hidden="false" customHeight="false" outlineLevel="0" collapsed="false">
      <c r="A9" s="22" t="s">
        <v>51</v>
      </c>
      <c r="B9" s="22" t="s">
        <v>52</v>
      </c>
      <c r="C9" s="22" t="s">
        <v>53</v>
      </c>
      <c r="D9" s="22" t="s">
        <v>54</v>
      </c>
      <c r="E9" s="22" t="s">
        <v>55</v>
      </c>
      <c r="F9" s="22" t="s">
        <v>56</v>
      </c>
      <c r="G9" s="22" t="s">
        <v>57</v>
      </c>
      <c r="H9" s="22" t="s">
        <v>58</v>
      </c>
      <c r="I9" s="22" t="s">
        <v>59</v>
      </c>
      <c r="J9" s="22" t="s">
        <v>60</v>
      </c>
      <c r="K9" s="22" t="s">
        <v>61</v>
      </c>
      <c r="L9" s="22" t="s">
        <v>62</v>
      </c>
      <c r="M9" s="22" t="s">
        <v>63</v>
      </c>
      <c r="N9" s="22" t="s">
        <v>64</v>
      </c>
      <c r="O9" s="22" t="s">
        <v>65</v>
      </c>
      <c r="P9" s="22" t="s">
        <v>66</v>
      </c>
      <c r="Q9" s="22" t="s">
        <v>67</v>
      </c>
      <c r="R9" s="22" t="s">
        <v>68</v>
      </c>
      <c r="S9" s="22" t="s">
        <v>69</v>
      </c>
      <c r="T9" s="22" t="s">
        <v>70</v>
      </c>
    </row>
    <row r="10" customFormat="false" ht="23.85" hidden="false" customHeight="false" outlineLevel="0" collapsed="false">
      <c r="A10" s="23" t="s">
        <v>71</v>
      </c>
      <c r="B10" s="23" t="s">
        <v>72</v>
      </c>
      <c r="C10" s="23" t="s">
        <v>73</v>
      </c>
      <c r="D10" s="23" t="n">
        <v>2400</v>
      </c>
      <c r="E10" s="24" t="n">
        <v>18.5</v>
      </c>
      <c r="F10" s="25" t="n">
        <f aca="false">IF(OR(D10="",E10=""),"",D10*E10)</f>
        <v>44400</v>
      </c>
      <c r="G10" s="23" t="n">
        <v>2850</v>
      </c>
      <c r="H10" s="24" t="n">
        <v>18.5</v>
      </c>
      <c r="I10" s="25" t="n">
        <f aca="false">IF(OR(G10="",H10=""),"",G10*H10)</f>
        <v>52725</v>
      </c>
      <c r="J10" s="26" t="n">
        <f aca="false">IF(OR(F10="",I10=""),"",I10-F10)</f>
        <v>8325</v>
      </c>
      <c r="K10" s="27" t="n">
        <f aca="false">IF(OR(F10="",F10=0,I10=""),"",(I10-F10)/F10)</f>
        <v>0.1875</v>
      </c>
      <c r="L10" s="23" t="s">
        <v>74</v>
      </c>
      <c r="M10" s="23" t="s">
        <v>75</v>
      </c>
      <c r="N10" s="28" t="n">
        <v>46075</v>
      </c>
      <c r="O10" s="23" t="s">
        <v>76</v>
      </c>
      <c r="P10" s="23" t="s">
        <v>77</v>
      </c>
      <c r="Q10" s="23" t="s">
        <v>78</v>
      </c>
      <c r="R10" s="23" t="s">
        <v>79</v>
      </c>
      <c r="S10" s="23" t="s">
        <v>80</v>
      </c>
      <c r="T10" s="23" t="s">
        <v>81</v>
      </c>
    </row>
    <row r="11" customFormat="false" ht="15" hidden="false" customHeight="false" outlineLevel="0" collapsed="false">
      <c r="A11" s="23" t="s">
        <v>82</v>
      </c>
      <c r="B11" s="23" t="s">
        <v>83</v>
      </c>
      <c r="C11" s="23" t="s">
        <v>73</v>
      </c>
      <c r="D11" s="23" t="n">
        <v>2400</v>
      </c>
      <c r="E11" s="24" t="n">
        <v>12.75</v>
      </c>
      <c r="F11" s="25" t="n">
        <f aca="false">IF(OR(D11="",E11=""),"",D11*E11)</f>
        <v>30600</v>
      </c>
      <c r="G11" s="23" t="n">
        <v>2850</v>
      </c>
      <c r="H11" s="24" t="n">
        <v>12.75</v>
      </c>
      <c r="I11" s="25" t="n">
        <f aca="false">IF(OR(G11="",H11=""),"",G11*H11)</f>
        <v>36337.5</v>
      </c>
      <c r="J11" s="26" t="n">
        <f aca="false">IF(OR(F11="",I11=""),"",I11-F11)</f>
        <v>5737.5</v>
      </c>
      <c r="K11" s="27" t="n">
        <f aca="false">IF(OR(F11="",F11=0,I11=""),"",(I11-F11)/F11)</f>
        <v>0.1875</v>
      </c>
      <c r="L11" s="23" t="s">
        <v>74</v>
      </c>
      <c r="M11" s="23" t="s">
        <v>75</v>
      </c>
      <c r="N11" s="28" t="n">
        <v>46075</v>
      </c>
      <c r="O11" s="23" t="s">
        <v>84</v>
      </c>
      <c r="P11" s="23" t="s">
        <v>77</v>
      </c>
      <c r="Q11" s="23" t="s">
        <v>78</v>
      </c>
      <c r="R11" s="23" t="s">
        <v>79</v>
      </c>
      <c r="S11" s="23" t="s">
        <v>80</v>
      </c>
      <c r="T11" s="23" t="s">
        <v>81</v>
      </c>
    </row>
    <row r="12" customFormat="false" ht="23.85" hidden="false" customHeight="false" outlineLevel="0" collapsed="false">
      <c r="A12" s="23" t="s">
        <v>85</v>
      </c>
      <c r="B12" s="23" t="s">
        <v>86</v>
      </c>
      <c r="C12" s="23" t="s">
        <v>73</v>
      </c>
      <c r="D12" s="23" t="n">
        <v>180</v>
      </c>
      <c r="E12" s="24" t="n">
        <v>165</v>
      </c>
      <c r="F12" s="25" t="n">
        <f aca="false">IF(OR(D12="",E12=""),"",D12*E12)</f>
        <v>29700</v>
      </c>
      <c r="G12" s="23" t="n">
        <v>172</v>
      </c>
      <c r="H12" s="24" t="n">
        <v>165</v>
      </c>
      <c r="I12" s="25" t="n">
        <f aca="false">IF(OR(G12="",H12=""),"",G12*H12)</f>
        <v>28380</v>
      </c>
      <c r="J12" s="26" t="n">
        <f aca="false">IF(OR(F12="",I12=""),"",I12-F12)</f>
        <v>-1320</v>
      </c>
      <c r="K12" s="27" t="n">
        <f aca="false">IF(OR(F12="",F12=0,I12=""),"",(I12-F12)/F12)</f>
        <v>-0.0444444444444444</v>
      </c>
      <c r="L12" s="23" t="s">
        <v>87</v>
      </c>
      <c r="M12" s="23" t="s">
        <v>88</v>
      </c>
      <c r="N12" s="28" t="n">
        <v>46085</v>
      </c>
      <c r="O12" s="23" t="s">
        <v>89</v>
      </c>
      <c r="P12" s="23" t="s">
        <v>90</v>
      </c>
      <c r="Q12" s="23" t="s">
        <v>91</v>
      </c>
      <c r="R12" s="23" t="s">
        <v>92</v>
      </c>
      <c r="S12" s="23" t="s">
        <v>80</v>
      </c>
      <c r="T12" s="23" t="s">
        <v>81</v>
      </c>
    </row>
    <row r="13" customFormat="false" ht="23.85" hidden="false" customHeight="false" outlineLevel="0" collapsed="false">
      <c r="A13" s="23" t="s">
        <v>93</v>
      </c>
      <c r="B13" s="23" t="s">
        <v>94</v>
      </c>
      <c r="C13" s="23" t="s">
        <v>95</v>
      </c>
      <c r="D13" s="23" t="n">
        <v>420</v>
      </c>
      <c r="E13" s="24" t="n">
        <v>45</v>
      </c>
      <c r="F13" s="25" t="n">
        <f aca="false">IF(OR(D13="",E13=""),"",D13*E13)</f>
        <v>18900</v>
      </c>
      <c r="G13" s="23" t="n">
        <v>455</v>
      </c>
      <c r="H13" s="24" t="n">
        <v>45</v>
      </c>
      <c r="I13" s="25" t="n">
        <f aca="false">IF(OR(G13="",H13=""),"",G13*H13)</f>
        <v>20475</v>
      </c>
      <c r="J13" s="26" t="n">
        <f aca="false">IF(OR(F13="",I13=""),"",I13-F13)</f>
        <v>1575</v>
      </c>
      <c r="K13" s="27" t="n">
        <f aca="false">IF(OR(F13="",F13=0,I13=""),"",(I13-F13)/F13)</f>
        <v>0.0833333333333333</v>
      </c>
      <c r="L13" s="23" t="s">
        <v>87</v>
      </c>
      <c r="M13" s="23" t="s">
        <v>88</v>
      </c>
      <c r="N13" s="28" t="n">
        <v>46085</v>
      </c>
      <c r="O13" s="23" t="s">
        <v>96</v>
      </c>
      <c r="P13" s="23" t="s">
        <v>90</v>
      </c>
      <c r="Q13" s="23" t="s">
        <v>97</v>
      </c>
      <c r="R13" s="23" t="s">
        <v>98</v>
      </c>
      <c r="S13" s="23" t="s">
        <v>99</v>
      </c>
      <c r="T13" s="23"/>
    </row>
    <row r="14" customFormat="false" ht="23.85" hidden="false" customHeight="false" outlineLevel="0" collapsed="false">
      <c r="A14" s="23" t="s">
        <v>100</v>
      </c>
      <c r="B14" s="23" t="s">
        <v>101</v>
      </c>
      <c r="C14" s="23" t="s">
        <v>102</v>
      </c>
      <c r="D14" s="23" t="n">
        <v>320</v>
      </c>
      <c r="E14" s="24" t="n">
        <v>85</v>
      </c>
      <c r="F14" s="25" t="n">
        <f aca="false">IF(OR(D14="",E14=""),"",D14*E14)</f>
        <v>27200</v>
      </c>
      <c r="G14" s="23" t="n">
        <v>308</v>
      </c>
      <c r="H14" s="24" t="n">
        <v>85</v>
      </c>
      <c r="I14" s="25" t="n">
        <f aca="false">IF(OR(G14="",H14=""),"",G14*H14)</f>
        <v>26180</v>
      </c>
      <c r="J14" s="26" t="n">
        <f aca="false">IF(OR(F14="",I14=""),"",I14-F14)</f>
        <v>-1020</v>
      </c>
      <c r="K14" s="27" t="n">
        <f aca="false">IF(OR(F14="",F14=0,I14=""),"",(I14-F14)/F14)</f>
        <v>-0.0375</v>
      </c>
      <c r="L14" s="23" t="s">
        <v>103</v>
      </c>
      <c r="M14" s="23"/>
      <c r="N14" s="28"/>
      <c r="O14" s="23" t="s">
        <v>104</v>
      </c>
      <c r="P14" s="23" t="s">
        <v>105</v>
      </c>
      <c r="Q14" s="23" t="s">
        <v>106</v>
      </c>
      <c r="R14" s="23" t="s">
        <v>107</v>
      </c>
      <c r="S14" s="23" t="s">
        <v>99</v>
      </c>
      <c r="T14" s="23"/>
    </row>
    <row r="15" customFormat="false" ht="15" hidden="false" customHeight="false" outlineLevel="0" collapsed="false">
      <c r="A15" s="23"/>
      <c r="B15" s="23"/>
      <c r="C15" s="23"/>
      <c r="D15" s="23"/>
      <c r="E15" s="24"/>
      <c r="F15" s="25" t="str">
        <f aca="false">IF(OR(D15="",E15=""),"",D15*E15)</f>
        <v/>
      </c>
      <c r="G15" s="23"/>
      <c r="H15" s="24"/>
      <c r="I15" s="25" t="str">
        <f aca="false">IF(OR(G15="",H15=""),"",G15*H15)</f>
        <v/>
      </c>
      <c r="J15" s="26" t="str">
        <f aca="false">IF(OR(F15="",I15=""),"",I15-F15)</f>
        <v/>
      </c>
      <c r="K15" s="27" t="str">
        <f aca="false">IF(OR(F15="",F15=0,I15=""),"",(I15-F15)/F15)</f>
        <v/>
      </c>
      <c r="L15" s="23"/>
      <c r="M15" s="23"/>
      <c r="N15" s="28"/>
      <c r="O15" s="23"/>
      <c r="P15" s="23"/>
      <c r="Q15" s="23"/>
      <c r="R15" s="23"/>
      <c r="S15" s="23"/>
      <c r="T15" s="23"/>
    </row>
    <row r="16" customFormat="false" ht="15" hidden="false" customHeight="false" outlineLevel="0" collapsed="false">
      <c r="A16" s="23"/>
      <c r="B16" s="23"/>
      <c r="C16" s="23"/>
      <c r="D16" s="23"/>
      <c r="E16" s="24"/>
      <c r="F16" s="25" t="str">
        <f aca="false">IF(OR(D16="",E16=""),"",D16*E16)</f>
        <v/>
      </c>
      <c r="G16" s="23"/>
      <c r="H16" s="24"/>
      <c r="I16" s="25" t="str">
        <f aca="false">IF(OR(G16="",H16=""),"",G16*H16)</f>
        <v/>
      </c>
      <c r="J16" s="26" t="str">
        <f aca="false">IF(OR(F16="",I16=""),"",I16-F16)</f>
        <v/>
      </c>
      <c r="K16" s="27" t="str">
        <f aca="false">IF(OR(F16="",F16=0,I16=""),"",(I16-F16)/F16)</f>
        <v/>
      </c>
      <c r="L16" s="23"/>
      <c r="M16" s="23"/>
      <c r="N16" s="28"/>
      <c r="O16" s="23"/>
      <c r="P16" s="23"/>
      <c r="Q16" s="23"/>
      <c r="R16" s="23"/>
      <c r="S16" s="23"/>
      <c r="T16" s="23"/>
    </row>
    <row r="17" customFormat="false" ht="15" hidden="false" customHeight="false" outlineLevel="0" collapsed="false">
      <c r="A17" s="23"/>
      <c r="B17" s="23"/>
      <c r="C17" s="23"/>
      <c r="D17" s="23"/>
      <c r="E17" s="24"/>
      <c r="F17" s="25" t="str">
        <f aca="false">IF(OR(D17="",E17=""),"",D17*E17)</f>
        <v/>
      </c>
      <c r="G17" s="23"/>
      <c r="H17" s="24"/>
      <c r="I17" s="25" t="str">
        <f aca="false">IF(OR(G17="",H17=""),"",G17*H17)</f>
        <v/>
      </c>
      <c r="J17" s="26" t="str">
        <f aca="false">IF(OR(F17="",I17=""),"",I17-F17)</f>
        <v/>
      </c>
      <c r="K17" s="27" t="str">
        <f aca="false">IF(OR(F17="",F17=0,I17=""),"",(I17-F17)/F17)</f>
        <v/>
      </c>
      <c r="L17" s="23"/>
      <c r="M17" s="23"/>
      <c r="N17" s="28"/>
      <c r="O17" s="23"/>
      <c r="P17" s="23"/>
      <c r="Q17" s="23"/>
      <c r="R17" s="23"/>
      <c r="S17" s="23"/>
      <c r="T17" s="23"/>
    </row>
    <row r="18" customFormat="false" ht="15" hidden="false" customHeight="false" outlineLevel="0" collapsed="false">
      <c r="A18" s="23"/>
      <c r="B18" s="23"/>
      <c r="C18" s="23"/>
      <c r="D18" s="23"/>
      <c r="E18" s="24"/>
      <c r="F18" s="25" t="str">
        <f aca="false">IF(OR(D18="",E18=""),"",D18*E18)</f>
        <v/>
      </c>
      <c r="G18" s="23"/>
      <c r="H18" s="24"/>
      <c r="I18" s="25" t="str">
        <f aca="false">IF(OR(G18="",H18=""),"",G18*H18)</f>
        <v/>
      </c>
      <c r="J18" s="26" t="str">
        <f aca="false">IF(OR(F18="",I18=""),"",I18-F18)</f>
        <v/>
      </c>
      <c r="K18" s="27" t="str">
        <f aca="false">IF(OR(F18="",F18=0,I18=""),"",(I18-F18)/F18)</f>
        <v/>
      </c>
      <c r="L18" s="23"/>
      <c r="M18" s="23"/>
      <c r="N18" s="28"/>
      <c r="O18" s="23"/>
      <c r="P18" s="23"/>
      <c r="Q18" s="23"/>
      <c r="R18" s="23"/>
      <c r="S18" s="23"/>
      <c r="T18" s="23"/>
    </row>
    <row r="19" customFormat="false" ht="15" hidden="false" customHeight="false" outlineLevel="0" collapsed="false">
      <c r="A19" s="23"/>
      <c r="B19" s="23"/>
      <c r="C19" s="23"/>
      <c r="D19" s="23"/>
      <c r="E19" s="24"/>
      <c r="F19" s="25" t="str">
        <f aca="false">IF(OR(D19="",E19=""),"",D19*E19)</f>
        <v/>
      </c>
      <c r="G19" s="23"/>
      <c r="H19" s="24"/>
      <c r="I19" s="25" t="str">
        <f aca="false">IF(OR(G19="",H19=""),"",G19*H19)</f>
        <v/>
      </c>
      <c r="J19" s="26" t="str">
        <f aca="false">IF(OR(F19="",I19=""),"",I19-F19)</f>
        <v/>
      </c>
      <c r="K19" s="27" t="str">
        <f aca="false">IF(OR(F19="",F19=0,I19=""),"",(I19-F19)/F19)</f>
        <v/>
      </c>
      <c r="L19" s="23"/>
      <c r="M19" s="23"/>
      <c r="N19" s="28"/>
      <c r="O19" s="23"/>
      <c r="P19" s="23"/>
      <c r="Q19" s="23"/>
      <c r="R19" s="23"/>
      <c r="S19" s="23"/>
      <c r="T19" s="23"/>
    </row>
    <row r="20" customFormat="false" ht="15" hidden="false" customHeight="false" outlineLevel="0" collapsed="false">
      <c r="A20" s="23"/>
      <c r="B20" s="23"/>
      <c r="C20" s="23"/>
      <c r="D20" s="23"/>
      <c r="E20" s="24"/>
      <c r="F20" s="25" t="str">
        <f aca="false">IF(OR(D20="",E20=""),"",D20*E20)</f>
        <v/>
      </c>
      <c r="G20" s="23"/>
      <c r="H20" s="24"/>
      <c r="I20" s="25" t="str">
        <f aca="false">IF(OR(G20="",H20=""),"",G20*H20)</f>
        <v/>
      </c>
      <c r="J20" s="26" t="str">
        <f aca="false">IF(OR(F20="",I20=""),"",I20-F20)</f>
        <v/>
      </c>
      <c r="K20" s="27" t="str">
        <f aca="false">IF(OR(F20="",F20=0,I20=""),"",(I20-F20)/F20)</f>
        <v/>
      </c>
      <c r="L20" s="23"/>
      <c r="M20" s="23"/>
      <c r="N20" s="28"/>
      <c r="O20" s="23"/>
      <c r="P20" s="23"/>
      <c r="Q20" s="23"/>
      <c r="R20" s="23"/>
      <c r="S20" s="23"/>
      <c r="T20" s="23"/>
    </row>
    <row r="21" customFormat="false" ht="15" hidden="false" customHeight="false" outlineLevel="0" collapsed="false">
      <c r="A21" s="23"/>
      <c r="B21" s="23"/>
      <c r="C21" s="23"/>
      <c r="D21" s="23"/>
      <c r="E21" s="24"/>
      <c r="F21" s="25" t="str">
        <f aca="false">IF(OR(D21="",E21=""),"",D21*E21)</f>
        <v/>
      </c>
      <c r="G21" s="23"/>
      <c r="H21" s="24"/>
      <c r="I21" s="25" t="str">
        <f aca="false">IF(OR(G21="",H21=""),"",G21*H21)</f>
        <v/>
      </c>
      <c r="J21" s="26" t="str">
        <f aca="false">IF(OR(F21="",I21=""),"",I21-F21)</f>
        <v/>
      </c>
      <c r="K21" s="27" t="str">
        <f aca="false">IF(OR(F21="",F21=0,I21=""),"",(I21-F21)/F21)</f>
        <v/>
      </c>
      <c r="L21" s="23"/>
      <c r="M21" s="23"/>
      <c r="N21" s="28"/>
      <c r="O21" s="23"/>
      <c r="P21" s="23"/>
      <c r="Q21" s="23"/>
      <c r="R21" s="23"/>
      <c r="S21" s="23"/>
      <c r="T21" s="23"/>
    </row>
    <row r="22" customFormat="false" ht="15" hidden="false" customHeight="false" outlineLevel="0" collapsed="false">
      <c r="A22" s="23"/>
      <c r="B22" s="23"/>
      <c r="C22" s="23"/>
      <c r="D22" s="23"/>
      <c r="E22" s="24"/>
      <c r="F22" s="25" t="str">
        <f aca="false">IF(OR(D22="",E22=""),"",D22*E22)</f>
        <v/>
      </c>
      <c r="G22" s="23"/>
      <c r="H22" s="24"/>
      <c r="I22" s="25" t="str">
        <f aca="false">IF(OR(G22="",H22=""),"",G22*H22)</f>
        <v/>
      </c>
      <c r="J22" s="26" t="str">
        <f aca="false">IF(OR(F22="",I22=""),"",I22-F22)</f>
        <v/>
      </c>
      <c r="K22" s="27" t="str">
        <f aca="false">IF(OR(F22="",F22=0,I22=""),"",(I22-F22)/F22)</f>
        <v/>
      </c>
      <c r="L22" s="23"/>
      <c r="M22" s="23"/>
      <c r="N22" s="28"/>
      <c r="O22" s="23"/>
      <c r="P22" s="23"/>
      <c r="Q22" s="23"/>
      <c r="R22" s="23"/>
      <c r="S22" s="23"/>
      <c r="T22" s="23"/>
    </row>
    <row r="23" customFormat="false" ht="15" hidden="false" customHeight="false" outlineLevel="0" collapsed="false">
      <c r="A23" s="23"/>
      <c r="B23" s="23"/>
      <c r="C23" s="23"/>
      <c r="D23" s="23"/>
      <c r="E23" s="24"/>
      <c r="F23" s="25" t="str">
        <f aca="false">IF(OR(D23="",E23=""),"",D23*E23)</f>
        <v/>
      </c>
      <c r="G23" s="23"/>
      <c r="H23" s="24"/>
      <c r="I23" s="25" t="str">
        <f aca="false">IF(OR(G23="",H23=""),"",G23*H23)</f>
        <v/>
      </c>
      <c r="J23" s="26" t="str">
        <f aca="false">IF(OR(F23="",I23=""),"",I23-F23)</f>
        <v/>
      </c>
      <c r="K23" s="27" t="str">
        <f aca="false">IF(OR(F23="",F23=0,I23=""),"",(I23-F23)/F23)</f>
        <v/>
      </c>
      <c r="L23" s="23"/>
      <c r="M23" s="23"/>
      <c r="N23" s="28"/>
      <c r="O23" s="23"/>
      <c r="P23" s="23"/>
      <c r="Q23" s="23"/>
      <c r="R23" s="23"/>
      <c r="S23" s="23"/>
      <c r="T23" s="23"/>
    </row>
    <row r="24" customFormat="false" ht="15" hidden="false" customHeight="false" outlineLevel="0" collapsed="false">
      <c r="A24" s="23"/>
      <c r="B24" s="23"/>
      <c r="C24" s="23"/>
      <c r="D24" s="23"/>
      <c r="E24" s="24"/>
      <c r="F24" s="25" t="str">
        <f aca="false">IF(OR(D24="",E24=""),"",D24*E24)</f>
        <v/>
      </c>
      <c r="G24" s="23"/>
      <c r="H24" s="24"/>
      <c r="I24" s="25" t="str">
        <f aca="false">IF(OR(G24="",H24=""),"",G24*H24)</f>
        <v/>
      </c>
      <c r="J24" s="26" t="str">
        <f aca="false">IF(OR(F24="",I24=""),"",I24-F24)</f>
        <v/>
      </c>
      <c r="K24" s="27" t="str">
        <f aca="false">IF(OR(F24="",F24=0,I24=""),"",(I24-F24)/F24)</f>
        <v/>
      </c>
      <c r="L24" s="23"/>
      <c r="M24" s="23"/>
      <c r="N24" s="28"/>
      <c r="O24" s="23"/>
      <c r="P24" s="23"/>
      <c r="Q24" s="23"/>
      <c r="R24" s="23"/>
      <c r="S24" s="23"/>
      <c r="T24" s="23"/>
    </row>
    <row r="25" customFormat="false" ht="15" hidden="false" customHeight="false" outlineLevel="0" collapsed="false">
      <c r="A25" s="23"/>
      <c r="B25" s="23"/>
      <c r="C25" s="23"/>
      <c r="D25" s="23"/>
      <c r="E25" s="24"/>
      <c r="F25" s="25" t="str">
        <f aca="false">IF(OR(D25="",E25=""),"",D25*E25)</f>
        <v/>
      </c>
      <c r="G25" s="23"/>
      <c r="H25" s="24"/>
      <c r="I25" s="25" t="str">
        <f aca="false">IF(OR(G25="",H25=""),"",G25*H25)</f>
        <v/>
      </c>
      <c r="J25" s="26" t="str">
        <f aca="false">IF(OR(F25="",I25=""),"",I25-F25)</f>
        <v/>
      </c>
      <c r="K25" s="27" t="str">
        <f aca="false">IF(OR(F25="",F25=0,I25=""),"",(I25-F25)/F25)</f>
        <v/>
      </c>
      <c r="L25" s="23"/>
      <c r="M25" s="23"/>
      <c r="N25" s="28"/>
      <c r="O25" s="23"/>
      <c r="P25" s="23"/>
      <c r="Q25" s="23"/>
      <c r="R25" s="23"/>
      <c r="S25" s="23"/>
      <c r="T25" s="23"/>
    </row>
    <row r="26" customFormat="false" ht="15" hidden="false" customHeight="false" outlineLevel="0" collapsed="false">
      <c r="A26" s="23"/>
      <c r="B26" s="23"/>
      <c r="C26" s="23"/>
      <c r="D26" s="23"/>
      <c r="E26" s="24"/>
      <c r="F26" s="25" t="str">
        <f aca="false">IF(OR(D26="",E26=""),"",D26*E26)</f>
        <v/>
      </c>
      <c r="G26" s="23"/>
      <c r="H26" s="24"/>
      <c r="I26" s="25" t="str">
        <f aca="false">IF(OR(G26="",H26=""),"",G26*H26)</f>
        <v/>
      </c>
      <c r="J26" s="26" t="str">
        <f aca="false">IF(OR(F26="",I26=""),"",I26-F26)</f>
        <v/>
      </c>
      <c r="K26" s="27" t="str">
        <f aca="false">IF(OR(F26="",F26=0,I26=""),"",(I26-F26)/F26)</f>
        <v/>
      </c>
      <c r="L26" s="23"/>
      <c r="M26" s="23"/>
      <c r="N26" s="28"/>
      <c r="O26" s="23"/>
      <c r="P26" s="23"/>
      <c r="Q26" s="23"/>
      <c r="R26" s="23"/>
      <c r="S26" s="23"/>
      <c r="T26" s="23"/>
    </row>
    <row r="27" customFormat="false" ht="15" hidden="false" customHeight="false" outlineLevel="0" collapsed="false">
      <c r="A27" s="23"/>
      <c r="B27" s="23"/>
      <c r="C27" s="23"/>
      <c r="D27" s="23"/>
      <c r="E27" s="24"/>
      <c r="F27" s="25" t="str">
        <f aca="false">IF(OR(D27="",E27=""),"",D27*E27)</f>
        <v/>
      </c>
      <c r="G27" s="23"/>
      <c r="H27" s="24"/>
      <c r="I27" s="25" t="str">
        <f aca="false">IF(OR(G27="",H27=""),"",G27*H27)</f>
        <v/>
      </c>
      <c r="J27" s="26" t="str">
        <f aca="false">IF(OR(F27="",I27=""),"",I27-F27)</f>
        <v/>
      </c>
      <c r="K27" s="27" t="str">
        <f aca="false">IF(OR(F27="",F27=0,I27=""),"",(I27-F27)/F27)</f>
        <v/>
      </c>
      <c r="L27" s="23"/>
      <c r="M27" s="23"/>
      <c r="N27" s="28"/>
      <c r="O27" s="23"/>
      <c r="P27" s="23"/>
      <c r="Q27" s="23"/>
      <c r="R27" s="23"/>
      <c r="S27" s="23"/>
      <c r="T27" s="23"/>
    </row>
    <row r="28" customFormat="false" ht="15" hidden="false" customHeight="false" outlineLevel="0" collapsed="false">
      <c r="A28" s="23"/>
      <c r="B28" s="23"/>
      <c r="C28" s="23"/>
      <c r="D28" s="23"/>
      <c r="E28" s="24"/>
      <c r="F28" s="25" t="str">
        <f aca="false">IF(OR(D28="",E28=""),"",D28*E28)</f>
        <v/>
      </c>
      <c r="G28" s="23"/>
      <c r="H28" s="24"/>
      <c r="I28" s="25" t="str">
        <f aca="false">IF(OR(G28="",H28=""),"",G28*H28)</f>
        <v/>
      </c>
      <c r="J28" s="26" t="str">
        <f aca="false">IF(OR(F28="",I28=""),"",I28-F28)</f>
        <v/>
      </c>
      <c r="K28" s="27" t="str">
        <f aca="false">IF(OR(F28="",F28=0,I28=""),"",(I28-F28)/F28)</f>
        <v/>
      </c>
      <c r="L28" s="23"/>
      <c r="M28" s="23"/>
      <c r="N28" s="28"/>
      <c r="O28" s="23"/>
      <c r="P28" s="23"/>
      <c r="Q28" s="23"/>
      <c r="R28" s="23"/>
      <c r="S28" s="23"/>
      <c r="T28" s="23"/>
    </row>
    <row r="29" customFormat="false" ht="15" hidden="false" customHeight="false" outlineLevel="0" collapsed="false">
      <c r="A29" s="23"/>
      <c r="B29" s="23"/>
      <c r="C29" s="23"/>
      <c r="D29" s="23"/>
      <c r="E29" s="24"/>
      <c r="F29" s="25" t="str">
        <f aca="false">IF(OR(D29="",E29=""),"",D29*E29)</f>
        <v/>
      </c>
      <c r="G29" s="23"/>
      <c r="H29" s="24"/>
      <c r="I29" s="25" t="str">
        <f aca="false">IF(OR(G29="",H29=""),"",G29*H29)</f>
        <v/>
      </c>
      <c r="J29" s="26" t="str">
        <f aca="false">IF(OR(F29="",I29=""),"",I29-F29)</f>
        <v/>
      </c>
      <c r="K29" s="27" t="str">
        <f aca="false">IF(OR(F29="",F29=0,I29=""),"",(I29-F29)/F29)</f>
        <v/>
      </c>
      <c r="L29" s="23"/>
      <c r="M29" s="23"/>
      <c r="N29" s="28"/>
      <c r="O29" s="23"/>
      <c r="P29" s="23"/>
      <c r="Q29" s="23"/>
      <c r="R29" s="23"/>
      <c r="S29" s="23"/>
      <c r="T29" s="23"/>
    </row>
    <row r="30" customFormat="false" ht="15" hidden="false" customHeight="false" outlineLevel="0" collapsed="false">
      <c r="A30" s="23"/>
      <c r="B30" s="23"/>
      <c r="C30" s="23"/>
      <c r="D30" s="23"/>
      <c r="E30" s="24"/>
      <c r="F30" s="25" t="str">
        <f aca="false">IF(OR(D30="",E30=""),"",D30*E30)</f>
        <v/>
      </c>
      <c r="G30" s="23"/>
      <c r="H30" s="24"/>
      <c r="I30" s="25" t="str">
        <f aca="false">IF(OR(G30="",H30=""),"",G30*H30)</f>
        <v/>
      </c>
      <c r="J30" s="26" t="str">
        <f aca="false">IF(OR(F30="",I30=""),"",I30-F30)</f>
        <v/>
      </c>
      <c r="K30" s="27" t="str">
        <f aca="false">IF(OR(F30="",F30=0,I30=""),"",(I30-F30)/F30)</f>
        <v/>
      </c>
      <c r="L30" s="23"/>
      <c r="M30" s="23"/>
      <c r="N30" s="28"/>
      <c r="O30" s="23"/>
      <c r="P30" s="23"/>
      <c r="Q30" s="23"/>
      <c r="R30" s="23"/>
      <c r="S30" s="23"/>
      <c r="T30" s="23"/>
    </row>
    <row r="31" customFormat="false" ht="15" hidden="false" customHeight="false" outlineLevel="0" collapsed="false">
      <c r="A31" s="23"/>
      <c r="B31" s="23"/>
      <c r="C31" s="23"/>
      <c r="D31" s="23"/>
      <c r="E31" s="24"/>
      <c r="F31" s="25" t="str">
        <f aca="false">IF(OR(D31="",E31=""),"",D31*E31)</f>
        <v/>
      </c>
      <c r="G31" s="23"/>
      <c r="H31" s="24"/>
      <c r="I31" s="25" t="str">
        <f aca="false">IF(OR(G31="",H31=""),"",G31*H31)</f>
        <v/>
      </c>
      <c r="J31" s="26" t="str">
        <f aca="false">IF(OR(F31="",I31=""),"",I31-F31)</f>
        <v/>
      </c>
      <c r="K31" s="27" t="str">
        <f aca="false">IF(OR(F31="",F31=0,I31=""),"",(I31-F31)/F31)</f>
        <v/>
      </c>
      <c r="L31" s="23"/>
      <c r="M31" s="23"/>
      <c r="N31" s="28"/>
      <c r="O31" s="23"/>
      <c r="P31" s="23"/>
      <c r="Q31" s="23"/>
      <c r="R31" s="23"/>
      <c r="S31" s="23"/>
      <c r="T31" s="23"/>
    </row>
    <row r="32" customFormat="false" ht="15" hidden="false" customHeight="false" outlineLevel="0" collapsed="false">
      <c r="A32" s="23"/>
      <c r="B32" s="23"/>
      <c r="C32" s="23"/>
      <c r="D32" s="23"/>
      <c r="E32" s="24"/>
      <c r="F32" s="25" t="str">
        <f aca="false">IF(OR(D32="",E32=""),"",D32*E32)</f>
        <v/>
      </c>
      <c r="G32" s="23"/>
      <c r="H32" s="24"/>
      <c r="I32" s="25" t="str">
        <f aca="false">IF(OR(G32="",H32=""),"",G32*H32)</f>
        <v/>
      </c>
      <c r="J32" s="26" t="str">
        <f aca="false">IF(OR(F32="",I32=""),"",I32-F32)</f>
        <v/>
      </c>
      <c r="K32" s="27" t="str">
        <f aca="false">IF(OR(F32="",F32=0,I32=""),"",(I32-F32)/F32)</f>
        <v/>
      </c>
      <c r="L32" s="23"/>
      <c r="M32" s="23"/>
      <c r="N32" s="28"/>
      <c r="O32" s="23"/>
      <c r="P32" s="23"/>
      <c r="Q32" s="23"/>
      <c r="R32" s="23"/>
      <c r="S32" s="23"/>
      <c r="T32" s="23"/>
    </row>
    <row r="33" customFormat="false" ht="15" hidden="false" customHeight="false" outlineLevel="0" collapsed="false">
      <c r="A33" s="23"/>
      <c r="B33" s="23"/>
      <c r="C33" s="23"/>
      <c r="D33" s="23"/>
      <c r="E33" s="24"/>
      <c r="F33" s="25" t="str">
        <f aca="false">IF(OR(D33="",E33=""),"",D33*E33)</f>
        <v/>
      </c>
      <c r="G33" s="23"/>
      <c r="H33" s="24"/>
      <c r="I33" s="25" t="str">
        <f aca="false">IF(OR(G33="",H33=""),"",G33*H33)</f>
        <v/>
      </c>
      <c r="J33" s="26" t="str">
        <f aca="false">IF(OR(F33="",I33=""),"",I33-F33)</f>
        <v/>
      </c>
      <c r="K33" s="27" t="str">
        <f aca="false">IF(OR(F33="",F33=0,I33=""),"",(I33-F33)/F33)</f>
        <v/>
      </c>
      <c r="L33" s="23"/>
      <c r="M33" s="23"/>
      <c r="N33" s="28"/>
      <c r="O33" s="23"/>
      <c r="P33" s="23"/>
      <c r="Q33" s="23"/>
      <c r="R33" s="23"/>
      <c r="S33" s="23"/>
      <c r="T33" s="23"/>
    </row>
    <row r="34" customFormat="false" ht="15" hidden="false" customHeight="false" outlineLevel="0" collapsed="false">
      <c r="A34" s="23"/>
      <c r="B34" s="23"/>
      <c r="C34" s="23"/>
      <c r="D34" s="23"/>
      <c r="E34" s="24"/>
      <c r="F34" s="25" t="str">
        <f aca="false">IF(OR(D34="",E34=""),"",D34*E34)</f>
        <v/>
      </c>
      <c r="G34" s="23"/>
      <c r="H34" s="24"/>
      <c r="I34" s="25" t="str">
        <f aca="false">IF(OR(G34="",H34=""),"",G34*H34)</f>
        <v/>
      </c>
      <c r="J34" s="26" t="str">
        <f aca="false">IF(OR(F34="",I34=""),"",I34-F34)</f>
        <v/>
      </c>
      <c r="K34" s="27" t="str">
        <f aca="false">IF(OR(F34="",F34=0,I34=""),"",(I34-F34)/F34)</f>
        <v/>
      </c>
      <c r="L34" s="23"/>
      <c r="M34" s="23"/>
      <c r="N34" s="28"/>
      <c r="O34" s="23"/>
      <c r="P34" s="23"/>
      <c r="Q34" s="23"/>
      <c r="R34" s="23"/>
      <c r="S34" s="23"/>
      <c r="T34" s="23"/>
    </row>
    <row r="35" customFormat="false" ht="15" hidden="false" customHeight="false" outlineLevel="0" collapsed="false">
      <c r="A35" s="23"/>
      <c r="B35" s="23"/>
      <c r="C35" s="23"/>
      <c r="D35" s="23"/>
      <c r="E35" s="24"/>
      <c r="F35" s="25" t="str">
        <f aca="false">IF(OR(D35="",E35=""),"",D35*E35)</f>
        <v/>
      </c>
      <c r="G35" s="23"/>
      <c r="H35" s="24"/>
      <c r="I35" s="25" t="str">
        <f aca="false">IF(OR(G35="",H35=""),"",G35*H35)</f>
        <v/>
      </c>
      <c r="J35" s="26" t="str">
        <f aca="false">IF(OR(F35="",I35=""),"",I35-F35)</f>
        <v/>
      </c>
      <c r="K35" s="27" t="str">
        <f aca="false">IF(OR(F35="",F35=0,I35=""),"",(I35-F35)/F35)</f>
        <v/>
      </c>
      <c r="L35" s="23"/>
      <c r="M35" s="23"/>
      <c r="N35" s="28"/>
      <c r="O35" s="23"/>
      <c r="P35" s="23"/>
      <c r="Q35" s="23"/>
      <c r="R35" s="23"/>
      <c r="S35" s="23"/>
      <c r="T35" s="23"/>
    </row>
    <row r="36" customFormat="false" ht="15" hidden="false" customHeight="false" outlineLevel="0" collapsed="false">
      <c r="A36" s="23"/>
      <c r="B36" s="23"/>
      <c r="C36" s="23"/>
      <c r="D36" s="23"/>
      <c r="E36" s="24"/>
      <c r="F36" s="25" t="str">
        <f aca="false">IF(OR(D36="",E36=""),"",D36*E36)</f>
        <v/>
      </c>
      <c r="G36" s="23"/>
      <c r="H36" s="24"/>
      <c r="I36" s="25" t="str">
        <f aca="false">IF(OR(G36="",H36=""),"",G36*H36)</f>
        <v/>
      </c>
      <c r="J36" s="26" t="str">
        <f aca="false">IF(OR(F36="",I36=""),"",I36-F36)</f>
        <v/>
      </c>
      <c r="K36" s="27" t="str">
        <f aca="false">IF(OR(F36="",F36=0,I36=""),"",(I36-F36)/F36)</f>
        <v/>
      </c>
      <c r="L36" s="23"/>
      <c r="M36" s="23"/>
      <c r="N36" s="28"/>
      <c r="O36" s="23"/>
      <c r="P36" s="23"/>
      <c r="Q36" s="23"/>
      <c r="R36" s="23"/>
      <c r="S36" s="23"/>
      <c r="T36" s="23"/>
    </row>
    <row r="37" customFormat="false" ht="15" hidden="false" customHeight="false" outlineLevel="0" collapsed="false">
      <c r="A37" s="23"/>
      <c r="B37" s="23"/>
      <c r="C37" s="23"/>
      <c r="D37" s="23"/>
      <c r="E37" s="24"/>
      <c r="F37" s="25" t="str">
        <f aca="false">IF(OR(D37="",E37=""),"",D37*E37)</f>
        <v/>
      </c>
      <c r="G37" s="23"/>
      <c r="H37" s="24"/>
      <c r="I37" s="25" t="str">
        <f aca="false">IF(OR(G37="",H37=""),"",G37*H37)</f>
        <v/>
      </c>
      <c r="J37" s="26" t="str">
        <f aca="false">IF(OR(F37="",I37=""),"",I37-F37)</f>
        <v/>
      </c>
      <c r="K37" s="27" t="str">
        <f aca="false">IF(OR(F37="",F37=0,I37=""),"",(I37-F37)/F37)</f>
        <v/>
      </c>
      <c r="L37" s="23"/>
      <c r="M37" s="23"/>
      <c r="N37" s="28"/>
      <c r="O37" s="23"/>
      <c r="P37" s="23"/>
      <c r="Q37" s="23"/>
      <c r="R37" s="23"/>
      <c r="S37" s="23"/>
      <c r="T37" s="23"/>
    </row>
    <row r="38" customFormat="false" ht="15" hidden="false" customHeight="false" outlineLevel="0" collapsed="false">
      <c r="A38" s="23"/>
      <c r="B38" s="23"/>
      <c r="C38" s="23"/>
      <c r="D38" s="23"/>
      <c r="E38" s="24"/>
      <c r="F38" s="25" t="str">
        <f aca="false">IF(OR(D38="",E38=""),"",D38*E38)</f>
        <v/>
      </c>
      <c r="G38" s="23"/>
      <c r="H38" s="24"/>
      <c r="I38" s="25" t="str">
        <f aca="false">IF(OR(G38="",H38=""),"",G38*H38)</f>
        <v/>
      </c>
      <c r="J38" s="26" t="str">
        <f aca="false">IF(OR(F38="",I38=""),"",I38-F38)</f>
        <v/>
      </c>
      <c r="K38" s="27" t="str">
        <f aca="false">IF(OR(F38="",F38=0,I38=""),"",(I38-F38)/F38)</f>
        <v/>
      </c>
      <c r="L38" s="23"/>
      <c r="M38" s="23"/>
      <c r="N38" s="28"/>
      <c r="O38" s="23"/>
      <c r="P38" s="23"/>
      <c r="Q38" s="23"/>
      <c r="R38" s="23"/>
      <c r="S38" s="23"/>
      <c r="T38" s="23"/>
    </row>
    <row r="39" customFormat="false" ht="15" hidden="false" customHeight="false" outlineLevel="0" collapsed="false">
      <c r="A39" s="23"/>
      <c r="B39" s="23"/>
      <c r="C39" s="23"/>
      <c r="D39" s="23"/>
      <c r="E39" s="24"/>
      <c r="F39" s="25" t="str">
        <f aca="false">IF(OR(D39="",E39=""),"",D39*E39)</f>
        <v/>
      </c>
      <c r="G39" s="23"/>
      <c r="H39" s="24"/>
      <c r="I39" s="25" t="str">
        <f aca="false">IF(OR(G39="",H39=""),"",G39*H39)</f>
        <v/>
      </c>
      <c r="J39" s="26" t="str">
        <f aca="false">IF(OR(F39="",I39=""),"",I39-F39)</f>
        <v/>
      </c>
      <c r="K39" s="27" t="str">
        <f aca="false">IF(OR(F39="",F39=0,I39=""),"",(I39-F39)/F39)</f>
        <v/>
      </c>
      <c r="L39" s="23"/>
      <c r="M39" s="23"/>
      <c r="N39" s="28"/>
      <c r="O39" s="23"/>
      <c r="P39" s="23"/>
      <c r="Q39" s="23"/>
      <c r="R39" s="23"/>
      <c r="S39" s="23"/>
      <c r="T39" s="23"/>
    </row>
    <row r="40" customFormat="false" ht="15" hidden="false" customHeight="false" outlineLevel="0" collapsed="false">
      <c r="A40" s="23"/>
      <c r="B40" s="23"/>
      <c r="C40" s="23"/>
      <c r="D40" s="23"/>
      <c r="E40" s="24"/>
      <c r="F40" s="25" t="str">
        <f aca="false">IF(OR(D40="",E40=""),"",D40*E40)</f>
        <v/>
      </c>
      <c r="G40" s="23"/>
      <c r="H40" s="24"/>
      <c r="I40" s="25" t="str">
        <f aca="false">IF(OR(G40="",H40=""),"",G40*H40)</f>
        <v/>
      </c>
      <c r="J40" s="26" t="str">
        <f aca="false">IF(OR(F40="",I40=""),"",I40-F40)</f>
        <v/>
      </c>
      <c r="K40" s="27" t="str">
        <f aca="false">IF(OR(F40="",F40=0,I40=""),"",(I40-F40)/F40)</f>
        <v/>
      </c>
      <c r="L40" s="23"/>
      <c r="M40" s="23"/>
      <c r="N40" s="28"/>
      <c r="O40" s="23"/>
      <c r="P40" s="23"/>
      <c r="Q40" s="23"/>
      <c r="R40" s="23"/>
      <c r="S40" s="23"/>
      <c r="T40" s="23"/>
    </row>
    <row r="41" customFormat="false" ht="15" hidden="false" customHeight="false" outlineLevel="0" collapsed="false">
      <c r="A41" s="23"/>
      <c r="B41" s="23"/>
      <c r="C41" s="23"/>
      <c r="D41" s="23"/>
      <c r="E41" s="24"/>
      <c r="F41" s="25" t="str">
        <f aca="false">IF(OR(D41="",E41=""),"",D41*E41)</f>
        <v/>
      </c>
      <c r="G41" s="23"/>
      <c r="H41" s="24"/>
      <c r="I41" s="25" t="str">
        <f aca="false">IF(OR(G41="",H41=""),"",G41*H41)</f>
        <v/>
      </c>
      <c r="J41" s="26" t="str">
        <f aca="false">IF(OR(F41="",I41=""),"",I41-F41)</f>
        <v/>
      </c>
      <c r="K41" s="27" t="str">
        <f aca="false">IF(OR(F41="",F41=0,I41=""),"",(I41-F41)/F41)</f>
        <v/>
      </c>
      <c r="L41" s="23"/>
      <c r="M41" s="23"/>
      <c r="N41" s="28"/>
      <c r="O41" s="23"/>
      <c r="P41" s="23"/>
      <c r="Q41" s="23"/>
      <c r="R41" s="23"/>
      <c r="S41" s="23"/>
      <c r="T41" s="23"/>
    </row>
    <row r="42" customFormat="false" ht="15" hidden="false" customHeight="false" outlineLevel="0" collapsed="false">
      <c r="A42" s="23"/>
      <c r="B42" s="23"/>
      <c r="C42" s="23"/>
      <c r="D42" s="23"/>
      <c r="E42" s="24"/>
      <c r="F42" s="25" t="str">
        <f aca="false">IF(OR(D42="",E42=""),"",D42*E42)</f>
        <v/>
      </c>
      <c r="G42" s="23"/>
      <c r="H42" s="24"/>
      <c r="I42" s="25" t="str">
        <f aca="false">IF(OR(G42="",H42=""),"",G42*H42)</f>
        <v/>
      </c>
      <c r="J42" s="26" t="str">
        <f aca="false">IF(OR(F42="",I42=""),"",I42-F42)</f>
        <v/>
      </c>
      <c r="K42" s="27" t="str">
        <f aca="false">IF(OR(F42="",F42=0,I42=""),"",(I42-F42)/F42)</f>
        <v/>
      </c>
      <c r="L42" s="23"/>
      <c r="M42" s="23"/>
      <c r="N42" s="28"/>
      <c r="O42" s="23"/>
      <c r="P42" s="23"/>
      <c r="Q42" s="23"/>
      <c r="R42" s="23"/>
      <c r="S42" s="23"/>
      <c r="T42" s="23"/>
    </row>
    <row r="43" customFormat="false" ht="15" hidden="false" customHeight="false" outlineLevel="0" collapsed="false">
      <c r="A43" s="23"/>
      <c r="B43" s="23"/>
      <c r="C43" s="23"/>
      <c r="D43" s="23"/>
      <c r="E43" s="24"/>
      <c r="F43" s="25" t="str">
        <f aca="false">IF(OR(D43="",E43=""),"",D43*E43)</f>
        <v/>
      </c>
      <c r="G43" s="23"/>
      <c r="H43" s="24"/>
      <c r="I43" s="25" t="str">
        <f aca="false">IF(OR(G43="",H43=""),"",G43*H43)</f>
        <v/>
      </c>
      <c r="J43" s="26" t="str">
        <f aca="false">IF(OR(F43="",I43=""),"",I43-F43)</f>
        <v/>
      </c>
      <c r="K43" s="27" t="str">
        <f aca="false">IF(OR(F43="",F43=0,I43=""),"",(I43-F43)/F43)</f>
        <v/>
      </c>
      <c r="L43" s="23"/>
      <c r="M43" s="23"/>
      <c r="N43" s="28"/>
      <c r="O43" s="23"/>
      <c r="P43" s="23"/>
      <c r="Q43" s="23"/>
      <c r="R43" s="23"/>
      <c r="S43" s="23"/>
      <c r="T43" s="23"/>
    </row>
    <row r="44" customFormat="false" ht="15" hidden="false" customHeight="false" outlineLevel="0" collapsed="false">
      <c r="A44" s="23"/>
      <c r="B44" s="23"/>
      <c r="C44" s="23"/>
      <c r="D44" s="23"/>
      <c r="E44" s="24"/>
      <c r="F44" s="25" t="str">
        <f aca="false">IF(OR(D44="",E44=""),"",D44*E44)</f>
        <v/>
      </c>
      <c r="G44" s="23"/>
      <c r="H44" s="24"/>
      <c r="I44" s="25" t="str">
        <f aca="false">IF(OR(G44="",H44=""),"",G44*H44)</f>
        <v/>
      </c>
      <c r="J44" s="26" t="str">
        <f aca="false">IF(OR(F44="",I44=""),"",I44-F44)</f>
        <v/>
      </c>
      <c r="K44" s="27" t="str">
        <f aca="false">IF(OR(F44="",F44=0,I44=""),"",(I44-F44)/F44)</f>
        <v/>
      </c>
      <c r="L44" s="23"/>
      <c r="M44" s="23"/>
      <c r="N44" s="28"/>
      <c r="O44" s="23"/>
      <c r="P44" s="23"/>
      <c r="Q44" s="23"/>
      <c r="R44" s="23"/>
      <c r="S44" s="23"/>
      <c r="T44" s="23"/>
    </row>
    <row r="45" customFormat="false" ht="15" hidden="false" customHeight="false" outlineLevel="0" collapsed="false">
      <c r="A45" s="23"/>
      <c r="B45" s="23"/>
      <c r="C45" s="23"/>
      <c r="D45" s="23"/>
      <c r="E45" s="24"/>
      <c r="F45" s="25" t="str">
        <f aca="false">IF(OR(D45="",E45=""),"",D45*E45)</f>
        <v/>
      </c>
      <c r="G45" s="23"/>
      <c r="H45" s="24"/>
      <c r="I45" s="25" t="str">
        <f aca="false">IF(OR(G45="",H45=""),"",G45*H45)</f>
        <v/>
      </c>
      <c r="J45" s="26" t="str">
        <f aca="false">IF(OR(F45="",I45=""),"",I45-F45)</f>
        <v/>
      </c>
      <c r="K45" s="27" t="str">
        <f aca="false">IF(OR(F45="",F45=0,I45=""),"",(I45-F45)/F45)</f>
        <v/>
      </c>
      <c r="L45" s="23"/>
      <c r="M45" s="23"/>
      <c r="N45" s="28"/>
      <c r="O45" s="23"/>
      <c r="P45" s="23"/>
      <c r="Q45" s="23"/>
      <c r="R45" s="23"/>
      <c r="S45" s="23"/>
      <c r="T45" s="23"/>
    </row>
    <row r="46" customFormat="false" ht="15" hidden="false" customHeight="false" outlineLevel="0" collapsed="false">
      <c r="A46" s="23"/>
      <c r="B46" s="23"/>
      <c r="C46" s="23"/>
      <c r="D46" s="23"/>
      <c r="E46" s="24"/>
      <c r="F46" s="25" t="str">
        <f aca="false">IF(OR(D46="",E46=""),"",D46*E46)</f>
        <v/>
      </c>
      <c r="G46" s="23"/>
      <c r="H46" s="24"/>
      <c r="I46" s="25" t="str">
        <f aca="false">IF(OR(G46="",H46=""),"",G46*H46)</f>
        <v/>
      </c>
      <c r="J46" s="26" t="str">
        <f aca="false">IF(OR(F46="",I46=""),"",I46-F46)</f>
        <v/>
      </c>
      <c r="K46" s="27" t="str">
        <f aca="false">IF(OR(F46="",F46=0,I46=""),"",(I46-F46)/F46)</f>
        <v/>
      </c>
      <c r="L46" s="23"/>
      <c r="M46" s="23"/>
      <c r="N46" s="28"/>
      <c r="O46" s="23"/>
      <c r="P46" s="23"/>
      <c r="Q46" s="23"/>
      <c r="R46" s="23"/>
      <c r="S46" s="23"/>
      <c r="T46" s="23"/>
    </row>
    <row r="47" customFormat="false" ht="15" hidden="false" customHeight="false" outlineLevel="0" collapsed="false">
      <c r="A47" s="23"/>
      <c r="B47" s="23"/>
      <c r="C47" s="23"/>
      <c r="D47" s="23"/>
      <c r="E47" s="24"/>
      <c r="F47" s="25" t="str">
        <f aca="false">IF(OR(D47="",E47=""),"",D47*E47)</f>
        <v/>
      </c>
      <c r="G47" s="23"/>
      <c r="H47" s="24"/>
      <c r="I47" s="25" t="str">
        <f aca="false">IF(OR(G47="",H47=""),"",G47*H47)</f>
        <v/>
      </c>
      <c r="J47" s="26" t="str">
        <f aca="false">IF(OR(F47="",I47=""),"",I47-F47)</f>
        <v/>
      </c>
      <c r="K47" s="27" t="str">
        <f aca="false">IF(OR(F47="",F47=0,I47=""),"",(I47-F47)/F47)</f>
        <v/>
      </c>
      <c r="L47" s="23"/>
      <c r="M47" s="23"/>
      <c r="N47" s="28"/>
      <c r="O47" s="23"/>
      <c r="P47" s="23"/>
      <c r="Q47" s="23"/>
      <c r="R47" s="23"/>
      <c r="S47" s="23"/>
      <c r="T47" s="23"/>
    </row>
    <row r="48" customFormat="false" ht="15" hidden="false" customHeight="false" outlineLevel="0" collapsed="false">
      <c r="A48" s="23"/>
      <c r="B48" s="23"/>
      <c r="C48" s="23"/>
      <c r="D48" s="23"/>
      <c r="E48" s="24"/>
      <c r="F48" s="25" t="str">
        <f aca="false">IF(OR(D48="",E48=""),"",D48*E48)</f>
        <v/>
      </c>
      <c r="G48" s="23"/>
      <c r="H48" s="24"/>
      <c r="I48" s="25" t="str">
        <f aca="false">IF(OR(G48="",H48=""),"",G48*H48)</f>
        <v/>
      </c>
      <c r="J48" s="26" t="str">
        <f aca="false">IF(OR(F48="",I48=""),"",I48-F48)</f>
        <v/>
      </c>
      <c r="K48" s="27" t="str">
        <f aca="false">IF(OR(F48="",F48=0,I48=""),"",(I48-F48)/F48)</f>
        <v/>
      </c>
      <c r="L48" s="23"/>
      <c r="M48" s="23"/>
      <c r="N48" s="28"/>
      <c r="O48" s="23"/>
      <c r="P48" s="23"/>
      <c r="Q48" s="23"/>
      <c r="R48" s="23"/>
      <c r="S48" s="23"/>
      <c r="T48" s="23"/>
    </row>
    <row r="49" customFormat="false" ht="15" hidden="false" customHeight="false" outlineLevel="0" collapsed="false">
      <c r="A49" s="23"/>
      <c r="B49" s="23"/>
      <c r="C49" s="23"/>
      <c r="D49" s="23"/>
      <c r="E49" s="24"/>
      <c r="F49" s="25" t="str">
        <f aca="false">IF(OR(D49="",E49=""),"",D49*E49)</f>
        <v/>
      </c>
      <c r="G49" s="23"/>
      <c r="H49" s="24"/>
      <c r="I49" s="25" t="str">
        <f aca="false">IF(OR(G49="",H49=""),"",G49*H49)</f>
        <v/>
      </c>
      <c r="J49" s="26" t="str">
        <f aca="false">IF(OR(F49="",I49=""),"",I49-F49)</f>
        <v/>
      </c>
      <c r="K49" s="27" t="str">
        <f aca="false">IF(OR(F49="",F49=0,I49=""),"",(I49-F49)/F49)</f>
        <v/>
      </c>
      <c r="L49" s="23"/>
      <c r="M49" s="23"/>
      <c r="N49" s="28"/>
      <c r="O49" s="23"/>
      <c r="P49" s="23"/>
      <c r="Q49" s="23"/>
      <c r="R49" s="23"/>
      <c r="S49" s="23"/>
      <c r="T49" s="23"/>
    </row>
    <row r="50" customFormat="false" ht="15" hidden="false" customHeight="false" outlineLevel="0" collapsed="false">
      <c r="A50" s="23"/>
      <c r="B50" s="23"/>
      <c r="C50" s="23"/>
      <c r="D50" s="23"/>
      <c r="E50" s="24"/>
      <c r="F50" s="25" t="str">
        <f aca="false">IF(OR(D50="",E50=""),"",D50*E50)</f>
        <v/>
      </c>
      <c r="G50" s="23"/>
      <c r="H50" s="24"/>
      <c r="I50" s="25" t="str">
        <f aca="false">IF(OR(G50="",H50=""),"",G50*H50)</f>
        <v/>
      </c>
      <c r="J50" s="26" t="str">
        <f aca="false">IF(OR(F50="",I50=""),"",I50-F50)</f>
        <v/>
      </c>
      <c r="K50" s="27" t="str">
        <f aca="false">IF(OR(F50="",F50=0,I50=""),"",(I50-F50)/F50)</f>
        <v/>
      </c>
      <c r="L50" s="23"/>
      <c r="M50" s="23"/>
      <c r="N50" s="28"/>
      <c r="O50" s="23"/>
      <c r="P50" s="23"/>
      <c r="Q50" s="23"/>
      <c r="R50" s="23"/>
      <c r="S50" s="23"/>
      <c r="T50" s="23"/>
    </row>
    <row r="51" customFormat="false" ht="15" hidden="false" customHeight="false" outlineLevel="0" collapsed="false">
      <c r="A51" s="23"/>
      <c r="B51" s="23"/>
      <c r="C51" s="23"/>
      <c r="D51" s="23"/>
      <c r="E51" s="24"/>
      <c r="F51" s="25" t="str">
        <f aca="false">IF(OR(D51="",E51=""),"",D51*E51)</f>
        <v/>
      </c>
      <c r="G51" s="23"/>
      <c r="H51" s="24"/>
      <c r="I51" s="25" t="str">
        <f aca="false">IF(OR(G51="",H51=""),"",G51*H51)</f>
        <v/>
      </c>
      <c r="J51" s="26" t="str">
        <f aca="false">IF(OR(F51="",I51=""),"",I51-F51)</f>
        <v/>
      </c>
      <c r="K51" s="27" t="str">
        <f aca="false">IF(OR(F51="",F51=0,I51=""),"",(I51-F51)/F51)</f>
        <v/>
      </c>
      <c r="L51" s="23"/>
      <c r="M51" s="23"/>
      <c r="N51" s="28"/>
      <c r="O51" s="23"/>
      <c r="P51" s="23"/>
      <c r="Q51" s="23"/>
      <c r="R51" s="23"/>
      <c r="S51" s="23"/>
      <c r="T51" s="23"/>
    </row>
    <row r="52" customFormat="false" ht="15" hidden="false" customHeight="false" outlineLevel="0" collapsed="false">
      <c r="A52" s="23"/>
      <c r="B52" s="23"/>
      <c r="C52" s="23"/>
      <c r="D52" s="23"/>
      <c r="E52" s="24"/>
      <c r="F52" s="25" t="str">
        <f aca="false">IF(OR(D52="",E52=""),"",D52*E52)</f>
        <v/>
      </c>
      <c r="G52" s="23"/>
      <c r="H52" s="24"/>
      <c r="I52" s="25" t="str">
        <f aca="false">IF(OR(G52="",H52=""),"",G52*H52)</f>
        <v/>
      </c>
      <c r="J52" s="26" t="str">
        <f aca="false">IF(OR(F52="",I52=""),"",I52-F52)</f>
        <v/>
      </c>
      <c r="K52" s="27" t="str">
        <f aca="false">IF(OR(F52="",F52=0,I52=""),"",(I52-F52)/F52)</f>
        <v/>
      </c>
      <c r="L52" s="23"/>
      <c r="M52" s="23"/>
      <c r="N52" s="28"/>
      <c r="O52" s="23"/>
      <c r="P52" s="23"/>
      <c r="Q52" s="23"/>
      <c r="R52" s="23"/>
      <c r="S52" s="23"/>
      <c r="T52" s="23"/>
    </row>
    <row r="53" customFormat="false" ht="15" hidden="false" customHeight="false" outlineLevel="0" collapsed="false">
      <c r="A53" s="23"/>
      <c r="B53" s="23"/>
      <c r="C53" s="23"/>
      <c r="D53" s="23"/>
      <c r="E53" s="24"/>
      <c r="F53" s="25" t="str">
        <f aca="false">IF(OR(D53="",E53=""),"",D53*E53)</f>
        <v/>
      </c>
      <c r="G53" s="23"/>
      <c r="H53" s="24"/>
      <c r="I53" s="25" t="str">
        <f aca="false">IF(OR(G53="",H53=""),"",G53*H53)</f>
        <v/>
      </c>
      <c r="J53" s="26" t="str">
        <f aca="false">IF(OR(F53="",I53=""),"",I53-F53)</f>
        <v/>
      </c>
      <c r="K53" s="27" t="str">
        <f aca="false">IF(OR(F53="",F53=0,I53=""),"",(I53-F53)/F53)</f>
        <v/>
      </c>
      <c r="L53" s="23"/>
      <c r="M53" s="23"/>
      <c r="N53" s="28"/>
      <c r="O53" s="23"/>
      <c r="P53" s="23"/>
      <c r="Q53" s="23"/>
      <c r="R53" s="23"/>
      <c r="S53" s="23"/>
      <c r="T53" s="23"/>
    </row>
    <row r="54" customFormat="false" ht="15" hidden="false" customHeight="false" outlineLevel="0" collapsed="false">
      <c r="A54" s="23"/>
      <c r="B54" s="23"/>
      <c r="C54" s="23"/>
      <c r="D54" s="23"/>
      <c r="E54" s="24"/>
      <c r="F54" s="25" t="str">
        <f aca="false">IF(OR(D54="",E54=""),"",D54*E54)</f>
        <v/>
      </c>
      <c r="G54" s="23"/>
      <c r="H54" s="24"/>
      <c r="I54" s="25" t="str">
        <f aca="false">IF(OR(G54="",H54=""),"",G54*H54)</f>
        <v/>
      </c>
      <c r="J54" s="26" t="str">
        <f aca="false">IF(OR(F54="",I54=""),"",I54-F54)</f>
        <v/>
      </c>
      <c r="K54" s="27" t="str">
        <f aca="false">IF(OR(F54="",F54=0,I54=""),"",(I54-F54)/F54)</f>
        <v/>
      </c>
      <c r="L54" s="23"/>
      <c r="M54" s="23"/>
      <c r="N54" s="28"/>
      <c r="O54" s="23"/>
      <c r="P54" s="23"/>
      <c r="Q54" s="23"/>
      <c r="R54" s="23"/>
      <c r="S54" s="23"/>
      <c r="T54" s="23"/>
    </row>
    <row r="55" customFormat="false" ht="15" hidden="false" customHeight="false" outlineLevel="0" collapsed="false">
      <c r="A55" s="23"/>
      <c r="B55" s="23"/>
      <c r="C55" s="23"/>
      <c r="D55" s="23"/>
      <c r="E55" s="24"/>
      <c r="F55" s="25" t="str">
        <f aca="false">IF(OR(D55="",E55=""),"",D55*E55)</f>
        <v/>
      </c>
      <c r="G55" s="23"/>
      <c r="H55" s="24"/>
      <c r="I55" s="25" t="str">
        <f aca="false">IF(OR(G55="",H55=""),"",G55*H55)</f>
        <v/>
      </c>
      <c r="J55" s="26" t="str">
        <f aca="false">IF(OR(F55="",I55=""),"",I55-F55)</f>
        <v/>
      </c>
      <c r="K55" s="27" t="str">
        <f aca="false">IF(OR(F55="",F55=0,I55=""),"",(I55-F55)/F55)</f>
        <v/>
      </c>
      <c r="L55" s="23"/>
      <c r="M55" s="23"/>
      <c r="N55" s="28"/>
      <c r="O55" s="23"/>
      <c r="P55" s="23"/>
      <c r="Q55" s="23"/>
      <c r="R55" s="23"/>
      <c r="S55" s="23"/>
      <c r="T55" s="23"/>
    </row>
    <row r="56" customFormat="false" ht="15" hidden="false" customHeight="false" outlineLevel="0" collapsed="false">
      <c r="A56" s="23"/>
      <c r="B56" s="23"/>
      <c r="C56" s="23"/>
      <c r="D56" s="23"/>
      <c r="E56" s="24"/>
      <c r="F56" s="25" t="str">
        <f aca="false">IF(OR(D56="",E56=""),"",D56*E56)</f>
        <v/>
      </c>
      <c r="G56" s="23"/>
      <c r="H56" s="24"/>
      <c r="I56" s="25" t="str">
        <f aca="false">IF(OR(G56="",H56=""),"",G56*H56)</f>
        <v/>
      </c>
      <c r="J56" s="26" t="str">
        <f aca="false">IF(OR(F56="",I56=""),"",I56-F56)</f>
        <v/>
      </c>
      <c r="K56" s="27" t="str">
        <f aca="false">IF(OR(F56="",F56=0,I56=""),"",(I56-F56)/F56)</f>
        <v/>
      </c>
      <c r="L56" s="23"/>
      <c r="M56" s="23"/>
      <c r="N56" s="28"/>
      <c r="O56" s="23"/>
      <c r="P56" s="23"/>
      <c r="Q56" s="23"/>
      <c r="R56" s="23"/>
      <c r="S56" s="23"/>
      <c r="T56" s="23"/>
    </row>
    <row r="57" customFormat="false" ht="15" hidden="false" customHeight="false" outlineLevel="0" collapsed="false">
      <c r="A57" s="23"/>
      <c r="B57" s="23"/>
      <c r="C57" s="23"/>
      <c r="D57" s="23"/>
      <c r="E57" s="24"/>
      <c r="F57" s="25" t="str">
        <f aca="false">IF(OR(D57="",E57=""),"",D57*E57)</f>
        <v/>
      </c>
      <c r="G57" s="23"/>
      <c r="H57" s="24"/>
      <c r="I57" s="25" t="str">
        <f aca="false">IF(OR(G57="",H57=""),"",G57*H57)</f>
        <v/>
      </c>
      <c r="J57" s="26" t="str">
        <f aca="false">IF(OR(F57="",I57=""),"",I57-F57)</f>
        <v/>
      </c>
      <c r="K57" s="27" t="str">
        <f aca="false">IF(OR(F57="",F57=0,I57=""),"",(I57-F57)/F57)</f>
        <v/>
      </c>
      <c r="L57" s="23"/>
      <c r="M57" s="23"/>
      <c r="N57" s="28"/>
      <c r="O57" s="23"/>
      <c r="P57" s="23"/>
      <c r="Q57" s="23"/>
      <c r="R57" s="23"/>
      <c r="S57" s="23"/>
      <c r="T57" s="23"/>
    </row>
    <row r="58" customFormat="false" ht="15" hidden="false" customHeight="false" outlineLevel="0" collapsed="false">
      <c r="A58" s="23"/>
      <c r="B58" s="23"/>
      <c r="C58" s="23"/>
      <c r="D58" s="23"/>
      <c r="E58" s="24"/>
      <c r="F58" s="25" t="str">
        <f aca="false">IF(OR(D58="",E58=""),"",D58*E58)</f>
        <v/>
      </c>
      <c r="G58" s="23"/>
      <c r="H58" s="24"/>
      <c r="I58" s="25" t="str">
        <f aca="false">IF(OR(G58="",H58=""),"",G58*H58)</f>
        <v/>
      </c>
      <c r="J58" s="26" t="str">
        <f aca="false">IF(OR(F58="",I58=""),"",I58-F58)</f>
        <v/>
      </c>
      <c r="K58" s="27" t="str">
        <f aca="false">IF(OR(F58="",F58=0,I58=""),"",(I58-F58)/F58)</f>
        <v/>
      </c>
      <c r="L58" s="23"/>
      <c r="M58" s="23"/>
      <c r="N58" s="28"/>
      <c r="O58" s="23"/>
      <c r="P58" s="23"/>
      <c r="Q58" s="23"/>
      <c r="R58" s="23"/>
      <c r="S58" s="23"/>
      <c r="T58" s="23"/>
    </row>
    <row r="59" customFormat="false" ht="15" hidden="false" customHeight="false" outlineLevel="0" collapsed="false">
      <c r="A59" s="23"/>
      <c r="B59" s="23"/>
      <c r="C59" s="23"/>
      <c r="D59" s="23"/>
      <c r="E59" s="24"/>
      <c r="F59" s="25" t="str">
        <f aca="false">IF(OR(D59="",E59=""),"",D59*E59)</f>
        <v/>
      </c>
      <c r="G59" s="23"/>
      <c r="H59" s="24"/>
      <c r="I59" s="25" t="str">
        <f aca="false">IF(OR(G59="",H59=""),"",G59*H59)</f>
        <v/>
      </c>
      <c r="J59" s="26" t="str">
        <f aca="false">IF(OR(F59="",I59=""),"",I59-F59)</f>
        <v/>
      </c>
      <c r="K59" s="27" t="str">
        <f aca="false">IF(OR(F59="",F59=0,I59=""),"",(I59-F59)/F59)</f>
        <v/>
      </c>
      <c r="L59" s="23"/>
      <c r="M59" s="23"/>
      <c r="N59" s="28"/>
      <c r="O59" s="23"/>
      <c r="P59" s="23"/>
      <c r="Q59" s="23"/>
      <c r="R59" s="23"/>
      <c r="S59" s="23"/>
      <c r="T59" s="23"/>
    </row>
    <row r="60" customFormat="false" ht="15" hidden="false" customHeight="false" outlineLevel="0" collapsed="false">
      <c r="A60" s="23"/>
      <c r="B60" s="23"/>
      <c r="C60" s="23"/>
      <c r="D60" s="23"/>
      <c r="E60" s="24"/>
      <c r="F60" s="25" t="str">
        <f aca="false">IF(OR(D60="",E60=""),"",D60*E60)</f>
        <v/>
      </c>
      <c r="G60" s="23"/>
      <c r="H60" s="24"/>
      <c r="I60" s="25" t="str">
        <f aca="false">IF(OR(G60="",H60=""),"",G60*H60)</f>
        <v/>
      </c>
      <c r="J60" s="26" t="str">
        <f aca="false">IF(OR(F60="",I60=""),"",I60-F60)</f>
        <v/>
      </c>
      <c r="K60" s="27" t="str">
        <f aca="false">IF(OR(F60="",F60=0,I60=""),"",(I60-F60)/F60)</f>
        <v/>
      </c>
      <c r="L60" s="23"/>
      <c r="M60" s="23"/>
      <c r="N60" s="28"/>
      <c r="O60" s="23"/>
      <c r="P60" s="23"/>
      <c r="Q60" s="23"/>
      <c r="R60" s="23"/>
      <c r="S60" s="23"/>
      <c r="T60" s="23"/>
    </row>
    <row r="61" customFormat="false" ht="15" hidden="false" customHeight="false" outlineLevel="0" collapsed="false">
      <c r="A61" s="23"/>
      <c r="B61" s="23"/>
      <c r="C61" s="23"/>
      <c r="D61" s="23"/>
      <c r="E61" s="24"/>
      <c r="F61" s="25" t="str">
        <f aca="false">IF(OR(D61="",E61=""),"",D61*E61)</f>
        <v/>
      </c>
      <c r="G61" s="23"/>
      <c r="H61" s="24"/>
      <c r="I61" s="25" t="str">
        <f aca="false">IF(OR(G61="",H61=""),"",G61*H61)</f>
        <v/>
      </c>
      <c r="J61" s="26" t="str">
        <f aca="false">IF(OR(F61="",I61=""),"",I61-F61)</f>
        <v/>
      </c>
      <c r="K61" s="27" t="str">
        <f aca="false">IF(OR(F61="",F61=0,I61=""),"",(I61-F61)/F61)</f>
        <v/>
      </c>
      <c r="L61" s="23"/>
      <c r="M61" s="23"/>
      <c r="N61" s="28"/>
      <c r="O61" s="23"/>
      <c r="P61" s="23"/>
      <c r="Q61" s="23"/>
      <c r="R61" s="23"/>
      <c r="S61" s="23"/>
      <c r="T61" s="23"/>
    </row>
    <row r="62" customFormat="false" ht="15" hidden="false" customHeight="false" outlineLevel="0" collapsed="false">
      <c r="A62" s="23"/>
      <c r="B62" s="23"/>
      <c r="C62" s="23"/>
      <c r="D62" s="23"/>
      <c r="E62" s="24"/>
      <c r="F62" s="25" t="str">
        <f aca="false">IF(OR(D62="",E62=""),"",D62*E62)</f>
        <v/>
      </c>
      <c r="G62" s="23"/>
      <c r="H62" s="24"/>
      <c r="I62" s="25" t="str">
        <f aca="false">IF(OR(G62="",H62=""),"",G62*H62)</f>
        <v/>
      </c>
      <c r="J62" s="26" t="str">
        <f aca="false">IF(OR(F62="",I62=""),"",I62-F62)</f>
        <v/>
      </c>
      <c r="K62" s="27" t="str">
        <f aca="false">IF(OR(F62="",F62=0,I62=""),"",(I62-F62)/F62)</f>
        <v/>
      </c>
      <c r="L62" s="23"/>
      <c r="M62" s="23"/>
      <c r="N62" s="28"/>
      <c r="O62" s="23"/>
      <c r="P62" s="23"/>
      <c r="Q62" s="23"/>
      <c r="R62" s="23"/>
      <c r="S62" s="23"/>
      <c r="T62" s="23"/>
    </row>
    <row r="63" customFormat="false" ht="15" hidden="false" customHeight="false" outlineLevel="0" collapsed="false">
      <c r="A63" s="23"/>
      <c r="B63" s="23"/>
      <c r="C63" s="23"/>
      <c r="D63" s="23"/>
      <c r="E63" s="24"/>
      <c r="F63" s="25" t="str">
        <f aca="false">IF(OR(D63="",E63=""),"",D63*E63)</f>
        <v/>
      </c>
      <c r="G63" s="23"/>
      <c r="H63" s="24"/>
      <c r="I63" s="25" t="str">
        <f aca="false">IF(OR(G63="",H63=""),"",G63*H63)</f>
        <v/>
      </c>
      <c r="J63" s="26" t="str">
        <f aca="false">IF(OR(F63="",I63=""),"",I63-F63)</f>
        <v/>
      </c>
      <c r="K63" s="27" t="str">
        <f aca="false">IF(OR(F63="",F63=0,I63=""),"",(I63-F63)/F63)</f>
        <v/>
      </c>
      <c r="L63" s="23"/>
      <c r="M63" s="23"/>
      <c r="N63" s="28"/>
      <c r="O63" s="23"/>
      <c r="P63" s="23"/>
      <c r="Q63" s="23"/>
      <c r="R63" s="23"/>
      <c r="S63" s="23"/>
      <c r="T63" s="23"/>
    </row>
    <row r="64" customFormat="false" ht="15" hidden="false" customHeight="false" outlineLevel="0" collapsed="false">
      <c r="A64" s="23"/>
      <c r="B64" s="23"/>
      <c r="C64" s="23"/>
      <c r="D64" s="23"/>
      <c r="E64" s="24"/>
      <c r="F64" s="25" t="str">
        <f aca="false">IF(OR(D64="",E64=""),"",D64*E64)</f>
        <v/>
      </c>
      <c r="G64" s="23"/>
      <c r="H64" s="24"/>
      <c r="I64" s="25" t="str">
        <f aca="false">IF(OR(G64="",H64=""),"",G64*H64)</f>
        <v/>
      </c>
      <c r="J64" s="26" t="str">
        <f aca="false">IF(OR(F64="",I64=""),"",I64-F64)</f>
        <v/>
      </c>
      <c r="K64" s="27" t="str">
        <f aca="false">IF(OR(F64="",F64=0,I64=""),"",(I64-F64)/F64)</f>
        <v/>
      </c>
      <c r="L64" s="23"/>
      <c r="M64" s="23"/>
      <c r="N64" s="28"/>
      <c r="O64" s="23"/>
      <c r="P64" s="23"/>
      <c r="Q64" s="23"/>
      <c r="R64" s="23"/>
      <c r="S64" s="23"/>
      <c r="T64" s="23"/>
    </row>
    <row r="65" customFormat="false" ht="15" hidden="false" customHeight="false" outlineLevel="0" collapsed="false">
      <c r="A65" s="23"/>
      <c r="B65" s="23"/>
      <c r="C65" s="23"/>
      <c r="D65" s="23"/>
      <c r="E65" s="24"/>
      <c r="F65" s="25" t="str">
        <f aca="false">IF(OR(D65="",E65=""),"",D65*E65)</f>
        <v/>
      </c>
      <c r="G65" s="23"/>
      <c r="H65" s="24"/>
      <c r="I65" s="25" t="str">
        <f aca="false">IF(OR(G65="",H65=""),"",G65*H65)</f>
        <v/>
      </c>
      <c r="J65" s="26" t="str">
        <f aca="false">IF(OR(F65="",I65=""),"",I65-F65)</f>
        <v/>
      </c>
      <c r="K65" s="27" t="str">
        <f aca="false">IF(OR(F65="",F65=0,I65=""),"",(I65-F65)/F65)</f>
        <v/>
      </c>
      <c r="L65" s="23"/>
      <c r="M65" s="23"/>
      <c r="N65" s="28"/>
      <c r="O65" s="23"/>
      <c r="P65" s="23"/>
      <c r="Q65" s="23"/>
      <c r="R65" s="23"/>
      <c r="S65" s="23"/>
      <c r="T65" s="23"/>
    </row>
    <row r="66" customFormat="false" ht="15" hidden="false" customHeight="false" outlineLevel="0" collapsed="false">
      <c r="A66" s="23"/>
      <c r="B66" s="23"/>
      <c r="C66" s="23"/>
      <c r="D66" s="23"/>
      <c r="E66" s="24"/>
      <c r="F66" s="25" t="str">
        <f aca="false">IF(OR(D66="",E66=""),"",D66*E66)</f>
        <v/>
      </c>
      <c r="G66" s="23"/>
      <c r="H66" s="24"/>
      <c r="I66" s="25" t="str">
        <f aca="false">IF(OR(G66="",H66=""),"",G66*H66)</f>
        <v/>
      </c>
      <c r="J66" s="26" t="str">
        <f aca="false">IF(OR(F66="",I66=""),"",I66-F66)</f>
        <v/>
      </c>
      <c r="K66" s="27" t="str">
        <f aca="false">IF(OR(F66="",F66=0,I66=""),"",(I66-F66)/F66)</f>
        <v/>
      </c>
      <c r="L66" s="23"/>
      <c r="M66" s="23"/>
      <c r="N66" s="28"/>
      <c r="O66" s="23"/>
      <c r="P66" s="23"/>
      <c r="Q66" s="23"/>
      <c r="R66" s="23"/>
      <c r="S66" s="23"/>
      <c r="T66" s="23"/>
    </row>
    <row r="67" customFormat="false" ht="15" hidden="false" customHeight="false" outlineLevel="0" collapsed="false">
      <c r="A67" s="23"/>
      <c r="B67" s="23"/>
      <c r="C67" s="23"/>
      <c r="D67" s="23"/>
      <c r="E67" s="24"/>
      <c r="F67" s="25" t="str">
        <f aca="false">IF(OR(D67="",E67=""),"",D67*E67)</f>
        <v/>
      </c>
      <c r="G67" s="23"/>
      <c r="H67" s="24"/>
      <c r="I67" s="25" t="str">
        <f aca="false">IF(OR(G67="",H67=""),"",G67*H67)</f>
        <v/>
      </c>
      <c r="J67" s="26" t="str">
        <f aca="false">IF(OR(F67="",I67=""),"",I67-F67)</f>
        <v/>
      </c>
      <c r="K67" s="27" t="str">
        <f aca="false">IF(OR(F67="",F67=0,I67=""),"",(I67-F67)/F67)</f>
        <v/>
      </c>
      <c r="L67" s="23"/>
      <c r="M67" s="23"/>
      <c r="N67" s="28"/>
      <c r="O67" s="23"/>
      <c r="P67" s="23"/>
      <c r="Q67" s="23"/>
      <c r="R67" s="23"/>
      <c r="S67" s="23"/>
      <c r="T67" s="23"/>
    </row>
    <row r="68" customFormat="false" ht="15" hidden="false" customHeight="false" outlineLevel="0" collapsed="false">
      <c r="A68" s="23"/>
      <c r="B68" s="23"/>
      <c r="C68" s="23"/>
      <c r="D68" s="23"/>
      <c r="E68" s="24"/>
      <c r="F68" s="25" t="str">
        <f aca="false">IF(OR(D68="",E68=""),"",D68*E68)</f>
        <v/>
      </c>
      <c r="G68" s="23"/>
      <c r="H68" s="24"/>
      <c r="I68" s="25" t="str">
        <f aca="false">IF(OR(G68="",H68=""),"",G68*H68)</f>
        <v/>
      </c>
      <c r="J68" s="26" t="str">
        <f aca="false">IF(OR(F68="",I68=""),"",I68-F68)</f>
        <v/>
      </c>
      <c r="K68" s="27" t="str">
        <f aca="false">IF(OR(F68="",F68=0,I68=""),"",(I68-F68)/F68)</f>
        <v/>
      </c>
      <c r="L68" s="23"/>
      <c r="M68" s="23"/>
      <c r="N68" s="28"/>
      <c r="O68" s="23"/>
      <c r="P68" s="23"/>
      <c r="Q68" s="23"/>
      <c r="R68" s="23"/>
      <c r="S68" s="23"/>
      <c r="T68" s="23"/>
    </row>
    <row r="69" customFormat="false" ht="15" hidden="false" customHeight="false" outlineLevel="0" collapsed="false">
      <c r="A69" s="23"/>
      <c r="B69" s="23"/>
      <c r="C69" s="23"/>
      <c r="D69" s="23"/>
      <c r="E69" s="24"/>
      <c r="F69" s="25" t="str">
        <f aca="false">IF(OR(D69="",E69=""),"",D69*E69)</f>
        <v/>
      </c>
      <c r="G69" s="23"/>
      <c r="H69" s="24"/>
      <c r="I69" s="25" t="str">
        <f aca="false">IF(OR(G69="",H69=""),"",G69*H69)</f>
        <v/>
      </c>
      <c r="J69" s="26" t="str">
        <f aca="false">IF(OR(F69="",I69=""),"",I69-F69)</f>
        <v/>
      </c>
      <c r="K69" s="27" t="str">
        <f aca="false">IF(OR(F69="",F69=0,I69=""),"",(I69-F69)/F69)</f>
        <v/>
      </c>
      <c r="L69" s="23"/>
      <c r="M69" s="23"/>
      <c r="N69" s="28"/>
      <c r="O69" s="23"/>
      <c r="P69" s="23"/>
      <c r="Q69" s="23"/>
      <c r="R69" s="23"/>
      <c r="S69" s="23"/>
      <c r="T69" s="23"/>
    </row>
    <row r="70" customFormat="false" ht="15" hidden="false" customHeight="false" outlineLevel="0" collapsed="false">
      <c r="A70" s="23"/>
      <c r="B70" s="23"/>
      <c r="C70" s="23"/>
      <c r="D70" s="23"/>
      <c r="E70" s="24"/>
      <c r="F70" s="25" t="str">
        <f aca="false">IF(OR(D70="",E70=""),"",D70*E70)</f>
        <v/>
      </c>
      <c r="G70" s="23"/>
      <c r="H70" s="24"/>
      <c r="I70" s="25" t="str">
        <f aca="false">IF(OR(G70="",H70=""),"",G70*H70)</f>
        <v/>
      </c>
      <c r="J70" s="26" t="str">
        <f aca="false">IF(OR(F70="",I70=""),"",I70-F70)</f>
        <v/>
      </c>
      <c r="K70" s="27" t="str">
        <f aca="false">IF(OR(F70="",F70=0,I70=""),"",(I70-F70)/F70)</f>
        <v/>
      </c>
      <c r="L70" s="23"/>
      <c r="M70" s="23"/>
      <c r="N70" s="28"/>
      <c r="O70" s="23"/>
      <c r="P70" s="23"/>
      <c r="Q70" s="23"/>
      <c r="R70" s="23"/>
      <c r="S70" s="23"/>
      <c r="T70" s="23"/>
    </row>
    <row r="71" customFormat="false" ht="15" hidden="false" customHeight="false" outlineLevel="0" collapsed="false">
      <c r="A71" s="23"/>
      <c r="B71" s="23"/>
      <c r="C71" s="23"/>
      <c r="D71" s="23"/>
      <c r="E71" s="24"/>
      <c r="F71" s="25" t="str">
        <f aca="false">IF(OR(D71="",E71=""),"",D71*E71)</f>
        <v/>
      </c>
      <c r="G71" s="23"/>
      <c r="H71" s="24"/>
      <c r="I71" s="25" t="str">
        <f aca="false">IF(OR(G71="",H71=""),"",G71*H71)</f>
        <v/>
      </c>
      <c r="J71" s="26" t="str">
        <f aca="false">IF(OR(F71="",I71=""),"",I71-F71)</f>
        <v/>
      </c>
      <c r="K71" s="27" t="str">
        <f aca="false">IF(OR(F71="",F71=0,I71=""),"",(I71-F71)/F71)</f>
        <v/>
      </c>
      <c r="L71" s="23"/>
      <c r="M71" s="23"/>
      <c r="N71" s="28"/>
      <c r="O71" s="23"/>
      <c r="P71" s="23"/>
      <c r="Q71" s="23"/>
      <c r="R71" s="23"/>
      <c r="S71" s="23"/>
      <c r="T71" s="23"/>
    </row>
    <row r="72" customFormat="false" ht="15" hidden="false" customHeight="false" outlineLevel="0" collapsed="false">
      <c r="A72" s="23"/>
      <c r="B72" s="23"/>
      <c r="C72" s="23"/>
      <c r="D72" s="23"/>
      <c r="E72" s="24"/>
      <c r="F72" s="25" t="str">
        <f aca="false">IF(OR(D72="",E72=""),"",D72*E72)</f>
        <v/>
      </c>
      <c r="G72" s="23"/>
      <c r="H72" s="24"/>
      <c r="I72" s="25" t="str">
        <f aca="false">IF(OR(G72="",H72=""),"",G72*H72)</f>
        <v/>
      </c>
      <c r="J72" s="26" t="str">
        <f aca="false">IF(OR(F72="",I72=""),"",I72-F72)</f>
        <v/>
      </c>
      <c r="K72" s="27" t="str">
        <f aca="false">IF(OR(F72="",F72=0,I72=""),"",(I72-F72)/F72)</f>
        <v/>
      </c>
      <c r="L72" s="23"/>
      <c r="M72" s="23"/>
      <c r="N72" s="28"/>
      <c r="O72" s="23"/>
      <c r="P72" s="23"/>
      <c r="Q72" s="23"/>
      <c r="R72" s="23"/>
      <c r="S72" s="23"/>
      <c r="T72" s="23"/>
    </row>
    <row r="73" customFormat="false" ht="15" hidden="false" customHeight="false" outlineLevel="0" collapsed="false">
      <c r="A73" s="23"/>
      <c r="B73" s="23"/>
      <c r="C73" s="23"/>
      <c r="D73" s="23"/>
      <c r="E73" s="24"/>
      <c r="F73" s="25" t="str">
        <f aca="false">IF(OR(D73="",E73=""),"",D73*E73)</f>
        <v/>
      </c>
      <c r="G73" s="23"/>
      <c r="H73" s="24"/>
      <c r="I73" s="25" t="str">
        <f aca="false">IF(OR(G73="",H73=""),"",G73*H73)</f>
        <v/>
      </c>
      <c r="J73" s="26" t="str">
        <f aca="false">IF(OR(F73="",I73=""),"",I73-F73)</f>
        <v/>
      </c>
      <c r="K73" s="27" t="str">
        <f aca="false">IF(OR(F73="",F73=0,I73=""),"",(I73-F73)/F73)</f>
        <v/>
      </c>
      <c r="L73" s="23"/>
      <c r="M73" s="23"/>
      <c r="N73" s="28"/>
      <c r="O73" s="23"/>
      <c r="P73" s="23"/>
      <c r="Q73" s="23"/>
      <c r="R73" s="23"/>
      <c r="S73" s="23"/>
      <c r="T73" s="23"/>
    </row>
    <row r="74" customFormat="false" ht="15" hidden="false" customHeight="false" outlineLevel="0" collapsed="false">
      <c r="A74" s="23"/>
      <c r="B74" s="23"/>
      <c r="C74" s="23"/>
      <c r="D74" s="23"/>
      <c r="E74" s="24"/>
      <c r="F74" s="25" t="str">
        <f aca="false">IF(OR(D74="",E74=""),"",D74*E74)</f>
        <v/>
      </c>
      <c r="G74" s="23"/>
      <c r="H74" s="24"/>
      <c r="I74" s="25" t="str">
        <f aca="false">IF(OR(G74="",H74=""),"",G74*H74)</f>
        <v/>
      </c>
      <c r="J74" s="26" t="str">
        <f aca="false">IF(OR(F74="",I74=""),"",I74-F74)</f>
        <v/>
      </c>
      <c r="K74" s="27" t="str">
        <f aca="false">IF(OR(F74="",F74=0,I74=""),"",(I74-F74)/F74)</f>
        <v/>
      </c>
      <c r="L74" s="23"/>
      <c r="M74" s="23"/>
      <c r="N74" s="28"/>
      <c r="O74" s="23"/>
      <c r="P74" s="23"/>
      <c r="Q74" s="23"/>
      <c r="R74" s="23"/>
      <c r="S74" s="23"/>
      <c r="T74" s="23"/>
    </row>
    <row r="75" customFormat="false" ht="15" hidden="false" customHeight="false" outlineLevel="0" collapsed="false">
      <c r="A75" s="23"/>
      <c r="B75" s="23"/>
      <c r="C75" s="23"/>
      <c r="D75" s="23"/>
      <c r="E75" s="24"/>
      <c r="F75" s="25" t="str">
        <f aca="false">IF(OR(D75="",E75=""),"",D75*E75)</f>
        <v/>
      </c>
      <c r="G75" s="23"/>
      <c r="H75" s="24"/>
      <c r="I75" s="25" t="str">
        <f aca="false">IF(OR(G75="",H75=""),"",G75*H75)</f>
        <v/>
      </c>
      <c r="J75" s="26" t="str">
        <f aca="false">IF(OR(F75="",I75=""),"",I75-F75)</f>
        <v/>
      </c>
      <c r="K75" s="27" t="str">
        <f aca="false">IF(OR(F75="",F75=0,I75=""),"",(I75-F75)/F75)</f>
        <v/>
      </c>
      <c r="L75" s="23"/>
      <c r="M75" s="23"/>
      <c r="N75" s="28"/>
      <c r="O75" s="23"/>
      <c r="P75" s="23"/>
      <c r="Q75" s="23"/>
      <c r="R75" s="23"/>
      <c r="S75" s="23"/>
      <c r="T75" s="23"/>
    </row>
    <row r="76" customFormat="false" ht="15" hidden="false" customHeight="false" outlineLevel="0" collapsed="false">
      <c r="A76" s="23"/>
      <c r="B76" s="23"/>
      <c r="C76" s="23"/>
      <c r="D76" s="23"/>
      <c r="E76" s="24"/>
      <c r="F76" s="25" t="str">
        <f aca="false">IF(OR(D76="",E76=""),"",D76*E76)</f>
        <v/>
      </c>
      <c r="G76" s="23"/>
      <c r="H76" s="24"/>
      <c r="I76" s="25" t="str">
        <f aca="false">IF(OR(G76="",H76=""),"",G76*H76)</f>
        <v/>
      </c>
      <c r="J76" s="26" t="str">
        <f aca="false">IF(OR(F76="",I76=""),"",I76-F76)</f>
        <v/>
      </c>
      <c r="K76" s="27" t="str">
        <f aca="false">IF(OR(F76="",F76=0,I76=""),"",(I76-F76)/F76)</f>
        <v/>
      </c>
      <c r="L76" s="23"/>
      <c r="M76" s="23"/>
      <c r="N76" s="28"/>
      <c r="O76" s="23"/>
      <c r="P76" s="23"/>
      <c r="Q76" s="23"/>
      <c r="R76" s="23"/>
      <c r="S76" s="23"/>
      <c r="T76" s="23"/>
    </row>
    <row r="77" customFormat="false" ht="15" hidden="false" customHeight="false" outlineLevel="0" collapsed="false">
      <c r="A77" s="23"/>
      <c r="B77" s="23"/>
      <c r="C77" s="23"/>
      <c r="D77" s="23"/>
      <c r="E77" s="24"/>
      <c r="F77" s="25" t="str">
        <f aca="false">IF(OR(D77="",E77=""),"",D77*E77)</f>
        <v/>
      </c>
      <c r="G77" s="23"/>
      <c r="H77" s="24"/>
      <c r="I77" s="25" t="str">
        <f aca="false">IF(OR(G77="",H77=""),"",G77*H77)</f>
        <v/>
      </c>
      <c r="J77" s="26" t="str">
        <f aca="false">IF(OR(F77="",I77=""),"",I77-F77)</f>
        <v/>
      </c>
      <c r="K77" s="27" t="str">
        <f aca="false">IF(OR(F77="",F77=0,I77=""),"",(I77-F77)/F77)</f>
        <v/>
      </c>
      <c r="L77" s="23"/>
      <c r="M77" s="23"/>
      <c r="N77" s="28"/>
      <c r="O77" s="23"/>
      <c r="P77" s="23"/>
      <c r="Q77" s="23"/>
      <c r="R77" s="23"/>
      <c r="S77" s="23"/>
      <c r="T77" s="23"/>
    </row>
    <row r="78" customFormat="false" ht="15" hidden="false" customHeight="false" outlineLevel="0" collapsed="false">
      <c r="A78" s="23"/>
      <c r="B78" s="23"/>
      <c r="C78" s="23"/>
      <c r="D78" s="23"/>
      <c r="E78" s="24"/>
      <c r="F78" s="25" t="str">
        <f aca="false">IF(OR(D78="",E78=""),"",D78*E78)</f>
        <v/>
      </c>
      <c r="G78" s="23"/>
      <c r="H78" s="24"/>
      <c r="I78" s="25" t="str">
        <f aca="false">IF(OR(G78="",H78=""),"",G78*H78)</f>
        <v/>
      </c>
      <c r="J78" s="26" t="str">
        <f aca="false">IF(OR(F78="",I78=""),"",I78-F78)</f>
        <v/>
      </c>
      <c r="K78" s="27" t="str">
        <f aca="false">IF(OR(F78="",F78=0,I78=""),"",(I78-F78)/F78)</f>
        <v/>
      </c>
      <c r="L78" s="23"/>
      <c r="M78" s="23"/>
      <c r="N78" s="28"/>
      <c r="O78" s="23"/>
      <c r="P78" s="23"/>
      <c r="Q78" s="23"/>
      <c r="R78" s="23"/>
      <c r="S78" s="23"/>
      <c r="T78" s="23"/>
    </row>
    <row r="79" customFormat="false" ht="15" hidden="false" customHeight="false" outlineLevel="0" collapsed="false">
      <c r="A79" s="23"/>
      <c r="B79" s="23"/>
      <c r="C79" s="23"/>
      <c r="D79" s="23"/>
      <c r="E79" s="24"/>
      <c r="F79" s="25" t="str">
        <f aca="false">IF(OR(D79="",E79=""),"",D79*E79)</f>
        <v/>
      </c>
      <c r="G79" s="23"/>
      <c r="H79" s="24"/>
      <c r="I79" s="25" t="str">
        <f aca="false">IF(OR(G79="",H79=""),"",G79*H79)</f>
        <v/>
      </c>
      <c r="J79" s="26" t="str">
        <f aca="false">IF(OR(F79="",I79=""),"",I79-F79)</f>
        <v/>
      </c>
      <c r="K79" s="27" t="str">
        <f aca="false">IF(OR(F79="",F79=0,I79=""),"",(I79-F79)/F79)</f>
        <v/>
      </c>
      <c r="L79" s="23"/>
      <c r="M79" s="23"/>
      <c r="N79" s="28"/>
      <c r="O79" s="23"/>
      <c r="P79" s="23"/>
      <c r="Q79" s="23"/>
      <c r="R79" s="23"/>
      <c r="S79" s="23"/>
      <c r="T79" s="23"/>
    </row>
    <row r="80" customFormat="false" ht="15" hidden="false" customHeight="false" outlineLevel="0" collapsed="false">
      <c r="A80" s="23"/>
      <c r="B80" s="23"/>
      <c r="C80" s="23"/>
      <c r="D80" s="23"/>
      <c r="E80" s="24"/>
      <c r="F80" s="25" t="str">
        <f aca="false">IF(OR(D80="",E80=""),"",D80*E80)</f>
        <v/>
      </c>
      <c r="G80" s="23"/>
      <c r="H80" s="24"/>
      <c r="I80" s="25" t="str">
        <f aca="false">IF(OR(G80="",H80=""),"",G80*H80)</f>
        <v/>
      </c>
      <c r="J80" s="26" t="str">
        <f aca="false">IF(OR(F80="",I80=""),"",I80-F80)</f>
        <v/>
      </c>
      <c r="K80" s="27" t="str">
        <f aca="false">IF(OR(F80="",F80=0,I80=""),"",(I80-F80)/F80)</f>
        <v/>
      </c>
      <c r="L80" s="23"/>
      <c r="M80" s="23"/>
      <c r="N80" s="28"/>
      <c r="O80" s="23"/>
      <c r="P80" s="23"/>
      <c r="Q80" s="23"/>
      <c r="R80" s="23"/>
      <c r="S80" s="23"/>
      <c r="T80" s="23"/>
    </row>
    <row r="81" customFormat="false" ht="15" hidden="false" customHeight="false" outlineLevel="0" collapsed="false">
      <c r="A81" s="23"/>
      <c r="B81" s="23"/>
      <c r="C81" s="23"/>
      <c r="D81" s="23"/>
      <c r="E81" s="24"/>
      <c r="F81" s="25" t="str">
        <f aca="false">IF(OR(D81="",E81=""),"",D81*E81)</f>
        <v/>
      </c>
      <c r="G81" s="23"/>
      <c r="H81" s="24"/>
      <c r="I81" s="25" t="str">
        <f aca="false">IF(OR(G81="",H81=""),"",G81*H81)</f>
        <v/>
      </c>
      <c r="J81" s="26" t="str">
        <f aca="false">IF(OR(F81="",I81=""),"",I81-F81)</f>
        <v/>
      </c>
      <c r="K81" s="27" t="str">
        <f aca="false">IF(OR(F81="",F81=0,I81=""),"",(I81-F81)/F81)</f>
        <v/>
      </c>
      <c r="L81" s="23"/>
      <c r="M81" s="23"/>
      <c r="N81" s="28"/>
      <c r="O81" s="23"/>
      <c r="P81" s="23"/>
      <c r="Q81" s="23"/>
      <c r="R81" s="23"/>
      <c r="S81" s="23"/>
      <c r="T81" s="23"/>
    </row>
    <row r="82" customFormat="false" ht="15" hidden="false" customHeight="false" outlineLevel="0" collapsed="false">
      <c r="A82" s="23"/>
      <c r="B82" s="23"/>
      <c r="C82" s="23"/>
      <c r="D82" s="23"/>
      <c r="E82" s="24"/>
      <c r="F82" s="25" t="str">
        <f aca="false">IF(OR(D82="",E82=""),"",D82*E82)</f>
        <v/>
      </c>
      <c r="G82" s="23"/>
      <c r="H82" s="24"/>
      <c r="I82" s="25" t="str">
        <f aca="false">IF(OR(G82="",H82=""),"",G82*H82)</f>
        <v/>
      </c>
      <c r="J82" s="26" t="str">
        <f aca="false">IF(OR(F82="",I82=""),"",I82-F82)</f>
        <v/>
      </c>
      <c r="K82" s="27" t="str">
        <f aca="false">IF(OR(F82="",F82=0,I82=""),"",(I82-F82)/F82)</f>
        <v/>
      </c>
      <c r="L82" s="23"/>
      <c r="M82" s="23"/>
      <c r="N82" s="28"/>
      <c r="O82" s="23"/>
      <c r="P82" s="23"/>
      <c r="Q82" s="23"/>
      <c r="R82" s="23"/>
      <c r="S82" s="23"/>
      <c r="T82" s="23"/>
    </row>
    <row r="83" customFormat="false" ht="15" hidden="false" customHeight="false" outlineLevel="0" collapsed="false">
      <c r="A83" s="23"/>
      <c r="B83" s="23"/>
      <c r="C83" s="23"/>
      <c r="D83" s="23"/>
      <c r="E83" s="24"/>
      <c r="F83" s="25" t="str">
        <f aca="false">IF(OR(D83="",E83=""),"",D83*E83)</f>
        <v/>
      </c>
      <c r="G83" s="23"/>
      <c r="H83" s="24"/>
      <c r="I83" s="25" t="str">
        <f aca="false">IF(OR(G83="",H83=""),"",G83*H83)</f>
        <v/>
      </c>
      <c r="J83" s="26" t="str">
        <f aca="false">IF(OR(F83="",I83=""),"",I83-F83)</f>
        <v/>
      </c>
      <c r="K83" s="27" t="str">
        <f aca="false">IF(OR(F83="",F83=0,I83=""),"",(I83-F83)/F83)</f>
        <v/>
      </c>
      <c r="L83" s="23"/>
      <c r="M83" s="23"/>
      <c r="N83" s="28"/>
      <c r="O83" s="23"/>
      <c r="P83" s="23"/>
      <c r="Q83" s="23"/>
      <c r="R83" s="23"/>
      <c r="S83" s="23"/>
      <c r="T83" s="23"/>
    </row>
    <row r="84" customFormat="false" ht="15" hidden="false" customHeight="false" outlineLevel="0" collapsed="false">
      <c r="A84" s="23"/>
      <c r="B84" s="23"/>
      <c r="C84" s="23"/>
      <c r="D84" s="23"/>
      <c r="E84" s="24"/>
      <c r="F84" s="25" t="str">
        <f aca="false">IF(OR(D84="",E84=""),"",D84*E84)</f>
        <v/>
      </c>
      <c r="G84" s="23"/>
      <c r="H84" s="24"/>
      <c r="I84" s="25" t="str">
        <f aca="false">IF(OR(G84="",H84=""),"",G84*H84)</f>
        <v/>
      </c>
      <c r="J84" s="26" t="str">
        <f aca="false">IF(OR(F84="",I84=""),"",I84-F84)</f>
        <v/>
      </c>
      <c r="K84" s="27" t="str">
        <f aca="false">IF(OR(F84="",F84=0,I84=""),"",(I84-F84)/F84)</f>
        <v/>
      </c>
      <c r="L84" s="23"/>
      <c r="M84" s="23"/>
      <c r="N84" s="28"/>
      <c r="O84" s="23"/>
      <c r="P84" s="23"/>
      <c r="Q84" s="23"/>
      <c r="R84" s="23"/>
      <c r="S84" s="23"/>
      <c r="T84" s="23"/>
    </row>
    <row r="85" customFormat="false" ht="15" hidden="false" customHeight="false" outlineLevel="0" collapsed="false">
      <c r="A85" s="23"/>
      <c r="B85" s="23"/>
      <c r="C85" s="23"/>
      <c r="D85" s="23"/>
      <c r="E85" s="24"/>
      <c r="F85" s="25" t="str">
        <f aca="false">IF(OR(D85="",E85=""),"",D85*E85)</f>
        <v/>
      </c>
      <c r="G85" s="23"/>
      <c r="H85" s="24"/>
      <c r="I85" s="25" t="str">
        <f aca="false">IF(OR(G85="",H85=""),"",G85*H85)</f>
        <v/>
      </c>
      <c r="J85" s="26" t="str">
        <f aca="false">IF(OR(F85="",I85=""),"",I85-F85)</f>
        <v/>
      </c>
      <c r="K85" s="27" t="str">
        <f aca="false">IF(OR(F85="",F85=0,I85=""),"",(I85-F85)/F85)</f>
        <v/>
      </c>
      <c r="L85" s="23"/>
      <c r="M85" s="23"/>
      <c r="N85" s="28"/>
      <c r="O85" s="23"/>
      <c r="P85" s="23"/>
      <c r="Q85" s="23"/>
      <c r="R85" s="23"/>
      <c r="S85" s="23"/>
      <c r="T85" s="23"/>
    </row>
    <row r="86" customFormat="false" ht="15" hidden="false" customHeight="false" outlineLevel="0" collapsed="false">
      <c r="A86" s="23"/>
      <c r="B86" s="23"/>
      <c r="C86" s="23"/>
      <c r="D86" s="23"/>
      <c r="E86" s="24"/>
      <c r="F86" s="25" t="str">
        <f aca="false">IF(OR(D86="",E86=""),"",D86*E86)</f>
        <v/>
      </c>
      <c r="G86" s="23"/>
      <c r="H86" s="24"/>
      <c r="I86" s="25" t="str">
        <f aca="false">IF(OR(G86="",H86=""),"",G86*H86)</f>
        <v/>
      </c>
      <c r="J86" s="26" t="str">
        <f aca="false">IF(OR(F86="",I86=""),"",I86-F86)</f>
        <v/>
      </c>
      <c r="K86" s="27" t="str">
        <f aca="false">IF(OR(F86="",F86=0,I86=""),"",(I86-F86)/F86)</f>
        <v/>
      </c>
      <c r="L86" s="23"/>
      <c r="M86" s="23"/>
      <c r="N86" s="28"/>
      <c r="O86" s="23"/>
      <c r="P86" s="23"/>
      <c r="Q86" s="23"/>
      <c r="R86" s="23"/>
      <c r="S86" s="23"/>
      <c r="T86" s="23"/>
    </row>
    <row r="87" customFormat="false" ht="15" hidden="false" customHeight="false" outlineLevel="0" collapsed="false">
      <c r="A87" s="23"/>
      <c r="B87" s="23"/>
      <c r="C87" s="23"/>
      <c r="D87" s="23"/>
      <c r="E87" s="24"/>
      <c r="F87" s="25" t="str">
        <f aca="false">IF(OR(D87="",E87=""),"",D87*E87)</f>
        <v/>
      </c>
      <c r="G87" s="23"/>
      <c r="H87" s="24"/>
      <c r="I87" s="25" t="str">
        <f aca="false">IF(OR(G87="",H87=""),"",G87*H87)</f>
        <v/>
      </c>
      <c r="J87" s="26" t="str">
        <f aca="false">IF(OR(F87="",I87=""),"",I87-F87)</f>
        <v/>
      </c>
      <c r="K87" s="27" t="str">
        <f aca="false">IF(OR(F87="",F87=0,I87=""),"",(I87-F87)/F87)</f>
        <v/>
      </c>
      <c r="L87" s="23"/>
      <c r="M87" s="23"/>
      <c r="N87" s="28"/>
      <c r="O87" s="23"/>
      <c r="P87" s="23"/>
      <c r="Q87" s="23"/>
      <c r="R87" s="23"/>
      <c r="S87" s="23"/>
      <c r="T87" s="23"/>
    </row>
    <row r="88" customFormat="false" ht="15" hidden="false" customHeight="false" outlineLevel="0" collapsed="false">
      <c r="A88" s="23"/>
      <c r="B88" s="23"/>
      <c r="C88" s="23"/>
      <c r="D88" s="23"/>
      <c r="E88" s="24"/>
      <c r="F88" s="25" t="str">
        <f aca="false">IF(OR(D88="",E88=""),"",D88*E88)</f>
        <v/>
      </c>
      <c r="G88" s="23"/>
      <c r="H88" s="24"/>
      <c r="I88" s="25" t="str">
        <f aca="false">IF(OR(G88="",H88=""),"",G88*H88)</f>
        <v/>
      </c>
      <c r="J88" s="26" t="str">
        <f aca="false">IF(OR(F88="",I88=""),"",I88-F88)</f>
        <v/>
      </c>
      <c r="K88" s="27" t="str">
        <f aca="false">IF(OR(F88="",F88=0,I88=""),"",(I88-F88)/F88)</f>
        <v/>
      </c>
      <c r="L88" s="23"/>
      <c r="M88" s="23"/>
      <c r="N88" s="28"/>
      <c r="O88" s="23"/>
      <c r="P88" s="23"/>
      <c r="Q88" s="23"/>
      <c r="R88" s="23"/>
      <c r="S88" s="23"/>
      <c r="T88" s="23"/>
    </row>
    <row r="89" customFormat="false" ht="15" hidden="false" customHeight="false" outlineLevel="0" collapsed="false">
      <c r="A89" s="23"/>
      <c r="B89" s="23"/>
      <c r="C89" s="23"/>
      <c r="D89" s="23"/>
      <c r="E89" s="24"/>
      <c r="F89" s="25" t="str">
        <f aca="false">IF(OR(D89="",E89=""),"",D89*E89)</f>
        <v/>
      </c>
      <c r="G89" s="23"/>
      <c r="H89" s="24"/>
      <c r="I89" s="25" t="str">
        <f aca="false">IF(OR(G89="",H89=""),"",G89*H89)</f>
        <v/>
      </c>
      <c r="J89" s="26" t="str">
        <f aca="false">IF(OR(F89="",I89=""),"",I89-F89)</f>
        <v/>
      </c>
      <c r="K89" s="27" t="str">
        <f aca="false">IF(OR(F89="",F89=0,I89=""),"",(I89-F89)/F89)</f>
        <v/>
      </c>
      <c r="L89" s="23"/>
      <c r="M89" s="23"/>
      <c r="N89" s="28"/>
      <c r="O89" s="23"/>
      <c r="P89" s="23"/>
      <c r="Q89" s="23"/>
      <c r="R89" s="23"/>
      <c r="S89" s="23"/>
      <c r="T89" s="23"/>
    </row>
    <row r="90" customFormat="false" ht="15" hidden="false" customHeight="false" outlineLevel="0" collapsed="false">
      <c r="A90" s="23"/>
      <c r="B90" s="23"/>
      <c r="C90" s="23"/>
      <c r="D90" s="23"/>
      <c r="E90" s="24"/>
      <c r="F90" s="25" t="str">
        <f aca="false">IF(OR(D90="",E90=""),"",D90*E90)</f>
        <v/>
      </c>
      <c r="G90" s="23"/>
      <c r="H90" s="24"/>
      <c r="I90" s="25" t="str">
        <f aca="false">IF(OR(G90="",H90=""),"",G90*H90)</f>
        <v/>
      </c>
      <c r="J90" s="26" t="str">
        <f aca="false">IF(OR(F90="",I90=""),"",I90-F90)</f>
        <v/>
      </c>
      <c r="K90" s="27" t="str">
        <f aca="false">IF(OR(F90="",F90=0,I90=""),"",(I90-F90)/F90)</f>
        <v/>
      </c>
      <c r="L90" s="23"/>
      <c r="M90" s="23"/>
      <c r="N90" s="28"/>
      <c r="O90" s="23"/>
      <c r="P90" s="23"/>
      <c r="Q90" s="23"/>
      <c r="R90" s="23"/>
      <c r="S90" s="23"/>
      <c r="T90" s="23"/>
    </row>
    <row r="91" customFormat="false" ht="15" hidden="false" customHeight="false" outlineLevel="0" collapsed="false">
      <c r="A91" s="23"/>
      <c r="B91" s="23"/>
      <c r="C91" s="23"/>
      <c r="D91" s="23"/>
      <c r="E91" s="24"/>
      <c r="F91" s="25" t="str">
        <f aca="false">IF(OR(D91="",E91=""),"",D91*E91)</f>
        <v/>
      </c>
      <c r="G91" s="23"/>
      <c r="H91" s="24"/>
      <c r="I91" s="25" t="str">
        <f aca="false">IF(OR(G91="",H91=""),"",G91*H91)</f>
        <v/>
      </c>
      <c r="J91" s="26" t="str">
        <f aca="false">IF(OR(F91="",I91=""),"",I91-F91)</f>
        <v/>
      </c>
      <c r="K91" s="27" t="str">
        <f aca="false">IF(OR(F91="",F91=0,I91=""),"",(I91-F91)/F91)</f>
        <v/>
      </c>
      <c r="L91" s="23"/>
      <c r="M91" s="23"/>
      <c r="N91" s="28"/>
      <c r="O91" s="23"/>
      <c r="P91" s="23"/>
      <c r="Q91" s="23"/>
      <c r="R91" s="23"/>
      <c r="S91" s="23"/>
      <c r="T91" s="23"/>
    </row>
    <row r="92" customFormat="false" ht="15" hidden="false" customHeight="false" outlineLevel="0" collapsed="false">
      <c r="A92" s="23"/>
      <c r="B92" s="23"/>
      <c r="C92" s="23"/>
      <c r="D92" s="23"/>
      <c r="E92" s="24"/>
      <c r="F92" s="25" t="str">
        <f aca="false">IF(OR(D92="",E92=""),"",D92*E92)</f>
        <v/>
      </c>
      <c r="G92" s="23"/>
      <c r="H92" s="24"/>
      <c r="I92" s="25" t="str">
        <f aca="false">IF(OR(G92="",H92=""),"",G92*H92)</f>
        <v/>
      </c>
      <c r="J92" s="26" t="str">
        <f aca="false">IF(OR(F92="",I92=""),"",I92-F92)</f>
        <v/>
      </c>
      <c r="K92" s="27" t="str">
        <f aca="false">IF(OR(F92="",F92=0,I92=""),"",(I92-F92)/F92)</f>
        <v/>
      </c>
      <c r="L92" s="23"/>
      <c r="M92" s="23"/>
      <c r="N92" s="28"/>
      <c r="O92" s="23"/>
      <c r="P92" s="23"/>
      <c r="Q92" s="23"/>
      <c r="R92" s="23"/>
      <c r="S92" s="23"/>
      <c r="T92" s="23"/>
    </row>
    <row r="93" customFormat="false" ht="15" hidden="false" customHeight="false" outlineLevel="0" collapsed="false">
      <c r="A93" s="23"/>
      <c r="B93" s="23"/>
      <c r="C93" s="23"/>
      <c r="D93" s="23"/>
      <c r="E93" s="24"/>
      <c r="F93" s="25" t="str">
        <f aca="false">IF(OR(D93="",E93=""),"",D93*E93)</f>
        <v/>
      </c>
      <c r="G93" s="23"/>
      <c r="H93" s="24"/>
      <c r="I93" s="25" t="str">
        <f aca="false">IF(OR(G93="",H93=""),"",G93*H93)</f>
        <v/>
      </c>
      <c r="J93" s="26" t="str">
        <f aca="false">IF(OR(F93="",I93=""),"",I93-F93)</f>
        <v/>
      </c>
      <c r="K93" s="27" t="str">
        <f aca="false">IF(OR(F93="",F93=0,I93=""),"",(I93-F93)/F93)</f>
        <v/>
      </c>
      <c r="L93" s="23"/>
      <c r="M93" s="23"/>
      <c r="N93" s="28"/>
      <c r="O93" s="23"/>
      <c r="P93" s="23"/>
      <c r="Q93" s="23"/>
      <c r="R93" s="23"/>
      <c r="S93" s="23"/>
      <c r="T93" s="23"/>
    </row>
    <row r="94" customFormat="false" ht="15" hidden="false" customHeight="false" outlineLevel="0" collapsed="false">
      <c r="A94" s="23"/>
      <c r="B94" s="23"/>
      <c r="C94" s="23"/>
      <c r="D94" s="23"/>
      <c r="E94" s="24"/>
      <c r="F94" s="25" t="str">
        <f aca="false">IF(OR(D94="",E94=""),"",D94*E94)</f>
        <v/>
      </c>
      <c r="G94" s="23"/>
      <c r="H94" s="24"/>
      <c r="I94" s="25" t="str">
        <f aca="false">IF(OR(G94="",H94=""),"",G94*H94)</f>
        <v/>
      </c>
      <c r="J94" s="26" t="str">
        <f aca="false">IF(OR(F94="",I94=""),"",I94-F94)</f>
        <v/>
      </c>
      <c r="K94" s="27" t="str">
        <f aca="false">IF(OR(F94="",F94=0,I94=""),"",(I94-F94)/F94)</f>
        <v/>
      </c>
      <c r="L94" s="23"/>
      <c r="M94" s="23"/>
      <c r="N94" s="28"/>
      <c r="O94" s="23"/>
      <c r="P94" s="23"/>
      <c r="Q94" s="23"/>
      <c r="R94" s="23"/>
      <c r="S94" s="23"/>
      <c r="T94" s="23"/>
    </row>
    <row r="95" customFormat="false" ht="15" hidden="false" customHeight="false" outlineLevel="0" collapsed="false">
      <c r="A95" s="23"/>
      <c r="B95" s="23"/>
      <c r="C95" s="23"/>
      <c r="D95" s="23"/>
      <c r="E95" s="24"/>
      <c r="F95" s="25" t="str">
        <f aca="false">IF(OR(D95="",E95=""),"",D95*E95)</f>
        <v/>
      </c>
      <c r="G95" s="23"/>
      <c r="H95" s="24"/>
      <c r="I95" s="25" t="str">
        <f aca="false">IF(OR(G95="",H95=""),"",G95*H95)</f>
        <v/>
      </c>
      <c r="J95" s="26" t="str">
        <f aca="false">IF(OR(F95="",I95=""),"",I95-F95)</f>
        <v/>
      </c>
      <c r="K95" s="27" t="str">
        <f aca="false">IF(OR(F95="",F95=0,I95=""),"",(I95-F95)/F95)</f>
        <v/>
      </c>
      <c r="L95" s="23"/>
      <c r="M95" s="23"/>
      <c r="N95" s="28"/>
      <c r="O95" s="23"/>
      <c r="P95" s="23"/>
      <c r="Q95" s="23"/>
      <c r="R95" s="23"/>
      <c r="S95" s="23"/>
      <c r="T95" s="23"/>
    </row>
    <row r="96" customFormat="false" ht="15" hidden="false" customHeight="false" outlineLevel="0" collapsed="false">
      <c r="A96" s="23"/>
      <c r="B96" s="23"/>
      <c r="C96" s="23"/>
      <c r="D96" s="23"/>
      <c r="E96" s="24"/>
      <c r="F96" s="25" t="str">
        <f aca="false">IF(OR(D96="",E96=""),"",D96*E96)</f>
        <v/>
      </c>
      <c r="G96" s="23"/>
      <c r="H96" s="24"/>
      <c r="I96" s="25" t="str">
        <f aca="false">IF(OR(G96="",H96=""),"",G96*H96)</f>
        <v/>
      </c>
      <c r="J96" s="26" t="str">
        <f aca="false">IF(OR(F96="",I96=""),"",I96-F96)</f>
        <v/>
      </c>
      <c r="K96" s="27" t="str">
        <f aca="false">IF(OR(F96="",F96=0,I96=""),"",(I96-F96)/F96)</f>
        <v/>
      </c>
      <c r="L96" s="23"/>
      <c r="M96" s="23"/>
      <c r="N96" s="28"/>
      <c r="O96" s="23"/>
      <c r="P96" s="23"/>
      <c r="Q96" s="23"/>
      <c r="R96" s="23"/>
      <c r="S96" s="23"/>
      <c r="T96" s="23"/>
    </row>
    <row r="97" customFormat="false" ht="15" hidden="false" customHeight="false" outlineLevel="0" collapsed="false">
      <c r="A97" s="23"/>
      <c r="B97" s="23"/>
      <c r="C97" s="23"/>
      <c r="D97" s="23"/>
      <c r="E97" s="24"/>
      <c r="F97" s="25" t="str">
        <f aca="false">IF(OR(D97="",E97=""),"",D97*E97)</f>
        <v/>
      </c>
      <c r="G97" s="23"/>
      <c r="H97" s="24"/>
      <c r="I97" s="25" t="str">
        <f aca="false">IF(OR(G97="",H97=""),"",G97*H97)</f>
        <v/>
      </c>
      <c r="J97" s="26" t="str">
        <f aca="false">IF(OR(F97="",I97=""),"",I97-F97)</f>
        <v/>
      </c>
      <c r="K97" s="27" t="str">
        <f aca="false">IF(OR(F97="",F97=0,I97=""),"",(I97-F97)/F97)</f>
        <v/>
      </c>
      <c r="L97" s="23"/>
      <c r="M97" s="23"/>
      <c r="N97" s="28"/>
      <c r="O97" s="23"/>
      <c r="P97" s="23"/>
      <c r="Q97" s="23"/>
      <c r="R97" s="23"/>
      <c r="S97" s="23"/>
      <c r="T97" s="23"/>
    </row>
    <row r="98" customFormat="false" ht="15" hidden="false" customHeight="false" outlineLevel="0" collapsed="false">
      <c r="A98" s="23"/>
      <c r="B98" s="23"/>
      <c r="C98" s="23"/>
      <c r="D98" s="23"/>
      <c r="E98" s="24"/>
      <c r="F98" s="25" t="str">
        <f aca="false">IF(OR(D98="",E98=""),"",D98*E98)</f>
        <v/>
      </c>
      <c r="G98" s="23"/>
      <c r="H98" s="24"/>
      <c r="I98" s="25" t="str">
        <f aca="false">IF(OR(G98="",H98=""),"",G98*H98)</f>
        <v/>
      </c>
      <c r="J98" s="26" t="str">
        <f aca="false">IF(OR(F98="",I98=""),"",I98-F98)</f>
        <v/>
      </c>
      <c r="K98" s="27" t="str">
        <f aca="false">IF(OR(F98="",F98=0,I98=""),"",(I98-F98)/F98)</f>
        <v/>
      </c>
      <c r="L98" s="23"/>
      <c r="M98" s="23"/>
      <c r="N98" s="28"/>
      <c r="O98" s="23"/>
      <c r="P98" s="23"/>
      <c r="Q98" s="23"/>
      <c r="R98" s="23"/>
      <c r="S98" s="23"/>
      <c r="T98" s="23"/>
    </row>
    <row r="99" customFormat="false" ht="15" hidden="false" customHeight="false" outlineLevel="0" collapsed="false">
      <c r="A99" s="23"/>
      <c r="B99" s="23"/>
      <c r="C99" s="23"/>
      <c r="D99" s="23"/>
      <c r="E99" s="24"/>
      <c r="F99" s="25" t="str">
        <f aca="false">IF(OR(D99="",E99=""),"",D99*E99)</f>
        <v/>
      </c>
      <c r="G99" s="23"/>
      <c r="H99" s="24"/>
      <c r="I99" s="25" t="str">
        <f aca="false">IF(OR(G99="",H99=""),"",G99*H99)</f>
        <v/>
      </c>
      <c r="J99" s="26" t="str">
        <f aca="false">IF(OR(F99="",I99=""),"",I99-F99)</f>
        <v/>
      </c>
      <c r="K99" s="27" t="str">
        <f aca="false">IF(OR(F99="",F99=0,I99=""),"",(I99-F99)/F99)</f>
        <v/>
      </c>
      <c r="L99" s="23"/>
      <c r="M99" s="23"/>
      <c r="N99" s="28"/>
      <c r="O99" s="23"/>
      <c r="P99" s="23"/>
      <c r="Q99" s="23"/>
      <c r="R99" s="23"/>
      <c r="S99" s="23"/>
      <c r="T99" s="23"/>
    </row>
    <row r="100" customFormat="false" ht="15" hidden="false" customHeight="false" outlineLevel="0" collapsed="false">
      <c r="A100" s="23"/>
      <c r="B100" s="23"/>
      <c r="C100" s="23"/>
      <c r="D100" s="23"/>
      <c r="E100" s="24"/>
      <c r="F100" s="25" t="str">
        <f aca="false">IF(OR(D100="",E100=""),"",D100*E100)</f>
        <v/>
      </c>
      <c r="G100" s="23"/>
      <c r="H100" s="24"/>
      <c r="I100" s="25" t="str">
        <f aca="false">IF(OR(G100="",H100=""),"",G100*H100)</f>
        <v/>
      </c>
      <c r="J100" s="26" t="str">
        <f aca="false">IF(OR(F100="",I100=""),"",I100-F100)</f>
        <v/>
      </c>
      <c r="K100" s="27" t="str">
        <f aca="false">IF(OR(F100="",F100=0,I100=""),"",(I100-F100)/F100)</f>
        <v/>
      </c>
      <c r="L100" s="23"/>
      <c r="M100" s="23"/>
      <c r="N100" s="28"/>
      <c r="O100" s="23"/>
      <c r="P100" s="23"/>
      <c r="Q100" s="23"/>
      <c r="R100" s="23"/>
      <c r="S100" s="23"/>
      <c r="T100" s="23"/>
    </row>
    <row r="101" customFormat="false" ht="15" hidden="false" customHeight="false" outlineLevel="0" collapsed="false">
      <c r="A101" s="23"/>
      <c r="B101" s="23"/>
      <c r="C101" s="23"/>
      <c r="D101" s="23"/>
      <c r="E101" s="24"/>
      <c r="F101" s="25" t="str">
        <f aca="false">IF(OR(D101="",E101=""),"",D101*E101)</f>
        <v/>
      </c>
      <c r="G101" s="23"/>
      <c r="H101" s="24"/>
      <c r="I101" s="25" t="str">
        <f aca="false">IF(OR(G101="",H101=""),"",G101*H101)</f>
        <v/>
      </c>
      <c r="J101" s="26" t="str">
        <f aca="false">IF(OR(F101="",I101=""),"",I101-F101)</f>
        <v/>
      </c>
      <c r="K101" s="27" t="str">
        <f aca="false">IF(OR(F101="",F101=0,I101=""),"",(I101-F101)/F101)</f>
        <v/>
      </c>
      <c r="L101" s="23"/>
      <c r="M101" s="23"/>
      <c r="N101" s="28"/>
      <c r="O101" s="23"/>
      <c r="P101" s="23"/>
      <c r="Q101" s="23"/>
      <c r="R101" s="23"/>
      <c r="S101" s="23"/>
      <c r="T101" s="23"/>
    </row>
    <row r="102" customFormat="false" ht="15" hidden="false" customHeight="false" outlineLevel="0" collapsed="false">
      <c r="A102" s="23"/>
      <c r="B102" s="23"/>
      <c r="C102" s="23"/>
      <c r="D102" s="23"/>
      <c r="E102" s="24"/>
      <c r="F102" s="25" t="str">
        <f aca="false">IF(OR(D102="",E102=""),"",D102*E102)</f>
        <v/>
      </c>
      <c r="G102" s="23"/>
      <c r="H102" s="24"/>
      <c r="I102" s="25" t="str">
        <f aca="false">IF(OR(G102="",H102=""),"",G102*H102)</f>
        <v/>
      </c>
      <c r="J102" s="26" t="str">
        <f aca="false">IF(OR(F102="",I102=""),"",I102-F102)</f>
        <v/>
      </c>
      <c r="K102" s="27" t="str">
        <f aca="false">IF(OR(F102="",F102=0,I102=""),"",(I102-F102)/F102)</f>
        <v/>
      </c>
      <c r="L102" s="23"/>
      <c r="M102" s="23"/>
      <c r="N102" s="28"/>
      <c r="O102" s="23"/>
      <c r="P102" s="23"/>
      <c r="Q102" s="23"/>
      <c r="R102" s="23"/>
      <c r="S102" s="23"/>
      <c r="T102" s="23"/>
    </row>
    <row r="103" customFormat="false" ht="15" hidden="false" customHeight="false" outlineLevel="0" collapsed="false">
      <c r="A103" s="23"/>
      <c r="B103" s="23"/>
      <c r="C103" s="23"/>
      <c r="D103" s="23"/>
      <c r="E103" s="24"/>
      <c r="F103" s="25" t="str">
        <f aca="false">IF(OR(D103="",E103=""),"",D103*E103)</f>
        <v/>
      </c>
      <c r="G103" s="23"/>
      <c r="H103" s="24"/>
      <c r="I103" s="25" t="str">
        <f aca="false">IF(OR(G103="",H103=""),"",G103*H103)</f>
        <v/>
      </c>
      <c r="J103" s="26" t="str">
        <f aca="false">IF(OR(F103="",I103=""),"",I103-F103)</f>
        <v/>
      </c>
      <c r="K103" s="27" t="str">
        <f aca="false">IF(OR(F103="",F103=0,I103=""),"",(I103-F103)/F103)</f>
        <v/>
      </c>
      <c r="L103" s="23"/>
      <c r="M103" s="23"/>
      <c r="N103" s="28"/>
      <c r="O103" s="23"/>
      <c r="P103" s="23"/>
      <c r="Q103" s="23"/>
      <c r="R103" s="23"/>
      <c r="S103" s="23"/>
      <c r="T103" s="23"/>
    </row>
    <row r="104" customFormat="false" ht="15" hidden="false" customHeight="false" outlineLevel="0" collapsed="false">
      <c r="A104" s="23"/>
      <c r="B104" s="23"/>
      <c r="C104" s="23"/>
      <c r="D104" s="23"/>
      <c r="E104" s="24"/>
      <c r="F104" s="25" t="str">
        <f aca="false">IF(OR(D104="",E104=""),"",D104*E104)</f>
        <v/>
      </c>
      <c r="G104" s="23"/>
      <c r="H104" s="24"/>
      <c r="I104" s="25" t="str">
        <f aca="false">IF(OR(G104="",H104=""),"",G104*H104)</f>
        <v/>
      </c>
      <c r="J104" s="26" t="str">
        <f aca="false">IF(OR(F104="",I104=""),"",I104-F104)</f>
        <v/>
      </c>
      <c r="K104" s="27" t="str">
        <f aca="false">IF(OR(F104="",F104=0,I104=""),"",(I104-F104)/F104)</f>
        <v/>
      </c>
      <c r="L104" s="23"/>
      <c r="M104" s="23"/>
      <c r="N104" s="28"/>
      <c r="O104" s="23"/>
      <c r="P104" s="23"/>
      <c r="Q104" s="23"/>
      <c r="R104" s="23"/>
      <c r="S104" s="23"/>
      <c r="T104" s="23"/>
    </row>
    <row r="105" customFormat="false" ht="15" hidden="false" customHeight="false" outlineLevel="0" collapsed="false">
      <c r="A105" s="23"/>
      <c r="B105" s="23"/>
      <c r="C105" s="23"/>
      <c r="D105" s="23"/>
      <c r="E105" s="24"/>
      <c r="F105" s="25" t="str">
        <f aca="false">IF(OR(D105="",E105=""),"",D105*E105)</f>
        <v/>
      </c>
      <c r="G105" s="23"/>
      <c r="H105" s="24"/>
      <c r="I105" s="25" t="str">
        <f aca="false">IF(OR(G105="",H105=""),"",G105*H105)</f>
        <v/>
      </c>
      <c r="J105" s="26" t="str">
        <f aca="false">IF(OR(F105="",I105=""),"",I105-F105)</f>
        <v/>
      </c>
      <c r="K105" s="27" t="str">
        <f aca="false">IF(OR(F105="",F105=0,I105=""),"",(I105-F105)/F105)</f>
        <v/>
      </c>
      <c r="L105" s="23"/>
      <c r="M105" s="23"/>
      <c r="N105" s="28"/>
      <c r="O105" s="23"/>
      <c r="P105" s="23"/>
      <c r="Q105" s="23"/>
      <c r="R105" s="23"/>
      <c r="S105" s="23"/>
      <c r="T105" s="23"/>
    </row>
    <row r="106" customFormat="false" ht="15" hidden="false" customHeight="false" outlineLevel="0" collapsed="false">
      <c r="A106" s="23"/>
      <c r="B106" s="23"/>
      <c r="C106" s="23"/>
      <c r="D106" s="23"/>
      <c r="E106" s="24"/>
      <c r="F106" s="25" t="str">
        <f aca="false">IF(OR(D106="",E106=""),"",D106*E106)</f>
        <v/>
      </c>
      <c r="G106" s="23"/>
      <c r="H106" s="24"/>
      <c r="I106" s="25" t="str">
        <f aca="false">IF(OR(G106="",H106=""),"",G106*H106)</f>
        <v/>
      </c>
      <c r="J106" s="26" t="str">
        <f aca="false">IF(OR(F106="",I106=""),"",I106-F106)</f>
        <v/>
      </c>
      <c r="K106" s="27" t="str">
        <f aca="false">IF(OR(F106="",F106=0,I106=""),"",(I106-F106)/F106)</f>
        <v/>
      </c>
      <c r="L106" s="23"/>
      <c r="M106" s="23"/>
      <c r="N106" s="28"/>
      <c r="O106" s="23"/>
      <c r="P106" s="23"/>
      <c r="Q106" s="23"/>
      <c r="R106" s="23"/>
      <c r="S106" s="23"/>
      <c r="T106" s="23"/>
    </row>
    <row r="107" customFormat="false" ht="15" hidden="false" customHeight="false" outlineLevel="0" collapsed="false">
      <c r="A107" s="23"/>
      <c r="B107" s="23"/>
      <c r="C107" s="23"/>
      <c r="D107" s="23"/>
      <c r="E107" s="24"/>
      <c r="F107" s="25" t="str">
        <f aca="false">IF(OR(D107="",E107=""),"",D107*E107)</f>
        <v/>
      </c>
      <c r="G107" s="23"/>
      <c r="H107" s="24"/>
      <c r="I107" s="25" t="str">
        <f aca="false">IF(OR(G107="",H107=""),"",G107*H107)</f>
        <v/>
      </c>
      <c r="J107" s="26" t="str">
        <f aca="false">IF(OR(F107="",I107=""),"",I107-F107)</f>
        <v/>
      </c>
      <c r="K107" s="27" t="str">
        <f aca="false">IF(OR(F107="",F107=0,I107=""),"",(I107-F107)/F107)</f>
        <v/>
      </c>
      <c r="L107" s="23"/>
      <c r="M107" s="23"/>
      <c r="N107" s="28"/>
      <c r="O107" s="23"/>
      <c r="P107" s="23"/>
      <c r="Q107" s="23"/>
      <c r="R107" s="23"/>
      <c r="S107" s="23"/>
      <c r="T107" s="23"/>
    </row>
    <row r="108" customFormat="false" ht="15" hidden="false" customHeight="false" outlineLevel="0" collapsed="false">
      <c r="A108" s="23"/>
      <c r="B108" s="23"/>
      <c r="C108" s="23"/>
      <c r="D108" s="23"/>
      <c r="E108" s="24"/>
      <c r="F108" s="25" t="str">
        <f aca="false">IF(OR(D108="",E108=""),"",D108*E108)</f>
        <v/>
      </c>
      <c r="G108" s="23"/>
      <c r="H108" s="24"/>
      <c r="I108" s="25" t="str">
        <f aca="false">IF(OR(G108="",H108=""),"",G108*H108)</f>
        <v/>
      </c>
      <c r="J108" s="26" t="str">
        <f aca="false">IF(OR(F108="",I108=""),"",I108-F108)</f>
        <v/>
      </c>
      <c r="K108" s="27" t="str">
        <f aca="false">IF(OR(F108="",F108=0,I108=""),"",(I108-F108)/F108)</f>
        <v/>
      </c>
      <c r="L108" s="23"/>
      <c r="M108" s="23"/>
      <c r="N108" s="28"/>
      <c r="O108" s="23"/>
      <c r="P108" s="23"/>
      <c r="Q108" s="23"/>
      <c r="R108" s="23"/>
      <c r="S108" s="23"/>
      <c r="T108" s="23"/>
    </row>
    <row r="109" customFormat="false" ht="15" hidden="false" customHeight="false" outlineLevel="0" collapsed="false">
      <c r="A109" s="23"/>
      <c r="B109" s="23"/>
      <c r="C109" s="23"/>
      <c r="D109" s="23"/>
      <c r="E109" s="24"/>
      <c r="F109" s="25" t="str">
        <f aca="false">IF(OR(D109="",E109=""),"",D109*E109)</f>
        <v/>
      </c>
      <c r="G109" s="23"/>
      <c r="H109" s="24"/>
      <c r="I109" s="25" t="str">
        <f aca="false">IF(OR(G109="",H109=""),"",G109*H109)</f>
        <v/>
      </c>
      <c r="J109" s="26" t="str">
        <f aca="false">IF(OR(F109="",I109=""),"",I109-F109)</f>
        <v/>
      </c>
      <c r="K109" s="27" t="str">
        <f aca="false">IF(OR(F109="",F109=0,I109=""),"",(I109-F109)/F109)</f>
        <v/>
      </c>
      <c r="L109" s="23"/>
      <c r="M109" s="23"/>
      <c r="N109" s="28"/>
      <c r="O109" s="23"/>
      <c r="P109" s="23"/>
      <c r="Q109" s="23"/>
      <c r="R109" s="23"/>
      <c r="S109" s="23"/>
      <c r="T109" s="23"/>
    </row>
    <row r="110" customFormat="false" ht="15" hidden="false" customHeight="false" outlineLevel="0" collapsed="false">
      <c r="A110" s="23"/>
      <c r="B110" s="23"/>
      <c r="C110" s="23"/>
      <c r="D110" s="23"/>
      <c r="E110" s="24"/>
      <c r="F110" s="25" t="str">
        <f aca="false">IF(OR(D110="",E110=""),"",D110*E110)</f>
        <v/>
      </c>
      <c r="G110" s="23"/>
      <c r="H110" s="24"/>
      <c r="I110" s="25" t="str">
        <f aca="false">IF(OR(G110="",H110=""),"",G110*H110)</f>
        <v/>
      </c>
      <c r="J110" s="26" t="str">
        <f aca="false">IF(OR(F110="",I110=""),"",I110-F110)</f>
        <v/>
      </c>
      <c r="K110" s="27" t="str">
        <f aca="false">IF(OR(F110="",F110=0,I110=""),"",(I110-F110)/F110)</f>
        <v/>
      </c>
      <c r="L110" s="23"/>
      <c r="M110" s="23"/>
      <c r="N110" s="28"/>
      <c r="O110" s="23"/>
      <c r="P110" s="23"/>
      <c r="Q110" s="23"/>
      <c r="R110" s="23"/>
      <c r="S110" s="23"/>
      <c r="T110" s="23"/>
    </row>
    <row r="111" customFormat="false" ht="15" hidden="false" customHeight="false" outlineLevel="0" collapsed="false">
      <c r="A111" s="23"/>
      <c r="B111" s="23"/>
      <c r="C111" s="23"/>
      <c r="D111" s="23"/>
      <c r="E111" s="24"/>
      <c r="F111" s="25" t="str">
        <f aca="false">IF(OR(D111="",E111=""),"",D111*E111)</f>
        <v/>
      </c>
      <c r="G111" s="23"/>
      <c r="H111" s="24"/>
      <c r="I111" s="25" t="str">
        <f aca="false">IF(OR(G111="",H111=""),"",G111*H111)</f>
        <v/>
      </c>
      <c r="J111" s="26" t="str">
        <f aca="false">IF(OR(F111="",I111=""),"",I111-F111)</f>
        <v/>
      </c>
      <c r="K111" s="27" t="str">
        <f aca="false">IF(OR(F111="",F111=0,I111=""),"",(I111-F111)/F111)</f>
        <v/>
      </c>
      <c r="L111" s="23"/>
      <c r="M111" s="23"/>
      <c r="N111" s="28"/>
      <c r="O111" s="23"/>
      <c r="P111" s="23"/>
      <c r="Q111" s="23"/>
      <c r="R111" s="23"/>
      <c r="S111" s="23"/>
      <c r="T111" s="23"/>
    </row>
    <row r="112" customFormat="false" ht="15" hidden="false" customHeight="false" outlineLevel="0" collapsed="false">
      <c r="A112" s="23"/>
      <c r="B112" s="23"/>
      <c r="C112" s="23"/>
      <c r="D112" s="23"/>
      <c r="E112" s="24"/>
      <c r="F112" s="25" t="str">
        <f aca="false">IF(OR(D112="",E112=""),"",D112*E112)</f>
        <v/>
      </c>
      <c r="G112" s="23"/>
      <c r="H112" s="24"/>
      <c r="I112" s="25" t="str">
        <f aca="false">IF(OR(G112="",H112=""),"",G112*H112)</f>
        <v/>
      </c>
      <c r="J112" s="26" t="str">
        <f aca="false">IF(OR(F112="",I112=""),"",I112-F112)</f>
        <v/>
      </c>
      <c r="K112" s="27" t="str">
        <f aca="false">IF(OR(F112="",F112=0,I112=""),"",(I112-F112)/F112)</f>
        <v/>
      </c>
      <c r="L112" s="23"/>
      <c r="M112" s="23"/>
      <c r="N112" s="28"/>
      <c r="O112" s="23"/>
      <c r="P112" s="23"/>
      <c r="Q112" s="23"/>
      <c r="R112" s="23"/>
      <c r="S112" s="23"/>
      <c r="T112" s="23"/>
    </row>
    <row r="113" customFormat="false" ht="15" hidden="false" customHeight="false" outlineLevel="0" collapsed="false">
      <c r="A113" s="23"/>
      <c r="B113" s="23"/>
      <c r="C113" s="23"/>
      <c r="D113" s="23"/>
      <c r="E113" s="24"/>
      <c r="F113" s="25" t="str">
        <f aca="false">IF(OR(D113="",E113=""),"",D113*E113)</f>
        <v/>
      </c>
      <c r="G113" s="23"/>
      <c r="H113" s="24"/>
      <c r="I113" s="25" t="str">
        <f aca="false">IF(OR(G113="",H113=""),"",G113*H113)</f>
        <v/>
      </c>
      <c r="J113" s="26" t="str">
        <f aca="false">IF(OR(F113="",I113=""),"",I113-F113)</f>
        <v/>
      </c>
      <c r="K113" s="27" t="str">
        <f aca="false">IF(OR(F113="",F113=0,I113=""),"",(I113-F113)/F113)</f>
        <v/>
      </c>
      <c r="L113" s="23"/>
      <c r="M113" s="23"/>
      <c r="N113" s="28"/>
      <c r="O113" s="23"/>
      <c r="P113" s="23"/>
      <c r="Q113" s="23"/>
      <c r="R113" s="23"/>
      <c r="S113" s="23"/>
      <c r="T113" s="23"/>
    </row>
    <row r="114" customFormat="false" ht="15" hidden="false" customHeight="false" outlineLevel="0" collapsed="false">
      <c r="A114" s="23"/>
      <c r="B114" s="23"/>
      <c r="C114" s="23"/>
      <c r="D114" s="23"/>
      <c r="E114" s="24"/>
      <c r="F114" s="25" t="str">
        <f aca="false">IF(OR(D114="",E114=""),"",D114*E114)</f>
        <v/>
      </c>
      <c r="G114" s="23"/>
      <c r="H114" s="24"/>
      <c r="I114" s="25" t="str">
        <f aca="false">IF(OR(G114="",H114=""),"",G114*H114)</f>
        <v/>
      </c>
      <c r="J114" s="26" t="str">
        <f aca="false">IF(OR(F114="",I114=""),"",I114-F114)</f>
        <v/>
      </c>
      <c r="K114" s="27" t="str">
        <f aca="false">IF(OR(F114="",F114=0,I114=""),"",(I114-F114)/F114)</f>
        <v/>
      </c>
      <c r="L114" s="23"/>
      <c r="M114" s="23"/>
      <c r="N114" s="28"/>
      <c r="O114" s="23"/>
      <c r="P114" s="23"/>
      <c r="Q114" s="23"/>
      <c r="R114" s="23"/>
      <c r="S114" s="23"/>
      <c r="T114" s="23"/>
    </row>
    <row r="115" customFormat="false" ht="15" hidden="false" customHeight="false" outlineLevel="0" collapsed="false">
      <c r="A115" s="23"/>
      <c r="B115" s="23"/>
      <c r="C115" s="23"/>
      <c r="D115" s="23"/>
      <c r="E115" s="24"/>
      <c r="F115" s="25" t="str">
        <f aca="false">IF(OR(D115="",E115=""),"",D115*E115)</f>
        <v/>
      </c>
      <c r="G115" s="23"/>
      <c r="H115" s="24"/>
      <c r="I115" s="25" t="str">
        <f aca="false">IF(OR(G115="",H115=""),"",G115*H115)</f>
        <v/>
      </c>
      <c r="J115" s="26" t="str">
        <f aca="false">IF(OR(F115="",I115=""),"",I115-F115)</f>
        <v/>
      </c>
      <c r="K115" s="27" t="str">
        <f aca="false">IF(OR(F115="",F115=0,I115=""),"",(I115-F115)/F115)</f>
        <v/>
      </c>
      <c r="L115" s="23"/>
      <c r="M115" s="23"/>
      <c r="N115" s="28"/>
      <c r="O115" s="23"/>
      <c r="P115" s="23"/>
      <c r="Q115" s="23"/>
      <c r="R115" s="23"/>
      <c r="S115" s="23"/>
      <c r="T115" s="23"/>
    </row>
    <row r="116" customFormat="false" ht="15" hidden="false" customHeight="false" outlineLevel="0" collapsed="false">
      <c r="A116" s="23"/>
      <c r="B116" s="23"/>
      <c r="C116" s="23"/>
      <c r="D116" s="23"/>
      <c r="E116" s="24"/>
      <c r="F116" s="25" t="str">
        <f aca="false">IF(OR(D116="",E116=""),"",D116*E116)</f>
        <v/>
      </c>
      <c r="G116" s="23"/>
      <c r="H116" s="24"/>
      <c r="I116" s="25" t="str">
        <f aca="false">IF(OR(G116="",H116=""),"",G116*H116)</f>
        <v/>
      </c>
      <c r="J116" s="26" t="str">
        <f aca="false">IF(OR(F116="",I116=""),"",I116-F116)</f>
        <v/>
      </c>
      <c r="K116" s="27" t="str">
        <f aca="false">IF(OR(F116="",F116=0,I116=""),"",(I116-F116)/F116)</f>
        <v/>
      </c>
      <c r="L116" s="23"/>
      <c r="M116" s="23"/>
      <c r="N116" s="28"/>
      <c r="O116" s="23"/>
      <c r="P116" s="23"/>
      <c r="Q116" s="23"/>
      <c r="R116" s="23"/>
      <c r="S116" s="23"/>
      <c r="T116" s="23"/>
    </row>
    <row r="117" customFormat="false" ht="15" hidden="false" customHeight="false" outlineLevel="0" collapsed="false">
      <c r="A117" s="23"/>
      <c r="B117" s="23"/>
      <c r="C117" s="23"/>
      <c r="D117" s="23"/>
      <c r="E117" s="24"/>
      <c r="F117" s="25" t="str">
        <f aca="false">IF(OR(D117="",E117=""),"",D117*E117)</f>
        <v/>
      </c>
      <c r="G117" s="23"/>
      <c r="H117" s="24"/>
      <c r="I117" s="25" t="str">
        <f aca="false">IF(OR(G117="",H117=""),"",G117*H117)</f>
        <v/>
      </c>
      <c r="J117" s="26" t="str">
        <f aca="false">IF(OR(F117="",I117=""),"",I117-F117)</f>
        <v/>
      </c>
      <c r="K117" s="27" t="str">
        <f aca="false">IF(OR(F117="",F117=0,I117=""),"",(I117-F117)/F117)</f>
        <v/>
      </c>
      <c r="L117" s="23"/>
      <c r="M117" s="23"/>
      <c r="N117" s="28"/>
      <c r="O117" s="23"/>
      <c r="P117" s="23"/>
      <c r="Q117" s="23"/>
      <c r="R117" s="23"/>
      <c r="S117" s="23"/>
      <c r="T117" s="23"/>
    </row>
    <row r="118" customFormat="false" ht="15" hidden="false" customHeight="false" outlineLevel="0" collapsed="false">
      <c r="A118" s="23"/>
      <c r="B118" s="23"/>
      <c r="C118" s="23"/>
      <c r="D118" s="23"/>
      <c r="E118" s="24"/>
      <c r="F118" s="25" t="str">
        <f aca="false">IF(OR(D118="",E118=""),"",D118*E118)</f>
        <v/>
      </c>
      <c r="G118" s="23"/>
      <c r="H118" s="24"/>
      <c r="I118" s="25" t="str">
        <f aca="false">IF(OR(G118="",H118=""),"",G118*H118)</f>
        <v/>
      </c>
      <c r="J118" s="26" t="str">
        <f aca="false">IF(OR(F118="",I118=""),"",I118-F118)</f>
        <v/>
      </c>
      <c r="K118" s="27" t="str">
        <f aca="false">IF(OR(F118="",F118=0,I118=""),"",(I118-F118)/F118)</f>
        <v/>
      </c>
      <c r="L118" s="23"/>
      <c r="M118" s="23"/>
      <c r="N118" s="28"/>
      <c r="O118" s="23"/>
      <c r="P118" s="23"/>
      <c r="Q118" s="23"/>
      <c r="R118" s="23"/>
      <c r="S118" s="23"/>
      <c r="T118" s="23"/>
    </row>
    <row r="119" customFormat="false" ht="15" hidden="false" customHeight="false" outlineLevel="0" collapsed="false">
      <c r="A119" s="23"/>
      <c r="B119" s="23"/>
      <c r="C119" s="23"/>
      <c r="D119" s="23"/>
      <c r="E119" s="24"/>
      <c r="F119" s="25" t="str">
        <f aca="false">IF(OR(D119="",E119=""),"",D119*E119)</f>
        <v/>
      </c>
      <c r="G119" s="23"/>
      <c r="H119" s="24"/>
      <c r="I119" s="25" t="str">
        <f aca="false">IF(OR(G119="",H119=""),"",G119*H119)</f>
        <v/>
      </c>
      <c r="J119" s="26" t="str">
        <f aca="false">IF(OR(F119="",I119=""),"",I119-F119)</f>
        <v/>
      </c>
      <c r="K119" s="27" t="str">
        <f aca="false">IF(OR(F119="",F119=0,I119=""),"",(I119-F119)/F119)</f>
        <v/>
      </c>
      <c r="L119" s="23"/>
      <c r="M119" s="23"/>
      <c r="N119" s="28"/>
      <c r="O119" s="23"/>
      <c r="P119" s="23"/>
      <c r="Q119" s="23"/>
      <c r="R119" s="23"/>
      <c r="S119" s="23"/>
      <c r="T119" s="23"/>
    </row>
    <row r="120" customFormat="false" ht="15" hidden="false" customHeight="false" outlineLevel="0" collapsed="false">
      <c r="A120" s="23"/>
      <c r="B120" s="23"/>
      <c r="C120" s="23"/>
      <c r="D120" s="23"/>
      <c r="E120" s="24"/>
      <c r="F120" s="25" t="str">
        <f aca="false">IF(OR(D120="",E120=""),"",D120*E120)</f>
        <v/>
      </c>
      <c r="G120" s="23"/>
      <c r="H120" s="24"/>
      <c r="I120" s="25" t="str">
        <f aca="false">IF(OR(G120="",H120=""),"",G120*H120)</f>
        <v/>
      </c>
      <c r="J120" s="26" t="str">
        <f aca="false">IF(OR(F120="",I120=""),"",I120-F120)</f>
        <v/>
      </c>
      <c r="K120" s="27" t="str">
        <f aca="false">IF(OR(F120="",F120=0,I120=""),"",(I120-F120)/F120)</f>
        <v/>
      </c>
      <c r="L120" s="23"/>
      <c r="M120" s="23"/>
      <c r="N120" s="28"/>
      <c r="O120" s="23"/>
      <c r="P120" s="23"/>
      <c r="Q120" s="23"/>
      <c r="R120" s="23"/>
      <c r="S120" s="23"/>
      <c r="T120" s="23"/>
    </row>
    <row r="121" customFormat="false" ht="15" hidden="false" customHeight="false" outlineLevel="0" collapsed="false">
      <c r="A121" s="23"/>
      <c r="B121" s="23"/>
      <c r="C121" s="23"/>
      <c r="D121" s="23"/>
      <c r="E121" s="24"/>
      <c r="F121" s="25" t="str">
        <f aca="false">IF(OR(D121="",E121=""),"",D121*E121)</f>
        <v/>
      </c>
      <c r="G121" s="23"/>
      <c r="H121" s="24"/>
      <c r="I121" s="25" t="str">
        <f aca="false">IF(OR(G121="",H121=""),"",G121*H121)</f>
        <v/>
      </c>
      <c r="J121" s="26" t="str">
        <f aca="false">IF(OR(F121="",I121=""),"",I121-F121)</f>
        <v/>
      </c>
      <c r="K121" s="27" t="str">
        <f aca="false">IF(OR(F121="",F121=0,I121=""),"",(I121-F121)/F121)</f>
        <v/>
      </c>
      <c r="L121" s="23"/>
      <c r="M121" s="23"/>
      <c r="N121" s="28"/>
      <c r="O121" s="23"/>
      <c r="P121" s="23"/>
      <c r="Q121" s="23"/>
      <c r="R121" s="23"/>
      <c r="S121" s="23"/>
      <c r="T121" s="23"/>
    </row>
    <row r="122" customFormat="false" ht="15" hidden="false" customHeight="false" outlineLevel="0" collapsed="false">
      <c r="A122" s="23"/>
      <c r="B122" s="23"/>
      <c r="C122" s="23"/>
      <c r="D122" s="23"/>
      <c r="E122" s="24"/>
      <c r="F122" s="25" t="str">
        <f aca="false">IF(OR(D122="",E122=""),"",D122*E122)</f>
        <v/>
      </c>
      <c r="G122" s="23"/>
      <c r="H122" s="24"/>
      <c r="I122" s="25" t="str">
        <f aca="false">IF(OR(G122="",H122=""),"",G122*H122)</f>
        <v/>
      </c>
      <c r="J122" s="26" t="str">
        <f aca="false">IF(OR(F122="",I122=""),"",I122-F122)</f>
        <v/>
      </c>
      <c r="K122" s="27" t="str">
        <f aca="false">IF(OR(F122="",F122=0,I122=""),"",(I122-F122)/F122)</f>
        <v/>
      </c>
      <c r="L122" s="23"/>
      <c r="M122" s="23"/>
      <c r="N122" s="28"/>
      <c r="O122" s="23"/>
      <c r="P122" s="23"/>
      <c r="Q122" s="23"/>
      <c r="R122" s="23"/>
      <c r="S122" s="23"/>
      <c r="T122" s="23"/>
    </row>
    <row r="123" customFormat="false" ht="15" hidden="false" customHeight="false" outlineLevel="0" collapsed="false">
      <c r="A123" s="23"/>
      <c r="B123" s="23"/>
      <c r="C123" s="23"/>
      <c r="D123" s="23"/>
      <c r="E123" s="24"/>
      <c r="F123" s="25" t="str">
        <f aca="false">IF(OR(D123="",E123=""),"",D123*E123)</f>
        <v/>
      </c>
      <c r="G123" s="23"/>
      <c r="H123" s="24"/>
      <c r="I123" s="25" t="str">
        <f aca="false">IF(OR(G123="",H123=""),"",G123*H123)</f>
        <v/>
      </c>
      <c r="J123" s="26" t="str">
        <f aca="false">IF(OR(F123="",I123=""),"",I123-F123)</f>
        <v/>
      </c>
      <c r="K123" s="27" t="str">
        <f aca="false">IF(OR(F123="",F123=0,I123=""),"",(I123-F123)/F123)</f>
        <v/>
      </c>
      <c r="L123" s="23"/>
      <c r="M123" s="23"/>
      <c r="N123" s="28"/>
      <c r="O123" s="23"/>
      <c r="P123" s="23"/>
      <c r="Q123" s="23"/>
      <c r="R123" s="23"/>
      <c r="S123" s="23"/>
      <c r="T123" s="23"/>
    </row>
    <row r="124" customFormat="false" ht="15" hidden="false" customHeight="false" outlineLevel="0" collapsed="false">
      <c r="A124" s="23"/>
      <c r="B124" s="23"/>
      <c r="C124" s="23"/>
      <c r="D124" s="23"/>
      <c r="E124" s="24"/>
      <c r="F124" s="25" t="str">
        <f aca="false">IF(OR(D124="",E124=""),"",D124*E124)</f>
        <v/>
      </c>
      <c r="G124" s="23"/>
      <c r="H124" s="24"/>
      <c r="I124" s="25" t="str">
        <f aca="false">IF(OR(G124="",H124=""),"",G124*H124)</f>
        <v/>
      </c>
      <c r="J124" s="26" t="str">
        <f aca="false">IF(OR(F124="",I124=""),"",I124-F124)</f>
        <v/>
      </c>
      <c r="K124" s="27" t="str">
        <f aca="false">IF(OR(F124="",F124=0,I124=""),"",(I124-F124)/F124)</f>
        <v/>
      </c>
      <c r="L124" s="23"/>
      <c r="M124" s="23"/>
      <c r="N124" s="28"/>
      <c r="O124" s="23"/>
      <c r="P124" s="23"/>
      <c r="Q124" s="23"/>
      <c r="R124" s="23"/>
      <c r="S124" s="23"/>
      <c r="T124" s="23"/>
    </row>
    <row r="125" customFormat="false" ht="15" hidden="false" customHeight="false" outlineLevel="0" collapsed="false">
      <c r="A125" s="23"/>
      <c r="B125" s="23"/>
      <c r="C125" s="23"/>
      <c r="D125" s="23"/>
      <c r="E125" s="24"/>
      <c r="F125" s="25" t="str">
        <f aca="false">IF(OR(D125="",E125=""),"",D125*E125)</f>
        <v/>
      </c>
      <c r="G125" s="23"/>
      <c r="H125" s="24"/>
      <c r="I125" s="25" t="str">
        <f aca="false">IF(OR(G125="",H125=""),"",G125*H125)</f>
        <v/>
      </c>
      <c r="J125" s="26" t="str">
        <f aca="false">IF(OR(F125="",I125=""),"",I125-F125)</f>
        <v/>
      </c>
      <c r="K125" s="27" t="str">
        <f aca="false">IF(OR(F125="",F125=0,I125=""),"",(I125-F125)/F125)</f>
        <v/>
      </c>
      <c r="L125" s="23"/>
      <c r="M125" s="23"/>
      <c r="N125" s="28"/>
      <c r="O125" s="23"/>
      <c r="P125" s="23"/>
      <c r="Q125" s="23"/>
      <c r="R125" s="23"/>
      <c r="S125" s="23"/>
      <c r="T125" s="23"/>
    </row>
    <row r="126" customFormat="false" ht="15" hidden="false" customHeight="false" outlineLevel="0" collapsed="false">
      <c r="A126" s="23"/>
      <c r="B126" s="23"/>
      <c r="C126" s="23"/>
      <c r="D126" s="23"/>
      <c r="E126" s="24"/>
      <c r="F126" s="25" t="str">
        <f aca="false">IF(OR(D126="",E126=""),"",D126*E126)</f>
        <v/>
      </c>
      <c r="G126" s="23"/>
      <c r="H126" s="24"/>
      <c r="I126" s="25" t="str">
        <f aca="false">IF(OR(G126="",H126=""),"",G126*H126)</f>
        <v/>
      </c>
      <c r="J126" s="26" t="str">
        <f aca="false">IF(OR(F126="",I126=""),"",I126-F126)</f>
        <v/>
      </c>
      <c r="K126" s="27" t="str">
        <f aca="false">IF(OR(F126="",F126=0,I126=""),"",(I126-F126)/F126)</f>
        <v/>
      </c>
      <c r="L126" s="23"/>
      <c r="M126" s="23"/>
      <c r="N126" s="28"/>
      <c r="O126" s="23"/>
      <c r="P126" s="23"/>
      <c r="Q126" s="23"/>
      <c r="R126" s="23"/>
      <c r="S126" s="23"/>
      <c r="T126" s="23"/>
    </row>
    <row r="127" customFormat="false" ht="15" hidden="false" customHeight="false" outlineLevel="0" collapsed="false">
      <c r="A127" s="23"/>
      <c r="B127" s="23"/>
      <c r="C127" s="23"/>
      <c r="D127" s="23"/>
      <c r="E127" s="24"/>
      <c r="F127" s="25" t="str">
        <f aca="false">IF(OR(D127="",E127=""),"",D127*E127)</f>
        <v/>
      </c>
      <c r="G127" s="23"/>
      <c r="H127" s="24"/>
      <c r="I127" s="25" t="str">
        <f aca="false">IF(OR(G127="",H127=""),"",G127*H127)</f>
        <v/>
      </c>
      <c r="J127" s="26" t="str">
        <f aca="false">IF(OR(F127="",I127=""),"",I127-F127)</f>
        <v/>
      </c>
      <c r="K127" s="27" t="str">
        <f aca="false">IF(OR(F127="",F127=0,I127=""),"",(I127-F127)/F127)</f>
        <v/>
      </c>
      <c r="L127" s="23"/>
      <c r="M127" s="23"/>
      <c r="N127" s="28"/>
      <c r="O127" s="23"/>
      <c r="P127" s="23"/>
      <c r="Q127" s="23"/>
      <c r="R127" s="23"/>
      <c r="S127" s="23"/>
      <c r="T127" s="23"/>
    </row>
    <row r="128" customFormat="false" ht="15" hidden="false" customHeight="false" outlineLevel="0" collapsed="false">
      <c r="A128" s="23"/>
      <c r="B128" s="23"/>
      <c r="C128" s="23"/>
      <c r="D128" s="23"/>
      <c r="E128" s="24"/>
      <c r="F128" s="25" t="str">
        <f aca="false">IF(OR(D128="",E128=""),"",D128*E128)</f>
        <v/>
      </c>
      <c r="G128" s="23"/>
      <c r="H128" s="24"/>
      <c r="I128" s="25" t="str">
        <f aca="false">IF(OR(G128="",H128=""),"",G128*H128)</f>
        <v/>
      </c>
      <c r="J128" s="26" t="str">
        <f aca="false">IF(OR(F128="",I128=""),"",I128-F128)</f>
        <v/>
      </c>
      <c r="K128" s="27" t="str">
        <f aca="false">IF(OR(F128="",F128=0,I128=""),"",(I128-F128)/F128)</f>
        <v/>
      </c>
      <c r="L128" s="23"/>
      <c r="M128" s="23"/>
      <c r="N128" s="28"/>
      <c r="O128" s="23"/>
      <c r="P128" s="23"/>
      <c r="Q128" s="23"/>
      <c r="R128" s="23"/>
      <c r="S128" s="23"/>
      <c r="T128" s="23"/>
    </row>
    <row r="129" customFormat="false" ht="15" hidden="false" customHeight="false" outlineLevel="0" collapsed="false">
      <c r="A129" s="23"/>
      <c r="B129" s="23"/>
      <c r="C129" s="23"/>
      <c r="D129" s="23"/>
      <c r="E129" s="24"/>
      <c r="F129" s="25" t="str">
        <f aca="false">IF(OR(D129="",E129=""),"",D129*E129)</f>
        <v/>
      </c>
      <c r="G129" s="23"/>
      <c r="H129" s="24"/>
      <c r="I129" s="25" t="str">
        <f aca="false">IF(OR(G129="",H129=""),"",G129*H129)</f>
        <v/>
      </c>
      <c r="J129" s="26" t="str">
        <f aca="false">IF(OR(F129="",I129=""),"",I129-F129)</f>
        <v/>
      </c>
      <c r="K129" s="27" t="str">
        <f aca="false">IF(OR(F129="",F129=0,I129=""),"",(I129-F129)/F129)</f>
        <v/>
      </c>
      <c r="L129" s="23"/>
      <c r="M129" s="23"/>
      <c r="N129" s="28"/>
      <c r="O129" s="23"/>
      <c r="P129" s="23"/>
      <c r="Q129" s="23"/>
      <c r="R129" s="23"/>
      <c r="S129" s="23"/>
      <c r="T129" s="23"/>
    </row>
    <row r="130" customFormat="false" ht="15" hidden="false" customHeight="false" outlineLevel="0" collapsed="false">
      <c r="A130" s="23"/>
      <c r="B130" s="23"/>
      <c r="C130" s="23"/>
      <c r="D130" s="23"/>
      <c r="E130" s="24"/>
      <c r="F130" s="25" t="str">
        <f aca="false">IF(OR(D130="",E130=""),"",D130*E130)</f>
        <v/>
      </c>
      <c r="G130" s="23"/>
      <c r="H130" s="24"/>
      <c r="I130" s="25" t="str">
        <f aca="false">IF(OR(G130="",H130=""),"",G130*H130)</f>
        <v/>
      </c>
      <c r="J130" s="26" t="str">
        <f aca="false">IF(OR(F130="",I130=""),"",I130-F130)</f>
        <v/>
      </c>
      <c r="K130" s="27" t="str">
        <f aca="false">IF(OR(F130="",F130=0,I130=""),"",(I130-F130)/F130)</f>
        <v/>
      </c>
      <c r="L130" s="23"/>
      <c r="M130" s="23"/>
      <c r="N130" s="28"/>
      <c r="O130" s="23"/>
      <c r="P130" s="23"/>
      <c r="Q130" s="23"/>
      <c r="R130" s="23"/>
      <c r="S130" s="23"/>
      <c r="T130" s="23"/>
    </row>
    <row r="131" customFormat="false" ht="15" hidden="false" customHeight="false" outlineLevel="0" collapsed="false">
      <c r="A131" s="23"/>
      <c r="B131" s="23"/>
      <c r="C131" s="23"/>
      <c r="D131" s="23"/>
      <c r="E131" s="24"/>
      <c r="F131" s="25" t="str">
        <f aca="false">IF(OR(D131="",E131=""),"",D131*E131)</f>
        <v/>
      </c>
      <c r="G131" s="23"/>
      <c r="H131" s="24"/>
      <c r="I131" s="25" t="str">
        <f aca="false">IF(OR(G131="",H131=""),"",G131*H131)</f>
        <v/>
      </c>
      <c r="J131" s="26" t="str">
        <f aca="false">IF(OR(F131="",I131=""),"",I131-F131)</f>
        <v/>
      </c>
      <c r="K131" s="27" t="str">
        <f aca="false">IF(OR(F131="",F131=0,I131=""),"",(I131-F131)/F131)</f>
        <v/>
      </c>
      <c r="L131" s="23"/>
      <c r="M131" s="23"/>
      <c r="N131" s="28"/>
      <c r="O131" s="23"/>
      <c r="P131" s="23"/>
      <c r="Q131" s="23"/>
      <c r="R131" s="23"/>
      <c r="S131" s="23"/>
      <c r="T131" s="23"/>
    </row>
    <row r="132" customFormat="false" ht="15" hidden="false" customHeight="false" outlineLevel="0" collapsed="false">
      <c r="A132" s="23"/>
      <c r="B132" s="23"/>
      <c r="C132" s="23"/>
      <c r="D132" s="23"/>
      <c r="E132" s="24"/>
      <c r="F132" s="25" t="str">
        <f aca="false">IF(OR(D132="",E132=""),"",D132*E132)</f>
        <v/>
      </c>
      <c r="G132" s="23"/>
      <c r="H132" s="24"/>
      <c r="I132" s="25" t="str">
        <f aca="false">IF(OR(G132="",H132=""),"",G132*H132)</f>
        <v/>
      </c>
      <c r="J132" s="26" t="str">
        <f aca="false">IF(OR(F132="",I132=""),"",I132-F132)</f>
        <v/>
      </c>
      <c r="K132" s="27" t="str">
        <f aca="false">IF(OR(F132="",F132=0,I132=""),"",(I132-F132)/F132)</f>
        <v/>
      </c>
      <c r="L132" s="23"/>
      <c r="M132" s="23"/>
      <c r="N132" s="28"/>
      <c r="O132" s="23"/>
      <c r="P132" s="23"/>
      <c r="Q132" s="23"/>
      <c r="R132" s="23"/>
      <c r="S132" s="23"/>
      <c r="T132" s="23"/>
    </row>
    <row r="133" customFormat="false" ht="15" hidden="false" customHeight="false" outlineLevel="0" collapsed="false">
      <c r="A133" s="23"/>
      <c r="B133" s="23"/>
      <c r="C133" s="23"/>
      <c r="D133" s="23"/>
      <c r="E133" s="24"/>
      <c r="F133" s="25" t="str">
        <f aca="false">IF(OR(D133="",E133=""),"",D133*E133)</f>
        <v/>
      </c>
      <c r="G133" s="23"/>
      <c r="H133" s="24"/>
      <c r="I133" s="25" t="str">
        <f aca="false">IF(OR(G133="",H133=""),"",G133*H133)</f>
        <v/>
      </c>
      <c r="J133" s="26" t="str">
        <f aca="false">IF(OR(F133="",I133=""),"",I133-F133)</f>
        <v/>
      </c>
      <c r="K133" s="27" t="str">
        <f aca="false">IF(OR(F133="",F133=0,I133=""),"",(I133-F133)/F133)</f>
        <v/>
      </c>
      <c r="L133" s="23"/>
      <c r="M133" s="23"/>
      <c r="N133" s="28"/>
      <c r="O133" s="23"/>
      <c r="P133" s="23"/>
      <c r="Q133" s="23"/>
      <c r="R133" s="23"/>
      <c r="S133" s="23"/>
      <c r="T133" s="23"/>
    </row>
    <row r="134" customFormat="false" ht="15" hidden="false" customHeight="false" outlineLevel="0" collapsed="false">
      <c r="A134" s="23"/>
      <c r="B134" s="23"/>
      <c r="C134" s="23"/>
      <c r="D134" s="23"/>
      <c r="E134" s="24"/>
      <c r="F134" s="25" t="str">
        <f aca="false">IF(OR(D134="",E134=""),"",D134*E134)</f>
        <v/>
      </c>
      <c r="G134" s="23"/>
      <c r="H134" s="24"/>
      <c r="I134" s="25" t="str">
        <f aca="false">IF(OR(G134="",H134=""),"",G134*H134)</f>
        <v/>
      </c>
      <c r="J134" s="26" t="str">
        <f aca="false">IF(OR(F134="",I134=""),"",I134-F134)</f>
        <v/>
      </c>
      <c r="K134" s="27" t="str">
        <f aca="false">IF(OR(F134="",F134=0,I134=""),"",(I134-F134)/F134)</f>
        <v/>
      </c>
      <c r="L134" s="23"/>
      <c r="M134" s="23"/>
      <c r="N134" s="28"/>
      <c r="O134" s="23"/>
      <c r="P134" s="23"/>
      <c r="Q134" s="23"/>
      <c r="R134" s="23"/>
      <c r="S134" s="23"/>
      <c r="T134" s="23"/>
    </row>
    <row r="135" customFormat="false" ht="15" hidden="false" customHeight="false" outlineLevel="0" collapsed="false">
      <c r="A135" s="23"/>
      <c r="B135" s="23"/>
      <c r="C135" s="23"/>
      <c r="D135" s="23"/>
      <c r="E135" s="24"/>
      <c r="F135" s="25" t="str">
        <f aca="false">IF(OR(D135="",E135=""),"",D135*E135)</f>
        <v/>
      </c>
      <c r="G135" s="23"/>
      <c r="H135" s="24"/>
      <c r="I135" s="25" t="str">
        <f aca="false">IF(OR(G135="",H135=""),"",G135*H135)</f>
        <v/>
      </c>
      <c r="J135" s="26" t="str">
        <f aca="false">IF(OR(F135="",I135=""),"",I135-F135)</f>
        <v/>
      </c>
      <c r="K135" s="27" t="str">
        <f aca="false">IF(OR(F135="",F135=0,I135=""),"",(I135-F135)/F135)</f>
        <v/>
      </c>
      <c r="L135" s="23"/>
      <c r="M135" s="23"/>
      <c r="N135" s="28"/>
      <c r="O135" s="23"/>
      <c r="P135" s="23"/>
      <c r="Q135" s="23"/>
      <c r="R135" s="23"/>
      <c r="S135" s="23"/>
      <c r="T135" s="23"/>
    </row>
    <row r="136" customFormat="false" ht="15" hidden="false" customHeight="false" outlineLevel="0" collapsed="false">
      <c r="A136" s="23"/>
      <c r="B136" s="23"/>
      <c r="C136" s="23"/>
      <c r="D136" s="23"/>
      <c r="E136" s="24"/>
      <c r="F136" s="25" t="str">
        <f aca="false">IF(OR(D136="",E136=""),"",D136*E136)</f>
        <v/>
      </c>
      <c r="G136" s="23"/>
      <c r="H136" s="24"/>
      <c r="I136" s="25" t="str">
        <f aca="false">IF(OR(G136="",H136=""),"",G136*H136)</f>
        <v/>
      </c>
      <c r="J136" s="26" t="str">
        <f aca="false">IF(OR(F136="",I136=""),"",I136-F136)</f>
        <v/>
      </c>
      <c r="K136" s="27" t="str">
        <f aca="false">IF(OR(F136="",F136=0,I136=""),"",(I136-F136)/F136)</f>
        <v/>
      </c>
      <c r="L136" s="23"/>
      <c r="M136" s="23"/>
      <c r="N136" s="28"/>
      <c r="O136" s="23"/>
      <c r="P136" s="23"/>
      <c r="Q136" s="23"/>
      <c r="R136" s="23"/>
      <c r="S136" s="23"/>
      <c r="T136" s="23"/>
    </row>
    <row r="137" customFormat="false" ht="15" hidden="false" customHeight="false" outlineLevel="0" collapsed="false">
      <c r="A137" s="23"/>
      <c r="B137" s="23"/>
      <c r="C137" s="23"/>
      <c r="D137" s="23"/>
      <c r="E137" s="24"/>
      <c r="F137" s="25" t="str">
        <f aca="false">IF(OR(D137="",E137=""),"",D137*E137)</f>
        <v/>
      </c>
      <c r="G137" s="23"/>
      <c r="H137" s="24"/>
      <c r="I137" s="25" t="str">
        <f aca="false">IF(OR(G137="",H137=""),"",G137*H137)</f>
        <v/>
      </c>
      <c r="J137" s="26" t="str">
        <f aca="false">IF(OR(F137="",I137=""),"",I137-F137)</f>
        <v/>
      </c>
      <c r="K137" s="27" t="str">
        <f aca="false">IF(OR(F137="",F137=0,I137=""),"",(I137-F137)/F137)</f>
        <v/>
      </c>
      <c r="L137" s="23"/>
      <c r="M137" s="23"/>
      <c r="N137" s="28"/>
      <c r="O137" s="23"/>
      <c r="P137" s="23"/>
      <c r="Q137" s="23"/>
      <c r="R137" s="23"/>
      <c r="S137" s="23"/>
      <c r="T137" s="23"/>
    </row>
    <row r="138" customFormat="false" ht="15" hidden="false" customHeight="false" outlineLevel="0" collapsed="false">
      <c r="A138" s="23"/>
      <c r="B138" s="23"/>
      <c r="C138" s="23"/>
      <c r="D138" s="23"/>
      <c r="E138" s="24"/>
      <c r="F138" s="25" t="str">
        <f aca="false">IF(OR(D138="",E138=""),"",D138*E138)</f>
        <v/>
      </c>
      <c r="G138" s="23"/>
      <c r="H138" s="24"/>
      <c r="I138" s="25" t="str">
        <f aca="false">IF(OR(G138="",H138=""),"",G138*H138)</f>
        <v/>
      </c>
      <c r="J138" s="26" t="str">
        <f aca="false">IF(OR(F138="",I138=""),"",I138-F138)</f>
        <v/>
      </c>
      <c r="K138" s="27" t="str">
        <f aca="false">IF(OR(F138="",F138=0,I138=""),"",(I138-F138)/F138)</f>
        <v/>
      </c>
      <c r="L138" s="23"/>
      <c r="M138" s="23"/>
      <c r="N138" s="28"/>
      <c r="O138" s="23"/>
      <c r="P138" s="23"/>
      <c r="Q138" s="23"/>
      <c r="R138" s="23"/>
      <c r="S138" s="23"/>
      <c r="T138" s="23"/>
    </row>
    <row r="139" customFormat="false" ht="15" hidden="false" customHeight="false" outlineLevel="0" collapsed="false">
      <c r="A139" s="23"/>
      <c r="B139" s="23"/>
      <c r="C139" s="23"/>
      <c r="D139" s="23"/>
      <c r="E139" s="24"/>
      <c r="F139" s="25" t="str">
        <f aca="false">IF(OR(D139="",E139=""),"",D139*E139)</f>
        <v/>
      </c>
      <c r="G139" s="23"/>
      <c r="H139" s="24"/>
      <c r="I139" s="25" t="str">
        <f aca="false">IF(OR(G139="",H139=""),"",G139*H139)</f>
        <v/>
      </c>
      <c r="J139" s="26" t="str">
        <f aca="false">IF(OR(F139="",I139=""),"",I139-F139)</f>
        <v/>
      </c>
      <c r="K139" s="27" t="str">
        <f aca="false">IF(OR(F139="",F139=0,I139=""),"",(I139-F139)/F139)</f>
        <v/>
      </c>
      <c r="L139" s="23"/>
      <c r="M139" s="23"/>
      <c r="N139" s="28"/>
      <c r="O139" s="23"/>
      <c r="P139" s="23"/>
      <c r="Q139" s="23"/>
      <c r="R139" s="23"/>
      <c r="S139" s="23"/>
      <c r="T139" s="23"/>
    </row>
    <row r="140" customFormat="false" ht="15" hidden="false" customHeight="false" outlineLevel="0" collapsed="false">
      <c r="A140" s="23"/>
      <c r="B140" s="23"/>
      <c r="C140" s="23"/>
      <c r="D140" s="23"/>
      <c r="E140" s="24"/>
      <c r="F140" s="25" t="str">
        <f aca="false">IF(OR(D140="",E140=""),"",D140*E140)</f>
        <v/>
      </c>
      <c r="G140" s="23"/>
      <c r="H140" s="24"/>
      <c r="I140" s="25" t="str">
        <f aca="false">IF(OR(G140="",H140=""),"",G140*H140)</f>
        <v/>
      </c>
      <c r="J140" s="26" t="str">
        <f aca="false">IF(OR(F140="",I140=""),"",I140-F140)</f>
        <v/>
      </c>
      <c r="K140" s="27" t="str">
        <f aca="false">IF(OR(F140="",F140=0,I140=""),"",(I140-F140)/F140)</f>
        <v/>
      </c>
      <c r="L140" s="23"/>
      <c r="M140" s="23"/>
      <c r="N140" s="28"/>
      <c r="O140" s="23"/>
      <c r="P140" s="23"/>
      <c r="Q140" s="23"/>
      <c r="R140" s="23"/>
      <c r="S140" s="23"/>
      <c r="T140" s="23"/>
    </row>
    <row r="141" customFormat="false" ht="15" hidden="false" customHeight="false" outlineLevel="0" collapsed="false">
      <c r="A141" s="23"/>
      <c r="B141" s="23"/>
      <c r="C141" s="23"/>
      <c r="D141" s="23"/>
      <c r="E141" s="24"/>
      <c r="F141" s="25" t="str">
        <f aca="false">IF(OR(D141="",E141=""),"",D141*E141)</f>
        <v/>
      </c>
      <c r="G141" s="23"/>
      <c r="H141" s="24"/>
      <c r="I141" s="25" t="str">
        <f aca="false">IF(OR(G141="",H141=""),"",G141*H141)</f>
        <v/>
      </c>
      <c r="J141" s="26" t="str">
        <f aca="false">IF(OR(F141="",I141=""),"",I141-F141)</f>
        <v/>
      </c>
      <c r="K141" s="27" t="str">
        <f aca="false">IF(OR(F141="",F141=0,I141=""),"",(I141-F141)/F141)</f>
        <v/>
      </c>
      <c r="L141" s="23"/>
      <c r="M141" s="23"/>
      <c r="N141" s="28"/>
      <c r="O141" s="23"/>
      <c r="P141" s="23"/>
      <c r="Q141" s="23"/>
      <c r="R141" s="23"/>
      <c r="S141" s="23"/>
      <c r="T141" s="23"/>
    </row>
    <row r="142" customFormat="false" ht="15" hidden="false" customHeight="false" outlineLevel="0" collapsed="false">
      <c r="A142" s="23"/>
      <c r="B142" s="23"/>
      <c r="C142" s="23"/>
      <c r="D142" s="23"/>
      <c r="E142" s="24"/>
      <c r="F142" s="25" t="str">
        <f aca="false">IF(OR(D142="",E142=""),"",D142*E142)</f>
        <v/>
      </c>
      <c r="G142" s="23"/>
      <c r="H142" s="24"/>
      <c r="I142" s="25" t="str">
        <f aca="false">IF(OR(G142="",H142=""),"",G142*H142)</f>
        <v/>
      </c>
      <c r="J142" s="26" t="str">
        <f aca="false">IF(OR(F142="",I142=""),"",I142-F142)</f>
        <v/>
      </c>
      <c r="K142" s="27" t="str">
        <f aca="false">IF(OR(F142="",F142=0,I142=""),"",(I142-F142)/F142)</f>
        <v/>
      </c>
      <c r="L142" s="23"/>
      <c r="M142" s="23"/>
      <c r="N142" s="28"/>
      <c r="O142" s="23"/>
      <c r="P142" s="23"/>
      <c r="Q142" s="23"/>
      <c r="R142" s="23"/>
      <c r="S142" s="23"/>
      <c r="T142" s="23"/>
    </row>
    <row r="143" customFormat="false" ht="15" hidden="false" customHeight="false" outlineLevel="0" collapsed="false">
      <c r="A143" s="23"/>
      <c r="B143" s="23"/>
      <c r="C143" s="23"/>
      <c r="D143" s="23"/>
      <c r="E143" s="24"/>
      <c r="F143" s="25" t="str">
        <f aca="false">IF(OR(D143="",E143=""),"",D143*E143)</f>
        <v/>
      </c>
      <c r="G143" s="23"/>
      <c r="H143" s="24"/>
      <c r="I143" s="25" t="str">
        <f aca="false">IF(OR(G143="",H143=""),"",G143*H143)</f>
        <v/>
      </c>
      <c r="J143" s="26" t="str">
        <f aca="false">IF(OR(F143="",I143=""),"",I143-F143)</f>
        <v/>
      </c>
      <c r="K143" s="27" t="str">
        <f aca="false">IF(OR(F143="",F143=0,I143=""),"",(I143-F143)/F143)</f>
        <v/>
      </c>
      <c r="L143" s="23"/>
      <c r="M143" s="23"/>
      <c r="N143" s="28"/>
      <c r="O143" s="23"/>
      <c r="P143" s="23"/>
      <c r="Q143" s="23"/>
      <c r="R143" s="23"/>
      <c r="S143" s="23"/>
      <c r="T143" s="23"/>
    </row>
    <row r="144" customFormat="false" ht="15" hidden="false" customHeight="false" outlineLevel="0" collapsed="false">
      <c r="A144" s="23"/>
      <c r="B144" s="23"/>
      <c r="C144" s="23"/>
      <c r="D144" s="23"/>
      <c r="E144" s="24"/>
      <c r="F144" s="25" t="str">
        <f aca="false">IF(OR(D144="",E144=""),"",D144*E144)</f>
        <v/>
      </c>
      <c r="G144" s="23"/>
      <c r="H144" s="24"/>
      <c r="I144" s="25" t="str">
        <f aca="false">IF(OR(G144="",H144=""),"",G144*H144)</f>
        <v/>
      </c>
      <c r="J144" s="26" t="str">
        <f aca="false">IF(OR(F144="",I144=""),"",I144-F144)</f>
        <v/>
      </c>
      <c r="K144" s="27" t="str">
        <f aca="false">IF(OR(F144="",F144=0,I144=""),"",(I144-F144)/F144)</f>
        <v/>
      </c>
      <c r="L144" s="23"/>
      <c r="M144" s="23"/>
      <c r="N144" s="28"/>
      <c r="O144" s="23"/>
      <c r="P144" s="23"/>
      <c r="Q144" s="23"/>
      <c r="R144" s="23"/>
      <c r="S144" s="23"/>
      <c r="T144" s="23"/>
    </row>
    <row r="145" customFormat="false" ht="15" hidden="false" customHeight="false" outlineLevel="0" collapsed="false">
      <c r="A145" s="23"/>
      <c r="B145" s="23"/>
      <c r="C145" s="23"/>
      <c r="D145" s="23"/>
      <c r="E145" s="24"/>
      <c r="F145" s="25" t="str">
        <f aca="false">IF(OR(D145="",E145=""),"",D145*E145)</f>
        <v/>
      </c>
      <c r="G145" s="23"/>
      <c r="H145" s="24"/>
      <c r="I145" s="25" t="str">
        <f aca="false">IF(OR(G145="",H145=""),"",G145*H145)</f>
        <v/>
      </c>
      <c r="J145" s="26" t="str">
        <f aca="false">IF(OR(F145="",I145=""),"",I145-F145)</f>
        <v/>
      </c>
      <c r="K145" s="27" t="str">
        <f aca="false">IF(OR(F145="",F145=0,I145=""),"",(I145-F145)/F145)</f>
        <v/>
      </c>
      <c r="L145" s="23"/>
      <c r="M145" s="23"/>
      <c r="N145" s="28"/>
      <c r="O145" s="23"/>
      <c r="P145" s="23"/>
      <c r="Q145" s="23"/>
      <c r="R145" s="23"/>
      <c r="S145" s="23"/>
      <c r="T145" s="23"/>
    </row>
    <row r="146" customFormat="false" ht="15" hidden="false" customHeight="false" outlineLevel="0" collapsed="false">
      <c r="A146" s="23"/>
      <c r="B146" s="23"/>
      <c r="C146" s="23"/>
      <c r="D146" s="23"/>
      <c r="E146" s="24"/>
      <c r="F146" s="25" t="str">
        <f aca="false">IF(OR(D146="",E146=""),"",D146*E146)</f>
        <v/>
      </c>
      <c r="G146" s="23"/>
      <c r="H146" s="24"/>
      <c r="I146" s="25" t="str">
        <f aca="false">IF(OR(G146="",H146=""),"",G146*H146)</f>
        <v/>
      </c>
      <c r="J146" s="26" t="str">
        <f aca="false">IF(OR(F146="",I146=""),"",I146-F146)</f>
        <v/>
      </c>
      <c r="K146" s="27" t="str">
        <f aca="false">IF(OR(F146="",F146=0,I146=""),"",(I146-F146)/F146)</f>
        <v/>
      </c>
      <c r="L146" s="23"/>
      <c r="M146" s="23"/>
      <c r="N146" s="28"/>
      <c r="O146" s="23"/>
      <c r="P146" s="23"/>
      <c r="Q146" s="23"/>
      <c r="R146" s="23"/>
      <c r="S146" s="23"/>
      <c r="T146" s="23"/>
    </row>
    <row r="147" customFormat="false" ht="15" hidden="false" customHeight="false" outlineLevel="0" collapsed="false">
      <c r="A147" s="23"/>
      <c r="B147" s="23"/>
      <c r="C147" s="23"/>
      <c r="D147" s="23"/>
      <c r="E147" s="24"/>
      <c r="F147" s="25" t="str">
        <f aca="false">IF(OR(D147="",E147=""),"",D147*E147)</f>
        <v/>
      </c>
      <c r="G147" s="23"/>
      <c r="H147" s="24"/>
      <c r="I147" s="25" t="str">
        <f aca="false">IF(OR(G147="",H147=""),"",G147*H147)</f>
        <v/>
      </c>
      <c r="J147" s="26" t="str">
        <f aca="false">IF(OR(F147="",I147=""),"",I147-F147)</f>
        <v/>
      </c>
      <c r="K147" s="27" t="str">
        <f aca="false">IF(OR(F147="",F147=0,I147=""),"",(I147-F147)/F147)</f>
        <v/>
      </c>
      <c r="L147" s="23"/>
      <c r="M147" s="23"/>
      <c r="N147" s="28"/>
      <c r="O147" s="23"/>
      <c r="P147" s="23"/>
      <c r="Q147" s="23"/>
      <c r="R147" s="23"/>
      <c r="S147" s="23"/>
      <c r="T147" s="23"/>
    </row>
    <row r="148" customFormat="false" ht="15" hidden="false" customHeight="false" outlineLevel="0" collapsed="false">
      <c r="A148" s="23"/>
      <c r="B148" s="23"/>
      <c r="C148" s="23"/>
      <c r="D148" s="23"/>
      <c r="E148" s="24"/>
      <c r="F148" s="25" t="str">
        <f aca="false">IF(OR(D148="",E148=""),"",D148*E148)</f>
        <v/>
      </c>
      <c r="G148" s="23"/>
      <c r="H148" s="24"/>
      <c r="I148" s="25" t="str">
        <f aca="false">IF(OR(G148="",H148=""),"",G148*H148)</f>
        <v/>
      </c>
      <c r="J148" s="26" t="str">
        <f aca="false">IF(OR(F148="",I148=""),"",I148-F148)</f>
        <v/>
      </c>
      <c r="K148" s="27" t="str">
        <f aca="false">IF(OR(F148="",F148=0,I148=""),"",(I148-F148)/F148)</f>
        <v/>
      </c>
      <c r="L148" s="23"/>
      <c r="M148" s="23"/>
      <c r="N148" s="28"/>
      <c r="O148" s="23"/>
      <c r="P148" s="23"/>
      <c r="Q148" s="23"/>
      <c r="R148" s="23"/>
      <c r="S148" s="23"/>
      <c r="T148" s="23"/>
    </row>
    <row r="149" customFormat="false" ht="15" hidden="false" customHeight="false" outlineLevel="0" collapsed="false">
      <c r="A149" s="23"/>
      <c r="B149" s="23"/>
      <c r="C149" s="23"/>
      <c r="D149" s="23"/>
      <c r="E149" s="24"/>
      <c r="F149" s="25" t="str">
        <f aca="false">IF(OR(D149="",E149=""),"",D149*E149)</f>
        <v/>
      </c>
      <c r="G149" s="23"/>
      <c r="H149" s="24"/>
      <c r="I149" s="25" t="str">
        <f aca="false">IF(OR(G149="",H149=""),"",G149*H149)</f>
        <v/>
      </c>
      <c r="J149" s="26" t="str">
        <f aca="false">IF(OR(F149="",I149=""),"",I149-F149)</f>
        <v/>
      </c>
      <c r="K149" s="27" t="str">
        <f aca="false">IF(OR(F149="",F149=0,I149=""),"",(I149-F149)/F149)</f>
        <v/>
      </c>
      <c r="L149" s="23"/>
      <c r="M149" s="23"/>
      <c r="N149" s="28"/>
      <c r="O149" s="23"/>
      <c r="P149" s="23"/>
      <c r="Q149" s="23"/>
      <c r="R149" s="23"/>
      <c r="S149" s="23"/>
      <c r="T149" s="23"/>
    </row>
    <row r="150" customFormat="false" ht="15" hidden="false" customHeight="false" outlineLevel="0" collapsed="false">
      <c r="A150" s="23"/>
      <c r="B150" s="23"/>
      <c r="C150" s="23"/>
      <c r="D150" s="23"/>
      <c r="E150" s="24"/>
      <c r="F150" s="25" t="str">
        <f aca="false">IF(OR(D150="",E150=""),"",D150*E150)</f>
        <v/>
      </c>
      <c r="G150" s="23"/>
      <c r="H150" s="24"/>
      <c r="I150" s="25" t="str">
        <f aca="false">IF(OR(G150="",H150=""),"",G150*H150)</f>
        <v/>
      </c>
      <c r="J150" s="26" t="str">
        <f aca="false">IF(OR(F150="",I150=""),"",I150-F150)</f>
        <v/>
      </c>
      <c r="K150" s="27" t="str">
        <f aca="false">IF(OR(F150="",F150=0,I150=""),"",(I150-F150)/F150)</f>
        <v/>
      </c>
      <c r="L150" s="23"/>
      <c r="M150" s="23"/>
      <c r="N150" s="28"/>
      <c r="O150" s="23"/>
      <c r="P150" s="23"/>
      <c r="Q150" s="23"/>
      <c r="R150" s="23"/>
      <c r="S150" s="23"/>
      <c r="T150" s="23"/>
    </row>
    <row r="151" customFormat="false" ht="15" hidden="false" customHeight="false" outlineLevel="0" collapsed="false">
      <c r="A151" s="23"/>
      <c r="B151" s="23"/>
      <c r="C151" s="23"/>
      <c r="D151" s="23"/>
      <c r="E151" s="24"/>
      <c r="F151" s="25" t="str">
        <f aca="false">IF(OR(D151="",E151=""),"",D151*E151)</f>
        <v/>
      </c>
      <c r="G151" s="23"/>
      <c r="H151" s="24"/>
      <c r="I151" s="25" t="str">
        <f aca="false">IF(OR(G151="",H151=""),"",G151*H151)</f>
        <v/>
      </c>
      <c r="J151" s="26" t="str">
        <f aca="false">IF(OR(F151="",I151=""),"",I151-F151)</f>
        <v/>
      </c>
      <c r="K151" s="27" t="str">
        <f aca="false">IF(OR(F151="",F151=0,I151=""),"",(I151-F151)/F151)</f>
        <v/>
      </c>
      <c r="L151" s="23"/>
      <c r="M151" s="23"/>
      <c r="N151" s="28"/>
      <c r="O151" s="23"/>
      <c r="P151" s="23"/>
      <c r="Q151" s="23"/>
      <c r="R151" s="23"/>
      <c r="S151" s="23"/>
      <c r="T151" s="23"/>
    </row>
    <row r="152" customFormat="false" ht="15" hidden="false" customHeight="false" outlineLevel="0" collapsed="false">
      <c r="A152" s="23"/>
      <c r="B152" s="23"/>
      <c r="C152" s="23"/>
      <c r="D152" s="23"/>
      <c r="E152" s="24"/>
      <c r="F152" s="25" t="str">
        <f aca="false">IF(OR(D152="",E152=""),"",D152*E152)</f>
        <v/>
      </c>
      <c r="G152" s="23"/>
      <c r="H152" s="24"/>
      <c r="I152" s="25" t="str">
        <f aca="false">IF(OR(G152="",H152=""),"",G152*H152)</f>
        <v/>
      </c>
      <c r="J152" s="26" t="str">
        <f aca="false">IF(OR(F152="",I152=""),"",I152-F152)</f>
        <v/>
      </c>
      <c r="K152" s="27" t="str">
        <f aca="false">IF(OR(F152="",F152=0,I152=""),"",(I152-F152)/F152)</f>
        <v/>
      </c>
      <c r="L152" s="23"/>
      <c r="M152" s="23"/>
      <c r="N152" s="28"/>
      <c r="O152" s="23"/>
      <c r="P152" s="23"/>
      <c r="Q152" s="23"/>
      <c r="R152" s="23"/>
      <c r="S152" s="23"/>
      <c r="T152" s="23"/>
    </row>
    <row r="153" customFormat="false" ht="15" hidden="false" customHeight="false" outlineLevel="0" collapsed="false">
      <c r="A153" s="23"/>
      <c r="B153" s="23"/>
      <c r="C153" s="23"/>
      <c r="D153" s="23"/>
      <c r="E153" s="24"/>
      <c r="F153" s="25" t="str">
        <f aca="false">IF(OR(D153="",E153=""),"",D153*E153)</f>
        <v/>
      </c>
      <c r="G153" s="23"/>
      <c r="H153" s="24"/>
      <c r="I153" s="25" t="str">
        <f aca="false">IF(OR(G153="",H153=""),"",G153*H153)</f>
        <v/>
      </c>
      <c r="J153" s="26" t="str">
        <f aca="false">IF(OR(F153="",I153=""),"",I153-F153)</f>
        <v/>
      </c>
      <c r="K153" s="27" t="str">
        <f aca="false">IF(OR(F153="",F153=0,I153=""),"",(I153-F153)/F153)</f>
        <v/>
      </c>
      <c r="L153" s="23"/>
      <c r="M153" s="23"/>
      <c r="N153" s="28"/>
      <c r="O153" s="23"/>
      <c r="P153" s="23"/>
      <c r="Q153" s="23"/>
      <c r="R153" s="23"/>
      <c r="S153" s="23"/>
      <c r="T153" s="23"/>
    </row>
    <row r="154" customFormat="false" ht="15" hidden="false" customHeight="false" outlineLevel="0" collapsed="false">
      <c r="A154" s="23"/>
      <c r="B154" s="23"/>
      <c r="C154" s="23"/>
      <c r="D154" s="23"/>
      <c r="E154" s="24"/>
      <c r="F154" s="25" t="str">
        <f aca="false">IF(OR(D154="",E154=""),"",D154*E154)</f>
        <v/>
      </c>
      <c r="G154" s="23"/>
      <c r="H154" s="24"/>
      <c r="I154" s="25" t="str">
        <f aca="false">IF(OR(G154="",H154=""),"",G154*H154)</f>
        <v/>
      </c>
      <c r="J154" s="26" t="str">
        <f aca="false">IF(OR(F154="",I154=""),"",I154-F154)</f>
        <v/>
      </c>
      <c r="K154" s="27" t="str">
        <f aca="false">IF(OR(F154="",F154=0,I154=""),"",(I154-F154)/F154)</f>
        <v/>
      </c>
      <c r="L154" s="23"/>
      <c r="M154" s="23"/>
      <c r="N154" s="28"/>
      <c r="O154" s="23"/>
      <c r="P154" s="23"/>
      <c r="Q154" s="23"/>
      <c r="R154" s="23"/>
      <c r="S154" s="23"/>
      <c r="T154" s="23"/>
    </row>
    <row r="155" customFormat="false" ht="15" hidden="false" customHeight="false" outlineLevel="0" collapsed="false">
      <c r="A155" s="23"/>
      <c r="B155" s="23"/>
      <c r="C155" s="23"/>
      <c r="D155" s="23"/>
      <c r="E155" s="24"/>
      <c r="F155" s="25" t="str">
        <f aca="false">IF(OR(D155="",E155=""),"",D155*E155)</f>
        <v/>
      </c>
      <c r="G155" s="23"/>
      <c r="H155" s="24"/>
      <c r="I155" s="25" t="str">
        <f aca="false">IF(OR(G155="",H155=""),"",G155*H155)</f>
        <v/>
      </c>
      <c r="J155" s="26" t="str">
        <f aca="false">IF(OR(F155="",I155=""),"",I155-F155)</f>
        <v/>
      </c>
      <c r="K155" s="27" t="str">
        <f aca="false">IF(OR(F155="",F155=0,I155=""),"",(I155-F155)/F155)</f>
        <v/>
      </c>
      <c r="L155" s="23"/>
      <c r="M155" s="23"/>
      <c r="N155" s="28"/>
      <c r="O155" s="23"/>
      <c r="P155" s="23"/>
      <c r="Q155" s="23"/>
      <c r="R155" s="23"/>
      <c r="S155" s="23"/>
      <c r="T155" s="23"/>
    </row>
    <row r="156" customFormat="false" ht="15" hidden="false" customHeight="false" outlineLevel="0" collapsed="false">
      <c r="A156" s="23"/>
      <c r="B156" s="23"/>
      <c r="C156" s="23"/>
      <c r="D156" s="23"/>
      <c r="E156" s="24"/>
      <c r="F156" s="25" t="str">
        <f aca="false">IF(OR(D156="",E156=""),"",D156*E156)</f>
        <v/>
      </c>
      <c r="G156" s="23"/>
      <c r="H156" s="24"/>
      <c r="I156" s="25" t="str">
        <f aca="false">IF(OR(G156="",H156=""),"",G156*H156)</f>
        <v/>
      </c>
      <c r="J156" s="26" t="str">
        <f aca="false">IF(OR(F156="",I156=""),"",I156-F156)</f>
        <v/>
      </c>
      <c r="K156" s="27" t="str">
        <f aca="false">IF(OR(F156="",F156=0,I156=""),"",(I156-F156)/F156)</f>
        <v/>
      </c>
      <c r="L156" s="23"/>
      <c r="M156" s="23"/>
      <c r="N156" s="28"/>
      <c r="O156" s="23"/>
      <c r="P156" s="23"/>
      <c r="Q156" s="23"/>
      <c r="R156" s="23"/>
      <c r="S156" s="23"/>
      <c r="T156" s="23"/>
    </row>
    <row r="157" customFormat="false" ht="15" hidden="false" customHeight="false" outlineLevel="0" collapsed="false">
      <c r="A157" s="23"/>
      <c r="B157" s="23"/>
      <c r="C157" s="23"/>
      <c r="D157" s="23"/>
      <c r="E157" s="24"/>
      <c r="F157" s="25" t="str">
        <f aca="false">IF(OR(D157="",E157=""),"",D157*E157)</f>
        <v/>
      </c>
      <c r="G157" s="23"/>
      <c r="H157" s="24"/>
      <c r="I157" s="25" t="str">
        <f aca="false">IF(OR(G157="",H157=""),"",G157*H157)</f>
        <v/>
      </c>
      <c r="J157" s="26" t="str">
        <f aca="false">IF(OR(F157="",I157=""),"",I157-F157)</f>
        <v/>
      </c>
      <c r="K157" s="27" t="str">
        <f aca="false">IF(OR(F157="",F157=0,I157=""),"",(I157-F157)/F157)</f>
        <v/>
      </c>
      <c r="L157" s="23"/>
      <c r="M157" s="23"/>
      <c r="N157" s="28"/>
      <c r="O157" s="23"/>
      <c r="P157" s="23"/>
      <c r="Q157" s="23"/>
      <c r="R157" s="23"/>
      <c r="S157" s="23"/>
      <c r="T157" s="23"/>
    </row>
    <row r="158" customFormat="false" ht="15" hidden="false" customHeight="false" outlineLevel="0" collapsed="false">
      <c r="A158" s="23"/>
      <c r="B158" s="23"/>
      <c r="C158" s="23"/>
      <c r="D158" s="23"/>
      <c r="E158" s="24"/>
      <c r="F158" s="25" t="str">
        <f aca="false">IF(OR(D158="",E158=""),"",D158*E158)</f>
        <v/>
      </c>
      <c r="G158" s="23"/>
      <c r="H158" s="24"/>
      <c r="I158" s="25" t="str">
        <f aca="false">IF(OR(G158="",H158=""),"",G158*H158)</f>
        <v/>
      </c>
      <c r="J158" s="26" t="str">
        <f aca="false">IF(OR(F158="",I158=""),"",I158-F158)</f>
        <v/>
      </c>
      <c r="K158" s="27" t="str">
        <f aca="false">IF(OR(F158="",F158=0,I158=""),"",(I158-F158)/F158)</f>
        <v/>
      </c>
      <c r="L158" s="23"/>
      <c r="M158" s="23"/>
      <c r="N158" s="28"/>
      <c r="O158" s="23"/>
      <c r="P158" s="23"/>
      <c r="Q158" s="23"/>
      <c r="R158" s="23"/>
      <c r="S158" s="23"/>
      <c r="T158" s="23"/>
    </row>
    <row r="159" customFormat="false" ht="15" hidden="false" customHeight="false" outlineLevel="0" collapsed="false">
      <c r="A159" s="23"/>
      <c r="B159" s="23"/>
      <c r="C159" s="23"/>
      <c r="D159" s="23"/>
      <c r="E159" s="24"/>
      <c r="F159" s="25" t="str">
        <f aca="false">IF(OR(D159="",E159=""),"",D159*E159)</f>
        <v/>
      </c>
      <c r="G159" s="23"/>
      <c r="H159" s="24"/>
      <c r="I159" s="25" t="str">
        <f aca="false">IF(OR(G159="",H159=""),"",G159*H159)</f>
        <v/>
      </c>
      <c r="J159" s="26" t="str">
        <f aca="false">IF(OR(F159="",I159=""),"",I159-F159)</f>
        <v/>
      </c>
      <c r="K159" s="27" t="str">
        <f aca="false">IF(OR(F159="",F159=0,I159=""),"",(I159-F159)/F159)</f>
        <v/>
      </c>
      <c r="L159" s="23"/>
      <c r="M159" s="23"/>
      <c r="N159" s="28"/>
      <c r="O159" s="23"/>
      <c r="P159" s="23"/>
      <c r="Q159" s="23"/>
      <c r="R159" s="23"/>
      <c r="S159" s="23"/>
      <c r="T159" s="23"/>
    </row>
    <row r="160" customFormat="false" ht="15" hidden="false" customHeight="false" outlineLevel="0" collapsed="false">
      <c r="A160" s="23"/>
      <c r="B160" s="23"/>
      <c r="C160" s="23"/>
      <c r="D160" s="23"/>
      <c r="E160" s="24"/>
      <c r="F160" s="25" t="str">
        <f aca="false">IF(OR(D160="",E160=""),"",D160*E160)</f>
        <v/>
      </c>
      <c r="G160" s="23"/>
      <c r="H160" s="24"/>
      <c r="I160" s="25" t="str">
        <f aca="false">IF(OR(G160="",H160=""),"",G160*H160)</f>
        <v/>
      </c>
      <c r="J160" s="26" t="str">
        <f aca="false">IF(OR(F160="",I160=""),"",I160-F160)</f>
        <v/>
      </c>
      <c r="K160" s="27" t="str">
        <f aca="false">IF(OR(F160="",F160=0,I160=""),"",(I160-F160)/F160)</f>
        <v/>
      </c>
      <c r="L160" s="23"/>
      <c r="M160" s="23"/>
      <c r="N160" s="28"/>
      <c r="O160" s="23"/>
      <c r="P160" s="23"/>
      <c r="Q160" s="23"/>
      <c r="R160" s="23"/>
      <c r="S160" s="23"/>
      <c r="T160" s="23"/>
    </row>
    <row r="161" customFormat="false" ht="15" hidden="false" customHeight="false" outlineLevel="0" collapsed="false">
      <c r="A161" s="23"/>
      <c r="B161" s="23"/>
      <c r="C161" s="23"/>
      <c r="D161" s="23"/>
      <c r="E161" s="24"/>
      <c r="F161" s="25" t="str">
        <f aca="false">IF(OR(D161="",E161=""),"",D161*E161)</f>
        <v/>
      </c>
      <c r="G161" s="23"/>
      <c r="H161" s="24"/>
      <c r="I161" s="25" t="str">
        <f aca="false">IF(OR(G161="",H161=""),"",G161*H161)</f>
        <v/>
      </c>
      <c r="J161" s="26" t="str">
        <f aca="false">IF(OR(F161="",I161=""),"",I161-F161)</f>
        <v/>
      </c>
      <c r="K161" s="27" t="str">
        <f aca="false">IF(OR(F161="",F161=0,I161=""),"",(I161-F161)/F161)</f>
        <v/>
      </c>
      <c r="L161" s="23"/>
      <c r="M161" s="23"/>
      <c r="N161" s="28"/>
      <c r="O161" s="23"/>
      <c r="P161" s="23"/>
      <c r="Q161" s="23"/>
      <c r="R161" s="23"/>
      <c r="S161" s="23"/>
      <c r="T161" s="23"/>
    </row>
    <row r="162" customFormat="false" ht="15" hidden="false" customHeight="false" outlineLevel="0" collapsed="false">
      <c r="A162" s="23"/>
      <c r="B162" s="23"/>
      <c r="C162" s="23"/>
      <c r="D162" s="23"/>
      <c r="E162" s="24"/>
      <c r="F162" s="25" t="str">
        <f aca="false">IF(OR(D162="",E162=""),"",D162*E162)</f>
        <v/>
      </c>
      <c r="G162" s="23"/>
      <c r="H162" s="24"/>
      <c r="I162" s="25" t="str">
        <f aca="false">IF(OR(G162="",H162=""),"",G162*H162)</f>
        <v/>
      </c>
      <c r="J162" s="26" t="str">
        <f aca="false">IF(OR(F162="",I162=""),"",I162-F162)</f>
        <v/>
      </c>
      <c r="K162" s="27" t="str">
        <f aca="false">IF(OR(F162="",F162=0,I162=""),"",(I162-F162)/F162)</f>
        <v/>
      </c>
      <c r="L162" s="23"/>
      <c r="M162" s="23"/>
      <c r="N162" s="28"/>
      <c r="O162" s="23"/>
      <c r="P162" s="23"/>
      <c r="Q162" s="23"/>
      <c r="R162" s="23"/>
      <c r="S162" s="23"/>
      <c r="T162" s="23"/>
    </row>
    <row r="163" customFormat="false" ht="15" hidden="false" customHeight="false" outlineLevel="0" collapsed="false">
      <c r="A163" s="23"/>
      <c r="B163" s="23"/>
      <c r="C163" s="23"/>
      <c r="D163" s="23"/>
      <c r="E163" s="24"/>
      <c r="F163" s="25" t="str">
        <f aca="false">IF(OR(D163="",E163=""),"",D163*E163)</f>
        <v/>
      </c>
      <c r="G163" s="23"/>
      <c r="H163" s="24"/>
      <c r="I163" s="25" t="str">
        <f aca="false">IF(OR(G163="",H163=""),"",G163*H163)</f>
        <v/>
      </c>
      <c r="J163" s="26" t="str">
        <f aca="false">IF(OR(F163="",I163=""),"",I163-F163)</f>
        <v/>
      </c>
      <c r="K163" s="27" t="str">
        <f aca="false">IF(OR(F163="",F163=0,I163=""),"",(I163-F163)/F163)</f>
        <v/>
      </c>
      <c r="L163" s="23"/>
      <c r="M163" s="23"/>
      <c r="N163" s="28"/>
      <c r="O163" s="23"/>
      <c r="P163" s="23"/>
      <c r="Q163" s="23"/>
      <c r="R163" s="23"/>
      <c r="S163" s="23"/>
      <c r="T163" s="23"/>
    </row>
    <row r="164" customFormat="false" ht="15" hidden="false" customHeight="false" outlineLevel="0" collapsed="false">
      <c r="A164" s="23"/>
      <c r="B164" s="23"/>
      <c r="C164" s="23"/>
      <c r="D164" s="23"/>
      <c r="E164" s="24"/>
      <c r="F164" s="25" t="str">
        <f aca="false">IF(OR(D164="",E164=""),"",D164*E164)</f>
        <v/>
      </c>
      <c r="G164" s="23"/>
      <c r="H164" s="24"/>
      <c r="I164" s="25" t="str">
        <f aca="false">IF(OR(G164="",H164=""),"",G164*H164)</f>
        <v/>
      </c>
      <c r="J164" s="26" t="str">
        <f aca="false">IF(OR(F164="",I164=""),"",I164-F164)</f>
        <v/>
      </c>
      <c r="K164" s="27" t="str">
        <f aca="false">IF(OR(F164="",F164=0,I164=""),"",(I164-F164)/F164)</f>
        <v/>
      </c>
      <c r="L164" s="23"/>
      <c r="M164" s="23"/>
      <c r="N164" s="28"/>
      <c r="O164" s="23"/>
      <c r="P164" s="23"/>
      <c r="Q164" s="23"/>
      <c r="R164" s="23"/>
      <c r="S164" s="23"/>
      <c r="T164" s="23"/>
    </row>
    <row r="165" customFormat="false" ht="15" hidden="false" customHeight="false" outlineLevel="0" collapsed="false">
      <c r="A165" s="23"/>
      <c r="B165" s="23"/>
      <c r="C165" s="23"/>
      <c r="D165" s="23"/>
      <c r="E165" s="24"/>
      <c r="F165" s="25" t="str">
        <f aca="false">IF(OR(D165="",E165=""),"",D165*E165)</f>
        <v/>
      </c>
      <c r="G165" s="23"/>
      <c r="H165" s="24"/>
      <c r="I165" s="25" t="str">
        <f aca="false">IF(OR(G165="",H165=""),"",G165*H165)</f>
        <v/>
      </c>
      <c r="J165" s="26" t="str">
        <f aca="false">IF(OR(F165="",I165=""),"",I165-F165)</f>
        <v/>
      </c>
      <c r="K165" s="27" t="str">
        <f aca="false">IF(OR(F165="",F165=0,I165=""),"",(I165-F165)/F165)</f>
        <v/>
      </c>
      <c r="L165" s="23"/>
      <c r="M165" s="23"/>
      <c r="N165" s="28"/>
      <c r="O165" s="23"/>
      <c r="P165" s="23"/>
      <c r="Q165" s="23"/>
      <c r="R165" s="23"/>
      <c r="S165" s="23"/>
      <c r="T165" s="23"/>
    </row>
    <row r="166" customFormat="false" ht="15" hidden="false" customHeight="false" outlineLevel="0" collapsed="false">
      <c r="A166" s="23"/>
      <c r="B166" s="23"/>
      <c r="C166" s="23"/>
      <c r="D166" s="23"/>
      <c r="E166" s="24"/>
      <c r="F166" s="25" t="str">
        <f aca="false">IF(OR(D166="",E166=""),"",D166*E166)</f>
        <v/>
      </c>
      <c r="G166" s="23"/>
      <c r="H166" s="24"/>
      <c r="I166" s="25" t="str">
        <f aca="false">IF(OR(G166="",H166=""),"",G166*H166)</f>
        <v/>
      </c>
      <c r="J166" s="26" t="str">
        <f aca="false">IF(OR(F166="",I166=""),"",I166-F166)</f>
        <v/>
      </c>
      <c r="K166" s="27" t="str">
        <f aca="false">IF(OR(F166="",F166=0,I166=""),"",(I166-F166)/F166)</f>
        <v/>
      </c>
      <c r="L166" s="23"/>
      <c r="M166" s="23"/>
      <c r="N166" s="28"/>
      <c r="O166" s="23"/>
      <c r="P166" s="23"/>
      <c r="Q166" s="23"/>
      <c r="R166" s="23"/>
      <c r="S166" s="23"/>
      <c r="T166" s="23"/>
    </row>
    <row r="167" customFormat="false" ht="15" hidden="false" customHeight="false" outlineLevel="0" collapsed="false">
      <c r="A167" s="23"/>
      <c r="B167" s="23"/>
      <c r="C167" s="23"/>
      <c r="D167" s="23"/>
      <c r="E167" s="24"/>
      <c r="F167" s="25" t="str">
        <f aca="false">IF(OR(D167="",E167=""),"",D167*E167)</f>
        <v/>
      </c>
      <c r="G167" s="23"/>
      <c r="H167" s="24"/>
      <c r="I167" s="25" t="str">
        <f aca="false">IF(OR(G167="",H167=""),"",G167*H167)</f>
        <v/>
      </c>
      <c r="J167" s="26" t="str">
        <f aca="false">IF(OR(F167="",I167=""),"",I167-F167)</f>
        <v/>
      </c>
      <c r="K167" s="27" t="str">
        <f aca="false">IF(OR(F167="",F167=0,I167=""),"",(I167-F167)/F167)</f>
        <v/>
      </c>
      <c r="L167" s="23"/>
      <c r="M167" s="23"/>
      <c r="N167" s="28"/>
      <c r="O167" s="23"/>
      <c r="P167" s="23"/>
      <c r="Q167" s="23"/>
      <c r="R167" s="23"/>
      <c r="S167" s="23"/>
      <c r="T167" s="23"/>
    </row>
    <row r="168" customFormat="false" ht="15" hidden="false" customHeight="false" outlineLevel="0" collapsed="false">
      <c r="A168" s="23"/>
      <c r="B168" s="23"/>
      <c r="C168" s="23"/>
      <c r="D168" s="23"/>
      <c r="E168" s="24"/>
      <c r="F168" s="25" t="str">
        <f aca="false">IF(OR(D168="",E168=""),"",D168*E168)</f>
        <v/>
      </c>
      <c r="G168" s="23"/>
      <c r="H168" s="24"/>
      <c r="I168" s="25" t="str">
        <f aca="false">IF(OR(G168="",H168=""),"",G168*H168)</f>
        <v/>
      </c>
      <c r="J168" s="26" t="str">
        <f aca="false">IF(OR(F168="",I168=""),"",I168-F168)</f>
        <v/>
      </c>
      <c r="K168" s="27" t="str">
        <f aca="false">IF(OR(F168="",F168=0,I168=""),"",(I168-F168)/F168)</f>
        <v/>
      </c>
      <c r="L168" s="23"/>
      <c r="M168" s="23"/>
      <c r="N168" s="28"/>
      <c r="O168" s="23"/>
      <c r="P168" s="23"/>
      <c r="Q168" s="23"/>
      <c r="R168" s="23"/>
      <c r="S168" s="23"/>
      <c r="T168" s="23"/>
    </row>
    <row r="169" customFormat="false" ht="15" hidden="false" customHeight="false" outlineLevel="0" collapsed="false">
      <c r="A169" s="23"/>
      <c r="B169" s="23"/>
      <c r="C169" s="23"/>
      <c r="D169" s="23"/>
      <c r="E169" s="24"/>
      <c r="F169" s="25" t="str">
        <f aca="false">IF(OR(D169="",E169=""),"",D169*E169)</f>
        <v/>
      </c>
      <c r="G169" s="23"/>
      <c r="H169" s="24"/>
      <c r="I169" s="25" t="str">
        <f aca="false">IF(OR(G169="",H169=""),"",G169*H169)</f>
        <v/>
      </c>
      <c r="J169" s="26" t="str">
        <f aca="false">IF(OR(F169="",I169=""),"",I169-F169)</f>
        <v/>
      </c>
      <c r="K169" s="27" t="str">
        <f aca="false">IF(OR(F169="",F169=0,I169=""),"",(I169-F169)/F169)</f>
        <v/>
      </c>
      <c r="L169" s="23"/>
      <c r="M169" s="23"/>
      <c r="N169" s="28"/>
      <c r="O169" s="23"/>
      <c r="P169" s="23"/>
      <c r="Q169" s="23"/>
      <c r="R169" s="23"/>
      <c r="S169" s="23"/>
      <c r="T169" s="23"/>
    </row>
    <row r="170" customFormat="false" ht="15" hidden="false" customHeight="false" outlineLevel="0" collapsed="false">
      <c r="A170" s="23"/>
      <c r="B170" s="23"/>
      <c r="C170" s="23"/>
      <c r="D170" s="23"/>
      <c r="E170" s="24"/>
      <c r="F170" s="25" t="str">
        <f aca="false">IF(OR(D170="",E170=""),"",D170*E170)</f>
        <v/>
      </c>
      <c r="G170" s="23"/>
      <c r="H170" s="24"/>
      <c r="I170" s="25" t="str">
        <f aca="false">IF(OR(G170="",H170=""),"",G170*H170)</f>
        <v/>
      </c>
      <c r="J170" s="26" t="str">
        <f aca="false">IF(OR(F170="",I170=""),"",I170-F170)</f>
        <v/>
      </c>
      <c r="K170" s="27" t="str">
        <f aca="false">IF(OR(F170="",F170=0,I170=""),"",(I170-F170)/F170)</f>
        <v/>
      </c>
      <c r="L170" s="23"/>
      <c r="M170" s="23"/>
      <c r="N170" s="28"/>
      <c r="O170" s="23"/>
      <c r="P170" s="23"/>
      <c r="Q170" s="23"/>
      <c r="R170" s="23"/>
      <c r="S170" s="23"/>
      <c r="T170" s="23"/>
    </row>
    <row r="171" customFormat="false" ht="15" hidden="false" customHeight="false" outlineLevel="0" collapsed="false">
      <c r="A171" s="23"/>
      <c r="B171" s="23"/>
      <c r="C171" s="23"/>
      <c r="D171" s="23"/>
      <c r="E171" s="24"/>
      <c r="F171" s="25" t="str">
        <f aca="false">IF(OR(D171="",E171=""),"",D171*E171)</f>
        <v/>
      </c>
      <c r="G171" s="23"/>
      <c r="H171" s="24"/>
      <c r="I171" s="25" t="str">
        <f aca="false">IF(OR(G171="",H171=""),"",G171*H171)</f>
        <v/>
      </c>
      <c r="J171" s="26" t="str">
        <f aca="false">IF(OR(F171="",I171=""),"",I171-F171)</f>
        <v/>
      </c>
      <c r="K171" s="27" t="str">
        <f aca="false">IF(OR(F171="",F171=0,I171=""),"",(I171-F171)/F171)</f>
        <v/>
      </c>
      <c r="L171" s="23"/>
      <c r="M171" s="23"/>
      <c r="N171" s="28"/>
      <c r="O171" s="23"/>
      <c r="P171" s="23"/>
      <c r="Q171" s="23"/>
      <c r="R171" s="23"/>
      <c r="S171" s="23"/>
      <c r="T171" s="23"/>
    </row>
    <row r="172" customFormat="false" ht="15" hidden="false" customHeight="false" outlineLevel="0" collapsed="false">
      <c r="A172" s="23"/>
      <c r="B172" s="23"/>
      <c r="C172" s="23"/>
      <c r="D172" s="23"/>
      <c r="E172" s="24"/>
      <c r="F172" s="25" t="str">
        <f aca="false">IF(OR(D172="",E172=""),"",D172*E172)</f>
        <v/>
      </c>
      <c r="G172" s="23"/>
      <c r="H172" s="24"/>
      <c r="I172" s="25" t="str">
        <f aca="false">IF(OR(G172="",H172=""),"",G172*H172)</f>
        <v/>
      </c>
      <c r="J172" s="26" t="str">
        <f aca="false">IF(OR(F172="",I172=""),"",I172-F172)</f>
        <v/>
      </c>
      <c r="K172" s="27" t="str">
        <f aca="false">IF(OR(F172="",F172=0,I172=""),"",(I172-F172)/F172)</f>
        <v/>
      </c>
      <c r="L172" s="23"/>
      <c r="M172" s="23"/>
      <c r="N172" s="28"/>
      <c r="O172" s="23"/>
      <c r="P172" s="23"/>
      <c r="Q172" s="23"/>
      <c r="R172" s="23"/>
      <c r="S172" s="23"/>
      <c r="T172" s="23"/>
    </row>
    <row r="173" customFormat="false" ht="15" hidden="false" customHeight="false" outlineLevel="0" collapsed="false">
      <c r="A173" s="23"/>
      <c r="B173" s="23"/>
      <c r="C173" s="23"/>
      <c r="D173" s="23"/>
      <c r="E173" s="24"/>
      <c r="F173" s="25" t="str">
        <f aca="false">IF(OR(D173="",E173=""),"",D173*E173)</f>
        <v/>
      </c>
      <c r="G173" s="23"/>
      <c r="H173" s="24"/>
      <c r="I173" s="25" t="str">
        <f aca="false">IF(OR(G173="",H173=""),"",G173*H173)</f>
        <v/>
      </c>
      <c r="J173" s="26" t="str">
        <f aca="false">IF(OR(F173="",I173=""),"",I173-F173)</f>
        <v/>
      </c>
      <c r="K173" s="27" t="str">
        <f aca="false">IF(OR(F173="",F173=0,I173=""),"",(I173-F173)/F173)</f>
        <v/>
      </c>
      <c r="L173" s="23"/>
      <c r="M173" s="23"/>
      <c r="N173" s="28"/>
      <c r="O173" s="23"/>
      <c r="P173" s="23"/>
      <c r="Q173" s="23"/>
      <c r="R173" s="23"/>
      <c r="S173" s="23"/>
      <c r="T173" s="23"/>
    </row>
    <row r="174" customFormat="false" ht="15" hidden="false" customHeight="false" outlineLevel="0" collapsed="false">
      <c r="A174" s="23"/>
      <c r="B174" s="23"/>
      <c r="C174" s="23"/>
      <c r="D174" s="23"/>
      <c r="E174" s="24"/>
      <c r="F174" s="25" t="str">
        <f aca="false">IF(OR(D174="",E174=""),"",D174*E174)</f>
        <v/>
      </c>
      <c r="G174" s="23"/>
      <c r="H174" s="24"/>
      <c r="I174" s="25" t="str">
        <f aca="false">IF(OR(G174="",H174=""),"",G174*H174)</f>
        <v/>
      </c>
      <c r="J174" s="26" t="str">
        <f aca="false">IF(OR(F174="",I174=""),"",I174-F174)</f>
        <v/>
      </c>
      <c r="K174" s="27" t="str">
        <f aca="false">IF(OR(F174="",F174=0,I174=""),"",(I174-F174)/F174)</f>
        <v/>
      </c>
      <c r="L174" s="23"/>
      <c r="M174" s="23"/>
      <c r="N174" s="28"/>
      <c r="O174" s="23"/>
      <c r="P174" s="23"/>
      <c r="Q174" s="23"/>
      <c r="R174" s="23"/>
      <c r="S174" s="23"/>
      <c r="T174" s="23"/>
    </row>
    <row r="175" customFormat="false" ht="15" hidden="false" customHeight="false" outlineLevel="0" collapsed="false">
      <c r="A175" s="23"/>
      <c r="B175" s="23"/>
      <c r="C175" s="23"/>
      <c r="D175" s="23"/>
      <c r="E175" s="24"/>
      <c r="F175" s="25" t="str">
        <f aca="false">IF(OR(D175="",E175=""),"",D175*E175)</f>
        <v/>
      </c>
      <c r="G175" s="23"/>
      <c r="H175" s="24"/>
      <c r="I175" s="25" t="str">
        <f aca="false">IF(OR(G175="",H175=""),"",G175*H175)</f>
        <v/>
      </c>
      <c r="J175" s="26" t="str">
        <f aca="false">IF(OR(F175="",I175=""),"",I175-F175)</f>
        <v/>
      </c>
      <c r="K175" s="27" t="str">
        <f aca="false">IF(OR(F175="",F175=0,I175=""),"",(I175-F175)/F175)</f>
        <v/>
      </c>
      <c r="L175" s="23"/>
      <c r="M175" s="23"/>
      <c r="N175" s="28"/>
      <c r="O175" s="23"/>
      <c r="P175" s="23"/>
      <c r="Q175" s="23"/>
      <c r="R175" s="23"/>
      <c r="S175" s="23"/>
      <c r="T175" s="23"/>
    </row>
    <row r="176" customFormat="false" ht="15" hidden="false" customHeight="false" outlineLevel="0" collapsed="false">
      <c r="A176" s="23"/>
      <c r="B176" s="23"/>
      <c r="C176" s="23"/>
      <c r="D176" s="23"/>
      <c r="E176" s="24"/>
      <c r="F176" s="25" t="str">
        <f aca="false">IF(OR(D176="",E176=""),"",D176*E176)</f>
        <v/>
      </c>
      <c r="G176" s="23"/>
      <c r="H176" s="24"/>
      <c r="I176" s="25" t="str">
        <f aca="false">IF(OR(G176="",H176=""),"",G176*H176)</f>
        <v/>
      </c>
      <c r="J176" s="26" t="str">
        <f aca="false">IF(OR(F176="",I176=""),"",I176-F176)</f>
        <v/>
      </c>
      <c r="K176" s="27" t="str">
        <f aca="false">IF(OR(F176="",F176=0,I176=""),"",(I176-F176)/F176)</f>
        <v/>
      </c>
      <c r="L176" s="23"/>
      <c r="M176" s="23"/>
      <c r="N176" s="28"/>
      <c r="O176" s="23"/>
      <c r="P176" s="23"/>
      <c r="Q176" s="23"/>
      <c r="R176" s="23"/>
      <c r="S176" s="23"/>
      <c r="T176" s="23"/>
    </row>
    <row r="177" customFormat="false" ht="15" hidden="false" customHeight="false" outlineLevel="0" collapsed="false">
      <c r="A177" s="23"/>
      <c r="B177" s="23"/>
      <c r="C177" s="23"/>
      <c r="D177" s="23"/>
      <c r="E177" s="24"/>
      <c r="F177" s="25" t="str">
        <f aca="false">IF(OR(D177="",E177=""),"",D177*E177)</f>
        <v/>
      </c>
      <c r="G177" s="23"/>
      <c r="H177" s="24"/>
      <c r="I177" s="25" t="str">
        <f aca="false">IF(OR(G177="",H177=""),"",G177*H177)</f>
        <v/>
      </c>
      <c r="J177" s="26" t="str">
        <f aca="false">IF(OR(F177="",I177=""),"",I177-F177)</f>
        <v/>
      </c>
      <c r="K177" s="27" t="str">
        <f aca="false">IF(OR(F177="",F177=0,I177=""),"",(I177-F177)/F177)</f>
        <v/>
      </c>
      <c r="L177" s="23"/>
      <c r="M177" s="23"/>
      <c r="N177" s="28"/>
      <c r="O177" s="23"/>
      <c r="P177" s="23"/>
      <c r="Q177" s="23"/>
      <c r="R177" s="23"/>
      <c r="S177" s="23"/>
      <c r="T177" s="23"/>
    </row>
    <row r="178" customFormat="false" ht="15" hidden="false" customHeight="false" outlineLevel="0" collapsed="false">
      <c r="A178" s="23"/>
      <c r="B178" s="23"/>
      <c r="C178" s="23"/>
      <c r="D178" s="23"/>
      <c r="E178" s="24"/>
      <c r="F178" s="25" t="str">
        <f aca="false">IF(OR(D178="",E178=""),"",D178*E178)</f>
        <v/>
      </c>
      <c r="G178" s="23"/>
      <c r="H178" s="24"/>
      <c r="I178" s="25" t="str">
        <f aca="false">IF(OR(G178="",H178=""),"",G178*H178)</f>
        <v/>
      </c>
      <c r="J178" s="26" t="str">
        <f aca="false">IF(OR(F178="",I178=""),"",I178-F178)</f>
        <v/>
      </c>
      <c r="K178" s="27" t="str">
        <f aca="false">IF(OR(F178="",F178=0,I178=""),"",(I178-F178)/F178)</f>
        <v/>
      </c>
      <c r="L178" s="23"/>
      <c r="M178" s="23"/>
      <c r="N178" s="28"/>
      <c r="O178" s="23"/>
      <c r="P178" s="23"/>
      <c r="Q178" s="23"/>
      <c r="R178" s="23"/>
      <c r="S178" s="23"/>
      <c r="T178" s="23"/>
    </row>
    <row r="179" customFormat="false" ht="15" hidden="false" customHeight="false" outlineLevel="0" collapsed="false">
      <c r="A179" s="23"/>
      <c r="B179" s="23"/>
      <c r="C179" s="23"/>
      <c r="D179" s="23"/>
      <c r="E179" s="24"/>
      <c r="F179" s="25" t="str">
        <f aca="false">IF(OR(D179="",E179=""),"",D179*E179)</f>
        <v/>
      </c>
      <c r="G179" s="23"/>
      <c r="H179" s="24"/>
      <c r="I179" s="25" t="str">
        <f aca="false">IF(OR(G179="",H179=""),"",G179*H179)</f>
        <v/>
      </c>
      <c r="J179" s="26" t="str">
        <f aca="false">IF(OR(F179="",I179=""),"",I179-F179)</f>
        <v/>
      </c>
      <c r="K179" s="27" t="str">
        <f aca="false">IF(OR(F179="",F179=0,I179=""),"",(I179-F179)/F179)</f>
        <v/>
      </c>
      <c r="L179" s="23"/>
      <c r="M179" s="23"/>
      <c r="N179" s="28"/>
      <c r="O179" s="23"/>
      <c r="P179" s="23"/>
      <c r="Q179" s="23"/>
      <c r="R179" s="23"/>
      <c r="S179" s="23"/>
      <c r="T179" s="23"/>
    </row>
    <row r="180" customFormat="false" ht="15" hidden="false" customHeight="false" outlineLevel="0" collapsed="false">
      <c r="A180" s="23"/>
      <c r="B180" s="23"/>
      <c r="C180" s="23"/>
      <c r="D180" s="23"/>
      <c r="E180" s="24"/>
      <c r="F180" s="25" t="str">
        <f aca="false">IF(OR(D180="",E180=""),"",D180*E180)</f>
        <v/>
      </c>
      <c r="G180" s="23"/>
      <c r="H180" s="24"/>
      <c r="I180" s="25" t="str">
        <f aca="false">IF(OR(G180="",H180=""),"",G180*H180)</f>
        <v/>
      </c>
      <c r="J180" s="26" t="str">
        <f aca="false">IF(OR(F180="",I180=""),"",I180-F180)</f>
        <v/>
      </c>
      <c r="K180" s="27" t="str">
        <f aca="false">IF(OR(F180="",F180=0,I180=""),"",(I180-F180)/F180)</f>
        <v/>
      </c>
      <c r="L180" s="23"/>
      <c r="M180" s="23"/>
      <c r="N180" s="28"/>
      <c r="O180" s="23"/>
      <c r="P180" s="23"/>
      <c r="Q180" s="23"/>
      <c r="R180" s="23"/>
      <c r="S180" s="23"/>
      <c r="T180" s="23"/>
    </row>
    <row r="181" customFormat="false" ht="15" hidden="false" customHeight="false" outlineLevel="0" collapsed="false">
      <c r="A181" s="23"/>
      <c r="B181" s="23"/>
      <c r="C181" s="23"/>
      <c r="D181" s="23"/>
      <c r="E181" s="24"/>
      <c r="F181" s="25" t="str">
        <f aca="false">IF(OR(D181="",E181=""),"",D181*E181)</f>
        <v/>
      </c>
      <c r="G181" s="23"/>
      <c r="H181" s="24"/>
      <c r="I181" s="25" t="str">
        <f aca="false">IF(OR(G181="",H181=""),"",G181*H181)</f>
        <v/>
      </c>
      <c r="J181" s="26" t="str">
        <f aca="false">IF(OR(F181="",I181=""),"",I181-F181)</f>
        <v/>
      </c>
      <c r="K181" s="27" t="str">
        <f aca="false">IF(OR(F181="",F181=0,I181=""),"",(I181-F181)/F181)</f>
        <v/>
      </c>
      <c r="L181" s="23"/>
      <c r="M181" s="23"/>
      <c r="N181" s="28"/>
      <c r="O181" s="23"/>
      <c r="P181" s="23"/>
      <c r="Q181" s="23"/>
      <c r="R181" s="23"/>
      <c r="S181" s="23"/>
      <c r="T181" s="23"/>
    </row>
    <row r="182" customFormat="false" ht="15" hidden="false" customHeight="false" outlineLevel="0" collapsed="false">
      <c r="A182" s="23"/>
      <c r="B182" s="23"/>
      <c r="C182" s="23"/>
      <c r="D182" s="23"/>
      <c r="E182" s="24"/>
      <c r="F182" s="25" t="str">
        <f aca="false">IF(OR(D182="",E182=""),"",D182*E182)</f>
        <v/>
      </c>
      <c r="G182" s="23"/>
      <c r="H182" s="24"/>
      <c r="I182" s="25" t="str">
        <f aca="false">IF(OR(G182="",H182=""),"",G182*H182)</f>
        <v/>
      </c>
      <c r="J182" s="26" t="str">
        <f aca="false">IF(OR(F182="",I182=""),"",I182-F182)</f>
        <v/>
      </c>
      <c r="K182" s="27" t="str">
        <f aca="false">IF(OR(F182="",F182=0,I182=""),"",(I182-F182)/F182)</f>
        <v/>
      </c>
      <c r="L182" s="23"/>
      <c r="M182" s="23"/>
      <c r="N182" s="28"/>
      <c r="O182" s="23"/>
      <c r="P182" s="23"/>
      <c r="Q182" s="23"/>
      <c r="R182" s="23"/>
      <c r="S182" s="23"/>
      <c r="T182" s="23"/>
    </row>
    <row r="183" customFormat="false" ht="15" hidden="false" customHeight="false" outlineLevel="0" collapsed="false">
      <c r="A183" s="23"/>
      <c r="B183" s="23"/>
      <c r="C183" s="23"/>
      <c r="D183" s="23"/>
      <c r="E183" s="24"/>
      <c r="F183" s="25" t="str">
        <f aca="false">IF(OR(D183="",E183=""),"",D183*E183)</f>
        <v/>
      </c>
      <c r="G183" s="23"/>
      <c r="H183" s="24"/>
      <c r="I183" s="25" t="str">
        <f aca="false">IF(OR(G183="",H183=""),"",G183*H183)</f>
        <v/>
      </c>
      <c r="J183" s="26" t="str">
        <f aca="false">IF(OR(F183="",I183=""),"",I183-F183)</f>
        <v/>
      </c>
      <c r="K183" s="27" t="str">
        <f aca="false">IF(OR(F183="",F183=0,I183=""),"",(I183-F183)/F183)</f>
        <v/>
      </c>
      <c r="L183" s="23"/>
      <c r="M183" s="23"/>
      <c r="N183" s="28"/>
      <c r="O183" s="23"/>
      <c r="P183" s="23"/>
      <c r="Q183" s="23"/>
      <c r="R183" s="23"/>
      <c r="S183" s="23"/>
      <c r="T183" s="23"/>
    </row>
    <row r="184" customFormat="false" ht="15" hidden="false" customHeight="false" outlineLevel="0" collapsed="false">
      <c r="A184" s="23"/>
      <c r="B184" s="23"/>
      <c r="C184" s="23"/>
      <c r="D184" s="23"/>
      <c r="E184" s="24"/>
      <c r="F184" s="25" t="str">
        <f aca="false">IF(OR(D184="",E184=""),"",D184*E184)</f>
        <v/>
      </c>
      <c r="G184" s="23"/>
      <c r="H184" s="24"/>
      <c r="I184" s="25" t="str">
        <f aca="false">IF(OR(G184="",H184=""),"",G184*H184)</f>
        <v/>
      </c>
      <c r="J184" s="26" t="str">
        <f aca="false">IF(OR(F184="",I184=""),"",I184-F184)</f>
        <v/>
      </c>
      <c r="K184" s="27" t="str">
        <f aca="false">IF(OR(F184="",F184=0,I184=""),"",(I184-F184)/F184)</f>
        <v/>
      </c>
      <c r="L184" s="23"/>
      <c r="M184" s="23"/>
      <c r="N184" s="28"/>
      <c r="O184" s="23"/>
      <c r="P184" s="23"/>
      <c r="Q184" s="23"/>
      <c r="R184" s="23"/>
      <c r="S184" s="23"/>
      <c r="T184" s="23"/>
    </row>
    <row r="185" customFormat="false" ht="15" hidden="false" customHeight="false" outlineLevel="0" collapsed="false">
      <c r="A185" s="23"/>
      <c r="B185" s="23"/>
      <c r="C185" s="23"/>
      <c r="D185" s="23"/>
      <c r="E185" s="24"/>
      <c r="F185" s="25" t="str">
        <f aca="false">IF(OR(D185="",E185=""),"",D185*E185)</f>
        <v/>
      </c>
      <c r="G185" s="23"/>
      <c r="H185" s="24"/>
      <c r="I185" s="25" t="str">
        <f aca="false">IF(OR(G185="",H185=""),"",G185*H185)</f>
        <v/>
      </c>
      <c r="J185" s="26" t="str">
        <f aca="false">IF(OR(F185="",I185=""),"",I185-F185)</f>
        <v/>
      </c>
      <c r="K185" s="27" t="str">
        <f aca="false">IF(OR(F185="",F185=0,I185=""),"",(I185-F185)/F185)</f>
        <v/>
      </c>
      <c r="L185" s="23"/>
      <c r="M185" s="23"/>
      <c r="N185" s="28"/>
      <c r="O185" s="23"/>
      <c r="P185" s="23"/>
      <c r="Q185" s="23"/>
      <c r="R185" s="23"/>
      <c r="S185" s="23"/>
      <c r="T185" s="23"/>
    </row>
    <row r="186" customFormat="false" ht="15" hidden="false" customHeight="false" outlineLevel="0" collapsed="false">
      <c r="A186" s="23"/>
      <c r="B186" s="23"/>
      <c r="C186" s="23"/>
      <c r="D186" s="23"/>
      <c r="E186" s="24"/>
      <c r="F186" s="25" t="str">
        <f aca="false">IF(OR(D186="",E186=""),"",D186*E186)</f>
        <v/>
      </c>
      <c r="G186" s="23"/>
      <c r="H186" s="24"/>
      <c r="I186" s="25" t="str">
        <f aca="false">IF(OR(G186="",H186=""),"",G186*H186)</f>
        <v/>
      </c>
      <c r="J186" s="26" t="str">
        <f aca="false">IF(OR(F186="",I186=""),"",I186-F186)</f>
        <v/>
      </c>
      <c r="K186" s="27" t="str">
        <f aca="false">IF(OR(F186="",F186=0,I186=""),"",(I186-F186)/F186)</f>
        <v/>
      </c>
      <c r="L186" s="23"/>
      <c r="M186" s="23"/>
      <c r="N186" s="28"/>
      <c r="O186" s="23"/>
      <c r="P186" s="23"/>
      <c r="Q186" s="23"/>
      <c r="R186" s="23"/>
      <c r="S186" s="23"/>
      <c r="T186" s="23"/>
    </row>
    <row r="187" customFormat="false" ht="15" hidden="false" customHeight="false" outlineLevel="0" collapsed="false">
      <c r="A187" s="23"/>
      <c r="B187" s="23"/>
      <c r="C187" s="23"/>
      <c r="D187" s="23"/>
      <c r="E187" s="24"/>
      <c r="F187" s="25" t="str">
        <f aca="false">IF(OR(D187="",E187=""),"",D187*E187)</f>
        <v/>
      </c>
      <c r="G187" s="23"/>
      <c r="H187" s="24"/>
      <c r="I187" s="25" t="str">
        <f aca="false">IF(OR(G187="",H187=""),"",G187*H187)</f>
        <v/>
      </c>
      <c r="J187" s="26" t="str">
        <f aca="false">IF(OR(F187="",I187=""),"",I187-F187)</f>
        <v/>
      </c>
      <c r="K187" s="27" t="str">
        <f aca="false">IF(OR(F187="",F187=0,I187=""),"",(I187-F187)/F187)</f>
        <v/>
      </c>
      <c r="L187" s="23"/>
      <c r="M187" s="23"/>
      <c r="N187" s="28"/>
      <c r="O187" s="23"/>
      <c r="P187" s="23"/>
      <c r="Q187" s="23"/>
      <c r="R187" s="23"/>
      <c r="S187" s="23"/>
      <c r="T187" s="23"/>
    </row>
    <row r="188" customFormat="false" ht="15" hidden="false" customHeight="false" outlineLevel="0" collapsed="false">
      <c r="A188" s="23"/>
      <c r="B188" s="23"/>
      <c r="C188" s="23"/>
      <c r="D188" s="23"/>
      <c r="E188" s="24"/>
      <c r="F188" s="25" t="str">
        <f aca="false">IF(OR(D188="",E188=""),"",D188*E188)</f>
        <v/>
      </c>
      <c r="G188" s="23"/>
      <c r="H188" s="24"/>
      <c r="I188" s="25" t="str">
        <f aca="false">IF(OR(G188="",H188=""),"",G188*H188)</f>
        <v/>
      </c>
      <c r="J188" s="26" t="str">
        <f aca="false">IF(OR(F188="",I188=""),"",I188-F188)</f>
        <v/>
      </c>
      <c r="K188" s="27" t="str">
        <f aca="false">IF(OR(F188="",F188=0,I188=""),"",(I188-F188)/F188)</f>
        <v/>
      </c>
      <c r="L188" s="23"/>
      <c r="M188" s="23"/>
      <c r="N188" s="28"/>
      <c r="O188" s="23"/>
      <c r="P188" s="23"/>
      <c r="Q188" s="23"/>
      <c r="R188" s="23"/>
      <c r="S188" s="23"/>
      <c r="T188" s="23"/>
    </row>
    <row r="189" customFormat="false" ht="15" hidden="false" customHeight="false" outlineLevel="0" collapsed="false">
      <c r="A189" s="23"/>
      <c r="B189" s="23"/>
      <c r="C189" s="23"/>
      <c r="D189" s="23"/>
      <c r="E189" s="24"/>
      <c r="F189" s="25" t="str">
        <f aca="false">IF(OR(D189="",E189=""),"",D189*E189)</f>
        <v/>
      </c>
      <c r="G189" s="23"/>
      <c r="H189" s="24"/>
      <c r="I189" s="25" t="str">
        <f aca="false">IF(OR(G189="",H189=""),"",G189*H189)</f>
        <v/>
      </c>
      <c r="J189" s="26" t="str">
        <f aca="false">IF(OR(F189="",I189=""),"",I189-F189)</f>
        <v/>
      </c>
      <c r="K189" s="27" t="str">
        <f aca="false">IF(OR(F189="",F189=0,I189=""),"",(I189-F189)/F189)</f>
        <v/>
      </c>
      <c r="L189" s="23"/>
      <c r="M189" s="23"/>
      <c r="N189" s="28"/>
      <c r="O189" s="23"/>
      <c r="P189" s="23"/>
      <c r="Q189" s="23"/>
      <c r="R189" s="23"/>
      <c r="S189" s="23"/>
      <c r="T189" s="23"/>
    </row>
    <row r="190" customFormat="false" ht="15" hidden="false" customHeight="false" outlineLevel="0" collapsed="false">
      <c r="A190" s="23"/>
      <c r="B190" s="23"/>
      <c r="C190" s="23"/>
      <c r="D190" s="23"/>
      <c r="E190" s="24"/>
      <c r="F190" s="25" t="str">
        <f aca="false">IF(OR(D190="",E190=""),"",D190*E190)</f>
        <v/>
      </c>
      <c r="G190" s="23"/>
      <c r="H190" s="24"/>
      <c r="I190" s="25" t="str">
        <f aca="false">IF(OR(G190="",H190=""),"",G190*H190)</f>
        <v/>
      </c>
      <c r="J190" s="26" t="str">
        <f aca="false">IF(OR(F190="",I190=""),"",I190-F190)</f>
        <v/>
      </c>
      <c r="K190" s="27" t="str">
        <f aca="false">IF(OR(F190="",F190=0,I190=""),"",(I190-F190)/F190)</f>
        <v/>
      </c>
      <c r="L190" s="23"/>
      <c r="M190" s="23"/>
      <c r="N190" s="28"/>
      <c r="O190" s="23"/>
      <c r="P190" s="23"/>
      <c r="Q190" s="23"/>
      <c r="R190" s="23"/>
      <c r="S190" s="23"/>
      <c r="T190" s="23"/>
    </row>
    <row r="191" customFormat="false" ht="15" hidden="false" customHeight="false" outlineLevel="0" collapsed="false">
      <c r="A191" s="23"/>
      <c r="B191" s="23"/>
      <c r="C191" s="23"/>
      <c r="D191" s="23"/>
      <c r="E191" s="24"/>
      <c r="F191" s="25" t="str">
        <f aca="false">IF(OR(D191="",E191=""),"",D191*E191)</f>
        <v/>
      </c>
      <c r="G191" s="23"/>
      <c r="H191" s="24"/>
      <c r="I191" s="25" t="str">
        <f aca="false">IF(OR(G191="",H191=""),"",G191*H191)</f>
        <v/>
      </c>
      <c r="J191" s="26" t="str">
        <f aca="false">IF(OR(F191="",I191=""),"",I191-F191)</f>
        <v/>
      </c>
      <c r="K191" s="27" t="str">
        <f aca="false">IF(OR(F191="",F191=0,I191=""),"",(I191-F191)/F191)</f>
        <v/>
      </c>
      <c r="L191" s="23"/>
      <c r="M191" s="23"/>
      <c r="N191" s="28"/>
      <c r="O191" s="23"/>
      <c r="P191" s="23"/>
      <c r="Q191" s="23"/>
      <c r="R191" s="23"/>
      <c r="S191" s="23"/>
      <c r="T191" s="23"/>
    </row>
    <row r="192" customFormat="false" ht="15" hidden="false" customHeight="false" outlineLevel="0" collapsed="false">
      <c r="A192" s="23"/>
      <c r="B192" s="23"/>
      <c r="C192" s="23"/>
      <c r="D192" s="23"/>
      <c r="E192" s="24"/>
      <c r="F192" s="25" t="str">
        <f aca="false">IF(OR(D192="",E192=""),"",D192*E192)</f>
        <v/>
      </c>
      <c r="G192" s="23"/>
      <c r="H192" s="24"/>
      <c r="I192" s="25" t="str">
        <f aca="false">IF(OR(G192="",H192=""),"",G192*H192)</f>
        <v/>
      </c>
      <c r="J192" s="26" t="str">
        <f aca="false">IF(OR(F192="",I192=""),"",I192-F192)</f>
        <v/>
      </c>
      <c r="K192" s="27" t="str">
        <f aca="false">IF(OR(F192="",F192=0,I192=""),"",(I192-F192)/F192)</f>
        <v/>
      </c>
      <c r="L192" s="23"/>
      <c r="M192" s="23"/>
      <c r="N192" s="28"/>
      <c r="O192" s="23"/>
      <c r="P192" s="23"/>
      <c r="Q192" s="23"/>
      <c r="R192" s="23"/>
      <c r="S192" s="23"/>
      <c r="T192" s="23"/>
    </row>
    <row r="193" customFormat="false" ht="15" hidden="false" customHeight="false" outlineLevel="0" collapsed="false">
      <c r="A193" s="23"/>
      <c r="B193" s="23"/>
      <c r="C193" s="23"/>
      <c r="D193" s="23"/>
      <c r="E193" s="24"/>
      <c r="F193" s="25" t="str">
        <f aca="false">IF(OR(D193="",E193=""),"",D193*E193)</f>
        <v/>
      </c>
      <c r="G193" s="23"/>
      <c r="H193" s="24"/>
      <c r="I193" s="25" t="str">
        <f aca="false">IF(OR(G193="",H193=""),"",G193*H193)</f>
        <v/>
      </c>
      <c r="J193" s="26" t="str">
        <f aca="false">IF(OR(F193="",I193=""),"",I193-F193)</f>
        <v/>
      </c>
      <c r="K193" s="27" t="str">
        <f aca="false">IF(OR(F193="",F193=0,I193=""),"",(I193-F193)/F193)</f>
        <v/>
      </c>
      <c r="L193" s="23"/>
      <c r="M193" s="23"/>
      <c r="N193" s="28"/>
      <c r="O193" s="23"/>
      <c r="P193" s="23"/>
      <c r="Q193" s="23"/>
      <c r="R193" s="23"/>
      <c r="S193" s="23"/>
      <c r="T193" s="23"/>
    </row>
    <row r="194" customFormat="false" ht="15" hidden="false" customHeight="false" outlineLevel="0" collapsed="false">
      <c r="A194" s="23"/>
      <c r="B194" s="23"/>
      <c r="C194" s="23"/>
      <c r="D194" s="23"/>
      <c r="E194" s="24"/>
      <c r="F194" s="25" t="str">
        <f aca="false">IF(OR(D194="",E194=""),"",D194*E194)</f>
        <v/>
      </c>
      <c r="G194" s="23"/>
      <c r="H194" s="24"/>
      <c r="I194" s="25" t="str">
        <f aca="false">IF(OR(G194="",H194=""),"",G194*H194)</f>
        <v/>
      </c>
      <c r="J194" s="26" t="str">
        <f aca="false">IF(OR(F194="",I194=""),"",I194-F194)</f>
        <v/>
      </c>
      <c r="K194" s="27" t="str">
        <f aca="false">IF(OR(F194="",F194=0,I194=""),"",(I194-F194)/F194)</f>
        <v/>
      </c>
      <c r="L194" s="23"/>
      <c r="M194" s="23"/>
      <c r="N194" s="28"/>
      <c r="O194" s="23"/>
      <c r="P194" s="23"/>
      <c r="Q194" s="23"/>
      <c r="R194" s="23"/>
      <c r="S194" s="23"/>
      <c r="T194" s="23"/>
    </row>
    <row r="195" customFormat="false" ht="15" hidden="false" customHeight="false" outlineLevel="0" collapsed="false">
      <c r="A195" s="23"/>
      <c r="B195" s="23"/>
      <c r="C195" s="23"/>
      <c r="D195" s="23"/>
      <c r="E195" s="24"/>
      <c r="F195" s="25" t="str">
        <f aca="false">IF(OR(D195="",E195=""),"",D195*E195)</f>
        <v/>
      </c>
      <c r="G195" s="23"/>
      <c r="H195" s="24"/>
      <c r="I195" s="25" t="str">
        <f aca="false">IF(OR(G195="",H195=""),"",G195*H195)</f>
        <v/>
      </c>
      <c r="J195" s="26" t="str">
        <f aca="false">IF(OR(F195="",I195=""),"",I195-F195)</f>
        <v/>
      </c>
      <c r="K195" s="27" t="str">
        <f aca="false">IF(OR(F195="",F195=0,I195=""),"",(I195-F195)/F195)</f>
        <v/>
      </c>
      <c r="L195" s="23"/>
      <c r="M195" s="23"/>
      <c r="N195" s="28"/>
      <c r="O195" s="23"/>
      <c r="P195" s="23"/>
      <c r="Q195" s="23"/>
      <c r="R195" s="23"/>
      <c r="S195" s="23"/>
      <c r="T195" s="23"/>
    </row>
    <row r="196" customFormat="false" ht="15" hidden="false" customHeight="false" outlineLevel="0" collapsed="false">
      <c r="A196" s="23"/>
      <c r="B196" s="23"/>
      <c r="C196" s="23"/>
      <c r="D196" s="23"/>
      <c r="E196" s="24"/>
      <c r="F196" s="25" t="str">
        <f aca="false">IF(OR(D196="",E196=""),"",D196*E196)</f>
        <v/>
      </c>
      <c r="G196" s="23"/>
      <c r="H196" s="24"/>
      <c r="I196" s="25" t="str">
        <f aca="false">IF(OR(G196="",H196=""),"",G196*H196)</f>
        <v/>
      </c>
      <c r="J196" s="26" t="str">
        <f aca="false">IF(OR(F196="",I196=""),"",I196-F196)</f>
        <v/>
      </c>
      <c r="K196" s="27" t="str">
        <f aca="false">IF(OR(F196="",F196=0,I196=""),"",(I196-F196)/F196)</f>
        <v/>
      </c>
      <c r="L196" s="23"/>
      <c r="M196" s="23"/>
      <c r="N196" s="28"/>
      <c r="O196" s="23"/>
      <c r="P196" s="23"/>
      <c r="Q196" s="23"/>
      <c r="R196" s="23"/>
      <c r="S196" s="23"/>
      <c r="T196" s="23"/>
    </row>
    <row r="197" customFormat="false" ht="15" hidden="false" customHeight="false" outlineLevel="0" collapsed="false">
      <c r="A197" s="23"/>
      <c r="B197" s="23"/>
      <c r="C197" s="23"/>
      <c r="D197" s="23"/>
      <c r="E197" s="24"/>
      <c r="F197" s="25" t="str">
        <f aca="false">IF(OR(D197="",E197=""),"",D197*E197)</f>
        <v/>
      </c>
      <c r="G197" s="23"/>
      <c r="H197" s="24"/>
      <c r="I197" s="25" t="str">
        <f aca="false">IF(OR(G197="",H197=""),"",G197*H197)</f>
        <v/>
      </c>
      <c r="J197" s="26" t="str">
        <f aca="false">IF(OR(F197="",I197=""),"",I197-F197)</f>
        <v/>
      </c>
      <c r="K197" s="27" t="str">
        <f aca="false">IF(OR(F197="",F197=0,I197=""),"",(I197-F197)/F197)</f>
        <v/>
      </c>
      <c r="L197" s="23"/>
      <c r="M197" s="23"/>
      <c r="N197" s="28"/>
      <c r="O197" s="23"/>
      <c r="P197" s="23"/>
      <c r="Q197" s="23"/>
      <c r="R197" s="23"/>
      <c r="S197" s="23"/>
      <c r="T197" s="23"/>
    </row>
    <row r="198" customFormat="false" ht="15" hidden="false" customHeight="false" outlineLevel="0" collapsed="false">
      <c r="A198" s="23"/>
      <c r="B198" s="23"/>
      <c r="C198" s="23"/>
      <c r="D198" s="23"/>
      <c r="E198" s="24"/>
      <c r="F198" s="25" t="str">
        <f aca="false">IF(OR(D198="",E198=""),"",D198*E198)</f>
        <v/>
      </c>
      <c r="G198" s="23"/>
      <c r="H198" s="24"/>
      <c r="I198" s="25" t="str">
        <f aca="false">IF(OR(G198="",H198=""),"",G198*H198)</f>
        <v/>
      </c>
      <c r="J198" s="26" t="str">
        <f aca="false">IF(OR(F198="",I198=""),"",I198-F198)</f>
        <v/>
      </c>
      <c r="K198" s="27" t="str">
        <f aca="false">IF(OR(F198="",F198=0,I198=""),"",(I198-F198)/F198)</f>
        <v/>
      </c>
      <c r="L198" s="23"/>
      <c r="M198" s="23"/>
      <c r="N198" s="28"/>
      <c r="O198" s="23"/>
      <c r="P198" s="23"/>
      <c r="Q198" s="23"/>
      <c r="R198" s="23"/>
      <c r="S198" s="23"/>
      <c r="T198" s="23"/>
    </row>
    <row r="199" customFormat="false" ht="15" hidden="false" customHeight="false" outlineLevel="0" collapsed="false">
      <c r="A199" s="23"/>
      <c r="B199" s="23"/>
      <c r="C199" s="23"/>
      <c r="D199" s="23"/>
      <c r="E199" s="24"/>
      <c r="F199" s="25" t="str">
        <f aca="false">IF(OR(D199="",E199=""),"",D199*E199)</f>
        <v/>
      </c>
      <c r="G199" s="23"/>
      <c r="H199" s="24"/>
      <c r="I199" s="25" t="str">
        <f aca="false">IF(OR(G199="",H199=""),"",G199*H199)</f>
        <v/>
      </c>
      <c r="J199" s="26" t="str">
        <f aca="false">IF(OR(F199="",I199=""),"",I199-F199)</f>
        <v/>
      </c>
      <c r="K199" s="27" t="str">
        <f aca="false">IF(OR(F199="",F199=0,I199=""),"",(I199-F199)/F199)</f>
        <v/>
      </c>
      <c r="L199" s="23"/>
      <c r="M199" s="23"/>
      <c r="N199" s="28"/>
      <c r="O199" s="23"/>
      <c r="P199" s="23"/>
      <c r="Q199" s="23"/>
      <c r="R199" s="23"/>
      <c r="S199" s="23"/>
      <c r="T199" s="23"/>
    </row>
    <row r="200" customFormat="false" ht="15" hidden="false" customHeight="false" outlineLevel="0" collapsed="false">
      <c r="A200" s="23"/>
      <c r="B200" s="23"/>
      <c r="C200" s="23"/>
      <c r="D200" s="23"/>
      <c r="E200" s="24"/>
      <c r="F200" s="25" t="str">
        <f aca="false">IF(OR(D200="",E200=""),"",D200*E200)</f>
        <v/>
      </c>
      <c r="G200" s="23"/>
      <c r="H200" s="24"/>
      <c r="I200" s="25" t="str">
        <f aca="false">IF(OR(G200="",H200=""),"",G200*H200)</f>
        <v/>
      </c>
      <c r="J200" s="26" t="str">
        <f aca="false">IF(OR(F200="",I200=""),"",I200-F200)</f>
        <v/>
      </c>
      <c r="K200" s="27" t="str">
        <f aca="false">IF(OR(F200="",F200=0,I200=""),"",(I200-F200)/F200)</f>
        <v/>
      </c>
      <c r="L200" s="23"/>
      <c r="M200" s="23"/>
      <c r="N200" s="28"/>
      <c r="O200" s="23"/>
      <c r="P200" s="23"/>
      <c r="Q200" s="23"/>
      <c r="R200" s="23"/>
      <c r="S200" s="23"/>
      <c r="T200" s="23"/>
    </row>
    <row r="202" customFormat="false" ht="15" hidden="false" customHeight="false" outlineLevel="0" collapsed="false">
      <c r="A202" s="29" t="s">
        <v>108</v>
      </c>
      <c r="B202" s="29"/>
      <c r="C202" s="30"/>
      <c r="D202" s="30"/>
      <c r="E202" s="30"/>
      <c r="F202" s="31" t="n">
        <f aca="false">SUM(F10:F200)</f>
        <v>150800</v>
      </c>
      <c r="G202" s="30"/>
      <c r="H202" s="30"/>
      <c r="I202" s="31" t="n">
        <f aca="false">SUM(I10:I200)</f>
        <v>164097.5</v>
      </c>
      <c r="J202" s="32" t="n">
        <f aca="false">SUM(J10:J200)</f>
        <v>13297.5</v>
      </c>
      <c r="K202" s="33" t="n">
        <f aca="false">IF(F202=0,"—",(I202-F202)/F202)</f>
        <v>0.0881797082228117</v>
      </c>
      <c r="L202" s="30"/>
      <c r="M202" s="30"/>
      <c r="N202" s="30"/>
      <c r="O202" s="30"/>
    </row>
  </sheetData>
  <autoFilter ref="A9:T9"/>
  <mergeCells count="3">
    <mergeCell ref="A1:O1"/>
    <mergeCell ref="A8:O8"/>
    <mergeCell ref="A202:B202"/>
  </mergeCells>
  <conditionalFormatting sqref="C5">
    <cfRule type="cellIs" priority="2" operator="lessThan" aboveAverage="0" equalAverage="0" bottom="0" percent="0" rank="0" text="" dxfId="3">
      <formula>0</formula>
    </cfRule>
    <cfRule type="cellIs" priority="3" operator="greaterThan" aboveAverage="0" equalAverage="0" bottom="0" percent="0" rank="0" text="" dxfId="4">
      <formula>0</formula>
    </cfRule>
  </conditionalFormatting>
  <conditionalFormatting sqref="J10:J200">
    <cfRule type="cellIs" priority="4" operator="lessThan" aboveAverage="0" equalAverage="0" bottom="0" percent="0" rank="0" text="" dxfId="3">
      <formula>0</formula>
    </cfRule>
    <cfRule type="cellIs" priority="5" operator="greaterThan" aboveAverage="0" equalAverage="0" bottom="0" percent="0" rank="0" text="" dxfId="4">
      <formula>0</formula>
    </cfRule>
  </conditionalFormatting>
  <conditionalFormatting sqref="K10:K200">
    <cfRule type="cellIs" priority="6" operator="lessThan" aboveAverage="0" equalAverage="0" bottom="0" percent="0" rank="0" text="" dxfId="3">
      <formula>0</formula>
    </cfRule>
    <cfRule type="cellIs" priority="7" operator="greaterThan" aboveAverage="0" equalAverage="0" bottom="0" percent="0" rank="0" text="" dxfId="4">
      <formula>0.1</formula>
    </cfRule>
    <cfRule type="cellIs" priority="8" operator="between" aboveAverage="0" equalAverage="0" bottom="0" percent="0" rank="0" text="" dxfId="5">
      <formula>0</formula>
      <formula>0.1</formula>
    </cfRule>
  </conditionalFormatting>
  <dataValidations count="3">
    <dataValidation allowBlank="true" errorStyle="stop" operator="between" showDropDown="false" showErrorMessage="false" showInputMessage="false" sqref="C10:C200" type="list">
      <formula1>"nr,m,m²,m³,t,l,kg,hr,wk,item,sum,provisional"</formula1>
      <formula2>0</formula2>
    </dataValidation>
    <dataValidation allowBlank="true" errorStyle="stop" operator="between" showDropDown="false" showErrorMessage="false" showInputMessage="false" sqref="S10:S200" type="list">
      <formula1>"Yes,No"</formula1>
      <formula2>0</formula2>
    </dataValidation>
    <dataValidation allowBlank="true" errorStyle="stop" operator="between" showDropDown="false" showErrorMessage="false" showInputMessage="false" sqref="N10:N20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&amp;CBOQ Re-Measurement Sheets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34" t="s">
        <v>109</v>
      </c>
    </row>
    <row r="2" customFormat="false" ht="15" hidden="false" customHeight="false" outlineLevel="0" collapsed="false">
      <c r="A2" s="35"/>
    </row>
    <row r="3" customFormat="false" ht="15" hidden="false" customHeight="false" outlineLevel="0" collapsed="false">
      <c r="A3" s="35" t="s">
        <v>110</v>
      </c>
    </row>
    <row r="4" customFormat="false" ht="15" hidden="false" customHeight="false" outlineLevel="0" collapsed="false">
      <c r="A4" s="35"/>
    </row>
    <row r="5" customFormat="false" ht="15" hidden="false" customHeight="false" outlineLevel="0" collapsed="false">
      <c r="A5" s="36" t="s">
        <v>111</v>
      </c>
    </row>
    <row r="6" customFormat="false" ht="23.85" hidden="false" customHeight="false" outlineLevel="0" collapsed="false">
      <c r="A6" s="36" t="s">
        <v>112</v>
      </c>
    </row>
    <row r="7" customFormat="false" ht="15" hidden="false" customHeight="false" outlineLevel="0" collapsed="false">
      <c r="A7" s="36" t="s">
        <v>113</v>
      </c>
    </row>
    <row r="8" customFormat="false" ht="15" hidden="false" customHeight="false" outlineLevel="0" collapsed="false">
      <c r="A8" s="36" t="s">
        <v>114</v>
      </c>
    </row>
    <row r="9" customFormat="false" ht="23.85" hidden="false" customHeight="false" outlineLevel="0" collapsed="false">
      <c r="A9" s="36" t="s">
        <v>115</v>
      </c>
    </row>
    <row r="10" customFormat="false" ht="15" hidden="false" customHeight="false" outlineLevel="0" collapsed="false">
      <c r="A10" s="36" t="s">
        <v>116</v>
      </c>
    </row>
    <row r="11" customFormat="false" ht="15" hidden="false" customHeight="false" outlineLevel="0" collapsed="false">
      <c r="A11" s="35"/>
    </row>
    <row r="12" customFormat="false" ht="15" hidden="false" customHeight="false" outlineLevel="0" collapsed="false">
      <c r="A12" s="35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Commercial &amp; NEC</cp:category>
  <dcterms:created xsi:type="dcterms:W3CDTF">2026-03-24T16:28:04Z</dcterms:created>
  <dc:creator>Ebrora Ltd</dc:creator>
  <dc:description>Re-measure BOQ line items with original vs revised quantities, automatic variance and percentage change calculations, financial summary, and dual sign-off tracking.
Free professional construction management template from Ebrora Ltd. Visit ebrora.com for our full range of tools and templates.</dc:description>
  <cp:keywords>Ebrora construction BOQ re-measurement quantities commercial valuation NEC</cp:keywords>
  <dc:language>en-US</dc:language>
  <cp:lastModifiedBy>Ebrora Ltd</cp:lastModifiedBy>
  <dcterms:modified xsi:type="dcterms:W3CDTF">2026-03-24T16:28:04Z</dcterms:modified>
  <cp:revision>0</cp:revision>
  <dc:subject>Re-measure BOQ line items with original vs revised quantities, variance calculations, and sign-off tracking.</dc:subject>
  <dc:title>BOQ Re-Measurement Sheets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