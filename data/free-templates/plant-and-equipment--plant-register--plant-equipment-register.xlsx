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Plant &amp; Equipment Register" sheetId="3" state="visible" r:id="rId5"/>
    <sheet name="Terms of Use" sheetId="4" state="hidden" r:id="rId6"/>
  </sheets>
  <definedNames>
    <definedName function="false" hidden="false" localSheetId="0" name="_xlnm.Print_Area" vbProcedure="false">Cover!$A$1:$H$20</definedName>
    <definedName function="false" hidden="false" localSheetId="1" name="_xlnm.Print_Area" vbProcedure="false">Instructions!$A$1:$F$26</definedName>
    <definedName function="false" hidden="false" localSheetId="2" name="_xlnm.Print_Area" vbProcedure="false">'Plant &amp; Equipment Register'!$A$1:$J$64</definedName>
    <definedName function="false" hidden="true" localSheetId="2" name="_xlnm._FilterDatabase" vbProcedure="false">'Plant &amp; Equipment Register'!$A$14:$P$14</definedName>
    <definedName function="false" hidden="false" name="DataTable" vbProcedure="false">'Plant &amp; Equipment Register'!$A$14:$P$514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<sst xmlns="http://schemas.openxmlformats.org/spreadsheetml/2006/main" count="155" uniqueCount="130">
  <si>
    <t xml:space="preserve">EBRORA</t>
  </si>
  <si>
    <t xml:space="preserve">ebrora.com</t>
  </si>
  <si>
    <t xml:space="preserve">Plant &amp; Equipment Register</t>
  </si>
  <si>
    <t xml:space="preserve">Manage all plant and equipment on site — track assets, certification status, hire costs, and inspection expiry dates in one register.</t>
  </si>
  <si>
    <t xml:space="preserve">This is a free template from Ebrora.
For our full range of professional-grade construction management tools, visit ebrora.com</t>
  </si>
  <si>
    <t xml:space="preserve">© Ebrora 2026 — All rights reserved</t>
  </si>
  <si>
    <t xml:space="preserve">How to Use This Template</t>
  </si>
  <si>
    <t xml:space="preserve">Getting Started</t>
  </si>
  <si>
    <t xml:space="preserve">1.</t>
  </si>
  <si>
    <t xml:space="preserve">Go to the “Plant &amp; Equipment Register” tab. Each row records one item of plant or equipment on site.</t>
  </si>
  <si>
    <t xml:space="preserve">2.</t>
  </si>
  <si>
    <t xml:space="preserve">Enter the Plant ID / Asset No. (as marked on the machine), a description, and select the Plant Type from the dropdown.</t>
  </si>
  <si>
    <t xml:space="preserve">3.</t>
  </si>
  <si>
    <t xml:space="preserve">Select whether the item is Hired or Owned, and enter the Supplier / Hire Company name.</t>
  </si>
  <si>
    <t xml:space="preserve">4.</t>
  </si>
  <si>
    <t xml:space="preserve">Record the Date on Site and the current Inspection Certificate Date and Cert Expiry Date. The Cert Status column auto-calculates: Valid (&gt;14 days remaining), Expiring (within 14 days), or Expired (past expiry).</t>
  </si>
  <si>
    <t xml:space="preserve">5.</t>
  </si>
  <si>
    <t xml:space="preserve">Enter the current Location on Site for the item.</t>
  </si>
  <si>
    <t xml:space="preserve">6.</t>
  </si>
  <si>
    <t xml:space="preserve">Expand optional columns for: Serial No., Operator Assigned, Weekly Hire Rate, Insurance Cert Held, Off-Hire Date, and Notes.</t>
  </si>
  <si>
    <t xml:space="preserve">7.</t>
  </si>
  <si>
    <t xml:space="preserve">The summary section includes a cross-tab matrix showing plant count by type and certification status, plus key totals and weekly hire cost.</t>
  </si>
  <si>
    <t xml:space="preserve">Summary Matrix</t>
  </si>
  <si>
    <t xml:space="preserve">•</t>
  </si>
  <si>
    <t xml:space="preserve">The matrix at the top of the register shows a grid: rows = plant types, columns = certification status (Valid / Expiring / Expired). This gives you an instant visual of fleet health.</t>
  </si>
  <si>
    <t xml:space="preserve">Below the matrix: total items on site, hired vs owned split, expired certs count, and total weekly hire cost.</t>
  </si>
  <si>
    <t xml:space="preserve">Colour Key</t>
  </si>
  <si>
    <t xml:space="preserve">Light teal cells = User input / editable fields.</t>
  </si>
  <si>
    <t xml:space="preserve">Cert Status: Green = Valid, Amber = Expiring (within 14 days), Red = Expired.</t>
  </si>
  <si>
    <t xml:space="preserve">Full-row red highlight = Cert has expired — machine should not be operated.</t>
  </si>
  <si>
    <t xml:space="preserve">Tips</t>
  </si>
  <si>
    <t xml:space="preserve">Under PUWER 1998, all work equipment must be maintained and where required have current inspection certificates. Expired certs mean the machine must be taken out of service.</t>
  </si>
  <si>
    <t xml:space="preserve">Review this register weekly. Filter by Cert Status = “Expiring” to arrange re-inspections before they lapse. Arrange inspections at least 14 days before expiry.</t>
  </si>
  <si>
    <t xml:space="preserve">For hired plant, check the weekly rate against the hire company’s schedule. The register auto-totals your weekly hire cost to help with cost management.</t>
  </si>
  <si>
    <t xml:space="preserve">PLANT &amp; EQUIPMENT REGISTER</t>
  </si>
  <si>
    <t xml:space="preserve">CERTIFICATION STATUS MATRIX</t>
  </si>
  <si>
    <t xml:space="preserve">Plant Type</t>
  </si>
  <si>
    <t xml:space="preserve">Valid</t>
  </si>
  <si>
    <t xml:space="preserve">Expiring</t>
  </si>
  <si>
    <t xml:space="preserve">Expired</t>
  </si>
  <si>
    <t xml:space="preserve">Total</t>
  </si>
  <si>
    <t xml:space="preserve">Total Items on Site:</t>
  </si>
  <si>
    <t xml:space="preserve">Excavator</t>
  </si>
  <si>
    <t xml:space="preserve">Hired:</t>
  </si>
  <si>
    <t xml:space="preserve">Dumper</t>
  </si>
  <si>
    <t xml:space="preserve">Owned:</t>
  </si>
  <si>
    <t xml:space="preserve">Telehandler</t>
  </si>
  <si>
    <t xml:space="preserve">Certs Expired:</t>
  </si>
  <si>
    <t xml:space="preserve">Roller</t>
  </si>
  <si>
    <t xml:space="preserve">Certs Expiring (14d):</t>
  </si>
  <si>
    <t xml:space="preserve">MEWP</t>
  </si>
  <si>
    <t xml:space="preserve">Weekly Hire Cost (£):</t>
  </si>
  <si>
    <t xml:space="preserve">Crane</t>
  </si>
  <si>
    <t xml:space="preserve">Other</t>
  </si>
  <si>
    <t xml:space="preserve">TOTAL</t>
  </si>
  <si>
    <t xml:space="preserve">▸ Optional Fields — Click [+] to expand</t>
  </si>
  <si>
    <t xml:space="preserve">Plant ID / Asset No.</t>
  </si>
  <si>
    <t xml:space="preserve">Plant Description</t>
  </si>
  <si>
    <t xml:space="preserve">Hired / Owned</t>
  </si>
  <si>
    <t xml:space="preserve">Supplier / Hire Co.</t>
  </si>
  <si>
    <t xml:space="preserve">Date on Site</t>
  </si>
  <si>
    <t xml:space="preserve">Inspection Cert Date</t>
  </si>
  <si>
    <t xml:space="preserve">Cert Expiry Date</t>
  </si>
  <si>
    <t xml:space="preserve">Cert Status</t>
  </si>
  <si>
    <t xml:space="preserve">Location on Site</t>
  </si>
  <si>
    <t xml:space="preserve">Serial No.</t>
  </si>
  <si>
    <t xml:space="preserve">Operator Assigned</t>
  </si>
  <si>
    <t xml:space="preserve">Weekly Rate (£)</t>
  </si>
  <si>
    <t xml:space="preserve">Insurance Cert (Y/N)</t>
  </si>
  <si>
    <t xml:space="preserve">Off-Hire Date</t>
  </si>
  <si>
    <t xml:space="preserve">Notes</t>
  </si>
  <si>
    <t xml:space="preserve">EXC-03</t>
  </si>
  <si>
    <t xml:space="preserve">Komatsu PC210 Tracked Excavator</t>
  </si>
  <si>
    <t xml:space="preserve">Hired</t>
  </si>
  <si>
    <t xml:space="preserve">Hewden Plant Hire</t>
  </si>
  <si>
    <t xml:space="preserve">Block C, Piling Mat</t>
  </si>
  <si>
    <t xml:space="preserve">SN-KPC210-44821</t>
  </si>
  <si>
    <t xml:space="preserve">D. Evans</t>
  </si>
  <si>
    <t xml:space="preserve">Yes</t>
  </si>
  <si>
    <t xml:space="preserve">6-month hire. LOLER thorough examination current.</t>
  </si>
  <si>
    <t xml:space="preserve">DUMP-07</t>
  </si>
  <si>
    <t xml:space="preserve">Thwaites 6T Forward Tip Dumper</t>
  </si>
  <si>
    <t xml:space="preserve">Block C, Earthworks</t>
  </si>
  <si>
    <t xml:space="preserve">SN-TW6T-51002</t>
  </si>
  <si>
    <t xml:space="preserve">T. Williams</t>
  </si>
  <si>
    <t xml:space="preserve">TH-02</t>
  </si>
  <si>
    <t xml:space="preserve">JCB 540-170 Telehandler</t>
  </si>
  <si>
    <t xml:space="preserve">A-Plant</t>
  </si>
  <si>
    <t xml:space="preserve">General — site-wide</t>
  </si>
  <si>
    <t xml:space="preserve">SN-JCB540-77310</t>
  </si>
  <si>
    <t xml:space="preserve">P. Morgan</t>
  </si>
  <si>
    <t xml:space="preserve">17m reach. Used for steel and material offloading.</t>
  </si>
  <si>
    <t xml:space="preserve">TC-01</t>
  </si>
  <si>
    <t xml:space="preserve">Liebherr 280 EC-H Tower Crane</t>
  </si>
  <si>
    <t xml:space="preserve">Select Plant Hire</t>
  </si>
  <si>
    <t xml:space="preserve">Central Compound, Fixed Base</t>
  </si>
  <si>
    <t xml:space="preserve">SN-LB280-99102</t>
  </si>
  <si>
    <t xml:space="preserve">Crane operator (Select)</t>
  </si>
  <si>
    <t xml:space="preserve">LOLER thorough exam due 01/04. Re-inspection booked with Select for 28/03.</t>
  </si>
  <si>
    <t xml:space="preserve">MEWP-01</t>
  </si>
  <si>
    <t xml:space="preserve">Genie Z-45/25J RT Articulating Boom</t>
  </si>
  <si>
    <t xml:space="preserve">Nationwide Platforms</t>
  </si>
  <si>
    <t xml:space="preserve">Block B, External cladding</t>
  </si>
  <si>
    <t xml:space="preserve">SN-GEN45-63401</t>
  </si>
  <si>
    <t xml:space="preserve">S. Hall</t>
  </si>
  <si>
    <t xml:space="preserve">LOLER cert expired 20/03. Machine stood down. Hire company arranging re-inspection.</t>
  </si>
  <si>
    <t xml:space="preserve">GEN-02</t>
  </si>
  <si>
    <t xml:space="preserve">Atlas Copco QAS 150 Generator (150 kVA)</t>
  </si>
  <si>
    <t xml:space="preserve">Generator</t>
  </si>
  <si>
    <t xml:space="preserve">Speedy Hire</t>
  </si>
  <si>
    <t xml:space="preserve">Temp Compound B, South</t>
  </si>
  <si>
    <t xml:space="preserve">SN-AC150-20441</t>
  </si>
  <si>
    <t xml:space="preserve">Powering welfare and site offices. Annual PAT and load test current.</t>
  </si>
  <si>
    <t xml:space="preserve">COMP-01</t>
  </si>
  <si>
    <t xml:space="preserve">Atlas Copco XATS 138 Compressor</t>
  </si>
  <si>
    <t xml:space="preserve">Compressor</t>
  </si>
  <si>
    <t xml:space="preserve">Owned</t>
  </si>
  <si>
    <t xml:space="preserve">Main Contractor (owned)</t>
  </si>
  <si>
    <t xml:space="preserve">Block A, Ground Floor</t>
  </si>
  <si>
    <t xml:space="preserve">SN-ACXATS-10882</t>
  </si>
  <si>
    <t xml:space="preserve">Company-owned. PSSR examination current. Used for pneumatic testing.</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</si>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</sst>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4">
    <numFmt numFmtId="164" formatCode="General"/>
    <numFmt numFmtId="165" formatCode="General"/>
    <numFmt numFmtId="166" formatCode="\£#,##0"/>
    <numFmt numFmtId="167" formatCode="dd/mm/yyyy"/>
  </numFmts>
  <fonts count="23">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sz val="10"/>
      <color rgb="FF1B2A4A"/>
      <name val="Calibri"/>
      <family val="0"/>
      <charset val="1"/>
    </font>
    <font>
      <b val="true"/>
      <sz val="10"/>
      <color rgb="FF2AABB3"/>
      <name val="Calibri"/>
      <family val="0"/>
      <charset val="1"/>
    </font>
    <font>
      <b val="true"/>
      <sz val="9"/>
      <color rgb="FFFFFFFF"/>
      <name val="Calibri"/>
      <family val="0"/>
      <charset val="1"/>
    </font>
    <font>
      <b val="true"/>
      <sz val="10"/>
      <color rgb="FF1B2A4A"/>
      <name val="Calibri"/>
      <family val="0"/>
      <charset val="1"/>
    </font>
    <font>
      <sz val="9"/>
      <color rgb="FF1B2A4A"/>
      <name val="Calibri"/>
      <family val="0"/>
      <charset val="1"/>
    </font>
    <font>
      <b val="true"/>
      <sz val="9"/>
      <color rgb="FF2AABB3"/>
      <name val="Calibri"/>
      <family val="0"/>
      <charset val="1"/>
    </font>
    <font>
      <b val="true"/>
      <sz val="10"/>
      <color rgb="FFFF0000"/>
      <name val="Calibri"/>
      <family val="0"/>
      <charset val="1"/>
    </font>
    <font>
      <b val="true"/>
      <sz val="10"/>
      <color rgb="FF9C6500"/>
      <name val="Calibri"/>
      <family val="0"/>
      <charset val="1"/>
    </font>
    <font>
      <b val="true"/>
      <sz val="9"/>
      <color rgb="FFFFEB9C"/>
      <name val="Calibri"/>
      <family val="0"/>
      <charset val="1"/>
    </font>
    <font>
      <b val="true"/>
      <sz val="9"/>
      <color rgb="FFFFC7CE"/>
      <name val="Calibri"/>
      <family val="0"/>
      <charset val="1"/>
    </font>
    <font>
      <b val="true"/>
      <sz val="11"/>
      <color rgb="FFFFFFFF"/>
      <name val="Calibri"/>
      <family val="0"/>
      <charset val="1"/>
    </font>
  </fonts>
  <fills count="5">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s>
  <borders count="4">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1B2A4A"/>
      </left>
      <right style="thin">
        <color rgb="FF1B2A4A"/>
      </right>
      <top style="thin">
        <color rgb="FF1B2A4A"/>
      </top>
      <bottom style="thin">
        <color rgb="FF1B2A4A"/>
      </bottom>
      <diagonal/>
    </border>
    <border diagonalUp="false" diagonalDown="false">
      <left style="thin">
        <color rgb="FFF2F2F2"/>
      </left>
      <right style="thin">
        <color rgb="FFF2F2F2"/>
      </right>
      <top style="thin">
        <color rgb="FFF2F2F2"/>
      </top>
      <bottom style="thin">
        <color rgb="FFF2F2F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3" borderId="0" xfId="0" applyFont="true" applyBorder="true" applyAlignment="true" applyProtection="false">
      <alignment horizontal="general" vertical="bottom" textRotation="0" wrapText="false" indent="0" shrinkToFit="false"/>
      <protection locked="true" hidden="false"/>
    </xf>
    <xf numFmtId="164" fontId="11" fillId="3" borderId="0" xfId="0" applyFont="true" applyBorder="false" applyAlignment="true" applyProtection="false">
      <alignment horizontal="general" vertical="bottom" textRotation="0" wrapText="false" indent="0" shrinkToFit="false"/>
      <protection locked="true" hidden="false"/>
    </xf>
    <xf numFmtId="164" fontId="12" fillId="3" borderId="0" xfId="0" applyFont="true" applyBorder="false" applyAlignment="true" applyProtection="false">
      <alignment horizontal="general" vertical="bottom" textRotation="0" wrapText="false" indent="0" shrinkToFit="false"/>
      <protection locked="true" hidden="false"/>
    </xf>
    <xf numFmtId="164" fontId="12" fillId="3" borderId="0" xfId="0" applyFont="true" applyBorder="true" applyAlignment="true" applyProtection="false">
      <alignment horizontal="general" vertical="center" textRotation="0" wrapText="tru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4" fillId="2" borderId="2"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false" applyAlignment="true" applyProtection="false">
      <alignment horizontal="right" vertical="center" textRotation="0" wrapText="false" indent="0" shrinkToFit="false"/>
      <protection locked="true" hidden="false"/>
    </xf>
    <xf numFmtId="165" fontId="13" fillId="0" borderId="0" xfId="0" applyFont="true" applyBorder="false" applyAlignment="true" applyProtection="false">
      <alignment horizontal="general" vertical="bottom" textRotation="0" wrapText="false" indent="0" shrinkToFit="false"/>
      <protection locked="true" hidden="false"/>
    </xf>
    <xf numFmtId="164" fontId="16" fillId="0" borderId="2" xfId="0" applyFont="true" applyBorder="true" applyAlignment="true" applyProtection="false">
      <alignment horizontal="left" vertical="center" textRotation="0" wrapText="false" indent="0" shrinkToFit="false"/>
      <protection locked="true" hidden="false"/>
    </xf>
    <xf numFmtId="165" fontId="16" fillId="0" borderId="2" xfId="0" applyFont="true" applyBorder="true" applyAlignment="true" applyProtection="false">
      <alignment horizontal="center" vertical="center" textRotation="0" wrapText="true" indent="0" shrinkToFit="false"/>
      <protection locked="true" hidden="false"/>
    </xf>
    <xf numFmtId="165" fontId="17" fillId="0" borderId="2" xfId="0" applyFont="true" applyBorder="true" applyAlignment="true" applyProtection="false">
      <alignment horizontal="center" vertical="center" textRotation="0" wrapText="true" indent="0" shrinkToFit="false"/>
      <protection locked="true" hidden="false"/>
    </xf>
    <xf numFmtId="165" fontId="18" fillId="0" borderId="0" xfId="0" applyFont="true" applyBorder="false" applyAlignment="true" applyProtection="false">
      <alignment horizontal="general" vertical="bottom" textRotation="0" wrapText="false" indent="0" shrinkToFit="false"/>
      <protection locked="true" hidden="false"/>
    </xf>
    <xf numFmtId="165" fontId="19" fillId="0" borderId="0" xfId="0" applyFont="true" applyBorder="false" applyAlignment="true" applyProtection="false">
      <alignment horizontal="general" vertical="bottom" textRotation="0" wrapText="false" indent="0" shrinkToFit="false"/>
      <protection locked="true" hidden="false"/>
    </xf>
    <xf numFmtId="166" fontId="13" fillId="0" borderId="0" xfId="0" applyFont="true" applyBorder="false" applyAlignment="true" applyProtection="false">
      <alignment horizontal="general" vertical="bottom" textRotation="0" wrapText="false" indent="0" shrinkToFit="false"/>
      <protection locked="true" hidden="false"/>
    </xf>
    <xf numFmtId="164" fontId="14" fillId="2" borderId="2" xfId="0" applyFont="true" applyBorder="true" applyAlignment="true" applyProtection="false">
      <alignment horizontal="general" vertical="bottom" textRotation="0" wrapText="false" indent="0" shrinkToFit="false"/>
      <protection locked="true" hidden="false"/>
    </xf>
    <xf numFmtId="165" fontId="17" fillId="2" borderId="2" xfId="0" applyFont="true" applyBorder="true" applyAlignment="true" applyProtection="false">
      <alignment horizontal="center" vertical="center" textRotation="0" wrapText="true" indent="0" shrinkToFit="false"/>
      <protection locked="true" hidden="false"/>
    </xf>
    <xf numFmtId="165" fontId="20" fillId="2" borderId="2" xfId="0" applyFont="true" applyBorder="true" applyAlignment="true" applyProtection="false">
      <alignment horizontal="center" vertical="center" textRotation="0" wrapText="true" indent="0" shrinkToFit="false"/>
      <protection locked="true" hidden="false"/>
    </xf>
    <xf numFmtId="165" fontId="21" fillId="2" borderId="2" xfId="0" applyFont="true" applyBorder="true" applyAlignment="true" applyProtection="false">
      <alignment horizontal="center" vertical="center" textRotation="0" wrapText="true" indent="0" shrinkToFit="false"/>
      <protection locked="true" hidden="false"/>
    </xf>
    <xf numFmtId="164" fontId="17" fillId="4" borderId="0" xfId="0" applyFont="true" applyBorder="true" applyAlignment="true" applyProtection="false">
      <alignment horizontal="center" vertical="center" textRotation="0" wrapText="true" indent="0" shrinkToFit="false"/>
      <protection locked="true" hidden="false"/>
    </xf>
    <xf numFmtId="164" fontId="22" fillId="2" borderId="3" xfId="0" applyFont="true" applyBorder="true" applyAlignment="true" applyProtection="false">
      <alignment horizontal="center" vertical="center" textRotation="0" wrapText="true" indent="0" shrinkToFit="false"/>
      <protection locked="true" hidden="false"/>
    </xf>
    <xf numFmtId="164" fontId="12" fillId="4" borderId="3" xfId="0" applyFont="true" applyBorder="true" applyAlignment="true" applyProtection="false">
      <alignment horizontal="left" vertical="center" textRotation="0" wrapText="true" indent="0" shrinkToFit="false"/>
      <protection locked="true" hidden="false"/>
    </xf>
    <xf numFmtId="164" fontId="12" fillId="4" borderId="3" xfId="0" applyFont="true" applyBorder="true" applyAlignment="true" applyProtection="false">
      <alignment horizontal="center" vertical="center" textRotation="0" wrapText="true" indent="0" shrinkToFit="false"/>
      <protection locked="true" hidden="false"/>
    </xf>
    <xf numFmtId="167" fontId="12" fillId="4" borderId="3" xfId="0" applyFont="true" applyBorder="true" applyAlignment="true" applyProtection="false">
      <alignment horizontal="left" vertical="center" textRotation="0" wrapText="true" indent="0" shrinkToFit="false"/>
      <protection locked="true" hidden="false"/>
    </xf>
    <xf numFmtId="164" fontId="12" fillId="3" borderId="3" xfId="0" applyFont="true" applyBorder="true" applyAlignment="true" applyProtection="false">
      <alignment horizontal="center" vertical="center" textRotation="0" wrapText="true" indent="0" shrinkToFit="false"/>
      <protection locked="true" hidden="false"/>
    </xf>
    <xf numFmtId="166" fontId="12" fillId="4" borderId="3"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B2A4A"/>
          <bgColor rgb="FF000000"/>
        </patternFill>
      </fill>
    </dxf>
    <dxf>
      <fill>
        <patternFill patternType="solid">
          <fgColor rgb="FFFFFFFF"/>
          <bgColor rgb="FF000000"/>
        </patternFill>
      </fill>
    </dxf>
    <dxf>
      <fill>
        <patternFill>
          <bgColor rgb="FFC6EFCE"/>
        </patternFill>
      </fill>
    </dxf>
    <dxf>
      <fill>
        <patternFill>
          <bgColor rgb="FFFFEB9C"/>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9C6500"/>
      <rgbColor rgb="FF800080"/>
      <rgbColor rgb="FF008080"/>
      <rgbColor rgb="FFC0C0C0"/>
      <rgbColor rgb="FF808080"/>
      <rgbColor rgb="FF9999FF"/>
      <rgbColor rgb="FF993366"/>
      <rgbColor rgb="FFF2F2F2"/>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J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1" width="14"/>
  </cols>
  <sheetData>
    <row r="1" customFormat="false" ht="30" hidden="false" customHeight="true" outlineLevel="0" collapsed="false">
      <c r="A1" s="2" t="s">
        <v>0</v>
      </c>
      <c r="B1" s="2"/>
      <c r="C1" s="2"/>
      <c r="D1" s="2"/>
      <c r="E1" s="2"/>
      <c r="F1" s="2"/>
      <c r="G1" s="2"/>
      <c r="H1" s="2"/>
      <c r="I1" s="3"/>
      <c r="J1" s="3"/>
    </row>
    <row r="2" customFormat="false" ht="30" hidden="false" customHeight="true" outlineLevel="0" collapsed="false">
      <c r="A2" s="2"/>
      <c r="B2" s="2"/>
      <c r="C2" s="2"/>
      <c r="D2" s="2"/>
      <c r="E2" s="2"/>
      <c r="F2" s="2"/>
      <c r="G2" s="2"/>
      <c r="H2" s="2"/>
      <c r="I2" s="3"/>
      <c r="J2" s="3"/>
    </row>
    <row r="3" customFormat="false" ht="30" hidden="false" customHeight="true" outlineLevel="0" collapsed="false">
      <c r="A3" s="2"/>
      <c r="B3" s="2"/>
      <c r="C3" s="2"/>
      <c r="D3" s="2"/>
      <c r="E3" s="2"/>
      <c r="F3" s="2"/>
      <c r="G3" s="2"/>
      <c r="H3" s="2"/>
      <c r="I3" s="3"/>
      <c r="J3" s="3"/>
    </row>
    <row r="4" customFormat="false" ht="15" hidden="false" customHeight="true" outlineLevel="0" collapsed="false">
      <c r="A4" s="4" t="s">
        <v>1</v>
      </c>
      <c r="B4" s="4"/>
      <c r="C4" s="4"/>
      <c r="D4" s="4"/>
      <c r="E4" s="4"/>
      <c r="F4" s="4"/>
      <c r="G4" s="4"/>
      <c r="H4" s="4"/>
      <c r="I4" s="3"/>
      <c r="J4" s="3"/>
    </row>
    <row r="5" customFormat="false" ht="15" hidden="false" customHeight="true" outlineLevel="0" collapsed="false">
      <c r="A5" s="3"/>
      <c r="B5" s="3"/>
      <c r="C5" s="3"/>
      <c r="D5" s="3"/>
      <c r="E5" s="3"/>
      <c r="F5" s="3"/>
      <c r="G5" s="3"/>
      <c r="H5" s="3"/>
      <c r="I5" s="3"/>
      <c r="J5" s="3"/>
    </row>
    <row r="6" customFormat="false" ht="24.75" hidden="false" customHeight="true" outlineLevel="0" collapsed="false">
      <c r="A6" s="5" t="s">
        <v>2</v>
      </c>
      <c r="B6" s="5"/>
      <c r="C6" s="5"/>
      <c r="D6" s="5"/>
      <c r="E6" s="5"/>
      <c r="F6" s="5"/>
      <c r="G6" s="5"/>
      <c r="H6" s="5"/>
      <c r="I6" s="3"/>
      <c r="J6" s="3"/>
    </row>
    <row r="7" customFormat="false" ht="24.75" hidden="false" customHeight="true" outlineLevel="0" collapsed="false">
      <c r="A7" s="5"/>
      <c r="B7" s="5"/>
      <c r="C7" s="5"/>
      <c r="D7" s="5"/>
      <c r="E7" s="5"/>
      <c r="F7" s="5"/>
      <c r="G7" s="5"/>
      <c r="H7" s="5"/>
      <c r="I7" s="3"/>
      <c r="J7" s="3"/>
    </row>
    <row r="8" customFormat="false" ht="24.75" hidden="false" customHeight="true" outlineLevel="0" collapsed="false">
      <c r="A8" s="5"/>
      <c r="B8" s="5"/>
      <c r="C8" s="5"/>
      <c r="D8" s="5"/>
      <c r="E8" s="5"/>
      <c r="F8" s="5"/>
      <c r="G8" s="5"/>
      <c r="H8" s="5"/>
      <c r="I8" s="3"/>
      <c r="J8" s="3"/>
    </row>
    <row r="9" customFormat="false" ht="15" hidden="false" customHeight="true" outlineLevel="0" collapsed="false">
      <c r="A9" s="3"/>
      <c r="B9" s="3"/>
      <c r="C9" s="3"/>
      <c r="D9" s="3"/>
      <c r="E9" s="3"/>
      <c r="F9" s="3"/>
      <c r="G9" s="3"/>
      <c r="H9" s="3"/>
      <c r="I9" s="3"/>
      <c r="J9" s="3"/>
    </row>
    <row r="10" customFormat="false" ht="15" hidden="false" customHeight="true" outlineLevel="0" collapsed="false">
      <c r="A10" s="6" t="s">
        <v>3</v>
      </c>
      <c r="B10" s="6"/>
      <c r="C10" s="6"/>
      <c r="D10" s="6"/>
      <c r="E10" s="6"/>
      <c r="F10" s="6"/>
      <c r="G10" s="6"/>
      <c r="H10" s="6"/>
      <c r="I10" s="3"/>
      <c r="J10" s="3"/>
    </row>
    <row r="11" customFormat="false" ht="15" hidden="false" customHeight="true" outlineLevel="0" collapsed="false">
      <c r="A11" s="6"/>
      <c r="B11" s="6"/>
      <c r="C11" s="6"/>
      <c r="D11" s="6"/>
      <c r="E11" s="6"/>
      <c r="F11" s="6"/>
      <c r="G11" s="6"/>
      <c r="H11" s="6"/>
      <c r="I11" s="3"/>
      <c r="J11" s="3"/>
    </row>
    <row r="12" customFormat="false" ht="15" hidden="false" customHeight="true" outlineLevel="0" collapsed="false">
      <c r="A12" s="3"/>
      <c r="B12" s="3"/>
      <c r="C12" s="3"/>
      <c r="D12" s="3"/>
      <c r="E12" s="3"/>
      <c r="F12" s="3"/>
      <c r="G12" s="3"/>
      <c r="H12" s="3"/>
      <c r="I12" s="3"/>
      <c r="J12" s="3"/>
    </row>
    <row r="13" customFormat="false" ht="15" hidden="false" customHeight="true" outlineLevel="0" collapsed="false">
      <c r="A13" s="3"/>
      <c r="B13" s="3"/>
      <c r="C13" s="3"/>
      <c r="D13" s="3"/>
      <c r="E13" s="3"/>
      <c r="F13" s="3"/>
      <c r="G13" s="3"/>
      <c r="H13" s="3"/>
      <c r="I13" s="3"/>
      <c r="J13" s="3"/>
    </row>
    <row r="14" customFormat="false" ht="15" hidden="false" customHeight="true" outlineLevel="0" collapsed="false">
      <c r="A14" s="7" t="s">
        <v>4</v>
      </c>
      <c r="B14" s="7"/>
      <c r="C14" s="7"/>
      <c r="D14" s="7"/>
      <c r="E14" s="7"/>
      <c r="F14" s="7"/>
      <c r="G14" s="7"/>
      <c r="H14" s="7"/>
      <c r="I14" s="3"/>
      <c r="J14" s="3"/>
    </row>
    <row r="15" customFormat="false" ht="15" hidden="false" customHeight="true" outlineLevel="0" collapsed="false">
      <c r="A15" s="7"/>
      <c r="B15" s="7"/>
      <c r="C15" s="7"/>
      <c r="D15" s="7"/>
      <c r="E15" s="7"/>
      <c r="F15" s="7"/>
      <c r="G15" s="7"/>
      <c r="H15" s="7"/>
      <c r="I15" s="3"/>
      <c r="J15" s="3"/>
    </row>
    <row r="16" customFormat="false" ht="15" hidden="false" customHeight="true" outlineLevel="0" collapsed="false">
      <c r="A16" s="7"/>
      <c r="B16" s="7"/>
      <c r="C16" s="7"/>
      <c r="D16" s="7"/>
      <c r="E16" s="7"/>
      <c r="F16" s="7"/>
      <c r="G16" s="7"/>
      <c r="H16" s="7"/>
      <c r="I16" s="3"/>
      <c r="J16" s="3"/>
    </row>
    <row r="17" customFormat="false" ht="15" hidden="false" customHeight="true" outlineLevel="0" collapsed="false">
      <c r="A17" s="7"/>
      <c r="B17" s="7"/>
      <c r="C17" s="7"/>
      <c r="D17" s="7"/>
      <c r="E17" s="7"/>
      <c r="F17" s="7"/>
      <c r="G17" s="7"/>
      <c r="H17" s="7"/>
      <c r="I17" s="3"/>
      <c r="J17" s="3"/>
    </row>
    <row r="18" customFormat="false" ht="15" hidden="false" customHeight="true" outlineLevel="0" collapsed="false">
      <c r="A18" s="3"/>
      <c r="B18" s="3"/>
      <c r="C18" s="3"/>
      <c r="D18" s="3"/>
      <c r="E18" s="3"/>
      <c r="F18" s="3"/>
      <c r="G18" s="3"/>
      <c r="H18" s="3"/>
      <c r="I18" s="3"/>
      <c r="J18" s="3"/>
    </row>
    <row r="19" customFormat="false" ht="15" hidden="false" customHeight="true" outlineLevel="0" collapsed="false">
      <c r="A19" s="8" t="s">
        <v>5</v>
      </c>
      <c r="B19" s="8"/>
      <c r="C19" s="8"/>
      <c r="D19" s="8"/>
      <c r="E19" s="8"/>
      <c r="F19" s="8"/>
      <c r="G19" s="8"/>
      <c r="H19" s="8"/>
      <c r="I19" s="3"/>
      <c r="J19" s="3"/>
    </row>
    <row r="20" customFormat="false" ht="15" hidden="false" customHeight="true" outlineLevel="0" collapsed="false">
      <c r="A20" s="3"/>
      <c r="B20" s="3"/>
      <c r="C20" s="3"/>
      <c r="D20" s="3"/>
      <c r="E20" s="3"/>
      <c r="F20" s="3"/>
      <c r="G20" s="3"/>
      <c r="H20" s="3"/>
      <c r="I20" s="3"/>
      <c r="J20" s="3"/>
    </row>
    <row r="21" customFormat="false" ht="15" hidden="false" customHeight="true" outlineLevel="0" collapsed="false">
      <c r="A21" s="3"/>
      <c r="B21" s="3"/>
      <c r="C21" s="3"/>
      <c r="D21" s="3"/>
      <c r="E21" s="3"/>
      <c r="F21" s="3"/>
      <c r="G21" s="3"/>
      <c r="H21" s="3"/>
      <c r="I21" s="3"/>
      <c r="J21" s="3"/>
    </row>
    <row r="22" customFormat="false" ht="15" hidden="false" customHeight="true" outlineLevel="0" collapsed="false">
      <c r="A22" s="3"/>
      <c r="B22" s="3"/>
      <c r="C22" s="3"/>
      <c r="D22" s="3"/>
      <c r="E22" s="3"/>
      <c r="F22" s="3"/>
      <c r="G22" s="3"/>
      <c r="H22" s="3"/>
      <c r="I22" s="3"/>
      <c r="J22" s="3"/>
    </row>
    <row r="23" customFormat="false" ht="15" hidden="false" customHeight="true" outlineLevel="0" collapsed="false">
      <c r="A23" s="3"/>
      <c r="B23" s="3"/>
      <c r="C23" s="3"/>
      <c r="D23" s="3"/>
      <c r="E23" s="3"/>
      <c r="F23" s="3"/>
      <c r="G23" s="3"/>
      <c r="H23" s="3"/>
      <c r="I23" s="3"/>
      <c r="J23" s="3"/>
    </row>
    <row r="24" customFormat="false" ht="15" hidden="false" customHeight="true" outlineLevel="0" collapsed="false">
      <c r="A24" s="3"/>
      <c r="B24" s="3"/>
      <c r="C24" s="3"/>
      <c r="D24" s="3"/>
      <c r="E24" s="3"/>
      <c r="F24" s="3"/>
      <c r="G24" s="3"/>
      <c r="H24" s="3"/>
      <c r="I24" s="3"/>
      <c r="J24" s="3"/>
    </row>
    <row r="25" customFormat="false" ht="15" hidden="false" customHeight="true" outlineLevel="0" collapsed="false">
      <c r="A25" s="3"/>
      <c r="B25" s="3"/>
      <c r="C25" s="3"/>
      <c r="D25" s="3"/>
      <c r="E25" s="3"/>
      <c r="F25" s="3"/>
      <c r="G25" s="3"/>
      <c r="H25" s="3"/>
      <c r="I25" s="3"/>
      <c r="J25" s="3"/>
    </row>
  </sheetData>
  <mergeCells count="6">
    <mergeCell ref="A1:H3"/>
    <mergeCell ref="A4:H4"/>
    <mergeCell ref="A6:H8"/>
    <mergeCell ref="A10:H11"/>
    <mergeCell ref="A14: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H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95"/>
  </cols>
  <sheetData>
    <row r="1" customFormat="false" ht="17.25" hidden="false" customHeight="true" outlineLevel="0" collapsed="false">
      <c r="A1" s="9" t="s">
        <v>6</v>
      </c>
      <c r="B1" s="9"/>
      <c r="C1" s="9"/>
      <c r="D1" s="9"/>
      <c r="E1" s="9"/>
      <c r="F1" s="9"/>
      <c r="G1" s="3"/>
      <c r="H1" s="3"/>
    </row>
    <row r="2" customFormat="false" ht="15" hidden="false" customHeight="true" outlineLevel="0" collapsed="false">
      <c r="A2" s="3"/>
      <c r="B2" s="3"/>
      <c r="C2" s="3"/>
      <c r="D2" s="3"/>
      <c r="E2" s="3"/>
      <c r="F2" s="3"/>
      <c r="G2" s="3"/>
      <c r="H2" s="3"/>
    </row>
    <row r="3" customFormat="false" ht="15" hidden="false" customHeight="true" outlineLevel="0" collapsed="false">
      <c r="A3" s="3"/>
      <c r="B3" s="3"/>
      <c r="C3" s="3"/>
      <c r="D3" s="3"/>
      <c r="E3" s="3"/>
      <c r="F3" s="3"/>
      <c r="G3" s="3"/>
      <c r="H3" s="3"/>
    </row>
    <row r="4" customFormat="false" ht="15" hidden="false" customHeight="true" outlineLevel="0" collapsed="false">
      <c r="A4" s="10" t="s">
        <v>7</v>
      </c>
      <c r="B4" s="3"/>
      <c r="C4" s="3"/>
      <c r="D4" s="3"/>
      <c r="E4" s="3"/>
      <c r="F4" s="3"/>
      <c r="G4" s="3"/>
      <c r="H4" s="3"/>
    </row>
    <row r="5" customFormat="false" ht="15" hidden="false" customHeight="true" outlineLevel="0" collapsed="false">
      <c r="A5" s="11" t="s">
        <v>8</v>
      </c>
      <c r="B5" s="12" t="s">
        <v>9</v>
      </c>
      <c r="C5" s="12"/>
      <c r="D5" s="12"/>
      <c r="E5" s="12"/>
      <c r="F5" s="12"/>
      <c r="G5" s="3"/>
      <c r="H5" s="3"/>
    </row>
    <row r="6" customFormat="false" ht="15" hidden="false" customHeight="true" outlineLevel="0" collapsed="false">
      <c r="A6" s="11" t="s">
        <v>10</v>
      </c>
      <c r="B6" s="12" t="s">
        <v>11</v>
      </c>
      <c r="C6" s="12"/>
      <c r="D6" s="12"/>
      <c r="E6" s="12"/>
      <c r="F6" s="12"/>
      <c r="G6" s="3"/>
      <c r="H6" s="3"/>
    </row>
    <row r="7" customFormat="false" ht="15" hidden="false" customHeight="true" outlineLevel="0" collapsed="false">
      <c r="A7" s="11" t="s">
        <v>12</v>
      </c>
      <c r="B7" s="12" t="s">
        <v>13</v>
      </c>
      <c r="C7" s="12"/>
      <c r="D7" s="12"/>
      <c r="E7" s="12"/>
      <c r="F7" s="12"/>
      <c r="G7" s="3"/>
      <c r="H7" s="3"/>
    </row>
    <row r="8" customFormat="false" ht="23.25" hidden="false" customHeight="true" outlineLevel="0" collapsed="false">
      <c r="A8" s="11" t="s">
        <v>14</v>
      </c>
      <c r="B8" s="12" t="s">
        <v>15</v>
      </c>
      <c r="C8" s="12"/>
      <c r="D8" s="12"/>
      <c r="E8" s="12"/>
      <c r="F8" s="12"/>
      <c r="G8" s="3"/>
      <c r="H8" s="3"/>
    </row>
    <row r="9" customFormat="false" ht="15" hidden="false" customHeight="true" outlineLevel="0" collapsed="false">
      <c r="A9" s="11" t="s">
        <v>16</v>
      </c>
      <c r="B9" s="12" t="s">
        <v>17</v>
      </c>
      <c r="C9" s="12"/>
      <c r="D9" s="12"/>
      <c r="E9" s="12"/>
      <c r="F9" s="12"/>
      <c r="G9" s="3"/>
      <c r="H9" s="3"/>
    </row>
    <row r="10" customFormat="false" ht="15" hidden="false" customHeight="true" outlineLevel="0" collapsed="false">
      <c r="A10" s="11" t="s">
        <v>18</v>
      </c>
      <c r="B10" s="12" t="s">
        <v>19</v>
      </c>
      <c r="C10" s="12"/>
      <c r="D10" s="12"/>
      <c r="E10" s="12"/>
      <c r="F10" s="12"/>
      <c r="G10" s="3"/>
      <c r="H10" s="3"/>
    </row>
    <row r="11" customFormat="false" ht="15" hidden="false" customHeight="true" outlineLevel="0" collapsed="false">
      <c r="A11" s="11" t="s">
        <v>20</v>
      </c>
      <c r="B11" s="12" t="s">
        <v>21</v>
      </c>
      <c r="C11" s="12"/>
      <c r="D11" s="12"/>
      <c r="E11" s="12"/>
      <c r="F11" s="12"/>
      <c r="G11" s="3"/>
      <c r="H11" s="3"/>
    </row>
    <row r="12" customFormat="false" ht="15" hidden="false" customHeight="true" outlineLevel="0" collapsed="false">
      <c r="A12" s="3"/>
      <c r="B12" s="3"/>
      <c r="C12" s="3"/>
      <c r="D12" s="3"/>
      <c r="E12" s="3"/>
      <c r="F12" s="3"/>
      <c r="G12" s="3"/>
      <c r="H12" s="3"/>
    </row>
    <row r="13" customFormat="false" ht="15" hidden="false" customHeight="true" outlineLevel="0" collapsed="false">
      <c r="A13" s="10" t="s">
        <v>22</v>
      </c>
      <c r="B13" s="3"/>
      <c r="C13" s="3"/>
      <c r="D13" s="3"/>
      <c r="E13" s="3"/>
      <c r="F13" s="3"/>
      <c r="G13" s="3"/>
      <c r="H13" s="3"/>
    </row>
    <row r="14" customFormat="false" ht="15" hidden="false" customHeight="true" outlineLevel="0" collapsed="false">
      <c r="A14" s="11" t="s">
        <v>23</v>
      </c>
      <c r="B14" s="12" t="s">
        <v>24</v>
      </c>
      <c r="C14" s="12"/>
      <c r="D14" s="12"/>
      <c r="E14" s="12"/>
      <c r="F14" s="12"/>
      <c r="G14" s="3"/>
      <c r="H14" s="3"/>
    </row>
    <row r="15" customFormat="false" ht="15" hidden="false" customHeight="true" outlineLevel="0" collapsed="false">
      <c r="A15" s="11" t="s">
        <v>23</v>
      </c>
      <c r="B15" s="12" t="s">
        <v>25</v>
      </c>
      <c r="C15" s="12"/>
      <c r="D15" s="12"/>
      <c r="E15" s="12"/>
      <c r="F15" s="12"/>
      <c r="G15" s="3"/>
      <c r="H15" s="3"/>
    </row>
    <row r="16" customFormat="false" ht="15" hidden="false" customHeight="true" outlineLevel="0" collapsed="false">
      <c r="A16" s="3"/>
      <c r="B16" s="3"/>
      <c r="C16" s="3"/>
      <c r="D16" s="3"/>
      <c r="E16" s="3"/>
      <c r="F16" s="3"/>
      <c r="G16" s="3"/>
      <c r="H16" s="3"/>
    </row>
    <row r="17" customFormat="false" ht="15" hidden="false" customHeight="true" outlineLevel="0" collapsed="false">
      <c r="A17" s="10" t="s">
        <v>26</v>
      </c>
      <c r="B17" s="3"/>
      <c r="C17" s="3"/>
      <c r="D17" s="3"/>
      <c r="E17" s="3"/>
      <c r="F17" s="3"/>
      <c r="G17" s="3"/>
      <c r="H17" s="3"/>
    </row>
    <row r="18" customFormat="false" ht="15" hidden="false" customHeight="true" outlineLevel="0" collapsed="false">
      <c r="A18" s="11" t="s">
        <v>23</v>
      </c>
      <c r="B18" s="12" t="s">
        <v>27</v>
      </c>
      <c r="C18" s="12"/>
      <c r="D18" s="12"/>
      <c r="E18" s="12"/>
      <c r="F18" s="12"/>
      <c r="G18" s="3"/>
      <c r="H18" s="3"/>
    </row>
    <row r="19" customFormat="false" ht="15" hidden="false" customHeight="true" outlineLevel="0" collapsed="false">
      <c r="A19" s="11" t="s">
        <v>23</v>
      </c>
      <c r="B19" s="12" t="s">
        <v>28</v>
      </c>
      <c r="C19" s="12"/>
      <c r="D19" s="12"/>
      <c r="E19" s="12"/>
      <c r="F19" s="12"/>
      <c r="G19" s="3"/>
      <c r="H19" s="3"/>
    </row>
    <row r="20" customFormat="false" ht="15" hidden="false" customHeight="true" outlineLevel="0" collapsed="false">
      <c r="A20" s="11" t="s">
        <v>23</v>
      </c>
      <c r="B20" s="12" t="s">
        <v>29</v>
      </c>
      <c r="C20" s="12"/>
      <c r="D20" s="12"/>
      <c r="E20" s="12"/>
      <c r="F20" s="12"/>
      <c r="G20" s="3"/>
      <c r="H20" s="3"/>
    </row>
    <row r="21" customFormat="false" ht="15" hidden="false" customHeight="true" outlineLevel="0" collapsed="false">
      <c r="A21" s="3"/>
      <c r="B21" s="3"/>
      <c r="C21" s="3"/>
      <c r="D21" s="3"/>
      <c r="E21" s="3"/>
      <c r="F21" s="3"/>
      <c r="G21" s="3"/>
      <c r="H21" s="3"/>
    </row>
    <row r="22" customFormat="false" ht="15" hidden="false" customHeight="true" outlineLevel="0" collapsed="false">
      <c r="A22" s="10" t="s">
        <v>30</v>
      </c>
      <c r="B22" s="3"/>
      <c r="C22" s="3"/>
      <c r="D22" s="3"/>
      <c r="E22" s="3"/>
      <c r="F22" s="3"/>
      <c r="G22" s="3"/>
      <c r="H22" s="3"/>
    </row>
    <row r="23" customFormat="false" ht="23.25" hidden="false" customHeight="true" outlineLevel="0" collapsed="false">
      <c r="A23" s="11" t="s">
        <v>23</v>
      </c>
      <c r="B23" s="12" t="s">
        <v>31</v>
      </c>
      <c r="C23" s="12"/>
      <c r="D23" s="12"/>
      <c r="E23" s="12"/>
      <c r="F23" s="12"/>
      <c r="G23" s="3"/>
      <c r="H23" s="3"/>
    </row>
    <row r="24" customFormat="false" ht="15" hidden="false" customHeight="true" outlineLevel="0" collapsed="false">
      <c r="A24" s="11" t="s">
        <v>23</v>
      </c>
      <c r="B24" s="12" t="s">
        <v>32</v>
      </c>
      <c r="C24" s="12"/>
      <c r="D24" s="12"/>
      <c r="E24" s="12"/>
      <c r="F24" s="12"/>
      <c r="G24" s="3"/>
      <c r="H24" s="3"/>
    </row>
    <row r="25" customFormat="false" ht="15" hidden="false" customHeight="true" outlineLevel="0" collapsed="false">
      <c r="A25" s="11" t="s">
        <v>23</v>
      </c>
      <c r="B25" s="12" t="s">
        <v>33</v>
      </c>
      <c r="C25" s="12"/>
      <c r="D25" s="12"/>
      <c r="E25" s="12"/>
      <c r="F25" s="12"/>
      <c r="G25" s="3"/>
      <c r="H25" s="3"/>
    </row>
    <row r="26" customFormat="false" ht="15" hidden="false" customHeight="true" outlineLevel="0" collapsed="false">
      <c r="A26" s="3"/>
      <c r="B26" s="3"/>
      <c r="C26" s="3"/>
      <c r="D26" s="3"/>
      <c r="E26" s="3"/>
      <c r="F26" s="3"/>
      <c r="G26" s="3"/>
      <c r="H26" s="3"/>
    </row>
    <row r="27" customFormat="false" ht="15" hidden="false" customHeight="true" outlineLevel="0" collapsed="false">
      <c r="A27" s="3"/>
      <c r="B27" s="3"/>
      <c r="C27" s="3"/>
      <c r="D27" s="3"/>
      <c r="E27" s="3"/>
      <c r="F27" s="3"/>
      <c r="G27" s="3"/>
      <c r="H27" s="3"/>
    </row>
    <row r="28" customFormat="false" ht="15" hidden="false" customHeight="true" outlineLevel="0" collapsed="false">
      <c r="A28" s="3"/>
      <c r="B28" s="3"/>
      <c r="C28" s="3"/>
      <c r="D28" s="3"/>
      <c r="E28" s="3"/>
      <c r="F28" s="3"/>
      <c r="G28" s="3"/>
      <c r="H28" s="3"/>
    </row>
    <row r="29" customFormat="false" ht="15" hidden="false" customHeight="true" outlineLevel="0" collapsed="false">
      <c r="A29" s="3"/>
      <c r="B29" s="3"/>
      <c r="C29" s="3"/>
      <c r="D29" s="3"/>
      <c r="E29" s="3"/>
      <c r="F29" s="3"/>
      <c r="G29" s="3"/>
      <c r="H29" s="3"/>
    </row>
    <row r="30" customFormat="false" ht="15" hidden="false" customHeight="true" outlineLevel="0" collapsed="false">
      <c r="A30" s="3"/>
      <c r="B30" s="3"/>
      <c r="C30" s="3"/>
      <c r="D30" s="3"/>
      <c r="E30" s="3"/>
      <c r="F30" s="3"/>
      <c r="G30" s="3"/>
      <c r="H30" s="3"/>
    </row>
    <row r="31" customFormat="false" ht="15" hidden="false" customHeight="true" outlineLevel="0" collapsed="false">
      <c r="A31" s="3"/>
      <c r="B31" s="3"/>
      <c r="C31" s="3"/>
      <c r="D31" s="3"/>
      <c r="E31" s="3"/>
      <c r="F31" s="3"/>
      <c r="G31" s="3"/>
      <c r="H31" s="3"/>
    </row>
  </sheetData>
  <mergeCells count="16">
    <mergeCell ref="A1:F1"/>
    <mergeCell ref="B5:F5"/>
    <mergeCell ref="B6:F6"/>
    <mergeCell ref="B7:F7"/>
    <mergeCell ref="B8:F8"/>
    <mergeCell ref="B9:F9"/>
    <mergeCell ref="B10:F10"/>
    <mergeCell ref="B11:F11"/>
    <mergeCell ref="B14:F14"/>
    <mergeCell ref="B15:F15"/>
    <mergeCell ref="B18:F18"/>
    <mergeCell ref="B19:F19"/>
    <mergeCell ref="B20:F20"/>
    <mergeCell ref="B23:F23"/>
    <mergeCell ref="B24:F24"/>
    <mergeCell ref="B25:F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1" width="16"/>
    <col collapsed="false" customWidth="true" hidden="false" outlineLevel="0" max="2" min="2" style="1" width="28"/>
    <col collapsed="false" customWidth="true" hidden="false" outlineLevel="0" max="3" min="3" style="1" width="14"/>
    <col collapsed="false" customWidth="true" hidden="false" outlineLevel="0" max="4" min="4" style="1" width="13"/>
    <col collapsed="false" customWidth="true" hidden="false" outlineLevel="0" max="5" min="5" style="1" width="22"/>
    <col collapsed="false" customWidth="true" hidden="false" outlineLevel="0" max="6" min="6" style="1" width="13"/>
    <col collapsed="false" customWidth="true" hidden="false" outlineLevel="0" max="7" min="7" style="1" width="16"/>
    <col collapsed="false" customWidth="true" hidden="false" outlineLevel="0" max="8" min="8" style="1" width="14"/>
    <col collapsed="false" customWidth="true" hidden="false" outlineLevel="0" max="9" min="9" style="1" width="13"/>
    <col collapsed="false" customWidth="true" hidden="false" outlineLevel="0" max="10" min="10" style="1" width="24"/>
    <col collapsed="false" customWidth="true" hidden="true" outlineLevel="1" max="16" min="11" style="1" width="16"/>
  </cols>
  <sheetData>
    <row r="1" customFormat="false" ht="17.25" hidden="false" customHeight="true" outlineLevel="0" collapsed="false">
      <c r="A1" s="13" t="s">
        <v>34</v>
      </c>
      <c r="B1" s="13"/>
      <c r="C1" s="13"/>
    </row>
    <row r="2" customFormat="false" ht="15" hidden="false" customHeight="true" outlineLevel="0" collapsed="false">
      <c r="A2" s="14" t="s">
        <v>35</v>
      </c>
      <c r="B2" s="14"/>
      <c r="C2" s="14"/>
      <c r="D2" s="14"/>
    </row>
    <row r="3" customFormat="false" ht="15" hidden="false" customHeight="true" outlineLevel="0" collapsed="false">
      <c r="A3" s="15" t="s">
        <v>36</v>
      </c>
      <c r="B3" s="15" t="s">
        <v>37</v>
      </c>
      <c r="C3" s="15" t="s">
        <v>38</v>
      </c>
      <c r="D3" s="15" t="s">
        <v>39</v>
      </c>
      <c r="E3" s="15" t="s">
        <v>40</v>
      </c>
      <c r="G3" s="16" t="s">
        <v>41</v>
      </c>
      <c r="H3" s="17" t="n">
        <f aca="false">COUNTA(A15:A514)</f>
        <v>7</v>
      </c>
    </row>
    <row r="4" customFormat="false" ht="15" hidden="false" customHeight="true" outlineLevel="0" collapsed="false">
      <c r="A4" s="18" t="s">
        <v>42</v>
      </c>
      <c r="B4" s="19" t="n">
        <f aca="false">COUNTIFS(C$15:C$514,A4,I$15:I$514,"Valid")</f>
        <v>1</v>
      </c>
      <c r="C4" s="19" t="n">
        <f aca="false">COUNTIFS(C$15:C$514,A4,I$15:I$514,"Expiring")</f>
        <v>0</v>
      </c>
      <c r="D4" s="19" t="n">
        <f aca="false">COUNTIFS(C$15:C$514,A4,I$15:I$514,"Expired")</f>
        <v>0</v>
      </c>
      <c r="E4" s="20" t="n">
        <f aca="false">COUNTIF(C$15:C$514,A4)</f>
        <v>1</v>
      </c>
      <c r="G4" s="16" t="s">
        <v>43</v>
      </c>
      <c r="H4" s="17" t="n">
        <f aca="false">COUNTIF(D15:D514,"Hired")</f>
        <v>6</v>
      </c>
    </row>
    <row r="5" customFormat="false" ht="15" hidden="false" customHeight="true" outlineLevel="0" collapsed="false">
      <c r="A5" s="18" t="s">
        <v>44</v>
      </c>
      <c r="B5" s="19" t="n">
        <f aca="false">COUNTIFS(C$15:C$514,A5,I$15:I$514,"Valid")</f>
        <v>1</v>
      </c>
      <c r="C5" s="19" t="n">
        <f aca="false">COUNTIFS(C$15:C$514,A5,I$15:I$514,"Expiring")</f>
        <v>0</v>
      </c>
      <c r="D5" s="19" t="n">
        <f aca="false">COUNTIFS(C$15:C$514,A5,I$15:I$514,"Expired")</f>
        <v>0</v>
      </c>
      <c r="E5" s="20" t="n">
        <f aca="false">COUNTIF(C$15:C$514,A5)</f>
        <v>1</v>
      </c>
      <c r="G5" s="16" t="s">
        <v>45</v>
      </c>
      <c r="H5" s="17" t="n">
        <f aca="false">COUNTIF(D15:D514,"Owned")</f>
        <v>1</v>
      </c>
    </row>
    <row r="6" customFormat="false" ht="15" hidden="false" customHeight="true" outlineLevel="0" collapsed="false">
      <c r="A6" s="18" t="s">
        <v>46</v>
      </c>
      <c r="B6" s="19" t="n">
        <f aca="false">COUNTIFS(C$15:C$514,A6,I$15:I$514,"Valid")</f>
        <v>1</v>
      </c>
      <c r="C6" s="19" t="n">
        <f aca="false">COUNTIFS(C$15:C$514,A6,I$15:I$514,"Expiring")</f>
        <v>0</v>
      </c>
      <c r="D6" s="19" t="n">
        <f aca="false">COUNTIFS(C$15:C$514,A6,I$15:I$514,"Expired")</f>
        <v>0</v>
      </c>
      <c r="E6" s="20" t="n">
        <f aca="false">COUNTIF(C$15:C$514,A6)</f>
        <v>1</v>
      </c>
      <c r="G6" s="16" t="s">
        <v>47</v>
      </c>
      <c r="H6" s="21" t="n">
        <f aca="false">COUNTIF(I15:I514,"Expired")</f>
        <v>1</v>
      </c>
    </row>
    <row r="7" customFormat="false" ht="15" hidden="false" customHeight="true" outlineLevel="0" collapsed="false">
      <c r="A7" s="18" t="s">
        <v>48</v>
      </c>
      <c r="B7" s="19" t="n">
        <f aca="false">COUNTIFS(C$15:C$514,A7,I$15:I$514,"Valid")</f>
        <v>0</v>
      </c>
      <c r="C7" s="19" t="n">
        <f aca="false">COUNTIFS(C$15:C$514,A7,I$15:I$514,"Expiring")</f>
        <v>0</v>
      </c>
      <c r="D7" s="19" t="n">
        <f aca="false">COUNTIFS(C$15:C$514,A7,I$15:I$514,"Expired")</f>
        <v>0</v>
      </c>
      <c r="E7" s="20" t="n">
        <f aca="false">COUNTIF(C$15:C$514,A7)</f>
        <v>0</v>
      </c>
      <c r="G7" s="16" t="s">
        <v>49</v>
      </c>
      <c r="H7" s="22" t="n">
        <f aca="false">COUNTIF(I15:I514,"Expiring")</f>
        <v>1</v>
      </c>
    </row>
    <row r="8" customFormat="false" ht="15" hidden="false" customHeight="true" outlineLevel="0" collapsed="false">
      <c r="A8" s="18" t="s">
        <v>50</v>
      </c>
      <c r="B8" s="19" t="n">
        <f aca="false">COUNTIFS(C$15:C$514,A8,I$15:I$514,"Valid")</f>
        <v>0</v>
      </c>
      <c r="C8" s="19" t="n">
        <f aca="false">COUNTIFS(C$15:C$514,A8,I$15:I$514,"Expiring")</f>
        <v>0</v>
      </c>
      <c r="D8" s="19" t="n">
        <f aca="false">COUNTIFS(C$15:C$514,A8,I$15:I$514,"Expired")</f>
        <v>1</v>
      </c>
      <c r="E8" s="20" t="n">
        <f aca="false">COUNTIF(C$15:C$514,A8)</f>
        <v>1</v>
      </c>
      <c r="G8" s="16" t="s">
        <v>51</v>
      </c>
      <c r="H8" s="23" t="n">
        <f aca="false">SUM(M15:M514)</f>
        <v>9530</v>
      </c>
    </row>
    <row r="9" customFormat="false" ht="15" hidden="false" customHeight="true" outlineLevel="0" collapsed="false">
      <c r="A9" s="18" t="s">
        <v>52</v>
      </c>
      <c r="B9" s="19" t="n">
        <f aca="false">COUNTIFS(C$15:C$514,A9,I$15:I$514,"Valid")</f>
        <v>0</v>
      </c>
      <c r="C9" s="19" t="n">
        <f aca="false">COUNTIFS(C$15:C$514,A9,I$15:I$514,"Expiring")</f>
        <v>1</v>
      </c>
      <c r="D9" s="19" t="n">
        <f aca="false">COUNTIFS(C$15:C$514,A9,I$15:I$514,"Expired")</f>
        <v>0</v>
      </c>
      <c r="E9" s="20" t="n">
        <f aca="false">COUNTIF(C$15:C$514,A9)</f>
        <v>1</v>
      </c>
    </row>
    <row r="10" customFormat="false" ht="15" hidden="false" customHeight="true" outlineLevel="0" collapsed="false">
      <c r="A10" s="18" t="s">
        <v>53</v>
      </c>
      <c r="B10" s="19" t="n">
        <f aca="false">COUNTIF(I$15:I$514,"Valid")-SUM(B4:B9)</f>
        <v>2</v>
      </c>
      <c r="C10" s="19" t="n">
        <f aca="false">COUNTIF(I$15:I$514,"Expiring")-SUM(C4:C9)</f>
        <v>0</v>
      </c>
      <c r="D10" s="19" t="n">
        <f aca="false">COUNTIF(I$15:I$514,"Expired")-SUM(D4:D9)</f>
        <v>0</v>
      </c>
      <c r="E10" s="20" t="n">
        <f aca="false">COUNTA(C$15:C$514)-SUM(E4:E9)</f>
        <v>2</v>
      </c>
    </row>
    <row r="11" customFormat="false" ht="15" hidden="false" customHeight="true" outlineLevel="0" collapsed="false">
      <c r="A11" s="24" t="s">
        <v>54</v>
      </c>
      <c r="B11" s="25" t="n">
        <f aca="false">SUM(B4:B10)</f>
        <v>5</v>
      </c>
      <c r="C11" s="26" t="n">
        <f aca="false">SUM(C4:C10)</f>
        <v>1</v>
      </c>
      <c r="D11" s="27" t="n">
        <f aca="false">SUM(D4:D10)</f>
        <v>1</v>
      </c>
      <c r="E11" s="15" t="n">
        <f aca="false">SUM(E4:E10)</f>
        <v>7</v>
      </c>
    </row>
    <row r="12" customFormat="false" ht="21.75" hidden="false" customHeight="true" outlineLevel="0" collapsed="false">
      <c r="K12" s="28" t="s">
        <v>55</v>
      </c>
      <c r="L12" s="28"/>
      <c r="M12" s="28"/>
      <c r="N12" s="28"/>
      <c r="O12" s="28"/>
      <c r="P12" s="28"/>
    </row>
    <row r="14" customFormat="false" ht="27.75" hidden="false" customHeight="true" outlineLevel="0" collapsed="false">
      <c r="A14" s="29" t="s">
        <v>56</v>
      </c>
      <c r="B14" s="29" t="s">
        <v>57</v>
      </c>
      <c r="C14" s="29" t="s">
        <v>36</v>
      </c>
      <c r="D14" s="29" t="s">
        <v>58</v>
      </c>
      <c r="E14" s="29" t="s">
        <v>59</v>
      </c>
      <c r="F14" s="29" t="s">
        <v>60</v>
      </c>
      <c r="G14" s="29" t="s">
        <v>61</v>
      </c>
      <c r="H14" s="29" t="s">
        <v>62</v>
      </c>
      <c r="I14" s="29" t="s">
        <v>63</v>
      </c>
      <c r="J14" s="29" t="s">
        <v>64</v>
      </c>
      <c r="K14" s="29" t="s">
        <v>65</v>
      </c>
      <c r="L14" s="29" t="s">
        <v>66</v>
      </c>
      <c r="M14" s="29" t="s">
        <v>67</v>
      </c>
      <c r="N14" s="29" t="s">
        <v>68</v>
      </c>
      <c r="O14" s="29" t="s">
        <v>69</v>
      </c>
      <c r="P14" s="29" t="s">
        <v>70</v>
      </c>
    </row>
    <row r="15" customFormat="false" ht="27.75" hidden="false" customHeight="true" outlineLevel="0" collapsed="false">
      <c r="A15" s="30" t="s">
        <v>71</v>
      </c>
      <c r="B15" s="30" t="s">
        <v>72</v>
      </c>
      <c r="C15" s="31" t="s">
        <v>42</v>
      </c>
      <c r="D15" s="31" t="s">
        <v>73</v>
      </c>
      <c r="E15" s="30" t="s">
        <v>74</v>
      </c>
      <c r="F15" s="32" t="n">
        <v>46028</v>
      </c>
      <c r="G15" s="32" t="n">
        <v>46063</v>
      </c>
      <c r="H15" s="32" t="n">
        <v>46244</v>
      </c>
      <c r="I15" s="33" t="str">
        <f aca="true">IF(H15="","",IF(H15&lt;TODAY(),"Expired",IF(H15&lt;=TODAY()+14,"Expiring","Valid")))</f>
        <v>Valid</v>
      </c>
      <c r="J15" s="30" t="s">
        <v>75</v>
      </c>
      <c r="K15" s="30" t="s">
        <v>76</v>
      </c>
      <c r="L15" s="30" t="s">
        <v>77</v>
      </c>
      <c r="M15" s="34" t="n">
        <v>1850</v>
      </c>
      <c r="N15" s="31" t="s">
        <v>78</v>
      </c>
      <c r="O15" s="32"/>
      <c r="P15" s="30" t="s">
        <v>79</v>
      </c>
    </row>
    <row r="16" customFormat="false" ht="27.75" hidden="false" customHeight="true" outlineLevel="0" collapsed="false">
      <c r="A16" s="30" t="s">
        <v>80</v>
      </c>
      <c r="B16" s="30" t="s">
        <v>81</v>
      </c>
      <c r="C16" s="31" t="s">
        <v>44</v>
      </c>
      <c r="D16" s="31" t="s">
        <v>73</v>
      </c>
      <c r="E16" s="30" t="s">
        <v>74</v>
      </c>
      <c r="F16" s="32" t="n">
        <v>46028</v>
      </c>
      <c r="G16" s="32" t="n">
        <v>46037</v>
      </c>
      <c r="H16" s="32" t="n">
        <v>46218</v>
      </c>
      <c r="I16" s="33" t="str">
        <f aca="true">IF(H16="","",IF(H16&lt;TODAY(),"Expired",IF(H16&lt;=TODAY()+14,"Expiring","Valid")))</f>
        <v>Valid</v>
      </c>
      <c r="J16" s="30" t="s">
        <v>82</v>
      </c>
      <c r="K16" s="30" t="s">
        <v>83</v>
      </c>
      <c r="L16" s="30" t="s">
        <v>84</v>
      </c>
      <c r="M16" s="34" t="n">
        <v>650</v>
      </c>
      <c r="N16" s="31" t="s">
        <v>78</v>
      </c>
      <c r="O16" s="32"/>
      <c r="P16" s="30"/>
    </row>
    <row r="17" customFormat="false" ht="27.75" hidden="false" customHeight="true" outlineLevel="0" collapsed="false">
      <c r="A17" s="30" t="s">
        <v>85</v>
      </c>
      <c r="B17" s="30" t="s">
        <v>86</v>
      </c>
      <c r="C17" s="31" t="s">
        <v>46</v>
      </c>
      <c r="D17" s="31" t="s">
        <v>73</v>
      </c>
      <c r="E17" s="30" t="s">
        <v>87</v>
      </c>
      <c r="F17" s="32" t="n">
        <v>46056</v>
      </c>
      <c r="G17" s="32" t="n">
        <v>46058</v>
      </c>
      <c r="H17" s="32" t="n">
        <v>46239</v>
      </c>
      <c r="I17" s="33" t="str">
        <f aca="true">IF(H17="","",IF(H17&lt;TODAY(),"Expired",IF(H17&lt;=TODAY()+14,"Expiring","Valid")))</f>
        <v>Valid</v>
      </c>
      <c r="J17" s="30" t="s">
        <v>88</v>
      </c>
      <c r="K17" s="30" t="s">
        <v>89</v>
      </c>
      <c r="L17" s="30" t="s">
        <v>90</v>
      </c>
      <c r="M17" s="34" t="n">
        <v>1200</v>
      </c>
      <c r="N17" s="31" t="s">
        <v>78</v>
      </c>
      <c r="O17" s="32"/>
      <c r="P17" s="30" t="s">
        <v>91</v>
      </c>
    </row>
    <row r="18" customFormat="false" ht="27.75" hidden="false" customHeight="true" outlineLevel="0" collapsed="false">
      <c r="A18" s="30" t="s">
        <v>92</v>
      </c>
      <c r="B18" s="30" t="s">
        <v>93</v>
      </c>
      <c r="C18" s="31" t="s">
        <v>52</v>
      </c>
      <c r="D18" s="31" t="s">
        <v>73</v>
      </c>
      <c r="E18" s="30" t="s">
        <v>94</v>
      </c>
      <c r="F18" s="32" t="n">
        <v>45976</v>
      </c>
      <c r="G18" s="32" t="n">
        <v>46073</v>
      </c>
      <c r="H18" s="32" t="n">
        <v>46113</v>
      </c>
      <c r="I18" s="33" t="str">
        <f aca="true">IF(H18="","",IF(H18&lt;TODAY(),"Expired",IF(H18&lt;=TODAY()+14,"Expiring","Valid")))</f>
        <v>Expiring</v>
      </c>
      <c r="J18" s="30" t="s">
        <v>95</v>
      </c>
      <c r="K18" s="30" t="s">
        <v>96</v>
      </c>
      <c r="L18" s="30" t="s">
        <v>97</v>
      </c>
      <c r="M18" s="34" t="n">
        <v>4500</v>
      </c>
      <c r="N18" s="31" t="s">
        <v>78</v>
      </c>
      <c r="O18" s="32"/>
      <c r="P18" s="30" t="s">
        <v>98</v>
      </c>
    </row>
    <row r="19" customFormat="false" ht="27.75" hidden="false" customHeight="true" outlineLevel="0" collapsed="false">
      <c r="A19" s="30" t="s">
        <v>99</v>
      </c>
      <c r="B19" s="30" t="s">
        <v>100</v>
      </c>
      <c r="C19" s="31" t="s">
        <v>50</v>
      </c>
      <c r="D19" s="31" t="s">
        <v>73</v>
      </c>
      <c r="E19" s="30" t="s">
        <v>101</v>
      </c>
      <c r="F19" s="32" t="n">
        <v>46082</v>
      </c>
      <c r="G19" s="32" t="n">
        <v>46082</v>
      </c>
      <c r="H19" s="32" t="n">
        <v>46101</v>
      </c>
      <c r="I19" s="33" t="str">
        <f aca="true">IF(H19="","",IF(H19&lt;TODAY(),"Expired",IF(H19&lt;=TODAY()+14,"Expiring","Valid")))</f>
        <v>Expired</v>
      </c>
      <c r="J19" s="30" t="s">
        <v>102</v>
      </c>
      <c r="K19" s="30" t="s">
        <v>103</v>
      </c>
      <c r="L19" s="30" t="s">
        <v>104</v>
      </c>
      <c r="M19" s="34" t="n">
        <v>950</v>
      </c>
      <c r="N19" s="31" t="s">
        <v>78</v>
      </c>
      <c r="O19" s="32"/>
      <c r="P19" s="30" t="s">
        <v>105</v>
      </c>
    </row>
    <row r="20" customFormat="false" ht="27.75" hidden="false" customHeight="true" outlineLevel="0" collapsed="false">
      <c r="A20" s="30" t="s">
        <v>106</v>
      </c>
      <c r="B20" s="30" t="s">
        <v>107</v>
      </c>
      <c r="C20" s="31" t="s">
        <v>108</v>
      </c>
      <c r="D20" s="31" t="s">
        <v>73</v>
      </c>
      <c r="E20" s="30" t="s">
        <v>109</v>
      </c>
      <c r="F20" s="32" t="n">
        <v>46042</v>
      </c>
      <c r="G20" s="32" t="n">
        <v>46042</v>
      </c>
      <c r="H20" s="32" t="n">
        <v>46407</v>
      </c>
      <c r="I20" s="33" t="str">
        <f aca="true">IF(H20="","",IF(H20&lt;TODAY(),"Expired",IF(H20&lt;=TODAY()+14,"Expiring","Valid")))</f>
        <v>Valid</v>
      </c>
      <c r="J20" s="30" t="s">
        <v>110</v>
      </c>
      <c r="K20" s="30" t="s">
        <v>111</v>
      </c>
      <c r="L20" s="30"/>
      <c r="M20" s="34" t="n">
        <v>380</v>
      </c>
      <c r="N20" s="31" t="s">
        <v>78</v>
      </c>
      <c r="O20" s="32"/>
      <c r="P20" s="30" t="s">
        <v>112</v>
      </c>
    </row>
    <row r="21" customFormat="false" ht="27.75" hidden="false" customHeight="true" outlineLevel="0" collapsed="false">
      <c r="A21" s="30" t="s">
        <v>113</v>
      </c>
      <c r="B21" s="30" t="s">
        <v>114</v>
      </c>
      <c r="C21" s="31" t="s">
        <v>115</v>
      </c>
      <c r="D21" s="31" t="s">
        <v>116</v>
      </c>
      <c r="E21" s="30" t="s">
        <v>117</v>
      </c>
      <c r="F21" s="32" t="n">
        <v>46063</v>
      </c>
      <c r="G21" s="32" t="n">
        <v>45996</v>
      </c>
      <c r="H21" s="32" t="n">
        <v>46178</v>
      </c>
      <c r="I21" s="33" t="str">
        <f aca="true">IF(H21="","",IF(H21&lt;TODAY(),"Expired",IF(H21&lt;=TODAY()+14,"Expiring","Valid")))</f>
        <v>Valid</v>
      </c>
      <c r="J21" s="30" t="s">
        <v>118</v>
      </c>
      <c r="K21" s="30" t="s">
        <v>119</v>
      </c>
      <c r="L21" s="30"/>
      <c r="M21" s="34" t="n">
        <v>0</v>
      </c>
      <c r="N21" s="31" t="s">
        <v>78</v>
      </c>
      <c r="O21" s="32"/>
      <c r="P21" s="30" t="s">
        <v>120</v>
      </c>
    </row>
    <row r="22" customFormat="false" ht="27.75" hidden="false" customHeight="true" outlineLevel="0" collapsed="false">
      <c r="A22" s="30"/>
      <c r="B22" s="30"/>
      <c r="C22" s="31"/>
      <c r="D22" s="31"/>
      <c r="E22" s="30"/>
      <c r="F22" s="32"/>
      <c r="G22" s="32"/>
      <c r="H22" s="32"/>
      <c r="I22" s="33" t="str">
        <f aca="true">IF(H22="","",IF(H22&lt;TODAY(),"Expired",IF(H22&lt;=TODAY()+14,"Expiring","Valid")))</f>
        <v/>
      </c>
      <c r="J22" s="30"/>
      <c r="K22" s="30"/>
      <c r="L22" s="30"/>
      <c r="M22" s="34"/>
      <c r="N22" s="31"/>
      <c r="O22" s="32"/>
      <c r="P22" s="30"/>
    </row>
    <row r="23" customFormat="false" ht="27.75" hidden="false" customHeight="true" outlineLevel="0" collapsed="false">
      <c r="A23" s="30"/>
      <c r="B23" s="30"/>
      <c r="C23" s="31"/>
      <c r="D23" s="31"/>
      <c r="E23" s="30"/>
      <c r="F23" s="32"/>
      <c r="G23" s="32"/>
      <c r="H23" s="32"/>
      <c r="I23" s="33" t="str">
        <f aca="true">IF(H23="","",IF(H23&lt;TODAY(),"Expired",IF(H23&lt;=TODAY()+14,"Expiring","Valid")))</f>
        <v/>
      </c>
      <c r="J23" s="30"/>
      <c r="K23" s="30"/>
      <c r="L23" s="30"/>
      <c r="M23" s="34"/>
      <c r="N23" s="31"/>
      <c r="O23" s="32"/>
      <c r="P23" s="30"/>
    </row>
    <row r="24" customFormat="false" ht="27.75" hidden="false" customHeight="true" outlineLevel="0" collapsed="false">
      <c r="A24" s="30"/>
      <c r="B24" s="30"/>
      <c r="C24" s="31"/>
      <c r="D24" s="31"/>
      <c r="E24" s="30"/>
      <c r="F24" s="32"/>
      <c r="G24" s="32"/>
      <c r="H24" s="32"/>
      <c r="I24" s="33" t="str">
        <f aca="true">IF(H24="","",IF(H24&lt;TODAY(),"Expired",IF(H24&lt;=TODAY()+14,"Expiring","Valid")))</f>
        <v/>
      </c>
      <c r="J24" s="30"/>
      <c r="K24" s="30"/>
      <c r="L24" s="30"/>
      <c r="M24" s="34"/>
      <c r="N24" s="31"/>
      <c r="O24" s="32"/>
      <c r="P24" s="30"/>
    </row>
    <row r="25" customFormat="false" ht="27.75" hidden="false" customHeight="true" outlineLevel="0" collapsed="false">
      <c r="A25" s="30"/>
      <c r="B25" s="30"/>
      <c r="C25" s="31"/>
      <c r="D25" s="31"/>
      <c r="E25" s="30"/>
      <c r="F25" s="32"/>
      <c r="G25" s="32"/>
      <c r="H25" s="32"/>
      <c r="I25" s="33" t="str">
        <f aca="true">IF(H25="","",IF(H25&lt;TODAY(),"Expired",IF(H25&lt;=TODAY()+14,"Expiring","Valid")))</f>
        <v/>
      </c>
      <c r="J25" s="30"/>
      <c r="K25" s="30"/>
      <c r="L25" s="30"/>
      <c r="M25" s="34"/>
      <c r="N25" s="31"/>
      <c r="O25" s="32"/>
      <c r="P25" s="30"/>
    </row>
    <row r="26" customFormat="false" ht="27.75" hidden="false" customHeight="true" outlineLevel="0" collapsed="false">
      <c r="A26" s="30"/>
      <c r="B26" s="30"/>
      <c r="C26" s="31"/>
      <c r="D26" s="31"/>
      <c r="E26" s="30"/>
      <c r="F26" s="32"/>
      <c r="G26" s="32"/>
      <c r="H26" s="32"/>
      <c r="I26" s="33" t="str">
        <f aca="true">IF(H26="","",IF(H26&lt;TODAY(),"Expired",IF(H26&lt;=TODAY()+14,"Expiring","Valid")))</f>
        <v/>
      </c>
      <c r="J26" s="30"/>
      <c r="K26" s="30"/>
      <c r="L26" s="30"/>
      <c r="M26" s="34"/>
      <c r="N26" s="31"/>
      <c r="O26" s="32"/>
      <c r="P26" s="30"/>
    </row>
    <row r="27" customFormat="false" ht="27.75" hidden="false" customHeight="true" outlineLevel="0" collapsed="false">
      <c r="A27" s="30"/>
      <c r="B27" s="30"/>
      <c r="C27" s="31"/>
      <c r="D27" s="31"/>
      <c r="E27" s="30"/>
      <c r="F27" s="32"/>
      <c r="G27" s="32"/>
      <c r="H27" s="32"/>
      <c r="I27" s="33" t="str">
        <f aca="true">IF(H27="","",IF(H27&lt;TODAY(),"Expired",IF(H27&lt;=TODAY()+14,"Expiring","Valid")))</f>
        <v/>
      </c>
      <c r="J27" s="30"/>
      <c r="K27" s="30"/>
      <c r="L27" s="30"/>
      <c r="M27" s="34"/>
      <c r="N27" s="31"/>
      <c r="O27" s="32"/>
      <c r="P27" s="30"/>
    </row>
    <row r="28" customFormat="false" ht="27.75" hidden="false" customHeight="true" outlineLevel="0" collapsed="false">
      <c r="A28" s="30"/>
      <c r="B28" s="30"/>
      <c r="C28" s="31"/>
      <c r="D28" s="31"/>
      <c r="E28" s="30"/>
      <c r="F28" s="32"/>
      <c r="G28" s="32"/>
      <c r="H28" s="32"/>
      <c r="I28" s="33" t="str">
        <f aca="true">IF(H28="","",IF(H28&lt;TODAY(),"Expired",IF(H28&lt;=TODAY()+14,"Expiring","Valid")))</f>
        <v/>
      </c>
      <c r="J28" s="30"/>
      <c r="K28" s="30"/>
      <c r="L28" s="30"/>
      <c r="M28" s="34"/>
      <c r="N28" s="31"/>
      <c r="O28" s="32"/>
      <c r="P28" s="30"/>
    </row>
    <row r="29" customFormat="false" ht="27.75" hidden="false" customHeight="true" outlineLevel="0" collapsed="false">
      <c r="A29" s="30"/>
      <c r="B29" s="30"/>
      <c r="C29" s="31"/>
      <c r="D29" s="31"/>
      <c r="E29" s="30"/>
      <c r="F29" s="32"/>
      <c r="G29" s="32"/>
      <c r="H29" s="32"/>
      <c r="I29" s="33" t="str">
        <f aca="true">IF(H29="","",IF(H29&lt;TODAY(),"Expired",IF(H29&lt;=TODAY()+14,"Expiring","Valid")))</f>
        <v/>
      </c>
      <c r="J29" s="30"/>
      <c r="K29" s="30"/>
      <c r="L29" s="30"/>
      <c r="M29" s="34"/>
      <c r="N29" s="31"/>
      <c r="O29" s="32"/>
      <c r="P29" s="30"/>
    </row>
    <row r="30" customFormat="false" ht="27.75" hidden="false" customHeight="true" outlineLevel="0" collapsed="false">
      <c r="A30" s="30"/>
      <c r="B30" s="30"/>
      <c r="C30" s="31"/>
      <c r="D30" s="31"/>
      <c r="E30" s="30"/>
      <c r="F30" s="32"/>
      <c r="G30" s="32"/>
      <c r="H30" s="32"/>
      <c r="I30" s="33" t="str">
        <f aca="true">IF(H30="","",IF(H30&lt;TODAY(),"Expired",IF(H30&lt;=TODAY()+14,"Expiring","Valid")))</f>
        <v/>
      </c>
      <c r="J30" s="30"/>
      <c r="K30" s="30"/>
      <c r="L30" s="30"/>
      <c r="M30" s="34"/>
      <c r="N30" s="31"/>
      <c r="O30" s="32"/>
      <c r="P30" s="30"/>
    </row>
    <row r="31" customFormat="false" ht="27.75" hidden="false" customHeight="true" outlineLevel="0" collapsed="false">
      <c r="A31" s="30"/>
      <c r="B31" s="30"/>
      <c r="C31" s="31"/>
      <c r="D31" s="31"/>
      <c r="E31" s="30"/>
      <c r="F31" s="32"/>
      <c r="G31" s="32"/>
      <c r="H31" s="32"/>
      <c r="I31" s="33" t="str">
        <f aca="true">IF(H31="","",IF(H31&lt;TODAY(),"Expired",IF(H31&lt;=TODAY()+14,"Expiring","Valid")))</f>
        <v/>
      </c>
      <c r="J31" s="30"/>
      <c r="K31" s="30"/>
      <c r="L31" s="30"/>
      <c r="M31" s="34"/>
      <c r="N31" s="31"/>
      <c r="O31" s="32"/>
      <c r="P31" s="30"/>
    </row>
    <row r="32" customFormat="false" ht="27.75" hidden="false" customHeight="true" outlineLevel="0" collapsed="false">
      <c r="A32" s="30"/>
      <c r="B32" s="30"/>
      <c r="C32" s="31"/>
      <c r="D32" s="31"/>
      <c r="E32" s="30"/>
      <c r="F32" s="32"/>
      <c r="G32" s="32"/>
      <c r="H32" s="32"/>
      <c r="I32" s="33" t="str">
        <f aca="true">IF(H32="","",IF(H32&lt;TODAY(),"Expired",IF(H32&lt;=TODAY()+14,"Expiring","Valid")))</f>
        <v/>
      </c>
      <c r="J32" s="30"/>
      <c r="K32" s="30"/>
      <c r="L32" s="30"/>
      <c r="M32" s="34"/>
      <c r="N32" s="31"/>
      <c r="O32" s="32"/>
      <c r="P32" s="30"/>
    </row>
    <row r="33" customFormat="false" ht="27.75" hidden="false" customHeight="true" outlineLevel="0" collapsed="false">
      <c r="A33" s="30"/>
      <c r="B33" s="30"/>
      <c r="C33" s="31"/>
      <c r="D33" s="31"/>
      <c r="E33" s="30"/>
      <c r="F33" s="32"/>
      <c r="G33" s="32"/>
      <c r="H33" s="32"/>
      <c r="I33" s="33" t="str">
        <f aca="true">IF(H33="","",IF(H33&lt;TODAY(),"Expired",IF(H33&lt;=TODAY()+14,"Expiring","Valid")))</f>
        <v/>
      </c>
      <c r="J33" s="30"/>
      <c r="K33" s="30"/>
      <c r="L33" s="30"/>
      <c r="M33" s="34"/>
      <c r="N33" s="31"/>
      <c r="O33" s="32"/>
      <c r="P33" s="30"/>
    </row>
    <row r="34" customFormat="false" ht="27.75" hidden="false" customHeight="true" outlineLevel="0" collapsed="false">
      <c r="A34" s="30"/>
      <c r="B34" s="30"/>
      <c r="C34" s="31"/>
      <c r="D34" s="31"/>
      <c r="E34" s="30"/>
      <c r="F34" s="32"/>
      <c r="G34" s="32"/>
      <c r="H34" s="32"/>
      <c r="I34" s="33" t="str">
        <f aca="true">IF(H34="","",IF(H34&lt;TODAY(),"Expired",IF(H34&lt;=TODAY()+14,"Expiring","Valid")))</f>
        <v/>
      </c>
      <c r="J34" s="30"/>
      <c r="K34" s="30"/>
      <c r="L34" s="30"/>
      <c r="M34" s="34"/>
      <c r="N34" s="31"/>
      <c r="O34" s="32"/>
      <c r="P34" s="30"/>
    </row>
    <row r="35" customFormat="false" ht="27.75" hidden="false" customHeight="true" outlineLevel="0" collapsed="false">
      <c r="A35" s="30"/>
      <c r="B35" s="30"/>
      <c r="C35" s="31"/>
      <c r="D35" s="31"/>
      <c r="E35" s="30"/>
      <c r="F35" s="32"/>
      <c r="G35" s="32"/>
      <c r="H35" s="32"/>
      <c r="I35" s="33" t="str">
        <f aca="true">IF(H35="","",IF(H35&lt;TODAY(),"Expired",IF(H35&lt;=TODAY()+14,"Expiring","Valid")))</f>
        <v/>
      </c>
      <c r="J35" s="30"/>
      <c r="K35" s="30"/>
      <c r="L35" s="30"/>
      <c r="M35" s="34"/>
      <c r="N35" s="31"/>
      <c r="O35" s="32"/>
      <c r="P35" s="30"/>
    </row>
    <row r="36" customFormat="false" ht="27.75" hidden="false" customHeight="true" outlineLevel="0" collapsed="false">
      <c r="A36" s="30"/>
      <c r="B36" s="30"/>
      <c r="C36" s="31"/>
      <c r="D36" s="31"/>
      <c r="E36" s="30"/>
      <c r="F36" s="32"/>
      <c r="G36" s="32"/>
      <c r="H36" s="32"/>
      <c r="I36" s="33" t="str">
        <f aca="true">IF(H36="","",IF(H36&lt;TODAY(),"Expired",IF(H36&lt;=TODAY()+14,"Expiring","Valid")))</f>
        <v/>
      </c>
      <c r="J36" s="30"/>
      <c r="K36" s="30"/>
      <c r="L36" s="30"/>
      <c r="M36" s="34"/>
      <c r="N36" s="31"/>
      <c r="O36" s="32"/>
      <c r="P36" s="30"/>
    </row>
    <row r="37" customFormat="false" ht="27.75" hidden="false" customHeight="true" outlineLevel="0" collapsed="false">
      <c r="A37" s="30"/>
      <c r="B37" s="30"/>
      <c r="C37" s="31"/>
      <c r="D37" s="31"/>
      <c r="E37" s="30"/>
      <c r="F37" s="32"/>
      <c r="G37" s="32"/>
      <c r="H37" s="32"/>
      <c r="I37" s="33" t="str">
        <f aca="true">IF(H37="","",IF(H37&lt;TODAY(),"Expired",IF(H37&lt;=TODAY()+14,"Expiring","Valid")))</f>
        <v/>
      </c>
      <c r="J37" s="30"/>
      <c r="K37" s="30"/>
      <c r="L37" s="30"/>
      <c r="M37" s="34"/>
      <c r="N37" s="31"/>
      <c r="O37" s="32"/>
      <c r="P37" s="30"/>
    </row>
    <row r="38" customFormat="false" ht="27.75" hidden="false" customHeight="true" outlineLevel="0" collapsed="false">
      <c r="A38" s="30"/>
      <c r="B38" s="30"/>
      <c r="C38" s="31"/>
      <c r="D38" s="31"/>
      <c r="E38" s="30"/>
      <c r="F38" s="32"/>
      <c r="G38" s="32"/>
      <c r="H38" s="32"/>
      <c r="I38" s="33" t="str">
        <f aca="true">IF(H38="","",IF(H38&lt;TODAY(),"Expired",IF(H38&lt;=TODAY()+14,"Expiring","Valid")))</f>
        <v/>
      </c>
      <c r="J38" s="30"/>
      <c r="K38" s="30"/>
      <c r="L38" s="30"/>
      <c r="M38" s="34"/>
      <c r="N38" s="31"/>
      <c r="O38" s="32"/>
      <c r="P38" s="30"/>
    </row>
    <row r="39" customFormat="false" ht="27.75" hidden="false" customHeight="true" outlineLevel="0" collapsed="false">
      <c r="A39" s="30"/>
      <c r="B39" s="30"/>
      <c r="C39" s="31"/>
      <c r="D39" s="31"/>
      <c r="E39" s="30"/>
      <c r="F39" s="32"/>
      <c r="G39" s="32"/>
      <c r="H39" s="32"/>
      <c r="I39" s="33" t="str">
        <f aca="true">IF(H39="","",IF(H39&lt;TODAY(),"Expired",IF(H39&lt;=TODAY()+14,"Expiring","Valid")))</f>
        <v/>
      </c>
      <c r="J39" s="30"/>
      <c r="K39" s="30"/>
      <c r="L39" s="30"/>
      <c r="M39" s="34"/>
      <c r="N39" s="31"/>
      <c r="O39" s="32"/>
      <c r="P39" s="30"/>
    </row>
    <row r="40" customFormat="false" ht="27.75" hidden="false" customHeight="true" outlineLevel="0" collapsed="false">
      <c r="A40" s="30"/>
      <c r="B40" s="30"/>
      <c r="C40" s="31"/>
      <c r="D40" s="31"/>
      <c r="E40" s="30"/>
      <c r="F40" s="32"/>
      <c r="G40" s="32"/>
      <c r="H40" s="32"/>
      <c r="I40" s="33" t="str">
        <f aca="true">IF(H40="","",IF(H40&lt;TODAY(),"Expired",IF(H40&lt;=TODAY()+14,"Expiring","Valid")))</f>
        <v/>
      </c>
      <c r="J40" s="30"/>
      <c r="K40" s="30"/>
      <c r="L40" s="30"/>
      <c r="M40" s="34"/>
      <c r="N40" s="31"/>
      <c r="O40" s="32"/>
      <c r="P40" s="30"/>
    </row>
    <row r="41" customFormat="false" ht="27.75" hidden="false" customHeight="true" outlineLevel="0" collapsed="false">
      <c r="A41" s="30"/>
      <c r="B41" s="30"/>
      <c r="C41" s="31"/>
      <c r="D41" s="31"/>
      <c r="E41" s="30"/>
      <c r="F41" s="32"/>
      <c r="G41" s="32"/>
      <c r="H41" s="32"/>
      <c r="I41" s="33" t="str">
        <f aca="true">IF(H41="","",IF(H41&lt;TODAY(),"Expired",IF(H41&lt;=TODAY()+14,"Expiring","Valid")))</f>
        <v/>
      </c>
      <c r="J41" s="30"/>
      <c r="K41" s="30"/>
      <c r="L41" s="30"/>
      <c r="M41" s="34"/>
      <c r="N41" s="31"/>
      <c r="O41" s="32"/>
      <c r="P41" s="30"/>
    </row>
    <row r="42" customFormat="false" ht="27.75" hidden="false" customHeight="true" outlineLevel="0" collapsed="false">
      <c r="A42" s="30"/>
      <c r="B42" s="30"/>
      <c r="C42" s="31"/>
      <c r="D42" s="31"/>
      <c r="E42" s="30"/>
      <c r="F42" s="32"/>
      <c r="G42" s="32"/>
      <c r="H42" s="32"/>
      <c r="I42" s="33" t="str">
        <f aca="true">IF(H42="","",IF(H42&lt;TODAY(),"Expired",IF(H42&lt;=TODAY()+14,"Expiring","Valid")))</f>
        <v/>
      </c>
      <c r="J42" s="30"/>
      <c r="K42" s="30"/>
      <c r="L42" s="30"/>
      <c r="M42" s="34"/>
      <c r="N42" s="31"/>
      <c r="O42" s="32"/>
      <c r="P42" s="30"/>
    </row>
    <row r="43" customFormat="false" ht="27.75" hidden="false" customHeight="true" outlineLevel="0" collapsed="false">
      <c r="A43" s="30"/>
      <c r="B43" s="30"/>
      <c r="C43" s="31"/>
      <c r="D43" s="31"/>
      <c r="E43" s="30"/>
      <c r="F43" s="32"/>
      <c r="G43" s="32"/>
      <c r="H43" s="32"/>
      <c r="I43" s="33" t="str">
        <f aca="true">IF(H43="","",IF(H43&lt;TODAY(),"Expired",IF(H43&lt;=TODAY()+14,"Expiring","Valid")))</f>
        <v/>
      </c>
      <c r="J43" s="30"/>
      <c r="K43" s="30"/>
      <c r="L43" s="30"/>
      <c r="M43" s="34"/>
      <c r="N43" s="31"/>
      <c r="O43" s="32"/>
      <c r="P43" s="30"/>
    </row>
    <row r="44" customFormat="false" ht="27.75" hidden="false" customHeight="true" outlineLevel="0" collapsed="false">
      <c r="A44" s="30"/>
      <c r="B44" s="30"/>
      <c r="C44" s="31"/>
      <c r="D44" s="31"/>
      <c r="E44" s="30"/>
      <c r="F44" s="32"/>
      <c r="G44" s="32"/>
      <c r="H44" s="32"/>
      <c r="I44" s="33" t="str">
        <f aca="true">IF(H44="","",IF(H44&lt;TODAY(),"Expired",IF(H44&lt;=TODAY()+14,"Expiring","Valid")))</f>
        <v/>
      </c>
      <c r="J44" s="30"/>
      <c r="K44" s="30"/>
      <c r="L44" s="30"/>
      <c r="M44" s="34"/>
      <c r="N44" s="31"/>
      <c r="O44" s="32"/>
      <c r="P44" s="30"/>
    </row>
    <row r="45" customFormat="false" ht="27.75" hidden="false" customHeight="true" outlineLevel="0" collapsed="false">
      <c r="A45" s="30"/>
      <c r="B45" s="30"/>
      <c r="C45" s="31"/>
      <c r="D45" s="31"/>
      <c r="E45" s="30"/>
      <c r="F45" s="32"/>
      <c r="G45" s="32"/>
      <c r="H45" s="32"/>
      <c r="I45" s="33" t="str">
        <f aca="true">IF(H45="","",IF(H45&lt;TODAY(),"Expired",IF(H45&lt;=TODAY()+14,"Expiring","Valid")))</f>
        <v/>
      </c>
      <c r="J45" s="30"/>
      <c r="K45" s="30"/>
      <c r="L45" s="30"/>
      <c r="M45" s="34"/>
      <c r="N45" s="31"/>
      <c r="O45" s="32"/>
      <c r="P45" s="30"/>
    </row>
    <row r="46" customFormat="false" ht="27.75" hidden="false" customHeight="true" outlineLevel="0" collapsed="false">
      <c r="A46" s="30"/>
      <c r="B46" s="30"/>
      <c r="C46" s="31"/>
      <c r="D46" s="31"/>
      <c r="E46" s="30"/>
      <c r="F46" s="32"/>
      <c r="G46" s="32"/>
      <c r="H46" s="32"/>
      <c r="I46" s="33" t="str">
        <f aca="true">IF(H46="","",IF(H46&lt;TODAY(),"Expired",IF(H46&lt;=TODAY()+14,"Expiring","Valid")))</f>
        <v/>
      </c>
      <c r="J46" s="30"/>
      <c r="K46" s="30"/>
      <c r="L46" s="30"/>
      <c r="M46" s="34"/>
      <c r="N46" s="31"/>
      <c r="O46" s="32"/>
      <c r="P46" s="30"/>
    </row>
    <row r="47" customFormat="false" ht="27.75" hidden="false" customHeight="true" outlineLevel="0" collapsed="false">
      <c r="A47" s="30"/>
      <c r="B47" s="30"/>
      <c r="C47" s="31"/>
      <c r="D47" s="31"/>
      <c r="E47" s="30"/>
      <c r="F47" s="32"/>
      <c r="G47" s="32"/>
      <c r="H47" s="32"/>
      <c r="I47" s="33" t="str">
        <f aca="true">IF(H47="","",IF(H47&lt;TODAY(),"Expired",IF(H47&lt;=TODAY()+14,"Expiring","Valid")))</f>
        <v/>
      </c>
      <c r="J47" s="30"/>
      <c r="K47" s="30"/>
      <c r="L47" s="30"/>
      <c r="M47" s="34"/>
      <c r="N47" s="31"/>
      <c r="O47" s="32"/>
      <c r="P47" s="30"/>
    </row>
    <row r="48" customFormat="false" ht="27.75" hidden="false" customHeight="true" outlineLevel="0" collapsed="false">
      <c r="A48" s="30"/>
      <c r="B48" s="30"/>
      <c r="C48" s="31"/>
      <c r="D48" s="31"/>
      <c r="E48" s="30"/>
      <c r="F48" s="32"/>
      <c r="G48" s="32"/>
      <c r="H48" s="32"/>
      <c r="I48" s="33" t="str">
        <f aca="true">IF(H48="","",IF(H48&lt;TODAY(),"Expired",IF(H48&lt;=TODAY()+14,"Expiring","Valid")))</f>
        <v/>
      </c>
      <c r="J48" s="30"/>
      <c r="K48" s="30"/>
      <c r="L48" s="30"/>
      <c r="M48" s="34"/>
      <c r="N48" s="31"/>
      <c r="O48" s="32"/>
      <c r="P48" s="30"/>
    </row>
    <row r="49" customFormat="false" ht="27.75" hidden="false" customHeight="true" outlineLevel="0" collapsed="false">
      <c r="A49" s="30"/>
      <c r="B49" s="30"/>
      <c r="C49" s="31"/>
      <c r="D49" s="31"/>
      <c r="E49" s="30"/>
      <c r="F49" s="32"/>
      <c r="G49" s="32"/>
      <c r="H49" s="32"/>
      <c r="I49" s="33" t="str">
        <f aca="true">IF(H49="","",IF(H49&lt;TODAY(),"Expired",IF(H49&lt;=TODAY()+14,"Expiring","Valid")))</f>
        <v/>
      </c>
      <c r="J49" s="30"/>
      <c r="K49" s="30"/>
      <c r="L49" s="30"/>
      <c r="M49" s="34"/>
      <c r="N49" s="31"/>
      <c r="O49" s="32"/>
      <c r="P49" s="30"/>
    </row>
    <row r="50" customFormat="false" ht="27.75" hidden="false" customHeight="true" outlineLevel="0" collapsed="false">
      <c r="A50" s="30"/>
      <c r="B50" s="30"/>
      <c r="C50" s="31"/>
      <c r="D50" s="31"/>
      <c r="E50" s="30"/>
      <c r="F50" s="32"/>
      <c r="G50" s="32"/>
      <c r="H50" s="32"/>
      <c r="I50" s="33" t="str">
        <f aca="true">IF(H50="","",IF(H50&lt;TODAY(),"Expired",IF(H50&lt;=TODAY()+14,"Expiring","Valid")))</f>
        <v/>
      </c>
      <c r="J50" s="30"/>
      <c r="K50" s="30"/>
      <c r="L50" s="30"/>
      <c r="M50" s="34"/>
      <c r="N50" s="31"/>
      <c r="O50" s="32"/>
      <c r="P50" s="30"/>
    </row>
    <row r="51" customFormat="false" ht="27.75" hidden="false" customHeight="true" outlineLevel="0" collapsed="false">
      <c r="A51" s="30"/>
      <c r="B51" s="30"/>
      <c r="C51" s="31"/>
      <c r="D51" s="31"/>
      <c r="E51" s="30"/>
      <c r="F51" s="32"/>
      <c r="G51" s="32"/>
      <c r="H51" s="32"/>
      <c r="I51" s="33" t="str">
        <f aca="true">IF(H51="","",IF(H51&lt;TODAY(),"Expired",IF(H51&lt;=TODAY()+14,"Expiring","Valid")))</f>
        <v/>
      </c>
      <c r="J51" s="30"/>
      <c r="K51" s="30"/>
      <c r="L51" s="30"/>
      <c r="M51" s="34"/>
      <c r="N51" s="31"/>
      <c r="O51" s="32"/>
      <c r="P51" s="30"/>
    </row>
    <row r="52" customFormat="false" ht="27.75" hidden="false" customHeight="true" outlineLevel="0" collapsed="false">
      <c r="A52" s="30"/>
      <c r="B52" s="30"/>
      <c r="C52" s="31"/>
      <c r="D52" s="31"/>
      <c r="E52" s="30"/>
      <c r="F52" s="32"/>
      <c r="G52" s="32"/>
      <c r="H52" s="32"/>
      <c r="I52" s="33" t="str">
        <f aca="true">IF(H52="","",IF(H52&lt;TODAY(),"Expired",IF(H52&lt;=TODAY()+14,"Expiring","Valid")))</f>
        <v/>
      </c>
      <c r="J52" s="30"/>
      <c r="K52" s="30"/>
      <c r="L52" s="30"/>
      <c r="M52" s="34"/>
      <c r="N52" s="31"/>
      <c r="O52" s="32"/>
      <c r="P52" s="30"/>
    </row>
    <row r="53" customFormat="false" ht="27.75" hidden="false" customHeight="true" outlineLevel="0" collapsed="false">
      <c r="A53" s="30"/>
      <c r="B53" s="30"/>
      <c r="C53" s="31"/>
      <c r="D53" s="31"/>
      <c r="E53" s="30"/>
      <c r="F53" s="32"/>
      <c r="G53" s="32"/>
      <c r="H53" s="32"/>
      <c r="I53" s="33" t="str">
        <f aca="true">IF(H53="","",IF(H53&lt;TODAY(),"Expired",IF(H53&lt;=TODAY()+14,"Expiring","Valid")))</f>
        <v/>
      </c>
      <c r="J53" s="30"/>
      <c r="K53" s="30"/>
      <c r="L53" s="30"/>
      <c r="M53" s="34"/>
      <c r="N53" s="31"/>
      <c r="O53" s="32"/>
      <c r="P53" s="30"/>
    </row>
    <row r="54" customFormat="false" ht="27.75" hidden="false" customHeight="true" outlineLevel="0" collapsed="false">
      <c r="A54" s="30"/>
      <c r="B54" s="30"/>
      <c r="C54" s="31"/>
      <c r="D54" s="31"/>
      <c r="E54" s="30"/>
      <c r="F54" s="32"/>
      <c r="G54" s="32"/>
      <c r="H54" s="32"/>
      <c r="I54" s="33" t="str">
        <f aca="true">IF(H54="","",IF(H54&lt;TODAY(),"Expired",IF(H54&lt;=TODAY()+14,"Expiring","Valid")))</f>
        <v/>
      </c>
      <c r="J54" s="30"/>
      <c r="K54" s="30"/>
      <c r="L54" s="30"/>
      <c r="M54" s="34"/>
      <c r="N54" s="31"/>
      <c r="O54" s="32"/>
      <c r="P54" s="30"/>
    </row>
    <row r="55" customFormat="false" ht="27.75" hidden="false" customHeight="true" outlineLevel="0" collapsed="false">
      <c r="A55" s="30"/>
      <c r="B55" s="30"/>
      <c r="C55" s="31"/>
      <c r="D55" s="31"/>
      <c r="E55" s="30"/>
      <c r="F55" s="32"/>
      <c r="G55" s="32"/>
      <c r="H55" s="32"/>
      <c r="I55" s="33" t="str">
        <f aca="true">IF(H55="","",IF(H55&lt;TODAY(),"Expired",IF(H55&lt;=TODAY()+14,"Expiring","Valid")))</f>
        <v/>
      </c>
      <c r="J55" s="30"/>
      <c r="K55" s="30"/>
      <c r="L55" s="30"/>
      <c r="M55" s="34"/>
      <c r="N55" s="31"/>
      <c r="O55" s="32"/>
      <c r="P55" s="30"/>
    </row>
    <row r="56" customFormat="false" ht="27.75" hidden="false" customHeight="true" outlineLevel="0" collapsed="false">
      <c r="A56" s="30"/>
      <c r="B56" s="30"/>
      <c r="C56" s="31"/>
      <c r="D56" s="31"/>
      <c r="E56" s="30"/>
      <c r="F56" s="32"/>
      <c r="G56" s="32"/>
      <c r="H56" s="32"/>
      <c r="I56" s="33" t="str">
        <f aca="true">IF(H56="","",IF(H56&lt;TODAY(),"Expired",IF(H56&lt;=TODAY()+14,"Expiring","Valid")))</f>
        <v/>
      </c>
      <c r="J56" s="30"/>
      <c r="K56" s="30"/>
      <c r="L56" s="30"/>
      <c r="M56" s="34"/>
      <c r="N56" s="31"/>
      <c r="O56" s="32"/>
      <c r="P56" s="30"/>
    </row>
    <row r="57" customFormat="false" ht="27.75" hidden="false" customHeight="true" outlineLevel="0" collapsed="false">
      <c r="A57" s="30"/>
      <c r="B57" s="30"/>
      <c r="C57" s="31"/>
      <c r="D57" s="31"/>
      <c r="E57" s="30"/>
      <c r="F57" s="32"/>
      <c r="G57" s="32"/>
      <c r="H57" s="32"/>
      <c r="I57" s="33" t="str">
        <f aca="true">IF(H57="","",IF(H57&lt;TODAY(),"Expired",IF(H57&lt;=TODAY()+14,"Expiring","Valid")))</f>
        <v/>
      </c>
      <c r="J57" s="30"/>
      <c r="K57" s="30"/>
      <c r="L57" s="30"/>
      <c r="M57" s="34"/>
      <c r="N57" s="31"/>
      <c r="O57" s="32"/>
      <c r="P57" s="30"/>
    </row>
    <row r="58" customFormat="false" ht="27.75" hidden="false" customHeight="true" outlineLevel="0" collapsed="false">
      <c r="A58" s="30"/>
      <c r="B58" s="30"/>
      <c r="C58" s="31"/>
      <c r="D58" s="31"/>
      <c r="E58" s="30"/>
      <c r="F58" s="32"/>
      <c r="G58" s="32"/>
      <c r="H58" s="32"/>
      <c r="I58" s="33" t="str">
        <f aca="true">IF(H58="","",IF(H58&lt;TODAY(),"Expired",IF(H58&lt;=TODAY()+14,"Expiring","Valid")))</f>
        <v/>
      </c>
      <c r="J58" s="30"/>
      <c r="K58" s="30"/>
      <c r="L58" s="30"/>
      <c r="M58" s="34"/>
      <c r="N58" s="31"/>
      <c r="O58" s="32"/>
      <c r="P58" s="30"/>
    </row>
    <row r="59" customFormat="false" ht="27.75" hidden="false" customHeight="true" outlineLevel="0" collapsed="false">
      <c r="A59" s="30"/>
      <c r="B59" s="30"/>
      <c r="C59" s="31"/>
      <c r="D59" s="31"/>
      <c r="E59" s="30"/>
      <c r="F59" s="32"/>
      <c r="G59" s="32"/>
      <c r="H59" s="32"/>
      <c r="I59" s="33" t="str">
        <f aca="true">IF(H59="","",IF(H59&lt;TODAY(),"Expired",IF(H59&lt;=TODAY()+14,"Expiring","Valid")))</f>
        <v/>
      </c>
      <c r="J59" s="30"/>
      <c r="K59" s="30"/>
      <c r="L59" s="30"/>
      <c r="M59" s="34"/>
      <c r="N59" s="31"/>
      <c r="O59" s="32"/>
      <c r="P59" s="30"/>
    </row>
    <row r="60" customFormat="false" ht="27.75" hidden="false" customHeight="true" outlineLevel="0" collapsed="false">
      <c r="A60" s="30"/>
      <c r="B60" s="30"/>
      <c r="C60" s="31"/>
      <c r="D60" s="31"/>
      <c r="E60" s="30"/>
      <c r="F60" s="32"/>
      <c r="G60" s="32"/>
      <c r="H60" s="32"/>
      <c r="I60" s="33" t="str">
        <f aca="true">IF(H60="","",IF(H60&lt;TODAY(),"Expired",IF(H60&lt;=TODAY()+14,"Expiring","Valid")))</f>
        <v/>
      </c>
      <c r="J60" s="30"/>
      <c r="K60" s="30"/>
      <c r="L60" s="30"/>
      <c r="M60" s="34"/>
      <c r="N60" s="31"/>
      <c r="O60" s="32"/>
      <c r="P60" s="30"/>
    </row>
    <row r="61" customFormat="false" ht="27.75" hidden="false" customHeight="true" outlineLevel="0" collapsed="false">
      <c r="A61" s="30"/>
      <c r="B61" s="30"/>
      <c r="C61" s="31"/>
      <c r="D61" s="31"/>
      <c r="E61" s="30"/>
      <c r="F61" s="32"/>
      <c r="G61" s="32"/>
      <c r="H61" s="32"/>
      <c r="I61" s="33" t="str">
        <f aca="true">IF(H61="","",IF(H61&lt;TODAY(),"Expired",IF(H61&lt;=TODAY()+14,"Expiring","Valid")))</f>
        <v/>
      </c>
      <c r="J61" s="30"/>
      <c r="K61" s="30"/>
      <c r="L61" s="30"/>
      <c r="M61" s="34"/>
      <c r="N61" s="31"/>
      <c r="O61" s="32"/>
      <c r="P61" s="30"/>
    </row>
    <row r="62" customFormat="false" ht="27.75" hidden="false" customHeight="true" outlineLevel="0" collapsed="false">
      <c r="A62" s="30"/>
      <c r="B62" s="30"/>
      <c r="C62" s="31"/>
      <c r="D62" s="31"/>
      <c r="E62" s="30"/>
      <c r="F62" s="32"/>
      <c r="G62" s="32"/>
      <c r="H62" s="32"/>
      <c r="I62" s="33" t="str">
        <f aca="true">IF(H62="","",IF(H62&lt;TODAY(),"Expired",IF(H62&lt;=TODAY()+14,"Expiring","Valid")))</f>
        <v/>
      </c>
      <c r="J62" s="30"/>
      <c r="K62" s="30"/>
      <c r="L62" s="30"/>
      <c r="M62" s="34"/>
      <c r="N62" s="31"/>
      <c r="O62" s="32"/>
      <c r="P62" s="30"/>
    </row>
    <row r="63" customFormat="false" ht="27.75" hidden="false" customHeight="true" outlineLevel="0" collapsed="false">
      <c r="A63" s="30"/>
      <c r="B63" s="30"/>
      <c r="C63" s="31"/>
      <c r="D63" s="31"/>
      <c r="E63" s="30"/>
      <c r="F63" s="32"/>
      <c r="G63" s="32"/>
      <c r="H63" s="32"/>
      <c r="I63" s="33" t="str">
        <f aca="true">IF(H63="","",IF(H63&lt;TODAY(),"Expired",IF(H63&lt;=TODAY()+14,"Expiring","Valid")))</f>
        <v/>
      </c>
      <c r="J63" s="30"/>
      <c r="K63" s="30"/>
      <c r="L63" s="30"/>
      <c r="M63" s="34"/>
      <c r="N63" s="31"/>
      <c r="O63" s="32"/>
      <c r="P63" s="30"/>
    </row>
    <row r="64" customFormat="false" ht="27.75" hidden="false" customHeight="true" outlineLevel="0" collapsed="false">
      <c r="A64" s="30"/>
      <c r="B64" s="30"/>
      <c r="C64" s="31"/>
      <c r="D64" s="31"/>
      <c r="E64" s="30"/>
      <c r="F64" s="32"/>
      <c r="G64" s="32"/>
      <c r="H64" s="32"/>
      <c r="I64" s="33" t="str">
        <f aca="true">IF(H64="","",IF(H64&lt;TODAY(),"Expired",IF(H64&lt;=TODAY()+14,"Expiring","Valid")))</f>
        <v/>
      </c>
      <c r="J64" s="30"/>
      <c r="K64" s="30"/>
      <c r="L64" s="30"/>
      <c r="M64" s="34"/>
      <c r="N64" s="31"/>
      <c r="O64" s="32"/>
      <c r="P64" s="30"/>
    </row>
  </sheetData>
  <autoFilter ref="A14:P14"/>
  <mergeCells count="3">
    <mergeCell ref="A1:C1"/>
    <mergeCell ref="A2:D2"/>
    <mergeCell ref="K12:P12"/>
  </mergeCells>
  <conditionalFormatting sqref="I15:I514">
    <cfRule type="expression" priority="2" aboveAverage="0" equalAverage="0" bottom="0" percent="0" rank="0" text="" dxfId="2">
      <formula>$I15="Valid"</formula>
    </cfRule>
    <cfRule type="expression" priority="3" aboveAverage="0" equalAverage="0" bottom="0" percent="0" rank="0" text="" dxfId="3">
      <formula>$I15="Expiring"</formula>
    </cfRule>
    <cfRule type="expression" priority="4" aboveAverage="0" equalAverage="0" bottom="0" percent="0" rank="0" text="" dxfId="4">
      <formula>$I15="Expired"</formula>
    </cfRule>
  </conditionalFormatting>
  <conditionalFormatting sqref="A15:J514">
    <cfRule type="expression" priority="5" aboveAverage="0" equalAverage="0" bottom="0" percent="0" rank="0" text="" dxfId="4">
      <formula>$I15="Expired"</formula>
    </cfRule>
    <cfRule type="expression" priority="6" aboveAverage="0" equalAverage="0" bottom="0" percent="0" rank="0" text="" dxfId="3">
      <formula>$I15="Expiring"</formula>
    </cfRule>
  </conditionalFormatting>
  <conditionalFormatting sqref="N15:N514">
    <cfRule type="expression" priority="7" aboveAverage="0" equalAverage="0" bottom="0" percent="0" rank="0" text="" dxfId="4">
      <formula>$N15="No"</formula>
    </cfRule>
  </conditionalFormatting>
  <dataValidations count="5">
    <dataValidation allowBlank="true" errorStyle="stop" operator="between" showDropDown="false" showErrorMessage="false" showInputMessage="false" sqref="C15:C514" type="list">
      <formula1>"Excavator,Dumper,Telehandler,Roller,Loading Shovel,Forklift,MEWP,Crane,Generator,Pump,Compressor,Lighting Tower,Other"</formula1>
      <formula2>0</formula2>
    </dataValidation>
    <dataValidation allowBlank="true" errorStyle="stop" operator="between" showDropDown="false" showErrorMessage="false" showInputMessage="false" sqref="D15:D514" type="list">
      <formula1>"Hired,Owned"</formula1>
      <formula2>0</formula2>
    </dataValidation>
    <dataValidation allowBlank="true" errorStyle="stop" operator="between" showDropDown="false" showErrorMessage="false" showInputMessage="false" sqref="N15:N514" type="list">
      <formula1>"Yes,No"</formula1>
      <formula2>0</formula2>
    </dataValidation>
    <dataValidation allowBlank="true" errorStyle="stop" operator="between" showDropDown="false" showErrorMessage="false" showInputMessage="false" sqref="F15:H514 O15:O514" type="date">
      <formula1>0</formula1>
      <formula2>0</formula2>
    </dataValidation>
    <dataValidation allowBlank="true" errorStyle="stop" operator="between" showDropDown="false" showErrorMessage="false" showInputMessage="false" sqref="M15:M514" type="decimal">
      <formula1>0</formula1>
      <formula2>50000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&amp;CPlant Equipment Register</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0"/>
  </cols>
  <sheetData>
    <row r="1" customFormat="false" ht="15" hidden="false" customHeight="true" outlineLevel="0" collapsed="false">
      <c r="A1" s="35" t="s">
        <v>121</v>
      </c>
    </row>
    <row r="2" customFormat="false" ht="15" hidden="false" customHeight="true" outlineLevel="0" collapsed="false">
      <c r="A2" s="35"/>
    </row>
    <row r="3" customFormat="false" ht="15" hidden="false" customHeight="true" outlineLevel="0" collapsed="false">
      <c r="A3" s="35" t="s">
        <v>122</v>
      </c>
    </row>
    <row r="4" customFormat="false" ht="15" hidden="false" customHeight="true" outlineLevel="0" collapsed="false">
      <c r="A4" s="35"/>
    </row>
    <row r="5" customFormat="false" ht="15" hidden="false" customHeight="true" outlineLevel="0" collapsed="false">
      <c r="A5" s="35" t="s">
        <v>123</v>
      </c>
    </row>
    <row r="6" customFormat="false" ht="15" hidden="false" customHeight="true" outlineLevel="0" collapsed="false">
      <c r="A6" s="35"/>
    </row>
    <row r="7" customFormat="false" ht="15" hidden="false" customHeight="true" outlineLevel="0" collapsed="false">
      <c r="A7" s="35" t="s">
        <v>124</v>
      </c>
    </row>
    <row r="8" customFormat="false" ht="15" hidden="false" customHeight="true" outlineLevel="0" collapsed="false">
      <c r="A8" s="35"/>
    </row>
    <row r="9" customFormat="false" ht="15" hidden="false" customHeight="true" outlineLevel="0" collapsed="false">
      <c r="A9" s="35" t="s">
        <v>125</v>
      </c>
    </row>
    <row r="10" customFormat="false" ht="15" hidden="false" customHeight="true" outlineLevel="0" collapsed="false">
      <c r="A10" s="35"/>
    </row>
    <row r="11" customFormat="false" ht="15" hidden="false" customHeight="true" outlineLevel="0" collapsed="false">
      <c r="A11" s="35" t="s">
        <v>126</v>
      </c>
    </row>
    <row r="12" customFormat="false" ht="15" hidden="false" customHeight="true" outlineLevel="0" collapsed="false">
      <c r="A12" s="35"/>
    </row>
    <row r="13" customFormat="false" ht="15" hidden="false" customHeight="true" outlineLevel="0" collapsed="false">
      <c r="A13" s="35" t="s">
        <v>127</v>
      </c>
    </row>
    <row r="14" customFormat="false" ht="15" hidden="false" customHeight="true" outlineLevel="0" collapsed="false">
      <c r="A14" s="35"/>
    </row>
    <row r="15" customFormat="false" ht="15" hidden="false" customHeight="true" outlineLevel="0" collapsed="false">
      <c r="A15" s="35" t="s">
        <v>128</v>
      </c>
    </row>
    <row r="16" customFormat="false" ht="15" hidden="false" customHeight="true" outlineLevel="0" collapsed="false">
      <c r="A16" s="35"/>
    </row>
    <row r="17" customFormat="false" ht="15" hidden="false" customHeight="true" outlineLevel="0" collapsed="false">
      <c r="A17" s="35" t="s">
        <v>129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Site Management &amp; Planning</cp:category>
  <dcterms:created xsi:type="dcterms:W3CDTF">2026-03-22T17:47:33Z</dcterms:created>
  <dc:creator>Ebrora Ltd</dc:creator>
  <dc:description>Manage all plant and equipment on site with auto-calculated certification status, cross-tab summary matrix by type and cert status, hire cost tracking, and expiry alerts. Designed for UK construction site managers, plant managers, and project managers.
Free professional construction management template from Ebrora Ltd. Visit ebrora.com for our full range of tools and templates.</dc:description>
  <cp:keywords>Ebrora construction plant register equipment PUWER LOLER certification hire asset management site management</cp:keywords>
  <dc:language>en-US</dc:language>
  <cp:lastModifiedBy>Ebrora Ltd</cp:lastModifiedBy>
  <dcterms:modified xsi:type="dcterms:W3CDTF">2026-03-22T17:48:14Z</dcterms:modified>
  <cp:revision>0</cp:revision>
  <dc:subject>Asset register for all plant and equipment on construction sites with certification tracking and hire cost management.</dc:subject>
  <dc:title>Plant &amp; Equipment Register</dc:title>
</cp:coreProperties>
</file>

<file path=docProps/custom.xml><?xml version="1.0" encoding="utf-8"?>
<Properties xmlns="http://schemas.openxmlformats.org/officeDocument/2006/custom-properties" xmlns:vt="http://schemas.openxmlformats.org/officeDocument/2006/docPropsVTypes"/>
</file>