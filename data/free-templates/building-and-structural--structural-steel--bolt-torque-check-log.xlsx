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LT TORQUE CHECK LOG" sheetId="1" state="visible" r:id="rId3"/>
    <sheet name="Instructions" sheetId="2" state="visible" r:id="rId4"/>
  </sheets>
  <definedNames>
    <definedName function="false" hidden="false" localSheetId="0" name="_xlnm.Print_Area" vbProcedure="false">'BOLT TORQUE CHECK LOG'!$A$1:$P$37</definedName>
    <definedName function="false" hidden="false" localSheetId="0" name="_xlnm.Print_Titles" vbProcedure="false">'BOLT TORQUE CHECK LOG'!$1:$6</definedName>
    <definedName function="false" hidden="true" localSheetId="0" name="_xlnm._FilterDatabase" vbProcedure="false">'BOLT TORQUE CHECK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<sst xmlns="http://schemas.openxmlformats.org/spreadsheetml/2006/main" count="35" uniqueCount="34">
  <si>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</si>
  <si>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BOLT TORQUE CHECK LOG</t>
  </si>
  <si>
    <t xml:space="preserve">Ref: BS EN 1090-2; NSSS 6th Edition; BCSA/SCI Publications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</si>
  <si>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</si>
  <si>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</si>
  <si>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</si>
  <si>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</si>
  <si>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</si>
  <si>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Connection
Ref</t>
  </si>
  <si>
    <t xml:space="preserve">Location /
Grid</t>
  </si>
  <si>
    <t xml:space="preserve">Bolt
Grade</t>
  </si>
  <si>
    <t xml:space="preserve">Bolt
Size (mm)</t>
  </si>
  <si>
    <t xml:space="preserve">Required
Torque
(Nm)</t>
  </si>
  <si>
    <t xml:space="preserve">Actual
Torque
(Nm)</t>
  </si>
  <si>
    <t xml:space="preserve">Torque
Within
Tolerance?
(Yes/No)</t>
  </si>
  <si>
    <t xml:space="preserve">Method
(Torque/Turn-of-Nut/
DTI)</t>
  </si>
  <si>
    <t xml:space="preserve">DTI Gap
Feeler
(Pass/Fail)</t>
  </si>
  <si>
    <t xml:space="preserve">No. of
Bolts
Checked</t>
  </si>
  <si>
    <t xml:space="preserve">Total
Bolts in
Connection</t>
  </si>
  <si>
    <t xml:space="preserve">% Checked</t>
  </si>
  <si>
    <t xml:space="preserve">Result
(Pass/Fail)</t>
  </si>
  <si>
    <t xml:space="preserve">Comments</t>
  </si>
  <si>
    <t xml:space="preserve">SUMMARY</t>
  </si>
  <si>
    <t xml:space="preserve">Total Checks:</t>
  </si>
  <si>
    <t xml:space="preserve">Pass:</t>
  </si>
  <si>
    <t xml:space="preserve">Fail:</t>
  </si>
  <si>
    <t xml:space="preserve">INSTRUCTIONS — BOLT TORQUE CHECK LOG</t>
  </si>
  <si>
    <t xml:space="preserve">How to Use</t>
  </si>
  <si>
    <t xml:space="preserve">1. Record bolt torque checks for every structural connection.</t>
  </si>
  <si>
    <t xml:space="preserve">2. BS EN 1090-2 requires minimum 5% of bolts checked per connection.</t>
  </si>
  <si>
    <t xml:space="preserve">3. Record method (torque wrench, turn-of-nut, or DTI).</t>
  </si>
  <si>
    <t xml:space="preserve">References:</t>
  </si>
  <si>
    <t xml:space="preserve">  BS EN 1090-2 — Execution of Steel Structures</t>
  </si>
  <si>
    <t xml:space="preserve">  NSSS 6th Edition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</si>
</sst>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6" min="5" style="1" width="9"/>
    <col collapsed="false" customWidth="true" hidden="false" outlineLevel="0" max="9" min="7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11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10" t="str">
        <f aca="false">IF(OR(L7="",M7="",M7=0),"",ROUND(L7/M7*100,0))</f>
        <v/>
      </c>
      <c r="O7" s="9"/>
      <c r="P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12" t="str">
        <f aca="false">IF(OR(L8="",M8="",M8=0),"",ROUND(L8/M8*100,0))</f>
        <v/>
      </c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10" t="str">
        <f aca="false">IF(OR(L9="",M9="",M9=0),"",ROUND(L9/M9*100,0))</f>
        <v/>
      </c>
      <c r="O9" s="9"/>
      <c r="P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12" t="str">
        <f aca="false">IF(OR(L10="",M10="",M10=0),"",ROUND(L10/M10*100,0))</f>
        <v/>
      </c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10" t="str">
        <f aca="false">IF(OR(L11="",M11="",M11=0),"",ROUND(L11/M11*100,0))</f>
        <v/>
      </c>
      <c r="O11" s="9"/>
      <c r="P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12" t="str">
        <f aca="false">IF(OR(L12="",M12="",M12=0),"",ROUND(L12/M12*100,0))</f>
        <v/>
      </c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10" t="str">
        <f aca="false">IF(OR(L13="",M13="",M13=0),"",ROUND(L13/M13*100,0))</f>
        <v/>
      </c>
      <c r="O13" s="9"/>
      <c r="P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12" t="str">
        <f aca="false">IF(OR(L14="",M14="",M14=0),"",ROUND(L14/M14*100,0))</f>
        <v/>
      </c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10" t="str">
        <f aca="false">IF(OR(L15="",M15="",M15=0),"",ROUND(L15/M15*100,0))</f>
        <v/>
      </c>
      <c r="O15" s="9"/>
      <c r="P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12" t="str">
        <f aca="false">IF(OR(L16="",M16="",M16=0),"",ROUND(L16/M16*100,0))</f>
        <v/>
      </c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10" t="str">
        <f aca="false">IF(OR(L17="",M17="",M17=0),"",ROUND(L17/M17*100,0))</f>
        <v/>
      </c>
      <c r="O17" s="9"/>
      <c r="P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12" t="str">
        <f aca="false">IF(OR(L18="",M18="",M18=0),"",ROUND(L18/M18*100,0))</f>
        <v/>
      </c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10" t="str">
        <f aca="false">IF(OR(L19="",M19="",M19=0),"",ROUND(L19/M19*100,0))</f>
        <v/>
      </c>
      <c r="O19" s="9"/>
      <c r="P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12" t="str">
        <f aca="false">IF(OR(L20="",M20="",M20=0),"",ROUND(L20/M20*100,0))</f>
        <v/>
      </c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10" t="str">
        <f aca="false">IF(OR(L21="",M21="",M21=0),"",ROUND(L21/M21*100,0))</f>
        <v/>
      </c>
      <c r="O21" s="9"/>
      <c r="P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12" t="str">
        <f aca="false">IF(OR(L22="",M22="",M22=0),"",ROUND(L22/M22*100,0))</f>
        <v/>
      </c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10" t="str">
        <f aca="false">IF(OR(L23="",M23="",M23=0),"",ROUND(L23/M23*100,0))</f>
        <v/>
      </c>
      <c r="O23" s="9"/>
      <c r="P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12" t="str">
        <f aca="false">IF(OR(L24="",M24="",M24=0),"",ROUND(L24/M24*100,0))</f>
        <v/>
      </c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10" t="str">
        <f aca="false">IF(OR(L25="",M25="",M25=0),"",ROUND(L25/M25*100,0))</f>
        <v/>
      </c>
      <c r="O25" s="9"/>
      <c r="P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12" t="str">
        <f aca="false">IF(OR(L26="",M26="",M26=0),"",ROUND(L26/M26*100,0))</f>
        <v/>
      </c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10" t="str">
        <f aca="false">IF(OR(L27="",M27="",M27=0),"",ROUND(L27/M27*100,0))</f>
        <v/>
      </c>
      <c r="O27" s="9"/>
      <c r="P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12" t="str">
        <f aca="false">IF(OR(L28="",M28="",M28=0),"",ROUND(L28/M28*100,0))</f>
        <v/>
      </c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10" t="str">
        <f aca="false">IF(OR(L29="",M29="",M29=0),"",ROUND(L29/M29*100,0))</f>
        <v/>
      </c>
      <c r="O29" s="9"/>
      <c r="P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12" t="str">
        <f aca="false">IF(OR(L30="",M30="",M30=0),"",ROUND(L30/M30*100,0))</f>
        <v/>
      </c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10" t="str">
        <f aca="false">IF(OR(L31="",M31="",M31=0),"",ROUND(L31/M31*100,0))</f>
        <v/>
      </c>
      <c r="O31" s="9"/>
      <c r="P31" s="9"/>
    </row>
    <row r="33" customFormat="false" ht="15" hidden="false" customHeight="true" outlineLevel="0" collapsed="false">
      <c r="A33" s="13" t="s">
        <v>22</v>
      </c>
      <c r="B33" s="13"/>
      <c r="C33" s="13"/>
    </row>
    <row r="34" customFormat="false" ht="15" hidden="false" customHeight="true" outlineLevel="0" collapsed="false">
      <c r="A34" s="5" t="s">
        <v>23</v>
      </c>
      <c r="B34" s="5"/>
      <c r="C34" s="14" t="n">
        <f aca="false">COUNTA(C7:C31)</f>
        <v>0</v>
      </c>
    </row>
    <row r="35" customFormat="false" ht="15" hidden="false" customHeight="true" outlineLevel="0" collapsed="false">
      <c r="A35" s="5" t="s">
        <v>24</v>
      </c>
      <c r="B35" s="5"/>
      <c r="C35" s="14" t="n">
        <f aca="false">COUNTIF(O7:O31,"Pass")</f>
        <v>0</v>
      </c>
    </row>
    <row r="36" customFormat="false" ht="15" hidden="false" customHeight="true" outlineLevel="0" collapsed="false">
      <c r="A36" s="5" t="s">
        <v>25</v>
      </c>
      <c r="B36" s="5"/>
      <c r="C36" s="14" t="n">
        <f aca="false">COUNTIF(O7:O31,"Fail")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conditionalFormatting sqref="I7:I31">
    <cfRule type="cellIs" priority="4" operator="equal" aboveAverage="0" equalAverage="0" bottom="0" percent="0" rank="0" text="" dxfId="7">
      <formula>"No"</formula>
    </cfRule>
  </conditionalFormatting>
  <dataValidations count="5">
    <dataValidation allowBlank="true" errorStyle="stop" operator="between" showDropDown="false" showErrorMessage="false" showInputMessage="false" sqref="E7:E31" type="list">
      <formula1>"8.8,10.9,12.9,A2-70,A4-80"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"Torque Wrench,Turn-of-Nut,DTI (Direct Tension Indicator),Combined"</formula1>
      <formula2>0</formula2>
    </dataValidation>
    <dataValidation allowBlank="true" errorStyle="stop" operator="between" showDropDown="false" showErrorMessage="false" showInputMessage="false" sqref="K7:K31" type="list">
      <formula1>"Pass,Fail,N/A"</formula1>
      <formula2>0</formula2>
    </dataValidation>
    <dataValidation allowBlank="true" errorStyle="stop" operator="between" showDropDown="false" showErrorMessage="false" showInputMessage="false" sqref="O7:O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3" t="s">
        <v>27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28</v>
      </c>
    </row>
    <row r="7" customFormat="false" ht="15" hidden="false" customHeight="false" outlineLevel="0" collapsed="false">
      <c r="B7" s="15" t="s">
        <v>29</v>
      </c>
    </row>
    <row r="8" customFormat="false" ht="15" hidden="false" customHeight="false" outlineLevel="0" collapsed="false">
      <c r="B8" s="15" t="s">
        <v>30</v>
      </c>
    </row>
    <row r="9" customFormat="false" ht="15" hidden="false" customHeight="false" outlineLevel="0" collapsed="false">
      <c r="B9" s="15"/>
    </row>
    <row r="10" customFormat="false" ht="15" hidden="false" customHeight="false" outlineLevel="0" collapsed="false">
      <c r="B10" s="13" t="s">
        <v>31</v>
      </c>
    </row>
    <row r="11" customFormat="false" ht="15" hidden="false" customHeight="false" outlineLevel="0" collapsed="false">
      <c r="B11" s="4" t="s">
        <v>32</v>
      </c>
    </row>
    <row r="12" customFormat="false" ht="15" hidden="false" customHeight="false" outlineLevel="0" collapsed="false">
      <c r="B12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