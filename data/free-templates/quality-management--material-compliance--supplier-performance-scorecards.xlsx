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Scorecards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Scorecards!$A$1:$N$30</definedName>
    <definedName function="false" hidden="false" localSheetId="2" name="_xlnm.Print_Titles" vbProcedure="false">Scorecards!$1:$10</definedName>
    <definedName function="false" hidden="true" localSheetId="2" name="_xlnm._FilterDatabase" vbProcedure="false">Scorecards!$A$8:$N$8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<sst xmlns="http://schemas.openxmlformats.org/spreadsheetml/2006/main" count="113" uniqueCount="99">
  <si>
    <t xml:space="preserve">EBRORA</t>
  </si>
  <si>
    <t xml:space="preserve">ebrora.com</t>
  </si>
  <si>
    <t xml:space="preserve">Supplier Performance</t>
  </si>
  <si>
    <t xml:space="preserve">Scorecards</t>
  </si>
  <si>
    <t xml:space="preserve">Assess supplier and subcontractor performance against OTIF, quality,</t>
  </si>
  <si>
    <t xml:space="preserve">H&amp;S, documentation, and responsiveness with weighted scoring.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</si>
  <si>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</si>
  <si>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</si>
  <si>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</si>
  <si>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</si>
  <si>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</si>
  <si>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</si>
  <si>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'Scorecards' sheet. Each row is one supplier assessment for a specific review period.</t>
  </si>
  <si>
    <t xml:space="preserve">2.</t>
  </si>
  <si>
    <t xml:space="preserve">Enter the Supplier Name, Trade/Discipline, and Review Period (e.g., 'Q1 2026', 'Month 6').</t>
  </si>
  <si>
    <t xml:space="preserve">3.</t>
  </si>
  <si>
    <t xml:space="preserve">Score each supplier on 5 criteria using a 1–5 scale: OTIF Delivery (on time, in full), Quality, H&amp;S Compliance, Documentation, and Responsiveness.</t>
  </si>
  <si>
    <t xml:space="preserve">4.</t>
  </si>
  <si>
    <t xml:space="preserve">The Weighted Score auto-calculates using the weights in row 9. Default: OTIF 25%, Quality 25%, H&amp;S 20%, Documentation 15%, Responsiveness 15%.</t>
  </si>
  <si>
    <t xml:space="preserve">5.</t>
  </si>
  <si>
    <t xml:space="preserve">Grade auto-assigns: A (≥4.0 — Preferred), B (3.0–3.9 — Acceptable), C (2.0–2.9 — Improvement Needed), D (&lt;2.0 — Do Not Re-engage).</t>
  </si>
  <si>
    <t xml:space="preserve">6.</t>
  </si>
  <si>
    <t xml:space="preserve">Select the Recommended Action: Continue, Improvement Plan, Formal Warning, Do Not Re-engage.</t>
  </si>
  <si>
    <t xml:space="preserve">7.</t>
  </si>
  <si>
    <t xml:space="preserve">A supplier can appear multiple times for different review periods — this tracks performance over time.</t>
  </si>
  <si>
    <t xml:space="preserve">Colour Key</t>
  </si>
  <si>
    <t xml:space="preserve">Light teal cells = User input</t>
  </si>
  <si>
    <t xml:space="preserve">Green = Grade A (Preferred supplier)</t>
  </si>
  <si>
    <t xml:space="preserve">Amber = Grade B (Acceptable)</t>
  </si>
  <si>
    <t xml:space="preserve">Red = Grade C/D (Improvement needed / Do not re-engage)</t>
  </si>
  <si>
    <t xml:space="preserve">Score 1 = Poor, 2 = Below Average, 3 = Satisfactory, 4 = Good, 5 = Excellent</t>
  </si>
  <si>
    <t xml:space="preserve">Tips</t>
  </si>
  <si>
    <t xml:space="preserve">Tip 1:</t>
  </si>
  <si>
    <t xml:space="preserve">Score suppliers quarterly. Monthly is too frequent for meaningful trends; annually is too late to intervene.</t>
  </si>
  <si>
    <t xml:space="preserve">Tip 2:</t>
  </si>
  <si>
    <t xml:space="preserve">Share scorecards with suppliers — transparency drives improvement. A supplier who knows they're a 'C' will either improve or leave.</t>
  </si>
  <si>
    <t xml:space="preserve">Tip 3:</t>
  </si>
  <si>
    <t xml:space="preserve">Use this data to build your approved supplier list for future projects. Grade A suppliers get preferred status.</t>
  </si>
  <si>
    <t xml:space="preserve">Supplier Performance Scorecards — Summary</t>
  </si>
  <si>
    <t xml:space="preserve">Total Assessments:</t>
  </si>
  <si>
    <t xml:space="preserve">Grade A:</t>
  </si>
  <si>
    <t xml:space="preserve">Grade B:</t>
  </si>
  <si>
    <t xml:space="preserve">Grade C/D:</t>
  </si>
  <si>
    <t xml:space="preserve">Avg Score:</t>
  </si>
  <si>
    <t xml:space="preserve">Unique Suppliers:</t>
  </si>
  <si>
    <t xml:space="preserve">▼ Supplier Assessments</t>
  </si>
  <si>
    <t xml:space="preserve">Supplier Name</t>
  </si>
  <si>
    <t xml:space="preserve">Trade / Discipline</t>
  </si>
  <si>
    <t xml:space="preserve">Review Period</t>
  </si>
  <si>
    <t xml:space="preserve">OTIF
Delivery</t>
  </si>
  <si>
    <t xml:space="preserve">Quality</t>
  </si>
  <si>
    <t xml:space="preserve">H&amp;S
Compliance</t>
  </si>
  <si>
    <t xml:space="preserve">Documen-
tation</t>
  </si>
  <si>
    <t xml:space="preserve">Responsive-
ness</t>
  </si>
  <si>
    <t xml:space="preserve">Weighted
Score</t>
  </si>
  <si>
    <t xml:space="preserve">Grade</t>
  </si>
  <si>
    <t xml:space="preserve">Recommended Action</t>
  </si>
  <si>
    <t xml:space="preserve">Reviewer</t>
  </si>
  <si>
    <t xml:space="preserve">Review Date</t>
  </si>
  <si>
    <t xml:space="preserve">Notes</t>
  </si>
  <si>
    <t xml:space="preserve">WEIGHTS →</t>
  </si>
  <si>
    <t xml:space="preserve">← Score 1 (Poor) to 5 (Excellent) →</t>
  </si>
  <si>
    <t xml:space="preserve">Xylem Water Solutions</t>
  </si>
  <si>
    <t xml:space="preserve">Mechanical — Pumps</t>
  </si>
  <si>
    <t xml:space="preserve">Q1 2026</t>
  </si>
  <si>
    <t xml:space="preserve">Continue</t>
  </si>
  <si>
    <t xml:space="preserve">S. Patel</t>
  </si>
  <si>
    <t xml:space="preserve">Excellent OTIF and quality. Preferred supplier.</t>
  </si>
  <si>
    <t xml:space="preserve">Schneider Electric</t>
  </si>
  <si>
    <t xml:space="preserve">Electrical — MCC Panels</t>
  </si>
  <si>
    <t xml:space="preserve">Outstanding documentation quality.</t>
  </si>
  <si>
    <t xml:space="preserve">AVK Valves</t>
  </si>
  <si>
    <t xml:space="preserve">Mechanical — Valves</t>
  </si>
  <si>
    <t xml:space="preserve">Improvement Plan</t>
  </si>
  <si>
    <t xml:space="preserve">O&amp;M manuals rejected twice. Documentation improvement plan issued.</t>
  </si>
  <si>
    <t xml:space="preserve">Steelcraft Ltd</t>
  </si>
  <si>
    <t xml:space="preserve">Structural — Steelwork</t>
  </si>
  <si>
    <t xml:space="preserve">M. Thompson</t>
  </si>
  <si>
    <t xml:space="preserve">Good overall. H&amp;S toolbox talk attendance needs improvement.</t>
  </si>
  <si>
    <t xml:space="preserve">Mono Pumps</t>
  </si>
  <si>
    <t xml:space="preserve">Mechanical — PC Pumps</t>
  </si>
  <si>
    <t xml:space="preserve">Formal Warning</t>
  </si>
  <si>
    <t xml:space="preserve">Persistent late deliveries. O&amp;M manual still not submitted after 3 chases.</t>
  </si>
  <si>
    <t xml:space="preserve">DrainSurvey UK</t>
  </si>
  <si>
    <t xml:space="preserve">Specialist — CCTV</t>
  </si>
  <si>
    <t xml:space="preserve">R. Evans</t>
  </si>
  <si>
    <t xml:space="preserve">Perfect score. Fast turnaround and excellent reports.</t>
  </si>
  <si>
    <t xml:space="preserve">WeldPro Services</t>
  </si>
  <si>
    <t xml:space="preserve">Specialist — Welding</t>
  </si>
  <si>
    <t xml:space="preserve">Good quality work. Documentation could be more detailed.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</si>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</sst>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0%"/>
    <numFmt numFmtId="168" formatCode="0.00%"/>
    <numFmt numFmtId="169" formatCode="0.00"/>
    <numFmt numFmtId="170" formatCode="dd/mm/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1B2A4A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2AABB3"/>
        <bgColor rgb="FF3399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 diagonalUp="false" diagonalDown="false">
      <left/>
      <right/>
      <top/>
      <bottom style="medium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4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35.05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35.05" hidden="false" customHeight="true" outlineLevel="0" collapsed="false">
      <c r="A7" s="5" t="s">
        <v>3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4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5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6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7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8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0" t="s">
        <v>9</v>
      </c>
      <c r="B1" s="10"/>
      <c r="C1" s="10"/>
      <c r="D1" s="10"/>
      <c r="E1" s="10"/>
      <c r="F1" s="10"/>
    </row>
    <row r="3" customFormat="false" ht="15" hidden="false" customHeight="false" outlineLevel="0" collapsed="false">
      <c r="A3" s="11"/>
      <c r="B3" s="12"/>
    </row>
    <row r="4" customFormat="false" ht="15" hidden="false" customHeight="false" outlineLevel="0" collapsed="false">
      <c r="A4" s="13" t="s">
        <v>10</v>
      </c>
      <c r="B4" s="12"/>
    </row>
    <row r="5" customFormat="false" ht="15" hidden="false" customHeight="false" outlineLevel="0" collapsed="false">
      <c r="A5" s="11" t="s">
        <v>11</v>
      </c>
      <c r="B5" s="12" t="s">
        <v>12</v>
      </c>
    </row>
    <row r="6" customFormat="false" ht="15" hidden="false" customHeight="false" outlineLevel="0" collapsed="false">
      <c r="A6" s="11" t="s">
        <v>13</v>
      </c>
      <c r="B6" s="12" t="s">
        <v>14</v>
      </c>
    </row>
    <row r="7" customFormat="false" ht="23.85" hidden="false" customHeight="false" outlineLevel="0" collapsed="false">
      <c r="A7" s="11" t="s">
        <v>15</v>
      </c>
      <c r="B7" s="12" t="s">
        <v>16</v>
      </c>
    </row>
    <row r="8" customFormat="false" ht="23.85" hidden="false" customHeight="false" outlineLevel="0" collapsed="false">
      <c r="A8" s="11" t="s">
        <v>17</v>
      </c>
      <c r="B8" s="12" t="s">
        <v>18</v>
      </c>
    </row>
    <row r="9" customFormat="false" ht="23.85" hidden="false" customHeight="false" outlineLevel="0" collapsed="false">
      <c r="A9" s="11" t="s">
        <v>19</v>
      </c>
      <c r="B9" s="12" t="s">
        <v>20</v>
      </c>
    </row>
    <row r="10" customFormat="false" ht="15" hidden="false" customHeight="false" outlineLevel="0" collapsed="false">
      <c r="A10" s="11" t="s">
        <v>21</v>
      </c>
      <c r="B10" s="12" t="s">
        <v>22</v>
      </c>
    </row>
    <row r="11" customFormat="false" ht="15" hidden="false" customHeight="false" outlineLevel="0" collapsed="false">
      <c r="A11" s="11" t="s">
        <v>23</v>
      </c>
      <c r="B11" s="12" t="s">
        <v>24</v>
      </c>
    </row>
    <row r="12" customFormat="false" ht="15" hidden="false" customHeight="false" outlineLevel="0" collapsed="false">
      <c r="A12" s="11"/>
      <c r="B12" s="12"/>
    </row>
    <row r="13" customFormat="false" ht="15" hidden="false" customHeight="false" outlineLevel="0" collapsed="false">
      <c r="A13" s="13" t="s">
        <v>25</v>
      </c>
      <c r="B13" s="12"/>
    </row>
    <row r="14" customFormat="false" ht="15" hidden="false" customHeight="false" outlineLevel="0" collapsed="false">
      <c r="A14" s="11"/>
      <c r="B14" s="12" t="s">
        <v>26</v>
      </c>
    </row>
    <row r="15" customFormat="false" ht="15" hidden="false" customHeight="false" outlineLevel="0" collapsed="false">
      <c r="A15" s="11"/>
      <c r="B15" s="12" t="s">
        <v>27</v>
      </c>
    </row>
    <row r="16" customFormat="false" ht="15" hidden="false" customHeight="false" outlineLevel="0" collapsed="false">
      <c r="A16" s="11"/>
      <c r="B16" s="12" t="s">
        <v>28</v>
      </c>
    </row>
    <row r="17" customFormat="false" ht="15" hidden="false" customHeight="false" outlineLevel="0" collapsed="false">
      <c r="A17" s="11"/>
      <c r="B17" s="12" t="s">
        <v>29</v>
      </c>
    </row>
    <row r="18" customFormat="false" ht="15" hidden="false" customHeight="false" outlineLevel="0" collapsed="false">
      <c r="A18" s="11"/>
      <c r="B18" s="12" t="s">
        <v>30</v>
      </c>
    </row>
    <row r="19" customFormat="false" ht="15" hidden="false" customHeight="false" outlineLevel="0" collapsed="false">
      <c r="A19" s="11"/>
      <c r="B19" s="12"/>
    </row>
    <row r="20" customFormat="false" ht="15" hidden="false" customHeight="false" outlineLevel="0" collapsed="false">
      <c r="A20" s="13" t="s">
        <v>31</v>
      </c>
      <c r="B20" s="12"/>
    </row>
    <row r="21" customFormat="false" ht="15" hidden="false" customHeight="false" outlineLevel="0" collapsed="false">
      <c r="A21" s="14" t="s">
        <v>32</v>
      </c>
      <c r="B21" s="12" t="s">
        <v>33</v>
      </c>
    </row>
    <row r="22" customFormat="false" ht="23.85" hidden="false" customHeight="false" outlineLevel="0" collapsed="false">
      <c r="A22" s="14" t="s">
        <v>34</v>
      </c>
      <c r="B22" s="12" t="s">
        <v>35</v>
      </c>
    </row>
    <row r="23" customFormat="false" ht="15" hidden="false" customHeight="false" outlineLevel="0" collapsed="false">
      <c r="A23" s="14" t="s">
        <v>36</v>
      </c>
      <c r="B23" s="12" t="s">
        <v>37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6" min="4" style="0" width="10"/>
    <col collapsed="false" customWidth="true" hidden="false" outlineLevel="0" max="9" min="7" style="0" width="12"/>
    <col collapsed="false" customWidth="true" hidden="false" outlineLevel="0" max="10" min="10" style="0" width="8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30"/>
  </cols>
  <sheetData>
    <row r="1" customFormat="false" ht="17.35" hidden="false" customHeight="false" outlineLevel="0" collapsed="false">
      <c r="A1" s="15" t="s">
        <v>38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15" hidden="false" customHeight="false" outlineLevel="0" collapsed="false">
      <c r="A3" s="16" t="s">
        <v>39</v>
      </c>
      <c r="B3" s="17" t="n">
        <f aca="false">COUNTA(A11:A200)</f>
        <v>7</v>
      </c>
      <c r="C3" s="16" t="s">
        <v>40</v>
      </c>
      <c r="D3" s="17" t="n">
        <f aca="false">COUNTIF(J11:J200,"A")</f>
        <v>4</v>
      </c>
      <c r="E3" s="16" t="s">
        <v>41</v>
      </c>
      <c r="F3" s="17" t="n">
        <f aca="false">COUNTIF(J11:J200,"B")</f>
        <v>2</v>
      </c>
      <c r="G3" s="16" t="s">
        <v>42</v>
      </c>
      <c r="H3" s="17" t="n">
        <f aca="false">COUNTIF(J11:J200,"C")+COUNTIF(J11:J200,"D")</f>
        <v>1</v>
      </c>
    </row>
    <row r="4" customFormat="false" ht="15" hidden="false" customHeight="false" outlineLevel="0" collapsed="false">
      <c r="A4" s="16" t="s">
        <v>43</v>
      </c>
      <c r="B4" s="18" t="n">
        <f aca="false">IF(COUNTA(A11:A200)=0,"—",AVERAGE(I11:I200))</f>
        <v>3.89285714285714</v>
      </c>
      <c r="C4" s="16" t="s">
        <v>44</v>
      </c>
      <c r="D4" s="17" t="n">
        <f aca="false">SUMPRODUCT((A11:A200&lt;&gt;"")/COUNTIF(A11:A200,A11:A200&amp;""))</f>
        <v>7</v>
      </c>
    </row>
    <row r="7" customFormat="false" ht="15" hidden="false" customHeight="false" outlineLevel="0" collapsed="false">
      <c r="A7" s="19" t="s">
        <v>45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customFormat="false" ht="41.75" hidden="false" customHeight="false" outlineLevel="0" collapsed="false">
      <c r="A8" s="20" t="s">
        <v>46</v>
      </c>
      <c r="B8" s="20" t="s">
        <v>47</v>
      </c>
      <c r="C8" s="20" t="s">
        <v>48</v>
      </c>
      <c r="D8" s="20" t="s">
        <v>49</v>
      </c>
      <c r="E8" s="20" t="s">
        <v>50</v>
      </c>
      <c r="F8" s="20" t="s">
        <v>51</v>
      </c>
      <c r="G8" s="20" t="s">
        <v>52</v>
      </c>
      <c r="H8" s="20" t="s">
        <v>53</v>
      </c>
      <c r="I8" s="20" t="s">
        <v>54</v>
      </c>
      <c r="J8" s="20" t="s">
        <v>55</v>
      </c>
      <c r="K8" s="20" t="s">
        <v>56</v>
      </c>
      <c r="L8" s="20" t="s">
        <v>57</v>
      </c>
      <c r="M8" s="20" t="s">
        <v>58</v>
      </c>
      <c r="N8" s="20" t="s">
        <v>59</v>
      </c>
    </row>
    <row r="9" customFormat="false" ht="15" hidden="false" customHeight="false" outlineLevel="0" collapsed="false">
      <c r="A9" s="21" t="s">
        <v>60</v>
      </c>
      <c r="B9" s="22"/>
      <c r="C9" s="22"/>
      <c r="D9" s="23" t="n">
        <v>0.25</v>
      </c>
      <c r="E9" s="23" t="n">
        <v>0.25</v>
      </c>
      <c r="F9" s="23" t="n">
        <v>0.2</v>
      </c>
      <c r="G9" s="23" t="n">
        <v>0.15</v>
      </c>
      <c r="H9" s="23" t="n">
        <v>0.15</v>
      </c>
      <c r="I9" s="23" t="n">
        <f aca="false">SUM(D9:H9)</f>
        <v>1</v>
      </c>
      <c r="J9" s="24" t="n">
        <f aca="false">100%</f>
        <v>1</v>
      </c>
      <c r="K9" s="22"/>
      <c r="L9" s="22"/>
      <c r="M9" s="22"/>
      <c r="N9" s="22"/>
    </row>
    <row r="10" customFormat="false" ht="15" hidden="false" customHeight="true" outlineLevel="0" collapsed="false">
      <c r="D10" s="25" t="s">
        <v>61</v>
      </c>
      <c r="E10" s="25"/>
      <c r="F10" s="25"/>
      <c r="G10" s="25"/>
      <c r="H10" s="25"/>
    </row>
    <row r="11" customFormat="false" ht="23.85" hidden="false" customHeight="false" outlineLevel="0" collapsed="false">
      <c r="A11" s="26" t="s">
        <v>62</v>
      </c>
      <c r="B11" s="27" t="s">
        <v>63</v>
      </c>
      <c r="C11" s="27" t="s">
        <v>64</v>
      </c>
      <c r="D11" s="27" t="n">
        <v>5</v>
      </c>
      <c r="E11" s="27" t="n">
        <v>4</v>
      </c>
      <c r="F11" s="27" t="n">
        <v>5</v>
      </c>
      <c r="G11" s="27" t="n">
        <v>4</v>
      </c>
      <c r="H11" s="27" t="n">
        <v>4</v>
      </c>
      <c r="I11" s="28" t="n">
        <f aca="false">IF(COUNTA(D11:H11)=0,"",SUMPRODUCT(D11:H11,$D$9:$H$9))</f>
        <v>4.45</v>
      </c>
      <c r="J11" s="29" t="str">
        <f aca="false">IF(I11="","",IF(I11&gt;=4,"A",IF(I11&gt;=3,"B",IF(I11&gt;=2,"C","D"))))</f>
        <v>A</v>
      </c>
      <c r="K11" s="27" t="s">
        <v>65</v>
      </c>
      <c r="L11" s="27" t="s">
        <v>66</v>
      </c>
      <c r="M11" s="30" t="n">
        <v>46075</v>
      </c>
      <c r="N11" s="26" t="s">
        <v>67</v>
      </c>
    </row>
    <row r="12" customFormat="false" ht="23.85" hidden="false" customHeight="false" outlineLevel="0" collapsed="false">
      <c r="A12" s="26" t="s">
        <v>68</v>
      </c>
      <c r="B12" s="27" t="s">
        <v>69</v>
      </c>
      <c r="C12" s="27" t="s">
        <v>64</v>
      </c>
      <c r="D12" s="27" t="n">
        <v>4</v>
      </c>
      <c r="E12" s="27" t="n">
        <v>5</v>
      </c>
      <c r="F12" s="27" t="n">
        <v>4</v>
      </c>
      <c r="G12" s="27" t="n">
        <v>5</v>
      </c>
      <c r="H12" s="27" t="n">
        <v>4</v>
      </c>
      <c r="I12" s="28" t="n">
        <f aca="false">IF(COUNTA(D12:H12)=0,"",SUMPRODUCT(D12:H12,$D$9:$H$9))</f>
        <v>4.4</v>
      </c>
      <c r="J12" s="29" t="str">
        <f aca="false">IF(I12="","",IF(I12&gt;=4,"A",IF(I12&gt;=3,"B",IF(I12&gt;=2,"C","D"))))</f>
        <v>A</v>
      </c>
      <c r="K12" s="27" t="s">
        <v>65</v>
      </c>
      <c r="L12" s="27" t="s">
        <v>66</v>
      </c>
      <c r="M12" s="30" t="n">
        <v>46077</v>
      </c>
      <c r="N12" s="26" t="s">
        <v>70</v>
      </c>
    </row>
    <row r="13" customFormat="false" ht="35.05" hidden="false" customHeight="false" outlineLevel="0" collapsed="false">
      <c r="A13" s="26" t="s">
        <v>71</v>
      </c>
      <c r="B13" s="27" t="s">
        <v>72</v>
      </c>
      <c r="C13" s="27" t="s">
        <v>64</v>
      </c>
      <c r="D13" s="27" t="n">
        <v>3</v>
      </c>
      <c r="E13" s="27" t="n">
        <v>3</v>
      </c>
      <c r="F13" s="27" t="n">
        <v>4</v>
      </c>
      <c r="G13" s="27" t="n">
        <v>2</v>
      </c>
      <c r="H13" s="27" t="n">
        <v>3</v>
      </c>
      <c r="I13" s="28" t="n">
        <f aca="false">IF(COUNTA(D13:H13)=0,"",SUMPRODUCT(D13:H13,$D$9:$H$9))</f>
        <v>3.05</v>
      </c>
      <c r="J13" s="29" t="str">
        <f aca="false">IF(I13="","",IF(I13&gt;=4,"A",IF(I13&gt;=3,"B",IF(I13&gt;=2,"C","D"))))</f>
        <v>B</v>
      </c>
      <c r="K13" s="27" t="s">
        <v>73</v>
      </c>
      <c r="L13" s="27" t="s">
        <v>66</v>
      </c>
      <c r="M13" s="30" t="n">
        <v>46080</v>
      </c>
      <c r="N13" s="26" t="s">
        <v>74</v>
      </c>
    </row>
    <row r="14" customFormat="false" ht="23.85" hidden="false" customHeight="false" outlineLevel="0" collapsed="false">
      <c r="A14" s="26" t="s">
        <v>75</v>
      </c>
      <c r="B14" s="27" t="s">
        <v>76</v>
      </c>
      <c r="C14" s="27" t="s">
        <v>64</v>
      </c>
      <c r="D14" s="27" t="n">
        <v>4</v>
      </c>
      <c r="E14" s="27" t="n">
        <v>4</v>
      </c>
      <c r="F14" s="27" t="n">
        <v>3</v>
      </c>
      <c r="G14" s="27" t="n">
        <v>3</v>
      </c>
      <c r="H14" s="27" t="n">
        <v>5</v>
      </c>
      <c r="I14" s="28" t="n">
        <f aca="false">IF(COUNTA(D14:H14)=0,"",SUMPRODUCT(D14:H14,$D$9:$H$9))</f>
        <v>3.8</v>
      </c>
      <c r="J14" s="29" t="str">
        <f aca="false">IF(I14="","",IF(I14&gt;=4,"A",IF(I14&gt;=3,"B",IF(I14&gt;=2,"C","D"))))</f>
        <v>B</v>
      </c>
      <c r="K14" s="27" t="s">
        <v>65</v>
      </c>
      <c r="L14" s="27" t="s">
        <v>77</v>
      </c>
      <c r="M14" s="30" t="n">
        <v>46085</v>
      </c>
      <c r="N14" s="26" t="s">
        <v>78</v>
      </c>
    </row>
    <row r="15" customFormat="false" ht="23.85" hidden="false" customHeight="false" outlineLevel="0" collapsed="false">
      <c r="A15" s="26" t="s">
        <v>79</v>
      </c>
      <c r="B15" s="27" t="s">
        <v>80</v>
      </c>
      <c r="C15" s="27" t="s">
        <v>64</v>
      </c>
      <c r="D15" s="27" t="n">
        <v>2</v>
      </c>
      <c r="E15" s="27" t="n">
        <v>3</v>
      </c>
      <c r="F15" s="27" t="n">
        <v>4</v>
      </c>
      <c r="G15" s="27" t="n">
        <v>1</v>
      </c>
      <c r="H15" s="27" t="n">
        <v>2</v>
      </c>
      <c r="I15" s="28" t="n">
        <f aca="false">IF(COUNTA(D15:H15)=0,"",SUMPRODUCT(D15:H15,$D$9:$H$9))</f>
        <v>2.5</v>
      </c>
      <c r="J15" s="29" t="str">
        <f aca="false">IF(I15="","",IF(I15&gt;=4,"A",IF(I15&gt;=3,"B",IF(I15&gt;=2,"C","D"))))</f>
        <v>C</v>
      </c>
      <c r="K15" s="27" t="s">
        <v>81</v>
      </c>
      <c r="L15" s="27" t="s">
        <v>66</v>
      </c>
      <c r="M15" s="30" t="n">
        <v>46090</v>
      </c>
      <c r="N15" s="26" t="s">
        <v>82</v>
      </c>
    </row>
    <row r="16" customFormat="false" ht="23.85" hidden="false" customHeight="false" outlineLevel="0" collapsed="false">
      <c r="A16" s="26" t="s">
        <v>83</v>
      </c>
      <c r="B16" s="27" t="s">
        <v>84</v>
      </c>
      <c r="C16" s="27" t="s">
        <v>64</v>
      </c>
      <c r="D16" s="27" t="n">
        <v>5</v>
      </c>
      <c r="E16" s="27" t="n">
        <v>5</v>
      </c>
      <c r="F16" s="27" t="n">
        <v>5</v>
      </c>
      <c r="G16" s="27" t="n">
        <v>5</v>
      </c>
      <c r="H16" s="27" t="n">
        <v>5</v>
      </c>
      <c r="I16" s="28" t="n">
        <f aca="false">IF(COUNTA(D16:H16)=0,"",SUMPRODUCT(D16:H16,$D$9:$H$9))</f>
        <v>5</v>
      </c>
      <c r="J16" s="29" t="str">
        <f aca="false">IF(I16="","",IF(I16&gt;=4,"A",IF(I16&gt;=3,"B",IF(I16&gt;=2,"C","D"))))</f>
        <v>A</v>
      </c>
      <c r="K16" s="27" t="s">
        <v>65</v>
      </c>
      <c r="L16" s="27" t="s">
        <v>85</v>
      </c>
      <c r="M16" s="30" t="n">
        <v>46095</v>
      </c>
      <c r="N16" s="26" t="s">
        <v>86</v>
      </c>
    </row>
    <row r="17" customFormat="false" ht="23.85" hidden="false" customHeight="false" outlineLevel="0" collapsed="false">
      <c r="A17" s="26" t="s">
        <v>87</v>
      </c>
      <c r="B17" s="27" t="s">
        <v>88</v>
      </c>
      <c r="C17" s="27" t="s">
        <v>64</v>
      </c>
      <c r="D17" s="27" t="n">
        <v>4</v>
      </c>
      <c r="E17" s="27" t="n">
        <v>4</v>
      </c>
      <c r="F17" s="27" t="n">
        <v>5</v>
      </c>
      <c r="G17" s="27" t="n">
        <v>3</v>
      </c>
      <c r="H17" s="27" t="n">
        <v>4</v>
      </c>
      <c r="I17" s="28" t="n">
        <f aca="false">IF(COUNTA(D17:H17)=0,"",SUMPRODUCT(D17:H17,$D$9:$H$9))</f>
        <v>4.05</v>
      </c>
      <c r="J17" s="29" t="str">
        <f aca="false">IF(I17="","",IF(I17&gt;=4,"A",IF(I17&gt;=3,"B",IF(I17&gt;=2,"C","D"))))</f>
        <v>A</v>
      </c>
      <c r="K17" s="27" t="s">
        <v>65</v>
      </c>
      <c r="L17" s="27" t="s">
        <v>77</v>
      </c>
      <c r="M17" s="30" t="n">
        <v>46097</v>
      </c>
      <c r="N17" s="26" t="s">
        <v>89</v>
      </c>
    </row>
    <row r="18" customFormat="false" ht="15" hidden="false" customHeight="false" outlineLevel="0" collapsed="false">
      <c r="A18" s="26"/>
      <c r="B18" s="27"/>
      <c r="C18" s="27"/>
      <c r="D18" s="27"/>
      <c r="E18" s="27"/>
      <c r="F18" s="27"/>
      <c r="G18" s="27"/>
      <c r="H18" s="27"/>
      <c r="I18" s="28" t="str">
        <f aca="false">IF(COUNTA(D18:H18)=0,"",SUMPRODUCT(D18:H18,$D$9:$H$9))</f>
        <v/>
      </c>
      <c r="J18" s="29" t="str">
        <f aca="false">IF(I18="","",IF(I18&gt;=4,"A",IF(I18&gt;=3,"B",IF(I18&gt;=2,"C","D"))))</f>
        <v/>
      </c>
      <c r="K18" s="27"/>
      <c r="L18" s="27"/>
      <c r="M18" s="30"/>
      <c r="N18" s="26"/>
    </row>
    <row r="19" customFormat="false" ht="15" hidden="false" customHeight="false" outlineLevel="0" collapsed="false">
      <c r="A19" s="26"/>
      <c r="B19" s="27"/>
      <c r="C19" s="27"/>
      <c r="D19" s="27"/>
      <c r="E19" s="27"/>
      <c r="F19" s="27"/>
      <c r="G19" s="27"/>
      <c r="H19" s="27"/>
      <c r="I19" s="28" t="str">
        <f aca="false">IF(COUNTA(D19:H19)=0,"",SUMPRODUCT(D19:H19,$D$9:$H$9))</f>
        <v/>
      </c>
      <c r="J19" s="29" t="str">
        <f aca="false">IF(I19="","",IF(I19&gt;=4,"A",IF(I19&gt;=3,"B",IF(I19&gt;=2,"C","D"))))</f>
        <v/>
      </c>
      <c r="K19" s="27"/>
      <c r="L19" s="27"/>
      <c r="M19" s="30"/>
      <c r="N19" s="26"/>
    </row>
    <row r="20" customFormat="false" ht="15" hidden="false" customHeight="false" outlineLevel="0" collapsed="false">
      <c r="A20" s="26"/>
      <c r="B20" s="27"/>
      <c r="C20" s="27"/>
      <c r="D20" s="27"/>
      <c r="E20" s="27"/>
      <c r="F20" s="27"/>
      <c r="G20" s="27"/>
      <c r="H20" s="27"/>
      <c r="I20" s="28" t="str">
        <f aca="false">IF(COUNTA(D20:H20)=0,"",SUMPRODUCT(D20:H20,$D$9:$H$9))</f>
        <v/>
      </c>
      <c r="J20" s="29" t="str">
        <f aca="false">IF(I20="","",IF(I20&gt;=4,"A",IF(I20&gt;=3,"B",IF(I20&gt;=2,"C","D"))))</f>
        <v/>
      </c>
      <c r="K20" s="27"/>
      <c r="L20" s="27"/>
      <c r="M20" s="30"/>
      <c r="N20" s="26"/>
    </row>
    <row r="21" customFormat="false" ht="15" hidden="false" customHeight="false" outlineLevel="0" collapsed="false">
      <c r="A21" s="26"/>
      <c r="B21" s="27"/>
      <c r="C21" s="27"/>
      <c r="D21" s="27"/>
      <c r="E21" s="27"/>
      <c r="F21" s="27"/>
      <c r="G21" s="27"/>
      <c r="H21" s="27"/>
      <c r="I21" s="28" t="str">
        <f aca="false">IF(COUNTA(D21:H21)=0,"",SUMPRODUCT(D21:H21,$D$9:$H$9))</f>
        <v/>
      </c>
      <c r="J21" s="29" t="str">
        <f aca="false">IF(I21="","",IF(I21&gt;=4,"A",IF(I21&gt;=3,"B",IF(I21&gt;=2,"C","D"))))</f>
        <v/>
      </c>
      <c r="K21" s="27"/>
      <c r="L21" s="27"/>
      <c r="M21" s="30"/>
      <c r="N21" s="26"/>
    </row>
    <row r="22" customFormat="false" ht="15" hidden="false" customHeight="false" outlineLevel="0" collapsed="false">
      <c r="A22" s="26"/>
      <c r="B22" s="27"/>
      <c r="C22" s="27"/>
      <c r="D22" s="27"/>
      <c r="E22" s="27"/>
      <c r="F22" s="27"/>
      <c r="G22" s="27"/>
      <c r="H22" s="27"/>
      <c r="I22" s="28" t="str">
        <f aca="false">IF(COUNTA(D22:H22)=0,"",SUMPRODUCT(D22:H22,$D$9:$H$9))</f>
        <v/>
      </c>
      <c r="J22" s="29" t="str">
        <f aca="false">IF(I22="","",IF(I22&gt;=4,"A",IF(I22&gt;=3,"B",IF(I22&gt;=2,"C","D"))))</f>
        <v/>
      </c>
      <c r="K22" s="27"/>
      <c r="L22" s="27"/>
      <c r="M22" s="30"/>
      <c r="N22" s="26"/>
    </row>
    <row r="23" customFormat="false" ht="15" hidden="false" customHeight="false" outlineLevel="0" collapsed="false">
      <c r="A23" s="26"/>
      <c r="B23" s="27"/>
      <c r="C23" s="27"/>
      <c r="D23" s="27"/>
      <c r="E23" s="27"/>
      <c r="F23" s="27"/>
      <c r="G23" s="27"/>
      <c r="H23" s="27"/>
      <c r="I23" s="28" t="str">
        <f aca="false">IF(COUNTA(D23:H23)=0,"",SUMPRODUCT(D23:H23,$D$9:$H$9))</f>
        <v/>
      </c>
      <c r="J23" s="29" t="str">
        <f aca="false">IF(I23="","",IF(I23&gt;=4,"A",IF(I23&gt;=3,"B",IF(I23&gt;=2,"C","D"))))</f>
        <v/>
      </c>
      <c r="K23" s="27"/>
      <c r="L23" s="27"/>
      <c r="M23" s="30"/>
      <c r="N23" s="26"/>
    </row>
    <row r="24" customFormat="false" ht="15" hidden="false" customHeight="false" outlineLevel="0" collapsed="false">
      <c r="A24" s="26"/>
      <c r="B24" s="27"/>
      <c r="C24" s="27"/>
      <c r="D24" s="27"/>
      <c r="E24" s="27"/>
      <c r="F24" s="27"/>
      <c r="G24" s="27"/>
      <c r="H24" s="27"/>
      <c r="I24" s="28" t="str">
        <f aca="false">IF(COUNTA(D24:H24)=0,"",SUMPRODUCT(D24:H24,$D$9:$H$9))</f>
        <v/>
      </c>
      <c r="J24" s="29" t="str">
        <f aca="false">IF(I24="","",IF(I24&gt;=4,"A",IF(I24&gt;=3,"B",IF(I24&gt;=2,"C","D"))))</f>
        <v/>
      </c>
      <c r="K24" s="27"/>
      <c r="L24" s="27"/>
      <c r="M24" s="30"/>
      <c r="N24" s="26"/>
    </row>
    <row r="25" customFormat="false" ht="15" hidden="false" customHeight="false" outlineLevel="0" collapsed="false">
      <c r="A25" s="26"/>
      <c r="B25" s="27"/>
      <c r="C25" s="27"/>
      <c r="D25" s="27"/>
      <c r="E25" s="27"/>
      <c r="F25" s="27"/>
      <c r="G25" s="27"/>
      <c r="H25" s="27"/>
      <c r="I25" s="28" t="str">
        <f aca="false">IF(COUNTA(D25:H25)=0,"",SUMPRODUCT(D25:H25,$D$9:$H$9))</f>
        <v/>
      </c>
      <c r="J25" s="29" t="str">
        <f aca="false">IF(I25="","",IF(I25&gt;=4,"A",IF(I25&gt;=3,"B",IF(I25&gt;=2,"C","D"))))</f>
        <v/>
      </c>
      <c r="K25" s="27"/>
      <c r="L25" s="27"/>
      <c r="M25" s="30"/>
      <c r="N25" s="26"/>
    </row>
    <row r="26" customFormat="false" ht="15" hidden="false" customHeight="false" outlineLevel="0" collapsed="false">
      <c r="A26" s="26"/>
      <c r="B26" s="27"/>
      <c r="C26" s="27"/>
      <c r="D26" s="27"/>
      <c r="E26" s="27"/>
      <c r="F26" s="27"/>
      <c r="G26" s="27"/>
      <c r="H26" s="27"/>
      <c r="I26" s="28" t="str">
        <f aca="false">IF(COUNTA(D26:H26)=0,"",SUMPRODUCT(D26:H26,$D$9:$H$9))</f>
        <v/>
      </c>
      <c r="J26" s="29" t="str">
        <f aca="false">IF(I26="","",IF(I26&gt;=4,"A",IF(I26&gt;=3,"B",IF(I26&gt;=2,"C","D"))))</f>
        <v/>
      </c>
      <c r="K26" s="27"/>
      <c r="L26" s="27"/>
      <c r="M26" s="30"/>
      <c r="N26" s="26"/>
    </row>
    <row r="27" customFormat="false" ht="15" hidden="false" customHeight="false" outlineLevel="0" collapsed="false">
      <c r="A27" s="26"/>
      <c r="B27" s="27"/>
      <c r="C27" s="27"/>
      <c r="D27" s="27"/>
      <c r="E27" s="27"/>
      <c r="F27" s="27"/>
      <c r="G27" s="27"/>
      <c r="H27" s="27"/>
      <c r="I27" s="28" t="str">
        <f aca="false">IF(COUNTA(D27:H27)=0,"",SUMPRODUCT(D27:H27,$D$9:$H$9))</f>
        <v/>
      </c>
      <c r="J27" s="29" t="str">
        <f aca="false">IF(I27="","",IF(I27&gt;=4,"A",IF(I27&gt;=3,"B",IF(I27&gt;=2,"C","D"))))</f>
        <v/>
      </c>
      <c r="K27" s="27"/>
      <c r="L27" s="27"/>
      <c r="M27" s="30"/>
      <c r="N27" s="26"/>
    </row>
    <row r="28" customFormat="false" ht="15" hidden="false" customHeight="false" outlineLevel="0" collapsed="false">
      <c r="A28" s="26"/>
      <c r="B28" s="27"/>
      <c r="C28" s="27"/>
      <c r="D28" s="27"/>
      <c r="E28" s="27"/>
      <c r="F28" s="27"/>
      <c r="G28" s="27"/>
      <c r="H28" s="27"/>
      <c r="I28" s="28" t="str">
        <f aca="false">IF(COUNTA(D28:H28)=0,"",SUMPRODUCT(D28:H28,$D$9:$H$9))</f>
        <v/>
      </c>
      <c r="J28" s="29" t="str">
        <f aca="false">IF(I28="","",IF(I28&gt;=4,"A",IF(I28&gt;=3,"B",IF(I28&gt;=2,"C","D"))))</f>
        <v/>
      </c>
      <c r="K28" s="27"/>
      <c r="L28" s="27"/>
      <c r="M28" s="30"/>
      <c r="N28" s="26"/>
    </row>
    <row r="29" customFormat="false" ht="15" hidden="false" customHeight="false" outlineLevel="0" collapsed="false">
      <c r="A29" s="26"/>
      <c r="B29" s="27"/>
      <c r="C29" s="27"/>
      <c r="D29" s="27"/>
      <c r="E29" s="27"/>
      <c r="F29" s="27"/>
      <c r="G29" s="27"/>
      <c r="H29" s="27"/>
      <c r="I29" s="28" t="str">
        <f aca="false">IF(COUNTA(D29:H29)=0,"",SUMPRODUCT(D29:H29,$D$9:$H$9))</f>
        <v/>
      </c>
      <c r="J29" s="29" t="str">
        <f aca="false">IF(I29="","",IF(I29&gt;=4,"A",IF(I29&gt;=3,"B",IF(I29&gt;=2,"C","D"))))</f>
        <v/>
      </c>
      <c r="K29" s="27"/>
      <c r="L29" s="27"/>
      <c r="M29" s="30"/>
      <c r="N29" s="26"/>
    </row>
    <row r="30" customFormat="false" ht="15" hidden="false" customHeight="false" outlineLevel="0" collapsed="false">
      <c r="A30" s="26"/>
      <c r="B30" s="27"/>
      <c r="C30" s="27"/>
      <c r="D30" s="27"/>
      <c r="E30" s="27"/>
      <c r="F30" s="27"/>
      <c r="G30" s="27"/>
      <c r="H30" s="27"/>
      <c r="I30" s="28" t="str">
        <f aca="false">IF(COUNTA(D30:H30)=0,"",SUMPRODUCT(D30:H30,$D$9:$H$9))</f>
        <v/>
      </c>
      <c r="J30" s="29" t="str">
        <f aca="false">IF(I30="","",IF(I30&gt;=4,"A",IF(I30&gt;=3,"B",IF(I30&gt;=2,"C","D"))))</f>
        <v/>
      </c>
      <c r="K30" s="27"/>
      <c r="L30" s="27"/>
      <c r="M30" s="30"/>
      <c r="N30" s="26"/>
    </row>
    <row r="31" customFormat="false" ht="15" hidden="false" customHeight="false" outlineLevel="0" collapsed="false">
      <c r="A31" s="26"/>
      <c r="B31" s="27"/>
      <c r="C31" s="27"/>
      <c r="D31" s="27"/>
      <c r="E31" s="27"/>
      <c r="F31" s="27"/>
      <c r="G31" s="27"/>
      <c r="H31" s="27"/>
      <c r="I31" s="28" t="str">
        <f aca="false">IF(COUNTA(D31:H31)=0,"",SUMPRODUCT(D31:H31,$D$9:$H$9))</f>
        <v/>
      </c>
      <c r="J31" s="29" t="str">
        <f aca="false">IF(I31="","",IF(I31&gt;=4,"A",IF(I31&gt;=3,"B",IF(I31&gt;=2,"C","D"))))</f>
        <v/>
      </c>
      <c r="K31" s="27"/>
      <c r="L31" s="27"/>
      <c r="M31" s="30"/>
      <c r="N31" s="26"/>
    </row>
    <row r="32" customFormat="false" ht="15" hidden="false" customHeight="false" outlineLevel="0" collapsed="false">
      <c r="A32" s="26"/>
      <c r="B32" s="27"/>
      <c r="C32" s="27"/>
      <c r="D32" s="27"/>
      <c r="E32" s="27"/>
      <c r="F32" s="27"/>
      <c r="G32" s="27"/>
      <c r="H32" s="27"/>
      <c r="I32" s="28" t="str">
        <f aca="false">IF(COUNTA(D32:H32)=0,"",SUMPRODUCT(D32:H32,$D$9:$H$9))</f>
        <v/>
      </c>
      <c r="J32" s="29" t="str">
        <f aca="false">IF(I32="","",IF(I32&gt;=4,"A",IF(I32&gt;=3,"B",IF(I32&gt;=2,"C","D"))))</f>
        <v/>
      </c>
      <c r="K32" s="27"/>
      <c r="L32" s="27"/>
      <c r="M32" s="30"/>
      <c r="N32" s="26"/>
    </row>
    <row r="33" customFormat="false" ht="15" hidden="false" customHeight="false" outlineLevel="0" collapsed="false">
      <c r="A33" s="26"/>
      <c r="B33" s="27"/>
      <c r="C33" s="27"/>
      <c r="D33" s="27"/>
      <c r="E33" s="27"/>
      <c r="F33" s="27"/>
      <c r="G33" s="27"/>
      <c r="H33" s="27"/>
      <c r="I33" s="28" t="str">
        <f aca="false">IF(COUNTA(D33:H33)=0,"",SUMPRODUCT(D33:H33,$D$9:$H$9))</f>
        <v/>
      </c>
      <c r="J33" s="29" t="str">
        <f aca="false">IF(I33="","",IF(I33&gt;=4,"A",IF(I33&gt;=3,"B",IF(I33&gt;=2,"C","D"))))</f>
        <v/>
      </c>
      <c r="K33" s="27"/>
      <c r="L33" s="27"/>
      <c r="M33" s="30"/>
      <c r="N33" s="26"/>
    </row>
    <row r="34" customFormat="false" ht="15" hidden="false" customHeight="false" outlineLevel="0" collapsed="false">
      <c r="A34" s="26"/>
      <c r="B34" s="27"/>
      <c r="C34" s="27"/>
      <c r="D34" s="27"/>
      <c r="E34" s="27"/>
      <c r="F34" s="27"/>
      <c r="G34" s="27"/>
      <c r="H34" s="27"/>
      <c r="I34" s="28" t="str">
        <f aca="false">IF(COUNTA(D34:H34)=0,"",SUMPRODUCT(D34:H34,$D$9:$H$9))</f>
        <v/>
      </c>
      <c r="J34" s="29" t="str">
        <f aca="false">IF(I34="","",IF(I34&gt;=4,"A",IF(I34&gt;=3,"B",IF(I34&gt;=2,"C","D"))))</f>
        <v/>
      </c>
      <c r="K34" s="27"/>
      <c r="L34" s="27"/>
      <c r="M34" s="30"/>
      <c r="N34" s="26"/>
    </row>
    <row r="35" customFormat="false" ht="15" hidden="false" customHeight="false" outlineLevel="0" collapsed="false">
      <c r="A35" s="26"/>
      <c r="B35" s="27"/>
      <c r="C35" s="27"/>
      <c r="D35" s="27"/>
      <c r="E35" s="27"/>
      <c r="F35" s="27"/>
      <c r="G35" s="27"/>
      <c r="H35" s="27"/>
      <c r="I35" s="28" t="str">
        <f aca="false">IF(COUNTA(D35:H35)=0,"",SUMPRODUCT(D35:H35,$D$9:$H$9))</f>
        <v/>
      </c>
      <c r="J35" s="29" t="str">
        <f aca="false">IF(I35="","",IF(I35&gt;=4,"A",IF(I35&gt;=3,"B",IF(I35&gt;=2,"C","D"))))</f>
        <v/>
      </c>
      <c r="K35" s="27"/>
      <c r="L35" s="27"/>
      <c r="M35" s="30"/>
      <c r="N35" s="26"/>
    </row>
    <row r="36" customFormat="false" ht="15" hidden="false" customHeight="false" outlineLevel="0" collapsed="false">
      <c r="A36" s="26"/>
      <c r="B36" s="27"/>
      <c r="C36" s="27"/>
      <c r="D36" s="27"/>
      <c r="E36" s="27"/>
      <c r="F36" s="27"/>
      <c r="G36" s="27"/>
      <c r="H36" s="27"/>
      <c r="I36" s="28" t="str">
        <f aca="false">IF(COUNTA(D36:H36)=0,"",SUMPRODUCT(D36:H36,$D$9:$H$9))</f>
        <v/>
      </c>
      <c r="J36" s="29" t="str">
        <f aca="false">IF(I36="","",IF(I36&gt;=4,"A",IF(I36&gt;=3,"B",IF(I36&gt;=2,"C","D"))))</f>
        <v/>
      </c>
      <c r="K36" s="27"/>
      <c r="L36" s="27"/>
      <c r="M36" s="30"/>
      <c r="N36" s="26"/>
    </row>
    <row r="37" customFormat="false" ht="15" hidden="false" customHeight="false" outlineLevel="0" collapsed="false">
      <c r="A37" s="26"/>
      <c r="B37" s="27"/>
      <c r="C37" s="27"/>
      <c r="D37" s="27"/>
      <c r="E37" s="27"/>
      <c r="F37" s="27"/>
      <c r="G37" s="27"/>
      <c r="H37" s="27"/>
      <c r="I37" s="28" t="str">
        <f aca="false">IF(COUNTA(D37:H37)=0,"",SUMPRODUCT(D37:H37,$D$9:$H$9))</f>
        <v/>
      </c>
      <c r="J37" s="29" t="str">
        <f aca="false">IF(I37="","",IF(I37&gt;=4,"A",IF(I37&gt;=3,"B",IF(I37&gt;=2,"C","D"))))</f>
        <v/>
      </c>
      <c r="K37" s="27"/>
      <c r="L37" s="27"/>
      <c r="M37" s="30"/>
      <c r="N37" s="26"/>
    </row>
    <row r="38" customFormat="false" ht="15" hidden="false" customHeight="false" outlineLevel="0" collapsed="false">
      <c r="A38" s="26"/>
      <c r="B38" s="27"/>
      <c r="C38" s="27"/>
      <c r="D38" s="27"/>
      <c r="E38" s="27"/>
      <c r="F38" s="27"/>
      <c r="G38" s="27"/>
      <c r="H38" s="27"/>
      <c r="I38" s="28" t="str">
        <f aca="false">IF(COUNTA(D38:H38)=0,"",SUMPRODUCT(D38:H38,$D$9:$H$9))</f>
        <v/>
      </c>
      <c r="J38" s="29" t="str">
        <f aca="false">IF(I38="","",IF(I38&gt;=4,"A",IF(I38&gt;=3,"B",IF(I38&gt;=2,"C","D"))))</f>
        <v/>
      </c>
      <c r="K38" s="27"/>
      <c r="L38" s="27"/>
      <c r="M38" s="30"/>
      <c r="N38" s="26"/>
    </row>
    <row r="39" customFormat="false" ht="15" hidden="false" customHeight="false" outlineLevel="0" collapsed="false">
      <c r="A39" s="26"/>
      <c r="B39" s="27"/>
      <c r="C39" s="27"/>
      <c r="D39" s="27"/>
      <c r="E39" s="27"/>
      <c r="F39" s="27"/>
      <c r="G39" s="27"/>
      <c r="H39" s="27"/>
      <c r="I39" s="28" t="str">
        <f aca="false">IF(COUNTA(D39:H39)=0,"",SUMPRODUCT(D39:H39,$D$9:$H$9))</f>
        <v/>
      </c>
      <c r="J39" s="29" t="str">
        <f aca="false">IF(I39="","",IF(I39&gt;=4,"A",IF(I39&gt;=3,"B",IF(I39&gt;=2,"C","D"))))</f>
        <v/>
      </c>
      <c r="K39" s="27"/>
      <c r="L39" s="27"/>
      <c r="M39" s="30"/>
      <c r="N39" s="26"/>
    </row>
    <row r="40" customFormat="false" ht="15" hidden="false" customHeight="false" outlineLevel="0" collapsed="false">
      <c r="A40" s="26"/>
      <c r="B40" s="27"/>
      <c r="C40" s="27"/>
      <c r="D40" s="27"/>
      <c r="E40" s="27"/>
      <c r="F40" s="27"/>
      <c r="G40" s="27"/>
      <c r="H40" s="27"/>
      <c r="I40" s="28" t="str">
        <f aca="false">IF(COUNTA(D40:H40)=0,"",SUMPRODUCT(D40:H40,$D$9:$H$9))</f>
        <v/>
      </c>
      <c r="J40" s="29" t="str">
        <f aca="false">IF(I40="","",IF(I40&gt;=4,"A",IF(I40&gt;=3,"B",IF(I40&gt;=2,"C","D"))))</f>
        <v/>
      </c>
      <c r="K40" s="27"/>
      <c r="L40" s="27"/>
      <c r="M40" s="30"/>
      <c r="N40" s="26"/>
    </row>
    <row r="41" customFormat="false" ht="15" hidden="false" customHeight="false" outlineLevel="0" collapsed="false">
      <c r="A41" s="26"/>
      <c r="B41" s="27"/>
      <c r="C41" s="27"/>
      <c r="D41" s="27"/>
      <c r="E41" s="27"/>
      <c r="F41" s="27"/>
      <c r="G41" s="27"/>
      <c r="H41" s="27"/>
      <c r="I41" s="28" t="str">
        <f aca="false">IF(COUNTA(D41:H41)=0,"",SUMPRODUCT(D41:H41,$D$9:$H$9))</f>
        <v/>
      </c>
      <c r="J41" s="29" t="str">
        <f aca="false">IF(I41="","",IF(I41&gt;=4,"A",IF(I41&gt;=3,"B",IF(I41&gt;=2,"C","D"))))</f>
        <v/>
      </c>
      <c r="K41" s="27"/>
      <c r="L41" s="27"/>
      <c r="M41" s="30"/>
      <c r="N41" s="26"/>
    </row>
    <row r="42" customFormat="false" ht="15" hidden="false" customHeight="false" outlineLevel="0" collapsed="false">
      <c r="A42" s="26"/>
      <c r="B42" s="27"/>
      <c r="C42" s="27"/>
      <c r="D42" s="27"/>
      <c r="E42" s="27"/>
      <c r="F42" s="27"/>
      <c r="G42" s="27"/>
      <c r="H42" s="27"/>
      <c r="I42" s="28" t="str">
        <f aca="false">IF(COUNTA(D42:H42)=0,"",SUMPRODUCT(D42:H42,$D$9:$H$9))</f>
        <v/>
      </c>
      <c r="J42" s="29" t="str">
        <f aca="false">IF(I42="","",IF(I42&gt;=4,"A",IF(I42&gt;=3,"B",IF(I42&gt;=2,"C","D"))))</f>
        <v/>
      </c>
      <c r="K42" s="27"/>
      <c r="L42" s="27"/>
      <c r="M42" s="30"/>
      <c r="N42" s="26"/>
    </row>
    <row r="43" customFormat="false" ht="15" hidden="false" customHeight="false" outlineLevel="0" collapsed="false">
      <c r="A43" s="26"/>
      <c r="B43" s="27"/>
      <c r="C43" s="27"/>
      <c r="D43" s="27"/>
      <c r="E43" s="27"/>
      <c r="F43" s="27"/>
      <c r="G43" s="27"/>
      <c r="H43" s="27"/>
      <c r="I43" s="28" t="str">
        <f aca="false">IF(COUNTA(D43:H43)=0,"",SUMPRODUCT(D43:H43,$D$9:$H$9))</f>
        <v/>
      </c>
      <c r="J43" s="29" t="str">
        <f aca="false">IF(I43="","",IF(I43&gt;=4,"A",IF(I43&gt;=3,"B",IF(I43&gt;=2,"C","D"))))</f>
        <v/>
      </c>
      <c r="K43" s="27"/>
      <c r="L43" s="27"/>
      <c r="M43" s="30"/>
      <c r="N43" s="26"/>
    </row>
    <row r="44" customFormat="false" ht="15" hidden="false" customHeight="false" outlineLevel="0" collapsed="false">
      <c r="A44" s="26"/>
      <c r="B44" s="27"/>
      <c r="C44" s="27"/>
      <c r="D44" s="27"/>
      <c r="E44" s="27"/>
      <c r="F44" s="27"/>
      <c r="G44" s="27"/>
      <c r="H44" s="27"/>
      <c r="I44" s="28" t="str">
        <f aca="false">IF(COUNTA(D44:H44)=0,"",SUMPRODUCT(D44:H44,$D$9:$H$9))</f>
        <v/>
      </c>
      <c r="J44" s="29" t="str">
        <f aca="false">IF(I44="","",IF(I44&gt;=4,"A",IF(I44&gt;=3,"B",IF(I44&gt;=2,"C","D"))))</f>
        <v/>
      </c>
      <c r="K44" s="27"/>
      <c r="L44" s="27"/>
      <c r="M44" s="30"/>
      <c r="N44" s="26"/>
    </row>
    <row r="45" customFormat="false" ht="15" hidden="false" customHeight="false" outlineLevel="0" collapsed="false">
      <c r="A45" s="26"/>
      <c r="B45" s="27"/>
      <c r="C45" s="27"/>
      <c r="D45" s="27"/>
      <c r="E45" s="27"/>
      <c r="F45" s="27"/>
      <c r="G45" s="27"/>
      <c r="H45" s="27"/>
      <c r="I45" s="28" t="str">
        <f aca="false">IF(COUNTA(D45:H45)=0,"",SUMPRODUCT(D45:H45,$D$9:$H$9))</f>
        <v/>
      </c>
      <c r="J45" s="29" t="str">
        <f aca="false">IF(I45="","",IF(I45&gt;=4,"A",IF(I45&gt;=3,"B",IF(I45&gt;=2,"C","D"))))</f>
        <v/>
      </c>
      <c r="K45" s="27"/>
      <c r="L45" s="27"/>
      <c r="M45" s="30"/>
      <c r="N45" s="26"/>
    </row>
    <row r="46" customFormat="false" ht="15" hidden="false" customHeight="false" outlineLevel="0" collapsed="false">
      <c r="A46" s="26"/>
      <c r="B46" s="27"/>
      <c r="C46" s="27"/>
      <c r="D46" s="27"/>
      <c r="E46" s="27"/>
      <c r="F46" s="27"/>
      <c r="G46" s="27"/>
      <c r="H46" s="27"/>
      <c r="I46" s="28" t="str">
        <f aca="false">IF(COUNTA(D46:H46)=0,"",SUMPRODUCT(D46:H46,$D$9:$H$9))</f>
        <v/>
      </c>
      <c r="J46" s="29" t="str">
        <f aca="false">IF(I46="","",IF(I46&gt;=4,"A",IF(I46&gt;=3,"B",IF(I46&gt;=2,"C","D"))))</f>
        <v/>
      </c>
      <c r="K46" s="27"/>
      <c r="L46" s="27"/>
      <c r="M46" s="30"/>
      <c r="N46" s="26"/>
    </row>
    <row r="47" customFormat="false" ht="15" hidden="false" customHeight="false" outlineLevel="0" collapsed="false">
      <c r="A47" s="26"/>
      <c r="B47" s="27"/>
      <c r="C47" s="27"/>
      <c r="D47" s="27"/>
      <c r="E47" s="27"/>
      <c r="F47" s="27"/>
      <c r="G47" s="27"/>
      <c r="H47" s="27"/>
      <c r="I47" s="28" t="str">
        <f aca="false">IF(COUNTA(D47:H47)=0,"",SUMPRODUCT(D47:H47,$D$9:$H$9))</f>
        <v/>
      </c>
      <c r="J47" s="29" t="str">
        <f aca="false">IF(I47="","",IF(I47&gt;=4,"A",IF(I47&gt;=3,"B",IF(I47&gt;=2,"C","D"))))</f>
        <v/>
      </c>
      <c r="K47" s="27"/>
      <c r="L47" s="27"/>
      <c r="M47" s="30"/>
      <c r="N47" s="26"/>
    </row>
    <row r="48" customFormat="false" ht="15" hidden="false" customHeight="false" outlineLevel="0" collapsed="false">
      <c r="A48" s="26"/>
      <c r="B48" s="27"/>
      <c r="C48" s="27"/>
      <c r="D48" s="27"/>
      <c r="E48" s="27"/>
      <c r="F48" s="27"/>
      <c r="G48" s="27"/>
      <c r="H48" s="27"/>
      <c r="I48" s="28" t="str">
        <f aca="false">IF(COUNTA(D48:H48)=0,"",SUMPRODUCT(D48:H48,$D$9:$H$9))</f>
        <v/>
      </c>
      <c r="J48" s="29" t="str">
        <f aca="false">IF(I48="","",IF(I48&gt;=4,"A",IF(I48&gt;=3,"B",IF(I48&gt;=2,"C","D"))))</f>
        <v/>
      </c>
      <c r="K48" s="27"/>
      <c r="L48" s="27"/>
      <c r="M48" s="30"/>
      <c r="N48" s="26"/>
    </row>
    <row r="49" customFormat="false" ht="15" hidden="false" customHeight="false" outlineLevel="0" collapsed="false">
      <c r="A49" s="26"/>
      <c r="B49" s="27"/>
      <c r="C49" s="27"/>
      <c r="D49" s="27"/>
      <c r="E49" s="27"/>
      <c r="F49" s="27"/>
      <c r="G49" s="27"/>
      <c r="H49" s="27"/>
      <c r="I49" s="28" t="str">
        <f aca="false">IF(COUNTA(D49:H49)=0,"",SUMPRODUCT(D49:H49,$D$9:$H$9))</f>
        <v/>
      </c>
      <c r="J49" s="29" t="str">
        <f aca="false">IF(I49="","",IF(I49&gt;=4,"A",IF(I49&gt;=3,"B",IF(I49&gt;=2,"C","D"))))</f>
        <v/>
      </c>
      <c r="K49" s="27"/>
      <c r="L49" s="27"/>
      <c r="M49" s="30"/>
      <c r="N49" s="26"/>
    </row>
    <row r="50" customFormat="false" ht="15" hidden="false" customHeight="false" outlineLevel="0" collapsed="false">
      <c r="A50" s="26"/>
      <c r="B50" s="27"/>
      <c r="C50" s="27"/>
      <c r="D50" s="27"/>
      <c r="E50" s="27"/>
      <c r="F50" s="27"/>
      <c r="G50" s="27"/>
      <c r="H50" s="27"/>
      <c r="I50" s="28" t="str">
        <f aca="false">IF(COUNTA(D50:H50)=0,"",SUMPRODUCT(D50:H50,$D$9:$H$9))</f>
        <v/>
      </c>
      <c r="J50" s="29" t="str">
        <f aca="false">IF(I50="","",IF(I50&gt;=4,"A",IF(I50&gt;=3,"B",IF(I50&gt;=2,"C","D"))))</f>
        <v/>
      </c>
      <c r="K50" s="27"/>
      <c r="L50" s="27"/>
      <c r="M50" s="30"/>
      <c r="N50" s="26"/>
    </row>
    <row r="51" customFormat="false" ht="15" hidden="false" customHeight="false" outlineLevel="0" collapsed="false">
      <c r="A51" s="26"/>
      <c r="B51" s="27"/>
      <c r="C51" s="27"/>
      <c r="D51" s="27"/>
      <c r="E51" s="27"/>
      <c r="F51" s="27"/>
      <c r="G51" s="27"/>
      <c r="H51" s="27"/>
      <c r="I51" s="28" t="str">
        <f aca="false">IF(COUNTA(D51:H51)=0,"",SUMPRODUCT(D51:H51,$D$9:$H$9))</f>
        <v/>
      </c>
      <c r="J51" s="29" t="str">
        <f aca="false">IF(I51="","",IF(I51&gt;=4,"A",IF(I51&gt;=3,"B",IF(I51&gt;=2,"C","D"))))</f>
        <v/>
      </c>
      <c r="K51" s="27"/>
      <c r="L51" s="27"/>
      <c r="M51" s="30"/>
      <c r="N51" s="26"/>
    </row>
    <row r="52" customFormat="false" ht="15" hidden="false" customHeight="false" outlineLevel="0" collapsed="false">
      <c r="A52" s="26"/>
      <c r="B52" s="27"/>
      <c r="C52" s="27"/>
      <c r="D52" s="27"/>
      <c r="E52" s="27"/>
      <c r="F52" s="27"/>
      <c r="G52" s="27"/>
      <c r="H52" s="27"/>
      <c r="I52" s="28" t="str">
        <f aca="false">IF(COUNTA(D52:H52)=0,"",SUMPRODUCT(D52:H52,$D$9:$H$9))</f>
        <v/>
      </c>
      <c r="J52" s="29" t="str">
        <f aca="false">IF(I52="","",IF(I52&gt;=4,"A",IF(I52&gt;=3,"B",IF(I52&gt;=2,"C","D"))))</f>
        <v/>
      </c>
      <c r="K52" s="27"/>
      <c r="L52" s="27"/>
      <c r="M52" s="30"/>
      <c r="N52" s="26"/>
    </row>
    <row r="53" customFormat="false" ht="15" hidden="false" customHeight="false" outlineLevel="0" collapsed="false">
      <c r="A53" s="26"/>
      <c r="B53" s="27"/>
      <c r="C53" s="27"/>
      <c r="D53" s="27"/>
      <c r="E53" s="27"/>
      <c r="F53" s="27"/>
      <c r="G53" s="27"/>
      <c r="H53" s="27"/>
      <c r="I53" s="28" t="str">
        <f aca="false">IF(COUNTA(D53:H53)=0,"",SUMPRODUCT(D53:H53,$D$9:$H$9))</f>
        <v/>
      </c>
      <c r="J53" s="29" t="str">
        <f aca="false">IF(I53="","",IF(I53&gt;=4,"A",IF(I53&gt;=3,"B",IF(I53&gt;=2,"C","D"))))</f>
        <v/>
      </c>
      <c r="K53" s="27"/>
      <c r="L53" s="27"/>
      <c r="M53" s="30"/>
      <c r="N53" s="26"/>
    </row>
    <row r="54" customFormat="false" ht="15" hidden="false" customHeight="false" outlineLevel="0" collapsed="false">
      <c r="A54" s="26"/>
      <c r="B54" s="27"/>
      <c r="C54" s="27"/>
      <c r="D54" s="27"/>
      <c r="E54" s="27"/>
      <c r="F54" s="27"/>
      <c r="G54" s="27"/>
      <c r="H54" s="27"/>
      <c r="I54" s="28" t="str">
        <f aca="false">IF(COUNTA(D54:H54)=0,"",SUMPRODUCT(D54:H54,$D$9:$H$9))</f>
        <v/>
      </c>
      <c r="J54" s="29" t="str">
        <f aca="false">IF(I54="","",IF(I54&gt;=4,"A",IF(I54&gt;=3,"B",IF(I54&gt;=2,"C","D"))))</f>
        <v/>
      </c>
      <c r="K54" s="27"/>
      <c r="L54" s="27"/>
      <c r="M54" s="30"/>
      <c r="N54" s="26"/>
    </row>
    <row r="55" customFormat="false" ht="15" hidden="false" customHeight="false" outlineLevel="0" collapsed="false">
      <c r="A55" s="26"/>
      <c r="B55" s="27"/>
      <c r="C55" s="27"/>
      <c r="D55" s="27"/>
      <c r="E55" s="27"/>
      <c r="F55" s="27"/>
      <c r="G55" s="27"/>
      <c r="H55" s="27"/>
      <c r="I55" s="28" t="str">
        <f aca="false">IF(COUNTA(D55:H55)=0,"",SUMPRODUCT(D55:H55,$D$9:$H$9))</f>
        <v/>
      </c>
      <c r="J55" s="29" t="str">
        <f aca="false">IF(I55="","",IF(I55&gt;=4,"A",IF(I55&gt;=3,"B",IF(I55&gt;=2,"C","D"))))</f>
        <v/>
      </c>
      <c r="K55" s="27"/>
      <c r="L55" s="27"/>
      <c r="M55" s="30"/>
      <c r="N55" s="26"/>
    </row>
    <row r="56" customFormat="false" ht="15" hidden="false" customHeight="false" outlineLevel="0" collapsed="false">
      <c r="A56" s="26"/>
      <c r="B56" s="27"/>
      <c r="C56" s="27"/>
      <c r="D56" s="27"/>
      <c r="E56" s="27"/>
      <c r="F56" s="27"/>
      <c r="G56" s="27"/>
      <c r="H56" s="27"/>
      <c r="I56" s="28" t="str">
        <f aca="false">IF(COUNTA(D56:H56)=0,"",SUMPRODUCT(D56:H56,$D$9:$H$9))</f>
        <v/>
      </c>
      <c r="J56" s="29" t="str">
        <f aca="false">IF(I56="","",IF(I56&gt;=4,"A",IF(I56&gt;=3,"B",IF(I56&gt;=2,"C","D"))))</f>
        <v/>
      </c>
      <c r="K56" s="27"/>
      <c r="L56" s="27"/>
      <c r="M56" s="30"/>
      <c r="N56" s="26"/>
    </row>
    <row r="57" customFormat="false" ht="15" hidden="false" customHeight="false" outlineLevel="0" collapsed="false">
      <c r="A57" s="26"/>
      <c r="B57" s="27"/>
      <c r="C57" s="27"/>
      <c r="D57" s="27"/>
      <c r="E57" s="27"/>
      <c r="F57" s="27"/>
      <c r="G57" s="27"/>
      <c r="H57" s="27"/>
      <c r="I57" s="28" t="str">
        <f aca="false">IF(COUNTA(D57:H57)=0,"",SUMPRODUCT(D57:H57,$D$9:$H$9))</f>
        <v/>
      </c>
      <c r="J57" s="29" t="str">
        <f aca="false">IF(I57="","",IF(I57&gt;=4,"A",IF(I57&gt;=3,"B",IF(I57&gt;=2,"C","D"))))</f>
        <v/>
      </c>
      <c r="K57" s="27"/>
      <c r="L57" s="27"/>
      <c r="M57" s="30"/>
      <c r="N57" s="26"/>
    </row>
    <row r="58" customFormat="false" ht="15" hidden="false" customHeight="false" outlineLevel="0" collapsed="false">
      <c r="A58" s="26"/>
      <c r="B58" s="27"/>
      <c r="C58" s="27"/>
      <c r="D58" s="27"/>
      <c r="E58" s="27"/>
      <c r="F58" s="27"/>
      <c r="G58" s="27"/>
      <c r="H58" s="27"/>
      <c r="I58" s="28" t="str">
        <f aca="false">IF(COUNTA(D58:H58)=0,"",SUMPRODUCT(D58:H58,$D$9:$H$9))</f>
        <v/>
      </c>
      <c r="J58" s="29" t="str">
        <f aca="false">IF(I58="","",IF(I58&gt;=4,"A",IF(I58&gt;=3,"B",IF(I58&gt;=2,"C","D"))))</f>
        <v/>
      </c>
      <c r="K58" s="27"/>
      <c r="L58" s="27"/>
      <c r="M58" s="30"/>
      <c r="N58" s="26"/>
    </row>
    <row r="59" customFormat="false" ht="15" hidden="false" customHeight="false" outlineLevel="0" collapsed="false">
      <c r="A59" s="26"/>
      <c r="B59" s="27"/>
      <c r="C59" s="27"/>
      <c r="D59" s="27"/>
      <c r="E59" s="27"/>
      <c r="F59" s="27"/>
      <c r="G59" s="27"/>
      <c r="H59" s="27"/>
      <c r="I59" s="28" t="str">
        <f aca="false">IF(COUNTA(D59:H59)=0,"",SUMPRODUCT(D59:H59,$D$9:$H$9))</f>
        <v/>
      </c>
      <c r="J59" s="29" t="str">
        <f aca="false">IF(I59="","",IF(I59&gt;=4,"A",IF(I59&gt;=3,"B",IF(I59&gt;=2,"C","D"))))</f>
        <v/>
      </c>
      <c r="K59" s="27"/>
      <c r="L59" s="27"/>
      <c r="M59" s="30"/>
      <c r="N59" s="26"/>
    </row>
    <row r="60" customFormat="false" ht="15" hidden="false" customHeight="false" outlineLevel="0" collapsed="false">
      <c r="A60" s="26"/>
      <c r="B60" s="27"/>
      <c r="C60" s="27"/>
      <c r="D60" s="27"/>
      <c r="E60" s="27"/>
      <c r="F60" s="27"/>
      <c r="G60" s="27"/>
      <c r="H60" s="27"/>
      <c r="I60" s="28" t="str">
        <f aca="false">IF(COUNTA(D60:H60)=0,"",SUMPRODUCT(D60:H60,$D$9:$H$9))</f>
        <v/>
      </c>
      <c r="J60" s="29" t="str">
        <f aca="false">IF(I60="","",IF(I60&gt;=4,"A",IF(I60&gt;=3,"B",IF(I60&gt;=2,"C","D"))))</f>
        <v/>
      </c>
      <c r="K60" s="27"/>
      <c r="L60" s="27"/>
      <c r="M60" s="30"/>
      <c r="N60" s="26"/>
    </row>
    <row r="61" customFormat="false" ht="15" hidden="false" customHeight="false" outlineLevel="0" collapsed="false">
      <c r="A61" s="26"/>
      <c r="B61" s="27"/>
      <c r="C61" s="27"/>
      <c r="D61" s="27"/>
      <c r="E61" s="27"/>
      <c r="F61" s="27"/>
      <c r="G61" s="27"/>
      <c r="H61" s="27"/>
      <c r="I61" s="28" t="str">
        <f aca="false">IF(COUNTA(D61:H61)=0,"",SUMPRODUCT(D61:H61,$D$9:$H$9))</f>
        <v/>
      </c>
      <c r="J61" s="29" t="str">
        <f aca="false">IF(I61="","",IF(I61&gt;=4,"A",IF(I61&gt;=3,"B",IF(I61&gt;=2,"C","D"))))</f>
        <v/>
      </c>
      <c r="K61" s="27"/>
      <c r="L61" s="27"/>
      <c r="M61" s="30"/>
      <c r="N61" s="26"/>
    </row>
    <row r="62" customFormat="false" ht="15" hidden="false" customHeight="false" outlineLevel="0" collapsed="false">
      <c r="A62" s="26"/>
      <c r="B62" s="27"/>
      <c r="C62" s="27"/>
      <c r="D62" s="27"/>
      <c r="E62" s="27"/>
      <c r="F62" s="27"/>
      <c r="G62" s="27"/>
      <c r="H62" s="27"/>
      <c r="I62" s="28" t="str">
        <f aca="false">IF(COUNTA(D62:H62)=0,"",SUMPRODUCT(D62:H62,$D$9:$H$9))</f>
        <v/>
      </c>
      <c r="J62" s="29" t="str">
        <f aca="false">IF(I62="","",IF(I62&gt;=4,"A",IF(I62&gt;=3,"B",IF(I62&gt;=2,"C","D"))))</f>
        <v/>
      </c>
      <c r="K62" s="27"/>
      <c r="L62" s="27"/>
      <c r="M62" s="30"/>
      <c r="N62" s="26"/>
    </row>
    <row r="63" customFormat="false" ht="15" hidden="false" customHeight="false" outlineLevel="0" collapsed="false">
      <c r="A63" s="26"/>
      <c r="B63" s="27"/>
      <c r="C63" s="27"/>
      <c r="D63" s="27"/>
      <c r="E63" s="27"/>
      <c r="F63" s="27"/>
      <c r="G63" s="27"/>
      <c r="H63" s="27"/>
      <c r="I63" s="28" t="str">
        <f aca="false">IF(COUNTA(D63:H63)=0,"",SUMPRODUCT(D63:H63,$D$9:$H$9))</f>
        <v/>
      </c>
      <c r="J63" s="29" t="str">
        <f aca="false">IF(I63="","",IF(I63&gt;=4,"A",IF(I63&gt;=3,"B",IF(I63&gt;=2,"C","D"))))</f>
        <v/>
      </c>
      <c r="K63" s="27"/>
      <c r="L63" s="27"/>
      <c r="M63" s="30"/>
      <c r="N63" s="26"/>
    </row>
    <row r="64" customFormat="false" ht="15" hidden="false" customHeight="false" outlineLevel="0" collapsed="false">
      <c r="A64" s="26"/>
      <c r="B64" s="27"/>
      <c r="C64" s="27"/>
      <c r="D64" s="27"/>
      <c r="E64" s="27"/>
      <c r="F64" s="27"/>
      <c r="G64" s="27"/>
      <c r="H64" s="27"/>
      <c r="I64" s="28" t="str">
        <f aca="false">IF(COUNTA(D64:H64)=0,"",SUMPRODUCT(D64:H64,$D$9:$H$9))</f>
        <v/>
      </c>
      <c r="J64" s="29" t="str">
        <f aca="false">IF(I64="","",IF(I64&gt;=4,"A",IF(I64&gt;=3,"B",IF(I64&gt;=2,"C","D"))))</f>
        <v/>
      </c>
      <c r="K64" s="27"/>
      <c r="L64" s="27"/>
      <c r="M64" s="30"/>
      <c r="N64" s="26"/>
    </row>
    <row r="65" customFormat="false" ht="15" hidden="false" customHeight="false" outlineLevel="0" collapsed="false">
      <c r="A65" s="26"/>
      <c r="B65" s="27"/>
      <c r="C65" s="27"/>
      <c r="D65" s="27"/>
      <c r="E65" s="27"/>
      <c r="F65" s="27"/>
      <c r="G65" s="27"/>
      <c r="H65" s="27"/>
      <c r="I65" s="28" t="str">
        <f aca="false">IF(COUNTA(D65:H65)=0,"",SUMPRODUCT(D65:H65,$D$9:$H$9))</f>
        <v/>
      </c>
      <c r="J65" s="29" t="str">
        <f aca="false">IF(I65="","",IF(I65&gt;=4,"A",IF(I65&gt;=3,"B",IF(I65&gt;=2,"C","D"))))</f>
        <v/>
      </c>
      <c r="K65" s="27"/>
      <c r="L65" s="27"/>
      <c r="M65" s="30"/>
      <c r="N65" s="26"/>
    </row>
    <row r="66" customFormat="false" ht="15" hidden="false" customHeight="false" outlineLevel="0" collapsed="false">
      <c r="A66" s="26"/>
      <c r="B66" s="27"/>
      <c r="C66" s="27"/>
      <c r="D66" s="27"/>
      <c r="E66" s="27"/>
      <c r="F66" s="27"/>
      <c r="G66" s="27"/>
      <c r="H66" s="27"/>
      <c r="I66" s="28" t="str">
        <f aca="false">IF(COUNTA(D66:H66)=0,"",SUMPRODUCT(D66:H66,$D$9:$H$9))</f>
        <v/>
      </c>
      <c r="J66" s="29" t="str">
        <f aca="false">IF(I66="","",IF(I66&gt;=4,"A",IF(I66&gt;=3,"B",IF(I66&gt;=2,"C","D"))))</f>
        <v/>
      </c>
      <c r="K66" s="27"/>
      <c r="L66" s="27"/>
      <c r="M66" s="30"/>
      <c r="N66" s="26"/>
    </row>
    <row r="67" customFormat="false" ht="15" hidden="false" customHeight="false" outlineLevel="0" collapsed="false">
      <c r="A67" s="26"/>
      <c r="B67" s="27"/>
      <c r="C67" s="27"/>
      <c r="D67" s="27"/>
      <c r="E67" s="27"/>
      <c r="F67" s="27"/>
      <c r="G67" s="27"/>
      <c r="H67" s="27"/>
      <c r="I67" s="28" t="str">
        <f aca="false">IF(COUNTA(D67:H67)=0,"",SUMPRODUCT(D67:H67,$D$9:$H$9))</f>
        <v/>
      </c>
      <c r="J67" s="29" t="str">
        <f aca="false">IF(I67="","",IF(I67&gt;=4,"A",IF(I67&gt;=3,"B",IF(I67&gt;=2,"C","D"))))</f>
        <v/>
      </c>
      <c r="K67" s="27"/>
      <c r="L67" s="27"/>
      <c r="M67" s="30"/>
      <c r="N67" s="26"/>
    </row>
    <row r="68" customFormat="false" ht="15" hidden="false" customHeight="false" outlineLevel="0" collapsed="false">
      <c r="A68" s="26"/>
      <c r="B68" s="27"/>
      <c r="C68" s="27"/>
      <c r="D68" s="27"/>
      <c r="E68" s="27"/>
      <c r="F68" s="27"/>
      <c r="G68" s="27"/>
      <c r="H68" s="27"/>
      <c r="I68" s="28" t="str">
        <f aca="false">IF(COUNTA(D68:H68)=0,"",SUMPRODUCT(D68:H68,$D$9:$H$9))</f>
        <v/>
      </c>
      <c r="J68" s="29" t="str">
        <f aca="false">IF(I68="","",IF(I68&gt;=4,"A",IF(I68&gt;=3,"B",IF(I68&gt;=2,"C","D"))))</f>
        <v/>
      </c>
      <c r="K68" s="27"/>
      <c r="L68" s="27"/>
      <c r="M68" s="30"/>
      <c r="N68" s="26"/>
    </row>
    <row r="69" customFormat="false" ht="15" hidden="false" customHeight="false" outlineLevel="0" collapsed="false">
      <c r="A69" s="26"/>
      <c r="B69" s="27"/>
      <c r="C69" s="27"/>
      <c r="D69" s="27"/>
      <c r="E69" s="27"/>
      <c r="F69" s="27"/>
      <c r="G69" s="27"/>
      <c r="H69" s="27"/>
      <c r="I69" s="28" t="str">
        <f aca="false">IF(COUNTA(D69:H69)=0,"",SUMPRODUCT(D69:H69,$D$9:$H$9))</f>
        <v/>
      </c>
      <c r="J69" s="29" t="str">
        <f aca="false">IF(I69="","",IF(I69&gt;=4,"A",IF(I69&gt;=3,"B",IF(I69&gt;=2,"C","D"))))</f>
        <v/>
      </c>
      <c r="K69" s="27"/>
      <c r="L69" s="27"/>
      <c r="M69" s="30"/>
      <c r="N69" s="26"/>
    </row>
    <row r="70" customFormat="false" ht="15" hidden="false" customHeight="false" outlineLevel="0" collapsed="false">
      <c r="A70" s="26"/>
      <c r="B70" s="27"/>
      <c r="C70" s="27"/>
      <c r="D70" s="27"/>
      <c r="E70" s="27"/>
      <c r="F70" s="27"/>
      <c r="G70" s="27"/>
      <c r="H70" s="27"/>
      <c r="I70" s="28" t="str">
        <f aca="false">IF(COUNTA(D70:H70)=0,"",SUMPRODUCT(D70:H70,$D$9:$H$9))</f>
        <v/>
      </c>
      <c r="J70" s="29" t="str">
        <f aca="false">IF(I70="","",IF(I70&gt;=4,"A",IF(I70&gt;=3,"B",IF(I70&gt;=2,"C","D"))))</f>
        <v/>
      </c>
      <c r="K70" s="27"/>
      <c r="L70" s="27"/>
      <c r="M70" s="30"/>
      <c r="N70" s="26"/>
    </row>
    <row r="71" customFormat="false" ht="15" hidden="false" customHeight="false" outlineLevel="0" collapsed="false">
      <c r="A71" s="26"/>
      <c r="B71" s="27"/>
      <c r="C71" s="27"/>
      <c r="D71" s="27"/>
      <c r="E71" s="27"/>
      <c r="F71" s="27"/>
      <c r="G71" s="27"/>
      <c r="H71" s="27"/>
      <c r="I71" s="28" t="str">
        <f aca="false">IF(COUNTA(D71:H71)=0,"",SUMPRODUCT(D71:H71,$D$9:$H$9))</f>
        <v/>
      </c>
      <c r="J71" s="29" t="str">
        <f aca="false">IF(I71="","",IF(I71&gt;=4,"A",IF(I71&gt;=3,"B",IF(I71&gt;=2,"C","D"))))</f>
        <v/>
      </c>
      <c r="K71" s="27"/>
      <c r="L71" s="27"/>
      <c r="M71" s="30"/>
      <c r="N71" s="26"/>
    </row>
    <row r="72" customFormat="false" ht="15" hidden="false" customHeight="false" outlineLevel="0" collapsed="false">
      <c r="A72" s="26"/>
      <c r="B72" s="27"/>
      <c r="C72" s="27"/>
      <c r="D72" s="27"/>
      <c r="E72" s="27"/>
      <c r="F72" s="27"/>
      <c r="G72" s="27"/>
      <c r="H72" s="27"/>
      <c r="I72" s="28" t="str">
        <f aca="false">IF(COUNTA(D72:H72)=0,"",SUMPRODUCT(D72:H72,$D$9:$H$9))</f>
        <v/>
      </c>
      <c r="J72" s="29" t="str">
        <f aca="false">IF(I72="","",IF(I72&gt;=4,"A",IF(I72&gt;=3,"B",IF(I72&gt;=2,"C","D"))))</f>
        <v/>
      </c>
      <c r="K72" s="27"/>
      <c r="L72" s="27"/>
      <c r="M72" s="30"/>
      <c r="N72" s="26"/>
    </row>
    <row r="73" customFormat="false" ht="15" hidden="false" customHeight="false" outlineLevel="0" collapsed="false">
      <c r="A73" s="26"/>
      <c r="B73" s="27"/>
      <c r="C73" s="27"/>
      <c r="D73" s="27"/>
      <c r="E73" s="27"/>
      <c r="F73" s="27"/>
      <c r="G73" s="27"/>
      <c r="H73" s="27"/>
      <c r="I73" s="28" t="str">
        <f aca="false">IF(COUNTA(D73:H73)=0,"",SUMPRODUCT(D73:H73,$D$9:$H$9))</f>
        <v/>
      </c>
      <c r="J73" s="29" t="str">
        <f aca="false">IF(I73="","",IF(I73&gt;=4,"A",IF(I73&gt;=3,"B",IF(I73&gt;=2,"C","D"))))</f>
        <v/>
      </c>
      <c r="K73" s="27"/>
      <c r="L73" s="27"/>
      <c r="M73" s="30"/>
      <c r="N73" s="26"/>
    </row>
    <row r="74" customFormat="false" ht="15" hidden="false" customHeight="false" outlineLevel="0" collapsed="false">
      <c r="A74" s="26"/>
      <c r="B74" s="27"/>
      <c r="C74" s="27"/>
      <c r="D74" s="27"/>
      <c r="E74" s="27"/>
      <c r="F74" s="27"/>
      <c r="G74" s="27"/>
      <c r="H74" s="27"/>
      <c r="I74" s="28" t="str">
        <f aca="false">IF(COUNTA(D74:H74)=0,"",SUMPRODUCT(D74:H74,$D$9:$H$9))</f>
        <v/>
      </c>
      <c r="J74" s="29" t="str">
        <f aca="false">IF(I74="","",IF(I74&gt;=4,"A",IF(I74&gt;=3,"B",IF(I74&gt;=2,"C","D"))))</f>
        <v/>
      </c>
      <c r="K74" s="27"/>
      <c r="L74" s="27"/>
      <c r="M74" s="30"/>
      <c r="N74" s="26"/>
    </row>
    <row r="75" customFormat="false" ht="15" hidden="false" customHeight="false" outlineLevel="0" collapsed="false">
      <c r="A75" s="26"/>
      <c r="B75" s="27"/>
      <c r="C75" s="27"/>
      <c r="D75" s="27"/>
      <c r="E75" s="27"/>
      <c r="F75" s="27"/>
      <c r="G75" s="27"/>
      <c r="H75" s="27"/>
      <c r="I75" s="28" t="str">
        <f aca="false">IF(COUNTA(D75:H75)=0,"",SUMPRODUCT(D75:H75,$D$9:$H$9))</f>
        <v/>
      </c>
      <c r="J75" s="29" t="str">
        <f aca="false">IF(I75="","",IF(I75&gt;=4,"A",IF(I75&gt;=3,"B",IF(I75&gt;=2,"C","D"))))</f>
        <v/>
      </c>
      <c r="K75" s="27"/>
      <c r="L75" s="27"/>
      <c r="M75" s="30"/>
      <c r="N75" s="26"/>
    </row>
    <row r="76" customFormat="false" ht="15" hidden="false" customHeight="false" outlineLevel="0" collapsed="false">
      <c r="A76" s="26"/>
      <c r="B76" s="27"/>
      <c r="C76" s="27"/>
      <c r="D76" s="27"/>
      <c r="E76" s="27"/>
      <c r="F76" s="27"/>
      <c r="G76" s="27"/>
      <c r="H76" s="27"/>
      <c r="I76" s="28" t="str">
        <f aca="false">IF(COUNTA(D76:H76)=0,"",SUMPRODUCT(D76:H76,$D$9:$H$9))</f>
        <v/>
      </c>
      <c r="J76" s="29" t="str">
        <f aca="false">IF(I76="","",IF(I76&gt;=4,"A",IF(I76&gt;=3,"B",IF(I76&gt;=2,"C","D"))))</f>
        <v/>
      </c>
      <c r="K76" s="27"/>
      <c r="L76" s="27"/>
      <c r="M76" s="30"/>
      <c r="N76" s="26"/>
    </row>
    <row r="77" customFormat="false" ht="15" hidden="false" customHeight="false" outlineLevel="0" collapsed="false">
      <c r="A77" s="26"/>
      <c r="B77" s="27"/>
      <c r="C77" s="27"/>
      <c r="D77" s="27"/>
      <c r="E77" s="27"/>
      <c r="F77" s="27"/>
      <c r="G77" s="27"/>
      <c r="H77" s="27"/>
      <c r="I77" s="28" t="str">
        <f aca="false">IF(COUNTA(D77:H77)=0,"",SUMPRODUCT(D77:H77,$D$9:$H$9))</f>
        <v/>
      </c>
      <c r="J77" s="29" t="str">
        <f aca="false">IF(I77="","",IF(I77&gt;=4,"A",IF(I77&gt;=3,"B",IF(I77&gt;=2,"C","D"))))</f>
        <v/>
      </c>
      <c r="K77" s="27"/>
      <c r="L77" s="27"/>
      <c r="M77" s="30"/>
      <c r="N77" s="26"/>
    </row>
    <row r="78" customFormat="false" ht="15" hidden="false" customHeight="false" outlineLevel="0" collapsed="false">
      <c r="A78" s="26"/>
      <c r="B78" s="27"/>
      <c r="C78" s="27"/>
      <c r="D78" s="27"/>
      <c r="E78" s="27"/>
      <c r="F78" s="27"/>
      <c r="G78" s="27"/>
      <c r="H78" s="27"/>
      <c r="I78" s="28" t="str">
        <f aca="false">IF(COUNTA(D78:H78)=0,"",SUMPRODUCT(D78:H78,$D$9:$H$9))</f>
        <v/>
      </c>
      <c r="J78" s="29" t="str">
        <f aca="false">IF(I78="","",IF(I78&gt;=4,"A",IF(I78&gt;=3,"B",IF(I78&gt;=2,"C","D"))))</f>
        <v/>
      </c>
      <c r="K78" s="27"/>
      <c r="L78" s="27"/>
      <c r="M78" s="30"/>
      <c r="N78" s="26"/>
    </row>
    <row r="79" customFormat="false" ht="15" hidden="false" customHeight="false" outlineLevel="0" collapsed="false">
      <c r="A79" s="26"/>
      <c r="B79" s="27"/>
      <c r="C79" s="27"/>
      <c r="D79" s="27"/>
      <c r="E79" s="27"/>
      <c r="F79" s="27"/>
      <c r="G79" s="27"/>
      <c r="H79" s="27"/>
      <c r="I79" s="28" t="str">
        <f aca="false">IF(COUNTA(D79:H79)=0,"",SUMPRODUCT(D79:H79,$D$9:$H$9))</f>
        <v/>
      </c>
      <c r="J79" s="29" t="str">
        <f aca="false">IF(I79="","",IF(I79&gt;=4,"A",IF(I79&gt;=3,"B",IF(I79&gt;=2,"C","D"))))</f>
        <v/>
      </c>
      <c r="K79" s="27"/>
      <c r="L79" s="27"/>
      <c r="M79" s="30"/>
      <c r="N79" s="26"/>
    </row>
    <row r="80" customFormat="false" ht="15" hidden="false" customHeight="false" outlineLevel="0" collapsed="false">
      <c r="A80" s="26"/>
      <c r="B80" s="27"/>
      <c r="C80" s="27"/>
      <c r="D80" s="27"/>
      <c r="E80" s="27"/>
      <c r="F80" s="27"/>
      <c r="G80" s="27"/>
      <c r="H80" s="27"/>
      <c r="I80" s="28" t="str">
        <f aca="false">IF(COUNTA(D80:H80)=0,"",SUMPRODUCT(D80:H80,$D$9:$H$9))</f>
        <v/>
      </c>
      <c r="J80" s="29" t="str">
        <f aca="false">IF(I80="","",IF(I80&gt;=4,"A",IF(I80&gt;=3,"B",IF(I80&gt;=2,"C","D"))))</f>
        <v/>
      </c>
      <c r="K80" s="27"/>
      <c r="L80" s="27"/>
      <c r="M80" s="30"/>
      <c r="N80" s="26"/>
    </row>
    <row r="81" customFormat="false" ht="15" hidden="false" customHeight="false" outlineLevel="0" collapsed="false">
      <c r="A81" s="26"/>
      <c r="B81" s="27"/>
      <c r="C81" s="27"/>
      <c r="D81" s="27"/>
      <c r="E81" s="27"/>
      <c r="F81" s="27"/>
      <c r="G81" s="27"/>
      <c r="H81" s="27"/>
      <c r="I81" s="28" t="str">
        <f aca="false">IF(COUNTA(D81:H81)=0,"",SUMPRODUCT(D81:H81,$D$9:$H$9))</f>
        <v/>
      </c>
      <c r="J81" s="29" t="str">
        <f aca="false">IF(I81="","",IF(I81&gt;=4,"A",IF(I81&gt;=3,"B",IF(I81&gt;=2,"C","D"))))</f>
        <v/>
      </c>
      <c r="K81" s="27"/>
      <c r="L81" s="27"/>
      <c r="M81" s="30"/>
      <c r="N81" s="26"/>
    </row>
    <row r="82" customFormat="false" ht="15" hidden="false" customHeight="false" outlineLevel="0" collapsed="false">
      <c r="A82" s="26"/>
      <c r="B82" s="27"/>
      <c r="C82" s="27"/>
      <c r="D82" s="27"/>
      <c r="E82" s="27"/>
      <c r="F82" s="27"/>
      <c r="G82" s="27"/>
      <c r="H82" s="27"/>
      <c r="I82" s="28" t="str">
        <f aca="false">IF(COUNTA(D82:H82)=0,"",SUMPRODUCT(D82:H82,$D$9:$H$9))</f>
        <v/>
      </c>
      <c r="J82" s="29" t="str">
        <f aca="false">IF(I82="","",IF(I82&gt;=4,"A",IF(I82&gt;=3,"B",IF(I82&gt;=2,"C","D"))))</f>
        <v/>
      </c>
      <c r="K82" s="27"/>
      <c r="L82" s="27"/>
      <c r="M82" s="30"/>
      <c r="N82" s="26"/>
    </row>
    <row r="83" customFormat="false" ht="15" hidden="false" customHeight="false" outlineLevel="0" collapsed="false">
      <c r="A83" s="26"/>
      <c r="B83" s="27"/>
      <c r="C83" s="27"/>
      <c r="D83" s="27"/>
      <c r="E83" s="27"/>
      <c r="F83" s="27"/>
      <c r="G83" s="27"/>
      <c r="H83" s="27"/>
      <c r="I83" s="28" t="str">
        <f aca="false">IF(COUNTA(D83:H83)=0,"",SUMPRODUCT(D83:H83,$D$9:$H$9))</f>
        <v/>
      </c>
      <c r="J83" s="29" t="str">
        <f aca="false">IF(I83="","",IF(I83&gt;=4,"A",IF(I83&gt;=3,"B",IF(I83&gt;=2,"C","D"))))</f>
        <v/>
      </c>
      <c r="K83" s="27"/>
      <c r="L83" s="27"/>
      <c r="M83" s="30"/>
      <c r="N83" s="26"/>
    </row>
    <row r="84" customFormat="false" ht="15" hidden="false" customHeight="false" outlineLevel="0" collapsed="false">
      <c r="A84" s="26"/>
      <c r="B84" s="27"/>
      <c r="C84" s="27"/>
      <c r="D84" s="27"/>
      <c r="E84" s="27"/>
      <c r="F84" s="27"/>
      <c r="G84" s="27"/>
      <c r="H84" s="27"/>
      <c r="I84" s="28" t="str">
        <f aca="false">IF(COUNTA(D84:H84)=0,"",SUMPRODUCT(D84:H84,$D$9:$H$9))</f>
        <v/>
      </c>
      <c r="J84" s="29" t="str">
        <f aca="false">IF(I84="","",IF(I84&gt;=4,"A",IF(I84&gt;=3,"B",IF(I84&gt;=2,"C","D"))))</f>
        <v/>
      </c>
      <c r="K84" s="27"/>
      <c r="L84" s="27"/>
      <c r="M84" s="30"/>
      <c r="N84" s="26"/>
    </row>
    <row r="85" customFormat="false" ht="15" hidden="false" customHeight="false" outlineLevel="0" collapsed="false">
      <c r="A85" s="26"/>
      <c r="B85" s="27"/>
      <c r="C85" s="27"/>
      <c r="D85" s="27"/>
      <c r="E85" s="27"/>
      <c r="F85" s="27"/>
      <c r="G85" s="27"/>
      <c r="H85" s="27"/>
      <c r="I85" s="28" t="str">
        <f aca="false">IF(COUNTA(D85:H85)=0,"",SUMPRODUCT(D85:H85,$D$9:$H$9))</f>
        <v/>
      </c>
      <c r="J85" s="29" t="str">
        <f aca="false">IF(I85="","",IF(I85&gt;=4,"A",IF(I85&gt;=3,"B",IF(I85&gt;=2,"C","D"))))</f>
        <v/>
      </c>
      <c r="K85" s="27"/>
      <c r="L85" s="27"/>
      <c r="M85" s="30"/>
      <c r="N85" s="26"/>
    </row>
    <row r="86" customFormat="false" ht="15" hidden="false" customHeight="false" outlineLevel="0" collapsed="false">
      <c r="A86" s="26"/>
      <c r="B86" s="27"/>
      <c r="C86" s="27"/>
      <c r="D86" s="27"/>
      <c r="E86" s="27"/>
      <c r="F86" s="27"/>
      <c r="G86" s="27"/>
      <c r="H86" s="27"/>
      <c r="I86" s="28" t="str">
        <f aca="false">IF(COUNTA(D86:H86)=0,"",SUMPRODUCT(D86:H86,$D$9:$H$9))</f>
        <v/>
      </c>
      <c r="J86" s="29" t="str">
        <f aca="false">IF(I86="","",IF(I86&gt;=4,"A",IF(I86&gt;=3,"B",IF(I86&gt;=2,"C","D"))))</f>
        <v/>
      </c>
      <c r="K86" s="27"/>
      <c r="L86" s="27"/>
      <c r="M86" s="30"/>
      <c r="N86" s="26"/>
    </row>
    <row r="87" customFormat="false" ht="15" hidden="false" customHeight="false" outlineLevel="0" collapsed="false">
      <c r="A87" s="26"/>
      <c r="B87" s="27"/>
      <c r="C87" s="27"/>
      <c r="D87" s="27"/>
      <c r="E87" s="27"/>
      <c r="F87" s="27"/>
      <c r="G87" s="27"/>
      <c r="H87" s="27"/>
      <c r="I87" s="28" t="str">
        <f aca="false">IF(COUNTA(D87:H87)=0,"",SUMPRODUCT(D87:H87,$D$9:$H$9))</f>
        <v/>
      </c>
      <c r="J87" s="29" t="str">
        <f aca="false">IF(I87="","",IF(I87&gt;=4,"A",IF(I87&gt;=3,"B",IF(I87&gt;=2,"C","D"))))</f>
        <v/>
      </c>
      <c r="K87" s="27"/>
      <c r="L87" s="27"/>
      <c r="M87" s="30"/>
      <c r="N87" s="26"/>
    </row>
    <row r="88" customFormat="false" ht="15" hidden="false" customHeight="false" outlineLevel="0" collapsed="false">
      <c r="A88" s="26"/>
      <c r="B88" s="27"/>
      <c r="C88" s="27"/>
      <c r="D88" s="27"/>
      <c r="E88" s="27"/>
      <c r="F88" s="27"/>
      <c r="G88" s="27"/>
      <c r="H88" s="27"/>
      <c r="I88" s="28" t="str">
        <f aca="false">IF(COUNTA(D88:H88)=0,"",SUMPRODUCT(D88:H88,$D$9:$H$9))</f>
        <v/>
      </c>
      <c r="J88" s="29" t="str">
        <f aca="false">IF(I88="","",IF(I88&gt;=4,"A",IF(I88&gt;=3,"B",IF(I88&gt;=2,"C","D"))))</f>
        <v/>
      </c>
      <c r="K88" s="27"/>
      <c r="L88" s="27"/>
      <c r="M88" s="30"/>
      <c r="N88" s="26"/>
    </row>
    <row r="89" customFormat="false" ht="15" hidden="false" customHeight="false" outlineLevel="0" collapsed="false">
      <c r="A89" s="26"/>
      <c r="B89" s="27"/>
      <c r="C89" s="27"/>
      <c r="D89" s="27"/>
      <c r="E89" s="27"/>
      <c r="F89" s="27"/>
      <c r="G89" s="27"/>
      <c r="H89" s="27"/>
      <c r="I89" s="28" t="str">
        <f aca="false">IF(COUNTA(D89:H89)=0,"",SUMPRODUCT(D89:H89,$D$9:$H$9))</f>
        <v/>
      </c>
      <c r="J89" s="29" t="str">
        <f aca="false">IF(I89="","",IF(I89&gt;=4,"A",IF(I89&gt;=3,"B",IF(I89&gt;=2,"C","D"))))</f>
        <v/>
      </c>
      <c r="K89" s="27"/>
      <c r="L89" s="27"/>
      <c r="M89" s="30"/>
      <c r="N89" s="26"/>
    </row>
    <row r="90" customFormat="false" ht="15" hidden="false" customHeight="false" outlineLevel="0" collapsed="false">
      <c r="A90" s="26"/>
      <c r="B90" s="27"/>
      <c r="C90" s="27"/>
      <c r="D90" s="27"/>
      <c r="E90" s="27"/>
      <c r="F90" s="27"/>
      <c r="G90" s="27"/>
      <c r="H90" s="27"/>
      <c r="I90" s="28" t="str">
        <f aca="false">IF(COUNTA(D90:H90)=0,"",SUMPRODUCT(D90:H90,$D$9:$H$9))</f>
        <v/>
      </c>
      <c r="J90" s="29" t="str">
        <f aca="false">IF(I90="","",IF(I90&gt;=4,"A",IF(I90&gt;=3,"B",IF(I90&gt;=2,"C","D"))))</f>
        <v/>
      </c>
      <c r="K90" s="27"/>
      <c r="L90" s="27"/>
      <c r="M90" s="30"/>
      <c r="N90" s="26"/>
    </row>
    <row r="91" customFormat="false" ht="15" hidden="false" customHeight="false" outlineLevel="0" collapsed="false">
      <c r="A91" s="26"/>
      <c r="B91" s="27"/>
      <c r="C91" s="27"/>
      <c r="D91" s="27"/>
      <c r="E91" s="27"/>
      <c r="F91" s="27"/>
      <c r="G91" s="27"/>
      <c r="H91" s="27"/>
      <c r="I91" s="28" t="str">
        <f aca="false">IF(COUNTA(D91:H91)=0,"",SUMPRODUCT(D91:H91,$D$9:$H$9))</f>
        <v/>
      </c>
      <c r="J91" s="29" t="str">
        <f aca="false">IF(I91="","",IF(I91&gt;=4,"A",IF(I91&gt;=3,"B",IF(I91&gt;=2,"C","D"))))</f>
        <v/>
      </c>
      <c r="K91" s="27"/>
      <c r="L91" s="27"/>
      <c r="M91" s="30"/>
      <c r="N91" s="26"/>
    </row>
    <row r="92" customFormat="false" ht="15" hidden="false" customHeight="false" outlineLevel="0" collapsed="false">
      <c r="A92" s="26"/>
      <c r="B92" s="27"/>
      <c r="C92" s="27"/>
      <c r="D92" s="27"/>
      <c r="E92" s="27"/>
      <c r="F92" s="27"/>
      <c r="G92" s="27"/>
      <c r="H92" s="27"/>
      <c r="I92" s="28" t="str">
        <f aca="false">IF(COUNTA(D92:H92)=0,"",SUMPRODUCT(D92:H92,$D$9:$H$9))</f>
        <v/>
      </c>
      <c r="J92" s="29" t="str">
        <f aca="false">IF(I92="","",IF(I92&gt;=4,"A",IF(I92&gt;=3,"B",IF(I92&gt;=2,"C","D"))))</f>
        <v/>
      </c>
      <c r="K92" s="27"/>
      <c r="L92" s="27"/>
      <c r="M92" s="30"/>
      <c r="N92" s="26"/>
    </row>
    <row r="93" customFormat="false" ht="15" hidden="false" customHeight="false" outlineLevel="0" collapsed="false">
      <c r="A93" s="26"/>
      <c r="B93" s="27"/>
      <c r="C93" s="27"/>
      <c r="D93" s="27"/>
      <c r="E93" s="27"/>
      <c r="F93" s="27"/>
      <c r="G93" s="27"/>
      <c r="H93" s="27"/>
      <c r="I93" s="28" t="str">
        <f aca="false">IF(COUNTA(D93:H93)=0,"",SUMPRODUCT(D93:H93,$D$9:$H$9))</f>
        <v/>
      </c>
      <c r="J93" s="29" t="str">
        <f aca="false">IF(I93="","",IF(I93&gt;=4,"A",IF(I93&gt;=3,"B",IF(I93&gt;=2,"C","D"))))</f>
        <v/>
      </c>
      <c r="K93" s="27"/>
      <c r="L93" s="27"/>
      <c r="M93" s="30"/>
      <c r="N93" s="26"/>
    </row>
    <row r="94" customFormat="false" ht="15" hidden="false" customHeight="false" outlineLevel="0" collapsed="false">
      <c r="A94" s="26"/>
      <c r="B94" s="27"/>
      <c r="C94" s="27"/>
      <c r="D94" s="27"/>
      <c r="E94" s="27"/>
      <c r="F94" s="27"/>
      <c r="G94" s="27"/>
      <c r="H94" s="27"/>
      <c r="I94" s="28" t="str">
        <f aca="false">IF(COUNTA(D94:H94)=0,"",SUMPRODUCT(D94:H94,$D$9:$H$9))</f>
        <v/>
      </c>
      <c r="J94" s="29" t="str">
        <f aca="false">IF(I94="","",IF(I94&gt;=4,"A",IF(I94&gt;=3,"B",IF(I94&gt;=2,"C","D"))))</f>
        <v/>
      </c>
      <c r="K94" s="27"/>
      <c r="L94" s="27"/>
      <c r="M94" s="30"/>
      <c r="N94" s="26"/>
    </row>
    <row r="95" customFormat="false" ht="15" hidden="false" customHeight="false" outlineLevel="0" collapsed="false">
      <c r="A95" s="26"/>
      <c r="B95" s="27"/>
      <c r="C95" s="27"/>
      <c r="D95" s="27"/>
      <c r="E95" s="27"/>
      <c r="F95" s="27"/>
      <c r="G95" s="27"/>
      <c r="H95" s="27"/>
      <c r="I95" s="28" t="str">
        <f aca="false">IF(COUNTA(D95:H95)=0,"",SUMPRODUCT(D95:H95,$D$9:$H$9))</f>
        <v/>
      </c>
      <c r="J95" s="29" t="str">
        <f aca="false">IF(I95="","",IF(I95&gt;=4,"A",IF(I95&gt;=3,"B",IF(I95&gt;=2,"C","D"))))</f>
        <v/>
      </c>
      <c r="K95" s="27"/>
      <c r="L95" s="27"/>
      <c r="M95" s="30"/>
      <c r="N95" s="26"/>
    </row>
    <row r="96" customFormat="false" ht="15" hidden="false" customHeight="false" outlineLevel="0" collapsed="false">
      <c r="A96" s="26"/>
      <c r="B96" s="27"/>
      <c r="C96" s="27"/>
      <c r="D96" s="27"/>
      <c r="E96" s="27"/>
      <c r="F96" s="27"/>
      <c r="G96" s="27"/>
      <c r="H96" s="27"/>
      <c r="I96" s="28" t="str">
        <f aca="false">IF(COUNTA(D96:H96)=0,"",SUMPRODUCT(D96:H96,$D$9:$H$9))</f>
        <v/>
      </c>
      <c r="J96" s="29" t="str">
        <f aca="false">IF(I96="","",IF(I96&gt;=4,"A",IF(I96&gt;=3,"B",IF(I96&gt;=2,"C","D"))))</f>
        <v/>
      </c>
      <c r="K96" s="27"/>
      <c r="L96" s="27"/>
      <c r="M96" s="30"/>
      <c r="N96" s="26"/>
    </row>
    <row r="97" customFormat="false" ht="15" hidden="false" customHeight="false" outlineLevel="0" collapsed="false">
      <c r="A97" s="26"/>
      <c r="B97" s="27"/>
      <c r="C97" s="27"/>
      <c r="D97" s="27"/>
      <c r="E97" s="27"/>
      <c r="F97" s="27"/>
      <c r="G97" s="27"/>
      <c r="H97" s="27"/>
      <c r="I97" s="28" t="str">
        <f aca="false">IF(COUNTA(D97:H97)=0,"",SUMPRODUCT(D97:H97,$D$9:$H$9))</f>
        <v/>
      </c>
      <c r="J97" s="29" t="str">
        <f aca="false">IF(I97="","",IF(I97&gt;=4,"A",IF(I97&gt;=3,"B",IF(I97&gt;=2,"C","D"))))</f>
        <v/>
      </c>
      <c r="K97" s="27"/>
      <c r="L97" s="27"/>
      <c r="M97" s="30"/>
      <c r="N97" s="26"/>
    </row>
    <row r="98" customFormat="false" ht="15" hidden="false" customHeight="false" outlineLevel="0" collapsed="false">
      <c r="A98" s="26"/>
      <c r="B98" s="27"/>
      <c r="C98" s="27"/>
      <c r="D98" s="27"/>
      <c r="E98" s="27"/>
      <c r="F98" s="27"/>
      <c r="G98" s="27"/>
      <c r="H98" s="27"/>
      <c r="I98" s="28" t="str">
        <f aca="false">IF(COUNTA(D98:H98)=0,"",SUMPRODUCT(D98:H98,$D$9:$H$9))</f>
        <v/>
      </c>
      <c r="J98" s="29" t="str">
        <f aca="false">IF(I98="","",IF(I98&gt;=4,"A",IF(I98&gt;=3,"B",IF(I98&gt;=2,"C","D"))))</f>
        <v/>
      </c>
      <c r="K98" s="27"/>
      <c r="L98" s="27"/>
      <c r="M98" s="30"/>
      <c r="N98" s="26"/>
    </row>
    <row r="99" customFormat="false" ht="15" hidden="false" customHeight="false" outlineLevel="0" collapsed="false">
      <c r="A99" s="26"/>
      <c r="B99" s="27"/>
      <c r="C99" s="27"/>
      <c r="D99" s="27"/>
      <c r="E99" s="27"/>
      <c r="F99" s="27"/>
      <c r="G99" s="27"/>
      <c r="H99" s="27"/>
      <c r="I99" s="28" t="str">
        <f aca="false">IF(COUNTA(D99:H99)=0,"",SUMPRODUCT(D99:H99,$D$9:$H$9))</f>
        <v/>
      </c>
      <c r="J99" s="29" t="str">
        <f aca="false">IF(I99="","",IF(I99&gt;=4,"A",IF(I99&gt;=3,"B",IF(I99&gt;=2,"C","D"))))</f>
        <v/>
      </c>
      <c r="K99" s="27"/>
      <c r="L99" s="27"/>
      <c r="M99" s="30"/>
      <c r="N99" s="26"/>
    </row>
    <row r="100" customFormat="false" ht="15" hidden="false" customHeight="false" outlineLevel="0" collapsed="false">
      <c r="A100" s="26"/>
      <c r="B100" s="27"/>
      <c r="C100" s="27"/>
      <c r="D100" s="27"/>
      <c r="E100" s="27"/>
      <c r="F100" s="27"/>
      <c r="G100" s="27"/>
      <c r="H100" s="27"/>
      <c r="I100" s="28" t="str">
        <f aca="false">IF(COUNTA(D100:H100)=0,"",SUMPRODUCT(D100:H100,$D$9:$H$9))</f>
        <v/>
      </c>
      <c r="J100" s="29" t="str">
        <f aca="false">IF(I100="","",IF(I100&gt;=4,"A",IF(I100&gt;=3,"B",IF(I100&gt;=2,"C","D"))))</f>
        <v/>
      </c>
      <c r="K100" s="27"/>
      <c r="L100" s="27"/>
      <c r="M100" s="30"/>
      <c r="N100" s="26"/>
    </row>
    <row r="101" customFormat="false" ht="15" hidden="false" customHeight="false" outlineLevel="0" collapsed="false">
      <c r="A101" s="26"/>
      <c r="B101" s="27"/>
      <c r="C101" s="27"/>
      <c r="D101" s="27"/>
      <c r="E101" s="27"/>
      <c r="F101" s="27"/>
      <c r="G101" s="27"/>
      <c r="H101" s="27"/>
      <c r="I101" s="28" t="str">
        <f aca="false">IF(COUNTA(D101:H101)=0,"",SUMPRODUCT(D101:H101,$D$9:$H$9))</f>
        <v/>
      </c>
      <c r="J101" s="29" t="str">
        <f aca="false">IF(I101="","",IF(I101&gt;=4,"A",IF(I101&gt;=3,"B",IF(I101&gt;=2,"C","D"))))</f>
        <v/>
      </c>
      <c r="K101" s="27"/>
      <c r="L101" s="27"/>
      <c r="M101" s="30"/>
      <c r="N101" s="26"/>
    </row>
    <row r="102" customFormat="false" ht="15" hidden="false" customHeight="false" outlineLevel="0" collapsed="false">
      <c r="A102" s="26"/>
      <c r="B102" s="27"/>
      <c r="C102" s="27"/>
      <c r="D102" s="27"/>
      <c r="E102" s="27"/>
      <c r="F102" s="27"/>
      <c r="G102" s="27"/>
      <c r="H102" s="27"/>
      <c r="I102" s="28" t="str">
        <f aca="false">IF(COUNTA(D102:H102)=0,"",SUMPRODUCT(D102:H102,$D$9:$H$9))</f>
        <v/>
      </c>
      <c r="J102" s="29" t="str">
        <f aca="false">IF(I102="","",IF(I102&gt;=4,"A",IF(I102&gt;=3,"B",IF(I102&gt;=2,"C","D"))))</f>
        <v/>
      </c>
      <c r="K102" s="27"/>
      <c r="L102" s="27"/>
      <c r="M102" s="30"/>
      <c r="N102" s="26"/>
    </row>
    <row r="103" customFormat="false" ht="15" hidden="false" customHeight="false" outlineLevel="0" collapsed="false">
      <c r="A103" s="26"/>
      <c r="B103" s="27"/>
      <c r="C103" s="27"/>
      <c r="D103" s="27"/>
      <c r="E103" s="27"/>
      <c r="F103" s="27"/>
      <c r="G103" s="27"/>
      <c r="H103" s="27"/>
      <c r="I103" s="28" t="str">
        <f aca="false">IF(COUNTA(D103:H103)=0,"",SUMPRODUCT(D103:H103,$D$9:$H$9))</f>
        <v/>
      </c>
      <c r="J103" s="29" t="str">
        <f aca="false">IF(I103="","",IF(I103&gt;=4,"A",IF(I103&gt;=3,"B",IF(I103&gt;=2,"C","D"))))</f>
        <v/>
      </c>
      <c r="K103" s="27"/>
      <c r="L103" s="27"/>
      <c r="M103" s="30"/>
      <c r="N103" s="26"/>
    </row>
    <row r="104" customFormat="false" ht="15" hidden="false" customHeight="false" outlineLevel="0" collapsed="false">
      <c r="A104" s="26"/>
      <c r="B104" s="27"/>
      <c r="C104" s="27"/>
      <c r="D104" s="27"/>
      <c r="E104" s="27"/>
      <c r="F104" s="27"/>
      <c r="G104" s="27"/>
      <c r="H104" s="27"/>
      <c r="I104" s="28" t="str">
        <f aca="false">IF(COUNTA(D104:H104)=0,"",SUMPRODUCT(D104:H104,$D$9:$H$9))</f>
        <v/>
      </c>
      <c r="J104" s="29" t="str">
        <f aca="false">IF(I104="","",IF(I104&gt;=4,"A",IF(I104&gt;=3,"B",IF(I104&gt;=2,"C","D"))))</f>
        <v/>
      </c>
      <c r="K104" s="27"/>
      <c r="L104" s="27"/>
      <c r="M104" s="30"/>
      <c r="N104" s="26"/>
    </row>
    <row r="105" customFormat="false" ht="15" hidden="false" customHeight="false" outlineLevel="0" collapsed="false">
      <c r="A105" s="26"/>
      <c r="B105" s="27"/>
      <c r="C105" s="27"/>
      <c r="D105" s="27"/>
      <c r="E105" s="27"/>
      <c r="F105" s="27"/>
      <c r="G105" s="27"/>
      <c r="H105" s="27"/>
      <c r="I105" s="28" t="str">
        <f aca="false">IF(COUNTA(D105:H105)=0,"",SUMPRODUCT(D105:H105,$D$9:$H$9))</f>
        <v/>
      </c>
      <c r="J105" s="29" t="str">
        <f aca="false">IF(I105="","",IF(I105&gt;=4,"A",IF(I105&gt;=3,"B",IF(I105&gt;=2,"C","D"))))</f>
        <v/>
      </c>
      <c r="K105" s="27"/>
      <c r="L105" s="27"/>
      <c r="M105" s="30"/>
      <c r="N105" s="26"/>
    </row>
    <row r="106" customFormat="false" ht="15" hidden="false" customHeight="false" outlineLevel="0" collapsed="false">
      <c r="A106" s="26"/>
      <c r="B106" s="27"/>
      <c r="C106" s="27"/>
      <c r="D106" s="27"/>
      <c r="E106" s="27"/>
      <c r="F106" s="27"/>
      <c r="G106" s="27"/>
      <c r="H106" s="27"/>
      <c r="I106" s="28" t="str">
        <f aca="false">IF(COUNTA(D106:H106)=0,"",SUMPRODUCT(D106:H106,$D$9:$H$9))</f>
        <v/>
      </c>
      <c r="J106" s="29" t="str">
        <f aca="false">IF(I106="","",IF(I106&gt;=4,"A",IF(I106&gt;=3,"B",IF(I106&gt;=2,"C","D"))))</f>
        <v/>
      </c>
      <c r="K106" s="27"/>
      <c r="L106" s="27"/>
      <c r="M106" s="30"/>
      <c r="N106" s="26"/>
    </row>
    <row r="107" customFormat="false" ht="15" hidden="false" customHeight="false" outlineLevel="0" collapsed="false">
      <c r="A107" s="26"/>
      <c r="B107" s="27"/>
      <c r="C107" s="27"/>
      <c r="D107" s="27"/>
      <c r="E107" s="27"/>
      <c r="F107" s="27"/>
      <c r="G107" s="27"/>
      <c r="H107" s="27"/>
      <c r="I107" s="28" t="str">
        <f aca="false">IF(COUNTA(D107:H107)=0,"",SUMPRODUCT(D107:H107,$D$9:$H$9))</f>
        <v/>
      </c>
      <c r="J107" s="29" t="str">
        <f aca="false">IF(I107="","",IF(I107&gt;=4,"A",IF(I107&gt;=3,"B",IF(I107&gt;=2,"C","D"))))</f>
        <v/>
      </c>
      <c r="K107" s="27"/>
      <c r="L107" s="27"/>
      <c r="M107" s="30"/>
      <c r="N107" s="26"/>
    </row>
    <row r="108" customFormat="false" ht="15" hidden="false" customHeight="false" outlineLevel="0" collapsed="false">
      <c r="A108" s="26"/>
      <c r="B108" s="27"/>
      <c r="C108" s="27"/>
      <c r="D108" s="27"/>
      <c r="E108" s="27"/>
      <c r="F108" s="27"/>
      <c r="G108" s="27"/>
      <c r="H108" s="27"/>
      <c r="I108" s="28" t="str">
        <f aca="false">IF(COUNTA(D108:H108)=0,"",SUMPRODUCT(D108:H108,$D$9:$H$9))</f>
        <v/>
      </c>
      <c r="J108" s="29" t="str">
        <f aca="false">IF(I108="","",IF(I108&gt;=4,"A",IF(I108&gt;=3,"B",IF(I108&gt;=2,"C","D"))))</f>
        <v/>
      </c>
      <c r="K108" s="27"/>
      <c r="L108" s="27"/>
      <c r="M108" s="30"/>
      <c r="N108" s="26"/>
    </row>
    <row r="109" customFormat="false" ht="15" hidden="false" customHeight="false" outlineLevel="0" collapsed="false">
      <c r="A109" s="26"/>
      <c r="B109" s="27"/>
      <c r="C109" s="27"/>
      <c r="D109" s="27"/>
      <c r="E109" s="27"/>
      <c r="F109" s="27"/>
      <c r="G109" s="27"/>
      <c r="H109" s="27"/>
      <c r="I109" s="28" t="str">
        <f aca="false">IF(COUNTA(D109:H109)=0,"",SUMPRODUCT(D109:H109,$D$9:$H$9))</f>
        <v/>
      </c>
      <c r="J109" s="29" t="str">
        <f aca="false">IF(I109="","",IF(I109&gt;=4,"A",IF(I109&gt;=3,"B",IF(I109&gt;=2,"C","D"))))</f>
        <v/>
      </c>
      <c r="K109" s="27"/>
      <c r="L109" s="27"/>
      <c r="M109" s="30"/>
      <c r="N109" s="26"/>
    </row>
    <row r="110" customFormat="false" ht="15" hidden="false" customHeight="false" outlineLevel="0" collapsed="false">
      <c r="A110" s="26"/>
      <c r="B110" s="27"/>
      <c r="C110" s="27"/>
      <c r="D110" s="27"/>
      <c r="E110" s="27"/>
      <c r="F110" s="27"/>
      <c r="G110" s="27"/>
      <c r="H110" s="27"/>
      <c r="I110" s="28" t="str">
        <f aca="false">IF(COUNTA(D110:H110)=0,"",SUMPRODUCT(D110:H110,$D$9:$H$9))</f>
        <v/>
      </c>
      <c r="J110" s="29" t="str">
        <f aca="false">IF(I110="","",IF(I110&gt;=4,"A",IF(I110&gt;=3,"B",IF(I110&gt;=2,"C","D"))))</f>
        <v/>
      </c>
      <c r="K110" s="27"/>
      <c r="L110" s="27"/>
      <c r="M110" s="30"/>
      <c r="N110" s="26"/>
    </row>
    <row r="111" customFormat="false" ht="15" hidden="false" customHeight="false" outlineLevel="0" collapsed="false">
      <c r="A111" s="26"/>
      <c r="B111" s="27"/>
      <c r="C111" s="27"/>
      <c r="D111" s="27"/>
      <c r="E111" s="27"/>
      <c r="F111" s="27"/>
      <c r="G111" s="27"/>
      <c r="H111" s="27"/>
      <c r="I111" s="28" t="str">
        <f aca="false">IF(COUNTA(D111:H111)=0,"",SUMPRODUCT(D111:H111,$D$9:$H$9))</f>
        <v/>
      </c>
      <c r="J111" s="29" t="str">
        <f aca="false">IF(I111="","",IF(I111&gt;=4,"A",IF(I111&gt;=3,"B",IF(I111&gt;=2,"C","D"))))</f>
        <v/>
      </c>
      <c r="K111" s="27"/>
      <c r="L111" s="27"/>
      <c r="M111" s="30"/>
      <c r="N111" s="26"/>
    </row>
    <row r="112" customFormat="false" ht="15" hidden="false" customHeight="false" outlineLevel="0" collapsed="false">
      <c r="A112" s="26"/>
      <c r="B112" s="27"/>
      <c r="C112" s="27"/>
      <c r="D112" s="27"/>
      <c r="E112" s="27"/>
      <c r="F112" s="27"/>
      <c r="G112" s="27"/>
      <c r="H112" s="27"/>
      <c r="I112" s="28" t="str">
        <f aca="false">IF(COUNTA(D112:H112)=0,"",SUMPRODUCT(D112:H112,$D$9:$H$9))</f>
        <v/>
      </c>
      <c r="J112" s="29" t="str">
        <f aca="false">IF(I112="","",IF(I112&gt;=4,"A",IF(I112&gt;=3,"B",IF(I112&gt;=2,"C","D"))))</f>
        <v/>
      </c>
      <c r="K112" s="27"/>
      <c r="L112" s="27"/>
      <c r="M112" s="30"/>
      <c r="N112" s="26"/>
    </row>
    <row r="113" customFormat="false" ht="15" hidden="false" customHeight="false" outlineLevel="0" collapsed="false">
      <c r="A113" s="26"/>
      <c r="B113" s="27"/>
      <c r="C113" s="27"/>
      <c r="D113" s="27"/>
      <c r="E113" s="27"/>
      <c r="F113" s="27"/>
      <c r="G113" s="27"/>
      <c r="H113" s="27"/>
      <c r="I113" s="28" t="str">
        <f aca="false">IF(COUNTA(D113:H113)=0,"",SUMPRODUCT(D113:H113,$D$9:$H$9))</f>
        <v/>
      </c>
      <c r="J113" s="29" t="str">
        <f aca="false">IF(I113="","",IF(I113&gt;=4,"A",IF(I113&gt;=3,"B",IF(I113&gt;=2,"C","D"))))</f>
        <v/>
      </c>
      <c r="K113" s="27"/>
      <c r="L113" s="27"/>
      <c r="M113" s="30"/>
      <c r="N113" s="26"/>
    </row>
    <row r="114" customFormat="false" ht="15" hidden="false" customHeight="false" outlineLevel="0" collapsed="false">
      <c r="A114" s="26"/>
      <c r="B114" s="27"/>
      <c r="C114" s="27"/>
      <c r="D114" s="27"/>
      <c r="E114" s="27"/>
      <c r="F114" s="27"/>
      <c r="G114" s="27"/>
      <c r="H114" s="27"/>
      <c r="I114" s="28" t="str">
        <f aca="false">IF(COUNTA(D114:H114)=0,"",SUMPRODUCT(D114:H114,$D$9:$H$9))</f>
        <v/>
      </c>
      <c r="J114" s="29" t="str">
        <f aca="false">IF(I114="","",IF(I114&gt;=4,"A",IF(I114&gt;=3,"B",IF(I114&gt;=2,"C","D"))))</f>
        <v/>
      </c>
      <c r="K114" s="27"/>
      <c r="L114" s="27"/>
      <c r="M114" s="30"/>
      <c r="N114" s="26"/>
    </row>
    <row r="115" customFormat="false" ht="15" hidden="false" customHeight="false" outlineLevel="0" collapsed="false">
      <c r="A115" s="26"/>
      <c r="B115" s="27"/>
      <c r="C115" s="27"/>
      <c r="D115" s="27"/>
      <c r="E115" s="27"/>
      <c r="F115" s="27"/>
      <c r="G115" s="27"/>
      <c r="H115" s="27"/>
      <c r="I115" s="28" t="str">
        <f aca="false">IF(COUNTA(D115:H115)=0,"",SUMPRODUCT(D115:H115,$D$9:$H$9))</f>
        <v/>
      </c>
      <c r="J115" s="29" t="str">
        <f aca="false">IF(I115="","",IF(I115&gt;=4,"A",IF(I115&gt;=3,"B",IF(I115&gt;=2,"C","D"))))</f>
        <v/>
      </c>
      <c r="K115" s="27"/>
      <c r="L115" s="27"/>
      <c r="M115" s="30"/>
      <c r="N115" s="26"/>
    </row>
    <row r="116" customFormat="false" ht="15" hidden="false" customHeight="false" outlineLevel="0" collapsed="false">
      <c r="A116" s="26"/>
      <c r="B116" s="27"/>
      <c r="C116" s="27"/>
      <c r="D116" s="27"/>
      <c r="E116" s="27"/>
      <c r="F116" s="27"/>
      <c r="G116" s="27"/>
      <c r="H116" s="27"/>
      <c r="I116" s="28" t="str">
        <f aca="false">IF(COUNTA(D116:H116)=0,"",SUMPRODUCT(D116:H116,$D$9:$H$9))</f>
        <v/>
      </c>
      <c r="J116" s="29" t="str">
        <f aca="false">IF(I116="","",IF(I116&gt;=4,"A",IF(I116&gt;=3,"B",IF(I116&gt;=2,"C","D"))))</f>
        <v/>
      </c>
      <c r="K116" s="27"/>
      <c r="L116" s="27"/>
      <c r="M116" s="30"/>
      <c r="N116" s="26"/>
    </row>
    <row r="117" customFormat="false" ht="15" hidden="false" customHeight="false" outlineLevel="0" collapsed="false">
      <c r="A117" s="26"/>
      <c r="B117" s="27"/>
      <c r="C117" s="27"/>
      <c r="D117" s="27"/>
      <c r="E117" s="27"/>
      <c r="F117" s="27"/>
      <c r="G117" s="27"/>
      <c r="H117" s="27"/>
      <c r="I117" s="28" t="str">
        <f aca="false">IF(COUNTA(D117:H117)=0,"",SUMPRODUCT(D117:H117,$D$9:$H$9))</f>
        <v/>
      </c>
      <c r="J117" s="29" t="str">
        <f aca="false">IF(I117="","",IF(I117&gt;=4,"A",IF(I117&gt;=3,"B",IF(I117&gt;=2,"C","D"))))</f>
        <v/>
      </c>
      <c r="K117" s="27"/>
      <c r="L117" s="27"/>
      <c r="M117" s="30"/>
      <c r="N117" s="26"/>
    </row>
    <row r="118" customFormat="false" ht="15" hidden="false" customHeight="false" outlineLevel="0" collapsed="false">
      <c r="A118" s="26"/>
      <c r="B118" s="27"/>
      <c r="C118" s="27"/>
      <c r="D118" s="27"/>
      <c r="E118" s="27"/>
      <c r="F118" s="27"/>
      <c r="G118" s="27"/>
      <c r="H118" s="27"/>
      <c r="I118" s="28" t="str">
        <f aca="false">IF(COUNTA(D118:H118)=0,"",SUMPRODUCT(D118:H118,$D$9:$H$9))</f>
        <v/>
      </c>
      <c r="J118" s="29" t="str">
        <f aca="false">IF(I118="","",IF(I118&gt;=4,"A",IF(I118&gt;=3,"B",IF(I118&gt;=2,"C","D"))))</f>
        <v/>
      </c>
      <c r="K118" s="27"/>
      <c r="L118" s="27"/>
      <c r="M118" s="30"/>
      <c r="N118" s="26"/>
    </row>
    <row r="119" customFormat="false" ht="15" hidden="false" customHeight="false" outlineLevel="0" collapsed="false">
      <c r="A119" s="26"/>
      <c r="B119" s="27"/>
      <c r="C119" s="27"/>
      <c r="D119" s="27"/>
      <c r="E119" s="27"/>
      <c r="F119" s="27"/>
      <c r="G119" s="27"/>
      <c r="H119" s="27"/>
      <c r="I119" s="28" t="str">
        <f aca="false">IF(COUNTA(D119:H119)=0,"",SUMPRODUCT(D119:H119,$D$9:$H$9))</f>
        <v/>
      </c>
      <c r="J119" s="29" t="str">
        <f aca="false">IF(I119="","",IF(I119&gt;=4,"A",IF(I119&gt;=3,"B",IF(I119&gt;=2,"C","D"))))</f>
        <v/>
      </c>
      <c r="K119" s="27"/>
      <c r="L119" s="27"/>
      <c r="M119" s="30"/>
      <c r="N119" s="26"/>
    </row>
    <row r="120" customFormat="false" ht="15" hidden="false" customHeight="false" outlineLevel="0" collapsed="false">
      <c r="A120" s="26"/>
      <c r="B120" s="27"/>
      <c r="C120" s="27"/>
      <c r="D120" s="27"/>
      <c r="E120" s="27"/>
      <c r="F120" s="27"/>
      <c r="G120" s="27"/>
      <c r="H120" s="27"/>
      <c r="I120" s="28" t="str">
        <f aca="false">IF(COUNTA(D120:H120)=0,"",SUMPRODUCT(D120:H120,$D$9:$H$9))</f>
        <v/>
      </c>
      <c r="J120" s="29" t="str">
        <f aca="false">IF(I120="","",IF(I120&gt;=4,"A",IF(I120&gt;=3,"B",IF(I120&gt;=2,"C","D"))))</f>
        <v/>
      </c>
      <c r="K120" s="27"/>
      <c r="L120" s="27"/>
      <c r="M120" s="30"/>
      <c r="N120" s="26"/>
    </row>
    <row r="121" customFormat="false" ht="15" hidden="false" customHeight="false" outlineLevel="0" collapsed="false">
      <c r="A121" s="26"/>
      <c r="B121" s="27"/>
      <c r="C121" s="27"/>
      <c r="D121" s="27"/>
      <c r="E121" s="27"/>
      <c r="F121" s="27"/>
      <c r="G121" s="27"/>
      <c r="H121" s="27"/>
      <c r="I121" s="28" t="str">
        <f aca="false">IF(COUNTA(D121:H121)=0,"",SUMPRODUCT(D121:H121,$D$9:$H$9))</f>
        <v/>
      </c>
      <c r="J121" s="29" t="str">
        <f aca="false">IF(I121="","",IF(I121&gt;=4,"A",IF(I121&gt;=3,"B",IF(I121&gt;=2,"C","D"))))</f>
        <v/>
      </c>
      <c r="K121" s="27"/>
      <c r="L121" s="27"/>
      <c r="M121" s="30"/>
      <c r="N121" s="26"/>
    </row>
    <row r="122" customFormat="false" ht="15" hidden="false" customHeight="false" outlineLevel="0" collapsed="false">
      <c r="A122" s="26"/>
      <c r="B122" s="27"/>
      <c r="C122" s="27"/>
      <c r="D122" s="27"/>
      <c r="E122" s="27"/>
      <c r="F122" s="27"/>
      <c r="G122" s="27"/>
      <c r="H122" s="27"/>
      <c r="I122" s="28" t="str">
        <f aca="false">IF(COUNTA(D122:H122)=0,"",SUMPRODUCT(D122:H122,$D$9:$H$9))</f>
        <v/>
      </c>
      <c r="J122" s="29" t="str">
        <f aca="false">IF(I122="","",IF(I122&gt;=4,"A",IF(I122&gt;=3,"B",IF(I122&gt;=2,"C","D"))))</f>
        <v/>
      </c>
      <c r="K122" s="27"/>
      <c r="L122" s="27"/>
      <c r="M122" s="30"/>
      <c r="N122" s="26"/>
    </row>
    <row r="123" customFormat="false" ht="15" hidden="false" customHeight="false" outlineLevel="0" collapsed="false">
      <c r="A123" s="26"/>
      <c r="B123" s="27"/>
      <c r="C123" s="27"/>
      <c r="D123" s="27"/>
      <c r="E123" s="27"/>
      <c r="F123" s="27"/>
      <c r="G123" s="27"/>
      <c r="H123" s="27"/>
      <c r="I123" s="28" t="str">
        <f aca="false">IF(COUNTA(D123:H123)=0,"",SUMPRODUCT(D123:H123,$D$9:$H$9))</f>
        <v/>
      </c>
      <c r="J123" s="29" t="str">
        <f aca="false">IF(I123="","",IF(I123&gt;=4,"A",IF(I123&gt;=3,"B",IF(I123&gt;=2,"C","D"))))</f>
        <v/>
      </c>
      <c r="K123" s="27"/>
      <c r="L123" s="27"/>
      <c r="M123" s="30"/>
      <c r="N123" s="26"/>
    </row>
    <row r="124" customFormat="false" ht="15" hidden="false" customHeight="false" outlineLevel="0" collapsed="false">
      <c r="A124" s="26"/>
      <c r="B124" s="27"/>
      <c r="C124" s="27"/>
      <c r="D124" s="27"/>
      <c r="E124" s="27"/>
      <c r="F124" s="27"/>
      <c r="G124" s="27"/>
      <c r="H124" s="27"/>
      <c r="I124" s="28" t="str">
        <f aca="false">IF(COUNTA(D124:H124)=0,"",SUMPRODUCT(D124:H124,$D$9:$H$9))</f>
        <v/>
      </c>
      <c r="J124" s="29" t="str">
        <f aca="false">IF(I124="","",IF(I124&gt;=4,"A",IF(I124&gt;=3,"B",IF(I124&gt;=2,"C","D"))))</f>
        <v/>
      </c>
      <c r="K124" s="27"/>
      <c r="L124" s="27"/>
      <c r="M124" s="30"/>
      <c r="N124" s="26"/>
    </row>
    <row r="125" customFormat="false" ht="15" hidden="false" customHeight="false" outlineLevel="0" collapsed="false">
      <c r="A125" s="26"/>
      <c r="B125" s="27"/>
      <c r="C125" s="27"/>
      <c r="D125" s="27"/>
      <c r="E125" s="27"/>
      <c r="F125" s="27"/>
      <c r="G125" s="27"/>
      <c r="H125" s="27"/>
      <c r="I125" s="28" t="str">
        <f aca="false">IF(COUNTA(D125:H125)=0,"",SUMPRODUCT(D125:H125,$D$9:$H$9))</f>
        <v/>
      </c>
      <c r="J125" s="29" t="str">
        <f aca="false">IF(I125="","",IF(I125&gt;=4,"A",IF(I125&gt;=3,"B",IF(I125&gt;=2,"C","D"))))</f>
        <v/>
      </c>
      <c r="K125" s="27"/>
      <c r="L125" s="27"/>
      <c r="M125" s="30"/>
      <c r="N125" s="26"/>
    </row>
    <row r="126" customFormat="false" ht="15" hidden="false" customHeight="false" outlineLevel="0" collapsed="false">
      <c r="A126" s="26"/>
      <c r="B126" s="27"/>
      <c r="C126" s="27"/>
      <c r="D126" s="27"/>
      <c r="E126" s="27"/>
      <c r="F126" s="27"/>
      <c r="G126" s="27"/>
      <c r="H126" s="27"/>
      <c r="I126" s="28" t="str">
        <f aca="false">IF(COUNTA(D126:H126)=0,"",SUMPRODUCT(D126:H126,$D$9:$H$9))</f>
        <v/>
      </c>
      <c r="J126" s="29" t="str">
        <f aca="false">IF(I126="","",IF(I126&gt;=4,"A",IF(I126&gt;=3,"B",IF(I126&gt;=2,"C","D"))))</f>
        <v/>
      </c>
      <c r="K126" s="27"/>
      <c r="L126" s="27"/>
      <c r="M126" s="30"/>
      <c r="N126" s="26"/>
    </row>
    <row r="127" customFormat="false" ht="15" hidden="false" customHeight="false" outlineLevel="0" collapsed="false">
      <c r="A127" s="26"/>
      <c r="B127" s="27"/>
      <c r="C127" s="27"/>
      <c r="D127" s="27"/>
      <c r="E127" s="27"/>
      <c r="F127" s="27"/>
      <c r="G127" s="27"/>
      <c r="H127" s="27"/>
      <c r="I127" s="28" t="str">
        <f aca="false">IF(COUNTA(D127:H127)=0,"",SUMPRODUCT(D127:H127,$D$9:$H$9))</f>
        <v/>
      </c>
      <c r="J127" s="29" t="str">
        <f aca="false">IF(I127="","",IF(I127&gt;=4,"A",IF(I127&gt;=3,"B",IF(I127&gt;=2,"C","D"))))</f>
        <v/>
      </c>
      <c r="K127" s="27"/>
      <c r="L127" s="27"/>
      <c r="M127" s="30"/>
      <c r="N127" s="26"/>
    </row>
    <row r="128" customFormat="false" ht="15" hidden="false" customHeight="false" outlineLevel="0" collapsed="false">
      <c r="A128" s="26"/>
      <c r="B128" s="27"/>
      <c r="C128" s="27"/>
      <c r="D128" s="27"/>
      <c r="E128" s="27"/>
      <c r="F128" s="27"/>
      <c r="G128" s="27"/>
      <c r="H128" s="27"/>
      <c r="I128" s="28" t="str">
        <f aca="false">IF(COUNTA(D128:H128)=0,"",SUMPRODUCT(D128:H128,$D$9:$H$9))</f>
        <v/>
      </c>
      <c r="J128" s="29" t="str">
        <f aca="false">IF(I128="","",IF(I128&gt;=4,"A",IF(I128&gt;=3,"B",IF(I128&gt;=2,"C","D"))))</f>
        <v/>
      </c>
      <c r="K128" s="27"/>
      <c r="L128" s="27"/>
      <c r="M128" s="30"/>
      <c r="N128" s="26"/>
    </row>
    <row r="129" customFormat="false" ht="15" hidden="false" customHeight="false" outlineLevel="0" collapsed="false">
      <c r="A129" s="26"/>
      <c r="B129" s="27"/>
      <c r="C129" s="27"/>
      <c r="D129" s="27"/>
      <c r="E129" s="27"/>
      <c r="F129" s="27"/>
      <c r="G129" s="27"/>
      <c r="H129" s="27"/>
      <c r="I129" s="28" t="str">
        <f aca="false">IF(COUNTA(D129:H129)=0,"",SUMPRODUCT(D129:H129,$D$9:$H$9))</f>
        <v/>
      </c>
      <c r="J129" s="29" t="str">
        <f aca="false">IF(I129="","",IF(I129&gt;=4,"A",IF(I129&gt;=3,"B",IF(I129&gt;=2,"C","D"))))</f>
        <v/>
      </c>
      <c r="K129" s="27"/>
      <c r="L129" s="27"/>
      <c r="M129" s="30"/>
      <c r="N129" s="26"/>
    </row>
    <row r="130" customFormat="false" ht="15" hidden="false" customHeight="false" outlineLevel="0" collapsed="false">
      <c r="A130" s="26"/>
      <c r="B130" s="27"/>
      <c r="C130" s="27"/>
      <c r="D130" s="27"/>
      <c r="E130" s="27"/>
      <c r="F130" s="27"/>
      <c r="G130" s="27"/>
      <c r="H130" s="27"/>
      <c r="I130" s="28" t="str">
        <f aca="false">IF(COUNTA(D130:H130)=0,"",SUMPRODUCT(D130:H130,$D$9:$H$9))</f>
        <v/>
      </c>
      <c r="J130" s="29" t="str">
        <f aca="false">IF(I130="","",IF(I130&gt;=4,"A",IF(I130&gt;=3,"B",IF(I130&gt;=2,"C","D"))))</f>
        <v/>
      </c>
      <c r="K130" s="27"/>
      <c r="L130" s="27"/>
      <c r="M130" s="30"/>
      <c r="N130" s="26"/>
    </row>
    <row r="131" customFormat="false" ht="15" hidden="false" customHeight="false" outlineLevel="0" collapsed="false">
      <c r="A131" s="26"/>
      <c r="B131" s="27"/>
      <c r="C131" s="27"/>
      <c r="D131" s="27"/>
      <c r="E131" s="27"/>
      <c r="F131" s="27"/>
      <c r="G131" s="27"/>
      <c r="H131" s="27"/>
      <c r="I131" s="28" t="str">
        <f aca="false">IF(COUNTA(D131:H131)=0,"",SUMPRODUCT(D131:H131,$D$9:$H$9))</f>
        <v/>
      </c>
      <c r="J131" s="29" t="str">
        <f aca="false">IF(I131="","",IF(I131&gt;=4,"A",IF(I131&gt;=3,"B",IF(I131&gt;=2,"C","D"))))</f>
        <v/>
      </c>
      <c r="K131" s="27"/>
      <c r="L131" s="27"/>
      <c r="M131" s="30"/>
      <c r="N131" s="26"/>
    </row>
    <row r="132" customFormat="false" ht="15" hidden="false" customHeight="false" outlineLevel="0" collapsed="false">
      <c r="A132" s="26"/>
      <c r="B132" s="27"/>
      <c r="C132" s="27"/>
      <c r="D132" s="27"/>
      <c r="E132" s="27"/>
      <c r="F132" s="27"/>
      <c r="G132" s="27"/>
      <c r="H132" s="27"/>
      <c r="I132" s="28" t="str">
        <f aca="false">IF(COUNTA(D132:H132)=0,"",SUMPRODUCT(D132:H132,$D$9:$H$9))</f>
        <v/>
      </c>
      <c r="J132" s="29" t="str">
        <f aca="false">IF(I132="","",IF(I132&gt;=4,"A",IF(I132&gt;=3,"B",IF(I132&gt;=2,"C","D"))))</f>
        <v/>
      </c>
      <c r="K132" s="27"/>
      <c r="L132" s="27"/>
      <c r="M132" s="30"/>
      <c r="N132" s="26"/>
    </row>
    <row r="133" customFormat="false" ht="15" hidden="false" customHeight="false" outlineLevel="0" collapsed="false">
      <c r="A133" s="26"/>
      <c r="B133" s="27"/>
      <c r="C133" s="27"/>
      <c r="D133" s="27"/>
      <c r="E133" s="27"/>
      <c r="F133" s="27"/>
      <c r="G133" s="27"/>
      <c r="H133" s="27"/>
      <c r="I133" s="28" t="str">
        <f aca="false">IF(COUNTA(D133:H133)=0,"",SUMPRODUCT(D133:H133,$D$9:$H$9))</f>
        <v/>
      </c>
      <c r="J133" s="29" t="str">
        <f aca="false">IF(I133="","",IF(I133&gt;=4,"A",IF(I133&gt;=3,"B",IF(I133&gt;=2,"C","D"))))</f>
        <v/>
      </c>
      <c r="K133" s="27"/>
      <c r="L133" s="27"/>
      <c r="M133" s="30"/>
      <c r="N133" s="26"/>
    </row>
    <row r="134" customFormat="false" ht="15" hidden="false" customHeight="false" outlineLevel="0" collapsed="false">
      <c r="A134" s="26"/>
      <c r="B134" s="27"/>
      <c r="C134" s="27"/>
      <c r="D134" s="27"/>
      <c r="E134" s="27"/>
      <c r="F134" s="27"/>
      <c r="G134" s="27"/>
      <c r="H134" s="27"/>
      <c r="I134" s="28" t="str">
        <f aca="false">IF(COUNTA(D134:H134)=0,"",SUMPRODUCT(D134:H134,$D$9:$H$9))</f>
        <v/>
      </c>
      <c r="J134" s="29" t="str">
        <f aca="false">IF(I134="","",IF(I134&gt;=4,"A",IF(I134&gt;=3,"B",IF(I134&gt;=2,"C","D"))))</f>
        <v/>
      </c>
      <c r="K134" s="27"/>
      <c r="L134" s="27"/>
      <c r="M134" s="30"/>
      <c r="N134" s="26"/>
    </row>
    <row r="135" customFormat="false" ht="15" hidden="false" customHeight="false" outlineLevel="0" collapsed="false">
      <c r="A135" s="26"/>
      <c r="B135" s="27"/>
      <c r="C135" s="27"/>
      <c r="D135" s="27"/>
      <c r="E135" s="27"/>
      <c r="F135" s="27"/>
      <c r="G135" s="27"/>
      <c r="H135" s="27"/>
      <c r="I135" s="28" t="str">
        <f aca="false">IF(COUNTA(D135:H135)=0,"",SUMPRODUCT(D135:H135,$D$9:$H$9))</f>
        <v/>
      </c>
      <c r="J135" s="29" t="str">
        <f aca="false">IF(I135="","",IF(I135&gt;=4,"A",IF(I135&gt;=3,"B",IF(I135&gt;=2,"C","D"))))</f>
        <v/>
      </c>
      <c r="K135" s="27"/>
      <c r="L135" s="27"/>
      <c r="M135" s="30"/>
      <c r="N135" s="26"/>
    </row>
    <row r="136" customFormat="false" ht="15" hidden="false" customHeight="false" outlineLevel="0" collapsed="false">
      <c r="A136" s="26"/>
      <c r="B136" s="27"/>
      <c r="C136" s="27"/>
      <c r="D136" s="27"/>
      <c r="E136" s="27"/>
      <c r="F136" s="27"/>
      <c r="G136" s="27"/>
      <c r="H136" s="27"/>
      <c r="I136" s="28" t="str">
        <f aca="false">IF(COUNTA(D136:H136)=0,"",SUMPRODUCT(D136:H136,$D$9:$H$9))</f>
        <v/>
      </c>
      <c r="J136" s="29" t="str">
        <f aca="false">IF(I136="","",IF(I136&gt;=4,"A",IF(I136&gt;=3,"B",IF(I136&gt;=2,"C","D"))))</f>
        <v/>
      </c>
      <c r="K136" s="27"/>
      <c r="L136" s="27"/>
      <c r="M136" s="30"/>
      <c r="N136" s="26"/>
    </row>
    <row r="137" customFormat="false" ht="15" hidden="false" customHeight="false" outlineLevel="0" collapsed="false">
      <c r="A137" s="26"/>
      <c r="B137" s="27"/>
      <c r="C137" s="27"/>
      <c r="D137" s="27"/>
      <c r="E137" s="27"/>
      <c r="F137" s="27"/>
      <c r="G137" s="27"/>
      <c r="H137" s="27"/>
      <c r="I137" s="28" t="str">
        <f aca="false">IF(COUNTA(D137:H137)=0,"",SUMPRODUCT(D137:H137,$D$9:$H$9))</f>
        <v/>
      </c>
      <c r="J137" s="29" t="str">
        <f aca="false">IF(I137="","",IF(I137&gt;=4,"A",IF(I137&gt;=3,"B",IF(I137&gt;=2,"C","D"))))</f>
        <v/>
      </c>
      <c r="K137" s="27"/>
      <c r="L137" s="27"/>
      <c r="M137" s="30"/>
      <c r="N137" s="26"/>
    </row>
    <row r="138" customFormat="false" ht="15" hidden="false" customHeight="false" outlineLevel="0" collapsed="false">
      <c r="A138" s="26"/>
      <c r="B138" s="27"/>
      <c r="C138" s="27"/>
      <c r="D138" s="27"/>
      <c r="E138" s="27"/>
      <c r="F138" s="27"/>
      <c r="G138" s="27"/>
      <c r="H138" s="27"/>
      <c r="I138" s="28" t="str">
        <f aca="false">IF(COUNTA(D138:H138)=0,"",SUMPRODUCT(D138:H138,$D$9:$H$9))</f>
        <v/>
      </c>
      <c r="J138" s="29" t="str">
        <f aca="false">IF(I138="","",IF(I138&gt;=4,"A",IF(I138&gt;=3,"B",IF(I138&gt;=2,"C","D"))))</f>
        <v/>
      </c>
      <c r="K138" s="27"/>
      <c r="L138" s="27"/>
      <c r="M138" s="30"/>
      <c r="N138" s="26"/>
    </row>
    <row r="139" customFormat="false" ht="15" hidden="false" customHeight="false" outlineLevel="0" collapsed="false">
      <c r="A139" s="26"/>
      <c r="B139" s="27"/>
      <c r="C139" s="27"/>
      <c r="D139" s="27"/>
      <c r="E139" s="27"/>
      <c r="F139" s="27"/>
      <c r="G139" s="27"/>
      <c r="H139" s="27"/>
      <c r="I139" s="28" t="str">
        <f aca="false">IF(COUNTA(D139:H139)=0,"",SUMPRODUCT(D139:H139,$D$9:$H$9))</f>
        <v/>
      </c>
      <c r="J139" s="29" t="str">
        <f aca="false">IF(I139="","",IF(I139&gt;=4,"A",IF(I139&gt;=3,"B",IF(I139&gt;=2,"C","D"))))</f>
        <v/>
      </c>
      <c r="K139" s="27"/>
      <c r="L139" s="27"/>
      <c r="M139" s="30"/>
      <c r="N139" s="26"/>
    </row>
    <row r="140" customFormat="false" ht="15" hidden="false" customHeight="false" outlineLevel="0" collapsed="false">
      <c r="A140" s="26"/>
      <c r="B140" s="27"/>
      <c r="C140" s="27"/>
      <c r="D140" s="27"/>
      <c r="E140" s="27"/>
      <c r="F140" s="27"/>
      <c r="G140" s="27"/>
      <c r="H140" s="27"/>
      <c r="I140" s="28" t="str">
        <f aca="false">IF(COUNTA(D140:H140)=0,"",SUMPRODUCT(D140:H140,$D$9:$H$9))</f>
        <v/>
      </c>
      <c r="J140" s="29" t="str">
        <f aca="false">IF(I140="","",IF(I140&gt;=4,"A",IF(I140&gt;=3,"B",IF(I140&gt;=2,"C","D"))))</f>
        <v/>
      </c>
      <c r="K140" s="27"/>
      <c r="L140" s="27"/>
      <c r="M140" s="30"/>
      <c r="N140" s="26"/>
    </row>
    <row r="141" customFormat="false" ht="15" hidden="false" customHeight="false" outlineLevel="0" collapsed="false">
      <c r="A141" s="26"/>
      <c r="B141" s="27"/>
      <c r="C141" s="27"/>
      <c r="D141" s="27"/>
      <c r="E141" s="27"/>
      <c r="F141" s="27"/>
      <c r="G141" s="27"/>
      <c r="H141" s="27"/>
      <c r="I141" s="28" t="str">
        <f aca="false">IF(COUNTA(D141:H141)=0,"",SUMPRODUCT(D141:H141,$D$9:$H$9))</f>
        <v/>
      </c>
      <c r="J141" s="29" t="str">
        <f aca="false">IF(I141="","",IF(I141&gt;=4,"A",IF(I141&gt;=3,"B",IF(I141&gt;=2,"C","D"))))</f>
        <v/>
      </c>
      <c r="K141" s="27"/>
      <c r="L141" s="27"/>
      <c r="M141" s="30"/>
      <c r="N141" s="26"/>
    </row>
    <row r="142" customFormat="false" ht="15" hidden="false" customHeight="false" outlineLevel="0" collapsed="false">
      <c r="A142" s="26"/>
      <c r="B142" s="27"/>
      <c r="C142" s="27"/>
      <c r="D142" s="27"/>
      <c r="E142" s="27"/>
      <c r="F142" s="27"/>
      <c r="G142" s="27"/>
      <c r="H142" s="27"/>
      <c r="I142" s="28" t="str">
        <f aca="false">IF(COUNTA(D142:H142)=0,"",SUMPRODUCT(D142:H142,$D$9:$H$9))</f>
        <v/>
      </c>
      <c r="J142" s="29" t="str">
        <f aca="false">IF(I142="","",IF(I142&gt;=4,"A",IF(I142&gt;=3,"B",IF(I142&gt;=2,"C","D"))))</f>
        <v/>
      </c>
      <c r="K142" s="27"/>
      <c r="L142" s="27"/>
      <c r="M142" s="30"/>
      <c r="N142" s="26"/>
    </row>
    <row r="143" customFormat="false" ht="15" hidden="false" customHeight="false" outlineLevel="0" collapsed="false">
      <c r="A143" s="26"/>
      <c r="B143" s="27"/>
      <c r="C143" s="27"/>
      <c r="D143" s="27"/>
      <c r="E143" s="27"/>
      <c r="F143" s="27"/>
      <c r="G143" s="27"/>
      <c r="H143" s="27"/>
      <c r="I143" s="28" t="str">
        <f aca="false">IF(COUNTA(D143:H143)=0,"",SUMPRODUCT(D143:H143,$D$9:$H$9))</f>
        <v/>
      </c>
      <c r="J143" s="29" t="str">
        <f aca="false">IF(I143="","",IF(I143&gt;=4,"A",IF(I143&gt;=3,"B",IF(I143&gt;=2,"C","D"))))</f>
        <v/>
      </c>
      <c r="K143" s="27"/>
      <c r="L143" s="27"/>
      <c r="M143" s="30"/>
      <c r="N143" s="26"/>
    </row>
    <row r="144" customFormat="false" ht="15" hidden="false" customHeight="false" outlineLevel="0" collapsed="false">
      <c r="A144" s="26"/>
      <c r="B144" s="27"/>
      <c r="C144" s="27"/>
      <c r="D144" s="27"/>
      <c r="E144" s="27"/>
      <c r="F144" s="27"/>
      <c r="G144" s="27"/>
      <c r="H144" s="27"/>
      <c r="I144" s="28" t="str">
        <f aca="false">IF(COUNTA(D144:H144)=0,"",SUMPRODUCT(D144:H144,$D$9:$H$9))</f>
        <v/>
      </c>
      <c r="J144" s="29" t="str">
        <f aca="false">IF(I144="","",IF(I144&gt;=4,"A",IF(I144&gt;=3,"B",IF(I144&gt;=2,"C","D"))))</f>
        <v/>
      </c>
      <c r="K144" s="27"/>
      <c r="L144" s="27"/>
      <c r="M144" s="30"/>
      <c r="N144" s="26"/>
    </row>
    <row r="145" customFormat="false" ht="15" hidden="false" customHeight="false" outlineLevel="0" collapsed="false">
      <c r="A145" s="26"/>
      <c r="B145" s="27"/>
      <c r="C145" s="27"/>
      <c r="D145" s="27"/>
      <c r="E145" s="27"/>
      <c r="F145" s="27"/>
      <c r="G145" s="27"/>
      <c r="H145" s="27"/>
      <c r="I145" s="28" t="str">
        <f aca="false">IF(COUNTA(D145:H145)=0,"",SUMPRODUCT(D145:H145,$D$9:$H$9))</f>
        <v/>
      </c>
      <c r="J145" s="29" t="str">
        <f aca="false">IF(I145="","",IF(I145&gt;=4,"A",IF(I145&gt;=3,"B",IF(I145&gt;=2,"C","D"))))</f>
        <v/>
      </c>
      <c r="K145" s="27"/>
      <c r="L145" s="27"/>
      <c r="M145" s="30"/>
      <c r="N145" s="26"/>
    </row>
    <row r="146" customFormat="false" ht="15" hidden="false" customHeight="false" outlineLevel="0" collapsed="false">
      <c r="A146" s="26"/>
      <c r="B146" s="27"/>
      <c r="C146" s="27"/>
      <c r="D146" s="27"/>
      <c r="E146" s="27"/>
      <c r="F146" s="27"/>
      <c r="G146" s="27"/>
      <c r="H146" s="27"/>
      <c r="I146" s="28" t="str">
        <f aca="false">IF(COUNTA(D146:H146)=0,"",SUMPRODUCT(D146:H146,$D$9:$H$9))</f>
        <v/>
      </c>
      <c r="J146" s="29" t="str">
        <f aca="false">IF(I146="","",IF(I146&gt;=4,"A",IF(I146&gt;=3,"B",IF(I146&gt;=2,"C","D"))))</f>
        <v/>
      </c>
      <c r="K146" s="27"/>
      <c r="L146" s="27"/>
      <c r="M146" s="30"/>
      <c r="N146" s="26"/>
    </row>
    <row r="147" customFormat="false" ht="15" hidden="false" customHeight="false" outlineLevel="0" collapsed="false">
      <c r="A147" s="26"/>
      <c r="B147" s="27"/>
      <c r="C147" s="27"/>
      <c r="D147" s="27"/>
      <c r="E147" s="27"/>
      <c r="F147" s="27"/>
      <c r="G147" s="27"/>
      <c r="H147" s="27"/>
      <c r="I147" s="28" t="str">
        <f aca="false">IF(COUNTA(D147:H147)=0,"",SUMPRODUCT(D147:H147,$D$9:$H$9))</f>
        <v/>
      </c>
      <c r="J147" s="29" t="str">
        <f aca="false">IF(I147="","",IF(I147&gt;=4,"A",IF(I147&gt;=3,"B",IF(I147&gt;=2,"C","D"))))</f>
        <v/>
      </c>
      <c r="K147" s="27"/>
      <c r="L147" s="27"/>
      <c r="M147" s="30"/>
      <c r="N147" s="26"/>
    </row>
    <row r="148" customFormat="false" ht="15" hidden="false" customHeight="false" outlineLevel="0" collapsed="false">
      <c r="A148" s="26"/>
      <c r="B148" s="27"/>
      <c r="C148" s="27"/>
      <c r="D148" s="27"/>
      <c r="E148" s="27"/>
      <c r="F148" s="27"/>
      <c r="G148" s="27"/>
      <c r="H148" s="27"/>
      <c r="I148" s="28" t="str">
        <f aca="false">IF(COUNTA(D148:H148)=0,"",SUMPRODUCT(D148:H148,$D$9:$H$9))</f>
        <v/>
      </c>
      <c r="J148" s="29" t="str">
        <f aca="false">IF(I148="","",IF(I148&gt;=4,"A",IF(I148&gt;=3,"B",IF(I148&gt;=2,"C","D"))))</f>
        <v/>
      </c>
      <c r="K148" s="27"/>
      <c r="L148" s="27"/>
      <c r="M148" s="30"/>
      <c r="N148" s="26"/>
    </row>
    <row r="149" customFormat="false" ht="15" hidden="false" customHeight="false" outlineLevel="0" collapsed="false">
      <c r="A149" s="26"/>
      <c r="B149" s="27"/>
      <c r="C149" s="27"/>
      <c r="D149" s="27"/>
      <c r="E149" s="27"/>
      <c r="F149" s="27"/>
      <c r="G149" s="27"/>
      <c r="H149" s="27"/>
      <c r="I149" s="28" t="str">
        <f aca="false">IF(COUNTA(D149:H149)=0,"",SUMPRODUCT(D149:H149,$D$9:$H$9))</f>
        <v/>
      </c>
      <c r="J149" s="29" t="str">
        <f aca="false">IF(I149="","",IF(I149&gt;=4,"A",IF(I149&gt;=3,"B",IF(I149&gt;=2,"C","D"))))</f>
        <v/>
      </c>
      <c r="K149" s="27"/>
      <c r="L149" s="27"/>
      <c r="M149" s="30"/>
      <c r="N149" s="26"/>
    </row>
    <row r="150" customFormat="false" ht="15" hidden="false" customHeight="false" outlineLevel="0" collapsed="false">
      <c r="A150" s="26"/>
      <c r="B150" s="27"/>
      <c r="C150" s="27"/>
      <c r="D150" s="27"/>
      <c r="E150" s="27"/>
      <c r="F150" s="27"/>
      <c r="G150" s="27"/>
      <c r="H150" s="27"/>
      <c r="I150" s="28" t="str">
        <f aca="false">IF(COUNTA(D150:H150)=0,"",SUMPRODUCT(D150:H150,$D$9:$H$9))</f>
        <v/>
      </c>
      <c r="J150" s="29" t="str">
        <f aca="false">IF(I150="","",IF(I150&gt;=4,"A",IF(I150&gt;=3,"B",IF(I150&gt;=2,"C","D"))))</f>
        <v/>
      </c>
      <c r="K150" s="27"/>
      <c r="L150" s="27"/>
      <c r="M150" s="30"/>
      <c r="N150" s="26"/>
    </row>
    <row r="151" customFormat="false" ht="15" hidden="false" customHeight="false" outlineLevel="0" collapsed="false">
      <c r="A151" s="26"/>
      <c r="B151" s="27"/>
      <c r="C151" s="27"/>
      <c r="D151" s="27"/>
      <c r="E151" s="27"/>
      <c r="F151" s="27"/>
      <c r="G151" s="27"/>
      <c r="H151" s="27"/>
      <c r="I151" s="28" t="str">
        <f aca="false">IF(COUNTA(D151:H151)=0,"",SUMPRODUCT(D151:H151,$D$9:$H$9))</f>
        <v/>
      </c>
      <c r="J151" s="29" t="str">
        <f aca="false">IF(I151="","",IF(I151&gt;=4,"A",IF(I151&gt;=3,"B",IF(I151&gt;=2,"C","D"))))</f>
        <v/>
      </c>
      <c r="K151" s="27"/>
      <c r="L151" s="27"/>
      <c r="M151" s="30"/>
      <c r="N151" s="26"/>
    </row>
    <row r="152" customFormat="false" ht="15" hidden="false" customHeight="false" outlineLevel="0" collapsed="false">
      <c r="A152" s="26"/>
      <c r="B152" s="27"/>
      <c r="C152" s="27"/>
      <c r="D152" s="27"/>
      <c r="E152" s="27"/>
      <c r="F152" s="27"/>
      <c r="G152" s="27"/>
      <c r="H152" s="27"/>
      <c r="I152" s="28" t="str">
        <f aca="false">IF(COUNTA(D152:H152)=0,"",SUMPRODUCT(D152:H152,$D$9:$H$9))</f>
        <v/>
      </c>
      <c r="J152" s="29" t="str">
        <f aca="false">IF(I152="","",IF(I152&gt;=4,"A",IF(I152&gt;=3,"B",IF(I152&gt;=2,"C","D"))))</f>
        <v/>
      </c>
      <c r="K152" s="27"/>
      <c r="L152" s="27"/>
      <c r="M152" s="30"/>
      <c r="N152" s="26"/>
    </row>
    <row r="153" customFormat="false" ht="15" hidden="false" customHeight="false" outlineLevel="0" collapsed="false">
      <c r="A153" s="26"/>
      <c r="B153" s="27"/>
      <c r="C153" s="27"/>
      <c r="D153" s="27"/>
      <c r="E153" s="27"/>
      <c r="F153" s="27"/>
      <c r="G153" s="27"/>
      <c r="H153" s="27"/>
      <c r="I153" s="28" t="str">
        <f aca="false">IF(COUNTA(D153:H153)=0,"",SUMPRODUCT(D153:H153,$D$9:$H$9))</f>
        <v/>
      </c>
      <c r="J153" s="29" t="str">
        <f aca="false">IF(I153="","",IF(I153&gt;=4,"A",IF(I153&gt;=3,"B",IF(I153&gt;=2,"C","D"))))</f>
        <v/>
      </c>
      <c r="K153" s="27"/>
      <c r="L153" s="27"/>
      <c r="M153" s="30"/>
      <c r="N153" s="26"/>
    </row>
    <row r="154" customFormat="false" ht="15" hidden="false" customHeight="false" outlineLevel="0" collapsed="false">
      <c r="A154" s="26"/>
      <c r="B154" s="27"/>
      <c r="C154" s="27"/>
      <c r="D154" s="27"/>
      <c r="E154" s="27"/>
      <c r="F154" s="27"/>
      <c r="G154" s="27"/>
      <c r="H154" s="27"/>
      <c r="I154" s="28" t="str">
        <f aca="false">IF(COUNTA(D154:H154)=0,"",SUMPRODUCT(D154:H154,$D$9:$H$9))</f>
        <v/>
      </c>
      <c r="J154" s="29" t="str">
        <f aca="false">IF(I154="","",IF(I154&gt;=4,"A",IF(I154&gt;=3,"B",IF(I154&gt;=2,"C","D"))))</f>
        <v/>
      </c>
      <c r="K154" s="27"/>
      <c r="L154" s="27"/>
      <c r="M154" s="30"/>
      <c r="N154" s="26"/>
    </row>
    <row r="155" customFormat="false" ht="15" hidden="false" customHeight="false" outlineLevel="0" collapsed="false">
      <c r="A155" s="26"/>
      <c r="B155" s="27"/>
      <c r="C155" s="27"/>
      <c r="D155" s="27"/>
      <c r="E155" s="27"/>
      <c r="F155" s="27"/>
      <c r="G155" s="27"/>
      <c r="H155" s="27"/>
      <c r="I155" s="28" t="str">
        <f aca="false">IF(COUNTA(D155:H155)=0,"",SUMPRODUCT(D155:H155,$D$9:$H$9))</f>
        <v/>
      </c>
      <c r="J155" s="29" t="str">
        <f aca="false">IF(I155="","",IF(I155&gt;=4,"A",IF(I155&gt;=3,"B",IF(I155&gt;=2,"C","D"))))</f>
        <v/>
      </c>
      <c r="K155" s="27"/>
      <c r="L155" s="27"/>
      <c r="M155" s="30"/>
      <c r="N155" s="26"/>
    </row>
    <row r="156" customFormat="false" ht="15" hidden="false" customHeight="false" outlineLevel="0" collapsed="false">
      <c r="A156" s="26"/>
      <c r="B156" s="27"/>
      <c r="C156" s="27"/>
      <c r="D156" s="27"/>
      <c r="E156" s="27"/>
      <c r="F156" s="27"/>
      <c r="G156" s="27"/>
      <c r="H156" s="27"/>
      <c r="I156" s="28" t="str">
        <f aca="false">IF(COUNTA(D156:H156)=0,"",SUMPRODUCT(D156:H156,$D$9:$H$9))</f>
        <v/>
      </c>
      <c r="J156" s="29" t="str">
        <f aca="false">IF(I156="","",IF(I156&gt;=4,"A",IF(I156&gt;=3,"B",IF(I156&gt;=2,"C","D"))))</f>
        <v/>
      </c>
      <c r="K156" s="27"/>
      <c r="L156" s="27"/>
      <c r="M156" s="30"/>
      <c r="N156" s="26"/>
    </row>
    <row r="157" customFormat="false" ht="15" hidden="false" customHeight="false" outlineLevel="0" collapsed="false">
      <c r="A157" s="26"/>
      <c r="B157" s="27"/>
      <c r="C157" s="27"/>
      <c r="D157" s="27"/>
      <c r="E157" s="27"/>
      <c r="F157" s="27"/>
      <c r="G157" s="27"/>
      <c r="H157" s="27"/>
      <c r="I157" s="28" t="str">
        <f aca="false">IF(COUNTA(D157:H157)=0,"",SUMPRODUCT(D157:H157,$D$9:$H$9))</f>
        <v/>
      </c>
      <c r="J157" s="29" t="str">
        <f aca="false">IF(I157="","",IF(I157&gt;=4,"A",IF(I157&gt;=3,"B",IF(I157&gt;=2,"C","D"))))</f>
        <v/>
      </c>
      <c r="K157" s="27"/>
      <c r="L157" s="27"/>
      <c r="M157" s="30"/>
      <c r="N157" s="26"/>
    </row>
    <row r="158" customFormat="false" ht="15" hidden="false" customHeight="false" outlineLevel="0" collapsed="false">
      <c r="A158" s="26"/>
      <c r="B158" s="27"/>
      <c r="C158" s="27"/>
      <c r="D158" s="27"/>
      <c r="E158" s="27"/>
      <c r="F158" s="27"/>
      <c r="G158" s="27"/>
      <c r="H158" s="27"/>
      <c r="I158" s="28" t="str">
        <f aca="false">IF(COUNTA(D158:H158)=0,"",SUMPRODUCT(D158:H158,$D$9:$H$9))</f>
        <v/>
      </c>
      <c r="J158" s="29" t="str">
        <f aca="false">IF(I158="","",IF(I158&gt;=4,"A",IF(I158&gt;=3,"B",IF(I158&gt;=2,"C","D"))))</f>
        <v/>
      </c>
      <c r="K158" s="27"/>
      <c r="L158" s="27"/>
      <c r="M158" s="30"/>
      <c r="N158" s="26"/>
    </row>
    <row r="159" customFormat="false" ht="15" hidden="false" customHeight="false" outlineLevel="0" collapsed="false">
      <c r="A159" s="26"/>
      <c r="B159" s="27"/>
      <c r="C159" s="27"/>
      <c r="D159" s="27"/>
      <c r="E159" s="27"/>
      <c r="F159" s="27"/>
      <c r="G159" s="27"/>
      <c r="H159" s="27"/>
      <c r="I159" s="28" t="str">
        <f aca="false">IF(COUNTA(D159:H159)=0,"",SUMPRODUCT(D159:H159,$D$9:$H$9))</f>
        <v/>
      </c>
      <c r="J159" s="29" t="str">
        <f aca="false">IF(I159="","",IF(I159&gt;=4,"A",IF(I159&gt;=3,"B",IF(I159&gt;=2,"C","D"))))</f>
        <v/>
      </c>
      <c r="K159" s="27"/>
      <c r="L159" s="27"/>
      <c r="M159" s="30"/>
      <c r="N159" s="26"/>
    </row>
    <row r="160" customFormat="false" ht="15" hidden="false" customHeight="false" outlineLevel="0" collapsed="false">
      <c r="A160" s="26"/>
      <c r="B160" s="27"/>
      <c r="C160" s="27"/>
      <c r="D160" s="27"/>
      <c r="E160" s="27"/>
      <c r="F160" s="27"/>
      <c r="G160" s="27"/>
      <c r="H160" s="27"/>
      <c r="I160" s="28" t="str">
        <f aca="false">IF(COUNTA(D160:H160)=0,"",SUMPRODUCT(D160:H160,$D$9:$H$9))</f>
        <v/>
      </c>
      <c r="J160" s="29" t="str">
        <f aca="false">IF(I160="","",IF(I160&gt;=4,"A",IF(I160&gt;=3,"B",IF(I160&gt;=2,"C","D"))))</f>
        <v/>
      </c>
      <c r="K160" s="27"/>
      <c r="L160" s="27"/>
      <c r="M160" s="30"/>
      <c r="N160" s="26"/>
    </row>
    <row r="161" customFormat="false" ht="15" hidden="false" customHeight="false" outlineLevel="0" collapsed="false">
      <c r="A161" s="26"/>
      <c r="B161" s="27"/>
      <c r="C161" s="27"/>
      <c r="D161" s="27"/>
      <c r="E161" s="27"/>
      <c r="F161" s="27"/>
      <c r="G161" s="27"/>
      <c r="H161" s="27"/>
      <c r="I161" s="28" t="str">
        <f aca="false">IF(COUNTA(D161:H161)=0,"",SUMPRODUCT(D161:H161,$D$9:$H$9))</f>
        <v/>
      </c>
      <c r="J161" s="29" t="str">
        <f aca="false">IF(I161="","",IF(I161&gt;=4,"A",IF(I161&gt;=3,"B",IF(I161&gt;=2,"C","D"))))</f>
        <v/>
      </c>
      <c r="K161" s="27"/>
      <c r="L161" s="27"/>
      <c r="M161" s="30"/>
      <c r="N161" s="26"/>
    </row>
    <row r="162" customFormat="false" ht="15" hidden="false" customHeight="false" outlineLevel="0" collapsed="false">
      <c r="A162" s="26"/>
      <c r="B162" s="27"/>
      <c r="C162" s="27"/>
      <c r="D162" s="27"/>
      <c r="E162" s="27"/>
      <c r="F162" s="27"/>
      <c r="G162" s="27"/>
      <c r="H162" s="27"/>
      <c r="I162" s="28" t="str">
        <f aca="false">IF(COUNTA(D162:H162)=0,"",SUMPRODUCT(D162:H162,$D$9:$H$9))</f>
        <v/>
      </c>
      <c r="J162" s="29" t="str">
        <f aca="false">IF(I162="","",IF(I162&gt;=4,"A",IF(I162&gt;=3,"B",IF(I162&gt;=2,"C","D"))))</f>
        <v/>
      </c>
      <c r="K162" s="27"/>
      <c r="L162" s="27"/>
      <c r="M162" s="30"/>
      <c r="N162" s="26"/>
    </row>
    <row r="163" customFormat="false" ht="15" hidden="false" customHeight="false" outlineLevel="0" collapsed="false">
      <c r="A163" s="26"/>
      <c r="B163" s="27"/>
      <c r="C163" s="27"/>
      <c r="D163" s="27"/>
      <c r="E163" s="27"/>
      <c r="F163" s="27"/>
      <c r="G163" s="27"/>
      <c r="H163" s="27"/>
      <c r="I163" s="28" t="str">
        <f aca="false">IF(COUNTA(D163:H163)=0,"",SUMPRODUCT(D163:H163,$D$9:$H$9))</f>
        <v/>
      </c>
      <c r="J163" s="29" t="str">
        <f aca="false">IF(I163="","",IF(I163&gt;=4,"A",IF(I163&gt;=3,"B",IF(I163&gt;=2,"C","D"))))</f>
        <v/>
      </c>
      <c r="K163" s="27"/>
      <c r="L163" s="27"/>
      <c r="M163" s="30"/>
      <c r="N163" s="26"/>
    </row>
    <row r="164" customFormat="false" ht="15" hidden="false" customHeight="false" outlineLevel="0" collapsed="false">
      <c r="A164" s="26"/>
      <c r="B164" s="27"/>
      <c r="C164" s="27"/>
      <c r="D164" s="27"/>
      <c r="E164" s="27"/>
      <c r="F164" s="27"/>
      <c r="G164" s="27"/>
      <c r="H164" s="27"/>
      <c r="I164" s="28" t="str">
        <f aca="false">IF(COUNTA(D164:H164)=0,"",SUMPRODUCT(D164:H164,$D$9:$H$9))</f>
        <v/>
      </c>
      <c r="J164" s="29" t="str">
        <f aca="false">IF(I164="","",IF(I164&gt;=4,"A",IF(I164&gt;=3,"B",IF(I164&gt;=2,"C","D"))))</f>
        <v/>
      </c>
      <c r="K164" s="27"/>
      <c r="L164" s="27"/>
      <c r="M164" s="30"/>
      <c r="N164" s="26"/>
    </row>
    <row r="165" customFormat="false" ht="15" hidden="false" customHeight="false" outlineLevel="0" collapsed="false">
      <c r="A165" s="26"/>
      <c r="B165" s="27"/>
      <c r="C165" s="27"/>
      <c r="D165" s="27"/>
      <c r="E165" s="27"/>
      <c r="F165" s="27"/>
      <c r="G165" s="27"/>
      <c r="H165" s="27"/>
      <c r="I165" s="28" t="str">
        <f aca="false">IF(COUNTA(D165:H165)=0,"",SUMPRODUCT(D165:H165,$D$9:$H$9))</f>
        <v/>
      </c>
      <c r="J165" s="29" t="str">
        <f aca="false">IF(I165="","",IF(I165&gt;=4,"A",IF(I165&gt;=3,"B",IF(I165&gt;=2,"C","D"))))</f>
        <v/>
      </c>
      <c r="K165" s="27"/>
      <c r="L165" s="27"/>
      <c r="M165" s="30"/>
      <c r="N165" s="26"/>
    </row>
    <row r="166" customFormat="false" ht="15" hidden="false" customHeight="false" outlineLevel="0" collapsed="false">
      <c r="A166" s="26"/>
      <c r="B166" s="27"/>
      <c r="C166" s="27"/>
      <c r="D166" s="27"/>
      <c r="E166" s="27"/>
      <c r="F166" s="27"/>
      <c r="G166" s="27"/>
      <c r="H166" s="27"/>
      <c r="I166" s="28" t="str">
        <f aca="false">IF(COUNTA(D166:H166)=0,"",SUMPRODUCT(D166:H166,$D$9:$H$9))</f>
        <v/>
      </c>
      <c r="J166" s="29" t="str">
        <f aca="false">IF(I166="","",IF(I166&gt;=4,"A",IF(I166&gt;=3,"B",IF(I166&gt;=2,"C","D"))))</f>
        <v/>
      </c>
      <c r="K166" s="27"/>
      <c r="L166" s="27"/>
      <c r="M166" s="30"/>
      <c r="N166" s="26"/>
    </row>
    <row r="167" customFormat="false" ht="15" hidden="false" customHeight="false" outlineLevel="0" collapsed="false">
      <c r="A167" s="26"/>
      <c r="B167" s="27"/>
      <c r="C167" s="27"/>
      <c r="D167" s="27"/>
      <c r="E167" s="27"/>
      <c r="F167" s="27"/>
      <c r="G167" s="27"/>
      <c r="H167" s="27"/>
      <c r="I167" s="28" t="str">
        <f aca="false">IF(COUNTA(D167:H167)=0,"",SUMPRODUCT(D167:H167,$D$9:$H$9))</f>
        <v/>
      </c>
      <c r="J167" s="29" t="str">
        <f aca="false">IF(I167="","",IF(I167&gt;=4,"A",IF(I167&gt;=3,"B",IF(I167&gt;=2,"C","D"))))</f>
        <v/>
      </c>
      <c r="K167" s="27"/>
      <c r="L167" s="27"/>
      <c r="M167" s="30"/>
      <c r="N167" s="26"/>
    </row>
    <row r="168" customFormat="false" ht="15" hidden="false" customHeight="false" outlineLevel="0" collapsed="false">
      <c r="A168" s="26"/>
      <c r="B168" s="27"/>
      <c r="C168" s="27"/>
      <c r="D168" s="27"/>
      <c r="E168" s="27"/>
      <c r="F168" s="27"/>
      <c r="G168" s="27"/>
      <c r="H168" s="27"/>
      <c r="I168" s="28" t="str">
        <f aca="false">IF(COUNTA(D168:H168)=0,"",SUMPRODUCT(D168:H168,$D$9:$H$9))</f>
        <v/>
      </c>
      <c r="J168" s="29" t="str">
        <f aca="false">IF(I168="","",IF(I168&gt;=4,"A",IF(I168&gt;=3,"B",IF(I168&gt;=2,"C","D"))))</f>
        <v/>
      </c>
      <c r="K168" s="27"/>
      <c r="L168" s="27"/>
      <c r="M168" s="30"/>
      <c r="N168" s="26"/>
    </row>
    <row r="169" customFormat="false" ht="15" hidden="false" customHeight="false" outlineLevel="0" collapsed="false">
      <c r="A169" s="26"/>
      <c r="B169" s="27"/>
      <c r="C169" s="27"/>
      <c r="D169" s="27"/>
      <c r="E169" s="27"/>
      <c r="F169" s="27"/>
      <c r="G169" s="27"/>
      <c r="H169" s="27"/>
      <c r="I169" s="28" t="str">
        <f aca="false">IF(COUNTA(D169:H169)=0,"",SUMPRODUCT(D169:H169,$D$9:$H$9))</f>
        <v/>
      </c>
      <c r="J169" s="29" t="str">
        <f aca="false">IF(I169="","",IF(I169&gt;=4,"A",IF(I169&gt;=3,"B",IF(I169&gt;=2,"C","D"))))</f>
        <v/>
      </c>
      <c r="K169" s="27"/>
      <c r="L169" s="27"/>
      <c r="M169" s="30"/>
      <c r="N169" s="26"/>
    </row>
    <row r="170" customFormat="false" ht="15" hidden="false" customHeight="false" outlineLevel="0" collapsed="false">
      <c r="A170" s="26"/>
      <c r="B170" s="27"/>
      <c r="C170" s="27"/>
      <c r="D170" s="27"/>
      <c r="E170" s="27"/>
      <c r="F170" s="27"/>
      <c r="G170" s="27"/>
      <c r="H170" s="27"/>
      <c r="I170" s="28" t="str">
        <f aca="false">IF(COUNTA(D170:H170)=0,"",SUMPRODUCT(D170:H170,$D$9:$H$9))</f>
        <v/>
      </c>
      <c r="J170" s="29" t="str">
        <f aca="false">IF(I170="","",IF(I170&gt;=4,"A",IF(I170&gt;=3,"B",IF(I170&gt;=2,"C","D"))))</f>
        <v/>
      </c>
      <c r="K170" s="27"/>
      <c r="L170" s="27"/>
      <c r="M170" s="30"/>
      <c r="N170" s="26"/>
    </row>
    <row r="171" customFormat="false" ht="15" hidden="false" customHeight="false" outlineLevel="0" collapsed="false">
      <c r="A171" s="26"/>
      <c r="B171" s="27"/>
      <c r="C171" s="27"/>
      <c r="D171" s="27"/>
      <c r="E171" s="27"/>
      <c r="F171" s="27"/>
      <c r="G171" s="27"/>
      <c r="H171" s="27"/>
      <c r="I171" s="28" t="str">
        <f aca="false">IF(COUNTA(D171:H171)=0,"",SUMPRODUCT(D171:H171,$D$9:$H$9))</f>
        <v/>
      </c>
      <c r="J171" s="29" t="str">
        <f aca="false">IF(I171="","",IF(I171&gt;=4,"A",IF(I171&gt;=3,"B",IF(I171&gt;=2,"C","D"))))</f>
        <v/>
      </c>
      <c r="K171" s="27"/>
      <c r="L171" s="27"/>
      <c r="M171" s="30"/>
      <c r="N171" s="26"/>
    </row>
    <row r="172" customFormat="false" ht="15" hidden="false" customHeight="false" outlineLevel="0" collapsed="false">
      <c r="A172" s="26"/>
      <c r="B172" s="27"/>
      <c r="C172" s="27"/>
      <c r="D172" s="27"/>
      <c r="E172" s="27"/>
      <c r="F172" s="27"/>
      <c r="G172" s="27"/>
      <c r="H172" s="27"/>
      <c r="I172" s="28" t="str">
        <f aca="false">IF(COUNTA(D172:H172)=0,"",SUMPRODUCT(D172:H172,$D$9:$H$9))</f>
        <v/>
      </c>
      <c r="J172" s="29" t="str">
        <f aca="false">IF(I172="","",IF(I172&gt;=4,"A",IF(I172&gt;=3,"B",IF(I172&gt;=2,"C","D"))))</f>
        <v/>
      </c>
      <c r="K172" s="27"/>
      <c r="L172" s="27"/>
      <c r="M172" s="30"/>
      <c r="N172" s="26"/>
    </row>
    <row r="173" customFormat="false" ht="15" hidden="false" customHeight="false" outlineLevel="0" collapsed="false">
      <c r="A173" s="26"/>
      <c r="B173" s="27"/>
      <c r="C173" s="27"/>
      <c r="D173" s="27"/>
      <c r="E173" s="27"/>
      <c r="F173" s="27"/>
      <c r="G173" s="27"/>
      <c r="H173" s="27"/>
      <c r="I173" s="28" t="str">
        <f aca="false">IF(COUNTA(D173:H173)=0,"",SUMPRODUCT(D173:H173,$D$9:$H$9))</f>
        <v/>
      </c>
      <c r="J173" s="29" t="str">
        <f aca="false">IF(I173="","",IF(I173&gt;=4,"A",IF(I173&gt;=3,"B",IF(I173&gt;=2,"C","D"))))</f>
        <v/>
      </c>
      <c r="K173" s="27"/>
      <c r="L173" s="27"/>
      <c r="M173" s="30"/>
      <c r="N173" s="26"/>
    </row>
    <row r="174" customFormat="false" ht="15" hidden="false" customHeight="false" outlineLevel="0" collapsed="false">
      <c r="A174" s="26"/>
      <c r="B174" s="27"/>
      <c r="C174" s="27"/>
      <c r="D174" s="27"/>
      <c r="E174" s="27"/>
      <c r="F174" s="27"/>
      <c r="G174" s="27"/>
      <c r="H174" s="27"/>
      <c r="I174" s="28" t="str">
        <f aca="false">IF(COUNTA(D174:H174)=0,"",SUMPRODUCT(D174:H174,$D$9:$H$9))</f>
        <v/>
      </c>
      <c r="J174" s="29" t="str">
        <f aca="false">IF(I174="","",IF(I174&gt;=4,"A",IF(I174&gt;=3,"B",IF(I174&gt;=2,"C","D"))))</f>
        <v/>
      </c>
      <c r="K174" s="27"/>
      <c r="L174" s="27"/>
      <c r="M174" s="30"/>
      <c r="N174" s="26"/>
    </row>
    <row r="175" customFormat="false" ht="15" hidden="false" customHeight="false" outlineLevel="0" collapsed="false">
      <c r="A175" s="26"/>
      <c r="B175" s="27"/>
      <c r="C175" s="27"/>
      <c r="D175" s="27"/>
      <c r="E175" s="27"/>
      <c r="F175" s="27"/>
      <c r="G175" s="27"/>
      <c r="H175" s="27"/>
      <c r="I175" s="28" t="str">
        <f aca="false">IF(COUNTA(D175:H175)=0,"",SUMPRODUCT(D175:H175,$D$9:$H$9))</f>
        <v/>
      </c>
      <c r="J175" s="29" t="str">
        <f aca="false">IF(I175="","",IF(I175&gt;=4,"A",IF(I175&gt;=3,"B",IF(I175&gt;=2,"C","D"))))</f>
        <v/>
      </c>
      <c r="K175" s="27"/>
      <c r="L175" s="27"/>
      <c r="M175" s="30"/>
      <c r="N175" s="26"/>
    </row>
    <row r="176" customFormat="false" ht="15" hidden="false" customHeight="false" outlineLevel="0" collapsed="false">
      <c r="A176" s="26"/>
      <c r="B176" s="27"/>
      <c r="C176" s="27"/>
      <c r="D176" s="27"/>
      <c r="E176" s="27"/>
      <c r="F176" s="27"/>
      <c r="G176" s="27"/>
      <c r="H176" s="27"/>
      <c r="I176" s="28" t="str">
        <f aca="false">IF(COUNTA(D176:H176)=0,"",SUMPRODUCT(D176:H176,$D$9:$H$9))</f>
        <v/>
      </c>
      <c r="J176" s="29" t="str">
        <f aca="false">IF(I176="","",IF(I176&gt;=4,"A",IF(I176&gt;=3,"B",IF(I176&gt;=2,"C","D"))))</f>
        <v/>
      </c>
      <c r="K176" s="27"/>
      <c r="L176" s="27"/>
      <c r="M176" s="30"/>
      <c r="N176" s="26"/>
    </row>
    <row r="177" customFormat="false" ht="15" hidden="false" customHeight="false" outlineLevel="0" collapsed="false">
      <c r="A177" s="26"/>
      <c r="B177" s="27"/>
      <c r="C177" s="27"/>
      <c r="D177" s="27"/>
      <c r="E177" s="27"/>
      <c r="F177" s="27"/>
      <c r="G177" s="27"/>
      <c r="H177" s="27"/>
      <c r="I177" s="28" t="str">
        <f aca="false">IF(COUNTA(D177:H177)=0,"",SUMPRODUCT(D177:H177,$D$9:$H$9))</f>
        <v/>
      </c>
      <c r="J177" s="29" t="str">
        <f aca="false">IF(I177="","",IF(I177&gt;=4,"A",IF(I177&gt;=3,"B",IF(I177&gt;=2,"C","D"))))</f>
        <v/>
      </c>
      <c r="K177" s="27"/>
      <c r="L177" s="27"/>
      <c r="M177" s="30"/>
      <c r="N177" s="26"/>
    </row>
    <row r="178" customFormat="false" ht="15" hidden="false" customHeight="false" outlineLevel="0" collapsed="false">
      <c r="A178" s="26"/>
      <c r="B178" s="27"/>
      <c r="C178" s="27"/>
      <c r="D178" s="27"/>
      <c r="E178" s="27"/>
      <c r="F178" s="27"/>
      <c r="G178" s="27"/>
      <c r="H178" s="27"/>
      <c r="I178" s="28" t="str">
        <f aca="false">IF(COUNTA(D178:H178)=0,"",SUMPRODUCT(D178:H178,$D$9:$H$9))</f>
        <v/>
      </c>
      <c r="J178" s="29" t="str">
        <f aca="false">IF(I178="","",IF(I178&gt;=4,"A",IF(I178&gt;=3,"B",IF(I178&gt;=2,"C","D"))))</f>
        <v/>
      </c>
      <c r="K178" s="27"/>
      <c r="L178" s="27"/>
      <c r="M178" s="30"/>
      <c r="N178" s="26"/>
    </row>
    <row r="179" customFormat="false" ht="15" hidden="false" customHeight="false" outlineLevel="0" collapsed="false">
      <c r="A179" s="26"/>
      <c r="B179" s="27"/>
      <c r="C179" s="27"/>
      <c r="D179" s="27"/>
      <c r="E179" s="27"/>
      <c r="F179" s="27"/>
      <c r="G179" s="27"/>
      <c r="H179" s="27"/>
      <c r="I179" s="28" t="str">
        <f aca="false">IF(COUNTA(D179:H179)=0,"",SUMPRODUCT(D179:H179,$D$9:$H$9))</f>
        <v/>
      </c>
      <c r="J179" s="29" t="str">
        <f aca="false">IF(I179="","",IF(I179&gt;=4,"A",IF(I179&gt;=3,"B",IF(I179&gt;=2,"C","D"))))</f>
        <v/>
      </c>
      <c r="K179" s="27"/>
      <c r="L179" s="27"/>
      <c r="M179" s="30"/>
      <c r="N179" s="26"/>
    </row>
    <row r="180" customFormat="false" ht="15" hidden="false" customHeight="false" outlineLevel="0" collapsed="false">
      <c r="A180" s="26"/>
      <c r="B180" s="27"/>
      <c r="C180" s="27"/>
      <c r="D180" s="27"/>
      <c r="E180" s="27"/>
      <c r="F180" s="27"/>
      <c r="G180" s="27"/>
      <c r="H180" s="27"/>
      <c r="I180" s="28" t="str">
        <f aca="false">IF(COUNTA(D180:H180)=0,"",SUMPRODUCT(D180:H180,$D$9:$H$9))</f>
        <v/>
      </c>
      <c r="J180" s="29" t="str">
        <f aca="false">IF(I180="","",IF(I180&gt;=4,"A",IF(I180&gt;=3,"B",IF(I180&gt;=2,"C","D"))))</f>
        <v/>
      </c>
      <c r="K180" s="27"/>
      <c r="L180" s="27"/>
      <c r="M180" s="30"/>
      <c r="N180" s="26"/>
    </row>
    <row r="181" customFormat="false" ht="15" hidden="false" customHeight="false" outlineLevel="0" collapsed="false">
      <c r="A181" s="26"/>
      <c r="B181" s="27"/>
      <c r="C181" s="27"/>
      <c r="D181" s="27"/>
      <c r="E181" s="27"/>
      <c r="F181" s="27"/>
      <c r="G181" s="27"/>
      <c r="H181" s="27"/>
      <c r="I181" s="28" t="str">
        <f aca="false">IF(COUNTA(D181:H181)=0,"",SUMPRODUCT(D181:H181,$D$9:$H$9))</f>
        <v/>
      </c>
      <c r="J181" s="29" t="str">
        <f aca="false">IF(I181="","",IF(I181&gt;=4,"A",IF(I181&gt;=3,"B",IF(I181&gt;=2,"C","D"))))</f>
        <v/>
      </c>
      <c r="K181" s="27"/>
      <c r="L181" s="27"/>
      <c r="M181" s="30"/>
      <c r="N181" s="26"/>
    </row>
    <row r="182" customFormat="false" ht="15" hidden="false" customHeight="false" outlineLevel="0" collapsed="false">
      <c r="A182" s="26"/>
      <c r="B182" s="27"/>
      <c r="C182" s="27"/>
      <c r="D182" s="27"/>
      <c r="E182" s="27"/>
      <c r="F182" s="27"/>
      <c r="G182" s="27"/>
      <c r="H182" s="27"/>
      <c r="I182" s="28" t="str">
        <f aca="false">IF(COUNTA(D182:H182)=0,"",SUMPRODUCT(D182:H182,$D$9:$H$9))</f>
        <v/>
      </c>
      <c r="J182" s="29" t="str">
        <f aca="false">IF(I182="","",IF(I182&gt;=4,"A",IF(I182&gt;=3,"B",IF(I182&gt;=2,"C","D"))))</f>
        <v/>
      </c>
      <c r="K182" s="27"/>
      <c r="L182" s="27"/>
      <c r="M182" s="30"/>
      <c r="N182" s="26"/>
    </row>
    <row r="183" customFormat="false" ht="15" hidden="false" customHeight="false" outlineLevel="0" collapsed="false">
      <c r="A183" s="26"/>
      <c r="B183" s="27"/>
      <c r="C183" s="27"/>
      <c r="D183" s="27"/>
      <c r="E183" s="27"/>
      <c r="F183" s="27"/>
      <c r="G183" s="27"/>
      <c r="H183" s="27"/>
      <c r="I183" s="28" t="str">
        <f aca="false">IF(COUNTA(D183:H183)=0,"",SUMPRODUCT(D183:H183,$D$9:$H$9))</f>
        <v/>
      </c>
      <c r="J183" s="29" t="str">
        <f aca="false">IF(I183="","",IF(I183&gt;=4,"A",IF(I183&gt;=3,"B",IF(I183&gt;=2,"C","D"))))</f>
        <v/>
      </c>
      <c r="K183" s="27"/>
      <c r="L183" s="27"/>
      <c r="M183" s="30"/>
      <c r="N183" s="26"/>
    </row>
    <row r="184" customFormat="false" ht="15" hidden="false" customHeight="false" outlineLevel="0" collapsed="false">
      <c r="A184" s="26"/>
      <c r="B184" s="27"/>
      <c r="C184" s="27"/>
      <c r="D184" s="27"/>
      <c r="E184" s="27"/>
      <c r="F184" s="27"/>
      <c r="G184" s="27"/>
      <c r="H184" s="27"/>
      <c r="I184" s="28" t="str">
        <f aca="false">IF(COUNTA(D184:H184)=0,"",SUMPRODUCT(D184:H184,$D$9:$H$9))</f>
        <v/>
      </c>
      <c r="J184" s="29" t="str">
        <f aca="false">IF(I184="","",IF(I184&gt;=4,"A",IF(I184&gt;=3,"B",IF(I184&gt;=2,"C","D"))))</f>
        <v/>
      </c>
      <c r="K184" s="27"/>
      <c r="L184" s="27"/>
      <c r="M184" s="30"/>
      <c r="N184" s="26"/>
    </row>
    <row r="185" customFormat="false" ht="15" hidden="false" customHeight="false" outlineLevel="0" collapsed="false">
      <c r="A185" s="26"/>
      <c r="B185" s="27"/>
      <c r="C185" s="27"/>
      <c r="D185" s="27"/>
      <c r="E185" s="27"/>
      <c r="F185" s="27"/>
      <c r="G185" s="27"/>
      <c r="H185" s="27"/>
      <c r="I185" s="28" t="str">
        <f aca="false">IF(COUNTA(D185:H185)=0,"",SUMPRODUCT(D185:H185,$D$9:$H$9))</f>
        <v/>
      </c>
      <c r="J185" s="29" t="str">
        <f aca="false">IF(I185="","",IF(I185&gt;=4,"A",IF(I185&gt;=3,"B",IF(I185&gt;=2,"C","D"))))</f>
        <v/>
      </c>
      <c r="K185" s="27"/>
      <c r="L185" s="27"/>
      <c r="M185" s="30"/>
      <c r="N185" s="26"/>
    </row>
    <row r="186" customFormat="false" ht="15" hidden="false" customHeight="false" outlineLevel="0" collapsed="false">
      <c r="A186" s="26"/>
      <c r="B186" s="27"/>
      <c r="C186" s="27"/>
      <c r="D186" s="27"/>
      <c r="E186" s="27"/>
      <c r="F186" s="27"/>
      <c r="G186" s="27"/>
      <c r="H186" s="27"/>
      <c r="I186" s="28" t="str">
        <f aca="false">IF(COUNTA(D186:H186)=0,"",SUMPRODUCT(D186:H186,$D$9:$H$9))</f>
        <v/>
      </c>
      <c r="J186" s="29" t="str">
        <f aca="false">IF(I186="","",IF(I186&gt;=4,"A",IF(I186&gt;=3,"B",IF(I186&gt;=2,"C","D"))))</f>
        <v/>
      </c>
      <c r="K186" s="27"/>
      <c r="L186" s="27"/>
      <c r="M186" s="30"/>
      <c r="N186" s="26"/>
    </row>
    <row r="187" customFormat="false" ht="15" hidden="false" customHeight="false" outlineLevel="0" collapsed="false">
      <c r="A187" s="26"/>
      <c r="B187" s="27"/>
      <c r="C187" s="27"/>
      <c r="D187" s="27"/>
      <c r="E187" s="27"/>
      <c r="F187" s="27"/>
      <c r="G187" s="27"/>
      <c r="H187" s="27"/>
      <c r="I187" s="28" t="str">
        <f aca="false">IF(COUNTA(D187:H187)=0,"",SUMPRODUCT(D187:H187,$D$9:$H$9))</f>
        <v/>
      </c>
      <c r="J187" s="29" t="str">
        <f aca="false">IF(I187="","",IF(I187&gt;=4,"A",IF(I187&gt;=3,"B",IF(I187&gt;=2,"C","D"))))</f>
        <v/>
      </c>
      <c r="K187" s="27"/>
      <c r="L187" s="27"/>
      <c r="M187" s="30"/>
      <c r="N187" s="26"/>
    </row>
    <row r="188" customFormat="false" ht="15" hidden="false" customHeight="false" outlineLevel="0" collapsed="false">
      <c r="A188" s="26"/>
      <c r="B188" s="27"/>
      <c r="C188" s="27"/>
      <c r="D188" s="27"/>
      <c r="E188" s="27"/>
      <c r="F188" s="27"/>
      <c r="G188" s="27"/>
      <c r="H188" s="27"/>
      <c r="I188" s="28" t="str">
        <f aca="false">IF(COUNTA(D188:H188)=0,"",SUMPRODUCT(D188:H188,$D$9:$H$9))</f>
        <v/>
      </c>
      <c r="J188" s="29" t="str">
        <f aca="false">IF(I188="","",IF(I188&gt;=4,"A",IF(I188&gt;=3,"B",IF(I188&gt;=2,"C","D"))))</f>
        <v/>
      </c>
      <c r="K188" s="27"/>
      <c r="L188" s="27"/>
      <c r="M188" s="30"/>
      <c r="N188" s="26"/>
    </row>
    <row r="189" customFormat="false" ht="15" hidden="false" customHeight="false" outlineLevel="0" collapsed="false">
      <c r="A189" s="26"/>
      <c r="B189" s="27"/>
      <c r="C189" s="27"/>
      <c r="D189" s="27"/>
      <c r="E189" s="27"/>
      <c r="F189" s="27"/>
      <c r="G189" s="27"/>
      <c r="H189" s="27"/>
      <c r="I189" s="28" t="str">
        <f aca="false">IF(COUNTA(D189:H189)=0,"",SUMPRODUCT(D189:H189,$D$9:$H$9))</f>
        <v/>
      </c>
      <c r="J189" s="29" t="str">
        <f aca="false">IF(I189="","",IF(I189&gt;=4,"A",IF(I189&gt;=3,"B",IF(I189&gt;=2,"C","D"))))</f>
        <v/>
      </c>
      <c r="K189" s="27"/>
      <c r="L189" s="27"/>
      <c r="M189" s="30"/>
      <c r="N189" s="26"/>
    </row>
    <row r="190" customFormat="false" ht="15" hidden="false" customHeight="false" outlineLevel="0" collapsed="false">
      <c r="A190" s="26"/>
      <c r="B190" s="27"/>
      <c r="C190" s="27"/>
      <c r="D190" s="27"/>
      <c r="E190" s="27"/>
      <c r="F190" s="27"/>
      <c r="G190" s="27"/>
      <c r="H190" s="27"/>
      <c r="I190" s="28" t="str">
        <f aca="false">IF(COUNTA(D190:H190)=0,"",SUMPRODUCT(D190:H190,$D$9:$H$9))</f>
        <v/>
      </c>
      <c r="J190" s="29" t="str">
        <f aca="false">IF(I190="","",IF(I190&gt;=4,"A",IF(I190&gt;=3,"B",IF(I190&gt;=2,"C","D"))))</f>
        <v/>
      </c>
      <c r="K190" s="27"/>
      <c r="L190" s="27"/>
      <c r="M190" s="30"/>
      <c r="N190" s="26"/>
    </row>
    <row r="191" customFormat="false" ht="15" hidden="false" customHeight="false" outlineLevel="0" collapsed="false">
      <c r="A191" s="26"/>
      <c r="B191" s="27"/>
      <c r="C191" s="27"/>
      <c r="D191" s="27"/>
      <c r="E191" s="27"/>
      <c r="F191" s="27"/>
      <c r="G191" s="27"/>
      <c r="H191" s="27"/>
      <c r="I191" s="28" t="str">
        <f aca="false">IF(COUNTA(D191:H191)=0,"",SUMPRODUCT(D191:H191,$D$9:$H$9))</f>
        <v/>
      </c>
      <c r="J191" s="29" t="str">
        <f aca="false">IF(I191="","",IF(I191&gt;=4,"A",IF(I191&gt;=3,"B",IF(I191&gt;=2,"C","D"))))</f>
        <v/>
      </c>
      <c r="K191" s="27"/>
      <c r="L191" s="27"/>
      <c r="M191" s="30"/>
      <c r="N191" s="26"/>
    </row>
    <row r="192" customFormat="false" ht="15" hidden="false" customHeight="false" outlineLevel="0" collapsed="false">
      <c r="A192" s="26"/>
      <c r="B192" s="27"/>
      <c r="C192" s="27"/>
      <c r="D192" s="27"/>
      <c r="E192" s="27"/>
      <c r="F192" s="27"/>
      <c r="G192" s="27"/>
      <c r="H192" s="27"/>
      <c r="I192" s="28" t="str">
        <f aca="false">IF(COUNTA(D192:H192)=0,"",SUMPRODUCT(D192:H192,$D$9:$H$9))</f>
        <v/>
      </c>
      <c r="J192" s="29" t="str">
        <f aca="false">IF(I192="","",IF(I192&gt;=4,"A",IF(I192&gt;=3,"B",IF(I192&gt;=2,"C","D"))))</f>
        <v/>
      </c>
      <c r="K192" s="27"/>
      <c r="L192" s="27"/>
      <c r="M192" s="30"/>
      <c r="N192" s="26"/>
    </row>
    <row r="193" customFormat="false" ht="15" hidden="false" customHeight="false" outlineLevel="0" collapsed="false">
      <c r="A193" s="26"/>
      <c r="B193" s="27"/>
      <c r="C193" s="27"/>
      <c r="D193" s="27"/>
      <c r="E193" s="27"/>
      <c r="F193" s="27"/>
      <c r="G193" s="27"/>
      <c r="H193" s="27"/>
      <c r="I193" s="28" t="str">
        <f aca="false">IF(COUNTA(D193:H193)=0,"",SUMPRODUCT(D193:H193,$D$9:$H$9))</f>
        <v/>
      </c>
      <c r="J193" s="29" t="str">
        <f aca="false">IF(I193="","",IF(I193&gt;=4,"A",IF(I193&gt;=3,"B",IF(I193&gt;=2,"C","D"))))</f>
        <v/>
      </c>
      <c r="K193" s="27"/>
      <c r="L193" s="27"/>
      <c r="M193" s="30"/>
      <c r="N193" s="26"/>
    </row>
    <row r="194" customFormat="false" ht="15" hidden="false" customHeight="false" outlineLevel="0" collapsed="false">
      <c r="A194" s="26"/>
      <c r="B194" s="27"/>
      <c r="C194" s="27"/>
      <c r="D194" s="27"/>
      <c r="E194" s="27"/>
      <c r="F194" s="27"/>
      <c r="G194" s="27"/>
      <c r="H194" s="27"/>
      <c r="I194" s="28" t="str">
        <f aca="false">IF(COUNTA(D194:H194)=0,"",SUMPRODUCT(D194:H194,$D$9:$H$9))</f>
        <v/>
      </c>
      <c r="J194" s="29" t="str">
        <f aca="false">IF(I194="","",IF(I194&gt;=4,"A",IF(I194&gt;=3,"B",IF(I194&gt;=2,"C","D"))))</f>
        <v/>
      </c>
      <c r="K194" s="27"/>
      <c r="L194" s="27"/>
      <c r="M194" s="30"/>
      <c r="N194" s="26"/>
    </row>
    <row r="195" customFormat="false" ht="15" hidden="false" customHeight="false" outlineLevel="0" collapsed="false">
      <c r="A195" s="26"/>
      <c r="B195" s="27"/>
      <c r="C195" s="27"/>
      <c r="D195" s="27"/>
      <c r="E195" s="27"/>
      <c r="F195" s="27"/>
      <c r="G195" s="27"/>
      <c r="H195" s="27"/>
      <c r="I195" s="28" t="str">
        <f aca="false">IF(COUNTA(D195:H195)=0,"",SUMPRODUCT(D195:H195,$D$9:$H$9))</f>
        <v/>
      </c>
      <c r="J195" s="29" t="str">
        <f aca="false">IF(I195="","",IF(I195&gt;=4,"A",IF(I195&gt;=3,"B",IF(I195&gt;=2,"C","D"))))</f>
        <v/>
      </c>
      <c r="K195" s="27"/>
      <c r="L195" s="27"/>
      <c r="M195" s="30"/>
      <c r="N195" s="26"/>
    </row>
    <row r="196" customFormat="false" ht="15" hidden="false" customHeight="false" outlineLevel="0" collapsed="false">
      <c r="A196" s="26"/>
      <c r="B196" s="27"/>
      <c r="C196" s="27"/>
      <c r="D196" s="27"/>
      <c r="E196" s="27"/>
      <c r="F196" s="27"/>
      <c r="G196" s="27"/>
      <c r="H196" s="27"/>
      <c r="I196" s="28" t="str">
        <f aca="false">IF(COUNTA(D196:H196)=0,"",SUMPRODUCT(D196:H196,$D$9:$H$9))</f>
        <v/>
      </c>
      <c r="J196" s="29" t="str">
        <f aca="false">IF(I196="","",IF(I196&gt;=4,"A",IF(I196&gt;=3,"B",IF(I196&gt;=2,"C","D"))))</f>
        <v/>
      </c>
      <c r="K196" s="27"/>
      <c r="L196" s="27"/>
      <c r="M196" s="30"/>
      <c r="N196" s="26"/>
    </row>
    <row r="197" customFormat="false" ht="15" hidden="false" customHeight="false" outlineLevel="0" collapsed="false">
      <c r="A197" s="26"/>
      <c r="B197" s="27"/>
      <c r="C197" s="27"/>
      <c r="D197" s="27"/>
      <c r="E197" s="27"/>
      <c r="F197" s="27"/>
      <c r="G197" s="27"/>
      <c r="H197" s="27"/>
      <c r="I197" s="28" t="str">
        <f aca="false">IF(COUNTA(D197:H197)=0,"",SUMPRODUCT(D197:H197,$D$9:$H$9))</f>
        <v/>
      </c>
      <c r="J197" s="29" t="str">
        <f aca="false">IF(I197="","",IF(I197&gt;=4,"A",IF(I197&gt;=3,"B",IF(I197&gt;=2,"C","D"))))</f>
        <v/>
      </c>
      <c r="K197" s="27"/>
      <c r="L197" s="27"/>
      <c r="M197" s="30"/>
      <c r="N197" s="26"/>
    </row>
    <row r="198" customFormat="false" ht="15" hidden="false" customHeight="false" outlineLevel="0" collapsed="false">
      <c r="A198" s="26"/>
      <c r="B198" s="27"/>
      <c r="C198" s="27"/>
      <c r="D198" s="27"/>
      <c r="E198" s="27"/>
      <c r="F198" s="27"/>
      <c r="G198" s="27"/>
      <c r="H198" s="27"/>
      <c r="I198" s="28" t="str">
        <f aca="false">IF(COUNTA(D198:H198)=0,"",SUMPRODUCT(D198:H198,$D$9:$H$9))</f>
        <v/>
      </c>
      <c r="J198" s="29" t="str">
        <f aca="false">IF(I198="","",IF(I198&gt;=4,"A",IF(I198&gt;=3,"B",IF(I198&gt;=2,"C","D"))))</f>
        <v/>
      </c>
      <c r="K198" s="27"/>
      <c r="L198" s="27"/>
      <c r="M198" s="30"/>
      <c r="N198" s="26"/>
    </row>
    <row r="199" customFormat="false" ht="15" hidden="false" customHeight="false" outlineLevel="0" collapsed="false">
      <c r="A199" s="26"/>
      <c r="B199" s="27"/>
      <c r="C199" s="27"/>
      <c r="D199" s="27"/>
      <c r="E199" s="27"/>
      <c r="F199" s="27"/>
      <c r="G199" s="27"/>
      <c r="H199" s="27"/>
      <c r="I199" s="28" t="str">
        <f aca="false">IF(COUNTA(D199:H199)=0,"",SUMPRODUCT(D199:H199,$D$9:$H$9))</f>
        <v/>
      </c>
      <c r="J199" s="29" t="str">
        <f aca="false">IF(I199="","",IF(I199&gt;=4,"A",IF(I199&gt;=3,"B",IF(I199&gt;=2,"C","D"))))</f>
        <v/>
      </c>
      <c r="K199" s="27"/>
      <c r="L199" s="27"/>
      <c r="M199" s="30"/>
      <c r="N199" s="26"/>
    </row>
    <row r="200" customFormat="false" ht="15" hidden="false" customHeight="false" outlineLevel="0" collapsed="false">
      <c r="A200" s="26"/>
      <c r="B200" s="27"/>
      <c r="C200" s="27"/>
      <c r="D200" s="27"/>
      <c r="E200" s="27"/>
      <c r="F200" s="27"/>
      <c r="G200" s="27"/>
      <c r="H200" s="27"/>
      <c r="I200" s="28" t="str">
        <f aca="false">IF(COUNTA(D200:H200)=0,"",SUMPRODUCT(D200:H200,$D$9:$H$9))</f>
        <v/>
      </c>
      <c r="J200" s="29" t="str">
        <f aca="false">IF(I200="","",IF(I200&gt;=4,"A",IF(I200&gt;=3,"B",IF(I200&gt;=2,"C","D"))))</f>
        <v/>
      </c>
      <c r="K200" s="27"/>
      <c r="L200" s="27"/>
      <c r="M200" s="30"/>
      <c r="N200" s="26"/>
    </row>
  </sheetData>
  <autoFilter ref="A8:N8"/>
  <mergeCells count="3">
    <mergeCell ref="A1:N1"/>
    <mergeCell ref="A7:N7"/>
    <mergeCell ref="D10:H10"/>
  </mergeCells>
  <conditionalFormatting sqref="J11:J200">
    <cfRule type="cellIs" priority="2" operator="equal" aboveAverage="0" equalAverage="0" bottom="0" percent="0" rank="0" text="" dxfId="3">
      <formula>"A"</formula>
    </cfRule>
    <cfRule type="cellIs" priority="3" operator="equal" aboveAverage="0" equalAverage="0" bottom="0" percent="0" rank="0" text="" dxfId="4">
      <formula>"B"</formula>
    </cfRule>
    <cfRule type="cellIs" priority="4" operator="equal" aboveAverage="0" equalAverage="0" bottom="0" percent="0" rank="0" text="" dxfId="5">
      <formula>"C"</formula>
    </cfRule>
    <cfRule type="cellIs" priority="5" operator="equal" aboveAverage="0" equalAverage="0" bottom="0" percent="0" rank="0" text="" dxfId="5">
      <formula>"D"</formula>
    </cfRule>
  </conditionalFormatting>
  <conditionalFormatting sqref="I11:I200">
    <cfRule type="cellIs" priority="6" operator="greaterThanOrEqual" aboveAverage="0" equalAverage="0" bottom="0" percent="0" rank="0" text="" dxfId="3">
      <formula>4</formula>
    </cfRule>
    <cfRule type="cellIs" priority="7" operator="between" aboveAverage="0" equalAverage="0" bottom="0" percent="0" rank="0" text="" dxfId="4">
      <formula>3</formula>
      <formula>3.99</formula>
    </cfRule>
    <cfRule type="cellIs" priority="8" operator="lessThan" aboveAverage="0" equalAverage="0" bottom="0" percent="0" rank="0" text="" dxfId="5">
      <formula>3</formula>
    </cfRule>
  </conditionalFormatting>
  <conditionalFormatting sqref="K11:K200">
    <cfRule type="cellIs" priority="9" operator="equal" aboveAverage="0" equalAverage="0" bottom="0" percent="0" rank="0" text="" dxfId="3">
      <formula>"Continue"</formula>
    </cfRule>
    <cfRule type="cellIs" priority="10" operator="equal" aboveAverage="0" equalAverage="0" bottom="0" percent="0" rank="0" text="" dxfId="4">
      <formula>"Improvement Plan"</formula>
    </cfRule>
    <cfRule type="cellIs" priority="11" operator="equal" aboveAverage="0" equalAverage="0" bottom="0" percent="0" rank="0" text="" dxfId="5">
      <formula>"Formal Warning"</formula>
    </cfRule>
    <cfRule type="cellIs" priority="12" operator="equal" aboveAverage="0" equalAverage="0" bottom="0" percent="0" rank="0" text="" dxfId="5">
      <formula>"Do Not Re-engage"</formula>
    </cfRule>
  </conditionalFormatting>
  <dataValidations count="3">
    <dataValidation allowBlank="true" error="Score 1-5" errorStyle="stop" operator="between" showDropDown="false" showErrorMessage="false" showInputMessage="false" sqref="D11:H200" type="whole">
      <formula1>1</formula1>
      <formula2>5</formula2>
    </dataValidation>
    <dataValidation allowBlank="true" errorStyle="stop" operator="between" showDropDown="false" showErrorMessage="false" showInputMessage="false" sqref="K11:K200" type="list">
      <formula1>"Continue,Improvement Plan,Formal Warning,Do Not Re-engage"</formula1>
      <formula2>0</formula2>
    </dataValidation>
    <dataValidation allowBlank="true" errorStyle="stop" operator="between" showDropDown="false" showErrorMessage="false" showInputMessage="false" sqref="M11:M200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&amp;CSupplier Performance Scorecards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31" t="s">
        <v>90</v>
      </c>
    </row>
    <row r="2" customFormat="false" ht="15" hidden="false" customHeight="false" outlineLevel="0" collapsed="false">
      <c r="A2" s="32"/>
    </row>
    <row r="3" customFormat="false" ht="15" hidden="false" customHeight="false" outlineLevel="0" collapsed="false">
      <c r="A3" s="32" t="s">
        <v>91</v>
      </c>
    </row>
    <row r="4" customFormat="false" ht="15" hidden="false" customHeight="false" outlineLevel="0" collapsed="false">
      <c r="A4" s="32"/>
    </row>
    <row r="5" customFormat="false" ht="15" hidden="false" customHeight="false" outlineLevel="0" collapsed="false">
      <c r="A5" s="33" t="s">
        <v>92</v>
      </c>
    </row>
    <row r="6" customFormat="false" ht="23.85" hidden="false" customHeight="false" outlineLevel="0" collapsed="false">
      <c r="A6" s="33" t="s">
        <v>93</v>
      </c>
    </row>
    <row r="7" customFormat="false" ht="15" hidden="false" customHeight="false" outlineLevel="0" collapsed="false">
      <c r="A7" s="33" t="s">
        <v>94</v>
      </c>
    </row>
    <row r="8" customFormat="false" ht="15" hidden="false" customHeight="false" outlineLevel="0" collapsed="false">
      <c r="A8" s="33" t="s">
        <v>95</v>
      </c>
    </row>
    <row r="9" customFormat="false" ht="23.85" hidden="false" customHeight="false" outlineLevel="0" collapsed="false">
      <c r="A9" s="33" t="s">
        <v>96</v>
      </c>
    </row>
    <row r="10" customFormat="false" ht="15" hidden="false" customHeight="false" outlineLevel="0" collapsed="false">
      <c r="A10" s="33" t="s">
        <v>97</v>
      </c>
    </row>
    <row r="11" customFormat="false" ht="15" hidden="false" customHeight="false" outlineLevel="0" collapsed="false">
      <c r="A11" s="32"/>
    </row>
    <row r="12" customFormat="false" ht="15" hidden="false" customHeight="false" outlineLevel="0" collapsed="false">
      <c r="A12" s="32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Environmental &amp; Compliance</cp:category>
  <dcterms:created xsi:type="dcterms:W3CDTF">2026-03-24T16:56:46Z</dcterms:created>
  <dc:creator>Ebrora Ltd</dc:creator>
  <dc:description>Assess supplier and subcontractor performance against OTIF delivery, quality, H&amp;S compliance, documentation, and responsiveness using weighted scoring with automatic grading and recommended actions.
Free professional construction management template from Ebrora Ltd. Visit ebrora.com for our full range of tools and templates.</dc:description>
  <cp:keywords>Ebrora construction supplier performance scorecard OTIF quality H&amp;S assessment</cp:keywords>
  <dc:language>en-US</dc:language>
  <cp:lastModifiedBy>Ebrora Ltd</cp:lastModifiedBy>
  <dcterms:modified xsi:type="dcterms:W3CDTF">2026-03-24T16:56:46Z</dcterms:modified>
  <cp:revision>0</cp:revision>
  <dc:subject>Assess supplier and subcontractor performance against OTIF, quality, H&amp;S, documentation, and responsiveness.</dc:subject>
  <dc:title>Supplier Performance Scorecards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