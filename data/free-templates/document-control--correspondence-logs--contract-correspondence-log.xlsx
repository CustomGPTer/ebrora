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rrespondence Log" sheetId="3" state="visible" r:id="rId5"/>
    <sheet name="Terms of Use" sheetId="4" state="hidden" r:id="rId6"/>
  </sheets>
  <definedNames>
    <definedName function="false" hidden="false" localSheetId="2" name="_xlnm.Print_Area" vbProcedure="false">'Correspondence Log'!$A$1:$K$62</definedName>
    <definedName function="false" hidden="true" localSheetId="2" name="_xlnm._FilterDatabase" vbProcedure="false">'Correspondence Log'!$A$11:$Q$62</definedName>
    <definedName function="false" hidden="false" localSheetId="0" name="_xlnm.Print_Area" vbProcedure="false">Cover!$A$1:$H$20</definedName>
    <definedName function="false" hidden="false" localSheetId="1" name="_xlnm.Print_Area" vbProcedure="false">Instructions!$A$1:$F$27</definedName>
    <definedName function="false" hidden="false" name="CorrespondenceData" vbProcedure="false">'Correspondence Log'!$A$11:$Q$62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<sst xmlns="http://schemas.openxmlformats.org/spreadsheetml/2006/main" count="139" uniqueCount="112">
  <si>
    <t xml:space="preserve">EBRORA</t>
  </si>
  <si>
    <t xml:space="preserve">ebrora.com</t>
  </si>
  <si>
    <t xml:space="preserve">Contract Correspondence Log</t>
  </si>
  <si>
    <t xml:space="preserve">Log all formal contract correspondence with two-way</t>
  </si>
  <si>
    <t xml:space="preserve">direction tracking, response monitoring, and overdue alerts.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</si>
  <si>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</si>
  <si>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</si>
  <si>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</si>
  <si>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</si>
  <si>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</si>
  <si>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</si>
  <si>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'Correspondence Log' sheet. The top section has two summary panels: a Direction Summary (left) showing sent vs received counts and a Response Monitor (right) tracking outstanding and overdue responses.</t>
  </si>
  <si>
    <t xml:space="preserve">2.</t>
  </si>
  <si>
    <t xml:space="preserve">Each row represents one piece of formal correspondence. Enter the Ref, Date, Direction (Sent/Received), From, To, Subject, Type, and whether a Response is Required.</t>
  </si>
  <si>
    <t xml:space="preserve">3.</t>
  </si>
  <si>
    <t xml:space="preserve">If a response is required, enter the Response Deadline. The Days to Deadline column calculates automatically. When the response arrives, enter the Response Received Date and the Response Ref to link the chain.</t>
  </si>
  <si>
    <t xml:space="preserve">4.</t>
  </si>
  <si>
    <t xml:space="preserve">Use the Type dropdown to categorise: Letter, Email, Notice, Instruction, Certificate, Claim, or Other. This enables filtering for specific correspondence categories.</t>
  </si>
  <si>
    <t xml:space="preserve">5.</t>
  </si>
  <si>
    <t xml:space="preserve">The Response Status column auto-calculates: shows 'Responded' (green) if a response date exists, 'Overdue' (red) if the deadline has passed, 'Pending' (amber) if awaiting response, or blank if no response required.</t>
  </si>
  <si>
    <t xml:space="preserve">Optional Fields</t>
  </si>
  <si>
    <t xml:space="preserve">6.</t>
  </si>
  <si>
    <t xml:space="preserve">Click [+] to expand optional fields: Contract Clause, Confidential flag, Hard Copy Location, Linked RFI/CE/VO Ref, Filed By, and File/Folder Ref.</t>
  </si>
  <si>
    <t xml:space="preserve">7.</t>
  </si>
  <si>
    <t xml:space="preserve">The Linked Ref field lets you cross-reference correspondence to your RFI Log, CE Register, or Variation Order Register.</t>
  </si>
  <si>
    <t xml:space="preserve">Colour Key</t>
  </si>
  <si>
    <t xml:space="preserve">Light teal cells (#E8F6F7) — User input.</t>
  </si>
  <si>
    <t xml:space="preserve">Dark navy headers — Do not edit.</t>
  </si>
  <si>
    <t xml:space="preserve">Light blue Direction — Sent (outgoing correspondence).</t>
  </si>
  <si>
    <t xml:space="preserve">Light green Direction — Received (incoming correspondence).</t>
  </si>
  <si>
    <t xml:space="preserve">Green Response Status — Responded (response received on time).</t>
  </si>
  <si>
    <t xml:space="preserve">Amber Response Status — Pending (response required, deadline not yet passed).</t>
  </si>
  <si>
    <t xml:space="preserve">Red Response Status — Overdue (deadline passed, no response received).</t>
  </si>
  <si>
    <t xml:space="preserve">Tips</t>
  </si>
  <si>
    <t xml:space="preserve">Tip 1:</t>
  </si>
  <si>
    <t xml:space="preserve">Log every piece of formal correspondence the same day it is sent or received. Gaps in the correspondence record are a common weakness in dispute proceedings.</t>
  </si>
  <si>
    <t xml:space="preserve">Tip 2:</t>
  </si>
  <si>
    <t xml:space="preserve">Use the filter on Direction = 'Received' and Response Required = 'Yes' to generate a weekly action list of items requiring your response.</t>
  </si>
  <si>
    <t xml:space="preserve">Tip 3:</t>
  </si>
  <si>
    <t xml:space="preserve">For NEC contracts, formal notices and communications are time-bound. Use this log alongside the CE and EW registers to evidence that all notifications were issued within contractual timescales.</t>
  </si>
  <si>
    <t xml:space="preserve">CONTRACT CORRESPONDENCE LOG</t>
  </si>
  <si>
    <t xml:space="preserve">DIRECTION SUMMARY</t>
  </si>
  <si>
    <t xml:space="preserve">RESPONSE MONITOR</t>
  </si>
  <si>
    <t xml:space="preserve">Total Correspondence</t>
  </si>
  <si>
    <t xml:space="preserve">Responses Required</t>
  </si>
  <si>
    <t xml:space="preserve">Sent (→ Outgoing)</t>
  </si>
  <si>
    <t xml:space="preserve">Responded</t>
  </si>
  <si>
    <t xml:space="preserve">Received (← Incoming)</t>
  </si>
  <si>
    <t xml:space="preserve">Pending (in time)</t>
  </si>
  <si>
    <t xml:space="preserve">Overdue</t>
  </si>
  <si>
    <t xml:space="preserve">▸ Optional Fields — Click [+] to expand</t>
  </si>
  <si>
    <t xml:space="preserve">Ref</t>
  </si>
  <si>
    <t xml:space="preserve">Date</t>
  </si>
  <si>
    <t xml:space="preserve">Direction</t>
  </si>
  <si>
    <t xml:space="preserve">From</t>
  </si>
  <si>
    <t xml:space="preserve">To</t>
  </si>
  <si>
    <t xml:space="preserve">Subject</t>
  </si>
  <si>
    <t xml:space="preserve">Type</t>
  </si>
  <si>
    <t xml:space="preserve">Response
Required</t>
  </si>
  <si>
    <t xml:space="preserve">Response
Deadline</t>
  </si>
  <si>
    <t xml:space="preserve">Response
Status</t>
  </si>
  <si>
    <t xml:space="preserve">Notes</t>
  </si>
  <si>
    <t xml:space="preserve">Response
Received</t>
  </si>
  <si>
    <t xml:space="preserve">Response
Ref</t>
  </si>
  <si>
    <t xml:space="preserve">Contract
Clause</t>
  </si>
  <si>
    <t xml:space="preserve">Confidential</t>
  </si>
  <si>
    <t xml:space="preserve">Linked
RFI/CE/VO</t>
  </si>
  <si>
    <t xml:space="preserve">Filed By</t>
  </si>
  <si>
    <t xml:space="preserve">CC-001</t>
  </si>
  <si>
    <t xml:space="preserve">Sent</t>
  </si>
  <si>
    <t xml:space="preserve">Kier Construction (PM)</t>
  </si>
  <si>
    <t xml:space="preserve">Riverside Developments (Employer)</t>
  </si>
  <si>
    <t xml:space="preserve">Early Warning Notice — potential ground condition risk Zone A</t>
  </si>
  <si>
    <t xml:space="preserve">Notice</t>
  </si>
  <si>
    <t xml:space="preserve">Yes</t>
  </si>
  <si>
    <t xml:space="preserve">EW-001 raised same date</t>
  </si>
  <si>
    <t xml:space="preserve">CC-004</t>
  </si>
  <si>
    <t xml:space="preserve">Cl 15.1</t>
  </si>
  <si>
    <t xml:space="preserve">No</t>
  </si>
  <si>
    <t xml:space="preserve">EW-001</t>
  </si>
  <si>
    <t xml:space="preserve">J Williams</t>
  </si>
  <si>
    <t xml:space="preserve">CC-002</t>
  </si>
  <si>
    <t xml:space="preserve">Received</t>
  </si>
  <si>
    <t xml:space="preserve">Client Instruction CI-034: Change cladding system to Block C</t>
  </si>
  <si>
    <t xml:space="preserve">Instruction</t>
  </si>
  <si>
    <t xml:space="preserve">Triggers VO-002</t>
  </si>
  <si>
    <t xml:space="preserve">CC-005</t>
  </si>
  <si>
    <t xml:space="preserve">Cl 14.3</t>
  </si>
  <si>
    <t xml:space="preserve">VO-002</t>
  </si>
  <si>
    <t xml:space="preserve">S Patel</t>
  </si>
  <si>
    <t xml:space="preserve">CC-003</t>
  </si>
  <si>
    <t xml:space="preserve">Capita (Designer)</t>
  </si>
  <si>
    <t xml:space="preserve">RFI-003: Drainage invert level conflict between civil and structural drawings</t>
  </si>
  <si>
    <t xml:space="preserve">Letter</t>
  </si>
  <si>
    <t xml:space="preserve">Formal follow-up to verbal RFI</t>
  </si>
  <si>
    <t xml:space="preserve">CC-008</t>
  </si>
  <si>
    <t xml:space="preserve">RFI-003</t>
  </si>
  <si>
    <t xml:space="preserve">Acknowledgement of EW-001 — PM agrees matter to be discussed at RRM</t>
  </si>
  <si>
    <t xml:space="preserve">Response to CC-001</t>
  </si>
  <si>
    <t xml:space="preserve">CE Notification — Building Control fire stopping requirement (CE-003)</t>
  </si>
  <si>
    <t xml:space="preserve">Formal Cl 61.3 notification</t>
  </si>
  <si>
    <t xml:space="preserve">Cl 61.3</t>
  </si>
  <si>
    <t xml:space="preserve">CE-003</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</si>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</sst>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dd/mm/yyyy"/>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D6E4F0"/>
        <bgColor rgb="FFE2EFDA"/>
      </patternFill>
    </fill>
    <fill>
      <patternFill patternType="solid">
        <fgColor rgb="FFC6EFCE"/>
        <bgColor rgb="FFE2EFDA"/>
      </patternFill>
    </fill>
    <fill>
      <patternFill patternType="solid">
        <fgColor rgb="FFE2EFDA"/>
        <bgColor rgb="FFE8F6F7"/>
      </patternFill>
    </fill>
    <fill>
      <patternFill patternType="solid">
        <fgColor rgb="FFFFEB9C"/>
        <bgColor rgb="FFE2EFDA"/>
      </patternFill>
    </fill>
    <fill>
      <patternFill patternType="solid">
        <fgColor rgb="FFFFC7CE"/>
        <bgColor rgb="FFFFEB9C"/>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5" fontId="15" fillId="3" borderId="2"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2" fillId="7"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12" fillId="9" borderId="2" xfId="0" applyFont="true" applyBorder="true" applyAlignment="true" applyProtection="false">
      <alignment horizontal="left" vertical="center" textRotation="0" wrapText="true" indent="0" shrinkToFit="false"/>
      <protection locked="true" hidden="false"/>
    </xf>
    <xf numFmtId="164" fontId="12" fillId="10" borderId="2" xfId="0" applyFont="true" applyBorder="true" applyAlignment="true" applyProtection="false">
      <alignment horizontal="left"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6" fontId="13"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D6E4F0"/>
          <bgColor rgb="FF000000"/>
        </patternFill>
      </fill>
    </dxf>
    <dxf>
      <fill>
        <patternFill patternType="solid">
          <fgColor rgb="FFE2EFDA"/>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FFC7CE"/>
          <bgColor rgb="FF000000"/>
        </patternFill>
      </fill>
    </dxf>
    <dxf>
      <fill>
        <patternFill>
          <bgColor rgb="FFFFC7CE"/>
        </patternFill>
      </fill>
    </dxf>
    <dxf>
      <fill>
        <patternFill>
          <bgColor rgb="FFD6E4F0"/>
        </patternFill>
      </fill>
    </dxf>
    <dxf>
      <fill>
        <patternFill>
          <bgColor rgb="FFE2EFDA"/>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23.85" hidden="false" customHeight="true" outlineLevel="0" collapsed="false">
      <c r="A11" s="12" t="s">
        <v>21</v>
      </c>
      <c r="B11" s="13" t="s">
        <v>22</v>
      </c>
      <c r="C11" s="13"/>
      <c r="D11" s="13"/>
      <c r="E11" s="13"/>
      <c r="F11" s="13"/>
    </row>
    <row r="12" customFormat="false" ht="15" hidden="false" customHeight="true" outlineLevel="0" collapsed="false">
      <c r="A12" s="12" t="s">
        <v>23</v>
      </c>
      <c r="B12" s="13" t="s">
        <v>24</v>
      </c>
      <c r="C12" s="13"/>
      <c r="D12" s="13"/>
      <c r="E12" s="13"/>
      <c r="F12" s="13"/>
    </row>
    <row r="14" customFormat="false" ht="15" hidden="false" customHeight="true" outlineLevel="0" collapsed="false">
      <c r="A14" s="11" t="s">
        <v>25</v>
      </c>
      <c r="B14" s="11"/>
      <c r="C14" s="11"/>
      <c r="D14" s="11"/>
      <c r="E14" s="11"/>
      <c r="F14" s="11"/>
    </row>
    <row r="15" customFormat="false" ht="15" hidden="false" customHeight="true" outlineLevel="0" collapsed="false">
      <c r="A15" s="14" t="s">
        <v>26</v>
      </c>
      <c r="B15" s="14"/>
      <c r="C15" s="14"/>
      <c r="D15" s="14"/>
      <c r="E15" s="14"/>
      <c r="F15" s="14"/>
    </row>
    <row r="16" customFormat="false" ht="15" hidden="false" customHeight="true" outlineLevel="0" collapsed="false">
      <c r="A16" s="14" t="s">
        <v>27</v>
      </c>
      <c r="B16" s="14"/>
      <c r="C16" s="14"/>
      <c r="D16" s="14"/>
      <c r="E16" s="14"/>
      <c r="F16" s="14"/>
    </row>
    <row r="17" customFormat="false" ht="15" hidden="false" customHeight="true" outlineLevel="0" collapsed="false">
      <c r="A17" s="14" t="s">
        <v>28</v>
      </c>
      <c r="B17" s="14"/>
      <c r="C17" s="14"/>
      <c r="D17" s="14"/>
      <c r="E17" s="14"/>
      <c r="F17" s="14"/>
    </row>
    <row r="18" customFormat="false" ht="15" hidden="false" customHeight="true" outlineLevel="0" collapsed="false">
      <c r="A18" s="14" t="s">
        <v>29</v>
      </c>
      <c r="B18" s="14"/>
      <c r="C18" s="14"/>
      <c r="D18" s="14"/>
      <c r="E18" s="14"/>
      <c r="F18" s="14"/>
    </row>
    <row r="19" customFormat="false" ht="15" hidden="false" customHeight="true" outlineLevel="0" collapsed="false">
      <c r="A19" s="14" t="s">
        <v>30</v>
      </c>
      <c r="B19" s="14"/>
      <c r="C19" s="14"/>
      <c r="D19" s="14"/>
      <c r="E19" s="14"/>
      <c r="F19" s="14"/>
    </row>
    <row r="20" customFormat="false" ht="15" hidden="false" customHeight="true" outlineLevel="0" collapsed="false">
      <c r="A20" s="14" t="s">
        <v>31</v>
      </c>
      <c r="B20" s="14"/>
      <c r="C20" s="14"/>
      <c r="D20" s="14"/>
      <c r="E20" s="14"/>
      <c r="F20" s="14"/>
    </row>
    <row r="21" customFormat="false" ht="15" hidden="false" customHeight="true" outlineLevel="0" collapsed="false">
      <c r="A21" s="14" t="s">
        <v>32</v>
      </c>
      <c r="B21" s="14"/>
      <c r="C21" s="14"/>
      <c r="D21" s="14"/>
      <c r="E21" s="14"/>
      <c r="F21" s="14"/>
    </row>
    <row r="23" customFormat="false" ht="15" hidden="false" customHeight="true" outlineLevel="0" collapsed="false">
      <c r="A23" s="11" t="s">
        <v>33</v>
      </c>
      <c r="B23" s="11"/>
      <c r="C23" s="11"/>
      <c r="D23" s="11"/>
      <c r="E23" s="11"/>
      <c r="F23" s="11"/>
    </row>
    <row r="24" customFormat="false" ht="23.85" hidden="false" customHeight="true" outlineLevel="0" collapsed="false">
      <c r="A24" s="12" t="s">
        <v>34</v>
      </c>
      <c r="B24" s="13" t="s">
        <v>35</v>
      </c>
      <c r="C24" s="13"/>
      <c r="D24" s="13"/>
      <c r="E24" s="13"/>
      <c r="F24" s="13"/>
    </row>
    <row r="25" customFormat="false" ht="23.85" hidden="false" customHeight="true" outlineLevel="0" collapsed="false">
      <c r="A25" s="12" t="s">
        <v>36</v>
      </c>
      <c r="B25" s="13" t="s">
        <v>37</v>
      </c>
      <c r="C25" s="13"/>
      <c r="D25" s="13"/>
      <c r="E25" s="13"/>
      <c r="F25" s="13"/>
    </row>
    <row r="26" customFormat="false" ht="23.85" hidden="false" customHeight="true" outlineLevel="0" collapsed="false">
      <c r="A26" s="12" t="s">
        <v>38</v>
      </c>
      <c r="B26" s="13" t="s">
        <v>39</v>
      </c>
      <c r="C26" s="13"/>
      <c r="D26" s="13"/>
      <c r="E26" s="13"/>
      <c r="F26" s="13"/>
    </row>
  </sheetData>
  <mergeCells count="22">
    <mergeCell ref="A1:F1"/>
    <mergeCell ref="A3:F3"/>
    <mergeCell ref="B4:F4"/>
    <mergeCell ref="B5:F5"/>
    <mergeCell ref="B6:F6"/>
    <mergeCell ref="B7:F7"/>
    <mergeCell ref="B8:F8"/>
    <mergeCell ref="A10:F10"/>
    <mergeCell ref="B11:F11"/>
    <mergeCell ref="B12:F12"/>
    <mergeCell ref="A14:F14"/>
    <mergeCell ref="A15:F15"/>
    <mergeCell ref="A16:F16"/>
    <mergeCell ref="A17:F17"/>
    <mergeCell ref="A18:F18"/>
    <mergeCell ref="A19:F19"/>
    <mergeCell ref="A20:F20"/>
    <mergeCell ref="A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1"/>
  <cols>
    <col collapsed="false" customWidth="true" hidden="false" outlineLevel="0" max="2" min="1" style="0" width="12"/>
    <col collapsed="false" customWidth="true" hidden="false" outlineLevel="0" max="3" min="3" style="0" width="11"/>
    <col collapsed="false" customWidth="true" hidden="false" outlineLevel="0" max="5" min="4" style="0" width="20"/>
    <col collapsed="false" customWidth="true" hidden="false" outlineLevel="0" max="6" min="6" style="0" width="42"/>
    <col collapsed="false" customWidth="true" hidden="false" outlineLevel="0" max="7" min="7" style="0" width="13"/>
    <col collapsed="false" customWidth="true" hidden="false" outlineLevel="0" max="8" min="8" style="0" width="11"/>
    <col collapsed="false" customWidth="true" hidden="false" outlineLevel="0" max="9" min="9" style="0" width="13"/>
    <col collapsed="false" customWidth="true" hidden="false" outlineLevel="0" max="10" min="10" style="0" width="12"/>
    <col collapsed="false" customWidth="true" hidden="false" outlineLevel="0" max="11" min="11" style="0" width="30"/>
    <col collapsed="false" customWidth="true" hidden="true" outlineLevel="1" max="17" min="12" style="0" width="13"/>
  </cols>
  <sheetData>
    <row r="1" customFormat="false" ht="15" hidden="false" customHeight="true" outlineLevel="0" collapsed="false">
      <c r="A1" s="15" t="s">
        <v>40</v>
      </c>
      <c r="B1" s="15"/>
      <c r="C1" s="15"/>
      <c r="D1" s="15"/>
      <c r="E1" s="15"/>
      <c r="F1" s="15"/>
      <c r="G1" s="15"/>
      <c r="H1" s="15"/>
      <c r="I1" s="15"/>
      <c r="J1" s="15"/>
      <c r="K1" s="15"/>
      <c r="L1" s="15"/>
      <c r="M1" s="15"/>
      <c r="N1" s="15"/>
      <c r="O1" s="15"/>
      <c r="P1" s="15"/>
      <c r="Q1" s="15"/>
    </row>
    <row r="3" customFormat="false" ht="15" hidden="false" customHeight="true" outlineLevel="0" collapsed="false">
      <c r="A3" s="15" t="s">
        <v>41</v>
      </c>
      <c r="B3" s="15"/>
      <c r="C3" s="15"/>
      <c r="D3" s="15"/>
      <c r="E3" s="15"/>
      <c r="G3" s="15" t="s">
        <v>42</v>
      </c>
      <c r="H3" s="15"/>
      <c r="I3" s="15"/>
      <c r="J3" s="15"/>
      <c r="K3" s="15"/>
    </row>
    <row r="5" customFormat="false" ht="15" hidden="false" customHeight="true" outlineLevel="0" collapsed="false">
      <c r="A5" s="16" t="s">
        <v>43</v>
      </c>
      <c r="B5" s="16"/>
      <c r="C5" s="16"/>
      <c r="D5" s="17" t="n">
        <f aca="false">COUNTA(A12:A62)</f>
        <v>5</v>
      </c>
      <c r="E5" s="17"/>
      <c r="G5" s="16" t="s">
        <v>44</v>
      </c>
      <c r="H5" s="16"/>
      <c r="I5" s="16"/>
      <c r="J5" s="17" t="n">
        <f aca="false">COUNTIF(H12:H62,"Yes")</f>
        <v>4</v>
      </c>
      <c r="K5" s="17"/>
    </row>
    <row r="6" customFormat="false" ht="15" hidden="false" customHeight="true" outlineLevel="0" collapsed="false">
      <c r="A6" s="18" t="s">
        <v>45</v>
      </c>
      <c r="B6" s="18"/>
      <c r="C6" s="18"/>
      <c r="D6" s="17" t="n">
        <f aca="false">COUNTIF(C12:C62,"Sent")</f>
        <v>3</v>
      </c>
      <c r="E6" s="17"/>
      <c r="G6" s="19" t="s">
        <v>46</v>
      </c>
      <c r="H6" s="19"/>
      <c r="I6" s="19"/>
      <c r="J6" s="17" t="n">
        <f aca="false">COUNTIFS(H12:H62,"Yes",L12:L62,"&lt;&gt;")</f>
        <v>3</v>
      </c>
      <c r="K6" s="17"/>
    </row>
    <row r="7" customFormat="false" ht="15" hidden="false" customHeight="true" outlineLevel="0" collapsed="false">
      <c r="A7" s="20" t="s">
        <v>47</v>
      </c>
      <c r="B7" s="20"/>
      <c r="C7" s="20"/>
      <c r="D7" s="17" t="n">
        <f aca="false">COUNTIF(C12:C62,"Received")</f>
        <v>2</v>
      </c>
      <c r="E7" s="17"/>
      <c r="G7" s="21" t="s">
        <v>48</v>
      </c>
      <c r="H7" s="21"/>
      <c r="I7" s="21"/>
      <c r="J7" s="17" t="n">
        <f aca="true">COUNTIFS(H12:H62,"Yes",L12:L62,"",I12:I62,"&gt;="&amp;TODAY())</f>
        <v>0</v>
      </c>
      <c r="K7" s="17"/>
    </row>
    <row r="8" customFormat="false" ht="15" hidden="false" customHeight="true" outlineLevel="0" collapsed="false">
      <c r="G8" s="22" t="s">
        <v>49</v>
      </c>
      <c r="H8" s="22"/>
      <c r="I8" s="22"/>
      <c r="J8" s="17" t="n">
        <f aca="true">COUNTIFS(H12:H62,"Yes",L12:L62,"",I12:I62,"&lt;"&amp;TODAY(),I12:I62,"&lt;&gt;")</f>
        <v>1</v>
      </c>
      <c r="K8" s="17"/>
    </row>
    <row r="10" customFormat="false" ht="32.8" hidden="false" customHeight="true" outlineLevel="0" collapsed="false">
      <c r="A10" s="23"/>
      <c r="B10" s="23"/>
      <c r="C10" s="23"/>
      <c r="D10" s="23"/>
      <c r="E10" s="23"/>
      <c r="F10" s="23"/>
      <c r="G10" s="23"/>
      <c r="H10" s="23"/>
      <c r="I10" s="23"/>
      <c r="J10" s="23"/>
      <c r="K10" s="23"/>
      <c r="L10" s="24" t="s">
        <v>50</v>
      </c>
      <c r="M10" s="24"/>
      <c r="N10" s="24"/>
      <c r="O10" s="24"/>
      <c r="P10" s="24"/>
      <c r="Q10" s="24"/>
    </row>
    <row r="11" customFormat="false" ht="55.2" hidden="false" customHeight="false" outlineLevel="0" collapsed="false">
      <c r="A11" s="25" t="s">
        <v>51</v>
      </c>
      <c r="B11" s="25" t="s">
        <v>52</v>
      </c>
      <c r="C11" s="25" t="s">
        <v>53</v>
      </c>
      <c r="D11" s="25" t="s">
        <v>54</v>
      </c>
      <c r="E11" s="25" t="s">
        <v>55</v>
      </c>
      <c r="F11" s="25" t="s">
        <v>56</v>
      </c>
      <c r="G11" s="25" t="s">
        <v>57</v>
      </c>
      <c r="H11" s="25" t="s">
        <v>58</v>
      </c>
      <c r="I11" s="25" t="s">
        <v>59</v>
      </c>
      <c r="J11" s="25" t="s">
        <v>60</v>
      </c>
      <c r="K11" s="25" t="s">
        <v>61</v>
      </c>
      <c r="L11" s="25" t="s">
        <v>62</v>
      </c>
      <c r="M11" s="25" t="s">
        <v>63</v>
      </c>
      <c r="N11" s="25" t="s">
        <v>64</v>
      </c>
      <c r="O11" s="25" t="s">
        <v>65</v>
      </c>
      <c r="P11" s="25" t="s">
        <v>66</v>
      </c>
      <c r="Q11" s="25" t="s">
        <v>67</v>
      </c>
    </row>
    <row r="12" customFormat="false" ht="23.85" hidden="false" customHeight="false" outlineLevel="0" collapsed="false">
      <c r="A12" s="26" t="s">
        <v>68</v>
      </c>
      <c r="B12" s="27" t="n">
        <v>45848</v>
      </c>
      <c r="C12" s="26" t="s">
        <v>69</v>
      </c>
      <c r="D12" s="28" t="s">
        <v>70</v>
      </c>
      <c r="E12" s="28" t="s">
        <v>71</v>
      </c>
      <c r="F12" s="28" t="s">
        <v>72</v>
      </c>
      <c r="G12" s="26" t="s">
        <v>73</v>
      </c>
      <c r="H12" s="26" t="s">
        <v>74</v>
      </c>
      <c r="I12" s="27" t="n">
        <v>45862</v>
      </c>
      <c r="J12" s="29" t="str">
        <f aca="true">IF(H12&lt;&gt;"Yes","",IF(L12&lt;&gt;"","Responded",IF(AND(I12&lt;&gt;"",I12&lt;TODAY()),"Overdue",IF(I12&lt;&gt;"","Pending",""))))</f>
        <v>Responded</v>
      </c>
      <c r="K12" s="28" t="s">
        <v>75</v>
      </c>
      <c r="L12" s="27" t="n">
        <v>45856</v>
      </c>
      <c r="M12" s="26" t="s">
        <v>76</v>
      </c>
      <c r="N12" s="26" t="s">
        <v>77</v>
      </c>
      <c r="O12" s="26" t="s">
        <v>78</v>
      </c>
      <c r="P12" s="26" t="s">
        <v>79</v>
      </c>
      <c r="Q12" s="26" t="s">
        <v>80</v>
      </c>
    </row>
    <row r="13" customFormat="false" ht="23.85" hidden="false" customHeight="false" outlineLevel="0" collapsed="false">
      <c r="A13" s="26" t="s">
        <v>81</v>
      </c>
      <c r="B13" s="27" t="n">
        <v>45853</v>
      </c>
      <c r="C13" s="26" t="s">
        <v>82</v>
      </c>
      <c r="D13" s="28" t="s">
        <v>71</v>
      </c>
      <c r="E13" s="28" t="s">
        <v>70</v>
      </c>
      <c r="F13" s="28" t="s">
        <v>83</v>
      </c>
      <c r="G13" s="26" t="s">
        <v>84</v>
      </c>
      <c r="H13" s="26" t="s">
        <v>74</v>
      </c>
      <c r="I13" s="27" t="n">
        <v>45867</v>
      </c>
      <c r="J13" s="29" t="str">
        <f aca="true">IF(H13&lt;&gt;"Yes","",IF(L13&lt;&gt;"","Responded",IF(AND(I13&lt;&gt;"",I13&lt;TODAY()),"Overdue",IF(I13&lt;&gt;"","Pending",""))))</f>
        <v>Responded</v>
      </c>
      <c r="K13" s="28" t="s">
        <v>85</v>
      </c>
      <c r="L13" s="27" t="n">
        <v>45863</v>
      </c>
      <c r="M13" s="26" t="s">
        <v>86</v>
      </c>
      <c r="N13" s="26" t="s">
        <v>87</v>
      </c>
      <c r="O13" s="26" t="s">
        <v>78</v>
      </c>
      <c r="P13" s="26" t="s">
        <v>88</v>
      </c>
      <c r="Q13" s="26" t="s">
        <v>89</v>
      </c>
    </row>
    <row r="14" customFormat="false" ht="23.85" hidden="false" customHeight="false" outlineLevel="0" collapsed="false">
      <c r="A14" s="26" t="s">
        <v>90</v>
      </c>
      <c r="B14" s="27" t="n">
        <v>45874</v>
      </c>
      <c r="C14" s="26" t="s">
        <v>69</v>
      </c>
      <c r="D14" s="28" t="s">
        <v>70</v>
      </c>
      <c r="E14" s="28" t="s">
        <v>91</v>
      </c>
      <c r="F14" s="28" t="s">
        <v>92</v>
      </c>
      <c r="G14" s="26" t="s">
        <v>93</v>
      </c>
      <c r="H14" s="26" t="s">
        <v>74</v>
      </c>
      <c r="I14" s="27" t="n">
        <v>45888</v>
      </c>
      <c r="J14" s="29" t="str">
        <f aca="true">IF(H14&lt;&gt;"Yes","",IF(L14&lt;&gt;"","Responded",IF(AND(I14&lt;&gt;"",I14&lt;TODAY()),"Overdue",IF(I14&lt;&gt;"","Pending",""))))</f>
        <v>Responded</v>
      </c>
      <c r="K14" s="28" t="s">
        <v>94</v>
      </c>
      <c r="L14" s="27" t="n">
        <v>45891</v>
      </c>
      <c r="M14" s="26" t="s">
        <v>95</v>
      </c>
      <c r="N14" s="26"/>
      <c r="O14" s="26" t="s">
        <v>78</v>
      </c>
      <c r="P14" s="26" t="s">
        <v>96</v>
      </c>
      <c r="Q14" s="26" t="s">
        <v>80</v>
      </c>
    </row>
    <row r="15" customFormat="false" ht="23.85" hidden="false" customHeight="false" outlineLevel="0" collapsed="false">
      <c r="A15" s="26" t="s">
        <v>76</v>
      </c>
      <c r="B15" s="27" t="n">
        <v>45856</v>
      </c>
      <c r="C15" s="26" t="s">
        <v>82</v>
      </c>
      <c r="D15" s="28" t="s">
        <v>71</v>
      </c>
      <c r="E15" s="28" t="s">
        <v>70</v>
      </c>
      <c r="F15" s="28" t="s">
        <v>97</v>
      </c>
      <c r="G15" s="26" t="s">
        <v>93</v>
      </c>
      <c r="H15" s="26" t="s">
        <v>78</v>
      </c>
      <c r="I15" s="27"/>
      <c r="J15" s="29" t="str">
        <f aca="true">IF(H15&lt;&gt;"Yes","",IF(L15&lt;&gt;"","Responded",IF(AND(I15&lt;&gt;"",I15&lt;TODAY()),"Overdue",IF(I15&lt;&gt;"","Pending",""))))</f>
        <v/>
      </c>
      <c r="K15" s="28" t="s">
        <v>98</v>
      </c>
      <c r="L15" s="27"/>
      <c r="M15" s="26"/>
      <c r="N15" s="26" t="s">
        <v>77</v>
      </c>
      <c r="O15" s="26" t="s">
        <v>78</v>
      </c>
      <c r="P15" s="26" t="s">
        <v>79</v>
      </c>
      <c r="Q15" s="26" t="s">
        <v>89</v>
      </c>
    </row>
    <row r="16" customFormat="false" ht="23.85" hidden="false" customHeight="false" outlineLevel="0" collapsed="false">
      <c r="A16" s="26" t="s">
        <v>86</v>
      </c>
      <c r="B16" s="27" t="n">
        <v>45928</v>
      </c>
      <c r="C16" s="26" t="s">
        <v>69</v>
      </c>
      <c r="D16" s="28" t="s">
        <v>70</v>
      </c>
      <c r="E16" s="28" t="s">
        <v>71</v>
      </c>
      <c r="F16" s="28" t="s">
        <v>99</v>
      </c>
      <c r="G16" s="26" t="s">
        <v>73</v>
      </c>
      <c r="H16" s="26" t="s">
        <v>74</v>
      </c>
      <c r="I16" s="27" t="n">
        <v>45942</v>
      </c>
      <c r="J16" s="29" t="str">
        <f aca="true">IF(H16&lt;&gt;"Yes","",IF(L16&lt;&gt;"","Responded",IF(AND(I16&lt;&gt;"",I16&lt;TODAY()),"Overdue",IF(I16&lt;&gt;"","Pending",""))))</f>
        <v>Overdue</v>
      </c>
      <c r="K16" s="28" t="s">
        <v>100</v>
      </c>
      <c r="L16" s="27"/>
      <c r="M16" s="26"/>
      <c r="N16" s="26" t="s">
        <v>101</v>
      </c>
      <c r="O16" s="26" t="s">
        <v>78</v>
      </c>
      <c r="P16" s="26" t="s">
        <v>102</v>
      </c>
      <c r="Q16" s="26" t="s">
        <v>80</v>
      </c>
    </row>
    <row r="17" customFormat="false" ht="15" hidden="false" customHeight="false" outlineLevel="0" collapsed="false">
      <c r="A17" s="26"/>
      <c r="B17" s="27"/>
      <c r="C17" s="26"/>
      <c r="D17" s="28"/>
      <c r="E17" s="28"/>
      <c r="F17" s="28"/>
      <c r="G17" s="26"/>
      <c r="H17" s="26"/>
      <c r="I17" s="27"/>
      <c r="J17" s="29" t="str">
        <f aca="true">IF(H17&lt;&gt;"Yes","",IF(L17&lt;&gt;"","Responded",IF(AND(I17&lt;&gt;"",I17&lt;TODAY()),"Overdue",IF(I17&lt;&gt;"","Pending",""))))</f>
        <v/>
      </c>
      <c r="K17" s="28"/>
      <c r="L17" s="27"/>
      <c r="M17" s="26"/>
      <c r="N17" s="26"/>
      <c r="O17" s="26"/>
      <c r="P17" s="26"/>
      <c r="Q17" s="26"/>
    </row>
    <row r="18" customFormat="false" ht="15" hidden="false" customHeight="false" outlineLevel="0" collapsed="false">
      <c r="A18" s="26"/>
      <c r="B18" s="27"/>
      <c r="C18" s="26"/>
      <c r="D18" s="28"/>
      <c r="E18" s="28"/>
      <c r="F18" s="28"/>
      <c r="G18" s="26"/>
      <c r="H18" s="26"/>
      <c r="I18" s="27"/>
      <c r="J18" s="29" t="str">
        <f aca="true">IF(H18&lt;&gt;"Yes","",IF(L18&lt;&gt;"","Responded",IF(AND(I18&lt;&gt;"",I18&lt;TODAY()),"Overdue",IF(I18&lt;&gt;"","Pending",""))))</f>
        <v/>
      </c>
      <c r="K18" s="28"/>
      <c r="L18" s="27"/>
      <c r="M18" s="26"/>
      <c r="N18" s="26"/>
      <c r="O18" s="26"/>
      <c r="P18" s="26"/>
      <c r="Q18" s="26"/>
    </row>
    <row r="19" customFormat="false" ht="15" hidden="false" customHeight="false" outlineLevel="0" collapsed="false">
      <c r="A19" s="26"/>
      <c r="B19" s="27"/>
      <c r="C19" s="26"/>
      <c r="D19" s="28"/>
      <c r="E19" s="28"/>
      <c r="F19" s="28"/>
      <c r="G19" s="26"/>
      <c r="H19" s="26"/>
      <c r="I19" s="27"/>
      <c r="J19" s="29" t="str">
        <f aca="true">IF(H19&lt;&gt;"Yes","",IF(L19&lt;&gt;"","Responded",IF(AND(I19&lt;&gt;"",I19&lt;TODAY()),"Overdue",IF(I19&lt;&gt;"","Pending",""))))</f>
        <v/>
      </c>
      <c r="K19" s="28"/>
      <c r="L19" s="27"/>
      <c r="M19" s="26"/>
      <c r="N19" s="26"/>
      <c r="O19" s="26"/>
      <c r="P19" s="26"/>
      <c r="Q19" s="26"/>
    </row>
    <row r="20" customFormat="false" ht="15" hidden="false" customHeight="false" outlineLevel="0" collapsed="false">
      <c r="A20" s="26"/>
      <c r="B20" s="27"/>
      <c r="C20" s="26"/>
      <c r="D20" s="28"/>
      <c r="E20" s="28"/>
      <c r="F20" s="28"/>
      <c r="G20" s="26"/>
      <c r="H20" s="26"/>
      <c r="I20" s="27"/>
      <c r="J20" s="29" t="str">
        <f aca="true">IF(H20&lt;&gt;"Yes","",IF(L20&lt;&gt;"","Responded",IF(AND(I20&lt;&gt;"",I20&lt;TODAY()),"Overdue",IF(I20&lt;&gt;"","Pending",""))))</f>
        <v/>
      </c>
      <c r="K20" s="28"/>
      <c r="L20" s="27"/>
      <c r="M20" s="26"/>
      <c r="N20" s="26"/>
      <c r="O20" s="26"/>
      <c r="P20" s="26"/>
      <c r="Q20" s="26"/>
    </row>
    <row r="21" customFormat="false" ht="15" hidden="false" customHeight="false" outlineLevel="0" collapsed="false">
      <c r="A21" s="26"/>
      <c r="B21" s="27"/>
      <c r="C21" s="26"/>
      <c r="D21" s="28"/>
      <c r="E21" s="28"/>
      <c r="F21" s="28"/>
      <c r="G21" s="26"/>
      <c r="H21" s="26"/>
      <c r="I21" s="27"/>
      <c r="J21" s="29" t="str">
        <f aca="true">IF(H21&lt;&gt;"Yes","",IF(L21&lt;&gt;"","Responded",IF(AND(I21&lt;&gt;"",I21&lt;TODAY()),"Overdue",IF(I21&lt;&gt;"","Pending",""))))</f>
        <v/>
      </c>
      <c r="K21" s="28"/>
      <c r="L21" s="27"/>
      <c r="M21" s="26"/>
      <c r="N21" s="26"/>
      <c r="O21" s="26"/>
      <c r="P21" s="26"/>
      <c r="Q21" s="26"/>
    </row>
    <row r="22" customFormat="false" ht="15" hidden="false" customHeight="false" outlineLevel="0" collapsed="false">
      <c r="A22" s="26"/>
      <c r="B22" s="27"/>
      <c r="C22" s="26"/>
      <c r="D22" s="28"/>
      <c r="E22" s="28"/>
      <c r="F22" s="28"/>
      <c r="G22" s="26"/>
      <c r="H22" s="26"/>
      <c r="I22" s="27"/>
      <c r="J22" s="29" t="str">
        <f aca="true">IF(H22&lt;&gt;"Yes","",IF(L22&lt;&gt;"","Responded",IF(AND(I22&lt;&gt;"",I22&lt;TODAY()),"Overdue",IF(I22&lt;&gt;"","Pending",""))))</f>
        <v/>
      </c>
      <c r="K22" s="28"/>
      <c r="L22" s="27"/>
      <c r="M22" s="26"/>
      <c r="N22" s="26"/>
      <c r="O22" s="26"/>
      <c r="P22" s="26"/>
      <c r="Q22" s="26"/>
    </row>
    <row r="23" customFormat="false" ht="15" hidden="false" customHeight="false" outlineLevel="0" collapsed="false">
      <c r="A23" s="26"/>
      <c r="B23" s="27"/>
      <c r="C23" s="26"/>
      <c r="D23" s="28"/>
      <c r="E23" s="28"/>
      <c r="F23" s="28"/>
      <c r="G23" s="26"/>
      <c r="H23" s="26"/>
      <c r="I23" s="27"/>
      <c r="J23" s="29" t="str">
        <f aca="true">IF(H23&lt;&gt;"Yes","",IF(L23&lt;&gt;"","Responded",IF(AND(I23&lt;&gt;"",I23&lt;TODAY()),"Overdue",IF(I23&lt;&gt;"","Pending",""))))</f>
        <v/>
      </c>
      <c r="K23" s="28"/>
      <c r="L23" s="27"/>
      <c r="M23" s="26"/>
      <c r="N23" s="26"/>
      <c r="O23" s="26"/>
      <c r="P23" s="26"/>
      <c r="Q23" s="26"/>
    </row>
    <row r="24" customFormat="false" ht="15" hidden="false" customHeight="false" outlineLevel="0" collapsed="false">
      <c r="A24" s="26"/>
      <c r="B24" s="27"/>
      <c r="C24" s="26"/>
      <c r="D24" s="28"/>
      <c r="E24" s="28"/>
      <c r="F24" s="28"/>
      <c r="G24" s="26"/>
      <c r="H24" s="26"/>
      <c r="I24" s="27"/>
      <c r="J24" s="29" t="str">
        <f aca="true">IF(H24&lt;&gt;"Yes","",IF(L24&lt;&gt;"","Responded",IF(AND(I24&lt;&gt;"",I24&lt;TODAY()),"Overdue",IF(I24&lt;&gt;"","Pending",""))))</f>
        <v/>
      </c>
      <c r="K24" s="28"/>
      <c r="L24" s="27"/>
      <c r="M24" s="26"/>
      <c r="N24" s="26"/>
      <c r="O24" s="26"/>
      <c r="P24" s="26"/>
      <c r="Q24" s="26"/>
    </row>
    <row r="25" customFormat="false" ht="15" hidden="false" customHeight="false" outlineLevel="0" collapsed="false">
      <c r="A25" s="26"/>
      <c r="B25" s="27"/>
      <c r="C25" s="26"/>
      <c r="D25" s="28"/>
      <c r="E25" s="28"/>
      <c r="F25" s="28"/>
      <c r="G25" s="26"/>
      <c r="H25" s="26"/>
      <c r="I25" s="27"/>
      <c r="J25" s="29" t="str">
        <f aca="true">IF(H25&lt;&gt;"Yes","",IF(L25&lt;&gt;"","Responded",IF(AND(I25&lt;&gt;"",I25&lt;TODAY()),"Overdue",IF(I25&lt;&gt;"","Pending",""))))</f>
        <v/>
      </c>
      <c r="K25" s="28"/>
      <c r="L25" s="27"/>
      <c r="M25" s="26"/>
      <c r="N25" s="26"/>
      <c r="O25" s="26"/>
      <c r="P25" s="26"/>
      <c r="Q25" s="26"/>
    </row>
    <row r="26" customFormat="false" ht="15" hidden="false" customHeight="false" outlineLevel="0" collapsed="false">
      <c r="A26" s="26"/>
      <c r="B26" s="27"/>
      <c r="C26" s="26"/>
      <c r="D26" s="28"/>
      <c r="E26" s="28"/>
      <c r="F26" s="28"/>
      <c r="G26" s="26"/>
      <c r="H26" s="26"/>
      <c r="I26" s="27"/>
      <c r="J26" s="29" t="str">
        <f aca="true">IF(H26&lt;&gt;"Yes","",IF(L26&lt;&gt;"","Responded",IF(AND(I26&lt;&gt;"",I26&lt;TODAY()),"Overdue",IF(I26&lt;&gt;"","Pending",""))))</f>
        <v/>
      </c>
      <c r="K26" s="28"/>
      <c r="L26" s="27"/>
      <c r="M26" s="26"/>
      <c r="N26" s="26"/>
      <c r="O26" s="26"/>
      <c r="P26" s="26"/>
      <c r="Q26" s="26"/>
    </row>
    <row r="27" customFormat="false" ht="15" hidden="false" customHeight="false" outlineLevel="0" collapsed="false">
      <c r="A27" s="26"/>
      <c r="B27" s="27"/>
      <c r="C27" s="26"/>
      <c r="D27" s="28"/>
      <c r="E27" s="28"/>
      <c r="F27" s="28"/>
      <c r="G27" s="26"/>
      <c r="H27" s="26"/>
      <c r="I27" s="27"/>
      <c r="J27" s="29" t="str">
        <f aca="true">IF(H27&lt;&gt;"Yes","",IF(L27&lt;&gt;"","Responded",IF(AND(I27&lt;&gt;"",I27&lt;TODAY()),"Overdue",IF(I27&lt;&gt;"","Pending",""))))</f>
        <v/>
      </c>
      <c r="K27" s="28"/>
      <c r="L27" s="27"/>
      <c r="M27" s="26"/>
      <c r="N27" s="26"/>
      <c r="O27" s="26"/>
      <c r="P27" s="26"/>
      <c r="Q27" s="26"/>
    </row>
    <row r="28" customFormat="false" ht="15" hidden="false" customHeight="false" outlineLevel="0" collapsed="false">
      <c r="A28" s="26"/>
      <c r="B28" s="27"/>
      <c r="C28" s="26"/>
      <c r="D28" s="28"/>
      <c r="E28" s="28"/>
      <c r="F28" s="28"/>
      <c r="G28" s="26"/>
      <c r="H28" s="26"/>
      <c r="I28" s="27"/>
      <c r="J28" s="29" t="str">
        <f aca="true">IF(H28&lt;&gt;"Yes","",IF(L28&lt;&gt;"","Responded",IF(AND(I28&lt;&gt;"",I28&lt;TODAY()),"Overdue",IF(I28&lt;&gt;"","Pending",""))))</f>
        <v/>
      </c>
      <c r="K28" s="28"/>
      <c r="L28" s="27"/>
      <c r="M28" s="26"/>
      <c r="N28" s="26"/>
      <c r="O28" s="26"/>
      <c r="P28" s="26"/>
      <c r="Q28" s="26"/>
    </row>
    <row r="29" customFormat="false" ht="15" hidden="false" customHeight="false" outlineLevel="0" collapsed="false">
      <c r="A29" s="26"/>
      <c r="B29" s="27"/>
      <c r="C29" s="26"/>
      <c r="D29" s="28"/>
      <c r="E29" s="28"/>
      <c r="F29" s="28"/>
      <c r="G29" s="26"/>
      <c r="H29" s="26"/>
      <c r="I29" s="27"/>
      <c r="J29" s="29" t="str">
        <f aca="true">IF(H29&lt;&gt;"Yes","",IF(L29&lt;&gt;"","Responded",IF(AND(I29&lt;&gt;"",I29&lt;TODAY()),"Overdue",IF(I29&lt;&gt;"","Pending",""))))</f>
        <v/>
      </c>
      <c r="K29" s="28"/>
      <c r="L29" s="27"/>
      <c r="M29" s="26"/>
      <c r="N29" s="26"/>
      <c r="O29" s="26"/>
      <c r="P29" s="26"/>
      <c r="Q29" s="26"/>
    </row>
    <row r="30" customFormat="false" ht="15" hidden="false" customHeight="false" outlineLevel="0" collapsed="false">
      <c r="A30" s="26"/>
      <c r="B30" s="27"/>
      <c r="C30" s="26"/>
      <c r="D30" s="28"/>
      <c r="E30" s="28"/>
      <c r="F30" s="28"/>
      <c r="G30" s="26"/>
      <c r="H30" s="26"/>
      <c r="I30" s="27"/>
      <c r="J30" s="29" t="str">
        <f aca="true">IF(H30&lt;&gt;"Yes","",IF(L30&lt;&gt;"","Responded",IF(AND(I30&lt;&gt;"",I30&lt;TODAY()),"Overdue",IF(I30&lt;&gt;"","Pending",""))))</f>
        <v/>
      </c>
      <c r="K30" s="28"/>
      <c r="L30" s="27"/>
      <c r="M30" s="26"/>
      <c r="N30" s="26"/>
      <c r="O30" s="26"/>
      <c r="P30" s="26"/>
      <c r="Q30" s="26"/>
    </row>
    <row r="31" customFormat="false" ht="15" hidden="false" customHeight="false" outlineLevel="0" collapsed="false">
      <c r="A31" s="26"/>
      <c r="B31" s="27"/>
      <c r="C31" s="26"/>
      <c r="D31" s="28"/>
      <c r="E31" s="28"/>
      <c r="F31" s="28"/>
      <c r="G31" s="26"/>
      <c r="H31" s="26"/>
      <c r="I31" s="27"/>
      <c r="J31" s="29" t="str">
        <f aca="true">IF(H31&lt;&gt;"Yes","",IF(L31&lt;&gt;"","Responded",IF(AND(I31&lt;&gt;"",I31&lt;TODAY()),"Overdue",IF(I31&lt;&gt;"","Pending",""))))</f>
        <v/>
      </c>
      <c r="K31" s="28"/>
      <c r="L31" s="27"/>
      <c r="M31" s="26"/>
      <c r="N31" s="26"/>
      <c r="O31" s="26"/>
      <c r="P31" s="26"/>
      <c r="Q31" s="26"/>
    </row>
    <row r="32" customFormat="false" ht="15" hidden="false" customHeight="false" outlineLevel="0" collapsed="false">
      <c r="A32" s="26"/>
      <c r="B32" s="27"/>
      <c r="C32" s="26"/>
      <c r="D32" s="28"/>
      <c r="E32" s="28"/>
      <c r="F32" s="28"/>
      <c r="G32" s="26"/>
      <c r="H32" s="26"/>
      <c r="I32" s="27"/>
      <c r="J32" s="29" t="str">
        <f aca="true">IF(H32&lt;&gt;"Yes","",IF(L32&lt;&gt;"","Responded",IF(AND(I32&lt;&gt;"",I32&lt;TODAY()),"Overdue",IF(I32&lt;&gt;"","Pending",""))))</f>
        <v/>
      </c>
      <c r="K32" s="28"/>
      <c r="L32" s="27"/>
      <c r="M32" s="26"/>
      <c r="N32" s="26"/>
      <c r="O32" s="26"/>
      <c r="P32" s="26"/>
      <c r="Q32" s="26"/>
    </row>
    <row r="33" customFormat="false" ht="15" hidden="false" customHeight="false" outlineLevel="0" collapsed="false">
      <c r="A33" s="26"/>
      <c r="B33" s="27"/>
      <c r="C33" s="26"/>
      <c r="D33" s="28"/>
      <c r="E33" s="28"/>
      <c r="F33" s="28"/>
      <c r="G33" s="26"/>
      <c r="H33" s="26"/>
      <c r="I33" s="27"/>
      <c r="J33" s="29" t="str">
        <f aca="true">IF(H33&lt;&gt;"Yes","",IF(L33&lt;&gt;"","Responded",IF(AND(I33&lt;&gt;"",I33&lt;TODAY()),"Overdue",IF(I33&lt;&gt;"","Pending",""))))</f>
        <v/>
      </c>
      <c r="K33" s="28"/>
      <c r="L33" s="27"/>
      <c r="M33" s="26"/>
      <c r="N33" s="26"/>
      <c r="O33" s="26"/>
      <c r="P33" s="26"/>
      <c r="Q33" s="26"/>
    </row>
    <row r="34" customFormat="false" ht="15" hidden="false" customHeight="false" outlineLevel="0" collapsed="false">
      <c r="A34" s="26"/>
      <c r="B34" s="27"/>
      <c r="C34" s="26"/>
      <c r="D34" s="28"/>
      <c r="E34" s="28"/>
      <c r="F34" s="28"/>
      <c r="G34" s="26"/>
      <c r="H34" s="26"/>
      <c r="I34" s="27"/>
      <c r="J34" s="29" t="str">
        <f aca="true">IF(H34&lt;&gt;"Yes","",IF(L34&lt;&gt;"","Responded",IF(AND(I34&lt;&gt;"",I34&lt;TODAY()),"Overdue",IF(I34&lt;&gt;"","Pending",""))))</f>
        <v/>
      </c>
      <c r="K34" s="28"/>
      <c r="L34" s="27"/>
      <c r="M34" s="26"/>
      <c r="N34" s="26"/>
      <c r="O34" s="26"/>
      <c r="P34" s="26"/>
      <c r="Q34" s="26"/>
    </row>
    <row r="35" customFormat="false" ht="15" hidden="false" customHeight="false" outlineLevel="0" collapsed="false">
      <c r="A35" s="26"/>
      <c r="B35" s="27"/>
      <c r="C35" s="26"/>
      <c r="D35" s="28"/>
      <c r="E35" s="28"/>
      <c r="F35" s="28"/>
      <c r="G35" s="26"/>
      <c r="H35" s="26"/>
      <c r="I35" s="27"/>
      <c r="J35" s="29" t="str">
        <f aca="true">IF(H35&lt;&gt;"Yes","",IF(L35&lt;&gt;"","Responded",IF(AND(I35&lt;&gt;"",I35&lt;TODAY()),"Overdue",IF(I35&lt;&gt;"","Pending",""))))</f>
        <v/>
      </c>
      <c r="K35" s="28"/>
      <c r="L35" s="27"/>
      <c r="M35" s="26"/>
      <c r="N35" s="26"/>
      <c r="O35" s="26"/>
      <c r="P35" s="26"/>
      <c r="Q35" s="26"/>
    </row>
    <row r="36" customFormat="false" ht="15" hidden="false" customHeight="false" outlineLevel="0" collapsed="false">
      <c r="A36" s="26"/>
      <c r="B36" s="27"/>
      <c r="C36" s="26"/>
      <c r="D36" s="28"/>
      <c r="E36" s="28"/>
      <c r="F36" s="28"/>
      <c r="G36" s="26"/>
      <c r="H36" s="26"/>
      <c r="I36" s="27"/>
      <c r="J36" s="29" t="str">
        <f aca="true">IF(H36&lt;&gt;"Yes","",IF(L36&lt;&gt;"","Responded",IF(AND(I36&lt;&gt;"",I36&lt;TODAY()),"Overdue",IF(I36&lt;&gt;"","Pending",""))))</f>
        <v/>
      </c>
      <c r="K36" s="28"/>
      <c r="L36" s="27"/>
      <c r="M36" s="26"/>
      <c r="N36" s="26"/>
      <c r="O36" s="26"/>
      <c r="P36" s="26"/>
      <c r="Q36" s="26"/>
    </row>
    <row r="37" customFormat="false" ht="15" hidden="false" customHeight="false" outlineLevel="0" collapsed="false">
      <c r="A37" s="26"/>
      <c r="B37" s="27"/>
      <c r="C37" s="26"/>
      <c r="D37" s="28"/>
      <c r="E37" s="28"/>
      <c r="F37" s="28"/>
      <c r="G37" s="26"/>
      <c r="H37" s="26"/>
      <c r="I37" s="27"/>
      <c r="J37" s="29" t="str">
        <f aca="true">IF(H37&lt;&gt;"Yes","",IF(L37&lt;&gt;"","Responded",IF(AND(I37&lt;&gt;"",I37&lt;TODAY()),"Overdue",IF(I37&lt;&gt;"","Pending",""))))</f>
        <v/>
      </c>
      <c r="K37" s="28"/>
      <c r="L37" s="27"/>
      <c r="M37" s="26"/>
      <c r="N37" s="26"/>
      <c r="O37" s="26"/>
      <c r="P37" s="26"/>
      <c r="Q37" s="26"/>
    </row>
    <row r="38" customFormat="false" ht="15" hidden="false" customHeight="false" outlineLevel="0" collapsed="false">
      <c r="A38" s="26"/>
      <c r="B38" s="27"/>
      <c r="C38" s="26"/>
      <c r="D38" s="28"/>
      <c r="E38" s="28"/>
      <c r="F38" s="28"/>
      <c r="G38" s="26"/>
      <c r="H38" s="26"/>
      <c r="I38" s="27"/>
      <c r="J38" s="29" t="str">
        <f aca="true">IF(H38&lt;&gt;"Yes","",IF(L38&lt;&gt;"","Responded",IF(AND(I38&lt;&gt;"",I38&lt;TODAY()),"Overdue",IF(I38&lt;&gt;"","Pending",""))))</f>
        <v/>
      </c>
      <c r="K38" s="28"/>
      <c r="L38" s="27"/>
      <c r="M38" s="26"/>
      <c r="N38" s="26"/>
      <c r="O38" s="26"/>
      <c r="P38" s="26"/>
      <c r="Q38" s="26"/>
    </row>
    <row r="39" customFormat="false" ht="15" hidden="false" customHeight="false" outlineLevel="0" collapsed="false">
      <c r="A39" s="26"/>
      <c r="B39" s="27"/>
      <c r="C39" s="26"/>
      <c r="D39" s="28"/>
      <c r="E39" s="28"/>
      <c r="F39" s="28"/>
      <c r="G39" s="26"/>
      <c r="H39" s="26"/>
      <c r="I39" s="27"/>
      <c r="J39" s="29" t="str">
        <f aca="true">IF(H39&lt;&gt;"Yes","",IF(L39&lt;&gt;"","Responded",IF(AND(I39&lt;&gt;"",I39&lt;TODAY()),"Overdue",IF(I39&lt;&gt;"","Pending",""))))</f>
        <v/>
      </c>
      <c r="K39" s="28"/>
      <c r="L39" s="27"/>
      <c r="M39" s="26"/>
      <c r="N39" s="26"/>
      <c r="O39" s="26"/>
      <c r="P39" s="26"/>
      <c r="Q39" s="26"/>
    </row>
    <row r="40" customFormat="false" ht="15" hidden="false" customHeight="false" outlineLevel="0" collapsed="false">
      <c r="A40" s="26"/>
      <c r="B40" s="27"/>
      <c r="C40" s="26"/>
      <c r="D40" s="28"/>
      <c r="E40" s="28"/>
      <c r="F40" s="28"/>
      <c r="G40" s="26"/>
      <c r="H40" s="26"/>
      <c r="I40" s="27"/>
      <c r="J40" s="29" t="str">
        <f aca="true">IF(H40&lt;&gt;"Yes","",IF(L40&lt;&gt;"","Responded",IF(AND(I40&lt;&gt;"",I40&lt;TODAY()),"Overdue",IF(I40&lt;&gt;"","Pending",""))))</f>
        <v/>
      </c>
      <c r="K40" s="28"/>
      <c r="L40" s="27"/>
      <c r="M40" s="26"/>
      <c r="N40" s="26"/>
      <c r="O40" s="26"/>
      <c r="P40" s="26"/>
      <c r="Q40" s="26"/>
    </row>
    <row r="41" customFormat="false" ht="15" hidden="false" customHeight="false" outlineLevel="0" collapsed="false">
      <c r="A41" s="26"/>
      <c r="B41" s="27"/>
      <c r="C41" s="26"/>
      <c r="D41" s="28"/>
      <c r="E41" s="28"/>
      <c r="F41" s="28"/>
      <c r="G41" s="26"/>
      <c r="H41" s="26"/>
      <c r="I41" s="27"/>
      <c r="J41" s="29" t="str">
        <f aca="true">IF(H41&lt;&gt;"Yes","",IF(L41&lt;&gt;"","Responded",IF(AND(I41&lt;&gt;"",I41&lt;TODAY()),"Overdue",IF(I41&lt;&gt;"","Pending",""))))</f>
        <v/>
      </c>
      <c r="K41" s="28"/>
      <c r="L41" s="27"/>
      <c r="M41" s="26"/>
      <c r="N41" s="26"/>
      <c r="O41" s="26"/>
      <c r="P41" s="26"/>
      <c r="Q41" s="26"/>
    </row>
    <row r="42" customFormat="false" ht="15" hidden="false" customHeight="false" outlineLevel="0" collapsed="false">
      <c r="A42" s="26"/>
      <c r="B42" s="27"/>
      <c r="C42" s="26"/>
      <c r="D42" s="28"/>
      <c r="E42" s="28"/>
      <c r="F42" s="28"/>
      <c r="G42" s="26"/>
      <c r="H42" s="26"/>
      <c r="I42" s="27"/>
      <c r="J42" s="29" t="str">
        <f aca="true">IF(H42&lt;&gt;"Yes","",IF(L42&lt;&gt;"","Responded",IF(AND(I42&lt;&gt;"",I42&lt;TODAY()),"Overdue",IF(I42&lt;&gt;"","Pending",""))))</f>
        <v/>
      </c>
      <c r="K42" s="28"/>
      <c r="L42" s="27"/>
      <c r="M42" s="26"/>
      <c r="N42" s="26"/>
      <c r="O42" s="26"/>
      <c r="P42" s="26"/>
      <c r="Q42" s="26"/>
    </row>
    <row r="43" customFormat="false" ht="15" hidden="false" customHeight="false" outlineLevel="0" collapsed="false">
      <c r="A43" s="26"/>
      <c r="B43" s="27"/>
      <c r="C43" s="26"/>
      <c r="D43" s="28"/>
      <c r="E43" s="28"/>
      <c r="F43" s="28"/>
      <c r="G43" s="26"/>
      <c r="H43" s="26"/>
      <c r="I43" s="27"/>
      <c r="J43" s="29" t="str">
        <f aca="true">IF(H43&lt;&gt;"Yes","",IF(L43&lt;&gt;"","Responded",IF(AND(I43&lt;&gt;"",I43&lt;TODAY()),"Overdue",IF(I43&lt;&gt;"","Pending",""))))</f>
        <v/>
      </c>
      <c r="K43" s="28"/>
      <c r="L43" s="27"/>
      <c r="M43" s="26"/>
      <c r="N43" s="26"/>
      <c r="O43" s="26"/>
      <c r="P43" s="26"/>
      <c r="Q43" s="26"/>
    </row>
    <row r="44" customFormat="false" ht="15" hidden="false" customHeight="false" outlineLevel="0" collapsed="false">
      <c r="A44" s="26"/>
      <c r="B44" s="27"/>
      <c r="C44" s="26"/>
      <c r="D44" s="28"/>
      <c r="E44" s="28"/>
      <c r="F44" s="28"/>
      <c r="G44" s="26"/>
      <c r="H44" s="26"/>
      <c r="I44" s="27"/>
      <c r="J44" s="29" t="str">
        <f aca="true">IF(H44&lt;&gt;"Yes","",IF(L44&lt;&gt;"","Responded",IF(AND(I44&lt;&gt;"",I44&lt;TODAY()),"Overdue",IF(I44&lt;&gt;"","Pending",""))))</f>
        <v/>
      </c>
      <c r="K44" s="28"/>
      <c r="L44" s="27"/>
      <c r="M44" s="26"/>
      <c r="N44" s="26"/>
      <c r="O44" s="26"/>
      <c r="P44" s="26"/>
      <c r="Q44" s="26"/>
    </row>
    <row r="45" customFormat="false" ht="15" hidden="false" customHeight="false" outlineLevel="0" collapsed="false">
      <c r="A45" s="26"/>
      <c r="B45" s="27"/>
      <c r="C45" s="26"/>
      <c r="D45" s="28"/>
      <c r="E45" s="28"/>
      <c r="F45" s="28"/>
      <c r="G45" s="26"/>
      <c r="H45" s="26"/>
      <c r="I45" s="27"/>
      <c r="J45" s="29" t="str">
        <f aca="true">IF(H45&lt;&gt;"Yes","",IF(L45&lt;&gt;"","Responded",IF(AND(I45&lt;&gt;"",I45&lt;TODAY()),"Overdue",IF(I45&lt;&gt;"","Pending",""))))</f>
        <v/>
      </c>
      <c r="K45" s="28"/>
      <c r="L45" s="27"/>
      <c r="M45" s="26"/>
      <c r="N45" s="26"/>
      <c r="O45" s="26"/>
      <c r="P45" s="26"/>
      <c r="Q45" s="26"/>
    </row>
    <row r="46" customFormat="false" ht="15" hidden="false" customHeight="false" outlineLevel="0" collapsed="false">
      <c r="A46" s="26"/>
      <c r="B46" s="27"/>
      <c r="C46" s="26"/>
      <c r="D46" s="28"/>
      <c r="E46" s="28"/>
      <c r="F46" s="28"/>
      <c r="G46" s="26"/>
      <c r="H46" s="26"/>
      <c r="I46" s="27"/>
      <c r="J46" s="29" t="str">
        <f aca="true">IF(H46&lt;&gt;"Yes","",IF(L46&lt;&gt;"","Responded",IF(AND(I46&lt;&gt;"",I46&lt;TODAY()),"Overdue",IF(I46&lt;&gt;"","Pending",""))))</f>
        <v/>
      </c>
      <c r="K46" s="28"/>
      <c r="L46" s="27"/>
      <c r="M46" s="26"/>
      <c r="N46" s="26"/>
      <c r="O46" s="26"/>
      <c r="P46" s="26"/>
      <c r="Q46" s="26"/>
    </row>
    <row r="47" customFormat="false" ht="15" hidden="false" customHeight="false" outlineLevel="0" collapsed="false">
      <c r="A47" s="26"/>
      <c r="B47" s="27"/>
      <c r="C47" s="26"/>
      <c r="D47" s="28"/>
      <c r="E47" s="28"/>
      <c r="F47" s="28"/>
      <c r="G47" s="26"/>
      <c r="H47" s="26"/>
      <c r="I47" s="27"/>
      <c r="J47" s="29" t="str">
        <f aca="true">IF(H47&lt;&gt;"Yes","",IF(L47&lt;&gt;"","Responded",IF(AND(I47&lt;&gt;"",I47&lt;TODAY()),"Overdue",IF(I47&lt;&gt;"","Pending",""))))</f>
        <v/>
      </c>
      <c r="K47" s="28"/>
      <c r="L47" s="27"/>
      <c r="M47" s="26"/>
      <c r="N47" s="26"/>
      <c r="O47" s="26"/>
      <c r="P47" s="26"/>
      <c r="Q47" s="26"/>
    </row>
    <row r="48" customFormat="false" ht="15" hidden="false" customHeight="false" outlineLevel="0" collapsed="false">
      <c r="A48" s="26"/>
      <c r="B48" s="27"/>
      <c r="C48" s="26"/>
      <c r="D48" s="28"/>
      <c r="E48" s="28"/>
      <c r="F48" s="28"/>
      <c r="G48" s="26"/>
      <c r="H48" s="26"/>
      <c r="I48" s="27"/>
      <c r="J48" s="29" t="str">
        <f aca="true">IF(H48&lt;&gt;"Yes","",IF(L48&lt;&gt;"","Responded",IF(AND(I48&lt;&gt;"",I48&lt;TODAY()),"Overdue",IF(I48&lt;&gt;"","Pending",""))))</f>
        <v/>
      </c>
      <c r="K48" s="28"/>
      <c r="L48" s="27"/>
      <c r="M48" s="26"/>
      <c r="N48" s="26"/>
      <c r="O48" s="26"/>
      <c r="P48" s="26"/>
      <c r="Q48" s="26"/>
    </row>
    <row r="49" customFormat="false" ht="15" hidden="false" customHeight="false" outlineLevel="0" collapsed="false">
      <c r="A49" s="26"/>
      <c r="B49" s="27"/>
      <c r="C49" s="26"/>
      <c r="D49" s="28"/>
      <c r="E49" s="28"/>
      <c r="F49" s="28"/>
      <c r="G49" s="26"/>
      <c r="H49" s="26"/>
      <c r="I49" s="27"/>
      <c r="J49" s="29" t="str">
        <f aca="true">IF(H49&lt;&gt;"Yes","",IF(L49&lt;&gt;"","Responded",IF(AND(I49&lt;&gt;"",I49&lt;TODAY()),"Overdue",IF(I49&lt;&gt;"","Pending",""))))</f>
        <v/>
      </c>
      <c r="K49" s="28"/>
      <c r="L49" s="27"/>
      <c r="M49" s="26"/>
      <c r="N49" s="26"/>
      <c r="O49" s="26"/>
      <c r="P49" s="26"/>
      <c r="Q49" s="26"/>
    </row>
    <row r="50" customFormat="false" ht="15" hidden="false" customHeight="false" outlineLevel="0" collapsed="false">
      <c r="A50" s="26"/>
      <c r="B50" s="27"/>
      <c r="C50" s="26"/>
      <c r="D50" s="28"/>
      <c r="E50" s="28"/>
      <c r="F50" s="28"/>
      <c r="G50" s="26"/>
      <c r="H50" s="26"/>
      <c r="I50" s="27"/>
      <c r="J50" s="29" t="str">
        <f aca="true">IF(H50&lt;&gt;"Yes","",IF(L50&lt;&gt;"","Responded",IF(AND(I50&lt;&gt;"",I50&lt;TODAY()),"Overdue",IF(I50&lt;&gt;"","Pending",""))))</f>
        <v/>
      </c>
      <c r="K50" s="28"/>
      <c r="L50" s="27"/>
      <c r="M50" s="26"/>
      <c r="N50" s="26"/>
      <c r="O50" s="26"/>
      <c r="P50" s="26"/>
      <c r="Q50" s="26"/>
    </row>
    <row r="51" customFormat="false" ht="15" hidden="false" customHeight="false" outlineLevel="0" collapsed="false">
      <c r="A51" s="26"/>
      <c r="B51" s="27"/>
      <c r="C51" s="26"/>
      <c r="D51" s="28"/>
      <c r="E51" s="28"/>
      <c r="F51" s="28"/>
      <c r="G51" s="26"/>
      <c r="H51" s="26"/>
      <c r="I51" s="27"/>
      <c r="J51" s="29" t="str">
        <f aca="true">IF(H51&lt;&gt;"Yes","",IF(L51&lt;&gt;"","Responded",IF(AND(I51&lt;&gt;"",I51&lt;TODAY()),"Overdue",IF(I51&lt;&gt;"","Pending",""))))</f>
        <v/>
      </c>
      <c r="K51" s="28"/>
      <c r="L51" s="27"/>
      <c r="M51" s="26"/>
      <c r="N51" s="26"/>
      <c r="O51" s="26"/>
      <c r="P51" s="26"/>
      <c r="Q51" s="26"/>
    </row>
    <row r="52" customFormat="false" ht="15" hidden="false" customHeight="false" outlineLevel="0" collapsed="false">
      <c r="A52" s="26"/>
      <c r="B52" s="27"/>
      <c r="C52" s="26"/>
      <c r="D52" s="28"/>
      <c r="E52" s="28"/>
      <c r="F52" s="28"/>
      <c r="G52" s="26"/>
      <c r="H52" s="26"/>
      <c r="I52" s="27"/>
      <c r="J52" s="29" t="str">
        <f aca="true">IF(H52&lt;&gt;"Yes","",IF(L52&lt;&gt;"","Responded",IF(AND(I52&lt;&gt;"",I52&lt;TODAY()),"Overdue",IF(I52&lt;&gt;"","Pending",""))))</f>
        <v/>
      </c>
      <c r="K52" s="28"/>
      <c r="L52" s="27"/>
      <c r="M52" s="26"/>
      <c r="N52" s="26"/>
      <c r="O52" s="26"/>
      <c r="P52" s="26"/>
      <c r="Q52" s="26"/>
    </row>
    <row r="53" customFormat="false" ht="15" hidden="false" customHeight="false" outlineLevel="0" collapsed="false">
      <c r="A53" s="26"/>
      <c r="B53" s="27"/>
      <c r="C53" s="26"/>
      <c r="D53" s="28"/>
      <c r="E53" s="28"/>
      <c r="F53" s="28"/>
      <c r="G53" s="26"/>
      <c r="H53" s="26"/>
      <c r="I53" s="27"/>
      <c r="J53" s="29" t="str">
        <f aca="true">IF(H53&lt;&gt;"Yes","",IF(L53&lt;&gt;"","Responded",IF(AND(I53&lt;&gt;"",I53&lt;TODAY()),"Overdue",IF(I53&lt;&gt;"","Pending",""))))</f>
        <v/>
      </c>
      <c r="K53" s="28"/>
      <c r="L53" s="27"/>
      <c r="M53" s="26"/>
      <c r="N53" s="26"/>
      <c r="O53" s="26"/>
      <c r="P53" s="26"/>
      <c r="Q53" s="26"/>
    </row>
    <row r="54" customFormat="false" ht="15" hidden="false" customHeight="false" outlineLevel="0" collapsed="false">
      <c r="A54" s="26"/>
      <c r="B54" s="27"/>
      <c r="C54" s="26"/>
      <c r="D54" s="28"/>
      <c r="E54" s="28"/>
      <c r="F54" s="28"/>
      <c r="G54" s="26"/>
      <c r="H54" s="26"/>
      <c r="I54" s="27"/>
      <c r="J54" s="29" t="str">
        <f aca="true">IF(H54&lt;&gt;"Yes","",IF(L54&lt;&gt;"","Responded",IF(AND(I54&lt;&gt;"",I54&lt;TODAY()),"Overdue",IF(I54&lt;&gt;"","Pending",""))))</f>
        <v/>
      </c>
      <c r="K54" s="28"/>
      <c r="L54" s="27"/>
      <c r="M54" s="26"/>
      <c r="N54" s="26"/>
      <c r="O54" s="26"/>
      <c r="P54" s="26"/>
      <c r="Q54" s="26"/>
    </row>
    <row r="55" customFormat="false" ht="15" hidden="false" customHeight="false" outlineLevel="0" collapsed="false">
      <c r="A55" s="26"/>
      <c r="B55" s="27"/>
      <c r="C55" s="26"/>
      <c r="D55" s="28"/>
      <c r="E55" s="28"/>
      <c r="F55" s="28"/>
      <c r="G55" s="26"/>
      <c r="H55" s="26"/>
      <c r="I55" s="27"/>
      <c r="J55" s="29" t="str">
        <f aca="true">IF(H55&lt;&gt;"Yes","",IF(L55&lt;&gt;"","Responded",IF(AND(I55&lt;&gt;"",I55&lt;TODAY()),"Overdue",IF(I55&lt;&gt;"","Pending",""))))</f>
        <v/>
      </c>
      <c r="K55" s="28"/>
      <c r="L55" s="27"/>
      <c r="M55" s="26"/>
      <c r="N55" s="26"/>
      <c r="O55" s="26"/>
      <c r="P55" s="26"/>
      <c r="Q55" s="26"/>
    </row>
    <row r="56" customFormat="false" ht="15" hidden="false" customHeight="false" outlineLevel="0" collapsed="false">
      <c r="A56" s="26"/>
      <c r="B56" s="27"/>
      <c r="C56" s="26"/>
      <c r="D56" s="28"/>
      <c r="E56" s="28"/>
      <c r="F56" s="28"/>
      <c r="G56" s="26"/>
      <c r="H56" s="26"/>
      <c r="I56" s="27"/>
      <c r="J56" s="29" t="str">
        <f aca="true">IF(H56&lt;&gt;"Yes","",IF(L56&lt;&gt;"","Responded",IF(AND(I56&lt;&gt;"",I56&lt;TODAY()),"Overdue",IF(I56&lt;&gt;"","Pending",""))))</f>
        <v/>
      </c>
      <c r="K56" s="28"/>
      <c r="L56" s="27"/>
      <c r="M56" s="26"/>
      <c r="N56" s="26"/>
      <c r="O56" s="26"/>
      <c r="P56" s="26"/>
      <c r="Q56" s="26"/>
    </row>
    <row r="57" customFormat="false" ht="15" hidden="false" customHeight="false" outlineLevel="0" collapsed="false">
      <c r="A57" s="26"/>
      <c r="B57" s="27"/>
      <c r="C57" s="26"/>
      <c r="D57" s="28"/>
      <c r="E57" s="28"/>
      <c r="F57" s="28"/>
      <c r="G57" s="26"/>
      <c r="H57" s="26"/>
      <c r="I57" s="27"/>
      <c r="J57" s="29" t="str">
        <f aca="true">IF(H57&lt;&gt;"Yes","",IF(L57&lt;&gt;"","Responded",IF(AND(I57&lt;&gt;"",I57&lt;TODAY()),"Overdue",IF(I57&lt;&gt;"","Pending",""))))</f>
        <v/>
      </c>
      <c r="K57" s="28"/>
      <c r="L57" s="27"/>
      <c r="M57" s="26"/>
      <c r="N57" s="26"/>
      <c r="O57" s="26"/>
      <c r="P57" s="26"/>
      <c r="Q57" s="26"/>
    </row>
    <row r="58" customFormat="false" ht="15" hidden="false" customHeight="false" outlineLevel="0" collapsed="false">
      <c r="A58" s="26"/>
      <c r="B58" s="27"/>
      <c r="C58" s="26"/>
      <c r="D58" s="28"/>
      <c r="E58" s="28"/>
      <c r="F58" s="28"/>
      <c r="G58" s="26"/>
      <c r="H58" s="26"/>
      <c r="I58" s="27"/>
      <c r="J58" s="29" t="str">
        <f aca="true">IF(H58&lt;&gt;"Yes","",IF(L58&lt;&gt;"","Responded",IF(AND(I58&lt;&gt;"",I58&lt;TODAY()),"Overdue",IF(I58&lt;&gt;"","Pending",""))))</f>
        <v/>
      </c>
      <c r="K58" s="28"/>
      <c r="L58" s="27"/>
      <c r="M58" s="26"/>
      <c r="N58" s="26"/>
      <c r="O58" s="26"/>
      <c r="P58" s="26"/>
      <c r="Q58" s="26"/>
    </row>
    <row r="59" customFormat="false" ht="15" hidden="false" customHeight="false" outlineLevel="0" collapsed="false">
      <c r="A59" s="26"/>
      <c r="B59" s="27"/>
      <c r="C59" s="26"/>
      <c r="D59" s="28"/>
      <c r="E59" s="28"/>
      <c r="F59" s="28"/>
      <c r="G59" s="26"/>
      <c r="H59" s="26"/>
      <c r="I59" s="27"/>
      <c r="J59" s="29" t="str">
        <f aca="true">IF(H59&lt;&gt;"Yes","",IF(L59&lt;&gt;"","Responded",IF(AND(I59&lt;&gt;"",I59&lt;TODAY()),"Overdue",IF(I59&lt;&gt;"","Pending",""))))</f>
        <v/>
      </c>
      <c r="K59" s="28"/>
      <c r="L59" s="27"/>
      <c r="M59" s="26"/>
      <c r="N59" s="26"/>
      <c r="O59" s="26"/>
      <c r="P59" s="26"/>
      <c r="Q59" s="26"/>
    </row>
    <row r="60" customFormat="false" ht="15" hidden="false" customHeight="false" outlineLevel="0" collapsed="false">
      <c r="A60" s="26"/>
      <c r="B60" s="27"/>
      <c r="C60" s="26"/>
      <c r="D60" s="28"/>
      <c r="E60" s="28"/>
      <c r="F60" s="28"/>
      <c r="G60" s="26"/>
      <c r="H60" s="26"/>
      <c r="I60" s="27"/>
      <c r="J60" s="29" t="str">
        <f aca="true">IF(H60&lt;&gt;"Yes","",IF(L60&lt;&gt;"","Responded",IF(AND(I60&lt;&gt;"",I60&lt;TODAY()),"Overdue",IF(I60&lt;&gt;"","Pending",""))))</f>
        <v/>
      </c>
      <c r="K60" s="28"/>
      <c r="L60" s="27"/>
      <c r="M60" s="26"/>
      <c r="N60" s="26"/>
      <c r="O60" s="26"/>
      <c r="P60" s="26"/>
      <c r="Q60" s="26"/>
    </row>
    <row r="61" customFormat="false" ht="15" hidden="false" customHeight="false" outlineLevel="0" collapsed="false">
      <c r="A61" s="26"/>
      <c r="B61" s="27"/>
      <c r="C61" s="26"/>
      <c r="D61" s="28"/>
      <c r="E61" s="28"/>
      <c r="F61" s="28"/>
      <c r="G61" s="26"/>
      <c r="H61" s="26"/>
      <c r="I61" s="27"/>
      <c r="J61" s="29" t="str">
        <f aca="true">IF(H61&lt;&gt;"Yes","",IF(L61&lt;&gt;"","Responded",IF(AND(I61&lt;&gt;"",I61&lt;TODAY()),"Overdue",IF(I61&lt;&gt;"","Pending",""))))</f>
        <v/>
      </c>
      <c r="K61" s="28"/>
      <c r="L61" s="27"/>
      <c r="M61" s="26"/>
      <c r="N61" s="26"/>
      <c r="O61" s="26"/>
      <c r="P61" s="26"/>
      <c r="Q61" s="26"/>
    </row>
    <row r="62" customFormat="false" ht="15" hidden="false" customHeight="false" outlineLevel="0" collapsed="false">
      <c r="A62" s="26"/>
      <c r="B62" s="27"/>
      <c r="C62" s="26"/>
      <c r="D62" s="28"/>
      <c r="E62" s="28"/>
      <c r="F62" s="28"/>
      <c r="G62" s="26"/>
      <c r="H62" s="26"/>
      <c r="I62" s="27"/>
      <c r="J62" s="29" t="str">
        <f aca="true">IF(H62&lt;&gt;"Yes","",IF(L62&lt;&gt;"","Responded",IF(AND(I62&lt;&gt;"",I62&lt;TODAY()),"Overdue",IF(I62&lt;&gt;"","Pending",""))))</f>
        <v/>
      </c>
      <c r="K62" s="28"/>
      <c r="L62" s="27"/>
      <c r="M62" s="26"/>
      <c r="N62" s="26"/>
      <c r="O62" s="26"/>
      <c r="P62" s="26"/>
      <c r="Q62" s="26"/>
    </row>
  </sheetData>
  <autoFilter ref="A11:Q62"/>
  <mergeCells count="18">
    <mergeCell ref="A1:Q1"/>
    <mergeCell ref="A3:E3"/>
    <mergeCell ref="G3:K3"/>
    <mergeCell ref="A5:C5"/>
    <mergeCell ref="D5:E5"/>
    <mergeCell ref="G5:I5"/>
    <mergeCell ref="J5:K5"/>
    <mergeCell ref="A6:C6"/>
    <mergeCell ref="D6:E6"/>
    <mergeCell ref="G6:I6"/>
    <mergeCell ref="J6:K6"/>
    <mergeCell ref="A7:C7"/>
    <mergeCell ref="D7:E7"/>
    <mergeCell ref="G7:I7"/>
    <mergeCell ref="J7:K7"/>
    <mergeCell ref="G8:I8"/>
    <mergeCell ref="J8:K8"/>
    <mergeCell ref="L10:Q10"/>
  </mergeCells>
  <conditionalFormatting sqref="J8:K8">
    <cfRule type="expression" priority="2" aboveAverage="0" equalAverage="0" bottom="0" percent="0" rank="0" text="" dxfId="8">
      <formula>J8&gt;0</formula>
    </cfRule>
  </conditionalFormatting>
  <conditionalFormatting sqref="C12:C62">
    <cfRule type="cellIs" priority="3" operator="equal" aboveAverage="0" equalAverage="0" bottom="0" percent="0" rank="0" text="" dxfId="9">
      <formula>"Sent"</formula>
    </cfRule>
    <cfRule type="cellIs" priority="4" operator="equal" aboveAverage="0" equalAverage="0" bottom="0" percent="0" rank="0" text="" dxfId="10">
      <formula>"Received"</formula>
    </cfRule>
  </conditionalFormatting>
  <conditionalFormatting sqref="J12:J62">
    <cfRule type="cellIs" priority="5" operator="equal" aboveAverage="0" equalAverage="0" bottom="0" percent="0" rank="0" text="" dxfId="11">
      <formula>"Responded"</formula>
    </cfRule>
    <cfRule type="cellIs" priority="6" operator="equal" aboveAverage="0" equalAverage="0" bottom="0" percent="0" rank="0" text="" dxfId="12">
      <formula>"Pending"</formula>
    </cfRule>
    <cfRule type="cellIs" priority="7" operator="equal" aboveAverage="0" equalAverage="0" bottom="0" percent="0" rank="0" text="" dxfId="8">
      <formula>"Overdue"</formula>
    </cfRule>
  </conditionalFormatting>
  <conditionalFormatting sqref="H12:H62">
    <cfRule type="cellIs" priority="8" operator="equal" aboveAverage="0" equalAverage="0" bottom="0" percent="0" rank="0" text="" dxfId="12">
      <formula>"Yes"</formula>
    </cfRule>
    <cfRule type="cellIs" priority="9" operator="equal" aboveAverage="0" equalAverage="0" bottom="0" percent="0" rank="0" text="" dxfId="11">
      <formula>"No"</formula>
    </cfRule>
  </conditionalFormatting>
  <conditionalFormatting sqref="I12:I62">
    <cfRule type="expression" priority="10" aboveAverage="0" equalAverage="0" bottom="0" percent="0" rank="0" text="" dxfId="8">
      <formula>AND(I12&lt;&gt;"",I12&lt;TODAY(),H12="Yes",L12="")</formula>
    </cfRule>
  </conditionalFormatting>
  <dataValidations count="4">
    <dataValidation allowBlank="true" errorStyle="stop" operator="between" showDropDown="false" showErrorMessage="false" showInputMessage="false" sqref="C12:C62" type="list">
      <formula1>"Sent,Received"</formula1>
      <formula2>0</formula2>
    </dataValidation>
    <dataValidation allowBlank="true" errorStyle="stop" operator="between" showDropDown="false" showErrorMessage="false" showInputMessage="false" sqref="G12:G62" type="list">
      <formula1>"Letter,Email,Notice,Instruction,Certificate,Claim,Other"</formula1>
      <formula2>0</formula2>
    </dataValidation>
    <dataValidation allowBlank="true" errorStyle="stop" operator="between" showDropDown="false" showErrorMessage="false" showInputMessage="false" sqref="H12:H62" type="list">
      <formula1>"Yes,No"</formula1>
      <formula2>0</formula2>
    </dataValidation>
    <dataValidation allowBlank="true" errorStyle="stop" operator="between" showDropDown="false" showErrorMessage="false" showInputMessage="false" sqref="O12:O62" type="list">
      <formula1>"Yes,No"</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&amp;CContract Correspondence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0" t="s">
        <v>103</v>
      </c>
    </row>
    <row r="2" customFormat="false" ht="15" hidden="false" customHeight="false" outlineLevel="0" collapsed="false">
      <c r="A2" s="30"/>
    </row>
    <row r="3" customFormat="false" ht="15" hidden="false" customHeight="false" outlineLevel="0" collapsed="false">
      <c r="A3" s="30" t="s">
        <v>104</v>
      </c>
    </row>
    <row r="4" customFormat="false" ht="15" hidden="false" customHeight="false" outlineLevel="0" collapsed="false">
      <c r="A4" s="30"/>
    </row>
    <row r="5" customFormat="false" ht="15" hidden="false" customHeight="false" outlineLevel="0" collapsed="false">
      <c r="A5" s="30" t="s">
        <v>105</v>
      </c>
    </row>
    <row r="6" customFormat="false" ht="15" hidden="false" customHeight="false" outlineLevel="0" collapsed="false">
      <c r="A6" s="30"/>
    </row>
    <row r="7" customFormat="false" ht="15" hidden="false" customHeight="false" outlineLevel="0" collapsed="false">
      <c r="A7" s="30" t="s">
        <v>106</v>
      </c>
    </row>
    <row r="8" customFormat="false" ht="15" hidden="false" customHeight="false" outlineLevel="0" collapsed="false">
      <c r="A8" s="30"/>
    </row>
    <row r="9" customFormat="false" ht="15" hidden="false" customHeight="false" outlineLevel="0" collapsed="false">
      <c r="A9" s="30" t="s">
        <v>107</v>
      </c>
    </row>
    <row r="10" customFormat="false" ht="15" hidden="false" customHeight="false" outlineLevel="0" collapsed="false">
      <c r="A10" s="30"/>
    </row>
    <row r="11" customFormat="false" ht="15" hidden="false" customHeight="false" outlineLevel="0" collapsed="false">
      <c r="A11" s="30" t="s">
        <v>108</v>
      </c>
    </row>
    <row r="12" customFormat="false" ht="15" hidden="false" customHeight="false" outlineLevel="0" collapsed="false">
      <c r="A12" s="30"/>
    </row>
    <row r="13" customFormat="false" ht="15" hidden="false" customHeight="false" outlineLevel="0" collapsed="false">
      <c r="A13" s="30" t="s">
        <v>109</v>
      </c>
    </row>
    <row r="14" customFormat="false" ht="15" hidden="false" customHeight="false" outlineLevel="0" collapsed="false">
      <c r="A14" s="30"/>
    </row>
    <row r="15" customFormat="false" ht="15" hidden="false" customHeight="false" outlineLevel="0" collapsed="false">
      <c r="A15" s="30" t="s">
        <v>110</v>
      </c>
    </row>
    <row r="16" customFormat="false" ht="15" hidden="false" customHeight="false" outlineLevel="0" collapsed="false">
      <c r="A16" s="30"/>
    </row>
    <row r="17" customFormat="false" ht="15" hidden="false" customHeight="false" outlineLevel="0" collapsed="false">
      <c r="A17" s="30"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2026-03-22T21:51:33Z</dcterms:created>
  <dc:creator>Ebrora Ltd</dc:creator>
  <dc:description>Log all formal contract correspondence with two-way direction tracking, response deadline monitoring, overdue alerts and cross-referencing to RFI/CE/VO registers, designed for UK construction commercial and project teams.
Free professional construction management template from Ebrora Ltd. Visit ebrora.com for our full range of tools and templates.</dc:description>
  <cp:keywords>Ebrora construction correspondence contract letter notice instruction commercial document control</cp:keywords>
  <dc:language>en-US</dc:language>
  <cp:lastModifiedBy>Ebrora Ltd</cp:lastModifiedBy>
  <dcterms:modified xsi:type="dcterms:W3CDTF">2026-03-22T21:51:33Z</dcterms:modified>
  <cp:revision>0</cp:revision>
  <dc:subject>Log for tracking formal contract correspondence with two-way direction tracking, response chain monitoring, and overdue alerts.</dc:subject>
  <dc:title>Contract Correspondence Log</dc:title>
</cp:coreProperties>
</file>

<file path=docProps/custom.xml><?xml version="1.0" encoding="utf-8"?>
<Properties xmlns="http://schemas.openxmlformats.org/officeDocument/2006/custom-properties" xmlns:vt="http://schemas.openxmlformats.org/officeDocument/2006/docPropsVTypes"/>
</file>