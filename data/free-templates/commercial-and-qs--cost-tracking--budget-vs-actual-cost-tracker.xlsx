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ver" sheetId="1" state="visible" r:id="rId3"/>
    <sheet name="Instructions" sheetId="2" state="visible" r:id="rId4"/>
    <sheet name="Budget vs Actual" sheetId="3" state="visible" r:id="rId5"/>
    <sheet name="Terms of Use" sheetId="4" state="hidden" r:id="rId6"/>
  </sheets>
  <definedNames>
    <definedName function="false" hidden="false" localSheetId="2" name="_xlnm.Print_Area" vbProcedure="false">'Budget vs Actual'!$A$1:$I$50</definedName>
    <definedName function="false" hidden="false" localSheetId="0" name="_xlnm.Print_Area" vbProcedure="false">Cover!$A$1:$H$20</definedName>
    <definedName function="false" hidden="false" localSheetId="1" name="_xlnm.Print_Area" vbProcedure="false">Instructions!$A$1:$F$28</definedName>
    <definedName function="false" hidden="false" name="CostTracker" vbProcedure="false">'Budget vs Actual'!$A$7:$N$50</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<sst xmlns="http://schemas.openxmlformats.org/spreadsheetml/2006/main" count="134" uniqueCount="131">
  <si>
    <t xml:space="preserve">EBRORA</t>
  </si>
  <si>
    <t xml:space="preserve">ebrora.com</t>
  </si>
  <si>
    <t xml:space="preserve">Budget vs Actual Cost Tracker</t>
  </si>
  <si>
    <t xml:space="preserve">Monitor project costs against budget by category with automatic</t>
  </si>
  <si>
    <t xml:space="preserve">variance calculation, forecast tracking, and overspend alerts.</t>
  </si>
  <si>
    <t xml:space="preserve">This is a free template from Ebrora.</t>
  </si>
  <si>
    <t xml:space="preserve">For our full range of professional-grade construction management tools, visit ebrora.com</t>
  </si>
  <si>
    <t xml:space="preserve">© Ebrora 2026 — All rights reserved</t>
  </si>
  <si>
    <t xml:space="preserve">How to Use This Template</t>
  </si>
  <si>
    <t xml:space="preserve">Getting Started</t>
  </si>
  <si>
    <t xml:space="preserve">1.</t>
  </si>
  <si>
    <t xml:space="preserve">Open the 'Budget vs Actual' sheet. The layout is organised by cost category — each section (Preliminaries, Substructure, Superstructure, etc.) has its own banded header with line items beneath and a subtotal row.</t>
  </si>
  <si>
    <t xml:space="preserve">2.</t>
  </si>
  <si>
    <t xml:space="preserve">The Grand Summary block at the top (rows 3–5) automatically totals all category subtotals. Use this as your headline cost position for reporting.</t>
  </si>
  <si>
    <t xml:space="preserve">3.</t>
  </si>
  <si>
    <t xml:space="preserve">For each line item, enter the Budget (£) first. As costs are incurred, update Actual to Date (£) and Committed (£). The Forecast, Variance, and % Spent columns calculate automatically.</t>
  </si>
  <si>
    <t xml:space="preserve">4.</t>
  </si>
  <si>
    <t xml:space="preserve">Forecast Final Cost = Actual to Date + Committed. Variance = Budget – Forecast. Positive variance means underspend; negative (shown in red) means overspend.</t>
  </si>
  <si>
    <t xml:space="preserve">5.</t>
  </si>
  <si>
    <t xml:space="preserve">Add new line items by inserting rows within a category band. Adjust the subtotal SUM ranges if you add or remove rows.</t>
  </si>
  <si>
    <t xml:space="preserve">Optional Fields</t>
  </si>
  <si>
    <t xml:space="preserve">6.</t>
  </si>
  <si>
    <t xml:space="preserve">Click [+] to expand optional columns: Original Budget, Approved VOs, Revised Budget, Accruals, and Payment Cert Ref. These are useful for formal CVR reporting and final account reconciliation.</t>
  </si>
  <si>
    <t xml:space="preserve">7.</t>
  </si>
  <si>
    <t xml:space="preserve">If you use the VO columns, Revised Budget = Original Budget + Approved VOs. The formula is pre-built.</t>
  </si>
  <si>
    <t xml:space="preserve">Colour Key</t>
  </si>
  <si>
    <t xml:space="preserve">Light teal cells (#E8F6F7) — User input. Enter your cost data here.</t>
  </si>
  <si>
    <t xml:space="preserve">Dark navy headers — Do not edit. Column headers and category bands.</t>
  </si>
  <si>
    <t xml:space="preserve">Teal band rows — Category section headers (Preliminaries, Substructure, etc.).</t>
  </si>
  <si>
    <t xml:space="preserve">Bold rows with grey fill — Subtotal rows. These contain SUM formulas.</t>
  </si>
  <si>
    <t xml:space="preserve">Green variance — Underspend (positive variance).</t>
  </si>
  <si>
    <t xml:space="preserve">Red variance — Overspend (negative variance).</t>
  </si>
  <si>
    <t xml:space="preserve">Amber % Spent — Between 80–99% of budget used.</t>
  </si>
  <si>
    <t xml:space="preserve">Red % Spent — 100%+ of budget used (overspent).</t>
  </si>
  <si>
    <t xml:space="preserve">Tips</t>
  </si>
  <si>
    <t xml:space="preserve">Tip 1:</t>
  </si>
  <si>
    <t xml:space="preserve">Update this tracker at minimum fortnightly, ideally weekly. Stale cost data leads to surprise overspends at final account.</t>
  </si>
  <si>
    <t xml:space="preserve">Tip 2:</t>
  </si>
  <si>
    <t xml:space="preserve">Use the Committed column to capture subcontractor orders and purchase orders that haven’t yet been invoiced. This gives a true forecast, not just what’s been paid.</t>
  </si>
  <si>
    <t xml:space="preserve">Tip 3:</t>
  </si>
  <si>
    <t xml:space="preserve">Present the Grand Summary block in your monthly commercial meeting — it gives an instant project cost health check.</t>
  </si>
  <si>
    <t xml:space="preserve">BUDGET VS ACTUAL COST TRACKER</t>
  </si>
  <si>
    <t xml:space="preserve">GRAND TOTAL</t>
  </si>
  <si>
    <t xml:space="preserve">Budget (£)</t>
  </si>
  <si>
    <t xml:space="preserve">Actual to Date (£)</t>
  </si>
  <si>
    <t xml:space="preserve">Committed (£)</t>
  </si>
  <si>
    <t xml:space="preserve">Forecast Final (£)</t>
  </si>
  <si>
    <t xml:space="preserve">Variance (£)</t>
  </si>
  <si>
    <t xml:space="preserve">% Spent</t>
  </si>
  <si>
    <t xml:space="preserve">PROJECT TOTAL</t>
  </si>
  <si>
    <t xml:space="preserve">▸ Optional Fields — Click [+] to expand</t>
  </si>
  <si>
    <t xml:space="preserve">Cost Code</t>
  </si>
  <si>
    <t xml:space="preserve">Description</t>
  </si>
  <si>
    <t xml:space="preserve">Actual to
Date (£)</t>
  </si>
  <si>
    <t xml:space="preserve">Committed
(£)</t>
  </si>
  <si>
    <t xml:space="preserve">Forecast Final
Cost (£)</t>
  </si>
  <si>
    <t xml:space="preserve">Notes</t>
  </si>
  <si>
    <t xml:space="preserve">Original
Budget (£)</t>
  </si>
  <si>
    <t xml:space="preserve">Approved
VOs (£)</t>
  </si>
  <si>
    <t xml:space="preserve">Revised
Budget (£)</t>
  </si>
  <si>
    <t xml:space="preserve">Accruals (£)</t>
  </si>
  <si>
    <t xml:space="preserve">Payment
Cert Ref</t>
  </si>
  <si>
    <t xml:space="preserve">1.0  PRELIMINARIES</t>
  </si>
  <si>
    <t xml:space="preserve">1.01</t>
  </si>
  <si>
    <t xml:space="preserve">Site establishment &amp; setup</t>
  </si>
  <si>
    <t xml:space="preserve">1.02</t>
  </si>
  <si>
    <t xml:space="preserve">Site management &amp; supervision</t>
  </si>
  <si>
    <t xml:space="preserve">1.03</t>
  </si>
  <si>
    <t xml:space="preserve">Temporary services (water, power, welfare)</t>
  </si>
  <si>
    <t xml:space="preserve">1.04</t>
  </si>
  <si>
    <t xml:space="preserve">Hoarding, signage &amp; security</t>
  </si>
  <si>
    <t xml:space="preserve">1.05</t>
  </si>
  <si>
    <t xml:space="preserve">Insurance &amp; bonds</t>
  </si>
  <si>
    <t xml:space="preserve">Subtotal — PRELIMINARIES</t>
  </si>
  <si>
    <t xml:space="preserve">2.0  SUBSTRUCTURE</t>
  </si>
  <si>
    <t xml:space="preserve">2.01</t>
  </si>
  <si>
    <t xml:space="preserve">Excavation &amp; earthworks</t>
  </si>
  <si>
    <t xml:space="preserve">2.02</t>
  </si>
  <si>
    <t xml:space="preserve">Piling</t>
  </si>
  <si>
    <t xml:space="preserve">2.03</t>
  </si>
  <si>
    <t xml:space="preserve">Ground beams &amp; pile caps</t>
  </si>
  <si>
    <t xml:space="preserve">2.04</t>
  </si>
  <si>
    <t xml:space="preserve">Below-ground drainage</t>
  </si>
  <si>
    <t xml:space="preserve">Subtotal — SUBSTRUCTURE</t>
  </si>
  <si>
    <t xml:space="preserve">3.0  SUPERSTRUCTURE</t>
  </si>
  <si>
    <t xml:space="preserve">3.01</t>
  </si>
  <si>
    <t xml:space="preserve">Structural steel frame</t>
  </si>
  <si>
    <t xml:space="preserve">3.02</t>
  </si>
  <si>
    <t xml:space="preserve">Precast concrete floors</t>
  </si>
  <si>
    <t xml:space="preserve">3.03</t>
  </si>
  <si>
    <t xml:space="preserve">Blockwork &amp; masonry</t>
  </si>
  <si>
    <t xml:space="preserve">3.04</t>
  </si>
  <si>
    <t xml:space="preserve">Roofing &amp; waterproofing</t>
  </si>
  <si>
    <t xml:space="preserve">Subtotal — SUPERSTRUCTURE</t>
  </si>
  <si>
    <t xml:space="preserve">4.0  MECHANICAL &amp; ELECTRICAL</t>
  </si>
  <si>
    <t xml:space="preserve">4.01</t>
  </si>
  <si>
    <t xml:space="preserve">HVAC installation</t>
  </si>
  <si>
    <t xml:space="preserve">4.02</t>
  </si>
  <si>
    <t xml:space="preserve">Electrical first &amp; second fix</t>
  </si>
  <si>
    <t xml:space="preserve">4.03</t>
  </si>
  <si>
    <t xml:space="preserve">Plumbing &amp; sanitary ware</t>
  </si>
  <si>
    <t xml:space="preserve">4.04</t>
  </si>
  <si>
    <t xml:space="preserve">Fire detection &amp; alarm systems</t>
  </si>
  <si>
    <t xml:space="preserve">4.05</t>
  </si>
  <si>
    <t xml:space="preserve">BMS &amp; controls</t>
  </si>
  <si>
    <t xml:space="preserve">Subtotal — MECHANICAL &amp; ELECTRICAL</t>
  </si>
  <si>
    <t xml:space="preserve">5.0  EXTERNAL WORKS</t>
  </si>
  <si>
    <t xml:space="preserve">5.01</t>
  </si>
  <si>
    <t xml:space="preserve">Hard landscaping &amp; paving</t>
  </si>
  <si>
    <t xml:space="preserve">5.02</t>
  </si>
  <si>
    <t xml:space="preserve">Soft landscaping &amp; planting</t>
  </si>
  <si>
    <t xml:space="preserve">5.03</t>
  </si>
  <si>
    <t xml:space="preserve">External drainage &amp; services</t>
  </si>
  <si>
    <t xml:space="preserve">Subtotal — EXTERNAL WORKS</t>
  </si>
  <si>
    <t xml:space="preserve">6.0  CONTINGENCY &amp; RISK</t>
  </si>
  <si>
    <t xml:space="preserve">6.01</t>
  </si>
  <si>
    <t xml:space="preserve">Design contingency</t>
  </si>
  <si>
    <t xml:space="preserve">6.02</t>
  </si>
  <si>
    <t xml:space="preserve">Construction contingency</t>
  </si>
  <si>
    <t xml:space="preserve">6.03</t>
  </si>
  <si>
    <t xml:space="preserve">Client risk allowance</t>
  </si>
  <si>
    <t xml:space="preserve">Subtotal — CONTINGENCY &amp; RISK</t>
  </si>
  <si>
    <t xml:space="preserve">EBRORA — TERMS OF USE</t>
  </si>
  <si>
    <t xml:space="preserve">This template is provided free of charge by Ebrora (ebrora.com) for personal and professional use.</t>
  </si>
  <si>
    <t xml:space="preserve">1. LICENCE: You may use this template for your own projects. You may not resell, redistribute, or claim authorship of this template.</t>
  </si>
  <si>
    <t xml:space="preserve">2. NO WARRANTY: This template is provided "as is" without warranty of any kind. Ebrora accepts no liability for errors, omissions, or losses arising from use of this template.</t>
  </si>
  <si>
    <t xml:space="preserve">3. INTELLECTUAL PROPERTY: All design, layout, branding, and content remain the intellectual property of Ebrora.</t>
  </si>
  <si>
    <t xml:space="preserve">4. MODIFICATIONS: You may modify this template for your own use. Modified versions may not be distributed or sold.</t>
  </si>
  <si>
    <t xml:space="preserve">5. ATTRIBUTION: If you share outputs generated using this template, attribution to Ebrora (ebrora.com) is appreciated but not required.</t>
  </si>
  <si>
    <t xml:space="preserve">6. SUPPORT: For queries, feedback, or to report errors, contact support@ebrora.com.</t>
  </si>
  <si>
    <t xml:space="preserve">For our full range of professional construction management tools, visit ebrora.com.</t>
  </si>
</sst>
</file>

<file path=xl/styles.xml><?xml version="1.0" encoding="utf-8"?>
<styleSheet xmlns="http://schemas.openxmlformats.org/spreadsheetml/2006/main">
  <numFmts count="4">
    <numFmt numFmtId="164" formatCode="General"/>
    <numFmt numFmtId="165" formatCode="\£#,##0"/>
    <numFmt numFmtId="166" formatCode="0%"/>
    <numFmt numFmtId="167" formatCode="\£#,##0;[RED]&quot;(£&quot;#,##0\);\-"/>
  </numFmts>
  <fonts count="17">
    <font>
      <sz val="11"/>
      <color theme="1"/>
      <name val="Calibri"/>
      <family val="2"/>
      <charset val="1"/>
    </font>
    <font>
      <sz val="10"/>
      <name val="Arial"/>
      <family val="0"/>
    </font>
    <font>
      <sz val="10"/>
      <name val="Arial"/>
      <family val="0"/>
    </font>
    <font>
      <sz val="10"/>
      <name val="Arial"/>
      <family val="0"/>
    </font>
    <font>
      <b val="true"/>
      <sz val="36"/>
      <color rgb="FFFFFFFF"/>
      <name val="Calibri"/>
      <family val="0"/>
      <charset val="1"/>
    </font>
    <font>
      <sz val="12"/>
      <color rgb="FF2AABB3"/>
      <name val="Calibri"/>
      <family val="0"/>
      <charset val="1"/>
    </font>
    <font>
      <b val="true"/>
      <sz val="28"/>
      <color rgb="FFFFFFFF"/>
      <name val="Calibri"/>
      <family val="0"/>
      <charset val="1"/>
    </font>
    <font>
      <sz val="12"/>
      <color rgb="FFFFFFFF"/>
      <name val="Calibri"/>
      <family val="0"/>
      <charset val="1"/>
    </font>
    <font>
      <b val="true"/>
      <sz val="11"/>
      <color rgb="FF1B2A4A"/>
      <name val="Calibri"/>
      <family val="0"/>
      <charset val="1"/>
    </font>
    <font>
      <i val="true"/>
      <sz val="9"/>
      <color rgb="FF8C8C8C"/>
      <name val="Calibri"/>
      <family val="0"/>
      <charset val="1"/>
    </font>
    <font>
      <b val="true"/>
      <sz val="14"/>
      <color rgb="FF1B2A4A"/>
      <name val="Calibri"/>
      <family val="0"/>
      <charset val="1"/>
    </font>
    <font>
      <b val="true"/>
      <sz val="11"/>
      <color rgb="FF2AABB3"/>
      <name val="Calibri"/>
      <family val="0"/>
      <charset val="1"/>
    </font>
    <font>
      <b val="true"/>
      <sz val="10"/>
      <color rgb="FF1B2A4A"/>
      <name val="Calibri"/>
      <family val="0"/>
      <charset val="1"/>
    </font>
    <font>
      <sz val="10"/>
      <color rgb="FF1B2A4A"/>
      <name val="Calibri"/>
      <family val="0"/>
      <charset val="1"/>
    </font>
    <font>
      <b val="true"/>
      <sz val="11"/>
      <color rgb="FFFFFFFF"/>
      <name val="Calibri"/>
      <family val="0"/>
      <charset val="1"/>
    </font>
    <font>
      <b val="true"/>
      <sz val="12"/>
      <color rgb="FF1B2A4A"/>
      <name val="Calibri"/>
      <family val="0"/>
      <charset val="1"/>
    </font>
    <font>
      <i val="true"/>
      <sz val="9"/>
      <color rgb="FF2AABB3"/>
      <name val="Calibri"/>
      <family val="0"/>
      <charset val="1"/>
    </font>
  </fonts>
  <fills count="7">
    <fill>
      <patternFill patternType="none"/>
    </fill>
    <fill>
      <patternFill patternType="gray125"/>
    </fill>
    <fill>
      <patternFill patternType="solid">
        <fgColor rgb="FF1B2A4A"/>
        <bgColor rgb="FF003366"/>
      </patternFill>
    </fill>
    <fill>
      <patternFill patternType="solid">
        <fgColor rgb="FFFFFFFF"/>
        <bgColor rgb="FFF2F2F2"/>
      </patternFill>
    </fill>
    <fill>
      <patternFill patternType="solid">
        <fgColor rgb="FFE8F6F7"/>
        <bgColor rgb="FFF2F2F2"/>
      </patternFill>
    </fill>
    <fill>
      <patternFill patternType="solid">
        <fgColor rgb="FFF2F2F2"/>
        <bgColor rgb="FFE8F6F7"/>
      </patternFill>
    </fill>
    <fill>
      <patternFill patternType="solid">
        <fgColor rgb="FF2AABB3"/>
        <bgColor rgb="FF339966"/>
      </patternFill>
    </fill>
  </fills>
  <borders count="5">
    <border diagonalUp="false" diagonalDown="false">
      <left/>
      <right/>
      <top/>
      <bottom/>
      <diagonal/>
    </border>
    <border diagonalUp="false" diagonalDown="false">
      <left style="thin">
        <color rgb="FF2AABB3"/>
      </left>
      <right style="thin">
        <color rgb="FF2AABB3"/>
      </right>
      <top style="thin">
        <color rgb="FF2AABB3"/>
      </top>
      <bottom style="thin">
        <color rgb="FF2AABB3"/>
      </bottom>
      <diagonal/>
    </border>
    <border diagonalUp="false" diagonalDown="false">
      <left style="thin">
        <color rgb="FF8C8C8C"/>
      </left>
      <right style="thin">
        <color rgb="FF8C8C8C"/>
      </right>
      <top style="thin">
        <color rgb="FF8C8C8C"/>
      </top>
      <bottom style="thin">
        <color rgb="FF8C8C8C"/>
      </bottom>
      <diagonal/>
    </border>
    <border diagonalUp="false" diagonalDown="false">
      <left/>
      <right/>
      <top/>
      <bottom style="double">
        <color rgb="FF1B2A4A"/>
      </bottom>
      <diagonal/>
    </border>
    <border diagonalUp="false" diagonalDown="false">
      <left/>
      <right/>
      <top/>
      <bottom style="medium">
        <color rgb="FF2AABB3"/>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8">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2" borderId="0" xfId="0" applyFont="false" applyBorder="tru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true" indent="0" shrinkToFit="false"/>
      <protection locked="true" hidden="false"/>
    </xf>
    <xf numFmtId="164" fontId="5" fillId="3" borderId="0" xfId="0" applyFont="true" applyBorder="true" applyAlignment="true" applyProtection="false">
      <alignment horizontal="center" vertical="center" textRotation="0" wrapText="tru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4" fontId="6" fillId="2" borderId="0" xfId="0" applyFont="true" applyBorder="true" applyAlignment="true" applyProtection="false">
      <alignment horizontal="center" vertical="center" textRotation="0" wrapText="true" indent="0" shrinkToFit="false"/>
      <protection locked="true" hidden="false"/>
    </xf>
    <xf numFmtId="164" fontId="7" fillId="2" borderId="0" xfId="0" applyFont="true" applyBorder="true" applyAlignment="true" applyProtection="false">
      <alignment horizontal="center" vertical="center" textRotation="0" wrapText="true" indent="0" shrinkToFit="false"/>
      <protection locked="true" hidden="false"/>
    </xf>
    <xf numFmtId="164" fontId="0" fillId="4" borderId="1" xfId="0" applyFont="false" applyBorder="true" applyAlignment="false" applyProtection="false">
      <alignment horizontal="general" vertical="bottom" textRotation="0" wrapText="false" indent="0" shrinkToFit="false"/>
      <protection locked="true" hidden="false"/>
    </xf>
    <xf numFmtId="164" fontId="8" fillId="4" borderId="1" xfId="0" applyFont="true" applyBorder="true" applyAlignment="true" applyProtection="false">
      <alignment horizontal="center" vertical="center" textRotation="0" wrapText="true" indent="0" shrinkToFit="false"/>
      <protection locked="true" hidden="false"/>
    </xf>
    <xf numFmtId="164" fontId="9" fillId="3" borderId="0" xfId="0" applyFont="true" applyBorder="true" applyAlignment="true" applyProtection="false">
      <alignment horizontal="center" vertical="center" textRotation="0" wrapText="true" indent="0" shrinkToFit="false"/>
      <protection locked="true" hidden="false"/>
    </xf>
    <xf numFmtId="164" fontId="10" fillId="0" borderId="0" xfId="0" applyFont="true" applyBorder="true" applyAlignment="true" applyProtection="false">
      <alignment horizontal="left" vertical="center" textRotation="0" wrapText="true" indent="0" shrinkToFit="false"/>
      <protection locked="true" hidden="false"/>
    </xf>
    <xf numFmtId="164" fontId="11" fillId="0" borderId="0" xfId="0" applyFont="true" applyBorder="true" applyAlignment="true" applyProtection="false">
      <alignment horizontal="left" vertical="center" textRotation="0" wrapText="true" indent="0" shrinkToFit="false"/>
      <protection locked="true" hidden="false"/>
    </xf>
    <xf numFmtId="164" fontId="12" fillId="0" borderId="0" xfId="0" applyFont="true" applyBorder="false" applyAlignment="true" applyProtection="false">
      <alignment horizontal="right" vertical="top" textRotation="0" wrapText="false" indent="0" shrinkToFit="false"/>
      <protection locked="true" hidden="false"/>
    </xf>
    <xf numFmtId="164" fontId="13" fillId="0" borderId="0" xfId="0" applyFont="true" applyBorder="true" applyAlignment="true" applyProtection="false">
      <alignment horizontal="left" vertical="top" textRotation="0" wrapText="true" indent="0" shrinkToFit="false"/>
      <protection locked="true" hidden="false"/>
    </xf>
    <xf numFmtId="164" fontId="13" fillId="0" borderId="0" xfId="0" applyFont="true" applyBorder="true" applyAlignment="true" applyProtection="false">
      <alignment horizontal="left" vertical="center" textRotation="0" wrapText="true" indent="0" shrinkToFit="false"/>
      <protection locked="true" hidden="false"/>
    </xf>
    <xf numFmtId="164" fontId="14" fillId="2" borderId="0" xfId="0" applyFont="true" applyBorder="true" applyAlignment="true" applyProtection="false">
      <alignment horizontal="center" vertical="center" textRotation="0" wrapText="true" indent="0" shrinkToFit="false"/>
      <protection locked="true" hidden="false"/>
    </xf>
    <xf numFmtId="164" fontId="14" fillId="2" borderId="0" xfId="0" applyFont="true" applyBorder="false" applyAlignment="true" applyProtection="false">
      <alignment horizontal="center" vertical="center" textRotation="0" wrapText="true" indent="0" shrinkToFit="false"/>
      <protection locked="true" hidden="false"/>
    </xf>
    <xf numFmtId="164" fontId="15" fillId="5" borderId="0" xfId="0" applyFont="true" applyBorder="true" applyAlignment="true" applyProtection="false">
      <alignment horizontal="center" vertical="center" textRotation="0" wrapText="true" indent="0" shrinkToFit="false"/>
      <protection locked="true" hidden="false"/>
    </xf>
    <xf numFmtId="165" fontId="15" fillId="5" borderId="2" xfId="0" applyFont="true" applyBorder="true" applyAlignment="true" applyProtection="false">
      <alignment horizontal="right" vertical="center" textRotation="0" wrapText="true" indent="0" shrinkToFit="false"/>
      <protection locked="true" hidden="false"/>
    </xf>
    <xf numFmtId="166" fontId="15" fillId="5" borderId="2" xfId="0" applyFont="true" applyBorder="true" applyAlignment="true" applyProtection="false">
      <alignment horizontal="center" vertical="center" textRotation="0" wrapText="true" indent="0" shrinkToFit="false"/>
      <protection locked="true" hidden="false"/>
    </xf>
    <xf numFmtId="164" fontId="0" fillId="0" borderId="3" xfId="0" applyFont="false" applyBorder="true" applyAlignment="false" applyProtection="false">
      <alignment horizontal="general" vertical="bottom" textRotation="0" wrapText="false" indent="0" shrinkToFit="false"/>
      <protection locked="true" hidden="false"/>
    </xf>
    <xf numFmtId="164" fontId="0" fillId="0" borderId="4" xfId="0" applyFont="false" applyBorder="true" applyAlignment="false" applyProtection="false">
      <alignment horizontal="general" vertical="bottom" textRotation="0" wrapText="false" indent="0" shrinkToFit="false"/>
      <protection locked="true" hidden="false"/>
    </xf>
    <xf numFmtId="164" fontId="16" fillId="0" borderId="4" xfId="0" applyFont="true" applyBorder="true" applyAlignment="true" applyProtection="false">
      <alignment horizontal="center" vertical="center" textRotation="0" wrapText="true" indent="0" shrinkToFit="false"/>
      <protection locked="true" hidden="false"/>
    </xf>
    <xf numFmtId="164" fontId="14" fillId="2" borderId="2" xfId="0" applyFont="true" applyBorder="true" applyAlignment="true" applyProtection="false">
      <alignment horizontal="center" vertical="center" textRotation="0" wrapText="true" indent="0" shrinkToFit="false"/>
      <protection locked="true" hidden="false"/>
    </xf>
    <xf numFmtId="164" fontId="14" fillId="6" borderId="0" xfId="0" applyFont="true" applyBorder="true" applyAlignment="true" applyProtection="false">
      <alignment horizontal="left" vertical="center" textRotation="0" wrapText="true" indent="0" shrinkToFit="false"/>
      <protection locked="true" hidden="false"/>
    </xf>
    <xf numFmtId="164" fontId="13" fillId="4" borderId="2" xfId="0" applyFont="true" applyBorder="true" applyAlignment="true" applyProtection="false">
      <alignment horizontal="center" vertical="center" textRotation="0" wrapText="true" indent="0" shrinkToFit="false"/>
      <protection locked="true" hidden="false"/>
    </xf>
    <xf numFmtId="164" fontId="13" fillId="4" borderId="2" xfId="0" applyFont="true" applyBorder="true" applyAlignment="true" applyProtection="false">
      <alignment horizontal="left" vertical="center" textRotation="0" wrapText="true" indent="0" shrinkToFit="false"/>
      <protection locked="true" hidden="false"/>
    </xf>
    <xf numFmtId="165" fontId="13" fillId="4" borderId="2" xfId="0" applyFont="true" applyBorder="true" applyAlignment="true" applyProtection="false">
      <alignment horizontal="right" vertical="center" textRotation="0" wrapText="true" indent="0" shrinkToFit="false"/>
      <protection locked="true" hidden="false"/>
    </xf>
    <xf numFmtId="165" fontId="13" fillId="3" borderId="2" xfId="0" applyFont="true" applyBorder="true" applyAlignment="true" applyProtection="false">
      <alignment horizontal="right" vertical="center" textRotation="0" wrapText="true" indent="0" shrinkToFit="false"/>
      <protection locked="true" hidden="false"/>
    </xf>
    <xf numFmtId="167" fontId="13" fillId="3" borderId="2" xfId="0" applyFont="true" applyBorder="true" applyAlignment="true" applyProtection="false">
      <alignment horizontal="right" vertical="center" textRotation="0" wrapText="true" indent="0" shrinkToFit="false"/>
      <protection locked="true" hidden="false"/>
    </xf>
    <xf numFmtId="166" fontId="13" fillId="3" borderId="2" xfId="0" applyFont="true" applyBorder="true" applyAlignment="true" applyProtection="false">
      <alignment horizontal="center" vertical="center" textRotation="0" wrapText="true" indent="0" shrinkToFit="false"/>
      <protection locked="true" hidden="false"/>
    </xf>
    <xf numFmtId="167" fontId="13" fillId="4" borderId="2" xfId="0" applyFont="true" applyBorder="true" applyAlignment="true" applyProtection="false">
      <alignment horizontal="right" vertical="center" textRotation="0" wrapText="true" indent="0" shrinkToFit="false"/>
      <protection locked="true" hidden="false"/>
    </xf>
    <xf numFmtId="164" fontId="0" fillId="5" borderId="2" xfId="0" applyFont="false" applyBorder="true" applyAlignment="false" applyProtection="false">
      <alignment horizontal="general" vertical="bottom" textRotation="0" wrapText="false" indent="0" shrinkToFit="false"/>
      <protection locked="true" hidden="false"/>
    </xf>
    <xf numFmtId="164" fontId="12" fillId="5" borderId="2" xfId="0" applyFont="true" applyBorder="true" applyAlignment="true" applyProtection="false">
      <alignment horizontal="left" vertical="center" textRotation="0" wrapText="true" indent="0" shrinkToFit="false"/>
      <protection locked="true" hidden="false"/>
    </xf>
    <xf numFmtId="165" fontId="12" fillId="5" borderId="2" xfId="0" applyFont="true" applyBorder="true" applyAlignment="true" applyProtection="false">
      <alignment horizontal="right" vertical="center" textRotation="0" wrapText="true" indent="0" shrinkToFit="false"/>
      <protection locked="true" hidden="false"/>
    </xf>
    <xf numFmtId="166" fontId="12" fillId="5" borderId="2" xfId="0" applyFont="true" applyBorder="true" applyAlignment="true" applyProtection="false">
      <alignment horizontal="center" vertical="center" textRotation="0" wrapText="true" indent="0" shrinkToFit="false"/>
      <protection locked="true" hidden="false"/>
    </xf>
    <xf numFmtId="167" fontId="12" fillId="5" borderId="2" xfId="0" applyFont="true" applyBorder="true" applyAlignment="true" applyProtection="false">
      <alignment horizontal="right" vertical="center" textRotation="0" wrapText="tru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bgColor rgb="FFFFC7CE"/>
        </patternFill>
      </fill>
    </dxf>
    <dxf>
      <fill>
        <patternFill>
          <bgColor rgb="FFC6EFCE"/>
        </patternFill>
      </fill>
    </dxf>
    <dxf>
      <fill>
        <patternFill>
          <bgColor rgb="FFFFEB9C"/>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2F2F2"/>
      <rgbColor rgb="FFE8F6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7CE"/>
      <rgbColor rgb="FF3366FF"/>
      <rgbColor rgb="FF2AABB3"/>
      <rgbColor rgb="FF99CC00"/>
      <rgbColor rgb="FFFFCC00"/>
      <rgbColor rgb="FFFF9900"/>
      <rgbColor rgb="FFFF6600"/>
      <rgbColor rgb="FF666699"/>
      <rgbColor rgb="FF8C8C8C"/>
      <rgbColor rgb="FF003366"/>
      <rgbColor rgb="FF339966"/>
      <rgbColor rgb="FF003300"/>
      <rgbColor rgb="FF333300"/>
      <rgbColor rgb="FF993300"/>
      <rgbColor rgb="FF993366"/>
      <rgbColor rgb="FF333399"/>
      <rgbColor rgb="FF1B2A4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B2A4A"/>
    <pageSetUpPr fitToPage="false"/>
  </sheetPr>
  <dimension ref="A1:H24"/>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8" min="1" style="0" width="14"/>
  </cols>
  <sheetData>
    <row r="1" customFormat="false" ht="15" hidden="false" customHeight="false" outlineLevel="0" collapsed="false">
      <c r="A1" s="1"/>
      <c r="B1" s="1"/>
      <c r="C1" s="1"/>
      <c r="D1" s="1"/>
      <c r="E1" s="1"/>
      <c r="F1" s="1"/>
      <c r="G1" s="1"/>
      <c r="H1" s="1"/>
    </row>
    <row r="2" customFormat="false" ht="45.5" hidden="false" customHeight="true" outlineLevel="0" collapsed="false">
      <c r="A2" s="2" t="s">
        <v>0</v>
      </c>
      <c r="B2" s="2"/>
      <c r="C2" s="2"/>
      <c r="D2" s="2"/>
      <c r="E2" s="2"/>
      <c r="F2" s="2"/>
      <c r="G2" s="2"/>
      <c r="H2" s="2"/>
    </row>
    <row r="3" customFormat="false" ht="15" hidden="false" customHeight="false" outlineLevel="0" collapsed="false">
      <c r="A3" s="1"/>
      <c r="B3" s="1"/>
      <c r="C3" s="1"/>
      <c r="D3" s="1"/>
      <c r="E3" s="1"/>
      <c r="F3" s="1"/>
      <c r="G3" s="1"/>
      <c r="H3" s="1"/>
    </row>
    <row r="4" customFormat="false" ht="15" hidden="false" customHeight="true" outlineLevel="0" collapsed="false">
      <c r="A4" s="3" t="s">
        <v>1</v>
      </c>
      <c r="B4" s="3"/>
      <c r="C4" s="3"/>
      <c r="D4" s="3"/>
      <c r="E4" s="3"/>
      <c r="F4" s="3"/>
      <c r="G4" s="3"/>
      <c r="H4" s="3"/>
    </row>
    <row r="5" customFormat="false" ht="15" hidden="false" customHeight="false" outlineLevel="0" collapsed="false">
      <c r="A5" s="4"/>
      <c r="B5" s="4"/>
      <c r="C5" s="4"/>
      <c r="D5" s="4"/>
      <c r="E5" s="4"/>
      <c r="F5" s="4"/>
      <c r="G5" s="4"/>
      <c r="H5" s="4"/>
    </row>
    <row r="6" customFormat="false" ht="15" hidden="false" customHeight="false" outlineLevel="0" collapsed="false">
      <c r="A6" s="1"/>
      <c r="B6" s="1"/>
      <c r="C6" s="1"/>
      <c r="D6" s="1"/>
      <c r="E6" s="1"/>
      <c r="F6" s="1"/>
      <c r="G6" s="1"/>
      <c r="H6" s="1"/>
    </row>
    <row r="7" customFormat="false" ht="35.05" hidden="false" customHeight="true" outlineLevel="0" collapsed="false">
      <c r="A7" s="5" t="s">
        <v>2</v>
      </c>
      <c r="B7" s="5"/>
      <c r="C7" s="5"/>
      <c r="D7" s="5"/>
      <c r="E7" s="5"/>
      <c r="F7" s="5"/>
      <c r="G7" s="5"/>
      <c r="H7" s="5"/>
    </row>
    <row r="8" customFormat="false" ht="15" hidden="false" customHeight="false" outlineLevel="0" collapsed="false">
      <c r="A8" s="1"/>
      <c r="B8" s="1"/>
      <c r="C8" s="1"/>
      <c r="D8" s="1"/>
      <c r="E8" s="1"/>
      <c r="F8" s="1"/>
      <c r="G8" s="1"/>
      <c r="H8" s="1"/>
    </row>
    <row r="9" customFormat="false" ht="15" hidden="false" customHeight="false" outlineLevel="0" collapsed="false">
      <c r="A9" s="4"/>
      <c r="B9" s="4"/>
      <c r="C9" s="4"/>
      <c r="D9" s="4"/>
      <c r="E9" s="4"/>
      <c r="F9" s="4"/>
      <c r="G9" s="4"/>
      <c r="H9" s="4"/>
    </row>
    <row r="10" customFormat="false" ht="15" hidden="false" customHeight="true" outlineLevel="0" collapsed="false">
      <c r="A10" s="6" t="s">
        <v>3</v>
      </c>
      <c r="B10" s="6"/>
      <c r="C10" s="6"/>
      <c r="D10" s="6"/>
      <c r="E10" s="6"/>
      <c r="F10" s="6"/>
      <c r="G10" s="6"/>
      <c r="H10" s="6"/>
    </row>
    <row r="11" customFormat="false" ht="15" hidden="false" customHeight="true" outlineLevel="0" collapsed="false">
      <c r="A11" s="6" t="s">
        <v>4</v>
      </c>
      <c r="B11" s="6"/>
      <c r="C11" s="6"/>
      <c r="D11" s="6"/>
      <c r="E11" s="6"/>
      <c r="F11" s="6"/>
      <c r="G11" s="6"/>
      <c r="H11" s="6"/>
    </row>
    <row r="12" customFormat="false" ht="15" hidden="false" customHeight="false" outlineLevel="0" collapsed="false">
      <c r="A12" s="4"/>
      <c r="B12" s="4"/>
      <c r="C12" s="4"/>
      <c r="D12" s="4"/>
      <c r="E12" s="4"/>
      <c r="F12" s="4"/>
      <c r="G12" s="4"/>
      <c r="H12" s="4"/>
    </row>
    <row r="13" customFormat="false" ht="15" hidden="false" customHeight="false" outlineLevel="0" collapsed="false">
      <c r="A13" s="4"/>
      <c r="B13" s="4"/>
      <c r="C13" s="4"/>
      <c r="D13" s="4"/>
      <c r="E13" s="4"/>
      <c r="F13" s="4"/>
      <c r="G13" s="4"/>
      <c r="H13" s="4"/>
    </row>
    <row r="14" customFormat="false" ht="15" hidden="false" customHeight="false" outlineLevel="0" collapsed="false">
      <c r="A14" s="7"/>
      <c r="B14" s="7"/>
      <c r="C14" s="7"/>
      <c r="D14" s="7"/>
      <c r="E14" s="7"/>
      <c r="F14" s="7"/>
      <c r="G14" s="7"/>
      <c r="H14" s="7"/>
    </row>
    <row r="15" customFormat="false" ht="15" hidden="false" customHeight="true" outlineLevel="0" collapsed="false">
      <c r="A15" s="8" t="s">
        <v>5</v>
      </c>
      <c r="B15" s="8"/>
      <c r="C15" s="8"/>
      <c r="D15" s="8"/>
      <c r="E15" s="8"/>
      <c r="F15" s="8"/>
      <c r="G15" s="8"/>
      <c r="H15" s="8"/>
    </row>
    <row r="16" customFormat="false" ht="15" hidden="false" customHeight="true" outlineLevel="0" collapsed="false">
      <c r="A16" s="8" t="s">
        <v>6</v>
      </c>
      <c r="B16" s="8"/>
      <c r="C16" s="8"/>
      <c r="D16" s="8"/>
      <c r="E16" s="8"/>
      <c r="F16" s="8"/>
      <c r="G16" s="8"/>
      <c r="H16" s="8"/>
    </row>
    <row r="17" customFormat="false" ht="15" hidden="false" customHeight="false" outlineLevel="0" collapsed="false">
      <c r="A17" s="7"/>
      <c r="B17" s="7"/>
      <c r="C17" s="7"/>
      <c r="D17" s="7"/>
      <c r="E17" s="7"/>
      <c r="F17" s="7"/>
      <c r="G17" s="7"/>
      <c r="H17" s="7"/>
    </row>
    <row r="18" customFormat="false" ht="15" hidden="false" customHeight="false" outlineLevel="0" collapsed="false">
      <c r="A18" s="4"/>
      <c r="B18" s="4"/>
      <c r="C18" s="4"/>
      <c r="D18" s="4"/>
      <c r="E18" s="4"/>
      <c r="F18" s="4"/>
      <c r="G18" s="4"/>
      <c r="H18" s="4"/>
    </row>
    <row r="19" customFormat="false" ht="15" hidden="false" customHeight="true" outlineLevel="0" collapsed="false">
      <c r="A19" s="9" t="s">
        <v>7</v>
      </c>
      <c r="B19" s="9"/>
      <c r="C19" s="9"/>
      <c r="D19" s="9"/>
      <c r="E19" s="9"/>
      <c r="F19" s="9"/>
      <c r="G19" s="9"/>
      <c r="H19" s="9"/>
    </row>
    <row r="20" customFormat="false" ht="15" hidden="false" customHeight="false" outlineLevel="0" collapsed="false">
      <c r="A20" s="4"/>
      <c r="B20" s="4"/>
      <c r="C20" s="4"/>
      <c r="D20" s="4"/>
      <c r="E20" s="4"/>
      <c r="F20" s="4"/>
      <c r="G20" s="4"/>
      <c r="H20" s="4"/>
    </row>
    <row r="21" customFormat="false" ht="15" hidden="false" customHeight="false" outlineLevel="0" collapsed="false">
      <c r="A21" s="4"/>
      <c r="B21" s="4"/>
      <c r="C21" s="4"/>
      <c r="D21" s="4"/>
      <c r="E21" s="4"/>
      <c r="F21" s="4"/>
      <c r="G21" s="4"/>
      <c r="H21" s="4"/>
    </row>
    <row r="22" customFormat="false" ht="15" hidden="false" customHeight="false" outlineLevel="0" collapsed="false">
      <c r="A22" s="4"/>
      <c r="B22" s="4"/>
      <c r="C22" s="4"/>
      <c r="D22" s="4"/>
      <c r="E22" s="4"/>
      <c r="F22" s="4"/>
      <c r="G22" s="4"/>
      <c r="H22" s="4"/>
    </row>
    <row r="23" customFormat="false" ht="15" hidden="false" customHeight="false" outlineLevel="0" collapsed="false">
      <c r="A23" s="4"/>
      <c r="B23" s="4"/>
      <c r="C23" s="4"/>
      <c r="D23" s="4"/>
      <c r="E23" s="4"/>
      <c r="F23" s="4"/>
      <c r="G23" s="4"/>
      <c r="H23" s="4"/>
    </row>
    <row r="24" customFormat="false" ht="15" hidden="false" customHeight="false" outlineLevel="0" collapsed="false">
      <c r="A24" s="4"/>
      <c r="B24" s="4"/>
      <c r="C24" s="4"/>
      <c r="D24" s="4"/>
      <c r="E24" s="4"/>
      <c r="F24" s="4"/>
      <c r="G24" s="4"/>
      <c r="H24" s="4"/>
    </row>
  </sheetData>
  <mergeCells count="14">
    <mergeCell ref="A1:H1"/>
    <mergeCell ref="A2:H2"/>
    <mergeCell ref="A3:H3"/>
    <mergeCell ref="A4:H4"/>
    <mergeCell ref="A6:H6"/>
    <mergeCell ref="A7:H7"/>
    <mergeCell ref="A8:H8"/>
    <mergeCell ref="A10:H10"/>
    <mergeCell ref="A11:H11"/>
    <mergeCell ref="A14:H14"/>
    <mergeCell ref="A15:H15"/>
    <mergeCell ref="A16:H16"/>
    <mergeCell ref="A17:H17"/>
    <mergeCell ref="A19:H1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AABB3"/>
    <pageSetUpPr fitToPage="false"/>
  </sheetPr>
  <dimension ref="A1:F2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6" min="2" style="0" width="18"/>
  </cols>
  <sheetData>
    <row r="1" customFormat="false" ht="18.65" hidden="false" customHeight="true" outlineLevel="0" collapsed="false">
      <c r="A1" s="10" t="s">
        <v>8</v>
      </c>
      <c r="B1" s="10"/>
      <c r="C1" s="10"/>
      <c r="D1" s="10"/>
      <c r="E1" s="10"/>
      <c r="F1" s="10"/>
    </row>
    <row r="3" customFormat="false" ht="15" hidden="false" customHeight="true" outlineLevel="0" collapsed="false">
      <c r="A3" s="11" t="s">
        <v>9</v>
      </c>
      <c r="B3" s="11"/>
      <c r="C3" s="11"/>
      <c r="D3" s="11"/>
      <c r="E3" s="11"/>
      <c r="F3" s="11"/>
    </row>
    <row r="4" customFormat="false" ht="23.85" hidden="false" customHeight="true" outlineLevel="0" collapsed="false">
      <c r="A4" s="12" t="s">
        <v>10</v>
      </c>
      <c r="B4" s="13" t="s">
        <v>11</v>
      </c>
      <c r="C4" s="13"/>
      <c r="D4" s="13"/>
      <c r="E4" s="13"/>
      <c r="F4" s="13"/>
    </row>
    <row r="5" customFormat="false" ht="23.85" hidden="false" customHeight="true" outlineLevel="0" collapsed="false">
      <c r="A5" s="12" t="s">
        <v>12</v>
      </c>
      <c r="B5" s="13" t="s">
        <v>13</v>
      </c>
      <c r="C5" s="13"/>
      <c r="D5" s="13"/>
      <c r="E5" s="13"/>
      <c r="F5" s="13"/>
    </row>
    <row r="6" customFormat="false" ht="23.85" hidden="false" customHeight="true" outlineLevel="0" collapsed="false">
      <c r="A6" s="12" t="s">
        <v>14</v>
      </c>
      <c r="B6" s="13" t="s">
        <v>15</v>
      </c>
      <c r="C6" s="13"/>
      <c r="D6" s="13"/>
      <c r="E6" s="13"/>
      <c r="F6" s="13"/>
    </row>
    <row r="7" customFormat="false" ht="23.85" hidden="false" customHeight="true" outlineLevel="0" collapsed="false">
      <c r="A7" s="12" t="s">
        <v>16</v>
      </c>
      <c r="B7" s="13" t="s">
        <v>17</v>
      </c>
      <c r="C7" s="13"/>
      <c r="D7" s="13"/>
      <c r="E7" s="13"/>
      <c r="F7" s="13"/>
    </row>
    <row r="8" customFormat="false" ht="15" hidden="false" customHeight="true" outlineLevel="0" collapsed="false">
      <c r="A8" s="12" t="s">
        <v>18</v>
      </c>
      <c r="B8" s="13" t="s">
        <v>19</v>
      </c>
      <c r="C8" s="13"/>
      <c r="D8" s="13"/>
      <c r="E8" s="13"/>
      <c r="F8" s="13"/>
    </row>
    <row r="10" customFormat="false" ht="15" hidden="false" customHeight="true" outlineLevel="0" collapsed="false">
      <c r="A10" s="11" t="s">
        <v>20</v>
      </c>
      <c r="B10" s="11"/>
      <c r="C10" s="11"/>
      <c r="D10" s="11"/>
      <c r="E10" s="11"/>
      <c r="F10" s="11"/>
    </row>
    <row r="11" customFormat="false" ht="23.85" hidden="false" customHeight="true" outlineLevel="0" collapsed="false">
      <c r="A11" s="12" t="s">
        <v>21</v>
      </c>
      <c r="B11" s="13" t="s">
        <v>22</v>
      </c>
      <c r="C11" s="13"/>
      <c r="D11" s="13"/>
      <c r="E11" s="13"/>
      <c r="F11" s="13"/>
    </row>
    <row r="12" customFormat="false" ht="15" hidden="false" customHeight="true" outlineLevel="0" collapsed="false">
      <c r="A12" s="12" t="s">
        <v>23</v>
      </c>
      <c r="B12" s="13" t="s">
        <v>24</v>
      </c>
      <c r="C12" s="13"/>
      <c r="D12" s="13"/>
      <c r="E12" s="13"/>
      <c r="F12" s="13"/>
    </row>
    <row r="14" customFormat="false" ht="15" hidden="false" customHeight="true" outlineLevel="0" collapsed="false">
      <c r="A14" s="11" t="s">
        <v>25</v>
      </c>
      <c r="B14" s="11"/>
      <c r="C14" s="11"/>
      <c r="D14" s="11"/>
      <c r="E14" s="11"/>
      <c r="F14" s="11"/>
    </row>
    <row r="15" customFormat="false" ht="15" hidden="false" customHeight="true" outlineLevel="0" collapsed="false">
      <c r="A15" s="14" t="s">
        <v>26</v>
      </c>
      <c r="B15" s="14"/>
      <c r="C15" s="14"/>
      <c r="D15" s="14"/>
      <c r="E15" s="14"/>
      <c r="F15" s="14"/>
    </row>
    <row r="16" customFormat="false" ht="15" hidden="false" customHeight="true" outlineLevel="0" collapsed="false">
      <c r="A16" s="14" t="s">
        <v>27</v>
      </c>
      <c r="B16" s="14"/>
      <c r="C16" s="14"/>
      <c r="D16" s="14"/>
      <c r="E16" s="14"/>
      <c r="F16" s="14"/>
    </row>
    <row r="17" customFormat="false" ht="15" hidden="false" customHeight="true" outlineLevel="0" collapsed="false">
      <c r="A17" s="14" t="s">
        <v>28</v>
      </c>
      <c r="B17" s="14"/>
      <c r="C17" s="14"/>
      <c r="D17" s="14"/>
      <c r="E17" s="14"/>
      <c r="F17" s="14"/>
    </row>
    <row r="18" customFormat="false" ht="15" hidden="false" customHeight="true" outlineLevel="0" collapsed="false">
      <c r="A18" s="14" t="s">
        <v>29</v>
      </c>
      <c r="B18" s="14"/>
      <c r="C18" s="14"/>
      <c r="D18" s="14"/>
      <c r="E18" s="14"/>
      <c r="F18" s="14"/>
    </row>
    <row r="19" customFormat="false" ht="15" hidden="false" customHeight="true" outlineLevel="0" collapsed="false">
      <c r="A19" s="14" t="s">
        <v>30</v>
      </c>
      <c r="B19" s="14"/>
      <c r="C19" s="14"/>
      <c r="D19" s="14"/>
      <c r="E19" s="14"/>
      <c r="F19" s="14"/>
    </row>
    <row r="20" customFormat="false" ht="15" hidden="false" customHeight="true" outlineLevel="0" collapsed="false">
      <c r="A20" s="14" t="s">
        <v>31</v>
      </c>
      <c r="B20" s="14"/>
      <c r="C20" s="14"/>
      <c r="D20" s="14"/>
      <c r="E20" s="14"/>
      <c r="F20" s="14"/>
    </row>
    <row r="21" customFormat="false" ht="15" hidden="false" customHeight="true" outlineLevel="0" collapsed="false">
      <c r="A21" s="14" t="s">
        <v>32</v>
      </c>
      <c r="B21" s="14"/>
      <c r="C21" s="14"/>
      <c r="D21" s="14"/>
      <c r="E21" s="14"/>
      <c r="F21" s="14"/>
    </row>
    <row r="22" customFormat="false" ht="15" hidden="false" customHeight="true" outlineLevel="0" collapsed="false">
      <c r="A22" s="14" t="s">
        <v>33</v>
      </c>
      <c r="B22" s="14"/>
      <c r="C22" s="14"/>
      <c r="D22" s="14"/>
      <c r="E22" s="14"/>
      <c r="F22" s="14"/>
    </row>
    <row r="24" customFormat="false" ht="15" hidden="false" customHeight="true" outlineLevel="0" collapsed="false">
      <c r="A24" s="11" t="s">
        <v>34</v>
      </c>
      <c r="B24" s="11"/>
      <c r="C24" s="11"/>
      <c r="D24" s="11"/>
      <c r="E24" s="11"/>
      <c r="F24" s="11"/>
    </row>
    <row r="25" customFormat="false" ht="15" hidden="false" customHeight="true" outlineLevel="0" collapsed="false">
      <c r="A25" s="12" t="s">
        <v>35</v>
      </c>
      <c r="B25" s="13" t="s">
        <v>36</v>
      </c>
      <c r="C25" s="13"/>
      <c r="D25" s="13"/>
      <c r="E25" s="13"/>
      <c r="F25" s="13"/>
    </row>
    <row r="26" customFormat="false" ht="23.85" hidden="false" customHeight="true" outlineLevel="0" collapsed="false">
      <c r="A26" s="12" t="s">
        <v>37</v>
      </c>
      <c r="B26" s="13" t="s">
        <v>38</v>
      </c>
      <c r="C26" s="13"/>
      <c r="D26" s="13"/>
      <c r="E26" s="13"/>
      <c r="F26" s="13"/>
    </row>
    <row r="27" customFormat="false" ht="15" hidden="false" customHeight="true" outlineLevel="0" collapsed="false">
      <c r="A27" s="12" t="s">
        <v>39</v>
      </c>
      <c r="B27" s="13" t="s">
        <v>40</v>
      </c>
      <c r="C27" s="13"/>
      <c r="D27" s="13"/>
      <c r="E27" s="13"/>
      <c r="F27" s="13"/>
    </row>
  </sheetData>
  <mergeCells count="23">
    <mergeCell ref="A1:F1"/>
    <mergeCell ref="A3:F3"/>
    <mergeCell ref="B4:F4"/>
    <mergeCell ref="B5:F5"/>
    <mergeCell ref="B6:F6"/>
    <mergeCell ref="B7:F7"/>
    <mergeCell ref="B8:F8"/>
    <mergeCell ref="A10:F10"/>
    <mergeCell ref="B11:F11"/>
    <mergeCell ref="B12:F12"/>
    <mergeCell ref="A14:F14"/>
    <mergeCell ref="A15:F15"/>
    <mergeCell ref="A16:F16"/>
    <mergeCell ref="A17:F17"/>
    <mergeCell ref="A18:F18"/>
    <mergeCell ref="A19:F19"/>
    <mergeCell ref="A20:F20"/>
    <mergeCell ref="A21:F21"/>
    <mergeCell ref="A22:F22"/>
    <mergeCell ref="A24:F24"/>
    <mergeCell ref="B25:F25"/>
    <mergeCell ref="B26:F26"/>
    <mergeCell ref="B27:F2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4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7" topLeftCell="C8" activePane="bottomRight" state="frozen"/>
      <selection pane="topLeft" activeCell="A1" activeCellId="0" sqref="A1"/>
      <selection pane="topRight" activeCell="C1" activeCellId="0" sqref="C1"/>
      <selection pane="bottomLeft" activeCell="A8" activeCellId="0" sqref="A8"/>
      <selection pane="bottomRight" activeCell="A1" activeCellId="0" sqref="A1"/>
    </sheetView>
  </sheetViews>
  <sheetFormatPr defaultColWidth="8.6796875" defaultRowHeight="15" zeroHeight="false" outlineLevelRow="0" outlineLevelCol="1"/>
  <cols>
    <col collapsed="false" customWidth="true" hidden="false" outlineLevel="0" max="1" min="1" style="0" width="12"/>
    <col collapsed="false" customWidth="true" hidden="false" outlineLevel="0" max="2" min="2" style="0" width="38"/>
    <col collapsed="false" customWidth="true" hidden="false" outlineLevel="0" max="7" min="3" style="0" width="16"/>
    <col collapsed="false" customWidth="true" hidden="false" outlineLevel="0" max="8" min="8" style="0" width="11"/>
    <col collapsed="false" customWidth="true" hidden="false" outlineLevel="0" max="9" min="9" style="0" width="32"/>
    <col collapsed="false" customWidth="true" hidden="true" outlineLevel="1" max="14" min="10" style="0" width="16"/>
  </cols>
  <sheetData>
    <row r="1" customFormat="false" ht="15" hidden="false" customHeight="true" outlineLevel="0" collapsed="false">
      <c r="A1" s="15" t="s">
        <v>41</v>
      </c>
      <c r="B1" s="15"/>
      <c r="C1" s="15"/>
      <c r="D1" s="15"/>
      <c r="E1" s="15"/>
      <c r="F1" s="15"/>
      <c r="G1" s="15"/>
      <c r="H1" s="15"/>
      <c r="I1" s="15"/>
      <c r="J1" s="15"/>
      <c r="K1" s="15"/>
      <c r="L1" s="15"/>
      <c r="M1" s="15"/>
      <c r="N1" s="15"/>
    </row>
    <row r="3" customFormat="false" ht="15" hidden="false" customHeight="true" outlineLevel="0" collapsed="false">
      <c r="A3" s="15" t="s">
        <v>42</v>
      </c>
      <c r="B3" s="15"/>
      <c r="C3" s="16" t="s">
        <v>43</v>
      </c>
      <c r="D3" s="16" t="s">
        <v>44</v>
      </c>
      <c r="E3" s="16" t="s">
        <v>45</v>
      </c>
      <c r="F3" s="16" t="s">
        <v>46</v>
      </c>
      <c r="G3" s="16" t="s">
        <v>47</v>
      </c>
      <c r="H3" s="16" t="s">
        <v>48</v>
      </c>
    </row>
    <row r="4" customFormat="false" ht="15" hidden="false" customHeight="true" outlineLevel="0" collapsed="false">
      <c r="A4" s="17" t="s">
        <v>49</v>
      </c>
      <c r="B4" s="17"/>
      <c r="C4" s="18" t="n">
        <f aca="false">C14+C21+C28+C36+C42+C48</f>
        <v>3589000</v>
      </c>
      <c r="D4" s="18" t="n">
        <f aca="false">D14+D21+D28+D36+D42+D48</f>
        <v>1897000</v>
      </c>
      <c r="E4" s="18" t="n">
        <f aca="false">E14+E21+E28+E36+E42+E48</f>
        <v>1185700</v>
      </c>
      <c r="F4" s="18" t="n">
        <f aca="false">F14+F21+F28+F36+F42+F48</f>
        <v>3082700</v>
      </c>
      <c r="G4" s="18" t="n">
        <f aca="false">G14+G21+G28+G36+G42+G48</f>
        <v>506300</v>
      </c>
      <c r="H4" s="19" t="n">
        <f aca="false">IFERROR(D4/C4,0)</f>
        <v>0.528559487322374</v>
      </c>
    </row>
    <row r="5" customFormat="false" ht="15" hidden="false" customHeight="false" outlineLevel="0" collapsed="false">
      <c r="A5" s="20"/>
      <c r="B5" s="20"/>
      <c r="C5" s="20"/>
      <c r="D5" s="20"/>
      <c r="E5" s="20"/>
      <c r="F5" s="20"/>
      <c r="G5" s="20"/>
      <c r="H5" s="20"/>
      <c r="I5" s="20"/>
      <c r="J5" s="20"/>
      <c r="K5" s="20"/>
      <c r="L5" s="20"/>
      <c r="M5" s="20"/>
      <c r="N5" s="20"/>
    </row>
    <row r="6" customFormat="false" ht="22.35" hidden="false" customHeight="true" outlineLevel="0" collapsed="false">
      <c r="A6" s="21"/>
      <c r="B6" s="21"/>
      <c r="C6" s="21"/>
      <c r="D6" s="21"/>
      <c r="E6" s="21"/>
      <c r="F6" s="21"/>
      <c r="G6" s="21"/>
      <c r="H6" s="21"/>
      <c r="I6" s="21"/>
      <c r="J6" s="22" t="s">
        <v>50</v>
      </c>
      <c r="K6" s="22"/>
      <c r="L6" s="22"/>
      <c r="M6" s="22"/>
      <c r="N6" s="22"/>
    </row>
    <row r="7" customFormat="false" ht="28.35" hidden="false" customHeight="false" outlineLevel="0" collapsed="false">
      <c r="A7" s="23" t="s">
        <v>51</v>
      </c>
      <c r="B7" s="23" t="s">
        <v>52</v>
      </c>
      <c r="C7" s="23" t="s">
        <v>43</v>
      </c>
      <c r="D7" s="23" t="s">
        <v>53</v>
      </c>
      <c r="E7" s="23" t="s">
        <v>54</v>
      </c>
      <c r="F7" s="23" t="s">
        <v>55</v>
      </c>
      <c r="G7" s="23" t="s">
        <v>47</v>
      </c>
      <c r="H7" s="23" t="s">
        <v>48</v>
      </c>
      <c r="I7" s="23" t="s">
        <v>56</v>
      </c>
      <c r="J7" s="23" t="s">
        <v>57</v>
      </c>
      <c r="K7" s="23" t="s">
        <v>58</v>
      </c>
      <c r="L7" s="23" t="s">
        <v>59</v>
      </c>
      <c r="M7" s="23" t="s">
        <v>60</v>
      </c>
      <c r="N7" s="23" t="s">
        <v>61</v>
      </c>
    </row>
    <row r="8" customFormat="false" ht="15" hidden="false" customHeight="true" outlineLevel="0" collapsed="false">
      <c r="A8" s="24" t="s">
        <v>62</v>
      </c>
      <c r="B8" s="24"/>
      <c r="C8" s="24"/>
      <c r="D8" s="24"/>
      <c r="E8" s="24"/>
      <c r="F8" s="24"/>
      <c r="G8" s="24"/>
      <c r="H8" s="24"/>
      <c r="I8" s="24"/>
      <c r="J8" s="24"/>
      <c r="K8" s="24"/>
      <c r="L8" s="24"/>
      <c r="M8" s="24"/>
      <c r="N8" s="24"/>
    </row>
    <row r="9" customFormat="false" ht="15" hidden="false" customHeight="false" outlineLevel="0" collapsed="false">
      <c r="A9" s="25" t="s">
        <v>63</v>
      </c>
      <c r="B9" s="26" t="s">
        <v>64</v>
      </c>
      <c r="C9" s="27" t="n">
        <v>85000</v>
      </c>
      <c r="D9" s="27" t="n">
        <v>78500</v>
      </c>
      <c r="E9" s="27" t="n">
        <v>4200</v>
      </c>
      <c r="F9" s="28" t="n">
        <f aca="false">D9+E9</f>
        <v>82700</v>
      </c>
      <c r="G9" s="29" t="n">
        <f aca="false">C9-F9</f>
        <v>2300</v>
      </c>
      <c r="H9" s="30" t="n">
        <f aca="false">IFERROR(D9/C9,0)</f>
        <v>0.923529411764706</v>
      </c>
      <c r="I9" s="26"/>
      <c r="J9" s="27"/>
      <c r="K9" s="31"/>
      <c r="L9" s="28" t="str">
        <f aca="false">IF(OR(J9&lt;&gt;"",K9&lt;&gt;""),J9+K9,"")</f>
        <v/>
      </c>
      <c r="M9" s="27"/>
      <c r="N9" s="25"/>
    </row>
    <row r="10" customFormat="false" ht="15" hidden="false" customHeight="false" outlineLevel="0" collapsed="false">
      <c r="A10" s="25" t="s">
        <v>65</v>
      </c>
      <c r="B10" s="26" t="s">
        <v>66</v>
      </c>
      <c r="C10" s="27" t="n">
        <v>320000</v>
      </c>
      <c r="D10" s="27" t="n">
        <v>195000</v>
      </c>
      <c r="E10" s="27" t="n">
        <v>125000</v>
      </c>
      <c r="F10" s="28" t="n">
        <f aca="false">D10+E10</f>
        <v>320000</v>
      </c>
      <c r="G10" s="29" t="n">
        <f aca="false">C10-F10</f>
        <v>0</v>
      </c>
      <c r="H10" s="30" t="n">
        <f aca="false">IFERROR(D10/C10,0)</f>
        <v>0.609375</v>
      </c>
      <c r="I10" s="26"/>
      <c r="J10" s="27"/>
      <c r="K10" s="31"/>
      <c r="L10" s="28" t="str">
        <f aca="false">IF(OR(J10&lt;&gt;"",K10&lt;&gt;""),J10+K10,"")</f>
        <v/>
      </c>
      <c r="M10" s="27"/>
      <c r="N10" s="25"/>
    </row>
    <row r="11" customFormat="false" ht="15" hidden="false" customHeight="false" outlineLevel="0" collapsed="false">
      <c r="A11" s="25" t="s">
        <v>67</v>
      </c>
      <c r="B11" s="26" t="s">
        <v>68</v>
      </c>
      <c r="C11" s="27" t="n">
        <v>45000</v>
      </c>
      <c r="D11" s="27" t="n">
        <v>32000</v>
      </c>
      <c r="E11" s="27" t="n">
        <v>10000</v>
      </c>
      <c r="F11" s="28" t="n">
        <f aca="false">D11+E11</f>
        <v>42000</v>
      </c>
      <c r="G11" s="29" t="n">
        <f aca="false">C11-F11</f>
        <v>3000</v>
      </c>
      <c r="H11" s="30" t="n">
        <f aca="false">IFERROR(D11/C11,0)</f>
        <v>0.711111111111111</v>
      </c>
      <c r="I11" s="26"/>
      <c r="J11" s="27"/>
      <c r="K11" s="31"/>
      <c r="L11" s="28" t="str">
        <f aca="false">IF(OR(J11&lt;&gt;"",K11&lt;&gt;""),J11+K11,"")</f>
        <v/>
      </c>
      <c r="M11" s="27"/>
      <c r="N11" s="25"/>
    </row>
    <row r="12" customFormat="false" ht="15" hidden="false" customHeight="false" outlineLevel="0" collapsed="false">
      <c r="A12" s="25" t="s">
        <v>69</v>
      </c>
      <c r="B12" s="26" t="s">
        <v>70</v>
      </c>
      <c r="C12" s="27" t="n">
        <v>28000</v>
      </c>
      <c r="D12" s="27" t="n">
        <v>26500</v>
      </c>
      <c r="E12" s="27" t="n">
        <v>0</v>
      </c>
      <c r="F12" s="28" t="n">
        <f aca="false">D12+E12</f>
        <v>26500</v>
      </c>
      <c r="G12" s="29" t="n">
        <f aca="false">C12-F12</f>
        <v>1500</v>
      </c>
      <c r="H12" s="30" t="n">
        <f aca="false">IFERROR(D12/C12,0)</f>
        <v>0.946428571428571</v>
      </c>
      <c r="I12" s="26"/>
      <c r="J12" s="27"/>
      <c r="K12" s="31"/>
      <c r="L12" s="28" t="str">
        <f aca="false">IF(OR(J12&lt;&gt;"",K12&lt;&gt;""),J12+K12,"")</f>
        <v/>
      </c>
      <c r="M12" s="27"/>
      <c r="N12" s="25"/>
    </row>
    <row r="13" customFormat="false" ht="15" hidden="false" customHeight="false" outlineLevel="0" collapsed="false">
      <c r="A13" s="25" t="s">
        <v>71</v>
      </c>
      <c r="B13" s="26" t="s">
        <v>72</v>
      </c>
      <c r="C13" s="27" t="n">
        <v>18000</v>
      </c>
      <c r="D13" s="27" t="n">
        <v>18000</v>
      </c>
      <c r="E13" s="27" t="n">
        <v>0</v>
      </c>
      <c r="F13" s="28" t="n">
        <f aca="false">D13+E13</f>
        <v>18000</v>
      </c>
      <c r="G13" s="29" t="n">
        <f aca="false">C13-F13</f>
        <v>0</v>
      </c>
      <c r="H13" s="30" t="n">
        <f aca="false">IFERROR(D13/C13,0)</f>
        <v>1</v>
      </c>
      <c r="I13" s="26"/>
      <c r="J13" s="27"/>
      <c r="K13" s="31"/>
      <c r="L13" s="28" t="str">
        <f aca="false">IF(OR(J13&lt;&gt;"",K13&lt;&gt;""),J13+K13,"")</f>
        <v/>
      </c>
      <c r="M13" s="27"/>
      <c r="N13" s="25"/>
    </row>
    <row r="14" customFormat="false" ht="15" hidden="false" customHeight="false" outlineLevel="0" collapsed="false">
      <c r="A14" s="32"/>
      <c r="B14" s="33" t="s">
        <v>73</v>
      </c>
      <c r="C14" s="34" t="n">
        <f aca="false">SUM(C9:C13)</f>
        <v>496000</v>
      </c>
      <c r="D14" s="34" t="n">
        <f aca="false">SUM(D9:D13)</f>
        <v>350000</v>
      </c>
      <c r="E14" s="34" t="n">
        <f aca="false">SUM(E9:E13)</f>
        <v>139200</v>
      </c>
      <c r="F14" s="34" t="n">
        <f aca="false">SUM(F9:F13)</f>
        <v>489200</v>
      </c>
      <c r="G14" s="34" t="n">
        <f aca="false">SUM(G9:G13)</f>
        <v>6800</v>
      </c>
      <c r="H14" s="35" t="n">
        <f aca="false">IFERROR(D14/C14,0)</f>
        <v>0.705645161290323</v>
      </c>
      <c r="I14" s="32"/>
      <c r="J14" s="34" t="n">
        <f aca="false">SUM(J9:J13)</f>
        <v>0</v>
      </c>
      <c r="K14" s="36" t="n">
        <f aca="false">SUM(K9:K13)</f>
        <v>0</v>
      </c>
      <c r="L14" s="34" t="n">
        <f aca="false">SUM(L9:L13)</f>
        <v>0</v>
      </c>
      <c r="M14" s="34" t="n">
        <f aca="false">SUM(M9:M13)</f>
        <v>0</v>
      </c>
      <c r="N14" s="32"/>
    </row>
    <row r="16" customFormat="false" ht="15" hidden="false" customHeight="true" outlineLevel="0" collapsed="false">
      <c r="A16" s="24" t="s">
        <v>74</v>
      </c>
      <c r="B16" s="24"/>
      <c r="C16" s="24"/>
      <c r="D16" s="24"/>
      <c r="E16" s="24"/>
      <c r="F16" s="24"/>
      <c r="G16" s="24"/>
      <c r="H16" s="24"/>
      <c r="I16" s="24"/>
      <c r="J16" s="24"/>
      <c r="K16" s="24"/>
      <c r="L16" s="24"/>
      <c r="M16" s="24"/>
      <c r="N16" s="24"/>
    </row>
    <row r="17" customFormat="false" ht="15" hidden="false" customHeight="false" outlineLevel="0" collapsed="false">
      <c r="A17" s="25" t="s">
        <v>75</v>
      </c>
      <c r="B17" s="26" t="s">
        <v>76</v>
      </c>
      <c r="C17" s="27" t="n">
        <v>150000</v>
      </c>
      <c r="D17" s="27" t="n">
        <v>142000</v>
      </c>
      <c r="E17" s="27" t="n">
        <v>5000</v>
      </c>
      <c r="F17" s="28" t="n">
        <f aca="false">D17+E17</f>
        <v>147000</v>
      </c>
      <c r="G17" s="29" t="n">
        <f aca="false">C17-F17</f>
        <v>3000</v>
      </c>
      <c r="H17" s="30" t="n">
        <f aca="false">IFERROR(D17/C17,0)</f>
        <v>0.946666666666667</v>
      </c>
      <c r="I17" s="26"/>
      <c r="J17" s="27"/>
      <c r="K17" s="31"/>
      <c r="L17" s="28" t="str">
        <f aca="false">IF(OR(J17&lt;&gt;"",K17&lt;&gt;""),J17+K17,"")</f>
        <v/>
      </c>
      <c r="M17" s="27"/>
      <c r="N17" s="25"/>
    </row>
    <row r="18" customFormat="false" ht="15" hidden="false" customHeight="false" outlineLevel="0" collapsed="false">
      <c r="A18" s="25" t="s">
        <v>77</v>
      </c>
      <c r="B18" s="26" t="s">
        <v>78</v>
      </c>
      <c r="C18" s="27" t="n">
        <v>280000</v>
      </c>
      <c r="D18" s="27" t="n">
        <v>275000</v>
      </c>
      <c r="E18" s="27" t="n">
        <v>0</v>
      </c>
      <c r="F18" s="28" t="n">
        <f aca="false">D18+E18</f>
        <v>275000</v>
      </c>
      <c r="G18" s="29" t="n">
        <f aca="false">C18-F18</f>
        <v>5000</v>
      </c>
      <c r="H18" s="30" t="n">
        <f aca="false">IFERROR(D18/C18,0)</f>
        <v>0.982142857142857</v>
      </c>
      <c r="I18" s="26"/>
      <c r="J18" s="27"/>
      <c r="K18" s="31"/>
      <c r="L18" s="28" t="str">
        <f aca="false">IF(OR(J18&lt;&gt;"",K18&lt;&gt;""),J18+K18,"")</f>
        <v/>
      </c>
      <c r="M18" s="27"/>
      <c r="N18" s="25"/>
    </row>
    <row r="19" customFormat="false" ht="15" hidden="false" customHeight="false" outlineLevel="0" collapsed="false">
      <c r="A19" s="25" t="s">
        <v>79</v>
      </c>
      <c r="B19" s="26" t="s">
        <v>80</v>
      </c>
      <c r="C19" s="27" t="n">
        <v>95000</v>
      </c>
      <c r="D19" s="27" t="n">
        <v>88000</v>
      </c>
      <c r="E19" s="27" t="n">
        <v>3500</v>
      </c>
      <c r="F19" s="28" t="n">
        <f aca="false">D19+E19</f>
        <v>91500</v>
      </c>
      <c r="G19" s="29" t="n">
        <f aca="false">C19-F19</f>
        <v>3500</v>
      </c>
      <c r="H19" s="30" t="n">
        <f aca="false">IFERROR(D19/C19,0)</f>
        <v>0.926315789473684</v>
      </c>
      <c r="I19" s="26"/>
      <c r="J19" s="27"/>
      <c r="K19" s="31"/>
      <c r="L19" s="28" t="str">
        <f aca="false">IF(OR(J19&lt;&gt;"",K19&lt;&gt;""),J19+K19,"")</f>
        <v/>
      </c>
      <c r="M19" s="27"/>
      <c r="N19" s="25"/>
    </row>
    <row r="20" customFormat="false" ht="15" hidden="false" customHeight="false" outlineLevel="0" collapsed="false">
      <c r="A20" s="25" t="s">
        <v>81</v>
      </c>
      <c r="B20" s="26" t="s">
        <v>82</v>
      </c>
      <c r="C20" s="27" t="n">
        <v>65000</v>
      </c>
      <c r="D20" s="27" t="n">
        <v>48000</v>
      </c>
      <c r="E20" s="27" t="n">
        <v>12000</v>
      </c>
      <c r="F20" s="28" t="n">
        <f aca="false">D20+E20</f>
        <v>60000</v>
      </c>
      <c r="G20" s="29" t="n">
        <f aca="false">C20-F20</f>
        <v>5000</v>
      </c>
      <c r="H20" s="30" t="n">
        <f aca="false">IFERROR(D20/C20,0)</f>
        <v>0.738461538461539</v>
      </c>
      <c r="I20" s="26"/>
      <c r="J20" s="27"/>
      <c r="K20" s="31"/>
      <c r="L20" s="28" t="str">
        <f aca="false">IF(OR(J20&lt;&gt;"",K20&lt;&gt;""),J20+K20,"")</f>
        <v/>
      </c>
      <c r="M20" s="27"/>
      <c r="N20" s="25"/>
    </row>
    <row r="21" customFormat="false" ht="15" hidden="false" customHeight="false" outlineLevel="0" collapsed="false">
      <c r="A21" s="32"/>
      <c r="B21" s="33" t="s">
        <v>83</v>
      </c>
      <c r="C21" s="34" t="n">
        <f aca="false">SUM(C17:C20)</f>
        <v>590000</v>
      </c>
      <c r="D21" s="34" t="n">
        <f aca="false">SUM(D17:D20)</f>
        <v>553000</v>
      </c>
      <c r="E21" s="34" t="n">
        <f aca="false">SUM(E17:E20)</f>
        <v>20500</v>
      </c>
      <c r="F21" s="34" t="n">
        <f aca="false">SUM(F17:F20)</f>
        <v>573500</v>
      </c>
      <c r="G21" s="34" t="n">
        <f aca="false">SUM(G17:G20)</f>
        <v>16500</v>
      </c>
      <c r="H21" s="35" t="n">
        <f aca="false">IFERROR(D21/C21,0)</f>
        <v>0.93728813559322</v>
      </c>
      <c r="I21" s="32"/>
      <c r="J21" s="34" t="n">
        <f aca="false">SUM(J17:J20)</f>
        <v>0</v>
      </c>
      <c r="K21" s="36" t="n">
        <f aca="false">SUM(K17:K20)</f>
        <v>0</v>
      </c>
      <c r="L21" s="34" t="n">
        <f aca="false">SUM(L17:L20)</f>
        <v>0</v>
      </c>
      <c r="M21" s="34" t="n">
        <f aca="false">SUM(M17:M20)</f>
        <v>0</v>
      </c>
      <c r="N21" s="32"/>
    </row>
    <row r="23" customFormat="false" ht="15" hidden="false" customHeight="true" outlineLevel="0" collapsed="false">
      <c r="A23" s="24" t="s">
        <v>84</v>
      </c>
      <c r="B23" s="24"/>
      <c r="C23" s="24"/>
      <c r="D23" s="24"/>
      <c r="E23" s="24"/>
      <c r="F23" s="24"/>
      <c r="G23" s="24"/>
      <c r="H23" s="24"/>
      <c r="I23" s="24"/>
      <c r="J23" s="24"/>
      <c r="K23" s="24"/>
      <c r="L23" s="24"/>
      <c r="M23" s="24"/>
      <c r="N23" s="24"/>
    </row>
    <row r="24" customFormat="false" ht="15" hidden="false" customHeight="false" outlineLevel="0" collapsed="false">
      <c r="A24" s="25" t="s">
        <v>85</v>
      </c>
      <c r="B24" s="26" t="s">
        <v>86</v>
      </c>
      <c r="C24" s="27" t="n">
        <v>520000</v>
      </c>
      <c r="D24" s="27" t="n">
        <v>380000</v>
      </c>
      <c r="E24" s="27" t="n">
        <v>140000</v>
      </c>
      <c r="F24" s="28" t="n">
        <f aca="false">D24+E24</f>
        <v>520000</v>
      </c>
      <c r="G24" s="29" t="n">
        <f aca="false">C24-F24</f>
        <v>0</v>
      </c>
      <c r="H24" s="30" t="n">
        <f aca="false">IFERROR(D24/C24,0)</f>
        <v>0.730769230769231</v>
      </c>
      <c r="I24" s="26"/>
      <c r="J24" s="27"/>
      <c r="K24" s="31"/>
      <c r="L24" s="28" t="str">
        <f aca="false">IF(OR(J24&lt;&gt;"",K24&lt;&gt;""),J24+K24,"")</f>
        <v/>
      </c>
      <c r="M24" s="27"/>
      <c r="N24" s="25"/>
    </row>
    <row r="25" customFormat="false" ht="15" hidden="false" customHeight="false" outlineLevel="0" collapsed="false">
      <c r="A25" s="25" t="s">
        <v>87</v>
      </c>
      <c r="B25" s="26" t="s">
        <v>88</v>
      </c>
      <c r="C25" s="27" t="n">
        <v>210000</v>
      </c>
      <c r="D25" s="27" t="n">
        <v>205000</v>
      </c>
      <c r="E25" s="27" t="n">
        <v>0</v>
      </c>
      <c r="F25" s="28" t="n">
        <f aca="false">D25+E25</f>
        <v>205000</v>
      </c>
      <c r="G25" s="29" t="n">
        <f aca="false">C25-F25</f>
        <v>5000</v>
      </c>
      <c r="H25" s="30" t="n">
        <f aca="false">IFERROR(D25/C25,0)</f>
        <v>0.976190476190476</v>
      </c>
      <c r="I25" s="26"/>
      <c r="J25" s="27"/>
      <c r="K25" s="31"/>
      <c r="L25" s="28" t="str">
        <f aca="false">IF(OR(J25&lt;&gt;"",K25&lt;&gt;""),J25+K25,"")</f>
        <v/>
      </c>
      <c r="M25" s="27"/>
      <c r="N25" s="25"/>
    </row>
    <row r="26" customFormat="false" ht="15" hidden="false" customHeight="false" outlineLevel="0" collapsed="false">
      <c r="A26" s="25" t="s">
        <v>89</v>
      </c>
      <c r="B26" s="26" t="s">
        <v>90</v>
      </c>
      <c r="C26" s="27" t="n">
        <v>175000</v>
      </c>
      <c r="D26" s="27" t="n">
        <v>92000</v>
      </c>
      <c r="E26" s="27" t="n">
        <v>78000</v>
      </c>
      <c r="F26" s="28" t="n">
        <f aca="false">D26+E26</f>
        <v>170000</v>
      </c>
      <c r="G26" s="29" t="n">
        <f aca="false">C26-F26</f>
        <v>5000</v>
      </c>
      <c r="H26" s="30" t="n">
        <f aca="false">IFERROR(D26/C26,0)</f>
        <v>0.525714285714286</v>
      </c>
      <c r="I26" s="26"/>
      <c r="J26" s="27"/>
      <c r="K26" s="31"/>
      <c r="L26" s="28" t="str">
        <f aca="false">IF(OR(J26&lt;&gt;"",K26&lt;&gt;""),J26+K26,"")</f>
        <v/>
      </c>
      <c r="M26" s="27"/>
      <c r="N26" s="25"/>
    </row>
    <row r="27" customFormat="false" ht="15" hidden="false" customHeight="false" outlineLevel="0" collapsed="false">
      <c r="A27" s="25" t="s">
        <v>91</v>
      </c>
      <c r="B27" s="26" t="s">
        <v>92</v>
      </c>
      <c r="C27" s="27" t="n">
        <v>140000</v>
      </c>
      <c r="D27" s="27" t="n">
        <v>25000</v>
      </c>
      <c r="E27" s="27" t="n">
        <v>110000</v>
      </c>
      <c r="F27" s="28" t="n">
        <f aca="false">D27+E27</f>
        <v>135000</v>
      </c>
      <c r="G27" s="29" t="n">
        <f aca="false">C27-F27</f>
        <v>5000</v>
      </c>
      <c r="H27" s="30" t="n">
        <f aca="false">IFERROR(D27/C27,0)</f>
        <v>0.178571428571429</v>
      </c>
      <c r="I27" s="26"/>
      <c r="J27" s="27"/>
      <c r="K27" s="31"/>
      <c r="L27" s="28" t="str">
        <f aca="false">IF(OR(J27&lt;&gt;"",K27&lt;&gt;""),J27+K27,"")</f>
        <v/>
      </c>
      <c r="M27" s="27"/>
      <c r="N27" s="25"/>
    </row>
    <row r="28" customFormat="false" ht="15" hidden="false" customHeight="false" outlineLevel="0" collapsed="false">
      <c r="A28" s="32"/>
      <c r="B28" s="33" t="s">
        <v>93</v>
      </c>
      <c r="C28" s="34" t="n">
        <f aca="false">SUM(C24:C27)</f>
        <v>1045000</v>
      </c>
      <c r="D28" s="34" t="n">
        <f aca="false">SUM(D24:D27)</f>
        <v>702000</v>
      </c>
      <c r="E28" s="34" t="n">
        <f aca="false">SUM(E24:E27)</f>
        <v>328000</v>
      </c>
      <c r="F28" s="34" t="n">
        <f aca="false">SUM(F24:F27)</f>
        <v>1030000</v>
      </c>
      <c r="G28" s="34" t="n">
        <f aca="false">SUM(G24:G27)</f>
        <v>15000</v>
      </c>
      <c r="H28" s="35" t="n">
        <f aca="false">IFERROR(D28/C28,0)</f>
        <v>0.67177033492823</v>
      </c>
      <c r="I28" s="32"/>
      <c r="J28" s="34" t="n">
        <f aca="false">SUM(J24:J27)</f>
        <v>0</v>
      </c>
      <c r="K28" s="36" t="n">
        <f aca="false">SUM(K24:K27)</f>
        <v>0</v>
      </c>
      <c r="L28" s="34" t="n">
        <f aca="false">SUM(L24:L27)</f>
        <v>0</v>
      </c>
      <c r="M28" s="34" t="n">
        <f aca="false">SUM(M24:M27)</f>
        <v>0</v>
      </c>
      <c r="N28" s="32"/>
    </row>
    <row r="30" customFormat="false" ht="15" hidden="false" customHeight="true" outlineLevel="0" collapsed="false">
      <c r="A30" s="24" t="s">
        <v>94</v>
      </c>
      <c r="B30" s="24"/>
      <c r="C30" s="24"/>
      <c r="D30" s="24"/>
      <c r="E30" s="24"/>
      <c r="F30" s="24"/>
      <c r="G30" s="24"/>
      <c r="H30" s="24"/>
      <c r="I30" s="24"/>
      <c r="J30" s="24"/>
      <c r="K30" s="24"/>
      <c r="L30" s="24"/>
      <c r="M30" s="24"/>
      <c r="N30" s="24"/>
    </row>
    <row r="31" customFormat="false" ht="15" hidden="false" customHeight="false" outlineLevel="0" collapsed="false">
      <c r="A31" s="25" t="s">
        <v>95</v>
      </c>
      <c r="B31" s="26" t="s">
        <v>96</v>
      </c>
      <c r="C31" s="27" t="n">
        <v>310000</v>
      </c>
      <c r="D31" s="27" t="n">
        <v>85000</v>
      </c>
      <c r="E31" s="27" t="n">
        <v>200000</v>
      </c>
      <c r="F31" s="28" t="n">
        <f aca="false">D31+E31</f>
        <v>285000</v>
      </c>
      <c r="G31" s="29" t="n">
        <f aca="false">C31-F31</f>
        <v>25000</v>
      </c>
      <c r="H31" s="30" t="n">
        <f aca="false">IFERROR(D31/C31,0)</f>
        <v>0.274193548387097</v>
      </c>
      <c r="I31" s="26"/>
      <c r="J31" s="27"/>
      <c r="K31" s="31"/>
      <c r="L31" s="28" t="str">
        <f aca="false">IF(OR(J31&lt;&gt;"",K31&lt;&gt;""),J31+K31,"")</f>
        <v/>
      </c>
      <c r="M31" s="27"/>
      <c r="N31" s="25"/>
    </row>
    <row r="32" customFormat="false" ht="15" hidden="false" customHeight="false" outlineLevel="0" collapsed="false">
      <c r="A32" s="25" t="s">
        <v>97</v>
      </c>
      <c r="B32" s="26" t="s">
        <v>98</v>
      </c>
      <c r="C32" s="27" t="n">
        <v>280000</v>
      </c>
      <c r="D32" s="27" t="n">
        <v>95000</v>
      </c>
      <c r="E32" s="27" t="n">
        <v>160000</v>
      </c>
      <c r="F32" s="28" t="n">
        <f aca="false">D32+E32</f>
        <v>255000</v>
      </c>
      <c r="G32" s="29" t="n">
        <f aca="false">C32-F32</f>
        <v>25000</v>
      </c>
      <c r="H32" s="30" t="n">
        <f aca="false">IFERROR(D32/C32,0)</f>
        <v>0.339285714285714</v>
      </c>
      <c r="I32" s="26"/>
      <c r="J32" s="27"/>
      <c r="K32" s="31"/>
      <c r="L32" s="28" t="str">
        <f aca="false">IF(OR(J32&lt;&gt;"",K32&lt;&gt;""),J32+K32,"")</f>
        <v/>
      </c>
      <c r="M32" s="27"/>
      <c r="N32" s="25"/>
    </row>
    <row r="33" customFormat="false" ht="15" hidden="false" customHeight="false" outlineLevel="0" collapsed="false">
      <c r="A33" s="25" t="s">
        <v>99</v>
      </c>
      <c r="B33" s="26" t="s">
        <v>100</v>
      </c>
      <c r="C33" s="27" t="n">
        <v>120000</v>
      </c>
      <c r="D33" s="27" t="n">
        <v>35000</v>
      </c>
      <c r="E33" s="27" t="n">
        <v>75000</v>
      </c>
      <c r="F33" s="28" t="n">
        <f aca="false">D33+E33</f>
        <v>110000</v>
      </c>
      <c r="G33" s="29" t="n">
        <f aca="false">C33-F33</f>
        <v>10000</v>
      </c>
      <c r="H33" s="30" t="n">
        <f aca="false">IFERROR(D33/C33,0)</f>
        <v>0.291666666666667</v>
      </c>
      <c r="I33" s="26"/>
      <c r="J33" s="27"/>
      <c r="K33" s="31"/>
      <c r="L33" s="28" t="str">
        <f aca="false">IF(OR(J33&lt;&gt;"",K33&lt;&gt;""),J33+K33,"")</f>
        <v/>
      </c>
      <c r="M33" s="27"/>
      <c r="N33" s="25"/>
    </row>
    <row r="34" customFormat="false" ht="15" hidden="false" customHeight="false" outlineLevel="0" collapsed="false">
      <c r="A34" s="25" t="s">
        <v>101</v>
      </c>
      <c r="B34" s="26" t="s">
        <v>102</v>
      </c>
      <c r="C34" s="27" t="n">
        <v>65000</v>
      </c>
      <c r="D34" s="27" t="n">
        <v>12000</v>
      </c>
      <c r="E34" s="27" t="n">
        <v>48000</v>
      </c>
      <c r="F34" s="28" t="n">
        <f aca="false">D34+E34</f>
        <v>60000</v>
      </c>
      <c r="G34" s="29" t="n">
        <f aca="false">C34-F34</f>
        <v>5000</v>
      </c>
      <c r="H34" s="30" t="n">
        <f aca="false">IFERROR(D34/C34,0)</f>
        <v>0.184615384615385</v>
      </c>
      <c r="I34" s="26"/>
      <c r="J34" s="27"/>
      <c r="K34" s="31"/>
      <c r="L34" s="28" t="str">
        <f aca="false">IF(OR(J34&lt;&gt;"",K34&lt;&gt;""),J34+K34,"")</f>
        <v/>
      </c>
      <c r="M34" s="27"/>
      <c r="N34" s="25"/>
    </row>
    <row r="35" customFormat="false" ht="15" hidden="false" customHeight="false" outlineLevel="0" collapsed="false">
      <c r="A35" s="25" t="s">
        <v>103</v>
      </c>
      <c r="B35" s="26" t="s">
        <v>104</v>
      </c>
      <c r="C35" s="27" t="n">
        <v>90000</v>
      </c>
      <c r="D35" s="27" t="n">
        <v>8000</v>
      </c>
      <c r="E35" s="27" t="n">
        <v>75000</v>
      </c>
      <c r="F35" s="28" t="n">
        <f aca="false">D35+E35</f>
        <v>83000</v>
      </c>
      <c r="G35" s="29" t="n">
        <f aca="false">C35-F35</f>
        <v>7000</v>
      </c>
      <c r="H35" s="30" t="n">
        <f aca="false">IFERROR(D35/C35,0)</f>
        <v>0.0888888888888889</v>
      </c>
      <c r="I35" s="26"/>
      <c r="J35" s="27"/>
      <c r="K35" s="31"/>
      <c r="L35" s="28" t="str">
        <f aca="false">IF(OR(J35&lt;&gt;"",K35&lt;&gt;""),J35+K35,"")</f>
        <v/>
      </c>
      <c r="M35" s="27"/>
      <c r="N35" s="25"/>
    </row>
    <row r="36" customFormat="false" ht="15" hidden="false" customHeight="false" outlineLevel="0" collapsed="false">
      <c r="A36" s="32"/>
      <c r="B36" s="33" t="s">
        <v>105</v>
      </c>
      <c r="C36" s="34" t="n">
        <f aca="false">SUM(C31:C35)</f>
        <v>865000</v>
      </c>
      <c r="D36" s="34" t="n">
        <f aca="false">SUM(D31:D35)</f>
        <v>235000</v>
      </c>
      <c r="E36" s="34" t="n">
        <f aca="false">SUM(E31:E35)</f>
        <v>558000</v>
      </c>
      <c r="F36" s="34" t="n">
        <f aca="false">SUM(F31:F35)</f>
        <v>793000</v>
      </c>
      <c r="G36" s="34" t="n">
        <f aca="false">SUM(G31:G35)</f>
        <v>72000</v>
      </c>
      <c r="H36" s="35" t="n">
        <f aca="false">IFERROR(D36/C36,0)</f>
        <v>0.271676300578035</v>
      </c>
      <c r="I36" s="32"/>
      <c r="J36" s="34" t="n">
        <f aca="false">SUM(J31:J35)</f>
        <v>0</v>
      </c>
      <c r="K36" s="36" t="n">
        <f aca="false">SUM(K31:K35)</f>
        <v>0</v>
      </c>
      <c r="L36" s="34" t="n">
        <f aca="false">SUM(L31:L35)</f>
        <v>0</v>
      </c>
      <c r="M36" s="34" t="n">
        <f aca="false">SUM(M31:M35)</f>
        <v>0</v>
      </c>
      <c r="N36" s="32"/>
    </row>
    <row r="38" customFormat="false" ht="15" hidden="false" customHeight="true" outlineLevel="0" collapsed="false">
      <c r="A38" s="24" t="s">
        <v>106</v>
      </c>
      <c r="B38" s="24"/>
      <c r="C38" s="24"/>
      <c r="D38" s="24"/>
      <c r="E38" s="24"/>
      <c r="F38" s="24"/>
      <c r="G38" s="24"/>
      <c r="H38" s="24"/>
      <c r="I38" s="24"/>
      <c r="J38" s="24"/>
      <c r="K38" s="24"/>
      <c r="L38" s="24"/>
      <c r="M38" s="24"/>
      <c r="N38" s="24"/>
    </row>
    <row r="39" customFormat="false" ht="15" hidden="false" customHeight="false" outlineLevel="0" collapsed="false">
      <c r="A39" s="25" t="s">
        <v>107</v>
      </c>
      <c r="B39" s="26" t="s">
        <v>108</v>
      </c>
      <c r="C39" s="27" t="n">
        <v>95000</v>
      </c>
      <c r="D39" s="27" t="n">
        <v>0</v>
      </c>
      <c r="E39" s="27" t="n">
        <v>85000</v>
      </c>
      <c r="F39" s="28" t="n">
        <f aca="false">D39+E39</f>
        <v>85000</v>
      </c>
      <c r="G39" s="29" t="n">
        <f aca="false">C39-F39</f>
        <v>10000</v>
      </c>
      <c r="H39" s="30" t="n">
        <f aca="false">IFERROR(D39/C39,0)</f>
        <v>0</v>
      </c>
      <c r="I39" s="26"/>
      <c r="J39" s="27"/>
      <c r="K39" s="31"/>
      <c r="L39" s="28" t="str">
        <f aca="false">IF(OR(J39&lt;&gt;"",K39&lt;&gt;""),J39+K39,"")</f>
        <v/>
      </c>
      <c r="M39" s="27"/>
      <c r="N39" s="25"/>
    </row>
    <row r="40" customFormat="false" ht="15" hidden="false" customHeight="false" outlineLevel="0" collapsed="false">
      <c r="A40" s="25" t="s">
        <v>109</v>
      </c>
      <c r="B40" s="26" t="s">
        <v>110</v>
      </c>
      <c r="C40" s="27" t="n">
        <v>45000</v>
      </c>
      <c r="D40" s="27" t="n">
        <v>0</v>
      </c>
      <c r="E40" s="27" t="n">
        <v>0</v>
      </c>
      <c r="F40" s="28" t="n">
        <f aca="false">D40+E40</f>
        <v>0</v>
      </c>
      <c r="G40" s="29" t="n">
        <f aca="false">C40-F40</f>
        <v>45000</v>
      </c>
      <c r="H40" s="30" t="n">
        <f aca="false">IFERROR(D40/C40,0)</f>
        <v>0</v>
      </c>
      <c r="I40" s="26"/>
      <c r="J40" s="27"/>
      <c r="K40" s="31"/>
      <c r="L40" s="28" t="str">
        <f aca="false">IF(OR(J40&lt;&gt;"",K40&lt;&gt;""),J40+K40,"")</f>
        <v/>
      </c>
      <c r="M40" s="27"/>
      <c r="N40" s="25"/>
    </row>
    <row r="41" customFormat="false" ht="15" hidden="false" customHeight="false" outlineLevel="0" collapsed="false">
      <c r="A41" s="25" t="s">
        <v>111</v>
      </c>
      <c r="B41" s="26" t="s">
        <v>112</v>
      </c>
      <c r="C41" s="27" t="n">
        <v>78000</v>
      </c>
      <c r="D41" s="27" t="n">
        <v>15000</v>
      </c>
      <c r="E41" s="27" t="n">
        <v>55000</v>
      </c>
      <c r="F41" s="28" t="n">
        <f aca="false">D41+E41</f>
        <v>70000</v>
      </c>
      <c r="G41" s="29" t="n">
        <f aca="false">C41-F41</f>
        <v>8000</v>
      </c>
      <c r="H41" s="30" t="n">
        <f aca="false">IFERROR(D41/C41,0)</f>
        <v>0.192307692307692</v>
      </c>
      <c r="I41" s="26"/>
      <c r="J41" s="27"/>
      <c r="K41" s="31"/>
      <c r="L41" s="28" t="str">
        <f aca="false">IF(OR(J41&lt;&gt;"",K41&lt;&gt;""),J41+K41,"")</f>
        <v/>
      </c>
      <c r="M41" s="27"/>
      <c r="N41" s="25"/>
    </row>
    <row r="42" customFormat="false" ht="15" hidden="false" customHeight="false" outlineLevel="0" collapsed="false">
      <c r="A42" s="32"/>
      <c r="B42" s="33" t="s">
        <v>113</v>
      </c>
      <c r="C42" s="34" t="n">
        <f aca="false">SUM(C39:C41)</f>
        <v>218000</v>
      </c>
      <c r="D42" s="34" t="n">
        <f aca="false">SUM(D39:D41)</f>
        <v>15000</v>
      </c>
      <c r="E42" s="34" t="n">
        <f aca="false">SUM(E39:E41)</f>
        <v>140000</v>
      </c>
      <c r="F42" s="34" t="n">
        <f aca="false">SUM(F39:F41)</f>
        <v>155000</v>
      </c>
      <c r="G42" s="34" t="n">
        <f aca="false">SUM(G39:G41)</f>
        <v>63000</v>
      </c>
      <c r="H42" s="35" t="n">
        <f aca="false">IFERROR(D42/C42,0)</f>
        <v>0.0688073394495413</v>
      </c>
      <c r="I42" s="32"/>
      <c r="J42" s="34" t="n">
        <f aca="false">SUM(J39:J41)</f>
        <v>0</v>
      </c>
      <c r="K42" s="36" t="n">
        <f aca="false">SUM(K39:K41)</f>
        <v>0</v>
      </c>
      <c r="L42" s="34" t="n">
        <f aca="false">SUM(L39:L41)</f>
        <v>0</v>
      </c>
      <c r="M42" s="34" t="n">
        <f aca="false">SUM(M39:M41)</f>
        <v>0</v>
      </c>
      <c r="N42" s="32"/>
    </row>
    <row r="44" customFormat="false" ht="15" hidden="false" customHeight="true" outlineLevel="0" collapsed="false">
      <c r="A44" s="24" t="s">
        <v>114</v>
      </c>
      <c r="B44" s="24"/>
      <c r="C44" s="24"/>
      <c r="D44" s="24"/>
      <c r="E44" s="24"/>
      <c r="F44" s="24"/>
      <c r="G44" s="24"/>
      <c r="H44" s="24"/>
      <c r="I44" s="24"/>
      <c r="J44" s="24"/>
      <c r="K44" s="24"/>
      <c r="L44" s="24"/>
      <c r="M44" s="24"/>
      <c r="N44" s="24"/>
    </row>
    <row r="45" customFormat="false" ht="15" hidden="false" customHeight="false" outlineLevel="0" collapsed="false">
      <c r="A45" s="25" t="s">
        <v>115</v>
      </c>
      <c r="B45" s="26" t="s">
        <v>116</v>
      </c>
      <c r="C45" s="27" t="n">
        <v>120000</v>
      </c>
      <c r="D45" s="27" t="n">
        <v>0</v>
      </c>
      <c r="E45" s="27" t="n">
        <v>0</v>
      </c>
      <c r="F45" s="28" t="n">
        <f aca="false">D45+E45</f>
        <v>0</v>
      </c>
      <c r="G45" s="29" t="n">
        <f aca="false">C45-F45</f>
        <v>120000</v>
      </c>
      <c r="H45" s="30" t="n">
        <f aca="false">IFERROR(D45/C45,0)</f>
        <v>0</v>
      </c>
      <c r="I45" s="26"/>
      <c r="J45" s="27"/>
      <c r="K45" s="31"/>
      <c r="L45" s="28" t="str">
        <f aca="false">IF(OR(J45&lt;&gt;"",K45&lt;&gt;""),J45+K45,"")</f>
        <v/>
      </c>
      <c r="M45" s="27"/>
      <c r="N45" s="25"/>
    </row>
    <row r="46" customFormat="false" ht="15" hidden="false" customHeight="false" outlineLevel="0" collapsed="false">
      <c r="A46" s="25" t="s">
        <v>117</v>
      </c>
      <c r="B46" s="26" t="s">
        <v>118</v>
      </c>
      <c r="C46" s="27" t="n">
        <v>180000</v>
      </c>
      <c r="D46" s="27" t="n">
        <v>42000</v>
      </c>
      <c r="E46" s="27" t="n">
        <v>0</v>
      </c>
      <c r="F46" s="28" t="n">
        <f aca="false">D46+E46</f>
        <v>42000</v>
      </c>
      <c r="G46" s="29" t="n">
        <f aca="false">C46-F46</f>
        <v>138000</v>
      </c>
      <c r="H46" s="30" t="n">
        <f aca="false">IFERROR(D46/C46,0)</f>
        <v>0.233333333333333</v>
      </c>
      <c r="I46" s="26"/>
      <c r="J46" s="27"/>
      <c r="K46" s="31"/>
      <c r="L46" s="28" t="str">
        <f aca="false">IF(OR(J46&lt;&gt;"",K46&lt;&gt;""),J46+K46,"")</f>
        <v/>
      </c>
      <c r="M46" s="27"/>
      <c r="N46" s="25"/>
    </row>
    <row r="47" customFormat="false" ht="15" hidden="false" customHeight="false" outlineLevel="0" collapsed="false">
      <c r="A47" s="25" t="s">
        <v>119</v>
      </c>
      <c r="B47" s="26" t="s">
        <v>120</v>
      </c>
      <c r="C47" s="27" t="n">
        <v>75000</v>
      </c>
      <c r="D47" s="27" t="n">
        <v>0</v>
      </c>
      <c r="E47" s="27" t="n">
        <v>0</v>
      </c>
      <c r="F47" s="28" t="n">
        <f aca="false">D47+E47</f>
        <v>0</v>
      </c>
      <c r="G47" s="29" t="n">
        <f aca="false">C47-F47</f>
        <v>75000</v>
      </c>
      <c r="H47" s="30" t="n">
        <f aca="false">IFERROR(D47/C47,0)</f>
        <v>0</v>
      </c>
      <c r="I47" s="26"/>
      <c r="J47" s="27"/>
      <c r="K47" s="31"/>
      <c r="L47" s="28" t="str">
        <f aca="false">IF(OR(J47&lt;&gt;"",K47&lt;&gt;""),J47+K47,"")</f>
        <v/>
      </c>
      <c r="M47" s="27"/>
      <c r="N47" s="25"/>
    </row>
    <row r="48" customFormat="false" ht="15" hidden="false" customHeight="false" outlineLevel="0" collapsed="false">
      <c r="A48" s="32"/>
      <c r="B48" s="33" t="s">
        <v>121</v>
      </c>
      <c r="C48" s="34" t="n">
        <f aca="false">SUM(C45:C47)</f>
        <v>375000</v>
      </c>
      <c r="D48" s="34" t="n">
        <f aca="false">SUM(D45:D47)</f>
        <v>42000</v>
      </c>
      <c r="E48" s="34" t="n">
        <f aca="false">SUM(E45:E47)</f>
        <v>0</v>
      </c>
      <c r="F48" s="34" t="n">
        <f aca="false">SUM(F45:F47)</f>
        <v>42000</v>
      </c>
      <c r="G48" s="34" t="n">
        <f aca="false">SUM(G45:G47)</f>
        <v>333000</v>
      </c>
      <c r="H48" s="35" t="n">
        <f aca="false">IFERROR(D48/C48,0)</f>
        <v>0.112</v>
      </c>
      <c r="I48" s="32"/>
      <c r="J48" s="34" t="n">
        <f aca="false">SUM(J45:J47)</f>
        <v>0</v>
      </c>
      <c r="K48" s="36" t="n">
        <f aca="false">SUM(K45:K47)</f>
        <v>0</v>
      </c>
      <c r="L48" s="34" t="n">
        <f aca="false">SUM(L45:L47)</f>
        <v>0</v>
      </c>
      <c r="M48" s="34" t="n">
        <f aca="false">SUM(M45:M47)</f>
        <v>0</v>
      </c>
      <c r="N48" s="32"/>
    </row>
  </sheetData>
  <mergeCells count="10">
    <mergeCell ref="A1:N1"/>
    <mergeCell ref="A3:B3"/>
    <mergeCell ref="A4:B4"/>
    <mergeCell ref="J6:N6"/>
    <mergeCell ref="A8:N8"/>
    <mergeCell ref="A16:N16"/>
    <mergeCell ref="A23:N23"/>
    <mergeCell ref="A30:N30"/>
    <mergeCell ref="A38:N38"/>
    <mergeCell ref="A44:N44"/>
  </mergeCells>
  <conditionalFormatting sqref="G8:G50">
    <cfRule type="cellIs" priority="2" operator="lessThan" aboveAverage="0" equalAverage="0" bottom="0" percent="0" rank="0" text="" dxfId="0">
      <formula>0</formula>
    </cfRule>
    <cfRule type="cellIs" priority="3" operator="greaterThan" aboveAverage="0" equalAverage="0" bottom="0" percent="0" rank="0" text="" dxfId="1">
      <formula>0</formula>
    </cfRule>
  </conditionalFormatting>
  <conditionalFormatting sqref="H8:H50">
    <cfRule type="expression" priority="4" aboveAverage="0" equalAverage="0" bottom="0" percent="0" rank="0" text="" dxfId="2">
      <formula>AND(H8&gt;=0.8,H8&lt;1)</formula>
    </cfRule>
    <cfRule type="expression" priority="5" aboveAverage="0" equalAverage="0" bottom="0" percent="0" rank="0" text="" dxfId="0">
      <formula>H8&gt;=1</formula>
    </cfRule>
  </conditionalFormatting>
  <conditionalFormatting sqref="G4">
    <cfRule type="cellIs" priority="6" operator="lessThan" aboveAverage="0" equalAverage="0" bottom="0" percent="0" rank="0" text="" dxfId="0">
      <formula>0</formula>
    </cfRule>
    <cfRule type="cellIs" priority="7" operator="greaterThan" aboveAverage="0" equalAverage="0" bottom="0" percent="0" rank="0" text="" dxfId="1">
      <formula>0</formula>
    </cfRule>
  </conditionalFormatting>
  <conditionalFormatting sqref="H4">
    <cfRule type="expression" priority="8" aboveAverage="0" equalAverage="0" bottom="0" percent="0" rank="0" text="" dxfId="2">
      <formula>AND(H4&gt;=0.8,H4&lt;1)</formula>
    </cfRule>
    <cfRule type="expression" priority="9" aboveAverage="0" equalAverage="0" bottom="0" percent="0" rank="0" text="" dxfId="0">
      <formula>H4&gt;=1</formula>
    </cfRule>
  </conditionalFormatting>
  <printOptions headings="false" gridLines="false" gridLinesSet="true" horizontalCentered="false" verticalCentered="false"/>
  <pageMargins left="0.75" right="0.75" top="1" bottom="1" header="0.5" footer="0.5"/>
  <pageSetup paperSize="9" scale="100" fitToWidth="1" fitToHeight="1" pageOrder="downThenOver" orientation="landscape" blackAndWhite="false" draft="false" cellComments="none" horizontalDpi="300" verticalDpi="300" copies="1"/>
  <headerFooter differentFirst="false" differentOddEven="false">
    <oddHeader>&amp;CBudget vs Actual Cost Tracker</oddHeader>
    <oddFooter>&amp;Rebrora.com</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B2A4A"/>
    <pageSetUpPr fitToPage="false"/>
  </sheetPr>
  <dimension ref="A1:A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sheetData>
    <row r="1" customFormat="false" ht="15" hidden="false" customHeight="false" outlineLevel="0" collapsed="false">
      <c r="A1" s="37" t="s">
        <v>122</v>
      </c>
    </row>
    <row r="2" customFormat="false" ht="15" hidden="false" customHeight="false" outlineLevel="0" collapsed="false">
      <c r="A2" s="37"/>
    </row>
    <row r="3" customFormat="false" ht="15" hidden="false" customHeight="false" outlineLevel="0" collapsed="false">
      <c r="A3" s="37" t="s">
        <v>123</v>
      </c>
    </row>
    <row r="4" customFormat="false" ht="15" hidden="false" customHeight="false" outlineLevel="0" collapsed="false">
      <c r="A4" s="37"/>
    </row>
    <row r="5" customFormat="false" ht="15" hidden="false" customHeight="false" outlineLevel="0" collapsed="false">
      <c r="A5" s="37" t="s">
        <v>124</v>
      </c>
    </row>
    <row r="6" customFormat="false" ht="15" hidden="false" customHeight="false" outlineLevel="0" collapsed="false">
      <c r="A6" s="37"/>
    </row>
    <row r="7" customFormat="false" ht="15" hidden="false" customHeight="false" outlineLevel="0" collapsed="false">
      <c r="A7" s="37" t="s">
        <v>125</v>
      </c>
    </row>
    <row r="8" customFormat="false" ht="15" hidden="false" customHeight="false" outlineLevel="0" collapsed="false">
      <c r="A8" s="37"/>
    </row>
    <row r="9" customFormat="false" ht="15" hidden="false" customHeight="false" outlineLevel="0" collapsed="false">
      <c r="A9" s="37" t="s">
        <v>126</v>
      </c>
    </row>
    <row r="10" customFormat="false" ht="15" hidden="false" customHeight="false" outlineLevel="0" collapsed="false">
      <c r="A10" s="37"/>
    </row>
    <row r="11" customFormat="false" ht="15" hidden="false" customHeight="false" outlineLevel="0" collapsed="false">
      <c r="A11" s="37" t="s">
        <v>127</v>
      </c>
    </row>
    <row r="12" customFormat="false" ht="15" hidden="false" customHeight="false" outlineLevel="0" collapsed="false">
      <c r="A12" s="37"/>
    </row>
    <row r="13" customFormat="false" ht="15" hidden="false" customHeight="false" outlineLevel="0" collapsed="false">
      <c r="A13" s="37" t="s">
        <v>128</v>
      </c>
    </row>
    <row r="14" customFormat="false" ht="15" hidden="false" customHeight="false" outlineLevel="0" collapsed="false">
      <c r="A14" s="37"/>
    </row>
    <row r="15" customFormat="false" ht="15" hidden="false" customHeight="false" outlineLevel="0" collapsed="false">
      <c r="A15" s="37" t="s">
        <v>129</v>
      </c>
    </row>
    <row r="16" customFormat="false" ht="15" hidden="false" customHeight="false" outlineLevel="0" collapsed="false">
      <c r="A16" s="37"/>
    </row>
    <row r="17" customFormat="false" ht="15" hidden="false" customHeight="false" outlineLevel="0" collapsed="false">
      <c r="A17" s="37" t="s">
        <v>130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category>Commercial &amp; Project Controls</cp:category>
  <dcterms:created xsi:type="dcterms:W3CDTF">2026-03-22T21:21:12Z</dcterms:created>
  <dc:creator>Ebrora Ltd</dc:creator>
  <dc:description>Monitor project costs against budget by category with automatic variance calculation, forecast tracking and overspend alerts, designed for UK construction QS and commercial managers.
Free professional construction management template from Ebrora Ltd. Visit ebrora.com for our full range of tools and templates.</dc:description>
  <cp:keywords>Ebrora construction budget actual cost variance forecast commercial cost control CVR</cp:keywords>
  <dc:language>en-US</dc:language>
  <cp:lastModifiedBy>Ebrora Ltd</cp:lastModifiedBy>
  <dcterms:modified xsi:type="dcterms:W3CDTF">2026-03-22T21:21:12Z</dcterms:modified>
  <cp:revision>0</cp:revision>
  <dc:subject>Category-banded cost tracker comparing budget against actual expenditure and committed costs with variance and forecast calculations.</dc:subject>
  <dc:title>Budget vs Actual Cost Tracker</dc:title>
</cp:coreProperties>
</file>

<file path=docProps/custom.xml><?xml version="1.0" encoding="utf-8"?>
<Properties xmlns="http://schemas.openxmlformats.org/officeDocument/2006/custom-properties" xmlns:vt="http://schemas.openxmlformats.org/officeDocument/2006/docPropsVTypes"/>
</file>