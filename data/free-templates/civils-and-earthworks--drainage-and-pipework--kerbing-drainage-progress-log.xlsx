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Kerb &amp; Drainage Log"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'Kerb &amp; Drainage Log'!$A$1:$L$48</definedName>
    <definedName function="false" hidden="true" localSheetId="2" name="_xlnm._FilterDatabase" vbProcedure="false">'Kerb &amp; Drainage Log'!$A$7:$O$48</definedName>
    <definedName function="false" hidden="false" name="DataTable" vbProcedure="false">'Kerb &amp; Drainage Log'!$A$7:$O$48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<sst xmlns="http://schemas.openxmlformats.org/spreadsheetml/2006/main" count="102" uniqueCount="89">
  <si>
    <t xml:space="preserve">EBRORA</t>
  </si>
  <si>
    <t xml:space="preserve">ebrora.com</t>
  </si>
  <si>
    <t xml:space="preserve">Kerbing &amp; Drainage
Progress Log</t>
  </si>
  <si>
    <t xml:space="preserve">Track kerbing and linear drainage installation progress with automatic meterage calculations, alignment checks, and backfill status.</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</si>
  <si>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</si>
  <si>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</si>
  <si>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</si>
  <si>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Step-by-Step Instructions</t>
  </si>
  <si>
    <t xml:space="preserve">1. Go to the 'Kerb &amp; Drainage Log' sheet. The summary shows total planned vs installed metres.</t>
  </si>
  <si>
    <t xml:space="preserve">2. Enter each kerb or drainage run with its reference, type, and design length (m).</t>
  </si>
  <si>
    <t xml:space="preserve">3. As installation progresses, update the 'Installed (m)' column. % Complete auto-calculates.</t>
  </si>
  <si>
    <t xml:space="preserve">4. Record the alignment check result (Pass/Fail) and the backfill/haunching status.</t>
  </si>
  <si>
    <t xml:space="preserve">5. Status auto-calculates: COMPLETE (100% + alignment pass + backfill done), IN PROGRESS, or NOT STARTED.</t>
  </si>
  <si>
    <t xml:space="preserve">6. The Running Total column tracks cumulative installed metres across all runs.</t>
  </si>
  <si>
    <t xml:space="preserve">7. Expand optional columns [+] for bedding spec, joint type, and as-built level check.</t>
  </si>
  <si>
    <t xml:space="preserve">8. Use this alongside the road layer tracker for a full picture of external works progress.</t>
  </si>
  <si>
    <t xml:space="preserve">Colour Key</t>
  </si>
  <si>
    <t xml:space="preserve">Light teal</t>
  </si>
  <si>
    <t xml:space="preserve">Editable cells</t>
  </si>
  <si>
    <t xml:space="preserve">Dark navy</t>
  </si>
  <si>
    <t xml:space="preserve">Headers</t>
  </si>
  <si>
    <t xml:space="preserve">Green</t>
  </si>
  <si>
    <t xml:space="preserve">Complete / Pass</t>
  </si>
  <si>
    <t xml:space="preserve">Amber</t>
  </si>
  <si>
    <t xml:space="preserve">In Progress / Partial</t>
  </si>
  <si>
    <t xml:space="preserve">Red</t>
  </si>
  <si>
    <t xml:space="preserve">Not Started / Fail</t>
  </si>
  <si>
    <t xml:space="preserve">Tips</t>
  </si>
  <si>
    <t xml:space="preserve">• Check kerb line and level against design every 10m — small alignment errors compound over long runs.</t>
  </si>
  <si>
    <t xml:space="preserve">• Haunching must be complete before trafficking — unsupported kerbs will shift under vehicle loads.</t>
  </si>
  <si>
    <t xml:space="preserve">• Record channel/slot drain runs separately from kerbs — they have different installation and testing requirements.</t>
  </si>
  <si>
    <t xml:space="preserve">KERBING &amp; DRAINAGE PROGRESS LOG</t>
  </si>
  <si>
    <t xml:space="preserve">Planned (m)</t>
  </si>
  <si>
    <t xml:space="preserve">Installed (m)</t>
  </si>
  <si>
    <t xml:space="preserve">Overall %</t>
  </si>
  <si>
    <t xml:space="preserve">Runs Complete</t>
  </si>
  <si>
    <t xml:space="preserve">Alignment Passed</t>
  </si>
  <si>
    <t xml:space="preserve">Runs</t>
  </si>
  <si>
    <t xml:space="preserve">▸ Optional Fields — Click [+] to expand</t>
  </si>
  <si>
    <t xml:space="preserve">Run
Ref</t>
  </si>
  <si>
    <t xml:space="preserve">Type</t>
  </si>
  <si>
    <t xml:space="preserve">Location / Description</t>
  </si>
  <si>
    <t xml:space="preserve">Design
Length (m)</t>
  </si>
  <si>
    <t xml:space="preserve">Installed
(m)</t>
  </si>
  <si>
    <t xml:space="preserve">%
Complete</t>
  </si>
  <si>
    <t xml:space="preserve">Running
Total (m)</t>
  </si>
  <si>
    <t xml:space="preserve">Alignment
Check</t>
  </si>
  <si>
    <t xml:space="preserve">Backfill /
Haunching</t>
  </si>
  <si>
    <t xml:space="preserve">Status</t>
  </si>
  <si>
    <t xml:space="preserve">Date</t>
  </si>
  <si>
    <t xml:space="preserve">Notes</t>
  </si>
  <si>
    <t xml:space="preserve">Bedding
Spec</t>
  </si>
  <si>
    <t xml:space="preserve">Joint
Type</t>
  </si>
  <si>
    <t xml:space="preserve">Level
Check</t>
  </si>
  <si>
    <t xml:space="preserve">KR-01</t>
  </si>
  <si>
    <t xml:space="preserve">HB2 Kerb</t>
  </si>
  <si>
    <t xml:space="preserve">Main Access Road — LHS</t>
  </si>
  <si>
    <t xml:space="preserve">Pass</t>
  </si>
  <si>
    <t xml:space="preserve">Partial</t>
  </si>
  <si>
    <t xml:space="preserve">Haunching 60% done</t>
  </si>
  <si>
    <t xml:space="preserve">C20 Concrete</t>
  </si>
  <si>
    <t xml:space="preserve">Mortar</t>
  </si>
  <si>
    <t xml:space="preserve">KR-02</t>
  </si>
  <si>
    <t xml:space="preserve">Main Access Road — RHS</t>
  </si>
  <si>
    <t xml:space="preserve">Complete</t>
  </si>
  <si>
    <t xml:space="preserve">Complete — signed off</t>
  </si>
  <si>
    <t xml:space="preserve">KR-03</t>
  </si>
  <si>
    <t xml:space="preserve">BN Bullnose</t>
  </si>
  <si>
    <t xml:space="preserve">Car Park Island 1</t>
  </si>
  <si>
    <t xml:space="preserve">KR-04</t>
  </si>
  <si>
    <t xml:space="preserve">Channel Block</t>
  </si>
  <si>
    <t xml:space="preserve">Car Park — Bay Drainage</t>
  </si>
  <si>
    <t xml:space="preserve">Pending</t>
  </si>
  <si>
    <t xml:space="preserve">Not Started</t>
  </si>
  <si>
    <t xml:space="preserve">Alignment check pending</t>
  </si>
  <si>
    <t xml:space="preserve">Butt</t>
  </si>
  <si>
    <t xml:space="preserve">KR-05</t>
  </si>
  <si>
    <t xml:space="preserve">Slot Drain</t>
  </si>
  <si>
    <t xml:space="preserve">Service Yard Entrance</t>
  </si>
  <si>
    <t xml:space="preserve">Awaiting materials</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</si>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</sst>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5">
    <numFmt numFmtId="164" formatCode="General"/>
    <numFmt numFmtId="165" formatCode="#,##0"/>
    <numFmt numFmtId="166" formatCode="0%"/>
    <numFmt numFmtId="167" formatCode="General"/>
    <numFmt numFmtId="168" formatCode="dd/mm/yyyy"/>
  </numFmts>
  <fonts count="19">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sz val="10"/>
      <color rgb="FF1B2A4A"/>
      <name val="Calibri"/>
      <family val="0"/>
      <charset val="1"/>
    </font>
    <font>
      <b val="true"/>
      <sz val="10"/>
      <color rgb="FF1B2A4A"/>
      <name val="Calibri"/>
      <family val="0"/>
      <charset val="1"/>
    </font>
    <font>
      <b val="true"/>
      <sz val="14"/>
      <color rgb="FFFFFFFF"/>
      <name val="Calibri"/>
      <family val="0"/>
      <charset val="1"/>
    </font>
    <font>
      <b val="true"/>
      <sz val="10"/>
      <color rgb="FF2AABB3"/>
      <name val="Calibri"/>
      <family val="0"/>
      <charset val="1"/>
    </font>
    <font>
      <b val="true"/>
      <sz val="16"/>
      <color rgb="FF1B2A4A"/>
      <name val="Calibri"/>
      <family val="0"/>
      <charset val="1"/>
    </font>
    <font>
      <i val="true"/>
      <sz val="9"/>
      <color rgb="FF2AABB3"/>
      <name val="Calibri"/>
      <family val="0"/>
      <charset val="1"/>
    </font>
    <font>
      <b val="true"/>
      <sz val="11"/>
      <color rgb="FFFFFFFF"/>
      <name val="Calibri"/>
      <family val="0"/>
      <charset val="1"/>
    </font>
  </fonts>
  <fills count="8">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FFFFFF"/>
      </patternFill>
    </fill>
    <fill>
      <patternFill patternType="solid">
        <fgColor rgb="FFC6EFCE"/>
        <bgColor rgb="FFCCFFFF"/>
      </patternFill>
    </fill>
    <fill>
      <patternFill patternType="solid">
        <fgColor rgb="FFFFEB9C"/>
        <bgColor rgb="FFFFFFCC"/>
      </patternFill>
    </fill>
    <fill>
      <patternFill patternType="solid">
        <fgColor rgb="FFFFC7CE"/>
        <bgColor rgb="FFFFEB9C"/>
      </patternFill>
    </fill>
  </fills>
  <borders count="3">
    <border diagonalUp="false" diagonalDown="false">
      <left/>
      <right/>
      <top/>
      <bottom/>
      <diagonal/>
    </border>
    <border diagonalUp="false" diagonalDown="false">
      <left style="thin">
        <color rgb="FF1B2A4A"/>
      </left>
      <right style="thin">
        <color rgb="FF1B2A4A"/>
      </right>
      <top style="thin">
        <color rgb="FF1B2A4A"/>
      </top>
      <bottom style="thin">
        <color rgb="FF1B2A4A"/>
      </bottom>
      <diagonal/>
    </border>
    <border diagonalUp="false" diagonalDown="false">
      <left/>
      <right/>
      <top/>
      <bottom style="medium">
        <color rgb="FF2AABB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0"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center" vertical="center" textRotation="0" wrapText="true" indent="0" shrinkToFit="false"/>
      <protection locked="true" hidden="false"/>
    </xf>
    <xf numFmtId="165" fontId="16" fillId="0" borderId="0" xfId="0" applyFont="true" applyBorder="false" applyAlignment="true" applyProtection="false">
      <alignment horizontal="center" vertical="center" textRotation="0" wrapText="true" indent="0" shrinkToFit="false"/>
      <protection locked="true" hidden="false"/>
    </xf>
    <xf numFmtId="166" fontId="16" fillId="0" borderId="0" xfId="0" applyFont="true" applyBorder="false" applyAlignment="true" applyProtection="false">
      <alignment horizontal="center" vertical="center" textRotation="0" wrapText="true" indent="0" shrinkToFit="false"/>
      <protection locked="true" hidden="false"/>
    </xf>
    <xf numFmtId="167" fontId="16" fillId="0" borderId="0" xfId="0" applyFont="true" applyBorder="fals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center" vertical="center" textRotation="0" wrapText="true" indent="0" shrinkToFit="false"/>
      <protection locked="true" hidden="false"/>
    </xf>
    <xf numFmtId="164" fontId="18" fillId="2"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6" fontId="12" fillId="3" borderId="1" xfId="0" applyFont="true" applyBorder="true" applyAlignment="true" applyProtection="false">
      <alignment horizontal="center" vertical="center" textRotation="0" wrapText="true" indent="0" shrinkToFit="false"/>
      <protection locked="true" hidden="false"/>
    </xf>
    <xf numFmtId="165" fontId="12" fillId="3"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8" fontId="12" fillId="4"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1B2A4A"/>
          <bgColor rgb="FF000000"/>
        </patternFill>
      </fill>
    </dxf>
    <dxf>
      <fill>
        <patternFill patternType="solid">
          <fgColor rgb="FFE8F6F7"/>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9C0006"/>
          <bgColor rgb="FF000000"/>
        </patternFill>
      </fill>
    </dxf>
    <dxf>
      <fill>
        <patternFill patternType="solid">
          <fgColor rgb="FF9C6500"/>
          <bgColor rgb="FF000000"/>
        </patternFill>
      </fill>
    </dxf>
    <dxf>
      <font>
        <name val="Calibri"/>
        <charset val="1"/>
        <family val="0"/>
        <b val="1"/>
        <color rgb="FF006100"/>
      </font>
      <fill>
        <patternFill>
          <bgColor rgb="FFC6EFCE"/>
        </patternFill>
      </fill>
    </dxf>
    <dxf>
      <font>
        <name val="Calibri"/>
        <charset val="1"/>
        <family val="0"/>
        <b val="1"/>
        <color rgb="FF9C6500"/>
      </font>
      <fill>
        <patternFill>
          <bgColor rgb="FFFFEB9C"/>
        </patternFill>
      </fill>
    </dxf>
    <dxf>
      <font>
        <name val="Calibri"/>
        <charset val="1"/>
        <family val="0"/>
        <color rgb="FF9C0006"/>
      </font>
      <fill>
        <patternFill>
          <bgColor rgb="FFFFC7CE"/>
        </patternFill>
      </fill>
    </dxf>
    <dxf>
      <fill>
        <patternFill>
          <bgColor rgb="FFC6EFCE"/>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993366"/>
      <rgbColor rgb="FFFFFFCC"/>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true" outlineLevel="0" collapsed="false">
      <c r="A1" s="1" t="s">
        <v>0</v>
      </c>
      <c r="B1" s="1"/>
      <c r="C1" s="1"/>
      <c r="D1" s="1"/>
      <c r="E1" s="1"/>
      <c r="F1" s="1"/>
      <c r="G1" s="1"/>
      <c r="H1" s="1"/>
    </row>
    <row r="2" customFormat="false" ht="15" hidden="false" customHeight="false" outlineLevel="0" collapsed="false">
      <c r="A2" s="1"/>
      <c r="B2" s="1"/>
      <c r="C2" s="1"/>
      <c r="D2" s="1"/>
      <c r="E2" s="1"/>
      <c r="F2" s="1"/>
      <c r="G2" s="1"/>
      <c r="H2" s="1"/>
    </row>
    <row r="3" customFormat="false" ht="15" hidden="false" customHeight="false" outlineLevel="0" collapsed="false">
      <c r="A3" s="1"/>
      <c r="B3" s="1"/>
      <c r="C3" s="1"/>
      <c r="D3" s="1"/>
      <c r="E3" s="1"/>
      <c r="F3" s="1"/>
      <c r="G3" s="1"/>
      <c r="H3" s="1"/>
    </row>
    <row r="4" customFormat="false" ht="15" hidden="false" customHeight="true" outlineLevel="0" collapsed="false">
      <c r="A4" s="2" t="s">
        <v>1</v>
      </c>
      <c r="B4" s="2"/>
      <c r="C4" s="2"/>
      <c r="D4" s="2"/>
      <c r="E4" s="2"/>
      <c r="F4" s="2"/>
      <c r="G4" s="2"/>
      <c r="H4" s="2"/>
    </row>
    <row r="5" customFormat="false" ht="15" hidden="false" customHeight="false" outlineLevel="0" collapsed="false">
      <c r="A5" s="3"/>
      <c r="B5" s="3"/>
      <c r="C5" s="3"/>
      <c r="D5" s="3"/>
      <c r="E5" s="3"/>
      <c r="F5" s="3"/>
      <c r="G5" s="3"/>
      <c r="H5" s="3"/>
    </row>
    <row r="6" customFormat="false" ht="15" hidden="false" customHeight="true" outlineLevel="0" collapsed="false">
      <c r="A6" s="4" t="s">
        <v>2</v>
      </c>
      <c r="B6" s="4"/>
      <c r="C6" s="4"/>
      <c r="D6" s="4"/>
      <c r="E6" s="4"/>
      <c r="F6" s="4"/>
      <c r="G6" s="4"/>
      <c r="H6" s="4"/>
    </row>
    <row r="7" customFormat="false" ht="15" hidden="false" customHeight="false" outlineLevel="0" collapsed="false">
      <c r="A7" s="4"/>
      <c r="B7" s="4"/>
      <c r="C7" s="4"/>
      <c r="D7" s="4"/>
      <c r="E7" s="4"/>
      <c r="F7" s="4"/>
      <c r="G7" s="4"/>
      <c r="H7" s="4"/>
    </row>
    <row r="8" customFormat="false" ht="15" hidden="false" customHeight="false" outlineLevel="0" collapsed="false">
      <c r="A8" s="4"/>
      <c r="B8" s="4"/>
      <c r="C8" s="4"/>
      <c r="D8" s="4"/>
      <c r="E8" s="4"/>
      <c r="F8" s="4"/>
      <c r="G8" s="4"/>
      <c r="H8" s="4"/>
    </row>
    <row r="9" customFormat="false" ht="15" hidden="false" customHeight="false" outlineLevel="0" collapsed="false">
      <c r="A9" s="3"/>
      <c r="B9" s="3"/>
      <c r="C9" s="3"/>
      <c r="D9" s="3"/>
      <c r="E9" s="3"/>
      <c r="F9" s="3"/>
      <c r="G9" s="3"/>
      <c r="H9" s="3"/>
    </row>
    <row r="10" customFormat="false" ht="15" hidden="false" customHeight="true" outlineLevel="0" collapsed="false">
      <c r="A10" s="5" t="s">
        <v>3</v>
      </c>
      <c r="B10" s="5"/>
      <c r="C10" s="5"/>
      <c r="D10" s="5"/>
      <c r="E10" s="5"/>
      <c r="F10" s="5"/>
      <c r="G10" s="5"/>
      <c r="H10" s="5"/>
    </row>
    <row r="11" customFormat="false" ht="15" hidden="false" customHeight="false" outlineLevel="0" collapsed="false">
      <c r="A11" s="5"/>
      <c r="B11" s="5"/>
      <c r="C11" s="5"/>
      <c r="D11" s="5"/>
      <c r="E11" s="5"/>
      <c r="F11" s="5"/>
      <c r="G11" s="5"/>
      <c r="H11" s="5"/>
    </row>
    <row r="12" customFormat="false" ht="15" hidden="false" customHeight="false" outlineLevel="0" collapsed="false">
      <c r="A12" s="3"/>
      <c r="B12" s="3"/>
      <c r="C12" s="3"/>
      <c r="D12" s="3"/>
      <c r="E12" s="3"/>
      <c r="F12" s="3"/>
      <c r="G12" s="3"/>
      <c r="H12" s="3"/>
    </row>
    <row r="13" customFormat="false" ht="15" hidden="false" customHeight="false" outlineLevel="0" collapsed="false">
      <c r="A13" s="3"/>
      <c r="B13" s="3"/>
      <c r="C13" s="3"/>
      <c r="D13" s="3"/>
      <c r="E13" s="3"/>
      <c r="F13" s="3"/>
      <c r="G13" s="3"/>
      <c r="H13" s="3"/>
    </row>
    <row r="14" customFormat="false" ht="15" hidden="false" customHeight="true" outlineLevel="0" collapsed="false">
      <c r="A14" s="6" t="s">
        <v>4</v>
      </c>
      <c r="B14" s="6"/>
      <c r="C14" s="6"/>
      <c r="D14" s="6"/>
      <c r="E14" s="6"/>
      <c r="F14" s="6"/>
      <c r="G14" s="6"/>
      <c r="H14" s="6"/>
    </row>
    <row r="15" customFormat="false" ht="15" hidden="false" customHeight="false" outlineLevel="0" collapsed="false">
      <c r="A15" s="6"/>
      <c r="B15" s="6"/>
      <c r="C15" s="6"/>
      <c r="D15" s="6"/>
      <c r="E15" s="6"/>
      <c r="F15" s="6"/>
      <c r="G15" s="6"/>
      <c r="H15" s="6"/>
    </row>
    <row r="16" customFormat="false" ht="15" hidden="false" customHeight="false" outlineLevel="0" collapsed="false">
      <c r="A16" s="6"/>
      <c r="B16" s="6"/>
      <c r="C16" s="6"/>
      <c r="D16" s="6"/>
      <c r="E16" s="6"/>
      <c r="F16" s="6"/>
      <c r="G16" s="6"/>
      <c r="H16" s="6"/>
    </row>
    <row r="17" customFormat="false" ht="15" hidden="false" customHeight="false" outlineLevel="0" collapsed="false">
      <c r="A17" s="6"/>
      <c r="B17" s="6"/>
      <c r="C17" s="6"/>
      <c r="D17" s="6"/>
      <c r="E17" s="6"/>
      <c r="F17" s="6"/>
      <c r="G17" s="6"/>
      <c r="H17" s="6"/>
    </row>
    <row r="18" customFormat="false" ht="15" hidden="false" customHeight="false" outlineLevel="0" collapsed="false">
      <c r="A18" s="3"/>
      <c r="B18" s="3"/>
      <c r="C18" s="3"/>
      <c r="D18" s="3"/>
      <c r="E18" s="3"/>
      <c r="F18" s="3"/>
      <c r="G18" s="3"/>
      <c r="H18" s="3"/>
    </row>
    <row r="19" customFormat="false" ht="15" hidden="false" customHeight="true" outlineLevel="0" collapsed="false">
      <c r="A19" s="7" t="s">
        <v>5</v>
      </c>
      <c r="B19" s="7"/>
      <c r="C19" s="7"/>
      <c r="D19" s="7"/>
      <c r="E19" s="7"/>
      <c r="F19" s="7"/>
      <c r="G19" s="7"/>
      <c r="H19" s="7"/>
    </row>
    <row r="20" customFormat="false" ht="15" hidden="false" customHeight="false" outlineLevel="0" collapsed="false">
      <c r="A20" s="3"/>
      <c r="B20" s="3"/>
      <c r="C20" s="3"/>
      <c r="D20" s="3"/>
      <c r="E20" s="3"/>
      <c r="F20" s="3"/>
      <c r="G20" s="3"/>
      <c r="H20" s="3"/>
    </row>
    <row r="21" customFormat="false" ht="15" hidden="false" customHeight="false" outlineLevel="0" collapsed="false">
      <c r="A21" s="3"/>
      <c r="B21" s="3"/>
      <c r="C21" s="3"/>
      <c r="D21" s="3"/>
      <c r="E21" s="3"/>
      <c r="F21" s="3"/>
      <c r="G21" s="3"/>
      <c r="H21" s="3"/>
    </row>
    <row r="22" customFormat="false" ht="15" hidden="false" customHeight="false" outlineLevel="0" collapsed="false">
      <c r="A22" s="3"/>
      <c r="B22" s="3"/>
      <c r="C22" s="3"/>
      <c r="D22" s="3"/>
      <c r="E22" s="3"/>
      <c r="F22" s="3"/>
      <c r="G22" s="3"/>
      <c r="H22" s="3"/>
    </row>
    <row r="23" customFormat="false" ht="15" hidden="false" customHeight="false" outlineLevel="0" collapsed="false">
      <c r="A23" s="3"/>
      <c r="B23" s="3"/>
      <c r="C23" s="3"/>
      <c r="D23" s="3"/>
      <c r="E23" s="3"/>
      <c r="F23" s="3"/>
      <c r="G23" s="3"/>
      <c r="H23" s="3"/>
    </row>
    <row r="24" customFormat="false" ht="15" hidden="false" customHeight="false" outlineLevel="0" collapsed="false">
      <c r="A24" s="3"/>
      <c r="B24" s="3"/>
      <c r="C24" s="3"/>
      <c r="D24" s="3"/>
      <c r="E24" s="3"/>
      <c r="F24" s="3"/>
      <c r="G24" s="3"/>
      <c r="H24" s="3"/>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6" min="2" style="0" width="22"/>
  </cols>
  <sheetData>
    <row r="1" customFormat="false" ht="17.35" hidden="false" customHeight="false" outlineLevel="0" collapsed="false">
      <c r="A1" s="8" t="s">
        <v>6</v>
      </c>
      <c r="B1" s="8"/>
      <c r="C1" s="8"/>
      <c r="D1" s="8"/>
      <c r="E1" s="8"/>
      <c r="F1" s="8"/>
    </row>
    <row r="3" customFormat="false" ht="15" hidden="false" customHeight="false" outlineLevel="0" collapsed="false">
      <c r="A3" s="9" t="s">
        <v>7</v>
      </c>
      <c r="B3" s="9"/>
      <c r="C3" s="9"/>
      <c r="D3" s="9"/>
      <c r="E3" s="9"/>
      <c r="F3" s="9"/>
    </row>
    <row r="4" customFormat="false" ht="30" hidden="false" customHeight="true" outlineLevel="0" collapsed="false">
      <c r="A4" s="10" t="s">
        <v>8</v>
      </c>
      <c r="B4" s="10"/>
      <c r="C4" s="10"/>
      <c r="D4" s="10"/>
      <c r="E4" s="10"/>
      <c r="F4" s="10"/>
    </row>
    <row r="5" customFormat="false" ht="30" hidden="false" customHeight="true" outlineLevel="0" collapsed="false">
      <c r="A5" s="10" t="s">
        <v>9</v>
      </c>
      <c r="B5" s="10"/>
      <c r="C5" s="10"/>
      <c r="D5" s="10"/>
      <c r="E5" s="10"/>
      <c r="F5" s="10"/>
    </row>
    <row r="6" customFormat="false" ht="30" hidden="false" customHeight="true" outlineLevel="0" collapsed="false">
      <c r="A6" s="10" t="s">
        <v>10</v>
      </c>
      <c r="B6" s="10"/>
      <c r="C6" s="10"/>
      <c r="D6" s="10"/>
      <c r="E6" s="10"/>
      <c r="F6" s="10"/>
    </row>
    <row r="7" customFormat="false" ht="30" hidden="false" customHeight="true" outlineLevel="0" collapsed="false">
      <c r="A7" s="10" t="s">
        <v>11</v>
      </c>
      <c r="B7" s="10"/>
      <c r="C7" s="10"/>
      <c r="D7" s="10"/>
      <c r="E7" s="10"/>
      <c r="F7" s="10"/>
    </row>
    <row r="8" customFormat="false" ht="30" hidden="false" customHeight="true" outlineLevel="0" collapsed="false">
      <c r="A8" s="10" t="s">
        <v>12</v>
      </c>
      <c r="B8" s="10"/>
      <c r="C8" s="10"/>
      <c r="D8" s="10"/>
      <c r="E8" s="10"/>
      <c r="F8" s="10"/>
    </row>
    <row r="9" customFormat="false" ht="30" hidden="false" customHeight="true" outlineLevel="0" collapsed="false">
      <c r="A9" s="10" t="s">
        <v>13</v>
      </c>
      <c r="B9" s="10"/>
      <c r="C9" s="10"/>
      <c r="D9" s="10"/>
      <c r="E9" s="10"/>
      <c r="F9" s="10"/>
    </row>
    <row r="10" customFormat="false" ht="30" hidden="false" customHeight="true" outlineLevel="0" collapsed="false">
      <c r="A10" s="10" t="s">
        <v>14</v>
      </c>
      <c r="B10" s="10"/>
      <c r="C10" s="10"/>
      <c r="D10" s="10"/>
      <c r="E10" s="10"/>
      <c r="F10" s="10"/>
    </row>
    <row r="11" customFormat="false" ht="30" hidden="false" customHeight="true" outlineLevel="0" collapsed="false">
      <c r="A11" s="10" t="s">
        <v>15</v>
      </c>
      <c r="B11" s="10"/>
      <c r="C11" s="10"/>
      <c r="D11" s="10"/>
      <c r="E11" s="10"/>
      <c r="F11" s="10"/>
    </row>
    <row r="13" customFormat="false" ht="15" hidden="false" customHeight="false" outlineLevel="0" collapsed="false">
      <c r="A13" s="9" t="s">
        <v>16</v>
      </c>
      <c r="B13" s="9"/>
      <c r="C13" s="9"/>
      <c r="D13" s="9"/>
      <c r="E13" s="9"/>
      <c r="F13" s="9"/>
    </row>
    <row r="14" customFormat="false" ht="15" hidden="false" customHeight="false" outlineLevel="0" collapsed="false">
      <c r="A14" s="11"/>
      <c r="B14" s="12" t="s">
        <v>17</v>
      </c>
      <c r="C14" s="12"/>
      <c r="D14" s="13" t="s">
        <v>18</v>
      </c>
      <c r="E14" s="13"/>
      <c r="F14" s="13"/>
    </row>
    <row r="15" customFormat="false" ht="15" hidden="false" customHeight="false" outlineLevel="0" collapsed="false">
      <c r="A15" s="14"/>
      <c r="B15" s="12" t="s">
        <v>19</v>
      </c>
      <c r="C15" s="12"/>
      <c r="D15" s="13" t="s">
        <v>20</v>
      </c>
      <c r="E15" s="13"/>
      <c r="F15" s="13"/>
    </row>
    <row r="16" customFormat="false" ht="15" hidden="false" customHeight="false" outlineLevel="0" collapsed="false">
      <c r="A16" s="15"/>
      <c r="B16" s="12" t="s">
        <v>21</v>
      </c>
      <c r="C16" s="12"/>
      <c r="D16" s="13" t="s">
        <v>22</v>
      </c>
      <c r="E16" s="13"/>
      <c r="F16" s="13"/>
    </row>
    <row r="17" customFormat="false" ht="15" hidden="false" customHeight="false" outlineLevel="0" collapsed="false">
      <c r="A17" s="16"/>
      <c r="B17" s="12" t="s">
        <v>23</v>
      </c>
      <c r="C17" s="12"/>
      <c r="D17" s="13" t="s">
        <v>24</v>
      </c>
      <c r="E17" s="13"/>
      <c r="F17" s="13"/>
    </row>
    <row r="18" customFormat="false" ht="15" hidden="false" customHeight="false" outlineLevel="0" collapsed="false">
      <c r="A18" s="17"/>
      <c r="B18" s="12" t="s">
        <v>25</v>
      </c>
      <c r="C18" s="12"/>
      <c r="D18" s="13" t="s">
        <v>26</v>
      </c>
      <c r="E18" s="13"/>
      <c r="F18" s="13"/>
    </row>
    <row r="20" customFormat="false" ht="15" hidden="false" customHeight="false" outlineLevel="0" collapsed="false">
      <c r="A20" s="9" t="s">
        <v>27</v>
      </c>
      <c r="B20" s="9"/>
      <c r="C20" s="9"/>
      <c r="D20" s="9"/>
      <c r="E20" s="9"/>
      <c r="F20" s="9"/>
    </row>
    <row r="21" customFormat="false" ht="30" hidden="false" customHeight="true" outlineLevel="0" collapsed="false">
      <c r="A21" s="10" t="s">
        <v>28</v>
      </c>
      <c r="B21" s="10"/>
      <c r="C21" s="10"/>
      <c r="D21" s="10"/>
      <c r="E21" s="10"/>
      <c r="F21" s="10"/>
    </row>
    <row r="22" customFormat="false" ht="30" hidden="false" customHeight="true" outlineLevel="0" collapsed="false">
      <c r="A22" s="10" t="s">
        <v>29</v>
      </c>
      <c r="B22" s="10"/>
      <c r="C22" s="10"/>
      <c r="D22" s="10"/>
      <c r="E22" s="10"/>
      <c r="F22" s="10"/>
    </row>
    <row r="23" customFormat="false" ht="30" hidden="false" customHeight="true" outlineLevel="0" collapsed="false">
      <c r="A23" s="10" t="s">
        <v>30</v>
      </c>
      <c r="B23" s="10"/>
      <c r="C23" s="10"/>
      <c r="D23" s="10"/>
      <c r="E23" s="10"/>
      <c r="F23" s="10"/>
    </row>
  </sheetData>
  <mergeCells count="25">
    <mergeCell ref="A1:F1"/>
    <mergeCell ref="A3:F3"/>
    <mergeCell ref="A4:F4"/>
    <mergeCell ref="A5:F5"/>
    <mergeCell ref="A6:F6"/>
    <mergeCell ref="A7:F7"/>
    <mergeCell ref="A8:F8"/>
    <mergeCell ref="A9:F9"/>
    <mergeCell ref="A10:F10"/>
    <mergeCell ref="A11:F11"/>
    <mergeCell ref="A13:F13"/>
    <mergeCell ref="B14:C14"/>
    <mergeCell ref="D14:F14"/>
    <mergeCell ref="B15:C15"/>
    <mergeCell ref="D15:F15"/>
    <mergeCell ref="B16:C16"/>
    <mergeCell ref="D16:F16"/>
    <mergeCell ref="B17:C17"/>
    <mergeCell ref="D17:F17"/>
    <mergeCell ref="B18:C18"/>
    <mergeCell ref="D18:F18"/>
    <mergeCell ref="A20:F20"/>
    <mergeCell ref="A21:F21"/>
    <mergeCell ref="A22:F22"/>
    <mergeCell ref="A23:F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0"/>
    <col collapsed="false" customWidth="true" hidden="false" outlineLevel="0" max="2" min="2" style="0" width="16"/>
    <col collapsed="false" customWidth="true" hidden="false" outlineLevel="0" max="3" min="3" style="0" width="24"/>
    <col collapsed="false" customWidth="true" hidden="false" outlineLevel="0" max="5" min="4" style="0" width="12"/>
    <col collapsed="false" customWidth="true" hidden="false" outlineLevel="0" max="6" min="6" style="0" width="11"/>
    <col collapsed="false" customWidth="true" hidden="false" outlineLevel="0" max="7" min="7" style="0" width="12"/>
    <col collapsed="false" customWidth="true" hidden="false" outlineLevel="0" max="10" min="8" style="0" width="14"/>
    <col collapsed="false" customWidth="true" hidden="false" outlineLevel="0" max="11" min="11" style="0" width="12"/>
    <col collapsed="false" customWidth="true" hidden="false" outlineLevel="0" max="12" min="12" style="0" width="28"/>
    <col collapsed="false" customWidth="true" hidden="true" outlineLevel="1" max="15" min="13" style="0" width="14"/>
  </cols>
  <sheetData>
    <row r="1" customFormat="false" ht="18.65" hidden="false" customHeight="true" outlineLevel="0" collapsed="false">
      <c r="A1" s="18" t="s">
        <v>31</v>
      </c>
      <c r="B1" s="18"/>
      <c r="C1" s="18"/>
      <c r="D1" s="18"/>
      <c r="E1" s="18"/>
      <c r="F1" s="18"/>
      <c r="G1" s="18"/>
      <c r="H1" s="18"/>
      <c r="I1" s="18"/>
      <c r="J1" s="18"/>
      <c r="K1" s="18"/>
      <c r="L1" s="18"/>
      <c r="M1" s="19"/>
      <c r="N1" s="19"/>
      <c r="O1" s="19"/>
    </row>
    <row r="2" customFormat="false" ht="6" hidden="false" customHeight="true" outlineLevel="0" collapsed="false"/>
    <row r="3" customFormat="false" ht="15" hidden="false" customHeight="false" outlineLevel="0" collapsed="false">
      <c r="A3" s="20" t="s">
        <v>32</v>
      </c>
      <c r="C3" s="20" t="s">
        <v>33</v>
      </c>
      <c r="E3" s="20" t="s">
        <v>34</v>
      </c>
      <c r="G3" s="20" t="s">
        <v>35</v>
      </c>
      <c r="I3" s="20" t="s">
        <v>36</v>
      </c>
      <c r="K3" s="20" t="s">
        <v>37</v>
      </c>
    </row>
    <row r="4" customFormat="false" ht="20.85" hidden="false" customHeight="false" outlineLevel="0" collapsed="false">
      <c r="A4" s="21" t="n">
        <f aca="false">SUM(D8:D48)</f>
        <v>380</v>
      </c>
      <c r="C4" s="21" t="n">
        <f aca="false">SUM(E8:E48)</f>
        <v>280</v>
      </c>
      <c r="E4" s="22" t="n">
        <f aca="false">IFERROR(C4/A4,0)</f>
        <v>0.736842105263158</v>
      </c>
      <c r="G4" s="23" t="n">
        <f aca="false">COUNTIF(J8:J48,"COMPLETE")</f>
        <v>2</v>
      </c>
      <c r="I4" s="23" t="n">
        <f aca="false">COUNTIF(H8:H48,"Pass")</f>
        <v>3</v>
      </c>
      <c r="K4" s="23" t="n">
        <f aca="false">COUNTA(A8:A48)</f>
        <v>5</v>
      </c>
    </row>
    <row r="5" customFormat="false" ht="15" hidden="false" customHeight="false" outlineLevel="0" collapsed="false">
      <c r="A5" s="24"/>
      <c r="B5" s="24"/>
      <c r="C5" s="24"/>
      <c r="D5" s="24"/>
      <c r="E5" s="24"/>
      <c r="F5" s="24"/>
      <c r="G5" s="24"/>
      <c r="H5" s="24"/>
      <c r="I5" s="24"/>
      <c r="J5" s="24"/>
      <c r="K5" s="24"/>
      <c r="L5" s="24"/>
      <c r="M5" s="24"/>
      <c r="N5" s="24"/>
      <c r="O5" s="24"/>
    </row>
    <row r="6" customFormat="false" ht="3.75" hidden="false" customHeight="true" outlineLevel="0" collapsed="false">
      <c r="M6" s="25" t="s">
        <v>38</v>
      </c>
      <c r="N6" s="25"/>
      <c r="O6" s="25"/>
    </row>
    <row r="7" customFormat="false" ht="37.5" hidden="false" customHeight="true" outlineLevel="0" collapsed="false">
      <c r="A7" s="26" t="s">
        <v>39</v>
      </c>
      <c r="B7" s="26" t="s">
        <v>40</v>
      </c>
      <c r="C7" s="26" t="s">
        <v>41</v>
      </c>
      <c r="D7" s="26" t="s">
        <v>42</v>
      </c>
      <c r="E7" s="26" t="s">
        <v>43</v>
      </c>
      <c r="F7" s="26" t="s">
        <v>44</v>
      </c>
      <c r="G7" s="26" t="s">
        <v>45</v>
      </c>
      <c r="H7" s="26" t="s">
        <v>46</v>
      </c>
      <c r="I7" s="26" t="s">
        <v>47</v>
      </c>
      <c r="J7" s="26" t="s">
        <v>48</v>
      </c>
      <c r="K7" s="26" t="s">
        <v>49</v>
      </c>
      <c r="L7" s="26" t="s">
        <v>50</v>
      </c>
      <c r="M7" s="26" t="s">
        <v>51</v>
      </c>
      <c r="N7" s="26" t="s">
        <v>52</v>
      </c>
      <c r="O7" s="26" t="s">
        <v>53</v>
      </c>
    </row>
    <row r="8" customFormat="false" ht="15" hidden="false" customHeight="false" outlineLevel="0" collapsed="false">
      <c r="A8" s="27" t="s">
        <v>54</v>
      </c>
      <c r="B8" s="27" t="s">
        <v>55</v>
      </c>
      <c r="C8" s="28" t="s">
        <v>56</v>
      </c>
      <c r="D8" s="27" t="n">
        <v>120</v>
      </c>
      <c r="E8" s="27" t="n">
        <v>85</v>
      </c>
      <c r="F8" s="29" t="n">
        <f aca="false">IFERROR(E8/D8,"")</f>
        <v>0.708333333333333</v>
      </c>
      <c r="G8" s="30" t="n">
        <f aca="false">IFERROR(E8,"")</f>
        <v>85</v>
      </c>
      <c r="H8" s="27" t="s">
        <v>57</v>
      </c>
      <c r="I8" s="27" t="s">
        <v>58</v>
      </c>
      <c r="J8" s="31" t="str">
        <f aca="false">IF(A8="","",IF(AND(F8&gt;=1,H8="Pass",I8="Complete"),"COMPLETE",IF(E8&gt;0,"IN PROGRESS","NOT STARTED")))</f>
        <v>IN PROGRESS</v>
      </c>
      <c r="K8" s="32" t="n">
        <v>46068</v>
      </c>
      <c r="L8" s="28" t="s">
        <v>59</v>
      </c>
      <c r="M8" s="27" t="s">
        <v>60</v>
      </c>
      <c r="N8" s="27" t="s">
        <v>61</v>
      </c>
      <c r="O8" s="27" t="s">
        <v>57</v>
      </c>
    </row>
    <row r="9" customFormat="false" ht="15" hidden="false" customHeight="false" outlineLevel="0" collapsed="false">
      <c r="A9" s="27" t="s">
        <v>62</v>
      </c>
      <c r="B9" s="27" t="s">
        <v>55</v>
      </c>
      <c r="C9" s="28" t="s">
        <v>63</v>
      </c>
      <c r="D9" s="27" t="n">
        <v>120</v>
      </c>
      <c r="E9" s="27" t="n">
        <v>120</v>
      </c>
      <c r="F9" s="29" t="n">
        <f aca="false">IFERROR(E9/D9,"")</f>
        <v>1</v>
      </c>
      <c r="G9" s="30" t="n">
        <f aca="false">IFERROR(IF(A9="","",G8+E9),"")</f>
        <v>205</v>
      </c>
      <c r="H9" s="27" t="s">
        <v>57</v>
      </c>
      <c r="I9" s="27" t="s">
        <v>64</v>
      </c>
      <c r="J9" s="31" t="str">
        <f aca="false">IF(A9="","",IF(AND(F9&gt;=1,H9="Pass",I9="Complete"),"COMPLETE",IF(E9&gt;0,"IN PROGRESS","NOT STARTED")))</f>
        <v>COMPLETE</v>
      </c>
      <c r="K9" s="32" t="n">
        <v>46071</v>
      </c>
      <c r="L9" s="28" t="s">
        <v>65</v>
      </c>
      <c r="M9" s="27" t="s">
        <v>60</v>
      </c>
      <c r="N9" s="27" t="s">
        <v>61</v>
      </c>
      <c r="O9" s="27" t="s">
        <v>57</v>
      </c>
    </row>
    <row r="10" customFormat="false" ht="15" hidden="false" customHeight="false" outlineLevel="0" collapsed="false">
      <c r="A10" s="27" t="s">
        <v>66</v>
      </c>
      <c r="B10" s="27" t="s">
        <v>67</v>
      </c>
      <c r="C10" s="28" t="s">
        <v>68</v>
      </c>
      <c r="D10" s="27" t="n">
        <v>45</v>
      </c>
      <c r="E10" s="27" t="n">
        <v>45</v>
      </c>
      <c r="F10" s="29" t="n">
        <f aca="false">IFERROR(E10/D10,"")</f>
        <v>1</v>
      </c>
      <c r="G10" s="30" t="n">
        <f aca="false">IFERROR(IF(A10="","",G9+E10),"")</f>
        <v>250</v>
      </c>
      <c r="H10" s="27" t="s">
        <v>57</v>
      </c>
      <c r="I10" s="27" t="s">
        <v>64</v>
      </c>
      <c r="J10" s="31" t="str">
        <f aca="false">IF(A10="","",IF(AND(F10&gt;=1,H10="Pass",I10="Complete"),"COMPLETE",IF(E10&gt;0,"IN PROGRESS","NOT STARTED")))</f>
        <v>COMPLETE</v>
      </c>
      <c r="K10" s="32" t="n">
        <v>46073</v>
      </c>
      <c r="L10" s="28"/>
      <c r="M10" s="27" t="s">
        <v>60</v>
      </c>
      <c r="N10" s="27" t="s">
        <v>61</v>
      </c>
      <c r="O10" s="27" t="s">
        <v>57</v>
      </c>
    </row>
    <row r="11" customFormat="false" ht="15" hidden="false" customHeight="false" outlineLevel="0" collapsed="false">
      <c r="A11" s="27" t="s">
        <v>69</v>
      </c>
      <c r="B11" s="27" t="s">
        <v>70</v>
      </c>
      <c r="C11" s="28" t="s">
        <v>71</v>
      </c>
      <c r="D11" s="27" t="n">
        <v>80</v>
      </c>
      <c r="E11" s="27" t="n">
        <v>30</v>
      </c>
      <c r="F11" s="29" t="n">
        <f aca="false">IFERROR(E11/D11,"")</f>
        <v>0.375</v>
      </c>
      <c r="G11" s="30" t="n">
        <f aca="false">IFERROR(IF(A11="","",G10+E11),"")</f>
        <v>280</v>
      </c>
      <c r="H11" s="27" t="s">
        <v>72</v>
      </c>
      <c r="I11" s="27" t="s">
        <v>73</v>
      </c>
      <c r="J11" s="31" t="str">
        <f aca="false">IF(A11="","",IF(AND(F11&gt;=1,H11="Pass",I11="Complete"),"COMPLETE",IF(E11&gt;0,"IN PROGRESS","NOT STARTED")))</f>
        <v>IN PROGRESS</v>
      </c>
      <c r="K11" s="32" t="n">
        <v>46075</v>
      </c>
      <c r="L11" s="28" t="s">
        <v>74</v>
      </c>
      <c r="M11" s="27" t="s">
        <v>60</v>
      </c>
      <c r="N11" s="27" t="s">
        <v>75</v>
      </c>
      <c r="O11" s="27"/>
    </row>
    <row r="12" customFormat="false" ht="15" hidden="false" customHeight="false" outlineLevel="0" collapsed="false">
      <c r="A12" s="27" t="s">
        <v>76</v>
      </c>
      <c r="B12" s="27" t="s">
        <v>77</v>
      </c>
      <c r="C12" s="28" t="s">
        <v>78</v>
      </c>
      <c r="D12" s="27" t="n">
        <v>15</v>
      </c>
      <c r="E12" s="27" t="n">
        <v>0</v>
      </c>
      <c r="F12" s="29" t="n">
        <f aca="false">IFERROR(E12/D12,"")</f>
        <v>0</v>
      </c>
      <c r="G12" s="30" t="n">
        <f aca="false">IFERROR(IF(A12="","",G11+E12),"")</f>
        <v>280</v>
      </c>
      <c r="H12" s="27"/>
      <c r="I12" s="27" t="s">
        <v>73</v>
      </c>
      <c r="J12" s="31" t="str">
        <f aca="false">IF(A12="","",IF(AND(F12&gt;=1,H12="Pass",I12="Complete"),"COMPLETE",IF(E12&gt;0,"IN PROGRESS","NOT STARTED")))</f>
        <v>NOT STARTED</v>
      </c>
      <c r="K12" s="32"/>
      <c r="L12" s="28" t="s">
        <v>79</v>
      </c>
      <c r="M12" s="27"/>
      <c r="N12" s="27"/>
      <c r="O12" s="27"/>
    </row>
    <row r="13" customFormat="false" ht="15" hidden="false" customHeight="false" outlineLevel="0" collapsed="false">
      <c r="A13" s="27"/>
      <c r="B13" s="27"/>
      <c r="C13" s="28"/>
      <c r="D13" s="27"/>
      <c r="E13" s="27"/>
      <c r="F13" s="29" t="str">
        <f aca="false">IFERROR(E13/D13,"")</f>
        <v/>
      </c>
      <c r="G13" s="30" t="str">
        <f aca="false">IFERROR(IF(A13="","",G12+E13),"")</f>
        <v/>
      </c>
      <c r="H13" s="27"/>
      <c r="I13" s="27"/>
      <c r="J13" s="31" t="str">
        <f aca="false">IF(A13="","",IF(AND(F13&gt;=1,H13="Pass",I13="Complete"),"COMPLETE",IF(E13&gt;0,"IN PROGRESS","NOT STARTED")))</f>
        <v/>
      </c>
      <c r="K13" s="32"/>
      <c r="L13" s="28"/>
      <c r="M13" s="27"/>
      <c r="N13" s="27"/>
      <c r="O13" s="27"/>
    </row>
    <row r="14" customFormat="false" ht="15" hidden="false" customHeight="false" outlineLevel="0" collapsed="false">
      <c r="A14" s="27"/>
      <c r="B14" s="27"/>
      <c r="C14" s="28"/>
      <c r="D14" s="27"/>
      <c r="E14" s="27"/>
      <c r="F14" s="29" t="str">
        <f aca="false">IFERROR(E14/D14,"")</f>
        <v/>
      </c>
      <c r="G14" s="30" t="str">
        <f aca="false">IFERROR(IF(A14="","",G13+E14),"")</f>
        <v/>
      </c>
      <c r="H14" s="27"/>
      <c r="I14" s="27"/>
      <c r="J14" s="31" t="str">
        <f aca="false">IF(A14="","",IF(AND(F14&gt;=1,H14="Pass",I14="Complete"),"COMPLETE",IF(E14&gt;0,"IN PROGRESS","NOT STARTED")))</f>
        <v/>
      </c>
      <c r="K14" s="32"/>
      <c r="L14" s="28"/>
      <c r="M14" s="27"/>
      <c r="N14" s="27"/>
      <c r="O14" s="27"/>
    </row>
    <row r="15" customFormat="false" ht="15" hidden="false" customHeight="false" outlineLevel="0" collapsed="false">
      <c r="A15" s="27"/>
      <c r="B15" s="27"/>
      <c r="C15" s="28"/>
      <c r="D15" s="27"/>
      <c r="E15" s="27"/>
      <c r="F15" s="29" t="str">
        <f aca="false">IFERROR(E15/D15,"")</f>
        <v/>
      </c>
      <c r="G15" s="30" t="str">
        <f aca="false">IFERROR(IF(A15="","",G14+E15),"")</f>
        <v/>
      </c>
      <c r="H15" s="27"/>
      <c r="I15" s="27"/>
      <c r="J15" s="31" t="str">
        <f aca="false">IF(A15="","",IF(AND(F15&gt;=1,H15="Pass",I15="Complete"),"COMPLETE",IF(E15&gt;0,"IN PROGRESS","NOT STARTED")))</f>
        <v/>
      </c>
      <c r="K15" s="32"/>
      <c r="L15" s="28"/>
      <c r="M15" s="27"/>
      <c r="N15" s="27"/>
      <c r="O15" s="27"/>
    </row>
    <row r="16" customFormat="false" ht="15" hidden="false" customHeight="false" outlineLevel="0" collapsed="false">
      <c r="A16" s="27"/>
      <c r="B16" s="27"/>
      <c r="C16" s="28"/>
      <c r="D16" s="27"/>
      <c r="E16" s="27"/>
      <c r="F16" s="29" t="str">
        <f aca="false">IFERROR(E16/D16,"")</f>
        <v/>
      </c>
      <c r="G16" s="30" t="str">
        <f aca="false">IFERROR(IF(A16="","",G15+E16),"")</f>
        <v/>
      </c>
      <c r="H16" s="27"/>
      <c r="I16" s="27"/>
      <c r="J16" s="31" t="str">
        <f aca="false">IF(A16="","",IF(AND(F16&gt;=1,H16="Pass",I16="Complete"),"COMPLETE",IF(E16&gt;0,"IN PROGRESS","NOT STARTED")))</f>
        <v/>
      </c>
      <c r="K16" s="32"/>
      <c r="L16" s="28"/>
      <c r="M16" s="27"/>
      <c r="N16" s="27"/>
      <c r="O16" s="27"/>
    </row>
    <row r="17" customFormat="false" ht="15" hidden="false" customHeight="false" outlineLevel="0" collapsed="false">
      <c r="A17" s="27"/>
      <c r="B17" s="27"/>
      <c r="C17" s="28"/>
      <c r="D17" s="27"/>
      <c r="E17" s="27"/>
      <c r="F17" s="29" t="str">
        <f aca="false">IFERROR(E17/D17,"")</f>
        <v/>
      </c>
      <c r="G17" s="30" t="str">
        <f aca="false">IFERROR(IF(A17="","",G16+E17),"")</f>
        <v/>
      </c>
      <c r="H17" s="27"/>
      <c r="I17" s="27"/>
      <c r="J17" s="31" t="str">
        <f aca="false">IF(A17="","",IF(AND(F17&gt;=1,H17="Pass",I17="Complete"),"COMPLETE",IF(E17&gt;0,"IN PROGRESS","NOT STARTED")))</f>
        <v/>
      </c>
      <c r="K17" s="32"/>
      <c r="L17" s="28"/>
      <c r="M17" s="27"/>
      <c r="N17" s="27"/>
      <c r="O17" s="27"/>
    </row>
    <row r="18" customFormat="false" ht="15" hidden="false" customHeight="false" outlineLevel="0" collapsed="false">
      <c r="A18" s="27"/>
      <c r="B18" s="27"/>
      <c r="C18" s="28"/>
      <c r="D18" s="27"/>
      <c r="E18" s="27"/>
      <c r="F18" s="29" t="str">
        <f aca="false">IFERROR(E18/D18,"")</f>
        <v/>
      </c>
      <c r="G18" s="30" t="str">
        <f aca="false">IFERROR(IF(A18="","",G17+E18),"")</f>
        <v/>
      </c>
      <c r="H18" s="27"/>
      <c r="I18" s="27"/>
      <c r="J18" s="31" t="str">
        <f aca="false">IF(A18="","",IF(AND(F18&gt;=1,H18="Pass",I18="Complete"),"COMPLETE",IF(E18&gt;0,"IN PROGRESS","NOT STARTED")))</f>
        <v/>
      </c>
      <c r="K18" s="32"/>
      <c r="L18" s="28"/>
      <c r="M18" s="27"/>
      <c r="N18" s="27"/>
      <c r="O18" s="27"/>
    </row>
    <row r="19" customFormat="false" ht="15" hidden="false" customHeight="false" outlineLevel="0" collapsed="false">
      <c r="A19" s="27"/>
      <c r="B19" s="27"/>
      <c r="C19" s="28"/>
      <c r="D19" s="27"/>
      <c r="E19" s="27"/>
      <c r="F19" s="29" t="str">
        <f aca="false">IFERROR(E19/D19,"")</f>
        <v/>
      </c>
      <c r="G19" s="30" t="str">
        <f aca="false">IFERROR(IF(A19="","",G18+E19),"")</f>
        <v/>
      </c>
      <c r="H19" s="27"/>
      <c r="I19" s="27"/>
      <c r="J19" s="31" t="str">
        <f aca="false">IF(A19="","",IF(AND(F19&gt;=1,H19="Pass",I19="Complete"),"COMPLETE",IF(E19&gt;0,"IN PROGRESS","NOT STARTED")))</f>
        <v/>
      </c>
      <c r="K19" s="32"/>
      <c r="L19" s="28"/>
      <c r="M19" s="27"/>
      <c r="N19" s="27"/>
      <c r="O19" s="27"/>
    </row>
    <row r="20" customFormat="false" ht="15" hidden="false" customHeight="false" outlineLevel="0" collapsed="false">
      <c r="A20" s="27"/>
      <c r="B20" s="27"/>
      <c r="C20" s="28"/>
      <c r="D20" s="27"/>
      <c r="E20" s="27"/>
      <c r="F20" s="29" t="str">
        <f aca="false">IFERROR(E20/D20,"")</f>
        <v/>
      </c>
      <c r="G20" s="30" t="str">
        <f aca="false">IFERROR(IF(A20="","",G19+E20),"")</f>
        <v/>
      </c>
      <c r="H20" s="27"/>
      <c r="I20" s="27"/>
      <c r="J20" s="31" t="str">
        <f aca="false">IF(A20="","",IF(AND(F20&gt;=1,H20="Pass",I20="Complete"),"COMPLETE",IF(E20&gt;0,"IN PROGRESS","NOT STARTED")))</f>
        <v/>
      </c>
      <c r="K20" s="32"/>
      <c r="L20" s="28"/>
      <c r="M20" s="27"/>
      <c r="N20" s="27"/>
      <c r="O20" s="27"/>
    </row>
    <row r="21" customFormat="false" ht="15" hidden="false" customHeight="false" outlineLevel="0" collapsed="false">
      <c r="A21" s="27"/>
      <c r="B21" s="27"/>
      <c r="C21" s="28"/>
      <c r="D21" s="27"/>
      <c r="E21" s="27"/>
      <c r="F21" s="29" t="str">
        <f aca="false">IFERROR(E21/D21,"")</f>
        <v/>
      </c>
      <c r="G21" s="30" t="str">
        <f aca="false">IFERROR(IF(A21="","",G20+E21),"")</f>
        <v/>
      </c>
      <c r="H21" s="27"/>
      <c r="I21" s="27"/>
      <c r="J21" s="31" t="str">
        <f aca="false">IF(A21="","",IF(AND(F21&gt;=1,H21="Pass",I21="Complete"),"COMPLETE",IF(E21&gt;0,"IN PROGRESS","NOT STARTED")))</f>
        <v/>
      </c>
      <c r="K21" s="32"/>
      <c r="L21" s="28"/>
      <c r="M21" s="27"/>
      <c r="N21" s="27"/>
      <c r="O21" s="27"/>
    </row>
    <row r="22" customFormat="false" ht="15" hidden="false" customHeight="false" outlineLevel="0" collapsed="false">
      <c r="A22" s="27"/>
      <c r="B22" s="27"/>
      <c r="C22" s="28"/>
      <c r="D22" s="27"/>
      <c r="E22" s="27"/>
      <c r="F22" s="29" t="str">
        <f aca="false">IFERROR(E22/D22,"")</f>
        <v/>
      </c>
      <c r="G22" s="30" t="str">
        <f aca="false">IFERROR(IF(A22="","",G21+E22),"")</f>
        <v/>
      </c>
      <c r="H22" s="27"/>
      <c r="I22" s="27"/>
      <c r="J22" s="31" t="str">
        <f aca="false">IF(A22="","",IF(AND(F22&gt;=1,H22="Pass",I22="Complete"),"COMPLETE",IF(E22&gt;0,"IN PROGRESS","NOT STARTED")))</f>
        <v/>
      </c>
      <c r="K22" s="32"/>
      <c r="L22" s="28"/>
      <c r="M22" s="27"/>
      <c r="N22" s="27"/>
      <c r="O22" s="27"/>
    </row>
    <row r="23" customFormat="false" ht="15" hidden="false" customHeight="false" outlineLevel="0" collapsed="false">
      <c r="A23" s="27"/>
      <c r="B23" s="27"/>
      <c r="C23" s="28"/>
      <c r="D23" s="27"/>
      <c r="E23" s="27"/>
      <c r="F23" s="29" t="str">
        <f aca="false">IFERROR(E23/D23,"")</f>
        <v/>
      </c>
      <c r="G23" s="30" t="str">
        <f aca="false">IFERROR(IF(A23="","",G22+E23),"")</f>
        <v/>
      </c>
      <c r="H23" s="27"/>
      <c r="I23" s="27"/>
      <c r="J23" s="31" t="str">
        <f aca="false">IF(A23="","",IF(AND(F23&gt;=1,H23="Pass",I23="Complete"),"COMPLETE",IF(E23&gt;0,"IN PROGRESS","NOT STARTED")))</f>
        <v/>
      </c>
      <c r="K23" s="32"/>
      <c r="L23" s="28"/>
      <c r="M23" s="27"/>
      <c r="N23" s="27"/>
      <c r="O23" s="27"/>
    </row>
    <row r="24" customFormat="false" ht="15" hidden="false" customHeight="false" outlineLevel="0" collapsed="false">
      <c r="A24" s="27"/>
      <c r="B24" s="27"/>
      <c r="C24" s="28"/>
      <c r="D24" s="27"/>
      <c r="E24" s="27"/>
      <c r="F24" s="29" t="str">
        <f aca="false">IFERROR(E24/D24,"")</f>
        <v/>
      </c>
      <c r="G24" s="30" t="str">
        <f aca="false">IFERROR(IF(A24="","",G23+E24),"")</f>
        <v/>
      </c>
      <c r="H24" s="27"/>
      <c r="I24" s="27"/>
      <c r="J24" s="31" t="str">
        <f aca="false">IF(A24="","",IF(AND(F24&gt;=1,H24="Pass",I24="Complete"),"COMPLETE",IF(E24&gt;0,"IN PROGRESS","NOT STARTED")))</f>
        <v/>
      </c>
      <c r="K24" s="32"/>
      <c r="L24" s="28"/>
      <c r="M24" s="27"/>
      <c r="N24" s="27"/>
      <c r="O24" s="27"/>
    </row>
    <row r="25" customFormat="false" ht="15" hidden="false" customHeight="false" outlineLevel="0" collapsed="false">
      <c r="A25" s="27"/>
      <c r="B25" s="27"/>
      <c r="C25" s="28"/>
      <c r="D25" s="27"/>
      <c r="E25" s="27"/>
      <c r="F25" s="29" t="str">
        <f aca="false">IFERROR(E25/D25,"")</f>
        <v/>
      </c>
      <c r="G25" s="30" t="str">
        <f aca="false">IFERROR(IF(A25="","",G24+E25),"")</f>
        <v/>
      </c>
      <c r="H25" s="27"/>
      <c r="I25" s="27"/>
      <c r="J25" s="31" t="str">
        <f aca="false">IF(A25="","",IF(AND(F25&gt;=1,H25="Pass",I25="Complete"),"COMPLETE",IF(E25&gt;0,"IN PROGRESS","NOT STARTED")))</f>
        <v/>
      </c>
      <c r="K25" s="32"/>
      <c r="L25" s="28"/>
      <c r="M25" s="27"/>
      <c r="N25" s="27"/>
      <c r="O25" s="27"/>
    </row>
    <row r="26" customFormat="false" ht="15" hidden="false" customHeight="false" outlineLevel="0" collapsed="false">
      <c r="A26" s="27"/>
      <c r="B26" s="27"/>
      <c r="C26" s="28"/>
      <c r="D26" s="27"/>
      <c r="E26" s="27"/>
      <c r="F26" s="29" t="str">
        <f aca="false">IFERROR(E26/D26,"")</f>
        <v/>
      </c>
      <c r="G26" s="30" t="str">
        <f aca="false">IFERROR(IF(A26="","",G25+E26),"")</f>
        <v/>
      </c>
      <c r="H26" s="27"/>
      <c r="I26" s="27"/>
      <c r="J26" s="31" t="str">
        <f aca="false">IF(A26="","",IF(AND(F26&gt;=1,H26="Pass",I26="Complete"),"COMPLETE",IF(E26&gt;0,"IN PROGRESS","NOT STARTED")))</f>
        <v/>
      </c>
      <c r="K26" s="32"/>
      <c r="L26" s="28"/>
      <c r="M26" s="27"/>
      <c r="N26" s="27"/>
      <c r="O26" s="27"/>
    </row>
    <row r="27" customFormat="false" ht="15" hidden="false" customHeight="false" outlineLevel="0" collapsed="false">
      <c r="A27" s="27"/>
      <c r="B27" s="27"/>
      <c r="C27" s="28"/>
      <c r="D27" s="27"/>
      <c r="E27" s="27"/>
      <c r="F27" s="29" t="str">
        <f aca="false">IFERROR(E27/D27,"")</f>
        <v/>
      </c>
      <c r="G27" s="30" t="str">
        <f aca="false">IFERROR(IF(A27="","",G26+E27),"")</f>
        <v/>
      </c>
      <c r="H27" s="27"/>
      <c r="I27" s="27"/>
      <c r="J27" s="31" t="str">
        <f aca="false">IF(A27="","",IF(AND(F27&gt;=1,H27="Pass",I27="Complete"),"COMPLETE",IF(E27&gt;0,"IN PROGRESS","NOT STARTED")))</f>
        <v/>
      </c>
      <c r="K27" s="32"/>
      <c r="L27" s="28"/>
      <c r="M27" s="27"/>
      <c r="N27" s="27"/>
      <c r="O27" s="27"/>
    </row>
    <row r="28" customFormat="false" ht="15" hidden="false" customHeight="false" outlineLevel="0" collapsed="false">
      <c r="A28" s="27"/>
      <c r="B28" s="27"/>
      <c r="C28" s="28"/>
      <c r="D28" s="27"/>
      <c r="E28" s="27"/>
      <c r="F28" s="29" t="str">
        <f aca="false">IFERROR(E28/D28,"")</f>
        <v/>
      </c>
      <c r="G28" s="30" t="str">
        <f aca="false">IFERROR(IF(A28="","",G27+E28),"")</f>
        <v/>
      </c>
      <c r="H28" s="27"/>
      <c r="I28" s="27"/>
      <c r="J28" s="31" t="str">
        <f aca="false">IF(A28="","",IF(AND(F28&gt;=1,H28="Pass",I28="Complete"),"COMPLETE",IF(E28&gt;0,"IN PROGRESS","NOT STARTED")))</f>
        <v/>
      </c>
      <c r="K28" s="32"/>
      <c r="L28" s="28"/>
      <c r="M28" s="27"/>
      <c r="N28" s="27"/>
      <c r="O28" s="27"/>
    </row>
    <row r="29" customFormat="false" ht="15" hidden="false" customHeight="false" outlineLevel="0" collapsed="false">
      <c r="A29" s="27"/>
      <c r="B29" s="27"/>
      <c r="C29" s="28"/>
      <c r="D29" s="27"/>
      <c r="E29" s="27"/>
      <c r="F29" s="29" t="str">
        <f aca="false">IFERROR(E29/D29,"")</f>
        <v/>
      </c>
      <c r="G29" s="30" t="str">
        <f aca="false">IFERROR(IF(A29="","",G28+E29),"")</f>
        <v/>
      </c>
      <c r="H29" s="27"/>
      <c r="I29" s="27"/>
      <c r="J29" s="31" t="str">
        <f aca="false">IF(A29="","",IF(AND(F29&gt;=1,H29="Pass",I29="Complete"),"COMPLETE",IF(E29&gt;0,"IN PROGRESS","NOT STARTED")))</f>
        <v/>
      </c>
      <c r="K29" s="32"/>
      <c r="L29" s="28"/>
      <c r="M29" s="27"/>
      <c r="N29" s="27"/>
      <c r="O29" s="27"/>
    </row>
    <row r="30" customFormat="false" ht="15" hidden="false" customHeight="false" outlineLevel="0" collapsed="false">
      <c r="A30" s="27"/>
      <c r="B30" s="27"/>
      <c r="C30" s="28"/>
      <c r="D30" s="27"/>
      <c r="E30" s="27"/>
      <c r="F30" s="29" t="str">
        <f aca="false">IFERROR(E30/D30,"")</f>
        <v/>
      </c>
      <c r="G30" s="30" t="str">
        <f aca="false">IFERROR(IF(A30="","",G29+E30),"")</f>
        <v/>
      </c>
      <c r="H30" s="27"/>
      <c r="I30" s="27"/>
      <c r="J30" s="31" t="str">
        <f aca="false">IF(A30="","",IF(AND(F30&gt;=1,H30="Pass",I30="Complete"),"COMPLETE",IF(E30&gt;0,"IN PROGRESS","NOT STARTED")))</f>
        <v/>
      </c>
      <c r="K30" s="32"/>
      <c r="L30" s="28"/>
      <c r="M30" s="27"/>
      <c r="N30" s="27"/>
      <c r="O30" s="27"/>
    </row>
    <row r="31" customFormat="false" ht="15" hidden="false" customHeight="false" outlineLevel="0" collapsed="false">
      <c r="A31" s="27"/>
      <c r="B31" s="27"/>
      <c r="C31" s="28"/>
      <c r="D31" s="27"/>
      <c r="E31" s="27"/>
      <c r="F31" s="29" t="str">
        <f aca="false">IFERROR(E31/D31,"")</f>
        <v/>
      </c>
      <c r="G31" s="30" t="str">
        <f aca="false">IFERROR(IF(A31="","",G30+E31),"")</f>
        <v/>
      </c>
      <c r="H31" s="27"/>
      <c r="I31" s="27"/>
      <c r="J31" s="31" t="str">
        <f aca="false">IF(A31="","",IF(AND(F31&gt;=1,H31="Pass",I31="Complete"),"COMPLETE",IF(E31&gt;0,"IN PROGRESS","NOT STARTED")))</f>
        <v/>
      </c>
      <c r="K31" s="32"/>
      <c r="L31" s="28"/>
      <c r="M31" s="27"/>
      <c r="N31" s="27"/>
      <c r="O31" s="27"/>
    </row>
    <row r="32" customFormat="false" ht="15" hidden="false" customHeight="false" outlineLevel="0" collapsed="false">
      <c r="A32" s="27"/>
      <c r="B32" s="27"/>
      <c r="C32" s="28"/>
      <c r="D32" s="27"/>
      <c r="E32" s="27"/>
      <c r="F32" s="29" t="str">
        <f aca="false">IFERROR(E32/D32,"")</f>
        <v/>
      </c>
      <c r="G32" s="30" t="str">
        <f aca="false">IFERROR(IF(A32="","",G31+E32),"")</f>
        <v/>
      </c>
      <c r="H32" s="27"/>
      <c r="I32" s="27"/>
      <c r="J32" s="31" t="str">
        <f aca="false">IF(A32="","",IF(AND(F32&gt;=1,H32="Pass",I32="Complete"),"COMPLETE",IF(E32&gt;0,"IN PROGRESS","NOT STARTED")))</f>
        <v/>
      </c>
      <c r="K32" s="32"/>
      <c r="L32" s="28"/>
      <c r="M32" s="27"/>
      <c r="N32" s="27"/>
      <c r="O32" s="27"/>
    </row>
    <row r="33" customFormat="false" ht="15" hidden="false" customHeight="false" outlineLevel="0" collapsed="false">
      <c r="A33" s="27"/>
      <c r="B33" s="27"/>
      <c r="C33" s="28"/>
      <c r="D33" s="27"/>
      <c r="E33" s="27"/>
      <c r="F33" s="29" t="str">
        <f aca="false">IFERROR(E33/D33,"")</f>
        <v/>
      </c>
      <c r="G33" s="30" t="str">
        <f aca="false">IFERROR(IF(A33="","",G32+E33),"")</f>
        <v/>
      </c>
      <c r="H33" s="27"/>
      <c r="I33" s="27"/>
      <c r="J33" s="31" t="str">
        <f aca="false">IF(A33="","",IF(AND(F33&gt;=1,H33="Pass",I33="Complete"),"COMPLETE",IF(E33&gt;0,"IN PROGRESS","NOT STARTED")))</f>
        <v/>
      </c>
      <c r="K33" s="32"/>
      <c r="L33" s="28"/>
      <c r="M33" s="27"/>
      <c r="N33" s="27"/>
      <c r="O33" s="27"/>
    </row>
    <row r="34" customFormat="false" ht="15" hidden="false" customHeight="false" outlineLevel="0" collapsed="false">
      <c r="A34" s="27"/>
      <c r="B34" s="27"/>
      <c r="C34" s="28"/>
      <c r="D34" s="27"/>
      <c r="E34" s="27"/>
      <c r="F34" s="29" t="str">
        <f aca="false">IFERROR(E34/D34,"")</f>
        <v/>
      </c>
      <c r="G34" s="30" t="str">
        <f aca="false">IFERROR(IF(A34="","",G33+E34),"")</f>
        <v/>
      </c>
      <c r="H34" s="27"/>
      <c r="I34" s="27"/>
      <c r="J34" s="31" t="str">
        <f aca="false">IF(A34="","",IF(AND(F34&gt;=1,H34="Pass",I34="Complete"),"COMPLETE",IF(E34&gt;0,"IN PROGRESS","NOT STARTED")))</f>
        <v/>
      </c>
      <c r="K34" s="32"/>
      <c r="L34" s="28"/>
      <c r="M34" s="27"/>
      <c r="N34" s="27"/>
      <c r="O34" s="27"/>
    </row>
    <row r="35" customFormat="false" ht="15" hidden="false" customHeight="false" outlineLevel="0" collapsed="false">
      <c r="A35" s="27"/>
      <c r="B35" s="27"/>
      <c r="C35" s="28"/>
      <c r="D35" s="27"/>
      <c r="E35" s="27"/>
      <c r="F35" s="29" t="str">
        <f aca="false">IFERROR(E35/D35,"")</f>
        <v/>
      </c>
      <c r="G35" s="30" t="str">
        <f aca="false">IFERROR(IF(A35="","",G34+E35),"")</f>
        <v/>
      </c>
      <c r="H35" s="27"/>
      <c r="I35" s="27"/>
      <c r="J35" s="31" t="str">
        <f aca="false">IF(A35="","",IF(AND(F35&gt;=1,H35="Pass",I35="Complete"),"COMPLETE",IF(E35&gt;0,"IN PROGRESS","NOT STARTED")))</f>
        <v/>
      </c>
      <c r="K35" s="32"/>
      <c r="L35" s="28"/>
      <c r="M35" s="27"/>
      <c r="N35" s="27"/>
      <c r="O35" s="27"/>
    </row>
    <row r="36" customFormat="false" ht="15" hidden="false" customHeight="false" outlineLevel="0" collapsed="false">
      <c r="A36" s="27"/>
      <c r="B36" s="27"/>
      <c r="C36" s="28"/>
      <c r="D36" s="27"/>
      <c r="E36" s="27"/>
      <c r="F36" s="29" t="str">
        <f aca="false">IFERROR(E36/D36,"")</f>
        <v/>
      </c>
      <c r="G36" s="30" t="str">
        <f aca="false">IFERROR(IF(A36="","",G35+E36),"")</f>
        <v/>
      </c>
      <c r="H36" s="27"/>
      <c r="I36" s="27"/>
      <c r="J36" s="31" t="str">
        <f aca="false">IF(A36="","",IF(AND(F36&gt;=1,H36="Pass",I36="Complete"),"COMPLETE",IF(E36&gt;0,"IN PROGRESS","NOT STARTED")))</f>
        <v/>
      </c>
      <c r="K36" s="32"/>
      <c r="L36" s="28"/>
      <c r="M36" s="27"/>
      <c r="N36" s="27"/>
      <c r="O36" s="27"/>
    </row>
    <row r="37" customFormat="false" ht="15" hidden="false" customHeight="false" outlineLevel="0" collapsed="false">
      <c r="A37" s="27"/>
      <c r="B37" s="27"/>
      <c r="C37" s="28"/>
      <c r="D37" s="27"/>
      <c r="E37" s="27"/>
      <c r="F37" s="29" t="str">
        <f aca="false">IFERROR(E37/D37,"")</f>
        <v/>
      </c>
      <c r="G37" s="30" t="str">
        <f aca="false">IFERROR(IF(A37="","",G36+E37),"")</f>
        <v/>
      </c>
      <c r="H37" s="27"/>
      <c r="I37" s="27"/>
      <c r="J37" s="31" t="str">
        <f aca="false">IF(A37="","",IF(AND(F37&gt;=1,H37="Pass",I37="Complete"),"COMPLETE",IF(E37&gt;0,"IN PROGRESS","NOT STARTED")))</f>
        <v/>
      </c>
      <c r="K37" s="32"/>
      <c r="L37" s="28"/>
      <c r="M37" s="27"/>
      <c r="N37" s="27"/>
      <c r="O37" s="27"/>
    </row>
    <row r="38" customFormat="false" ht="15" hidden="false" customHeight="false" outlineLevel="0" collapsed="false">
      <c r="A38" s="27"/>
      <c r="B38" s="27"/>
      <c r="C38" s="28"/>
      <c r="D38" s="27"/>
      <c r="E38" s="27"/>
      <c r="F38" s="29" t="str">
        <f aca="false">IFERROR(E38/D38,"")</f>
        <v/>
      </c>
      <c r="G38" s="30" t="str">
        <f aca="false">IFERROR(IF(A38="","",G37+E38),"")</f>
        <v/>
      </c>
      <c r="H38" s="27"/>
      <c r="I38" s="27"/>
      <c r="J38" s="31" t="str">
        <f aca="false">IF(A38="","",IF(AND(F38&gt;=1,H38="Pass",I38="Complete"),"COMPLETE",IF(E38&gt;0,"IN PROGRESS","NOT STARTED")))</f>
        <v/>
      </c>
      <c r="K38" s="32"/>
      <c r="L38" s="28"/>
      <c r="M38" s="27"/>
      <c r="N38" s="27"/>
      <c r="O38" s="27"/>
    </row>
    <row r="39" customFormat="false" ht="15" hidden="false" customHeight="false" outlineLevel="0" collapsed="false">
      <c r="A39" s="27"/>
      <c r="B39" s="27"/>
      <c r="C39" s="28"/>
      <c r="D39" s="27"/>
      <c r="E39" s="27"/>
      <c r="F39" s="29" t="str">
        <f aca="false">IFERROR(E39/D39,"")</f>
        <v/>
      </c>
      <c r="G39" s="30" t="str">
        <f aca="false">IFERROR(IF(A39="","",G38+E39),"")</f>
        <v/>
      </c>
      <c r="H39" s="27"/>
      <c r="I39" s="27"/>
      <c r="J39" s="31" t="str">
        <f aca="false">IF(A39="","",IF(AND(F39&gt;=1,H39="Pass",I39="Complete"),"COMPLETE",IF(E39&gt;0,"IN PROGRESS","NOT STARTED")))</f>
        <v/>
      </c>
      <c r="K39" s="32"/>
      <c r="L39" s="28"/>
      <c r="M39" s="27"/>
      <c r="N39" s="27"/>
      <c r="O39" s="27"/>
    </row>
    <row r="40" customFormat="false" ht="15" hidden="false" customHeight="false" outlineLevel="0" collapsed="false">
      <c r="A40" s="27"/>
      <c r="B40" s="27"/>
      <c r="C40" s="28"/>
      <c r="D40" s="27"/>
      <c r="E40" s="27"/>
      <c r="F40" s="29" t="str">
        <f aca="false">IFERROR(E40/D40,"")</f>
        <v/>
      </c>
      <c r="G40" s="30" t="str">
        <f aca="false">IFERROR(IF(A40="","",G39+E40),"")</f>
        <v/>
      </c>
      <c r="H40" s="27"/>
      <c r="I40" s="27"/>
      <c r="J40" s="31" t="str">
        <f aca="false">IF(A40="","",IF(AND(F40&gt;=1,H40="Pass",I40="Complete"),"COMPLETE",IF(E40&gt;0,"IN PROGRESS","NOT STARTED")))</f>
        <v/>
      </c>
      <c r="K40" s="32"/>
      <c r="L40" s="28"/>
      <c r="M40" s="27"/>
      <c r="N40" s="27"/>
      <c r="O40" s="27"/>
    </row>
    <row r="41" customFormat="false" ht="15" hidden="false" customHeight="false" outlineLevel="0" collapsed="false">
      <c r="A41" s="27"/>
      <c r="B41" s="27"/>
      <c r="C41" s="28"/>
      <c r="D41" s="27"/>
      <c r="E41" s="27"/>
      <c r="F41" s="29" t="str">
        <f aca="false">IFERROR(E41/D41,"")</f>
        <v/>
      </c>
      <c r="G41" s="30" t="str">
        <f aca="false">IFERROR(IF(A41="","",G40+E41),"")</f>
        <v/>
      </c>
      <c r="H41" s="27"/>
      <c r="I41" s="27"/>
      <c r="J41" s="31" t="str">
        <f aca="false">IF(A41="","",IF(AND(F41&gt;=1,H41="Pass",I41="Complete"),"COMPLETE",IF(E41&gt;0,"IN PROGRESS","NOT STARTED")))</f>
        <v/>
      </c>
      <c r="K41" s="32"/>
      <c r="L41" s="28"/>
      <c r="M41" s="27"/>
      <c r="N41" s="27"/>
      <c r="O41" s="27"/>
    </row>
    <row r="42" customFormat="false" ht="15" hidden="false" customHeight="false" outlineLevel="0" collapsed="false">
      <c r="A42" s="27"/>
      <c r="B42" s="27"/>
      <c r="C42" s="28"/>
      <c r="D42" s="27"/>
      <c r="E42" s="27"/>
      <c r="F42" s="29" t="str">
        <f aca="false">IFERROR(E42/D42,"")</f>
        <v/>
      </c>
      <c r="G42" s="30" t="str">
        <f aca="false">IFERROR(IF(A42="","",G41+E42),"")</f>
        <v/>
      </c>
      <c r="H42" s="27"/>
      <c r="I42" s="27"/>
      <c r="J42" s="31" t="str">
        <f aca="false">IF(A42="","",IF(AND(F42&gt;=1,H42="Pass",I42="Complete"),"COMPLETE",IF(E42&gt;0,"IN PROGRESS","NOT STARTED")))</f>
        <v/>
      </c>
      <c r="K42" s="32"/>
      <c r="L42" s="28"/>
      <c r="M42" s="27"/>
      <c r="N42" s="27"/>
      <c r="O42" s="27"/>
    </row>
    <row r="43" customFormat="false" ht="15" hidden="false" customHeight="false" outlineLevel="0" collapsed="false">
      <c r="A43" s="27"/>
      <c r="B43" s="27"/>
      <c r="C43" s="28"/>
      <c r="D43" s="27"/>
      <c r="E43" s="27"/>
      <c r="F43" s="29" t="str">
        <f aca="false">IFERROR(E43/D43,"")</f>
        <v/>
      </c>
      <c r="G43" s="30" t="str">
        <f aca="false">IFERROR(IF(A43="","",G42+E43),"")</f>
        <v/>
      </c>
      <c r="H43" s="27"/>
      <c r="I43" s="27"/>
      <c r="J43" s="31" t="str">
        <f aca="false">IF(A43="","",IF(AND(F43&gt;=1,H43="Pass",I43="Complete"),"COMPLETE",IF(E43&gt;0,"IN PROGRESS","NOT STARTED")))</f>
        <v/>
      </c>
      <c r="K43" s="32"/>
      <c r="L43" s="28"/>
      <c r="M43" s="27"/>
      <c r="N43" s="27"/>
      <c r="O43" s="27"/>
    </row>
    <row r="44" customFormat="false" ht="15" hidden="false" customHeight="false" outlineLevel="0" collapsed="false">
      <c r="A44" s="27"/>
      <c r="B44" s="27"/>
      <c r="C44" s="28"/>
      <c r="D44" s="27"/>
      <c r="E44" s="27"/>
      <c r="F44" s="29" t="str">
        <f aca="false">IFERROR(E44/D44,"")</f>
        <v/>
      </c>
      <c r="G44" s="30" t="str">
        <f aca="false">IFERROR(IF(A44="","",G43+E44),"")</f>
        <v/>
      </c>
      <c r="H44" s="27"/>
      <c r="I44" s="27"/>
      <c r="J44" s="31" t="str">
        <f aca="false">IF(A44="","",IF(AND(F44&gt;=1,H44="Pass",I44="Complete"),"COMPLETE",IF(E44&gt;0,"IN PROGRESS","NOT STARTED")))</f>
        <v/>
      </c>
      <c r="K44" s="32"/>
      <c r="L44" s="28"/>
      <c r="M44" s="27"/>
      <c r="N44" s="27"/>
      <c r="O44" s="27"/>
    </row>
    <row r="45" customFormat="false" ht="15" hidden="false" customHeight="false" outlineLevel="0" collapsed="false">
      <c r="A45" s="27"/>
      <c r="B45" s="27"/>
      <c r="C45" s="28"/>
      <c r="D45" s="27"/>
      <c r="E45" s="27"/>
      <c r="F45" s="29" t="str">
        <f aca="false">IFERROR(E45/D45,"")</f>
        <v/>
      </c>
      <c r="G45" s="30" t="str">
        <f aca="false">IFERROR(IF(A45="","",G44+E45),"")</f>
        <v/>
      </c>
      <c r="H45" s="27"/>
      <c r="I45" s="27"/>
      <c r="J45" s="31" t="str">
        <f aca="false">IF(A45="","",IF(AND(F45&gt;=1,H45="Pass",I45="Complete"),"COMPLETE",IF(E45&gt;0,"IN PROGRESS","NOT STARTED")))</f>
        <v/>
      </c>
      <c r="K45" s="32"/>
      <c r="L45" s="28"/>
      <c r="M45" s="27"/>
      <c r="N45" s="27"/>
      <c r="O45" s="27"/>
    </row>
    <row r="46" customFormat="false" ht="15" hidden="false" customHeight="false" outlineLevel="0" collapsed="false">
      <c r="A46" s="27"/>
      <c r="B46" s="27"/>
      <c r="C46" s="28"/>
      <c r="D46" s="27"/>
      <c r="E46" s="27"/>
      <c r="F46" s="29" t="str">
        <f aca="false">IFERROR(E46/D46,"")</f>
        <v/>
      </c>
      <c r="G46" s="30" t="str">
        <f aca="false">IFERROR(IF(A46="","",G45+E46),"")</f>
        <v/>
      </c>
      <c r="H46" s="27"/>
      <c r="I46" s="27"/>
      <c r="J46" s="31" t="str">
        <f aca="false">IF(A46="","",IF(AND(F46&gt;=1,H46="Pass",I46="Complete"),"COMPLETE",IF(E46&gt;0,"IN PROGRESS","NOT STARTED")))</f>
        <v/>
      </c>
      <c r="K46" s="32"/>
      <c r="L46" s="28"/>
      <c r="M46" s="27"/>
      <c r="N46" s="27"/>
      <c r="O46" s="27"/>
    </row>
    <row r="47" customFormat="false" ht="15" hidden="false" customHeight="false" outlineLevel="0" collapsed="false">
      <c r="A47" s="27"/>
      <c r="B47" s="27"/>
      <c r="C47" s="28"/>
      <c r="D47" s="27"/>
      <c r="E47" s="27"/>
      <c r="F47" s="29" t="str">
        <f aca="false">IFERROR(E47/D47,"")</f>
        <v/>
      </c>
      <c r="G47" s="30" t="str">
        <f aca="false">IFERROR(IF(A47="","",G46+E47),"")</f>
        <v/>
      </c>
      <c r="H47" s="27"/>
      <c r="I47" s="27"/>
      <c r="J47" s="31" t="str">
        <f aca="false">IF(A47="","",IF(AND(F47&gt;=1,H47="Pass",I47="Complete"),"COMPLETE",IF(E47&gt;0,"IN PROGRESS","NOT STARTED")))</f>
        <v/>
      </c>
      <c r="K47" s="32"/>
      <c r="L47" s="28"/>
      <c r="M47" s="27"/>
      <c r="N47" s="27"/>
      <c r="O47" s="27"/>
    </row>
    <row r="48" customFormat="false" ht="15" hidden="false" customHeight="false" outlineLevel="0" collapsed="false">
      <c r="A48" s="27"/>
      <c r="B48" s="27"/>
      <c r="C48" s="28"/>
      <c r="D48" s="27"/>
      <c r="E48" s="27"/>
      <c r="F48" s="29" t="str">
        <f aca="false">IFERROR(E48/D48,"")</f>
        <v/>
      </c>
      <c r="G48" s="30" t="str">
        <f aca="false">IFERROR(IF(A48="","",G47+E48),"")</f>
        <v/>
      </c>
      <c r="H48" s="27"/>
      <c r="I48" s="27"/>
      <c r="J48" s="31" t="str">
        <f aca="false">IF(A48="","",IF(AND(F48&gt;=1,H48="Pass",I48="Complete"),"COMPLETE",IF(E48&gt;0,"IN PROGRESS","NOT STARTED")))</f>
        <v/>
      </c>
      <c r="K48" s="32"/>
      <c r="L48" s="28"/>
      <c r="M48" s="27"/>
      <c r="N48" s="27"/>
      <c r="O48" s="27"/>
    </row>
  </sheetData>
  <autoFilter ref="A7:O48"/>
  <mergeCells count="2">
    <mergeCell ref="A1:L1"/>
    <mergeCell ref="M6:O6"/>
  </mergeCells>
  <conditionalFormatting sqref="J8:J48">
    <cfRule type="cellIs" priority="2" operator="equal" aboveAverage="0" equalAverage="0" bottom="0" percent="0" rank="0" text="" dxfId="9">
      <formula>"COMPLETE"</formula>
    </cfRule>
    <cfRule type="cellIs" priority="3" operator="equal" aboveAverage="0" equalAverage="0" bottom="0" percent="0" rank="0" text="" dxfId="10">
      <formula>"IN PROGRESS"</formula>
    </cfRule>
    <cfRule type="cellIs" priority="4" operator="equal" aboveAverage="0" equalAverage="0" bottom="0" percent="0" rank="0" text="" dxfId="11">
      <formula>"NOT STARTED"</formula>
    </cfRule>
  </conditionalFormatting>
  <conditionalFormatting sqref="H8:H48">
    <cfRule type="cellIs" priority="5" operator="equal" aboveAverage="0" equalAverage="0" bottom="0" percent="0" rank="0" text="" dxfId="12">
      <formula>"Pass"</formula>
    </cfRule>
    <cfRule type="cellIs" priority="6" operator="equal" aboveAverage="0" equalAverage="0" bottom="0" percent="0" rank="0" text="" dxfId="13">
      <formula>"Fail"</formula>
    </cfRule>
  </conditionalFormatting>
  <conditionalFormatting sqref="F8:F48">
    <cfRule type="expression" priority="7" aboveAverage="0" equalAverage="0" bottom="0" percent="0" rank="0" text="" dxfId="12">
      <formula>AND(F8&lt;&gt;"",F8&gt;=1)</formula>
    </cfRule>
  </conditionalFormatting>
  <dataValidations count="3">
    <dataValidation allowBlank="true" errorStyle="stop" operator="between" showDropDown="false" showErrorMessage="false" showInputMessage="false" sqref="B8:B48" type="list">
      <formula1>"HB2 Kerb,BN Bullnose,EF Edging,Channel Block,Slot Drain,ACO Drain,Combined Kerb/Drain,Drop Kerb,Transition,Other"</formula1>
      <formula2>0</formula2>
    </dataValidation>
    <dataValidation allowBlank="true" errorStyle="stop" operator="between" showDropDown="false" showErrorMessage="false" showInputMessage="false" sqref="H8:H48 O8:O48" type="list">
      <formula1>"Pass,Fail,Pending"</formula1>
      <formula2>0</formula2>
    </dataValidation>
    <dataValidation allowBlank="true" errorStyle="stop" operator="between" showDropDown="false" showErrorMessage="false" showInputMessage="false" sqref="I8:I48" type="list">
      <formula1>"Complete,Partial,Not Started,N/A"</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&amp;CKerbing Drainage Progress Log</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0"/>
  </cols>
  <sheetData>
    <row r="1" customFormat="false" ht="15" hidden="false" customHeight="false" outlineLevel="0" collapsed="false">
      <c r="A1" s="33" t="s">
        <v>80</v>
      </c>
    </row>
    <row r="2" customFormat="false" ht="15" hidden="false" customHeight="false" outlineLevel="0" collapsed="false">
      <c r="A2" s="33"/>
    </row>
    <row r="3" customFormat="false" ht="15" hidden="false" customHeight="false" outlineLevel="0" collapsed="false">
      <c r="A3" s="33" t="s">
        <v>81</v>
      </c>
    </row>
    <row r="4" customFormat="false" ht="15" hidden="false" customHeight="false" outlineLevel="0" collapsed="false">
      <c r="A4" s="33"/>
    </row>
    <row r="5" customFormat="false" ht="15" hidden="false" customHeight="false" outlineLevel="0" collapsed="false">
      <c r="A5" s="33" t="s">
        <v>82</v>
      </c>
    </row>
    <row r="6" customFormat="false" ht="15" hidden="false" customHeight="false" outlineLevel="0" collapsed="false">
      <c r="A6" s="33"/>
    </row>
    <row r="7" customFormat="false" ht="15" hidden="false" customHeight="false" outlineLevel="0" collapsed="false">
      <c r="A7" s="33" t="s">
        <v>83</v>
      </c>
    </row>
    <row r="8" customFormat="false" ht="15" hidden="false" customHeight="false" outlineLevel="0" collapsed="false">
      <c r="A8" s="33"/>
    </row>
    <row r="9" customFormat="false" ht="15" hidden="false" customHeight="false" outlineLevel="0" collapsed="false">
      <c r="A9" s="33" t="s">
        <v>84</v>
      </c>
    </row>
    <row r="10" customFormat="false" ht="15" hidden="false" customHeight="false" outlineLevel="0" collapsed="false">
      <c r="A10" s="33"/>
    </row>
    <row r="11" customFormat="false" ht="15" hidden="false" customHeight="false" outlineLevel="0" collapsed="false">
      <c r="A11" s="33" t="s">
        <v>85</v>
      </c>
    </row>
    <row r="12" customFormat="false" ht="15" hidden="false" customHeight="false" outlineLevel="0" collapsed="false">
      <c r="A12" s="33"/>
    </row>
    <row r="13" customFormat="false" ht="15" hidden="false" customHeight="false" outlineLevel="0" collapsed="false">
      <c r="A13" s="33" t="s">
        <v>86</v>
      </c>
    </row>
    <row r="14" customFormat="false" ht="15" hidden="false" customHeight="false" outlineLevel="0" collapsed="false">
      <c r="A14" s="33"/>
    </row>
    <row r="15" customFormat="false" ht="15" hidden="false" customHeight="false" outlineLevel="0" collapsed="false">
      <c r="A15" s="33" t="s">
        <v>87</v>
      </c>
    </row>
    <row r="16" customFormat="false" ht="15" hidden="false" customHeight="false" outlineLevel="0" collapsed="false">
      <c r="A16" s="33"/>
    </row>
    <row r="17" customFormat="false" ht="15" hidden="false" customHeight="false" outlineLevel="0" collapsed="false">
      <c r="A17" s="33" t="s">
        <v>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Civils &amp; Groundworks</cp:category>
  <dcterms:created xsi:type="dcterms:W3CDTF">2026-03-23T13:43:32Z</dcterms:created>
  <dc:creator>Ebrora Ltd</dc:creator>
  <dc:description>Track kerbing and linear drainage installation progress with automatic meterage calculations, alignment checks, and backfill status.
Free professional construction management template from Ebrora Ltd. Visit ebrora.com for our full range of tools and templates.</dc:description>
  <cp:keywords>Ebrora construction civils kerbing drainage channel progress groundworks</cp:keywords>
  <dc:language>en-US</dc:language>
  <cp:lastModifiedBy>Ebrora Ltd</cp:lastModifiedBy>
  <dcterms:modified xsi:type="dcterms:W3CDTF">2026-03-23T13:43:32Z</dcterms:modified>
  <cp:revision>0</cp:revision>
  <dc:subject>Track kerbing and linear drainage installation with automatic meterage calculations and alignment checks.</dc:subject>
  <dc:title>Kerbing &amp; Drainage Progress Log</dc:title>
</cp:coreProperties>
</file>

<file path=docProps/custom.xml><?xml version="1.0" encoding="utf-8"?>
<Properties xmlns="http://schemas.openxmlformats.org/officeDocument/2006/custom-properties" xmlns:vt="http://schemas.openxmlformats.org/officeDocument/2006/docPropsVTypes"/>
</file>