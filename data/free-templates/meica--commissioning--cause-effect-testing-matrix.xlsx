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C&amp;E Matrix" sheetId="3" state="visible" r:id="rId5"/>
    <sheet name="Terms of Use" sheetId="4" state="hidden" r:id="rId6"/>
  </sheets>
  <definedNames>
    <definedName function="false" hidden="false" localSheetId="2" name="_xlnm.Print_Area" vbProcedure="false">'C&amp;E Matrix'!$A$1:$Q$17</definedName>
    <definedName function="false" hidden="false" localSheetId="2" name="_xlnm.Print_Titles" vbProcedure="false">'C&amp;E Matrix'!$1:$4</definedName>
    <definedName function="false" hidden="false" localSheetId="0" name="_xlnm.Print_Area" vbProcedure="false">Cover!$A$1:$H$20</definedName>
    <definedName function="false" hidden="false" localSheetId="1" name="_xlnm.Print_Area" vbProcedure="false">Instructions!$A$1:$F$27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<sst xmlns="http://schemas.openxmlformats.org/spreadsheetml/2006/main" count="177" uniqueCount="129">
  <si>
    <t xml:space="preserve">EBRORA</t>
  </si>
  <si>
    <t xml:space="preserve">ebrora.com</t>
  </si>
  <si>
    <t xml:space="preserve">Cause-and-Effect Testing Matrix</t>
  </si>
  <si>
    <t xml:space="preserve">Map every process interlock and trip against the systems it protects — record test results cause by cause, effect by effect, with pass/fail status and sign-off.</t>
  </si>
  <si>
    <t xml:space="preserve">This is a free template from Ebrora.
For our full range of professional-grade construction management tools, visit ebrora.com</t>
  </si>
  <si>
    <t xml:space="preserve">© Ebrora 2026 — All rights reserved</t>
  </si>
  <si>
    <t xml:space="preserve">How to Use This Template — Cause-and-Effect Testing Matrix</t>
  </si>
  <si>
    <t xml:space="preserve">Step-by-Step Instructions</t>
  </si>
  <si>
    <t xml:space="preserve">1.</t>
  </si>
  <si>
    <t xml:space="preserve">Go to the 'C&amp;E Matrix' sheet. Enter the Project Name, P&amp;ID reference and Contract Number in the info strip at the top.</t>
  </si>
  <si>
    <t xml:space="preserve">2.</t>
  </si>
  <si>
    <t xml:space="preserve">The matrix rows list Causes — each instrument input, switch, or signal that initiates an action. Column A holds the Cause Tag (e.g. LSH-101), column B the description, and column C the set point or trigger condition.</t>
  </si>
  <si>
    <t xml:space="preserve">3.</t>
  </si>
  <si>
    <t xml:space="preserve">The matrix columns (from column E onwards) represent Effects — the outputs, trips, alarms, or control actions that result from each cause. Column headers show the Effect Tag and description.</t>
  </si>
  <si>
    <t xml:space="preserve">4.</t>
  </si>
  <si>
    <t xml:space="preserve">In each intersection cell, enter the expected response: A = Alarm, S = Shutdown / Trip, C = Control Action, or leave blank if no response is expected for that cause/effect pair.</t>
  </si>
  <si>
    <t xml:space="preserve">5.</t>
  </si>
  <si>
    <t xml:space="preserve">Once the test has been carried out, update the cell to show the test result: P = Pass, F = Fail, or N/T = Not Tested.</t>
  </si>
  <si>
    <t xml:space="preserve">6.</t>
  </si>
  <si>
    <t xml:space="preserve">The % Tested column (column D) calculates what proportion of applicable intersections have been tested for each cause row.</t>
  </si>
  <si>
    <t xml:space="preserve">7.</t>
  </si>
  <si>
    <t xml:space="preserve">The completion row at the bottom calculates column-by-column test completion across all causes.</t>
  </si>
  <si>
    <t xml:space="preserve">8.</t>
  </si>
  <si>
    <t xml:space="preserve">For any Fail result, add a note in the Notes column (far right) and raise a defect or punch list item — the interlock must be retested and passed before the SAT can be signed off.</t>
  </si>
  <si>
    <t xml:space="preserve">9.</t>
  </si>
  <si>
    <t xml:space="preserve">Once all cells in a row are Pass, the cause row turns green. Any row containing a Fail stays red until cleared.</t>
  </si>
  <si>
    <t xml:space="preserve">10.</t>
  </si>
  <si>
    <t xml:space="preserve">Print landscape for inclusion in the SAT report or the O&amp;M commissioning records.</t>
  </si>
  <si>
    <t xml:space="preserve">Colour Key</t>
  </si>
  <si>
    <t xml:space="preserve">  </t>
  </si>
  <si>
    <t xml:space="preserve">P — Pass. Cause triggered correctly and expected effect was observed.</t>
  </si>
  <si>
    <t xml:space="preserve">F — Fail. Expected effect was not produced. Defect raised. Retest required.</t>
  </si>
  <si>
    <t xml:space="preserve">N/T — Not Tested. Intersection identified but test not yet carried out.</t>
  </si>
  <si>
    <t xml:space="preserve">A / S / C markers — Expected response defined (Alarm / Shutdown / Control). Dark navy fill.</t>
  </si>
  <si>
    <t xml:space="preserve">Blank — No response expected for this cause/effect combination.</t>
  </si>
  <si>
    <t xml:space="preserve">Light teal % tested column and project info — Auto-calculated.</t>
  </si>
  <si>
    <t xml:space="preserve">Tips</t>
  </si>
  <si>
    <t xml:space="preserve">*</t>
  </si>
  <si>
    <t xml:space="preserve">Build the expected response matrix (A/S/C) from the approved Cause-and-Effect diagram on the P&amp;IDs before testing begins. Never test against an unapproved C&amp;E — the document must be IFC before the SAT starts.</t>
  </si>
  <si>
    <t xml:space="preserve">Test each cause independently. Disable or bypass other causes before testing to ensure you are only observing the response to the single cause under test. Record all bypasses in the Notes column.</t>
  </si>
  <si>
    <t xml:space="preserve">For safety-critical trips (e.g. high-high level, overpressure), the SAT must be witnessed by the Employer's Representative or an independent commissioning engineer. Record their name and signature on the test record.</t>
  </si>
  <si>
    <t xml:space="preserve">Project / Site:</t>
  </si>
  <si>
    <t xml:space="preserve">[Enter Project / Site Name]</t>
  </si>
  <si>
    <t xml:space="preserve">P&amp;ID Ref:</t>
  </si>
  <si>
    <t xml:space="preserve">[P&amp;ID Document Reference]</t>
  </si>
  <si>
    <t xml:space="preserve">Causes  (Inputs / Triggers)</t>
  </si>
  <si>
    <t xml:space="preserve">Effects (Outputs / Actions)  |  A=Alarm  S=Shutdown  C=Control  |  P=Pass  F=Fail  N/T=Not Tested</t>
  </si>
  <si>
    <t xml:space="preserve">Cause Tag</t>
  </si>
  <si>
    <t xml:space="preserve">Cause Description</t>
  </si>
  <si>
    <t xml:space="preserve">Set Point / Trigger Condition</t>
  </si>
  <si>
    <t xml:space="preserve">% Tested</t>
  </si>
  <si>
    <t xml:space="preserve">ESD-01</t>
  </si>
  <si>
    <t xml:space="preserve">ESD-02</t>
  </si>
  <si>
    <t xml:space="preserve">XV-101</t>
  </si>
  <si>
    <t xml:space="preserve">XV-201</t>
  </si>
  <si>
    <t xml:space="preserve">ALM-HH</t>
  </si>
  <si>
    <t xml:space="preserve">ALM-H</t>
  </si>
  <si>
    <t xml:space="preserve">ALM-L</t>
  </si>
  <si>
    <t xml:space="preserve">ALM-LL</t>
  </si>
  <si>
    <t xml:space="preserve">BLW-01</t>
  </si>
  <si>
    <t xml:space="preserve">BLW-02</t>
  </si>
  <si>
    <t xml:space="preserve">SCADA</t>
  </si>
  <si>
    <t xml:space="preserve">PAGE</t>
  </si>
  <si>
    <t xml:space="preserve">Notes / Defect Ref</t>
  </si>
  <si>
    <t xml:space="preserve">Emergency
Shutdown
Pump PST-01</t>
  </si>
  <si>
    <t xml:space="preserve">Emergency
Shutdown
Pump PST-02</t>
  </si>
  <si>
    <t xml:space="preserve">Close Inlet
Isolation
Valve XV-101</t>
  </si>
  <si>
    <t xml:space="preserve">Close Outlet
Valve XV-201</t>
  </si>
  <si>
    <t xml:space="preserve">Activate
HH Level
Alarm</t>
  </si>
  <si>
    <t xml:space="preserve">Activate
H Level
Alarm</t>
  </si>
  <si>
    <t xml:space="preserve">Activate
L Level
Alarm</t>
  </si>
  <si>
    <t xml:space="preserve">Activate
LL Level
Alarm</t>
  </si>
  <si>
    <t xml:space="preserve">Trip
Blower 01</t>
  </si>
  <si>
    <t xml:space="preserve">Trip
Blower 02</t>
  </si>
  <si>
    <t xml:space="preserve">SCADA
Fault
Annunciation</t>
  </si>
  <si>
    <t xml:space="preserve">Operator
Pager /
Alarm</t>
  </si>
  <si>
    <t xml:space="preserve">LSH-101</t>
  </si>
  <si>
    <t xml:space="preserve">Level Switch High-High — Inlet Chamber</t>
  </si>
  <si>
    <t xml:space="preserve">Set: 2850mm / Normal WL 2200mm</t>
  </si>
  <si>
    <t xml:space="preserve">P</t>
  </si>
  <si>
    <t xml:space="preserve">LSH-102</t>
  </si>
  <si>
    <t xml:space="preserve">Level Switch High — Inlet Chamber</t>
  </si>
  <si>
    <t xml:space="preserve">Set: 2600mm / Normal WL 2200mm</t>
  </si>
  <si>
    <t xml:space="preserve">LSL-101</t>
  </si>
  <si>
    <t xml:space="preserve">Level Switch Low — Inlet Chamber</t>
  </si>
  <si>
    <t xml:space="preserve">Set: 800mm / Normal WL 2200mm</t>
  </si>
  <si>
    <t xml:space="preserve">LSL-102</t>
  </si>
  <si>
    <t xml:space="preserve">Level Switch Low-Low — Inlet Chamber</t>
  </si>
  <si>
    <t xml:space="preserve">Set: 400mm / Normal WL 2200mm</t>
  </si>
  <si>
    <t xml:space="preserve">F</t>
  </si>
  <si>
    <t xml:space="preserve">ESD pager (effect col 11) — FAIL. Pager relay wired to wrong output. Defect DF-019 raised.</t>
  </si>
  <si>
    <t xml:space="preserve">PSH-201</t>
  </si>
  <si>
    <t xml:space="preserve">Pressure Switch High — Inlet Rising Main DN300</t>
  </si>
  <si>
    <t xml:space="preserve">Set: 8.5 bar g (WP 7.0 bar g)</t>
  </si>
  <si>
    <t xml:space="preserve">N/T</t>
  </si>
  <si>
    <t xml:space="preserve">PSH-201 — SCADA/pager not yet tested. Commissioning team returning 25/03.</t>
  </si>
  <si>
    <t xml:space="preserve">PSL-201</t>
  </si>
  <si>
    <t xml:space="preserve">Pressure Switch Low — Inlet Rising Main DN300</t>
  </si>
  <si>
    <t xml:space="preserve">Set: 0.5 bar g (no-flow detect)</t>
  </si>
  <si>
    <t xml:space="preserve">A</t>
  </si>
  <si>
    <t xml:space="preserve">TSH-301</t>
  </si>
  <si>
    <t xml:space="preserve">Temperature Switch High — MCC-01 Panel</t>
  </si>
  <si>
    <t xml:space="preserve">Set: 45°C</t>
  </si>
  <si>
    <t xml:space="preserve">FSL-401</t>
  </si>
  <si>
    <t xml:space="preserve">Flow Switch Low — Aeration Air Supply</t>
  </si>
  <si>
    <t xml:space="preserve">Set: 85 m³/h (min design flow)</t>
  </si>
  <si>
    <t xml:space="preserve">S</t>
  </si>
  <si>
    <t xml:space="preserve">XS-MCC01</t>
  </si>
  <si>
    <t xml:space="preserve">MCB Trip / Fault Signal — MCC-01</t>
  </si>
  <si>
    <t xml:space="preserve">Fault output from MCC-01 relay</t>
  </si>
  <si>
    <t xml:space="preserve">ESD-PB</t>
  </si>
  <si>
    <t xml:space="preserve">Emergency Stop Pushbutton — Local Panel</t>
  </si>
  <si>
    <t xml:space="preserve">Hardwired E-Stop at pump station</t>
  </si>
  <si>
    <t xml:space="preserve">GD-001</t>
  </si>
  <si>
    <t xml:space="preserve">Gas Detector High — H₂S Monitor, Inlet Chamber</t>
  </si>
  <si>
    <t xml:space="preserve">Set: 5 ppm (LEL 10% not applicable)</t>
  </si>
  <si>
    <t xml:space="preserve">VS-BLW01</t>
  </si>
  <si>
    <t xml:space="preserve">Vibration Switch High — Blower 01</t>
  </si>
  <si>
    <t xml:space="preserve">Set: 15 mm/s RMS</t>
  </si>
  <si>
    <t xml:space="preserve">COLUMN TEST COMPLETION %</t>
  </si>
  <si>
    <t xml:space="preserve">EBRORA — TERMS OF USE</t>
  </si>
  <si>
    <t xml:space="preserve">This template is provided free of charge by Ebrora (ebrora.com) for personal and professional use.</t>
  </si>
  <si>
    <t xml:space="preserve">LICENCE: You may use this template for your own projects. You may not resell, redistribute, or claim authorship of this template.</t>
  </si>
  <si>
    <t xml:space="preserve">NO WARRANTY: This template is provided "as is" without warranty of any kind. Ebrora accepts no liability for errors, omissions, or losses arising from use of this template.</t>
  </si>
  <si>
    <t xml:space="preserve">INTELLECTUAL PROPERTY: All design, layout, branding, and content remain the intellectual property of Ebrora.</t>
  </si>
  <si>
    <t xml:space="preserve">MODIFICATIONS: You may modify this template for your own use. Modified versions may not be distributed or sold.</t>
  </si>
  <si>
    <t xml:space="preserve">ATTRIBUTION: If you share outputs generated using this template, attribution to Ebrora (ebrora.com) is appreciated but not required.</t>
  </si>
  <si>
    <t xml:space="preserve">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</si>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</sst>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2">
    <numFmt numFmtId="164" formatCode="General"/>
    <numFmt numFmtId="165" formatCode="0%"/>
  </numFmts>
  <fonts count="25">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2AABB3"/>
      <name val="Calibri"/>
      <family val="0"/>
      <charset val="1"/>
    </font>
    <font>
      <b val="true"/>
      <sz val="10"/>
      <color rgb="FF1B2A4A"/>
      <name val="Calibri"/>
      <family val="0"/>
      <charset val="1"/>
    </font>
    <font>
      <sz val="10"/>
      <color rgb="FF1B2A4A"/>
      <name val="Calibri"/>
      <family val="0"/>
      <charset val="1"/>
    </font>
    <font>
      <b val="true"/>
      <sz val="12"/>
      <color rgb="FF2AABB3"/>
      <name val="Calibri"/>
      <family val="0"/>
      <charset val="1"/>
    </font>
    <font>
      <b val="true"/>
      <sz val="10"/>
      <color rgb="FFFFFFFF"/>
      <name val="Calibri"/>
      <family val="0"/>
      <charset val="1"/>
    </font>
    <font>
      <b val="true"/>
      <sz val="9"/>
      <color rgb="FFFFFFFF"/>
      <name val="Calibri"/>
      <family val="0"/>
      <charset val="1"/>
    </font>
    <font>
      <b val="true"/>
      <sz val="9"/>
      <color rgb="FF2AABB3"/>
      <name val="Calibri"/>
      <family val="0"/>
      <charset val="1"/>
    </font>
    <font>
      <b val="true"/>
      <sz val="8"/>
      <color rgb="FFFFFFFF"/>
      <name val="Calibri"/>
      <family val="0"/>
      <charset val="1"/>
    </font>
    <font>
      <sz val="9"/>
      <color rgb="FF1B2A4A"/>
      <name val="Calibri"/>
      <family val="0"/>
      <charset val="1"/>
    </font>
    <font>
      <b val="true"/>
      <sz val="10"/>
      <color rgb="FF375623"/>
      <name val="Calibri"/>
      <family val="0"/>
      <charset val="1"/>
    </font>
    <font>
      <sz val="9"/>
      <color rgb="FF8C8C8C"/>
      <name val="Calibri"/>
      <family val="0"/>
      <charset val="1"/>
    </font>
    <font>
      <b val="true"/>
      <sz val="10"/>
      <color rgb="FF9C0006"/>
      <name val="Calibri"/>
      <family val="0"/>
      <charset val="1"/>
    </font>
    <font>
      <sz val="10"/>
      <color rgb="FF7D6608"/>
      <name val="Calibri"/>
      <family val="0"/>
      <charset val="1"/>
    </font>
    <font>
      <b val="true"/>
      <sz val="10"/>
      <color rgb="FF2AABB3"/>
      <name val="Calibri"/>
      <family val="0"/>
      <charset val="1"/>
    </font>
  </fonts>
  <fills count="10">
    <fill>
      <patternFill patternType="none"/>
    </fill>
    <fill>
      <patternFill patternType="gray125"/>
    </fill>
    <fill>
      <patternFill patternType="solid">
        <fgColor rgb="FF1B2A4A"/>
        <bgColor rgb="FF003366"/>
      </patternFill>
    </fill>
    <fill>
      <patternFill patternType="solid">
        <fgColor rgb="FFFFFFFF"/>
        <bgColor rgb="FFF2F2F2"/>
      </patternFill>
    </fill>
    <fill>
      <patternFill patternType="solid">
        <fgColor rgb="FFE8F6F7"/>
        <bgColor rgb="FFF2F2F2"/>
      </patternFill>
    </fill>
    <fill>
      <patternFill patternType="solid">
        <fgColor rgb="FFC6EFCE"/>
        <bgColor rgb="FFD9D9D9"/>
      </patternFill>
    </fill>
    <fill>
      <patternFill patternType="solid">
        <fgColor rgb="FFFFC7CE"/>
        <bgColor rgb="FFD9D9D9"/>
      </patternFill>
    </fill>
    <fill>
      <patternFill patternType="solid">
        <fgColor rgb="FFFFEB9C"/>
        <bgColor rgb="FFF2F2F2"/>
      </patternFill>
    </fill>
    <fill>
      <patternFill patternType="solid">
        <fgColor rgb="FFD9D9D9"/>
        <bgColor rgb="FFC6EFCE"/>
      </patternFill>
    </fill>
    <fill>
      <patternFill patternType="solid">
        <fgColor rgb="FFF2F2F2"/>
        <bgColor rgb="FFE8F6F7"/>
      </patternFill>
    </fill>
  </fills>
  <borders count="3">
    <border diagonalUp="false" diagonalDown="false">
      <left/>
      <right/>
      <top/>
      <bottom/>
      <diagonal/>
    </border>
    <border diagonalUp="false" diagonalDown="false">
      <left style="medium">
        <color rgb="FF2AABB3"/>
      </left>
      <right style="medium">
        <color rgb="FF2AABB3"/>
      </right>
      <top style="medium">
        <color rgb="FF2AABB3"/>
      </top>
      <bottom style="medium">
        <color rgb="FF2AABB3"/>
      </bottom>
      <diagonal/>
    </border>
    <border diagonalUp="false" diagonalDown="false">
      <left style="thin">
        <color rgb="FF1B2A4A"/>
      </left>
      <right style="thin">
        <color rgb="FF1B2A4A"/>
      </right>
      <top style="thin">
        <color rgb="FF1B2A4A"/>
      </top>
      <bottom style="thin">
        <color rgb="FF1B2A4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2" borderId="0"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false" indent="0" shrinkToFit="false"/>
      <protection locked="true" hidden="false"/>
    </xf>
    <xf numFmtId="164" fontId="10" fillId="3" borderId="0" xfId="0" applyFont="true" applyBorder="true" applyAlignment="true" applyProtection="false">
      <alignment horizontal="left" vertical="center" textRotation="0" wrapText="false" indent="0" shrinkToFit="false"/>
      <protection locked="true" hidden="false"/>
    </xf>
    <xf numFmtId="164" fontId="11" fillId="3" borderId="0" xfId="0" applyFont="true" applyBorder="true" applyAlignment="false" applyProtection="false">
      <alignment horizontal="general" vertical="bottom" textRotation="0" wrapText="false" indent="0" shrinkToFit="false"/>
      <protection locked="true" hidden="false"/>
    </xf>
    <xf numFmtId="164" fontId="12" fillId="3" borderId="0" xfId="0" applyFont="true" applyBorder="false" applyAlignment="true" applyProtection="false">
      <alignment horizontal="right" vertical="center" textRotation="0" wrapText="false" indent="0" shrinkToFit="false"/>
      <protection locked="true" hidden="false"/>
    </xf>
    <xf numFmtId="164" fontId="13" fillId="3" borderId="0" xfId="0" applyFont="true" applyBorder="true" applyAlignment="true" applyProtection="false">
      <alignment horizontal="left" vertical="center" textRotation="0" wrapText="true" indent="0" shrinkToFit="false"/>
      <protection locked="true" hidden="false"/>
    </xf>
    <xf numFmtId="164" fontId="0" fillId="5" borderId="2" xfId="0" applyFont="true" applyBorder="true" applyAlignment="true" applyProtection="false">
      <alignment horizontal="center" vertical="center" textRotation="0" wrapText="false" indent="0" shrinkToFit="false"/>
      <protection locked="true" hidden="false"/>
    </xf>
    <xf numFmtId="164" fontId="0" fillId="6" borderId="2" xfId="0" applyFont="true" applyBorder="true" applyAlignment="true" applyProtection="false">
      <alignment horizontal="center" vertical="center" textRotation="0" wrapText="false" indent="0" shrinkToFit="false"/>
      <protection locked="true" hidden="false"/>
    </xf>
    <xf numFmtId="164" fontId="0" fillId="7" borderId="2" xfId="0" applyFont="true" applyBorder="true" applyAlignment="true" applyProtection="false">
      <alignment horizontal="center" vertical="center" textRotation="0" wrapText="false" indent="0" shrinkToFit="false"/>
      <protection locked="true" hidden="false"/>
    </xf>
    <xf numFmtId="164" fontId="0" fillId="2" borderId="2" xfId="0" applyFont="true" applyBorder="true" applyAlignment="true" applyProtection="false">
      <alignment horizontal="center" vertical="center" textRotation="0" wrapText="false" indent="0" shrinkToFit="false"/>
      <protection locked="true" hidden="false"/>
    </xf>
    <xf numFmtId="164" fontId="0" fillId="8" borderId="2" xfId="0" applyFont="true" applyBorder="true" applyAlignment="true" applyProtection="false">
      <alignment horizontal="center" vertical="center" textRotation="0" wrapText="false" indent="0" shrinkToFit="false"/>
      <protection locked="true" hidden="false"/>
    </xf>
    <xf numFmtId="164" fontId="0" fillId="4" borderId="2" xfId="0" applyFont="true" applyBorder="true" applyAlignment="true" applyProtection="false">
      <alignment horizontal="center" vertical="center" textRotation="0" wrapText="false" indent="0" shrinkToFit="false"/>
      <protection locked="true" hidden="false"/>
    </xf>
    <xf numFmtId="164" fontId="14" fillId="3" borderId="0" xfId="0" applyFont="true" applyBorder="false" applyAlignment="true" applyProtection="false">
      <alignment horizontal="center" vertical="center" textRotation="0" wrapText="false" indent="0" shrinkToFit="false"/>
      <protection locked="true" hidden="false"/>
    </xf>
    <xf numFmtId="164" fontId="15" fillId="2" borderId="0" xfId="0" applyFont="true" applyBorder="true" applyAlignment="true" applyProtection="false">
      <alignment horizontal="right" vertical="center" textRotation="0" wrapText="false" indent="0" shrinkToFit="false"/>
      <protection locked="true" hidden="false"/>
    </xf>
    <xf numFmtId="164" fontId="13" fillId="4" borderId="0" xfId="0" applyFont="true" applyBorder="true" applyAlignment="true" applyProtection="false">
      <alignment horizontal="left" vertical="center" textRotation="0" wrapText="false" indent="0" shrinkToFit="false"/>
      <protection locked="true" hidden="false"/>
    </xf>
    <xf numFmtId="164" fontId="15" fillId="2" borderId="0" xfId="0" applyFont="true" applyBorder="true" applyAlignment="true" applyProtection="false">
      <alignment horizontal="center" vertical="center" textRotation="0" wrapText="false" indent="0" shrinkToFit="false"/>
      <protection locked="true" hidden="false"/>
    </xf>
    <xf numFmtId="164" fontId="16" fillId="2" borderId="0"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5" fillId="2" borderId="0" xfId="0" applyFont="true" applyBorder="true" applyAlignment="true" applyProtection="false">
      <alignment horizontal="center" vertical="center" textRotation="0" wrapText="true" indent="0" shrinkToFit="false"/>
      <protection locked="true" hidden="false"/>
    </xf>
    <xf numFmtId="164" fontId="17" fillId="2" borderId="0" xfId="0" applyFont="true" applyBorder="false" applyAlignment="true" applyProtection="false">
      <alignment horizontal="center" vertical="center" textRotation="0" wrapText="false" indent="0" shrinkToFit="false"/>
      <protection locked="true" hidden="false"/>
    </xf>
    <xf numFmtId="164" fontId="18" fillId="2" borderId="0" xfId="0" applyFont="true" applyBorder="false" applyAlignment="true" applyProtection="false">
      <alignment horizontal="center" vertical="center" textRotation="0" wrapText="true" indent="0" shrinkToFit="false"/>
      <protection locked="true" hidden="false"/>
    </xf>
    <xf numFmtId="164" fontId="12" fillId="9" borderId="0" xfId="0" applyFont="true" applyBorder="false" applyAlignment="true" applyProtection="false">
      <alignment horizontal="center" vertical="center" textRotation="0" wrapText="false" indent="0" shrinkToFit="false"/>
      <protection locked="true" hidden="false"/>
    </xf>
    <xf numFmtId="164" fontId="13" fillId="3" borderId="0" xfId="0" applyFont="true" applyBorder="false" applyAlignment="true" applyProtection="false">
      <alignment horizontal="left" vertical="center" textRotation="0" wrapText="true" indent="0" shrinkToFit="false"/>
      <protection locked="true" hidden="false"/>
    </xf>
    <xf numFmtId="164" fontId="19" fillId="3" borderId="0" xfId="0" applyFont="true" applyBorder="false" applyAlignment="true" applyProtection="false">
      <alignment horizontal="left" vertical="center" textRotation="0" wrapText="true" indent="0" shrinkToFit="false"/>
      <protection locked="true" hidden="false"/>
    </xf>
    <xf numFmtId="165" fontId="12" fillId="4" borderId="0" xfId="0" applyFont="true" applyBorder="false" applyAlignment="true" applyProtection="false">
      <alignment horizontal="center" vertical="center" textRotation="0" wrapText="false" indent="0" shrinkToFit="false"/>
      <protection locked="true" hidden="false"/>
    </xf>
    <xf numFmtId="164" fontId="20" fillId="5" borderId="0" xfId="0" applyFont="true" applyBorder="false" applyAlignment="true" applyProtection="false">
      <alignment horizontal="center" vertical="center" textRotation="0" wrapText="false" indent="0" shrinkToFit="false"/>
      <protection locked="true" hidden="false"/>
    </xf>
    <xf numFmtId="164" fontId="21" fillId="8" borderId="0" xfId="0" applyFont="true" applyBorder="false" applyAlignment="true" applyProtection="false">
      <alignment horizontal="center" vertical="center" textRotation="0" wrapText="false" indent="0" shrinkToFit="false"/>
      <protection locked="true" hidden="false"/>
    </xf>
    <xf numFmtId="164" fontId="19" fillId="4" borderId="0" xfId="0" applyFont="true" applyBorder="false" applyAlignment="true" applyProtection="false">
      <alignment horizontal="left" vertical="center" textRotation="0" wrapText="true" indent="0" shrinkToFit="false"/>
      <protection locked="true" hidden="false"/>
    </xf>
    <xf numFmtId="164" fontId="22" fillId="6" borderId="0" xfId="0" applyFont="true" applyBorder="false" applyAlignment="true" applyProtection="false">
      <alignment horizontal="center" vertical="center" textRotation="0" wrapText="false" indent="0" shrinkToFit="false"/>
      <protection locked="true" hidden="false"/>
    </xf>
    <xf numFmtId="164" fontId="23" fillId="7" borderId="0" xfId="0" applyFont="true" applyBorder="false" applyAlignment="true" applyProtection="false">
      <alignment horizontal="center" vertical="center" textRotation="0" wrapText="false" indent="0" shrinkToFit="false"/>
      <protection locked="true" hidden="false"/>
    </xf>
    <xf numFmtId="164" fontId="24" fillId="2" borderId="0" xfId="0" applyFont="true" applyBorder="false" applyAlignment="true" applyProtection="false">
      <alignment horizontal="center" vertical="center" textRotation="0" wrapText="false" indent="0" shrinkToFit="false"/>
      <protection locked="true" hidden="false"/>
    </xf>
    <xf numFmtId="165" fontId="24" fillId="2" borderId="0" xfId="0" applyFont="true" applyBorder="false" applyAlignment="true" applyProtection="false">
      <alignment horizontal="center" vertical="center" textRotation="0" wrapText="false" indent="0" shrinkToFit="false"/>
      <protection locked="true" hidden="false"/>
    </xf>
    <xf numFmtId="164" fontId="10" fillId="3" borderId="0" xfId="0" applyFont="true" applyBorder="fals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name val="Calibri"/>
        <charset val="1"/>
        <family val="0"/>
        <b val="1"/>
        <color rgb="FF375623"/>
      </font>
      <fill>
        <patternFill>
          <bgColor rgb="FFC6EFCE"/>
        </patternFill>
      </fill>
    </dxf>
    <dxf>
      <font>
        <name val="Calibri"/>
        <charset val="1"/>
        <family val="0"/>
        <b val="1"/>
        <color rgb="FF9C0006"/>
      </font>
      <fill>
        <patternFill>
          <bgColor rgb="FFFFC7CE"/>
        </patternFill>
      </fill>
    </dxf>
    <dxf>
      <font>
        <name val="Calibri"/>
        <charset val="1"/>
        <family val="0"/>
        <color rgb="FF7D6608"/>
      </font>
      <fill>
        <patternFill>
          <bgColor rgb="FFFFEB9C"/>
        </patternFill>
      </fill>
    </dxf>
    <dxf>
      <font>
        <name val="Calibri"/>
        <charset val="1"/>
        <family val="0"/>
        <b val="1"/>
        <color rgb="FF2AABB3"/>
      </font>
      <fill>
        <patternFill>
          <bgColor rgb="FF1B2A4A"/>
        </patternFill>
      </fill>
    </dxf>
    <dxf>
      <font>
        <name val="Calibri"/>
        <charset val="1"/>
        <family val="0"/>
        <b val="1"/>
        <color rgb="FF7D6608"/>
      </font>
      <fill>
        <patternFill>
          <bgColor rgb="FFFFEB9C"/>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7D6608"/>
      <rgbColor rgb="FF800080"/>
      <rgbColor rgb="FF008080"/>
      <rgbColor rgb="FFC0C0C0"/>
      <rgbColor rgb="FF808080"/>
      <rgbColor rgb="FF9999FF"/>
      <rgbColor rgb="FF993366"/>
      <rgbColor rgb="FFF2F2F2"/>
      <rgbColor rgb="FFE8F6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75623"/>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6"/>
  </cols>
  <sheetData>
    <row r="1" customFormat="false" ht="6.75" hidden="false" customHeight="true" outlineLevel="0" collapsed="false">
      <c r="A1" s="1" t="s">
        <v>0</v>
      </c>
      <c r="B1" s="1"/>
      <c r="C1" s="1"/>
      <c r="D1" s="1"/>
      <c r="E1" s="1"/>
      <c r="F1" s="1"/>
      <c r="G1" s="1"/>
      <c r="H1" s="1"/>
    </row>
    <row r="2" customFormat="false" ht="49.5" hidden="false" customHeight="true" outlineLevel="0" collapsed="false">
      <c r="A2" s="1"/>
      <c r="B2" s="1"/>
      <c r="C2" s="1"/>
      <c r="D2" s="1"/>
      <c r="E2" s="1"/>
      <c r="F2" s="1"/>
      <c r="G2" s="1"/>
      <c r="H2" s="1"/>
    </row>
    <row r="3" customFormat="false" ht="6.75" hidden="false" customHeight="true" outlineLevel="0" collapsed="false">
      <c r="A3" s="1"/>
      <c r="B3" s="1"/>
      <c r="C3" s="1"/>
      <c r="D3" s="1"/>
      <c r="E3" s="1"/>
      <c r="F3" s="1"/>
      <c r="G3" s="1"/>
      <c r="H3" s="1"/>
    </row>
    <row r="4" customFormat="false" ht="21.75" hidden="false" customHeight="true" outlineLevel="0" collapsed="false">
      <c r="A4" s="2" t="s">
        <v>1</v>
      </c>
      <c r="B4" s="2"/>
      <c r="C4" s="2"/>
      <c r="D4" s="2"/>
      <c r="E4" s="2"/>
      <c r="F4" s="2"/>
      <c r="G4" s="2"/>
      <c r="H4" s="2"/>
    </row>
    <row r="5" customFormat="false" ht="9.75" hidden="false" customHeight="true" outlineLevel="0" collapsed="false">
      <c r="A5" s="3"/>
      <c r="B5" s="3"/>
      <c r="C5" s="3"/>
      <c r="D5" s="3"/>
      <c r="E5" s="3"/>
      <c r="F5" s="3"/>
      <c r="G5" s="3"/>
      <c r="H5" s="3"/>
    </row>
    <row r="6" customFormat="false" ht="7.5" hidden="false" customHeight="true" outlineLevel="0" collapsed="false">
      <c r="A6" s="4" t="s">
        <v>2</v>
      </c>
      <c r="B6" s="4"/>
      <c r="C6" s="4"/>
      <c r="D6" s="4"/>
      <c r="E6" s="4"/>
      <c r="F6" s="4"/>
      <c r="G6" s="4"/>
      <c r="H6" s="4"/>
    </row>
    <row r="7" customFormat="false" ht="48" hidden="false" customHeight="true" outlineLevel="0" collapsed="false">
      <c r="A7" s="4"/>
      <c r="B7" s="4"/>
      <c r="C7" s="4"/>
      <c r="D7" s="4"/>
      <c r="E7" s="4"/>
      <c r="F7" s="4"/>
      <c r="G7" s="4"/>
      <c r="H7" s="4"/>
    </row>
    <row r="8" customFormat="false" ht="7.5" hidden="false" customHeight="true" outlineLevel="0" collapsed="false">
      <c r="A8" s="4"/>
      <c r="B8" s="4"/>
      <c r="C8" s="4"/>
      <c r="D8" s="4"/>
      <c r="E8" s="4"/>
      <c r="F8" s="4"/>
      <c r="G8" s="4"/>
      <c r="H8" s="4"/>
    </row>
    <row r="9" customFormat="false" ht="9.75" hidden="false" customHeight="true" outlineLevel="0" collapsed="false">
      <c r="A9" s="3"/>
      <c r="B9" s="3"/>
      <c r="C9" s="3"/>
      <c r="D9" s="3"/>
      <c r="E9" s="3"/>
      <c r="F9" s="3"/>
      <c r="G9" s="3"/>
      <c r="H9" s="3"/>
    </row>
    <row r="10" customFormat="false" ht="21.75" hidden="false" customHeight="true" outlineLevel="0" collapsed="false">
      <c r="A10" s="5" t="s">
        <v>3</v>
      </c>
      <c r="B10" s="5"/>
      <c r="C10" s="5"/>
      <c r="D10" s="5"/>
      <c r="E10" s="5"/>
      <c r="F10" s="5"/>
      <c r="G10" s="5"/>
      <c r="H10" s="5"/>
    </row>
    <row r="11" customFormat="false" ht="21.75" hidden="false" customHeight="true" outlineLevel="0" collapsed="false">
      <c r="A11" s="5"/>
      <c r="B11" s="5"/>
      <c r="C11" s="5"/>
      <c r="D11" s="5"/>
      <c r="E11" s="5"/>
      <c r="F11" s="5"/>
      <c r="G11" s="5"/>
      <c r="H11" s="5"/>
    </row>
    <row r="12" customFormat="false" ht="9.75" hidden="false" customHeight="true" outlineLevel="0" collapsed="false">
      <c r="A12" s="6"/>
      <c r="B12" s="6"/>
      <c r="C12" s="6"/>
      <c r="D12" s="6"/>
      <c r="E12" s="6"/>
      <c r="F12" s="6"/>
      <c r="G12" s="6"/>
      <c r="H12" s="6"/>
    </row>
    <row r="13" customFormat="false" ht="9.75" hidden="false" customHeight="true" outlineLevel="0" collapsed="false">
      <c r="A13" s="6"/>
      <c r="B13" s="6"/>
      <c r="C13" s="6"/>
      <c r="D13" s="6"/>
      <c r="E13" s="6"/>
      <c r="F13" s="6"/>
      <c r="G13" s="6"/>
      <c r="H13" s="6"/>
    </row>
    <row r="14" customFormat="false" ht="15" hidden="false" customHeight="true" outlineLevel="0" collapsed="false">
      <c r="A14" s="7" t="s">
        <v>4</v>
      </c>
      <c r="B14" s="7"/>
      <c r="C14" s="7"/>
      <c r="D14" s="7"/>
      <c r="E14" s="7"/>
      <c r="F14" s="7"/>
      <c r="G14" s="7"/>
      <c r="H14" s="7"/>
    </row>
    <row r="15" customFormat="false" ht="15" hidden="false" customHeight="true" outlineLevel="0" collapsed="false">
      <c r="A15" s="7"/>
      <c r="B15" s="7"/>
      <c r="C15" s="7"/>
      <c r="D15" s="7"/>
      <c r="E15" s="7"/>
      <c r="F15" s="7"/>
      <c r="G15" s="7"/>
      <c r="H15" s="7"/>
    </row>
    <row r="16" customFormat="false" ht="15" hidden="false" customHeight="true" outlineLevel="0" collapsed="false">
      <c r="A16" s="7"/>
      <c r="B16" s="7"/>
      <c r="C16" s="7"/>
      <c r="D16" s="7"/>
      <c r="E16" s="7"/>
      <c r="F16" s="7"/>
      <c r="G16" s="7"/>
      <c r="H16" s="7"/>
    </row>
    <row r="17" customFormat="false" ht="15" hidden="false" customHeight="true" outlineLevel="0" collapsed="false">
      <c r="A17" s="7"/>
      <c r="B17" s="7"/>
      <c r="C17" s="7"/>
      <c r="D17" s="7"/>
      <c r="E17" s="7"/>
      <c r="F17" s="7"/>
      <c r="G17" s="7"/>
      <c r="H17" s="7"/>
    </row>
    <row r="18" customFormat="false" ht="9.75" hidden="false" customHeight="true" outlineLevel="0" collapsed="false">
      <c r="A18" s="6"/>
      <c r="B18" s="6"/>
      <c r="C18" s="6"/>
      <c r="D18" s="6"/>
      <c r="E18" s="6"/>
      <c r="F18" s="6"/>
      <c r="G18" s="6"/>
      <c r="H18" s="6"/>
    </row>
    <row r="19" customFormat="false" ht="18" hidden="false" customHeight="true" outlineLevel="0" collapsed="false">
      <c r="A19" s="8" t="s">
        <v>5</v>
      </c>
      <c r="B19" s="8"/>
      <c r="C19" s="8"/>
      <c r="D19" s="8"/>
      <c r="E19" s="8"/>
      <c r="F19" s="8"/>
      <c r="G19" s="8"/>
      <c r="H19" s="8"/>
    </row>
  </sheetData>
  <mergeCells count="11">
    <mergeCell ref="A1:H3"/>
    <mergeCell ref="A4:H4"/>
    <mergeCell ref="A5:H5"/>
    <mergeCell ref="A6:H8"/>
    <mergeCell ref="A9:H9"/>
    <mergeCell ref="A10:H11"/>
    <mergeCell ref="A12:H12"/>
    <mergeCell ref="A13:H13"/>
    <mergeCell ref="A14:H17"/>
    <mergeCell ref="A18:H18"/>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85"/>
    <col collapsed="false" customWidth="true" hidden="false" outlineLevel="0" max="7" min="3" style="0" width="8"/>
  </cols>
  <sheetData>
    <row r="1" customFormat="false" ht="30" hidden="false" customHeight="true" outlineLevel="0" collapsed="false">
      <c r="A1" s="9" t="s">
        <v>6</v>
      </c>
      <c r="B1" s="9"/>
      <c r="C1" s="9"/>
      <c r="D1" s="9"/>
      <c r="E1" s="9"/>
      <c r="F1" s="9"/>
    </row>
    <row r="3" customFormat="false" ht="21.75" hidden="false" customHeight="true" outlineLevel="0" collapsed="false">
      <c r="A3" s="10" t="s">
        <v>7</v>
      </c>
      <c r="B3" s="10"/>
      <c r="C3" s="10"/>
      <c r="D3" s="10"/>
      <c r="E3" s="10"/>
      <c r="F3" s="10"/>
    </row>
    <row r="4" customFormat="false" ht="37.5" hidden="false" customHeight="true" outlineLevel="0" collapsed="false">
      <c r="A4" s="11" t="s">
        <v>8</v>
      </c>
      <c r="B4" s="12" t="s">
        <v>9</v>
      </c>
      <c r="C4" s="12"/>
      <c r="D4" s="12"/>
      <c r="E4" s="12"/>
      <c r="F4" s="12"/>
    </row>
    <row r="5" customFormat="false" ht="37.5" hidden="false" customHeight="true" outlineLevel="0" collapsed="false">
      <c r="A5" s="11" t="s">
        <v>10</v>
      </c>
      <c r="B5" s="12" t="s">
        <v>11</v>
      </c>
      <c r="C5" s="12"/>
      <c r="D5" s="12"/>
      <c r="E5" s="12"/>
      <c r="F5" s="12"/>
    </row>
    <row r="6" customFormat="false" ht="37.5" hidden="false" customHeight="true" outlineLevel="0" collapsed="false">
      <c r="A6" s="11" t="s">
        <v>12</v>
      </c>
      <c r="B6" s="12" t="s">
        <v>13</v>
      </c>
      <c r="C6" s="12"/>
      <c r="D6" s="12"/>
      <c r="E6" s="12"/>
      <c r="F6" s="12"/>
    </row>
    <row r="7" customFormat="false" ht="37.5" hidden="false" customHeight="true" outlineLevel="0" collapsed="false">
      <c r="A7" s="11" t="s">
        <v>14</v>
      </c>
      <c r="B7" s="12" t="s">
        <v>15</v>
      </c>
      <c r="C7" s="12"/>
      <c r="D7" s="12"/>
      <c r="E7" s="12"/>
      <c r="F7" s="12"/>
    </row>
    <row r="8" customFormat="false" ht="37.5" hidden="false" customHeight="true" outlineLevel="0" collapsed="false">
      <c r="A8" s="11" t="s">
        <v>16</v>
      </c>
      <c r="B8" s="12" t="s">
        <v>17</v>
      </c>
      <c r="C8" s="12"/>
      <c r="D8" s="12"/>
      <c r="E8" s="12"/>
      <c r="F8" s="12"/>
    </row>
    <row r="9" customFormat="false" ht="37.5" hidden="false" customHeight="true" outlineLevel="0" collapsed="false">
      <c r="A9" s="11" t="s">
        <v>18</v>
      </c>
      <c r="B9" s="12" t="s">
        <v>19</v>
      </c>
      <c r="C9" s="12"/>
      <c r="D9" s="12"/>
      <c r="E9" s="12"/>
      <c r="F9" s="12"/>
    </row>
    <row r="10" customFormat="false" ht="37.5" hidden="false" customHeight="true" outlineLevel="0" collapsed="false">
      <c r="A10" s="11" t="s">
        <v>20</v>
      </c>
      <c r="B10" s="12" t="s">
        <v>21</v>
      </c>
      <c r="C10" s="12"/>
      <c r="D10" s="12"/>
      <c r="E10" s="12"/>
      <c r="F10" s="12"/>
    </row>
    <row r="11" customFormat="false" ht="37.5" hidden="false" customHeight="true" outlineLevel="0" collapsed="false">
      <c r="A11" s="11" t="s">
        <v>22</v>
      </c>
      <c r="B11" s="12" t="s">
        <v>23</v>
      </c>
      <c r="C11" s="12"/>
      <c r="D11" s="12"/>
      <c r="E11" s="12"/>
      <c r="F11" s="12"/>
    </row>
    <row r="12" customFormat="false" ht="37.5" hidden="false" customHeight="true" outlineLevel="0" collapsed="false">
      <c r="A12" s="11" t="s">
        <v>24</v>
      </c>
      <c r="B12" s="12" t="s">
        <v>25</v>
      </c>
      <c r="C12" s="12"/>
      <c r="D12" s="12"/>
      <c r="E12" s="12"/>
      <c r="F12" s="12"/>
    </row>
    <row r="13" customFormat="false" ht="37.5" hidden="false" customHeight="true" outlineLevel="0" collapsed="false">
      <c r="A13" s="11" t="s">
        <v>26</v>
      </c>
      <c r="B13" s="12" t="s">
        <v>27</v>
      </c>
      <c r="C13" s="12"/>
      <c r="D13" s="12"/>
      <c r="E13" s="12"/>
      <c r="F13" s="12"/>
    </row>
    <row r="15" customFormat="false" ht="21.75" hidden="false" customHeight="true" outlineLevel="0" collapsed="false">
      <c r="A15" s="10" t="s">
        <v>28</v>
      </c>
      <c r="B15" s="10"/>
      <c r="C15" s="10"/>
      <c r="D15" s="10"/>
      <c r="E15" s="10"/>
      <c r="F15" s="10"/>
    </row>
    <row r="16" customFormat="false" ht="24.75" hidden="false" customHeight="true" outlineLevel="0" collapsed="false">
      <c r="A16" s="13" t="s">
        <v>29</v>
      </c>
      <c r="B16" s="12" t="s">
        <v>30</v>
      </c>
      <c r="C16" s="12"/>
      <c r="D16" s="12"/>
      <c r="E16" s="12"/>
      <c r="F16" s="12"/>
    </row>
    <row r="17" customFormat="false" ht="24.75" hidden="false" customHeight="true" outlineLevel="0" collapsed="false">
      <c r="A17" s="14" t="s">
        <v>29</v>
      </c>
      <c r="B17" s="12" t="s">
        <v>31</v>
      </c>
      <c r="C17" s="12"/>
      <c r="D17" s="12"/>
      <c r="E17" s="12"/>
      <c r="F17" s="12"/>
    </row>
    <row r="18" customFormat="false" ht="24.75" hidden="false" customHeight="true" outlineLevel="0" collapsed="false">
      <c r="A18" s="15" t="s">
        <v>29</v>
      </c>
      <c r="B18" s="12" t="s">
        <v>32</v>
      </c>
      <c r="C18" s="12"/>
      <c r="D18" s="12"/>
      <c r="E18" s="12"/>
      <c r="F18" s="12"/>
    </row>
    <row r="19" customFormat="false" ht="24.75" hidden="false" customHeight="true" outlineLevel="0" collapsed="false">
      <c r="A19" s="16" t="s">
        <v>29</v>
      </c>
      <c r="B19" s="12" t="s">
        <v>33</v>
      </c>
      <c r="C19" s="12"/>
      <c r="D19" s="12"/>
      <c r="E19" s="12"/>
      <c r="F19" s="12"/>
    </row>
    <row r="20" customFormat="false" ht="24.75" hidden="false" customHeight="true" outlineLevel="0" collapsed="false">
      <c r="A20" s="17" t="s">
        <v>29</v>
      </c>
      <c r="B20" s="12" t="s">
        <v>34</v>
      </c>
      <c r="C20" s="12"/>
      <c r="D20" s="12"/>
      <c r="E20" s="12"/>
      <c r="F20" s="12"/>
    </row>
    <row r="21" customFormat="false" ht="24.75" hidden="false" customHeight="true" outlineLevel="0" collapsed="false">
      <c r="A21" s="18" t="s">
        <v>29</v>
      </c>
      <c r="B21" s="12" t="s">
        <v>35</v>
      </c>
      <c r="C21" s="12"/>
      <c r="D21" s="12"/>
      <c r="E21" s="12"/>
      <c r="F21" s="12"/>
    </row>
    <row r="23" customFormat="false" ht="21.75" hidden="false" customHeight="true" outlineLevel="0" collapsed="false">
      <c r="A23" s="10" t="s">
        <v>36</v>
      </c>
      <c r="B23" s="10"/>
      <c r="C23" s="10"/>
      <c r="D23" s="10"/>
      <c r="E23" s="10"/>
      <c r="F23" s="10"/>
    </row>
    <row r="24" customFormat="false" ht="37.5" hidden="false" customHeight="true" outlineLevel="0" collapsed="false">
      <c r="A24" s="19" t="s">
        <v>37</v>
      </c>
      <c r="B24" s="12" t="s">
        <v>38</v>
      </c>
      <c r="C24" s="12"/>
      <c r="D24" s="12"/>
      <c r="E24" s="12"/>
      <c r="F24" s="12"/>
    </row>
    <row r="25" customFormat="false" ht="37.5" hidden="false" customHeight="true" outlineLevel="0" collapsed="false">
      <c r="A25" s="19" t="s">
        <v>37</v>
      </c>
      <c r="B25" s="12" t="s">
        <v>39</v>
      </c>
      <c r="C25" s="12"/>
      <c r="D25" s="12"/>
      <c r="E25" s="12"/>
      <c r="F25" s="12"/>
    </row>
    <row r="26" customFormat="false" ht="37.5" hidden="false" customHeight="true" outlineLevel="0" collapsed="false">
      <c r="A26" s="19" t="s">
        <v>37</v>
      </c>
      <c r="B26" s="12" t="s">
        <v>40</v>
      </c>
      <c r="C26" s="12"/>
      <c r="D26" s="12"/>
      <c r="E26" s="12"/>
      <c r="F26" s="12"/>
    </row>
  </sheetData>
  <mergeCells count="23">
    <mergeCell ref="A1:F1"/>
    <mergeCell ref="A3:F3"/>
    <mergeCell ref="B4:F4"/>
    <mergeCell ref="B5:F5"/>
    <mergeCell ref="B6:F6"/>
    <mergeCell ref="B7:F7"/>
    <mergeCell ref="B8:F8"/>
    <mergeCell ref="B9:F9"/>
    <mergeCell ref="B10:F10"/>
    <mergeCell ref="B11:F11"/>
    <mergeCell ref="B12:F12"/>
    <mergeCell ref="B13:F13"/>
    <mergeCell ref="A15:F15"/>
    <mergeCell ref="B16:F16"/>
    <mergeCell ref="B17:F17"/>
    <mergeCell ref="B18:F18"/>
    <mergeCell ref="B19:F19"/>
    <mergeCell ref="B20:F20"/>
    <mergeCell ref="B21:F21"/>
    <mergeCell ref="A23:F23"/>
    <mergeCell ref="B24:F24"/>
    <mergeCell ref="B25:F25"/>
    <mergeCell ref="B26:F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6"/>
    <col collapsed="false" customWidth="true" hidden="false" outlineLevel="0" max="3" min="3" style="0" width="22"/>
    <col collapsed="false" customWidth="true" hidden="false" outlineLevel="0" max="4" min="4" style="0" width="12"/>
    <col collapsed="false" customWidth="true" hidden="false" outlineLevel="0" max="16" min="5" style="0" width="10"/>
    <col collapsed="false" customWidth="true" hidden="false" outlineLevel="0" max="17" min="17" style="0" width="32"/>
  </cols>
  <sheetData>
    <row r="1" customFormat="false" ht="21.75" hidden="false" customHeight="true" outlineLevel="0" collapsed="false">
      <c r="A1" s="20" t="s">
        <v>41</v>
      </c>
      <c r="B1" s="20"/>
      <c r="C1" s="21" t="s">
        <v>42</v>
      </c>
      <c r="D1" s="21"/>
      <c r="E1" s="21"/>
      <c r="F1" s="21"/>
      <c r="G1" s="20" t="s">
        <v>43</v>
      </c>
      <c r="H1" s="20"/>
      <c r="I1" s="21" t="s">
        <v>44</v>
      </c>
      <c r="J1" s="21"/>
      <c r="K1" s="21"/>
      <c r="L1" s="21"/>
      <c r="M1" s="21"/>
      <c r="N1" s="21"/>
      <c r="O1" s="21"/>
      <c r="P1" s="21"/>
      <c r="Q1" s="21"/>
    </row>
    <row r="2" customFormat="false" ht="19.5" hidden="false" customHeight="true" outlineLevel="0" collapsed="false">
      <c r="A2" s="22" t="s">
        <v>45</v>
      </c>
      <c r="B2" s="22"/>
      <c r="C2" s="22"/>
      <c r="D2" s="22"/>
      <c r="E2" s="23" t="s">
        <v>46</v>
      </c>
      <c r="F2" s="23"/>
      <c r="G2" s="23"/>
      <c r="H2" s="23"/>
      <c r="I2" s="23"/>
      <c r="J2" s="23"/>
      <c r="K2" s="23"/>
      <c r="L2" s="23"/>
      <c r="M2" s="23"/>
      <c r="N2" s="23"/>
      <c r="O2" s="23"/>
      <c r="P2" s="23"/>
      <c r="Q2" s="24"/>
    </row>
    <row r="3" customFormat="false" ht="21.75" hidden="false" customHeight="true" outlineLevel="0" collapsed="false">
      <c r="A3" s="25" t="s">
        <v>47</v>
      </c>
      <c r="B3" s="25" t="s">
        <v>48</v>
      </c>
      <c r="C3" s="25" t="s">
        <v>49</v>
      </c>
      <c r="D3" s="25" t="s">
        <v>50</v>
      </c>
      <c r="E3" s="26" t="s">
        <v>51</v>
      </c>
      <c r="F3" s="26" t="s">
        <v>52</v>
      </c>
      <c r="G3" s="26" t="s">
        <v>53</v>
      </c>
      <c r="H3" s="26" t="s">
        <v>54</v>
      </c>
      <c r="I3" s="26" t="s">
        <v>55</v>
      </c>
      <c r="J3" s="26" t="s">
        <v>56</v>
      </c>
      <c r="K3" s="26" t="s">
        <v>57</v>
      </c>
      <c r="L3" s="26" t="s">
        <v>58</v>
      </c>
      <c r="M3" s="26" t="s">
        <v>59</v>
      </c>
      <c r="N3" s="26" t="s">
        <v>60</v>
      </c>
      <c r="O3" s="26" t="s">
        <v>61</v>
      </c>
      <c r="P3" s="26" t="s">
        <v>62</v>
      </c>
      <c r="Q3" s="25" t="s">
        <v>63</v>
      </c>
    </row>
    <row r="4" customFormat="false" ht="48" hidden="false" customHeight="true" outlineLevel="0" collapsed="false">
      <c r="A4" s="25"/>
      <c r="B4" s="25"/>
      <c r="C4" s="25"/>
      <c r="D4" s="25"/>
      <c r="E4" s="27" t="s">
        <v>64</v>
      </c>
      <c r="F4" s="27" t="s">
        <v>65</v>
      </c>
      <c r="G4" s="27" t="s">
        <v>66</v>
      </c>
      <c r="H4" s="27" t="s">
        <v>67</v>
      </c>
      <c r="I4" s="27" t="s">
        <v>68</v>
      </c>
      <c r="J4" s="27" t="s">
        <v>69</v>
      </c>
      <c r="K4" s="27" t="s">
        <v>70</v>
      </c>
      <c r="L4" s="27" t="s">
        <v>71</v>
      </c>
      <c r="M4" s="27" t="s">
        <v>72</v>
      </c>
      <c r="N4" s="27" t="s">
        <v>73</v>
      </c>
      <c r="O4" s="27" t="s">
        <v>74</v>
      </c>
      <c r="P4" s="27" t="s">
        <v>75</v>
      </c>
      <c r="Q4" s="25"/>
    </row>
    <row r="5" customFormat="false" ht="21.75" hidden="false" customHeight="true" outlineLevel="0" collapsed="false">
      <c r="A5" s="28" t="s">
        <v>76</v>
      </c>
      <c r="B5" s="29" t="s">
        <v>77</v>
      </c>
      <c r="C5" s="30" t="s">
        <v>78</v>
      </c>
      <c r="D5" s="31" t="n">
        <f aca="false">IF(COUNTIF(E5:P5,"A")+COUNTIF(E5:P5,"S")+COUNTIF(E5:P5,"C")+COUNTIF(E5:P5,"P")+COUNTIF(E5:P5,"F")+COUNTIF(E5:P5,"N/T")&gt;0,(COUNTIF(E5:P5,"P")+COUNTIF(E5:P5,"F"))/(COUNTIF(E5:P5,"A")+COUNTIF(E5:P5,"S")+COUNTIF(E5:P5,"C")+COUNTIF(E5:P5,"P")+COUNTIF(E5:P5,"F")+COUNTIF(E5:P5,"N/T")),"—")</f>
        <v>1</v>
      </c>
      <c r="E5" s="32" t="s">
        <v>79</v>
      </c>
      <c r="F5" s="32" t="s">
        <v>79</v>
      </c>
      <c r="G5" s="32" t="s">
        <v>79</v>
      </c>
      <c r="H5" s="33"/>
      <c r="I5" s="32" t="s">
        <v>79</v>
      </c>
      <c r="J5" s="33"/>
      <c r="K5" s="33"/>
      <c r="L5" s="33"/>
      <c r="M5" s="33"/>
      <c r="N5" s="33"/>
      <c r="O5" s="32" t="s">
        <v>79</v>
      </c>
      <c r="P5" s="32" t="s">
        <v>79</v>
      </c>
      <c r="Q5" s="34"/>
    </row>
    <row r="6" customFormat="false" ht="21.75" hidden="false" customHeight="true" outlineLevel="0" collapsed="false">
      <c r="A6" s="28" t="s">
        <v>80</v>
      </c>
      <c r="B6" s="29" t="s">
        <v>81</v>
      </c>
      <c r="C6" s="30" t="s">
        <v>82</v>
      </c>
      <c r="D6" s="31" t="n">
        <f aca="false">IF(COUNTIF(E6:P6,"A")+COUNTIF(E6:P6,"S")+COUNTIF(E6:P6,"C")+COUNTIF(E6:P6,"P")+COUNTIF(E6:P6,"F")+COUNTIF(E6:P6,"N/T")&gt;0,(COUNTIF(E6:P6,"P")+COUNTIF(E6:P6,"F"))/(COUNTIF(E6:P6,"A")+COUNTIF(E6:P6,"S")+COUNTIF(E6:P6,"C")+COUNTIF(E6:P6,"P")+COUNTIF(E6:P6,"F")+COUNTIF(E6:P6,"N/T")),"—")</f>
        <v>1</v>
      </c>
      <c r="E6" s="33"/>
      <c r="F6" s="33"/>
      <c r="G6" s="33"/>
      <c r="H6" s="33"/>
      <c r="I6" s="33"/>
      <c r="J6" s="32" t="s">
        <v>79</v>
      </c>
      <c r="K6" s="33"/>
      <c r="L6" s="33"/>
      <c r="M6" s="33"/>
      <c r="N6" s="33"/>
      <c r="O6" s="32" t="s">
        <v>79</v>
      </c>
      <c r="P6" s="32" t="s">
        <v>79</v>
      </c>
      <c r="Q6" s="34"/>
    </row>
    <row r="7" customFormat="false" ht="21.75" hidden="false" customHeight="true" outlineLevel="0" collapsed="false">
      <c r="A7" s="28" t="s">
        <v>83</v>
      </c>
      <c r="B7" s="29" t="s">
        <v>84</v>
      </c>
      <c r="C7" s="30" t="s">
        <v>85</v>
      </c>
      <c r="D7" s="31" t="n">
        <f aca="false">IF(COUNTIF(E7:P7,"A")+COUNTIF(E7:P7,"S")+COUNTIF(E7:P7,"C")+COUNTIF(E7:P7,"P")+COUNTIF(E7:P7,"F")+COUNTIF(E7:P7,"N/T")&gt;0,(COUNTIF(E7:P7,"P")+COUNTIF(E7:P7,"F"))/(COUNTIF(E7:P7,"A")+COUNTIF(E7:P7,"S")+COUNTIF(E7:P7,"C")+COUNTIF(E7:P7,"P")+COUNTIF(E7:P7,"F")+COUNTIF(E7:P7,"N/T")),"—")</f>
        <v>1</v>
      </c>
      <c r="E7" s="33"/>
      <c r="F7" s="33"/>
      <c r="G7" s="33"/>
      <c r="H7" s="33"/>
      <c r="I7" s="33"/>
      <c r="J7" s="33"/>
      <c r="K7" s="32" t="s">
        <v>79</v>
      </c>
      <c r="L7" s="33"/>
      <c r="M7" s="33"/>
      <c r="N7" s="33"/>
      <c r="O7" s="32" t="s">
        <v>79</v>
      </c>
      <c r="P7" s="33"/>
      <c r="Q7" s="34"/>
    </row>
    <row r="8" customFormat="false" ht="21.75" hidden="false" customHeight="true" outlineLevel="0" collapsed="false">
      <c r="A8" s="28" t="s">
        <v>86</v>
      </c>
      <c r="B8" s="29" t="s">
        <v>87</v>
      </c>
      <c r="C8" s="30" t="s">
        <v>88</v>
      </c>
      <c r="D8" s="31" t="n">
        <f aca="false">IF(COUNTIF(E8:P8,"A")+COUNTIF(E8:P8,"S")+COUNTIF(E8:P8,"C")+COUNTIF(E8:P8,"P")+COUNTIF(E8:P8,"F")+COUNTIF(E8:P8,"N/T")&gt;0,(COUNTIF(E8:P8,"P")+COUNTIF(E8:P8,"F"))/(COUNTIF(E8:P8,"A")+COUNTIF(E8:P8,"S")+COUNTIF(E8:P8,"C")+COUNTIF(E8:P8,"P")+COUNTIF(E8:P8,"F")+COUNTIF(E8:P8,"N/T")),"—")</f>
        <v>1</v>
      </c>
      <c r="E8" s="32" t="s">
        <v>79</v>
      </c>
      <c r="F8" s="32" t="s">
        <v>79</v>
      </c>
      <c r="G8" s="33"/>
      <c r="H8" s="33"/>
      <c r="I8" s="33"/>
      <c r="J8" s="33"/>
      <c r="K8" s="33"/>
      <c r="L8" s="32" t="s">
        <v>79</v>
      </c>
      <c r="M8" s="33"/>
      <c r="N8" s="33"/>
      <c r="O8" s="32" t="s">
        <v>79</v>
      </c>
      <c r="P8" s="35" t="s">
        <v>89</v>
      </c>
      <c r="Q8" s="34" t="s">
        <v>90</v>
      </c>
    </row>
    <row r="9" customFormat="false" ht="21.75" hidden="false" customHeight="true" outlineLevel="0" collapsed="false">
      <c r="A9" s="28" t="s">
        <v>91</v>
      </c>
      <c r="B9" s="29" t="s">
        <v>92</v>
      </c>
      <c r="C9" s="30" t="s">
        <v>93</v>
      </c>
      <c r="D9" s="31" t="n">
        <f aca="false">IF(COUNTIF(E9:P9,"A")+COUNTIF(E9:P9,"S")+COUNTIF(E9:P9,"C")+COUNTIF(E9:P9,"P")+COUNTIF(E9:P9,"F")+COUNTIF(E9:P9,"N/T")&gt;0,(COUNTIF(E9:P9,"P")+COUNTIF(E9:P9,"F"))/(COUNTIF(E9:P9,"A")+COUNTIF(E9:P9,"S")+COUNTIF(E9:P9,"C")+COUNTIF(E9:P9,"P")+COUNTIF(E9:P9,"F")+COUNTIF(E9:P9,"N/T")),"—")</f>
        <v>0.5</v>
      </c>
      <c r="E9" s="32" t="s">
        <v>79</v>
      </c>
      <c r="F9" s="33"/>
      <c r="G9" s="32" t="s">
        <v>79</v>
      </c>
      <c r="H9" s="33"/>
      <c r="I9" s="33"/>
      <c r="J9" s="33"/>
      <c r="K9" s="33"/>
      <c r="L9" s="33"/>
      <c r="M9" s="33"/>
      <c r="N9" s="33"/>
      <c r="O9" s="36" t="s">
        <v>94</v>
      </c>
      <c r="P9" s="36" t="s">
        <v>94</v>
      </c>
      <c r="Q9" s="34" t="s">
        <v>95</v>
      </c>
    </row>
    <row r="10" customFormat="false" ht="21.75" hidden="false" customHeight="true" outlineLevel="0" collapsed="false">
      <c r="A10" s="28" t="s">
        <v>96</v>
      </c>
      <c r="B10" s="29" t="s">
        <v>97</v>
      </c>
      <c r="C10" s="30" t="s">
        <v>98</v>
      </c>
      <c r="D10" s="31" t="n">
        <f aca="false">IF(COUNTIF(E10:P10,"A")+COUNTIF(E10:P10,"S")+COUNTIF(E10:P10,"C")+COUNTIF(E10:P10,"P")+COUNTIF(E10:P10,"F")+COUNTIF(E10:P10,"N/T")&gt;0,(COUNTIF(E10:P10,"P")+COUNTIF(E10:P10,"F"))/(COUNTIF(E10:P10,"A")+COUNTIF(E10:P10,"S")+COUNTIF(E10:P10,"C")+COUNTIF(E10:P10,"P")+COUNTIF(E10:P10,"F")+COUNTIF(E10:P10,"N/T")),"—")</f>
        <v>0</v>
      </c>
      <c r="E10" s="33"/>
      <c r="F10" s="33"/>
      <c r="G10" s="33"/>
      <c r="H10" s="33"/>
      <c r="I10" s="33"/>
      <c r="J10" s="33"/>
      <c r="K10" s="33"/>
      <c r="L10" s="33"/>
      <c r="M10" s="33"/>
      <c r="N10" s="33"/>
      <c r="O10" s="37" t="s">
        <v>99</v>
      </c>
      <c r="P10" s="37" t="s">
        <v>99</v>
      </c>
      <c r="Q10" s="34"/>
    </row>
    <row r="11" customFormat="false" ht="21.75" hidden="false" customHeight="true" outlineLevel="0" collapsed="false">
      <c r="A11" s="28" t="s">
        <v>100</v>
      </c>
      <c r="B11" s="29" t="s">
        <v>101</v>
      </c>
      <c r="C11" s="30" t="s">
        <v>102</v>
      </c>
      <c r="D11" s="31" t="n">
        <f aca="false">IF(COUNTIF(E11:P11,"A")+COUNTIF(E11:P11,"S")+COUNTIF(E11:P11,"C")+COUNTIF(E11:P11,"P")+COUNTIF(E11:P11,"F")+COUNTIF(E11:P11,"N/T")&gt;0,(COUNTIF(E11:P11,"P")+COUNTIF(E11:P11,"F"))/(COUNTIF(E11:P11,"A")+COUNTIF(E11:P11,"S")+COUNTIF(E11:P11,"C")+COUNTIF(E11:P11,"P")+COUNTIF(E11:P11,"F")+COUNTIF(E11:P11,"N/T")),"—")</f>
        <v>0</v>
      </c>
      <c r="E11" s="33"/>
      <c r="F11" s="33"/>
      <c r="G11" s="33"/>
      <c r="H11" s="33"/>
      <c r="I11" s="33"/>
      <c r="J11" s="33"/>
      <c r="K11" s="33"/>
      <c r="L11" s="33"/>
      <c r="M11" s="33"/>
      <c r="N11" s="33"/>
      <c r="O11" s="37" t="s">
        <v>99</v>
      </c>
      <c r="P11" s="37" t="s">
        <v>99</v>
      </c>
      <c r="Q11" s="34"/>
    </row>
    <row r="12" customFormat="false" ht="21.75" hidden="false" customHeight="true" outlineLevel="0" collapsed="false">
      <c r="A12" s="28" t="s">
        <v>103</v>
      </c>
      <c r="B12" s="29" t="s">
        <v>104</v>
      </c>
      <c r="C12" s="30" t="s">
        <v>105</v>
      </c>
      <c r="D12" s="31" t="n">
        <f aca="false">IF(COUNTIF(E12:P12,"A")+COUNTIF(E12:P12,"S")+COUNTIF(E12:P12,"C")+COUNTIF(E12:P12,"P")+COUNTIF(E12:P12,"F")+COUNTIF(E12:P12,"N/T")&gt;0,(COUNTIF(E12:P12,"P")+COUNTIF(E12:P12,"F"))/(COUNTIF(E12:P12,"A")+COUNTIF(E12:P12,"S")+COUNTIF(E12:P12,"C")+COUNTIF(E12:P12,"P")+COUNTIF(E12:P12,"F")+COUNTIF(E12:P12,"N/T")),"—")</f>
        <v>0</v>
      </c>
      <c r="E12" s="33"/>
      <c r="F12" s="33"/>
      <c r="G12" s="33"/>
      <c r="H12" s="33"/>
      <c r="I12" s="33"/>
      <c r="J12" s="33"/>
      <c r="K12" s="33"/>
      <c r="L12" s="33"/>
      <c r="M12" s="37" t="s">
        <v>106</v>
      </c>
      <c r="N12" s="37" t="s">
        <v>106</v>
      </c>
      <c r="O12" s="37" t="s">
        <v>99</v>
      </c>
      <c r="P12" s="37" t="s">
        <v>99</v>
      </c>
      <c r="Q12" s="34"/>
    </row>
    <row r="13" customFormat="false" ht="21.75" hidden="false" customHeight="true" outlineLevel="0" collapsed="false">
      <c r="A13" s="28" t="s">
        <v>107</v>
      </c>
      <c r="B13" s="29" t="s">
        <v>108</v>
      </c>
      <c r="C13" s="30" t="s">
        <v>109</v>
      </c>
      <c r="D13" s="31" t="n">
        <f aca="false">IF(COUNTIF(E13:P13,"A")+COUNTIF(E13:P13,"S")+COUNTIF(E13:P13,"C")+COUNTIF(E13:P13,"P")+COUNTIF(E13:P13,"F")+COUNTIF(E13:P13,"N/T")&gt;0,(COUNTIF(E13:P13,"P")+COUNTIF(E13:P13,"F"))/(COUNTIF(E13:P13,"A")+COUNTIF(E13:P13,"S")+COUNTIF(E13:P13,"C")+COUNTIF(E13:P13,"P")+COUNTIF(E13:P13,"F")+COUNTIF(E13:P13,"N/T")),"—")</f>
        <v>0</v>
      </c>
      <c r="E13" s="33"/>
      <c r="F13" s="33"/>
      <c r="G13" s="33"/>
      <c r="H13" s="33"/>
      <c r="I13" s="33"/>
      <c r="J13" s="33"/>
      <c r="K13" s="33"/>
      <c r="L13" s="33"/>
      <c r="M13" s="33"/>
      <c r="N13" s="33"/>
      <c r="O13" s="37" t="s">
        <v>99</v>
      </c>
      <c r="P13" s="37" t="s">
        <v>99</v>
      </c>
      <c r="Q13" s="34"/>
    </row>
    <row r="14" customFormat="false" ht="21.75" hidden="false" customHeight="true" outlineLevel="0" collapsed="false">
      <c r="A14" s="28" t="s">
        <v>110</v>
      </c>
      <c r="B14" s="29" t="s">
        <v>111</v>
      </c>
      <c r="C14" s="30" t="s">
        <v>112</v>
      </c>
      <c r="D14" s="31" t="n">
        <f aca="false">IF(COUNTIF(E14:P14,"A")+COUNTIF(E14:P14,"S")+COUNTIF(E14:P14,"C")+COUNTIF(E14:P14,"P")+COUNTIF(E14:P14,"F")+COUNTIF(E14:P14,"N/T")&gt;0,(COUNTIF(E14:P14,"P")+COUNTIF(E14:P14,"F"))/(COUNTIF(E14:P14,"A")+COUNTIF(E14:P14,"S")+COUNTIF(E14:P14,"C")+COUNTIF(E14:P14,"P")+COUNTIF(E14:P14,"F")+COUNTIF(E14:P14,"N/T")),"—")</f>
        <v>0</v>
      </c>
      <c r="E14" s="37" t="s">
        <v>106</v>
      </c>
      <c r="F14" s="37" t="s">
        <v>106</v>
      </c>
      <c r="G14" s="37" t="s">
        <v>106</v>
      </c>
      <c r="H14" s="37" t="s">
        <v>106</v>
      </c>
      <c r="I14" s="33"/>
      <c r="J14" s="33"/>
      <c r="K14" s="33"/>
      <c r="L14" s="33"/>
      <c r="M14" s="37" t="s">
        <v>106</v>
      </c>
      <c r="N14" s="37" t="s">
        <v>106</v>
      </c>
      <c r="O14" s="37" t="s">
        <v>99</v>
      </c>
      <c r="P14" s="37" t="s">
        <v>99</v>
      </c>
      <c r="Q14" s="34"/>
    </row>
    <row r="15" customFormat="false" ht="21.75" hidden="false" customHeight="true" outlineLevel="0" collapsed="false">
      <c r="A15" s="28" t="s">
        <v>113</v>
      </c>
      <c r="B15" s="29" t="s">
        <v>114</v>
      </c>
      <c r="C15" s="30" t="s">
        <v>115</v>
      </c>
      <c r="D15" s="31" t="n">
        <f aca="false">IF(COUNTIF(E15:P15,"A")+COUNTIF(E15:P15,"S")+COUNTIF(E15:P15,"C")+COUNTIF(E15:P15,"P")+COUNTIF(E15:P15,"F")+COUNTIF(E15:P15,"N/T")&gt;0,(COUNTIF(E15:P15,"P")+COUNTIF(E15:P15,"F"))/(COUNTIF(E15:P15,"A")+COUNTIF(E15:P15,"S")+COUNTIF(E15:P15,"C")+COUNTIF(E15:P15,"P")+COUNTIF(E15:P15,"F")+COUNTIF(E15:P15,"N/T")),"—")</f>
        <v>0</v>
      </c>
      <c r="E15" s="37" t="s">
        <v>106</v>
      </c>
      <c r="F15" s="37" t="s">
        <v>106</v>
      </c>
      <c r="G15" s="37" t="s">
        <v>106</v>
      </c>
      <c r="H15" s="33"/>
      <c r="I15" s="33"/>
      <c r="J15" s="33"/>
      <c r="K15" s="33"/>
      <c r="L15" s="33"/>
      <c r="M15" s="33"/>
      <c r="N15" s="33"/>
      <c r="O15" s="37" t="s">
        <v>99</v>
      </c>
      <c r="P15" s="37" t="s">
        <v>99</v>
      </c>
      <c r="Q15" s="34"/>
    </row>
    <row r="16" customFormat="false" ht="21.75" hidden="false" customHeight="true" outlineLevel="0" collapsed="false">
      <c r="A16" s="28" t="s">
        <v>116</v>
      </c>
      <c r="B16" s="29" t="s">
        <v>117</v>
      </c>
      <c r="C16" s="30" t="s">
        <v>118</v>
      </c>
      <c r="D16" s="31" t="n">
        <f aca="false">IF(COUNTIF(E16:P16,"A")+COUNTIF(E16:P16,"S")+COUNTIF(E16:P16,"C")+COUNTIF(E16:P16,"P")+COUNTIF(E16:P16,"F")+COUNTIF(E16:P16,"N/T")&gt;0,(COUNTIF(E16:P16,"P")+COUNTIF(E16:P16,"F"))/(COUNTIF(E16:P16,"A")+COUNTIF(E16:P16,"S")+COUNTIF(E16:P16,"C")+COUNTIF(E16:P16,"P")+COUNTIF(E16:P16,"F")+COUNTIF(E16:P16,"N/T")),"—")</f>
        <v>0</v>
      </c>
      <c r="E16" s="33"/>
      <c r="F16" s="33"/>
      <c r="G16" s="33"/>
      <c r="H16" s="33"/>
      <c r="I16" s="33"/>
      <c r="J16" s="33"/>
      <c r="K16" s="33"/>
      <c r="L16" s="33"/>
      <c r="M16" s="37" t="s">
        <v>106</v>
      </c>
      <c r="N16" s="33"/>
      <c r="O16" s="37" t="s">
        <v>99</v>
      </c>
      <c r="P16" s="37" t="s">
        <v>99</v>
      </c>
      <c r="Q16" s="34"/>
    </row>
    <row r="17" customFormat="false" ht="21.75" hidden="false" customHeight="true" outlineLevel="0" collapsed="false">
      <c r="A17" s="20" t="s">
        <v>119</v>
      </c>
      <c r="B17" s="20"/>
      <c r="C17" s="20"/>
      <c r="D17" s="20"/>
      <c r="E17" s="38" t="n">
        <f aca="false">IF(COUNTIF(E5:E16,"A")+COUNTIF(E5:E16,"S")+COUNTIF(E5:E16,"C")+COUNTIF(E5:E16,"P")+COUNTIF(E5:E16,"F")+COUNTIF(E5:E16,"N/T")&gt;0,(COUNTIF(E5:E16,"P")+COUNTIF(E5:E16,"F"))/(COUNTIF(E5:E16,"A")+COUNTIF(E5:E16,"S")+COUNTIF(E5:E16,"C")+COUNTIF(E5:E16,"P")+COUNTIF(E5:E16,"F")+COUNTIF(E5:E16,"N/T")),"—")</f>
        <v>0.6</v>
      </c>
      <c r="F17" s="38" t="n">
        <f aca="false">IF(COUNTIF(F5:F16,"A")+COUNTIF(F5:F16,"S")+COUNTIF(F5:F16,"C")+COUNTIF(F5:F16,"P")+COUNTIF(F5:F16,"F")+COUNTIF(F5:F16,"N/T")&gt;0,(COUNTIF(F5:F16,"P")+COUNTIF(F5:F16,"F"))/(COUNTIF(F5:F16,"A")+COUNTIF(F5:F16,"S")+COUNTIF(F5:F16,"C")+COUNTIF(F5:F16,"P")+COUNTIF(F5:F16,"F")+COUNTIF(F5:F16,"N/T")),"—")</f>
        <v>0.5</v>
      </c>
      <c r="G17" s="38" t="n">
        <f aca="false">IF(COUNTIF(G5:G16,"A")+COUNTIF(G5:G16,"S")+COUNTIF(G5:G16,"C")+COUNTIF(G5:G16,"P")+COUNTIF(G5:G16,"F")+COUNTIF(G5:G16,"N/T")&gt;0,(COUNTIF(G5:G16,"P")+COUNTIF(G5:G16,"F"))/(COUNTIF(G5:G16,"A")+COUNTIF(G5:G16,"S")+COUNTIF(G5:G16,"C")+COUNTIF(G5:G16,"P")+COUNTIF(G5:G16,"F")+COUNTIF(G5:G16,"N/T")),"—")</f>
        <v>0.5</v>
      </c>
      <c r="H17" s="38" t="n">
        <f aca="false">IF(COUNTIF(H5:H16,"A")+COUNTIF(H5:H16,"S")+COUNTIF(H5:H16,"C")+COUNTIF(H5:H16,"P")+COUNTIF(H5:H16,"F")+COUNTIF(H5:H16,"N/T")&gt;0,(COUNTIF(H5:H16,"P")+COUNTIF(H5:H16,"F"))/(COUNTIF(H5:H16,"A")+COUNTIF(H5:H16,"S")+COUNTIF(H5:H16,"C")+COUNTIF(H5:H16,"P")+COUNTIF(H5:H16,"F")+COUNTIF(H5:H16,"N/T")),"—")</f>
        <v>0</v>
      </c>
      <c r="I17" s="38" t="n">
        <f aca="false">IF(COUNTIF(I5:I16,"A")+COUNTIF(I5:I16,"S")+COUNTIF(I5:I16,"C")+COUNTIF(I5:I16,"P")+COUNTIF(I5:I16,"F")+COUNTIF(I5:I16,"N/T")&gt;0,(COUNTIF(I5:I16,"P")+COUNTIF(I5:I16,"F"))/(COUNTIF(I5:I16,"A")+COUNTIF(I5:I16,"S")+COUNTIF(I5:I16,"C")+COUNTIF(I5:I16,"P")+COUNTIF(I5:I16,"F")+COUNTIF(I5:I16,"N/T")),"—")</f>
        <v>1</v>
      </c>
      <c r="J17" s="38" t="n">
        <f aca="false">IF(COUNTIF(J5:J16,"A")+COUNTIF(J5:J16,"S")+COUNTIF(J5:J16,"C")+COUNTIF(J5:J16,"P")+COUNTIF(J5:J16,"F")+COUNTIF(J5:J16,"N/T")&gt;0,(COUNTIF(J5:J16,"P")+COUNTIF(J5:J16,"F"))/(COUNTIF(J5:J16,"A")+COUNTIF(J5:J16,"S")+COUNTIF(J5:J16,"C")+COUNTIF(J5:J16,"P")+COUNTIF(J5:J16,"F")+COUNTIF(J5:J16,"N/T")),"—")</f>
        <v>1</v>
      </c>
      <c r="K17" s="38" t="n">
        <f aca="false">IF(COUNTIF(K5:K16,"A")+COUNTIF(K5:K16,"S")+COUNTIF(K5:K16,"C")+COUNTIF(K5:K16,"P")+COUNTIF(K5:K16,"F")+COUNTIF(K5:K16,"N/T")&gt;0,(COUNTIF(K5:K16,"P")+COUNTIF(K5:K16,"F"))/(COUNTIF(K5:K16,"A")+COUNTIF(K5:K16,"S")+COUNTIF(K5:K16,"C")+COUNTIF(K5:K16,"P")+COUNTIF(K5:K16,"F")+COUNTIF(K5:K16,"N/T")),"—")</f>
        <v>1</v>
      </c>
      <c r="L17" s="38" t="n">
        <f aca="false">IF(COUNTIF(L5:L16,"A")+COUNTIF(L5:L16,"S")+COUNTIF(L5:L16,"C")+COUNTIF(L5:L16,"P")+COUNTIF(L5:L16,"F")+COUNTIF(L5:L16,"N/T")&gt;0,(COUNTIF(L5:L16,"P")+COUNTIF(L5:L16,"F"))/(COUNTIF(L5:L16,"A")+COUNTIF(L5:L16,"S")+COUNTIF(L5:L16,"C")+COUNTIF(L5:L16,"P")+COUNTIF(L5:L16,"F")+COUNTIF(L5:L16,"N/T")),"—")</f>
        <v>1</v>
      </c>
      <c r="M17" s="38" t="n">
        <f aca="false">IF(COUNTIF(M5:M16,"A")+COUNTIF(M5:M16,"S")+COUNTIF(M5:M16,"C")+COUNTIF(M5:M16,"P")+COUNTIF(M5:M16,"F")+COUNTIF(M5:M16,"N/T")&gt;0,(COUNTIF(M5:M16,"P")+COUNTIF(M5:M16,"F"))/(COUNTIF(M5:M16,"A")+COUNTIF(M5:M16,"S")+COUNTIF(M5:M16,"C")+COUNTIF(M5:M16,"P")+COUNTIF(M5:M16,"F")+COUNTIF(M5:M16,"N/T")),"—")</f>
        <v>0</v>
      </c>
      <c r="N17" s="38" t="n">
        <f aca="false">IF(COUNTIF(N5:N16,"A")+COUNTIF(N5:N16,"S")+COUNTIF(N5:N16,"C")+COUNTIF(N5:N16,"P")+COUNTIF(N5:N16,"F")+COUNTIF(N5:N16,"N/T")&gt;0,(COUNTIF(N5:N16,"P")+COUNTIF(N5:N16,"F"))/(COUNTIF(N5:N16,"A")+COUNTIF(N5:N16,"S")+COUNTIF(N5:N16,"C")+COUNTIF(N5:N16,"P")+COUNTIF(N5:N16,"F")+COUNTIF(N5:N16,"N/T")),"—")</f>
        <v>0</v>
      </c>
      <c r="O17" s="38" t="n">
        <f aca="false">IF(COUNTIF(O5:O16,"A")+COUNTIF(O5:O16,"S")+COUNTIF(O5:O16,"C")+COUNTIF(O5:O16,"P")+COUNTIF(O5:O16,"F")+COUNTIF(O5:O16,"N/T")&gt;0,(COUNTIF(O5:O16,"P")+COUNTIF(O5:O16,"F"))/(COUNTIF(O5:O16,"A")+COUNTIF(O5:O16,"S")+COUNTIF(O5:O16,"C")+COUNTIF(O5:O16,"P")+COUNTIF(O5:O16,"F")+COUNTIF(O5:O16,"N/T")),"—")</f>
        <v>0.333333333333333</v>
      </c>
      <c r="P17" s="38" t="n">
        <f aca="false">IF(COUNTIF(P5:P16,"A")+COUNTIF(P5:P16,"S")+COUNTIF(P5:P16,"C")+COUNTIF(P5:P16,"P")+COUNTIF(P5:P16,"F")+COUNTIF(P5:P16,"N/T")&gt;0,(COUNTIF(P5:P16,"P")+COUNTIF(P5:P16,"F"))/(COUNTIF(P5:P16,"A")+COUNTIF(P5:P16,"S")+COUNTIF(P5:P16,"C")+COUNTIF(P5:P16,"P")+COUNTIF(P5:P16,"F")+COUNTIF(P5:P16,"N/T")),"—")</f>
        <v>0.272727272727273</v>
      </c>
      <c r="Q17" s="24"/>
    </row>
  </sheetData>
  <mergeCells count="12">
    <mergeCell ref="A1:B1"/>
    <mergeCell ref="C1:F1"/>
    <mergeCell ref="G1:H1"/>
    <mergeCell ref="I1:Q1"/>
    <mergeCell ref="A2:D2"/>
    <mergeCell ref="E2:P2"/>
    <mergeCell ref="A3:A4"/>
    <mergeCell ref="B3:B4"/>
    <mergeCell ref="C3:C4"/>
    <mergeCell ref="D3:D4"/>
    <mergeCell ref="Q3:Q4"/>
    <mergeCell ref="A17:D17"/>
  </mergeCells>
  <conditionalFormatting sqref="E5:P16">
    <cfRule type="cellIs" priority="2" operator="equal" aboveAverage="0" equalAverage="0" bottom="0" percent="0" rank="0" text="" dxfId="0">
      <formula>"P"</formula>
    </cfRule>
    <cfRule type="cellIs" priority="3" operator="equal" aboveAverage="0" equalAverage="0" bottom="0" percent="0" rank="0" text="" dxfId="1">
      <formula>"F"</formula>
    </cfRule>
    <cfRule type="cellIs" priority="4" operator="equal" aboveAverage="0" equalAverage="0" bottom="0" percent="0" rank="0" text="" dxfId="2">
      <formula>"N/T"</formula>
    </cfRule>
    <cfRule type="cellIs" priority="5" operator="equal" aboveAverage="0" equalAverage="0" bottom="0" percent="0" rank="0" text="" dxfId="3">
      <formula>"A"</formula>
    </cfRule>
    <cfRule type="cellIs" priority="6" operator="equal" aboveAverage="0" equalAverage="0" bottom="0" percent="0" rank="0" text="" dxfId="3">
      <formula>"S"</formula>
    </cfRule>
    <cfRule type="cellIs" priority="7" operator="equal" aboveAverage="0" equalAverage="0" bottom="0" percent="0" rank="0" text="" dxfId="3">
      <formula>"C"</formula>
    </cfRule>
  </conditionalFormatting>
  <conditionalFormatting sqref="D5:D16">
    <cfRule type="expression" priority="8" aboveAverage="0" equalAverage="0" bottom="0" percent="0" rank="0" text="" dxfId="0">
      <formula>AND(ISNUMBER(D5),D5&gt;=1)</formula>
    </cfRule>
    <cfRule type="expression" priority="9" aboveAverage="0" equalAverage="0" bottom="0" percent="0" rank="0" text="" dxfId="4">
      <formula>AND(ISNUMBER(D5),D5&gt;=0.5,D5&lt;1)</formula>
    </cfRule>
    <cfRule type="expression" priority="10" aboveAverage="0" equalAverage="0" bottom="0" percent="0" rank="0" text="" dxfId="1">
      <formula>AND(ISNUMBER(D5),D5&lt;0.5)</formula>
    </cfRule>
  </conditionalFormatting>
  <dataValidations count="1">
    <dataValidation allowBlank="true" errorStyle="stop" operator="between" showDropDown="false" showErrorMessage="false" showInputMessage="false" sqref="E5:P50" type="list">
      <formula1>"P,F,N/T,A,S,C"</formula1>
      <formula2>0</formula2>
    </dataValidation>
  </dataValidation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&amp;CCause-and-Effect Testing Matrix</oddHeader>
    <oddFooter>&amp;Rebrora.com</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21.75" hidden="false" customHeight="true" outlineLevel="0" collapsed="false">
      <c r="A1" s="39" t="s">
        <v>120</v>
      </c>
    </row>
    <row r="2" customFormat="false" ht="21.75" hidden="false" customHeight="true" outlineLevel="0" collapsed="false">
      <c r="A2" s="29"/>
    </row>
    <row r="3" customFormat="false" ht="21.75" hidden="false" customHeight="true" outlineLevel="0" collapsed="false">
      <c r="A3" s="29" t="s">
        <v>121</v>
      </c>
    </row>
    <row r="4" customFormat="false" ht="21.75" hidden="false" customHeight="true" outlineLevel="0" collapsed="false">
      <c r="A4" s="29"/>
    </row>
    <row r="5" customFormat="false" ht="21.75" hidden="false" customHeight="true" outlineLevel="0" collapsed="false">
      <c r="A5" s="29" t="s">
        <v>122</v>
      </c>
    </row>
    <row r="6" customFormat="false" ht="21.75" hidden="false" customHeight="true" outlineLevel="0" collapsed="false">
      <c r="A6" s="29" t="s">
        <v>123</v>
      </c>
    </row>
    <row r="7" customFormat="false" ht="21.75" hidden="false" customHeight="true" outlineLevel="0" collapsed="false">
      <c r="A7" s="29" t="s">
        <v>124</v>
      </c>
    </row>
    <row r="8" customFormat="false" ht="21.75" hidden="false" customHeight="true" outlineLevel="0" collapsed="false">
      <c r="A8" s="29" t="s">
        <v>125</v>
      </c>
    </row>
    <row r="9" customFormat="false" ht="21.75" hidden="false" customHeight="true" outlineLevel="0" collapsed="false">
      <c r="A9" s="29" t="s">
        <v>126</v>
      </c>
    </row>
    <row r="10" customFormat="false" ht="21.75" hidden="false" customHeight="true" outlineLevel="0" collapsed="false">
      <c r="A10" s="29" t="s">
        <v>127</v>
      </c>
    </row>
    <row r="11" customFormat="false" ht="21.75" hidden="false" customHeight="true" outlineLevel="0" collapsed="false">
      <c r="A11" s="29"/>
    </row>
    <row r="12" customFormat="false" ht="21.75" hidden="false" customHeight="true" outlineLevel="0" collapsed="false">
      <c r="A12" s="29" t="s">
        <v>128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MEICA &amp; Commissioning</cp:category>
  <dcterms:created xsi:type="dcterms:W3CDTF">2026-03-24T13:45:28Z</dcterms:created>
  <dc:creator>Ebrora Ltd</dc:creator>
  <dc:description>Cause-and-effect testing matrix for mapping interlocks and trips and recording SAT test results on UK construction and commissioning projects.
Free professional construction management template from Ebrora Ltd. Visit ebrora.com for our full range of tools and templates.</dc:description>
  <cp:keywords>Ebrora construction cause and effect C&amp;E interlocks trips SAT commissioning MEICA UK construction</cp:keywords>
  <dc:language>en-US</dc:language>
  <cp:lastModifiedBy>Ebrora Ltd</cp:lastModifiedBy>
  <dcterms:modified xsi:type="dcterms:W3CDTF">2026-03-24T13:45:28Z</dcterms:modified>
  <cp:revision>0</cp:revision>
  <dc:subject>Cause-and-effect testing matrix mapping process interlocks and trips against systems and recording SAT test results cause by cause, effect by effect.</dc:subject>
  <dc:title>Cause-and-Effect Testing Matrix</dc:title>
</cp:coreProperties>
</file>

<file path=docProps/custom.xml><?xml version="1.0" encoding="utf-8"?>
<Properties xmlns="http://schemas.openxmlformats.org/officeDocument/2006/custom-properties" xmlns:vt="http://schemas.openxmlformats.org/officeDocument/2006/docPropsVTypes"/>
</file>