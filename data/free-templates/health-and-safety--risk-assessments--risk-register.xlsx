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Instructions" sheetId="2" state="visible" r:id="rId4"/>
    <sheet name="Risk Register" sheetId="3" state="visible" r:id="rId5"/>
    <sheet name="Terms of Use" sheetId="4" state="hidden" r:id="rId6"/>
  </sheets>
  <definedNames>
    <definedName function="false" hidden="false" localSheetId="0" name="_xlnm.Print_Area" vbProcedure="false">Cover!$A$1:$H$20</definedName>
    <definedName function="false" hidden="false" localSheetId="2" name="_xlnm.Print_Area" vbProcedure="false">'Risk Register'!$A$1:$Q$45</definedName>
    <definedName function="false" hidden="true" localSheetId="2" name="_xlnm._FilterDatabase" vbProcedure="false">'Risk Register'!$A$9:$Q$45</definedName>
    <definedName function="false" hidden="false" name="DataTable" vbProcedure="false">'Risk Register'!$A$9:$Q$45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<sst xmlns="http://schemas.openxmlformats.org/spreadsheetml/2006/main" count="104" uniqueCount="100">
  <si>
    <t xml:space="preserve">EBRORA</t>
  </si>
  <si>
    <t xml:space="preserve">ebrora.com</t>
  </si>
  <si>
    <t xml:space="preserve">Risk Register</t>
  </si>
  <si>
    <t xml:space="preserve">Identify and manage project risks with likelihood × impact scoring, automatic risk ratings, mitigation actions, and residual risk tracking.</t>
  </si>
  <si>
    <t xml:space="preserve">This is a free template from Ebrora.
For our full range of professional-grade construction management tools,
visit ebrora.com</t>
  </si>
  <si>
    <t xml:space="preserve">© Ebrora 2026 — All rights reserved</t>
  </si>
  <si>
    <t xml:space="preserve">How to Use This Template</t>
  </si>
  <si>
    <t xml:space="preserve">Step-by-Step Instructions</t>
  </si>
  <si>
    <t xml:space="preserve">1. Go to the 'Risk Register' sheet. The summary shows total risks and RAG breakdown (High/Medium/Low).</t>
  </si>
  <si>
    <t xml:space="preserve">2. Enter each risk with its reference, date identified, category, and a clear description of the risk event.</t>
  </si>
  <si>
    <t xml:space="preserve">3. Score the Likelihood (1–5) and Impact (1–5). The Risk Score auto-calculates (L × I) and RAG assigns automatically.</t>
  </si>
  <si>
    <t xml:space="preserve">4. Record the mitigation action, owner, and due date. Then score the residual risk after mitigation.</t>
  </si>
  <si>
    <t xml:space="preserve">5. Risk Rating: 1–6 = LOW (green), 8–12 = MEDIUM (amber), 15–25 = HIGH (red).</t>
  </si>
  <si>
    <t xml:space="preserve">6. The Residual Score shows whether mitigations are bringing risk down to acceptable levels.</t>
  </si>
  <si>
    <t xml:space="preserve">7. Review the register monthly — update scores, close risks that have passed, and add new ones.</t>
  </si>
  <si>
    <t xml:space="preserve">8. Filter by RAG or category to focus your risk review on the most critical areas.</t>
  </si>
  <si>
    <t xml:space="preserve">Colour Key</t>
  </si>
  <si>
    <t xml:space="preserve">Light teal</t>
  </si>
  <si>
    <t xml:space="preserve">Editable cells</t>
  </si>
  <si>
    <t xml:space="preserve">Dark navy</t>
  </si>
  <si>
    <t xml:space="preserve">Headers</t>
  </si>
  <si>
    <t xml:space="preserve">Green</t>
  </si>
  <si>
    <t xml:space="preserve">Low risk / Complete</t>
  </si>
  <si>
    <t xml:space="preserve">Amber</t>
  </si>
  <si>
    <t xml:space="preserve">Medium risk / In progress</t>
  </si>
  <si>
    <t xml:space="preserve">Red</t>
  </si>
  <si>
    <t xml:space="preserve">High risk / Critical</t>
  </si>
  <si>
    <t xml:space="preserve">Tips</t>
  </si>
  <si>
    <t xml:space="preserve">• Describe risks as events: 'There is a risk THAT [event] CAUSED BY [cause] RESULTING IN [consequence]'.</t>
  </si>
  <si>
    <t xml:space="preserve">• Every High-rated risk must have an active mitigation with an owner and due date — unmitigated red risks are unacceptable.</t>
  </si>
  <si>
    <t xml:space="preserve">• Review residual scores after mitigations are complete — if the risk hasn't reduced, the mitigation hasn't worked.</t>
  </si>
  <si>
    <t xml:space="preserve">RISK REGISTER</t>
  </si>
  <si>
    <t xml:space="preserve">Total Risks</t>
  </si>
  <si>
    <t xml:space="preserve">High (Red)</t>
  </si>
  <si>
    <t xml:space="preserve">Medium (Amber)</t>
  </si>
  <si>
    <t xml:space="preserve">Low (Green)</t>
  </si>
  <si>
    <t xml:space="preserve">Open</t>
  </si>
  <si>
    <t xml:space="preserve">Closed</t>
  </si>
  <si>
    <t xml:space="preserve">IDENTIFICATION</t>
  </si>
  <si>
    <t xml:space="preserve">PRE-MITIGATION SCORE</t>
  </si>
  <si>
    <t xml:space="preserve">MITIGATION</t>
  </si>
  <si>
    <t xml:space="preserve">RESIDUAL SCORE</t>
  </si>
  <si>
    <t xml:space="preserve">STATUS</t>
  </si>
  <si>
    <t xml:space="preserve">Risk
Ref</t>
  </si>
  <si>
    <t xml:space="preserve">Date
Identified</t>
  </si>
  <si>
    <t xml:space="preserve">Category</t>
  </si>
  <si>
    <t xml:space="preserve">Risk Description</t>
  </si>
  <si>
    <t xml:space="preserve">Likelihood
(1–5)</t>
  </si>
  <si>
    <t xml:space="preserve">Impact
(1–5)</t>
  </si>
  <si>
    <t xml:space="preserve">Risk
Score</t>
  </si>
  <si>
    <t xml:space="preserve">RAG</t>
  </si>
  <si>
    <t xml:space="preserve">Mitigation Action</t>
  </si>
  <si>
    <t xml:space="preserve">Owner</t>
  </si>
  <si>
    <t xml:space="preserve">Due
Date</t>
  </si>
  <si>
    <t xml:space="preserve">Residual
Likelihood</t>
  </si>
  <si>
    <t xml:space="preserve">Residual
Impact</t>
  </si>
  <si>
    <t xml:space="preserve">Residual
Score</t>
  </si>
  <si>
    <t xml:space="preserve">Residual
RAG</t>
  </si>
  <si>
    <t xml:space="preserve">Status</t>
  </si>
  <si>
    <t xml:space="preserve">Notes / Review Comments</t>
  </si>
  <si>
    <t xml:space="preserve">R-001</t>
  </si>
  <si>
    <t xml:space="preserve">Programme</t>
  </si>
  <si>
    <t xml:space="preserve">Delay to steelwork delivery due to supplier capacity constraints</t>
  </si>
  <si>
    <t xml:space="preserve">Early order placement and regular progress chasing with fabricator</t>
  </si>
  <si>
    <t xml:space="preserve">M. Evans</t>
  </si>
  <si>
    <t xml:space="preserve">Order placed 20/01. Weekly calls scheduled.</t>
  </si>
  <si>
    <t xml:space="preserve">R-002</t>
  </si>
  <si>
    <t xml:space="preserve">H&amp;S</t>
  </si>
  <si>
    <t xml:space="preserve">Collapse of excavation faces in deep trenches due to poor ground conditions</t>
  </si>
  <si>
    <t xml:space="preserve">Install trench support (drag boxes) for all excavations &gt;1.2m</t>
  </si>
  <si>
    <t xml:space="preserve">Site Foreman</t>
  </si>
  <si>
    <t xml:space="preserve">Drag boxes on site and in use.</t>
  </si>
  <si>
    <t xml:space="preserve">R-003</t>
  </si>
  <si>
    <t xml:space="preserve">Commercial</t>
  </si>
  <si>
    <t xml:space="preserve">Client variations exceeding contingency budget leading to cost overrun</t>
  </si>
  <si>
    <t xml:space="preserve">Monthly cost reviews. Early warning notices under NEC contract.</t>
  </si>
  <si>
    <t xml:space="preserve">QS</t>
  </si>
  <si>
    <t xml:space="preserve">First review completed Feb.</t>
  </si>
  <si>
    <t xml:space="preserve">R-004</t>
  </si>
  <si>
    <t xml:space="preserve">Environmental</t>
  </si>
  <si>
    <t xml:space="preserve">Contaminated land discovered during excavation requiring specialist disposal</t>
  </si>
  <si>
    <t xml:space="preserve">GI report reviewed. Contingency budget for contamination held. Watching brief on excavations.</t>
  </si>
  <si>
    <t xml:space="preserve">Environmental Advisor</t>
  </si>
  <si>
    <t xml:space="preserve">Watching</t>
  </si>
  <si>
    <t xml:space="preserve">No contamination found to date.</t>
  </si>
  <si>
    <t xml:space="preserve">R-005</t>
  </si>
  <si>
    <t xml:space="preserve">Design</t>
  </si>
  <si>
    <t xml:space="preserve">Late design information for M&amp;E services causing clash with structural frame</t>
  </si>
  <si>
    <t xml:space="preserve">BIM clash detection weekly. Design freeze deadline agreed with consultant.</t>
  </si>
  <si>
    <t xml:space="preserve">Design Manager</t>
  </si>
  <si>
    <t xml:space="preserve">Design freeze achieved 18/02. No clashes.</t>
  </si>
  <si>
    <t xml:space="preserve">EBRORA — TERMS OF USE</t>
  </si>
  <si>
    <t xml:space="preserve">This template is provided free of charge by Ebrora (ebrora.com) for personal and professional use.</t>
  </si>
  <si>
    <t xml:space="preserve">1. LICENCE: You may use this template for your own projects. You may not resell, redistribute, or claim authorship of this template.</t>
  </si>
  <si>
    <t xml:space="preserve">2. NO WARRANTY: This template is provided "as is" without warranty of any kind. Ebrora accepts no liability for errors, omissions, or losses arising from use of this template.</t>
  </si>
  <si>
    <t xml:space="preserve">3. INTELLECTUAL PROPERTY: All design, layout, branding, and content remain the intellectual property of Ebrora.</t>
  </si>
  <si>
    <t xml:space="preserve">4. MODIFICATIONS: You may modify this template for your own use. Modified versions may not be distributed or sold.</t>
  </si>
  <si>
    <t xml:space="preserve">5. ATTRIBUTION: If you share outputs generated using this template, attribution to Ebrora (ebrora.com) is appreciated but not required.</t>
  </si>
  <si>
    <t xml:space="preserve">6. SUPPORT: For queries, feedback, or to report errors, contact support@ebrora.com.</t>
  </si>
  <si>
    <t xml:space="preserve">For our full range of professional construction management tools, visit ebrora.com.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</si>
</sst>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dd/mm/yyyy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36"/>
      <color rgb="FFFFFFFF"/>
      <name val="Calibri"/>
      <family val="0"/>
      <charset val="1"/>
    </font>
    <font>
      <sz val="12"/>
      <color rgb="FF2AABB3"/>
      <name val="Calibri"/>
      <family val="0"/>
      <charset val="1"/>
    </font>
    <font>
      <b val="true"/>
      <sz val="28"/>
      <color rgb="FFFFFFFF"/>
      <name val="Calibri"/>
      <family val="0"/>
      <charset val="1"/>
    </font>
    <font>
      <sz val="12"/>
      <color rgb="FFFFFFFF"/>
      <name val="Calibri"/>
      <family val="0"/>
      <charset val="1"/>
    </font>
    <font>
      <sz val="11"/>
      <color rgb="FF1B2A4A"/>
      <name val="Calibri"/>
      <family val="0"/>
      <charset val="1"/>
    </font>
    <font>
      <i val="true"/>
      <sz val="9"/>
      <color rgb="FF8C8C8C"/>
      <name val="Calibri"/>
      <family val="0"/>
      <charset val="1"/>
    </font>
    <font>
      <b val="true"/>
      <sz val="14"/>
      <color rgb="FF1B2A4A"/>
      <name val="Calibri"/>
      <family val="0"/>
      <charset val="1"/>
    </font>
    <font>
      <b val="true"/>
      <sz val="11"/>
      <color rgb="FF2AABB3"/>
      <name val="Calibri"/>
      <family val="0"/>
      <charset val="1"/>
    </font>
    <font>
      <sz val="10"/>
      <color rgb="FF1B2A4A"/>
      <name val="Calibri"/>
      <family val="0"/>
      <charset val="1"/>
    </font>
    <font>
      <b val="true"/>
      <sz val="10"/>
      <color rgb="FF1B2A4A"/>
      <name val="Calibri"/>
      <family val="0"/>
      <charset val="1"/>
    </font>
    <font>
      <b val="true"/>
      <sz val="14"/>
      <color rgb="FFFFFFFF"/>
      <name val="Calibri"/>
      <family val="0"/>
      <charset val="1"/>
    </font>
    <font>
      <b val="true"/>
      <sz val="10"/>
      <color rgb="FF2AABB3"/>
      <name val="Calibri"/>
      <family val="0"/>
      <charset val="1"/>
    </font>
    <font>
      <b val="true"/>
      <sz val="16"/>
      <color rgb="FF1B2A4A"/>
      <name val="Calibri"/>
      <family val="0"/>
      <charset val="1"/>
    </font>
    <font>
      <b val="true"/>
      <sz val="16"/>
      <color rgb="FF9C0006"/>
      <name val="Calibri"/>
      <family val="0"/>
      <charset val="1"/>
    </font>
    <font>
      <b val="true"/>
      <sz val="16"/>
      <color rgb="FF006100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1"/>
      <color rgb="FFFFFFFF"/>
      <name val="Calibri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FFFFFF"/>
        <bgColor rgb="FFE8F6F7"/>
      </patternFill>
    </fill>
    <fill>
      <patternFill patternType="solid">
        <fgColor rgb="FFE8F6F7"/>
        <bgColor rgb="FFFFFFFF"/>
      </patternFill>
    </fill>
    <fill>
      <patternFill patternType="solid">
        <fgColor rgb="FFC6EFCE"/>
        <bgColor rgb="FFCCFFFF"/>
      </patternFill>
    </fill>
    <fill>
      <patternFill patternType="solid">
        <fgColor rgb="FFFFEB9C"/>
        <bgColor rgb="FFFFFFCC"/>
      </patternFill>
    </fill>
    <fill>
      <patternFill patternType="solid">
        <fgColor rgb="FFFFC7CE"/>
        <bgColor rgb="FFFFEB9C"/>
      </patternFill>
    </fill>
    <fill>
      <patternFill patternType="solid">
        <fgColor rgb="FF2AABB3"/>
        <bgColor rgb="FF33996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1B2A4A"/>
      </left>
      <right style="thin">
        <color rgb="FF1B2A4A"/>
      </right>
      <top style="thin">
        <color rgb="FF1B2A4A"/>
      </top>
      <bottom style="thin">
        <color rgb="FF1B2A4A"/>
      </bottom>
      <diagonal/>
    </border>
    <border diagonalUp="false" diagonalDown="false">
      <left/>
      <right/>
      <top/>
      <bottom style="medium">
        <color rgb="FF2AABB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1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1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18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 patternType="solid">
          <fgColor rgb="FF1B2A4A"/>
          <bgColor rgb="FF000000"/>
        </patternFill>
      </fill>
    </dxf>
    <dxf>
      <fill>
        <patternFill patternType="solid">
          <fgColor rgb="FFE8F6F7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ill>
        <patternFill patternType="solid">
          <fgColor rgb="FF9C6500"/>
          <bgColor rgb="FF000000"/>
        </patternFill>
      </fill>
    </dxf>
    <dxf>
      <font>
        <name val="Calibri"/>
        <charset val="1"/>
        <family val="0"/>
        <b val="1"/>
        <color rgb="FF9C0006"/>
      </font>
      <fill>
        <patternFill>
          <bgColor rgb="FFFFC7CE"/>
        </patternFill>
      </fill>
    </dxf>
    <dxf>
      <font>
        <name val="Calibri"/>
        <charset val="1"/>
        <family val="0"/>
        <b val="1"/>
        <color rgb="FF9C6500"/>
      </font>
      <fill>
        <patternFill>
          <bgColor rgb="FFFFEB9C"/>
        </patternFill>
      </fill>
    </dxf>
    <dxf>
      <font>
        <name val="Calibri"/>
        <charset val="1"/>
        <family val="0"/>
        <b val="1"/>
        <color rgb="FF006100"/>
      </font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C0C0C0"/>
      <rgbColor rgb="FF808080"/>
      <rgbColor rgb="FF9999FF"/>
      <rgbColor rgb="FF993366"/>
      <rgbColor rgb="FFFFFFCC"/>
      <rgbColor rgb="FFE8F6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2AABB3"/>
      <rgbColor rgb="FF99CC00"/>
      <rgbColor rgb="FFFFCC00"/>
      <rgbColor rgb="FFFF9900"/>
      <rgbColor rgb="FFFF6600"/>
      <rgbColor rgb="FF666699"/>
      <rgbColor rgb="FF8C8C8C"/>
      <rgbColor rgb="FF003366"/>
      <rgbColor rgb="FF339966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H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14"/>
  </cols>
  <sheetData>
    <row r="1" customFormat="false" ht="1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15" hidden="false" customHeight="false" outlineLevel="0" collapsed="false">
      <c r="A3" s="1"/>
      <c r="B3" s="1"/>
      <c r="C3" s="1"/>
      <c r="D3" s="1"/>
      <c r="E3" s="1"/>
      <c r="F3" s="1"/>
      <c r="G3" s="1"/>
      <c r="H3" s="1"/>
    </row>
    <row r="4" customFormat="false" ht="15" hidden="false" customHeight="true" outlineLevel="0" collapsed="false">
      <c r="A4" s="2" t="s">
        <v>1</v>
      </c>
      <c r="B4" s="2"/>
      <c r="C4" s="2"/>
      <c r="D4" s="2"/>
      <c r="E4" s="2"/>
      <c r="F4" s="2"/>
      <c r="G4" s="2"/>
      <c r="H4" s="2"/>
    </row>
    <row r="5" customFormat="false" ht="15" hidden="false" customHeight="false" outlineLevel="0" collapsed="false">
      <c r="A5" s="3"/>
      <c r="B5" s="3"/>
      <c r="C5" s="3"/>
      <c r="D5" s="3"/>
      <c r="E5" s="3"/>
      <c r="F5" s="3"/>
      <c r="G5" s="3"/>
      <c r="H5" s="3"/>
    </row>
    <row r="6" customFormat="false" ht="15" hidden="false" customHeight="true" outlineLevel="0" collapsed="false">
      <c r="A6" s="4" t="s">
        <v>2</v>
      </c>
      <c r="B6" s="4"/>
      <c r="C6" s="4"/>
      <c r="D6" s="4"/>
      <c r="E6" s="4"/>
      <c r="F6" s="4"/>
      <c r="G6" s="4"/>
      <c r="H6" s="4"/>
    </row>
    <row r="7" customFormat="false" ht="15" hidden="false" customHeight="false" outlineLevel="0" collapsed="false">
      <c r="A7" s="4"/>
      <c r="B7" s="4"/>
      <c r="C7" s="4"/>
      <c r="D7" s="4"/>
      <c r="E7" s="4"/>
      <c r="F7" s="4"/>
      <c r="G7" s="4"/>
      <c r="H7" s="4"/>
    </row>
    <row r="8" customFormat="false" ht="15" hidden="false" customHeight="false" outlineLevel="0" collapsed="false">
      <c r="A8" s="4"/>
      <c r="B8" s="4"/>
      <c r="C8" s="4"/>
      <c r="D8" s="4"/>
      <c r="E8" s="4"/>
      <c r="F8" s="4"/>
      <c r="G8" s="4"/>
      <c r="H8" s="4"/>
    </row>
    <row r="9" customFormat="false" ht="15" hidden="false" customHeight="false" outlineLevel="0" collapsed="false">
      <c r="A9" s="3"/>
      <c r="B9" s="3"/>
      <c r="C9" s="3"/>
      <c r="D9" s="3"/>
      <c r="E9" s="3"/>
      <c r="F9" s="3"/>
      <c r="G9" s="3"/>
      <c r="H9" s="3"/>
    </row>
    <row r="10" customFormat="false" ht="15" hidden="false" customHeight="true" outlineLevel="0" collapsed="false">
      <c r="A10" s="5" t="s">
        <v>3</v>
      </c>
      <c r="B10" s="5"/>
      <c r="C10" s="5"/>
      <c r="D10" s="5"/>
      <c r="E10" s="5"/>
      <c r="F10" s="5"/>
      <c r="G10" s="5"/>
      <c r="H10" s="5"/>
    </row>
    <row r="11" customFormat="false" ht="15" hidden="false" customHeight="false" outlineLevel="0" collapsed="false">
      <c r="A11" s="5"/>
      <c r="B11" s="5"/>
      <c r="C11" s="5"/>
      <c r="D11" s="5"/>
      <c r="E11" s="5"/>
      <c r="F11" s="5"/>
      <c r="G11" s="5"/>
      <c r="H11" s="5"/>
    </row>
    <row r="12" customFormat="false" ht="15" hidden="false" customHeight="false" outlineLevel="0" collapsed="false">
      <c r="A12" s="3"/>
      <c r="B12" s="3"/>
      <c r="C12" s="3"/>
      <c r="D12" s="3"/>
      <c r="E12" s="3"/>
      <c r="F12" s="3"/>
      <c r="G12" s="3"/>
      <c r="H12" s="3"/>
    </row>
    <row r="13" customFormat="false" ht="15" hidden="false" customHeight="false" outlineLevel="0" collapsed="false">
      <c r="A13" s="3"/>
      <c r="B13" s="3"/>
      <c r="C13" s="3"/>
      <c r="D13" s="3"/>
      <c r="E13" s="3"/>
      <c r="F13" s="3"/>
      <c r="G13" s="3"/>
      <c r="H13" s="3"/>
    </row>
    <row r="14" customFormat="false" ht="15" hidden="false" customHeight="true" outlineLevel="0" collapsed="false">
      <c r="A14" s="6" t="s">
        <v>4</v>
      </c>
      <c r="B14" s="6"/>
      <c r="C14" s="6"/>
      <c r="D14" s="6"/>
      <c r="E14" s="6"/>
      <c r="F14" s="6"/>
      <c r="G14" s="6"/>
      <c r="H14" s="6"/>
    </row>
    <row r="15" customFormat="false" ht="15" hidden="false" customHeight="false" outlineLevel="0" collapsed="false">
      <c r="A15" s="6"/>
      <c r="B15" s="6"/>
      <c r="C15" s="6"/>
      <c r="D15" s="6"/>
      <c r="E15" s="6"/>
      <c r="F15" s="6"/>
      <c r="G15" s="6"/>
      <c r="H15" s="6"/>
    </row>
    <row r="16" customFormat="false" ht="15" hidden="false" customHeight="false" outlineLevel="0" collapsed="false">
      <c r="A16" s="6"/>
      <c r="B16" s="6"/>
      <c r="C16" s="6"/>
      <c r="D16" s="6"/>
      <c r="E16" s="6"/>
      <c r="F16" s="6"/>
      <c r="G16" s="6"/>
      <c r="H16" s="6"/>
    </row>
    <row r="17" customFormat="false" ht="15" hidden="false" customHeight="false" outlineLevel="0" collapsed="false">
      <c r="A17" s="6"/>
      <c r="B17" s="6"/>
      <c r="C17" s="6"/>
      <c r="D17" s="6"/>
      <c r="E17" s="6"/>
      <c r="F17" s="6"/>
      <c r="G17" s="6"/>
      <c r="H17" s="6"/>
    </row>
    <row r="18" customFormat="false" ht="15" hidden="false" customHeight="false" outlineLevel="0" collapsed="false">
      <c r="A18" s="3"/>
      <c r="B18" s="3"/>
      <c r="C18" s="3"/>
      <c r="D18" s="3"/>
      <c r="E18" s="3"/>
      <c r="F18" s="3"/>
      <c r="G18" s="3"/>
      <c r="H18" s="3"/>
    </row>
    <row r="19" customFormat="false" ht="15" hidden="false" customHeight="true" outlineLevel="0" collapsed="false">
      <c r="A19" s="7" t="s">
        <v>5</v>
      </c>
      <c r="B19" s="7"/>
      <c r="C19" s="7"/>
      <c r="D19" s="7"/>
      <c r="E19" s="7"/>
      <c r="F19" s="7"/>
      <c r="G19" s="7"/>
      <c r="H19" s="7"/>
    </row>
    <row r="20" customFormat="false" ht="15" hidden="false" customHeight="false" outlineLevel="0" collapsed="false">
      <c r="A20" s="3"/>
      <c r="B20" s="3"/>
      <c r="C20" s="3"/>
      <c r="D20" s="3"/>
      <c r="E20" s="3"/>
      <c r="F20" s="3"/>
      <c r="G20" s="3"/>
      <c r="H20" s="3"/>
    </row>
    <row r="21" customFormat="false" ht="15" hidden="false" customHeight="false" outlineLevel="0" collapsed="false">
      <c r="A21" s="3"/>
      <c r="B21" s="3"/>
      <c r="C21" s="3"/>
      <c r="D21" s="3"/>
      <c r="E21" s="3"/>
      <c r="F21" s="3"/>
      <c r="G21" s="3"/>
      <c r="H21" s="3"/>
    </row>
    <row r="22" customFormat="false" ht="15" hidden="false" customHeight="false" outlineLevel="0" collapsed="false">
      <c r="A22" s="3"/>
      <c r="B22" s="3"/>
      <c r="C22" s="3"/>
      <c r="D22" s="3"/>
      <c r="E22" s="3"/>
      <c r="F22" s="3"/>
      <c r="G22" s="3"/>
      <c r="H22" s="3"/>
    </row>
    <row r="23" customFormat="false" ht="15" hidden="false" customHeight="false" outlineLevel="0" collapsed="false">
      <c r="A23" s="3"/>
      <c r="B23" s="3"/>
      <c r="C23" s="3"/>
      <c r="D23" s="3"/>
      <c r="E23" s="3"/>
      <c r="F23" s="3"/>
      <c r="G23" s="3"/>
      <c r="H23" s="3"/>
    </row>
    <row r="24" customFormat="false" ht="15" hidden="false" customHeight="false" outlineLevel="0" collapsed="false">
      <c r="A24" s="3"/>
      <c r="B24" s="3"/>
      <c r="C24" s="3"/>
      <c r="D24" s="3"/>
      <c r="E24" s="3"/>
      <c r="F24" s="3"/>
      <c r="G24" s="3"/>
      <c r="H24" s="3"/>
    </row>
  </sheetData>
  <mergeCells count="6">
    <mergeCell ref="A1:H3"/>
    <mergeCell ref="A4:H4"/>
    <mergeCell ref="A6:H8"/>
    <mergeCell ref="A10:H11"/>
    <mergeCell ref="A14:H17"/>
    <mergeCell ref="A19:H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AABB3"/>
    <pageSetUpPr fitToPage="false"/>
  </sheetPr>
  <dimension ref="A1:F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6" min="2" style="0" width="22"/>
  </cols>
  <sheetData>
    <row r="1" customFormat="false" ht="17.35" hidden="false" customHeight="false" outlineLevel="0" collapsed="false">
      <c r="A1" s="8" t="s">
        <v>6</v>
      </c>
      <c r="B1" s="8"/>
      <c r="C1" s="8"/>
      <c r="D1" s="8"/>
      <c r="E1" s="8"/>
      <c r="F1" s="8"/>
    </row>
    <row r="3" customFormat="false" ht="15" hidden="false" customHeight="false" outlineLevel="0" collapsed="false">
      <c r="A3" s="9" t="s">
        <v>7</v>
      </c>
      <c r="B3" s="9"/>
      <c r="C3" s="9"/>
      <c r="D3" s="9"/>
      <c r="E3" s="9"/>
      <c r="F3" s="9"/>
    </row>
    <row r="4" customFormat="false" ht="30" hidden="false" customHeight="true" outlineLevel="0" collapsed="false">
      <c r="A4" s="10" t="s">
        <v>8</v>
      </c>
      <c r="B4" s="10"/>
      <c r="C4" s="10"/>
      <c r="D4" s="10"/>
      <c r="E4" s="10"/>
      <c r="F4" s="10"/>
    </row>
    <row r="5" customFormat="false" ht="30" hidden="false" customHeight="true" outlineLevel="0" collapsed="false">
      <c r="A5" s="10" t="s">
        <v>9</v>
      </c>
      <c r="B5" s="10"/>
      <c r="C5" s="10"/>
      <c r="D5" s="10"/>
      <c r="E5" s="10"/>
      <c r="F5" s="10"/>
    </row>
    <row r="6" customFormat="false" ht="30" hidden="false" customHeight="true" outlineLevel="0" collapsed="false">
      <c r="A6" s="10" t="s">
        <v>10</v>
      </c>
      <c r="B6" s="10"/>
      <c r="C6" s="10"/>
      <c r="D6" s="10"/>
      <c r="E6" s="10"/>
      <c r="F6" s="10"/>
    </row>
    <row r="7" customFormat="false" ht="30" hidden="false" customHeight="true" outlineLevel="0" collapsed="false">
      <c r="A7" s="10" t="s">
        <v>11</v>
      </c>
      <c r="B7" s="10"/>
      <c r="C7" s="10"/>
      <c r="D7" s="10"/>
      <c r="E7" s="10"/>
      <c r="F7" s="10"/>
    </row>
    <row r="8" customFormat="false" ht="30" hidden="false" customHeight="true" outlineLevel="0" collapsed="false">
      <c r="A8" s="10" t="s">
        <v>12</v>
      </c>
      <c r="B8" s="10"/>
      <c r="C8" s="10"/>
      <c r="D8" s="10"/>
      <c r="E8" s="10"/>
      <c r="F8" s="10"/>
    </row>
    <row r="9" customFormat="false" ht="30" hidden="false" customHeight="true" outlineLevel="0" collapsed="false">
      <c r="A9" s="10" t="s">
        <v>13</v>
      </c>
      <c r="B9" s="10"/>
      <c r="C9" s="10"/>
      <c r="D9" s="10"/>
      <c r="E9" s="10"/>
      <c r="F9" s="10"/>
    </row>
    <row r="10" customFormat="false" ht="30" hidden="false" customHeight="true" outlineLevel="0" collapsed="false">
      <c r="A10" s="10" t="s">
        <v>14</v>
      </c>
      <c r="B10" s="10"/>
      <c r="C10" s="10"/>
      <c r="D10" s="10"/>
      <c r="E10" s="10"/>
      <c r="F10" s="10"/>
    </row>
    <row r="11" customFormat="false" ht="30" hidden="false" customHeight="true" outlineLevel="0" collapsed="false">
      <c r="A11" s="10" t="s">
        <v>15</v>
      </c>
      <c r="B11" s="10"/>
      <c r="C11" s="10"/>
      <c r="D11" s="10"/>
      <c r="E11" s="10"/>
      <c r="F11" s="10"/>
    </row>
    <row r="13" customFormat="false" ht="15" hidden="false" customHeight="false" outlineLevel="0" collapsed="false">
      <c r="A13" s="9" t="s">
        <v>16</v>
      </c>
      <c r="B13" s="9"/>
      <c r="C13" s="9"/>
      <c r="D13" s="9"/>
      <c r="E13" s="9"/>
      <c r="F13" s="9"/>
    </row>
    <row r="14" customFormat="false" ht="15" hidden="false" customHeight="false" outlineLevel="0" collapsed="false">
      <c r="A14" s="11"/>
      <c r="B14" s="12" t="s">
        <v>17</v>
      </c>
      <c r="C14" s="12"/>
      <c r="D14" s="13" t="s">
        <v>18</v>
      </c>
      <c r="E14" s="13"/>
      <c r="F14" s="13"/>
    </row>
    <row r="15" customFormat="false" ht="15" hidden="false" customHeight="false" outlineLevel="0" collapsed="false">
      <c r="A15" s="14"/>
      <c r="B15" s="12" t="s">
        <v>19</v>
      </c>
      <c r="C15" s="12"/>
      <c r="D15" s="13" t="s">
        <v>20</v>
      </c>
      <c r="E15" s="13"/>
      <c r="F15" s="13"/>
    </row>
    <row r="16" customFormat="false" ht="15" hidden="false" customHeight="false" outlineLevel="0" collapsed="false">
      <c r="A16" s="15"/>
      <c r="B16" s="12" t="s">
        <v>21</v>
      </c>
      <c r="C16" s="12"/>
      <c r="D16" s="13" t="s">
        <v>22</v>
      </c>
      <c r="E16" s="13"/>
      <c r="F16" s="13"/>
    </row>
    <row r="17" customFormat="false" ht="15" hidden="false" customHeight="false" outlineLevel="0" collapsed="false">
      <c r="A17" s="16"/>
      <c r="B17" s="12" t="s">
        <v>23</v>
      </c>
      <c r="C17" s="12"/>
      <c r="D17" s="13" t="s">
        <v>24</v>
      </c>
      <c r="E17" s="13"/>
      <c r="F17" s="13"/>
    </row>
    <row r="18" customFormat="false" ht="15" hidden="false" customHeight="false" outlineLevel="0" collapsed="false">
      <c r="A18" s="17"/>
      <c r="B18" s="12" t="s">
        <v>25</v>
      </c>
      <c r="C18" s="12"/>
      <c r="D18" s="13" t="s">
        <v>26</v>
      </c>
      <c r="E18" s="13"/>
      <c r="F18" s="13"/>
    </row>
    <row r="20" customFormat="false" ht="15" hidden="false" customHeight="false" outlineLevel="0" collapsed="false">
      <c r="A20" s="9" t="s">
        <v>27</v>
      </c>
      <c r="B20" s="9"/>
      <c r="C20" s="9"/>
      <c r="D20" s="9"/>
      <c r="E20" s="9"/>
      <c r="F20" s="9"/>
    </row>
    <row r="21" customFormat="false" ht="30" hidden="false" customHeight="true" outlineLevel="0" collapsed="false">
      <c r="A21" s="10" t="s">
        <v>28</v>
      </c>
      <c r="B21" s="10"/>
      <c r="C21" s="10"/>
      <c r="D21" s="10"/>
      <c r="E21" s="10"/>
      <c r="F21" s="10"/>
    </row>
    <row r="22" customFormat="false" ht="30" hidden="false" customHeight="true" outlineLevel="0" collapsed="false">
      <c r="A22" s="10" t="s">
        <v>29</v>
      </c>
      <c r="B22" s="10"/>
      <c r="C22" s="10"/>
      <c r="D22" s="10"/>
      <c r="E22" s="10"/>
      <c r="F22" s="10"/>
    </row>
    <row r="23" customFormat="false" ht="30" hidden="false" customHeight="true" outlineLevel="0" collapsed="false">
      <c r="A23" s="10" t="s">
        <v>30</v>
      </c>
      <c r="B23" s="10"/>
      <c r="C23" s="10"/>
      <c r="D23" s="10"/>
      <c r="E23" s="10"/>
      <c r="F23" s="10"/>
    </row>
  </sheetData>
  <mergeCells count="25">
    <mergeCell ref="A1:F1"/>
    <mergeCell ref="A3:F3"/>
    <mergeCell ref="A4:F4"/>
    <mergeCell ref="A5:F5"/>
    <mergeCell ref="A6:F6"/>
    <mergeCell ref="A7:F7"/>
    <mergeCell ref="A8:F8"/>
    <mergeCell ref="A9:F9"/>
    <mergeCell ref="A10:F10"/>
    <mergeCell ref="A11:F11"/>
    <mergeCell ref="A13:F13"/>
    <mergeCell ref="B14:C14"/>
    <mergeCell ref="D14:F14"/>
    <mergeCell ref="B15:C15"/>
    <mergeCell ref="D15:F15"/>
    <mergeCell ref="B16:C16"/>
    <mergeCell ref="D16:F16"/>
    <mergeCell ref="B17:C17"/>
    <mergeCell ref="D17:F17"/>
    <mergeCell ref="B18:C18"/>
    <mergeCell ref="D18:F18"/>
    <mergeCell ref="A20:F20"/>
    <mergeCell ref="A21:F21"/>
    <mergeCell ref="A22:F22"/>
    <mergeCell ref="A23:F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9" topLeftCell="A10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32"/>
    <col collapsed="false" customWidth="true" hidden="false" outlineLevel="0" max="8" min="5" style="0" width="10"/>
    <col collapsed="false" customWidth="true" hidden="false" outlineLevel="0" max="9" min="9" style="0" width="28"/>
    <col collapsed="false" customWidth="true" hidden="false" outlineLevel="0" max="10" min="10" style="0" width="16"/>
    <col collapsed="false" customWidth="true" hidden="false" outlineLevel="0" max="11" min="11" style="0" width="13"/>
    <col collapsed="false" customWidth="true" hidden="false" outlineLevel="0" max="15" min="12" style="0" width="10"/>
    <col collapsed="false" customWidth="true" hidden="false" outlineLevel="0" max="16" min="16" style="0" width="14"/>
    <col collapsed="false" customWidth="true" hidden="false" outlineLevel="0" max="17" min="17" style="0" width="28"/>
  </cols>
  <sheetData>
    <row r="1" customFormat="false" ht="18.65" hidden="false" customHeight="true" outlineLevel="0" collapsed="false">
      <c r="A1" s="18" t="s">
        <v>31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</row>
    <row r="2" customFormat="false" ht="6" hidden="false" customHeight="true" outlineLevel="0" collapsed="false"/>
    <row r="3" customFormat="false" ht="23.85" hidden="false" customHeight="false" outlineLevel="0" collapsed="false">
      <c r="A3" s="19" t="s">
        <v>32</v>
      </c>
      <c r="C3" s="19" t="s">
        <v>33</v>
      </c>
      <c r="E3" s="19" t="s">
        <v>34</v>
      </c>
      <c r="G3" s="19" t="s">
        <v>35</v>
      </c>
      <c r="I3" s="19" t="s">
        <v>36</v>
      </c>
      <c r="K3" s="19" t="s">
        <v>37</v>
      </c>
    </row>
    <row r="4" customFormat="false" ht="20.85" hidden="false" customHeight="false" outlineLevel="0" collapsed="false">
      <c r="A4" s="20" t="n">
        <f aca="false">COUNTA(A10:A45)</f>
        <v>5</v>
      </c>
      <c r="C4" s="21" t="n">
        <f aca="false">COUNTIF(H10:H45,"HIGH")</f>
        <v>2</v>
      </c>
      <c r="E4" s="20" t="n">
        <f aca="false">COUNTIF(H10:H45,"MEDIUM")</f>
        <v>3</v>
      </c>
      <c r="G4" s="22" t="n">
        <f aca="false">COUNTIF(H10:H45,"LOW")</f>
        <v>31</v>
      </c>
      <c r="I4" s="20" t="n">
        <f aca="false">COUNTIF(P10:P45,"Open")</f>
        <v>3</v>
      </c>
      <c r="K4" s="20" t="n">
        <f aca="false">COUNTIF(P10:P45,"Closed")</f>
        <v>1</v>
      </c>
    </row>
    <row r="5" customFormat="false" ht="15" hidden="false" customHeight="false" outlineLevel="0" collapsed="false">
      <c r="A5" s="23"/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</row>
    <row r="6" customFormat="false" ht="3.75" hidden="false" customHeight="true" outlineLevel="0" collapsed="false"/>
    <row r="7" customFormat="false" ht="21.75" hidden="false" customHeight="true" outlineLevel="0" collapsed="false">
      <c r="A7" s="24" t="s">
        <v>38</v>
      </c>
      <c r="B7" s="24"/>
      <c r="C7" s="24"/>
      <c r="D7" s="24"/>
      <c r="E7" s="24" t="s">
        <v>39</v>
      </c>
      <c r="F7" s="24"/>
      <c r="G7" s="24"/>
      <c r="H7" s="24"/>
      <c r="I7" s="24" t="s">
        <v>40</v>
      </c>
      <c r="J7" s="24"/>
      <c r="K7" s="24"/>
      <c r="L7" s="24" t="s">
        <v>41</v>
      </c>
      <c r="M7" s="24"/>
      <c r="N7" s="24"/>
      <c r="O7" s="24"/>
      <c r="P7" s="24" t="s">
        <v>42</v>
      </c>
      <c r="Q7" s="24"/>
    </row>
    <row r="8" customFormat="false" ht="3.75" hidden="false" customHeight="true" outlineLevel="0" collapsed="false"/>
    <row r="9" customFormat="false" ht="39.75" hidden="false" customHeight="true" outlineLevel="0" collapsed="false">
      <c r="A9" s="25" t="s">
        <v>43</v>
      </c>
      <c r="B9" s="25" t="s">
        <v>44</v>
      </c>
      <c r="C9" s="25" t="s">
        <v>45</v>
      </c>
      <c r="D9" s="25" t="s">
        <v>46</v>
      </c>
      <c r="E9" s="25" t="s">
        <v>47</v>
      </c>
      <c r="F9" s="25" t="s">
        <v>48</v>
      </c>
      <c r="G9" s="25" t="s">
        <v>49</v>
      </c>
      <c r="H9" s="25" t="s">
        <v>50</v>
      </c>
      <c r="I9" s="25" t="s">
        <v>51</v>
      </c>
      <c r="J9" s="25" t="s">
        <v>52</v>
      </c>
      <c r="K9" s="25" t="s">
        <v>53</v>
      </c>
      <c r="L9" s="25" t="s">
        <v>54</v>
      </c>
      <c r="M9" s="25" t="s">
        <v>55</v>
      </c>
      <c r="N9" s="25" t="s">
        <v>56</v>
      </c>
      <c r="O9" s="25" t="s">
        <v>57</v>
      </c>
      <c r="P9" s="25" t="s">
        <v>58</v>
      </c>
      <c r="Q9" s="25" t="s">
        <v>59</v>
      </c>
    </row>
    <row r="10" customFormat="false" ht="23.85" hidden="false" customHeight="false" outlineLevel="0" collapsed="false">
      <c r="A10" s="26" t="s">
        <v>60</v>
      </c>
      <c r="B10" s="27" t="n">
        <v>46037</v>
      </c>
      <c r="C10" s="26" t="s">
        <v>61</v>
      </c>
      <c r="D10" s="28" t="s">
        <v>62</v>
      </c>
      <c r="E10" s="26" t="n">
        <v>4</v>
      </c>
      <c r="F10" s="26" t="n">
        <v>4</v>
      </c>
      <c r="G10" s="29" t="n">
        <f aca="false">IFERROR(E10*F10,"")</f>
        <v>16</v>
      </c>
      <c r="H10" s="30" t="str">
        <f aca="false">IF(G10="","",IF(G10&gt;=15,"HIGH",IF(G10&gt;=8,"MEDIUM","LOW")))</f>
        <v>HIGH</v>
      </c>
      <c r="I10" s="28" t="s">
        <v>63</v>
      </c>
      <c r="J10" s="26" t="s">
        <v>64</v>
      </c>
      <c r="K10" s="27" t="n">
        <v>46054</v>
      </c>
      <c r="L10" s="26" t="n">
        <v>2</v>
      </c>
      <c r="M10" s="26" t="n">
        <v>4</v>
      </c>
      <c r="N10" s="29" t="n">
        <f aca="false">IFERROR(L10*M10,"")</f>
        <v>8</v>
      </c>
      <c r="O10" s="30" t="str">
        <f aca="false">IF(N10="","",IF(N10&gt;=15,"HIGH",IF(N10&gt;=8,"MEDIUM","LOW")))</f>
        <v>MEDIUM</v>
      </c>
      <c r="P10" s="26" t="s">
        <v>36</v>
      </c>
      <c r="Q10" s="28" t="s">
        <v>65</v>
      </c>
    </row>
    <row r="11" customFormat="false" ht="23.85" hidden="false" customHeight="false" outlineLevel="0" collapsed="false">
      <c r="A11" s="26" t="s">
        <v>66</v>
      </c>
      <c r="B11" s="27" t="n">
        <v>46037</v>
      </c>
      <c r="C11" s="26" t="s">
        <v>67</v>
      </c>
      <c r="D11" s="28" t="s">
        <v>68</v>
      </c>
      <c r="E11" s="26" t="n">
        <v>3</v>
      </c>
      <c r="F11" s="26" t="n">
        <v>5</v>
      </c>
      <c r="G11" s="29" t="n">
        <f aca="false">IFERROR(E11*F11,"")</f>
        <v>15</v>
      </c>
      <c r="H11" s="30" t="str">
        <f aca="false">IF(G11="","",IF(G11&gt;=15,"HIGH",IF(G11&gt;=8,"MEDIUM","LOW")))</f>
        <v>HIGH</v>
      </c>
      <c r="I11" s="28" t="s">
        <v>69</v>
      </c>
      <c r="J11" s="26" t="s">
        <v>70</v>
      </c>
      <c r="K11" s="27" t="n">
        <v>46042</v>
      </c>
      <c r="L11" s="26" t="n">
        <v>1</v>
      </c>
      <c r="M11" s="26" t="n">
        <v>5</v>
      </c>
      <c r="N11" s="29" t="n">
        <f aca="false">IFERROR(L11*M11,"")</f>
        <v>5</v>
      </c>
      <c r="O11" s="30" t="str">
        <f aca="false">IF(N11="","",IF(N11&gt;=15,"HIGH",IF(N11&gt;=8,"MEDIUM","LOW")))</f>
        <v>LOW</v>
      </c>
      <c r="P11" s="26" t="s">
        <v>36</v>
      </c>
      <c r="Q11" s="28" t="s">
        <v>71</v>
      </c>
    </row>
    <row r="12" customFormat="false" ht="23.85" hidden="false" customHeight="false" outlineLevel="0" collapsed="false">
      <c r="A12" s="26" t="s">
        <v>72</v>
      </c>
      <c r="B12" s="27" t="n">
        <v>46042</v>
      </c>
      <c r="C12" s="26" t="s">
        <v>73</v>
      </c>
      <c r="D12" s="28" t="s">
        <v>74</v>
      </c>
      <c r="E12" s="26" t="n">
        <v>3</v>
      </c>
      <c r="F12" s="26" t="n">
        <v>4</v>
      </c>
      <c r="G12" s="29" t="n">
        <f aca="false">IFERROR(E12*F12,"")</f>
        <v>12</v>
      </c>
      <c r="H12" s="30" t="str">
        <f aca="false">IF(G12="","",IF(G12&gt;=15,"HIGH",IF(G12&gt;=8,"MEDIUM","LOW")))</f>
        <v>MEDIUM</v>
      </c>
      <c r="I12" s="28" t="s">
        <v>75</v>
      </c>
      <c r="J12" s="26" t="s">
        <v>76</v>
      </c>
      <c r="K12" s="27" t="n">
        <v>46081</v>
      </c>
      <c r="L12" s="26" t="n">
        <v>2</v>
      </c>
      <c r="M12" s="26" t="n">
        <v>3</v>
      </c>
      <c r="N12" s="29" t="n">
        <f aca="false">IFERROR(L12*M12,"")</f>
        <v>6</v>
      </c>
      <c r="O12" s="30" t="str">
        <f aca="false">IF(N12="","",IF(N12&gt;=15,"HIGH",IF(N12&gt;=8,"MEDIUM","LOW")))</f>
        <v>LOW</v>
      </c>
      <c r="P12" s="26" t="s">
        <v>36</v>
      </c>
      <c r="Q12" s="28" t="s">
        <v>77</v>
      </c>
    </row>
    <row r="13" customFormat="false" ht="35.05" hidden="false" customHeight="false" outlineLevel="0" collapsed="false">
      <c r="A13" s="26" t="s">
        <v>78</v>
      </c>
      <c r="B13" s="27" t="n">
        <v>46047</v>
      </c>
      <c r="C13" s="26" t="s">
        <v>79</v>
      </c>
      <c r="D13" s="28" t="s">
        <v>80</v>
      </c>
      <c r="E13" s="26" t="n">
        <v>2</v>
      </c>
      <c r="F13" s="26" t="n">
        <v>5</v>
      </c>
      <c r="G13" s="29" t="n">
        <f aca="false">IFERROR(E13*F13,"")</f>
        <v>10</v>
      </c>
      <c r="H13" s="30" t="str">
        <f aca="false">IF(G13="","",IF(G13&gt;=15,"HIGH",IF(G13&gt;=8,"MEDIUM","LOW")))</f>
        <v>MEDIUM</v>
      </c>
      <c r="I13" s="28" t="s">
        <v>81</v>
      </c>
      <c r="J13" s="26" t="s">
        <v>82</v>
      </c>
      <c r="K13" s="27" t="n">
        <v>46068</v>
      </c>
      <c r="L13" s="26" t="n">
        <v>2</v>
      </c>
      <c r="M13" s="26" t="n">
        <v>4</v>
      </c>
      <c r="N13" s="29" t="n">
        <f aca="false">IFERROR(L13*M13,"")</f>
        <v>8</v>
      </c>
      <c r="O13" s="30" t="str">
        <f aca="false">IF(N13="","",IF(N13&gt;=15,"HIGH",IF(N13&gt;=8,"MEDIUM","LOW")))</f>
        <v>MEDIUM</v>
      </c>
      <c r="P13" s="26" t="s">
        <v>83</v>
      </c>
      <c r="Q13" s="28" t="s">
        <v>84</v>
      </c>
    </row>
    <row r="14" customFormat="false" ht="35.05" hidden="false" customHeight="false" outlineLevel="0" collapsed="false">
      <c r="A14" s="26" t="s">
        <v>85</v>
      </c>
      <c r="B14" s="27" t="n">
        <v>46054</v>
      </c>
      <c r="C14" s="26" t="s">
        <v>86</v>
      </c>
      <c r="D14" s="28" t="s">
        <v>87</v>
      </c>
      <c r="E14" s="26" t="n">
        <v>4</v>
      </c>
      <c r="F14" s="26" t="n">
        <v>3</v>
      </c>
      <c r="G14" s="29" t="n">
        <f aca="false">IFERROR(E14*F14,"")</f>
        <v>12</v>
      </c>
      <c r="H14" s="30" t="str">
        <f aca="false">IF(G14="","",IF(G14&gt;=15,"HIGH",IF(G14&gt;=8,"MEDIUM","LOW")))</f>
        <v>MEDIUM</v>
      </c>
      <c r="I14" s="28" t="s">
        <v>88</v>
      </c>
      <c r="J14" s="26" t="s">
        <v>89</v>
      </c>
      <c r="K14" s="27" t="n">
        <v>46073</v>
      </c>
      <c r="L14" s="26" t="n">
        <v>2</v>
      </c>
      <c r="M14" s="26" t="n">
        <v>2</v>
      </c>
      <c r="N14" s="29" t="n">
        <f aca="false">IFERROR(L14*M14,"")</f>
        <v>4</v>
      </c>
      <c r="O14" s="30" t="str">
        <f aca="false">IF(N14="","",IF(N14&gt;=15,"HIGH",IF(N14&gt;=8,"MEDIUM","LOW")))</f>
        <v>LOW</v>
      </c>
      <c r="P14" s="26" t="s">
        <v>37</v>
      </c>
      <c r="Q14" s="28" t="s">
        <v>90</v>
      </c>
    </row>
    <row r="15" customFormat="false" ht="15" hidden="false" customHeight="false" outlineLevel="0" collapsed="false">
      <c r="A15" s="26"/>
      <c r="B15" s="27"/>
      <c r="C15" s="26"/>
      <c r="D15" s="28"/>
      <c r="E15" s="26"/>
      <c r="F15" s="26"/>
      <c r="G15" s="29" t="n">
        <f aca="false">IFERROR(E15*F15,"")</f>
        <v>0</v>
      </c>
      <c r="H15" s="30" t="str">
        <f aca="false">IF(G15="","",IF(G15&gt;=15,"HIGH",IF(G15&gt;=8,"MEDIUM","LOW")))</f>
        <v>LOW</v>
      </c>
      <c r="I15" s="28"/>
      <c r="J15" s="26"/>
      <c r="K15" s="27"/>
      <c r="L15" s="26"/>
      <c r="M15" s="26"/>
      <c r="N15" s="29" t="n">
        <f aca="false">IFERROR(L15*M15,"")</f>
        <v>0</v>
      </c>
      <c r="O15" s="30" t="str">
        <f aca="false">IF(N15="","",IF(N15&gt;=15,"HIGH",IF(N15&gt;=8,"MEDIUM","LOW")))</f>
        <v>LOW</v>
      </c>
      <c r="P15" s="26"/>
      <c r="Q15" s="28"/>
    </row>
    <row r="16" customFormat="false" ht="15" hidden="false" customHeight="false" outlineLevel="0" collapsed="false">
      <c r="A16" s="26"/>
      <c r="B16" s="27"/>
      <c r="C16" s="26"/>
      <c r="D16" s="28"/>
      <c r="E16" s="26"/>
      <c r="F16" s="26"/>
      <c r="G16" s="29" t="n">
        <f aca="false">IFERROR(E16*F16,"")</f>
        <v>0</v>
      </c>
      <c r="H16" s="30" t="str">
        <f aca="false">IF(G16="","",IF(G16&gt;=15,"HIGH",IF(G16&gt;=8,"MEDIUM","LOW")))</f>
        <v>LOW</v>
      </c>
      <c r="I16" s="28"/>
      <c r="J16" s="26"/>
      <c r="K16" s="27"/>
      <c r="L16" s="26"/>
      <c r="M16" s="26"/>
      <c r="N16" s="29" t="n">
        <f aca="false">IFERROR(L16*M16,"")</f>
        <v>0</v>
      </c>
      <c r="O16" s="30" t="str">
        <f aca="false">IF(N16="","",IF(N16&gt;=15,"HIGH",IF(N16&gt;=8,"MEDIUM","LOW")))</f>
        <v>LOW</v>
      </c>
      <c r="P16" s="26"/>
      <c r="Q16" s="28"/>
    </row>
    <row r="17" customFormat="false" ht="15" hidden="false" customHeight="false" outlineLevel="0" collapsed="false">
      <c r="A17" s="26"/>
      <c r="B17" s="27"/>
      <c r="C17" s="26"/>
      <c r="D17" s="28"/>
      <c r="E17" s="26"/>
      <c r="F17" s="26"/>
      <c r="G17" s="29" t="n">
        <f aca="false">IFERROR(E17*F17,"")</f>
        <v>0</v>
      </c>
      <c r="H17" s="30" t="str">
        <f aca="false">IF(G17="","",IF(G17&gt;=15,"HIGH",IF(G17&gt;=8,"MEDIUM","LOW")))</f>
        <v>LOW</v>
      </c>
      <c r="I17" s="28"/>
      <c r="J17" s="26"/>
      <c r="K17" s="27"/>
      <c r="L17" s="26"/>
      <c r="M17" s="26"/>
      <c r="N17" s="29" t="n">
        <f aca="false">IFERROR(L17*M17,"")</f>
        <v>0</v>
      </c>
      <c r="O17" s="30" t="str">
        <f aca="false">IF(N17="","",IF(N17&gt;=15,"HIGH",IF(N17&gt;=8,"MEDIUM","LOW")))</f>
        <v>LOW</v>
      </c>
      <c r="P17" s="26"/>
      <c r="Q17" s="28"/>
    </row>
    <row r="18" customFormat="false" ht="15" hidden="false" customHeight="false" outlineLevel="0" collapsed="false">
      <c r="A18" s="26"/>
      <c r="B18" s="27"/>
      <c r="C18" s="26"/>
      <c r="D18" s="28"/>
      <c r="E18" s="26"/>
      <c r="F18" s="26"/>
      <c r="G18" s="29" t="n">
        <f aca="false">IFERROR(E18*F18,"")</f>
        <v>0</v>
      </c>
      <c r="H18" s="30" t="str">
        <f aca="false">IF(G18="","",IF(G18&gt;=15,"HIGH",IF(G18&gt;=8,"MEDIUM","LOW")))</f>
        <v>LOW</v>
      </c>
      <c r="I18" s="28"/>
      <c r="J18" s="26"/>
      <c r="K18" s="27"/>
      <c r="L18" s="26"/>
      <c r="M18" s="26"/>
      <c r="N18" s="29" t="n">
        <f aca="false">IFERROR(L18*M18,"")</f>
        <v>0</v>
      </c>
      <c r="O18" s="30" t="str">
        <f aca="false">IF(N18="","",IF(N18&gt;=15,"HIGH",IF(N18&gt;=8,"MEDIUM","LOW")))</f>
        <v>LOW</v>
      </c>
      <c r="P18" s="26"/>
      <c r="Q18" s="28"/>
    </row>
    <row r="19" customFormat="false" ht="15" hidden="false" customHeight="false" outlineLevel="0" collapsed="false">
      <c r="A19" s="26"/>
      <c r="B19" s="27"/>
      <c r="C19" s="26"/>
      <c r="D19" s="28"/>
      <c r="E19" s="26"/>
      <c r="F19" s="26"/>
      <c r="G19" s="29" t="n">
        <f aca="false">IFERROR(E19*F19,"")</f>
        <v>0</v>
      </c>
      <c r="H19" s="30" t="str">
        <f aca="false">IF(G19="","",IF(G19&gt;=15,"HIGH",IF(G19&gt;=8,"MEDIUM","LOW")))</f>
        <v>LOW</v>
      </c>
      <c r="I19" s="28"/>
      <c r="J19" s="26"/>
      <c r="K19" s="27"/>
      <c r="L19" s="26"/>
      <c r="M19" s="26"/>
      <c r="N19" s="29" t="n">
        <f aca="false">IFERROR(L19*M19,"")</f>
        <v>0</v>
      </c>
      <c r="O19" s="30" t="str">
        <f aca="false">IF(N19="","",IF(N19&gt;=15,"HIGH",IF(N19&gt;=8,"MEDIUM","LOW")))</f>
        <v>LOW</v>
      </c>
      <c r="P19" s="26"/>
      <c r="Q19" s="28"/>
    </row>
    <row r="20" customFormat="false" ht="15" hidden="false" customHeight="false" outlineLevel="0" collapsed="false">
      <c r="A20" s="26"/>
      <c r="B20" s="27"/>
      <c r="C20" s="26"/>
      <c r="D20" s="28"/>
      <c r="E20" s="26"/>
      <c r="F20" s="26"/>
      <c r="G20" s="29" t="n">
        <f aca="false">IFERROR(E20*F20,"")</f>
        <v>0</v>
      </c>
      <c r="H20" s="30" t="str">
        <f aca="false">IF(G20="","",IF(G20&gt;=15,"HIGH",IF(G20&gt;=8,"MEDIUM","LOW")))</f>
        <v>LOW</v>
      </c>
      <c r="I20" s="28"/>
      <c r="J20" s="26"/>
      <c r="K20" s="27"/>
      <c r="L20" s="26"/>
      <c r="M20" s="26"/>
      <c r="N20" s="29" t="n">
        <f aca="false">IFERROR(L20*M20,"")</f>
        <v>0</v>
      </c>
      <c r="O20" s="30" t="str">
        <f aca="false">IF(N20="","",IF(N20&gt;=15,"HIGH",IF(N20&gt;=8,"MEDIUM","LOW")))</f>
        <v>LOW</v>
      </c>
      <c r="P20" s="26"/>
      <c r="Q20" s="28"/>
    </row>
    <row r="21" customFormat="false" ht="15" hidden="false" customHeight="false" outlineLevel="0" collapsed="false">
      <c r="A21" s="26"/>
      <c r="B21" s="27"/>
      <c r="C21" s="26"/>
      <c r="D21" s="28"/>
      <c r="E21" s="26"/>
      <c r="F21" s="26"/>
      <c r="G21" s="29" t="n">
        <f aca="false">IFERROR(E21*F21,"")</f>
        <v>0</v>
      </c>
      <c r="H21" s="30" t="str">
        <f aca="false">IF(G21="","",IF(G21&gt;=15,"HIGH",IF(G21&gt;=8,"MEDIUM","LOW")))</f>
        <v>LOW</v>
      </c>
      <c r="I21" s="28"/>
      <c r="J21" s="26"/>
      <c r="K21" s="27"/>
      <c r="L21" s="26"/>
      <c r="M21" s="26"/>
      <c r="N21" s="29" t="n">
        <f aca="false">IFERROR(L21*M21,"")</f>
        <v>0</v>
      </c>
      <c r="O21" s="30" t="str">
        <f aca="false">IF(N21="","",IF(N21&gt;=15,"HIGH",IF(N21&gt;=8,"MEDIUM","LOW")))</f>
        <v>LOW</v>
      </c>
      <c r="P21" s="26"/>
      <c r="Q21" s="28"/>
    </row>
    <row r="22" customFormat="false" ht="15" hidden="false" customHeight="false" outlineLevel="0" collapsed="false">
      <c r="A22" s="26"/>
      <c r="B22" s="27"/>
      <c r="C22" s="26"/>
      <c r="D22" s="28"/>
      <c r="E22" s="26"/>
      <c r="F22" s="26"/>
      <c r="G22" s="29" t="n">
        <f aca="false">IFERROR(E22*F22,"")</f>
        <v>0</v>
      </c>
      <c r="H22" s="30" t="str">
        <f aca="false">IF(G22="","",IF(G22&gt;=15,"HIGH",IF(G22&gt;=8,"MEDIUM","LOW")))</f>
        <v>LOW</v>
      </c>
      <c r="I22" s="28"/>
      <c r="J22" s="26"/>
      <c r="K22" s="27"/>
      <c r="L22" s="26"/>
      <c r="M22" s="26"/>
      <c r="N22" s="29" t="n">
        <f aca="false">IFERROR(L22*M22,"")</f>
        <v>0</v>
      </c>
      <c r="O22" s="30" t="str">
        <f aca="false">IF(N22="","",IF(N22&gt;=15,"HIGH",IF(N22&gt;=8,"MEDIUM","LOW")))</f>
        <v>LOW</v>
      </c>
      <c r="P22" s="26"/>
      <c r="Q22" s="28"/>
    </row>
    <row r="23" customFormat="false" ht="15" hidden="false" customHeight="false" outlineLevel="0" collapsed="false">
      <c r="A23" s="26"/>
      <c r="B23" s="27"/>
      <c r="C23" s="26"/>
      <c r="D23" s="28"/>
      <c r="E23" s="26"/>
      <c r="F23" s="26"/>
      <c r="G23" s="29" t="n">
        <f aca="false">IFERROR(E23*F23,"")</f>
        <v>0</v>
      </c>
      <c r="H23" s="30" t="str">
        <f aca="false">IF(G23="","",IF(G23&gt;=15,"HIGH",IF(G23&gt;=8,"MEDIUM","LOW")))</f>
        <v>LOW</v>
      </c>
      <c r="I23" s="28"/>
      <c r="J23" s="26"/>
      <c r="K23" s="27"/>
      <c r="L23" s="26"/>
      <c r="M23" s="26"/>
      <c r="N23" s="29" t="n">
        <f aca="false">IFERROR(L23*M23,"")</f>
        <v>0</v>
      </c>
      <c r="O23" s="30" t="str">
        <f aca="false">IF(N23="","",IF(N23&gt;=15,"HIGH",IF(N23&gt;=8,"MEDIUM","LOW")))</f>
        <v>LOW</v>
      </c>
      <c r="P23" s="26"/>
      <c r="Q23" s="28"/>
    </row>
    <row r="24" customFormat="false" ht="15" hidden="false" customHeight="false" outlineLevel="0" collapsed="false">
      <c r="A24" s="26"/>
      <c r="B24" s="27"/>
      <c r="C24" s="26"/>
      <c r="D24" s="28"/>
      <c r="E24" s="26"/>
      <c r="F24" s="26"/>
      <c r="G24" s="29" t="n">
        <f aca="false">IFERROR(E24*F24,"")</f>
        <v>0</v>
      </c>
      <c r="H24" s="30" t="str">
        <f aca="false">IF(G24="","",IF(G24&gt;=15,"HIGH",IF(G24&gt;=8,"MEDIUM","LOW")))</f>
        <v>LOW</v>
      </c>
      <c r="I24" s="28"/>
      <c r="J24" s="26"/>
      <c r="K24" s="27"/>
      <c r="L24" s="26"/>
      <c r="M24" s="26"/>
      <c r="N24" s="29" t="n">
        <f aca="false">IFERROR(L24*M24,"")</f>
        <v>0</v>
      </c>
      <c r="O24" s="30" t="str">
        <f aca="false">IF(N24="","",IF(N24&gt;=15,"HIGH",IF(N24&gt;=8,"MEDIUM","LOW")))</f>
        <v>LOW</v>
      </c>
      <c r="P24" s="26"/>
      <c r="Q24" s="28"/>
    </row>
    <row r="25" customFormat="false" ht="15" hidden="false" customHeight="false" outlineLevel="0" collapsed="false">
      <c r="A25" s="26"/>
      <c r="B25" s="27"/>
      <c r="C25" s="26"/>
      <c r="D25" s="28"/>
      <c r="E25" s="26"/>
      <c r="F25" s="26"/>
      <c r="G25" s="29" t="n">
        <f aca="false">IFERROR(E25*F25,"")</f>
        <v>0</v>
      </c>
      <c r="H25" s="30" t="str">
        <f aca="false">IF(G25="","",IF(G25&gt;=15,"HIGH",IF(G25&gt;=8,"MEDIUM","LOW")))</f>
        <v>LOW</v>
      </c>
      <c r="I25" s="28"/>
      <c r="J25" s="26"/>
      <c r="K25" s="27"/>
      <c r="L25" s="26"/>
      <c r="M25" s="26"/>
      <c r="N25" s="29" t="n">
        <f aca="false">IFERROR(L25*M25,"")</f>
        <v>0</v>
      </c>
      <c r="O25" s="30" t="str">
        <f aca="false">IF(N25="","",IF(N25&gt;=15,"HIGH",IF(N25&gt;=8,"MEDIUM","LOW")))</f>
        <v>LOW</v>
      </c>
      <c r="P25" s="26"/>
      <c r="Q25" s="28"/>
    </row>
    <row r="26" customFormat="false" ht="15" hidden="false" customHeight="false" outlineLevel="0" collapsed="false">
      <c r="A26" s="26"/>
      <c r="B26" s="27"/>
      <c r="C26" s="26"/>
      <c r="D26" s="28"/>
      <c r="E26" s="26"/>
      <c r="F26" s="26"/>
      <c r="G26" s="29" t="n">
        <f aca="false">IFERROR(E26*F26,"")</f>
        <v>0</v>
      </c>
      <c r="H26" s="30" t="str">
        <f aca="false">IF(G26="","",IF(G26&gt;=15,"HIGH",IF(G26&gt;=8,"MEDIUM","LOW")))</f>
        <v>LOW</v>
      </c>
      <c r="I26" s="28"/>
      <c r="J26" s="26"/>
      <c r="K26" s="27"/>
      <c r="L26" s="26"/>
      <c r="M26" s="26"/>
      <c r="N26" s="29" t="n">
        <f aca="false">IFERROR(L26*M26,"")</f>
        <v>0</v>
      </c>
      <c r="O26" s="30" t="str">
        <f aca="false">IF(N26="","",IF(N26&gt;=15,"HIGH",IF(N26&gt;=8,"MEDIUM","LOW")))</f>
        <v>LOW</v>
      </c>
      <c r="P26" s="26"/>
      <c r="Q26" s="28"/>
    </row>
    <row r="27" customFormat="false" ht="15" hidden="false" customHeight="false" outlineLevel="0" collapsed="false">
      <c r="A27" s="26"/>
      <c r="B27" s="27"/>
      <c r="C27" s="26"/>
      <c r="D27" s="28"/>
      <c r="E27" s="26"/>
      <c r="F27" s="26"/>
      <c r="G27" s="29" t="n">
        <f aca="false">IFERROR(E27*F27,"")</f>
        <v>0</v>
      </c>
      <c r="H27" s="30" t="str">
        <f aca="false">IF(G27="","",IF(G27&gt;=15,"HIGH",IF(G27&gt;=8,"MEDIUM","LOW")))</f>
        <v>LOW</v>
      </c>
      <c r="I27" s="28"/>
      <c r="J27" s="26"/>
      <c r="K27" s="27"/>
      <c r="L27" s="26"/>
      <c r="M27" s="26"/>
      <c r="N27" s="29" t="n">
        <f aca="false">IFERROR(L27*M27,"")</f>
        <v>0</v>
      </c>
      <c r="O27" s="30" t="str">
        <f aca="false">IF(N27="","",IF(N27&gt;=15,"HIGH",IF(N27&gt;=8,"MEDIUM","LOW")))</f>
        <v>LOW</v>
      </c>
      <c r="P27" s="26"/>
      <c r="Q27" s="28"/>
    </row>
    <row r="28" customFormat="false" ht="15" hidden="false" customHeight="false" outlineLevel="0" collapsed="false">
      <c r="A28" s="26"/>
      <c r="B28" s="27"/>
      <c r="C28" s="26"/>
      <c r="D28" s="28"/>
      <c r="E28" s="26"/>
      <c r="F28" s="26"/>
      <c r="G28" s="29" t="n">
        <f aca="false">IFERROR(E28*F28,"")</f>
        <v>0</v>
      </c>
      <c r="H28" s="30" t="str">
        <f aca="false">IF(G28="","",IF(G28&gt;=15,"HIGH",IF(G28&gt;=8,"MEDIUM","LOW")))</f>
        <v>LOW</v>
      </c>
      <c r="I28" s="28"/>
      <c r="J28" s="26"/>
      <c r="K28" s="27"/>
      <c r="L28" s="26"/>
      <c r="M28" s="26"/>
      <c r="N28" s="29" t="n">
        <f aca="false">IFERROR(L28*M28,"")</f>
        <v>0</v>
      </c>
      <c r="O28" s="30" t="str">
        <f aca="false">IF(N28="","",IF(N28&gt;=15,"HIGH",IF(N28&gt;=8,"MEDIUM","LOW")))</f>
        <v>LOW</v>
      </c>
      <c r="P28" s="26"/>
      <c r="Q28" s="28"/>
    </row>
    <row r="29" customFormat="false" ht="15" hidden="false" customHeight="false" outlineLevel="0" collapsed="false">
      <c r="A29" s="26"/>
      <c r="B29" s="27"/>
      <c r="C29" s="26"/>
      <c r="D29" s="28"/>
      <c r="E29" s="26"/>
      <c r="F29" s="26"/>
      <c r="G29" s="29" t="n">
        <f aca="false">IFERROR(E29*F29,"")</f>
        <v>0</v>
      </c>
      <c r="H29" s="30" t="str">
        <f aca="false">IF(G29="","",IF(G29&gt;=15,"HIGH",IF(G29&gt;=8,"MEDIUM","LOW")))</f>
        <v>LOW</v>
      </c>
      <c r="I29" s="28"/>
      <c r="J29" s="26"/>
      <c r="K29" s="27"/>
      <c r="L29" s="26"/>
      <c r="M29" s="26"/>
      <c r="N29" s="29" t="n">
        <f aca="false">IFERROR(L29*M29,"")</f>
        <v>0</v>
      </c>
      <c r="O29" s="30" t="str">
        <f aca="false">IF(N29="","",IF(N29&gt;=15,"HIGH",IF(N29&gt;=8,"MEDIUM","LOW")))</f>
        <v>LOW</v>
      </c>
      <c r="P29" s="26"/>
      <c r="Q29" s="28"/>
    </row>
    <row r="30" customFormat="false" ht="15" hidden="false" customHeight="false" outlineLevel="0" collapsed="false">
      <c r="A30" s="26"/>
      <c r="B30" s="27"/>
      <c r="C30" s="26"/>
      <c r="D30" s="28"/>
      <c r="E30" s="26"/>
      <c r="F30" s="26"/>
      <c r="G30" s="29" t="n">
        <f aca="false">IFERROR(E30*F30,"")</f>
        <v>0</v>
      </c>
      <c r="H30" s="30" t="str">
        <f aca="false">IF(G30="","",IF(G30&gt;=15,"HIGH",IF(G30&gt;=8,"MEDIUM","LOW")))</f>
        <v>LOW</v>
      </c>
      <c r="I30" s="28"/>
      <c r="J30" s="26"/>
      <c r="K30" s="27"/>
      <c r="L30" s="26"/>
      <c r="M30" s="26"/>
      <c r="N30" s="29" t="n">
        <f aca="false">IFERROR(L30*M30,"")</f>
        <v>0</v>
      </c>
      <c r="O30" s="30" t="str">
        <f aca="false">IF(N30="","",IF(N30&gt;=15,"HIGH",IF(N30&gt;=8,"MEDIUM","LOW")))</f>
        <v>LOW</v>
      </c>
      <c r="P30" s="26"/>
      <c r="Q30" s="28"/>
    </row>
    <row r="31" customFormat="false" ht="15" hidden="false" customHeight="false" outlineLevel="0" collapsed="false">
      <c r="A31" s="26"/>
      <c r="B31" s="27"/>
      <c r="C31" s="26"/>
      <c r="D31" s="28"/>
      <c r="E31" s="26"/>
      <c r="F31" s="26"/>
      <c r="G31" s="29" t="n">
        <f aca="false">IFERROR(E31*F31,"")</f>
        <v>0</v>
      </c>
      <c r="H31" s="30" t="str">
        <f aca="false">IF(G31="","",IF(G31&gt;=15,"HIGH",IF(G31&gt;=8,"MEDIUM","LOW")))</f>
        <v>LOW</v>
      </c>
      <c r="I31" s="28"/>
      <c r="J31" s="26"/>
      <c r="K31" s="27"/>
      <c r="L31" s="26"/>
      <c r="M31" s="26"/>
      <c r="N31" s="29" t="n">
        <f aca="false">IFERROR(L31*M31,"")</f>
        <v>0</v>
      </c>
      <c r="O31" s="30" t="str">
        <f aca="false">IF(N31="","",IF(N31&gt;=15,"HIGH",IF(N31&gt;=8,"MEDIUM","LOW")))</f>
        <v>LOW</v>
      </c>
      <c r="P31" s="26"/>
      <c r="Q31" s="28"/>
    </row>
    <row r="32" customFormat="false" ht="15" hidden="false" customHeight="false" outlineLevel="0" collapsed="false">
      <c r="A32" s="26"/>
      <c r="B32" s="27"/>
      <c r="C32" s="26"/>
      <c r="D32" s="28"/>
      <c r="E32" s="26"/>
      <c r="F32" s="26"/>
      <c r="G32" s="29" t="n">
        <f aca="false">IFERROR(E32*F32,"")</f>
        <v>0</v>
      </c>
      <c r="H32" s="30" t="str">
        <f aca="false">IF(G32="","",IF(G32&gt;=15,"HIGH",IF(G32&gt;=8,"MEDIUM","LOW")))</f>
        <v>LOW</v>
      </c>
      <c r="I32" s="28"/>
      <c r="J32" s="26"/>
      <c r="K32" s="27"/>
      <c r="L32" s="26"/>
      <c r="M32" s="26"/>
      <c r="N32" s="29" t="n">
        <f aca="false">IFERROR(L32*M32,"")</f>
        <v>0</v>
      </c>
      <c r="O32" s="30" t="str">
        <f aca="false">IF(N32="","",IF(N32&gt;=15,"HIGH",IF(N32&gt;=8,"MEDIUM","LOW")))</f>
        <v>LOW</v>
      </c>
      <c r="P32" s="26"/>
      <c r="Q32" s="28"/>
    </row>
    <row r="33" customFormat="false" ht="15" hidden="false" customHeight="false" outlineLevel="0" collapsed="false">
      <c r="A33" s="26"/>
      <c r="B33" s="27"/>
      <c r="C33" s="26"/>
      <c r="D33" s="28"/>
      <c r="E33" s="26"/>
      <c r="F33" s="26"/>
      <c r="G33" s="29" t="n">
        <f aca="false">IFERROR(E33*F33,"")</f>
        <v>0</v>
      </c>
      <c r="H33" s="30" t="str">
        <f aca="false">IF(G33="","",IF(G33&gt;=15,"HIGH",IF(G33&gt;=8,"MEDIUM","LOW")))</f>
        <v>LOW</v>
      </c>
      <c r="I33" s="28"/>
      <c r="J33" s="26"/>
      <c r="K33" s="27"/>
      <c r="L33" s="26"/>
      <c r="M33" s="26"/>
      <c r="N33" s="29" t="n">
        <f aca="false">IFERROR(L33*M33,"")</f>
        <v>0</v>
      </c>
      <c r="O33" s="30" t="str">
        <f aca="false">IF(N33="","",IF(N33&gt;=15,"HIGH",IF(N33&gt;=8,"MEDIUM","LOW")))</f>
        <v>LOW</v>
      </c>
      <c r="P33" s="26"/>
      <c r="Q33" s="28"/>
    </row>
    <row r="34" customFormat="false" ht="15" hidden="false" customHeight="false" outlineLevel="0" collapsed="false">
      <c r="A34" s="26"/>
      <c r="B34" s="27"/>
      <c r="C34" s="26"/>
      <c r="D34" s="28"/>
      <c r="E34" s="26"/>
      <c r="F34" s="26"/>
      <c r="G34" s="29" t="n">
        <f aca="false">IFERROR(E34*F34,"")</f>
        <v>0</v>
      </c>
      <c r="H34" s="30" t="str">
        <f aca="false">IF(G34="","",IF(G34&gt;=15,"HIGH",IF(G34&gt;=8,"MEDIUM","LOW")))</f>
        <v>LOW</v>
      </c>
      <c r="I34" s="28"/>
      <c r="J34" s="26"/>
      <c r="K34" s="27"/>
      <c r="L34" s="26"/>
      <c r="M34" s="26"/>
      <c r="N34" s="29" t="n">
        <f aca="false">IFERROR(L34*M34,"")</f>
        <v>0</v>
      </c>
      <c r="O34" s="30" t="str">
        <f aca="false">IF(N34="","",IF(N34&gt;=15,"HIGH",IF(N34&gt;=8,"MEDIUM","LOW")))</f>
        <v>LOW</v>
      </c>
      <c r="P34" s="26"/>
      <c r="Q34" s="28"/>
    </row>
    <row r="35" customFormat="false" ht="15" hidden="false" customHeight="false" outlineLevel="0" collapsed="false">
      <c r="A35" s="26"/>
      <c r="B35" s="27"/>
      <c r="C35" s="26"/>
      <c r="D35" s="28"/>
      <c r="E35" s="26"/>
      <c r="F35" s="26"/>
      <c r="G35" s="29" t="n">
        <f aca="false">IFERROR(E35*F35,"")</f>
        <v>0</v>
      </c>
      <c r="H35" s="30" t="str">
        <f aca="false">IF(G35="","",IF(G35&gt;=15,"HIGH",IF(G35&gt;=8,"MEDIUM","LOW")))</f>
        <v>LOW</v>
      </c>
      <c r="I35" s="28"/>
      <c r="J35" s="26"/>
      <c r="K35" s="27"/>
      <c r="L35" s="26"/>
      <c r="M35" s="26"/>
      <c r="N35" s="29" t="n">
        <f aca="false">IFERROR(L35*M35,"")</f>
        <v>0</v>
      </c>
      <c r="O35" s="30" t="str">
        <f aca="false">IF(N35="","",IF(N35&gt;=15,"HIGH",IF(N35&gt;=8,"MEDIUM","LOW")))</f>
        <v>LOW</v>
      </c>
      <c r="P35" s="26"/>
      <c r="Q35" s="28"/>
    </row>
    <row r="36" customFormat="false" ht="15" hidden="false" customHeight="false" outlineLevel="0" collapsed="false">
      <c r="A36" s="26"/>
      <c r="B36" s="27"/>
      <c r="C36" s="26"/>
      <c r="D36" s="28"/>
      <c r="E36" s="26"/>
      <c r="F36" s="26"/>
      <c r="G36" s="29" t="n">
        <f aca="false">IFERROR(E36*F36,"")</f>
        <v>0</v>
      </c>
      <c r="H36" s="30" t="str">
        <f aca="false">IF(G36="","",IF(G36&gt;=15,"HIGH",IF(G36&gt;=8,"MEDIUM","LOW")))</f>
        <v>LOW</v>
      </c>
      <c r="I36" s="28"/>
      <c r="J36" s="26"/>
      <c r="K36" s="27"/>
      <c r="L36" s="26"/>
      <c r="M36" s="26"/>
      <c r="N36" s="29" t="n">
        <f aca="false">IFERROR(L36*M36,"")</f>
        <v>0</v>
      </c>
      <c r="O36" s="30" t="str">
        <f aca="false">IF(N36="","",IF(N36&gt;=15,"HIGH",IF(N36&gt;=8,"MEDIUM","LOW")))</f>
        <v>LOW</v>
      </c>
      <c r="P36" s="26"/>
      <c r="Q36" s="28"/>
    </row>
    <row r="37" customFormat="false" ht="15" hidden="false" customHeight="false" outlineLevel="0" collapsed="false">
      <c r="A37" s="26"/>
      <c r="B37" s="27"/>
      <c r="C37" s="26"/>
      <c r="D37" s="28"/>
      <c r="E37" s="26"/>
      <c r="F37" s="26"/>
      <c r="G37" s="29" t="n">
        <f aca="false">IFERROR(E37*F37,"")</f>
        <v>0</v>
      </c>
      <c r="H37" s="30" t="str">
        <f aca="false">IF(G37="","",IF(G37&gt;=15,"HIGH",IF(G37&gt;=8,"MEDIUM","LOW")))</f>
        <v>LOW</v>
      </c>
      <c r="I37" s="28"/>
      <c r="J37" s="26"/>
      <c r="K37" s="27"/>
      <c r="L37" s="26"/>
      <c r="M37" s="26"/>
      <c r="N37" s="29" t="n">
        <f aca="false">IFERROR(L37*M37,"")</f>
        <v>0</v>
      </c>
      <c r="O37" s="30" t="str">
        <f aca="false">IF(N37="","",IF(N37&gt;=15,"HIGH",IF(N37&gt;=8,"MEDIUM","LOW")))</f>
        <v>LOW</v>
      </c>
      <c r="P37" s="26"/>
      <c r="Q37" s="28"/>
    </row>
    <row r="38" customFormat="false" ht="15" hidden="false" customHeight="false" outlineLevel="0" collapsed="false">
      <c r="A38" s="26"/>
      <c r="B38" s="27"/>
      <c r="C38" s="26"/>
      <c r="D38" s="28"/>
      <c r="E38" s="26"/>
      <c r="F38" s="26"/>
      <c r="G38" s="29" t="n">
        <f aca="false">IFERROR(E38*F38,"")</f>
        <v>0</v>
      </c>
      <c r="H38" s="30" t="str">
        <f aca="false">IF(G38="","",IF(G38&gt;=15,"HIGH",IF(G38&gt;=8,"MEDIUM","LOW")))</f>
        <v>LOW</v>
      </c>
      <c r="I38" s="28"/>
      <c r="J38" s="26"/>
      <c r="K38" s="27"/>
      <c r="L38" s="26"/>
      <c r="M38" s="26"/>
      <c r="N38" s="29" t="n">
        <f aca="false">IFERROR(L38*M38,"")</f>
        <v>0</v>
      </c>
      <c r="O38" s="30" t="str">
        <f aca="false">IF(N38="","",IF(N38&gt;=15,"HIGH",IF(N38&gt;=8,"MEDIUM","LOW")))</f>
        <v>LOW</v>
      </c>
      <c r="P38" s="26"/>
      <c r="Q38" s="28"/>
    </row>
    <row r="39" customFormat="false" ht="15" hidden="false" customHeight="false" outlineLevel="0" collapsed="false">
      <c r="A39" s="26"/>
      <c r="B39" s="27"/>
      <c r="C39" s="26"/>
      <c r="D39" s="28"/>
      <c r="E39" s="26"/>
      <c r="F39" s="26"/>
      <c r="G39" s="29" t="n">
        <f aca="false">IFERROR(E39*F39,"")</f>
        <v>0</v>
      </c>
      <c r="H39" s="30" t="str">
        <f aca="false">IF(G39="","",IF(G39&gt;=15,"HIGH",IF(G39&gt;=8,"MEDIUM","LOW")))</f>
        <v>LOW</v>
      </c>
      <c r="I39" s="28"/>
      <c r="J39" s="26"/>
      <c r="K39" s="27"/>
      <c r="L39" s="26"/>
      <c r="M39" s="26"/>
      <c r="N39" s="29" t="n">
        <f aca="false">IFERROR(L39*M39,"")</f>
        <v>0</v>
      </c>
      <c r="O39" s="30" t="str">
        <f aca="false">IF(N39="","",IF(N39&gt;=15,"HIGH",IF(N39&gt;=8,"MEDIUM","LOW")))</f>
        <v>LOW</v>
      </c>
      <c r="P39" s="26"/>
      <c r="Q39" s="28"/>
    </row>
    <row r="40" customFormat="false" ht="15" hidden="false" customHeight="false" outlineLevel="0" collapsed="false">
      <c r="A40" s="26"/>
      <c r="B40" s="27"/>
      <c r="C40" s="26"/>
      <c r="D40" s="28"/>
      <c r="E40" s="26"/>
      <c r="F40" s="26"/>
      <c r="G40" s="29" t="n">
        <f aca="false">IFERROR(E40*F40,"")</f>
        <v>0</v>
      </c>
      <c r="H40" s="30" t="str">
        <f aca="false">IF(G40="","",IF(G40&gt;=15,"HIGH",IF(G40&gt;=8,"MEDIUM","LOW")))</f>
        <v>LOW</v>
      </c>
      <c r="I40" s="28"/>
      <c r="J40" s="26"/>
      <c r="K40" s="27"/>
      <c r="L40" s="26"/>
      <c r="M40" s="26"/>
      <c r="N40" s="29" t="n">
        <f aca="false">IFERROR(L40*M40,"")</f>
        <v>0</v>
      </c>
      <c r="O40" s="30" t="str">
        <f aca="false">IF(N40="","",IF(N40&gt;=15,"HIGH",IF(N40&gt;=8,"MEDIUM","LOW")))</f>
        <v>LOW</v>
      </c>
      <c r="P40" s="26"/>
      <c r="Q40" s="28"/>
    </row>
    <row r="41" customFormat="false" ht="15" hidden="false" customHeight="false" outlineLevel="0" collapsed="false">
      <c r="A41" s="26"/>
      <c r="B41" s="27"/>
      <c r="C41" s="26"/>
      <c r="D41" s="28"/>
      <c r="E41" s="26"/>
      <c r="F41" s="26"/>
      <c r="G41" s="29" t="n">
        <f aca="false">IFERROR(E41*F41,"")</f>
        <v>0</v>
      </c>
      <c r="H41" s="30" t="str">
        <f aca="false">IF(G41="","",IF(G41&gt;=15,"HIGH",IF(G41&gt;=8,"MEDIUM","LOW")))</f>
        <v>LOW</v>
      </c>
      <c r="I41" s="28"/>
      <c r="J41" s="26"/>
      <c r="K41" s="27"/>
      <c r="L41" s="26"/>
      <c r="M41" s="26"/>
      <c r="N41" s="29" t="n">
        <f aca="false">IFERROR(L41*M41,"")</f>
        <v>0</v>
      </c>
      <c r="O41" s="30" t="str">
        <f aca="false">IF(N41="","",IF(N41&gt;=15,"HIGH",IF(N41&gt;=8,"MEDIUM","LOW")))</f>
        <v>LOW</v>
      </c>
      <c r="P41" s="26"/>
      <c r="Q41" s="28"/>
    </row>
    <row r="42" customFormat="false" ht="15" hidden="false" customHeight="false" outlineLevel="0" collapsed="false">
      <c r="A42" s="26"/>
      <c r="B42" s="27"/>
      <c r="C42" s="26"/>
      <c r="D42" s="28"/>
      <c r="E42" s="26"/>
      <c r="F42" s="26"/>
      <c r="G42" s="29" t="n">
        <f aca="false">IFERROR(E42*F42,"")</f>
        <v>0</v>
      </c>
      <c r="H42" s="30" t="str">
        <f aca="false">IF(G42="","",IF(G42&gt;=15,"HIGH",IF(G42&gt;=8,"MEDIUM","LOW")))</f>
        <v>LOW</v>
      </c>
      <c r="I42" s="28"/>
      <c r="J42" s="26"/>
      <c r="K42" s="27"/>
      <c r="L42" s="26"/>
      <c r="M42" s="26"/>
      <c r="N42" s="29" t="n">
        <f aca="false">IFERROR(L42*M42,"")</f>
        <v>0</v>
      </c>
      <c r="O42" s="30" t="str">
        <f aca="false">IF(N42="","",IF(N42&gt;=15,"HIGH",IF(N42&gt;=8,"MEDIUM","LOW")))</f>
        <v>LOW</v>
      </c>
      <c r="P42" s="26"/>
      <c r="Q42" s="28"/>
    </row>
    <row r="43" customFormat="false" ht="15" hidden="false" customHeight="false" outlineLevel="0" collapsed="false">
      <c r="A43" s="26"/>
      <c r="B43" s="27"/>
      <c r="C43" s="26"/>
      <c r="D43" s="28"/>
      <c r="E43" s="26"/>
      <c r="F43" s="26"/>
      <c r="G43" s="29" t="n">
        <f aca="false">IFERROR(E43*F43,"")</f>
        <v>0</v>
      </c>
      <c r="H43" s="30" t="str">
        <f aca="false">IF(G43="","",IF(G43&gt;=15,"HIGH",IF(G43&gt;=8,"MEDIUM","LOW")))</f>
        <v>LOW</v>
      </c>
      <c r="I43" s="28"/>
      <c r="J43" s="26"/>
      <c r="K43" s="27"/>
      <c r="L43" s="26"/>
      <c r="M43" s="26"/>
      <c r="N43" s="29" t="n">
        <f aca="false">IFERROR(L43*M43,"")</f>
        <v>0</v>
      </c>
      <c r="O43" s="30" t="str">
        <f aca="false">IF(N43="","",IF(N43&gt;=15,"HIGH",IF(N43&gt;=8,"MEDIUM","LOW")))</f>
        <v>LOW</v>
      </c>
      <c r="P43" s="26"/>
      <c r="Q43" s="28"/>
    </row>
    <row r="44" customFormat="false" ht="15" hidden="false" customHeight="false" outlineLevel="0" collapsed="false">
      <c r="A44" s="26"/>
      <c r="B44" s="27"/>
      <c r="C44" s="26"/>
      <c r="D44" s="28"/>
      <c r="E44" s="26"/>
      <c r="F44" s="26"/>
      <c r="G44" s="29" t="n">
        <f aca="false">IFERROR(E44*F44,"")</f>
        <v>0</v>
      </c>
      <c r="H44" s="30" t="str">
        <f aca="false">IF(G44="","",IF(G44&gt;=15,"HIGH",IF(G44&gt;=8,"MEDIUM","LOW")))</f>
        <v>LOW</v>
      </c>
      <c r="I44" s="28"/>
      <c r="J44" s="26"/>
      <c r="K44" s="27"/>
      <c r="L44" s="26"/>
      <c r="M44" s="26"/>
      <c r="N44" s="29" t="n">
        <f aca="false">IFERROR(L44*M44,"")</f>
        <v>0</v>
      </c>
      <c r="O44" s="30" t="str">
        <f aca="false">IF(N44="","",IF(N44&gt;=15,"HIGH",IF(N44&gt;=8,"MEDIUM","LOW")))</f>
        <v>LOW</v>
      </c>
      <c r="P44" s="26"/>
      <c r="Q44" s="28"/>
    </row>
    <row r="45" customFormat="false" ht="15" hidden="false" customHeight="false" outlineLevel="0" collapsed="false">
      <c r="A45" s="26"/>
      <c r="B45" s="27"/>
      <c r="C45" s="26"/>
      <c r="D45" s="28"/>
      <c r="E45" s="26"/>
      <c r="F45" s="26"/>
      <c r="G45" s="29" t="n">
        <f aca="false">IFERROR(E45*F45,"")</f>
        <v>0</v>
      </c>
      <c r="H45" s="30" t="str">
        <f aca="false">IF(G45="","",IF(G45&gt;=15,"HIGH",IF(G45&gt;=8,"MEDIUM","LOW")))</f>
        <v>LOW</v>
      </c>
      <c r="I45" s="28"/>
      <c r="J45" s="26"/>
      <c r="K45" s="27"/>
      <c r="L45" s="26"/>
      <c r="M45" s="26"/>
      <c r="N45" s="29" t="n">
        <f aca="false">IFERROR(L45*M45,"")</f>
        <v>0</v>
      </c>
      <c r="O45" s="30" t="str">
        <f aca="false">IF(N45="","",IF(N45&gt;=15,"HIGH",IF(N45&gt;=8,"MEDIUM","LOW")))</f>
        <v>LOW</v>
      </c>
      <c r="P45" s="26"/>
      <c r="Q45" s="28"/>
    </row>
  </sheetData>
  <autoFilter ref="A9:Q45"/>
  <mergeCells count="6">
    <mergeCell ref="A1:Q1"/>
    <mergeCell ref="A7:D7"/>
    <mergeCell ref="E7:H7"/>
    <mergeCell ref="I7:K7"/>
    <mergeCell ref="L7:O7"/>
    <mergeCell ref="P7:Q7"/>
  </mergeCells>
  <conditionalFormatting sqref="H10:H45">
    <cfRule type="cellIs" priority="2" operator="equal" aboveAverage="0" equalAverage="0" bottom="0" percent="0" rank="0" text="" dxfId="9">
      <formula>"HIGH"</formula>
    </cfRule>
    <cfRule type="cellIs" priority="3" operator="equal" aboveAverage="0" equalAverage="0" bottom="0" percent="0" rank="0" text="" dxfId="10">
      <formula>"MEDIUM"</formula>
    </cfRule>
    <cfRule type="cellIs" priority="4" operator="equal" aboveAverage="0" equalAverage="0" bottom="0" percent="0" rank="0" text="" dxfId="11">
      <formula>"LOW"</formula>
    </cfRule>
  </conditionalFormatting>
  <conditionalFormatting sqref="O10:O45">
    <cfRule type="cellIs" priority="5" operator="equal" aboveAverage="0" equalAverage="0" bottom="0" percent="0" rank="0" text="" dxfId="9">
      <formula>"HIGH"</formula>
    </cfRule>
    <cfRule type="cellIs" priority="6" operator="equal" aboveAverage="0" equalAverage="0" bottom="0" percent="0" rank="0" text="" dxfId="10">
      <formula>"MEDIUM"</formula>
    </cfRule>
    <cfRule type="cellIs" priority="7" operator="equal" aboveAverage="0" equalAverage="0" bottom="0" percent="0" rank="0" text="" dxfId="11">
      <formula>"LOW"</formula>
    </cfRule>
  </conditionalFormatting>
  <conditionalFormatting sqref="P10:P45">
    <cfRule type="cellIs" priority="8" operator="equal" aboveAverage="0" equalAverage="0" bottom="0" percent="0" rank="0" text="" dxfId="11">
      <formula>"Closed"</formula>
    </cfRule>
  </conditionalFormatting>
  <dataValidations count="3">
    <dataValidation allowBlank="true" errorStyle="stop" operator="between" prompt="Enter 1–5" showDropDown="false" showErrorMessage="false" showInputMessage="false" sqref="E10:F45 L10:M45" type="whole">
      <formula1>1</formula1>
      <formula2>5</formula2>
    </dataValidation>
    <dataValidation allowBlank="true" errorStyle="stop" operator="between" showDropDown="false" showErrorMessage="false" showInputMessage="false" sqref="C10:C45" type="list">
      <formula1>"Design,Construction,Commercial,Programme,H&amp;S,Environmental,Procurement,Stakeholder,Other"</formula1>
      <formula2>0</formula2>
    </dataValidation>
    <dataValidation allowBlank="true" errorStyle="stop" operator="between" showDropDown="false" showErrorMessage="false" showInputMessage="false" sqref="P10:P45" type="list">
      <formula1>"Open,Closed,Watching"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&amp;CRisk Register</oddHeader>
    <oddFooter>&amp;Rebrora.com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A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0"/>
  </cols>
  <sheetData>
    <row r="1" customFormat="false" ht="15" hidden="false" customHeight="false" outlineLevel="0" collapsed="false">
      <c r="A1" s="31" t="s">
        <v>91</v>
      </c>
    </row>
    <row r="2" customFormat="false" ht="15" hidden="false" customHeight="false" outlineLevel="0" collapsed="false">
      <c r="A2" s="31"/>
    </row>
    <row r="3" customFormat="false" ht="15" hidden="false" customHeight="false" outlineLevel="0" collapsed="false">
      <c r="A3" s="31" t="s">
        <v>92</v>
      </c>
    </row>
    <row r="4" customFormat="false" ht="15" hidden="false" customHeight="false" outlineLevel="0" collapsed="false">
      <c r="A4" s="31"/>
    </row>
    <row r="5" customFormat="false" ht="15" hidden="false" customHeight="false" outlineLevel="0" collapsed="false">
      <c r="A5" s="31" t="s">
        <v>93</v>
      </c>
    </row>
    <row r="6" customFormat="false" ht="15" hidden="false" customHeight="false" outlineLevel="0" collapsed="false">
      <c r="A6" s="31"/>
    </row>
    <row r="7" customFormat="false" ht="15" hidden="false" customHeight="false" outlineLevel="0" collapsed="false">
      <c r="A7" s="31" t="s">
        <v>94</v>
      </c>
    </row>
    <row r="8" customFormat="false" ht="15" hidden="false" customHeight="false" outlineLevel="0" collapsed="false">
      <c r="A8" s="31"/>
    </row>
    <row r="9" customFormat="false" ht="15" hidden="false" customHeight="false" outlineLevel="0" collapsed="false">
      <c r="A9" s="31" t="s">
        <v>95</v>
      </c>
    </row>
    <row r="10" customFormat="false" ht="15" hidden="false" customHeight="false" outlineLevel="0" collapsed="false">
      <c r="A10" s="31"/>
    </row>
    <row r="11" customFormat="false" ht="15" hidden="false" customHeight="false" outlineLevel="0" collapsed="false">
      <c r="A11" s="31" t="s">
        <v>96</v>
      </c>
    </row>
    <row r="12" customFormat="false" ht="15" hidden="false" customHeight="false" outlineLevel="0" collapsed="false">
      <c r="A12" s="31"/>
    </row>
    <row r="13" customFormat="false" ht="15" hidden="false" customHeight="false" outlineLevel="0" collapsed="false">
      <c r="A13" s="31" t="s">
        <v>97</v>
      </c>
    </row>
    <row r="14" customFormat="false" ht="15" hidden="false" customHeight="false" outlineLevel="0" collapsed="false">
      <c r="A14" s="31"/>
    </row>
    <row r="15" customFormat="false" ht="15" hidden="false" customHeight="false" outlineLevel="0" collapsed="false">
      <c r="A15" s="31" t="s">
        <v>98</v>
      </c>
    </row>
    <row r="16" customFormat="false" ht="15" hidden="false" customHeight="false" outlineLevel="0" collapsed="false">
      <c r="A16" s="31"/>
    </row>
    <row r="17" customFormat="false" ht="15" hidden="false" customHeight="false" outlineLevel="0" collapsed="false">
      <c r="A17" s="31" t="s">
        <v>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category>General Business / Admin</cp:category>
  <dcterms:created xsi:type="dcterms:W3CDTF">2026-03-23T17:56:39Z</dcterms:created>
  <dc:creator>Ebrora Ltd</dc:creator>
  <dc:description>Identify and manage project risks with likelihood × impact scoring, automatic risk ratings, mitigation actions, and residual risk tracking.
Free professional construction management template from Ebrora Ltd. Visit ebrora.com for our full range of tools and templates.</dc:description>
  <cp:keywords>Ebrora construction business risk register mitigation RAG project management</cp:keywords>
  <dc:language>en-US</dc:language>
  <cp:lastModifiedBy>Ebrora Ltd</cp:lastModifiedBy>
  <dcterms:modified xsi:type="dcterms:W3CDTF">2026-03-23T17:56:39Z</dcterms:modified>
  <cp:revision>0</cp:revision>
  <dc:subject>Identify and manage project risks with likelihood × impact scoring, automatic risk ratings, and mitigation tracking.</dc:subject>
  <dc:title>Risk Register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