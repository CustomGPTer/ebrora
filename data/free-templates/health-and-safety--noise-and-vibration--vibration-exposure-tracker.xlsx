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Vibration Exposure Tracker"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Instructions!$A$1:$F$34</definedName>
    <definedName function="false" hidden="false" localSheetId="2" name="_xlnm.Print_Area" vbProcedure="false">'Vibration Exposure Tracker'!$A$1:$J$58</definedName>
    <definedName function="false" hidden="true" localSheetId="2" name="_xlnm._FilterDatabase" vbProcedure="false">'Vibration Exposure Tracker'!$A$8:$O$8</definedName>
    <definedName function="false" hidden="false" name="DataTable" vbProcedure="false">'Vibration Exposure Tracker'!$A$8:$O$508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<sst xmlns="http://schemas.openxmlformats.org/spreadsheetml/2006/main" count="123" uniqueCount="104">
  <si>
    <t xml:space="preserve">EBRORA</t>
  </si>
  <si>
    <t xml:space="preserve">ebrora.com</t>
  </si>
  <si>
    <t xml:space="preserve">Vibration Exposure Tracker</t>
  </si>
  <si>
    <t xml:space="preserve">Track hand-arm vibration exposure for operatives on site — auto-calculate A(8) daily exposure, trigger times, and flag EAV/ELV breaches.</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</si>
  <si>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</si>
  <si>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</si>
  <si>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</si>
  <si>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</si>
  <si>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</si>
  <si>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Go to the “Vibration Exposure Tracker” tab. Each row records one operative’s exposure to one vibrating tool on one day.</t>
  </si>
  <si>
    <t xml:space="preserve">2.</t>
  </si>
  <si>
    <t xml:space="preserve">Enter the Date, Operative Name, and the Tool/Equipment being used (e.g. “Hilti TE 70 Breaker”, “Stihl TS 500i Cut-Off Saw”).</t>
  </si>
  <si>
    <t xml:space="preserve">3.</t>
  </si>
  <si>
    <t xml:space="preserve">Enter the Vibration Magnitude in m/s². This is the tool’s declared vibration value — find it on the manufacturer’s data sheet or the tool’s CE label. If in doubt, use the HSE’s vibration calculator or published guidance values.</t>
  </si>
  <si>
    <t xml:space="preserve">4.</t>
  </si>
  <si>
    <t xml:space="preserve">Enter the Exposure Duration in hours — the actual “trigger time” the operative had their hands on the vibrating tool that day.</t>
  </si>
  <si>
    <t xml:space="preserve">5.</t>
  </si>
  <si>
    <t xml:space="preserve">The A(8) Daily Exposure is auto-calculated using the formula: A(8) = magnitude × √(duration ÷ 8). This normalises the exposure to an 8-hour reference period.</t>
  </si>
  <si>
    <t xml:space="preserve">6.</t>
  </si>
  <si>
    <t xml:space="preserve">The Exposure Action Level is auto-calculated: Below EAV (&lt;2.5 m/s²), EAV Reached (2.5–4.99 m/s²), or ELV Reached (≥5 m/s²).</t>
  </si>
  <si>
    <t xml:space="preserve">7.</t>
  </si>
  <si>
    <t xml:space="preserve">Describe the Control Measures in place (e.g. low-vibration tools, job rotation, warm-up breaks, tool maintenance).</t>
  </si>
  <si>
    <t xml:space="preserve">8.</t>
  </si>
  <si>
    <t xml:space="preserve">Expand optional columns for: Company, Tool Asset No., Trigger Time to EAV (auto-calculated), Trigger Time to ELV (auto-calculated), and Notes.</t>
  </si>
  <si>
    <t xml:space="preserve">9.</t>
  </si>
  <si>
    <t xml:space="preserve">The dashboard auto-calculates total entries, ELV/EAV counts, highest and average A(8), and flags high-risk exposures.</t>
  </si>
  <si>
    <t xml:space="preserve">Vibration Exposure Limits (Control of Vibration at Work Regulations 2005)</t>
  </si>
  <si>
    <t xml:space="preserve">•</t>
  </si>
  <si>
    <t xml:space="preserve">Exposure Action Value (EAV): A(8) = 2.5 m/s². Employer must: assess risk, provide information and training, introduce control measures, offer health surveillance.</t>
  </si>
  <si>
    <t xml:space="preserve">Exposure Limit Value (ELV): A(8) = 5 m/s². Must not be exceeded. If reached, take immediate action to reduce exposure below the ELV.</t>
  </si>
  <si>
    <t xml:space="preserve">Trigger Time Formulas</t>
  </si>
  <si>
    <t xml:space="preserve">Trigger Time to EAV = 8 × (2.5 ÷ magnitude)² hours. This tells you how long the operative can use the tool before reaching the EAV.</t>
  </si>
  <si>
    <t xml:space="preserve">Trigger Time to ELV = 8 × (5 ÷ magnitude)² hours. This tells you the maximum permissible trigger time before the ELV is breached.</t>
  </si>
  <si>
    <t xml:space="preserve">Colour Key</t>
  </si>
  <si>
    <t xml:space="preserve">Light teal cells = User input / editable fields.</t>
  </si>
  <si>
    <t xml:space="preserve">Green in A(8) / Action Level = Below EAV (&lt;2.5 m/s²).</t>
  </si>
  <si>
    <t xml:space="preserve">Amber = EAV Reached (2.5–4.99 m/s²).</t>
  </si>
  <si>
    <t xml:space="preserve">Red = ELV Reached (≥5 m/s²) — must not be exceeded.</t>
  </si>
  <si>
    <t xml:space="preserve">Full-row red highlight = ELV breach.</t>
  </si>
  <si>
    <t xml:space="preserve">Tips</t>
  </si>
  <si>
    <t xml:space="preserve">Common high-vibration tools: breakers (12–25 m/s²), impact wrenches (5–18 m/s²), angle grinders (4–8 m/s²), needle scalers (8–20 m/s²). Always use the manufacturer’s declared value.</t>
  </si>
  <si>
    <t xml:space="preserve">The most effective control is substitution — use a lower-vibration tool. After that: limit exposure duration, rotate operatives, ensure tools are well-maintained (worn tools vibrate more), and provide warm gloves to maintain blood circulation.</t>
  </si>
  <si>
    <t xml:space="preserve">Operatives exposed at or above the EAV are entitled to health surveillance (typically annual checks for symptoms of HAVS — Hand-Arm Vibration Syndrome).</t>
  </si>
  <si>
    <t xml:space="preserve">VIBRATION EXPOSURE TRACKER</t>
  </si>
  <si>
    <t xml:space="preserve">Total Entries:</t>
  </si>
  <si>
    <t xml:space="preserve">Highest A(8) m/s²:</t>
  </si>
  <si>
    <t xml:space="preserve">ELV Reached (≥5):</t>
  </si>
  <si>
    <t xml:space="preserve">EAV Reached (2.5–4.99):</t>
  </si>
  <si>
    <t xml:space="preserve">Below EAV (&lt;2.5):</t>
  </si>
  <si>
    <t xml:space="preserve">Avg A(8) m/s²:</t>
  </si>
  <si>
    <t xml:space="preserve">Avg Exposure (hrs):</t>
  </si>
  <si>
    <t xml:space="preserve">Max Magnitude m/s²:</t>
  </si>
  <si>
    <t xml:space="preserve">▸ Optional Fields — Click [+] to expand</t>
  </si>
  <si>
    <t xml:space="preserve">Entry No.</t>
  </si>
  <si>
    <t xml:space="preserve">Date</t>
  </si>
  <si>
    <t xml:space="preserve">Operative Name</t>
  </si>
  <si>
    <t xml:space="preserve">Tool / Equipment</t>
  </si>
  <si>
    <t xml:space="preserve">Vibration Mag. (m/s²)</t>
  </si>
  <si>
    <t xml:space="preserve">Exposure Duration (hrs)</t>
  </si>
  <si>
    <t xml:space="preserve">A(8) Daily Exposure (m/s²)</t>
  </si>
  <si>
    <t xml:space="preserve">Exposure Action Level</t>
  </si>
  <si>
    <t xml:space="preserve">Control Measures</t>
  </si>
  <si>
    <t xml:space="preserve">Assessed By</t>
  </si>
  <si>
    <t xml:space="preserve">Company / Employer</t>
  </si>
  <si>
    <t xml:space="preserve">Tool Asset No.</t>
  </si>
  <si>
    <t xml:space="preserve">Trigger Time to EAV (hrs)</t>
  </si>
  <si>
    <t xml:space="preserve">Trigger Time to ELV (hrs)</t>
  </si>
  <si>
    <t xml:space="preserve">Notes</t>
  </si>
  <si>
    <t xml:space="preserve">D. Evans</t>
  </si>
  <si>
    <t xml:space="preserve">Hilti TE 70-ATC Breaker</t>
  </si>
  <si>
    <t xml:space="preserve">Job rotation — max 2hr stints. Low-vibration handles fitted. 10-minute warm-up breaks every 30 mins. Tool serviced last week.</t>
  </si>
  <si>
    <t xml:space="preserve">M. Davies</t>
  </si>
  <si>
    <t xml:space="preserve">ProSteel Ltd</t>
  </si>
  <si>
    <t xml:space="preserve">BRK-004</t>
  </si>
  <si>
    <t xml:space="preserve">High-vibration tool. Strict time limits enforced. Health surveillance in place for operative.</t>
  </si>
  <si>
    <t xml:space="preserve">P. Morgan</t>
  </si>
  <si>
    <t xml:space="preserve">Makita GA9020 Angle Grinder</t>
  </si>
  <si>
    <t xml:space="preserve">Anti-vibration gloves provided. Grinding limited to 3hr max. Tool checked for disc balance before use.</t>
  </si>
  <si>
    <t xml:space="preserve">MechServ Ltd</t>
  </si>
  <si>
    <t xml:space="preserve">GRN-011</t>
  </si>
  <si>
    <t xml:space="preserve">Moderate vibration. Operative within EAV trigger time.</t>
  </si>
  <si>
    <t xml:space="preserve">T. Williams</t>
  </si>
  <si>
    <t xml:space="preserve">Wacker Neuson BS 60-4As Rammer</t>
  </si>
  <si>
    <t xml:space="preserve">Compaction work. Operative rotated with dumper driver after 1.5hrs. Low-vibration rammer model selected.</t>
  </si>
  <si>
    <t xml:space="preserve">Civils Direct Ltd</t>
  </si>
  <si>
    <t xml:space="preserve">RAM-002</t>
  </si>
  <si>
    <t xml:space="preserve">Rammer used for trench backfill compaction. Short duration keeps A(8) within EAV.</t>
  </si>
  <si>
    <t xml:space="preserve">Extended breaking required for reinforced concrete. Job rotation not possible due to programme pressure. Supervisor approved extended exposure with enhanced breaks.</t>
  </si>
  <si>
    <t xml:space="preserve">ELV BREACH. A(8) exceeds 5 m/s². Escalated to site manager. Operative stood down from vibrating tools for remainder of week.</t>
  </si>
  <si>
    <t xml:space="preserve">S. Hall</t>
  </si>
  <si>
    <t xml:space="preserve">Bosch GBH 18V-45 C SDS Max Hammer Drill</t>
  </si>
  <si>
    <t xml:space="preserve">Drilling anchor holes in concrete. Short-duration task. Anti-vibration side handle fitted. Tool in good condition.</t>
  </si>
  <si>
    <t xml:space="preserve">Main Contractor</t>
  </si>
  <si>
    <t xml:space="preserve">DRL-008</t>
  </si>
  <si>
    <t xml:space="preserve">Below EAV. Single short task. No further vibration exposure that day.</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</si>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</sst>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General"/>
    <numFmt numFmtId="166" formatCode="0.0"/>
    <numFmt numFmtId="167" formatCode="0"/>
    <numFmt numFmtId="168" formatCode="dd/mm/yyyy"/>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0"/>
      <color rgb="FF2AABB3"/>
      <name val="Calibri"/>
      <family val="0"/>
      <charset val="1"/>
    </font>
    <font>
      <b val="true"/>
      <sz val="10"/>
      <color rgb="FFFF0000"/>
      <name val="Calibri"/>
      <family val="0"/>
      <charset val="1"/>
    </font>
    <font>
      <b val="true"/>
      <sz val="10"/>
      <color rgb="FF9C0006"/>
      <name val="Calibri"/>
      <family val="0"/>
      <charset val="1"/>
    </font>
    <font>
      <b val="true"/>
      <sz val="10"/>
      <color rgb="FF9C6500"/>
      <name val="Calibri"/>
      <family val="0"/>
      <charset val="1"/>
    </font>
    <font>
      <b val="true"/>
      <sz val="10"/>
      <color rgb="FF006100"/>
      <name val="Calibri"/>
      <family val="0"/>
      <charset val="1"/>
    </font>
    <font>
      <b val="true"/>
      <sz val="9"/>
      <color rgb="FF2AABB3"/>
      <name val="Calibri"/>
      <family val="0"/>
      <charset val="1"/>
    </font>
    <font>
      <b val="true"/>
      <sz val="11"/>
      <color rgb="FFFFFFFF"/>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F2F2F2"/>
      </left>
      <right style="thin">
        <color rgb="FFF2F2F2"/>
      </right>
      <top style="thin">
        <color rgb="FFF2F2F2"/>
      </top>
      <bottom style="thin">
        <color rgb="FFF2F2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right" vertical="center"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right" vertical="center" textRotation="0" wrapText="false" indent="0" shrinkToFit="false"/>
      <protection locked="true" hidden="false"/>
    </xf>
    <xf numFmtId="164" fontId="18" fillId="0" borderId="0" xfId="0" applyFont="true" applyBorder="false" applyAlignment="true" applyProtection="false">
      <alignment horizontal="right" vertical="center"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4" fontId="19" fillId="4" borderId="0" xfId="0" applyFont="true" applyBorder="true" applyAlignment="true" applyProtection="false">
      <alignment horizontal="center" vertical="center" textRotation="0" wrapText="true" indent="0" shrinkToFit="false"/>
      <protection locked="true" hidden="false"/>
    </xf>
    <xf numFmtId="164" fontId="20" fillId="2" borderId="2" xfId="0" applyFont="true" applyBorder="true" applyAlignment="true" applyProtection="false">
      <alignment horizontal="center" vertical="center" textRotation="0" wrapText="true" indent="0" shrinkToFit="false"/>
      <protection locked="true" hidden="false"/>
    </xf>
    <xf numFmtId="165" fontId="12" fillId="3" borderId="2" xfId="0" applyFont="true" applyBorder="true" applyAlignment="true" applyProtection="false">
      <alignment horizontal="center" vertical="center" textRotation="0" wrapText="true" indent="0" shrinkToFit="false"/>
      <protection locked="true" hidden="false"/>
    </xf>
    <xf numFmtId="168"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6" fontId="12" fillId="4" borderId="2" xfId="0" applyFont="true" applyBorder="true" applyAlignment="true" applyProtection="false">
      <alignment horizontal="center" vertical="center" textRotation="0" wrapText="true" indent="0" shrinkToFit="false"/>
      <protection locked="true" hidden="false"/>
    </xf>
    <xf numFmtId="166" fontId="12" fillId="3" borderId="2" xfId="0" applyFont="true" applyBorder="true" applyAlignment="true" applyProtection="false">
      <alignment horizontal="center" vertical="center" textRotation="0" wrapText="true" indent="0" shrinkToFit="false"/>
      <protection locked="true" hidden="false"/>
    </xf>
    <xf numFmtId="164" fontId="12" fillId="3" borderId="2"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B2A4A"/>
          <bgColor rgb="FF000000"/>
        </patternFill>
      </fill>
    </dxf>
    <dxf>
      <fill>
        <patternFill patternType="solid">
          <fgColor rgb="FFFFFFFF"/>
          <bgColor rgb="FF000000"/>
        </patternFill>
      </fill>
    </dxf>
    <dxf>
      <fill>
        <patternFill patternType="solid">
          <fgColor rgb="FFE8F6F7"/>
          <bgColor rgb="FF000000"/>
        </patternFill>
      </fill>
    </dxf>
    <dxf>
      <fill>
        <patternFill>
          <bgColor rgb="FFFFC7CE"/>
        </patternFill>
      </fill>
    </dxf>
    <dxf>
      <fill>
        <patternFill>
          <bgColor rgb="FFFFEB9C"/>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2F2F2"/>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J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30" hidden="false" customHeight="true" outlineLevel="0" collapsed="false">
      <c r="A1" s="1" t="s">
        <v>0</v>
      </c>
      <c r="B1" s="1"/>
      <c r="C1" s="1"/>
      <c r="D1" s="1"/>
      <c r="E1" s="1"/>
      <c r="F1" s="1"/>
      <c r="G1" s="1"/>
      <c r="H1" s="1"/>
      <c r="I1" s="2"/>
      <c r="J1" s="2"/>
    </row>
    <row r="2" customFormat="false" ht="30" hidden="false" customHeight="true" outlineLevel="0" collapsed="false">
      <c r="A2" s="1"/>
      <c r="B2" s="1"/>
      <c r="C2" s="1"/>
      <c r="D2" s="1"/>
      <c r="E2" s="1"/>
      <c r="F2" s="1"/>
      <c r="G2" s="1"/>
      <c r="H2" s="1"/>
      <c r="I2" s="2"/>
      <c r="J2" s="2"/>
    </row>
    <row r="3" customFormat="false" ht="30" hidden="false" customHeight="true" outlineLevel="0" collapsed="false">
      <c r="A3" s="1"/>
      <c r="B3" s="1"/>
      <c r="C3" s="1"/>
      <c r="D3" s="1"/>
      <c r="E3" s="1"/>
      <c r="F3" s="1"/>
      <c r="G3" s="1"/>
      <c r="H3" s="1"/>
      <c r="I3" s="2"/>
      <c r="J3" s="2"/>
    </row>
    <row r="4" customFormat="false" ht="15" hidden="false" customHeight="true" outlineLevel="0" collapsed="false">
      <c r="A4" s="3" t="s">
        <v>1</v>
      </c>
      <c r="B4" s="3"/>
      <c r="C4" s="3"/>
      <c r="D4" s="3"/>
      <c r="E4" s="3"/>
      <c r="F4" s="3"/>
      <c r="G4" s="3"/>
      <c r="H4" s="3"/>
      <c r="I4" s="2"/>
      <c r="J4" s="2"/>
    </row>
    <row r="5" customFormat="false" ht="15" hidden="false" customHeight="false" outlineLevel="0" collapsed="false">
      <c r="A5" s="2"/>
      <c r="B5" s="2"/>
      <c r="C5" s="2"/>
      <c r="D5" s="2"/>
      <c r="E5" s="2"/>
      <c r="F5" s="2"/>
      <c r="G5" s="2"/>
      <c r="H5" s="2"/>
      <c r="I5" s="2"/>
      <c r="J5" s="2"/>
    </row>
    <row r="6" customFormat="false" ht="24.75" hidden="false" customHeight="true" outlineLevel="0" collapsed="false">
      <c r="A6" s="4" t="s">
        <v>2</v>
      </c>
      <c r="B6" s="4"/>
      <c r="C6" s="4"/>
      <c r="D6" s="4"/>
      <c r="E6" s="4"/>
      <c r="F6" s="4"/>
      <c r="G6" s="4"/>
      <c r="H6" s="4"/>
      <c r="I6" s="2"/>
      <c r="J6" s="2"/>
    </row>
    <row r="7" customFormat="false" ht="24.75" hidden="false" customHeight="true" outlineLevel="0" collapsed="false">
      <c r="A7" s="4"/>
      <c r="B7" s="4"/>
      <c r="C7" s="4"/>
      <c r="D7" s="4"/>
      <c r="E7" s="4"/>
      <c r="F7" s="4"/>
      <c r="G7" s="4"/>
      <c r="H7" s="4"/>
      <c r="I7" s="2"/>
      <c r="J7" s="2"/>
    </row>
    <row r="8" customFormat="false" ht="24.75" hidden="false" customHeight="true" outlineLevel="0" collapsed="false">
      <c r="A8" s="4"/>
      <c r="B8" s="4"/>
      <c r="C8" s="4"/>
      <c r="D8" s="4"/>
      <c r="E8" s="4"/>
      <c r="F8" s="4"/>
      <c r="G8" s="4"/>
      <c r="H8" s="4"/>
      <c r="I8" s="2"/>
      <c r="J8" s="2"/>
    </row>
    <row r="9" customFormat="false" ht="15" hidden="false" customHeight="false" outlineLevel="0" collapsed="false">
      <c r="A9" s="2"/>
      <c r="B9" s="2"/>
      <c r="C9" s="2"/>
      <c r="D9" s="2"/>
      <c r="E9" s="2"/>
      <c r="F9" s="2"/>
      <c r="G9" s="2"/>
      <c r="H9" s="2"/>
      <c r="I9" s="2"/>
      <c r="J9" s="2"/>
    </row>
    <row r="10" customFormat="false" ht="15" hidden="false" customHeight="true" outlineLevel="0" collapsed="false">
      <c r="A10" s="5" t="s">
        <v>3</v>
      </c>
      <c r="B10" s="5"/>
      <c r="C10" s="5"/>
      <c r="D10" s="5"/>
      <c r="E10" s="5"/>
      <c r="F10" s="5"/>
      <c r="G10" s="5"/>
      <c r="H10" s="5"/>
      <c r="I10" s="2"/>
      <c r="J10" s="2"/>
    </row>
    <row r="11" customFormat="false" ht="15" hidden="false" customHeight="false" outlineLevel="0" collapsed="false">
      <c r="A11" s="5"/>
      <c r="B11" s="5"/>
      <c r="C11" s="5"/>
      <c r="D11" s="5"/>
      <c r="E11" s="5"/>
      <c r="F11" s="5"/>
      <c r="G11" s="5"/>
      <c r="H11" s="5"/>
      <c r="I11" s="2"/>
      <c r="J11" s="2"/>
    </row>
    <row r="12" customFormat="false" ht="15" hidden="false" customHeight="false" outlineLevel="0" collapsed="false">
      <c r="A12" s="2"/>
      <c r="B12" s="2"/>
      <c r="C12" s="2"/>
      <c r="D12" s="2"/>
      <c r="E12" s="2"/>
      <c r="F12" s="2"/>
      <c r="G12" s="2"/>
      <c r="H12" s="2"/>
      <c r="I12" s="2"/>
      <c r="J12" s="2"/>
    </row>
    <row r="13" customFormat="false" ht="15" hidden="false" customHeight="false" outlineLevel="0" collapsed="false">
      <c r="A13" s="2"/>
      <c r="B13" s="2"/>
      <c r="C13" s="2"/>
      <c r="D13" s="2"/>
      <c r="E13" s="2"/>
      <c r="F13" s="2"/>
      <c r="G13" s="2"/>
      <c r="H13" s="2"/>
      <c r="I13" s="2"/>
      <c r="J13" s="2"/>
    </row>
    <row r="14" customFormat="false" ht="15" hidden="false" customHeight="true" outlineLevel="0" collapsed="false">
      <c r="A14" s="6" t="s">
        <v>4</v>
      </c>
      <c r="B14" s="6"/>
      <c r="C14" s="6"/>
      <c r="D14" s="6"/>
      <c r="E14" s="6"/>
      <c r="F14" s="6"/>
      <c r="G14" s="6"/>
      <c r="H14" s="6"/>
      <c r="I14" s="2"/>
      <c r="J14" s="2"/>
    </row>
    <row r="15" customFormat="false" ht="15" hidden="false" customHeight="false" outlineLevel="0" collapsed="false">
      <c r="A15" s="6"/>
      <c r="B15" s="6"/>
      <c r="C15" s="6"/>
      <c r="D15" s="6"/>
      <c r="E15" s="6"/>
      <c r="F15" s="6"/>
      <c r="G15" s="6"/>
      <c r="H15" s="6"/>
      <c r="I15" s="2"/>
      <c r="J15" s="2"/>
    </row>
    <row r="16" customFormat="false" ht="15" hidden="false" customHeight="false" outlineLevel="0" collapsed="false">
      <c r="A16" s="6"/>
      <c r="B16" s="6"/>
      <c r="C16" s="6"/>
      <c r="D16" s="6"/>
      <c r="E16" s="6"/>
      <c r="F16" s="6"/>
      <c r="G16" s="6"/>
      <c r="H16" s="6"/>
      <c r="I16" s="2"/>
      <c r="J16" s="2"/>
    </row>
    <row r="17" customFormat="false" ht="15" hidden="false" customHeight="false" outlineLevel="0" collapsed="false">
      <c r="A17" s="6"/>
      <c r="B17" s="6"/>
      <c r="C17" s="6"/>
      <c r="D17" s="6"/>
      <c r="E17" s="6"/>
      <c r="F17" s="6"/>
      <c r="G17" s="6"/>
      <c r="H17" s="6"/>
      <c r="I17" s="2"/>
      <c r="J17" s="2"/>
    </row>
    <row r="18" customFormat="false" ht="15" hidden="false" customHeight="false" outlineLevel="0" collapsed="false">
      <c r="A18" s="2"/>
      <c r="B18" s="2"/>
      <c r="C18" s="2"/>
      <c r="D18" s="2"/>
      <c r="E18" s="2"/>
      <c r="F18" s="2"/>
      <c r="G18" s="2"/>
      <c r="H18" s="2"/>
      <c r="I18" s="2"/>
      <c r="J18" s="2"/>
    </row>
    <row r="19" customFormat="false" ht="15" hidden="false" customHeight="true" outlineLevel="0" collapsed="false">
      <c r="A19" s="7" t="s">
        <v>5</v>
      </c>
      <c r="B19" s="7"/>
      <c r="C19" s="7"/>
      <c r="D19" s="7"/>
      <c r="E19" s="7"/>
      <c r="F19" s="7"/>
      <c r="G19" s="7"/>
      <c r="H19" s="7"/>
      <c r="I19" s="2"/>
      <c r="J19" s="2"/>
    </row>
    <row r="20" customFormat="false" ht="15" hidden="false" customHeight="false" outlineLevel="0" collapsed="false">
      <c r="A20" s="2"/>
      <c r="B20" s="2"/>
      <c r="C20" s="2"/>
      <c r="D20" s="2"/>
      <c r="E20" s="2"/>
      <c r="F20" s="2"/>
      <c r="G20" s="2"/>
      <c r="H20" s="2"/>
      <c r="I20" s="2"/>
      <c r="J20" s="2"/>
    </row>
    <row r="21" customFormat="false" ht="15" hidden="false" customHeight="false" outlineLevel="0" collapsed="false">
      <c r="A21" s="2"/>
      <c r="B21" s="2"/>
      <c r="C21" s="2"/>
      <c r="D21" s="2"/>
      <c r="E21" s="2"/>
      <c r="F21" s="2"/>
      <c r="G21" s="2"/>
      <c r="H21" s="2"/>
      <c r="I21" s="2"/>
      <c r="J21" s="2"/>
    </row>
    <row r="22" customFormat="false" ht="15" hidden="false" customHeight="false" outlineLevel="0" collapsed="false">
      <c r="A22" s="2"/>
      <c r="B22" s="2"/>
      <c r="C22" s="2"/>
      <c r="D22" s="2"/>
      <c r="E22" s="2"/>
      <c r="F22" s="2"/>
      <c r="G22" s="2"/>
      <c r="H22" s="2"/>
      <c r="I22" s="2"/>
      <c r="J22" s="2"/>
    </row>
    <row r="23" customFormat="false" ht="15" hidden="false" customHeight="false" outlineLevel="0" collapsed="false">
      <c r="A23" s="2"/>
      <c r="B23" s="2"/>
      <c r="C23" s="2"/>
      <c r="D23" s="2"/>
      <c r="E23" s="2"/>
      <c r="F23" s="2"/>
      <c r="G23" s="2"/>
      <c r="H23" s="2"/>
      <c r="I23" s="2"/>
      <c r="J23" s="2"/>
    </row>
    <row r="24" customFormat="false" ht="15" hidden="false" customHeight="false" outlineLevel="0" collapsed="false">
      <c r="A24" s="2"/>
      <c r="B24" s="2"/>
      <c r="C24" s="2"/>
      <c r="D24" s="2"/>
      <c r="E24" s="2"/>
      <c r="F24" s="2"/>
      <c r="G24" s="2"/>
      <c r="H24" s="2"/>
      <c r="I24" s="2"/>
      <c r="J24" s="2"/>
    </row>
    <row r="25" customFormat="false" ht="15" hidden="false" customHeight="false" outlineLevel="0" collapsed="false">
      <c r="A25" s="2"/>
      <c r="B25" s="2"/>
      <c r="C25" s="2"/>
      <c r="D25" s="2"/>
      <c r="E25" s="2"/>
      <c r="F25" s="2"/>
      <c r="G25" s="2"/>
      <c r="H25" s="2"/>
      <c r="I25" s="2"/>
      <c r="J25" s="2"/>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H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5"/>
  </cols>
  <sheetData>
    <row r="1" customFormat="false" ht="17.35" hidden="false" customHeight="false" outlineLevel="0" collapsed="false">
      <c r="A1" s="8" t="s">
        <v>6</v>
      </c>
      <c r="B1" s="8"/>
      <c r="C1" s="8"/>
      <c r="D1" s="8"/>
      <c r="E1" s="8"/>
      <c r="F1" s="8"/>
      <c r="G1" s="2"/>
      <c r="H1" s="2"/>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9" t="s">
        <v>7</v>
      </c>
      <c r="B4" s="2"/>
      <c r="C4" s="2"/>
      <c r="D4" s="2"/>
      <c r="E4" s="2"/>
      <c r="F4" s="2"/>
      <c r="G4" s="2"/>
      <c r="H4" s="2"/>
    </row>
    <row r="5" customFormat="false" ht="15" hidden="false" customHeight="true" outlineLevel="0" collapsed="false">
      <c r="A5" s="10" t="s">
        <v>8</v>
      </c>
      <c r="B5" s="11" t="s">
        <v>9</v>
      </c>
      <c r="C5" s="11"/>
      <c r="D5" s="11"/>
      <c r="E5" s="11"/>
      <c r="F5" s="11"/>
      <c r="G5" s="2"/>
      <c r="H5" s="2"/>
    </row>
    <row r="6" customFormat="false" ht="15" hidden="false" customHeight="true" outlineLevel="0" collapsed="false">
      <c r="A6" s="10" t="s">
        <v>10</v>
      </c>
      <c r="B6" s="11" t="s">
        <v>11</v>
      </c>
      <c r="C6" s="11"/>
      <c r="D6" s="11"/>
      <c r="E6" s="11"/>
      <c r="F6" s="11"/>
      <c r="G6" s="2"/>
      <c r="H6" s="2"/>
    </row>
    <row r="7" customFormat="false" ht="23.85" hidden="false" customHeight="true" outlineLevel="0" collapsed="false">
      <c r="A7" s="10" t="s">
        <v>12</v>
      </c>
      <c r="B7" s="11" t="s">
        <v>13</v>
      </c>
      <c r="C7" s="11"/>
      <c r="D7" s="11"/>
      <c r="E7" s="11"/>
      <c r="F7" s="11"/>
      <c r="G7" s="2"/>
      <c r="H7" s="2"/>
    </row>
    <row r="8" customFormat="false" ht="15" hidden="false" customHeight="true" outlineLevel="0" collapsed="false">
      <c r="A8" s="10" t="s">
        <v>14</v>
      </c>
      <c r="B8" s="11" t="s">
        <v>15</v>
      </c>
      <c r="C8" s="11"/>
      <c r="D8" s="11"/>
      <c r="E8" s="11"/>
      <c r="F8" s="11"/>
      <c r="G8" s="2"/>
      <c r="H8" s="2"/>
    </row>
    <row r="9" customFormat="false" ht="15" hidden="false" customHeight="true" outlineLevel="0" collapsed="false">
      <c r="A9" s="10" t="s">
        <v>16</v>
      </c>
      <c r="B9" s="11" t="s">
        <v>17</v>
      </c>
      <c r="C9" s="11"/>
      <c r="D9" s="11"/>
      <c r="E9" s="11"/>
      <c r="F9" s="11"/>
      <c r="G9" s="2"/>
      <c r="H9" s="2"/>
    </row>
    <row r="10" customFormat="false" ht="15" hidden="false" customHeight="true" outlineLevel="0" collapsed="false">
      <c r="A10" s="10" t="s">
        <v>18</v>
      </c>
      <c r="B10" s="11" t="s">
        <v>19</v>
      </c>
      <c r="C10" s="11"/>
      <c r="D10" s="11"/>
      <c r="E10" s="11"/>
      <c r="F10" s="11"/>
      <c r="G10" s="2"/>
      <c r="H10" s="2"/>
    </row>
    <row r="11" customFormat="false" ht="15" hidden="false" customHeight="true" outlineLevel="0" collapsed="false">
      <c r="A11" s="10" t="s">
        <v>20</v>
      </c>
      <c r="B11" s="11" t="s">
        <v>21</v>
      </c>
      <c r="C11" s="11"/>
      <c r="D11" s="11"/>
      <c r="E11" s="11"/>
      <c r="F11" s="11"/>
      <c r="G11" s="2"/>
      <c r="H11" s="2"/>
    </row>
    <row r="12" customFormat="false" ht="15" hidden="false" customHeight="true" outlineLevel="0" collapsed="false">
      <c r="A12" s="10" t="s">
        <v>22</v>
      </c>
      <c r="B12" s="11" t="s">
        <v>23</v>
      </c>
      <c r="C12" s="11"/>
      <c r="D12" s="11"/>
      <c r="E12" s="11"/>
      <c r="F12" s="11"/>
      <c r="G12" s="2"/>
      <c r="H12" s="2"/>
    </row>
    <row r="13" customFormat="false" ht="15" hidden="false" customHeight="true" outlineLevel="0" collapsed="false">
      <c r="A13" s="10" t="s">
        <v>24</v>
      </c>
      <c r="B13" s="11" t="s">
        <v>25</v>
      </c>
      <c r="C13" s="11"/>
      <c r="D13" s="11"/>
      <c r="E13" s="11"/>
      <c r="F13" s="11"/>
      <c r="G13" s="2"/>
      <c r="H13" s="2"/>
    </row>
    <row r="14" customFormat="false" ht="15" hidden="false" customHeight="false" outlineLevel="0" collapsed="false">
      <c r="A14" s="2"/>
      <c r="B14" s="2"/>
      <c r="C14" s="2"/>
      <c r="D14" s="2"/>
      <c r="E14" s="2"/>
      <c r="F14" s="2"/>
      <c r="G14" s="2"/>
      <c r="H14" s="2"/>
    </row>
    <row r="15" customFormat="false" ht="15" hidden="false" customHeight="false" outlineLevel="0" collapsed="false">
      <c r="A15" s="9" t="s">
        <v>26</v>
      </c>
      <c r="B15" s="2"/>
      <c r="C15" s="2"/>
      <c r="D15" s="2"/>
      <c r="E15" s="2"/>
      <c r="F15" s="2"/>
      <c r="G15" s="2"/>
      <c r="H15" s="2"/>
    </row>
    <row r="16" customFormat="false" ht="15" hidden="false" customHeight="true" outlineLevel="0" collapsed="false">
      <c r="A16" s="10" t="s">
        <v>27</v>
      </c>
      <c r="B16" s="11" t="s">
        <v>28</v>
      </c>
      <c r="C16" s="11"/>
      <c r="D16" s="11"/>
      <c r="E16" s="11"/>
      <c r="F16" s="11"/>
      <c r="G16" s="2"/>
      <c r="H16" s="2"/>
    </row>
    <row r="17" customFormat="false" ht="15" hidden="false" customHeight="true" outlineLevel="0" collapsed="false">
      <c r="A17" s="10" t="s">
        <v>27</v>
      </c>
      <c r="B17" s="11" t="s">
        <v>29</v>
      </c>
      <c r="C17" s="11"/>
      <c r="D17" s="11"/>
      <c r="E17" s="11"/>
      <c r="F17" s="11"/>
      <c r="G17" s="2"/>
      <c r="H17" s="2"/>
    </row>
    <row r="18" customFormat="false" ht="15" hidden="false" customHeight="false" outlineLevel="0" collapsed="false">
      <c r="A18" s="2"/>
      <c r="B18" s="2"/>
      <c r="C18" s="2"/>
      <c r="D18" s="2"/>
      <c r="E18" s="2"/>
      <c r="F18" s="2"/>
      <c r="G18" s="2"/>
      <c r="H18" s="2"/>
    </row>
    <row r="19" customFormat="false" ht="15" hidden="false" customHeight="false" outlineLevel="0" collapsed="false">
      <c r="A19" s="9" t="s">
        <v>30</v>
      </c>
      <c r="B19" s="2"/>
      <c r="C19" s="2"/>
      <c r="D19" s="2"/>
      <c r="E19" s="2"/>
      <c r="F19" s="2"/>
      <c r="G19" s="2"/>
      <c r="H19" s="2"/>
    </row>
    <row r="20" customFormat="false" ht="15" hidden="false" customHeight="true" outlineLevel="0" collapsed="false">
      <c r="A20" s="10" t="s">
        <v>27</v>
      </c>
      <c r="B20" s="11" t="s">
        <v>31</v>
      </c>
      <c r="C20" s="11"/>
      <c r="D20" s="11"/>
      <c r="E20" s="11"/>
      <c r="F20" s="11"/>
      <c r="G20" s="2"/>
      <c r="H20" s="2"/>
    </row>
    <row r="21" customFormat="false" ht="15" hidden="false" customHeight="true" outlineLevel="0" collapsed="false">
      <c r="A21" s="10" t="s">
        <v>27</v>
      </c>
      <c r="B21" s="11" t="s">
        <v>32</v>
      </c>
      <c r="C21" s="11"/>
      <c r="D21" s="11"/>
      <c r="E21" s="11"/>
      <c r="F21" s="11"/>
      <c r="G21" s="2"/>
      <c r="H21" s="2"/>
    </row>
    <row r="22" customFormat="false" ht="15" hidden="false" customHeight="false" outlineLevel="0" collapsed="false">
      <c r="A22" s="2"/>
      <c r="B22" s="2"/>
      <c r="C22" s="2"/>
      <c r="D22" s="2"/>
      <c r="E22" s="2"/>
      <c r="F22" s="2"/>
      <c r="G22" s="2"/>
      <c r="H22" s="2"/>
    </row>
    <row r="23" customFormat="false" ht="15" hidden="false" customHeight="false" outlineLevel="0" collapsed="false">
      <c r="A23" s="9" t="s">
        <v>33</v>
      </c>
      <c r="B23" s="2"/>
      <c r="C23" s="2"/>
      <c r="D23" s="2"/>
      <c r="E23" s="2"/>
      <c r="F23" s="2"/>
      <c r="G23" s="2"/>
      <c r="H23" s="2"/>
    </row>
    <row r="24" customFormat="false" ht="15" hidden="false" customHeight="true" outlineLevel="0" collapsed="false">
      <c r="A24" s="10" t="s">
        <v>27</v>
      </c>
      <c r="B24" s="11" t="s">
        <v>34</v>
      </c>
      <c r="C24" s="11"/>
      <c r="D24" s="11"/>
      <c r="E24" s="11"/>
      <c r="F24" s="11"/>
      <c r="G24" s="2"/>
      <c r="H24" s="2"/>
    </row>
    <row r="25" customFormat="false" ht="15" hidden="false" customHeight="true" outlineLevel="0" collapsed="false">
      <c r="A25" s="10" t="s">
        <v>27</v>
      </c>
      <c r="B25" s="11" t="s">
        <v>35</v>
      </c>
      <c r="C25" s="11"/>
      <c r="D25" s="11"/>
      <c r="E25" s="11"/>
      <c r="F25" s="11"/>
      <c r="G25" s="2"/>
      <c r="H25" s="2"/>
    </row>
    <row r="26" customFormat="false" ht="15" hidden="false" customHeight="true" outlineLevel="0" collapsed="false">
      <c r="A26" s="10" t="s">
        <v>27</v>
      </c>
      <c r="B26" s="11" t="s">
        <v>36</v>
      </c>
      <c r="C26" s="11"/>
      <c r="D26" s="11"/>
      <c r="E26" s="11"/>
      <c r="F26" s="11"/>
      <c r="G26" s="2"/>
      <c r="H26" s="2"/>
    </row>
    <row r="27" customFormat="false" ht="15" hidden="false" customHeight="true" outlineLevel="0" collapsed="false">
      <c r="A27" s="10" t="s">
        <v>27</v>
      </c>
      <c r="B27" s="11" t="s">
        <v>37</v>
      </c>
      <c r="C27" s="11"/>
      <c r="D27" s="11"/>
      <c r="E27" s="11"/>
      <c r="F27" s="11"/>
      <c r="G27" s="2"/>
      <c r="H27" s="2"/>
    </row>
    <row r="28" customFormat="false" ht="15" hidden="false" customHeight="true" outlineLevel="0" collapsed="false">
      <c r="A28" s="10" t="s">
        <v>27</v>
      </c>
      <c r="B28" s="11" t="s">
        <v>38</v>
      </c>
      <c r="C28" s="11"/>
      <c r="D28" s="11"/>
      <c r="E28" s="11"/>
      <c r="F28" s="11"/>
      <c r="G28" s="2"/>
      <c r="H28" s="2"/>
    </row>
    <row r="29" customFormat="false" ht="15" hidden="false" customHeight="false" outlineLevel="0" collapsed="false">
      <c r="A29" s="2"/>
      <c r="B29" s="2"/>
      <c r="C29" s="2"/>
      <c r="D29" s="2"/>
      <c r="E29" s="2"/>
      <c r="F29" s="2"/>
      <c r="G29" s="2"/>
      <c r="H29" s="2"/>
    </row>
    <row r="30" customFormat="false" ht="15" hidden="false" customHeight="false" outlineLevel="0" collapsed="false">
      <c r="A30" s="9" t="s">
        <v>39</v>
      </c>
      <c r="B30" s="2"/>
      <c r="C30" s="2"/>
      <c r="D30" s="2"/>
      <c r="E30" s="2"/>
      <c r="F30" s="2"/>
      <c r="G30" s="2"/>
      <c r="H30" s="2"/>
    </row>
    <row r="31" customFormat="false" ht="23.85" hidden="false" customHeight="true" outlineLevel="0" collapsed="false">
      <c r="A31" s="10" t="s">
        <v>27</v>
      </c>
      <c r="B31" s="11" t="s">
        <v>40</v>
      </c>
      <c r="C31" s="11"/>
      <c r="D31" s="11"/>
      <c r="E31" s="11"/>
      <c r="F31" s="11"/>
      <c r="G31" s="2"/>
      <c r="H31" s="2"/>
    </row>
    <row r="32" customFormat="false" ht="23.85" hidden="false" customHeight="true" outlineLevel="0" collapsed="false">
      <c r="A32" s="10" t="s">
        <v>27</v>
      </c>
      <c r="B32" s="11" t="s">
        <v>41</v>
      </c>
      <c r="C32" s="11"/>
      <c r="D32" s="11"/>
      <c r="E32" s="11"/>
      <c r="F32" s="11"/>
      <c r="G32" s="2"/>
      <c r="H32" s="2"/>
    </row>
    <row r="33" customFormat="false" ht="15" hidden="false" customHeight="true" outlineLevel="0" collapsed="false">
      <c r="A33" s="10" t="s">
        <v>27</v>
      </c>
      <c r="B33" s="11" t="s">
        <v>42</v>
      </c>
      <c r="C33" s="11"/>
      <c r="D33" s="11"/>
      <c r="E33" s="11"/>
      <c r="F33" s="11"/>
      <c r="G33" s="2"/>
      <c r="H33" s="2"/>
    </row>
    <row r="34" customFormat="false" ht="15" hidden="false" customHeight="false" outlineLevel="0" collapsed="false">
      <c r="A34" s="2"/>
      <c r="B34" s="2"/>
      <c r="C34" s="2"/>
      <c r="D34" s="2"/>
      <c r="E34" s="2"/>
      <c r="F34" s="2"/>
      <c r="G34" s="2"/>
      <c r="H34" s="2"/>
    </row>
    <row r="35" customFormat="false" ht="15" hidden="false" customHeight="false" outlineLevel="0" collapsed="false">
      <c r="A35" s="2"/>
      <c r="B35" s="2"/>
      <c r="C35" s="2"/>
      <c r="D35" s="2"/>
      <c r="E35" s="2"/>
      <c r="F35" s="2"/>
      <c r="G35" s="2"/>
      <c r="H35" s="2"/>
    </row>
    <row r="36" customFormat="false" ht="15" hidden="false" customHeight="false" outlineLevel="0" collapsed="false">
      <c r="A36" s="2"/>
      <c r="B36" s="2"/>
      <c r="C36" s="2"/>
      <c r="D36" s="2"/>
      <c r="E36" s="2"/>
      <c r="F36" s="2"/>
      <c r="G36" s="2"/>
      <c r="H36" s="2"/>
    </row>
    <row r="37" customFormat="false" ht="15" hidden="false" customHeight="false" outlineLevel="0" collapsed="false">
      <c r="A37" s="2"/>
      <c r="B37" s="2"/>
      <c r="C37" s="2"/>
      <c r="D37" s="2"/>
      <c r="E37" s="2"/>
      <c r="F37" s="2"/>
      <c r="G37" s="2"/>
      <c r="H37" s="2"/>
    </row>
    <row r="38" customFormat="false" ht="15" hidden="false" customHeight="false" outlineLevel="0" collapsed="false">
      <c r="A38" s="2"/>
      <c r="B38" s="2"/>
      <c r="C38" s="2"/>
      <c r="D38" s="2"/>
      <c r="E38" s="2"/>
      <c r="F38" s="2"/>
      <c r="G38" s="2"/>
      <c r="H38" s="2"/>
    </row>
    <row r="39" customFormat="false" ht="15" hidden="false" customHeight="false" outlineLevel="0" collapsed="false">
      <c r="A39" s="2"/>
      <c r="B39" s="2"/>
      <c r="C39" s="2"/>
      <c r="D39" s="2"/>
      <c r="E39" s="2"/>
      <c r="F39" s="2"/>
      <c r="G39" s="2"/>
      <c r="H39" s="2"/>
    </row>
  </sheetData>
  <mergeCells count="22">
    <mergeCell ref="A1:F1"/>
    <mergeCell ref="B5:F5"/>
    <mergeCell ref="B6:F6"/>
    <mergeCell ref="B7:F7"/>
    <mergeCell ref="B8:F8"/>
    <mergeCell ref="B9:F9"/>
    <mergeCell ref="B10:F10"/>
    <mergeCell ref="B11:F11"/>
    <mergeCell ref="B12:F12"/>
    <mergeCell ref="B13:F13"/>
    <mergeCell ref="B16:F16"/>
    <mergeCell ref="B17:F17"/>
    <mergeCell ref="B20:F20"/>
    <mergeCell ref="B21:F21"/>
    <mergeCell ref="B24:F24"/>
    <mergeCell ref="B25:F25"/>
    <mergeCell ref="B26:F26"/>
    <mergeCell ref="B27:F27"/>
    <mergeCell ref="B28:F28"/>
    <mergeCell ref="B31:F31"/>
    <mergeCell ref="B32:F32"/>
    <mergeCell ref="B33:F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3"/>
    <col collapsed="false" customWidth="true" hidden="false" outlineLevel="0" max="3" min="3" style="0" width="20"/>
    <col collapsed="false" customWidth="true" hidden="false" outlineLevel="0" max="4" min="4" style="0" width="26"/>
    <col collapsed="false" customWidth="true" hidden="false" outlineLevel="0" max="6" min="5" style="0" width="18"/>
    <col collapsed="false" customWidth="true" hidden="false" outlineLevel="0" max="7" min="7" style="0" width="22"/>
    <col collapsed="false" customWidth="true" hidden="false" outlineLevel="0" max="8" min="8" style="0" width="20"/>
    <col collapsed="false" customWidth="true" hidden="false" outlineLevel="0" max="9" min="9" style="0" width="38"/>
    <col collapsed="false" customWidth="true" hidden="false" outlineLevel="0" max="10" min="10" style="0" width="16"/>
    <col collapsed="false" customWidth="true" hidden="true" outlineLevel="1" max="15" min="11" style="0" width="18"/>
  </cols>
  <sheetData>
    <row r="1" customFormat="false" ht="17.35" hidden="false" customHeight="false" outlineLevel="0" collapsed="false">
      <c r="A1" s="12" t="s">
        <v>43</v>
      </c>
      <c r="B1" s="12"/>
      <c r="C1" s="12"/>
      <c r="E1" s="13" t="s">
        <v>44</v>
      </c>
      <c r="F1" s="14" t="n">
        <f aca="false">COUNTA(B9:B508)</f>
        <v>5</v>
      </c>
      <c r="H1" s="13" t="s">
        <v>45</v>
      </c>
      <c r="I1" s="15" t="n">
        <f aca="false">IFERROR(MAX(G9:G508),"")</f>
        <v>9.92156741649222</v>
      </c>
    </row>
    <row r="2" customFormat="false" ht="15" hidden="false" customHeight="false" outlineLevel="0" collapsed="false">
      <c r="E2" s="16" t="s">
        <v>46</v>
      </c>
      <c r="F2" s="17" t="n">
        <f aca="false">COUNTIF(H9:H508,"ELV Reached")</f>
        <v>3</v>
      </c>
      <c r="H2" s="18" t="s">
        <v>47</v>
      </c>
      <c r="I2" s="14" t="n">
        <f aca="false">COUNTIF(H9:H508,"EAV Reached")</f>
        <v>2</v>
      </c>
    </row>
    <row r="3" customFormat="false" ht="15" hidden="false" customHeight="false" outlineLevel="0" collapsed="false">
      <c r="E3" s="19" t="s">
        <v>48</v>
      </c>
      <c r="F3" s="14" t="n">
        <f aca="false">COUNTIF(H9:H508,"Below EAV")</f>
        <v>0</v>
      </c>
      <c r="H3" s="13" t="s">
        <v>49</v>
      </c>
      <c r="I3" s="20" t="n">
        <f aca="false">IFERROR(AVERAGE(G9:G508),"")</f>
        <v>6.00727143863131</v>
      </c>
    </row>
    <row r="4" customFormat="false" ht="15" hidden="false" customHeight="false" outlineLevel="0" collapsed="false">
      <c r="E4" s="13" t="s">
        <v>50</v>
      </c>
      <c r="F4" s="20" t="n">
        <f aca="false">IFERROR(AVERAGE(F9:F508),"")</f>
        <v>2.2</v>
      </c>
      <c r="H4" s="13" t="s">
        <v>51</v>
      </c>
      <c r="I4" s="21" t="n">
        <f aca="false">IFERROR(MAX(E9:E508),"")</f>
        <v>15</v>
      </c>
    </row>
    <row r="7" customFormat="false" ht="22.35" hidden="false" customHeight="true" outlineLevel="0" collapsed="false">
      <c r="K7" s="22" t="s">
        <v>52</v>
      </c>
      <c r="L7" s="22"/>
      <c r="M7" s="22"/>
      <c r="N7" s="22"/>
      <c r="O7" s="22"/>
    </row>
    <row r="8" customFormat="false" ht="28.35" hidden="false" customHeight="false" outlineLevel="0" collapsed="false">
      <c r="A8" s="23" t="s">
        <v>53</v>
      </c>
      <c r="B8" s="23" t="s">
        <v>54</v>
      </c>
      <c r="C8" s="23" t="s">
        <v>55</v>
      </c>
      <c r="D8" s="23" t="s">
        <v>56</v>
      </c>
      <c r="E8" s="23" t="s">
        <v>57</v>
      </c>
      <c r="F8" s="23" t="s">
        <v>58</v>
      </c>
      <c r="G8" s="23" t="s">
        <v>59</v>
      </c>
      <c r="H8" s="23" t="s">
        <v>60</v>
      </c>
      <c r="I8" s="23" t="s">
        <v>61</v>
      </c>
      <c r="J8" s="23" t="s">
        <v>62</v>
      </c>
      <c r="K8" s="23" t="s">
        <v>63</v>
      </c>
      <c r="L8" s="23" t="s">
        <v>64</v>
      </c>
      <c r="M8" s="23" t="s">
        <v>65</v>
      </c>
      <c r="N8" s="23" t="s">
        <v>66</v>
      </c>
      <c r="O8" s="23" t="s">
        <v>67</v>
      </c>
    </row>
    <row r="9" customFormat="false" ht="31.5" hidden="false" customHeight="true" outlineLevel="0" collapsed="false">
      <c r="A9" s="24" t="n">
        <f aca="false">IF(B9="","",ROW()-8)</f>
        <v>1</v>
      </c>
      <c r="B9" s="25" t="n">
        <v>46097</v>
      </c>
      <c r="C9" s="26" t="s">
        <v>68</v>
      </c>
      <c r="D9" s="26" t="s">
        <v>69</v>
      </c>
      <c r="E9" s="27" t="n">
        <v>15</v>
      </c>
      <c r="F9" s="27" t="n">
        <v>2</v>
      </c>
      <c r="G9" s="28" t="n">
        <f aca="false">IF(OR(E9="",F9=""),"",E9*SQRT(F9/8))</f>
        <v>7.5</v>
      </c>
      <c r="H9" s="29" t="str">
        <f aca="false">IF(G9="","",IF(G9&gt;=5,"ELV Reached",IF(G9&gt;=2.5,"EAV Reached","Below EAV")))</f>
        <v>ELV Reached</v>
      </c>
      <c r="I9" s="26" t="s">
        <v>70</v>
      </c>
      <c r="J9" s="26" t="s">
        <v>71</v>
      </c>
      <c r="K9" s="26" t="s">
        <v>72</v>
      </c>
      <c r="L9" s="26" t="s">
        <v>73</v>
      </c>
      <c r="M9" s="28" t="n">
        <f aca="false">IF(E9="","",8*(2.5/E9)^2)</f>
        <v>0.222222222222222</v>
      </c>
      <c r="N9" s="28" t="n">
        <f aca="false">IF(E9="","",8*(5/E9)^2)</f>
        <v>0.888888888888889</v>
      </c>
      <c r="O9" s="26" t="s">
        <v>74</v>
      </c>
    </row>
    <row r="10" customFormat="false" ht="31.5" hidden="false" customHeight="true" outlineLevel="0" collapsed="false">
      <c r="A10" s="24" t="n">
        <f aca="false">IF(B10="","",ROW()-8)</f>
        <v>2</v>
      </c>
      <c r="B10" s="25" t="n">
        <v>46097</v>
      </c>
      <c r="C10" s="26" t="s">
        <v>75</v>
      </c>
      <c r="D10" s="26" t="s">
        <v>76</v>
      </c>
      <c r="E10" s="27" t="n">
        <v>6.5</v>
      </c>
      <c r="F10" s="27" t="n">
        <v>3</v>
      </c>
      <c r="G10" s="28" t="n">
        <f aca="false">IF(OR(E10="",F10=""),"",E10*SQRT(F10/8))</f>
        <v>3.98042083202266</v>
      </c>
      <c r="H10" s="29" t="str">
        <f aca="false">IF(G10="","",IF(G10&gt;=5,"ELV Reached",IF(G10&gt;=2.5,"EAV Reached","Below EAV")))</f>
        <v>EAV Reached</v>
      </c>
      <c r="I10" s="26" t="s">
        <v>77</v>
      </c>
      <c r="J10" s="26" t="s">
        <v>71</v>
      </c>
      <c r="K10" s="26" t="s">
        <v>78</v>
      </c>
      <c r="L10" s="26" t="s">
        <v>79</v>
      </c>
      <c r="M10" s="28" t="n">
        <f aca="false">IF(E10="","",8*(2.5/E10)^2)</f>
        <v>1.18343195266272</v>
      </c>
      <c r="N10" s="28" t="n">
        <f aca="false">IF(E10="","",8*(5/E10)^2)</f>
        <v>4.73372781065089</v>
      </c>
      <c r="O10" s="26" t="s">
        <v>80</v>
      </c>
    </row>
    <row r="11" customFormat="false" ht="31.5" hidden="false" customHeight="true" outlineLevel="0" collapsed="false">
      <c r="A11" s="24" t="n">
        <f aca="false">IF(B11="","",ROW()-8)</f>
        <v>3</v>
      </c>
      <c r="B11" s="25" t="n">
        <v>46098</v>
      </c>
      <c r="C11" s="26" t="s">
        <v>81</v>
      </c>
      <c r="D11" s="26" t="s">
        <v>82</v>
      </c>
      <c r="E11" s="27" t="n">
        <v>13</v>
      </c>
      <c r="F11" s="27" t="n">
        <v>1.5</v>
      </c>
      <c r="G11" s="28" t="n">
        <f aca="false">IF(OR(E11="",F11=""),"",E11*SQRT(F11/8))</f>
        <v>5.62916512459885</v>
      </c>
      <c r="H11" s="29" t="str">
        <f aca="false">IF(G11="","",IF(G11&gt;=5,"ELV Reached",IF(G11&gt;=2.5,"EAV Reached","Below EAV")))</f>
        <v>ELV Reached</v>
      </c>
      <c r="I11" s="26" t="s">
        <v>83</v>
      </c>
      <c r="J11" s="26" t="s">
        <v>71</v>
      </c>
      <c r="K11" s="26" t="s">
        <v>84</v>
      </c>
      <c r="L11" s="26" t="s">
        <v>85</v>
      </c>
      <c r="M11" s="28" t="n">
        <f aca="false">IF(E11="","",8*(2.5/E11)^2)</f>
        <v>0.295857988165681</v>
      </c>
      <c r="N11" s="28" t="n">
        <f aca="false">IF(E11="","",8*(5/E11)^2)</f>
        <v>1.18343195266272</v>
      </c>
      <c r="O11" s="26" t="s">
        <v>86</v>
      </c>
    </row>
    <row r="12" customFormat="false" ht="31.5" hidden="false" customHeight="true" outlineLevel="0" collapsed="false">
      <c r="A12" s="24" t="n">
        <f aca="false">IF(B12="","",ROW()-8)</f>
        <v>4</v>
      </c>
      <c r="B12" s="25" t="n">
        <v>46099</v>
      </c>
      <c r="C12" s="26" t="s">
        <v>68</v>
      </c>
      <c r="D12" s="26" t="s">
        <v>69</v>
      </c>
      <c r="E12" s="27" t="n">
        <v>15</v>
      </c>
      <c r="F12" s="27" t="n">
        <v>3.5</v>
      </c>
      <c r="G12" s="28" t="n">
        <f aca="false">IF(OR(E12="",F12=""),"",E12*SQRT(F12/8))</f>
        <v>9.92156741649222</v>
      </c>
      <c r="H12" s="29" t="str">
        <f aca="false">IF(G12="","",IF(G12&gt;=5,"ELV Reached",IF(G12&gt;=2.5,"EAV Reached","Below EAV")))</f>
        <v>ELV Reached</v>
      </c>
      <c r="I12" s="26" t="s">
        <v>87</v>
      </c>
      <c r="J12" s="26" t="s">
        <v>71</v>
      </c>
      <c r="K12" s="26" t="s">
        <v>72</v>
      </c>
      <c r="L12" s="26" t="s">
        <v>73</v>
      </c>
      <c r="M12" s="28" t="n">
        <f aca="false">IF(E12="","",8*(2.5/E12)^2)</f>
        <v>0.222222222222222</v>
      </c>
      <c r="N12" s="28" t="n">
        <f aca="false">IF(E12="","",8*(5/E12)^2)</f>
        <v>0.888888888888889</v>
      </c>
      <c r="O12" s="26" t="s">
        <v>88</v>
      </c>
    </row>
    <row r="13" customFormat="false" ht="31.5" hidden="false" customHeight="true" outlineLevel="0" collapsed="false">
      <c r="A13" s="24" t="n">
        <f aca="false">IF(B13="","",ROW()-8)</f>
        <v>5</v>
      </c>
      <c r="B13" s="25" t="n">
        <v>46100</v>
      </c>
      <c r="C13" s="26" t="s">
        <v>89</v>
      </c>
      <c r="D13" s="26" t="s">
        <v>90</v>
      </c>
      <c r="E13" s="27" t="n">
        <v>8.5</v>
      </c>
      <c r="F13" s="27" t="n">
        <v>1</v>
      </c>
      <c r="G13" s="28" t="n">
        <f aca="false">IF(OR(E13="",F13=""),"",E13*SQRT(F13/8))</f>
        <v>3.00520382004283</v>
      </c>
      <c r="H13" s="29" t="str">
        <f aca="false">IF(G13="","",IF(G13&gt;=5,"ELV Reached",IF(G13&gt;=2.5,"EAV Reached","Below EAV")))</f>
        <v>EAV Reached</v>
      </c>
      <c r="I13" s="26" t="s">
        <v>91</v>
      </c>
      <c r="J13" s="26" t="s">
        <v>71</v>
      </c>
      <c r="K13" s="26" t="s">
        <v>92</v>
      </c>
      <c r="L13" s="26" t="s">
        <v>93</v>
      </c>
      <c r="M13" s="28" t="n">
        <f aca="false">IF(E13="","",8*(2.5/E13)^2)</f>
        <v>0.69204152249135</v>
      </c>
      <c r="N13" s="28" t="n">
        <f aca="false">IF(E13="","",8*(5/E13)^2)</f>
        <v>2.7681660899654</v>
      </c>
      <c r="O13" s="26" t="s">
        <v>94</v>
      </c>
    </row>
    <row r="14" customFormat="false" ht="31.5" hidden="false" customHeight="true" outlineLevel="0" collapsed="false">
      <c r="A14" s="24" t="str">
        <f aca="false">IF(B14="","",ROW()-8)</f>
        <v/>
      </c>
      <c r="B14" s="25"/>
      <c r="C14" s="26"/>
      <c r="D14" s="26"/>
      <c r="E14" s="27"/>
      <c r="F14" s="27"/>
      <c r="G14" s="28" t="str">
        <f aca="false">IF(OR(E14="",F14=""),"",E14*SQRT(F14/8))</f>
        <v/>
      </c>
      <c r="H14" s="29" t="str">
        <f aca="false">IF(G14="","",IF(G14&gt;=5,"ELV Reached",IF(G14&gt;=2.5,"EAV Reached","Below EAV")))</f>
        <v/>
      </c>
      <c r="I14" s="26"/>
      <c r="J14" s="26"/>
      <c r="K14" s="26"/>
      <c r="L14" s="26"/>
      <c r="M14" s="28" t="str">
        <f aca="false">IF(E14="","",8*(2.5/E14)^2)</f>
        <v/>
      </c>
      <c r="N14" s="28" t="str">
        <f aca="false">IF(E14="","",8*(5/E14)^2)</f>
        <v/>
      </c>
      <c r="O14" s="26"/>
    </row>
    <row r="15" customFormat="false" ht="31.5" hidden="false" customHeight="true" outlineLevel="0" collapsed="false">
      <c r="A15" s="24" t="str">
        <f aca="false">IF(B15="","",ROW()-8)</f>
        <v/>
      </c>
      <c r="B15" s="25"/>
      <c r="C15" s="26"/>
      <c r="D15" s="26"/>
      <c r="E15" s="27"/>
      <c r="F15" s="27"/>
      <c r="G15" s="28" t="str">
        <f aca="false">IF(OR(E15="",F15=""),"",E15*SQRT(F15/8))</f>
        <v/>
      </c>
      <c r="H15" s="29" t="str">
        <f aca="false">IF(G15="","",IF(G15&gt;=5,"ELV Reached",IF(G15&gt;=2.5,"EAV Reached","Below EAV")))</f>
        <v/>
      </c>
      <c r="I15" s="26"/>
      <c r="J15" s="26"/>
      <c r="K15" s="26"/>
      <c r="L15" s="26"/>
      <c r="M15" s="28" t="str">
        <f aca="false">IF(E15="","",8*(2.5/E15)^2)</f>
        <v/>
      </c>
      <c r="N15" s="28" t="str">
        <f aca="false">IF(E15="","",8*(5/E15)^2)</f>
        <v/>
      </c>
      <c r="O15" s="26"/>
    </row>
    <row r="16" customFormat="false" ht="31.5" hidden="false" customHeight="true" outlineLevel="0" collapsed="false">
      <c r="A16" s="24" t="str">
        <f aca="false">IF(B16="","",ROW()-8)</f>
        <v/>
      </c>
      <c r="B16" s="25"/>
      <c r="C16" s="26"/>
      <c r="D16" s="26"/>
      <c r="E16" s="27"/>
      <c r="F16" s="27"/>
      <c r="G16" s="28" t="str">
        <f aca="false">IF(OR(E16="",F16=""),"",E16*SQRT(F16/8))</f>
        <v/>
      </c>
      <c r="H16" s="29" t="str">
        <f aca="false">IF(G16="","",IF(G16&gt;=5,"ELV Reached",IF(G16&gt;=2.5,"EAV Reached","Below EAV")))</f>
        <v/>
      </c>
      <c r="I16" s="26"/>
      <c r="J16" s="26"/>
      <c r="K16" s="26"/>
      <c r="L16" s="26"/>
      <c r="M16" s="28" t="str">
        <f aca="false">IF(E16="","",8*(2.5/E16)^2)</f>
        <v/>
      </c>
      <c r="N16" s="28" t="str">
        <f aca="false">IF(E16="","",8*(5/E16)^2)</f>
        <v/>
      </c>
      <c r="O16" s="26"/>
    </row>
    <row r="17" customFormat="false" ht="31.5" hidden="false" customHeight="true" outlineLevel="0" collapsed="false">
      <c r="A17" s="24" t="str">
        <f aca="false">IF(B17="","",ROW()-8)</f>
        <v/>
      </c>
      <c r="B17" s="25"/>
      <c r="C17" s="26"/>
      <c r="D17" s="26"/>
      <c r="E17" s="27"/>
      <c r="F17" s="27"/>
      <c r="G17" s="28" t="str">
        <f aca="false">IF(OR(E17="",F17=""),"",E17*SQRT(F17/8))</f>
        <v/>
      </c>
      <c r="H17" s="29" t="str">
        <f aca="false">IF(G17="","",IF(G17&gt;=5,"ELV Reached",IF(G17&gt;=2.5,"EAV Reached","Below EAV")))</f>
        <v/>
      </c>
      <c r="I17" s="26"/>
      <c r="J17" s="26"/>
      <c r="K17" s="26"/>
      <c r="L17" s="26"/>
      <c r="M17" s="28" t="str">
        <f aca="false">IF(E17="","",8*(2.5/E17)^2)</f>
        <v/>
      </c>
      <c r="N17" s="28" t="str">
        <f aca="false">IF(E17="","",8*(5/E17)^2)</f>
        <v/>
      </c>
      <c r="O17" s="26"/>
    </row>
    <row r="18" customFormat="false" ht="31.5" hidden="false" customHeight="true" outlineLevel="0" collapsed="false">
      <c r="A18" s="24" t="str">
        <f aca="false">IF(B18="","",ROW()-8)</f>
        <v/>
      </c>
      <c r="B18" s="25"/>
      <c r="C18" s="26"/>
      <c r="D18" s="26"/>
      <c r="E18" s="27"/>
      <c r="F18" s="27"/>
      <c r="G18" s="28" t="str">
        <f aca="false">IF(OR(E18="",F18=""),"",E18*SQRT(F18/8))</f>
        <v/>
      </c>
      <c r="H18" s="29" t="str">
        <f aca="false">IF(G18="","",IF(G18&gt;=5,"ELV Reached",IF(G18&gt;=2.5,"EAV Reached","Below EAV")))</f>
        <v/>
      </c>
      <c r="I18" s="26"/>
      <c r="J18" s="26"/>
      <c r="K18" s="26"/>
      <c r="L18" s="26"/>
      <c r="M18" s="28" t="str">
        <f aca="false">IF(E18="","",8*(2.5/E18)^2)</f>
        <v/>
      </c>
      <c r="N18" s="28" t="str">
        <f aca="false">IF(E18="","",8*(5/E18)^2)</f>
        <v/>
      </c>
      <c r="O18" s="26"/>
    </row>
    <row r="19" customFormat="false" ht="31.5" hidden="false" customHeight="true" outlineLevel="0" collapsed="false">
      <c r="A19" s="24" t="str">
        <f aca="false">IF(B19="","",ROW()-8)</f>
        <v/>
      </c>
      <c r="B19" s="25"/>
      <c r="C19" s="26"/>
      <c r="D19" s="26"/>
      <c r="E19" s="27"/>
      <c r="F19" s="27"/>
      <c r="G19" s="28" t="str">
        <f aca="false">IF(OR(E19="",F19=""),"",E19*SQRT(F19/8))</f>
        <v/>
      </c>
      <c r="H19" s="29" t="str">
        <f aca="false">IF(G19="","",IF(G19&gt;=5,"ELV Reached",IF(G19&gt;=2.5,"EAV Reached","Below EAV")))</f>
        <v/>
      </c>
      <c r="I19" s="26"/>
      <c r="J19" s="26"/>
      <c r="K19" s="26"/>
      <c r="L19" s="26"/>
      <c r="M19" s="28" t="str">
        <f aca="false">IF(E19="","",8*(2.5/E19)^2)</f>
        <v/>
      </c>
      <c r="N19" s="28" t="str">
        <f aca="false">IF(E19="","",8*(5/E19)^2)</f>
        <v/>
      </c>
      <c r="O19" s="26"/>
    </row>
    <row r="20" customFormat="false" ht="31.5" hidden="false" customHeight="true" outlineLevel="0" collapsed="false">
      <c r="A20" s="24" t="str">
        <f aca="false">IF(B20="","",ROW()-8)</f>
        <v/>
      </c>
      <c r="B20" s="25"/>
      <c r="C20" s="26"/>
      <c r="D20" s="26"/>
      <c r="E20" s="27"/>
      <c r="F20" s="27"/>
      <c r="G20" s="28" t="str">
        <f aca="false">IF(OR(E20="",F20=""),"",E20*SQRT(F20/8))</f>
        <v/>
      </c>
      <c r="H20" s="29" t="str">
        <f aca="false">IF(G20="","",IF(G20&gt;=5,"ELV Reached",IF(G20&gt;=2.5,"EAV Reached","Below EAV")))</f>
        <v/>
      </c>
      <c r="I20" s="26"/>
      <c r="J20" s="26"/>
      <c r="K20" s="26"/>
      <c r="L20" s="26"/>
      <c r="M20" s="28" t="str">
        <f aca="false">IF(E20="","",8*(2.5/E20)^2)</f>
        <v/>
      </c>
      <c r="N20" s="28" t="str">
        <f aca="false">IF(E20="","",8*(5/E20)^2)</f>
        <v/>
      </c>
      <c r="O20" s="26"/>
    </row>
    <row r="21" customFormat="false" ht="31.5" hidden="false" customHeight="true" outlineLevel="0" collapsed="false">
      <c r="A21" s="24" t="str">
        <f aca="false">IF(B21="","",ROW()-8)</f>
        <v/>
      </c>
      <c r="B21" s="25"/>
      <c r="C21" s="26"/>
      <c r="D21" s="26"/>
      <c r="E21" s="27"/>
      <c r="F21" s="27"/>
      <c r="G21" s="28" t="str">
        <f aca="false">IF(OR(E21="",F21=""),"",E21*SQRT(F21/8))</f>
        <v/>
      </c>
      <c r="H21" s="29" t="str">
        <f aca="false">IF(G21="","",IF(G21&gt;=5,"ELV Reached",IF(G21&gt;=2.5,"EAV Reached","Below EAV")))</f>
        <v/>
      </c>
      <c r="I21" s="26"/>
      <c r="J21" s="26"/>
      <c r="K21" s="26"/>
      <c r="L21" s="26"/>
      <c r="M21" s="28" t="str">
        <f aca="false">IF(E21="","",8*(2.5/E21)^2)</f>
        <v/>
      </c>
      <c r="N21" s="28" t="str">
        <f aca="false">IF(E21="","",8*(5/E21)^2)</f>
        <v/>
      </c>
      <c r="O21" s="26"/>
    </row>
    <row r="22" customFormat="false" ht="31.5" hidden="false" customHeight="true" outlineLevel="0" collapsed="false">
      <c r="A22" s="24" t="str">
        <f aca="false">IF(B22="","",ROW()-8)</f>
        <v/>
      </c>
      <c r="B22" s="25"/>
      <c r="C22" s="26"/>
      <c r="D22" s="26"/>
      <c r="E22" s="27"/>
      <c r="F22" s="27"/>
      <c r="G22" s="28" t="str">
        <f aca="false">IF(OR(E22="",F22=""),"",E22*SQRT(F22/8))</f>
        <v/>
      </c>
      <c r="H22" s="29" t="str">
        <f aca="false">IF(G22="","",IF(G22&gt;=5,"ELV Reached",IF(G22&gt;=2.5,"EAV Reached","Below EAV")))</f>
        <v/>
      </c>
      <c r="I22" s="26"/>
      <c r="J22" s="26"/>
      <c r="K22" s="26"/>
      <c r="L22" s="26"/>
      <c r="M22" s="28" t="str">
        <f aca="false">IF(E22="","",8*(2.5/E22)^2)</f>
        <v/>
      </c>
      <c r="N22" s="28" t="str">
        <f aca="false">IF(E22="","",8*(5/E22)^2)</f>
        <v/>
      </c>
      <c r="O22" s="26"/>
    </row>
    <row r="23" customFormat="false" ht="31.5" hidden="false" customHeight="true" outlineLevel="0" collapsed="false">
      <c r="A23" s="24" t="str">
        <f aca="false">IF(B23="","",ROW()-8)</f>
        <v/>
      </c>
      <c r="B23" s="25"/>
      <c r="C23" s="26"/>
      <c r="D23" s="26"/>
      <c r="E23" s="27"/>
      <c r="F23" s="27"/>
      <c r="G23" s="28" t="str">
        <f aca="false">IF(OR(E23="",F23=""),"",E23*SQRT(F23/8))</f>
        <v/>
      </c>
      <c r="H23" s="29" t="str">
        <f aca="false">IF(G23="","",IF(G23&gt;=5,"ELV Reached",IF(G23&gt;=2.5,"EAV Reached","Below EAV")))</f>
        <v/>
      </c>
      <c r="I23" s="26"/>
      <c r="J23" s="26"/>
      <c r="K23" s="26"/>
      <c r="L23" s="26"/>
      <c r="M23" s="28" t="str">
        <f aca="false">IF(E23="","",8*(2.5/E23)^2)</f>
        <v/>
      </c>
      <c r="N23" s="28" t="str">
        <f aca="false">IF(E23="","",8*(5/E23)^2)</f>
        <v/>
      </c>
      <c r="O23" s="26"/>
    </row>
    <row r="24" customFormat="false" ht="31.5" hidden="false" customHeight="true" outlineLevel="0" collapsed="false">
      <c r="A24" s="24" t="str">
        <f aca="false">IF(B24="","",ROW()-8)</f>
        <v/>
      </c>
      <c r="B24" s="25"/>
      <c r="C24" s="26"/>
      <c r="D24" s="26"/>
      <c r="E24" s="27"/>
      <c r="F24" s="27"/>
      <c r="G24" s="28" t="str">
        <f aca="false">IF(OR(E24="",F24=""),"",E24*SQRT(F24/8))</f>
        <v/>
      </c>
      <c r="H24" s="29" t="str">
        <f aca="false">IF(G24="","",IF(G24&gt;=5,"ELV Reached",IF(G24&gt;=2.5,"EAV Reached","Below EAV")))</f>
        <v/>
      </c>
      <c r="I24" s="26"/>
      <c r="J24" s="26"/>
      <c r="K24" s="26"/>
      <c r="L24" s="26"/>
      <c r="M24" s="28" t="str">
        <f aca="false">IF(E24="","",8*(2.5/E24)^2)</f>
        <v/>
      </c>
      <c r="N24" s="28" t="str">
        <f aca="false">IF(E24="","",8*(5/E24)^2)</f>
        <v/>
      </c>
      <c r="O24" s="26"/>
    </row>
    <row r="25" customFormat="false" ht="31.5" hidden="false" customHeight="true" outlineLevel="0" collapsed="false">
      <c r="A25" s="24" t="str">
        <f aca="false">IF(B25="","",ROW()-8)</f>
        <v/>
      </c>
      <c r="B25" s="25"/>
      <c r="C25" s="26"/>
      <c r="D25" s="26"/>
      <c r="E25" s="27"/>
      <c r="F25" s="27"/>
      <c r="G25" s="28" t="str">
        <f aca="false">IF(OR(E25="",F25=""),"",E25*SQRT(F25/8))</f>
        <v/>
      </c>
      <c r="H25" s="29" t="str">
        <f aca="false">IF(G25="","",IF(G25&gt;=5,"ELV Reached",IF(G25&gt;=2.5,"EAV Reached","Below EAV")))</f>
        <v/>
      </c>
      <c r="I25" s="26"/>
      <c r="J25" s="26"/>
      <c r="K25" s="26"/>
      <c r="L25" s="26"/>
      <c r="M25" s="28" t="str">
        <f aca="false">IF(E25="","",8*(2.5/E25)^2)</f>
        <v/>
      </c>
      <c r="N25" s="28" t="str">
        <f aca="false">IF(E25="","",8*(5/E25)^2)</f>
        <v/>
      </c>
      <c r="O25" s="26"/>
    </row>
    <row r="26" customFormat="false" ht="31.5" hidden="false" customHeight="true" outlineLevel="0" collapsed="false">
      <c r="A26" s="24" t="str">
        <f aca="false">IF(B26="","",ROW()-8)</f>
        <v/>
      </c>
      <c r="B26" s="25"/>
      <c r="C26" s="26"/>
      <c r="D26" s="26"/>
      <c r="E26" s="27"/>
      <c r="F26" s="27"/>
      <c r="G26" s="28" t="str">
        <f aca="false">IF(OR(E26="",F26=""),"",E26*SQRT(F26/8))</f>
        <v/>
      </c>
      <c r="H26" s="29" t="str">
        <f aca="false">IF(G26="","",IF(G26&gt;=5,"ELV Reached",IF(G26&gt;=2.5,"EAV Reached","Below EAV")))</f>
        <v/>
      </c>
      <c r="I26" s="26"/>
      <c r="J26" s="26"/>
      <c r="K26" s="26"/>
      <c r="L26" s="26"/>
      <c r="M26" s="28" t="str">
        <f aca="false">IF(E26="","",8*(2.5/E26)^2)</f>
        <v/>
      </c>
      <c r="N26" s="28" t="str">
        <f aca="false">IF(E26="","",8*(5/E26)^2)</f>
        <v/>
      </c>
      <c r="O26" s="26"/>
    </row>
    <row r="27" customFormat="false" ht="31.5" hidden="false" customHeight="true" outlineLevel="0" collapsed="false">
      <c r="A27" s="24" t="str">
        <f aca="false">IF(B27="","",ROW()-8)</f>
        <v/>
      </c>
      <c r="B27" s="25"/>
      <c r="C27" s="26"/>
      <c r="D27" s="26"/>
      <c r="E27" s="27"/>
      <c r="F27" s="27"/>
      <c r="G27" s="28" t="str">
        <f aca="false">IF(OR(E27="",F27=""),"",E27*SQRT(F27/8))</f>
        <v/>
      </c>
      <c r="H27" s="29" t="str">
        <f aca="false">IF(G27="","",IF(G27&gt;=5,"ELV Reached",IF(G27&gt;=2.5,"EAV Reached","Below EAV")))</f>
        <v/>
      </c>
      <c r="I27" s="26"/>
      <c r="J27" s="26"/>
      <c r="K27" s="26"/>
      <c r="L27" s="26"/>
      <c r="M27" s="28" t="str">
        <f aca="false">IF(E27="","",8*(2.5/E27)^2)</f>
        <v/>
      </c>
      <c r="N27" s="28" t="str">
        <f aca="false">IF(E27="","",8*(5/E27)^2)</f>
        <v/>
      </c>
      <c r="O27" s="26"/>
    </row>
    <row r="28" customFormat="false" ht="31.5" hidden="false" customHeight="true" outlineLevel="0" collapsed="false">
      <c r="A28" s="24" t="str">
        <f aca="false">IF(B28="","",ROW()-8)</f>
        <v/>
      </c>
      <c r="B28" s="25"/>
      <c r="C28" s="26"/>
      <c r="D28" s="26"/>
      <c r="E28" s="27"/>
      <c r="F28" s="27"/>
      <c r="G28" s="28" t="str">
        <f aca="false">IF(OR(E28="",F28=""),"",E28*SQRT(F28/8))</f>
        <v/>
      </c>
      <c r="H28" s="29" t="str">
        <f aca="false">IF(G28="","",IF(G28&gt;=5,"ELV Reached",IF(G28&gt;=2.5,"EAV Reached","Below EAV")))</f>
        <v/>
      </c>
      <c r="I28" s="26"/>
      <c r="J28" s="26"/>
      <c r="K28" s="26"/>
      <c r="L28" s="26"/>
      <c r="M28" s="28" t="str">
        <f aca="false">IF(E28="","",8*(2.5/E28)^2)</f>
        <v/>
      </c>
      <c r="N28" s="28" t="str">
        <f aca="false">IF(E28="","",8*(5/E28)^2)</f>
        <v/>
      </c>
      <c r="O28" s="26"/>
    </row>
    <row r="29" customFormat="false" ht="31.5" hidden="false" customHeight="true" outlineLevel="0" collapsed="false">
      <c r="A29" s="24" t="str">
        <f aca="false">IF(B29="","",ROW()-8)</f>
        <v/>
      </c>
      <c r="B29" s="25"/>
      <c r="C29" s="26"/>
      <c r="D29" s="26"/>
      <c r="E29" s="27"/>
      <c r="F29" s="27"/>
      <c r="G29" s="28" t="str">
        <f aca="false">IF(OR(E29="",F29=""),"",E29*SQRT(F29/8))</f>
        <v/>
      </c>
      <c r="H29" s="29" t="str">
        <f aca="false">IF(G29="","",IF(G29&gt;=5,"ELV Reached",IF(G29&gt;=2.5,"EAV Reached","Below EAV")))</f>
        <v/>
      </c>
      <c r="I29" s="26"/>
      <c r="J29" s="26"/>
      <c r="K29" s="26"/>
      <c r="L29" s="26"/>
      <c r="M29" s="28" t="str">
        <f aca="false">IF(E29="","",8*(2.5/E29)^2)</f>
        <v/>
      </c>
      <c r="N29" s="28" t="str">
        <f aca="false">IF(E29="","",8*(5/E29)^2)</f>
        <v/>
      </c>
      <c r="O29" s="26"/>
    </row>
    <row r="30" customFormat="false" ht="31.5" hidden="false" customHeight="true" outlineLevel="0" collapsed="false">
      <c r="A30" s="24" t="str">
        <f aca="false">IF(B30="","",ROW()-8)</f>
        <v/>
      </c>
      <c r="B30" s="25"/>
      <c r="C30" s="26"/>
      <c r="D30" s="26"/>
      <c r="E30" s="27"/>
      <c r="F30" s="27"/>
      <c r="G30" s="28" t="str">
        <f aca="false">IF(OR(E30="",F30=""),"",E30*SQRT(F30/8))</f>
        <v/>
      </c>
      <c r="H30" s="29" t="str">
        <f aca="false">IF(G30="","",IF(G30&gt;=5,"ELV Reached",IF(G30&gt;=2.5,"EAV Reached","Below EAV")))</f>
        <v/>
      </c>
      <c r="I30" s="26"/>
      <c r="J30" s="26"/>
      <c r="K30" s="26"/>
      <c r="L30" s="26"/>
      <c r="M30" s="28" t="str">
        <f aca="false">IF(E30="","",8*(2.5/E30)^2)</f>
        <v/>
      </c>
      <c r="N30" s="28" t="str">
        <f aca="false">IF(E30="","",8*(5/E30)^2)</f>
        <v/>
      </c>
      <c r="O30" s="26"/>
    </row>
    <row r="31" customFormat="false" ht="31.5" hidden="false" customHeight="true" outlineLevel="0" collapsed="false">
      <c r="A31" s="24" t="str">
        <f aca="false">IF(B31="","",ROW()-8)</f>
        <v/>
      </c>
      <c r="B31" s="25"/>
      <c r="C31" s="26"/>
      <c r="D31" s="26"/>
      <c r="E31" s="27"/>
      <c r="F31" s="27"/>
      <c r="G31" s="28" t="str">
        <f aca="false">IF(OR(E31="",F31=""),"",E31*SQRT(F31/8))</f>
        <v/>
      </c>
      <c r="H31" s="29" t="str">
        <f aca="false">IF(G31="","",IF(G31&gt;=5,"ELV Reached",IF(G31&gt;=2.5,"EAV Reached","Below EAV")))</f>
        <v/>
      </c>
      <c r="I31" s="26"/>
      <c r="J31" s="26"/>
      <c r="K31" s="26"/>
      <c r="L31" s="26"/>
      <c r="M31" s="28" t="str">
        <f aca="false">IF(E31="","",8*(2.5/E31)^2)</f>
        <v/>
      </c>
      <c r="N31" s="28" t="str">
        <f aca="false">IF(E31="","",8*(5/E31)^2)</f>
        <v/>
      </c>
      <c r="O31" s="26"/>
    </row>
    <row r="32" customFormat="false" ht="31.5" hidden="false" customHeight="true" outlineLevel="0" collapsed="false">
      <c r="A32" s="24" t="str">
        <f aca="false">IF(B32="","",ROW()-8)</f>
        <v/>
      </c>
      <c r="B32" s="25"/>
      <c r="C32" s="26"/>
      <c r="D32" s="26"/>
      <c r="E32" s="27"/>
      <c r="F32" s="27"/>
      <c r="G32" s="28" t="str">
        <f aca="false">IF(OR(E32="",F32=""),"",E32*SQRT(F32/8))</f>
        <v/>
      </c>
      <c r="H32" s="29" t="str">
        <f aca="false">IF(G32="","",IF(G32&gt;=5,"ELV Reached",IF(G32&gt;=2.5,"EAV Reached","Below EAV")))</f>
        <v/>
      </c>
      <c r="I32" s="26"/>
      <c r="J32" s="26"/>
      <c r="K32" s="26"/>
      <c r="L32" s="26"/>
      <c r="M32" s="28" t="str">
        <f aca="false">IF(E32="","",8*(2.5/E32)^2)</f>
        <v/>
      </c>
      <c r="N32" s="28" t="str">
        <f aca="false">IF(E32="","",8*(5/E32)^2)</f>
        <v/>
      </c>
      <c r="O32" s="26"/>
    </row>
    <row r="33" customFormat="false" ht="31.5" hidden="false" customHeight="true" outlineLevel="0" collapsed="false">
      <c r="A33" s="24" t="str">
        <f aca="false">IF(B33="","",ROW()-8)</f>
        <v/>
      </c>
      <c r="B33" s="25"/>
      <c r="C33" s="26"/>
      <c r="D33" s="26"/>
      <c r="E33" s="27"/>
      <c r="F33" s="27"/>
      <c r="G33" s="28" t="str">
        <f aca="false">IF(OR(E33="",F33=""),"",E33*SQRT(F33/8))</f>
        <v/>
      </c>
      <c r="H33" s="29" t="str">
        <f aca="false">IF(G33="","",IF(G33&gt;=5,"ELV Reached",IF(G33&gt;=2.5,"EAV Reached","Below EAV")))</f>
        <v/>
      </c>
      <c r="I33" s="26"/>
      <c r="J33" s="26"/>
      <c r="K33" s="26"/>
      <c r="L33" s="26"/>
      <c r="M33" s="28" t="str">
        <f aca="false">IF(E33="","",8*(2.5/E33)^2)</f>
        <v/>
      </c>
      <c r="N33" s="28" t="str">
        <f aca="false">IF(E33="","",8*(5/E33)^2)</f>
        <v/>
      </c>
      <c r="O33" s="26"/>
    </row>
    <row r="34" customFormat="false" ht="31.5" hidden="false" customHeight="true" outlineLevel="0" collapsed="false">
      <c r="A34" s="24" t="str">
        <f aca="false">IF(B34="","",ROW()-8)</f>
        <v/>
      </c>
      <c r="B34" s="25"/>
      <c r="C34" s="26"/>
      <c r="D34" s="26"/>
      <c r="E34" s="27"/>
      <c r="F34" s="27"/>
      <c r="G34" s="28" t="str">
        <f aca="false">IF(OR(E34="",F34=""),"",E34*SQRT(F34/8))</f>
        <v/>
      </c>
      <c r="H34" s="29" t="str">
        <f aca="false">IF(G34="","",IF(G34&gt;=5,"ELV Reached",IF(G34&gt;=2.5,"EAV Reached","Below EAV")))</f>
        <v/>
      </c>
      <c r="I34" s="26"/>
      <c r="J34" s="26"/>
      <c r="K34" s="26"/>
      <c r="L34" s="26"/>
      <c r="M34" s="28" t="str">
        <f aca="false">IF(E34="","",8*(2.5/E34)^2)</f>
        <v/>
      </c>
      <c r="N34" s="28" t="str">
        <f aca="false">IF(E34="","",8*(5/E34)^2)</f>
        <v/>
      </c>
      <c r="O34" s="26"/>
    </row>
    <row r="35" customFormat="false" ht="31.5" hidden="false" customHeight="true" outlineLevel="0" collapsed="false">
      <c r="A35" s="24" t="str">
        <f aca="false">IF(B35="","",ROW()-8)</f>
        <v/>
      </c>
      <c r="B35" s="25"/>
      <c r="C35" s="26"/>
      <c r="D35" s="26"/>
      <c r="E35" s="27"/>
      <c r="F35" s="27"/>
      <c r="G35" s="28" t="str">
        <f aca="false">IF(OR(E35="",F35=""),"",E35*SQRT(F35/8))</f>
        <v/>
      </c>
      <c r="H35" s="29" t="str">
        <f aca="false">IF(G35="","",IF(G35&gt;=5,"ELV Reached",IF(G35&gt;=2.5,"EAV Reached","Below EAV")))</f>
        <v/>
      </c>
      <c r="I35" s="26"/>
      <c r="J35" s="26"/>
      <c r="K35" s="26"/>
      <c r="L35" s="26"/>
      <c r="M35" s="28" t="str">
        <f aca="false">IF(E35="","",8*(2.5/E35)^2)</f>
        <v/>
      </c>
      <c r="N35" s="28" t="str">
        <f aca="false">IF(E35="","",8*(5/E35)^2)</f>
        <v/>
      </c>
      <c r="O35" s="26"/>
    </row>
    <row r="36" customFormat="false" ht="31.5" hidden="false" customHeight="true" outlineLevel="0" collapsed="false">
      <c r="A36" s="24" t="str">
        <f aca="false">IF(B36="","",ROW()-8)</f>
        <v/>
      </c>
      <c r="B36" s="25"/>
      <c r="C36" s="26"/>
      <c r="D36" s="26"/>
      <c r="E36" s="27"/>
      <c r="F36" s="27"/>
      <c r="G36" s="28" t="str">
        <f aca="false">IF(OR(E36="",F36=""),"",E36*SQRT(F36/8))</f>
        <v/>
      </c>
      <c r="H36" s="29" t="str">
        <f aca="false">IF(G36="","",IF(G36&gt;=5,"ELV Reached",IF(G36&gt;=2.5,"EAV Reached","Below EAV")))</f>
        <v/>
      </c>
      <c r="I36" s="26"/>
      <c r="J36" s="26"/>
      <c r="K36" s="26"/>
      <c r="L36" s="26"/>
      <c r="M36" s="28" t="str">
        <f aca="false">IF(E36="","",8*(2.5/E36)^2)</f>
        <v/>
      </c>
      <c r="N36" s="28" t="str">
        <f aca="false">IF(E36="","",8*(5/E36)^2)</f>
        <v/>
      </c>
      <c r="O36" s="26"/>
    </row>
    <row r="37" customFormat="false" ht="31.5" hidden="false" customHeight="true" outlineLevel="0" collapsed="false">
      <c r="A37" s="24" t="str">
        <f aca="false">IF(B37="","",ROW()-8)</f>
        <v/>
      </c>
      <c r="B37" s="25"/>
      <c r="C37" s="26"/>
      <c r="D37" s="26"/>
      <c r="E37" s="27"/>
      <c r="F37" s="27"/>
      <c r="G37" s="28" t="str">
        <f aca="false">IF(OR(E37="",F37=""),"",E37*SQRT(F37/8))</f>
        <v/>
      </c>
      <c r="H37" s="29" t="str">
        <f aca="false">IF(G37="","",IF(G37&gt;=5,"ELV Reached",IF(G37&gt;=2.5,"EAV Reached","Below EAV")))</f>
        <v/>
      </c>
      <c r="I37" s="26"/>
      <c r="J37" s="26"/>
      <c r="K37" s="26"/>
      <c r="L37" s="26"/>
      <c r="M37" s="28" t="str">
        <f aca="false">IF(E37="","",8*(2.5/E37)^2)</f>
        <v/>
      </c>
      <c r="N37" s="28" t="str">
        <f aca="false">IF(E37="","",8*(5/E37)^2)</f>
        <v/>
      </c>
      <c r="O37" s="26"/>
    </row>
    <row r="38" customFormat="false" ht="31.5" hidden="false" customHeight="true" outlineLevel="0" collapsed="false">
      <c r="A38" s="24" t="str">
        <f aca="false">IF(B38="","",ROW()-8)</f>
        <v/>
      </c>
      <c r="B38" s="25"/>
      <c r="C38" s="26"/>
      <c r="D38" s="26"/>
      <c r="E38" s="27"/>
      <c r="F38" s="27"/>
      <c r="G38" s="28" t="str">
        <f aca="false">IF(OR(E38="",F38=""),"",E38*SQRT(F38/8))</f>
        <v/>
      </c>
      <c r="H38" s="29" t="str">
        <f aca="false">IF(G38="","",IF(G38&gt;=5,"ELV Reached",IF(G38&gt;=2.5,"EAV Reached","Below EAV")))</f>
        <v/>
      </c>
      <c r="I38" s="26"/>
      <c r="J38" s="26"/>
      <c r="K38" s="26"/>
      <c r="L38" s="26"/>
      <c r="M38" s="28" t="str">
        <f aca="false">IF(E38="","",8*(2.5/E38)^2)</f>
        <v/>
      </c>
      <c r="N38" s="28" t="str">
        <f aca="false">IF(E38="","",8*(5/E38)^2)</f>
        <v/>
      </c>
      <c r="O38" s="26"/>
    </row>
    <row r="39" customFormat="false" ht="31.5" hidden="false" customHeight="true" outlineLevel="0" collapsed="false">
      <c r="A39" s="24" t="str">
        <f aca="false">IF(B39="","",ROW()-8)</f>
        <v/>
      </c>
      <c r="B39" s="25"/>
      <c r="C39" s="26"/>
      <c r="D39" s="26"/>
      <c r="E39" s="27"/>
      <c r="F39" s="27"/>
      <c r="G39" s="28" t="str">
        <f aca="false">IF(OR(E39="",F39=""),"",E39*SQRT(F39/8))</f>
        <v/>
      </c>
      <c r="H39" s="29" t="str">
        <f aca="false">IF(G39="","",IF(G39&gt;=5,"ELV Reached",IF(G39&gt;=2.5,"EAV Reached","Below EAV")))</f>
        <v/>
      </c>
      <c r="I39" s="26"/>
      <c r="J39" s="26"/>
      <c r="K39" s="26"/>
      <c r="L39" s="26"/>
      <c r="M39" s="28" t="str">
        <f aca="false">IF(E39="","",8*(2.5/E39)^2)</f>
        <v/>
      </c>
      <c r="N39" s="28" t="str">
        <f aca="false">IF(E39="","",8*(5/E39)^2)</f>
        <v/>
      </c>
      <c r="O39" s="26"/>
    </row>
    <row r="40" customFormat="false" ht="31.5" hidden="false" customHeight="true" outlineLevel="0" collapsed="false">
      <c r="A40" s="24" t="str">
        <f aca="false">IF(B40="","",ROW()-8)</f>
        <v/>
      </c>
      <c r="B40" s="25"/>
      <c r="C40" s="26"/>
      <c r="D40" s="26"/>
      <c r="E40" s="27"/>
      <c r="F40" s="27"/>
      <c r="G40" s="28" t="str">
        <f aca="false">IF(OR(E40="",F40=""),"",E40*SQRT(F40/8))</f>
        <v/>
      </c>
      <c r="H40" s="29" t="str">
        <f aca="false">IF(G40="","",IF(G40&gt;=5,"ELV Reached",IF(G40&gt;=2.5,"EAV Reached","Below EAV")))</f>
        <v/>
      </c>
      <c r="I40" s="26"/>
      <c r="J40" s="26"/>
      <c r="K40" s="26"/>
      <c r="L40" s="26"/>
      <c r="M40" s="28" t="str">
        <f aca="false">IF(E40="","",8*(2.5/E40)^2)</f>
        <v/>
      </c>
      <c r="N40" s="28" t="str">
        <f aca="false">IF(E40="","",8*(5/E40)^2)</f>
        <v/>
      </c>
      <c r="O40" s="26"/>
    </row>
    <row r="41" customFormat="false" ht="31.5" hidden="false" customHeight="true" outlineLevel="0" collapsed="false">
      <c r="A41" s="24" t="str">
        <f aca="false">IF(B41="","",ROW()-8)</f>
        <v/>
      </c>
      <c r="B41" s="25"/>
      <c r="C41" s="26"/>
      <c r="D41" s="26"/>
      <c r="E41" s="27"/>
      <c r="F41" s="27"/>
      <c r="G41" s="28" t="str">
        <f aca="false">IF(OR(E41="",F41=""),"",E41*SQRT(F41/8))</f>
        <v/>
      </c>
      <c r="H41" s="29" t="str">
        <f aca="false">IF(G41="","",IF(G41&gt;=5,"ELV Reached",IF(G41&gt;=2.5,"EAV Reached","Below EAV")))</f>
        <v/>
      </c>
      <c r="I41" s="26"/>
      <c r="J41" s="26"/>
      <c r="K41" s="26"/>
      <c r="L41" s="26"/>
      <c r="M41" s="28" t="str">
        <f aca="false">IF(E41="","",8*(2.5/E41)^2)</f>
        <v/>
      </c>
      <c r="N41" s="28" t="str">
        <f aca="false">IF(E41="","",8*(5/E41)^2)</f>
        <v/>
      </c>
      <c r="O41" s="26"/>
    </row>
    <row r="42" customFormat="false" ht="31.5" hidden="false" customHeight="true" outlineLevel="0" collapsed="false">
      <c r="A42" s="24" t="str">
        <f aca="false">IF(B42="","",ROW()-8)</f>
        <v/>
      </c>
      <c r="B42" s="25"/>
      <c r="C42" s="26"/>
      <c r="D42" s="26"/>
      <c r="E42" s="27"/>
      <c r="F42" s="27"/>
      <c r="G42" s="28" t="str">
        <f aca="false">IF(OR(E42="",F42=""),"",E42*SQRT(F42/8))</f>
        <v/>
      </c>
      <c r="H42" s="29" t="str">
        <f aca="false">IF(G42="","",IF(G42&gt;=5,"ELV Reached",IF(G42&gt;=2.5,"EAV Reached","Below EAV")))</f>
        <v/>
      </c>
      <c r="I42" s="26"/>
      <c r="J42" s="26"/>
      <c r="K42" s="26"/>
      <c r="L42" s="26"/>
      <c r="M42" s="28" t="str">
        <f aca="false">IF(E42="","",8*(2.5/E42)^2)</f>
        <v/>
      </c>
      <c r="N42" s="28" t="str">
        <f aca="false">IF(E42="","",8*(5/E42)^2)</f>
        <v/>
      </c>
      <c r="O42" s="26"/>
    </row>
    <row r="43" customFormat="false" ht="31.5" hidden="false" customHeight="true" outlineLevel="0" collapsed="false">
      <c r="A43" s="24" t="str">
        <f aca="false">IF(B43="","",ROW()-8)</f>
        <v/>
      </c>
      <c r="B43" s="25"/>
      <c r="C43" s="26"/>
      <c r="D43" s="26"/>
      <c r="E43" s="27"/>
      <c r="F43" s="27"/>
      <c r="G43" s="28" t="str">
        <f aca="false">IF(OR(E43="",F43=""),"",E43*SQRT(F43/8))</f>
        <v/>
      </c>
      <c r="H43" s="29" t="str">
        <f aca="false">IF(G43="","",IF(G43&gt;=5,"ELV Reached",IF(G43&gt;=2.5,"EAV Reached","Below EAV")))</f>
        <v/>
      </c>
      <c r="I43" s="26"/>
      <c r="J43" s="26"/>
      <c r="K43" s="26"/>
      <c r="L43" s="26"/>
      <c r="M43" s="28" t="str">
        <f aca="false">IF(E43="","",8*(2.5/E43)^2)</f>
        <v/>
      </c>
      <c r="N43" s="28" t="str">
        <f aca="false">IF(E43="","",8*(5/E43)^2)</f>
        <v/>
      </c>
      <c r="O43" s="26"/>
    </row>
    <row r="44" customFormat="false" ht="31.5" hidden="false" customHeight="true" outlineLevel="0" collapsed="false">
      <c r="A44" s="24" t="str">
        <f aca="false">IF(B44="","",ROW()-8)</f>
        <v/>
      </c>
      <c r="B44" s="25"/>
      <c r="C44" s="26"/>
      <c r="D44" s="26"/>
      <c r="E44" s="27"/>
      <c r="F44" s="27"/>
      <c r="G44" s="28" t="str">
        <f aca="false">IF(OR(E44="",F44=""),"",E44*SQRT(F44/8))</f>
        <v/>
      </c>
      <c r="H44" s="29" t="str">
        <f aca="false">IF(G44="","",IF(G44&gt;=5,"ELV Reached",IF(G44&gt;=2.5,"EAV Reached","Below EAV")))</f>
        <v/>
      </c>
      <c r="I44" s="26"/>
      <c r="J44" s="26"/>
      <c r="K44" s="26"/>
      <c r="L44" s="26"/>
      <c r="M44" s="28" t="str">
        <f aca="false">IF(E44="","",8*(2.5/E44)^2)</f>
        <v/>
      </c>
      <c r="N44" s="28" t="str">
        <f aca="false">IF(E44="","",8*(5/E44)^2)</f>
        <v/>
      </c>
      <c r="O44" s="26"/>
    </row>
    <row r="45" customFormat="false" ht="31.5" hidden="false" customHeight="true" outlineLevel="0" collapsed="false">
      <c r="A45" s="24" t="str">
        <f aca="false">IF(B45="","",ROW()-8)</f>
        <v/>
      </c>
      <c r="B45" s="25"/>
      <c r="C45" s="26"/>
      <c r="D45" s="26"/>
      <c r="E45" s="27"/>
      <c r="F45" s="27"/>
      <c r="G45" s="28" t="str">
        <f aca="false">IF(OR(E45="",F45=""),"",E45*SQRT(F45/8))</f>
        <v/>
      </c>
      <c r="H45" s="29" t="str">
        <f aca="false">IF(G45="","",IF(G45&gt;=5,"ELV Reached",IF(G45&gt;=2.5,"EAV Reached","Below EAV")))</f>
        <v/>
      </c>
      <c r="I45" s="26"/>
      <c r="J45" s="26"/>
      <c r="K45" s="26"/>
      <c r="L45" s="26"/>
      <c r="M45" s="28" t="str">
        <f aca="false">IF(E45="","",8*(2.5/E45)^2)</f>
        <v/>
      </c>
      <c r="N45" s="28" t="str">
        <f aca="false">IF(E45="","",8*(5/E45)^2)</f>
        <v/>
      </c>
      <c r="O45" s="26"/>
    </row>
    <row r="46" customFormat="false" ht="31.5" hidden="false" customHeight="true" outlineLevel="0" collapsed="false">
      <c r="A46" s="24" t="str">
        <f aca="false">IF(B46="","",ROW()-8)</f>
        <v/>
      </c>
      <c r="B46" s="25"/>
      <c r="C46" s="26"/>
      <c r="D46" s="26"/>
      <c r="E46" s="27"/>
      <c r="F46" s="27"/>
      <c r="G46" s="28" t="str">
        <f aca="false">IF(OR(E46="",F46=""),"",E46*SQRT(F46/8))</f>
        <v/>
      </c>
      <c r="H46" s="29" t="str">
        <f aca="false">IF(G46="","",IF(G46&gt;=5,"ELV Reached",IF(G46&gt;=2.5,"EAV Reached","Below EAV")))</f>
        <v/>
      </c>
      <c r="I46" s="26"/>
      <c r="J46" s="26"/>
      <c r="K46" s="26"/>
      <c r="L46" s="26"/>
      <c r="M46" s="28" t="str">
        <f aca="false">IF(E46="","",8*(2.5/E46)^2)</f>
        <v/>
      </c>
      <c r="N46" s="28" t="str">
        <f aca="false">IF(E46="","",8*(5/E46)^2)</f>
        <v/>
      </c>
      <c r="O46" s="26"/>
    </row>
    <row r="47" customFormat="false" ht="31.5" hidden="false" customHeight="true" outlineLevel="0" collapsed="false">
      <c r="A47" s="24" t="str">
        <f aca="false">IF(B47="","",ROW()-8)</f>
        <v/>
      </c>
      <c r="B47" s="25"/>
      <c r="C47" s="26"/>
      <c r="D47" s="26"/>
      <c r="E47" s="27"/>
      <c r="F47" s="27"/>
      <c r="G47" s="28" t="str">
        <f aca="false">IF(OR(E47="",F47=""),"",E47*SQRT(F47/8))</f>
        <v/>
      </c>
      <c r="H47" s="29" t="str">
        <f aca="false">IF(G47="","",IF(G47&gt;=5,"ELV Reached",IF(G47&gt;=2.5,"EAV Reached","Below EAV")))</f>
        <v/>
      </c>
      <c r="I47" s="26"/>
      <c r="J47" s="26"/>
      <c r="K47" s="26"/>
      <c r="L47" s="26"/>
      <c r="M47" s="28" t="str">
        <f aca="false">IF(E47="","",8*(2.5/E47)^2)</f>
        <v/>
      </c>
      <c r="N47" s="28" t="str">
        <f aca="false">IF(E47="","",8*(5/E47)^2)</f>
        <v/>
      </c>
      <c r="O47" s="26"/>
    </row>
    <row r="48" customFormat="false" ht="31.5" hidden="false" customHeight="true" outlineLevel="0" collapsed="false">
      <c r="A48" s="24" t="str">
        <f aca="false">IF(B48="","",ROW()-8)</f>
        <v/>
      </c>
      <c r="B48" s="25"/>
      <c r="C48" s="26"/>
      <c r="D48" s="26"/>
      <c r="E48" s="27"/>
      <c r="F48" s="27"/>
      <c r="G48" s="28" t="str">
        <f aca="false">IF(OR(E48="",F48=""),"",E48*SQRT(F48/8))</f>
        <v/>
      </c>
      <c r="H48" s="29" t="str">
        <f aca="false">IF(G48="","",IF(G48&gt;=5,"ELV Reached",IF(G48&gt;=2.5,"EAV Reached","Below EAV")))</f>
        <v/>
      </c>
      <c r="I48" s="26"/>
      <c r="J48" s="26"/>
      <c r="K48" s="26"/>
      <c r="L48" s="26"/>
      <c r="M48" s="28" t="str">
        <f aca="false">IF(E48="","",8*(2.5/E48)^2)</f>
        <v/>
      </c>
      <c r="N48" s="28" t="str">
        <f aca="false">IF(E48="","",8*(5/E48)^2)</f>
        <v/>
      </c>
      <c r="O48" s="26"/>
    </row>
    <row r="49" customFormat="false" ht="31.5" hidden="false" customHeight="true" outlineLevel="0" collapsed="false">
      <c r="A49" s="24" t="str">
        <f aca="false">IF(B49="","",ROW()-8)</f>
        <v/>
      </c>
      <c r="B49" s="25"/>
      <c r="C49" s="26"/>
      <c r="D49" s="26"/>
      <c r="E49" s="27"/>
      <c r="F49" s="27"/>
      <c r="G49" s="28" t="str">
        <f aca="false">IF(OR(E49="",F49=""),"",E49*SQRT(F49/8))</f>
        <v/>
      </c>
      <c r="H49" s="29" t="str">
        <f aca="false">IF(G49="","",IF(G49&gt;=5,"ELV Reached",IF(G49&gt;=2.5,"EAV Reached","Below EAV")))</f>
        <v/>
      </c>
      <c r="I49" s="26"/>
      <c r="J49" s="26"/>
      <c r="K49" s="26"/>
      <c r="L49" s="26"/>
      <c r="M49" s="28" t="str">
        <f aca="false">IF(E49="","",8*(2.5/E49)^2)</f>
        <v/>
      </c>
      <c r="N49" s="28" t="str">
        <f aca="false">IF(E49="","",8*(5/E49)^2)</f>
        <v/>
      </c>
      <c r="O49" s="26"/>
    </row>
    <row r="50" customFormat="false" ht="31.5" hidden="false" customHeight="true" outlineLevel="0" collapsed="false">
      <c r="A50" s="24" t="str">
        <f aca="false">IF(B50="","",ROW()-8)</f>
        <v/>
      </c>
      <c r="B50" s="25"/>
      <c r="C50" s="26"/>
      <c r="D50" s="26"/>
      <c r="E50" s="27"/>
      <c r="F50" s="27"/>
      <c r="G50" s="28" t="str">
        <f aca="false">IF(OR(E50="",F50=""),"",E50*SQRT(F50/8))</f>
        <v/>
      </c>
      <c r="H50" s="29" t="str">
        <f aca="false">IF(G50="","",IF(G50&gt;=5,"ELV Reached",IF(G50&gt;=2.5,"EAV Reached","Below EAV")))</f>
        <v/>
      </c>
      <c r="I50" s="26"/>
      <c r="J50" s="26"/>
      <c r="K50" s="26"/>
      <c r="L50" s="26"/>
      <c r="M50" s="28" t="str">
        <f aca="false">IF(E50="","",8*(2.5/E50)^2)</f>
        <v/>
      </c>
      <c r="N50" s="28" t="str">
        <f aca="false">IF(E50="","",8*(5/E50)^2)</f>
        <v/>
      </c>
      <c r="O50" s="26"/>
    </row>
    <row r="51" customFormat="false" ht="31.5" hidden="false" customHeight="true" outlineLevel="0" collapsed="false">
      <c r="A51" s="24" t="str">
        <f aca="false">IF(B51="","",ROW()-8)</f>
        <v/>
      </c>
      <c r="B51" s="25"/>
      <c r="C51" s="26"/>
      <c r="D51" s="26"/>
      <c r="E51" s="27"/>
      <c r="F51" s="27"/>
      <c r="G51" s="28" t="str">
        <f aca="false">IF(OR(E51="",F51=""),"",E51*SQRT(F51/8))</f>
        <v/>
      </c>
      <c r="H51" s="29" t="str">
        <f aca="false">IF(G51="","",IF(G51&gt;=5,"ELV Reached",IF(G51&gt;=2.5,"EAV Reached","Below EAV")))</f>
        <v/>
      </c>
      <c r="I51" s="26"/>
      <c r="J51" s="26"/>
      <c r="K51" s="26"/>
      <c r="L51" s="26"/>
      <c r="M51" s="28" t="str">
        <f aca="false">IF(E51="","",8*(2.5/E51)^2)</f>
        <v/>
      </c>
      <c r="N51" s="28" t="str">
        <f aca="false">IF(E51="","",8*(5/E51)^2)</f>
        <v/>
      </c>
      <c r="O51" s="26"/>
    </row>
    <row r="52" customFormat="false" ht="31.5" hidden="false" customHeight="true" outlineLevel="0" collapsed="false">
      <c r="A52" s="24" t="str">
        <f aca="false">IF(B52="","",ROW()-8)</f>
        <v/>
      </c>
      <c r="B52" s="25"/>
      <c r="C52" s="26"/>
      <c r="D52" s="26"/>
      <c r="E52" s="27"/>
      <c r="F52" s="27"/>
      <c r="G52" s="28" t="str">
        <f aca="false">IF(OR(E52="",F52=""),"",E52*SQRT(F52/8))</f>
        <v/>
      </c>
      <c r="H52" s="29" t="str">
        <f aca="false">IF(G52="","",IF(G52&gt;=5,"ELV Reached",IF(G52&gt;=2.5,"EAV Reached","Below EAV")))</f>
        <v/>
      </c>
      <c r="I52" s="26"/>
      <c r="J52" s="26"/>
      <c r="K52" s="26"/>
      <c r="L52" s="26"/>
      <c r="M52" s="28" t="str">
        <f aca="false">IF(E52="","",8*(2.5/E52)^2)</f>
        <v/>
      </c>
      <c r="N52" s="28" t="str">
        <f aca="false">IF(E52="","",8*(5/E52)^2)</f>
        <v/>
      </c>
      <c r="O52" s="26"/>
    </row>
    <row r="53" customFormat="false" ht="31.5" hidden="false" customHeight="true" outlineLevel="0" collapsed="false">
      <c r="A53" s="24" t="str">
        <f aca="false">IF(B53="","",ROW()-8)</f>
        <v/>
      </c>
      <c r="B53" s="25"/>
      <c r="C53" s="26"/>
      <c r="D53" s="26"/>
      <c r="E53" s="27"/>
      <c r="F53" s="27"/>
      <c r="G53" s="28" t="str">
        <f aca="false">IF(OR(E53="",F53=""),"",E53*SQRT(F53/8))</f>
        <v/>
      </c>
      <c r="H53" s="29" t="str">
        <f aca="false">IF(G53="","",IF(G53&gt;=5,"ELV Reached",IF(G53&gt;=2.5,"EAV Reached","Below EAV")))</f>
        <v/>
      </c>
      <c r="I53" s="26"/>
      <c r="J53" s="26"/>
      <c r="K53" s="26"/>
      <c r="L53" s="26"/>
      <c r="M53" s="28" t="str">
        <f aca="false">IF(E53="","",8*(2.5/E53)^2)</f>
        <v/>
      </c>
      <c r="N53" s="28" t="str">
        <f aca="false">IF(E53="","",8*(5/E53)^2)</f>
        <v/>
      </c>
      <c r="O53" s="26"/>
    </row>
    <row r="54" customFormat="false" ht="31.5" hidden="false" customHeight="true" outlineLevel="0" collapsed="false">
      <c r="A54" s="24" t="str">
        <f aca="false">IF(B54="","",ROW()-8)</f>
        <v/>
      </c>
      <c r="B54" s="25"/>
      <c r="C54" s="26"/>
      <c r="D54" s="26"/>
      <c r="E54" s="27"/>
      <c r="F54" s="27"/>
      <c r="G54" s="28" t="str">
        <f aca="false">IF(OR(E54="",F54=""),"",E54*SQRT(F54/8))</f>
        <v/>
      </c>
      <c r="H54" s="29" t="str">
        <f aca="false">IF(G54="","",IF(G54&gt;=5,"ELV Reached",IF(G54&gt;=2.5,"EAV Reached","Below EAV")))</f>
        <v/>
      </c>
      <c r="I54" s="26"/>
      <c r="J54" s="26"/>
      <c r="K54" s="26"/>
      <c r="L54" s="26"/>
      <c r="M54" s="28" t="str">
        <f aca="false">IF(E54="","",8*(2.5/E54)^2)</f>
        <v/>
      </c>
      <c r="N54" s="28" t="str">
        <f aca="false">IF(E54="","",8*(5/E54)^2)</f>
        <v/>
      </c>
      <c r="O54" s="26"/>
    </row>
    <row r="55" customFormat="false" ht="31.5" hidden="false" customHeight="true" outlineLevel="0" collapsed="false">
      <c r="A55" s="24" t="str">
        <f aca="false">IF(B55="","",ROW()-8)</f>
        <v/>
      </c>
      <c r="B55" s="25"/>
      <c r="C55" s="26"/>
      <c r="D55" s="26"/>
      <c r="E55" s="27"/>
      <c r="F55" s="27"/>
      <c r="G55" s="28" t="str">
        <f aca="false">IF(OR(E55="",F55=""),"",E55*SQRT(F55/8))</f>
        <v/>
      </c>
      <c r="H55" s="29" t="str">
        <f aca="false">IF(G55="","",IF(G55&gt;=5,"ELV Reached",IF(G55&gt;=2.5,"EAV Reached","Below EAV")))</f>
        <v/>
      </c>
      <c r="I55" s="26"/>
      <c r="J55" s="26"/>
      <c r="K55" s="26"/>
      <c r="L55" s="26"/>
      <c r="M55" s="28" t="str">
        <f aca="false">IF(E55="","",8*(2.5/E55)^2)</f>
        <v/>
      </c>
      <c r="N55" s="28" t="str">
        <f aca="false">IF(E55="","",8*(5/E55)^2)</f>
        <v/>
      </c>
      <c r="O55" s="26"/>
    </row>
    <row r="56" customFormat="false" ht="31.5" hidden="false" customHeight="true" outlineLevel="0" collapsed="false">
      <c r="A56" s="24" t="str">
        <f aca="false">IF(B56="","",ROW()-8)</f>
        <v/>
      </c>
      <c r="B56" s="25"/>
      <c r="C56" s="26"/>
      <c r="D56" s="26"/>
      <c r="E56" s="27"/>
      <c r="F56" s="27"/>
      <c r="G56" s="28" t="str">
        <f aca="false">IF(OR(E56="",F56=""),"",E56*SQRT(F56/8))</f>
        <v/>
      </c>
      <c r="H56" s="29" t="str">
        <f aca="false">IF(G56="","",IF(G56&gt;=5,"ELV Reached",IF(G56&gt;=2.5,"EAV Reached","Below EAV")))</f>
        <v/>
      </c>
      <c r="I56" s="26"/>
      <c r="J56" s="26"/>
      <c r="K56" s="26"/>
      <c r="L56" s="26"/>
      <c r="M56" s="28" t="str">
        <f aca="false">IF(E56="","",8*(2.5/E56)^2)</f>
        <v/>
      </c>
      <c r="N56" s="28" t="str">
        <f aca="false">IF(E56="","",8*(5/E56)^2)</f>
        <v/>
      </c>
      <c r="O56" s="26"/>
    </row>
    <row r="57" customFormat="false" ht="31.5" hidden="false" customHeight="true" outlineLevel="0" collapsed="false">
      <c r="A57" s="24" t="str">
        <f aca="false">IF(B57="","",ROW()-8)</f>
        <v/>
      </c>
      <c r="B57" s="25"/>
      <c r="C57" s="26"/>
      <c r="D57" s="26"/>
      <c r="E57" s="27"/>
      <c r="F57" s="27"/>
      <c r="G57" s="28" t="str">
        <f aca="false">IF(OR(E57="",F57=""),"",E57*SQRT(F57/8))</f>
        <v/>
      </c>
      <c r="H57" s="29" t="str">
        <f aca="false">IF(G57="","",IF(G57&gt;=5,"ELV Reached",IF(G57&gt;=2.5,"EAV Reached","Below EAV")))</f>
        <v/>
      </c>
      <c r="I57" s="26"/>
      <c r="J57" s="26"/>
      <c r="K57" s="26"/>
      <c r="L57" s="26"/>
      <c r="M57" s="28" t="str">
        <f aca="false">IF(E57="","",8*(2.5/E57)^2)</f>
        <v/>
      </c>
      <c r="N57" s="28" t="str">
        <f aca="false">IF(E57="","",8*(5/E57)^2)</f>
        <v/>
      </c>
      <c r="O57" s="26"/>
    </row>
    <row r="58" customFormat="false" ht="31.5" hidden="false" customHeight="true" outlineLevel="0" collapsed="false">
      <c r="A58" s="24" t="str">
        <f aca="false">IF(B58="","",ROW()-8)</f>
        <v/>
      </c>
      <c r="B58" s="25"/>
      <c r="C58" s="26"/>
      <c r="D58" s="26"/>
      <c r="E58" s="27"/>
      <c r="F58" s="27"/>
      <c r="G58" s="28" t="str">
        <f aca="false">IF(OR(E58="",F58=""),"",E58*SQRT(F58/8))</f>
        <v/>
      </c>
      <c r="H58" s="29" t="str">
        <f aca="false">IF(G58="","",IF(G58&gt;=5,"ELV Reached",IF(G58&gt;=2.5,"EAV Reached","Below EAV")))</f>
        <v/>
      </c>
      <c r="I58" s="26"/>
      <c r="J58" s="26"/>
      <c r="K58" s="26"/>
      <c r="L58" s="26"/>
      <c r="M58" s="28" t="str">
        <f aca="false">IF(E58="","",8*(2.5/E58)^2)</f>
        <v/>
      </c>
      <c r="N58" s="28" t="str">
        <f aca="false">IF(E58="","",8*(5/E58)^2)</f>
        <v/>
      </c>
      <c r="O58" s="26"/>
    </row>
  </sheetData>
  <autoFilter ref="A8:O8"/>
  <mergeCells count="2">
    <mergeCell ref="A1:C1"/>
    <mergeCell ref="K7:O7"/>
  </mergeCells>
  <conditionalFormatting sqref="H9:H508">
    <cfRule type="expression" priority="2" aboveAverage="0" equalAverage="0" bottom="0" percent="0" rank="0" text="" dxfId="3">
      <formula>$H9="ELV Reached"</formula>
    </cfRule>
    <cfRule type="expression" priority="3" aboveAverage="0" equalAverage="0" bottom="0" percent="0" rank="0" text="" dxfId="4">
      <formula>$H9="EAV Reached"</formula>
    </cfRule>
    <cfRule type="expression" priority="4" aboveAverage="0" equalAverage="0" bottom="0" percent="0" rank="0" text="" dxfId="5">
      <formula>$H9="Below EAV"</formula>
    </cfRule>
  </conditionalFormatting>
  <conditionalFormatting sqref="G9:G508">
    <cfRule type="expression" priority="5" aboveAverage="0" equalAverage="0" bottom="0" percent="0" rank="0" text="" dxfId="3">
      <formula>AND($G9&lt;&gt;"",$G9&gt;=5)</formula>
    </cfRule>
    <cfRule type="expression" priority="6" aboveAverage="0" equalAverage="0" bottom="0" percent="0" rank="0" text="" dxfId="4">
      <formula>AND($G9&lt;&gt;"",$G9&gt;=2.5,$G9&lt;5)</formula>
    </cfRule>
    <cfRule type="expression" priority="7" aboveAverage="0" equalAverage="0" bottom="0" percent="0" rank="0" text="" dxfId="5">
      <formula>AND($G9&lt;&gt;"",$G9&lt;2.5)</formula>
    </cfRule>
  </conditionalFormatting>
  <conditionalFormatting sqref="A9:F508">
    <cfRule type="expression" priority="8" aboveAverage="0" equalAverage="0" bottom="0" percent="0" rank="0" text="" dxfId="3">
      <formula>AND($G9&lt;&gt;"",$G9&gt;=5)</formula>
    </cfRule>
    <cfRule type="expression" priority="9" aboveAverage="0" equalAverage="0" bottom="0" percent="0" rank="0" text="" dxfId="4">
      <formula>AND($G9&lt;&gt;"",$G9&gt;=2.5,$G9&lt;5)</formula>
    </cfRule>
  </conditionalFormatting>
  <conditionalFormatting sqref="M9:M508">
    <cfRule type="expression" priority="10" aboveAverage="0" equalAverage="0" bottom="0" percent="0" rank="0" text="" dxfId="3">
      <formula>AND($M9&lt;&gt;"",$F9&gt;$M9)</formula>
    </cfRule>
  </conditionalFormatting>
  <conditionalFormatting sqref="N9:N508">
    <cfRule type="expression" priority="11" aboveAverage="0" equalAverage="0" bottom="0" percent="0" rank="0" text="" dxfId="3">
      <formula>AND($N9&lt;&gt;"",$F9&gt;$N9)</formula>
    </cfRule>
  </conditionalFormatting>
  <dataValidations count="3">
    <dataValidation allowBlank="true" errorStyle="stop" operator="between" showDropDown="false" showErrorMessage="false" showInputMessage="false" sqref="B9:B508" type="date">
      <formula1>0</formula1>
      <formula2>0</formula2>
    </dataValidation>
    <dataValidation allowBlank="true" error="Enter vibration magnitude in m/s² (0–50)" errorStyle="stop" operator="between" showDropDown="false" showErrorMessage="false" showInputMessage="false" sqref="E9:E508" type="decimal">
      <formula1>0</formula1>
      <formula2>50</formula2>
    </dataValidation>
    <dataValidation allowBlank="true" error="Enter exposure duration in hours (0–24)" errorStyle="stop" operator="between" showDropDown="false" showErrorMessage="false" showInputMessage="false" sqref="F9:F508" type="decimal">
      <formula1>0</formula1>
      <formula2>24</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&amp;CVibration Exposure Tracker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30" t="s">
        <v>95</v>
      </c>
    </row>
    <row r="2" customFormat="false" ht="15" hidden="false" customHeight="false" outlineLevel="0" collapsed="false">
      <c r="A2" s="30"/>
    </row>
    <row r="3" customFormat="false" ht="15" hidden="false" customHeight="false" outlineLevel="0" collapsed="false">
      <c r="A3" s="30" t="s">
        <v>96</v>
      </c>
    </row>
    <row r="4" customFormat="false" ht="15" hidden="false" customHeight="false" outlineLevel="0" collapsed="false">
      <c r="A4" s="30"/>
    </row>
    <row r="5" customFormat="false" ht="15" hidden="false" customHeight="false" outlineLevel="0" collapsed="false">
      <c r="A5" s="30" t="s">
        <v>97</v>
      </c>
    </row>
    <row r="6" customFormat="false" ht="15" hidden="false" customHeight="false" outlineLevel="0" collapsed="false">
      <c r="A6" s="30"/>
    </row>
    <row r="7" customFormat="false" ht="15" hidden="false" customHeight="false" outlineLevel="0" collapsed="false">
      <c r="A7" s="30" t="s">
        <v>98</v>
      </c>
    </row>
    <row r="8" customFormat="false" ht="15" hidden="false" customHeight="false" outlineLevel="0" collapsed="false">
      <c r="A8" s="30"/>
    </row>
    <row r="9" customFormat="false" ht="15" hidden="false" customHeight="false" outlineLevel="0" collapsed="false">
      <c r="A9" s="30" t="s">
        <v>99</v>
      </c>
    </row>
    <row r="10" customFormat="false" ht="15" hidden="false" customHeight="false" outlineLevel="0" collapsed="false">
      <c r="A10" s="30"/>
    </row>
    <row r="11" customFormat="false" ht="15" hidden="false" customHeight="false" outlineLevel="0" collapsed="false">
      <c r="A11" s="30" t="s">
        <v>100</v>
      </c>
    </row>
    <row r="12" customFormat="false" ht="15" hidden="false" customHeight="false" outlineLevel="0" collapsed="false">
      <c r="A12" s="30"/>
    </row>
    <row r="13" customFormat="false" ht="15" hidden="false" customHeight="false" outlineLevel="0" collapsed="false">
      <c r="A13" s="30" t="s">
        <v>101</v>
      </c>
    </row>
    <row r="14" customFormat="false" ht="15" hidden="false" customHeight="false" outlineLevel="0" collapsed="false">
      <c r="A14" s="30"/>
    </row>
    <row r="15" customFormat="false" ht="15" hidden="false" customHeight="false" outlineLevel="0" collapsed="false">
      <c r="A15" s="30" t="s">
        <v>102</v>
      </c>
    </row>
    <row r="16" customFormat="false" ht="15" hidden="false" customHeight="false" outlineLevel="0" collapsed="false">
      <c r="A16" s="30"/>
    </row>
    <row r="17" customFormat="false" ht="15" hidden="false" customHeight="false" outlineLevel="0" collapsed="false">
      <c r="A17" s="30" t="s">
        <v>103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Health &amp; Safety</cp:category>
  <dcterms:created xsi:type="dcterms:W3CDTF">2026-03-22T17:35:05Z</dcterms:created>
  <dc:creator>Ebrora Ltd</dc:creator>
  <dc:description>Track hand-arm vibration exposure for operatives with auto-calculated A(8) daily exposure, trigger times, EAV/ELV threshold alerts, and control measures. Designed for UK construction site managers, HSE advisors, and occupational health professionals.
Free professional construction management template from Ebrora Ltd. Visit ebrora.com for our full range of tools and templates.</dc:description>
  <cp:keywords>Ebrora construction vibration HAV HAVS hand-arm exposure EAV ELV health and safety site management</cp:keywords>
  <dc:language>en-US</dc:language>
  <cp:lastModifiedBy>Ebrora Ltd</cp:lastModifiedBy>
  <dcterms:modified xsi:type="dcterms:W3CDTF">2026-03-22T17:35:05Z</dcterms:modified>
  <cp:revision>0</cp:revision>
  <dc:subject>Tracker for hand-arm vibration exposure on construction sites in compliance with the Control of Vibration at Work Regulations 2005.</dc:subject>
  <dc:title>Vibration Exposure Tracker</dc:title>
</cp:coreProperties>
</file>

<file path=docProps/custom.xml><?xml version="1.0" encoding="utf-8"?>
<Properties xmlns="http://schemas.openxmlformats.org/officeDocument/2006/custom-properties" xmlns:vt="http://schemas.openxmlformats.org/officeDocument/2006/docPropsVTypes"/>
</file>