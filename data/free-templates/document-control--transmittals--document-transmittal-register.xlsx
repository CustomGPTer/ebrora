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ransmittal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'Transmittal Register'!$A$1:$N$57</definedName>
    <definedName function="false" hidden="true" localSheetId="2" name="_xlnm._FilterDatabase" vbProcedure="false">'Transmittal Register'!$A$7:$N$507</definedName>
    <definedName function="false" hidden="false" name="TransmittalRegister" vbProcedure="false">'Transmittal Register'!$A$7:$N$507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<sst xmlns="http://schemas.openxmlformats.org/spreadsheetml/2006/main" count="114" uniqueCount="101">
  <si>
    <t xml:space="preserve">EBRORA</t>
  </si>
  <si>
    <t xml:space="preserve">ebrora.com</t>
  </si>
  <si>
    <t xml:space="preserve">Document Transmittal Register</t>
  </si>
  <si>
    <t xml:space="preserve">Track document transmittals with recipient acknowledgement and response monitoring.</t>
  </si>
  <si>
    <t xml:space="preserve">Log outgoing and incoming documents with purpose codes and delivery confirmation.</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</si>
  <si>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</si>
  <si>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</si>
  <si>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</si>
  <si>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</si>
  <si>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</si>
  <si>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'Transmittal Register' sheet. The dashboard shows total transmittals, acknowledgement rate, and overdue responses.</t>
  </si>
  <si>
    <t xml:space="preserve">2.</t>
  </si>
  <si>
    <t xml:space="preserve">Log each document transmittal with a unique reference, date sent, recipient, and the documents included.</t>
  </si>
  <si>
    <t xml:space="preserve">3.</t>
  </si>
  <si>
    <t xml:space="preserve">Select the purpose from the dropdown: For Approval, For Information, For Construction, For Review, or As Requested.</t>
  </si>
  <si>
    <t xml:space="preserve">4.</t>
  </si>
  <si>
    <t xml:space="preserve">When the recipient acknowledges receipt, enter the date. Unacknowledged transmittals &gt;7 days turn amber, &gt;14 days turn red.</t>
  </si>
  <si>
    <t xml:space="preserve">5.</t>
  </si>
  <si>
    <t xml:space="preserve">For 'For Approval' transmittals, track the response: Approved, Approved with Comments, Rejected, or No Response.</t>
  </si>
  <si>
    <t xml:space="preserve">6.</t>
  </si>
  <si>
    <t xml:space="preserve">Expand optional columns for document revision, number of copies, delivery method, and follow-up notes.</t>
  </si>
  <si>
    <t xml:space="preserve">7.</t>
  </si>
  <si>
    <t xml:space="preserve">This register provides an audit trail of all formal document exchanges — essential for contractual correspondence records.</t>
  </si>
  <si>
    <t xml:space="preserve">Colour Key</t>
  </si>
  <si>
    <t xml:space="preserve">Light teal — user input</t>
  </si>
  <si>
    <t xml:space="preserve">  </t>
  </si>
  <si>
    <t xml:space="preserve">Dark navy — headers</t>
  </si>
  <si>
    <t xml:space="preserve">Green — Acknowledged / Approved</t>
  </si>
  <si>
    <t xml:space="preserve">Amber — Awaiting response (&gt;7 days) / Approved with Comments</t>
  </si>
  <si>
    <t xml:space="preserve">Red — Overdue (&gt;14 days) / Rejected</t>
  </si>
  <si>
    <t xml:space="preserve">Tips</t>
  </si>
  <si>
    <t xml:space="preserve">•</t>
  </si>
  <si>
    <t xml:space="preserve">Always send transmittals for formal document submissions — email alone is not a contractual record unless stated in the contract.</t>
  </si>
  <si>
    <t xml:space="preserve">Number transmittals sequentially and maintain a single register. Don't let different team members keep separate logs.</t>
  </si>
  <si>
    <t xml:space="preserve">For NEC contracts, use this alongside the Early Warning and Compensation Event registers for complete correspondence tracking.</t>
  </si>
  <si>
    <t xml:space="preserve">DOCUMENT TRANSMITTAL REGISTER</t>
  </si>
  <si>
    <t xml:space="preserve">Transmittal Summary</t>
  </si>
  <si>
    <t xml:space="preserve">Response Status (Approvals Only)</t>
  </si>
  <si>
    <t xml:space="preserve">Total Sent:</t>
  </si>
  <si>
    <t xml:space="preserve">Acknowledged:</t>
  </si>
  <si>
    <t xml:space="preserve">Approved:</t>
  </si>
  <si>
    <t xml:space="preserve">With Comments:</t>
  </si>
  <si>
    <t xml:space="preserve">Awaiting Ack:</t>
  </si>
  <si>
    <t xml:space="preserve">Ack Rate:</t>
  </si>
  <si>
    <t xml:space="preserve">Rejected:</t>
  </si>
  <si>
    <t xml:space="preserve">TRANSMITTAL LOG</t>
  </si>
  <si>
    <t xml:space="preserve">Trans. Ref</t>
  </si>
  <si>
    <t xml:space="preserve">Date Sent</t>
  </si>
  <si>
    <t xml:space="preserve">To (Recipient)</t>
  </si>
  <si>
    <t xml:space="preserve">From</t>
  </si>
  <si>
    <t xml:space="preserve">Document Title / Description</t>
  </si>
  <si>
    <t xml:space="preserve">Purpose</t>
  </si>
  <si>
    <t xml:space="preserve">No. of Docs</t>
  </si>
  <si>
    <t xml:space="preserve">Ack. Date</t>
  </si>
  <si>
    <t xml:space="preserve">Response</t>
  </si>
  <si>
    <t xml:space="preserve">Days to Ack</t>
  </si>
  <si>
    <t xml:space="preserve">Revision</t>
  </si>
  <si>
    <t xml:space="preserve">Delivery Method</t>
  </si>
  <si>
    <t xml:space="preserve">Response Date</t>
  </si>
  <si>
    <t xml:space="preserve">Notes</t>
  </si>
  <si>
    <t xml:space="preserve">TR-001</t>
  </si>
  <si>
    <t xml:space="preserve">Client Design Team</t>
  </si>
  <si>
    <t xml:space="preserve">Main Contractor</t>
  </si>
  <si>
    <t xml:space="preserve">Foundation design drawings RC-101 to RC-105 (Rev P03)</t>
  </si>
  <si>
    <t xml:space="preserve">For Approval</t>
  </si>
  <si>
    <t xml:space="preserve">Approved</t>
  </si>
  <si>
    <t xml:space="preserve">P03</t>
  </si>
  <si>
    <t xml:space="preserve">Email</t>
  </si>
  <si>
    <t xml:space="preserve">Approved without comment. Proceed to construction.</t>
  </si>
  <si>
    <t xml:space="preserve">TR-002</t>
  </si>
  <si>
    <t xml:space="preserve">Structural Engineer</t>
  </si>
  <si>
    <t xml:space="preserve">Concrete mix design submission — C35/45 and C10 blinding</t>
  </si>
  <si>
    <t xml:space="preserve">Approved with Comments</t>
  </si>
  <si>
    <t xml:space="preserve">Rev A</t>
  </si>
  <si>
    <t xml:space="preserve">Document Portal</t>
  </si>
  <si>
    <t xml:space="preserve">Cement content query — clarified and approved.</t>
  </si>
  <si>
    <t xml:space="preserve">TR-003</t>
  </si>
  <si>
    <t xml:space="preserve">Client PM</t>
  </si>
  <si>
    <t xml:space="preserve">Monthly progress report — February 2026</t>
  </si>
  <si>
    <t xml:space="preserve">For Information</t>
  </si>
  <si>
    <t xml:space="preserve">N/A — For Info Only</t>
  </si>
  <si>
    <t xml:space="preserve">TR-004</t>
  </si>
  <si>
    <t xml:space="preserve">Planning Supervisor</t>
  </si>
  <si>
    <t xml:space="preserve">Updated Construction Phase Plan (Rev 03)</t>
  </si>
  <si>
    <t xml:space="preserve">For Review</t>
  </si>
  <si>
    <t xml:space="preserve">Rev 03</t>
  </si>
  <si>
    <t xml:space="preserve">Minor comments incorporated. Rev 04 issued.</t>
  </si>
  <si>
    <t xml:space="preserve">TR-005</t>
  </si>
  <si>
    <t xml:space="preserve">Steelwork fabrication drawings S-301 to S-315</t>
  </si>
  <si>
    <t xml:space="preserve">No Response</t>
  </si>
  <si>
    <t xml:space="preserve">P01</t>
  </si>
  <si>
    <t xml:space="preserve">Chased 17/03. Awaiting response.</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</si>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</sst>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
    <numFmt numFmtId="167" formatCode="dd/mm/yyyy"/>
    <numFmt numFmtId="168" formatCode="0"/>
    <numFmt numFmtId="169" formatCode="yyyy\-mm\-dd"/>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1"/>
      <color rgb="FF006100"/>
      <name val="Calibri"/>
      <family val="0"/>
      <charset val="1"/>
    </font>
    <font>
      <b val="true"/>
      <sz val="11"/>
      <color rgb="FF9C6500"/>
      <name val="Calibri"/>
      <family val="0"/>
      <charset val="1"/>
    </font>
    <font>
      <b val="true"/>
      <sz val="14"/>
      <color rgb="FF2AABB3"/>
      <name val="Calibri"/>
      <family val="0"/>
      <charset val="1"/>
    </font>
    <font>
      <b val="true"/>
      <sz val="11"/>
      <color rgb="FF9C0006"/>
      <name val="Calibri"/>
      <family val="0"/>
      <charset val="1"/>
    </font>
    <font>
      <b val="true"/>
      <sz val="12"/>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8" fontId="12" fillId="9" borderId="3" xfId="0" applyFont="true" applyBorder="true" applyAlignment="true" applyProtection="false">
      <alignment horizontal="center" vertical="center" textRotation="0" wrapText="true" indent="0" shrinkToFit="false"/>
      <protection locked="true" hidden="false"/>
    </xf>
    <xf numFmtId="169" fontId="12" fillId="4" borderId="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9" fontId="12" fillId="9"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00"/>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1"/>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4" min="4" style="0" width="16"/>
    <col collapsed="false" customWidth="true" hidden="false" outlineLevel="0" max="5" min="5" style="0" width="32"/>
    <col collapsed="false" customWidth="true" hidden="false" outlineLevel="0" max="6" min="6" style="0" width="16"/>
    <col collapsed="false" customWidth="true" hidden="false" outlineLevel="0" max="7" min="7" style="0" width="9"/>
    <col collapsed="false" customWidth="true" hidden="false" outlineLevel="0" max="8" min="8" style="0" width="12"/>
    <col collapsed="false" customWidth="true" hidden="false" outlineLevel="0" max="9" min="9" style="0" width="18"/>
    <col collapsed="false" customWidth="true" hidden="true" outlineLevel="1" max="14" min="10" style="0" width="10"/>
  </cols>
  <sheetData>
    <row r="1" customFormat="false" ht="30" hidden="false" customHeight="true" outlineLevel="0" collapsed="false">
      <c r="A1" s="21" t="s">
        <v>35</v>
      </c>
      <c r="B1" s="21"/>
      <c r="C1" s="21"/>
      <c r="D1" s="21"/>
      <c r="E1" s="21"/>
      <c r="F1" s="21"/>
      <c r="G1" s="21"/>
      <c r="H1" s="21"/>
      <c r="I1" s="21"/>
      <c r="J1" s="21"/>
      <c r="K1" s="21"/>
      <c r="L1" s="21"/>
      <c r="M1" s="21"/>
      <c r="N1" s="21"/>
    </row>
    <row r="2" customFormat="false" ht="15" hidden="false" customHeight="true" outlineLevel="0" collapsed="false">
      <c r="A2" s="22" t="s">
        <v>36</v>
      </c>
      <c r="B2" s="22"/>
      <c r="C2" s="22"/>
      <c r="D2" s="22"/>
      <c r="F2" s="22" t="s">
        <v>37</v>
      </c>
      <c r="G2" s="22"/>
      <c r="H2" s="22"/>
      <c r="I2" s="22"/>
    </row>
    <row r="3" customFormat="false" ht="15" hidden="false" customHeight="false" outlineLevel="0" collapsed="false">
      <c r="A3" s="20" t="s">
        <v>38</v>
      </c>
      <c r="B3" s="23" t="n">
        <f aca="false">COUNTA(A8:A507)</f>
        <v>5</v>
      </c>
      <c r="C3" s="20" t="s">
        <v>39</v>
      </c>
      <c r="D3" s="24" t="n">
        <f aca="false">COUNTA(H8:H507)</f>
        <v>4</v>
      </c>
      <c r="F3" s="20" t="s">
        <v>40</v>
      </c>
      <c r="G3" s="24" t="n">
        <f aca="false">COUNTIF(I8:I507,"Approved")</f>
        <v>2</v>
      </c>
      <c r="H3" s="20" t="s">
        <v>41</v>
      </c>
      <c r="I3" s="25" t="n">
        <f aca="false">COUNTIF(I8:I507,"Approved with Comments")</f>
        <v>1</v>
      </c>
    </row>
    <row r="4" customFormat="false" ht="18.65" hidden="false" customHeight="false" outlineLevel="0" collapsed="false">
      <c r="A4" s="20" t="s">
        <v>42</v>
      </c>
      <c r="B4" s="25" t="n">
        <f aca="false">B3-D3</f>
        <v>1</v>
      </c>
      <c r="C4" s="20" t="s">
        <v>43</v>
      </c>
      <c r="D4" s="26" t="n">
        <f aca="false">IF(B3&gt;0,D3/B3,0)</f>
        <v>0.8</v>
      </c>
      <c r="F4" s="20" t="s">
        <v>44</v>
      </c>
      <c r="G4" s="27" t="n">
        <f aca="false">COUNTIF(I8:I507,"Rejected")</f>
        <v>0</v>
      </c>
    </row>
    <row r="5" customFormat="false" ht="3.75" hidden="false" customHeight="true" outlineLevel="0" collapsed="false"/>
    <row r="6" customFormat="false" ht="25.5" hidden="false" customHeight="true" outlineLevel="0" collapsed="false">
      <c r="A6" s="28" t="s">
        <v>45</v>
      </c>
      <c r="B6" s="28"/>
      <c r="C6" s="28"/>
      <c r="D6" s="28"/>
      <c r="E6" s="28"/>
      <c r="F6" s="28"/>
      <c r="G6" s="28"/>
      <c r="H6" s="28"/>
      <c r="I6" s="28"/>
      <c r="J6" s="28"/>
      <c r="K6" s="28"/>
      <c r="L6" s="28"/>
      <c r="M6" s="28"/>
      <c r="N6" s="28"/>
    </row>
    <row r="7" customFormat="false" ht="55.2" hidden="false" customHeight="false" outlineLevel="0" collapsed="false">
      <c r="A7" s="29" t="s">
        <v>46</v>
      </c>
      <c r="B7" s="29" t="s">
        <v>47</v>
      </c>
      <c r="C7" s="29" t="s">
        <v>48</v>
      </c>
      <c r="D7" s="29" t="s">
        <v>49</v>
      </c>
      <c r="E7" s="29" t="s">
        <v>50</v>
      </c>
      <c r="F7" s="29" t="s">
        <v>51</v>
      </c>
      <c r="G7" s="29" t="s">
        <v>52</v>
      </c>
      <c r="H7" s="29" t="s">
        <v>53</v>
      </c>
      <c r="I7" s="29" t="s">
        <v>54</v>
      </c>
      <c r="J7" s="29" t="s">
        <v>55</v>
      </c>
      <c r="K7" s="29" t="s">
        <v>56</v>
      </c>
      <c r="L7" s="29" t="s">
        <v>57</v>
      </c>
      <c r="M7" s="29" t="s">
        <v>58</v>
      </c>
      <c r="N7" s="29" t="s">
        <v>59</v>
      </c>
    </row>
    <row r="8" customFormat="false" ht="34.5" hidden="false" customHeight="true" outlineLevel="0" collapsed="false">
      <c r="A8" s="30" t="s">
        <v>60</v>
      </c>
      <c r="B8" s="31" t="n">
        <v>46058</v>
      </c>
      <c r="C8" s="30" t="s">
        <v>61</v>
      </c>
      <c r="D8" s="30" t="s">
        <v>62</v>
      </c>
      <c r="E8" s="32" t="s">
        <v>63</v>
      </c>
      <c r="F8" s="30" t="s">
        <v>64</v>
      </c>
      <c r="G8" s="30" t="n">
        <v>5</v>
      </c>
      <c r="H8" s="31" t="n">
        <v>46060</v>
      </c>
      <c r="I8" s="30" t="s">
        <v>65</v>
      </c>
      <c r="J8" s="33" t="n">
        <f aca="true">IF(AND(B8&lt;&gt;"",H8&lt;&gt;""),H8-B8,IF(B8&lt;&gt;"",TODAY()-B8,""))</f>
        <v>2</v>
      </c>
      <c r="K8" s="30" t="s">
        <v>66</v>
      </c>
      <c r="L8" s="30" t="s">
        <v>67</v>
      </c>
      <c r="M8" s="31"/>
      <c r="N8" s="34" t="n">
        <v>46065</v>
      </c>
      <c r="O8" s="35" t="s">
        <v>68</v>
      </c>
    </row>
    <row r="9" customFormat="false" ht="34.5" hidden="false" customHeight="true" outlineLevel="0" collapsed="false">
      <c r="A9" s="36" t="s">
        <v>69</v>
      </c>
      <c r="B9" s="37" t="n">
        <v>46065</v>
      </c>
      <c r="C9" s="36" t="s">
        <v>70</v>
      </c>
      <c r="D9" s="36" t="s">
        <v>62</v>
      </c>
      <c r="E9" s="38" t="s">
        <v>71</v>
      </c>
      <c r="F9" s="36" t="s">
        <v>64</v>
      </c>
      <c r="G9" s="36" t="n">
        <v>2</v>
      </c>
      <c r="H9" s="37" t="n">
        <v>46066</v>
      </c>
      <c r="I9" s="36" t="s">
        <v>72</v>
      </c>
      <c r="J9" s="33" t="n">
        <f aca="true">IF(AND(B9&lt;&gt;"",H9&lt;&gt;""),H9-B9,IF(B9&lt;&gt;"",TODAY()-B9,""))</f>
        <v>1</v>
      </c>
      <c r="K9" s="36" t="s">
        <v>73</v>
      </c>
      <c r="L9" s="36" t="s">
        <v>74</v>
      </c>
      <c r="M9" s="37"/>
      <c r="N9" s="39" t="n">
        <v>46073</v>
      </c>
      <c r="O9" s="35" t="s">
        <v>75</v>
      </c>
    </row>
    <row r="10" customFormat="false" ht="34.5" hidden="false" customHeight="true" outlineLevel="0" collapsed="false">
      <c r="A10" s="30" t="s">
        <v>76</v>
      </c>
      <c r="B10" s="31" t="n">
        <v>46073</v>
      </c>
      <c r="C10" s="30" t="s">
        <v>77</v>
      </c>
      <c r="D10" s="30" t="s">
        <v>62</v>
      </c>
      <c r="E10" s="32" t="s">
        <v>78</v>
      </c>
      <c r="F10" s="30" t="s">
        <v>79</v>
      </c>
      <c r="G10" s="30" t="n">
        <v>1</v>
      </c>
      <c r="H10" s="31" t="n">
        <v>46074</v>
      </c>
      <c r="I10" s="30" t="s">
        <v>80</v>
      </c>
      <c r="J10" s="33" t="n">
        <f aca="true">IF(AND(B10&lt;&gt;"",H10&lt;&gt;""),H10-B10,IF(B10&lt;&gt;"",TODAY()-B10,""))</f>
        <v>1</v>
      </c>
      <c r="K10" s="30"/>
      <c r="L10" s="30" t="s">
        <v>67</v>
      </c>
      <c r="M10" s="31"/>
      <c r="N10" s="32"/>
    </row>
    <row r="11" customFormat="false" ht="34.5" hidden="false" customHeight="true" outlineLevel="0" collapsed="false">
      <c r="A11" s="36" t="s">
        <v>81</v>
      </c>
      <c r="B11" s="37" t="n">
        <v>46082</v>
      </c>
      <c r="C11" s="36" t="s">
        <v>82</v>
      </c>
      <c r="D11" s="36" t="s">
        <v>62</v>
      </c>
      <c r="E11" s="38" t="s">
        <v>83</v>
      </c>
      <c r="F11" s="36" t="s">
        <v>84</v>
      </c>
      <c r="G11" s="36" t="n">
        <v>1</v>
      </c>
      <c r="H11" s="37" t="n">
        <v>46084</v>
      </c>
      <c r="I11" s="36" t="s">
        <v>65</v>
      </c>
      <c r="J11" s="33" t="n">
        <f aca="true">IF(AND(B11&lt;&gt;"",H11&lt;&gt;""),H11-B11,IF(B11&lt;&gt;"",TODAY()-B11,""))</f>
        <v>2</v>
      </c>
      <c r="K11" s="36" t="s">
        <v>85</v>
      </c>
      <c r="L11" s="36" t="s">
        <v>74</v>
      </c>
      <c r="M11" s="37"/>
      <c r="N11" s="39" t="n">
        <v>46091</v>
      </c>
      <c r="O11" s="35" t="s">
        <v>86</v>
      </c>
    </row>
    <row r="12" customFormat="false" ht="34.5" hidden="false" customHeight="true" outlineLevel="0" collapsed="false">
      <c r="A12" s="30" t="s">
        <v>87</v>
      </c>
      <c r="B12" s="31" t="n">
        <v>46091</v>
      </c>
      <c r="C12" s="30" t="s">
        <v>61</v>
      </c>
      <c r="D12" s="30" t="s">
        <v>62</v>
      </c>
      <c r="E12" s="32" t="s">
        <v>88</v>
      </c>
      <c r="F12" s="30" t="s">
        <v>64</v>
      </c>
      <c r="G12" s="30" t="n">
        <v>15</v>
      </c>
      <c r="H12" s="31"/>
      <c r="I12" s="30" t="s">
        <v>89</v>
      </c>
      <c r="J12" s="33" t="n">
        <f aca="true">IF(AND(B12&lt;&gt;"",H12&lt;&gt;""),H12-B12,IF(B12&lt;&gt;"",TODAY()-B12,""))</f>
        <v>13</v>
      </c>
      <c r="K12" s="30" t="s">
        <v>90</v>
      </c>
      <c r="L12" s="30" t="s">
        <v>67</v>
      </c>
      <c r="M12" s="31"/>
      <c r="N12" s="32" t="s">
        <v>91</v>
      </c>
    </row>
    <row r="13" customFormat="false" ht="15" hidden="false" customHeight="false" outlineLevel="0" collapsed="false">
      <c r="A13" s="36"/>
      <c r="B13" s="37"/>
      <c r="C13" s="36"/>
      <c r="D13" s="36"/>
      <c r="E13" s="38"/>
      <c r="F13" s="36"/>
      <c r="G13" s="36"/>
      <c r="H13" s="37"/>
      <c r="I13" s="36"/>
      <c r="J13" s="33" t="str">
        <f aca="true">IF(AND(B13&lt;&gt;"",H13&lt;&gt;""),H13-B13,IF(B13&lt;&gt;"",TODAY()-B13,""))</f>
        <v/>
      </c>
      <c r="K13" s="36"/>
      <c r="L13" s="36"/>
      <c r="M13" s="37"/>
      <c r="N13" s="38"/>
    </row>
    <row r="14" customFormat="false" ht="15" hidden="false" customHeight="false" outlineLevel="0" collapsed="false">
      <c r="A14" s="30"/>
      <c r="B14" s="31"/>
      <c r="C14" s="30"/>
      <c r="D14" s="30"/>
      <c r="E14" s="32"/>
      <c r="F14" s="30"/>
      <c r="G14" s="30"/>
      <c r="H14" s="31"/>
      <c r="I14" s="30"/>
      <c r="J14" s="33" t="str">
        <f aca="true">IF(AND(B14&lt;&gt;"",H14&lt;&gt;""),H14-B14,IF(B14&lt;&gt;"",TODAY()-B14,""))</f>
        <v/>
      </c>
      <c r="K14" s="30"/>
      <c r="L14" s="30"/>
      <c r="M14" s="31"/>
      <c r="N14" s="32"/>
    </row>
    <row r="15" customFormat="false" ht="15" hidden="false" customHeight="false" outlineLevel="0" collapsed="false">
      <c r="A15" s="36"/>
      <c r="B15" s="37"/>
      <c r="C15" s="36"/>
      <c r="D15" s="36"/>
      <c r="E15" s="38"/>
      <c r="F15" s="36"/>
      <c r="G15" s="36"/>
      <c r="H15" s="37"/>
      <c r="I15" s="36"/>
      <c r="J15" s="33" t="str">
        <f aca="true">IF(AND(B15&lt;&gt;"",H15&lt;&gt;""),H15-B15,IF(B15&lt;&gt;"",TODAY()-B15,""))</f>
        <v/>
      </c>
      <c r="K15" s="36"/>
      <c r="L15" s="36"/>
      <c r="M15" s="37"/>
      <c r="N15" s="38"/>
    </row>
    <row r="16" customFormat="false" ht="15" hidden="false" customHeight="false" outlineLevel="0" collapsed="false">
      <c r="A16" s="30"/>
      <c r="B16" s="31"/>
      <c r="C16" s="30"/>
      <c r="D16" s="30"/>
      <c r="E16" s="32"/>
      <c r="F16" s="30"/>
      <c r="G16" s="30"/>
      <c r="H16" s="31"/>
      <c r="I16" s="30"/>
      <c r="J16" s="33" t="str">
        <f aca="true">IF(AND(B16&lt;&gt;"",H16&lt;&gt;""),H16-B16,IF(B16&lt;&gt;"",TODAY()-B16,""))</f>
        <v/>
      </c>
      <c r="K16" s="30"/>
      <c r="L16" s="30"/>
      <c r="M16" s="31"/>
      <c r="N16" s="32"/>
    </row>
    <row r="17" customFormat="false" ht="15" hidden="false" customHeight="false" outlineLevel="0" collapsed="false">
      <c r="A17" s="36"/>
      <c r="B17" s="37"/>
      <c r="C17" s="36"/>
      <c r="D17" s="36"/>
      <c r="E17" s="38"/>
      <c r="F17" s="36"/>
      <c r="G17" s="36"/>
      <c r="H17" s="37"/>
      <c r="I17" s="36"/>
      <c r="J17" s="33" t="str">
        <f aca="true">IF(AND(B17&lt;&gt;"",H17&lt;&gt;""),H17-B17,IF(B17&lt;&gt;"",TODAY()-B17,""))</f>
        <v/>
      </c>
      <c r="K17" s="36"/>
      <c r="L17" s="36"/>
      <c r="M17" s="37"/>
      <c r="N17" s="38"/>
    </row>
    <row r="18" customFormat="false" ht="15" hidden="false" customHeight="false" outlineLevel="0" collapsed="false">
      <c r="A18" s="30"/>
      <c r="B18" s="31"/>
      <c r="C18" s="30"/>
      <c r="D18" s="30"/>
      <c r="E18" s="32"/>
      <c r="F18" s="30"/>
      <c r="G18" s="30"/>
      <c r="H18" s="31"/>
      <c r="I18" s="30"/>
      <c r="J18" s="33" t="str">
        <f aca="true">IF(AND(B18&lt;&gt;"",H18&lt;&gt;""),H18-B18,IF(B18&lt;&gt;"",TODAY()-B18,""))</f>
        <v/>
      </c>
      <c r="K18" s="30"/>
      <c r="L18" s="30"/>
      <c r="M18" s="31"/>
      <c r="N18" s="32"/>
    </row>
    <row r="19" customFormat="false" ht="15" hidden="false" customHeight="false" outlineLevel="0" collapsed="false">
      <c r="A19" s="36"/>
      <c r="B19" s="37"/>
      <c r="C19" s="36"/>
      <c r="D19" s="36"/>
      <c r="E19" s="38"/>
      <c r="F19" s="36"/>
      <c r="G19" s="36"/>
      <c r="H19" s="37"/>
      <c r="I19" s="36"/>
      <c r="J19" s="33" t="str">
        <f aca="true">IF(AND(B19&lt;&gt;"",H19&lt;&gt;""),H19-B19,IF(B19&lt;&gt;"",TODAY()-B19,""))</f>
        <v/>
      </c>
      <c r="K19" s="36"/>
      <c r="L19" s="36"/>
      <c r="M19" s="37"/>
      <c r="N19" s="38"/>
    </row>
    <row r="20" customFormat="false" ht="15" hidden="false" customHeight="false" outlineLevel="0" collapsed="false">
      <c r="A20" s="30"/>
      <c r="B20" s="31"/>
      <c r="C20" s="30"/>
      <c r="D20" s="30"/>
      <c r="E20" s="32"/>
      <c r="F20" s="30"/>
      <c r="G20" s="30"/>
      <c r="H20" s="31"/>
      <c r="I20" s="30"/>
      <c r="J20" s="33" t="str">
        <f aca="true">IF(AND(B20&lt;&gt;"",H20&lt;&gt;""),H20-B20,IF(B20&lt;&gt;"",TODAY()-B20,""))</f>
        <v/>
      </c>
      <c r="K20" s="30"/>
      <c r="L20" s="30"/>
      <c r="M20" s="31"/>
      <c r="N20" s="32"/>
    </row>
    <row r="21" customFormat="false" ht="15" hidden="false" customHeight="false" outlineLevel="0" collapsed="false">
      <c r="A21" s="36"/>
      <c r="B21" s="37"/>
      <c r="C21" s="36"/>
      <c r="D21" s="36"/>
      <c r="E21" s="38"/>
      <c r="F21" s="36"/>
      <c r="G21" s="36"/>
      <c r="H21" s="37"/>
      <c r="I21" s="36"/>
      <c r="J21" s="33" t="str">
        <f aca="true">IF(AND(B21&lt;&gt;"",H21&lt;&gt;""),H21-B21,IF(B21&lt;&gt;"",TODAY()-B21,""))</f>
        <v/>
      </c>
      <c r="K21" s="36"/>
      <c r="L21" s="36"/>
      <c r="M21" s="37"/>
      <c r="N21" s="38"/>
    </row>
    <row r="22" customFormat="false" ht="15" hidden="false" customHeight="false" outlineLevel="0" collapsed="false">
      <c r="A22" s="30"/>
      <c r="B22" s="31"/>
      <c r="C22" s="30"/>
      <c r="D22" s="30"/>
      <c r="E22" s="32"/>
      <c r="F22" s="30"/>
      <c r="G22" s="30"/>
      <c r="H22" s="31"/>
      <c r="I22" s="30"/>
      <c r="J22" s="33" t="str">
        <f aca="true">IF(AND(B22&lt;&gt;"",H22&lt;&gt;""),H22-B22,IF(B22&lt;&gt;"",TODAY()-B22,""))</f>
        <v/>
      </c>
      <c r="K22" s="30"/>
      <c r="L22" s="30"/>
      <c r="M22" s="31"/>
      <c r="N22" s="32"/>
    </row>
    <row r="23" customFormat="false" ht="15" hidden="false" customHeight="false" outlineLevel="0" collapsed="false">
      <c r="A23" s="36"/>
      <c r="B23" s="37"/>
      <c r="C23" s="36"/>
      <c r="D23" s="36"/>
      <c r="E23" s="38"/>
      <c r="F23" s="36"/>
      <c r="G23" s="36"/>
      <c r="H23" s="37"/>
      <c r="I23" s="36"/>
      <c r="J23" s="33" t="str">
        <f aca="true">IF(AND(B23&lt;&gt;"",H23&lt;&gt;""),H23-B23,IF(B23&lt;&gt;"",TODAY()-B23,""))</f>
        <v/>
      </c>
      <c r="K23" s="36"/>
      <c r="L23" s="36"/>
      <c r="M23" s="37"/>
      <c r="N23" s="38"/>
    </row>
    <row r="24" customFormat="false" ht="15" hidden="false" customHeight="false" outlineLevel="0" collapsed="false">
      <c r="A24" s="30"/>
      <c r="B24" s="31"/>
      <c r="C24" s="30"/>
      <c r="D24" s="30"/>
      <c r="E24" s="32"/>
      <c r="F24" s="30"/>
      <c r="G24" s="30"/>
      <c r="H24" s="31"/>
      <c r="I24" s="30"/>
      <c r="J24" s="33" t="str">
        <f aca="true">IF(AND(B24&lt;&gt;"",H24&lt;&gt;""),H24-B24,IF(B24&lt;&gt;"",TODAY()-B24,""))</f>
        <v/>
      </c>
      <c r="K24" s="30"/>
      <c r="L24" s="30"/>
      <c r="M24" s="31"/>
      <c r="N24" s="32"/>
    </row>
    <row r="25" customFormat="false" ht="15" hidden="false" customHeight="false" outlineLevel="0" collapsed="false">
      <c r="A25" s="36"/>
      <c r="B25" s="37"/>
      <c r="C25" s="36"/>
      <c r="D25" s="36"/>
      <c r="E25" s="38"/>
      <c r="F25" s="36"/>
      <c r="G25" s="36"/>
      <c r="H25" s="37"/>
      <c r="I25" s="36"/>
      <c r="J25" s="33" t="str">
        <f aca="true">IF(AND(B25&lt;&gt;"",H25&lt;&gt;""),H25-B25,IF(B25&lt;&gt;"",TODAY()-B25,""))</f>
        <v/>
      </c>
      <c r="K25" s="36"/>
      <c r="L25" s="36"/>
      <c r="M25" s="37"/>
      <c r="N25" s="38"/>
    </row>
    <row r="26" customFormat="false" ht="15" hidden="false" customHeight="false" outlineLevel="0" collapsed="false">
      <c r="A26" s="30"/>
      <c r="B26" s="31"/>
      <c r="C26" s="30"/>
      <c r="D26" s="30"/>
      <c r="E26" s="32"/>
      <c r="F26" s="30"/>
      <c r="G26" s="30"/>
      <c r="H26" s="31"/>
      <c r="I26" s="30"/>
      <c r="J26" s="33" t="str">
        <f aca="true">IF(AND(B26&lt;&gt;"",H26&lt;&gt;""),H26-B26,IF(B26&lt;&gt;"",TODAY()-B26,""))</f>
        <v/>
      </c>
      <c r="K26" s="30"/>
      <c r="L26" s="30"/>
      <c r="M26" s="31"/>
      <c r="N26" s="32"/>
    </row>
    <row r="27" customFormat="false" ht="15" hidden="false" customHeight="false" outlineLevel="0" collapsed="false">
      <c r="A27" s="36"/>
      <c r="B27" s="37"/>
      <c r="C27" s="36"/>
      <c r="D27" s="36"/>
      <c r="E27" s="38"/>
      <c r="F27" s="36"/>
      <c r="G27" s="36"/>
      <c r="H27" s="37"/>
      <c r="I27" s="36"/>
      <c r="J27" s="33" t="str">
        <f aca="true">IF(AND(B27&lt;&gt;"",H27&lt;&gt;""),H27-B27,IF(B27&lt;&gt;"",TODAY()-B27,""))</f>
        <v/>
      </c>
      <c r="K27" s="36"/>
      <c r="L27" s="36"/>
      <c r="M27" s="37"/>
      <c r="N27" s="38"/>
    </row>
    <row r="28" customFormat="false" ht="15" hidden="false" customHeight="false" outlineLevel="0" collapsed="false">
      <c r="A28" s="30"/>
      <c r="B28" s="31"/>
      <c r="C28" s="30"/>
      <c r="D28" s="30"/>
      <c r="E28" s="32"/>
      <c r="F28" s="30"/>
      <c r="G28" s="30"/>
      <c r="H28" s="31"/>
      <c r="I28" s="30"/>
      <c r="J28" s="33" t="str">
        <f aca="true">IF(AND(B28&lt;&gt;"",H28&lt;&gt;""),H28-B28,IF(B28&lt;&gt;"",TODAY()-B28,""))</f>
        <v/>
      </c>
      <c r="K28" s="30"/>
      <c r="L28" s="30"/>
      <c r="M28" s="31"/>
      <c r="N28" s="32"/>
    </row>
    <row r="29" customFormat="false" ht="15" hidden="false" customHeight="false" outlineLevel="0" collapsed="false">
      <c r="A29" s="36"/>
      <c r="B29" s="37"/>
      <c r="C29" s="36"/>
      <c r="D29" s="36"/>
      <c r="E29" s="38"/>
      <c r="F29" s="36"/>
      <c r="G29" s="36"/>
      <c r="H29" s="37"/>
      <c r="I29" s="36"/>
      <c r="J29" s="33" t="str">
        <f aca="true">IF(AND(B29&lt;&gt;"",H29&lt;&gt;""),H29-B29,IF(B29&lt;&gt;"",TODAY()-B29,""))</f>
        <v/>
      </c>
      <c r="K29" s="36"/>
      <c r="L29" s="36"/>
      <c r="M29" s="37"/>
      <c r="N29" s="38"/>
    </row>
    <row r="30" customFormat="false" ht="15" hidden="false" customHeight="false" outlineLevel="0" collapsed="false">
      <c r="A30" s="30"/>
      <c r="B30" s="31"/>
      <c r="C30" s="30"/>
      <c r="D30" s="30"/>
      <c r="E30" s="32"/>
      <c r="F30" s="30"/>
      <c r="G30" s="30"/>
      <c r="H30" s="31"/>
      <c r="I30" s="30"/>
      <c r="J30" s="33" t="str">
        <f aca="true">IF(AND(B30&lt;&gt;"",H30&lt;&gt;""),H30-B30,IF(B30&lt;&gt;"",TODAY()-B30,""))</f>
        <v/>
      </c>
      <c r="K30" s="30"/>
      <c r="L30" s="30"/>
      <c r="M30" s="31"/>
      <c r="N30" s="32"/>
    </row>
    <row r="31" customFormat="false" ht="15" hidden="false" customHeight="false" outlineLevel="0" collapsed="false">
      <c r="A31" s="36"/>
      <c r="B31" s="37"/>
      <c r="C31" s="36"/>
      <c r="D31" s="36"/>
      <c r="E31" s="38"/>
      <c r="F31" s="36"/>
      <c r="G31" s="36"/>
      <c r="H31" s="37"/>
      <c r="I31" s="36"/>
      <c r="J31" s="33" t="str">
        <f aca="true">IF(AND(B31&lt;&gt;"",H31&lt;&gt;""),H31-B31,IF(B31&lt;&gt;"",TODAY()-B31,""))</f>
        <v/>
      </c>
      <c r="K31" s="36"/>
      <c r="L31" s="36"/>
      <c r="M31" s="37"/>
      <c r="N31" s="38"/>
    </row>
    <row r="32" customFormat="false" ht="15" hidden="false" customHeight="false" outlineLevel="0" collapsed="false">
      <c r="A32" s="30"/>
      <c r="B32" s="31"/>
      <c r="C32" s="30"/>
      <c r="D32" s="30"/>
      <c r="E32" s="32"/>
      <c r="F32" s="30"/>
      <c r="G32" s="30"/>
      <c r="H32" s="31"/>
      <c r="I32" s="30"/>
      <c r="J32" s="33" t="str">
        <f aca="true">IF(AND(B32&lt;&gt;"",H32&lt;&gt;""),H32-B32,IF(B32&lt;&gt;"",TODAY()-B32,""))</f>
        <v/>
      </c>
      <c r="K32" s="30"/>
      <c r="L32" s="30"/>
      <c r="M32" s="31"/>
      <c r="N32" s="32"/>
    </row>
    <row r="33" customFormat="false" ht="15" hidden="false" customHeight="false" outlineLevel="0" collapsed="false">
      <c r="A33" s="36"/>
      <c r="B33" s="37"/>
      <c r="C33" s="36"/>
      <c r="D33" s="36"/>
      <c r="E33" s="38"/>
      <c r="F33" s="36"/>
      <c r="G33" s="36"/>
      <c r="H33" s="37"/>
      <c r="I33" s="36"/>
      <c r="J33" s="33" t="str">
        <f aca="true">IF(AND(B33&lt;&gt;"",H33&lt;&gt;""),H33-B33,IF(B33&lt;&gt;"",TODAY()-B33,""))</f>
        <v/>
      </c>
      <c r="K33" s="36"/>
      <c r="L33" s="36"/>
      <c r="M33" s="37"/>
      <c r="N33" s="38"/>
    </row>
    <row r="34" customFormat="false" ht="15" hidden="false" customHeight="false" outlineLevel="0" collapsed="false">
      <c r="A34" s="30"/>
      <c r="B34" s="31"/>
      <c r="C34" s="30"/>
      <c r="D34" s="30"/>
      <c r="E34" s="32"/>
      <c r="F34" s="30"/>
      <c r="G34" s="30"/>
      <c r="H34" s="31"/>
      <c r="I34" s="30"/>
      <c r="J34" s="33" t="str">
        <f aca="true">IF(AND(B34&lt;&gt;"",H34&lt;&gt;""),H34-B34,IF(B34&lt;&gt;"",TODAY()-B34,""))</f>
        <v/>
      </c>
      <c r="K34" s="30"/>
      <c r="L34" s="30"/>
      <c r="M34" s="31"/>
      <c r="N34" s="32"/>
    </row>
    <row r="35" customFormat="false" ht="15" hidden="false" customHeight="false" outlineLevel="0" collapsed="false">
      <c r="A35" s="36"/>
      <c r="B35" s="37"/>
      <c r="C35" s="36"/>
      <c r="D35" s="36"/>
      <c r="E35" s="38"/>
      <c r="F35" s="36"/>
      <c r="G35" s="36"/>
      <c r="H35" s="37"/>
      <c r="I35" s="36"/>
      <c r="J35" s="33" t="str">
        <f aca="true">IF(AND(B35&lt;&gt;"",H35&lt;&gt;""),H35-B35,IF(B35&lt;&gt;"",TODAY()-B35,""))</f>
        <v/>
      </c>
      <c r="K35" s="36"/>
      <c r="L35" s="36"/>
      <c r="M35" s="37"/>
      <c r="N35" s="38"/>
    </row>
    <row r="36" customFormat="false" ht="15" hidden="false" customHeight="false" outlineLevel="0" collapsed="false">
      <c r="A36" s="30"/>
      <c r="B36" s="31"/>
      <c r="C36" s="30"/>
      <c r="D36" s="30"/>
      <c r="E36" s="32"/>
      <c r="F36" s="30"/>
      <c r="G36" s="30"/>
      <c r="H36" s="31"/>
      <c r="I36" s="30"/>
      <c r="J36" s="33" t="str">
        <f aca="true">IF(AND(B36&lt;&gt;"",H36&lt;&gt;""),H36-B36,IF(B36&lt;&gt;"",TODAY()-B36,""))</f>
        <v/>
      </c>
      <c r="K36" s="30"/>
      <c r="L36" s="30"/>
      <c r="M36" s="31"/>
      <c r="N36" s="32"/>
    </row>
    <row r="37" customFormat="false" ht="15" hidden="false" customHeight="false" outlineLevel="0" collapsed="false">
      <c r="A37" s="36"/>
      <c r="B37" s="37"/>
      <c r="C37" s="36"/>
      <c r="D37" s="36"/>
      <c r="E37" s="38"/>
      <c r="F37" s="36"/>
      <c r="G37" s="36"/>
      <c r="H37" s="37"/>
      <c r="I37" s="36"/>
      <c r="J37" s="33" t="str">
        <f aca="true">IF(AND(B37&lt;&gt;"",H37&lt;&gt;""),H37-B37,IF(B37&lt;&gt;"",TODAY()-B37,""))</f>
        <v/>
      </c>
      <c r="K37" s="36"/>
      <c r="L37" s="36"/>
      <c r="M37" s="37"/>
      <c r="N37" s="38"/>
    </row>
    <row r="38" customFormat="false" ht="15" hidden="false" customHeight="false" outlineLevel="0" collapsed="false">
      <c r="A38" s="30"/>
      <c r="B38" s="31"/>
      <c r="C38" s="30"/>
      <c r="D38" s="30"/>
      <c r="E38" s="32"/>
      <c r="F38" s="30"/>
      <c r="G38" s="30"/>
      <c r="H38" s="31"/>
      <c r="I38" s="30"/>
      <c r="J38" s="33" t="str">
        <f aca="true">IF(AND(B38&lt;&gt;"",H38&lt;&gt;""),H38-B38,IF(B38&lt;&gt;"",TODAY()-B38,""))</f>
        <v/>
      </c>
      <c r="K38" s="30"/>
      <c r="L38" s="30"/>
      <c r="M38" s="31"/>
      <c r="N38" s="32"/>
    </row>
    <row r="39" customFormat="false" ht="15" hidden="false" customHeight="false" outlineLevel="0" collapsed="false">
      <c r="A39" s="36"/>
      <c r="B39" s="37"/>
      <c r="C39" s="36"/>
      <c r="D39" s="36"/>
      <c r="E39" s="38"/>
      <c r="F39" s="36"/>
      <c r="G39" s="36"/>
      <c r="H39" s="37"/>
      <c r="I39" s="36"/>
      <c r="J39" s="33" t="str">
        <f aca="true">IF(AND(B39&lt;&gt;"",H39&lt;&gt;""),H39-B39,IF(B39&lt;&gt;"",TODAY()-B39,""))</f>
        <v/>
      </c>
      <c r="K39" s="36"/>
      <c r="L39" s="36"/>
      <c r="M39" s="37"/>
      <c r="N39" s="38"/>
    </row>
    <row r="40" customFormat="false" ht="15" hidden="false" customHeight="false" outlineLevel="0" collapsed="false">
      <c r="A40" s="30"/>
      <c r="B40" s="31"/>
      <c r="C40" s="30"/>
      <c r="D40" s="30"/>
      <c r="E40" s="32"/>
      <c r="F40" s="30"/>
      <c r="G40" s="30"/>
      <c r="H40" s="31"/>
      <c r="I40" s="30"/>
      <c r="J40" s="33" t="str">
        <f aca="true">IF(AND(B40&lt;&gt;"",H40&lt;&gt;""),H40-B40,IF(B40&lt;&gt;"",TODAY()-B40,""))</f>
        <v/>
      </c>
      <c r="K40" s="30"/>
      <c r="L40" s="30"/>
      <c r="M40" s="31"/>
      <c r="N40" s="32"/>
    </row>
    <row r="41" customFormat="false" ht="15" hidden="false" customHeight="false" outlineLevel="0" collapsed="false">
      <c r="A41" s="36"/>
      <c r="B41" s="37"/>
      <c r="C41" s="36"/>
      <c r="D41" s="36"/>
      <c r="E41" s="38"/>
      <c r="F41" s="36"/>
      <c r="G41" s="36"/>
      <c r="H41" s="37"/>
      <c r="I41" s="36"/>
      <c r="J41" s="33" t="str">
        <f aca="true">IF(AND(B41&lt;&gt;"",H41&lt;&gt;""),H41-B41,IF(B41&lt;&gt;"",TODAY()-B41,""))</f>
        <v/>
      </c>
      <c r="K41" s="36"/>
      <c r="L41" s="36"/>
      <c r="M41" s="37"/>
      <c r="N41" s="38"/>
    </row>
    <row r="42" customFormat="false" ht="15" hidden="false" customHeight="false" outlineLevel="0" collapsed="false">
      <c r="A42" s="30"/>
      <c r="B42" s="31"/>
      <c r="C42" s="30"/>
      <c r="D42" s="30"/>
      <c r="E42" s="32"/>
      <c r="F42" s="30"/>
      <c r="G42" s="30"/>
      <c r="H42" s="31"/>
      <c r="I42" s="30"/>
      <c r="J42" s="33" t="str">
        <f aca="true">IF(AND(B42&lt;&gt;"",H42&lt;&gt;""),H42-B42,IF(B42&lt;&gt;"",TODAY()-B42,""))</f>
        <v/>
      </c>
      <c r="K42" s="30"/>
      <c r="L42" s="30"/>
      <c r="M42" s="31"/>
      <c r="N42" s="32"/>
    </row>
    <row r="43" customFormat="false" ht="15" hidden="false" customHeight="false" outlineLevel="0" collapsed="false">
      <c r="A43" s="36"/>
      <c r="B43" s="37"/>
      <c r="C43" s="36"/>
      <c r="D43" s="36"/>
      <c r="E43" s="38"/>
      <c r="F43" s="36"/>
      <c r="G43" s="36"/>
      <c r="H43" s="37"/>
      <c r="I43" s="36"/>
      <c r="J43" s="33" t="str">
        <f aca="true">IF(AND(B43&lt;&gt;"",H43&lt;&gt;""),H43-B43,IF(B43&lt;&gt;"",TODAY()-B43,""))</f>
        <v/>
      </c>
      <c r="K43" s="36"/>
      <c r="L43" s="36"/>
      <c r="M43" s="37"/>
      <c r="N43" s="38"/>
    </row>
    <row r="44" customFormat="false" ht="15" hidden="false" customHeight="false" outlineLevel="0" collapsed="false">
      <c r="A44" s="30"/>
      <c r="B44" s="31"/>
      <c r="C44" s="30"/>
      <c r="D44" s="30"/>
      <c r="E44" s="32"/>
      <c r="F44" s="30"/>
      <c r="G44" s="30"/>
      <c r="H44" s="31"/>
      <c r="I44" s="30"/>
      <c r="J44" s="33" t="str">
        <f aca="true">IF(AND(B44&lt;&gt;"",H44&lt;&gt;""),H44-B44,IF(B44&lt;&gt;"",TODAY()-B44,""))</f>
        <v/>
      </c>
      <c r="K44" s="30"/>
      <c r="L44" s="30"/>
      <c r="M44" s="31"/>
      <c r="N44" s="32"/>
    </row>
    <row r="45" customFormat="false" ht="15" hidden="false" customHeight="false" outlineLevel="0" collapsed="false">
      <c r="A45" s="36"/>
      <c r="B45" s="37"/>
      <c r="C45" s="36"/>
      <c r="D45" s="36"/>
      <c r="E45" s="38"/>
      <c r="F45" s="36"/>
      <c r="G45" s="36"/>
      <c r="H45" s="37"/>
      <c r="I45" s="36"/>
      <c r="J45" s="33" t="str">
        <f aca="true">IF(AND(B45&lt;&gt;"",H45&lt;&gt;""),H45-B45,IF(B45&lt;&gt;"",TODAY()-B45,""))</f>
        <v/>
      </c>
      <c r="K45" s="36"/>
      <c r="L45" s="36"/>
      <c r="M45" s="37"/>
      <c r="N45" s="38"/>
    </row>
    <row r="46" customFormat="false" ht="15" hidden="false" customHeight="false" outlineLevel="0" collapsed="false">
      <c r="A46" s="30"/>
      <c r="B46" s="31"/>
      <c r="C46" s="30"/>
      <c r="D46" s="30"/>
      <c r="E46" s="32"/>
      <c r="F46" s="30"/>
      <c r="G46" s="30"/>
      <c r="H46" s="31"/>
      <c r="I46" s="30"/>
      <c r="J46" s="33" t="str">
        <f aca="true">IF(AND(B46&lt;&gt;"",H46&lt;&gt;""),H46-B46,IF(B46&lt;&gt;"",TODAY()-B46,""))</f>
        <v/>
      </c>
      <c r="K46" s="30"/>
      <c r="L46" s="30"/>
      <c r="M46" s="31"/>
      <c r="N46" s="32"/>
    </row>
    <row r="47" customFormat="false" ht="15" hidden="false" customHeight="false" outlineLevel="0" collapsed="false">
      <c r="A47" s="36"/>
      <c r="B47" s="37"/>
      <c r="C47" s="36"/>
      <c r="D47" s="36"/>
      <c r="E47" s="38"/>
      <c r="F47" s="36"/>
      <c r="G47" s="36"/>
      <c r="H47" s="37"/>
      <c r="I47" s="36"/>
      <c r="J47" s="33" t="str">
        <f aca="true">IF(AND(B47&lt;&gt;"",H47&lt;&gt;""),H47-B47,IF(B47&lt;&gt;"",TODAY()-B47,""))</f>
        <v/>
      </c>
      <c r="K47" s="36"/>
      <c r="L47" s="36"/>
      <c r="M47" s="37"/>
      <c r="N47" s="38"/>
    </row>
    <row r="48" customFormat="false" ht="15" hidden="false" customHeight="false" outlineLevel="0" collapsed="false">
      <c r="A48" s="30"/>
      <c r="B48" s="31"/>
      <c r="C48" s="30"/>
      <c r="D48" s="30"/>
      <c r="E48" s="32"/>
      <c r="F48" s="30"/>
      <c r="G48" s="30"/>
      <c r="H48" s="31"/>
      <c r="I48" s="30"/>
      <c r="J48" s="33" t="str">
        <f aca="true">IF(AND(B48&lt;&gt;"",H48&lt;&gt;""),H48-B48,IF(B48&lt;&gt;"",TODAY()-B48,""))</f>
        <v/>
      </c>
      <c r="K48" s="30"/>
      <c r="L48" s="30"/>
      <c r="M48" s="31"/>
      <c r="N48" s="32"/>
    </row>
    <row r="49" customFormat="false" ht="15" hidden="false" customHeight="false" outlineLevel="0" collapsed="false">
      <c r="A49" s="36"/>
      <c r="B49" s="37"/>
      <c r="C49" s="36"/>
      <c r="D49" s="36"/>
      <c r="E49" s="38"/>
      <c r="F49" s="36"/>
      <c r="G49" s="36"/>
      <c r="H49" s="37"/>
      <c r="I49" s="36"/>
      <c r="J49" s="33" t="str">
        <f aca="true">IF(AND(B49&lt;&gt;"",H49&lt;&gt;""),H49-B49,IF(B49&lt;&gt;"",TODAY()-B49,""))</f>
        <v/>
      </c>
      <c r="K49" s="36"/>
      <c r="L49" s="36"/>
      <c r="M49" s="37"/>
      <c r="N49" s="38"/>
    </row>
    <row r="50" customFormat="false" ht="15" hidden="false" customHeight="false" outlineLevel="0" collapsed="false">
      <c r="A50" s="30"/>
      <c r="B50" s="31"/>
      <c r="C50" s="30"/>
      <c r="D50" s="30"/>
      <c r="E50" s="32"/>
      <c r="F50" s="30"/>
      <c r="G50" s="30"/>
      <c r="H50" s="31"/>
      <c r="I50" s="30"/>
      <c r="J50" s="33" t="str">
        <f aca="true">IF(AND(B50&lt;&gt;"",H50&lt;&gt;""),H50-B50,IF(B50&lt;&gt;"",TODAY()-B50,""))</f>
        <v/>
      </c>
      <c r="K50" s="30"/>
      <c r="L50" s="30"/>
      <c r="M50" s="31"/>
      <c r="N50" s="32"/>
    </row>
    <row r="51" customFormat="false" ht="15" hidden="false" customHeight="false" outlineLevel="0" collapsed="false">
      <c r="A51" s="36"/>
      <c r="B51" s="37"/>
      <c r="C51" s="36"/>
      <c r="D51" s="36"/>
      <c r="E51" s="38"/>
      <c r="F51" s="36"/>
      <c r="G51" s="36"/>
      <c r="H51" s="37"/>
      <c r="I51" s="36"/>
      <c r="J51" s="33" t="str">
        <f aca="true">IF(AND(B51&lt;&gt;"",H51&lt;&gt;""),H51-B51,IF(B51&lt;&gt;"",TODAY()-B51,""))</f>
        <v/>
      </c>
      <c r="K51" s="36"/>
      <c r="L51" s="36"/>
      <c r="M51" s="37"/>
      <c r="N51" s="38"/>
    </row>
    <row r="52" customFormat="false" ht="15" hidden="false" customHeight="false" outlineLevel="0" collapsed="false">
      <c r="A52" s="30"/>
      <c r="B52" s="31"/>
      <c r="C52" s="30"/>
      <c r="D52" s="30"/>
      <c r="E52" s="32"/>
      <c r="F52" s="30"/>
      <c r="G52" s="30"/>
      <c r="H52" s="31"/>
      <c r="I52" s="30"/>
      <c r="J52" s="33" t="str">
        <f aca="true">IF(AND(B52&lt;&gt;"",H52&lt;&gt;""),H52-B52,IF(B52&lt;&gt;"",TODAY()-B52,""))</f>
        <v/>
      </c>
      <c r="K52" s="30"/>
      <c r="L52" s="30"/>
      <c r="M52" s="31"/>
      <c r="N52" s="32"/>
    </row>
    <row r="53" customFormat="false" ht="15" hidden="false" customHeight="false" outlineLevel="0" collapsed="false">
      <c r="A53" s="36"/>
      <c r="B53" s="37"/>
      <c r="C53" s="36"/>
      <c r="D53" s="36"/>
      <c r="E53" s="38"/>
      <c r="F53" s="36"/>
      <c r="G53" s="36"/>
      <c r="H53" s="37"/>
      <c r="I53" s="36"/>
      <c r="J53" s="33" t="str">
        <f aca="true">IF(AND(B53&lt;&gt;"",H53&lt;&gt;""),H53-B53,IF(B53&lt;&gt;"",TODAY()-B53,""))</f>
        <v/>
      </c>
      <c r="K53" s="36"/>
      <c r="L53" s="36"/>
      <c r="M53" s="37"/>
      <c r="N53" s="38"/>
    </row>
    <row r="54" customFormat="false" ht="15" hidden="false" customHeight="false" outlineLevel="0" collapsed="false">
      <c r="A54" s="30"/>
      <c r="B54" s="31"/>
      <c r="C54" s="30"/>
      <c r="D54" s="30"/>
      <c r="E54" s="32"/>
      <c r="F54" s="30"/>
      <c r="G54" s="30"/>
      <c r="H54" s="31"/>
      <c r="I54" s="30"/>
      <c r="J54" s="33" t="str">
        <f aca="true">IF(AND(B54&lt;&gt;"",H54&lt;&gt;""),H54-B54,IF(B54&lt;&gt;"",TODAY()-B54,""))</f>
        <v/>
      </c>
      <c r="K54" s="30"/>
      <c r="L54" s="30"/>
      <c r="M54" s="31"/>
      <c r="N54" s="32"/>
    </row>
    <row r="55" customFormat="false" ht="15" hidden="false" customHeight="false" outlineLevel="0" collapsed="false">
      <c r="A55" s="36"/>
      <c r="B55" s="37"/>
      <c r="C55" s="36"/>
      <c r="D55" s="36"/>
      <c r="E55" s="38"/>
      <c r="F55" s="36"/>
      <c r="G55" s="36"/>
      <c r="H55" s="37"/>
      <c r="I55" s="36"/>
      <c r="J55" s="33" t="str">
        <f aca="true">IF(AND(B55&lt;&gt;"",H55&lt;&gt;""),H55-B55,IF(B55&lt;&gt;"",TODAY()-B55,""))</f>
        <v/>
      </c>
      <c r="K55" s="36"/>
      <c r="L55" s="36"/>
      <c r="M55" s="37"/>
      <c r="N55" s="38"/>
    </row>
    <row r="56" customFormat="false" ht="15" hidden="false" customHeight="false" outlineLevel="0" collapsed="false">
      <c r="A56" s="30"/>
      <c r="B56" s="31"/>
      <c r="C56" s="30"/>
      <c r="D56" s="30"/>
      <c r="E56" s="32"/>
      <c r="F56" s="30"/>
      <c r="G56" s="30"/>
      <c r="H56" s="31"/>
      <c r="I56" s="30"/>
      <c r="J56" s="33" t="str">
        <f aca="true">IF(AND(B56&lt;&gt;"",H56&lt;&gt;""),H56-B56,IF(B56&lt;&gt;"",TODAY()-B56,""))</f>
        <v/>
      </c>
      <c r="K56" s="30"/>
      <c r="L56" s="30"/>
      <c r="M56" s="31"/>
      <c r="N56" s="32"/>
    </row>
    <row r="57" customFormat="false" ht="15" hidden="false" customHeight="false" outlineLevel="0" collapsed="false">
      <c r="A57" s="36"/>
      <c r="B57" s="37"/>
      <c r="C57" s="36"/>
      <c r="D57" s="36"/>
      <c r="E57" s="38"/>
      <c r="F57" s="36"/>
      <c r="G57" s="36"/>
      <c r="H57" s="37"/>
      <c r="I57" s="36"/>
      <c r="J57" s="33" t="str">
        <f aca="true">IF(AND(B57&lt;&gt;"",H57&lt;&gt;""),H57-B57,IF(B57&lt;&gt;"",TODAY()-B57,""))</f>
        <v/>
      </c>
      <c r="K57" s="36"/>
      <c r="L57" s="36"/>
      <c r="M57" s="37"/>
      <c r="N57" s="38"/>
    </row>
  </sheetData>
  <autoFilter ref="A7:N507"/>
  <mergeCells count="4">
    <mergeCell ref="A1:N1"/>
    <mergeCell ref="A2:D2"/>
    <mergeCell ref="F2:I2"/>
    <mergeCell ref="A6:N6"/>
  </mergeCells>
  <conditionalFormatting sqref="I8:I507">
    <cfRule type="cellIs" priority="2" operator="equal" aboveAverage="0" equalAverage="0" bottom="0" percent="0" rank="0" text="" dxfId="9">
      <formula>"Approved"</formula>
    </cfRule>
    <cfRule type="cellIs" priority="3" operator="equal" aboveAverage="0" equalAverage="0" bottom="0" percent="0" rank="0" text="" dxfId="10">
      <formula>"Approved with Comments"</formula>
    </cfRule>
    <cfRule type="cellIs" priority="4" operator="equal" aboveAverage="0" equalAverage="0" bottom="0" percent="0" rank="0" text="" dxfId="11">
      <formula>"Rejected"</formula>
    </cfRule>
    <cfRule type="cellIs" priority="5" operator="equal" aboveAverage="0" equalAverage="0" bottom="0" percent="0" rank="0" text="" dxfId="11">
      <formula>"No Response"</formula>
    </cfRule>
  </conditionalFormatting>
  <conditionalFormatting sqref="J8:J507">
    <cfRule type="expression" priority="6" aboveAverage="0" equalAverage="0" bottom="0" percent="0" rank="0" text="" dxfId="11">
      <formula>AND(J8&lt;&gt;"",H8="",J8&gt;14)</formula>
    </cfRule>
    <cfRule type="expression" priority="7" aboveAverage="0" equalAverage="0" bottom="0" percent="0" rank="0" text="" dxfId="10">
      <formula>AND(J8&lt;&gt;"",H8="",J8&gt;7,J8&lt;=14)</formula>
    </cfRule>
  </conditionalFormatting>
  <dataValidations count="3">
    <dataValidation allowBlank="true" errorStyle="stop" operator="between" showDropDown="false" showErrorMessage="false" showInputMessage="false" sqref="F8:F507" type="list">
      <formula1>"For Approval,For Information,For Construction,For Review,As Requested,For Record"</formula1>
      <formula2>0</formula2>
    </dataValidation>
    <dataValidation allowBlank="true" errorStyle="stop" operator="between" showDropDown="false" showErrorMessage="false" showInputMessage="false" sqref="I8:I507" type="list">
      <formula1>"Approved,Approved with Comments,Rejected,No Response,N/A — For Info Only"</formula1>
      <formula2>0</formula2>
    </dataValidation>
    <dataValidation allowBlank="true" errorStyle="stop" operator="between" showDropDown="false" showErrorMessage="false" showInputMessage="false" sqref="L8:L507" type="list">
      <formula1>"Email,Post,Hand Delivery,Document Portal,Courier"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&amp;CDocument Transmittal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92</v>
      </c>
    </row>
    <row r="2" customFormat="false" ht="15" hidden="false" customHeight="false" outlineLevel="0" collapsed="false">
      <c r="A2" s="20"/>
    </row>
    <row r="3" customFormat="false" ht="15" hidden="false" customHeight="false" outlineLevel="0" collapsed="false">
      <c r="A3" s="20" t="s">
        <v>93</v>
      </c>
    </row>
    <row r="4" customFormat="false" ht="15" hidden="false" customHeight="false" outlineLevel="0" collapsed="false">
      <c r="A4" s="20"/>
    </row>
    <row r="5" customFormat="false" ht="15" hidden="false" customHeight="false" outlineLevel="0" collapsed="false">
      <c r="A5" s="20" t="s">
        <v>94</v>
      </c>
    </row>
    <row r="6" customFormat="false" ht="15" hidden="false" customHeight="false" outlineLevel="0" collapsed="false">
      <c r="A6" s="20"/>
    </row>
    <row r="7" customFormat="false" ht="15" hidden="false" customHeight="false" outlineLevel="0" collapsed="false">
      <c r="A7" s="20" t="s">
        <v>95</v>
      </c>
    </row>
    <row r="8" customFormat="false" ht="15" hidden="false" customHeight="false" outlineLevel="0" collapsed="false">
      <c r="A8" s="20"/>
    </row>
    <row r="9" customFormat="false" ht="15" hidden="false" customHeight="false" outlineLevel="0" collapsed="false">
      <c r="A9" s="20" t="s">
        <v>96</v>
      </c>
    </row>
    <row r="10" customFormat="false" ht="15" hidden="false" customHeight="false" outlineLevel="0" collapsed="false">
      <c r="A10" s="20"/>
    </row>
    <row r="11" customFormat="false" ht="15" hidden="false" customHeight="false" outlineLevel="0" collapsed="false">
      <c r="A11" s="20" t="s">
        <v>97</v>
      </c>
    </row>
    <row r="12" customFormat="false" ht="15" hidden="false" customHeight="false" outlineLevel="0" collapsed="false">
      <c r="A12" s="20"/>
    </row>
    <row r="13" customFormat="false" ht="15" hidden="false" customHeight="false" outlineLevel="0" collapsed="false">
      <c r="A13" s="20" t="s">
        <v>98</v>
      </c>
    </row>
    <row r="14" customFormat="false" ht="15" hidden="false" customHeight="false" outlineLevel="0" collapsed="false">
      <c r="A14" s="20"/>
    </row>
    <row r="15" customFormat="false" ht="15" hidden="false" customHeight="false" outlineLevel="0" collapsed="false">
      <c r="A15" s="20" t="s">
        <v>99</v>
      </c>
    </row>
    <row r="16" customFormat="false" ht="15" hidden="false" customHeight="false" outlineLevel="0" collapsed="false">
      <c r="A16" s="20"/>
    </row>
    <row r="17" customFormat="false" ht="15" hidden="false" customHeight="false" outlineLevel="0" collapsed="false">
      <c r="A17" s="20"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2026-03-23T09:06:09Z</dcterms:created>
  <dc:creator>Ebrora Ltd</dc:creator>
  <dc:description>Track document transmittals with recipient acknowledgement, response monitoring, and approval status for UK construction projects.
Free professional construction management template from Ebrora Ltd. Visit ebrora.com for our full range of tools and templates.</dc:description>
  <cp:keywords>Ebrora construction transmittal document register correspondence approval quality</cp:keywords>
  <dc:language>en-US</dc:language>
  <cp:lastModifiedBy>Ebrora Ltd</cp:lastModifiedBy>
  <dcterms:modified xsi:type="dcterms:W3CDTF">2026-03-23T09:06:09Z</dcterms:modified>
  <cp:revision>0</cp:revision>
  <dc:subject>Track document transmittals with recipient acknowledgement and response monitoring.</dc:subject>
  <dc:title>Document Transmittal Register</dc:title>
</cp:coreProperties>
</file>

<file path=docProps/custom.xml><?xml version="1.0" encoding="utf-8"?>
<Properties xmlns="http://schemas.openxmlformats.org/officeDocument/2006/custom-properties" xmlns:vt="http://schemas.openxmlformats.org/officeDocument/2006/docPropsVTypes"/>
</file>