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Environmental KPIs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'Environmental KPIs'!$A$1:$Q$17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<sst xmlns="http://schemas.openxmlformats.org/spreadsheetml/2006/main" count="104" uniqueCount="86">
  <si>
    <t xml:space="preserve">EBRORA</t>
  </si>
  <si>
    <t xml:space="preserve">ebrora.com</t>
  </si>
  <si>
    <t xml:space="preserve">Environmental KPI Dashboard Sheet</t>
  </si>
  <si>
    <t xml:space="preserve">Track monthly environmental performance against targets with traffic-light status.</t>
  </si>
  <si>
    <t xml:space="preserve">Covers waste, carbon, water, energy, compliance, and biodiversity KPIs for construction projects.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</si>
  <si>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</si>
  <si>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</si>
  <si>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</si>
  <si>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</si>
  <si>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</si>
  <si>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'Environmental KPIs' sheet. Each KPI is a row, each month is a column. The structure auto-calculates RAG status.</t>
  </si>
  <si>
    <t xml:space="preserve">2.</t>
  </si>
  <si>
    <t xml:space="preserve">Review the pre-populated KPIs. Add, remove, or modify KPIs in column A to match your project's environmental targets.</t>
  </si>
  <si>
    <t xml:space="preserve">3.</t>
  </si>
  <si>
    <t xml:space="preserve">Enter the annual target for each KPI in column B. Set the direction in column C: ≤ means lower is better (waste, incidents), ≥ means higher is better (recycling rate).</t>
  </si>
  <si>
    <t xml:space="preserve">4.</t>
  </si>
  <si>
    <t xml:space="preserve">Each month, enter the actual value in the relevant month column. The RAG status auto-calculates based on the target and direction.</t>
  </si>
  <si>
    <t xml:space="preserve">5.</t>
  </si>
  <si>
    <t xml:space="preserve">Green = on/better than target. Amber = within 10% of target. Red = more than 10% off target. This adjusts based on whether the KPI is a 'lower is better' or 'higher is better' metric.</t>
  </si>
  <si>
    <t xml:space="preserve">6.</t>
  </si>
  <si>
    <t xml:space="preserve">The YTD column auto-averages or sums (depending on KPI type) your performance across completed months.</t>
  </si>
  <si>
    <t xml:space="preserve">7.</t>
  </si>
  <si>
    <t xml:space="preserve">Present this dashboard at monthly project reviews and client environmental performance meetings.</t>
  </si>
  <si>
    <t xml:space="preserve">Colour Key</t>
  </si>
  <si>
    <t xml:space="preserve">Light teal — user input / actual monthly values</t>
  </si>
  <si>
    <t xml:space="preserve">  </t>
  </si>
  <si>
    <t xml:space="preserve">Dark navy — headers</t>
  </si>
  <si>
    <t xml:space="preserve">Green — on or better than target</t>
  </si>
  <si>
    <t xml:space="preserve">Amber — within 10% of target (watch)</t>
  </si>
  <si>
    <t xml:space="preserve">Red — more than 10% off target (action required)</t>
  </si>
  <si>
    <t xml:space="preserve">Tips</t>
  </si>
  <si>
    <t xml:space="preserve">•</t>
  </si>
  <si>
    <t xml:space="preserve">Update KPIs by the 5th of each month to keep the dashboard current for management reviews.</t>
  </si>
  <si>
    <t xml:space="preserve">If a KPI is red for two consecutive months, escalate to the project director with a corrective action plan.</t>
  </si>
  <si>
    <t xml:space="preserve">Use this dashboard as evidence for BREEAM, CEEQUAL, or ISO 14001 environmental performance reporting.</t>
  </si>
  <si>
    <t xml:space="preserve">ENVIRONMENTAL KPI DASHBOARD</t>
  </si>
  <si>
    <t xml:space="preserve">Project:</t>
  </si>
  <si>
    <t xml:space="preserve">Example Infrastructure Project</t>
  </si>
  <si>
    <t xml:space="preserve">Reporting Year:</t>
  </si>
  <si>
    <t xml:space="preserve">2026</t>
  </si>
  <si>
    <t xml:space="preserve">Environmental KPI</t>
  </si>
  <si>
    <t xml:space="preserve">Target</t>
  </si>
  <si>
    <t xml:space="preserve">Dir</t>
  </si>
  <si>
    <t xml:space="preserve">Unit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</si>
  <si>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</si>
  <si>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</si>
  <si>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</si>
  <si>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</si>
  <si>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</si>
  <si>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</si>
  <si>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</si>
  <si>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</si>
  <si>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</si>
  <si>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</si>
  <si>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</si>
  <si>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</si>
  <si>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YTD</t>
  </si>
  <si>
    <t xml:space="preserve">Waste diversion from landfill</t>
  </si>
  <si>
    <t xml:space="preserve">≥</t>
  </si>
  <si>
    <t xml:space="preserve">%</t>
  </si>
  <si>
    <t xml:space="preserve">Total waste (tonnes/month)</t>
  </si>
  <si>
    <t xml:space="preserve">≤</t>
  </si>
  <si>
    <t xml:space="preserve">t</t>
  </si>
  <si>
    <t xml:space="preserve">Environmental incidents</t>
  </si>
  <si>
    <t xml:space="preserve">#</t>
  </si>
  <si>
    <t xml:space="preserve">Regulatory non-compliances</t>
  </si>
  <si>
    <t xml:space="preserve">Carbon emissions (tCO₂e/month)</t>
  </si>
  <si>
    <t xml:space="preserve">tCO₂e</t>
  </si>
  <si>
    <t xml:space="preserve">Water consumption (m³/month)</t>
  </si>
  <si>
    <t xml:space="preserve">m³</t>
  </si>
  <si>
    <t xml:space="preserve">Energy use (kWh/month)</t>
  </si>
  <si>
    <t xml:space="preserve">kWh</t>
  </si>
  <si>
    <t xml:space="preserve">Dust complaints received</t>
  </si>
  <si>
    <t xml:space="preserve">Noise complaints received</t>
  </si>
  <si>
    <t xml:space="preserve">Tree protection inspections completed</t>
  </si>
  <si>
    <t xml:space="preserve">Silt control inspection pass rate</t>
  </si>
  <si>
    <t xml:space="preserve">Toolbox talks delivered (env.)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</si>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</sst>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#,##0"/>
    <numFmt numFmtId="168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E8F6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16" min="5" style="0" width="8"/>
    <col collapsed="false" customWidth="true" hidden="false" outlineLevel="0" max="17" min="17" style="0" width="10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customFormat="false" ht="15" hidden="false" customHeight="false" outlineLevel="0" collapsed="false">
      <c r="A2" s="22" t="s">
        <v>36</v>
      </c>
      <c r="B2" s="22"/>
      <c r="C2" s="23" t="s">
        <v>37</v>
      </c>
      <c r="D2" s="23"/>
      <c r="E2" s="23"/>
      <c r="F2" s="23"/>
      <c r="G2" s="22" t="s">
        <v>38</v>
      </c>
      <c r="H2" s="22"/>
      <c r="I2" s="24" t="s">
        <v>39</v>
      </c>
    </row>
    <row r="3" customFormat="false" ht="6" hidden="false" customHeight="true" outlineLevel="0" collapsed="false"/>
    <row r="4" customFormat="false" ht="15" hidden="false" customHeight="false" outlineLevel="0" collapsed="false">
      <c r="A4" s="25" t="s">
        <v>40</v>
      </c>
      <c r="B4" s="25" t="s">
        <v>41</v>
      </c>
      <c r="C4" s="25" t="s">
        <v>42</v>
      </c>
      <c r="D4" s="25" t="s">
        <v>43</v>
      </c>
      <c r="E4" s="25" t="s">
        <v>44</v>
      </c>
      <c r="F4" s="25" t="s">
        <v>45</v>
      </c>
      <c r="G4" s="25" t="s">
        <v>46</v>
      </c>
      <c r="H4" s="25" t="s">
        <v>47</v>
      </c>
      <c r="I4" s="25" t="s">
        <v>48</v>
      </c>
      <c r="J4" s="25" t="s">
        <v>49</v>
      </c>
      <c r="K4" s="25" t="s">
        <v>50</v>
      </c>
      <c r="L4" s="25" t="s">
        <v>51</v>
      </c>
      <c r="M4" s="25" t="s">
        <v>52</v>
      </c>
      <c r="N4" s="25" t="s">
        <v>53</v>
      </c>
      <c r="O4" s="25" t="s">
        <v>54</v>
      </c>
      <c r="P4" s="25" t="s">
        <v>55</v>
      </c>
      <c r="Q4" s="25" t="s">
        <v>56</v>
      </c>
    </row>
    <row r="5" customFormat="false" ht="24" hidden="false" customHeight="true" outlineLevel="0" collapsed="false">
      <c r="A5" s="26" t="s">
        <v>57</v>
      </c>
      <c r="B5" s="27" t="n">
        <v>90</v>
      </c>
      <c r="C5" s="28" t="s">
        <v>58</v>
      </c>
      <c r="D5" s="28" t="s">
        <v>59</v>
      </c>
      <c r="E5" s="29" t="n">
        <v>92</v>
      </c>
      <c r="F5" s="29" t="n">
        <v>88</v>
      </c>
      <c r="G5" s="29" t="n">
        <v>91</v>
      </c>
      <c r="H5" s="29"/>
      <c r="I5" s="29"/>
      <c r="J5" s="29"/>
      <c r="K5" s="29"/>
      <c r="L5" s="29"/>
      <c r="M5" s="29"/>
      <c r="N5" s="29"/>
      <c r="O5" s="29"/>
      <c r="P5" s="29"/>
      <c r="Q5" s="30" t="n">
        <f aca="false">IF(COUNT(E5:P5)&gt;0,AVERAGE(E5:P5),"")</f>
        <v>90.3333333333333</v>
      </c>
    </row>
    <row r="6" customFormat="false" ht="24" hidden="false" customHeight="true" outlineLevel="0" collapsed="false">
      <c r="A6" s="26" t="s">
        <v>60</v>
      </c>
      <c r="B6" s="27" t="n">
        <v>50</v>
      </c>
      <c r="C6" s="28" t="s">
        <v>61</v>
      </c>
      <c r="D6" s="28" t="s">
        <v>62</v>
      </c>
      <c r="E6" s="31" t="n">
        <v>42</v>
      </c>
      <c r="F6" s="31" t="n">
        <v>55</v>
      </c>
      <c r="G6" s="31" t="n">
        <v>48</v>
      </c>
      <c r="H6" s="31"/>
      <c r="I6" s="31"/>
      <c r="J6" s="31"/>
      <c r="K6" s="31"/>
      <c r="L6" s="31"/>
      <c r="M6" s="31"/>
      <c r="N6" s="31"/>
      <c r="O6" s="31"/>
      <c r="P6" s="31"/>
      <c r="Q6" s="32" t="n">
        <f aca="false">IF(COUNT(E6:P6)&gt;0,SUM(E6:P6),"")</f>
        <v>145</v>
      </c>
    </row>
    <row r="7" customFormat="false" ht="24" hidden="false" customHeight="true" outlineLevel="0" collapsed="false">
      <c r="A7" s="26" t="s">
        <v>63</v>
      </c>
      <c r="B7" s="27" t="n">
        <v>0</v>
      </c>
      <c r="C7" s="28" t="s">
        <v>61</v>
      </c>
      <c r="D7" s="28" t="s">
        <v>64</v>
      </c>
      <c r="E7" s="31" t="n">
        <v>0</v>
      </c>
      <c r="F7" s="31" t="n">
        <v>1</v>
      </c>
      <c r="G7" s="31" t="n">
        <v>0</v>
      </c>
      <c r="H7" s="31"/>
      <c r="I7" s="31"/>
      <c r="J7" s="31"/>
      <c r="K7" s="31"/>
      <c r="L7" s="31"/>
      <c r="M7" s="31"/>
      <c r="N7" s="31"/>
      <c r="O7" s="31"/>
      <c r="P7" s="31"/>
      <c r="Q7" s="32" t="n">
        <f aca="false">IF(COUNT(E7:P7)&gt;0,SUM(E7:P7),"")</f>
        <v>1</v>
      </c>
    </row>
    <row r="8" customFormat="false" ht="24" hidden="false" customHeight="true" outlineLevel="0" collapsed="false">
      <c r="A8" s="26" t="s">
        <v>65</v>
      </c>
      <c r="B8" s="27" t="n">
        <v>0</v>
      </c>
      <c r="C8" s="28" t="s">
        <v>61</v>
      </c>
      <c r="D8" s="28" t="s">
        <v>64</v>
      </c>
      <c r="E8" s="31" t="n">
        <v>0</v>
      </c>
      <c r="F8" s="31" t="n">
        <v>0</v>
      </c>
      <c r="G8" s="31" t="n">
        <v>0</v>
      </c>
      <c r="H8" s="31"/>
      <c r="I8" s="31"/>
      <c r="J8" s="31"/>
      <c r="K8" s="31"/>
      <c r="L8" s="31"/>
      <c r="M8" s="31"/>
      <c r="N8" s="31"/>
      <c r="O8" s="31"/>
      <c r="P8" s="31"/>
      <c r="Q8" s="32" t="n">
        <f aca="false">IF(COUNT(E8:P8)&gt;0,SUM(E8:P8),"")</f>
        <v>0</v>
      </c>
    </row>
    <row r="9" customFormat="false" ht="24" hidden="false" customHeight="true" outlineLevel="0" collapsed="false">
      <c r="A9" s="26" t="s">
        <v>66</v>
      </c>
      <c r="B9" s="27" t="n">
        <v>25</v>
      </c>
      <c r="C9" s="28" t="s">
        <v>61</v>
      </c>
      <c r="D9" s="28" t="s">
        <v>67</v>
      </c>
      <c r="E9" s="33" t="n">
        <v>22</v>
      </c>
      <c r="F9" s="33" t="n">
        <v>28</v>
      </c>
      <c r="G9" s="33" t="n">
        <v>24</v>
      </c>
      <c r="H9" s="33"/>
      <c r="I9" s="33"/>
      <c r="J9" s="33"/>
      <c r="K9" s="33"/>
      <c r="L9" s="33"/>
      <c r="M9" s="33"/>
      <c r="N9" s="33"/>
      <c r="O9" s="33"/>
      <c r="P9" s="33"/>
      <c r="Q9" s="34" t="n">
        <f aca="false">IF(COUNT(E9:P9)&gt;0,SUM(E9:P9),"")</f>
        <v>74</v>
      </c>
    </row>
    <row r="10" customFormat="false" ht="24" hidden="false" customHeight="true" outlineLevel="0" collapsed="false">
      <c r="A10" s="26" t="s">
        <v>68</v>
      </c>
      <c r="B10" s="27" t="n">
        <v>150</v>
      </c>
      <c r="C10" s="28" t="s">
        <v>61</v>
      </c>
      <c r="D10" s="28" t="s">
        <v>69</v>
      </c>
      <c r="E10" s="31" t="n">
        <v>130</v>
      </c>
      <c r="F10" s="31" t="n">
        <v>145</v>
      </c>
      <c r="G10" s="31" t="n">
        <v>160</v>
      </c>
      <c r="H10" s="31"/>
      <c r="I10" s="31"/>
      <c r="J10" s="31"/>
      <c r="K10" s="31"/>
      <c r="L10" s="31"/>
      <c r="M10" s="31"/>
      <c r="N10" s="31"/>
      <c r="O10" s="31"/>
      <c r="P10" s="31"/>
      <c r="Q10" s="32" t="n">
        <f aca="false">IF(COUNT(E10:P10)&gt;0,SUM(E10:P10),"")</f>
        <v>435</v>
      </c>
    </row>
    <row r="11" customFormat="false" ht="24" hidden="false" customHeight="true" outlineLevel="0" collapsed="false">
      <c r="A11" s="26" t="s">
        <v>70</v>
      </c>
      <c r="B11" s="27" t="n">
        <v>12000</v>
      </c>
      <c r="C11" s="28" t="s">
        <v>61</v>
      </c>
      <c r="D11" s="28" t="s">
        <v>71</v>
      </c>
      <c r="E11" s="31" t="n">
        <v>10500</v>
      </c>
      <c r="F11" s="31" t="n">
        <v>12800</v>
      </c>
      <c r="G11" s="31" t="n">
        <v>11200</v>
      </c>
      <c r="H11" s="31"/>
      <c r="I11" s="31"/>
      <c r="J11" s="31"/>
      <c r="K11" s="31"/>
      <c r="L11" s="31"/>
      <c r="M11" s="31"/>
      <c r="N11" s="31"/>
      <c r="O11" s="31"/>
      <c r="P11" s="31"/>
      <c r="Q11" s="32" t="n">
        <f aca="false">IF(COUNT(E11:P11)&gt;0,SUM(E11:P11),"")</f>
        <v>34500</v>
      </c>
    </row>
    <row r="12" customFormat="false" ht="24" hidden="false" customHeight="true" outlineLevel="0" collapsed="false">
      <c r="A12" s="26" t="s">
        <v>72</v>
      </c>
      <c r="B12" s="27" t="n">
        <v>0</v>
      </c>
      <c r="C12" s="28" t="s">
        <v>61</v>
      </c>
      <c r="D12" s="28" t="s">
        <v>64</v>
      </c>
      <c r="E12" s="31" t="n">
        <v>0</v>
      </c>
      <c r="F12" s="31" t="n">
        <v>1</v>
      </c>
      <c r="G12" s="31" t="n">
        <v>0</v>
      </c>
      <c r="H12" s="31"/>
      <c r="I12" s="31"/>
      <c r="J12" s="31"/>
      <c r="K12" s="31"/>
      <c r="L12" s="31"/>
      <c r="M12" s="31"/>
      <c r="N12" s="31"/>
      <c r="O12" s="31"/>
      <c r="P12" s="31"/>
      <c r="Q12" s="32" t="n">
        <f aca="false">IF(COUNT(E12:P12)&gt;0,SUM(E12:P12),"")</f>
        <v>1</v>
      </c>
    </row>
    <row r="13" customFormat="false" ht="24" hidden="false" customHeight="true" outlineLevel="0" collapsed="false">
      <c r="A13" s="26" t="s">
        <v>73</v>
      </c>
      <c r="B13" s="27" t="n">
        <v>0</v>
      </c>
      <c r="C13" s="28" t="s">
        <v>61</v>
      </c>
      <c r="D13" s="28" t="s">
        <v>64</v>
      </c>
      <c r="E13" s="31" t="n">
        <v>0</v>
      </c>
      <c r="F13" s="31" t="n">
        <v>0</v>
      </c>
      <c r="G13" s="31" t="n">
        <v>1</v>
      </c>
      <c r="H13" s="31"/>
      <c r="I13" s="31"/>
      <c r="J13" s="31"/>
      <c r="K13" s="31"/>
      <c r="L13" s="31"/>
      <c r="M13" s="31"/>
      <c r="N13" s="31"/>
      <c r="O13" s="31"/>
      <c r="P13" s="31"/>
      <c r="Q13" s="32" t="n">
        <f aca="false">IF(COUNT(E13:P13)&gt;0,SUM(E13:P13),"")</f>
        <v>1</v>
      </c>
    </row>
    <row r="14" customFormat="false" ht="24" hidden="false" customHeight="true" outlineLevel="0" collapsed="false">
      <c r="A14" s="26" t="s">
        <v>74</v>
      </c>
      <c r="B14" s="27" t="n">
        <v>4</v>
      </c>
      <c r="C14" s="28" t="s">
        <v>58</v>
      </c>
      <c r="D14" s="28" t="s">
        <v>64</v>
      </c>
      <c r="E14" s="31" t="n">
        <v>4</v>
      </c>
      <c r="F14" s="31" t="n">
        <v>4</v>
      </c>
      <c r="G14" s="31" t="n">
        <v>3</v>
      </c>
      <c r="H14" s="31"/>
      <c r="I14" s="31"/>
      <c r="J14" s="31"/>
      <c r="K14" s="31"/>
      <c r="L14" s="31"/>
      <c r="M14" s="31"/>
      <c r="N14" s="31"/>
      <c r="O14" s="31"/>
      <c r="P14" s="31"/>
      <c r="Q14" s="32" t="n">
        <f aca="false">IF(COUNT(E14:P14)&gt;0,SUM(E14:P14),"")</f>
        <v>11</v>
      </c>
    </row>
    <row r="15" customFormat="false" ht="24" hidden="false" customHeight="true" outlineLevel="0" collapsed="false">
      <c r="A15" s="26" t="s">
        <v>75</v>
      </c>
      <c r="B15" s="27" t="n">
        <v>95</v>
      </c>
      <c r="C15" s="28" t="s">
        <v>58</v>
      </c>
      <c r="D15" s="28" t="s">
        <v>59</v>
      </c>
      <c r="E15" s="29" t="n">
        <v>100</v>
      </c>
      <c r="F15" s="29" t="n">
        <v>90</v>
      </c>
      <c r="G15" s="29" t="n">
        <v>95</v>
      </c>
      <c r="H15" s="29"/>
      <c r="I15" s="29"/>
      <c r="J15" s="29"/>
      <c r="K15" s="29"/>
      <c r="L15" s="29"/>
      <c r="M15" s="29"/>
      <c r="N15" s="29"/>
      <c r="O15" s="29"/>
      <c r="P15" s="29"/>
      <c r="Q15" s="30" t="n">
        <f aca="false">IF(COUNT(E15:P15)&gt;0,AVERAGE(E15:P15),"")</f>
        <v>95</v>
      </c>
    </row>
    <row r="16" customFormat="false" ht="24" hidden="false" customHeight="true" outlineLevel="0" collapsed="false">
      <c r="A16" s="26" t="s">
        <v>76</v>
      </c>
      <c r="B16" s="27" t="n">
        <v>2</v>
      </c>
      <c r="C16" s="28" t="s">
        <v>58</v>
      </c>
      <c r="D16" s="28" t="s">
        <v>64</v>
      </c>
      <c r="E16" s="31" t="n">
        <v>2</v>
      </c>
      <c r="F16" s="31" t="n">
        <v>3</v>
      </c>
      <c r="G16" s="31" t="n">
        <v>2</v>
      </c>
      <c r="H16" s="31"/>
      <c r="I16" s="31"/>
      <c r="J16" s="31"/>
      <c r="K16" s="31"/>
      <c r="L16" s="31"/>
      <c r="M16" s="31"/>
      <c r="N16" s="31"/>
      <c r="O16" s="31"/>
      <c r="P16" s="31"/>
      <c r="Q16" s="32" t="n">
        <f aca="false">IF(COUNT(E16:P16)&gt;0,SUM(E16:P16),"")</f>
        <v>7</v>
      </c>
    </row>
  </sheetData>
  <mergeCells count="4">
    <mergeCell ref="A1:Q1"/>
    <mergeCell ref="A2:B2"/>
    <mergeCell ref="C2:F2"/>
    <mergeCell ref="G2:H2"/>
  </mergeCells>
  <conditionalFormatting sqref="E5:P5">
    <cfRule type="expression" priority="2" aboveAverage="0" equalAverage="0" bottom="0" percent="0" rank="0" text="" dxfId="0">
      <formula>AND(E5&lt;&gt;"",E5&gt;=$B5)</formula>
    </cfRule>
    <cfRule type="expression" priority="3" aboveAverage="0" equalAverage="0" bottom="0" percent="0" rank="0" text="" dxfId="1">
      <formula>AND(E5&lt;&gt;"",E5&gt;=$B5*0.9,E5&lt;$B5)</formula>
    </cfRule>
    <cfRule type="expression" priority="4" aboveAverage="0" equalAverage="0" bottom="0" percent="0" rank="0" text="" dxfId="2">
      <formula>AND(E5&lt;&gt;"",E5&lt;$B5*0.9)</formula>
    </cfRule>
  </conditionalFormatting>
  <conditionalFormatting sqref="E6:P6">
    <cfRule type="expression" priority="5" aboveAverage="0" equalAverage="0" bottom="0" percent="0" rank="0" text="" dxfId="0">
      <formula>AND(E6&lt;&gt;"",E6&lt;=$B6)</formula>
    </cfRule>
    <cfRule type="expression" priority="6" aboveAverage="0" equalAverage="0" bottom="0" percent="0" rank="0" text="" dxfId="1">
      <formula>AND(E6&lt;&gt;"",E6&gt;$B6,E6&lt;=$B6*1.1)</formula>
    </cfRule>
    <cfRule type="expression" priority="7" aboveAverage="0" equalAverage="0" bottom="0" percent="0" rank="0" text="" dxfId="2">
      <formula>AND(E6&lt;&gt;"",E6&gt;$B6*1.1)</formula>
    </cfRule>
  </conditionalFormatting>
  <conditionalFormatting sqref="E7:P7">
    <cfRule type="expression" priority="8" aboveAverage="0" equalAverage="0" bottom="0" percent="0" rank="0" text="" dxfId="0">
      <formula>AND(E7&lt;&gt;"",E7&lt;=$B7)</formula>
    </cfRule>
    <cfRule type="expression" priority="9" aboveAverage="0" equalAverage="0" bottom="0" percent="0" rank="0" text="" dxfId="1">
      <formula>AND(E7&lt;&gt;"",E7&gt;$B7,E7&lt;=$B7*1.1)</formula>
    </cfRule>
    <cfRule type="expression" priority="10" aboveAverage="0" equalAverage="0" bottom="0" percent="0" rank="0" text="" dxfId="2">
      <formula>AND(E7&lt;&gt;"",E7&gt;$B7*1.1)</formula>
    </cfRule>
  </conditionalFormatting>
  <conditionalFormatting sqref="E8:P8">
    <cfRule type="expression" priority="11" aboveAverage="0" equalAverage="0" bottom="0" percent="0" rank="0" text="" dxfId="0">
      <formula>AND(E8&lt;&gt;"",E8&lt;=$B8)</formula>
    </cfRule>
    <cfRule type="expression" priority="12" aboveAverage="0" equalAverage="0" bottom="0" percent="0" rank="0" text="" dxfId="1">
      <formula>AND(E8&lt;&gt;"",E8&gt;$B8,E8&lt;=$B8*1.1)</formula>
    </cfRule>
    <cfRule type="expression" priority="13" aboveAverage="0" equalAverage="0" bottom="0" percent="0" rank="0" text="" dxfId="2">
      <formula>AND(E8&lt;&gt;"",E8&gt;$B8*1.1)</formula>
    </cfRule>
  </conditionalFormatting>
  <conditionalFormatting sqref="E9:P9">
    <cfRule type="expression" priority="14" aboveAverage="0" equalAverage="0" bottom="0" percent="0" rank="0" text="" dxfId="0">
      <formula>AND(E9&lt;&gt;"",E9&lt;=$B9)</formula>
    </cfRule>
    <cfRule type="expression" priority="15" aboveAverage="0" equalAverage="0" bottom="0" percent="0" rank="0" text="" dxfId="1">
      <formula>AND(E9&lt;&gt;"",E9&gt;$B9,E9&lt;=$B9*1.1)</formula>
    </cfRule>
    <cfRule type="expression" priority="16" aboveAverage="0" equalAverage="0" bottom="0" percent="0" rank="0" text="" dxfId="2">
      <formula>AND(E9&lt;&gt;"",E9&gt;$B9*1.1)</formula>
    </cfRule>
  </conditionalFormatting>
  <conditionalFormatting sqref="E10:P10">
    <cfRule type="expression" priority="17" aboveAverage="0" equalAverage="0" bottom="0" percent="0" rank="0" text="" dxfId="0">
      <formula>AND(E10&lt;&gt;"",E10&lt;=$B10)</formula>
    </cfRule>
    <cfRule type="expression" priority="18" aboveAverage="0" equalAverage="0" bottom="0" percent="0" rank="0" text="" dxfId="1">
      <formula>AND(E10&lt;&gt;"",E10&gt;$B10,E10&lt;=$B10*1.1)</formula>
    </cfRule>
    <cfRule type="expression" priority="19" aboveAverage="0" equalAverage="0" bottom="0" percent="0" rank="0" text="" dxfId="2">
      <formula>AND(E10&lt;&gt;"",E10&gt;$B10*1.1)</formula>
    </cfRule>
  </conditionalFormatting>
  <conditionalFormatting sqref="E11:P11">
    <cfRule type="expression" priority="20" aboveAverage="0" equalAverage="0" bottom="0" percent="0" rank="0" text="" dxfId="0">
      <formula>AND(E11&lt;&gt;"",E11&lt;=$B11)</formula>
    </cfRule>
    <cfRule type="expression" priority="21" aboveAverage="0" equalAverage="0" bottom="0" percent="0" rank="0" text="" dxfId="1">
      <formula>AND(E11&lt;&gt;"",E11&gt;$B11,E11&lt;=$B11*1.1)</formula>
    </cfRule>
    <cfRule type="expression" priority="22" aboveAverage="0" equalAverage="0" bottom="0" percent="0" rank="0" text="" dxfId="2">
      <formula>AND(E11&lt;&gt;"",E11&gt;$B11*1.1)</formula>
    </cfRule>
  </conditionalFormatting>
  <conditionalFormatting sqref="E12:P12">
    <cfRule type="expression" priority="23" aboveAverage="0" equalAverage="0" bottom="0" percent="0" rank="0" text="" dxfId="0">
      <formula>AND(E12&lt;&gt;"",E12&lt;=$B12)</formula>
    </cfRule>
    <cfRule type="expression" priority="24" aboveAverage="0" equalAverage="0" bottom="0" percent="0" rank="0" text="" dxfId="1">
      <formula>AND(E12&lt;&gt;"",E12&gt;$B12,E12&lt;=$B12*1.1)</formula>
    </cfRule>
    <cfRule type="expression" priority="25" aboveAverage="0" equalAverage="0" bottom="0" percent="0" rank="0" text="" dxfId="2">
      <formula>AND(E12&lt;&gt;"",E12&gt;$B12*1.1)</formula>
    </cfRule>
  </conditionalFormatting>
  <conditionalFormatting sqref="E13:P13">
    <cfRule type="expression" priority="26" aboveAverage="0" equalAverage="0" bottom="0" percent="0" rank="0" text="" dxfId="0">
      <formula>AND(E13&lt;&gt;"",E13&lt;=$B13)</formula>
    </cfRule>
    <cfRule type="expression" priority="27" aboveAverage="0" equalAverage="0" bottom="0" percent="0" rank="0" text="" dxfId="1">
      <formula>AND(E13&lt;&gt;"",E13&gt;$B13,E13&lt;=$B13*1.1)</formula>
    </cfRule>
    <cfRule type="expression" priority="28" aboveAverage="0" equalAverage="0" bottom="0" percent="0" rank="0" text="" dxfId="2">
      <formula>AND(E13&lt;&gt;"",E13&gt;$B13*1.1)</formula>
    </cfRule>
  </conditionalFormatting>
  <conditionalFormatting sqref="E14:P14">
    <cfRule type="expression" priority="29" aboveAverage="0" equalAverage="0" bottom="0" percent="0" rank="0" text="" dxfId="0">
      <formula>AND(E14&lt;&gt;"",E14&gt;=$B14)</formula>
    </cfRule>
    <cfRule type="expression" priority="30" aboveAverage="0" equalAverage="0" bottom="0" percent="0" rank="0" text="" dxfId="1">
      <formula>AND(E14&lt;&gt;"",E14&gt;=$B14*0.9,E14&lt;$B14)</formula>
    </cfRule>
    <cfRule type="expression" priority="31" aboveAverage="0" equalAverage="0" bottom="0" percent="0" rank="0" text="" dxfId="2">
      <formula>AND(E14&lt;&gt;"",E14&lt;$B14*0.9)</formula>
    </cfRule>
  </conditionalFormatting>
  <conditionalFormatting sqref="E15:P15">
    <cfRule type="expression" priority="32" aboveAverage="0" equalAverage="0" bottom="0" percent="0" rank="0" text="" dxfId="0">
      <formula>AND(E15&lt;&gt;"",E15&gt;=$B15)</formula>
    </cfRule>
    <cfRule type="expression" priority="33" aboveAverage="0" equalAverage="0" bottom="0" percent="0" rank="0" text="" dxfId="1">
      <formula>AND(E15&lt;&gt;"",E15&gt;=$B15*0.9,E15&lt;$B15)</formula>
    </cfRule>
    <cfRule type="expression" priority="34" aboveAverage="0" equalAverage="0" bottom="0" percent="0" rank="0" text="" dxfId="2">
      <formula>AND(E15&lt;&gt;"",E15&lt;$B15*0.9)</formula>
    </cfRule>
  </conditionalFormatting>
  <conditionalFormatting sqref="E16:P16">
    <cfRule type="expression" priority="35" aboveAverage="0" equalAverage="0" bottom="0" percent="0" rank="0" text="" dxfId="0">
      <formula>AND(E16&lt;&gt;"",E16&gt;=$B16)</formula>
    </cfRule>
    <cfRule type="expression" priority="36" aboveAverage="0" equalAverage="0" bottom="0" percent="0" rank="0" text="" dxfId="1">
      <formula>AND(E16&lt;&gt;"",E16&gt;=$B16*0.9,E16&lt;$B16)</formula>
    </cfRule>
    <cfRule type="expression" priority="37" aboveAverage="0" equalAverage="0" bottom="0" percent="0" rank="0" text="" dxfId="2">
      <formula>AND(E16&lt;&gt;"",E16&lt;$B16*0.9)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&amp;CEnvironmental KPI Dashboard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77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78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79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80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81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82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83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84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Environmental</cp:category>
  <dcterms:created xsi:type="dcterms:W3CDTF">2026-03-23T07:04:41Z</dcterms:created>
  <dc:creator>Ebrora Ltd</dc:creator>
  <dc:description>Track monthly environmental KPIs against targets with automatic RAG traffic-light status for UK construction project reporting.
Free professional construction management template from Ebrora Ltd. Visit ebrora.com for our full range of tools and templates.</dc:description>
  <cp:keywords>Ebrora construction environmental KPI dashboard performance targets RAG monitoring</cp:keywords>
  <dc:language>en-US</dc:language>
  <cp:lastModifiedBy>Ebrora Ltd</cp:lastModifiedBy>
  <dcterms:modified xsi:type="dcterms:W3CDTF">2026-03-23T07:04:41Z</dcterms:modified>
  <cp:revision>0</cp:revision>
  <dc:subject>Track monthly environmental KPIs against targets with automatic RAG traffic-light status for construction projects.</dc:subject>
  <dc:title>Environmental KPI Dashboard 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