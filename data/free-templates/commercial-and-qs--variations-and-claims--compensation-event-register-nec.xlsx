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E Register" sheetId="3" state="visible" r:id="rId5"/>
    <sheet name="Terms of Use" sheetId="4" state="hidden" r:id="rId6"/>
  </sheets>
  <definedNames>
    <definedName function="false" hidden="false" localSheetId="2" name="_xlnm.Print_Area" vbProcedure="false">'CE Register'!$A$1:$J$62</definedName>
    <definedName function="false" hidden="true" localSheetId="2" name="_xlnm._FilterDatabase" vbProcedure="false">'CE Register'!$A$11:$Q$62</definedName>
    <definedName function="false" hidden="false" localSheetId="0" name="_xlnm.Print_Area" vbProcedure="false">Cover!$A$1:$H$20</definedName>
    <definedName function="false" hidden="false" localSheetId="1" name="_xlnm.Print_Area" vbProcedure="false">Instructions!$A$1:$F$35</definedName>
    <definedName function="false" hidden="false" name="CERegister" vbProcedure="false">'CE Register'!$A$11:$Q$62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<sst xmlns="http://schemas.openxmlformats.org/spreadsheetml/2006/main" count="123" uniqueCount="117">
  <si>
    <t xml:space="preserve">EBRORA</t>
  </si>
  <si>
    <t xml:space="preserve">ebrora.com</t>
  </si>
  <si>
    <t xml:space="preserve">Compensation Event Register</t>
  </si>
  <si>
    <t xml:space="preserve">Track NEC compensation events through each contractual stage</t>
  </si>
  <si>
    <t xml:space="preserve">with automatic deadline monitoring and value tracking.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</si>
  <si>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</si>
  <si>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</si>
  <si>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</si>
  <si>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</si>
  <si>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</si>
  <si>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</si>
  <si>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'CE Register' sheet. The top band shows live counts by stage: how many CEs are at Notified, Quotation, Assessment, Implemented, and how many have been Withdrawn or Not Accepted.</t>
  </si>
  <si>
    <t xml:space="preserve">2.</t>
  </si>
  <si>
    <t xml:space="preserve">Each row tracks one compensation event. Enter the CE Ref, Date Notified, the NEC clause (e.g. 60.1(1)), a description, and the current Stage using the dropdown.</t>
  </si>
  <si>
    <t xml:space="preserve">3.</t>
  </si>
  <si>
    <t xml:space="preserve">As the CE progresses, fill in the key milestone dates: Date Quotation Submitted, Date PM Responded, and Date Implemented. The Quotation Deadline and Days Remaining columns calculate automatically based on NEC timescales.</t>
  </si>
  <si>
    <t xml:space="preserve">4.</t>
  </si>
  <si>
    <t xml:space="preserve">Enter the Contractor’s Quotation (£) when submitted and the Agreed/Assessed Value (£) once the PM makes their assessment. Variance calculates automatically.</t>
  </si>
  <si>
    <t xml:space="preserve">5.</t>
  </si>
  <si>
    <t xml:space="preserve">The Quotation Deadline column adds 3 weeks (21 days) to the notification date per NEC Clause 62.3. If you’ve passed the deadline without a quotation, the cell highlights red.</t>
  </si>
  <si>
    <t xml:space="preserve">NEC Workflow Stages</t>
  </si>
  <si>
    <t xml:space="preserve">Notified — CE has been notified to the PM under Clause 61.</t>
  </si>
  <si>
    <t xml:space="preserve">Quotation — Contractor is preparing or has submitted quotation under Clause 62.</t>
  </si>
  <si>
    <t xml:space="preserve">Assessment — PM is assessing the quotation under Clause 64/65.</t>
  </si>
  <si>
    <t xml:space="preserve">Implemented — CE has been implemented and value agreed.</t>
  </si>
  <si>
    <t xml:space="preserve">Not Accepted — PM has decided the event is not a CE.</t>
  </si>
  <si>
    <t xml:space="preserve">Withdrawn — Contractor has withdrawn the notification.</t>
  </si>
  <si>
    <t xml:space="preserve">Optional Fields</t>
  </si>
  <si>
    <t xml:space="preserve">6.</t>
  </si>
  <si>
    <t xml:space="preserve">Click [+] to expand optional fields: Linked EW Ref (Early Warning), PM Response Date, PM Response, Time Impact (weeks), Programme Impact Description, and Linked VO Ref.</t>
  </si>
  <si>
    <t xml:space="preserve">7.</t>
  </si>
  <si>
    <t xml:space="preserve">Linking to the Early Warning register is good practice under NEC4 — it evidences that the matter was raised proactively.</t>
  </si>
  <si>
    <t xml:space="preserve">Colour Key</t>
  </si>
  <si>
    <t xml:space="preserve">Light teal cells (#E8F6F7) — User input.</t>
  </si>
  <si>
    <t xml:space="preserve">Dark navy headers — Do not edit.</t>
  </si>
  <si>
    <t xml:space="preserve">Blue — Stage is 'Notified'.</t>
  </si>
  <si>
    <t xml:space="preserve">Amber — Stage is 'Quotation' or 'Assessment'.</t>
  </si>
  <si>
    <t xml:space="preserve">Green — Stage is 'Implemented'.</t>
  </si>
  <si>
    <t xml:space="preserve">Red — Stage is 'Not Accepted', or quotation deadline has passed.</t>
  </si>
  <si>
    <t xml:space="preserve">Grey — Stage is 'Withdrawn'.</t>
  </si>
  <si>
    <t xml:space="preserve">Tips</t>
  </si>
  <si>
    <t xml:space="preserve">Tip 1:</t>
  </si>
  <si>
    <t xml:space="preserve">Under NEC4, the Contractor must notify a CE within 8 weeks of becoming aware (Clause 61.3). Log events immediately — late notifications can be time-barred.</t>
  </si>
  <si>
    <t xml:space="preserve">Tip 2:</t>
  </si>
  <si>
    <t xml:space="preserve">Always link CEs to Early Warnings where possible. The Early Warning Register (Template 64) cross-references with this register.</t>
  </si>
  <si>
    <t xml:space="preserve">Tip 3:</t>
  </si>
  <si>
    <t xml:space="preserve">Review this register fortnightly in your commercial/PM meeting. Filter by Stage = 'Quotation' and sort by Quotation Deadline to prioritise submissions.</t>
  </si>
  <si>
    <t xml:space="preserve">COMPENSATION EVENT REGISTER — NEC WORKFLOW TRACKER</t>
  </si>
  <si>
    <t xml:space="preserve">Total CEs</t>
  </si>
  <si>
    <t xml:space="preserve">Total Quoted (£)</t>
  </si>
  <si>
    <t xml:space="preserve">Total Agreed (£)</t>
  </si>
  <si>
    <t xml:space="preserve">Net Variance (£)</t>
  </si>
  <si>
    <t xml:space="preserve">Overdue Quotations</t>
  </si>
  <si>
    <t xml:space="preserve">Notified</t>
  </si>
  <si>
    <t xml:space="preserve">Quotation</t>
  </si>
  <si>
    <t xml:space="preserve">Assessment</t>
  </si>
  <si>
    <t xml:space="preserve">Implemented</t>
  </si>
  <si>
    <t xml:space="preserve">Not Accepted</t>
  </si>
  <si>
    <t xml:space="preserve">Withdrawn</t>
  </si>
  <si>
    <t xml:space="preserve">NEC4 Key Timescales:   61.3 — Notify within 8 weeks  |  62.3 — Submit quotation within 3 weeks of instruction  |  64.1/65.1 — PM responds within 2 weeks of quotation</t>
  </si>
  <si>
    <t xml:space="preserve">▸ Optional Fields — Click [+] to expand</t>
  </si>
  <si>
    <t xml:space="preserve">CE Ref</t>
  </si>
  <si>
    <t xml:space="preserve">Date
Notified</t>
  </si>
  <si>
    <t xml:space="preserve">NEC
Clause</t>
  </si>
  <si>
    <t xml:space="preserve">Description</t>
  </si>
  <si>
    <t xml:space="preserve">Stage</t>
  </si>
  <si>
    <t xml:space="preserve">Quotation
Deadline</t>
  </si>
  <si>
    <t xml:space="preserve">Contractor
Quotation (£)</t>
  </si>
  <si>
    <t xml:space="preserve">Agreed /
Assessed (£)</t>
  </si>
  <si>
    <t xml:space="preserve">Variance
(£)</t>
  </si>
  <si>
    <t xml:space="preserve">Notes</t>
  </si>
  <si>
    <t xml:space="preserve">Linked
EW Ref</t>
  </si>
  <si>
    <t xml:space="preserve">Date Quotation
Submitted</t>
  </si>
  <si>
    <t xml:space="preserve">PM Response
Date</t>
  </si>
  <si>
    <t xml:space="preserve">PM
Response</t>
  </si>
  <si>
    <t xml:space="preserve">Time Impact
(Weeks)</t>
  </si>
  <si>
    <t xml:space="preserve">Programme
Impact</t>
  </si>
  <si>
    <t xml:space="preserve">Linked
VO Ref</t>
  </si>
  <si>
    <t xml:space="preserve">CE-001</t>
  </si>
  <si>
    <t xml:space="preserve">60.1(1)</t>
  </si>
  <si>
    <t xml:space="preserve">Unforeseen ground conditions — soft spots requiring additional piling at Grid J7-K8</t>
  </si>
  <si>
    <t xml:space="preserve">Implemented IPC-03. Final account agreed.</t>
  </si>
  <si>
    <t xml:space="preserve">EW-003</t>
  </si>
  <si>
    <t xml:space="preserve">Accepted</t>
  </si>
  <si>
    <t xml:space="preserve">2-week delay to substructure</t>
  </si>
  <si>
    <t xml:space="preserve">VO-001</t>
  </si>
  <si>
    <t xml:space="preserve">CE-002</t>
  </si>
  <si>
    <t xml:space="preserve">60.1(4)</t>
  </si>
  <si>
    <t xml:space="preserve">3-week weather delay — Storm Éowyn. Prelim costs and programme impact.</t>
  </si>
  <si>
    <t xml:space="preserve">Quotation submitted. PM reviewing with QS.</t>
  </si>
  <si>
    <t xml:space="preserve">EW-007</t>
  </si>
  <si>
    <t xml:space="preserve">Revised Quotation Requested</t>
  </si>
  <si>
    <t xml:space="preserve">3-week critical delay</t>
  </si>
  <si>
    <t xml:space="preserve">VO-003</t>
  </si>
  <si>
    <t xml:space="preserve">CE-003</t>
  </si>
  <si>
    <t xml:space="preserve">Building Control requirement for additional fire stopping to Level 2 risers</t>
  </si>
  <si>
    <t xml:space="preserve">Quotation in preparation. Daywork records DW-027 to DW-031.</t>
  </si>
  <si>
    <t xml:space="preserve">EW-012</t>
  </si>
  <si>
    <t xml:space="preserve">VO-004</t>
  </si>
  <si>
    <t xml:space="preserve">CE-004</t>
  </si>
  <si>
    <t xml:space="preserve">60.1(8)</t>
  </si>
  <si>
    <t xml:space="preserve">PM instruction to change external cladding colour from RAL 7016 to RAL 9005</t>
  </si>
  <si>
    <t xml:space="preserve">Awaiting PM instruction to submit quotation.</t>
  </si>
  <si>
    <t xml:space="preserve">CE-005</t>
  </si>
  <si>
    <t xml:space="preserve">60.1(12)</t>
  </si>
  <si>
    <t xml:space="preserve">Contractor notified late access to Zone D due to third-party utility diversion delay</t>
  </si>
  <si>
    <t xml:space="preserve">EW raised. Awaiting PM decision on CE status.</t>
  </si>
  <si>
    <t xml:space="preserve">EW-018</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</si>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</sst>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RED]&quot;(£&quot;#,##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BDD7EE"/>
        <bgColor rgb="FFC6EFCE"/>
      </patternFill>
    </fill>
    <fill>
      <patternFill patternType="solid">
        <fgColor rgb="FFFFEB9C"/>
        <bgColor rgb="FFF2F2F2"/>
      </patternFill>
    </fill>
    <fill>
      <patternFill patternType="solid">
        <fgColor rgb="FFC6EFCE"/>
        <bgColor rgb="FFCCFFFF"/>
      </patternFill>
    </fill>
    <fill>
      <patternFill patternType="solid">
        <fgColor rgb="FFFFC7CE"/>
        <bgColor rgb="FFFFEB9C"/>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6" fontId="15" fillId="3"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12" fillId="9" borderId="0" xfId="0" applyFont="true" applyBorder="true" applyAlignment="true" applyProtection="false">
      <alignment horizontal="center" vertical="center" textRotation="0" wrapText="true" indent="0" shrinkToFit="false"/>
      <protection locked="true" hidden="false"/>
    </xf>
    <xf numFmtId="164" fontId="16" fillId="4" borderId="0"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7"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7" fontId="13" fillId="3" borderId="3" xfId="0" applyFont="true" applyBorder="true" applyAlignment="true" applyProtection="false">
      <alignment horizontal="center" vertical="center" textRotation="0" wrapText="true" indent="0" shrinkToFit="false"/>
      <protection locked="true" hidden="false"/>
    </xf>
    <xf numFmtId="166" fontId="13" fillId="4" borderId="3" xfId="0" applyFont="true" applyBorder="true" applyAlignment="true" applyProtection="false">
      <alignment horizontal="center" vertical="center" textRotation="0" wrapText="true" indent="0" shrinkToFit="false"/>
      <protection locked="true" hidden="false"/>
    </xf>
    <xf numFmtId="168" fontId="13" fillId="3" borderId="3"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C7CE"/>
          <bgColor rgb="FF000000"/>
        </patternFill>
      </fill>
    </dxf>
    <dxf>
      <fill>
        <patternFill>
          <bgColor rgb="FFBDD7EE"/>
        </patternFill>
      </fill>
    </dxf>
    <dxf>
      <fill>
        <patternFill>
          <bgColor rgb="FFFFEB9C"/>
        </patternFill>
      </fill>
    </dxf>
    <dxf>
      <fill>
        <patternFill>
          <bgColor rgb="FFC6EFCE"/>
        </patternFill>
      </fill>
    </dxf>
    <dxf>
      <fill>
        <patternFill>
          <bgColor rgb="FFFFC7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15" hidden="false" customHeight="true" outlineLevel="0" collapsed="false">
      <c r="A11" s="14" t="s">
        <v>21</v>
      </c>
      <c r="B11" s="14"/>
      <c r="C11" s="14"/>
      <c r="D11" s="14"/>
      <c r="E11" s="14"/>
      <c r="F11" s="14"/>
    </row>
    <row r="12" customFormat="false" ht="15" hidden="false" customHeight="true" outlineLevel="0" collapsed="false">
      <c r="A12" s="14" t="s">
        <v>22</v>
      </c>
      <c r="B12" s="14"/>
      <c r="C12" s="14"/>
      <c r="D12" s="14"/>
      <c r="E12" s="14"/>
      <c r="F12" s="14"/>
    </row>
    <row r="13" customFormat="false" ht="15" hidden="false" customHeight="true" outlineLevel="0" collapsed="false">
      <c r="A13" s="14" t="s">
        <v>23</v>
      </c>
      <c r="B13" s="14"/>
      <c r="C13" s="14"/>
      <c r="D13" s="14"/>
      <c r="E13" s="14"/>
      <c r="F13" s="14"/>
    </row>
    <row r="14" customFormat="false" ht="15" hidden="false" customHeight="true" outlineLevel="0" collapsed="false">
      <c r="A14" s="14" t="s">
        <v>24</v>
      </c>
      <c r="B14" s="14"/>
      <c r="C14" s="14"/>
      <c r="D14" s="14"/>
      <c r="E14" s="14"/>
      <c r="F14" s="14"/>
    </row>
    <row r="15" customFormat="false" ht="15" hidden="false" customHeight="true" outlineLevel="0" collapsed="false">
      <c r="A15" s="14" t="s">
        <v>25</v>
      </c>
      <c r="B15" s="14"/>
      <c r="C15" s="14"/>
      <c r="D15" s="14"/>
      <c r="E15" s="14"/>
      <c r="F15" s="14"/>
    </row>
    <row r="16" customFormat="false" ht="15" hidden="false" customHeight="true" outlineLevel="0" collapsed="false">
      <c r="A16" s="14" t="s">
        <v>26</v>
      </c>
      <c r="B16" s="14"/>
      <c r="C16" s="14"/>
      <c r="D16" s="14"/>
      <c r="E16" s="14"/>
      <c r="F16" s="14"/>
    </row>
    <row r="18" customFormat="false" ht="15" hidden="false" customHeight="true" outlineLevel="0" collapsed="false">
      <c r="A18" s="11" t="s">
        <v>27</v>
      </c>
      <c r="B18" s="11"/>
      <c r="C18" s="11"/>
      <c r="D18" s="11"/>
      <c r="E18" s="11"/>
      <c r="F18" s="11"/>
    </row>
    <row r="19" customFormat="false" ht="23.85" hidden="false" customHeight="true" outlineLevel="0" collapsed="false">
      <c r="A19" s="12" t="s">
        <v>28</v>
      </c>
      <c r="B19" s="13" t="s">
        <v>29</v>
      </c>
      <c r="C19" s="13"/>
      <c r="D19" s="13"/>
      <c r="E19" s="13"/>
      <c r="F19" s="13"/>
    </row>
    <row r="20" customFormat="false" ht="15" hidden="false" customHeight="true" outlineLevel="0" collapsed="false">
      <c r="A20" s="12" t="s">
        <v>30</v>
      </c>
      <c r="B20" s="13" t="s">
        <v>31</v>
      </c>
      <c r="C20" s="13"/>
      <c r="D20" s="13"/>
      <c r="E20" s="13"/>
      <c r="F20" s="13"/>
    </row>
    <row r="22" customFormat="false" ht="15" hidden="false" customHeight="true" outlineLevel="0" collapsed="false">
      <c r="A22" s="11" t="s">
        <v>32</v>
      </c>
      <c r="B22" s="11"/>
      <c r="C22" s="11"/>
      <c r="D22" s="11"/>
      <c r="E22" s="11"/>
      <c r="F22" s="11"/>
    </row>
    <row r="23" customFormat="false" ht="15" hidden="false" customHeight="true" outlineLevel="0" collapsed="false">
      <c r="A23" s="14" t="s">
        <v>33</v>
      </c>
      <c r="B23" s="14"/>
      <c r="C23" s="14"/>
      <c r="D23" s="14"/>
      <c r="E23" s="14"/>
      <c r="F23" s="14"/>
    </row>
    <row r="24" customFormat="false" ht="15" hidden="false" customHeight="true" outlineLevel="0" collapsed="false">
      <c r="A24" s="14" t="s">
        <v>34</v>
      </c>
      <c r="B24" s="14"/>
      <c r="C24" s="14"/>
      <c r="D24" s="14"/>
      <c r="E24" s="14"/>
      <c r="F24" s="14"/>
    </row>
    <row r="25" customFormat="false" ht="15" hidden="false" customHeight="true" outlineLevel="0" collapsed="false">
      <c r="A25" s="14" t="s">
        <v>35</v>
      </c>
      <c r="B25" s="14"/>
      <c r="C25" s="14"/>
      <c r="D25" s="14"/>
      <c r="E25" s="14"/>
      <c r="F25" s="14"/>
    </row>
    <row r="26" customFormat="false" ht="15" hidden="false" customHeight="true" outlineLevel="0" collapsed="false">
      <c r="A26" s="14" t="s">
        <v>36</v>
      </c>
      <c r="B26" s="14"/>
      <c r="C26" s="14"/>
      <c r="D26" s="14"/>
      <c r="E26" s="14"/>
      <c r="F26" s="14"/>
    </row>
    <row r="27" customFormat="false" ht="15" hidden="false" customHeight="true" outlineLevel="0" collapsed="false">
      <c r="A27" s="14" t="s">
        <v>37</v>
      </c>
      <c r="B27" s="14"/>
      <c r="C27" s="14"/>
      <c r="D27" s="14"/>
      <c r="E27" s="14"/>
      <c r="F27" s="14"/>
    </row>
    <row r="28" customFormat="false" ht="15" hidden="false" customHeight="true" outlineLevel="0" collapsed="false">
      <c r="A28" s="14" t="s">
        <v>38</v>
      </c>
      <c r="B28" s="14"/>
      <c r="C28" s="14"/>
      <c r="D28" s="14"/>
      <c r="E28" s="14"/>
      <c r="F28" s="14"/>
    </row>
    <row r="29" customFormat="false" ht="15" hidden="false" customHeight="true" outlineLevel="0" collapsed="false">
      <c r="A29" s="14" t="s">
        <v>39</v>
      </c>
      <c r="B29" s="14"/>
      <c r="C29" s="14"/>
      <c r="D29" s="14"/>
      <c r="E29" s="14"/>
      <c r="F29" s="14"/>
    </row>
    <row r="31" customFormat="false" ht="15" hidden="false" customHeight="true" outlineLevel="0" collapsed="false">
      <c r="A31" s="11" t="s">
        <v>40</v>
      </c>
      <c r="B31" s="11"/>
      <c r="C31" s="11"/>
      <c r="D31" s="11"/>
      <c r="E31" s="11"/>
      <c r="F31" s="11"/>
    </row>
    <row r="32" customFormat="false" ht="23.85" hidden="false" customHeight="true" outlineLevel="0" collapsed="false">
      <c r="A32" s="12" t="s">
        <v>41</v>
      </c>
      <c r="B32" s="13" t="s">
        <v>42</v>
      </c>
      <c r="C32" s="13"/>
      <c r="D32" s="13"/>
      <c r="E32" s="13"/>
      <c r="F32" s="13"/>
    </row>
    <row r="33" customFormat="false" ht="23.85" hidden="false" customHeight="true" outlineLevel="0" collapsed="false">
      <c r="A33" s="12" t="s">
        <v>43</v>
      </c>
      <c r="B33" s="13" t="s">
        <v>44</v>
      </c>
      <c r="C33" s="13"/>
      <c r="D33" s="13"/>
      <c r="E33" s="13"/>
      <c r="F33" s="13"/>
    </row>
    <row r="34" customFormat="false" ht="23.85" hidden="false" customHeight="true" outlineLevel="0" collapsed="false">
      <c r="A34" s="12" t="s">
        <v>45</v>
      </c>
      <c r="B34" s="13" t="s">
        <v>46</v>
      </c>
      <c r="C34" s="13"/>
      <c r="D34" s="13"/>
      <c r="E34" s="13"/>
      <c r="F34" s="13"/>
    </row>
  </sheetData>
  <mergeCells count="29">
    <mergeCell ref="A1:F1"/>
    <mergeCell ref="A3:F3"/>
    <mergeCell ref="B4:F4"/>
    <mergeCell ref="B5:F5"/>
    <mergeCell ref="B6:F6"/>
    <mergeCell ref="B7:F7"/>
    <mergeCell ref="B8:F8"/>
    <mergeCell ref="A10:F10"/>
    <mergeCell ref="A11:F11"/>
    <mergeCell ref="A12:F12"/>
    <mergeCell ref="A13:F13"/>
    <mergeCell ref="A14:F14"/>
    <mergeCell ref="A15:F15"/>
    <mergeCell ref="A16:F16"/>
    <mergeCell ref="A18:F18"/>
    <mergeCell ref="B19:F19"/>
    <mergeCell ref="B20:F20"/>
    <mergeCell ref="A22:F22"/>
    <mergeCell ref="A23:F23"/>
    <mergeCell ref="A24:F24"/>
    <mergeCell ref="A25:F25"/>
    <mergeCell ref="A26:F26"/>
    <mergeCell ref="A27:F27"/>
    <mergeCell ref="A28:F28"/>
    <mergeCell ref="A29:F29"/>
    <mergeCell ref="A31:F31"/>
    <mergeCell ref="B32:F32"/>
    <mergeCell ref="B33:F33"/>
    <mergeCell ref="B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11"/>
    <col collapsed="false" customWidth="true" hidden="false" outlineLevel="0" max="4" min="4" style="0" width="40"/>
    <col collapsed="false" customWidth="true" hidden="false" outlineLevel="0" max="5" min="5" style="0" width="15"/>
    <col collapsed="false" customWidth="true" hidden="false" outlineLevel="0" max="6" min="6" style="0" width="13"/>
    <col collapsed="false" customWidth="true" hidden="false" outlineLevel="0" max="8" min="7" style="0" width="16"/>
    <col collapsed="false" customWidth="true" hidden="false" outlineLevel="0" max="9" min="9" style="0" width="14"/>
    <col collapsed="false" customWidth="true" hidden="false" outlineLevel="0" max="10" min="10" style="0" width="32"/>
    <col collapsed="false" customWidth="true" hidden="true" outlineLevel="1" max="17" min="11" style="0" width="11"/>
  </cols>
  <sheetData>
    <row r="1" customFormat="false" ht="15" hidden="false" customHeight="true" outlineLevel="0" collapsed="false">
      <c r="A1" s="15" t="s">
        <v>47</v>
      </c>
      <c r="B1" s="15"/>
      <c r="C1" s="15"/>
      <c r="D1" s="15"/>
      <c r="E1" s="15"/>
      <c r="F1" s="15"/>
      <c r="G1" s="15"/>
      <c r="H1" s="15"/>
      <c r="I1" s="15"/>
      <c r="J1" s="15"/>
      <c r="K1" s="15"/>
      <c r="L1" s="15"/>
      <c r="M1" s="15"/>
      <c r="N1" s="15"/>
      <c r="O1" s="15"/>
      <c r="P1" s="15"/>
      <c r="Q1" s="15"/>
    </row>
    <row r="3" customFormat="false" ht="15" hidden="false" customHeight="true" outlineLevel="0" collapsed="false">
      <c r="A3" s="16" t="s">
        <v>48</v>
      </c>
      <c r="B3" s="16"/>
      <c r="C3" s="16" t="s">
        <v>49</v>
      </c>
      <c r="D3" s="16"/>
      <c r="E3" s="16" t="s">
        <v>50</v>
      </c>
      <c r="F3" s="16"/>
      <c r="G3" s="16" t="s">
        <v>51</v>
      </c>
      <c r="H3" s="16"/>
      <c r="I3" s="16" t="s">
        <v>52</v>
      </c>
      <c r="J3" s="16"/>
    </row>
    <row r="4" customFormat="false" ht="15" hidden="false" customHeight="false" outlineLevel="0" collapsed="false">
      <c r="A4" s="17" t="n">
        <f aca="false">COUNTA(A12:A62)</f>
        <v>5</v>
      </c>
      <c r="B4" s="17"/>
      <c r="C4" s="18" t="n">
        <f aca="false">SUM(G12:G62)</f>
        <v>92500</v>
      </c>
      <c r="D4" s="18"/>
      <c r="E4" s="18" t="n">
        <f aca="false">SUM(H12:H62)</f>
        <v>42500</v>
      </c>
      <c r="F4" s="18"/>
      <c r="G4" s="18" t="n">
        <f aca="false">E4-C4</f>
        <v>-50000</v>
      </c>
      <c r="H4" s="18"/>
      <c r="I4" s="17" t="n">
        <f aca="true">COUNTIFS(F12:F62,"&lt;"&amp;TODAY(),E12:E62,"Notified")</f>
        <v>2</v>
      </c>
      <c r="J4" s="17"/>
    </row>
    <row r="6" customFormat="false" ht="15" hidden="false" customHeight="true" outlineLevel="0" collapsed="false">
      <c r="A6" s="19" t="s">
        <v>53</v>
      </c>
      <c r="B6" s="19"/>
      <c r="C6" s="20" t="s">
        <v>54</v>
      </c>
      <c r="D6" s="20"/>
      <c r="E6" s="20" t="s">
        <v>55</v>
      </c>
      <c r="F6" s="20"/>
      <c r="G6" s="21" t="s">
        <v>56</v>
      </c>
      <c r="H6" s="21"/>
      <c r="I6" s="22" t="s">
        <v>57</v>
      </c>
      <c r="J6" s="22"/>
      <c r="K6" s="16" t="s">
        <v>58</v>
      </c>
      <c r="L6" s="16"/>
    </row>
    <row r="7" customFormat="false" ht="15" hidden="false" customHeight="false" outlineLevel="0" collapsed="false">
      <c r="A7" s="17" t="n">
        <f aca="false">COUNTIF(E12:E62,"Notified")</f>
        <v>2</v>
      </c>
      <c r="B7" s="17"/>
      <c r="C7" s="17" t="n">
        <f aca="false">COUNTIF(E12:E62,"Quotation")</f>
        <v>1</v>
      </c>
      <c r="D7" s="17"/>
      <c r="E7" s="17" t="n">
        <f aca="false">COUNTIF(E12:E62,"Assessment")</f>
        <v>1</v>
      </c>
      <c r="F7" s="17"/>
      <c r="G7" s="17" t="n">
        <f aca="false">COUNTIF(E12:E62,"Implemented")</f>
        <v>1</v>
      </c>
      <c r="H7" s="17"/>
      <c r="I7" s="17" t="n">
        <f aca="false">COUNTIF(E12:E62,"Not Accepted")</f>
        <v>0</v>
      </c>
      <c r="J7" s="17"/>
      <c r="K7" s="17" t="n">
        <f aca="false">COUNTIF(E12:E62,"Withdrawn")</f>
        <v>0</v>
      </c>
      <c r="L7" s="17"/>
    </row>
    <row r="9" customFormat="false" ht="15" hidden="false" customHeight="true" outlineLevel="0" collapsed="false">
      <c r="A9" s="23" t="s">
        <v>59</v>
      </c>
      <c r="B9" s="23"/>
      <c r="C9" s="23"/>
      <c r="D9" s="23"/>
      <c r="E9" s="23"/>
      <c r="F9" s="23"/>
      <c r="G9" s="23"/>
      <c r="H9" s="23"/>
      <c r="I9" s="23"/>
      <c r="J9" s="23"/>
      <c r="K9" s="24"/>
      <c r="L9" s="24"/>
      <c r="M9" s="24"/>
      <c r="N9" s="24"/>
      <c r="O9" s="24"/>
      <c r="P9" s="24"/>
      <c r="Q9" s="24"/>
    </row>
    <row r="10" customFormat="false" ht="32.8" hidden="false" customHeight="true" outlineLevel="0" collapsed="false">
      <c r="A10" s="25"/>
      <c r="B10" s="25"/>
      <c r="C10" s="25"/>
      <c r="D10" s="25"/>
      <c r="E10" s="25"/>
      <c r="F10" s="25"/>
      <c r="G10" s="25"/>
      <c r="H10" s="25"/>
      <c r="I10" s="25"/>
      <c r="J10" s="25"/>
      <c r="K10" s="26" t="s">
        <v>60</v>
      </c>
      <c r="L10" s="26"/>
      <c r="M10" s="26"/>
      <c r="N10" s="26"/>
      <c r="O10" s="26"/>
      <c r="P10" s="26"/>
      <c r="Q10" s="26"/>
    </row>
    <row r="11" customFormat="false" ht="68.65" hidden="false" customHeight="false" outlineLevel="0" collapsed="false">
      <c r="A11" s="27" t="s">
        <v>61</v>
      </c>
      <c r="B11" s="27" t="s">
        <v>62</v>
      </c>
      <c r="C11" s="27" t="s">
        <v>63</v>
      </c>
      <c r="D11" s="27" t="s">
        <v>64</v>
      </c>
      <c r="E11" s="27" t="s">
        <v>65</v>
      </c>
      <c r="F11" s="27" t="s">
        <v>66</v>
      </c>
      <c r="G11" s="27" t="s">
        <v>67</v>
      </c>
      <c r="H11" s="27" t="s">
        <v>68</v>
      </c>
      <c r="I11" s="27" t="s">
        <v>69</v>
      </c>
      <c r="J11" s="27" t="s">
        <v>70</v>
      </c>
      <c r="K11" s="27" t="s">
        <v>71</v>
      </c>
      <c r="L11" s="27" t="s">
        <v>72</v>
      </c>
      <c r="M11" s="27" t="s">
        <v>73</v>
      </c>
      <c r="N11" s="27" t="s">
        <v>74</v>
      </c>
      <c r="O11" s="27" t="s">
        <v>75</v>
      </c>
      <c r="P11" s="27" t="s">
        <v>76</v>
      </c>
      <c r="Q11" s="27" t="s">
        <v>77</v>
      </c>
    </row>
    <row r="12" customFormat="false" ht="35.05" hidden="false" customHeight="false" outlineLevel="0" collapsed="false">
      <c r="A12" s="28" t="s">
        <v>78</v>
      </c>
      <c r="B12" s="29" t="n">
        <v>45860</v>
      </c>
      <c r="C12" s="28" t="s">
        <v>79</v>
      </c>
      <c r="D12" s="30" t="s">
        <v>80</v>
      </c>
      <c r="E12" s="28" t="s">
        <v>56</v>
      </c>
      <c r="F12" s="31" t="n">
        <f aca="false">IF(B12&lt;&gt;"",B12+21,"")</f>
        <v>45881</v>
      </c>
      <c r="G12" s="32" t="n">
        <v>48000</v>
      </c>
      <c r="H12" s="32" t="n">
        <v>42500</v>
      </c>
      <c r="I12" s="33" t="n">
        <f aca="false">IF(AND(G12&lt;&gt;"",H12&lt;&gt;""),H12-G12,"")</f>
        <v>-5500</v>
      </c>
      <c r="J12" s="30" t="s">
        <v>81</v>
      </c>
      <c r="K12" s="28" t="s">
        <v>82</v>
      </c>
      <c r="L12" s="29" t="n">
        <v>45874</v>
      </c>
      <c r="M12" s="29" t="n">
        <v>45887</v>
      </c>
      <c r="N12" s="28" t="s">
        <v>83</v>
      </c>
      <c r="O12" s="28" t="n">
        <v>2</v>
      </c>
      <c r="P12" s="30" t="s">
        <v>84</v>
      </c>
      <c r="Q12" s="28" t="s">
        <v>85</v>
      </c>
    </row>
    <row r="13" customFormat="false" ht="35.05" hidden="false" customHeight="false" outlineLevel="0" collapsed="false">
      <c r="A13" s="28" t="s">
        <v>86</v>
      </c>
      <c r="B13" s="29" t="n">
        <v>45910</v>
      </c>
      <c r="C13" s="28" t="s">
        <v>87</v>
      </c>
      <c r="D13" s="30" t="s">
        <v>88</v>
      </c>
      <c r="E13" s="28" t="s">
        <v>55</v>
      </c>
      <c r="F13" s="31" t="n">
        <f aca="false">IF(B13&lt;&gt;"",B13+21,"")</f>
        <v>45931</v>
      </c>
      <c r="G13" s="32" t="n">
        <v>32000</v>
      </c>
      <c r="H13" s="32" t="n">
        <v>0</v>
      </c>
      <c r="I13" s="33" t="n">
        <f aca="false">IF(AND(G13&lt;&gt;"",H13&lt;&gt;""),H13-G13,"")</f>
        <v>-32000</v>
      </c>
      <c r="J13" s="30" t="s">
        <v>89</v>
      </c>
      <c r="K13" s="28" t="s">
        <v>90</v>
      </c>
      <c r="L13" s="29" t="n">
        <v>45928</v>
      </c>
      <c r="M13" s="29" t="n">
        <v>45938</v>
      </c>
      <c r="N13" s="28" t="s">
        <v>91</v>
      </c>
      <c r="O13" s="28" t="n">
        <v>3</v>
      </c>
      <c r="P13" s="30" t="s">
        <v>92</v>
      </c>
      <c r="Q13" s="28" t="s">
        <v>93</v>
      </c>
    </row>
    <row r="14" customFormat="false" ht="23.85" hidden="false" customHeight="false" outlineLevel="0" collapsed="false">
      <c r="A14" s="28" t="s">
        <v>94</v>
      </c>
      <c r="B14" s="29" t="n">
        <v>45966</v>
      </c>
      <c r="C14" s="28" t="s">
        <v>79</v>
      </c>
      <c r="D14" s="30" t="s">
        <v>95</v>
      </c>
      <c r="E14" s="28" t="s">
        <v>54</v>
      </c>
      <c r="F14" s="31" t="n">
        <f aca="false">IF(B14&lt;&gt;"",B14+21,"")</f>
        <v>45987</v>
      </c>
      <c r="G14" s="32" t="n">
        <v>12500</v>
      </c>
      <c r="H14" s="32" t="n">
        <v>0</v>
      </c>
      <c r="I14" s="33" t="n">
        <f aca="false">IF(AND(G14&lt;&gt;"",H14&lt;&gt;""),H14-G14,"")</f>
        <v>-12500</v>
      </c>
      <c r="J14" s="30" t="s">
        <v>96</v>
      </c>
      <c r="K14" s="28" t="s">
        <v>97</v>
      </c>
      <c r="L14" s="29"/>
      <c r="M14" s="29"/>
      <c r="N14" s="28"/>
      <c r="O14" s="28" t="n">
        <v>0</v>
      </c>
      <c r="P14" s="30"/>
      <c r="Q14" s="28" t="s">
        <v>98</v>
      </c>
    </row>
    <row r="15" customFormat="false" ht="23.85" hidden="false" customHeight="false" outlineLevel="0" collapsed="false">
      <c r="A15" s="28" t="s">
        <v>99</v>
      </c>
      <c r="B15" s="29" t="n">
        <v>46003</v>
      </c>
      <c r="C15" s="28" t="s">
        <v>100</v>
      </c>
      <c r="D15" s="30" t="s">
        <v>101</v>
      </c>
      <c r="E15" s="28" t="s">
        <v>53</v>
      </c>
      <c r="F15" s="31" t="n">
        <f aca="false">IF(B15&lt;&gt;"",B15+21,"")</f>
        <v>46024</v>
      </c>
      <c r="G15" s="32" t="n">
        <v>0</v>
      </c>
      <c r="H15" s="32" t="n">
        <v>0</v>
      </c>
      <c r="I15" s="33" t="n">
        <f aca="false">IF(AND(G15&lt;&gt;"",H15&lt;&gt;""),H15-G15,"")</f>
        <v>0</v>
      </c>
      <c r="J15" s="30" t="s">
        <v>102</v>
      </c>
      <c r="K15" s="28"/>
      <c r="L15" s="29"/>
      <c r="M15" s="29"/>
      <c r="N15" s="28"/>
      <c r="O15" s="28" t="n">
        <v>0</v>
      </c>
      <c r="P15" s="30"/>
      <c r="Q15" s="28"/>
    </row>
    <row r="16" customFormat="false" ht="23.85" hidden="false" customHeight="false" outlineLevel="0" collapsed="false">
      <c r="A16" s="28" t="s">
        <v>103</v>
      </c>
      <c r="B16" s="29" t="n">
        <v>46040</v>
      </c>
      <c r="C16" s="28" t="s">
        <v>104</v>
      </c>
      <c r="D16" s="30" t="s">
        <v>105</v>
      </c>
      <c r="E16" s="28" t="s">
        <v>53</v>
      </c>
      <c r="F16" s="31" t="n">
        <f aca="false">IF(B16&lt;&gt;"",B16+21,"")</f>
        <v>46061</v>
      </c>
      <c r="G16" s="32" t="n">
        <v>0</v>
      </c>
      <c r="H16" s="32" t="n">
        <v>0</v>
      </c>
      <c r="I16" s="33" t="n">
        <f aca="false">IF(AND(G16&lt;&gt;"",H16&lt;&gt;""),H16-G16,"")</f>
        <v>0</v>
      </c>
      <c r="J16" s="30" t="s">
        <v>106</v>
      </c>
      <c r="K16" s="28" t="s">
        <v>107</v>
      </c>
      <c r="L16" s="29"/>
      <c r="M16" s="29"/>
      <c r="N16" s="28"/>
      <c r="O16" s="28" t="n">
        <v>0</v>
      </c>
      <c r="P16" s="30"/>
      <c r="Q16" s="28"/>
    </row>
    <row r="17" customFormat="false" ht="15" hidden="false" customHeight="false" outlineLevel="0" collapsed="false">
      <c r="A17" s="28"/>
      <c r="B17" s="29"/>
      <c r="C17" s="28"/>
      <c r="D17" s="30"/>
      <c r="E17" s="28"/>
      <c r="F17" s="31" t="str">
        <f aca="false">IF(B17&lt;&gt;"",B17+21,"")</f>
        <v/>
      </c>
      <c r="G17" s="32"/>
      <c r="H17" s="32"/>
      <c r="I17" s="33" t="str">
        <f aca="false">IF(AND(G17&lt;&gt;"",H17&lt;&gt;""),H17-G17,"")</f>
        <v/>
      </c>
      <c r="J17" s="30"/>
      <c r="K17" s="28"/>
      <c r="L17" s="29"/>
      <c r="M17" s="29"/>
      <c r="N17" s="28"/>
      <c r="O17" s="28"/>
      <c r="P17" s="30"/>
      <c r="Q17" s="28"/>
    </row>
    <row r="18" customFormat="false" ht="15" hidden="false" customHeight="false" outlineLevel="0" collapsed="false">
      <c r="A18" s="28"/>
      <c r="B18" s="29"/>
      <c r="C18" s="28"/>
      <c r="D18" s="30"/>
      <c r="E18" s="28"/>
      <c r="F18" s="31" t="str">
        <f aca="false">IF(B18&lt;&gt;"",B18+21,"")</f>
        <v/>
      </c>
      <c r="G18" s="32"/>
      <c r="H18" s="32"/>
      <c r="I18" s="33" t="str">
        <f aca="false">IF(AND(G18&lt;&gt;"",H18&lt;&gt;""),H18-G18,"")</f>
        <v/>
      </c>
      <c r="J18" s="30"/>
      <c r="K18" s="28"/>
      <c r="L18" s="29"/>
      <c r="M18" s="29"/>
      <c r="N18" s="28"/>
      <c r="O18" s="28"/>
      <c r="P18" s="30"/>
      <c r="Q18" s="28"/>
    </row>
    <row r="19" customFormat="false" ht="15" hidden="false" customHeight="false" outlineLevel="0" collapsed="false">
      <c r="A19" s="28"/>
      <c r="B19" s="29"/>
      <c r="C19" s="28"/>
      <c r="D19" s="30"/>
      <c r="E19" s="28"/>
      <c r="F19" s="31" t="str">
        <f aca="false">IF(B19&lt;&gt;"",B19+21,"")</f>
        <v/>
      </c>
      <c r="G19" s="32"/>
      <c r="H19" s="32"/>
      <c r="I19" s="33" t="str">
        <f aca="false">IF(AND(G19&lt;&gt;"",H19&lt;&gt;""),H19-G19,"")</f>
        <v/>
      </c>
      <c r="J19" s="30"/>
      <c r="K19" s="28"/>
      <c r="L19" s="29"/>
      <c r="M19" s="29"/>
      <c r="N19" s="28"/>
      <c r="O19" s="28"/>
      <c r="P19" s="30"/>
      <c r="Q19" s="28"/>
    </row>
    <row r="20" customFormat="false" ht="15" hidden="false" customHeight="false" outlineLevel="0" collapsed="false">
      <c r="A20" s="28"/>
      <c r="B20" s="29"/>
      <c r="C20" s="28"/>
      <c r="D20" s="30"/>
      <c r="E20" s="28"/>
      <c r="F20" s="31" t="str">
        <f aca="false">IF(B20&lt;&gt;"",B20+21,"")</f>
        <v/>
      </c>
      <c r="G20" s="32"/>
      <c r="H20" s="32"/>
      <c r="I20" s="33" t="str">
        <f aca="false">IF(AND(G20&lt;&gt;"",H20&lt;&gt;""),H20-G20,"")</f>
        <v/>
      </c>
      <c r="J20" s="30"/>
      <c r="K20" s="28"/>
      <c r="L20" s="29"/>
      <c r="M20" s="29"/>
      <c r="N20" s="28"/>
      <c r="O20" s="28"/>
      <c r="P20" s="30"/>
      <c r="Q20" s="28"/>
    </row>
    <row r="21" customFormat="false" ht="15" hidden="false" customHeight="false" outlineLevel="0" collapsed="false">
      <c r="A21" s="28"/>
      <c r="B21" s="29"/>
      <c r="C21" s="28"/>
      <c r="D21" s="30"/>
      <c r="E21" s="28"/>
      <c r="F21" s="31" t="str">
        <f aca="false">IF(B21&lt;&gt;"",B21+21,"")</f>
        <v/>
      </c>
      <c r="G21" s="32"/>
      <c r="H21" s="32"/>
      <c r="I21" s="33" t="str">
        <f aca="false">IF(AND(G21&lt;&gt;"",H21&lt;&gt;""),H21-G21,"")</f>
        <v/>
      </c>
      <c r="J21" s="30"/>
      <c r="K21" s="28"/>
      <c r="L21" s="29"/>
      <c r="M21" s="29"/>
      <c r="N21" s="28"/>
      <c r="O21" s="28"/>
      <c r="P21" s="30"/>
      <c r="Q21" s="28"/>
    </row>
    <row r="22" customFormat="false" ht="15" hidden="false" customHeight="false" outlineLevel="0" collapsed="false">
      <c r="A22" s="28"/>
      <c r="B22" s="29"/>
      <c r="C22" s="28"/>
      <c r="D22" s="30"/>
      <c r="E22" s="28"/>
      <c r="F22" s="31" t="str">
        <f aca="false">IF(B22&lt;&gt;"",B22+21,"")</f>
        <v/>
      </c>
      <c r="G22" s="32"/>
      <c r="H22" s="32"/>
      <c r="I22" s="33" t="str">
        <f aca="false">IF(AND(G22&lt;&gt;"",H22&lt;&gt;""),H22-G22,"")</f>
        <v/>
      </c>
      <c r="J22" s="30"/>
      <c r="K22" s="28"/>
      <c r="L22" s="29"/>
      <c r="M22" s="29"/>
      <c r="N22" s="28"/>
      <c r="O22" s="28"/>
      <c r="P22" s="30"/>
      <c r="Q22" s="28"/>
    </row>
    <row r="23" customFormat="false" ht="15" hidden="false" customHeight="false" outlineLevel="0" collapsed="false">
      <c r="A23" s="28"/>
      <c r="B23" s="29"/>
      <c r="C23" s="28"/>
      <c r="D23" s="30"/>
      <c r="E23" s="28"/>
      <c r="F23" s="31" t="str">
        <f aca="false">IF(B23&lt;&gt;"",B23+21,"")</f>
        <v/>
      </c>
      <c r="G23" s="32"/>
      <c r="H23" s="32"/>
      <c r="I23" s="33" t="str">
        <f aca="false">IF(AND(G23&lt;&gt;"",H23&lt;&gt;""),H23-G23,"")</f>
        <v/>
      </c>
      <c r="J23" s="30"/>
      <c r="K23" s="28"/>
      <c r="L23" s="29"/>
      <c r="M23" s="29"/>
      <c r="N23" s="28"/>
      <c r="O23" s="28"/>
      <c r="P23" s="30"/>
      <c r="Q23" s="28"/>
    </row>
    <row r="24" customFormat="false" ht="15" hidden="false" customHeight="false" outlineLevel="0" collapsed="false">
      <c r="A24" s="28"/>
      <c r="B24" s="29"/>
      <c r="C24" s="28"/>
      <c r="D24" s="30"/>
      <c r="E24" s="28"/>
      <c r="F24" s="31" t="str">
        <f aca="false">IF(B24&lt;&gt;"",B24+21,"")</f>
        <v/>
      </c>
      <c r="G24" s="32"/>
      <c r="H24" s="32"/>
      <c r="I24" s="33" t="str">
        <f aca="false">IF(AND(G24&lt;&gt;"",H24&lt;&gt;""),H24-G24,"")</f>
        <v/>
      </c>
      <c r="J24" s="30"/>
      <c r="K24" s="28"/>
      <c r="L24" s="29"/>
      <c r="M24" s="29"/>
      <c r="N24" s="28"/>
      <c r="O24" s="28"/>
      <c r="P24" s="30"/>
      <c r="Q24" s="28"/>
    </row>
    <row r="25" customFormat="false" ht="15" hidden="false" customHeight="false" outlineLevel="0" collapsed="false">
      <c r="A25" s="28"/>
      <c r="B25" s="29"/>
      <c r="C25" s="28"/>
      <c r="D25" s="30"/>
      <c r="E25" s="28"/>
      <c r="F25" s="31" t="str">
        <f aca="false">IF(B25&lt;&gt;"",B25+21,"")</f>
        <v/>
      </c>
      <c r="G25" s="32"/>
      <c r="H25" s="32"/>
      <c r="I25" s="33" t="str">
        <f aca="false">IF(AND(G25&lt;&gt;"",H25&lt;&gt;""),H25-G25,"")</f>
        <v/>
      </c>
      <c r="J25" s="30"/>
      <c r="K25" s="28"/>
      <c r="L25" s="29"/>
      <c r="M25" s="29"/>
      <c r="N25" s="28"/>
      <c r="O25" s="28"/>
      <c r="P25" s="30"/>
      <c r="Q25" s="28"/>
    </row>
    <row r="26" customFormat="false" ht="15" hidden="false" customHeight="false" outlineLevel="0" collapsed="false">
      <c r="A26" s="28"/>
      <c r="B26" s="29"/>
      <c r="C26" s="28"/>
      <c r="D26" s="30"/>
      <c r="E26" s="28"/>
      <c r="F26" s="31" t="str">
        <f aca="false">IF(B26&lt;&gt;"",B26+21,"")</f>
        <v/>
      </c>
      <c r="G26" s="32"/>
      <c r="H26" s="32"/>
      <c r="I26" s="33" t="str">
        <f aca="false">IF(AND(G26&lt;&gt;"",H26&lt;&gt;""),H26-G26,"")</f>
        <v/>
      </c>
      <c r="J26" s="30"/>
      <c r="K26" s="28"/>
      <c r="L26" s="29"/>
      <c r="M26" s="29"/>
      <c r="N26" s="28"/>
      <c r="O26" s="28"/>
      <c r="P26" s="30"/>
      <c r="Q26" s="28"/>
    </row>
    <row r="27" customFormat="false" ht="15" hidden="false" customHeight="false" outlineLevel="0" collapsed="false">
      <c r="A27" s="28"/>
      <c r="B27" s="29"/>
      <c r="C27" s="28"/>
      <c r="D27" s="30"/>
      <c r="E27" s="28"/>
      <c r="F27" s="31" t="str">
        <f aca="false">IF(B27&lt;&gt;"",B27+21,"")</f>
        <v/>
      </c>
      <c r="G27" s="32"/>
      <c r="H27" s="32"/>
      <c r="I27" s="33" t="str">
        <f aca="false">IF(AND(G27&lt;&gt;"",H27&lt;&gt;""),H27-G27,"")</f>
        <v/>
      </c>
      <c r="J27" s="30"/>
      <c r="K27" s="28"/>
      <c r="L27" s="29"/>
      <c r="M27" s="29"/>
      <c r="N27" s="28"/>
      <c r="O27" s="28"/>
      <c r="P27" s="30"/>
      <c r="Q27" s="28"/>
    </row>
    <row r="28" customFormat="false" ht="15" hidden="false" customHeight="false" outlineLevel="0" collapsed="false">
      <c r="A28" s="28"/>
      <c r="B28" s="29"/>
      <c r="C28" s="28"/>
      <c r="D28" s="30"/>
      <c r="E28" s="28"/>
      <c r="F28" s="31" t="str">
        <f aca="false">IF(B28&lt;&gt;"",B28+21,"")</f>
        <v/>
      </c>
      <c r="G28" s="32"/>
      <c r="H28" s="32"/>
      <c r="I28" s="33" t="str">
        <f aca="false">IF(AND(G28&lt;&gt;"",H28&lt;&gt;""),H28-G28,"")</f>
        <v/>
      </c>
      <c r="J28" s="30"/>
      <c r="K28" s="28"/>
      <c r="L28" s="29"/>
      <c r="M28" s="29"/>
      <c r="N28" s="28"/>
      <c r="O28" s="28"/>
      <c r="P28" s="30"/>
      <c r="Q28" s="28"/>
    </row>
    <row r="29" customFormat="false" ht="15" hidden="false" customHeight="false" outlineLevel="0" collapsed="false">
      <c r="A29" s="28"/>
      <c r="B29" s="29"/>
      <c r="C29" s="28"/>
      <c r="D29" s="30"/>
      <c r="E29" s="28"/>
      <c r="F29" s="31" t="str">
        <f aca="false">IF(B29&lt;&gt;"",B29+21,"")</f>
        <v/>
      </c>
      <c r="G29" s="32"/>
      <c r="H29" s="32"/>
      <c r="I29" s="33" t="str">
        <f aca="false">IF(AND(G29&lt;&gt;"",H29&lt;&gt;""),H29-G29,"")</f>
        <v/>
      </c>
      <c r="J29" s="30"/>
      <c r="K29" s="28"/>
      <c r="L29" s="29"/>
      <c r="M29" s="29"/>
      <c r="N29" s="28"/>
      <c r="O29" s="28"/>
      <c r="P29" s="30"/>
      <c r="Q29" s="28"/>
    </row>
    <row r="30" customFormat="false" ht="15" hidden="false" customHeight="false" outlineLevel="0" collapsed="false">
      <c r="A30" s="28"/>
      <c r="B30" s="29"/>
      <c r="C30" s="28"/>
      <c r="D30" s="30"/>
      <c r="E30" s="28"/>
      <c r="F30" s="31" t="str">
        <f aca="false">IF(B30&lt;&gt;"",B30+21,"")</f>
        <v/>
      </c>
      <c r="G30" s="32"/>
      <c r="H30" s="32"/>
      <c r="I30" s="33" t="str">
        <f aca="false">IF(AND(G30&lt;&gt;"",H30&lt;&gt;""),H30-G30,"")</f>
        <v/>
      </c>
      <c r="J30" s="30"/>
      <c r="K30" s="28"/>
      <c r="L30" s="29"/>
      <c r="M30" s="29"/>
      <c r="N30" s="28"/>
      <c r="O30" s="28"/>
      <c r="P30" s="30"/>
      <c r="Q30" s="28"/>
    </row>
    <row r="31" customFormat="false" ht="15" hidden="false" customHeight="false" outlineLevel="0" collapsed="false">
      <c r="A31" s="28"/>
      <c r="B31" s="29"/>
      <c r="C31" s="28"/>
      <c r="D31" s="30"/>
      <c r="E31" s="28"/>
      <c r="F31" s="31" t="str">
        <f aca="false">IF(B31&lt;&gt;"",B31+21,"")</f>
        <v/>
      </c>
      <c r="G31" s="32"/>
      <c r="H31" s="32"/>
      <c r="I31" s="33" t="str">
        <f aca="false">IF(AND(G31&lt;&gt;"",H31&lt;&gt;""),H31-G31,"")</f>
        <v/>
      </c>
      <c r="J31" s="30"/>
      <c r="K31" s="28"/>
      <c r="L31" s="29"/>
      <c r="M31" s="29"/>
      <c r="N31" s="28"/>
      <c r="O31" s="28"/>
      <c r="P31" s="30"/>
      <c r="Q31" s="28"/>
    </row>
    <row r="32" customFormat="false" ht="15" hidden="false" customHeight="false" outlineLevel="0" collapsed="false">
      <c r="A32" s="28"/>
      <c r="B32" s="29"/>
      <c r="C32" s="28"/>
      <c r="D32" s="30"/>
      <c r="E32" s="28"/>
      <c r="F32" s="31" t="str">
        <f aca="false">IF(B32&lt;&gt;"",B32+21,"")</f>
        <v/>
      </c>
      <c r="G32" s="32"/>
      <c r="H32" s="32"/>
      <c r="I32" s="33" t="str">
        <f aca="false">IF(AND(G32&lt;&gt;"",H32&lt;&gt;""),H32-G32,"")</f>
        <v/>
      </c>
      <c r="J32" s="30"/>
      <c r="K32" s="28"/>
      <c r="L32" s="29"/>
      <c r="M32" s="29"/>
      <c r="N32" s="28"/>
      <c r="O32" s="28"/>
      <c r="P32" s="30"/>
      <c r="Q32" s="28"/>
    </row>
    <row r="33" customFormat="false" ht="15" hidden="false" customHeight="false" outlineLevel="0" collapsed="false">
      <c r="A33" s="28"/>
      <c r="B33" s="29"/>
      <c r="C33" s="28"/>
      <c r="D33" s="30"/>
      <c r="E33" s="28"/>
      <c r="F33" s="31" t="str">
        <f aca="false">IF(B33&lt;&gt;"",B33+21,"")</f>
        <v/>
      </c>
      <c r="G33" s="32"/>
      <c r="H33" s="32"/>
      <c r="I33" s="33" t="str">
        <f aca="false">IF(AND(G33&lt;&gt;"",H33&lt;&gt;""),H33-G33,"")</f>
        <v/>
      </c>
      <c r="J33" s="30"/>
      <c r="K33" s="28"/>
      <c r="L33" s="29"/>
      <c r="M33" s="29"/>
      <c r="N33" s="28"/>
      <c r="O33" s="28"/>
      <c r="P33" s="30"/>
      <c r="Q33" s="28"/>
    </row>
    <row r="34" customFormat="false" ht="15" hidden="false" customHeight="false" outlineLevel="0" collapsed="false">
      <c r="A34" s="28"/>
      <c r="B34" s="29"/>
      <c r="C34" s="28"/>
      <c r="D34" s="30"/>
      <c r="E34" s="28"/>
      <c r="F34" s="31" t="str">
        <f aca="false">IF(B34&lt;&gt;"",B34+21,"")</f>
        <v/>
      </c>
      <c r="G34" s="32"/>
      <c r="H34" s="32"/>
      <c r="I34" s="33" t="str">
        <f aca="false">IF(AND(G34&lt;&gt;"",H34&lt;&gt;""),H34-G34,"")</f>
        <v/>
      </c>
      <c r="J34" s="30"/>
      <c r="K34" s="28"/>
      <c r="L34" s="29"/>
      <c r="M34" s="29"/>
      <c r="N34" s="28"/>
      <c r="O34" s="28"/>
      <c r="P34" s="30"/>
      <c r="Q34" s="28"/>
    </row>
    <row r="35" customFormat="false" ht="15" hidden="false" customHeight="false" outlineLevel="0" collapsed="false">
      <c r="A35" s="28"/>
      <c r="B35" s="29"/>
      <c r="C35" s="28"/>
      <c r="D35" s="30"/>
      <c r="E35" s="28"/>
      <c r="F35" s="31" t="str">
        <f aca="false">IF(B35&lt;&gt;"",B35+21,"")</f>
        <v/>
      </c>
      <c r="G35" s="32"/>
      <c r="H35" s="32"/>
      <c r="I35" s="33" t="str">
        <f aca="false">IF(AND(G35&lt;&gt;"",H35&lt;&gt;""),H35-G35,"")</f>
        <v/>
      </c>
      <c r="J35" s="30"/>
      <c r="K35" s="28"/>
      <c r="L35" s="29"/>
      <c r="M35" s="29"/>
      <c r="N35" s="28"/>
      <c r="O35" s="28"/>
      <c r="P35" s="30"/>
      <c r="Q35" s="28"/>
    </row>
    <row r="36" customFormat="false" ht="15" hidden="false" customHeight="false" outlineLevel="0" collapsed="false">
      <c r="A36" s="28"/>
      <c r="B36" s="29"/>
      <c r="C36" s="28"/>
      <c r="D36" s="30"/>
      <c r="E36" s="28"/>
      <c r="F36" s="31" t="str">
        <f aca="false">IF(B36&lt;&gt;"",B36+21,"")</f>
        <v/>
      </c>
      <c r="G36" s="32"/>
      <c r="H36" s="32"/>
      <c r="I36" s="33" t="str">
        <f aca="false">IF(AND(G36&lt;&gt;"",H36&lt;&gt;""),H36-G36,"")</f>
        <v/>
      </c>
      <c r="J36" s="30"/>
      <c r="K36" s="28"/>
      <c r="L36" s="29"/>
      <c r="M36" s="29"/>
      <c r="N36" s="28"/>
      <c r="O36" s="28"/>
      <c r="P36" s="30"/>
      <c r="Q36" s="28"/>
    </row>
    <row r="37" customFormat="false" ht="15" hidden="false" customHeight="false" outlineLevel="0" collapsed="false">
      <c r="A37" s="28"/>
      <c r="B37" s="29"/>
      <c r="C37" s="28"/>
      <c r="D37" s="30"/>
      <c r="E37" s="28"/>
      <c r="F37" s="31" t="str">
        <f aca="false">IF(B37&lt;&gt;"",B37+21,"")</f>
        <v/>
      </c>
      <c r="G37" s="32"/>
      <c r="H37" s="32"/>
      <c r="I37" s="33" t="str">
        <f aca="false">IF(AND(G37&lt;&gt;"",H37&lt;&gt;""),H37-G37,"")</f>
        <v/>
      </c>
      <c r="J37" s="30"/>
      <c r="K37" s="28"/>
      <c r="L37" s="29"/>
      <c r="M37" s="29"/>
      <c r="N37" s="28"/>
      <c r="O37" s="28"/>
      <c r="P37" s="30"/>
      <c r="Q37" s="28"/>
    </row>
    <row r="38" customFormat="false" ht="15" hidden="false" customHeight="false" outlineLevel="0" collapsed="false">
      <c r="A38" s="28"/>
      <c r="B38" s="29"/>
      <c r="C38" s="28"/>
      <c r="D38" s="30"/>
      <c r="E38" s="28"/>
      <c r="F38" s="31" t="str">
        <f aca="false">IF(B38&lt;&gt;"",B38+21,"")</f>
        <v/>
      </c>
      <c r="G38" s="32"/>
      <c r="H38" s="32"/>
      <c r="I38" s="33" t="str">
        <f aca="false">IF(AND(G38&lt;&gt;"",H38&lt;&gt;""),H38-G38,"")</f>
        <v/>
      </c>
      <c r="J38" s="30"/>
      <c r="K38" s="28"/>
      <c r="L38" s="29"/>
      <c r="M38" s="29"/>
      <c r="N38" s="28"/>
      <c r="O38" s="28"/>
      <c r="P38" s="30"/>
      <c r="Q38" s="28"/>
    </row>
    <row r="39" customFormat="false" ht="15" hidden="false" customHeight="false" outlineLevel="0" collapsed="false">
      <c r="A39" s="28"/>
      <c r="B39" s="29"/>
      <c r="C39" s="28"/>
      <c r="D39" s="30"/>
      <c r="E39" s="28"/>
      <c r="F39" s="31" t="str">
        <f aca="false">IF(B39&lt;&gt;"",B39+21,"")</f>
        <v/>
      </c>
      <c r="G39" s="32"/>
      <c r="H39" s="32"/>
      <c r="I39" s="33" t="str">
        <f aca="false">IF(AND(G39&lt;&gt;"",H39&lt;&gt;""),H39-G39,"")</f>
        <v/>
      </c>
      <c r="J39" s="30"/>
      <c r="K39" s="28"/>
      <c r="L39" s="29"/>
      <c r="M39" s="29"/>
      <c r="N39" s="28"/>
      <c r="O39" s="28"/>
      <c r="P39" s="30"/>
      <c r="Q39" s="28"/>
    </row>
    <row r="40" customFormat="false" ht="15" hidden="false" customHeight="false" outlineLevel="0" collapsed="false">
      <c r="A40" s="28"/>
      <c r="B40" s="29"/>
      <c r="C40" s="28"/>
      <c r="D40" s="30"/>
      <c r="E40" s="28"/>
      <c r="F40" s="31" t="str">
        <f aca="false">IF(B40&lt;&gt;"",B40+21,"")</f>
        <v/>
      </c>
      <c r="G40" s="32"/>
      <c r="H40" s="32"/>
      <c r="I40" s="33" t="str">
        <f aca="false">IF(AND(G40&lt;&gt;"",H40&lt;&gt;""),H40-G40,"")</f>
        <v/>
      </c>
      <c r="J40" s="30"/>
      <c r="K40" s="28"/>
      <c r="L40" s="29"/>
      <c r="M40" s="29"/>
      <c r="N40" s="28"/>
      <c r="O40" s="28"/>
      <c r="P40" s="30"/>
      <c r="Q40" s="28"/>
    </row>
    <row r="41" customFormat="false" ht="15" hidden="false" customHeight="false" outlineLevel="0" collapsed="false">
      <c r="A41" s="28"/>
      <c r="B41" s="29"/>
      <c r="C41" s="28"/>
      <c r="D41" s="30"/>
      <c r="E41" s="28"/>
      <c r="F41" s="31" t="str">
        <f aca="false">IF(B41&lt;&gt;"",B41+21,"")</f>
        <v/>
      </c>
      <c r="G41" s="32"/>
      <c r="H41" s="32"/>
      <c r="I41" s="33" t="str">
        <f aca="false">IF(AND(G41&lt;&gt;"",H41&lt;&gt;""),H41-G41,"")</f>
        <v/>
      </c>
      <c r="J41" s="30"/>
      <c r="K41" s="28"/>
      <c r="L41" s="29"/>
      <c r="M41" s="29"/>
      <c r="N41" s="28"/>
      <c r="O41" s="28"/>
      <c r="P41" s="30"/>
      <c r="Q41" s="28"/>
    </row>
    <row r="42" customFormat="false" ht="15" hidden="false" customHeight="false" outlineLevel="0" collapsed="false">
      <c r="A42" s="28"/>
      <c r="B42" s="29"/>
      <c r="C42" s="28"/>
      <c r="D42" s="30"/>
      <c r="E42" s="28"/>
      <c r="F42" s="31" t="str">
        <f aca="false">IF(B42&lt;&gt;"",B42+21,"")</f>
        <v/>
      </c>
      <c r="G42" s="32"/>
      <c r="H42" s="32"/>
      <c r="I42" s="33" t="str">
        <f aca="false">IF(AND(G42&lt;&gt;"",H42&lt;&gt;""),H42-G42,"")</f>
        <v/>
      </c>
      <c r="J42" s="30"/>
      <c r="K42" s="28"/>
      <c r="L42" s="29"/>
      <c r="M42" s="29"/>
      <c r="N42" s="28"/>
      <c r="O42" s="28"/>
      <c r="P42" s="30"/>
      <c r="Q42" s="28"/>
    </row>
    <row r="43" customFormat="false" ht="15" hidden="false" customHeight="false" outlineLevel="0" collapsed="false">
      <c r="A43" s="28"/>
      <c r="B43" s="29"/>
      <c r="C43" s="28"/>
      <c r="D43" s="30"/>
      <c r="E43" s="28"/>
      <c r="F43" s="31" t="str">
        <f aca="false">IF(B43&lt;&gt;"",B43+21,"")</f>
        <v/>
      </c>
      <c r="G43" s="32"/>
      <c r="H43" s="32"/>
      <c r="I43" s="33" t="str">
        <f aca="false">IF(AND(G43&lt;&gt;"",H43&lt;&gt;""),H43-G43,"")</f>
        <v/>
      </c>
      <c r="J43" s="30"/>
      <c r="K43" s="28"/>
      <c r="L43" s="29"/>
      <c r="M43" s="29"/>
      <c r="N43" s="28"/>
      <c r="O43" s="28"/>
      <c r="P43" s="30"/>
      <c r="Q43" s="28"/>
    </row>
    <row r="44" customFormat="false" ht="15" hidden="false" customHeight="false" outlineLevel="0" collapsed="false">
      <c r="A44" s="28"/>
      <c r="B44" s="29"/>
      <c r="C44" s="28"/>
      <c r="D44" s="30"/>
      <c r="E44" s="28"/>
      <c r="F44" s="31" t="str">
        <f aca="false">IF(B44&lt;&gt;"",B44+21,"")</f>
        <v/>
      </c>
      <c r="G44" s="32"/>
      <c r="H44" s="32"/>
      <c r="I44" s="33" t="str">
        <f aca="false">IF(AND(G44&lt;&gt;"",H44&lt;&gt;""),H44-G44,"")</f>
        <v/>
      </c>
      <c r="J44" s="30"/>
      <c r="K44" s="28"/>
      <c r="L44" s="29"/>
      <c r="M44" s="29"/>
      <c r="N44" s="28"/>
      <c r="O44" s="28"/>
      <c r="P44" s="30"/>
      <c r="Q44" s="28"/>
    </row>
    <row r="45" customFormat="false" ht="15" hidden="false" customHeight="false" outlineLevel="0" collapsed="false">
      <c r="A45" s="28"/>
      <c r="B45" s="29"/>
      <c r="C45" s="28"/>
      <c r="D45" s="30"/>
      <c r="E45" s="28"/>
      <c r="F45" s="31" t="str">
        <f aca="false">IF(B45&lt;&gt;"",B45+21,"")</f>
        <v/>
      </c>
      <c r="G45" s="32"/>
      <c r="H45" s="32"/>
      <c r="I45" s="33" t="str">
        <f aca="false">IF(AND(G45&lt;&gt;"",H45&lt;&gt;""),H45-G45,"")</f>
        <v/>
      </c>
      <c r="J45" s="30"/>
      <c r="K45" s="28"/>
      <c r="L45" s="29"/>
      <c r="M45" s="29"/>
      <c r="N45" s="28"/>
      <c r="O45" s="28"/>
      <c r="P45" s="30"/>
      <c r="Q45" s="28"/>
    </row>
    <row r="46" customFormat="false" ht="15" hidden="false" customHeight="false" outlineLevel="0" collapsed="false">
      <c r="A46" s="28"/>
      <c r="B46" s="29"/>
      <c r="C46" s="28"/>
      <c r="D46" s="30"/>
      <c r="E46" s="28"/>
      <c r="F46" s="31" t="str">
        <f aca="false">IF(B46&lt;&gt;"",B46+21,"")</f>
        <v/>
      </c>
      <c r="G46" s="32"/>
      <c r="H46" s="32"/>
      <c r="I46" s="33" t="str">
        <f aca="false">IF(AND(G46&lt;&gt;"",H46&lt;&gt;""),H46-G46,"")</f>
        <v/>
      </c>
      <c r="J46" s="30"/>
      <c r="K46" s="28"/>
      <c r="L46" s="29"/>
      <c r="M46" s="29"/>
      <c r="N46" s="28"/>
      <c r="O46" s="28"/>
      <c r="P46" s="30"/>
      <c r="Q46" s="28"/>
    </row>
    <row r="47" customFormat="false" ht="15" hidden="false" customHeight="false" outlineLevel="0" collapsed="false">
      <c r="A47" s="28"/>
      <c r="B47" s="29"/>
      <c r="C47" s="28"/>
      <c r="D47" s="30"/>
      <c r="E47" s="28"/>
      <c r="F47" s="31" t="str">
        <f aca="false">IF(B47&lt;&gt;"",B47+21,"")</f>
        <v/>
      </c>
      <c r="G47" s="32"/>
      <c r="H47" s="32"/>
      <c r="I47" s="33" t="str">
        <f aca="false">IF(AND(G47&lt;&gt;"",H47&lt;&gt;""),H47-G47,"")</f>
        <v/>
      </c>
      <c r="J47" s="30"/>
      <c r="K47" s="28"/>
      <c r="L47" s="29"/>
      <c r="M47" s="29"/>
      <c r="N47" s="28"/>
      <c r="O47" s="28"/>
      <c r="P47" s="30"/>
      <c r="Q47" s="28"/>
    </row>
    <row r="48" customFormat="false" ht="15" hidden="false" customHeight="false" outlineLevel="0" collapsed="false">
      <c r="A48" s="28"/>
      <c r="B48" s="29"/>
      <c r="C48" s="28"/>
      <c r="D48" s="30"/>
      <c r="E48" s="28"/>
      <c r="F48" s="31" t="str">
        <f aca="false">IF(B48&lt;&gt;"",B48+21,"")</f>
        <v/>
      </c>
      <c r="G48" s="32"/>
      <c r="H48" s="32"/>
      <c r="I48" s="33" t="str">
        <f aca="false">IF(AND(G48&lt;&gt;"",H48&lt;&gt;""),H48-G48,"")</f>
        <v/>
      </c>
      <c r="J48" s="30"/>
      <c r="K48" s="28"/>
      <c r="L48" s="29"/>
      <c r="M48" s="29"/>
      <c r="N48" s="28"/>
      <c r="O48" s="28"/>
      <c r="P48" s="30"/>
      <c r="Q48" s="28"/>
    </row>
    <row r="49" customFormat="false" ht="15" hidden="false" customHeight="false" outlineLevel="0" collapsed="false">
      <c r="A49" s="28"/>
      <c r="B49" s="29"/>
      <c r="C49" s="28"/>
      <c r="D49" s="30"/>
      <c r="E49" s="28"/>
      <c r="F49" s="31" t="str">
        <f aca="false">IF(B49&lt;&gt;"",B49+21,"")</f>
        <v/>
      </c>
      <c r="G49" s="32"/>
      <c r="H49" s="32"/>
      <c r="I49" s="33" t="str">
        <f aca="false">IF(AND(G49&lt;&gt;"",H49&lt;&gt;""),H49-G49,"")</f>
        <v/>
      </c>
      <c r="J49" s="30"/>
      <c r="K49" s="28"/>
      <c r="L49" s="29"/>
      <c r="M49" s="29"/>
      <c r="N49" s="28"/>
      <c r="O49" s="28"/>
      <c r="P49" s="30"/>
      <c r="Q49" s="28"/>
    </row>
    <row r="50" customFormat="false" ht="15" hidden="false" customHeight="false" outlineLevel="0" collapsed="false">
      <c r="A50" s="28"/>
      <c r="B50" s="29"/>
      <c r="C50" s="28"/>
      <c r="D50" s="30"/>
      <c r="E50" s="28"/>
      <c r="F50" s="31" t="str">
        <f aca="false">IF(B50&lt;&gt;"",B50+21,"")</f>
        <v/>
      </c>
      <c r="G50" s="32"/>
      <c r="H50" s="32"/>
      <c r="I50" s="33" t="str">
        <f aca="false">IF(AND(G50&lt;&gt;"",H50&lt;&gt;""),H50-G50,"")</f>
        <v/>
      </c>
      <c r="J50" s="30"/>
      <c r="K50" s="28"/>
      <c r="L50" s="29"/>
      <c r="M50" s="29"/>
      <c r="N50" s="28"/>
      <c r="O50" s="28"/>
      <c r="P50" s="30"/>
      <c r="Q50" s="28"/>
    </row>
    <row r="51" customFormat="false" ht="15" hidden="false" customHeight="false" outlineLevel="0" collapsed="false">
      <c r="A51" s="28"/>
      <c r="B51" s="29"/>
      <c r="C51" s="28"/>
      <c r="D51" s="30"/>
      <c r="E51" s="28"/>
      <c r="F51" s="31" t="str">
        <f aca="false">IF(B51&lt;&gt;"",B51+21,"")</f>
        <v/>
      </c>
      <c r="G51" s="32"/>
      <c r="H51" s="32"/>
      <c r="I51" s="33" t="str">
        <f aca="false">IF(AND(G51&lt;&gt;"",H51&lt;&gt;""),H51-G51,"")</f>
        <v/>
      </c>
      <c r="J51" s="30"/>
      <c r="K51" s="28"/>
      <c r="L51" s="29"/>
      <c r="M51" s="29"/>
      <c r="N51" s="28"/>
      <c r="O51" s="28"/>
      <c r="P51" s="30"/>
      <c r="Q51" s="28"/>
    </row>
    <row r="52" customFormat="false" ht="15" hidden="false" customHeight="false" outlineLevel="0" collapsed="false">
      <c r="A52" s="28"/>
      <c r="B52" s="29"/>
      <c r="C52" s="28"/>
      <c r="D52" s="30"/>
      <c r="E52" s="28"/>
      <c r="F52" s="31" t="str">
        <f aca="false">IF(B52&lt;&gt;"",B52+21,"")</f>
        <v/>
      </c>
      <c r="G52" s="32"/>
      <c r="H52" s="32"/>
      <c r="I52" s="33" t="str">
        <f aca="false">IF(AND(G52&lt;&gt;"",H52&lt;&gt;""),H52-G52,"")</f>
        <v/>
      </c>
      <c r="J52" s="30"/>
      <c r="K52" s="28"/>
      <c r="L52" s="29"/>
      <c r="M52" s="29"/>
      <c r="N52" s="28"/>
      <c r="O52" s="28"/>
      <c r="P52" s="30"/>
      <c r="Q52" s="28"/>
    </row>
    <row r="53" customFormat="false" ht="15" hidden="false" customHeight="false" outlineLevel="0" collapsed="false">
      <c r="A53" s="28"/>
      <c r="B53" s="29"/>
      <c r="C53" s="28"/>
      <c r="D53" s="30"/>
      <c r="E53" s="28"/>
      <c r="F53" s="31" t="str">
        <f aca="false">IF(B53&lt;&gt;"",B53+21,"")</f>
        <v/>
      </c>
      <c r="G53" s="32"/>
      <c r="H53" s="32"/>
      <c r="I53" s="33" t="str">
        <f aca="false">IF(AND(G53&lt;&gt;"",H53&lt;&gt;""),H53-G53,"")</f>
        <v/>
      </c>
      <c r="J53" s="30"/>
      <c r="K53" s="28"/>
      <c r="L53" s="29"/>
      <c r="M53" s="29"/>
      <c r="N53" s="28"/>
      <c r="O53" s="28"/>
      <c r="P53" s="30"/>
      <c r="Q53" s="28"/>
    </row>
    <row r="54" customFormat="false" ht="15" hidden="false" customHeight="false" outlineLevel="0" collapsed="false">
      <c r="A54" s="28"/>
      <c r="B54" s="29"/>
      <c r="C54" s="28"/>
      <c r="D54" s="30"/>
      <c r="E54" s="28"/>
      <c r="F54" s="31" t="str">
        <f aca="false">IF(B54&lt;&gt;"",B54+21,"")</f>
        <v/>
      </c>
      <c r="G54" s="32"/>
      <c r="H54" s="32"/>
      <c r="I54" s="33" t="str">
        <f aca="false">IF(AND(G54&lt;&gt;"",H54&lt;&gt;""),H54-G54,"")</f>
        <v/>
      </c>
      <c r="J54" s="30"/>
      <c r="K54" s="28"/>
      <c r="L54" s="29"/>
      <c r="M54" s="29"/>
      <c r="N54" s="28"/>
      <c r="O54" s="28"/>
      <c r="P54" s="30"/>
      <c r="Q54" s="28"/>
    </row>
    <row r="55" customFormat="false" ht="15" hidden="false" customHeight="false" outlineLevel="0" collapsed="false">
      <c r="A55" s="28"/>
      <c r="B55" s="29"/>
      <c r="C55" s="28"/>
      <c r="D55" s="30"/>
      <c r="E55" s="28"/>
      <c r="F55" s="31" t="str">
        <f aca="false">IF(B55&lt;&gt;"",B55+21,"")</f>
        <v/>
      </c>
      <c r="G55" s="32"/>
      <c r="H55" s="32"/>
      <c r="I55" s="33" t="str">
        <f aca="false">IF(AND(G55&lt;&gt;"",H55&lt;&gt;""),H55-G55,"")</f>
        <v/>
      </c>
      <c r="J55" s="30"/>
      <c r="K55" s="28"/>
      <c r="L55" s="29"/>
      <c r="M55" s="29"/>
      <c r="N55" s="28"/>
      <c r="O55" s="28"/>
      <c r="P55" s="30"/>
      <c r="Q55" s="28"/>
    </row>
    <row r="56" customFormat="false" ht="15" hidden="false" customHeight="false" outlineLevel="0" collapsed="false">
      <c r="A56" s="28"/>
      <c r="B56" s="29"/>
      <c r="C56" s="28"/>
      <c r="D56" s="30"/>
      <c r="E56" s="28"/>
      <c r="F56" s="31" t="str">
        <f aca="false">IF(B56&lt;&gt;"",B56+21,"")</f>
        <v/>
      </c>
      <c r="G56" s="32"/>
      <c r="H56" s="32"/>
      <c r="I56" s="33" t="str">
        <f aca="false">IF(AND(G56&lt;&gt;"",H56&lt;&gt;""),H56-G56,"")</f>
        <v/>
      </c>
      <c r="J56" s="30"/>
      <c r="K56" s="28"/>
      <c r="L56" s="29"/>
      <c r="M56" s="29"/>
      <c r="N56" s="28"/>
      <c r="O56" s="28"/>
      <c r="P56" s="30"/>
      <c r="Q56" s="28"/>
    </row>
    <row r="57" customFormat="false" ht="15" hidden="false" customHeight="false" outlineLevel="0" collapsed="false">
      <c r="A57" s="28"/>
      <c r="B57" s="29"/>
      <c r="C57" s="28"/>
      <c r="D57" s="30"/>
      <c r="E57" s="28"/>
      <c r="F57" s="31" t="str">
        <f aca="false">IF(B57&lt;&gt;"",B57+21,"")</f>
        <v/>
      </c>
      <c r="G57" s="32"/>
      <c r="H57" s="32"/>
      <c r="I57" s="33" t="str">
        <f aca="false">IF(AND(G57&lt;&gt;"",H57&lt;&gt;""),H57-G57,"")</f>
        <v/>
      </c>
      <c r="J57" s="30"/>
      <c r="K57" s="28"/>
      <c r="L57" s="29"/>
      <c r="M57" s="29"/>
      <c r="N57" s="28"/>
      <c r="O57" s="28"/>
      <c r="P57" s="30"/>
      <c r="Q57" s="28"/>
    </row>
    <row r="58" customFormat="false" ht="15" hidden="false" customHeight="false" outlineLevel="0" collapsed="false">
      <c r="A58" s="28"/>
      <c r="B58" s="29"/>
      <c r="C58" s="28"/>
      <c r="D58" s="30"/>
      <c r="E58" s="28"/>
      <c r="F58" s="31" t="str">
        <f aca="false">IF(B58&lt;&gt;"",B58+21,"")</f>
        <v/>
      </c>
      <c r="G58" s="32"/>
      <c r="H58" s="32"/>
      <c r="I58" s="33" t="str">
        <f aca="false">IF(AND(G58&lt;&gt;"",H58&lt;&gt;""),H58-G58,"")</f>
        <v/>
      </c>
      <c r="J58" s="30"/>
      <c r="K58" s="28"/>
      <c r="L58" s="29"/>
      <c r="M58" s="29"/>
      <c r="N58" s="28"/>
      <c r="O58" s="28"/>
      <c r="P58" s="30"/>
      <c r="Q58" s="28"/>
    </row>
    <row r="59" customFormat="false" ht="15" hidden="false" customHeight="false" outlineLevel="0" collapsed="false">
      <c r="A59" s="28"/>
      <c r="B59" s="29"/>
      <c r="C59" s="28"/>
      <c r="D59" s="30"/>
      <c r="E59" s="28"/>
      <c r="F59" s="31" t="str">
        <f aca="false">IF(B59&lt;&gt;"",B59+21,"")</f>
        <v/>
      </c>
      <c r="G59" s="32"/>
      <c r="H59" s="32"/>
      <c r="I59" s="33" t="str">
        <f aca="false">IF(AND(G59&lt;&gt;"",H59&lt;&gt;""),H59-G59,"")</f>
        <v/>
      </c>
      <c r="J59" s="30"/>
      <c r="K59" s="28"/>
      <c r="L59" s="29"/>
      <c r="M59" s="29"/>
      <c r="N59" s="28"/>
      <c r="O59" s="28"/>
      <c r="P59" s="30"/>
      <c r="Q59" s="28"/>
    </row>
    <row r="60" customFormat="false" ht="15" hidden="false" customHeight="false" outlineLevel="0" collapsed="false">
      <c r="A60" s="28"/>
      <c r="B60" s="29"/>
      <c r="C60" s="28"/>
      <c r="D60" s="30"/>
      <c r="E60" s="28"/>
      <c r="F60" s="31" t="str">
        <f aca="false">IF(B60&lt;&gt;"",B60+21,"")</f>
        <v/>
      </c>
      <c r="G60" s="32"/>
      <c r="H60" s="32"/>
      <c r="I60" s="33" t="str">
        <f aca="false">IF(AND(G60&lt;&gt;"",H60&lt;&gt;""),H60-G60,"")</f>
        <v/>
      </c>
      <c r="J60" s="30"/>
      <c r="K60" s="28"/>
      <c r="L60" s="29"/>
      <c r="M60" s="29"/>
      <c r="N60" s="28"/>
      <c r="O60" s="28"/>
      <c r="P60" s="30"/>
      <c r="Q60" s="28"/>
    </row>
    <row r="61" customFormat="false" ht="15" hidden="false" customHeight="false" outlineLevel="0" collapsed="false">
      <c r="A61" s="28"/>
      <c r="B61" s="29"/>
      <c r="C61" s="28"/>
      <c r="D61" s="30"/>
      <c r="E61" s="28"/>
      <c r="F61" s="31" t="str">
        <f aca="false">IF(B61&lt;&gt;"",B61+21,"")</f>
        <v/>
      </c>
      <c r="G61" s="32"/>
      <c r="H61" s="32"/>
      <c r="I61" s="33" t="str">
        <f aca="false">IF(AND(G61&lt;&gt;"",H61&lt;&gt;""),H61-G61,"")</f>
        <v/>
      </c>
      <c r="J61" s="30"/>
      <c r="K61" s="28"/>
      <c r="L61" s="29"/>
      <c r="M61" s="29"/>
      <c r="N61" s="28"/>
      <c r="O61" s="28"/>
      <c r="P61" s="30"/>
      <c r="Q61" s="28"/>
    </row>
    <row r="62" customFormat="false" ht="15" hidden="false" customHeight="false" outlineLevel="0" collapsed="false">
      <c r="A62" s="28"/>
      <c r="B62" s="29"/>
      <c r="C62" s="28"/>
      <c r="D62" s="30"/>
      <c r="E62" s="28"/>
      <c r="F62" s="31" t="str">
        <f aca="false">IF(B62&lt;&gt;"",B62+21,"")</f>
        <v/>
      </c>
      <c r="G62" s="32"/>
      <c r="H62" s="32"/>
      <c r="I62" s="33" t="str">
        <f aca="false">IF(AND(G62&lt;&gt;"",H62&lt;&gt;""),H62-G62,"")</f>
        <v/>
      </c>
      <c r="J62" s="30"/>
      <c r="K62" s="28"/>
      <c r="L62" s="29"/>
      <c r="M62" s="29"/>
      <c r="N62" s="28"/>
      <c r="O62" s="28"/>
      <c r="P62" s="30"/>
      <c r="Q62" s="28"/>
    </row>
  </sheetData>
  <autoFilter ref="A11:Q62"/>
  <mergeCells count="25">
    <mergeCell ref="A1:Q1"/>
    <mergeCell ref="A3:B3"/>
    <mergeCell ref="C3:D3"/>
    <mergeCell ref="E3:F3"/>
    <mergeCell ref="G3:H3"/>
    <mergeCell ref="I3:J3"/>
    <mergeCell ref="A4:B4"/>
    <mergeCell ref="C4:D4"/>
    <mergeCell ref="E4:F4"/>
    <mergeCell ref="G4:H4"/>
    <mergeCell ref="I4:J4"/>
    <mergeCell ref="A6:B6"/>
    <mergeCell ref="C6:D6"/>
    <mergeCell ref="E6:F6"/>
    <mergeCell ref="G6:H6"/>
    <mergeCell ref="I6:J6"/>
    <mergeCell ref="K6:L6"/>
    <mergeCell ref="A7:B7"/>
    <mergeCell ref="C7:D7"/>
    <mergeCell ref="E7:F7"/>
    <mergeCell ref="G7:H7"/>
    <mergeCell ref="I7:J7"/>
    <mergeCell ref="K7:L7"/>
    <mergeCell ref="A9:J9"/>
    <mergeCell ref="K10:Q10"/>
  </mergeCells>
  <conditionalFormatting sqref="E12:E62">
    <cfRule type="cellIs" priority="2" operator="equal" aboveAverage="0" equalAverage="0" bottom="0" percent="0" rank="0" text="" dxfId="7">
      <formula>"Notified"</formula>
    </cfRule>
    <cfRule type="cellIs" priority="3" operator="equal" aboveAverage="0" equalAverage="0" bottom="0" percent="0" rank="0" text="" dxfId="8">
      <formula>"Quotation"</formula>
    </cfRule>
    <cfRule type="cellIs" priority="4" operator="equal" aboveAverage="0" equalAverage="0" bottom="0" percent="0" rank="0" text="" dxfId="8">
      <formula>"Assessment"</formula>
    </cfRule>
    <cfRule type="cellIs" priority="5" operator="equal" aboveAverage="0" equalAverage="0" bottom="0" percent="0" rank="0" text="" dxfId="9">
      <formula>"Implemented"</formula>
    </cfRule>
    <cfRule type="cellIs" priority="6" operator="equal" aboveAverage="0" equalAverage="0" bottom="0" percent="0" rank="0" text="" dxfId="10">
      <formula>"Not Accepted"</formula>
    </cfRule>
    <cfRule type="cellIs" priority="7" operator="equal" aboveAverage="0" equalAverage="0" bottom="0" percent="0" rank="0" text="" dxfId="11">
      <formula>"Withdrawn"</formula>
    </cfRule>
  </conditionalFormatting>
  <conditionalFormatting sqref="F12:F62">
    <cfRule type="expression" priority="8" aboveAverage="0" equalAverage="0" bottom="0" percent="0" rank="0" text="" dxfId="10">
      <formula>AND(F12&lt;&gt;"",F12&lt;TODAY(),E12="Notified")</formula>
    </cfRule>
  </conditionalFormatting>
  <conditionalFormatting sqref="I12:I62">
    <cfRule type="expression" priority="9" aboveAverage="0" equalAverage="0" bottom="0" percent="0" rank="0" text="" dxfId="10">
      <formula>AND(I12&lt;&gt;"",I12&lt;0)</formula>
    </cfRule>
    <cfRule type="expression" priority="10" aboveAverage="0" equalAverage="0" bottom="0" percent="0" rank="0" text="" dxfId="9">
      <formula>AND(I12&lt;&gt;"",I12&gt;0)</formula>
    </cfRule>
  </conditionalFormatting>
  <conditionalFormatting sqref="I4:J4">
    <cfRule type="expression" priority="11" aboveAverage="0" equalAverage="0" bottom="0" percent="0" rank="0" text="" dxfId="10">
      <formula>I4&gt;0</formula>
    </cfRule>
  </conditionalFormatting>
  <conditionalFormatting sqref="G4:H4">
    <cfRule type="cellIs" priority="12" operator="lessThan" aboveAverage="0" equalAverage="0" bottom="0" percent="0" rank="0" text="" dxfId="10">
      <formula>0</formula>
    </cfRule>
    <cfRule type="cellIs" priority="13" operator="greaterThan" aboveAverage="0" equalAverage="0" bottom="0" percent="0" rank="0" text="" dxfId="9">
      <formula>0</formula>
    </cfRule>
  </conditionalFormatting>
  <dataValidations count="3">
    <dataValidation allowBlank="true" error="Select a valid NEC stage" errorStyle="stop" operator="between" showDropDown="false" showErrorMessage="false" showInputMessage="false" sqref="E12:E62" type="list">
      <formula1>"Notified,Quotation,Assessment,Implemented,Not Accepted,Withdrawn"</formula1>
      <formula2>0</formula2>
    </dataValidation>
    <dataValidation allowBlank="true" errorStyle="stop" operator="between" showDropDown="false" showErrorMessage="false" showInputMessage="false" sqref="C12:C62" type="list">
      <formula1>"60.1(1),60.1(2),60.1(3),60.1(4),60.1(5),60.1(6),60.1(7),60.1(8),60.1(9),60.1(10),60.1(11),60.1(12),60.1(13),60.1(14),60.1(15),60.1(16),60.1(17),60.1(18),60.1(19)"</formula1>
      <formula2>0</formula2>
    </dataValidation>
    <dataValidation allowBlank="true" errorStyle="stop" operator="between" showDropDown="false" showErrorMessage="false" showInputMessage="false" sqref="N12:N62" type="list">
      <formula1>"Accepted,Not Accepted,Revised Quotation Requested,PM Assessment Made"</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&amp;CCompensation Event Register (NEC)</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4" t="s">
        <v>108</v>
      </c>
    </row>
    <row r="2" customFormat="false" ht="15" hidden="false" customHeight="false" outlineLevel="0" collapsed="false">
      <c r="A2" s="34"/>
    </row>
    <row r="3" customFormat="false" ht="15" hidden="false" customHeight="false" outlineLevel="0" collapsed="false">
      <c r="A3" s="34" t="s">
        <v>109</v>
      </c>
    </row>
    <row r="4" customFormat="false" ht="15" hidden="false" customHeight="false" outlineLevel="0" collapsed="false">
      <c r="A4" s="34"/>
    </row>
    <row r="5" customFormat="false" ht="15" hidden="false" customHeight="false" outlineLevel="0" collapsed="false">
      <c r="A5" s="34" t="s">
        <v>110</v>
      </c>
    </row>
    <row r="6" customFormat="false" ht="15" hidden="false" customHeight="false" outlineLevel="0" collapsed="false">
      <c r="A6" s="34"/>
    </row>
    <row r="7" customFormat="false" ht="15" hidden="false" customHeight="false" outlineLevel="0" collapsed="false">
      <c r="A7" s="34" t="s">
        <v>111</v>
      </c>
    </row>
    <row r="8" customFormat="false" ht="15" hidden="false" customHeight="false" outlineLevel="0" collapsed="false">
      <c r="A8" s="34"/>
    </row>
    <row r="9" customFormat="false" ht="15" hidden="false" customHeight="false" outlineLevel="0" collapsed="false">
      <c r="A9" s="34" t="s">
        <v>112</v>
      </c>
    </row>
    <row r="10" customFormat="false" ht="15" hidden="false" customHeight="false" outlineLevel="0" collapsed="false">
      <c r="A10" s="34"/>
    </row>
    <row r="11" customFormat="false" ht="15" hidden="false" customHeight="false" outlineLevel="0" collapsed="false">
      <c r="A11" s="34" t="s">
        <v>113</v>
      </c>
    </row>
    <row r="12" customFormat="false" ht="15" hidden="false" customHeight="false" outlineLevel="0" collapsed="false">
      <c r="A12" s="34"/>
    </row>
    <row r="13" customFormat="false" ht="15" hidden="false" customHeight="false" outlineLevel="0" collapsed="false">
      <c r="A13" s="34" t="s">
        <v>114</v>
      </c>
    </row>
    <row r="14" customFormat="false" ht="15" hidden="false" customHeight="false" outlineLevel="0" collapsed="false">
      <c r="A14" s="34"/>
    </row>
    <row r="15" customFormat="false" ht="15" hidden="false" customHeight="false" outlineLevel="0" collapsed="false">
      <c r="A15" s="34" t="s">
        <v>115</v>
      </c>
    </row>
    <row r="16" customFormat="false" ht="15" hidden="false" customHeight="false" outlineLevel="0" collapsed="false">
      <c r="A16" s="34"/>
    </row>
    <row r="17" customFormat="false" ht="15" hidden="false" customHeight="false" outlineLevel="0" collapsed="false">
      <c r="A17" s="34"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2026-03-22T21:40:28Z</dcterms:created>
  <dc:creator>Ebrora Ltd</dc:creator>
  <dc:description>Track NEC compensation events through each contractual stage with automatic quotation deadline monitoring, value tracking and variance calculation, designed for UK construction project and commercial teams working under NEC contracts.
Free professional construction management template from Ebrora Ltd. Visit ebrora.com for our full range of tools and templates.</dc:description>
  <cp:keywords>Ebrora construction NEC compensation event CE NEC4 commercial contract management ECC</cp:keywords>
  <dc:language>en-US</dc:language>
  <cp:lastModifiedBy>Ebrora Ltd</cp:lastModifiedBy>
  <dcterms:modified xsi:type="dcterms:W3CDTF">2026-03-22T21:40:29Z</dcterms:modified>
  <cp:revision>0</cp:revision>
  <dc:subject>NEC compensation event register tracking CEs through contractual lifecycle stages with deadline monitoring and value tracking.</dc:subject>
  <dc:title>Compensation Event Register</dc:title>
</cp:coreProperties>
</file>

<file path=docProps/custom.xml><?xml version="1.0" encoding="utf-8"?>
<Properties xmlns="http://schemas.openxmlformats.org/officeDocument/2006/custom-properties" xmlns:vt="http://schemas.openxmlformats.org/officeDocument/2006/docPropsVTypes"/>
</file>