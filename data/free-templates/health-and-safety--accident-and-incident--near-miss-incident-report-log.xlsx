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1_DEE5E9DC7C2255CCD69ECB43338663E43546D423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Cover" sheetId="1" r:id="rId1"/>
    <sheet name="Instructions" sheetId="2" r:id="rId2"/>
    <sheet name="Incident Report Log" sheetId="3" r:id="rId3"/>
    <sheet name="Terms of Use" sheetId="4" state="hidden" r:id="rId4"/>
  </sheets>
  <definedNames>
    <definedName name="_xlnm._FilterDatabase" localSheetId="2" hidden="1">'Incident Report Log'!$A$7:$T$7</definedName>
    <definedName name="DataTable">'Incident Report Log'!$A$7:$T$507</definedName>
    <definedName name="_xlnm.Print_Area" localSheetId="0">Cover!$A$1:$H$20</definedName>
    <definedName name="_xlnm.Print_Area" localSheetId="2">'Incident Report Log'!$A$1:$J$57</definedName>
    <definedName name="_xlnm.Print_Area" localSheetId="1">Instructions!$A$1:$F$29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7" i="3" l="1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H5" i="3"/>
  <c r="E5" i="3"/>
  <c r="K4" i="3"/>
  <c r="H4" i="3"/>
  <c r="E4" i="3"/>
  <c r="K3" i="3"/>
  <c r="I3" i="3"/>
  <c r="G3" i="3"/>
  <c r="E3" i="3"/>
  <c r="H2" i="3"/>
  <c r="E2" i="3"/>
  <c r="H1" i="3"/>
  <c r="E1" i="3"/>
</calcChain>
</file>

<file path=xl/sharedStrings.xml><?xml version="1.0" encoding="utf-8"?>
<sst xmlns="http://schemas.openxmlformats.org/spreadsheetml/2006/main" count="158" uniqueCount="137">
  <si>
    <t>EBRORA</t>
  </si>
  <si>
    <t>ebrora.com</t>
  </si>
  <si>
    <t>Near Miss / Incident Report Log</t>
  </si>
  <si>
    <t>Log and track near misses, incidents, and dangerous occurrences — from initial report through investigation to corrective action close-out.</t>
  </si>
  <si>
    <t>This is a free template from Ebrora.
For our full range of professional-grade construction management tools, visit ebrora.com</t>
  </si>
  <si>
    <t>© Ebrora 2026 — All rights reserved</t>
  </si>
  <si>
    <t>How to Use This Template</t>
  </si>
  <si>
    <t>Getting Started</t>
  </si>
  <si>
    <t>1.</t>
  </si>
  <si>
    <t>Go to the “Incident Report Log” tab. Each row records one event — a near miss, incident, or dangerous occurrence.</t>
  </si>
  <si>
    <t>2.</t>
  </si>
  <si>
    <t>Enter the date and time of the event and select the Report Type from the dropdown: Near Miss, Incident, or Dangerous Occurrence.</t>
  </si>
  <si>
    <t>3.</t>
  </si>
  <si>
    <t>Write a clear, factual description of what happened. Include enough detail that someone who wasn’t there can understand the event.</t>
  </si>
  <si>
    <t>4.</t>
  </si>
  <si>
    <t>Record the location on site and who reported it.</t>
  </si>
  <si>
    <t>5.</t>
  </si>
  <si>
    <t>Select the Severity from the dropdown: Low, Medium, High, or Critical. Use your site’s risk matrix if you have one.</t>
  </si>
  <si>
    <t>6.</t>
  </si>
  <si>
    <t>Describe the immediate action taken at the time of the event (e.g. area cordoned off, first aid administered, works stopped).</t>
  </si>
  <si>
    <t>7.</t>
  </si>
  <si>
    <t>Set the Status: Open (just reported), Under Investigation (being looked into), or Closed (all actions complete).</t>
  </si>
  <si>
    <t>8.</t>
  </si>
  <si>
    <t>For additional detail, click the [+] button above the optional columns to expand: Injured Party, Injury Type, RIDDOR Reportable, Root Cause, Corrective Action, Action Owner, Action Due Date, Date Closed, Witnesses, and Notes.</t>
  </si>
  <si>
    <t>9.</t>
  </si>
  <si>
    <t>For incidents involving injury, always fill in the Injured Party, Injury Type, and RIDDOR Reportable fields in the optional section.</t>
  </si>
  <si>
    <t>10.</t>
  </si>
  <si>
    <t>Assign corrective actions with an owner and due date. The register will flag overdue actions automatically in red.</t>
  </si>
  <si>
    <t>11.</t>
  </si>
  <si>
    <t>The summary dashboard at the top auto-calculates event counts, severity breakdown, near miss ratio, overdue actions, and RIDDOR count.</t>
  </si>
  <si>
    <t>Colour Key</t>
  </si>
  <si>
    <t>•</t>
  </si>
  <si>
    <t>Light teal cells (#E8F6F7) = User input / editable fields. Type directly into these.</t>
  </si>
  <si>
    <t>Dark navy headers (#1B2A4A) = Column headers. Do not edit.</t>
  </si>
  <si>
    <t>Severity colours across the row: Green = Low, Amber = Medium, Red = High, Dark Red text = Critical.</t>
  </si>
  <si>
    <t>Status colours: Red = Open, Amber = Under Investigation, Green = Closed.</t>
  </si>
  <si>
    <t>Red highlight on Action Due Date = Corrective action is overdue (past today, status not Closed).</t>
  </si>
  <si>
    <t>Amber highlight on RIDDOR column = Event is RIDDOR reportable.</t>
  </si>
  <si>
    <t>Tips</t>
  </si>
  <si>
    <t>Report near misses just as diligently as actual incidents. A high near miss ratio is a positive sign of a strong reporting culture — aim for at least 10 near misses for every 1 incident.</t>
  </si>
  <si>
    <t>Review the log weekly at your site safety meeting. Use the filters to show only Open and Under Investigation items.</t>
  </si>
  <si>
    <t>RIDDOR-reportable events must be reported to the HSE within the statutory timeframe. Use this register to track them but don’t rely on it as your sole RIDDOR notification — always submit through the HSE website.</t>
  </si>
  <si>
    <t>NEAR MISS / INCIDENT REPORT LOG</t>
  </si>
  <si>
    <t>Total Events:</t>
  </si>
  <si>
    <t>Near Misses:</t>
  </si>
  <si>
    <t>Incidents:</t>
  </si>
  <si>
    <t>Dangerous Occurrences:</t>
  </si>
  <si>
    <t>Low:</t>
  </si>
  <si>
    <t>Medium:</t>
  </si>
  <si>
    <t>High:</t>
  </si>
  <si>
    <t>Critical:</t>
  </si>
  <si>
    <t>Open:</t>
  </si>
  <si>
    <t>Under Investigation:</t>
  </si>
  <si>
    <t>Overdue Actions:</t>
  </si>
  <si>
    <t>RIDDOR Reportable:</t>
  </si>
  <si>
    <t>NM:Incident Ratio:</t>
  </si>
  <si>
    <t>▸ Optional Fields — Click [+] to expand</t>
  </si>
  <si>
    <t>Ref No.</t>
  </si>
  <si>
    <t>Date of Event</t>
  </si>
  <si>
    <t>Time</t>
  </si>
  <si>
    <t>Report Type</t>
  </si>
  <si>
    <t>Description of Event</t>
  </si>
  <si>
    <t>Location on Site</t>
  </si>
  <si>
    <t>Reported By</t>
  </si>
  <si>
    <t>Severity</t>
  </si>
  <si>
    <t>Immediate Action Taken</t>
  </si>
  <si>
    <t>Status</t>
  </si>
  <si>
    <t>Injured Party Name</t>
  </si>
  <si>
    <t>Injury Type</t>
  </si>
  <si>
    <t>RIDDOR Reportable</t>
  </si>
  <si>
    <t>Root Cause</t>
  </si>
  <si>
    <t>Corrective Action</t>
  </si>
  <si>
    <t>Action Owner</t>
  </si>
  <si>
    <t>Action Due Date</t>
  </si>
  <si>
    <t>Date Closed</t>
  </si>
  <si>
    <t>Witnesses</t>
  </si>
  <si>
    <t>Notes</t>
  </si>
  <si>
    <t>Near Miss</t>
  </si>
  <si>
    <t>Loose scaffold board on level 2 identified during morning walkround. Board not secured with clips, could have fallen onto walkway below.</t>
  </si>
  <si>
    <t>Block A, Level 2 scaffold, north elevation</t>
  </si>
  <si>
    <t>K. Price</t>
  </si>
  <si>
    <t>Medium</t>
  </si>
  <si>
    <t>Area cordoned off. Scaffold crew called to re-secure board immediately. Scaffold inspection brought forward.</t>
  </si>
  <si>
    <t>Closed</t>
  </si>
  <si>
    <t>No</t>
  </si>
  <si>
    <t>Scaffold board clips missing after overnight wind. Clips not checked during pre-start.</t>
  </si>
  <si>
    <t>All scaffold to be checked for loose clips at pre-start daily. Additional clips ordered.</t>
  </si>
  <si>
    <t>M. Davies</t>
  </si>
  <si>
    <t>J. Adams, S. Hall</t>
  </si>
  <si>
    <t>Closed same day. Toolbox talk on scaffold safety held 17/03.</t>
  </si>
  <si>
    <t>Incident</t>
  </si>
  <si>
    <t>Operative sustained minor cut to left hand while cutting copper pipe. Pipe slipped from vice. First aid administered on site.</t>
  </si>
  <si>
    <t>Plant Room 2, Basement Level</t>
  </si>
  <si>
    <t>R. Thomas</t>
  </si>
  <si>
    <t>Low</t>
  </si>
  <si>
    <t>First aider attended. Wound cleaned and dressed. Operative returned to work after 15 minutes.</t>
  </si>
  <si>
    <t>P. Morgan</t>
  </si>
  <si>
    <t>Minor Cut / Abrasion</t>
  </si>
  <si>
    <t>Pipe not properly secured in vice. Operative rushing to meet programme.</t>
  </si>
  <si>
    <t>Revised SOP for pipe cutting issued. Operative re-briefed on vice use.</t>
  </si>
  <si>
    <t>D. Evans</t>
  </si>
  <si>
    <t>Minor injury. No lost time.</t>
  </si>
  <si>
    <t>Telehandler reversed within 2m of pedestrian walkway without a banksman. No contact made but pedestrians were present in the area.</t>
  </si>
  <si>
    <t>Block C, external hardstanding, south side</t>
  </si>
  <si>
    <t>High</t>
  </si>
  <si>
    <t>Telehandler operations stopped immediately. Banksman assigned. Exclusion zone re-established with barriers.</t>
  </si>
  <si>
    <t>Under Investigation</t>
  </si>
  <si>
    <t>Banksman had left the area without informing driver. Traffic management plan not followed.</t>
  </si>
  <si>
    <t>Disciplinary review for banksman. All plant operators re-briefed on traffic management plan.</t>
  </si>
  <si>
    <t>T. Williams, 2x site operatives (statements taken)</t>
  </si>
  <si>
    <t>Investigation ongoing. CCTV footage reviewed.</t>
  </si>
  <si>
    <t>Dangerous Occurrence</t>
  </si>
  <si>
    <t>Tower crane anti-collision system activated unexpectedly during routine lift. Load held safely but all crane operations ceased for inspection.</t>
  </si>
  <si>
    <t>Tower Crane TC-01, central compound</t>
  </si>
  <si>
    <t>Site Engineer</t>
  </si>
  <si>
    <t>Critical</t>
  </si>
  <si>
    <t>All crane operations ceased. Crane engineer called. Exclusion zone extended to 25m radius around crane base.</t>
  </si>
  <si>
    <t>Open</t>
  </si>
  <si>
    <t>Yes</t>
  </si>
  <si>
    <t>Crane operator, slinger/signaller, lifting supervisor</t>
  </si>
  <si>
    <t>HSE notified under RIDDOR. Crane manufacturer contacted. Awaiting engineer report.</t>
  </si>
  <si>
    <t>Trip hazard identified at site entrance — temporary cable run across pedestrian route not covered or ramped. Identified during pre-start walkround before operatives arrived.</t>
  </si>
  <si>
    <t>Main site entrance gate, pedestrian route</t>
  </si>
  <si>
    <t>S. Hall</t>
  </si>
  <si>
    <t>Cable covered with rubber ramp immediately. Temporary works team notified to install permanent cable route.</t>
  </si>
  <si>
    <t>Electrical subcontractor ran cable late previous evening and did not install protection.</t>
  </si>
  <si>
    <t>Subcontractor issued improvement notice. All temporary cable routes to be inspected at close of shift.</t>
  </si>
  <si>
    <t>Quick fix. No risk to operatives as identified before site opened.</t>
  </si>
  <si>
    <t>EBRORA — TERMS OF USE</t>
  </si>
  <si>
    <t>This template is provided free of charge by Ebrora (ebrora.com) for personal and professional use.</t>
  </si>
  <si>
    <t>1. LICENCE: You may use this template for your own projects. You may not resell, redistribute, or claim authorship of this template.</t>
  </si>
  <si>
    <t>2. NO WARRANTY: This template is provided "as is" without warranty of any kind. Ebrora accepts no liability for errors, omissions, or losses arising from use of this template.</t>
  </si>
  <si>
    <t>3. INTELLECTUAL PROPERTY: All design, layout, branding, and content remain the intellectual property of Ebrora.</t>
  </si>
  <si>
    <t>4. MODIFICATIONS: You may modify this template for your own use. Modified versions may not be distributed or sold.</t>
  </si>
  <si>
    <t>5. ATTRIBUTION: If you share outputs generated using this template, attribution to Ebrora (ebrora.com) is appreciated but not required.</t>
  </si>
  <si>
    <t>6. SUPPORT: For queries, feedback, or to report errors, contact support@ebrora.com.</t>
  </si>
  <si>
    <t>For our full range of professional construction management tools, visit ebrora.com.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</si>
</sst>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36"/>
      <color rgb="FFFFFFFF"/>
      <name val="Calibri"/>
      <charset val="1"/>
    </font>
    <font>
      <sz val="12"/>
      <color rgb="FF2AABB3"/>
      <name val="Calibri"/>
      <charset val="1"/>
    </font>
    <font>
      <b/>
      <sz val="28"/>
      <color rgb="FFFFFFFF"/>
      <name val="Calibri"/>
      <charset val="1"/>
    </font>
    <font>
      <sz val="12"/>
      <color rgb="FFFFFFFF"/>
      <name val="Calibri"/>
      <charset val="1"/>
    </font>
    <font>
      <sz val="11"/>
      <color rgb="FF1B2A4A"/>
      <name val="Calibri"/>
      <charset val="1"/>
    </font>
    <font>
      <i/>
      <sz val="9"/>
      <color rgb="FF8C8C8C"/>
      <name val="Calibri"/>
      <charset val="1"/>
    </font>
    <font>
      <b/>
      <sz val="14"/>
      <color rgb="FF1B2A4A"/>
      <name val="Calibri"/>
      <charset val="1"/>
    </font>
    <font>
      <b/>
      <sz val="11"/>
      <color rgb="FF2AABB3"/>
      <name val="Calibri"/>
      <charset val="1"/>
    </font>
    <font>
      <sz val="10"/>
      <color rgb="FF1B2A4A"/>
      <name val="Calibri"/>
      <charset val="1"/>
    </font>
    <font>
      <b/>
      <sz val="10"/>
      <color rgb="FF1B2A4A"/>
      <name val="Calibri"/>
      <charset val="1"/>
    </font>
    <font>
      <b/>
      <sz val="10"/>
      <color rgb="FF2AABB3"/>
      <name val="Calibri"/>
      <charset val="1"/>
    </font>
    <font>
      <b/>
      <sz val="10"/>
      <color rgb="FF006100"/>
      <name val="Calibri"/>
      <charset val="1"/>
    </font>
    <font>
      <b/>
      <sz val="10"/>
      <color rgb="FF9C6500"/>
      <name val="Calibri"/>
      <charset val="1"/>
    </font>
    <font>
      <b/>
      <sz val="10"/>
      <color rgb="FF9C0006"/>
      <name val="Calibri"/>
      <charset val="1"/>
    </font>
    <font>
      <b/>
      <sz val="10"/>
      <color rgb="FFC00000"/>
      <name val="Calibri"/>
      <charset val="1"/>
    </font>
    <font>
      <b/>
      <sz val="10"/>
      <color rgb="FFFF0000"/>
      <name val="Calibri"/>
      <charset val="1"/>
    </font>
    <font>
      <b/>
      <sz val="9"/>
      <color rgb="FF2AABB3"/>
      <name val="Calibri"/>
      <charset val="1"/>
    </font>
    <font>
      <b/>
      <sz val="11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</fills>
  <borders count="3">
    <border>
      <left/>
      <right/>
      <top/>
      <bottom/>
      <diagonal/>
    </border>
    <border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7" fillId="4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/>
    <xf numFmtId="0" fontId="9" fillId="3" borderId="0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3" borderId="0" xfId="0" applyFill="1" applyAlignment="1"/>
    <xf numFmtId="0" fontId="8" fillId="3" borderId="0" xfId="0" applyFont="1" applyFill="1" applyAlignment="1"/>
    <xf numFmtId="0" fontId="9" fillId="3" borderId="0" xfId="0" applyFont="1" applyFill="1" applyAlignment="1"/>
    <xf numFmtId="0" fontId="10" fillId="0" borderId="0" xfId="0" applyFont="1" applyAlignment="1">
      <alignment horizontal="right" vertical="center"/>
    </xf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/>
    <xf numFmtId="0" fontId="18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14" fontId="9" fillId="4" borderId="2" xfId="0" applyNumberFormat="1" applyFont="1" applyFill="1" applyBorder="1" applyAlignment="1">
      <alignment horizontal="left" vertical="center" wrapText="1"/>
    </xf>
    <xf numFmtId="20" fontId="9" fillId="4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0" borderId="0" xfId="0" applyFont="1" applyAlignment="1"/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060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E0606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J25"/>
  <sheetViews>
    <sheetView showGridLines="0" zoomScaleNormal="100" workbookViewId="0"/>
  </sheetViews>
  <sheetFormatPr defaultColWidth="8.7421875" defaultRowHeight="15" x14ac:dyDescent="0.2"/>
  <cols>
    <col min="1" max="8" width="13.98828125" style="11" customWidth="1"/>
  </cols>
  <sheetData>
    <row r="1" spans="1:10" ht="30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2"/>
      <c r="J1" s="12"/>
    </row>
    <row r="2" spans="1:10" ht="30" customHeight="1" x14ac:dyDescent="0.2">
      <c r="A2" s="10"/>
      <c r="B2" s="10"/>
      <c r="C2" s="10"/>
      <c r="D2" s="10"/>
      <c r="E2" s="10"/>
      <c r="F2" s="10"/>
      <c r="G2" s="10"/>
      <c r="H2" s="10"/>
      <c r="I2" s="12"/>
      <c r="J2" s="12"/>
    </row>
    <row r="3" spans="1:10" ht="30" customHeight="1" x14ac:dyDescent="0.2">
      <c r="A3" s="10"/>
      <c r="B3" s="10"/>
      <c r="C3" s="10"/>
      <c r="D3" s="10"/>
      <c r="E3" s="10"/>
      <c r="F3" s="10"/>
      <c r="G3" s="10"/>
      <c r="H3" s="10"/>
      <c r="I3" s="12"/>
      <c r="J3" s="12"/>
    </row>
    <row r="4" spans="1:10" ht="15" customHeight="1" x14ac:dyDescent="0.2">
      <c r="A4" s="9" t="s">
        <v>1</v>
      </c>
      <c r="B4" s="9"/>
      <c r="C4" s="9"/>
      <c r="D4" s="9"/>
      <c r="E4" s="9"/>
      <c r="F4" s="9"/>
      <c r="G4" s="9"/>
      <c r="H4" s="9"/>
      <c r="I4" s="12"/>
      <c r="J4" s="12"/>
    </row>
    <row r="5" spans="1:10" ht="1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24.75" customHeight="1" x14ac:dyDescent="0.2">
      <c r="A6" s="8" t="s">
        <v>2</v>
      </c>
      <c r="B6" s="8"/>
      <c r="C6" s="8"/>
      <c r="D6" s="8"/>
      <c r="E6" s="8"/>
      <c r="F6" s="8"/>
      <c r="G6" s="8"/>
      <c r="H6" s="8"/>
      <c r="I6" s="12"/>
      <c r="J6" s="12"/>
    </row>
    <row r="7" spans="1:10" ht="24.75" customHeight="1" x14ac:dyDescent="0.2">
      <c r="A7" s="8"/>
      <c r="B7" s="8"/>
      <c r="C7" s="8"/>
      <c r="D7" s="8"/>
      <c r="E7" s="8"/>
      <c r="F7" s="8"/>
      <c r="G7" s="8"/>
      <c r="H7" s="8"/>
      <c r="I7" s="12"/>
      <c r="J7" s="12"/>
    </row>
    <row r="8" spans="1:10" ht="24.75" customHeight="1" x14ac:dyDescent="0.2">
      <c r="A8" s="8"/>
      <c r="B8" s="8"/>
      <c r="C8" s="8"/>
      <c r="D8" s="8"/>
      <c r="E8" s="8"/>
      <c r="F8" s="8"/>
      <c r="G8" s="8"/>
      <c r="H8" s="8"/>
      <c r="I8" s="12"/>
      <c r="J8" s="12"/>
    </row>
    <row r="9" spans="1:10" ht="15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15" customHeight="1" x14ac:dyDescent="0.2">
      <c r="A10" s="7" t="s">
        <v>3</v>
      </c>
      <c r="B10" s="7"/>
      <c r="C10" s="7"/>
      <c r="D10" s="7"/>
      <c r="E10" s="7"/>
      <c r="F10" s="7"/>
      <c r="G10" s="7"/>
      <c r="H10" s="7"/>
      <c r="I10" s="12"/>
      <c r="J10" s="12"/>
    </row>
    <row r="11" spans="1:10" ht="15" customHeight="1" x14ac:dyDescent="0.2">
      <c r="A11" s="7"/>
      <c r="B11" s="7"/>
      <c r="C11" s="7"/>
      <c r="D11" s="7"/>
      <c r="E11" s="7"/>
      <c r="F11" s="7"/>
      <c r="G11" s="7"/>
      <c r="H11" s="7"/>
      <c r="I11" s="12"/>
      <c r="J11" s="12"/>
    </row>
    <row r="12" spans="1:10" ht="1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15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5" customHeight="1" x14ac:dyDescent="0.2">
      <c r="A14" s="6" t="s">
        <v>4</v>
      </c>
      <c r="B14" s="6"/>
      <c r="C14" s="6"/>
      <c r="D14" s="6"/>
      <c r="E14" s="6"/>
      <c r="F14" s="6"/>
      <c r="G14" s="6"/>
      <c r="H14" s="6"/>
      <c r="I14" s="12"/>
      <c r="J14" s="12"/>
    </row>
    <row r="15" spans="1:10" ht="15" customHeight="1" x14ac:dyDescent="0.2">
      <c r="A15" s="6"/>
      <c r="B15" s="6"/>
      <c r="C15" s="6"/>
      <c r="D15" s="6"/>
      <c r="E15" s="6"/>
      <c r="F15" s="6"/>
      <c r="G15" s="6"/>
      <c r="H15" s="6"/>
      <c r="I15" s="12"/>
      <c r="J15" s="12"/>
    </row>
    <row r="16" spans="1:10" ht="15" customHeight="1" x14ac:dyDescent="0.2">
      <c r="A16" s="6"/>
      <c r="B16" s="6"/>
      <c r="C16" s="6"/>
      <c r="D16" s="6"/>
      <c r="E16" s="6"/>
      <c r="F16" s="6"/>
      <c r="G16" s="6"/>
      <c r="H16" s="6"/>
      <c r="I16" s="12"/>
      <c r="J16" s="12"/>
    </row>
    <row r="17" spans="1:10" ht="15" customHeight="1" x14ac:dyDescent="0.2">
      <c r="A17" s="6"/>
      <c r="B17" s="6"/>
      <c r="C17" s="6"/>
      <c r="D17" s="6"/>
      <c r="E17" s="6"/>
      <c r="F17" s="6"/>
      <c r="G17" s="6"/>
      <c r="H17" s="6"/>
      <c r="I17" s="12"/>
      <c r="J17" s="12"/>
    </row>
    <row r="18" spans="1:10" ht="1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15" customHeight="1" x14ac:dyDescent="0.2">
      <c r="A19" s="5" t="s">
        <v>5</v>
      </c>
      <c r="B19" s="5"/>
      <c r="C19" s="5"/>
      <c r="D19" s="5"/>
      <c r="E19" s="5"/>
      <c r="F19" s="5"/>
      <c r="G19" s="5"/>
      <c r="H19" s="5"/>
      <c r="I19" s="12"/>
      <c r="J19" s="12"/>
    </row>
    <row r="20" spans="1:10" ht="15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5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15" customHeight="1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15" customHeight="1" x14ac:dyDescent="0.2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1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1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</row>
  </sheetData>
  <mergeCells count="6">
    <mergeCell ref="A19:H19"/>
    <mergeCell ref="A1:H3"/>
    <mergeCell ref="A4:H4"/>
    <mergeCell ref="A6:H8"/>
    <mergeCell ref="A10:H11"/>
    <mergeCell ref="A14:H17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AABB3"/>
  </sheetPr>
  <dimension ref="A1:H34"/>
  <sheetViews>
    <sheetView showGridLines="0" zoomScaleNormal="100" workbookViewId="0"/>
  </sheetViews>
  <sheetFormatPr defaultColWidth="8.7421875" defaultRowHeight="15" x14ac:dyDescent="0.2"/>
  <cols>
    <col min="1" max="1" width="4.9765625" style="11" customWidth="1"/>
    <col min="2" max="2" width="94.97265625" style="11" customWidth="1"/>
  </cols>
  <sheetData>
    <row r="1" spans="1:8" ht="17.25" customHeight="1" x14ac:dyDescent="0.2">
      <c r="A1" s="4" t="s">
        <v>6</v>
      </c>
      <c r="B1" s="4"/>
      <c r="C1" s="4"/>
      <c r="D1" s="4"/>
      <c r="E1" s="4"/>
      <c r="F1" s="4"/>
      <c r="G1" s="12"/>
      <c r="H1" s="12"/>
    </row>
    <row r="2" spans="1:8" ht="15" customHeight="1" x14ac:dyDescent="0.2">
      <c r="A2" s="12"/>
      <c r="B2" s="12"/>
      <c r="C2" s="12"/>
      <c r="D2" s="12"/>
      <c r="E2" s="12"/>
      <c r="F2" s="12"/>
      <c r="G2" s="12"/>
      <c r="H2" s="12"/>
    </row>
    <row r="3" spans="1:8" ht="15" customHeight="1" x14ac:dyDescent="0.2">
      <c r="A3" s="12"/>
      <c r="B3" s="12"/>
      <c r="C3" s="12"/>
      <c r="D3" s="12"/>
      <c r="E3" s="12"/>
      <c r="F3" s="12"/>
      <c r="G3" s="12"/>
      <c r="H3" s="12"/>
    </row>
    <row r="4" spans="1:8" ht="15" customHeight="1" x14ac:dyDescent="0.2">
      <c r="A4" s="13" t="s">
        <v>7</v>
      </c>
      <c r="B4" s="12"/>
      <c r="C4" s="12"/>
      <c r="D4" s="12"/>
      <c r="E4" s="12"/>
      <c r="F4" s="12"/>
      <c r="G4" s="12"/>
      <c r="H4" s="12"/>
    </row>
    <row r="5" spans="1:8" ht="15" customHeight="1" x14ac:dyDescent="0.2">
      <c r="A5" s="14" t="s">
        <v>8</v>
      </c>
      <c r="B5" s="3" t="s">
        <v>9</v>
      </c>
      <c r="C5" s="3"/>
      <c r="D5" s="3"/>
      <c r="E5" s="3"/>
      <c r="F5" s="3"/>
      <c r="G5" s="12"/>
      <c r="H5" s="12"/>
    </row>
    <row r="6" spans="1:8" ht="15" customHeight="1" x14ac:dyDescent="0.2">
      <c r="A6" s="14" t="s">
        <v>10</v>
      </c>
      <c r="B6" s="3" t="s">
        <v>11</v>
      </c>
      <c r="C6" s="3"/>
      <c r="D6" s="3"/>
      <c r="E6" s="3"/>
      <c r="F6" s="3"/>
      <c r="G6" s="12"/>
      <c r="H6" s="12"/>
    </row>
    <row r="7" spans="1:8" ht="15" customHeight="1" x14ac:dyDescent="0.2">
      <c r="A7" s="14" t="s">
        <v>12</v>
      </c>
      <c r="B7" s="3" t="s">
        <v>13</v>
      </c>
      <c r="C7" s="3"/>
      <c r="D7" s="3"/>
      <c r="E7" s="3"/>
      <c r="F7" s="3"/>
      <c r="G7" s="12"/>
      <c r="H7" s="12"/>
    </row>
    <row r="8" spans="1:8" ht="15" customHeight="1" x14ac:dyDescent="0.2">
      <c r="A8" s="14" t="s">
        <v>14</v>
      </c>
      <c r="B8" s="3" t="s">
        <v>15</v>
      </c>
      <c r="C8" s="3"/>
      <c r="D8" s="3"/>
      <c r="E8" s="3"/>
      <c r="F8" s="3"/>
      <c r="G8" s="12"/>
      <c r="H8" s="12"/>
    </row>
    <row r="9" spans="1:8" ht="15" customHeight="1" x14ac:dyDescent="0.2">
      <c r="A9" s="14" t="s">
        <v>16</v>
      </c>
      <c r="B9" s="3" t="s">
        <v>17</v>
      </c>
      <c r="C9" s="3"/>
      <c r="D9" s="3"/>
      <c r="E9" s="3"/>
      <c r="F9" s="3"/>
      <c r="G9" s="12"/>
      <c r="H9" s="12"/>
    </row>
    <row r="10" spans="1:8" ht="15" customHeight="1" x14ac:dyDescent="0.2">
      <c r="A10" s="14" t="s">
        <v>18</v>
      </c>
      <c r="B10" s="3" t="s">
        <v>19</v>
      </c>
      <c r="C10" s="3"/>
      <c r="D10" s="3"/>
      <c r="E10" s="3"/>
      <c r="F10" s="3"/>
      <c r="G10" s="12"/>
      <c r="H10" s="12"/>
    </row>
    <row r="11" spans="1:8" ht="15" customHeight="1" x14ac:dyDescent="0.2">
      <c r="A11" s="14" t="s">
        <v>20</v>
      </c>
      <c r="B11" s="3" t="s">
        <v>21</v>
      </c>
      <c r="C11" s="3"/>
      <c r="D11" s="3"/>
      <c r="E11" s="3"/>
      <c r="F11" s="3"/>
      <c r="G11" s="12"/>
      <c r="H11" s="12"/>
    </row>
    <row r="12" spans="1:8" ht="23.25" customHeight="1" x14ac:dyDescent="0.2">
      <c r="A12" s="14" t="s">
        <v>22</v>
      </c>
      <c r="B12" s="3" t="s">
        <v>23</v>
      </c>
      <c r="C12" s="3"/>
      <c r="D12" s="3"/>
      <c r="E12" s="3"/>
      <c r="F12" s="3"/>
      <c r="G12" s="12"/>
      <c r="H12" s="12"/>
    </row>
    <row r="13" spans="1:8" ht="15" customHeight="1" x14ac:dyDescent="0.2">
      <c r="A13" s="14" t="s">
        <v>24</v>
      </c>
      <c r="B13" s="3" t="s">
        <v>25</v>
      </c>
      <c r="C13" s="3"/>
      <c r="D13" s="3"/>
      <c r="E13" s="3"/>
      <c r="F13" s="3"/>
      <c r="G13" s="12"/>
      <c r="H13" s="12"/>
    </row>
    <row r="14" spans="1:8" ht="15" customHeight="1" x14ac:dyDescent="0.2">
      <c r="A14" s="14" t="s">
        <v>26</v>
      </c>
      <c r="B14" s="3" t="s">
        <v>27</v>
      </c>
      <c r="C14" s="3"/>
      <c r="D14" s="3"/>
      <c r="E14" s="3"/>
      <c r="F14" s="3"/>
      <c r="G14" s="12"/>
      <c r="H14" s="12"/>
    </row>
    <row r="15" spans="1:8" ht="15" customHeight="1" x14ac:dyDescent="0.2">
      <c r="A15" s="14" t="s">
        <v>28</v>
      </c>
      <c r="B15" s="3" t="s">
        <v>29</v>
      </c>
      <c r="C15" s="3"/>
      <c r="D15" s="3"/>
      <c r="E15" s="3"/>
      <c r="F15" s="3"/>
      <c r="G15" s="12"/>
      <c r="H15" s="12"/>
    </row>
    <row r="16" spans="1:8" ht="15" customHeight="1" x14ac:dyDescent="0.2">
      <c r="A16" s="12"/>
      <c r="B16" s="12"/>
      <c r="C16" s="12"/>
      <c r="D16" s="12"/>
      <c r="E16" s="12"/>
      <c r="F16" s="12"/>
      <c r="G16" s="12"/>
      <c r="H16" s="12"/>
    </row>
    <row r="17" spans="1:8" ht="15" customHeight="1" x14ac:dyDescent="0.2">
      <c r="A17" s="13" t="s">
        <v>30</v>
      </c>
      <c r="B17" s="12"/>
      <c r="C17" s="12"/>
      <c r="D17" s="12"/>
      <c r="E17" s="12"/>
      <c r="F17" s="12"/>
      <c r="G17" s="12"/>
      <c r="H17" s="12"/>
    </row>
    <row r="18" spans="1:8" ht="15" customHeight="1" x14ac:dyDescent="0.2">
      <c r="A18" s="14" t="s">
        <v>31</v>
      </c>
      <c r="B18" s="3" t="s">
        <v>32</v>
      </c>
      <c r="C18" s="3"/>
      <c r="D18" s="3"/>
      <c r="E18" s="3"/>
      <c r="F18" s="3"/>
      <c r="G18" s="12"/>
      <c r="H18" s="12"/>
    </row>
    <row r="19" spans="1:8" ht="15" customHeight="1" x14ac:dyDescent="0.2">
      <c r="A19" s="14" t="s">
        <v>31</v>
      </c>
      <c r="B19" s="3" t="s">
        <v>33</v>
      </c>
      <c r="C19" s="3"/>
      <c r="D19" s="3"/>
      <c r="E19" s="3"/>
      <c r="F19" s="3"/>
      <c r="G19" s="12"/>
      <c r="H19" s="12"/>
    </row>
    <row r="20" spans="1:8" ht="15" customHeight="1" x14ac:dyDescent="0.2">
      <c r="A20" s="14" t="s">
        <v>31</v>
      </c>
      <c r="B20" s="3" t="s">
        <v>34</v>
      </c>
      <c r="C20" s="3"/>
      <c r="D20" s="3"/>
      <c r="E20" s="3"/>
      <c r="F20" s="3"/>
      <c r="G20" s="12"/>
      <c r="H20" s="12"/>
    </row>
    <row r="21" spans="1:8" ht="15" customHeight="1" x14ac:dyDescent="0.2">
      <c r="A21" s="14" t="s">
        <v>31</v>
      </c>
      <c r="B21" s="3" t="s">
        <v>35</v>
      </c>
      <c r="C21" s="3"/>
      <c r="D21" s="3"/>
      <c r="E21" s="3"/>
      <c r="F21" s="3"/>
      <c r="G21" s="12"/>
      <c r="H21" s="12"/>
    </row>
    <row r="22" spans="1:8" ht="15" customHeight="1" x14ac:dyDescent="0.2">
      <c r="A22" s="14" t="s">
        <v>31</v>
      </c>
      <c r="B22" s="3" t="s">
        <v>36</v>
      </c>
      <c r="C22" s="3"/>
      <c r="D22" s="3"/>
      <c r="E22" s="3"/>
      <c r="F22" s="3"/>
      <c r="G22" s="12"/>
      <c r="H22" s="12"/>
    </row>
    <row r="23" spans="1:8" ht="15" customHeight="1" x14ac:dyDescent="0.2">
      <c r="A23" s="14" t="s">
        <v>31</v>
      </c>
      <c r="B23" s="3" t="s">
        <v>37</v>
      </c>
      <c r="C23" s="3"/>
      <c r="D23" s="3"/>
      <c r="E23" s="3"/>
      <c r="F23" s="3"/>
      <c r="G23" s="12"/>
      <c r="H23" s="12"/>
    </row>
    <row r="24" spans="1:8" ht="1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" customHeight="1" x14ac:dyDescent="0.2">
      <c r="A25" s="13" t="s">
        <v>38</v>
      </c>
      <c r="B25" s="12"/>
      <c r="C25" s="12"/>
      <c r="D25" s="12"/>
      <c r="E25" s="12"/>
      <c r="F25" s="12"/>
      <c r="G25" s="12"/>
      <c r="H25" s="12"/>
    </row>
    <row r="26" spans="1:8" ht="23.25" customHeight="1" x14ac:dyDescent="0.2">
      <c r="A26" s="14" t="s">
        <v>31</v>
      </c>
      <c r="B26" s="3" t="s">
        <v>39</v>
      </c>
      <c r="C26" s="3"/>
      <c r="D26" s="3"/>
      <c r="E26" s="3"/>
      <c r="F26" s="3"/>
      <c r="G26" s="12"/>
      <c r="H26" s="12"/>
    </row>
    <row r="27" spans="1:8" ht="15" customHeight="1" x14ac:dyDescent="0.2">
      <c r="A27" s="14" t="s">
        <v>31</v>
      </c>
      <c r="B27" s="3" t="s">
        <v>40</v>
      </c>
      <c r="C27" s="3"/>
      <c r="D27" s="3"/>
      <c r="E27" s="3"/>
      <c r="F27" s="3"/>
      <c r="G27" s="12"/>
      <c r="H27" s="12"/>
    </row>
    <row r="28" spans="1:8" ht="23.25" customHeight="1" x14ac:dyDescent="0.2">
      <c r="A28" s="14" t="s">
        <v>31</v>
      </c>
      <c r="B28" s="3" t="s">
        <v>41</v>
      </c>
      <c r="C28" s="3"/>
      <c r="D28" s="3"/>
      <c r="E28" s="3"/>
      <c r="F28" s="3"/>
      <c r="G28" s="12"/>
      <c r="H28" s="12"/>
    </row>
    <row r="29" spans="1:8" ht="15" customHeight="1" x14ac:dyDescent="0.2">
      <c r="A29" s="12"/>
      <c r="B29" s="12"/>
      <c r="C29" s="12"/>
      <c r="D29" s="12"/>
      <c r="E29" s="12"/>
      <c r="F29" s="12"/>
      <c r="G29" s="12"/>
      <c r="H29" s="12"/>
    </row>
    <row r="30" spans="1:8" ht="15" customHeight="1" x14ac:dyDescent="0.2">
      <c r="A30" s="12"/>
      <c r="B30" s="12"/>
      <c r="C30" s="12"/>
      <c r="D30" s="12"/>
      <c r="E30" s="12"/>
      <c r="F30" s="12"/>
      <c r="G30" s="12"/>
      <c r="H30" s="12"/>
    </row>
    <row r="31" spans="1:8" ht="15" customHeight="1" x14ac:dyDescent="0.2">
      <c r="A31" s="12"/>
      <c r="B31" s="12"/>
      <c r="C31" s="12"/>
      <c r="D31" s="12"/>
      <c r="E31" s="12"/>
      <c r="F31" s="12"/>
      <c r="G31" s="12"/>
      <c r="H31" s="12"/>
    </row>
    <row r="32" spans="1:8" ht="15" customHeight="1" x14ac:dyDescent="0.2">
      <c r="A32" s="12"/>
      <c r="B32" s="12"/>
      <c r="C32" s="12"/>
      <c r="D32" s="12"/>
      <c r="E32" s="12"/>
      <c r="F32" s="12"/>
      <c r="G32" s="12"/>
      <c r="H32" s="12"/>
    </row>
    <row r="33" spans="1:8" ht="15" customHeight="1" x14ac:dyDescent="0.2">
      <c r="A33" s="12"/>
      <c r="B33" s="12"/>
      <c r="C33" s="12"/>
      <c r="D33" s="12"/>
      <c r="E33" s="12"/>
      <c r="F33" s="12"/>
      <c r="G33" s="12"/>
      <c r="H33" s="12"/>
    </row>
    <row r="34" spans="1:8" ht="15" customHeight="1" x14ac:dyDescent="0.2">
      <c r="A34" s="12"/>
      <c r="B34" s="12"/>
      <c r="C34" s="12"/>
      <c r="D34" s="12"/>
      <c r="E34" s="12"/>
      <c r="F34" s="12"/>
      <c r="G34" s="12"/>
      <c r="H34" s="12"/>
    </row>
  </sheetData>
  <mergeCells count="21">
    <mergeCell ref="B28:F28"/>
    <mergeCell ref="B21:F21"/>
    <mergeCell ref="B22:F22"/>
    <mergeCell ref="B23:F23"/>
    <mergeCell ref="B26:F26"/>
    <mergeCell ref="B27:F27"/>
    <mergeCell ref="B14:F14"/>
    <mergeCell ref="B15:F15"/>
    <mergeCell ref="B18:F18"/>
    <mergeCell ref="B19:F19"/>
    <mergeCell ref="B20:F20"/>
    <mergeCell ref="B9:F9"/>
    <mergeCell ref="B10:F10"/>
    <mergeCell ref="B11:F11"/>
    <mergeCell ref="B12:F12"/>
    <mergeCell ref="B13:F13"/>
    <mergeCell ref="A1:F1"/>
    <mergeCell ref="B5:F5"/>
    <mergeCell ref="B6:F6"/>
    <mergeCell ref="B7:F7"/>
    <mergeCell ref="B8:F8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"/>
  <sheetViews>
    <sheetView tabSelected="1" zoomScaleNormal="100" workbookViewId="0">
      <pane ySplit="7" topLeftCell="A8" activePane="bottomLeft" state="frozen"/>
      <selection pane="bottomLeft" activeCell="L6" sqref="L6:U6"/>
    </sheetView>
  </sheetViews>
  <sheetFormatPr defaultColWidth="8.7421875" defaultRowHeight="15" outlineLevelCol="1" x14ac:dyDescent="0.2"/>
  <cols>
    <col min="1" max="1" width="9.953125" style="11" customWidth="1"/>
    <col min="2" max="2" width="13.98828125" style="11" customWidth="1"/>
    <col min="3" max="3" width="9.953125" style="11" customWidth="1"/>
    <col min="4" max="4" width="18.0234375" style="11" customWidth="1"/>
    <col min="5" max="5" width="41.96875" style="11" customWidth="1"/>
    <col min="6" max="6" width="22.05859375" style="11" customWidth="1"/>
    <col min="7" max="7" width="18.0234375" style="11" customWidth="1"/>
    <col min="8" max="8" width="13.98828125" style="11" customWidth="1"/>
    <col min="9" max="9" width="34.97265625" style="11" customWidth="1"/>
    <col min="10" max="10" width="18.0234375" style="11" customWidth="1"/>
    <col min="11" max="20" width="20.04296875" style="11" hidden="1" customWidth="1" outlineLevel="1"/>
  </cols>
  <sheetData>
    <row r="1" spans="1:21" ht="17.25" customHeight="1" x14ac:dyDescent="0.25">
      <c r="A1" s="2" t="s">
        <v>42</v>
      </c>
      <c r="B1" s="2"/>
      <c r="D1" s="15" t="s">
        <v>43</v>
      </c>
      <c r="E1" s="16">
        <f>COUNTA(B8:B507)</f>
        <v>5</v>
      </c>
      <c r="G1" s="15" t="s">
        <v>44</v>
      </c>
      <c r="H1" s="16">
        <f>COUNTIF(D8:D507,"Near Miss")</f>
        <v>3</v>
      </c>
    </row>
    <row r="2" spans="1:21" ht="15" customHeight="1" x14ac:dyDescent="0.2">
      <c r="D2" s="15" t="s">
        <v>45</v>
      </c>
      <c r="E2" s="16">
        <f>COUNTIF(D8:D507,"Incident")</f>
        <v>1</v>
      </c>
      <c r="G2" s="15" t="s">
        <v>46</v>
      </c>
      <c r="H2" s="16">
        <f>COUNTIF(D8:D507,"Dangerous Occurrence")</f>
        <v>1</v>
      </c>
    </row>
    <row r="3" spans="1:21" ht="15" customHeight="1" x14ac:dyDescent="0.2">
      <c r="D3" s="15" t="s">
        <v>47</v>
      </c>
      <c r="E3" s="17">
        <f>COUNTIF(H8:H507,"Low")</f>
        <v>2</v>
      </c>
      <c r="F3" s="15" t="s">
        <v>48</v>
      </c>
      <c r="G3" s="18">
        <f>COUNTIF(H8:H507,"Medium")</f>
        <v>1</v>
      </c>
      <c r="H3" s="15" t="s">
        <v>49</v>
      </c>
      <c r="I3" s="19">
        <f>COUNTIF(H8:H507,"High")</f>
        <v>1</v>
      </c>
      <c r="J3" s="15" t="s">
        <v>50</v>
      </c>
      <c r="K3" s="20">
        <f>COUNTIF(H8:H507,"Critical")</f>
        <v>1</v>
      </c>
    </row>
    <row r="4" spans="1:21" ht="15" customHeight="1" x14ac:dyDescent="0.2">
      <c r="D4" s="15" t="s">
        <v>51</v>
      </c>
      <c r="E4" s="21">
        <f>COUNTIF(J8:J507,"Open")</f>
        <v>1</v>
      </c>
      <c r="G4" s="15" t="s">
        <v>52</v>
      </c>
      <c r="H4" s="16">
        <f>COUNTIF(J8:J507,"Under Investigation")</f>
        <v>1</v>
      </c>
      <c r="J4" s="15" t="s">
        <v>53</v>
      </c>
      <c r="K4" s="21">
        <f ca="1">COUNTIFS(Q8:Q507,"&lt;"&amp;TODAY(),J8:J507,"&lt;&gt;Closed",Q8:Q507,"&lt;&gt;")</f>
        <v>1</v>
      </c>
    </row>
    <row r="5" spans="1:21" ht="15" customHeight="1" x14ac:dyDescent="0.2">
      <c r="D5" s="15" t="s">
        <v>54</v>
      </c>
      <c r="E5" s="16">
        <f>COUNTIF(M8:M507,"Yes")</f>
        <v>1</v>
      </c>
      <c r="G5" s="15" t="s">
        <v>55</v>
      </c>
      <c r="H5" s="16" t="str">
        <f>IFERROR(COUNTIF(D8:D507,"Near Miss")/COUNTIF(D8:D507,"Incident")&amp;":1","N/A")</f>
        <v>3:1</v>
      </c>
    </row>
    <row r="6" spans="1:21" ht="15" customHeight="1" x14ac:dyDescent="0.2">
      <c r="L6" s="1" t="s">
        <v>56</v>
      </c>
      <c r="M6" s="1"/>
      <c r="N6" s="1"/>
      <c r="O6" s="1"/>
      <c r="P6" s="1"/>
      <c r="Q6" s="1"/>
      <c r="R6" s="1"/>
      <c r="S6" s="1"/>
      <c r="T6" s="1"/>
      <c r="U6" s="1"/>
    </row>
    <row r="7" spans="1:21" ht="27.75" customHeight="1" x14ac:dyDescent="0.2">
      <c r="A7" s="22" t="s">
        <v>57</v>
      </c>
      <c r="B7" s="22" t="s">
        <v>58</v>
      </c>
      <c r="C7" s="22" t="s">
        <v>59</v>
      </c>
      <c r="D7" s="22" t="s">
        <v>60</v>
      </c>
      <c r="E7" s="22" t="s">
        <v>61</v>
      </c>
      <c r="F7" s="22" t="s">
        <v>62</v>
      </c>
      <c r="G7" s="22" t="s">
        <v>63</v>
      </c>
      <c r="H7" s="22" t="s">
        <v>64</v>
      </c>
      <c r="I7" s="22" t="s">
        <v>65</v>
      </c>
      <c r="J7" s="22" t="s">
        <v>66</v>
      </c>
      <c r="K7" s="22" t="s">
        <v>67</v>
      </c>
      <c r="L7" s="22" t="s">
        <v>68</v>
      </c>
      <c r="M7" s="22" t="s">
        <v>69</v>
      </c>
      <c r="N7" s="22" t="s">
        <v>70</v>
      </c>
      <c r="O7" s="22" t="s">
        <v>71</v>
      </c>
      <c r="P7" s="22" t="s">
        <v>72</v>
      </c>
      <c r="Q7" s="22" t="s">
        <v>73</v>
      </c>
      <c r="R7" s="22" t="s">
        <v>74</v>
      </c>
      <c r="S7" s="22" t="s">
        <v>75</v>
      </c>
      <c r="T7" s="22" t="s">
        <v>76</v>
      </c>
    </row>
    <row r="8" spans="1:21" ht="31.5" customHeight="1" x14ac:dyDescent="0.2">
      <c r="A8" s="23">
        <f>IF(B8="","",ROW()-7)</f>
        <v>1</v>
      </c>
      <c r="B8" s="24">
        <v>46097</v>
      </c>
      <c r="C8" s="25">
        <v>0.36458333333333298</v>
      </c>
      <c r="D8" s="26" t="s">
        <v>77</v>
      </c>
      <c r="E8" s="27" t="s">
        <v>78</v>
      </c>
      <c r="F8" s="27" t="s">
        <v>79</v>
      </c>
      <c r="G8" s="27" t="s">
        <v>80</v>
      </c>
      <c r="H8" s="26" t="s">
        <v>81</v>
      </c>
      <c r="I8" s="27" t="s">
        <v>82</v>
      </c>
      <c r="J8" s="26" t="s">
        <v>83</v>
      </c>
      <c r="K8" s="27"/>
      <c r="L8" s="27"/>
      <c r="M8" s="26" t="s">
        <v>84</v>
      </c>
      <c r="N8" s="27" t="s">
        <v>85</v>
      </c>
      <c r="O8" s="27" t="s">
        <v>86</v>
      </c>
      <c r="P8" s="27" t="s">
        <v>87</v>
      </c>
      <c r="Q8" s="24">
        <v>46098</v>
      </c>
      <c r="R8" s="24">
        <v>46098</v>
      </c>
      <c r="S8" s="27" t="s">
        <v>88</v>
      </c>
      <c r="T8" s="27" t="s">
        <v>89</v>
      </c>
    </row>
    <row r="9" spans="1:21" ht="31.5" customHeight="1" x14ac:dyDescent="0.2">
      <c r="A9" s="23">
        <f>IF(B9="","",ROW()-7)</f>
        <v>2</v>
      </c>
      <c r="B9" s="24">
        <v>46098</v>
      </c>
      <c r="C9" s="25">
        <v>0.47222222222222199</v>
      </c>
      <c r="D9" s="26" t="s">
        <v>90</v>
      </c>
      <c r="E9" s="27" t="s">
        <v>91</v>
      </c>
      <c r="F9" s="27" t="s">
        <v>92</v>
      </c>
      <c r="G9" s="27" t="s">
        <v>93</v>
      </c>
      <c r="H9" s="26" t="s">
        <v>94</v>
      </c>
      <c r="I9" s="27" t="s">
        <v>95</v>
      </c>
      <c r="J9" s="26" t="s">
        <v>83</v>
      </c>
      <c r="K9" s="27" t="s">
        <v>96</v>
      </c>
      <c r="L9" s="27" t="s">
        <v>97</v>
      </c>
      <c r="M9" s="26" t="s">
        <v>84</v>
      </c>
      <c r="N9" s="27" t="s">
        <v>98</v>
      </c>
      <c r="O9" s="27" t="s">
        <v>99</v>
      </c>
      <c r="P9" s="27" t="s">
        <v>93</v>
      </c>
      <c r="Q9" s="24">
        <v>46100</v>
      </c>
      <c r="R9" s="24">
        <v>46100</v>
      </c>
      <c r="S9" s="27" t="s">
        <v>100</v>
      </c>
      <c r="T9" s="27" t="s">
        <v>101</v>
      </c>
    </row>
    <row r="10" spans="1:21" ht="31.5" customHeight="1" x14ac:dyDescent="0.2">
      <c r="A10" s="23">
        <f>IF(B10="","",ROW()-7)</f>
        <v>3</v>
      </c>
      <c r="B10" s="24">
        <v>46099</v>
      </c>
      <c r="C10" s="25">
        <v>0.58680555555555602</v>
      </c>
      <c r="D10" s="26" t="s">
        <v>77</v>
      </c>
      <c r="E10" s="27" t="s">
        <v>102</v>
      </c>
      <c r="F10" s="27" t="s">
        <v>103</v>
      </c>
      <c r="G10" s="27" t="s">
        <v>87</v>
      </c>
      <c r="H10" s="26" t="s">
        <v>104</v>
      </c>
      <c r="I10" s="27" t="s">
        <v>105</v>
      </c>
      <c r="J10" s="26" t="s">
        <v>106</v>
      </c>
      <c r="K10" s="27"/>
      <c r="L10" s="27"/>
      <c r="M10" s="26" t="s">
        <v>84</v>
      </c>
      <c r="N10" s="27" t="s">
        <v>107</v>
      </c>
      <c r="O10" s="27" t="s">
        <v>108</v>
      </c>
      <c r="P10" s="27" t="s">
        <v>87</v>
      </c>
      <c r="Q10" s="24">
        <v>46103</v>
      </c>
      <c r="R10" s="24"/>
      <c r="S10" s="27" t="s">
        <v>109</v>
      </c>
      <c r="T10" s="27" t="s">
        <v>110</v>
      </c>
    </row>
    <row r="11" spans="1:21" ht="31.5" customHeight="1" x14ac:dyDescent="0.2">
      <c r="A11" s="23">
        <f>IF(B11="","",ROW()-7)</f>
        <v>4</v>
      </c>
      <c r="B11" s="24">
        <v>46100</v>
      </c>
      <c r="C11" s="25">
        <v>0.39583333333333298</v>
      </c>
      <c r="D11" s="26" t="s">
        <v>111</v>
      </c>
      <c r="E11" s="27" t="s">
        <v>112</v>
      </c>
      <c r="F11" s="27" t="s">
        <v>113</v>
      </c>
      <c r="G11" s="27" t="s">
        <v>114</v>
      </c>
      <c r="H11" s="26" t="s">
        <v>115</v>
      </c>
      <c r="I11" s="27" t="s">
        <v>116</v>
      </c>
      <c r="J11" s="26" t="s">
        <v>117</v>
      </c>
      <c r="K11" s="27"/>
      <c r="L11" s="27"/>
      <c r="M11" s="26" t="s">
        <v>118</v>
      </c>
      <c r="N11" s="27"/>
      <c r="O11" s="27"/>
      <c r="P11" s="27" t="s">
        <v>87</v>
      </c>
      <c r="Q11" s="24">
        <v>46102</v>
      </c>
      <c r="R11" s="24"/>
      <c r="S11" s="27" t="s">
        <v>119</v>
      </c>
      <c r="T11" s="27" t="s">
        <v>120</v>
      </c>
    </row>
    <row r="12" spans="1:21" ht="31.5" customHeight="1" x14ac:dyDescent="0.2">
      <c r="A12" s="23">
        <f>IF(B12="","",ROW()-7)</f>
        <v>5</v>
      </c>
      <c r="B12" s="24">
        <v>46101</v>
      </c>
      <c r="C12" s="25">
        <v>0.30208333333333298</v>
      </c>
      <c r="D12" s="26" t="s">
        <v>77</v>
      </c>
      <c r="E12" s="27" t="s">
        <v>121</v>
      </c>
      <c r="F12" s="27" t="s">
        <v>122</v>
      </c>
      <c r="G12" s="27" t="s">
        <v>123</v>
      </c>
      <c r="H12" s="26" t="s">
        <v>94</v>
      </c>
      <c r="I12" s="27" t="s">
        <v>124</v>
      </c>
      <c r="J12" s="26" t="s">
        <v>83</v>
      </c>
      <c r="K12" s="27"/>
      <c r="L12" s="27"/>
      <c r="M12" s="26" t="s">
        <v>84</v>
      </c>
      <c r="N12" s="27" t="s">
        <v>125</v>
      </c>
      <c r="O12" s="27" t="s">
        <v>126</v>
      </c>
      <c r="P12" s="27" t="s">
        <v>93</v>
      </c>
      <c r="Q12" s="24">
        <v>46101</v>
      </c>
      <c r="R12" s="24">
        <v>46101</v>
      </c>
      <c r="S12" s="27"/>
      <c r="T12" s="27" t="s">
        <v>127</v>
      </c>
    </row>
    <row r="13" spans="1:21" ht="31.5" customHeight="1" x14ac:dyDescent="0.2">
      <c r="A13" s="23" t="str">
        <f>IF(B13="","",ROW()-7)</f>
        <v/>
      </c>
      <c r="B13" s="24"/>
      <c r="C13" s="25"/>
      <c r="D13" s="26"/>
      <c r="E13" s="27"/>
      <c r="F13" s="27"/>
      <c r="G13" s="27"/>
      <c r="H13" s="26"/>
      <c r="I13" s="27"/>
      <c r="J13" s="26"/>
      <c r="K13" s="27"/>
      <c r="L13" s="27"/>
      <c r="M13" s="26"/>
      <c r="N13" s="27"/>
      <c r="O13" s="27"/>
      <c r="P13" s="27"/>
      <c r="Q13" s="24"/>
      <c r="R13" s="24"/>
      <c r="S13" s="27"/>
      <c r="T13" s="27"/>
    </row>
    <row r="14" spans="1:21" ht="31.5" customHeight="1" x14ac:dyDescent="0.2">
      <c r="A14" s="23" t="str">
        <f>IF(B14="","",ROW()-7)</f>
        <v/>
      </c>
      <c r="B14" s="24"/>
      <c r="C14" s="25"/>
      <c r="D14" s="26"/>
      <c r="E14" s="27"/>
      <c r="F14" s="27"/>
      <c r="G14" s="27"/>
      <c r="H14" s="26"/>
      <c r="I14" s="27"/>
      <c r="J14" s="26"/>
      <c r="K14" s="27"/>
      <c r="L14" s="27"/>
      <c r="M14" s="26"/>
      <c r="N14" s="27"/>
      <c r="O14" s="27"/>
      <c r="P14" s="27"/>
      <c r="Q14" s="24"/>
      <c r="R14" s="24"/>
      <c r="S14" s="27"/>
      <c r="T14" s="27"/>
    </row>
    <row r="15" spans="1:21" ht="31.5" customHeight="1" x14ac:dyDescent="0.2">
      <c r="A15" s="23" t="str">
        <f>IF(B15="","",ROW()-7)</f>
        <v/>
      </c>
      <c r="B15" s="24"/>
      <c r="C15" s="25"/>
      <c r="D15" s="26"/>
      <c r="E15" s="27"/>
      <c r="F15" s="27"/>
      <c r="G15" s="27"/>
      <c r="H15" s="26"/>
      <c r="I15" s="27"/>
      <c r="J15" s="26"/>
      <c r="K15" s="27"/>
      <c r="L15" s="27"/>
      <c r="M15" s="26"/>
      <c r="N15" s="27"/>
      <c r="O15" s="27"/>
      <c r="P15" s="27"/>
      <c r="Q15" s="24"/>
      <c r="R15" s="24"/>
      <c r="S15" s="27"/>
      <c r="T15" s="27"/>
    </row>
    <row r="16" spans="1:21" ht="31.5" customHeight="1" x14ac:dyDescent="0.2">
      <c r="A16" s="23" t="str">
        <f>IF(B16="","",ROW()-7)</f>
        <v/>
      </c>
      <c r="B16" s="24"/>
      <c r="C16" s="25"/>
      <c r="D16" s="26"/>
      <c r="E16" s="27"/>
      <c r="F16" s="27"/>
      <c r="G16" s="27"/>
      <c r="H16" s="26"/>
      <c r="I16" s="27"/>
      <c r="J16" s="26"/>
      <c r="K16" s="27"/>
      <c r="L16" s="27"/>
      <c r="M16" s="26"/>
      <c r="N16" s="27"/>
      <c r="O16" s="27"/>
      <c r="P16" s="27"/>
      <c r="Q16" s="24"/>
      <c r="R16" s="24"/>
      <c r="S16" s="27"/>
      <c r="T16" s="27"/>
    </row>
    <row r="17" spans="1:20" ht="31.5" customHeight="1" x14ac:dyDescent="0.2">
      <c r="A17" s="23" t="str">
        <f>IF(B17="","",ROW()-7)</f>
        <v/>
      </c>
      <c r="B17" s="24"/>
      <c r="C17" s="25"/>
      <c r="D17" s="26"/>
      <c r="E17" s="27"/>
      <c r="F17" s="27"/>
      <c r="G17" s="27"/>
      <c r="H17" s="26"/>
      <c r="I17" s="27"/>
      <c r="J17" s="26"/>
      <c r="K17" s="27"/>
      <c r="L17" s="27"/>
      <c r="M17" s="26"/>
      <c r="N17" s="27"/>
      <c r="O17" s="27"/>
      <c r="P17" s="27"/>
      <c r="Q17" s="24"/>
      <c r="R17" s="24"/>
      <c r="S17" s="27"/>
      <c r="T17" s="27"/>
    </row>
    <row r="18" spans="1:20" ht="31.5" customHeight="1" x14ac:dyDescent="0.2">
      <c r="A18" s="23" t="str">
        <f>IF(B18="","",ROW()-7)</f>
        <v/>
      </c>
      <c r="B18" s="24"/>
      <c r="C18" s="25"/>
      <c r="D18" s="26"/>
      <c r="E18" s="27"/>
      <c r="F18" s="27"/>
      <c r="G18" s="27"/>
      <c r="H18" s="26"/>
      <c r="I18" s="27"/>
      <c r="J18" s="26"/>
      <c r="K18" s="27"/>
      <c r="L18" s="27"/>
      <c r="M18" s="26"/>
      <c r="N18" s="27"/>
      <c r="O18" s="27"/>
      <c r="P18" s="27"/>
      <c r="Q18" s="24"/>
      <c r="R18" s="24"/>
      <c r="S18" s="27"/>
      <c r="T18" s="27"/>
    </row>
    <row r="19" spans="1:20" ht="31.5" customHeight="1" x14ac:dyDescent="0.2">
      <c r="A19" s="23" t="str">
        <f>IF(B19="","",ROW()-7)</f>
        <v/>
      </c>
      <c r="B19" s="24"/>
      <c r="C19" s="25"/>
      <c r="D19" s="26"/>
      <c r="E19" s="27"/>
      <c r="F19" s="27"/>
      <c r="G19" s="27"/>
      <c r="H19" s="26"/>
      <c r="I19" s="27"/>
      <c r="J19" s="26"/>
      <c r="K19" s="27"/>
      <c r="L19" s="27"/>
      <c r="M19" s="26"/>
      <c r="N19" s="27"/>
      <c r="O19" s="27"/>
      <c r="P19" s="27"/>
      <c r="Q19" s="24"/>
      <c r="R19" s="24"/>
      <c r="S19" s="27"/>
      <c r="T19" s="27"/>
    </row>
    <row r="20" spans="1:20" ht="31.5" customHeight="1" x14ac:dyDescent="0.2">
      <c r="A20" s="23" t="str">
        <f>IF(B20="","",ROW()-7)</f>
        <v/>
      </c>
      <c r="B20" s="24"/>
      <c r="C20" s="25"/>
      <c r="D20" s="26"/>
      <c r="E20" s="27"/>
      <c r="F20" s="27"/>
      <c r="G20" s="27"/>
      <c r="H20" s="26"/>
      <c r="I20" s="27"/>
      <c r="J20" s="26"/>
      <c r="K20" s="27"/>
      <c r="L20" s="27"/>
      <c r="M20" s="26"/>
      <c r="N20" s="27"/>
      <c r="O20" s="27"/>
      <c r="P20" s="27"/>
      <c r="Q20" s="24"/>
      <c r="R20" s="24"/>
      <c r="S20" s="27"/>
      <c r="T20" s="27"/>
    </row>
    <row r="21" spans="1:20" ht="31.5" customHeight="1" x14ac:dyDescent="0.2">
      <c r="A21" s="23" t="str">
        <f>IF(B21="","",ROW()-7)</f>
        <v/>
      </c>
      <c r="B21" s="24"/>
      <c r="C21" s="25"/>
      <c r="D21" s="26"/>
      <c r="E21" s="27"/>
      <c r="F21" s="27"/>
      <c r="G21" s="27"/>
      <c r="H21" s="26"/>
      <c r="I21" s="27"/>
      <c r="J21" s="26"/>
      <c r="K21" s="27"/>
      <c r="L21" s="27"/>
      <c r="M21" s="26"/>
      <c r="N21" s="27"/>
      <c r="O21" s="27"/>
      <c r="P21" s="27"/>
      <c r="Q21" s="24"/>
      <c r="R21" s="24"/>
      <c r="S21" s="27"/>
      <c r="T21" s="27"/>
    </row>
    <row r="22" spans="1:20" ht="31.5" customHeight="1" x14ac:dyDescent="0.2">
      <c r="A22" s="23" t="str">
        <f>IF(B22="","",ROW()-7)</f>
        <v/>
      </c>
      <c r="B22" s="24"/>
      <c r="C22" s="25"/>
      <c r="D22" s="26"/>
      <c r="E22" s="27"/>
      <c r="F22" s="27"/>
      <c r="G22" s="27"/>
      <c r="H22" s="26"/>
      <c r="I22" s="27"/>
      <c r="J22" s="26"/>
      <c r="K22" s="27"/>
      <c r="L22" s="27"/>
      <c r="M22" s="26"/>
      <c r="N22" s="27"/>
      <c r="O22" s="27"/>
      <c r="P22" s="27"/>
      <c r="Q22" s="24"/>
      <c r="R22" s="24"/>
      <c r="S22" s="27"/>
      <c r="T22" s="27"/>
    </row>
    <row r="23" spans="1:20" ht="31.5" customHeight="1" x14ac:dyDescent="0.2">
      <c r="A23" s="23" t="str">
        <f>IF(B23="","",ROW()-7)</f>
        <v/>
      </c>
      <c r="B23" s="24"/>
      <c r="C23" s="25"/>
      <c r="D23" s="26"/>
      <c r="E23" s="27"/>
      <c r="F23" s="27"/>
      <c r="G23" s="27"/>
      <c r="H23" s="26"/>
      <c r="I23" s="27"/>
      <c r="J23" s="26"/>
      <c r="K23" s="27"/>
      <c r="L23" s="27"/>
      <c r="M23" s="26"/>
      <c r="N23" s="27"/>
      <c r="O23" s="27"/>
      <c r="P23" s="27"/>
      <c r="Q23" s="24"/>
      <c r="R23" s="24"/>
      <c r="S23" s="27"/>
      <c r="T23" s="27"/>
    </row>
    <row r="24" spans="1:20" ht="31.5" customHeight="1" x14ac:dyDescent="0.2">
      <c r="A24" s="23" t="str">
        <f>IF(B24="","",ROW()-7)</f>
        <v/>
      </c>
      <c r="B24" s="24"/>
      <c r="C24" s="25"/>
      <c r="D24" s="26"/>
      <c r="E24" s="27"/>
      <c r="F24" s="27"/>
      <c r="G24" s="27"/>
      <c r="H24" s="26"/>
      <c r="I24" s="27"/>
      <c r="J24" s="26"/>
      <c r="K24" s="27"/>
      <c r="L24" s="27"/>
      <c r="M24" s="26"/>
      <c r="N24" s="27"/>
      <c r="O24" s="27"/>
      <c r="P24" s="27"/>
      <c r="Q24" s="24"/>
      <c r="R24" s="24"/>
      <c r="S24" s="27"/>
      <c r="T24" s="27"/>
    </row>
    <row r="25" spans="1:20" ht="31.5" customHeight="1" x14ac:dyDescent="0.2">
      <c r="A25" s="23" t="str">
        <f>IF(B25="","",ROW()-7)</f>
        <v/>
      </c>
      <c r="B25" s="24"/>
      <c r="C25" s="25"/>
      <c r="D25" s="26"/>
      <c r="E25" s="27"/>
      <c r="F25" s="27"/>
      <c r="G25" s="27"/>
      <c r="H25" s="26"/>
      <c r="I25" s="27"/>
      <c r="J25" s="26"/>
      <c r="K25" s="27"/>
      <c r="L25" s="27"/>
      <c r="M25" s="26"/>
      <c r="N25" s="27"/>
      <c r="O25" s="27"/>
      <c r="P25" s="27"/>
      <c r="Q25" s="24"/>
      <c r="R25" s="24"/>
      <c r="S25" s="27"/>
      <c r="T25" s="27"/>
    </row>
    <row r="26" spans="1:20" ht="31.5" customHeight="1" x14ac:dyDescent="0.2">
      <c r="A26" s="23" t="str">
        <f>IF(B26="","",ROW()-7)</f>
        <v/>
      </c>
      <c r="B26" s="24"/>
      <c r="C26" s="25"/>
      <c r="D26" s="26"/>
      <c r="E26" s="27"/>
      <c r="F26" s="27"/>
      <c r="G26" s="27"/>
      <c r="H26" s="26"/>
      <c r="I26" s="27"/>
      <c r="J26" s="26"/>
      <c r="K26" s="27"/>
      <c r="L26" s="27"/>
      <c r="M26" s="26"/>
      <c r="N26" s="27"/>
      <c r="O26" s="27"/>
      <c r="P26" s="27"/>
      <c r="Q26" s="24"/>
      <c r="R26" s="24"/>
      <c r="S26" s="27"/>
      <c r="T26" s="27"/>
    </row>
    <row r="27" spans="1:20" ht="31.5" customHeight="1" x14ac:dyDescent="0.2">
      <c r="A27" s="23" t="str">
        <f>IF(B27="","",ROW()-7)</f>
        <v/>
      </c>
      <c r="B27" s="24"/>
      <c r="C27" s="25"/>
      <c r="D27" s="26"/>
      <c r="E27" s="27"/>
      <c r="F27" s="27"/>
      <c r="G27" s="27"/>
      <c r="H27" s="26"/>
      <c r="I27" s="27"/>
      <c r="J27" s="26"/>
      <c r="K27" s="27"/>
      <c r="L27" s="27"/>
      <c r="M27" s="26"/>
      <c r="N27" s="27"/>
      <c r="O27" s="27"/>
      <c r="P27" s="27"/>
      <c r="Q27" s="24"/>
      <c r="R27" s="24"/>
      <c r="S27" s="27"/>
      <c r="T27" s="27"/>
    </row>
    <row r="28" spans="1:20" ht="31.5" customHeight="1" x14ac:dyDescent="0.2">
      <c r="A28" s="23" t="str">
        <f>IF(B28="","",ROW()-7)</f>
        <v/>
      </c>
      <c r="B28" s="24"/>
      <c r="C28" s="25"/>
      <c r="D28" s="26"/>
      <c r="E28" s="27"/>
      <c r="F28" s="27"/>
      <c r="G28" s="27"/>
      <c r="H28" s="26"/>
      <c r="I28" s="27"/>
      <c r="J28" s="26"/>
      <c r="K28" s="27"/>
      <c r="L28" s="27"/>
      <c r="M28" s="26"/>
      <c r="N28" s="27"/>
      <c r="O28" s="27"/>
      <c r="P28" s="27"/>
      <c r="Q28" s="24"/>
      <c r="R28" s="24"/>
      <c r="S28" s="27"/>
      <c r="T28" s="27"/>
    </row>
    <row r="29" spans="1:20" ht="31.5" customHeight="1" x14ac:dyDescent="0.2">
      <c r="A29" s="23" t="str">
        <f>IF(B29="","",ROW()-7)</f>
        <v/>
      </c>
      <c r="B29" s="24"/>
      <c r="C29" s="25"/>
      <c r="D29" s="26"/>
      <c r="E29" s="27"/>
      <c r="F29" s="27"/>
      <c r="G29" s="27"/>
      <c r="H29" s="26"/>
      <c r="I29" s="27"/>
      <c r="J29" s="26"/>
      <c r="K29" s="27"/>
      <c r="L29" s="27"/>
      <c r="M29" s="26"/>
      <c r="N29" s="27"/>
      <c r="O29" s="27"/>
      <c r="P29" s="27"/>
      <c r="Q29" s="24"/>
      <c r="R29" s="24"/>
      <c r="S29" s="27"/>
      <c r="T29" s="27"/>
    </row>
    <row r="30" spans="1:20" ht="31.5" customHeight="1" x14ac:dyDescent="0.2">
      <c r="A30" s="23" t="str">
        <f>IF(B30="","",ROW()-7)</f>
        <v/>
      </c>
      <c r="B30" s="24"/>
      <c r="C30" s="25"/>
      <c r="D30" s="26"/>
      <c r="E30" s="27"/>
      <c r="F30" s="27"/>
      <c r="G30" s="27"/>
      <c r="H30" s="26"/>
      <c r="I30" s="27"/>
      <c r="J30" s="26"/>
      <c r="K30" s="27"/>
      <c r="L30" s="27"/>
      <c r="M30" s="26"/>
      <c r="N30" s="27"/>
      <c r="O30" s="27"/>
      <c r="P30" s="27"/>
      <c r="Q30" s="24"/>
      <c r="R30" s="24"/>
      <c r="S30" s="27"/>
      <c r="T30" s="27"/>
    </row>
    <row r="31" spans="1:20" ht="31.5" customHeight="1" x14ac:dyDescent="0.2">
      <c r="A31" s="23" t="str">
        <f>IF(B31="","",ROW()-7)</f>
        <v/>
      </c>
      <c r="B31" s="24"/>
      <c r="C31" s="25"/>
      <c r="D31" s="26"/>
      <c r="E31" s="27"/>
      <c r="F31" s="27"/>
      <c r="G31" s="27"/>
      <c r="H31" s="26"/>
      <c r="I31" s="27"/>
      <c r="J31" s="26"/>
      <c r="K31" s="27"/>
      <c r="L31" s="27"/>
      <c r="M31" s="26"/>
      <c r="N31" s="27"/>
      <c r="O31" s="27"/>
      <c r="P31" s="27"/>
      <c r="Q31" s="24"/>
      <c r="R31" s="24"/>
      <c r="S31" s="27"/>
      <c r="T31" s="27"/>
    </row>
    <row r="32" spans="1:20" ht="31.5" customHeight="1" x14ac:dyDescent="0.2">
      <c r="A32" s="23" t="str">
        <f>IF(B32="","",ROW()-7)</f>
        <v/>
      </c>
      <c r="B32" s="24"/>
      <c r="C32" s="25"/>
      <c r="D32" s="26"/>
      <c r="E32" s="27"/>
      <c r="F32" s="27"/>
      <c r="G32" s="27"/>
      <c r="H32" s="26"/>
      <c r="I32" s="27"/>
      <c r="J32" s="26"/>
      <c r="K32" s="27"/>
      <c r="L32" s="27"/>
      <c r="M32" s="26"/>
      <c r="N32" s="27"/>
      <c r="O32" s="27"/>
      <c r="P32" s="27"/>
      <c r="Q32" s="24"/>
      <c r="R32" s="24"/>
      <c r="S32" s="27"/>
      <c r="T32" s="27"/>
    </row>
    <row r="33" spans="1:20" ht="31.5" customHeight="1" x14ac:dyDescent="0.2">
      <c r="A33" s="23" t="str">
        <f>IF(B33="","",ROW()-7)</f>
        <v/>
      </c>
      <c r="B33" s="24"/>
      <c r="C33" s="25"/>
      <c r="D33" s="26"/>
      <c r="E33" s="27"/>
      <c r="F33" s="27"/>
      <c r="G33" s="27"/>
      <c r="H33" s="26"/>
      <c r="I33" s="27"/>
      <c r="J33" s="26"/>
      <c r="K33" s="27"/>
      <c r="L33" s="27"/>
      <c r="M33" s="26"/>
      <c r="N33" s="27"/>
      <c r="O33" s="27"/>
      <c r="P33" s="27"/>
      <c r="Q33" s="24"/>
      <c r="R33" s="24"/>
      <c r="S33" s="27"/>
      <c r="T33" s="27"/>
    </row>
    <row r="34" spans="1:20" ht="31.5" customHeight="1" x14ac:dyDescent="0.2">
      <c r="A34" s="23" t="str">
        <f>IF(B34="","",ROW()-7)</f>
        <v/>
      </c>
      <c r="B34" s="24"/>
      <c r="C34" s="25"/>
      <c r="D34" s="26"/>
      <c r="E34" s="27"/>
      <c r="F34" s="27"/>
      <c r="G34" s="27"/>
      <c r="H34" s="26"/>
      <c r="I34" s="27"/>
      <c r="J34" s="26"/>
      <c r="K34" s="27"/>
      <c r="L34" s="27"/>
      <c r="M34" s="26"/>
      <c r="N34" s="27"/>
      <c r="O34" s="27"/>
      <c r="P34" s="27"/>
      <c r="Q34" s="24"/>
      <c r="R34" s="24"/>
      <c r="S34" s="27"/>
      <c r="T34" s="27"/>
    </row>
    <row r="35" spans="1:20" ht="31.5" customHeight="1" x14ac:dyDescent="0.2">
      <c r="A35" s="23" t="str">
        <f>IF(B35="","",ROW()-7)</f>
        <v/>
      </c>
      <c r="B35" s="24"/>
      <c r="C35" s="25"/>
      <c r="D35" s="26"/>
      <c r="E35" s="27"/>
      <c r="F35" s="27"/>
      <c r="G35" s="27"/>
      <c r="H35" s="26"/>
      <c r="I35" s="27"/>
      <c r="J35" s="26"/>
      <c r="K35" s="27"/>
      <c r="L35" s="27"/>
      <c r="M35" s="26"/>
      <c r="N35" s="27"/>
      <c r="O35" s="27"/>
      <c r="P35" s="27"/>
      <c r="Q35" s="24"/>
      <c r="R35" s="24"/>
      <c r="S35" s="27"/>
      <c r="T35" s="27"/>
    </row>
    <row r="36" spans="1:20" ht="31.5" customHeight="1" x14ac:dyDescent="0.2">
      <c r="A36" s="23" t="str">
        <f>IF(B36="","",ROW()-7)</f>
        <v/>
      </c>
      <c r="B36" s="24"/>
      <c r="C36" s="25"/>
      <c r="D36" s="26"/>
      <c r="E36" s="27"/>
      <c r="F36" s="27"/>
      <c r="G36" s="27"/>
      <c r="H36" s="26"/>
      <c r="I36" s="27"/>
      <c r="J36" s="26"/>
      <c r="K36" s="27"/>
      <c r="L36" s="27"/>
      <c r="M36" s="26"/>
      <c r="N36" s="27"/>
      <c r="O36" s="27"/>
      <c r="P36" s="27"/>
      <c r="Q36" s="24"/>
      <c r="R36" s="24"/>
      <c r="S36" s="27"/>
      <c r="T36" s="27"/>
    </row>
    <row r="37" spans="1:20" ht="31.5" customHeight="1" x14ac:dyDescent="0.2">
      <c r="A37" s="23" t="str">
        <f>IF(B37="","",ROW()-7)</f>
        <v/>
      </c>
      <c r="B37" s="24"/>
      <c r="C37" s="25"/>
      <c r="D37" s="26"/>
      <c r="E37" s="27"/>
      <c r="F37" s="27"/>
      <c r="G37" s="27"/>
      <c r="H37" s="26"/>
      <c r="I37" s="27"/>
      <c r="J37" s="26"/>
      <c r="K37" s="27"/>
      <c r="L37" s="27"/>
      <c r="M37" s="26"/>
      <c r="N37" s="27"/>
      <c r="O37" s="27"/>
      <c r="P37" s="27"/>
      <c r="Q37" s="24"/>
      <c r="R37" s="24"/>
      <c r="S37" s="27"/>
      <c r="T37" s="27"/>
    </row>
    <row r="38" spans="1:20" ht="31.5" customHeight="1" x14ac:dyDescent="0.2">
      <c r="A38" s="23" t="str">
        <f>IF(B38="","",ROW()-7)</f>
        <v/>
      </c>
      <c r="B38" s="24"/>
      <c r="C38" s="25"/>
      <c r="D38" s="26"/>
      <c r="E38" s="27"/>
      <c r="F38" s="27"/>
      <c r="G38" s="27"/>
      <c r="H38" s="26"/>
      <c r="I38" s="27"/>
      <c r="J38" s="26"/>
      <c r="K38" s="27"/>
      <c r="L38" s="27"/>
      <c r="M38" s="26"/>
      <c r="N38" s="27"/>
      <c r="O38" s="27"/>
      <c r="P38" s="27"/>
      <c r="Q38" s="24"/>
      <c r="R38" s="24"/>
      <c r="S38" s="27"/>
      <c r="T38" s="27"/>
    </row>
    <row r="39" spans="1:20" ht="31.5" customHeight="1" x14ac:dyDescent="0.2">
      <c r="A39" s="23" t="str">
        <f>IF(B39="","",ROW()-7)</f>
        <v/>
      </c>
      <c r="B39" s="24"/>
      <c r="C39" s="25"/>
      <c r="D39" s="26"/>
      <c r="E39" s="27"/>
      <c r="F39" s="27"/>
      <c r="G39" s="27"/>
      <c r="H39" s="26"/>
      <c r="I39" s="27"/>
      <c r="J39" s="26"/>
      <c r="K39" s="27"/>
      <c r="L39" s="27"/>
      <c r="M39" s="26"/>
      <c r="N39" s="27"/>
      <c r="O39" s="27"/>
      <c r="P39" s="27"/>
      <c r="Q39" s="24"/>
      <c r="R39" s="24"/>
      <c r="S39" s="27"/>
      <c r="T39" s="27"/>
    </row>
    <row r="40" spans="1:20" ht="31.5" customHeight="1" x14ac:dyDescent="0.2">
      <c r="A40" s="23" t="str">
        <f>IF(B40="","",ROW()-7)</f>
        <v/>
      </c>
      <c r="B40" s="24"/>
      <c r="C40" s="25"/>
      <c r="D40" s="26"/>
      <c r="E40" s="27"/>
      <c r="F40" s="27"/>
      <c r="G40" s="27"/>
      <c r="H40" s="26"/>
      <c r="I40" s="27"/>
      <c r="J40" s="26"/>
      <c r="K40" s="27"/>
      <c r="L40" s="27"/>
      <c r="M40" s="26"/>
      <c r="N40" s="27"/>
      <c r="O40" s="27"/>
      <c r="P40" s="27"/>
      <c r="Q40" s="24"/>
      <c r="R40" s="24"/>
      <c r="S40" s="27"/>
      <c r="T40" s="27"/>
    </row>
    <row r="41" spans="1:20" ht="31.5" customHeight="1" x14ac:dyDescent="0.2">
      <c r="A41" s="23" t="str">
        <f>IF(B41="","",ROW()-7)</f>
        <v/>
      </c>
      <c r="B41" s="24"/>
      <c r="C41" s="25"/>
      <c r="D41" s="26"/>
      <c r="E41" s="27"/>
      <c r="F41" s="27"/>
      <c r="G41" s="27"/>
      <c r="H41" s="26"/>
      <c r="I41" s="27"/>
      <c r="J41" s="26"/>
      <c r="K41" s="27"/>
      <c r="L41" s="27"/>
      <c r="M41" s="26"/>
      <c r="N41" s="27"/>
      <c r="O41" s="27"/>
      <c r="P41" s="27"/>
      <c r="Q41" s="24"/>
      <c r="R41" s="24"/>
      <c r="S41" s="27"/>
      <c r="T41" s="27"/>
    </row>
    <row r="42" spans="1:20" ht="31.5" customHeight="1" x14ac:dyDescent="0.2">
      <c r="A42" s="23" t="str">
        <f>IF(B42="","",ROW()-7)</f>
        <v/>
      </c>
      <c r="B42" s="24"/>
      <c r="C42" s="25"/>
      <c r="D42" s="26"/>
      <c r="E42" s="27"/>
      <c r="F42" s="27"/>
      <c r="G42" s="27"/>
      <c r="H42" s="26"/>
      <c r="I42" s="27"/>
      <c r="J42" s="26"/>
      <c r="K42" s="27"/>
      <c r="L42" s="27"/>
      <c r="M42" s="26"/>
      <c r="N42" s="27"/>
      <c r="O42" s="27"/>
      <c r="P42" s="27"/>
      <c r="Q42" s="24"/>
      <c r="R42" s="24"/>
      <c r="S42" s="27"/>
      <c r="T42" s="27"/>
    </row>
    <row r="43" spans="1:20" ht="31.5" customHeight="1" x14ac:dyDescent="0.2">
      <c r="A43" s="23" t="str">
        <f>IF(B43="","",ROW()-7)</f>
        <v/>
      </c>
      <c r="B43" s="24"/>
      <c r="C43" s="25"/>
      <c r="D43" s="26"/>
      <c r="E43" s="27"/>
      <c r="F43" s="27"/>
      <c r="G43" s="27"/>
      <c r="H43" s="26"/>
      <c r="I43" s="27"/>
      <c r="J43" s="26"/>
      <c r="K43" s="27"/>
      <c r="L43" s="27"/>
      <c r="M43" s="26"/>
      <c r="N43" s="27"/>
      <c r="O43" s="27"/>
      <c r="P43" s="27"/>
      <c r="Q43" s="24"/>
      <c r="R43" s="24"/>
      <c r="S43" s="27"/>
      <c r="T43" s="27"/>
    </row>
    <row r="44" spans="1:20" ht="31.5" customHeight="1" x14ac:dyDescent="0.2">
      <c r="A44" s="23" t="str">
        <f>IF(B44="","",ROW()-7)</f>
        <v/>
      </c>
      <c r="B44" s="24"/>
      <c r="C44" s="25"/>
      <c r="D44" s="26"/>
      <c r="E44" s="27"/>
      <c r="F44" s="27"/>
      <c r="G44" s="27"/>
      <c r="H44" s="26"/>
      <c r="I44" s="27"/>
      <c r="J44" s="26"/>
      <c r="K44" s="27"/>
      <c r="L44" s="27"/>
      <c r="M44" s="26"/>
      <c r="N44" s="27"/>
      <c r="O44" s="27"/>
      <c r="P44" s="27"/>
      <c r="Q44" s="24"/>
      <c r="R44" s="24"/>
      <c r="S44" s="27"/>
      <c r="T44" s="27"/>
    </row>
    <row r="45" spans="1:20" ht="31.5" customHeight="1" x14ac:dyDescent="0.2">
      <c r="A45" s="23" t="str">
        <f>IF(B45="","",ROW()-7)</f>
        <v/>
      </c>
      <c r="B45" s="24"/>
      <c r="C45" s="25"/>
      <c r="D45" s="26"/>
      <c r="E45" s="27"/>
      <c r="F45" s="27"/>
      <c r="G45" s="27"/>
      <c r="H45" s="26"/>
      <c r="I45" s="27"/>
      <c r="J45" s="26"/>
      <c r="K45" s="27"/>
      <c r="L45" s="27"/>
      <c r="M45" s="26"/>
      <c r="N45" s="27"/>
      <c r="O45" s="27"/>
      <c r="P45" s="27"/>
      <c r="Q45" s="24"/>
      <c r="R45" s="24"/>
      <c r="S45" s="27"/>
      <c r="T45" s="27"/>
    </row>
    <row r="46" spans="1:20" ht="31.5" customHeight="1" x14ac:dyDescent="0.2">
      <c r="A46" s="23" t="str">
        <f>IF(B46="","",ROW()-7)</f>
        <v/>
      </c>
      <c r="B46" s="24"/>
      <c r="C46" s="25"/>
      <c r="D46" s="26"/>
      <c r="E46" s="27"/>
      <c r="F46" s="27"/>
      <c r="G46" s="27"/>
      <c r="H46" s="26"/>
      <c r="I46" s="27"/>
      <c r="J46" s="26"/>
      <c r="K46" s="27"/>
      <c r="L46" s="27"/>
      <c r="M46" s="26"/>
      <c r="N46" s="27"/>
      <c r="O46" s="27"/>
      <c r="P46" s="27"/>
      <c r="Q46" s="24"/>
      <c r="R46" s="24"/>
      <c r="S46" s="27"/>
      <c r="T46" s="27"/>
    </row>
    <row r="47" spans="1:20" ht="31.5" customHeight="1" x14ac:dyDescent="0.2">
      <c r="A47" s="23" t="str">
        <f>IF(B47="","",ROW()-7)</f>
        <v/>
      </c>
      <c r="B47" s="24"/>
      <c r="C47" s="25"/>
      <c r="D47" s="26"/>
      <c r="E47" s="27"/>
      <c r="F47" s="27"/>
      <c r="G47" s="27"/>
      <c r="H47" s="26"/>
      <c r="I47" s="27"/>
      <c r="J47" s="26"/>
      <c r="K47" s="27"/>
      <c r="L47" s="27"/>
      <c r="M47" s="26"/>
      <c r="N47" s="27"/>
      <c r="O47" s="27"/>
      <c r="P47" s="27"/>
      <c r="Q47" s="24"/>
      <c r="R47" s="24"/>
      <c r="S47" s="27"/>
      <c r="T47" s="27"/>
    </row>
    <row r="48" spans="1:20" ht="31.5" customHeight="1" x14ac:dyDescent="0.2">
      <c r="A48" s="23" t="str">
        <f>IF(B48="","",ROW()-7)</f>
        <v/>
      </c>
      <c r="B48" s="24"/>
      <c r="C48" s="25"/>
      <c r="D48" s="26"/>
      <c r="E48" s="27"/>
      <c r="F48" s="27"/>
      <c r="G48" s="27"/>
      <c r="H48" s="26"/>
      <c r="I48" s="27"/>
      <c r="J48" s="26"/>
      <c r="K48" s="27"/>
      <c r="L48" s="27"/>
      <c r="M48" s="26"/>
      <c r="N48" s="27"/>
      <c r="O48" s="27"/>
      <c r="P48" s="27"/>
      <c r="Q48" s="24"/>
      <c r="R48" s="24"/>
      <c r="S48" s="27"/>
      <c r="T48" s="27"/>
    </row>
    <row r="49" spans="1:20" ht="31.5" customHeight="1" x14ac:dyDescent="0.2">
      <c r="A49" s="23" t="str">
        <f>IF(B49="","",ROW()-7)</f>
        <v/>
      </c>
      <c r="B49" s="24"/>
      <c r="C49" s="25"/>
      <c r="D49" s="26"/>
      <c r="E49" s="27"/>
      <c r="F49" s="27"/>
      <c r="G49" s="27"/>
      <c r="H49" s="26"/>
      <c r="I49" s="27"/>
      <c r="J49" s="26"/>
      <c r="K49" s="27"/>
      <c r="L49" s="27"/>
      <c r="M49" s="26"/>
      <c r="N49" s="27"/>
      <c r="O49" s="27"/>
      <c r="P49" s="27"/>
      <c r="Q49" s="24"/>
      <c r="R49" s="24"/>
      <c r="S49" s="27"/>
      <c r="T49" s="27"/>
    </row>
    <row r="50" spans="1:20" ht="31.5" customHeight="1" x14ac:dyDescent="0.2">
      <c r="A50" s="23" t="str">
        <f>IF(B50="","",ROW()-7)</f>
        <v/>
      </c>
      <c r="B50" s="24"/>
      <c r="C50" s="25"/>
      <c r="D50" s="26"/>
      <c r="E50" s="27"/>
      <c r="F50" s="27"/>
      <c r="G50" s="27"/>
      <c r="H50" s="26"/>
      <c r="I50" s="27"/>
      <c r="J50" s="26"/>
      <c r="K50" s="27"/>
      <c r="L50" s="27"/>
      <c r="M50" s="26"/>
      <c r="N50" s="27"/>
      <c r="O50" s="27"/>
      <c r="P50" s="27"/>
      <c r="Q50" s="24"/>
      <c r="R50" s="24"/>
      <c r="S50" s="27"/>
      <c r="T50" s="27"/>
    </row>
    <row r="51" spans="1:20" ht="31.5" customHeight="1" x14ac:dyDescent="0.2">
      <c r="A51" s="23" t="str">
        <f>IF(B51="","",ROW()-7)</f>
        <v/>
      </c>
      <c r="B51" s="24"/>
      <c r="C51" s="25"/>
      <c r="D51" s="26"/>
      <c r="E51" s="27"/>
      <c r="F51" s="27"/>
      <c r="G51" s="27"/>
      <c r="H51" s="26"/>
      <c r="I51" s="27"/>
      <c r="J51" s="26"/>
      <c r="K51" s="27"/>
      <c r="L51" s="27"/>
      <c r="M51" s="26"/>
      <c r="N51" s="27"/>
      <c r="O51" s="27"/>
      <c r="P51" s="27"/>
      <c r="Q51" s="24"/>
      <c r="R51" s="24"/>
      <c r="S51" s="27"/>
      <c r="T51" s="27"/>
    </row>
    <row r="52" spans="1:20" ht="31.5" customHeight="1" x14ac:dyDescent="0.2">
      <c r="A52" s="23" t="str">
        <f>IF(B52="","",ROW()-7)</f>
        <v/>
      </c>
      <c r="B52" s="24"/>
      <c r="C52" s="25"/>
      <c r="D52" s="26"/>
      <c r="E52" s="27"/>
      <c r="F52" s="27"/>
      <c r="G52" s="27"/>
      <c r="H52" s="26"/>
      <c r="I52" s="27"/>
      <c r="J52" s="26"/>
      <c r="K52" s="27"/>
      <c r="L52" s="27"/>
      <c r="M52" s="26"/>
      <c r="N52" s="27"/>
      <c r="O52" s="27"/>
      <c r="P52" s="27"/>
      <c r="Q52" s="24"/>
      <c r="R52" s="24"/>
      <c r="S52" s="27"/>
      <c r="T52" s="27"/>
    </row>
    <row r="53" spans="1:20" ht="31.5" customHeight="1" x14ac:dyDescent="0.2">
      <c r="A53" s="23" t="str">
        <f>IF(B53="","",ROW()-7)</f>
        <v/>
      </c>
      <c r="B53" s="24"/>
      <c r="C53" s="25"/>
      <c r="D53" s="26"/>
      <c r="E53" s="27"/>
      <c r="F53" s="27"/>
      <c r="G53" s="27"/>
      <c r="H53" s="26"/>
      <c r="I53" s="27"/>
      <c r="J53" s="26"/>
      <c r="K53" s="27"/>
      <c r="L53" s="27"/>
      <c r="M53" s="26"/>
      <c r="N53" s="27"/>
      <c r="O53" s="27"/>
      <c r="P53" s="27"/>
      <c r="Q53" s="24"/>
      <c r="R53" s="24"/>
      <c r="S53" s="27"/>
      <c r="T53" s="27"/>
    </row>
    <row r="54" spans="1:20" ht="31.5" customHeight="1" x14ac:dyDescent="0.2">
      <c r="A54" s="23" t="str">
        <f>IF(B54="","",ROW()-7)</f>
        <v/>
      </c>
      <c r="B54" s="24"/>
      <c r="C54" s="25"/>
      <c r="D54" s="26"/>
      <c r="E54" s="27"/>
      <c r="F54" s="27"/>
      <c r="G54" s="27"/>
      <c r="H54" s="26"/>
      <c r="I54" s="27"/>
      <c r="J54" s="26"/>
      <c r="K54" s="27"/>
      <c r="L54" s="27"/>
      <c r="M54" s="26"/>
      <c r="N54" s="27"/>
      <c r="O54" s="27"/>
      <c r="P54" s="27"/>
      <c r="Q54" s="24"/>
      <c r="R54" s="24"/>
      <c r="S54" s="27"/>
      <c r="T54" s="27"/>
    </row>
    <row r="55" spans="1:20" ht="31.5" customHeight="1" x14ac:dyDescent="0.2">
      <c r="A55" s="23" t="str">
        <f>IF(B55="","",ROW()-7)</f>
        <v/>
      </c>
      <c r="B55" s="24"/>
      <c r="C55" s="25"/>
      <c r="D55" s="26"/>
      <c r="E55" s="27"/>
      <c r="F55" s="27"/>
      <c r="G55" s="27"/>
      <c r="H55" s="26"/>
      <c r="I55" s="27"/>
      <c r="J55" s="26"/>
      <c r="K55" s="27"/>
      <c r="L55" s="27"/>
      <c r="M55" s="26"/>
      <c r="N55" s="27"/>
      <c r="O55" s="27"/>
      <c r="P55" s="27"/>
      <c r="Q55" s="24"/>
      <c r="R55" s="24"/>
      <c r="S55" s="27"/>
      <c r="T55" s="27"/>
    </row>
    <row r="56" spans="1:20" ht="31.5" customHeight="1" x14ac:dyDescent="0.2">
      <c r="A56" s="23" t="str">
        <f>IF(B56="","",ROW()-7)</f>
        <v/>
      </c>
      <c r="B56" s="24"/>
      <c r="C56" s="25"/>
      <c r="D56" s="26"/>
      <c r="E56" s="27"/>
      <c r="F56" s="27"/>
      <c r="G56" s="27"/>
      <c r="H56" s="26"/>
      <c r="I56" s="27"/>
      <c r="J56" s="26"/>
      <c r="K56" s="27"/>
      <c r="L56" s="27"/>
      <c r="M56" s="26"/>
      <c r="N56" s="27"/>
      <c r="O56" s="27"/>
      <c r="P56" s="27"/>
      <c r="Q56" s="24"/>
      <c r="R56" s="24"/>
      <c r="S56" s="27"/>
      <c r="T56" s="27"/>
    </row>
    <row r="57" spans="1:20" ht="31.5" customHeight="1" x14ac:dyDescent="0.2">
      <c r="A57" s="23" t="str">
        <f>IF(B57="","",ROW()-7)</f>
        <v/>
      </c>
      <c r="B57" s="24"/>
      <c r="C57" s="25"/>
      <c r="D57" s="26"/>
      <c r="E57" s="27"/>
      <c r="F57" s="27"/>
      <c r="G57" s="27"/>
      <c r="H57" s="26"/>
      <c r="I57" s="27"/>
      <c r="J57" s="26"/>
      <c r="K57" s="27"/>
      <c r="L57" s="27"/>
      <c r="M57" s="26"/>
      <c r="N57" s="27"/>
      <c r="O57" s="27"/>
      <c r="P57" s="27"/>
      <c r="Q57" s="24"/>
      <c r="R57" s="24"/>
      <c r="S57" s="27"/>
      <c r="T57" s="27"/>
    </row>
  </sheetData>
  <autoFilter ref="A7:T7" xr:uid="{00000000-0009-0000-0000-000002000000}"/>
  <mergeCells count="2">
    <mergeCell ref="A1:B1"/>
    <mergeCell ref="L6:U6"/>
  </mergeCells>
  <conditionalFormatting sqref="A8:J507">
    <cfRule type="expression" dxfId="8" priority="2">
      <formula>$H8="Critical"</formula>
    </cfRule>
    <cfRule type="expression" dxfId="7" priority="3">
      <formula>$H8="High"</formula>
    </cfRule>
    <cfRule type="expression" dxfId="6" priority="4">
      <formula>$H8="Medium"</formula>
    </cfRule>
    <cfRule type="expression" dxfId="5" priority="5">
      <formula>$H8="Low"</formula>
    </cfRule>
  </conditionalFormatting>
  <conditionalFormatting sqref="J8:J507">
    <cfRule type="expression" dxfId="4" priority="6">
      <formula>$J8="Open"</formula>
    </cfRule>
    <cfRule type="expression" dxfId="3" priority="7">
      <formula>$J8="Under Investigation"</formula>
    </cfRule>
    <cfRule type="expression" dxfId="2" priority="8">
      <formula>$J8="Closed"</formula>
    </cfRule>
  </conditionalFormatting>
  <conditionalFormatting sqref="M8:M507">
    <cfRule type="expression" dxfId="1" priority="10">
      <formula>$M8="Yes"</formula>
    </cfRule>
  </conditionalFormatting>
  <conditionalFormatting sqref="Q8:Q507">
    <cfRule type="expression" dxfId="0" priority="9">
      <formula>AND($Q8&lt;&gt;"", $Q8&lt;TODAY(), $J8&lt;&gt;"Closed")</formula>
    </cfRule>
  </conditionalFormatting>
  <dataValidations count="7">
    <dataValidation type="list" allowBlank="1" promptTitle="Report Type" prompt="Select report type" sqref="D8:D507" xr:uid="{00000000-0002-0000-0200-000000000000}">
      <formula1>"Near Miss,Incident,Dangerous Occurrence"</formula1>
      <formula2>0</formula2>
    </dataValidation>
    <dataValidation type="list" allowBlank="1" prompt="Select severity" sqref="H8:H507" xr:uid="{00000000-0002-0000-0200-000001000000}">
      <formula1>"Low,Medium,High,Critical"</formula1>
      <formula2>0</formula2>
    </dataValidation>
    <dataValidation type="list" allowBlank="1" prompt="Select status" sqref="J8:J507" xr:uid="{00000000-0002-0000-0200-000002000000}">
      <formula1>"Open,Under Investigation,Closed"</formula1>
      <formula2>0</formula2>
    </dataValidation>
    <dataValidation type="list" allowBlank="1" sqref="M8:M507" xr:uid="{00000000-0002-0000-0200-000003000000}">
      <formula1>"Yes,No"</formula1>
      <formula2>0</formula2>
    </dataValidation>
    <dataValidation type="list" allowBlank="1" sqref="L8:L507" xr:uid="{00000000-0002-0000-0200-000004000000}">
      <formula1>"Minor Cut / Abrasion,Fracture,Burn,Crush,Strain / Sprain,Eye Injury,Head Injury,Fall from Height,Slip / Trip / Fall,Electric Shock,Respiratory,Other"</formula1>
      <formula2>0</formula2>
    </dataValidation>
    <dataValidation type="date" allowBlank="1" error="Please enter a valid date" sqref="B8:B507" xr:uid="{00000000-0002-0000-0200-000005000000}">
      <formula1>0</formula1>
      <formula2>0</formula2>
    </dataValidation>
    <dataValidation type="date" allowBlank="1" sqref="Q8:R507" xr:uid="{00000000-0002-0000-0200-000006000000}">
      <formula1>0</formula1>
      <formula2>0</formula2>
    </dataValidation>
  </dataValidations>
  <pageMargins left="0.75" right="0.75" top="1" bottom="1" header="0.5" footer="0.5"/>
  <pageSetup paperSize="9" orientation="landscape" horizontalDpi="300" verticalDpi="300"/>
  <headerFooter>
    <oddHeader>&amp;CNear Miss / Incident Report Log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2A4A"/>
  </sheetPr>
  <dimension ref="A1:A17"/>
  <sheetViews>
    <sheetView zoomScaleNormal="100" workbookViewId="0"/>
  </sheetViews>
  <sheetFormatPr defaultColWidth="8.7421875" defaultRowHeight="15" x14ac:dyDescent="0.2"/>
  <cols>
    <col min="1" max="1" width="99.94921875" style="11" customWidth="1"/>
  </cols>
  <sheetData>
    <row r="1" spans="1:1" ht="15" customHeight="1" x14ac:dyDescent="0.2">
      <c r="A1" s="28" t="s">
        <v>128</v>
      </c>
    </row>
    <row r="2" spans="1:1" ht="15" customHeight="1" x14ac:dyDescent="0.2">
      <c r="A2" s="28"/>
    </row>
    <row r="3" spans="1:1" ht="15" customHeight="1" x14ac:dyDescent="0.2">
      <c r="A3" s="28" t="s">
        <v>129</v>
      </c>
    </row>
    <row r="4" spans="1:1" ht="15" customHeight="1" x14ac:dyDescent="0.2">
      <c r="A4" s="28"/>
    </row>
    <row r="5" spans="1:1" ht="15" customHeight="1" x14ac:dyDescent="0.2">
      <c r="A5" s="28" t="s">
        <v>130</v>
      </c>
    </row>
    <row r="6" spans="1:1" ht="15" customHeight="1" x14ac:dyDescent="0.2">
      <c r="A6" s="28"/>
    </row>
    <row r="7" spans="1:1" ht="15" customHeight="1" x14ac:dyDescent="0.2">
      <c r="A7" s="28" t="s">
        <v>131</v>
      </c>
    </row>
    <row r="8" spans="1:1" ht="15" customHeight="1" x14ac:dyDescent="0.2">
      <c r="A8" s="28"/>
    </row>
    <row r="9" spans="1:1" ht="15" customHeight="1" x14ac:dyDescent="0.2">
      <c r="A9" s="28" t="s">
        <v>132</v>
      </c>
    </row>
    <row r="10" spans="1:1" ht="15" customHeight="1" x14ac:dyDescent="0.2">
      <c r="A10" s="28"/>
    </row>
    <row r="11" spans="1:1" ht="15" customHeight="1" x14ac:dyDescent="0.2">
      <c r="A11" s="28" t="s">
        <v>133</v>
      </c>
    </row>
    <row r="12" spans="1:1" ht="15" customHeight="1" x14ac:dyDescent="0.2">
      <c r="A12" s="28"/>
    </row>
    <row r="13" spans="1:1" ht="15" customHeight="1" x14ac:dyDescent="0.2">
      <c r="A13" s="28" t="s">
        <v>134</v>
      </c>
    </row>
    <row r="14" spans="1:1" ht="15" customHeight="1" x14ac:dyDescent="0.2">
      <c r="A14" s="28"/>
    </row>
    <row r="15" spans="1:1" ht="15" customHeight="1" x14ac:dyDescent="0.2">
      <c r="A15" s="28" t="s">
        <v>135</v>
      </c>
    </row>
    <row r="16" spans="1:1" ht="15" customHeight="1" x14ac:dyDescent="0.2">
      <c r="A16" s="28"/>
    </row>
    <row r="17" spans="1:1" ht="15" customHeight="1" x14ac:dyDescent="0.2">
      <c r="A17" s="28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Cover</vt:lpstr>
      <vt:lpstr>Instructions</vt:lpstr>
      <vt:lpstr>Incident Report Log</vt:lpstr>
      <vt:lpstr>Terms of Use</vt:lpstr>
      <vt:lpstr>DataTable</vt:lpstr>
      <vt:lpstr>Cover!Print_Area</vt:lpstr>
      <vt:lpstr>Incident Report Log!Print_Area</vt:lpstr>
      <vt:lpstr>Instructions!Print_Area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Near Miss / Incident Report Log</dc:title>
  <dc:subject>Log for recording and tracking near misses, incidents, and dangerous occurrences on construction sites.</dc:subject>
  <dc:creator>Ebrora Ltd</dc:creator>
  <cp:keywords>Ebrora construction near miss incident accident RIDDOR health and safety site management dangerous occurrence</cp:keywords>
  <dc:description>Record and track near misses, incidents, and dangerous occurrences from initial report through investigation to corrective action close-out. Includes severity-based colour coding, overdue action alerts, RIDDOR tracking, and a summary dashboard. Designed for UK construction site managers and safety teams.
Free professional construction management template from Ebrora Ltd. Visit ebrora.com for our full range of tools and templates.</dc:description>
  <cp:lastModifiedBy>Ebrora Ltd</cp:lastModifiedBy>
  <cp:revision>0</cp:revision>
  <dcterms:created xsi:type="dcterms:W3CDTF">2026-03-22T16:30:48Z</dcterms:created>
  <dcterms:modified xsi:type="dcterms:W3CDTF">2026-03-22T16:31:18Z</dcterms:modified>
  <cp:category>Health &amp; Safety</cp:category>
  <dc:language>en-US</dc:language>
</cp:coreProperties>
</file>