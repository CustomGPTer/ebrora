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Cube Test Lo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'Cube Test Log'!$A$1:$M$60</definedName>
    <definedName function="false" hidden="true" localSheetId="2" name="_xlnm._FilterDatabase" vbProcedure="false">'Cube Test Log'!$A$9:$Q$60</definedName>
    <definedName function="false" hidden="false" name="DataTable" vbProcedure="false">'Cube Test Log'!$A$9:$Q$60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<sst xmlns="http://schemas.openxmlformats.org/spreadsheetml/2006/main" count="96" uniqueCount="90">
  <si>
    <t xml:space="preserve">EBRORA</t>
  </si>
  <si>
    <t xml:space="preserve">ebrora.com</t>
  </si>
  <si>
    <t xml:space="preserve">Concrete Cube Test
Results Log</t>
  </si>
  <si>
    <t xml:space="preserve">Track and verify concrete cube compressive strength test results against specified design strengths with automatic pass/fail assessment.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</si>
  <si>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</si>
  <si>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</si>
  <si>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</si>
  <si>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</si>
  <si>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'Cube Test Log' sheet — this is your main working area.</t>
  </si>
  <si>
    <t xml:space="preserve">2. The top panel (rows 3–6) shows a live compliance summary — total samples, pass/fail counts, average 28-day strength, and overall pass rate. These update automatically.</t>
  </si>
  <si>
    <t xml:space="preserve">3. Enter each cube test result starting from row 10 downward. Fill in Sample Ref, Date Cast, Pour Location, Mix Grade, and Specified Strength.</t>
  </si>
  <si>
    <t xml:space="preserve">4. When 7-day test results come back from the lab, enter the test date and result. The template flags results below 65% of specified strength in amber.</t>
  </si>
  <si>
    <t xml:space="preserve">5. When 28-day results are received, enter the test date and result. The Pass/Fail and Strength Ratio columns calculate automatically.</t>
  </si>
  <si>
    <t xml:space="preserve">6. Use the [+] button above column N to expand optional fields (Slump, Air Temp, Curing Method, Lab Ref) if needed.</t>
  </si>
  <si>
    <t xml:space="preserve">7. Filter by Pass/Fail status or Mix Grade using the header dropdowns to isolate problem batches quickly.</t>
  </si>
  <si>
    <t xml:space="preserve">8. Set the print area as needed — the default covers 50 rows of data on A4 landscape.</t>
  </si>
  <si>
    <t xml:space="preserve">Colour Key</t>
  </si>
  <si>
    <t xml:space="preserve">Light teal cells</t>
  </si>
  <si>
    <t xml:space="preserve">Editable — enter your data here</t>
  </si>
  <si>
    <t xml:space="preserve">Dark navy headers</t>
  </si>
  <si>
    <t xml:space="preserve">Do not edit — column headers and labels</t>
  </si>
  <si>
    <t xml:space="preserve">Green fill</t>
  </si>
  <si>
    <t xml:space="preserve">PASS — 28-day result meets or exceeds specified strength</t>
  </si>
  <si>
    <t xml:space="preserve">Red fill</t>
  </si>
  <si>
    <t xml:space="preserve">FAIL — 28-day result below specified strength</t>
  </si>
  <si>
    <t xml:space="preserve">Amber fill</t>
  </si>
  <si>
    <t xml:space="preserve">Warning — 7-day result below 65% of specified strength</t>
  </si>
  <si>
    <t xml:space="preserve">Tips</t>
  </si>
  <si>
    <t xml:space="preserve">• Cast at least 3 cubes per 50m³ of concrete (or per pour) as a minimum — check your spec for exact requirements.</t>
  </si>
  <si>
    <t xml:space="preserve">• Store cubes in a curing tank at 20°C ± 2°C as per BS EN 12390-2 for standard cured specimens.</t>
  </si>
  <si>
    <t xml:space="preserve">• If a 28-day result fails, investigate immediately — consider additional cores or non-destructive testing before condemning the element.</t>
  </si>
  <si>
    <t xml:space="preserve">CONCRETE CUBE TEST RESULTS LOG — COMPLIANCE SUMMARY</t>
  </si>
  <si>
    <t xml:space="preserve">Total Samples</t>
  </si>
  <si>
    <t xml:space="preserve">28-Day Tests Done</t>
  </si>
  <si>
    <t xml:space="preserve">Passes</t>
  </si>
  <si>
    <t xml:space="preserve">Failures</t>
  </si>
  <si>
    <t xml:space="preserve">Pass Rate</t>
  </si>
  <si>
    <t xml:space="preserve">Avg 28-Day Strength</t>
  </si>
  <si>
    <t xml:space="preserve">N/mm²</t>
  </si>
  <si>
    <t xml:space="preserve">▸ Optional Fields — Click [+] to expand</t>
  </si>
  <si>
    <t xml:space="preserve">Sample
Ref</t>
  </si>
  <si>
    <t xml:space="preserve">Date
Cast</t>
  </si>
  <si>
    <t xml:space="preserve">Pour Location / Element</t>
  </si>
  <si>
    <t xml:space="preserve">Mix
Grade</t>
  </si>
  <si>
    <t xml:space="preserve">Specified
Strength
(N/mm²)</t>
  </si>
  <si>
    <t xml:space="preserve">7-Day
Test Date</t>
  </si>
  <si>
    <t xml:space="preserve">7-Day
Result
(N/mm²)</t>
  </si>
  <si>
    <t xml:space="preserve">7-Day
% of Spec</t>
  </si>
  <si>
    <t xml:space="preserve">28-Day
Test Date</t>
  </si>
  <si>
    <t xml:space="preserve">28-Day
Result
(N/mm²)</t>
  </si>
  <si>
    <t xml:space="preserve">Strength
Ratio</t>
  </si>
  <si>
    <t xml:space="preserve">Pass /
Fail</t>
  </si>
  <si>
    <t xml:space="preserve">Tested By</t>
  </si>
  <si>
    <t xml:space="preserve">Slump
(mm)</t>
  </si>
  <si>
    <t xml:space="preserve">Air Temp
(°C)</t>
  </si>
  <si>
    <t xml:space="preserve">Curing
Method</t>
  </si>
  <si>
    <t xml:space="preserve">Lab
Reference</t>
  </si>
  <si>
    <t xml:space="preserve">CC-001</t>
  </si>
  <si>
    <t xml:space="preserve">Pad Foundation PF-01</t>
  </si>
  <si>
    <t xml:space="preserve">C30/37</t>
  </si>
  <si>
    <t xml:space="preserve">ABC Testing Ltd</t>
  </si>
  <si>
    <t xml:space="preserve">Standard (Water Tank)</t>
  </si>
  <si>
    <t xml:space="preserve">LAB-4421</t>
  </si>
  <si>
    <t xml:space="preserve">CC-002</t>
  </si>
  <si>
    <t xml:space="preserve">Ground Floor Slab Bay 1</t>
  </si>
  <si>
    <t xml:space="preserve">C28/35</t>
  </si>
  <si>
    <t xml:space="preserve">LAB-4435</t>
  </si>
  <si>
    <t xml:space="preserve">CC-003</t>
  </si>
  <si>
    <t xml:space="preserve">Column C4 Base</t>
  </si>
  <si>
    <t xml:space="preserve">C40/50</t>
  </si>
  <si>
    <t xml:space="preserve">XYZ Labs</t>
  </si>
  <si>
    <t xml:space="preserve">LAB-4450</t>
  </si>
  <si>
    <t xml:space="preserve">CC-004</t>
  </si>
  <si>
    <t xml:space="preserve">Retaining Wall Section 2</t>
  </si>
  <si>
    <t xml:space="preserve">C32/40</t>
  </si>
  <si>
    <t xml:space="preserve">LAB-4468</t>
  </si>
  <si>
    <t xml:space="preserve">CC-005</t>
  </si>
  <si>
    <t xml:space="preserve">Pile Cap PC-03</t>
  </si>
  <si>
    <t xml:space="preserve">C35/45</t>
  </si>
  <si>
    <t xml:space="preserve">Site Cured</t>
  </si>
  <si>
    <t xml:space="preserve">LAB-4480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</si>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</sst>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%"/>
    <numFmt numFmtId="167" formatCode="0.0"/>
    <numFmt numFmtId="168" formatCode="dd/mm/yyyy"/>
    <numFmt numFmtId="169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8"/>
      <color rgb="FF1B2A4A"/>
      <name val="Calibri"/>
      <family val="0"/>
      <charset val="1"/>
    </font>
    <font>
      <b val="true"/>
      <sz val="18"/>
      <color rgb="FF006100"/>
      <name val="Calibri"/>
      <family val="0"/>
      <charset val="1"/>
    </font>
    <font>
      <b val="true"/>
      <sz val="18"/>
      <color rgb="FF9C0006"/>
      <name val="Calibri"/>
      <family val="0"/>
      <charset val="1"/>
    </font>
    <font>
      <sz val="9"/>
      <color rgb="FF8C8C8C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Calibri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6500"/>
        <sz val="9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Calibri"/>
        <charset val="1"/>
        <family val="0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true" outlineLevel="1" max="17" min="14" style="0" width="12"/>
  </cols>
  <sheetData>
    <row r="1" customFormat="false" ht="18.65" hidden="false" customHeight="true" outlineLevel="0" collapsed="false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9"/>
      <c r="Q1" s="19"/>
    </row>
    <row r="2" customFormat="false" ht="6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5" hidden="false" customHeight="false" outlineLevel="0" collapsed="false">
      <c r="A3" s="20" t="s">
        <v>32</v>
      </c>
      <c r="C3" s="20" t="s">
        <v>33</v>
      </c>
      <c r="E3" s="20" t="s">
        <v>34</v>
      </c>
      <c r="G3" s="20" t="s">
        <v>35</v>
      </c>
      <c r="I3" s="20" t="s">
        <v>36</v>
      </c>
      <c r="K3" s="20" t="s">
        <v>37</v>
      </c>
    </row>
    <row r="4" customFormat="false" ht="22.05" hidden="false" customHeight="false" outlineLevel="0" collapsed="false">
      <c r="A4" s="21" t="n">
        <f aca="false">COUNTA(A10:A60)</f>
        <v>5</v>
      </c>
      <c r="C4" s="21" t="n">
        <f aca="false">COUNTA(J10:J60)</f>
        <v>4</v>
      </c>
      <c r="E4" s="22" t="n">
        <f aca="false">COUNTIF(L10:L60,"PASS")</f>
        <v>3</v>
      </c>
      <c r="G4" s="23" t="n">
        <f aca="false">COUNTIF(L10:L60,"FAIL")</f>
        <v>1</v>
      </c>
      <c r="I4" s="24" t="n">
        <f aca="false">IFERROR(E4/C4,0)</f>
        <v>0.75</v>
      </c>
      <c r="K4" s="25" t="n">
        <f aca="false">IFERROR(AVERAGE(J10:J60),0)</f>
        <v>41.4</v>
      </c>
      <c r="L4" s="26" t="s">
        <v>38</v>
      </c>
    </row>
    <row r="5" customFormat="false" ht="15" hidden="false" customHeight="false" outlineLevel="0" collapsed="false">
      <c r="A5" s="27"/>
      <c r="B5" s="27"/>
      <c r="C5" s="27"/>
      <c r="D5" s="27"/>
      <c r="E5" s="27"/>
      <c r="F5" s="27"/>
      <c r="G5" s="27"/>
      <c r="H5" s="27"/>
      <c r="I5" s="28" t="str">
        <f aca="false">IF(I4&gt;=0.95,"● ALL GOOD",IF(I4&gt;=0.85,"● REVIEW NEEDED","● ACTION REQUIRED"))</f>
        <v>● ACTION REQUIRED</v>
      </c>
      <c r="J5" s="27"/>
      <c r="K5" s="27"/>
      <c r="L5" s="27"/>
      <c r="M5" s="27"/>
      <c r="N5" s="27"/>
      <c r="O5" s="27"/>
      <c r="P5" s="27"/>
      <c r="Q5" s="27"/>
    </row>
    <row r="6" customFormat="false" ht="6" hidden="false" customHeight="true" outlineLevel="0" collapsed="false"/>
    <row r="8" customFormat="false" ht="32.8" hidden="false" customHeight="true" outlineLevel="0" collapsed="false">
      <c r="N8" s="29" t="s">
        <v>39</v>
      </c>
      <c r="O8" s="29"/>
      <c r="P8" s="29"/>
      <c r="Q8" s="29"/>
    </row>
    <row r="9" customFormat="false" ht="39.75" hidden="false" customHeight="true" outlineLevel="0" collapsed="false">
      <c r="A9" s="30" t="s">
        <v>40</v>
      </c>
      <c r="B9" s="30" t="s">
        <v>41</v>
      </c>
      <c r="C9" s="30" t="s">
        <v>42</v>
      </c>
      <c r="D9" s="30" t="s">
        <v>43</v>
      </c>
      <c r="E9" s="30" t="s">
        <v>44</v>
      </c>
      <c r="F9" s="30" t="s">
        <v>45</v>
      </c>
      <c r="G9" s="30" t="s">
        <v>46</v>
      </c>
      <c r="H9" s="30" t="s">
        <v>47</v>
      </c>
      <c r="I9" s="30" t="s">
        <v>48</v>
      </c>
      <c r="J9" s="30" t="s">
        <v>49</v>
      </c>
      <c r="K9" s="30" t="s">
        <v>50</v>
      </c>
      <c r="L9" s="30" t="s">
        <v>51</v>
      </c>
      <c r="M9" s="30" t="s">
        <v>52</v>
      </c>
      <c r="N9" s="30" t="s">
        <v>53</v>
      </c>
      <c r="O9" s="30" t="s">
        <v>54</v>
      </c>
      <c r="P9" s="30" t="s">
        <v>55</v>
      </c>
      <c r="Q9" s="30" t="s">
        <v>56</v>
      </c>
    </row>
    <row r="10" customFormat="false" ht="23.85" hidden="false" customHeight="false" outlineLevel="0" collapsed="false">
      <c r="A10" s="31" t="s">
        <v>57</v>
      </c>
      <c r="B10" s="32" t="n">
        <v>46063</v>
      </c>
      <c r="C10" s="33" t="s">
        <v>58</v>
      </c>
      <c r="D10" s="31" t="s">
        <v>59</v>
      </c>
      <c r="E10" s="31" t="n">
        <v>37</v>
      </c>
      <c r="F10" s="32" t="n">
        <v>46070</v>
      </c>
      <c r="G10" s="34" t="n">
        <v>26.5</v>
      </c>
      <c r="H10" s="35" t="n">
        <f aca="false">IFERROR(G10/E10,"")</f>
        <v>0.716216216216216</v>
      </c>
      <c r="I10" s="32" t="n">
        <v>46091</v>
      </c>
      <c r="J10" s="34" t="n">
        <v>39.2</v>
      </c>
      <c r="K10" s="36" t="n">
        <f aca="false">IFERROR(J10/E10,"")</f>
        <v>1.05945945945946</v>
      </c>
      <c r="L10" s="37" t="str">
        <f aca="false">IF(J10="","",IF(J10&gt;=E10,"PASS","FAIL"))</f>
        <v>PASS</v>
      </c>
      <c r="M10" s="33" t="s">
        <v>60</v>
      </c>
      <c r="N10" s="31" t="n">
        <v>75</v>
      </c>
      <c r="O10" s="31" t="n">
        <v>8</v>
      </c>
      <c r="P10" s="33" t="s">
        <v>61</v>
      </c>
      <c r="Q10" s="33" t="s">
        <v>62</v>
      </c>
    </row>
    <row r="11" customFormat="false" ht="23.85" hidden="false" customHeight="false" outlineLevel="0" collapsed="false">
      <c r="A11" s="31" t="s">
        <v>63</v>
      </c>
      <c r="B11" s="32" t="n">
        <v>46065</v>
      </c>
      <c r="C11" s="33" t="s">
        <v>64</v>
      </c>
      <c r="D11" s="31" t="s">
        <v>65</v>
      </c>
      <c r="E11" s="31" t="n">
        <v>35</v>
      </c>
      <c r="F11" s="32" t="n">
        <v>46072</v>
      </c>
      <c r="G11" s="34" t="n">
        <v>24.8</v>
      </c>
      <c r="H11" s="35" t="n">
        <f aca="false">IFERROR(G11/E11,"")</f>
        <v>0.708571428571429</v>
      </c>
      <c r="I11" s="32" t="n">
        <v>46093</v>
      </c>
      <c r="J11" s="34" t="n">
        <v>36.1</v>
      </c>
      <c r="K11" s="36" t="n">
        <f aca="false">IFERROR(J11/E11,"")</f>
        <v>1.03142857142857</v>
      </c>
      <c r="L11" s="37" t="str">
        <f aca="false">IF(J11="","",IF(J11&gt;=E11,"PASS","FAIL"))</f>
        <v>PASS</v>
      </c>
      <c r="M11" s="33" t="s">
        <v>60</v>
      </c>
      <c r="N11" s="31" t="n">
        <v>80</v>
      </c>
      <c r="O11" s="31" t="n">
        <v>6</v>
      </c>
      <c r="P11" s="33" t="s">
        <v>61</v>
      </c>
      <c r="Q11" s="33" t="s">
        <v>66</v>
      </c>
    </row>
    <row r="12" customFormat="false" ht="23.85" hidden="false" customHeight="false" outlineLevel="0" collapsed="false">
      <c r="A12" s="31" t="s">
        <v>67</v>
      </c>
      <c r="B12" s="32" t="n">
        <v>46068</v>
      </c>
      <c r="C12" s="33" t="s">
        <v>68</v>
      </c>
      <c r="D12" s="31" t="s">
        <v>69</v>
      </c>
      <c r="E12" s="31" t="n">
        <v>50</v>
      </c>
      <c r="F12" s="32" t="n">
        <v>46075</v>
      </c>
      <c r="G12" s="34" t="n">
        <v>30.1</v>
      </c>
      <c r="H12" s="35" t="n">
        <f aca="false">IFERROR(G12/E12,"")</f>
        <v>0.602</v>
      </c>
      <c r="I12" s="32" t="n">
        <v>46096</v>
      </c>
      <c r="J12" s="34" t="n">
        <v>47.8</v>
      </c>
      <c r="K12" s="36" t="n">
        <f aca="false">IFERROR(J12/E12,"")</f>
        <v>0.956</v>
      </c>
      <c r="L12" s="37" t="str">
        <f aca="false">IF(J12="","",IF(J12&gt;=E12,"PASS","FAIL"))</f>
        <v>FAIL</v>
      </c>
      <c r="M12" s="33" t="s">
        <v>70</v>
      </c>
      <c r="N12" s="31" t="n">
        <v>65</v>
      </c>
      <c r="O12" s="31" t="n">
        <v>7</v>
      </c>
      <c r="P12" s="33" t="s">
        <v>61</v>
      </c>
      <c r="Q12" s="33" t="s">
        <v>71</v>
      </c>
    </row>
    <row r="13" customFormat="false" ht="23.85" hidden="false" customHeight="false" outlineLevel="0" collapsed="false">
      <c r="A13" s="31" t="s">
        <v>72</v>
      </c>
      <c r="B13" s="32" t="n">
        <v>46071</v>
      </c>
      <c r="C13" s="33" t="s">
        <v>73</v>
      </c>
      <c r="D13" s="31" t="s">
        <v>74</v>
      </c>
      <c r="E13" s="31" t="n">
        <v>40</v>
      </c>
      <c r="F13" s="32" t="n">
        <v>46078</v>
      </c>
      <c r="G13" s="34" t="n">
        <v>28.9</v>
      </c>
      <c r="H13" s="35" t="n">
        <f aca="false">IFERROR(G13/E13,"")</f>
        <v>0.7225</v>
      </c>
      <c r="I13" s="32" t="n">
        <v>46099</v>
      </c>
      <c r="J13" s="34" t="n">
        <v>42.5</v>
      </c>
      <c r="K13" s="36" t="n">
        <f aca="false">IFERROR(J13/E13,"")</f>
        <v>1.0625</v>
      </c>
      <c r="L13" s="37" t="str">
        <f aca="false">IF(J13="","",IF(J13&gt;=E13,"PASS","FAIL"))</f>
        <v>PASS</v>
      </c>
      <c r="M13" s="33" t="s">
        <v>60</v>
      </c>
      <c r="N13" s="31" t="n">
        <v>70</v>
      </c>
      <c r="O13" s="31" t="n">
        <v>5</v>
      </c>
      <c r="P13" s="33" t="s">
        <v>61</v>
      </c>
      <c r="Q13" s="33" t="s">
        <v>75</v>
      </c>
    </row>
    <row r="14" customFormat="false" ht="15" hidden="false" customHeight="false" outlineLevel="0" collapsed="false">
      <c r="A14" s="31" t="s">
        <v>76</v>
      </c>
      <c r="B14" s="32" t="n">
        <v>46073</v>
      </c>
      <c r="C14" s="33" t="s">
        <v>77</v>
      </c>
      <c r="D14" s="31" t="s">
        <v>78</v>
      </c>
      <c r="E14" s="31" t="n">
        <v>45</v>
      </c>
      <c r="F14" s="32" t="n">
        <v>46080</v>
      </c>
      <c r="G14" s="34" t="n">
        <v>22.1</v>
      </c>
      <c r="H14" s="35" t="n">
        <f aca="false">IFERROR(G14/E14,"")</f>
        <v>0.491111111111111</v>
      </c>
      <c r="I14" s="31"/>
      <c r="J14" s="31"/>
      <c r="K14" s="36" t="n">
        <f aca="false">IFERROR(J14/E14,"")</f>
        <v>0</v>
      </c>
      <c r="L14" s="37" t="str">
        <f aca="false">IF(J14="","",IF(J14&gt;=E14,"PASS","FAIL"))</f>
        <v/>
      </c>
      <c r="M14" s="33" t="s">
        <v>70</v>
      </c>
      <c r="N14" s="31" t="n">
        <v>60</v>
      </c>
      <c r="O14" s="31" t="n">
        <v>9</v>
      </c>
      <c r="P14" s="33" t="s">
        <v>79</v>
      </c>
      <c r="Q14" s="33" t="s">
        <v>80</v>
      </c>
    </row>
    <row r="15" customFormat="false" ht="15" hidden="false" customHeight="false" outlineLevel="0" collapsed="false">
      <c r="A15" s="31"/>
      <c r="B15" s="32"/>
      <c r="C15" s="33"/>
      <c r="D15" s="31"/>
      <c r="E15" s="31"/>
      <c r="F15" s="32"/>
      <c r="G15" s="31"/>
      <c r="H15" s="35" t="str">
        <f aca="false">IFERROR(G15/E15,"")</f>
        <v/>
      </c>
      <c r="I15" s="32"/>
      <c r="J15" s="31"/>
      <c r="K15" s="36" t="str">
        <f aca="false">IFERROR(J15/E15,"")</f>
        <v/>
      </c>
      <c r="L15" s="37" t="str">
        <f aca="false">IF(J15="","",IF(J15&gt;=E15,"PASS","FAIL"))</f>
        <v/>
      </c>
      <c r="M15" s="33"/>
      <c r="N15" s="31"/>
      <c r="O15" s="31"/>
      <c r="P15" s="33"/>
      <c r="Q15" s="33"/>
    </row>
    <row r="16" customFormat="false" ht="15" hidden="false" customHeight="false" outlineLevel="0" collapsed="false">
      <c r="A16" s="31"/>
      <c r="B16" s="32"/>
      <c r="C16" s="33"/>
      <c r="D16" s="31"/>
      <c r="E16" s="31"/>
      <c r="F16" s="32"/>
      <c r="G16" s="31"/>
      <c r="H16" s="35" t="str">
        <f aca="false">IFERROR(G16/E16,"")</f>
        <v/>
      </c>
      <c r="I16" s="32"/>
      <c r="J16" s="31"/>
      <c r="K16" s="36" t="str">
        <f aca="false">IFERROR(J16/E16,"")</f>
        <v/>
      </c>
      <c r="L16" s="37" t="str">
        <f aca="false">IF(J16="","",IF(J16&gt;=E16,"PASS","FAIL"))</f>
        <v/>
      </c>
      <c r="M16" s="33"/>
      <c r="N16" s="31"/>
      <c r="O16" s="31"/>
      <c r="P16" s="33"/>
      <c r="Q16" s="33"/>
    </row>
    <row r="17" customFormat="false" ht="15" hidden="false" customHeight="false" outlineLevel="0" collapsed="false">
      <c r="A17" s="31"/>
      <c r="B17" s="32"/>
      <c r="C17" s="33"/>
      <c r="D17" s="31"/>
      <c r="E17" s="31"/>
      <c r="F17" s="32"/>
      <c r="G17" s="31"/>
      <c r="H17" s="35" t="str">
        <f aca="false">IFERROR(G17/E17,"")</f>
        <v/>
      </c>
      <c r="I17" s="32"/>
      <c r="J17" s="31"/>
      <c r="K17" s="36" t="str">
        <f aca="false">IFERROR(J17/E17,"")</f>
        <v/>
      </c>
      <c r="L17" s="37" t="str">
        <f aca="false">IF(J17="","",IF(J17&gt;=E17,"PASS","FAIL"))</f>
        <v/>
      </c>
      <c r="M17" s="33"/>
      <c r="N17" s="31"/>
      <c r="O17" s="31"/>
      <c r="P17" s="33"/>
      <c r="Q17" s="33"/>
    </row>
    <row r="18" customFormat="false" ht="15" hidden="false" customHeight="false" outlineLevel="0" collapsed="false">
      <c r="A18" s="31"/>
      <c r="B18" s="32"/>
      <c r="C18" s="33"/>
      <c r="D18" s="31"/>
      <c r="E18" s="31"/>
      <c r="F18" s="32"/>
      <c r="G18" s="31"/>
      <c r="H18" s="35" t="str">
        <f aca="false">IFERROR(G18/E18,"")</f>
        <v/>
      </c>
      <c r="I18" s="32"/>
      <c r="J18" s="31"/>
      <c r="K18" s="36" t="str">
        <f aca="false">IFERROR(J18/E18,"")</f>
        <v/>
      </c>
      <c r="L18" s="37" t="str">
        <f aca="false">IF(J18="","",IF(J18&gt;=E18,"PASS","FAIL"))</f>
        <v/>
      </c>
      <c r="M18" s="33"/>
      <c r="N18" s="31"/>
      <c r="O18" s="31"/>
      <c r="P18" s="33"/>
      <c r="Q18" s="33"/>
    </row>
    <row r="19" customFormat="false" ht="15" hidden="false" customHeight="false" outlineLevel="0" collapsed="false">
      <c r="A19" s="31"/>
      <c r="B19" s="32"/>
      <c r="C19" s="33"/>
      <c r="D19" s="31"/>
      <c r="E19" s="31"/>
      <c r="F19" s="32"/>
      <c r="G19" s="31"/>
      <c r="H19" s="35" t="str">
        <f aca="false">IFERROR(G19/E19,"")</f>
        <v/>
      </c>
      <c r="I19" s="32"/>
      <c r="J19" s="31"/>
      <c r="K19" s="36" t="str">
        <f aca="false">IFERROR(J19/E19,"")</f>
        <v/>
      </c>
      <c r="L19" s="37" t="str">
        <f aca="false">IF(J19="","",IF(J19&gt;=E19,"PASS","FAIL"))</f>
        <v/>
      </c>
      <c r="M19" s="33"/>
      <c r="N19" s="31"/>
      <c r="O19" s="31"/>
      <c r="P19" s="33"/>
      <c r="Q19" s="33"/>
    </row>
    <row r="20" customFormat="false" ht="15" hidden="false" customHeight="false" outlineLevel="0" collapsed="false">
      <c r="A20" s="31"/>
      <c r="B20" s="32"/>
      <c r="C20" s="33"/>
      <c r="D20" s="31"/>
      <c r="E20" s="31"/>
      <c r="F20" s="32"/>
      <c r="G20" s="31"/>
      <c r="H20" s="35" t="str">
        <f aca="false">IFERROR(G20/E20,"")</f>
        <v/>
      </c>
      <c r="I20" s="32"/>
      <c r="J20" s="31"/>
      <c r="K20" s="36" t="str">
        <f aca="false">IFERROR(J20/E20,"")</f>
        <v/>
      </c>
      <c r="L20" s="37" t="str">
        <f aca="false">IF(J20="","",IF(J20&gt;=E20,"PASS","FAIL"))</f>
        <v/>
      </c>
      <c r="M20" s="33"/>
      <c r="N20" s="31"/>
      <c r="O20" s="31"/>
      <c r="P20" s="33"/>
      <c r="Q20" s="33"/>
    </row>
    <row r="21" customFormat="false" ht="15" hidden="false" customHeight="false" outlineLevel="0" collapsed="false">
      <c r="A21" s="31"/>
      <c r="B21" s="32"/>
      <c r="C21" s="33"/>
      <c r="D21" s="31"/>
      <c r="E21" s="31"/>
      <c r="F21" s="32"/>
      <c r="G21" s="31"/>
      <c r="H21" s="35" t="str">
        <f aca="false">IFERROR(G21/E21,"")</f>
        <v/>
      </c>
      <c r="I21" s="32"/>
      <c r="J21" s="31"/>
      <c r="K21" s="36" t="str">
        <f aca="false">IFERROR(J21/E21,"")</f>
        <v/>
      </c>
      <c r="L21" s="37" t="str">
        <f aca="false">IF(J21="","",IF(J21&gt;=E21,"PASS","FAIL"))</f>
        <v/>
      </c>
      <c r="M21" s="33"/>
      <c r="N21" s="31"/>
      <c r="O21" s="31"/>
      <c r="P21" s="33"/>
      <c r="Q21" s="33"/>
    </row>
    <row r="22" customFormat="false" ht="15" hidden="false" customHeight="false" outlineLevel="0" collapsed="false">
      <c r="A22" s="31"/>
      <c r="B22" s="32"/>
      <c r="C22" s="33"/>
      <c r="D22" s="31"/>
      <c r="E22" s="31"/>
      <c r="F22" s="32"/>
      <c r="G22" s="31"/>
      <c r="H22" s="35" t="str">
        <f aca="false">IFERROR(G22/E22,"")</f>
        <v/>
      </c>
      <c r="I22" s="32"/>
      <c r="J22" s="31"/>
      <c r="K22" s="36" t="str">
        <f aca="false">IFERROR(J22/E22,"")</f>
        <v/>
      </c>
      <c r="L22" s="37" t="str">
        <f aca="false">IF(J22="","",IF(J22&gt;=E22,"PASS","FAIL"))</f>
        <v/>
      </c>
      <c r="M22" s="33"/>
      <c r="N22" s="31"/>
      <c r="O22" s="31"/>
      <c r="P22" s="33"/>
      <c r="Q22" s="33"/>
    </row>
    <row r="23" customFormat="false" ht="15" hidden="false" customHeight="false" outlineLevel="0" collapsed="false">
      <c r="A23" s="31"/>
      <c r="B23" s="32"/>
      <c r="C23" s="33"/>
      <c r="D23" s="31"/>
      <c r="E23" s="31"/>
      <c r="F23" s="32"/>
      <c r="G23" s="31"/>
      <c r="H23" s="35" t="str">
        <f aca="false">IFERROR(G23/E23,"")</f>
        <v/>
      </c>
      <c r="I23" s="32"/>
      <c r="J23" s="31"/>
      <c r="K23" s="36" t="str">
        <f aca="false">IFERROR(J23/E23,"")</f>
        <v/>
      </c>
      <c r="L23" s="37" t="str">
        <f aca="false">IF(J23="","",IF(J23&gt;=E23,"PASS","FAIL"))</f>
        <v/>
      </c>
      <c r="M23" s="33"/>
      <c r="N23" s="31"/>
      <c r="O23" s="31"/>
      <c r="P23" s="33"/>
      <c r="Q23" s="33"/>
    </row>
    <row r="24" customFormat="false" ht="15" hidden="false" customHeight="false" outlineLevel="0" collapsed="false">
      <c r="A24" s="31"/>
      <c r="B24" s="32"/>
      <c r="C24" s="33"/>
      <c r="D24" s="31"/>
      <c r="E24" s="31"/>
      <c r="F24" s="32"/>
      <c r="G24" s="31"/>
      <c r="H24" s="35" t="str">
        <f aca="false">IFERROR(G24/E24,"")</f>
        <v/>
      </c>
      <c r="I24" s="32"/>
      <c r="J24" s="31"/>
      <c r="K24" s="36" t="str">
        <f aca="false">IFERROR(J24/E24,"")</f>
        <v/>
      </c>
      <c r="L24" s="37" t="str">
        <f aca="false">IF(J24="","",IF(J24&gt;=E24,"PASS","FAIL"))</f>
        <v/>
      </c>
      <c r="M24" s="33"/>
      <c r="N24" s="31"/>
      <c r="O24" s="31"/>
      <c r="P24" s="33"/>
      <c r="Q24" s="33"/>
    </row>
    <row r="25" customFormat="false" ht="15" hidden="false" customHeight="false" outlineLevel="0" collapsed="false">
      <c r="A25" s="31"/>
      <c r="B25" s="32"/>
      <c r="C25" s="33"/>
      <c r="D25" s="31"/>
      <c r="E25" s="31"/>
      <c r="F25" s="32"/>
      <c r="G25" s="31"/>
      <c r="H25" s="35" t="str">
        <f aca="false">IFERROR(G25/E25,"")</f>
        <v/>
      </c>
      <c r="I25" s="32"/>
      <c r="J25" s="31"/>
      <c r="K25" s="36" t="str">
        <f aca="false">IFERROR(J25/E25,"")</f>
        <v/>
      </c>
      <c r="L25" s="37" t="str">
        <f aca="false">IF(J25="","",IF(J25&gt;=E25,"PASS","FAIL"))</f>
        <v/>
      </c>
      <c r="M25" s="33"/>
      <c r="N25" s="31"/>
      <c r="O25" s="31"/>
      <c r="P25" s="33"/>
      <c r="Q25" s="33"/>
    </row>
    <row r="26" customFormat="false" ht="15" hidden="false" customHeight="false" outlineLevel="0" collapsed="false">
      <c r="A26" s="31"/>
      <c r="B26" s="32"/>
      <c r="C26" s="33"/>
      <c r="D26" s="31"/>
      <c r="E26" s="31"/>
      <c r="F26" s="32"/>
      <c r="G26" s="31"/>
      <c r="H26" s="35" t="str">
        <f aca="false">IFERROR(G26/E26,"")</f>
        <v/>
      </c>
      <c r="I26" s="32"/>
      <c r="J26" s="31"/>
      <c r="K26" s="36" t="str">
        <f aca="false">IFERROR(J26/E26,"")</f>
        <v/>
      </c>
      <c r="L26" s="37" t="str">
        <f aca="false">IF(J26="","",IF(J26&gt;=E26,"PASS","FAIL"))</f>
        <v/>
      </c>
      <c r="M26" s="33"/>
      <c r="N26" s="31"/>
      <c r="O26" s="31"/>
      <c r="P26" s="33"/>
      <c r="Q26" s="33"/>
    </row>
    <row r="27" customFormat="false" ht="15" hidden="false" customHeight="false" outlineLevel="0" collapsed="false">
      <c r="A27" s="31"/>
      <c r="B27" s="32"/>
      <c r="C27" s="33"/>
      <c r="D27" s="31"/>
      <c r="E27" s="31"/>
      <c r="F27" s="32"/>
      <c r="G27" s="31"/>
      <c r="H27" s="35" t="str">
        <f aca="false">IFERROR(G27/E27,"")</f>
        <v/>
      </c>
      <c r="I27" s="32"/>
      <c r="J27" s="31"/>
      <c r="K27" s="36" t="str">
        <f aca="false">IFERROR(J27/E27,"")</f>
        <v/>
      </c>
      <c r="L27" s="37" t="str">
        <f aca="false">IF(J27="","",IF(J27&gt;=E27,"PASS","FAIL"))</f>
        <v/>
      </c>
      <c r="M27" s="33"/>
      <c r="N27" s="31"/>
      <c r="O27" s="31"/>
      <c r="P27" s="33"/>
      <c r="Q27" s="33"/>
    </row>
    <row r="28" customFormat="false" ht="15" hidden="false" customHeight="false" outlineLevel="0" collapsed="false">
      <c r="A28" s="31"/>
      <c r="B28" s="32"/>
      <c r="C28" s="33"/>
      <c r="D28" s="31"/>
      <c r="E28" s="31"/>
      <c r="F28" s="32"/>
      <c r="G28" s="31"/>
      <c r="H28" s="35" t="str">
        <f aca="false">IFERROR(G28/E28,"")</f>
        <v/>
      </c>
      <c r="I28" s="32"/>
      <c r="J28" s="31"/>
      <c r="K28" s="36" t="str">
        <f aca="false">IFERROR(J28/E28,"")</f>
        <v/>
      </c>
      <c r="L28" s="37" t="str">
        <f aca="false">IF(J28="","",IF(J28&gt;=E28,"PASS","FAIL"))</f>
        <v/>
      </c>
      <c r="M28" s="33"/>
      <c r="N28" s="31"/>
      <c r="O28" s="31"/>
      <c r="P28" s="33"/>
      <c r="Q28" s="33"/>
    </row>
    <row r="29" customFormat="false" ht="15" hidden="false" customHeight="false" outlineLevel="0" collapsed="false">
      <c r="A29" s="31"/>
      <c r="B29" s="32"/>
      <c r="C29" s="33"/>
      <c r="D29" s="31"/>
      <c r="E29" s="31"/>
      <c r="F29" s="32"/>
      <c r="G29" s="31"/>
      <c r="H29" s="35" t="str">
        <f aca="false">IFERROR(G29/E29,"")</f>
        <v/>
      </c>
      <c r="I29" s="32"/>
      <c r="J29" s="31"/>
      <c r="K29" s="36" t="str">
        <f aca="false">IFERROR(J29/E29,"")</f>
        <v/>
      </c>
      <c r="L29" s="37" t="str">
        <f aca="false">IF(J29="","",IF(J29&gt;=E29,"PASS","FAIL"))</f>
        <v/>
      </c>
      <c r="M29" s="33"/>
      <c r="N29" s="31"/>
      <c r="O29" s="31"/>
      <c r="P29" s="33"/>
      <c r="Q29" s="33"/>
    </row>
    <row r="30" customFormat="false" ht="15" hidden="false" customHeight="false" outlineLevel="0" collapsed="false">
      <c r="A30" s="31"/>
      <c r="B30" s="32"/>
      <c r="C30" s="33"/>
      <c r="D30" s="31"/>
      <c r="E30" s="31"/>
      <c r="F30" s="32"/>
      <c r="G30" s="31"/>
      <c r="H30" s="35" t="str">
        <f aca="false">IFERROR(G30/E30,"")</f>
        <v/>
      </c>
      <c r="I30" s="32"/>
      <c r="J30" s="31"/>
      <c r="K30" s="36" t="str">
        <f aca="false">IFERROR(J30/E30,"")</f>
        <v/>
      </c>
      <c r="L30" s="37" t="str">
        <f aca="false">IF(J30="","",IF(J30&gt;=E30,"PASS","FAIL"))</f>
        <v/>
      </c>
      <c r="M30" s="33"/>
      <c r="N30" s="31"/>
      <c r="O30" s="31"/>
      <c r="P30" s="33"/>
      <c r="Q30" s="33"/>
    </row>
    <row r="31" customFormat="false" ht="15" hidden="false" customHeight="false" outlineLevel="0" collapsed="false">
      <c r="A31" s="31"/>
      <c r="B31" s="32"/>
      <c r="C31" s="33"/>
      <c r="D31" s="31"/>
      <c r="E31" s="31"/>
      <c r="F31" s="32"/>
      <c r="G31" s="31"/>
      <c r="H31" s="35" t="str">
        <f aca="false">IFERROR(G31/E31,"")</f>
        <v/>
      </c>
      <c r="I31" s="32"/>
      <c r="J31" s="31"/>
      <c r="K31" s="36" t="str">
        <f aca="false">IFERROR(J31/E31,"")</f>
        <v/>
      </c>
      <c r="L31" s="37" t="str">
        <f aca="false">IF(J31="","",IF(J31&gt;=E31,"PASS","FAIL"))</f>
        <v/>
      </c>
      <c r="M31" s="33"/>
      <c r="N31" s="31"/>
      <c r="O31" s="31"/>
      <c r="P31" s="33"/>
      <c r="Q31" s="33"/>
    </row>
    <row r="32" customFormat="false" ht="15" hidden="false" customHeight="false" outlineLevel="0" collapsed="false">
      <c r="A32" s="31"/>
      <c r="B32" s="32"/>
      <c r="C32" s="33"/>
      <c r="D32" s="31"/>
      <c r="E32" s="31"/>
      <c r="F32" s="32"/>
      <c r="G32" s="31"/>
      <c r="H32" s="35" t="str">
        <f aca="false">IFERROR(G32/E32,"")</f>
        <v/>
      </c>
      <c r="I32" s="32"/>
      <c r="J32" s="31"/>
      <c r="K32" s="36" t="str">
        <f aca="false">IFERROR(J32/E32,"")</f>
        <v/>
      </c>
      <c r="L32" s="37" t="str">
        <f aca="false">IF(J32="","",IF(J32&gt;=E32,"PASS","FAIL"))</f>
        <v/>
      </c>
      <c r="M32" s="33"/>
      <c r="N32" s="31"/>
      <c r="O32" s="31"/>
      <c r="P32" s="33"/>
      <c r="Q32" s="33"/>
    </row>
    <row r="33" customFormat="false" ht="15" hidden="false" customHeight="false" outlineLevel="0" collapsed="false">
      <c r="A33" s="31"/>
      <c r="B33" s="32"/>
      <c r="C33" s="33"/>
      <c r="D33" s="31"/>
      <c r="E33" s="31"/>
      <c r="F33" s="32"/>
      <c r="G33" s="31"/>
      <c r="H33" s="35" t="str">
        <f aca="false">IFERROR(G33/E33,"")</f>
        <v/>
      </c>
      <c r="I33" s="32"/>
      <c r="J33" s="31"/>
      <c r="K33" s="36" t="str">
        <f aca="false">IFERROR(J33/E33,"")</f>
        <v/>
      </c>
      <c r="L33" s="37" t="str">
        <f aca="false">IF(J33="","",IF(J33&gt;=E33,"PASS","FAIL"))</f>
        <v/>
      </c>
      <c r="M33" s="33"/>
      <c r="N33" s="31"/>
      <c r="O33" s="31"/>
      <c r="P33" s="33"/>
      <c r="Q33" s="33"/>
    </row>
    <row r="34" customFormat="false" ht="15" hidden="false" customHeight="false" outlineLevel="0" collapsed="false">
      <c r="A34" s="31"/>
      <c r="B34" s="32"/>
      <c r="C34" s="33"/>
      <c r="D34" s="31"/>
      <c r="E34" s="31"/>
      <c r="F34" s="32"/>
      <c r="G34" s="31"/>
      <c r="H34" s="35" t="str">
        <f aca="false">IFERROR(G34/E34,"")</f>
        <v/>
      </c>
      <c r="I34" s="32"/>
      <c r="J34" s="31"/>
      <c r="K34" s="36" t="str">
        <f aca="false">IFERROR(J34/E34,"")</f>
        <v/>
      </c>
      <c r="L34" s="37" t="str">
        <f aca="false">IF(J34="","",IF(J34&gt;=E34,"PASS","FAIL"))</f>
        <v/>
      </c>
      <c r="M34" s="33"/>
      <c r="N34" s="31"/>
      <c r="O34" s="31"/>
      <c r="P34" s="33"/>
      <c r="Q34" s="33"/>
    </row>
    <row r="35" customFormat="false" ht="15" hidden="false" customHeight="false" outlineLevel="0" collapsed="false">
      <c r="A35" s="31"/>
      <c r="B35" s="32"/>
      <c r="C35" s="33"/>
      <c r="D35" s="31"/>
      <c r="E35" s="31"/>
      <c r="F35" s="32"/>
      <c r="G35" s="31"/>
      <c r="H35" s="35" t="str">
        <f aca="false">IFERROR(G35/E35,"")</f>
        <v/>
      </c>
      <c r="I35" s="32"/>
      <c r="J35" s="31"/>
      <c r="K35" s="36" t="str">
        <f aca="false">IFERROR(J35/E35,"")</f>
        <v/>
      </c>
      <c r="L35" s="37" t="str">
        <f aca="false">IF(J35="","",IF(J35&gt;=E35,"PASS","FAIL"))</f>
        <v/>
      </c>
      <c r="M35" s="33"/>
      <c r="N35" s="31"/>
      <c r="O35" s="31"/>
      <c r="P35" s="33"/>
      <c r="Q35" s="33"/>
    </row>
    <row r="36" customFormat="false" ht="15" hidden="false" customHeight="false" outlineLevel="0" collapsed="false">
      <c r="A36" s="31"/>
      <c r="B36" s="32"/>
      <c r="C36" s="33"/>
      <c r="D36" s="31"/>
      <c r="E36" s="31"/>
      <c r="F36" s="32"/>
      <c r="G36" s="31"/>
      <c r="H36" s="35" t="str">
        <f aca="false">IFERROR(G36/E36,"")</f>
        <v/>
      </c>
      <c r="I36" s="32"/>
      <c r="J36" s="31"/>
      <c r="K36" s="36" t="str">
        <f aca="false">IFERROR(J36/E36,"")</f>
        <v/>
      </c>
      <c r="L36" s="37" t="str">
        <f aca="false">IF(J36="","",IF(J36&gt;=E36,"PASS","FAIL"))</f>
        <v/>
      </c>
      <c r="M36" s="33"/>
      <c r="N36" s="31"/>
      <c r="O36" s="31"/>
      <c r="P36" s="33"/>
      <c r="Q36" s="33"/>
    </row>
    <row r="37" customFormat="false" ht="15" hidden="false" customHeight="false" outlineLevel="0" collapsed="false">
      <c r="A37" s="31"/>
      <c r="B37" s="32"/>
      <c r="C37" s="33"/>
      <c r="D37" s="31"/>
      <c r="E37" s="31"/>
      <c r="F37" s="32"/>
      <c r="G37" s="31"/>
      <c r="H37" s="35" t="str">
        <f aca="false">IFERROR(G37/E37,"")</f>
        <v/>
      </c>
      <c r="I37" s="32"/>
      <c r="J37" s="31"/>
      <c r="K37" s="36" t="str">
        <f aca="false">IFERROR(J37/E37,"")</f>
        <v/>
      </c>
      <c r="L37" s="37" t="str">
        <f aca="false">IF(J37="","",IF(J37&gt;=E37,"PASS","FAIL"))</f>
        <v/>
      </c>
      <c r="M37" s="33"/>
      <c r="N37" s="31"/>
      <c r="O37" s="31"/>
      <c r="P37" s="33"/>
      <c r="Q37" s="33"/>
    </row>
    <row r="38" customFormat="false" ht="15" hidden="false" customHeight="false" outlineLevel="0" collapsed="false">
      <c r="A38" s="31"/>
      <c r="B38" s="32"/>
      <c r="C38" s="33"/>
      <c r="D38" s="31"/>
      <c r="E38" s="31"/>
      <c r="F38" s="32"/>
      <c r="G38" s="31"/>
      <c r="H38" s="35" t="str">
        <f aca="false">IFERROR(G38/E38,"")</f>
        <v/>
      </c>
      <c r="I38" s="32"/>
      <c r="J38" s="31"/>
      <c r="K38" s="36" t="str">
        <f aca="false">IFERROR(J38/E38,"")</f>
        <v/>
      </c>
      <c r="L38" s="37" t="str">
        <f aca="false">IF(J38="","",IF(J38&gt;=E38,"PASS","FAIL"))</f>
        <v/>
      </c>
      <c r="M38" s="33"/>
      <c r="N38" s="31"/>
      <c r="O38" s="31"/>
      <c r="P38" s="33"/>
      <c r="Q38" s="33"/>
    </row>
    <row r="39" customFormat="false" ht="15" hidden="false" customHeight="false" outlineLevel="0" collapsed="false">
      <c r="A39" s="31"/>
      <c r="B39" s="32"/>
      <c r="C39" s="33"/>
      <c r="D39" s="31"/>
      <c r="E39" s="31"/>
      <c r="F39" s="32"/>
      <c r="G39" s="31"/>
      <c r="H39" s="35" t="str">
        <f aca="false">IFERROR(G39/E39,"")</f>
        <v/>
      </c>
      <c r="I39" s="32"/>
      <c r="J39" s="31"/>
      <c r="K39" s="36" t="str">
        <f aca="false">IFERROR(J39/E39,"")</f>
        <v/>
      </c>
      <c r="L39" s="37" t="str">
        <f aca="false">IF(J39="","",IF(J39&gt;=E39,"PASS","FAIL"))</f>
        <v/>
      </c>
      <c r="M39" s="33"/>
      <c r="N39" s="31"/>
      <c r="O39" s="31"/>
      <c r="P39" s="33"/>
      <c r="Q39" s="33"/>
    </row>
    <row r="40" customFormat="false" ht="15" hidden="false" customHeight="false" outlineLevel="0" collapsed="false">
      <c r="A40" s="31"/>
      <c r="B40" s="32"/>
      <c r="C40" s="33"/>
      <c r="D40" s="31"/>
      <c r="E40" s="31"/>
      <c r="F40" s="32"/>
      <c r="G40" s="31"/>
      <c r="H40" s="35" t="str">
        <f aca="false">IFERROR(G40/E40,"")</f>
        <v/>
      </c>
      <c r="I40" s="32"/>
      <c r="J40" s="31"/>
      <c r="K40" s="36" t="str">
        <f aca="false">IFERROR(J40/E40,"")</f>
        <v/>
      </c>
      <c r="L40" s="37" t="str">
        <f aca="false">IF(J40="","",IF(J40&gt;=E40,"PASS","FAIL"))</f>
        <v/>
      </c>
      <c r="M40" s="33"/>
      <c r="N40" s="31"/>
      <c r="O40" s="31"/>
      <c r="P40" s="33"/>
      <c r="Q40" s="33"/>
    </row>
    <row r="41" customFormat="false" ht="15" hidden="false" customHeight="false" outlineLevel="0" collapsed="false">
      <c r="A41" s="31"/>
      <c r="B41" s="32"/>
      <c r="C41" s="33"/>
      <c r="D41" s="31"/>
      <c r="E41" s="31"/>
      <c r="F41" s="32"/>
      <c r="G41" s="31"/>
      <c r="H41" s="35" t="str">
        <f aca="false">IFERROR(G41/E41,"")</f>
        <v/>
      </c>
      <c r="I41" s="32"/>
      <c r="J41" s="31"/>
      <c r="K41" s="36" t="str">
        <f aca="false">IFERROR(J41/E41,"")</f>
        <v/>
      </c>
      <c r="L41" s="37" t="str">
        <f aca="false">IF(J41="","",IF(J41&gt;=E41,"PASS","FAIL"))</f>
        <v/>
      </c>
      <c r="M41" s="33"/>
      <c r="N41" s="31"/>
      <c r="O41" s="31"/>
      <c r="P41" s="33"/>
      <c r="Q41" s="33"/>
    </row>
    <row r="42" customFormat="false" ht="15" hidden="false" customHeight="false" outlineLevel="0" collapsed="false">
      <c r="A42" s="31"/>
      <c r="B42" s="32"/>
      <c r="C42" s="33"/>
      <c r="D42" s="31"/>
      <c r="E42" s="31"/>
      <c r="F42" s="32"/>
      <c r="G42" s="31"/>
      <c r="H42" s="35" t="str">
        <f aca="false">IFERROR(G42/E42,"")</f>
        <v/>
      </c>
      <c r="I42" s="32"/>
      <c r="J42" s="31"/>
      <c r="K42" s="36" t="str">
        <f aca="false">IFERROR(J42/E42,"")</f>
        <v/>
      </c>
      <c r="L42" s="37" t="str">
        <f aca="false">IF(J42="","",IF(J42&gt;=E42,"PASS","FAIL"))</f>
        <v/>
      </c>
      <c r="M42" s="33"/>
      <c r="N42" s="31"/>
      <c r="O42" s="31"/>
      <c r="P42" s="33"/>
      <c r="Q42" s="33"/>
    </row>
    <row r="43" customFormat="false" ht="15" hidden="false" customHeight="false" outlineLevel="0" collapsed="false">
      <c r="A43" s="31"/>
      <c r="B43" s="32"/>
      <c r="C43" s="33"/>
      <c r="D43" s="31"/>
      <c r="E43" s="31"/>
      <c r="F43" s="32"/>
      <c r="G43" s="31"/>
      <c r="H43" s="35" t="str">
        <f aca="false">IFERROR(G43/E43,"")</f>
        <v/>
      </c>
      <c r="I43" s="32"/>
      <c r="J43" s="31"/>
      <c r="K43" s="36" t="str">
        <f aca="false">IFERROR(J43/E43,"")</f>
        <v/>
      </c>
      <c r="L43" s="37" t="str">
        <f aca="false">IF(J43="","",IF(J43&gt;=E43,"PASS","FAIL"))</f>
        <v/>
      </c>
      <c r="M43" s="33"/>
      <c r="N43" s="31"/>
      <c r="O43" s="31"/>
      <c r="P43" s="33"/>
      <c r="Q43" s="33"/>
    </row>
    <row r="44" customFormat="false" ht="15" hidden="false" customHeight="false" outlineLevel="0" collapsed="false">
      <c r="A44" s="31"/>
      <c r="B44" s="32"/>
      <c r="C44" s="33"/>
      <c r="D44" s="31"/>
      <c r="E44" s="31"/>
      <c r="F44" s="32"/>
      <c r="G44" s="31"/>
      <c r="H44" s="35" t="str">
        <f aca="false">IFERROR(G44/E44,"")</f>
        <v/>
      </c>
      <c r="I44" s="32"/>
      <c r="J44" s="31"/>
      <c r="K44" s="36" t="str">
        <f aca="false">IFERROR(J44/E44,"")</f>
        <v/>
      </c>
      <c r="L44" s="37" t="str">
        <f aca="false">IF(J44="","",IF(J44&gt;=E44,"PASS","FAIL"))</f>
        <v/>
      </c>
      <c r="M44" s="33"/>
      <c r="N44" s="31"/>
      <c r="O44" s="31"/>
      <c r="P44" s="33"/>
      <c r="Q44" s="33"/>
    </row>
    <row r="45" customFormat="false" ht="15" hidden="false" customHeight="false" outlineLevel="0" collapsed="false">
      <c r="A45" s="31"/>
      <c r="B45" s="32"/>
      <c r="C45" s="33"/>
      <c r="D45" s="31"/>
      <c r="E45" s="31"/>
      <c r="F45" s="32"/>
      <c r="G45" s="31"/>
      <c r="H45" s="35" t="str">
        <f aca="false">IFERROR(G45/E45,"")</f>
        <v/>
      </c>
      <c r="I45" s="32"/>
      <c r="J45" s="31"/>
      <c r="K45" s="36" t="str">
        <f aca="false">IFERROR(J45/E45,"")</f>
        <v/>
      </c>
      <c r="L45" s="37" t="str">
        <f aca="false">IF(J45="","",IF(J45&gt;=E45,"PASS","FAIL"))</f>
        <v/>
      </c>
      <c r="M45" s="33"/>
      <c r="N45" s="31"/>
      <c r="O45" s="31"/>
      <c r="P45" s="33"/>
      <c r="Q45" s="33"/>
    </row>
    <row r="46" customFormat="false" ht="15" hidden="false" customHeight="false" outlineLevel="0" collapsed="false">
      <c r="A46" s="31"/>
      <c r="B46" s="32"/>
      <c r="C46" s="33"/>
      <c r="D46" s="31"/>
      <c r="E46" s="31"/>
      <c r="F46" s="32"/>
      <c r="G46" s="31"/>
      <c r="H46" s="35" t="str">
        <f aca="false">IFERROR(G46/E46,"")</f>
        <v/>
      </c>
      <c r="I46" s="32"/>
      <c r="J46" s="31"/>
      <c r="K46" s="36" t="str">
        <f aca="false">IFERROR(J46/E46,"")</f>
        <v/>
      </c>
      <c r="L46" s="37" t="str">
        <f aca="false">IF(J46="","",IF(J46&gt;=E46,"PASS","FAIL"))</f>
        <v/>
      </c>
      <c r="M46" s="33"/>
      <c r="N46" s="31"/>
      <c r="O46" s="31"/>
      <c r="P46" s="33"/>
      <c r="Q46" s="33"/>
    </row>
    <row r="47" customFormat="false" ht="15" hidden="false" customHeight="false" outlineLevel="0" collapsed="false">
      <c r="A47" s="31"/>
      <c r="B47" s="32"/>
      <c r="C47" s="33"/>
      <c r="D47" s="31"/>
      <c r="E47" s="31"/>
      <c r="F47" s="32"/>
      <c r="G47" s="31"/>
      <c r="H47" s="35" t="str">
        <f aca="false">IFERROR(G47/E47,"")</f>
        <v/>
      </c>
      <c r="I47" s="32"/>
      <c r="J47" s="31"/>
      <c r="K47" s="36" t="str">
        <f aca="false">IFERROR(J47/E47,"")</f>
        <v/>
      </c>
      <c r="L47" s="37" t="str">
        <f aca="false">IF(J47="","",IF(J47&gt;=E47,"PASS","FAIL"))</f>
        <v/>
      </c>
      <c r="M47" s="33"/>
      <c r="N47" s="31"/>
      <c r="O47" s="31"/>
      <c r="P47" s="33"/>
      <c r="Q47" s="33"/>
    </row>
    <row r="48" customFormat="false" ht="15" hidden="false" customHeight="false" outlineLevel="0" collapsed="false">
      <c r="A48" s="31"/>
      <c r="B48" s="32"/>
      <c r="C48" s="33"/>
      <c r="D48" s="31"/>
      <c r="E48" s="31"/>
      <c r="F48" s="32"/>
      <c r="G48" s="31"/>
      <c r="H48" s="35" t="str">
        <f aca="false">IFERROR(G48/E48,"")</f>
        <v/>
      </c>
      <c r="I48" s="32"/>
      <c r="J48" s="31"/>
      <c r="K48" s="36" t="str">
        <f aca="false">IFERROR(J48/E48,"")</f>
        <v/>
      </c>
      <c r="L48" s="37" t="str">
        <f aca="false">IF(J48="","",IF(J48&gt;=E48,"PASS","FAIL"))</f>
        <v/>
      </c>
      <c r="M48" s="33"/>
      <c r="N48" s="31"/>
      <c r="O48" s="31"/>
      <c r="P48" s="33"/>
      <c r="Q48" s="33"/>
    </row>
    <row r="49" customFormat="false" ht="15" hidden="false" customHeight="false" outlineLevel="0" collapsed="false">
      <c r="A49" s="31"/>
      <c r="B49" s="32"/>
      <c r="C49" s="33"/>
      <c r="D49" s="31"/>
      <c r="E49" s="31"/>
      <c r="F49" s="32"/>
      <c r="G49" s="31"/>
      <c r="H49" s="35" t="str">
        <f aca="false">IFERROR(G49/E49,"")</f>
        <v/>
      </c>
      <c r="I49" s="32"/>
      <c r="J49" s="31"/>
      <c r="K49" s="36" t="str">
        <f aca="false">IFERROR(J49/E49,"")</f>
        <v/>
      </c>
      <c r="L49" s="37" t="str">
        <f aca="false">IF(J49="","",IF(J49&gt;=E49,"PASS","FAIL"))</f>
        <v/>
      </c>
      <c r="M49" s="33"/>
      <c r="N49" s="31"/>
      <c r="O49" s="31"/>
      <c r="P49" s="33"/>
      <c r="Q49" s="33"/>
    </row>
    <row r="50" customFormat="false" ht="15" hidden="false" customHeight="false" outlineLevel="0" collapsed="false">
      <c r="A50" s="31"/>
      <c r="B50" s="32"/>
      <c r="C50" s="33"/>
      <c r="D50" s="31"/>
      <c r="E50" s="31"/>
      <c r="F50" s="32"/>
      <c r="G50" s="31"/>
      <c r="H50" s="35" t="str">
        <f aca="false">IFERROR(G50/E50,"")</f>
        <v/>
      </c>
      <c r="I50" s="32"/>
      <c r="J50" s="31"/>
      <c r="K50" s="36" t="str">
        <f aca="false">IFERROR(J50/E50,"")</f>
        <v/>
      </c>
      <c r="L50" s="37" t="str">
        <f aca="false">IF(J50="","",IF(J50&gt;=E50,"PASS","FAIL"))</f>
        <v/>
      </c>
      <c r="M50" s="33"/>
      <c r="N50" s="31"/>
      <c r="O50" s="31"/>
      <c r="P50" s="33"/>
      <c r="Q50" s="33"/>
    </row>
    <row r="51" customFormat="false" ht="15" hidden="false" customHeight="false" outlineLevel="0" collapsed="false">
      <c r="A51" s="31"/>
      <c r="B51" s="32"/>
      <c r="C51" s="33"/>
      <c r="D51" s="31"/>
      <c r="E51" s="31"/>
      <c r="F51" s="32"/>
      <c r="G51" s="31"/>
      <c r="H51" s="35" t="str">
        <f aca="false">IFERROR(G51/E51,"")</f>
        <v/>
      </c>
      <c r="I51" s="32"/>
      <c r="J51" s="31"/>
      <c r="K51" s="36" t="str">
        <f aca="false">IFERROR(J51/E51,"")</f>
        <v/>
      </c>
      <c r="L51" s="37" t="str">
        <f aca="false">IF(J51="","",IF(J51&gt;=E51,"PASS","FAIL"))</f>
        <v/>
      </c>
      <c r="M51" s="33"/>
      <c r="N51" s="31"/>
      <c r="O51" s="31"/>
      <c r="P51" s="33"/>
      <c r="Q51" s="33"/>
    </row>
    <row r="52" customFormat="false" ht="15" hidden="false" customHeight="false" outlineLevel="0" collapsed="false">
      <c r="A52" s="31"/>
      <c r="B52" s="32"/>
      <c r="C52" s="33"/>
      <c r="D52" s="31"/>
      <c r="E52" s="31"/>
      <c r="F52" s="32"/>
      <c r="G52" s="31"/>
      <c r="H52" s="35" t="str">
        <f aca="false">IFERROR(G52/E52,"")</f>
        <v/>
      </c>
      <c r="I52" s="32"/>
      <c r="J52" s="31"/>
      <c r="K52" s="36" t="str">
        <f aca="false">IFERROR(J52/E52,"")</f>
        <v/>
      </c>
      <c r="L52" s="37" t="str">
        <f aca="false">IF(J52="","",IF(J52&gt;=E52,"PASS","FAIL"))</f>
        <v/>
      </c>
      <c r="M52" s="33"/>
      <c r="N52" s="31"/>
      <c r="O52" s="31"/>
      <c r="P52" s="33"/>
      <c r="Q52" s="33"/>
    </row>
    <row r="53" customFormat="false" ht="15" hidden="false" customHeight="false" outlineLevel="0" collapsed="false">
      <c r="A53" s="31"/>
      <c r="B53" s="32"/>
      <c r="C53" s="33"/>
      <c r="D53" s="31"/>
      <c r="E53" s="31"/>
      <c r="F53" s="32"/>
      <c r="G53" s="31"/>
      <c r="H53" s="35" t="str">
        <f aca="false">IFERROR(G53/E53,"")</f>
        <v/>
      </c>
      <c r="I53" s="32"/>
      <c r="J53" s="31"/>
      <c r="K53" s="36" t="str">
        <f aca="false">IFERROR(J53/E53,"")</f>
        <v/>
      </c>
      <c r="L53" s="37" t="str">
        <f aca="false">IF(J53="","",IF(J53&gt;=E53,"PASS","FAIL"))</f>
        <v/>
      </c>
      <c r="M53" s="33"/>
      <c r="N53" s="31"/>
      <c r="O53" s="31"/>
      <c r="P53" s="33"/>
      <c r="Q53" s="33"/>
    </row>
    <row r="54" customFormat="false" ht="15" hidden="false" customHeight="false" outlineLevel="0" collapsed="false">
      <c r="A54" s="31"/>
      <c r="B54" s="32"/>
      <c r="C54" s="33"/>
      <c r="D54" s="31"/>
      <c r="E54" s="31"/>
      <c r="F54" s="32"/>
      <c r="G54" s="31"/>
      <c r="H54" s="35" t="str">
        <f aca="false">IFERROR(G54/E54,"")</f>
        <v/>
      </c>
      <c r="I54" s="32"/>
      <c r="J54" s="31"/>
      <c r="K54" s="36" t="str">
        <f aca="false">IFERROR(J54/E54,"")</f>
        <v/>
      </c>
      <c r="L54" s="37" t="str">
        <f aca="false">IF(J54="","",IF(J54&gt;=E54,"PASS","FAIL"))</f>
        <v/>
      </c>
      <c r="M54" s="33"/>
      <c r="N54" s="31"/>
      <c r="O54" s="31"/>
      <c r="P54" s="33"/>
      <c r="Q54" s="33"/>
    </row>
    <row r="55" customFormat="false" ht="15" hidden="false" customHeight="false" outlineLevel="0" collapsed="false">
      <c r="A55" s="31"/>
      <c r="B55" s="32"/>
      <c r="C55" s="33"/>
      <c r="D55" s="31"/>
      <c r="E55" s="31"/>
      <c r="F55" s="32"/>
      <c r="G55" s="31"/>
      <c r="H55" s="35" t="str">
        <f aca="false">IFERROR(G55/E55,"")</f>
        <v/>
      </c>
      <c r="I55" s="32"/>
      <c r="J55" s="31"/>
      <c r="K55" s="36" t="str">
        <f aca="false">IFERROR(J55/E55,"")</f>
        <v/>
      </c>
      <c r="L55" s="37" t="str">
        <f aca="false">IF(J55="","",IF(J55&gt;=E55,"PASS","FAIL"))</f>
        <v/>
      </c>
      <c r="M55" s="33"/>
      <c r="N55" s="31"/>
      <c r="O55" s="31"/>
      <c r="P55" s="33"/>
      <c r="Q55" s="33"/>
    </row>
    <row r="56" customFormat="false" ht="15" hidden="false" customHeight="false" outlineLevel="0" collapsed="false">
      <c r="A56" s="31"/>
      <c r="B56" s="32"/>
      <c r="C56" s="33"/>
      <c r="D56" s="31"/>
      <c r="E56" s="31"/>
      <c r="F56" s="32"/>
      <c r="G56" s="31"/>
      <c r="H56" s="35" t="str">
        <f aca="false">IFERROR(G56/E56,"")</f>
        <v/>
      </c>
      <c r="I56" s="32"/>
      <c r="J56" s="31"/>
      <c r="K56" s="36" t="str">
        <f aca="false">IFERROR(J56/E56,"")</f>
        <v/>
      </c>
      <c r="L56" s="37" t="str">
        <f aca="false">IF(J56="","",IF(J56&gt;=E56,"PASS","FAIL"))</f>
        <v/>
      </c>
      <c r="M56" s="33"/>
      <c r="N56" s="31"/>
      <c r="O56" s="31"/>
      <c r="P56" s="33"/>
      <c r="Q56" s="33"/>
    </row>
    <row r="57" customFormat="false" ht="15" hidden="false" customHeight="false" outlineLevel="0" collapsed="false">
      <c r="A57" s="31"/>
      <c r="B57" s="32"/>
      <c r="C57" s="33"/>
      <c r="D57" s="31"/>
      <c r="E57" s="31"/>
      <c r="F57" s="32"/>
      <c r="G57" s="31"/>
      <c r="H57" s="35" t="str">
        <f aca="false">IFERROR(G57/E57,"")</f>
        <v/>
      </c>
      <c r="I57" s="32"/>
      <c r="J57" s="31"/>
      <c r="K57" s="36" t="str">
        <f aca="false">IFERROR(J57/E57,"")</f>
        <v/>
      </c>
      <c r="L57" s="37" t="str">
        <f aca="false">IF(J57="","",IF(J57&gt;=E57,"PASS","FAIL"))</f>
        <v/>
      </c>
      <c r="M57" s="33"/>
      <c r="N57" s="31"/>
      <c r="O57" s="31"/>
      <c r="P57" s="33"/>
      <c r="Q57" s="33"/>
    </row>
    <row r="58" customFormat="false" ht="15" hidden="false" customHeight="false" outlineLevel="0" collapsed="false">
      <c r="A58" s="31"/>
      <c r="B58" s="32"/>
      <c r="C58" s="33"/>
      <c r="D58" s="31"/>
      <c r="E58" s="31"/>
      <c r="F58" s="32"/>
      <c r="G58" s="31"/>
      <c r="H58" s="35" t="str">
        <f aca="false">IFERROR(G58/E58,"")</f>
        <v/>
      </c>
      <c r="I58" s="32"/>
      <c r="J58" s="31"/>
      <c r="K58" s="36" t="str">
        <f aca="false">IFERROR(J58/E58,"")</f>
        <v/>
      </c>
      <c r="L58" s="37" t="str">
        <f aca="false">IF(J58="","",IF(J58&gt;=E58,"PASS","FAIL"))</f>
        <v/>
      </c>
      <c r="M58" s="33"/>
      <c r="N58" s="31"/>
      <c r="O58" s="31"/>
      <c r="P58" s="33"/>
      <c r="Q58" s="33"/>
    </row>
    <row r="59" customFormat="false" ht="15" hidden="false" customHeight="false" outlineLevel="0" collapsed="false">
      <c r="A59" s="31"/>
      <c r="B59" s="32"/>
      <c r="C59" s="33"/>
      <c r="D59" s="31"/>
      <c r="E59" s="31"/>
      <c r="F59" s="32"/>
      <c r="G59" s="31"/>
      <c r="H59" s="35" t="str">
        <f aca="false">IFERROR(G59/E59,"")</f>
        <v/>
      </c>
      <c r="I59" s="32"/>
      <c r="J59" s="31"/>
      <c r="K59" s="36" t="str">
        <f aca="false">IFERROR(J59/E59,"")</f>
        <v/>
      </c>
      <c r="L59" s="37" t="str">
        <f aca="false">IF(J59="","",IF(J59&gt;=E59,"PASS","FAIL"))</f>
        <v/>
      </c>
      <c r="M59" s="33"/>
      <c r="N59" s="31"/>
      <c r="O59" s="31"/>
      <c r="P59" s="33"/>
      <c r="Q59" s="33"/>
    </row>
    <row r="60" customFormat="false" ht="15" hidden="false" customHeight="false" outlineLevel="0" collapsed="false">
      <c r="A60" s="31"/>
      <c r="B60" s="32"/>
      <c r="C60" s="33"/>
      <c r="D60" s="31"/>
      <c r="E60" s="31"/>
      <c r="F60" s="32"/>
      <c r="G60" s="31"/>
      <c r="H60" s="35" t="str">
        <f aca="false">IFERROR(G60/E60,"")</f>
        <v/>
      </c>
      <c r="I60" s="32"/>
      <c r="J60" s="31"/>
      <c r="K60" s="36" t="str">
        <f aca="false">IFERROR(J60/E60,"")</f>
        <v/>
      </c>
      <c r="L60" s="37" t="str">
        <f aca="false">IF(J60="","",IF(J60&gt;=E60,"PASS","FAIL"))</f>
        <v/>
      </c>
      <c r="M60" s="33"/>
      <c r="N60" s="31"/>
      <c r="O60" s="31"/>
      <c r="P60" s="33"/>
      <c r="Q60" s="33"/>
    </row>
  </sheetData>
  <autoFilter ref="A9:Q60"/>
  <mergeCells count="2">
    <mergeCell ref="A1:M1"/>
    <mergeCell ref="N8:Q8"/>
  </mergeCells>
  <conditionalFormatting sqref="I5">
    <cfRule type="expression" priority="2" aboveAverage="0" equalAverage="0" bottom="0" percent="0" rank="0" text="" dxfId="9">
      <formula>I4&gt;=0.95</formula>
    </cfRule>
    <cfRule type="expression" priority="3" aboveAverage="0" equalAverage="0" bottom="0" percent="0" rank="0" text="" dxfId="10">
      <formula>AND(I4&gt;=0.85,I4&lt;0.95)</formula>
    </cfRule>
    <cfRule type="expression" priority="4" aboveAverage="0" equalAverage="0" bottom="0" percent="0" rank="0" text="" dxfId="11">
      <formula>I4&lt;0.85</formula>
    </cfRule>
  </conditionalFormatting>
  <conditionalFormatting sqref="L10:L60">
    <cfRule type="cellIs" priority="5" operator="equal" aboveAverage="0" equalAverage="0" bottom="0" percent="0" rank="0" text="" dxfId="12">
      <formula>"PASS"</formula>
    </cfRule>
    <cfRule type="cellIs" priority="6" operator="equal" aboveAverage="0" equalAverage="0" bottom="0" percent="0" rank="0" text="" dxfId="13">
      <formula>"FAIL"</formula>
    </cfRule>
  </conditionalFormatting>
  <conditionalFormatting sqref="H10:H60">
    <cfRule type="expression" priority="7" aboveAverage="0" equalAverage="0" bottom="0" percent="0" rank="0" text="" dxfId="14">
      <formula>AND(H10&lt;&gt;"",H10&lt;0.65)</formula>
    </cfRule>
    <cfRule type="expression" priority="8" aboveAverage="0" equalAverage="0" bottom="0" percent="0" rank="0" text="" dxfId="15">
      <formula>AND(H10&lt;&gt;"",H10&gt;=0.65)</formula>
    </cfRule>
  </conditionalFormatting>
  <conditionalFormatting sqref="K10:K60">
    <cfRule type="expression" priority="9" aboveAverage="0" equalAverage="0" bottom="0" percent="0" rank="0" text="" dxfId="12">
      <formula>AND(K10&lt;&gt;"",K10&gt;=1)</formula>
    </cfRule>
    <cfRule type="expression" priority="10" aboveAverage="0" equalAverage="0" bottom="0" percent="0" rank="0" text="" dxfId="13">
      <formula>AND(K10&lt;&gt;"",K10&lt;1)</formula>
    </cfRule>
  </conditionalFormatting>
  <dataValidations count="2">
    <dataValidation allowBlank="true" errorStyle="stop" operator="between" prompt="Select mix grade" promptTitle="Mix Grade" showDropDown="false" showErrorMessage="false" showInputMessage="false" sqref="D10:D60" type="list">
      <formula1>"C20/25,C25/30,C28/35,C30/37,C32/40,C35/45,C40/50,C50/60"</formula1>
      <formula2>0</formula2>
    </dataValidation>
    <dataValidation allowBlank="true" errorStyle="stop" operator="between" showDropDown="false" showErrorMessage="false" showInputMessage="false" sqref="P10:P60" type="list">
      <formula1>"Standard (Water Tank),Site Cured,Insulated Mould,Other"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&amp;CConcrete Cube Test Results Log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38" t="s">
        <v>81</v>
      </c>
    </row>
    <row r="2" customFormat="false" ht="15" hidden="false" customHeight="false" outlineLevel="0" collapsed="false">
      <c r="A2" s="38"/>
    </row>
    <row r="3" customFormat="false" ht="15" hidden="false" customHeight="false" outlineLevel="0" collapsed="false">
      <c r="A3" s="38" t="s">
        <v>82</v>
      </c>
    </row>
    <row r="4" customFormat="false" ht="15" hidden="false" customHeight="false" outlineLevel="0" collapsed="false">
      <c r="A4" s="38"/>
    </row>
    <row r="5" customFormat="false" ht="15" hidden="false" customHeight="false" outlineLevel="0" collapsed="false">
      <c r="A5" s="38" t="s">
        <v>83</v>
      </c>
    </row>
    <row r="6" customFormat="false" ht="15" hidden="false" customHeight="false" outlineLevel="0" collapsed="false">
      <c r="A6" s="38"/>
    </row>
    <row r="7" customFormat="false" ht="15" hidden="false" customHeight="false" outlineLevel="0" collapsed="false">
      <c r="A7" s="38" t="s">
        <v>84</v>
      </c>
    </row>
    <row r="8" customFormat="false" ht="15" hidden="false" customHeight="false" outlineLevel="0" collapsed="false">
      <c r="A8" s="38"/>
    </row>
    <row r="9" customFormat="false" ht="15" hidden="false" customHeight="false" outlineLevel="0" collapsed="false">
      <c r="A9" s="38" t="s">
        <v>85</v>
      </c>
    </row>
    <row r="10" customFormat="false" ht="15" hidden="false" customHeight="false" outlineLevel="0" collapsed="false">
      <c r="A10" s="38"/>
    </row>
    <row r="11" customFormat="false" ht="15" hidden="false" customHeight="false" outlineLevel="0" collapsed="false">
      <c r="A11" s="38" t="s">
        <v>86</v>
      </c>
    </row>
    <row r="12" customFormat="false" ht="15" hidden="false" customHeight="false" outlineLevel="0" collapsed="false">
      <c r="A12" s="38"/>
    </row>
    <row r="13" customFormat="false" ht="15" hidden="false" customHeight="false" outlineLevel="0" collapsed="false">
      <c r="A13" s="38" t="s">
        <v>87</v>
      </c>
    </row>
    <row r="14" customFormat="false" ht="15" hidden="false" customHeight="false" outlineLevel="0" collapsed="false">
      <c r="A14" s="38"/>
    </row>
    <row r="15" customFormat="false" ht="15" hidden="false" customHeight="false" outlineLevel="0" collapsed="false">
      <c r="A15" s="38" t="s">
        <v>88</v>
      </c>
    </row>
    <row r="16" customFormat="false" ht="15" hidden="false" customHeight="false" outlineLevel="0" collapsed="false">
      <c r="A16" s="38"/>
    </row>
    <row r="17" customFormat="false" ht="15" hidden="false" customHeight="false" outlineLevel="0" collapsed="false">
      <c r="A17" s="38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Quality</cp:category>
  <dcterms:created xsi:type="dcterms:W3CDTF">2026-03-23T09:53:48Z</dcterms:created>
  <dc:creator>Ebrora Ltd</dc:creator>
  <dc:description>Track concrete cube compressive strength test results against specified design strengths with automatic pass/fail assessment and compliance summary.
Free professional construction management template from Ebrora Ltd. Visit ebrora.com for our full range of tools and templates.</dc:description>
  <cp:keywords>Ebrora construction quality concrete cube test compressive strength BS EN 12390 testing</cp:keywords>
  <dc:language>en-US</dc:language>
  <cp:lastModifiedBy>Ebrora Ltd</cp:lastModifiedBy>
  <dcterms:modified xsi:type="dcterms:W3CDTF">2026-03-23T09:53:48Z</dcterms:modified>
  <cp:revision>0</cp:revision>
  <dc:subject>Track concrete cube compressive strength test results against specified design strengths with automatic pass/fail and compliance summary.</dc:subject>
  <dc:title>Concrete Cube Test Results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