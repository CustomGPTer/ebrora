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ashflow" sheetId="3" state="visible" r:id="rId5"/>
    <sheet name="Terms of Use" sheetId="4" state="hidden" r:id="rId6"/>
  </sheets>
  <definedNames>
    <definedName function="false" hidden="false" localSheetId="2" name="_xlnm.Print_Area" vbProcedure="false">Cashflow!$A$1:$N$18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<sst xmlns="http://schemas.openxmlformats.org/spreadsheetml/2006/main" count="80" uniqueCount="80">
  <si>
    <t xml:space="preserve">EBRORA</t>
  </si>
  <si>
    <t xml:space="preserve">ebrora.com</t>
  </si>
  <si>
    <t xml:space="preserve">Cashflow Forecast</t>
  </si>
  <si>
    <t xml:space="preserve">vs Actual</t>
  </si>
  <si>
    <t xml:space="preserve">Monthly S-curve cashflow tracking with planned, actual, and forecast spend</t>
  </si>
  <si>
    <t xml:space="preserve">including cumulative totals and variance analysis.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</si>
  <si>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</si>
  <si>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</si>
  <si>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</si>
  <si>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</si>
  <si>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</si>
  <si>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</si>
  <si>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'Cashflow' sheet. The top section is a financial summary; the data grid below tracks monthly spend.</t>
  </si>
  <si>
    <t xml:space="preserve">2.</t>
  </si>
  <si>
    <t xml:space="preserve">Enter the Contract Value in cell C3 (light teal = input cell).</t>
  </si>
  <si>
    <t xml:space="preserve">3.</t>
  </si>
  <si>
    <t xml:space="preserve">The grid has 6 rows of data across 12 monthly columns: Planned Spend, Actual Spend, Forecast Spend, then cumulative versions of each.</t>
  </si>
  <si>
    <t xml:space="preserve">4.</t>
  </si>
  <si>
    <t xml:space="preserve">Enter Planned Monthly Spend values from your baseline programme/cost plan.</t>
  </si>
  <si>
    <t xml:space="preserve">5.</t>
  </si>
  <si>
    <t xml:space="preserve">Enter Actual Monthly Spend as each month is certified/paid.</t>
  </si>
  <si>
    <t xml:space="preserve">6.</t>
  </si>
  <si>
    <t xml:space="preserve">Enter Forecast Monthly Spend for future months (your best estimate of what's still to come).</t>
  </si>
  <si>
    <t xml:space="preserve">7.</t>
  </si>
  <si>
    <t xml:space="preserve">Cumulative rows auto-calculate as running totals — these form your S-curve data.</t>
  </si>
  <si>
    <t xml:space="preserve">8.</t>
  </si>
  <si>
    <t xml:space="preserve">The Variance section at the bottom shows monthly and cumulative differences between Planned and Actual.</t>
  </si>
  <si>
    <t xml:space="preserve">9.</t>
  </si>
  <si>
    <t xml:space="preserve">The financial summary auto-updates with total spend, remaining budget, and % spent.</t>
  </si>
  <si>
    <t xml:space="preserve">Colour Key</t>
  </si>
  <si>
    <t xml:space="preserve">Light teal cells (#E8F6F7) = User input / editable fields</t>
  </si>
  <si>
    <t xml:space="preserve">Dark navy headers = Do not edit</t>
  </si>
  <si>
    <t xml:space="preserve">White cells = Auto-calculated formulas</t>
  </si>
  <si>
    <t xml:space="preserve">Green variance = Under-spend (actual &lt; planned)</t>
  </si>
  <si>
    <t xml:space="preserve">Red variance = Over-spend (actual &gt; planned)</t>
  </si>
  <si>
    <t xml:space="preserve">Tips</t>
  </si>
  <si>
    <t xml:space="preserve">Tip 1:</t>
  </si>
  <si>
    <t xml:space="preserve">Update actual spend monthly, on the same day as your valuation. Consistency makes trends visible.</t>
  </si>
  <si>
    <t xml:space="preserve">Tip 2:</t>
  </si>
  <si>
    <t xml:space="preserve">Use the cumulative rows to plot an S-curve chart in Excel — select Cum. Planned, Cum. Actual, and Cum. Forecast and insert a line chart.</t>
  </si>
  <si>
    <t xml:space="preserve">Tip 3:</t>
  </si>
  <si>
    <t xml:space="preserve">The monthly variance row is your early warning system. Two consecutive red months means the cost plan needs re-baselining.</t>
  </si>
  <si>
    <t xml:space="preserve">Cashflow Forecast vs Actual</t>
  </si>
  <si>
    <t xml:space="preserve">Contract Value:</t>
  </si>
  <si>
    <t xml:space="preserve">Total Planned:</t>
  </si>
  <si>
    <t xml:space="preserve">Total Actual to Date:</t>
  </si>
  <si>
    <t xml:space="preserve">Remaining Budget:</t>
  </si>
  <si>
    <t xml:space="preserve">% Spent:</t>
  </si>
  <si>
    <t xml:space="preserve">Variance (Plan vs Actual):</t>
  </si>
  <si>
    <t xml:space="preserve">▼ Monthly Cashflow Data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</si>
  <si>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</si>
  <si>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</si>
  <si>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</si>
  <si>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</si>
  <si>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</si>
  <si>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</si>
  <si>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</si>
  <si>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</si>
  <si>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</si>
  <si>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</si>
  <si>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</si>
  <si>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</si>
  <si>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Total</t>
  </si>
  <si>
    <t xml:space="preserve">Planned Monthly Spend</t>
  </si>
  <si>
    <t xml:space="preserve">Actual Monthly Spend</t>
  </si>
  <si>
    <t xml:space="preserve">Forecast Monthly Spend</t>
  </si>
  <si>
    <t xml:space="preserve">Cumulative Planned</t>
  </si>
  <si>
    <t xml:space="preserve">Cumulative Actual</t>
  </si>
  <si>
    <t xml:space="preserve">Cumulative Forecast</t>
  </si>
  <si>
    <t xml:space="preserve">Monthly Variance (Plan - Actual)</t>
  </si>
  <si>
    <t xml:space="preserve">Cumulative Variance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</si>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</sst>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"/>
    <numFmt numFmtId="166" formatCode="\£#,##0;[RED]&quot;(£&quot;#,##0\);\-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1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 t="s">
        <v>23</v>
      </c>
      <c r="B11" s="12" t="s">
        <v>24</v>
      </c>
    </row>
    <row r="12" customFormat="false" ht="15" hidden="false" customHeight="false" outlineLevel="0" collapsed="false">
      <c r="A12" s="11" t="s">
        <v>25</v>
      </c>
      <c r="B12" s="12" t="s">
        <v>26</v>
      </c>
    </row>
    <row r="13" customFormat="false" ht="15" hidden="false" customHeight="false" outlineLevel="0" collapsed="false">
      <c r="A13" s="11" t="s">
        <v>27</v>
      </c>
      <c r="B13" s="12" t="s">
        <v>28</v>
      </c>
    </row>
    <row r="14" customFormat="false" ht="15" hidden="false" customHeight="false" outlineLevel="0" collapsed="false">
      <c r="A14" s="11"/>
      <c r="B14" s="12"/>
    </row>
    <row r="15" customFormat="false" ht="15" hidden="false" customHeight="false" outlineLevel="0" collapsed="false">
      <c r="A15" s="13" t="s">
        <v>29</v>
      </c>
      <c r="B15" s="12"/>
    </row>
    <row r="16" customFormat="false" ht="15" hidden="false" customHeight="false" outlineLevel="0" collapsed="false">
      <c r="A16" s="11"/>
      <c r="B16" s="12" t="s">
        <v>30</v>
      </c>
    </row>
    <row r="17" customFormat="false" ht="15" hidden="false" customHeight="false" outlineLevel="0" collapsed="false">
      <c r="A17" s="11"/>
      <c r="B17" s="12" t="s">
        <v>31</v>
      </c>
    </row>
    <row r="18" customFormat="false" ht="15" hidden="false" customHeight="false" outlineLevel="0" collapsed="false">
      <c r="A18" s="11"/>
      <c r="B18" s="12" t="s">
        <v>32</v>
      </c>
    </row>
    <row r="19" customFormat="false" ht="15" hidden="false" customHeight="false" outlineLevel="0" collapsed="false">
      <c r="A19" s="11"/>
      <c r="B19" s="12" t="s">
        <v>33</v>
      </c>
    </row>
    <row r="20" customFormat="false" ht="15" hidden="false" customHeight="false" outlineLevel="0" collapsed="false">
      <c r="A20" s="11"/>
      <c r="B20" s="12" t="s">
        <v>34</v>
      </c>
    </row>
    <row r="21" customFormat="false" ht="15" hidden="false" customHeight="false" outlineLevel="0" collapsed="false">
      <c r="A21" s="11"/>
      <c r="B21" s="12"/>
    </row>
    <row r="22" customFormat="false" ht="15" hidden="false" customHeight="false" outlineLevel="0" collapsed="false">
      <c r="A22" s="13" t="s">
        <v>35</v>
      </c>
      <c r="B22" s="12"/>
    </row>
    <row r="23" customFormat="false" ht="15" hidden="false" customHeight="false" outlineLevel="0" collapsed="false">
      <c r="A23" s="14" t="s">
        <v>36</v>
      </c>
      <c r="B23" s="12" t="s">
        <v>37</v>
      </c>
    </row>
    <row r="24" customFormat="false" ht="23.85" hidden="false" customHeight="false" outlineLevel="0" collapsed="false">
      <c r="A24" s="14" t="s">
        <v>38</v>
      </c>
      <c r="B24" s="12" t="s">
        <v>39</v>
      </c>
    </row>
    <row r="25" customFormat="false" ht="23.85" hidden="false" customHeight="false" outlineLevel="0" collapsed="false">
      <c r="A25" s="14" t="s">
        <v>40</v>
      </c>
      <c r="B25" s="12" t="s">
        <v>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4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5" t="s">
        <v>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false" outlineLevel="0" collapsed="false">
      <c r="A3" s="16" t="s">
        <v>43</v>
      </c>
      <c r="B3" s="17" t="n">
        <v>2850000</v>
      </c>
      <c r="D3" s="18" t="s">
        <v>44</v>
      </c>
      <c r="E3" s="19" t="n">
        <f aca="false">N9</f>
        <v>2700000</v>
      </c>
      <c r="G3" s="18" t="s">
        <v>45</v>
      </c>
      <c r="H3" s="19" t="n">
        <f aca="false">N10</f>
        <v>913000</v>
      </c>
    </row>
    <row r="4" customFormat="false" ht="15" hidden="false" customHeight="false" outlineLevel="0" collapsed="false">
      <c r="A4" s="18" t="s">
        <v>46</v>
      </c>
      <c r="B4" s="20" t="n">
        <f aca="false">B3-H3</f>
        <v>1937000</v>
      </c>
      <c r="D4" s="18" t="s">
        <v>47</v>
      </c>
      <c r="E4" s="21" t="n">
        <f aca="false">IF(B3=0,"—",H3/B3)</f>
        <v>0.320350877192982</v>
      </c>
      <c r="G4" s="18" t="s">
        <v>48</v>
      </c>
      <c r="H4" s="20" t="n">
        <f aca="false">E3-H3</f>
        <v>1787000</v>
      </c>
    </row>
    <row r="7" customFormat="false" ht="15" hidden="false" customHeight="false" outlineLevel="0" collapsed="false">
      <c r="A7" s="22" t="s">
        <v>49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15" hidden="false" customHeight="false" outlineLevel="0" collapsed="false">
      <c r="A8" s="23"/>
      <c r="B8" s="24" t="s">
        <v>50</v>
      </c>
      <c r="C8" s="24" t="s">
        <v>51</v>
      </c>
      <c r="D8" s="24" t="s">
        <v>52</v>
      </c>
      <c r="E8" s="24" t="s">
        <v>53</v>
      </c>
      <c r="F8" s="24" t="s">
        <v>54</v>
      </c>
      <c r="G8" s="24" t="s">
        <v>55</v>
      </c>
      <c r="H8" s="24" t="s">
        <v>56</v>
      </c>
      <c r="I8" s="24" t="s">
        <v>57</v>
      </c>
      <c r="J8" s="24" t="s">
        <v>58</v>
      </c>
      <c r="K8" s="24" t="s">
        <v>59</v>
      </c>
      <c r="L8" s="24" t="s">
        <v>60</v>
      </c>
      <c r="M8" s="24" t="s">
        <v>61</v>
      </c>
      <c r="N8" s="24" t="s">
        <v>62</v>
      </c>
    </row>
    <row r="9" customFormat="false" ht="15" hidden="false" customHeight="false" outlineLevel="0" collapsed="false">
      <c r="A9" s="25" t="s">
        <v>63</v>
      </c>
      <c r="B9" s="26" t="n">
        <v>120000</v>
      </c>
      <c r="C9" s="26" t="n">
        <v>180000</v>
      </c>
      <c r="D9" s="26" t="n">
        <v>250000</v>
      </c>
      <c r="E9" s="26" t="n">
        <v>320000</v>
      </c>
      <c r="F9" s="26" t="n">
        <v>350000</v>
      </c>
      <c r="G9" s="26" t="n">
        <v>310000</v>
      </c>
      <c r="H9" s="26" t="n">
        <v>280000</v>
      </c>
      <c r="I9" s="26" t="n">
        <v>240000</v>
      </c>
      <c r="J9" s="26" t="n">
        <v>200000</v>
      </c>
      <c r="K9" s="26" t="n">
        <v>180000</v>
      </c>
      <c r="L9" s="26" t="n">
        <v>150000</v>
      </c>
      <c r="M9" s="26" t="n">
        <v>120000</v>
      </c>
      <c r="N9" s="27" t="n">
        <f aca="false">SUM(B9:M9)</f>
        <v>2700000</v>
      </c>
    </row>
    <row r="10" customFormat="false" ht="15" hidden="false" customHeight="false" outlineLevel="0" collapsed="false">
      <c r="A10" s="25" t="s">
        <v>64</v>
      </c>
      <c r="B10" s="26" t="n">
        <v>115000</v>
      </c>
      <c r="C10" s="26" t="n">
        <v>195000</v>
      </c>
      <c r="D10" s="26" t="n">
        <v>268000</v>
      </c>
      <c r="E10" s="26" t="n">
        <v>335000</v>
      </c>
      <c r="F10" s="26"/>
      <c r="G10" s="26"/>
      <c r="H10" s="26"/>
      <c r="I10" s="26"/>
      <c r="J10" s="26"/>
      <c r="K10" s="26"/>
      <c r="L10" s="26"/>
      <c r="M10" s="26"/>
      <c r="N10" s="27" t="n">
        <f aca="false">SUM(B10:M10)</f>
        <v>913000</v>
      </c>
    </row>
    <row r="11" customFormat="false" ht="15" hidden="false" customHeight="false" outlineLevel="0" collapsed="false">
      <c r="A11" s="25" t="s">
        <v>65</v>
      </c>
      <c r="B11" s="26" t="n">
        <v>115000</v>
      </c>
      <c r="C11" s="26" t="n">
        <v>195000</v>
      </c>
      <c r="D11" s="26" t="n">
        <v>268000</v>
      </c>
      <c r="E11" s="26" t="n">
        <v>335000</v>
      </c>
      <c r="F11" s="26" t="n">
        <v>360000</v>
      </c>
      <c r="G11" s="26" t="n">
        <v>325000</v>
      </c>
      <c r="H11" s="26" t="n">
        <v>290000</v>
      </c>
      <c r="I11" s="26" t="n">
        <v>245000</v>
      </c>
      <c r="J11" s="26" t="n">
        <v>210000</v>
      </c>
      <c r="K11" s="26" t="n">
        <v>185000</v>
      </c>
      <c r="L11" s="26" t="n">
        <v>155000</v>
      </c>
      <c r="M11" s="26" t="n">
        <v>125000</v>
      </c>
      <c r="N11" s="27" t="n">
        <f aca="false">SUM(B11:M11)</f>
        <v>2808000</v>
      </c>
    </row>
    <row r="12" customFormat="false" ht="15" hidden="false" customHeight="false" outlineLevel="0" collapsed="false">
      <c r="A12" s="28"/>
    </row>
    <row r="13" customFormat="false" ht="15" hidden="false" customHeight="false" outlineLevel="0" collapsed="false">
      <c r="A13" s="25" t="s">
        <v>66</v>
      </c>
      <c r="B13" s="29" t="n">
        <f aca="false">B9</f>
        <v>120000</v>
      </c>
      <c r="C13" s="29" t="n">
        <f aca="false">B13+C9</f>
        <v>300000</v>
      </c>
      <c r="D13" s="29" t="n">
        <f aca="false">C13+D9</f>
        <v>550000</v>
      </c>
      <c r="E13" s="29" t="n">
        <f aca="false">D13+E9</f>
        <v>870000</v>
      </c>
      <c r="F13" s="29" t="n">
        <f aca="false">E13+F9</f>
        <v>1220000</v>
      </c>
      <c r="G13" s="29" t="n">
        <f aca="false">F13+G9</f>
        <v>1530000</v>
      </c>
      <c r="H13" s="29" t="n">
        <f aca="false">G13+H9</f>
        <v>1810000</v>
      </c>
      <c r="I13" s="29" t="n">
        <f aca="false">H13+I9</f>
        <v>2050000</v>
      </c>
      <c r="J13" s="29" t="n">
        <f aca="false">I13+J9</f>
        <v>2250000</v>
      </c>
      <c r="K13" s="29" t="n">
        <f aca="false">J13+K9</f>
        <v>2430000</v>
      </c>
      <c r="L13" s="29" t="n">
        <f aca="false">K13+L9</f>
        <v>2580000</v>
      </c>
      <c r="M13" s="29" t="n">
        <f aca="false">L13+M9</f>
        <v>2700000</v>
      </c>
      <c r="N13" s="27" t="n">
        <f aca="false">M13</f>
        <v>2700000</v>
      </c>
    </row>
    <row r="14" customFormat="false" ht="15" hidden="false" customHeight="false" outlineLevel="0" collapsed="false">
      <c r="A14" s="25" t="s">
        <v>67</v>
      </c>
      <c r="B14" s="29" t="n">
        <f aca="false">B10</f>
        <v>115000</v>
      </c>
      <c r="C14" s="29" t="n">
        <f aca="false">B14+C10</f>
        <v>310000</v>
      </c>
      <c r="D14" s="29" t="n">
        <f aca="false">C14+D10</f>
        <v>578000</v>
      </c>
      <c r="E14" s="29" t="n">
        <f aca="false">D14+E10</f>
        <v>913000</v>
      </c>
      <c r="F14" s="29" t="n">
        <f aca="false">E14+F10</f>
        <v>913000</v>
      </c>
      <c r="G14" s="29" t="n">
        <f aca="false">F14+G10</f>
        <v>913000</v>
      </c>
      <c r="H14" s="29" t="n">
        <f aca="false">G14+H10</f>
        <v>913000</v>
      </c>
      <c r="I14" s="29" t="n">
        <f aca="false">H14+I10</f>
        <v>913000</v>
      </c>
      <c r="J14" s="29" t="n">
        <f aca="false">I14+J10</f>
        <v>913000</v>
      </c>
      <c r="K14" s="29" t="n">
        <f aca="false">J14+K10</f>
        <v>913000</v>
      </c>
      <c r="L14" s="29" t="n">
        <f aca="false">K14+L10</f>
        <v>913000</v>
      </c>
      <c r="M14" s="29" t="n">
        <f aca="false">L14+M10</f>
        <v>913000</v>
      </c>
      <c r="N14" s="27" t="n">
        <f aca="false">M14</f>
        <v>913000</v>
      </c>
    </row>
    <row r="15" customFormat="false" ht="15" hidden="false" customHeight="false" outlineLevel="0" collapsed="false">
      <c r="A15" s="25" t="s">
        <v>68</v>
      </c>
      <c r="B15" s="29" t="n">
        <f aca="false">B11</f>
        <v>115000</v>
      </c>
      <c r="C15" s="29" t="n">
        <f aca="false">B15+C11</f>
        <v>310000</v>
      </c>
      <c r="D15" s="29" t="n">
        <f aca="false">C15+D11</f>
        <v>578000</v>
      </c>
      <c r="E15" s="29" t="n">
        <f aca="false">D15+E11</f>
        <v>913000</v>
      </c>
      <c r="F15" s="29" t="n">
        <f aca="false">E15+F11</f>
        <v>1273000</v>
      </c>
      <c r="G15" s="29" t="n">
        <f aca="false">F15+G11</f>
        <v>1598000</v>
      </c>
      <c r="H15" s="29" t="n">
        <f aca="false">G15+H11</f>
        <v>1888000</v>
      </c>
      <c r="I15" s="29" t="n">
        <f aca="false">H15+I11</f>
        <v>2133000</v>
      </c>
      <c r="J15" s="29" t="n">
        <f aca="false">I15+J11</f>
        <v>2343000</v>
      </c>
      <c r="K15" s="29" t="n">
        <f aca="false">J15+K11</f>
        <v>2528000</v>
      </c>
      <c r="L15" s="29" t="n">
        <f aca="false">K15+L11</f>
        <v>2683000</v>
      </c>
      <c r="M15" s="29" t="n">
        <f aca="false">L15+M11</f>
        <v>2808000</v>
      </c>
      <c r="N15" s="27" t="n">
        <f aca="false">M15</f>
        <v>2808000</v>
      </c>
    </row>
    <row r="16" customFormat="false" ht="15" hidden="false" customHeight="false" outlineLevel="0" collapsed="false">
      <c r="A16" s="28"/>
    </row>
    <row r="17" customFormat="false" ht="15" hidden="false" customHeight="false" outlineLevel="0" collapsed="false">
      <c r="A17" s="25" t="s">
        <v>69</v>
      </c>
      <c r="B17" s="30" t="n">
        <f aca="false">B9-B10</f>
        <v>5000</v>
      </c>
      <c r="C17" s="30" t="n">
        <f aca="false">C9-C10</f>
        <v>-15000</v>
      </c>
      <c r="D17" s="30" t="n">
        <f aca="false">D9-D10</f>
        <v>-18000</v>
      </c>
      <c r="E17" s="30" t="n">
        <f aca="false">E9-E10</f>
        <v>-15000</v>
      </c>
      <c r="F17" s="30" t="n">
        <f aca="false">F9-F10</f>
        <v>350000</v>
      </c>
      <c r="G17" s="30" t="n">
        <f aca="false">G9-G10</f>
        <v>310000</v>
      </c>
      <c r="H17" s="30" t="n">
        <f aca="false">H9-H10</f>
        <v>280000</v>
      </c>
      <c r="I17" s="30" t="n">
        <f aca="false">I9-I10</f>
        <v>240000</v>
      </c>
      <c r="J17" s="30" t="n">
        <f aca="false">J9-J10</f>
        <v>200000</v>
      </c>
      <c r="K17" s="30" t="n">
        <f aca="false">K9-K10</f>
        <v>180000</v>
      </c>
      <c r="L17" s="30" t="n">
        <f aca="false">L9-L10</f>
        <v>150000</v>
      </c>
      <c r="M17" s="30" t="n">
        <f aca="false">M9-M10</f>
        <v>120000</v>
      </c>
      <c r="N17" s="31" t="n">
        <f aca="false">SUM(B17:M17)</f>
        <v>1787000</v>
      </c>
    </row>
    <row r="18" customFormat="false" ht="15" hidden="false" customHeight="false" outlineLevel="0" collapsed="false">
      <c r="A18" s="25" t="s">
        <v>70</v>
      </c>
      <c r="B18" s="30" t="n">
        <f aca="false">B13-B14</f>
        <v>5000</v>
      </c>
      <c r="C18" s="30" t="n">
        <f aca="false">C13-C14</f>
        <v>-10000</v>
      </c>
      <c r="D18" s="30" t="n">
        <f aca="false">D13-D14</f>
        <v>-28000</v>
      </c>
      <c r="E18" s="30" t="n">
        <f aca="false">E13-E14</f>
        <v>-43000</v>
      </c>
      <c r="F18" s="30" t="n">
        <f aca="false">F13-F14</f>
        <v>307000</v>
      </c>
      <c r="G18" s="30" t="n">
        <f aca="false">G13-G14</f>
        <v>617000</v>
      </c>
      <c r="H18" s="30" t="n">
        <f aca="false">H13-H14</f>
        <v>897000</v>
      </c>
      <c r="I18" s="30" t="n">
        <f aca="false">I13-I14</f>
        <v>1137000</v>
      </c>
      <c r="J18" s="30" t="n">
        <f aca="false">J13-J14</f>
        <v>1337000</v>
      </c>
      <c r="K18" s="30" t="n">
        <f aca="false">K13-K14</f>
        <v>1517000</v>
      </c>
      <c r="L18" s="30" t="n">
        <f aca="false">L13-L14</f>
        <v>1667000</v>
      </c>
      <c r="M18" s="30" t="n">
        <f aca="false">M13-M14</f>
        <v>1787000</v>
      </c>
      <c r="N18" s="31" t="n">
        <f aca="false">M18</f>
        <v>1787000</v>
      </c>
    </row>
  </sheetData>
  <mergeCells count="2">
    <mergeCell ref="A1:N1"/>
    <mergeCell ref="A7:N7"/>
  </mergeCells>
  <conditionalFormatting sqref="B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4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17">
    <cfRule type="cellIs" priority="6" operator="greaterThanOrEqual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B18">
    <cfRule type="cellIs" priority="8" operator="greaterThanOrEqual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C17">
    <cfRule type="cellIs" priority="10" operator="greaterThanOrEqual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C18">
    <cfRule type="cellIs" priority="12" operator="greaterThanOrEqual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D17">
    <cfRule type="cellIs" priority="14" operator="greaterThanOrEqual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D18">
    <cfRule type="cellIs" priority="16" operator="greaterThanOrEqual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E17">
    <cfRule type="cellIs" priority="18" operator="greaterThanOrEqual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E18">
    <cfRule type="cellIs" priority="20" operator="greaterThanOrEqual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F17">
    <cfRule type="cellIs" priority="22" operator="greaterThanOrEqual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F18">
    <cfRule type="cellIs" priority="24" operator="greaterThanOrEqual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G17">
    <cfRule type="cellIs" priority="26" operator="greaterThanOrEqual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G18">
    <cfRule type="cellIs" priority="28" operator="greaterThanOrEqual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H17">
    <cfRule type="cellIs" priority="30" operator="greaterThanOrEqual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H18">
    <cfRule type="cellIs" priority="32" operator="greaterThanOrEqual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I17">
    <cfRule type="cellIs" priority="34" operator="greaterThanOrEqual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I18">
    <cfRule type="cellIs" priority="36" operator="greaterThanOrEqual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J17">
    <cfRule type="cellIs" priority="38" operator="greaterThanOrEqual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J18">
    <cfRule type="cellIs" priority="40" operator="greaterThanOrEqual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K17">
    <cfRule type="cellIs" priority="42" operator="greaterThanOrEqual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K18">
    <cfRule type="cellIs" priority="44" operator="greaterThanOrEqual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L17">
    <cfRule type="cellIs" priority="46" operator="greaterThanOrEqual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L18">
    <cfRule type="cellIs" priority="48" operator="greaterThanOrEqual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M17">
    <cfRule type="cellIs" priority="50" operator="greaterThanOrEqual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</conditionalFormatting>
  <conditionalFormatting sqref="M18">
    <cfRule type="cellIs" priority="52" operator="greaterThanOrEqual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&amp;CCashflow Forecast vs Actual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2" t="s">
        <v>71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72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4" t="s">
        <v>73</v>
      </c>
    </row>
    <row r="6" customFormat="false" ht="23.85" hidden="false" customHeight="false" outlineLevel="0" collapsed="false">
      <c r="A6" s="34" t="s">
        <v>74</v>
      </c>
    </row>
    <row r="7" customFormat="false" ht="15" hidden="false" customHeight="false" outlineLevel="0" collapsed="false">
      <c r="A7" s="34" t="s">
        <v>75</v>
      </c>
    </row>
    <row r="8" customFormat="false" ht="15" hidden="false" customHeight="false" outlineLevel="0" collapsed="false">
      <c r="A8" s="34" t="s">
        <v>76</v>
      </c>
    </row>
    <row r="9" customFormat="false" ht="23.85" hidden="false" customHeight="false" outlineLevel="0" collapsed="false">
      <c r="A9" s="34" t="s">
        <v>77</v>
      </c>
    </row>
    <row r="10" customFormat="false" ht="15" hidden="false" customHeight="false" outlineLevel="0" collapsed="false">
      <c r="A10" s="34" t="s">
        <v>78</v>
      </c>
    </row>
    <row r="11" customFormat="false" ht="15" hidden="false" customHeight="false" outlineLevel="0" collapsed="false">
      <c r="A11" s="33"/>
    </row>
    <row r="12" customFormat="false" ht="15" hidden="false" customHeight="false" outlineLevel="0" collapsed="false">
      <c r="A12" s="3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2026-03-24T16:34:42Z</dcterms:created>
  <dc:creator>Ebrora Ltd</dc:creator>
  <dc:description>Track monthly cashflow with planned, actual, and forecast spend across 12 months including cumulative S-curve totals, variance analysis, and financial summary.
Free professional construction management template from Ebrora Ltd. Visit ebrora.com for our full range of tools and templates.</dc:description>
  <cp:keywords>Ebrora construction cashflow S-curve forecast actual commercial budget</cp:keywords>
  <dc:language>en-US</dc:language>
  <cp:lastModifiedBy>Ebrora Ltd</cp:lastModifiedBy>
  <dcterms:modified xsi:type="dcterms:W3CDTF">2026-03-24T16:34:42Z</dcterms:modified>
  <cp:revision>0</cp:revision>
  <dc:subject>Monthly S-curve cashflow tracking with planned, actual, and forecast spend including cumulative totals and variance.</dc:subject>
  <dc:title>Cashflow Forecast vs Actual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