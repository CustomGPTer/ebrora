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Labour Allocation Sheet"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Instructions!$A$1:$F$26</definedName>
    <definedName function="false" hidden="false" localSheetId="2" name="_xlnm.Print_Area" vbProcedure="false">'Labour Allocation Sheet'!$A$1:$J$58</definedName>
    <definedName function="false" hidden="true" localSheetId="2" name="_xlnm._FilterDatabase" vbProcedure="false">'Labour Allocation Sheet'!$A$8:$O$8</definedName>
    <definedName function="false" hidden="false" name="DataTable" vbProcedure="false">'Labour Allocation Sheet'!$A$8:$O$508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<sst xmlns="http://schemas.openxmlformats.org/spreadsheetml/2006/main" count="120" uniqueCount="99">
  <si>
    <t xml:space="preserve">EBRORA</t>
  </si>
  <si>
    <t xml:space="preserve">ebrora.com</t>
  </si>
  <si>
    <t xml:space="preserve">Daily Labour Allocation Sheet</t>
  </si>
  <si>
    <t xml:space="preserve">Track daily workforce deployment by trade, subcontractor, and work area — with auto-calculated totals, shift tracking, and labour summaries.</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</si>
  <si>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</si>
  <si>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</si>
  <si>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</si>
  <si>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</si>
  <si>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</si>
  <si>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“Labour Allocation Sheet” tab. Each row records one trade/subcontractor deployment for one day.</t>
  </si>
  <si>
    <t xml:space="preserve">2.</t>
  </si>
  <si>
    <t xml:space="preserve">Enter the Date and select the Trade/Discipline from the dropdown (e.g. General Labour, Groundworks, Steel Fixing, M&amp;E, etc.).</t>
  </si>
  <si>
    <t xml:space="preserve">3.</t>
  </si>
  <si>
    <t xml:space="preserve">Enter the Subcontractor/Company name and the number of Operatives and Supervisors deployed.</t>
  </si>
  <si>
    <t xml:space="preserve">4.</t>
  </si>
  <si>
    <t xml:space="preserve">The Total on Site column auto-calculates (Operatives + Supervisors) for each row.</t>
  </si>
  <si>
    <t xml:space="preserve">5.</t>
  </si>
  <si>
    <t xml:space="preserve">Record the Work Area/Location and a brief Activity Description.</t>
  </si>
  <si>
    <t xml:space="preserve">6.</t>
  </si>
  <si>
    <t xml:space="preserve">Enter the name of the person recording the allocation in “Recorded By”.</t>
  </si>
  <si>
    <t xml:space="preserve">7.</t>
  </si>
  <si>
    <t xml:space="preserve">Expand optional columns for: Shift type (Day/Night/Split), Start Time, Finish Time, Hours Worked (auto-calculated), and Notes.</t>
  </si>
  <si>
    <t xml:space="preserve">8.</t>
  </si>
  <si>
    <t xml:space="preserve">The dashboard auto-calculates total workforce, total operatives, total supervisors, unique trades active, unique subcontractors, and average team size.</t>
  </si>
  <si>
    <t xml:space="preserve">9.</t>
  </si>
  <si>
    <t xml:space="preserve">Use one row per trade per subcontractor per day. If a subcontractor has operatives in two different areas, use two rows.</t>
  </si>
  <si>
    <t xml:space="preserve">Colour Key</t>
  </si>
  <si>
    <t xml:space="preserve">•</t>
  </si>
  <si>
    <t xml:space="preserve">Light teal cells = User input / editable fields.</t>
  </si>
  <si>
    <t xml:space="preserve">Dark navy headers = Column headers. Do not edit.</t>
  </si>
  <si>
    <t xml:space="preserve">White cells with formulas = Auto-calculated — do not overwrite.</t>
  </si>
  <si>
    <t xml:space="preserve">Grey row shading = Weekend date (Saturday or Sunday).</t>
  </si>
  <si>
    <t xml:space="preserve">Amber highlight on Total = 10 or more people in one entry (large gang — may need additional supervision).</t>
  </si>
  <si>
    <t xml:space="preserve">Tips</t>
  </si>
  <si>
    <t xml:space="preserve">Fill this in every morning during the pre-start briefing. It takes 5 minutes and gives you a complete picture of who’s on site, where they are, and what they’re doing.</t>
  </si>
  <si>
    <t xml:space="preserve">The data feeds directly into your daily progress report and weekly labour returns. Keep it accurate and your reporting writes itself.</t>
  </si>
  <si>
    <t xml:space="preserve">Filter by Subcontractor to see their total headcount, or by Trade to check resource levels against your look-ahead programme.</t>
  </si>
  <si>
    <t xml:space="preserve">DAILY LABOUR ALLOCATION SHEET</t>
  </si>
  <si>
    <t xml:space="preserve">Total Workforce:</t>
  </si>
  <si>
    <t xml:space="preserve">Total Operatives:</t>
  </si>
  <si>
    <t xml:space="preserve">Total Supervisors:</t>
  </si>
  <si>
    <t xml:space="preserve">Total Entries:</t>
  </si>
  <si>
    <t xml:space="preserve">Unique Trades Active:</t>
  </si>
  <si>
    <t xml:space="preserve">Avg Team Size:</t>
  </si>
  <si>
    <t xml:space="preserve">Largest Single Entry:</t>
  </si>
  <si>
    <t xml:space="preserve">Total Hours:</t>
  </si>
  <si>
    <t xml:space="preserve">▸ Optional Fields — Click [+] to expand</t>
  </si>
  <si>
    <t xml:space="preserve">Entry No.</t>
  </si>
  <si>
    <t xml:space="preserve">Date</t>
  </si>
  <si>
    <t xml:space="preserve">Trade / Discipline</t>
  </si>
  <si>
    <t xml:space="preserve">Subcontractor / Company</t>
  </si>
  <si>
    <t xml:space="preserve">No. Operatives</t>
  </si>
  <si>
    <t xml:space="preserve">No. Supervisors</t>
  </si>
  <si>
    <t xml:space="preserve">Total on Site</t>
  </si>
  <si>
    <t xml:space="preserve">Work Area / Location</t>
  </si>
  <si>
    <t xml:space="preserve">Activity Description</t>
  </si>
  <si>
    <t xml:space="preserve">Recorded By</t>
  </si>
  <si>
    <t xml:space="preserve">Shift</t>
  </si>
  <si>
    <t xml:space="preserve">Start Time</t>
  </si>
  <si>
    <t xml:space="preserve">Finish Time</t>
  </si>
  <si>
    <t xml:space="preserve">Hours Worked</t>
  </si>
  <si>
    <t xml:space="preserve">Notes</t>
  </si>
  <si>
    <t xml:space="preserve">Groundworks</t>
  </si>
  <si>
    <t xml:space="preserve">Civils Direct Ltd</t>
  </si>
  <si>
    <t xml:space="preserve">Block C, Piling Mat &amp; Drainage</t>
  </si>
  <si>
    <t xml:space="preserve">Drainage run DR-03 excavation and pipe laying. Piling mat preparation.</t>
  </si>
  <si>
    <t xml:space="preserve">M. Davies</t>
  </si>
  <si>
    <t xml:space="preserve">Day</t>
  </si>
  <si>
    <t xml:space="preserve">Steel Fixing</t>
  </si>
  <si>
    <t xml:space="preserve">ProSteel Ltd</t>
  </si>
  <si>
    <t xml:space="preserve">Block A, Ground Floor</t>
  </si>
  <si>
    <t xml:space="preserve">Rebar fixing to ground beams GB-12 to GB-18.</t>
  </si>
  <si>
    <t xml:space="preserve">M&amp;E Electrical</t>
  </si>
  <si>
    <t xml:space="preserve">MechServ Ltd</t>
  </si>
  <si>
    <t xml:space="preserve">Block B, Ground Floor</t>
  </si>
  <si>
    <t xml:space="preserve">First fix containment and cable tray installation.</t>
  </si>
  <si>
    <t xml:space="preserve">Concrete</t>
  </si>
  <si>
    <t xml:space="preserve">ReadyMix Contracts Ltd</t>
  </si>
  <si>
    <t xml:space="preserve">Concrete pour to pad foundations PF-01 to PF-04. 40m³ C32/40.</t>
  </si>
  <si>
    <t xml:space="preserve">Brickwork/Blockwork</t>
  </si>
  <si>
    <t xml:space="preserve">Mason Brothers Ltd</t>
  </si>
  <si>
    <t xml:space="preserve">Block A, North Elevation</t>
  </si>
  <si>
    <t xml:space="preserve">Brickwork courses 1–12, north elevation. Scaffold access.</t>
  </si>
  <si>
    <t xml:space="preserve">Scaffolding</t>
  </si>
  <si>
    <t xml:space="preserve">Apex Scaffolding Ltd</t>
  </si>
  <si>
    <t xml:space="preserve">Scaffold lift to level 2. Additional bay erected for brickwork access.</t>
  </si>
  <si>
    <t xml:space="preserve">Management/Supervision</t>
  </si>
  <si>
    <t xml:space="preserve">Main Contractor</t>
  </si>
  <si>
    <t xml:space="preserve">Site-wide</t>
  </si>
  <si>
    <t xml:space="preserve">Site manager, assistant SM, site engineer, HSE advisor.</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</si>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</sst>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6">
    <numFmt numFmtId="164" formatCode="General"/>
    <numFmt numFmtId="165" formatCode="General"/>
    <numFmt numFmtId="166" formatCode="0.0"/>
    <numFmt numFmtId="167" formatCode="#,##0"/>
    <numFmt numFmtId="168" formatCode="dd/mm/yyyy"/>
    <numFmt numFmtId="169" formatCode="hh:mm"/>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2AABB3"/>
      <name val="Calibri"/>
      <family val="0"/>
      <charset val="1"/>
    </font>
    <font>
      <b val="true"/>
      <sz val="10"/>
      <color rgb="FF2AABB3"/>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67" fontId="15" fillId="0" borderId="0" xfId="0" applyFont="true" applyBorder="fals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5" fontId="12" fillId="3" borderId="2" xfId="0" applyFont="true" applyBorder="true" applyAlignment="true" applyProtection="false">
      <alignment horizontal="center" vertical="center" textRotation="0" wrapText="true" indent="0" shrinkToFit="false"/>
      <protection locked="true" hidden="false"/>
    </xf>
    <xf numFmtId="168"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7" fontId="12" fillId="4" borderId="2" xfId="0" applyFont="true" applyBorder="true" applyAlignment="true" applyProtection="false">
      <alignment horizontal="center" vertical="center" textRotation="0" wrapText="true" indent="0" shrinkToFit="false"/>
      <protection locked="true" hidden="false"/>
    </xf>
    <xf numFmtId="167" fontId="12" fillId="3"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9" fontId="12" fillId="4" borderId="2" xfId="0" applyFont="true" applyBorder="true" applyAlignment="true" applyProtection="false">
      <alignment horizontal="center" vertical="center" textRotation="0" wrapText="true" indent="0" shrinkToFit="false"/>
      <protection locked="true" hidden="false"/>
    </xf>
    <xf numFmtId="166" fontId="12" fillId="3" borderId="2"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F2F2F2"/>
        </patternFill>
      </fill>
    </dxf>
    <dxf>
      <fill>
        <patternFill>
          <bgColor rgb="FFFFEB9C"/>
        </patternFill>
      </fill>
    </dxf>
    <dxf>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1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1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1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false" outlineLevel="0" collapsed="false">
      <c r="A14" s="2"/>
      <c r="B14" s="2"/>
      <c r="C14" s="2"/>
      <c r="D14" s="2"/>
      <c r="E14" s="2"/>
      <c r="F14" s="2"/>
      <c r="G14" s="2"/>
      <c r="H14" s="2"/>
    </row>
    <row r="15" customFormat="false" ht="15" hidden="false" customHeight="false" outlineLevel="0" collapsed="false">
      <c r="A15" s="9" t="s">
        <v>26</v>
      </c>
      <c r="B15" s="2"/>
      <c r="C15" s="2"/>
      <c r="D15" s="2"/>
      <c r="E15" s="2"/>
      <c r="F15" s="2"/>
      <c r="G15" s="2"/>
      <c r="H15" s="2"/>
    </row>
    <row r="16" customFormat="false" ht="15" hidden="false" customHeight="true" outlineLevel="0" collapsed="false">
      <c r="A16" s="10" t="s">
        <v>27</v>
      </c>
      <c r="B16" s="11" t="s">
        <v>28</v>
      </c>
      <c r="C16" s="11"/>
      <c r="D16" s="11"/>
      <c r="E16" s="11"/>
      <c r="F16" s="11"/>
      <c r="G16" s="2"/>
      <c r="H16" s="2"/>
    </row>
    <row r="17" customFormat="false" ht="15" hidden="false" customHeight="true" outlineLevel="0" collapsed="false">
      <c r="A17" s="10" t="s">
        <v>27</v>
      </c>
      <c r="B17" s="11" t="s">
        <v>29</v>
      </c>
      <c r="C17" s="11"/>
      <c r="D17" s="11"/>
      <c r="E17" s="11"/>
      <c r="F17" s="11"/>
      <c r="G17" s="2"/>
      <c r="H17" s="2"/>
    </row>
    <row r="18" customFormat="false" ht="15" hidden="false" customHeight="true" outlineLevel="0" collapsed="false">
      <c r="A18" s="10" t="s">
        <v>27</v>
      </c>
      <c r="B18" s="11" t="s">
        <v>30</v>
      </c>
      <c r="C18" s="11"/>
      <c r="D18" s="11"/>
      <c r="E18" s="11"/>
      <c r="F18" s="11"/>
      <c r="G18" s="2"/>
      <c r="H18" s="2"/>
    </row>
    <row r="19" customFormat="false" ht="15" hidden="false" customHeight="true" outlineLevel="0" collapsed="false">
      <c r="A19" s="10" t="s">
        <v>27</v>
      </c>
      <c r="B19" s="11" t="s">
        <v>31</v>
      </c>
      <c r="C19" s="11"/>
      <c r="D19" s="11"/>
      <c r="E19" s="11"/>
      <c r="F19" s="11"/>
      <c r="G19" s="2"/>
      <c r="H19" s="2"/>
    </row>
    <row r="20" customFormat="false" ht="15" hidden="false" customHeight="true" outlineLevel="0" collapsed="false">
      <c r="A20" s="10" t="s">
        <v>27</v>
      </c>
      <c r="B20" s="11" t="s">
        <v>32</v>
      </c>
      <c r="C20" s="11"/>
      <c r="D20" s="11"/>
      <c r="E20" s="11"/>
      <c r="F20" s="11"/>
      <c r="G20" s="2"/>
      <c r="H20" s="2"/>
    </row>
    <row r="21" customFormat="false" ht="15" hidden="false" customHeight="false" outlineLevel="0" collapsed="false">
      <c r="A21" s="2"/>
      <c r="B21" s="2"/>
      <c r="C21" s="2"/>
      <c r="D21" s="2"/>
      <c r="E21" s="2"/>
      <c r="F21" s="2"/>
      <c r="G21" s="2"/>
      <c r="H21" s="2"/>
    </row>
    <row r="22" customFormat="false" ht="15" hidden="false" customHeight="false" outlineLevel="0" collapsed="false">
      <c r="A22" s="9" t="s">
        <v>33</v>
      </c>
      <c r="B22" s="2"/>
      <c r="C22" s="2"/>
      <c r="D22" s="2"/>
      <c r="E22" s="2"/>
      <c r="F22" s="2"/>
      <c r="G22" s="2"/>
      <c r="H22" s="2"/>
    </row>
    <row r="23" customFormat="false" ht="15" hidden="false" customHeight="true" outlineLevel="0" collapsed="false">
      <c r="A23" s="10" t="s">
        <v>27</v>
      </c>
      <c r="B23" s="11" t="s">
        <v>34</v>
      </c>
      <c r="C23" s="11"/>
      <c r="D23" s="11"/>
      <c r="E23" s="11"/>
      <c r="F23" s="11"/>
      <c r="G23" s="2"/>
      <c r="H23" s="2"/>
    </row>
    <row r="24" customFormat="false" ht="15" hidden="false" customHeight="true" outlineLevel="0" collapsed="false">
      <c r="A24" s="10" t="s">
        <v>27</v>
      </c>
      <c r="B24" s="11" t="s">
        <v>35</v>
      </c>
      <c r="C24" s="11"/>
      <c r="D24" s="11"/>
      <c r="E24" s="11"/>
      <c r="F24" s="11"/>
      <c r="G24" s="2"/>
      <c r="H24" s="2"/>
    </row>
    <row r="25" customFormat="false" ht="15" hidden="false" customHeight="true" outlineLevel="0" collapsed="false">
      <c r="A25" s="10" t="s">
        <v>27</v>
      </c>
      <c r="B25" s="11" t="s">
        <v>36</v>
      </c>
      <c r="C25" s="11"/>
      <c r="D25" s="11"/>
      <c r="E25" s="11"/>
      <c r="F25" s="11"/>
      <c r="G25" s="2"/>
      <c r="H25" s="2"/>
    </row>
    <row r="26" customFormat="false" ht="15" hidden="false" customHeight="false" outlineLevel="0" collapsed="false">
      <c r="A26" s="2"/>
      <c r="B26" s="2"/>
      <c r="C26" s="2"/>
      <c r="D26" s="2"/>
      <c r="E26" s="2"/>
      <c r="F26" s="2"/>
      <c r="G26" s="2"/>
      <c r="H26" s="2"/>
    </row>
    <row r="27" customFormat="false" ht="15" hidden="false" customHeight="false" outlineLevel="0" collapsed="false">
      <c r="A27" s="2"/>
      <c r="B27" s="2"/>
      <c r="C27" s="2"/>
      <c r="D27" s="2"/>
      <c r="E27" s="2"/>
      <c r="F27" s="2"/>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sheetData>
  <mergeCells count="18">
    <mergeCell ref="A1:F1"/>
    <mergeCell ref="B5:F5"/>
    <mergeCell ref="B6:F6"/>
    <mergeCell ref="B7:F7"/>
    <mergeCell ref="B8:F8"/>
    <mergeCell ref="B9:F9"/>
    <mergeCell ref="B10:F10"/>
    <mergeCell ref="B11:F11"/>
    <mergeCell ref="B12:F12"/>
    <mergeCell ref="B13:F13"/>
    <mergeCell ref="B16:F16"/>
    <mergeCell ref="B17:F17"/>
    <mergeCell ref="B18:F18"/>
    <mergeCell ref="B19:F19"/>
    <mergeCell ref="B20:F20"/>
    <mergeCell ref="B23:F23"/>
    <mergeCell ref="B24:F24"/>
    <mergeCell ref="B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20"/>
    <col collapsed="false" customWidth="true" hidden="false" outlineLevel="0" max="4" min="4" style="0" width="24"/>
    <col collapsed="false" customWidth="true" hidden="false" outlineLevel="0" max="6" min="5" style="0" width="14"/>
    <col collapsed="false" customWidth="true" hidden="false" outlineLevel="0" max="7" min="7" style="0" width="13"/>
    <col collapsed="false" customWidth="true" hidden="false" outlineLevel="0" max="8" min="8" style="0" width="26"/>
    <col collapsed="false" customWidth="true" hidden="false" outlineLevel="0" max="9" min="9" style="0" width="38"/>
    <col collapsed="false" customWidth="true" hidden="false" outlineLevel="0" max="10" min="10" style="0" width="16"/>
    <col collapsed="false" customWidth="true" hidden="true" outlineLevel="1" max="15" min="11" style="0" width="12"/>
  </cols>
  <sheetData>
    <row r="1" customFormat="false" ht="17.35" hidden="false" customHeight="false" outlineLevel="0" collapsed="false">
      <c r="A1" s="12" t="s">
        <v>37</v>
      </c>
      <c r="B1" s="12"/>
      <c r="C1" s="12"/>
      <c r="E1" s="13" t="s">
        <v>38</v>
      </c>
      <c r="F1" s="14" t="n">
        <f aca="false">SUM(G9:G508)</f>
        <v>51</v>
      </c>
      <c r="H1" s="13" t="s">
        <v>39</v>
      </c>
      <c r="I1" s="15" t="n">
        <f aca="false">SUM(E9:E508)</f>
        <v>40</v>
      </c>
    </row>
    <row r="2" customFormat="false" ht="15" hidden="false" customHeight="false" outlineLevel="0" collapsed="false">
      <c r="E2" s="13" t="s">
        <v>40</v>
      </c>
      <c r="F2" s="15" t="n">
        <f aca="false">SUM(F9:F508)</f>
        <v>11</v>
      </c>
      <c r="H2" s="13" t="s">
        <v>41</v>
      </c>
      <c r="I2" s="15" t="n">
        <f aca="false">COUNTA(B9:B508)</f>
        <v>7</v>
      </c>
    </row>
    <row r="3" customFormat="false" ht="15" hidden="false" customHeight="false" outlineLevel="0" collapsed="false">
      <c r="E3" s="13" t="s">
        <v>42</v>
      </c>
      <c r="F3" s="15" t="n">
        <f aca="false">SUMPRODUCT((LEN(C9:C508)&gt;0)/COUNTIF(C9:C508,C9:C508&amp;""))</f>
        <v>7</v>
      </c>
      <c r="H3" s="13" t="s">
        <v>43</v>
      </c>
      <c r="I3" s="16" t="n">
        <f aca="false">IFERROR(AVERAGE(G9:G508),"")</f>
        <v>7.28571428571429</v>
      </c>
    </row>
    <row r="4" customFormat="false" ht="15" hidden="false" customHeight="false" outlineLevel="0" collapsed="false">
      <c r="E4" s="13" t="s">
        <v>44</v>
      </c>
      <c r="F4" s="15" t="n">
        <f aca="false">IFERROR(MAX(G9:G508),"")</f>
        <v>14</v>
      </c>
      <c r="H4" s="13" t="s">
        <v>45</v>
      </c>
      <c r="I4" s="17" t="n">
        <f aca="false">SUM(N9:N508)</f>
        <v>64.5</v>
      </c>
    </row>
    <row r="7" customFormat="false" ht="32.8" hidden="false" customHeight="true" outlineLevel="0" collapsed="false">
      <c r="K7" s="18" t="s">
        <v>46</v>
      </c>
      <c r="L7" s="18"/>
      <c r="M7" s="18"/>
      <c r="N7" s="18"/>
      <c r="O7" s="18"/>
    </row>
    <row r="8" customFormat="false" ht="28.35" hidden="false" customHeight="false" outlineLevel="0" collapsed="false">
      <c r="A8" s="19" t="s">
        <v>47</v>
      </c>
      <c r="B8" s="19" t="s">
        <v>48</v>
      </c>
      <c r="C8" s="19" t="s">
        <v>49</v>
      </c>
      <c r="D8" s="19" t="s">
        <v>50</v>
      </c>
      <c r="E8" s="19" t="s">
        <v>51</v>
      </c>
      <c r="F8" s="19" t="s">
        <v>52</v>
      </c>
      <c r="G8" s="19" t="s">
        <v>53</v>
      </c>
      <c r="H8" s="19" t="s">
        <v>54</v>
      </c>
      <c r="I8" s="19" t="s">
        <v>55</v>
      </c>
      <c r="J8" s="19" t="s">
        <v>56</v>
      </c>
      <c r="K8" s="19" t="s">
        <v>57</v>
      </c>
      <c r="L8" s="19" t="s">
        <v>58</v>
      </c>
      <c r="M8" s="19" t="s">
        <v>59</v>
      </c>
      <c r="N8" s="19" t="s">
        <v>60</v>
      </c>
      <c r="O8" s="19" t="s">
        <v>61</v>
      </c>
    </row>
    <row r="9" customFormat="false" ht="27.75" hidden="false" customHeight="true" outlineLevel="0" collapsed="false">
      <c r="A9" s="20" t="n">
        <f aca="false">IF(B9="","",ROW()-8)</f>
        <v>1</v>
      </c>
      <c r="B9" s="21" t="n">
        <v>46097</v>
      </c>
      <c r="C9" s="22" t="s">
        <v>62</v>
      </c>
      <c r="D9" s="22" t="s">
        <v>63</v>
      </c>
      <c r="E9" s="23" t="n">
        <v>8</v>
      </c>
      <c r="F9" s="23" t="n">
        <v>1</v>
      </c>
      <c r="G9" s="24" t="n">
        <f aca="false">IF(AND(E9="",F9=""),"",E9+F9)</f>
        <v>9</v>
      </c>
      <c r="H9" s="22" t="s">
        <v>64</v>
      </c>
      <c r="I9" s="22" t="s">
        <v>65</v>
      </c>
      <c r="J9" s="22" t="s">
        <v>66</v>
      </c>
      <c r="K9" s="25" t="s">
        <v>67</v>
      </c>
      <c r="L9" s="26" t="n">
        <v>0.3125</v>
      </c>
      <c r="M9" s="26" t="n">
        <v>0.708333333333333</v>
      </c>
      <c r="N9" s="27" t="n">
        <f aca="false">IF(OR(L9="",M9=""),"",(M9-L9)*24)</f>
        <v>9.5</v>
      </c>
      <c r="O9" s="22"/>
    </row>
    <row r="10" customFormat="false" ht="27.75" hidden="false" customHeight="true" outlineLevel="0" collapsed="false">
      <c r="A10" s="20" t="n">
        <f aca="false">IF(B10="","",ROW()-8)</f>
        <v>2</v>
      </c>
      <c r="B10" s="21" t="n">
        <v>46097</v>
      </c>
      <c r="C10" s="22" t="s">
        <v>68</v>
      </c>
      <c r="D10" s="22" t="s">
        <v>69</v>
      </c>
      <c r="E10" s="23" t="n">
        <v>6</v>
      </c>
      <c r="F10" s="23" t="n">
        <v>1</v>
      </c>
      <c r="G10" s="24" t="n">
        <f aca="false">IF(AND(E10="",F10=""),"",E10+F10)</f>
        <v>7</v>
      </c>
      <c r="H10" s="22" t="s">
        <v>70</v>
      </c>
      <c r="I10" s="22" t="s">
        <v>71</v>
      </c>
      <c r="J10" s="22" t="s">
        <v>66</v>
      </c>
      <c r="K10" s="25" t="s">
        <v>67</v>
      </c>
      <c r="L10" s="26" t="n">
        <v>0.3125</v>
      </c>
      <c r="M10" s="26" t="n">
        <v>0.708333333333333</v>
      </c>
      <c r="N10" s="27" t="n">
        <f aca="false">IF(OR(L10="",M10=""),"",(M10-L10)*24)</f>
        <v>9.5</v>
      </c>
      <c r="O10" s="22"/>
    </row>
    <row r="11" customFormat="false" ht="27.75" hidden="false" customHeight="true" outlineLevel="0" collapsed="false">
      <c r="A11" s="20" t="n">
        <f aca="false">IF(B11="","",ROW()-8)</f>
        <v>3</v>
      </c>
      <c r="B11" s="21" t="n">
        <v>46097</v>
      </c>
      <c r="C11" s="22" t="s">
        <v>72</v>
      </c>
      <c r="D11" s="22" t="s">
        <v>73</v>
      </c>
      <c r="E11" s="23" t="n">
        <v>4</v>
      </c>
      <c r="F11" s="23" t="n">
        <v>1</v>
      </c>
      <c r="G11" s="24" t="n">
        <f aca="false">IF(AND(E11="",F11=""),"",E11+F11)</f>
        <v>5</v>
      </c>
      <c r="H11" s="22" t="s">
        <v>74</v>
      </c>
      <c r="I11" s="22" t="s">
        <v>75</v>
      </c>
      <c r="J11" s="22" t="s">
        <v>66</v>
      </c>
      <c r="K11" s="25" t="s">
        <v>67</v>
      </c>
      <c r="L11" s="26" t="n">
        <v>0.333333333333333</v>
      </c>
      <c r="M11" s="26" t="n">
        <v>0.708333333333333</v>
      </c>
      <c r="N11" s="27" t="n">
        <f aca="false">IF(OR(L11="",M11=""),"",(M11-L11)*24)</f>
        <v>9</v>
      </c>
      <c r="O11" s="22"/>
    </row>
    <row r="12" customFormat="false" ht="27.75" hidden="false" customHeight="true" outlineLevel="0" collapsed="false">
      <c r="A12" s="20" t="n">
        <f aca="false">IF(B12="","",ROW()-8)</f>
        <v>4</v>
      </c>
      <c r="B12" s="21" t="n">
        <v>46097</v>
      </c>
      <c r="C12" s="22" t="s">
        <v>76</v>
      </c>
      <c r="D12" s="22" t="s">
        <v>77</v>
      </c>
      <c r="E12" s="23" t="n">
        <v>6</v>
      </c>
      <c r="F12" s="23" t="n">
        <v>1</v>
      </c>
      <c r="G12" s="24" t="n">
        <f aca="false">IF(AND(E12="",F12=""),"",E12+F12)</f>
        <v>7</v>
      </c>
      <c r="H12" s="22" t="s">
        <v>70</v>
      </c>
      <c r="I12" s="22" t="s">
        <v>78</v>
      </c>
      <c r="J12" s="22" t="s">
        <v>66</v>
      </c>
      <c r="K12" s="25" t="s">
        <v>67</v>
      </c>
      <c r="L12" s="26" t="n">
        <v>0.291666666666667</v>
      </c>
      <c r="M12" s="26" t="n">
        <v>0.625</v>
      </c>
      <c r="N12" s="27" t="n">
        <f aca="false">IF(OR(L12="",M12=""),"",(M12-L12)*24)</f>
        <v>8</v>
      </c>
      <c r="O12" s="22"/>
    </row>
    <row r="13" customFormat="false" ht="27.75" hidden="false" customHeight="true" outlineLevel="0" collapsed="false">
      <c r="A13" s="20" t="n">
        <f aca="false">IF(B13="","",ROW()-8)</f>
        <v>5</v>
      </c>
      <c r="B13" s="21" t="n">
        <v>46097</v>
      </c>
      <c r="C13" s="22" t="s">
        <v>79</v>
      </c>
      <c r="D13" s="22" t="s">
        <v>80</v>
      </c>
      <c r="E13" s="23" t="n">
        <v>12</v>
      </c>
      <c r="F13" s="23" t="n">
        <v>2</v>
      </c>
      <c r="G13" s="24" t="n">
        <f aca="false">IF(AND(E13="",F13=""),"",E13+F13)</f>
        <v>14</v>
      </c>
      <c r="H13" s="22" t="s">
        <v>81</v>
      </c>
      <c r="I13" s="22" t="s">
        <v>82</v>
      </c>
      <c r="J13" s="22" t="s">
        <v>66</v>
      </c>
      <c r="K13" s="25" t="s">
        <v>67</v>
      </c>
      <c r="L13" s="26" t="n">
        <v>0.3125</v>
      </c>
      <c r="M13" s="26" t="n">
        <v>0.708333333333333</v>
      </c>
      <c r="N13" s="27" t="n">
        <f aca="false">IF(OR(L13="",M13=""),"",(M13-L13)*24)</f>
        <v>9.5</v>
      </c>
      <c r="O13" s="22"/>
    </row>
    <row r="14" customFormat="false" ht="27.75" hidden="false" customHeight="true" outlineLevel="0" collapsed="false">
      <c r="A14" s="20" t="n">
        <f aca="false">IF(B14="","",ROW()-8)</f>
        <v>6</v>
      </c>
      <c r="B14" s="21" t="n">
        <v>46097</v>
      </c>
      <c r="C14" s="22" t="s">
        <v>83</v>
      </c>
      <c r="D14" s="22" t="s">
        <v>84</v>
      </c>
      <c r="E14" s="23" t="n">
        <v>4</v>
      </c>
      <c r="F14" s="23" t="n">
        <v>1</v>
      </c>
      <c r="G14" s="24" t="n">
        <f aca="false">IF(AND(E14="",F14=""),"",E14+F14)</f>
        <v>5</v>
      </c>
      <c r="H14" s="22" t="s">
        <v>81</v>
      </c>
      <c r="I14" s="22" t="s">
        <v>85</v>
      </c>
      <c r="J14" s="22" t="s">
        <v>66</v>
      </c>
      <c r="K14" s="25" t="s">
        <v>67</v>
      </c>
      <c r="L14" s="26" t="n">
        <v>0.3125</v>
      </c>
      <c r="M14" s="26" t="n">
        <v>0.666666666666667</v>
      </c>
      <c r="N14" s="27" t="n">
        <f aca="false">IF(OR(L14="",M14=""),"",(M14-L14)*24)</f>
        <v>8.5</v>
      </c>
      <c r="O14" s="22"/>
    </row>
    <row r="15" customFormat="false" ht="27.75" hidden="false" customHeight="true" outlineLevel="0" collapsed="false">
      <c r="A15" s="20" t="n">
        <f aca="false">IF(B15="","",ROW()-8)</f>
        <v>7</v>
      </c>
      <c r="B15" s="21" t="n">
        <v>46097</v>
      </c>
      <c r="C15" s="22" t="s">
        <v>86</v>
      </c>
      <c r="D15" s="22" t="s">
        <v>87</v>
      </c>
      <c r="E15" s="23" t="n">
        <v>0</v>
      </c>
      <c r="F15" s="23" t="n">
        <v>4</v>
      </c>
      <c r="G15" s="24" t="n">
        <f aca="false">IF(AND(E15="",F15=""),"",E15+F15)</f>
        <v>4</v>
      </c>
      <c r="H15" s="22" t="s">
        <v>88</v>
      </c>
      <c r="I15" s="22" t="s">
        <v>89</v>
      </c>
      <c r="J15" s="22" t="s">
        <v>66</v>
      </c>
      <c r="K15" s="25" t="s">
        <v>67</v>
      </c>
      <c r="L15" s="26" t="n">
        <v>0.291666666666667</v>
      </c>
      <c r="M15" s="26" t="n">
        <v>0.729166666666667</v>
      </c>
      <c r="N15" s="27" t="n">
        <f aca="false">IF(OR(L15="",M15=""),"",(M15-L15)*24)</f>
        <v>10.5</v>
      </c>
      <c r="O15" s="22"/>
    </row>
    <row r="16" customFormat="false" ht="27.75" hidden="false" customHeight="true" outlineLevel="0" collapsed="false">
      <c r="A16" s="20" t="str">
        <f aca="false">IF(B16="","",ROW()-8)</f>
        <v/>
      </c>
      <c r="B16" s="21"/>
      <c r="C16" s="22"/>
      <c r="D16" s="22"/>
      <c r="E16" s="23"/>
      <c r="F16" s="23"/>
      <c r="G16" s="24" t="str">
        <f aca="false">IF(AND(E16="",F16=""),"",E16+F16)</f>
        <v/>
      </c>
      <c r="H16" s="22"/>
      <c r="I16" s="22"/>
      <c r="J16" s="22"/>
      <c r="K16" s="25"/>
      <c r="L16" s="26"/>
      <c r="M16" s="26"/>
      <c r="N16" s="27" t="str">
        <f aca="false">IF(OR(L16="",M16=""),"",(M16-L16)*24)</f>
        <v/>
      </c>
      <c r="O16" s="22"/>
    </row>
    <row r="17" customFormat="false" ht="27.75" hidden="false" customHeight="true" outlineLevel="0" collapsed="false">
      <c r="A17" s="20" t="str">
        <f aca="false">IF(B17="","",ROW()-8)</f>
        <v/>
      </c>
      <c r="B17" s="21"/>
      <c r="C17" s="22"/>
      <c r="D17" s="22"/>
      <c r="E17" s="23"/>
      <c r="F17" s="23"/>
      <c r="G17" s="24" t="str">
        <f aca="false">IF(AND(E17="",F17=""),"",E17+F17)</f>
        <v/>
      </c>
      <c r="H17" s="22"/>
      <c r="I17" s="22"/>
      <c r="J17" s="22"/>
      <c r="K17" s="25"/>
      <c r="L17" s="26"/>
      <c r="M17" s="26"/>
      <c r="N17" s="27" t="str">
        <f aca="false">IF(OR(L17="",M17=""),"",(M17-L17)*24)</f>
        <v/>
      </c>
      <c r="O17" s="22"/>
    </row>
    <row r="18" customFormat="false" ht="27.75" hidden="false" customHeight="true" outlineLevel="0" collapsed="false">
      <c r="A18" s="20" t="str">
        <f aca="false">IF(B18="","",ROW()-8)</f>
        <v/>
      </c>
      <c r="B18" s="21"/>
      <c r="C18" s="22"/>
      <c r="D18" s="22"/>
      <c r="E18" s="23"/>
      <c r="F18" s="23"/>
      <c r="G18" s="24" t="str">
        <f aca="false">IF(AND(E18="",F18=""),"",E18+F18)</f>
        <v/>
      </c>
      <c r="H18" s="22"/>
      <c r="I18" s="22"/>
      <c r="J18" s="22"/>
      <c r="K18" s="25"/>
      <c r="L18" s="26"/>
      <c r="M18" s="26"/>
      <c r="N18" s="27" t="str">
        <f aca="false">IF(OR(L18="",M18=""),"",(M18-L18)*24)</f>
        <v/>
      </c>
      <c r="O18" s="22"/>
    </row>
    <row r="19" customFormat="false" ht="27.75" hidden="false" customHeight="true" outlineLevel="0" collapsed="false">
      <c r="A19" s="20" t="str">
        <f aca="false">IF(B19="","",ROW()-8)</f>
        <v/>
      </c>
      <c r="B19" s="21"/>
      <c r="C19" s="22"/>
      <c r="D19" s="22"/>
      <c r="E19" s="23"/>
      <c r="F19" s="23"/>
      <c r="G19" s="24" t="str">
        <f aca="false">IF(AND(E19="",F19=""),"",E19+F19)</f>
        <v/>
      </c>
      <c r="H19" s="22"/>
      <c r="I19" s="22"/>
      <c r="J19" s="22"/>
      <c r="K19" s="25"/>
      <c r="L19" s="26"/>
      <c r="M19" s="26"/>
      <c r="N19" s="27" t="str">
        <f aca="false">IF(OR(L19="",M19=""),"",(M19-L19)*24)</f>
        <v/>
      </c>
      <c r="O19" s="22"/>
    </row>
    <row r="20" customFormat="false" ht="27.75" hidden="false" customHeight="true" outlineLevel="0" collapsed="false">
      <c r="A20" s="20" t="str">
        <f aca="false">IF(B20="","",ROW()-8)</f>
        <v/>
      </c>
      <c r="B20" s="21"/>
      <c r="C20" s="22"/>
      <c r="D20" s="22"/>
      <c r="E20" s="23"/>
      <c r="F20" s="23"/>
      <c r="G20" s="24" t="str">
        <f aca="false">IF(AND(E20="",F20=""),"",E20+F20)</f>
        <v/>
      </c>
      <c r="H20" s="22"/>
      <c r="I20" s="22"/>
      <c r="J20" s="22"/>
      <c r="K20" s="25"/>
      <c r="L20" s="26"/>
      <c r="M20" s="26"/>
      <c r="N20" s="27" t="str">
        <f aca="false">IF(OR(L20="",M20=""),"",(M20-L20)*24)</f>
        <v/>
      </c>
      <c r="O20" s="22"/>
    </row>
    <row r="21" customFormat="false" ht="27.75" hidden="false" customHeight="true" outlineLevel="0" collapsed="false">
      <c r="A21" s="20" t="str">
        <f aca="false">IF(B21="","",ROW()-8)</f>
        <v/>
      </c>
      <c r="B21" s="21"/>
      <c r="C21" s="22"/>
      <c r="D21" s="22"/>
      <c r="E21" s="23"/>
      <c r="F21" s="23"/>
      <c r="G21" s="24" t="str">
        <f aca="false">IF(AND(E21="",F21=""),"",E21+F21)</f>
        <v/>
      </c>
      <c r="H21" s="22"/>
      <c r="I21" s="22"/>
      <c r="J21" s="22"/>
      <c r="K21" s="25"/>
      <c r="L21" s="26"/>
      <c r="M21" s="26"/>
      <c r="N21" s="27" t="str">
        <f aca="false">IF(OR(L21="",M21=""),"",(M21-L21)*24)</f>
        <v/>
      </c>
      <c r="O21" s="22"/>
    </row>
    <row r="22" customFormat="false" ht="27.75" hidden="false" customHeight="true" outlineLevel="0" collapsed="false">
      <c r="A22" s="20" t="str">
        <f aca="false">IF(B22="","",ROW()-8)</f>
        <v/>
      </c>
      <c r="B22" s="21"/>
      <c r="C22" s="22"/>
      <c r="D22" s="22"/>
      <c r="E22" s="23"/>
      <c r="F22" s="23"/>
      <c r="G22" s="24" t="str">
        <f aca="false">IF(AND(E22="",F22=""),"",E22+F22)</f>
        <v/>
      </c>
      <c r="H22" s="22"/>
      <c r="I22" s="22"/>
      <c r="J22" s="22"/>
      <c r="K22" s="25"/>
      <c r="L22" s="26"/>
      <c r="M22" s="26"/>
      <c r="N22" s="27" t="str">
        <f aca="false">IF(OR(L22="",M22=""),"",(M22-L22)*24)</f>
        <v/>
      </c>
      <c r="O22" s="22"/>
    </row>
    <row r="23" customFormat="false" ht="27.75" hidden="false" customHeight="true" outlineLevel="0" collapsed="false">
      <c r="A23" s="20" t="str">
        <f aca="false">IF(B23="","",ROW()-8)</f>
        <v/>
      </c>
      <c r="B23" s="21"/>
      <c r="C23" s="22"/>
      <c r="D23" s="22"/>
      <c r="E23" s="23"/>
      <c r="F23" s="23"/>
      <c r="G23" s="24" t="str">
        <f aca="false">IF(AND(E23="",F23=""),"",E23+F23)</f>
        <v/>
      </c>
      <c r="H23" s="22"/>
      <c r="I23" s="22"/>
      <c r="J23" s="22"/>
      <c r="K23" s="25"/>
      <c r="L23" s="26"/>
      <c r="M23" s="26"/>
      <c r="N23" s="27" t="str">
        <f aca="false">IF(OR(L23="",M23=""),"",(M23-L23)*24)</f>
        <v/>
      </c>
      <c r="O23" s="22"/>
    </row>
    <row r="24" customFormat="false" ht="27.75" hidden="false" customHeight="true" outlineLevel="0" collapsed="false">
      <c r="A24" s="20" t="str">
        <f aca="false">IF(B24="","",ROW()-8)</f>
        <v/>
      </c>
      <c r="B24" s="21"/>
      <c r="C24" s="22"/>
      <c r="D24" s="22"/>
      <c r="E24" s="23"/>
      <c r="F24" s="23"/>
      <c r="G24" s="24" t="str">
        <f aca="false">IF(AND(E24="",F24=""),"",E24+F24)</f>
        <v/>
      </c>
      <c r="H24" s="22"/>
      <c r="I24" s="22"/>
      <c r="J24" s="22"/>
      <c r="K24" s="25"/>
      <c r="L24" s="26"/>
      <c r="M24" s="26"/>
      <c r="N24" s="27" t="str">
        <f aca="false">IF(OR(L24="",M24=""),"",(M24-L24)*24)</f>
        <v/>
      </c>
      <c r="O24" s="22"/>
    </row>
    <row r="25" customFormat="false" ht="27.75" hidden="false" customHeight="true" outlineLevel="0" collapsed="false">
      <c r="A25" s="20" t="str">
        <f aca="false">IF(B25="","",ROW()-8)</f>
        <v/>
      </c>
      <c r="B25" s="21"/>
      <c r="C25" s="22"/>
      <c r="D25" s="22"/>
      <c r="E25" s="23"/>
      <c r="F25" s="23"/>
      <c r="G25" s="24" t="str">
        <f aca="false">IF(AND(E25="",F25=""),"",E25+F25)</f>
        <v/>
      </c>
      <c r="H25" s="22"/>
      <c r="I25" s="22"/>
      <c r="J25" s="22"/>
      <c r="K25" s="25"/>
      <c r="L25" s="26"/>
      <c r="M25" s="26"/>
      <c r="N25" s="27" t="str">
        <f aca="false">IF(OR(L25="",M25=""),"",(M25-L25)*24)</f>
        <v/>
      </c>
      <c r="O25" s="22"/>
    </row>
    <row r="26" customFormat="false" ht="27.75" hidden="false" customHeight="true" outlineLevel="0" collapsed="false">
      <c r="A26" s="20" t="str">
        <f aca="false">IF(B26="","",ROW()-8)</f>
        <v/>
      </c>
      <c r="B26" s="21"/>
      <c r="C26" s="22"/>
      <c r="D26" s="22"/>
      <c r="E26" s="23"/>
      <c r="F26" s="23"/>
      <c r="G26" s="24" t="str">
        <f aca="false">IF(AND(E26="",F26=""),"",E26+F26)</f>
        <v/>
      </c>
      <c r="H26" s="22"/>
      <c r="I26" s="22"/>
      <c r="J26" s="22"/>
      <c r="K26" s="25"/>
      <c r="L26" s="26"/>
      <c r="M26" s="26"/>
      <c r="N26" s="27" t="str">
        <f aca="false">IF(OR(L26="",M26=""),"",(M26-L26)*24)</f>
        <v/>
      </c>
      <c r="O26" s="22"/>
    </row>
    <row r="27" customFormat="false" ht="27.75" hidden="false" customHeight="true" outlineLevel="0" collapsed="false">
      <c r="A27" s="20" t="str">
        <f aca="false">IF(B27="","",ROW()-8)</f>
        <v/>
      </c>
      <c r="B27" s="21"/>
      <c r="C27" s="22"/>
      <c r="D27" s="22"/>
      <c r="E27" s="23"/>
      <c r="F27" s="23"/>
      <c r="G27" s="24" t="str">
        <f aca="false">IF(AND(E27="",F27=""),"",E27+F27)</f>
        <v/>
      </c>
      <c r="H27" s="22"/>
      <c r="I27" s="22"/>
      <c r="J27" s="22"/>
      <c r="K27" s="25"/>
      <c r="L27" s="26"/>
      <c r="M27" s="26"/>
      <c r="N27" s="27" t="str">
        <f aca="false">IF(OR(L27="",M27=""),"",(M27-L27)*24)</f>
        <v/>
      </c>
      <c r="O27" s="22"/>
    </row>
    <row r="28" customFormat="false" ht="27.75" hidden="false" customHeight="true" outlineLevel="0" collapsed="false">
      <c r="A28" s="20" t="str">
        <f aca="false">IF(B28="","",ROW()-8)</f>
        <v/>
      </c>
      <c r="B28" s="21"/>
      <c r="C28" s="22"/>
      <c r="D28" s="22"/>
      <c r="E28" s="23"/>
      <c r="F28" s="23"/>
      <c r="G28" s="24" t="str">
        <f aca="false">IF(AND(E28="",F28=""),"",E28+F28)</f>
        <v/>
      </c>
      <c r="H28" s="22"/>
      <c r="I28" s="22"/>
      <c r="J28" s="22"/>
      <c r="K28" s="25"/>
      <c r="L28" s="26"/>
      <c r="M28" s="26"/>
      <c r="N28" s="27" t="str">
        <f aca="false">IF(OR(L28="",M28=""),"",(M28-L28)*24)</f>
        <v/>
      </c>
      <c r="O28" s="22"/>
    </row>
    <row r="29" customFormat="false" ht="27.75" hidden="false" customHeight="true" outlineLevel="0" collapsed="false">
      <c r="A29" s="20" t="str">
        <f aca="false">IF(B29="","",ROW()-8)</f>
        <v/>
      </c>
      <c r="B29" s="21"/>
      <c r="C29" s="22"/>
      <c r="D29" s="22"/>
      <c r="E29" s="23"/>
      <c r="F29" s="23"/>
      <c r="G29" s="24" t="str">
        <f aca="false">IF(AND(E29="",F29=""),"",E29+F29)</f>
        <v/>
      </c>
      <c r="H29" s="22"/>
      <c r="I29" s="22"/>
      <c r="J29" s="22"/>
      <c r="K29" s="25"/>
      <c r="L29" s="26"/>
      <c r="M29" s="26"/>
      <c r="N29" s="27" t="str">
        <f aca="false">IF(OR(L29="",M29=""),"",(M29-L29)*24)</f>
        <v/>
      </c>
      <c r="O29" s="22"/>
    </row>
    <row r="30" customFormat="false" ht="27.75" hidden="false" customHeight="true" outlineLevel="0" collapsed="false">
      <c r="A30" s="20" t="str">
        <f aca="false">IF(B30="","",ROW()-8)</f>
        <v/>
      </c>
      <c r="B30" s="21"/>
      <c r="C30" s="22"/>
      <c r="D30" s="22"/>
      <c r="E30" s="23"/>
      <c r="F30" s="23"/>
      <c r="G30" s="24" t="str">
        <f aca="false">IF(AND(E30="",F30=""),"",E30+F30)</f>
        <v/>
      </c>
      <c r="H30" s="22"/>
      <c r="I30" s="22"/>
      <c r="J30" s="22"/>
      <c r="K30" s="25"/>
      <c r="L30" s="26"/>
      <c r="M30" s="26"/>
      <c r="N30" s="27" t="str">
        <f aca="false">IF(OR(L30="",M30=""),"",(M30-L30)*24)</f>
        <v/>
      </c>
      <c r="O30" s="22"/>
    </row>
    <row r="31" customFormat="false" ht="27.75" hidden="false" customHeight="true" outlineLevel="0" collapsed="false">
      <c r="A31" s="20" t="str">
        <f aca="false">IF(B31="","",ROW()-8)</f>
        <v/>
      </c>
      <c r="B31" s="21"/>
      <c r="C31" s="22"/>
      <c r="D31" s="22"/>
      <c r="E31" s="23"/>
      <c r="F31" s="23"/>
      <c r="G31" s="24" t="str">
        <f aca="false">IF(AND(E31="",F31=""),"",E31+F31)</f>
        <v/>
      </c>
      <c r="H31" s="22"/>
      <c r="I31" s="22"/>
      <c r="J31" s="22"/>
      <c r="K31" s="25"/>
      <c r="L31" s="26"/>
      <c r="M31" s="26"/>
      <c r="N31" s="27" t="str">
        <f aca="false">IF(OR(L31="",M31=""),"",(M31-L31)*24)</f>
        <v/>
      </c>
      <c r="O31" s="22"/>
    </row>
    <row r="32" customFormat="false" ht="27.75" hidden="false" customHeight="true" outlineLevel="0" collapsed="false">
      <c r="A32" s="20" t="str">
        <f aca="false">IF(B32="","",ROW()-8)</f>
        <v/>
      </c>
      <c r="B32" s="21"/>
      <c r="C32" s="22"/>
      <c r="D32" s="22"/>
      <c r="E32" s="23"/>
      <c r="F32" s="23"/>
      <c r="G32" s="24" t="str">
        <f aca="false">IF(AND(E32="",F32=""),"",E32+F32)</f>
        <v/>
      </c>
      <c r="H32" s="22"/>
      <c r="I32" s="22"/>
      <c r="J32" s="22"/>
      <c r="K32" s="25"/>
      <c r="L32" s="26"/>
      <c r="M32" s="26"/>
      <c r="N32" s="27" t="str">
        <f aca="false">IF(OR(L32="",M32=""),"",(M32-L32)*24)</f>
        <v/>
      </c>
      <c r="O32" s="22"/>
    </row>
    <row r="33" customFormat="false" ht="27.75" hidden="false" customHeight="true" outlineLevel="0" collapsed="false">
      <c r="A33" s="20" t="str">
        <f aca="false">IF(B33="","",ROW()-8)</f>
        <v/>
      </c>
      <c r="B33" s="21"/>
      <c r="C33" s="22"/>
      <c r="D33" s="22"/>
      <c r="E33" s="23"/>
      <c r="F33" s="23"/>
      <c r="G33" s="24" t="str">
        <f aca="false">IF(AND(E33="",F33=""),"",E33+F33)</f>
        <v/>
      </c>
      <c r="H33" s="22"/>
      <c r="I33" s="22"/>
      <c r="J33" s="22"/>
      <c r="K33" s="25"/>
      <c r="L33" s="26"/>
      <c r="M33" s="26"/>
      <c r="N33" s="27" t="str">
        <f aca="false">IF(OR(L33="",M33=""),"",(M33-L33)*24)</f>
        <v/>
      </c>
      <c r="O33" s="22"/>
    </row>
    <row r="34" customFormat="false" ht="27.75" hidden="false" customHeight="true" outlineLevel="0" collapsed="false">
      <c r="A34" s="20" t="str">
        <f aca="false">IF(B34="","",ROW()-8)</f>
        <v/>
      </c>
      <c r="B34" s="21"/>
      <c r="C34" s="22"/>
      <c r="D34" s="22"/>
      <c r="E34" s="23"/>
      <c r="F34" s="23"/>
      <c r="G34" s="24" t="str">
        <f aca="false">IF(AND(E34="",F34=""),"",E34+F34)</f>
        <v/>
      </c>
      <c r="H34" s="22"/>
      <c r="I34" s="22"/>
      <c r="J34" s="22"/>
      <c r="K34" s="25"/>
      <c r="L34" s="26"/>
      <c r="M34" s="26"/>
      <c r="N34" s="27" t="str">
        <f aca="false">IF(OR(L34="",M34=""),"",(M34-L34)*24)</f>
        <v/>
      </c>
      <c r="O34" s="22"/>
    </row>
    <row r="35" customFormat="false" ht="27.75" hidden="false" customHeight="true" outlineLevel="0" collapsed="false">
      <c r="A35" s="20" t="str">
        <f aca="false">IF(B35="","",ROW()-8)</f>
        <v/>
      </c>
      <c r="B35" s="21"/>
      <c r="C35" s="22"/>
      <c r="D35" s="22"/>
      <c r="E35" s="23"/>
      <c r="F35" s="23"/>
      <c r="G35" s="24" t="str">
        <f aca="false">IF(AND(E35="",F35=""),"",E35+F35)</f>
        <v/>
      </c>
      <c r="H35" s="22"/>
      <c r="I35" s="22"/>
      <c r="J35" s="22"/>
      <c r="K35" s="25"/>
      <c r="L35" s="26"/>
      <c r="M35" s="26"/>
      <c r="N35" s="27" t="str">
        <f aca="false">IF(OR(L35="",M35=""),"",(M35-L35)*24)</f>
        <v/>
      </c>
      <c r="O35" s="22"/>
    </row>
    <row r="36" customFormat="false" ht="27.75" hidden="false" customHeight="true" outlineLevel="0" collapsed="false">
      <c r="A36" s="20" t="str">
        <f aca="false">IF(B36="","",ROW()-8)</f>
        <v/>
      </c>
      <c r="B36" s="21"/>
      <c r="C36" s="22"/>
      <c r="D36" s="22"/>
      <c r="E36" s="23"/>
      <c r="F36" s="23"/>
      <c r="G36" s="24" t="str">
        <f aca="false">IF(AND(E36="",F36=""),"",E36+F36)</f>
        <v/>
      </c>
      <c r="H36" s="22"/>
      <c r="I36" s="22"/>
      <c r="J36" s="22"/>
      <c r="K36" s="25"/>
      <c r="L36" s="26"/>
      <c r="M36" s="26"/>
      <c r="N36" s="27" t="str">
        <f aca="false">IF(OR(L36="",M36=""),"",(M36-L36)*24)</f>
        <v/>
      </c>
      <c r="O36" s="22"/>
    </row>
    <row r="37" customFormat="false" ht="27.75" hidden="false" customHeight="true" outlineLevel="0" collapsed="false">
      <c r="A37" s="20" t="str">
        <f aca="false">IF(B37="","",ROW()-8)</f>
        <v/>
      </c>
      <c r="B37" s="21"/>
      <c r="C37" s="22"/>
      <c r="D37" s="22"/>
      <c r="E37" s="23"/>
      <c r="F37" s="23"/>
      <c r="G37" s="24" t="str">
        <f aca="false">IF(AND(E37="",F37=""),"",E37+F37)</f>
        <v/>
      </c>
      <c r="H37" s="22"/>
      <c r="I37" s="22"/>
      <c r="J37" s="22"/>
      <c r="K37" s="25"/>
      <c r="L37" s="26"/>
      <c r="M37" s="26"/>
      <c r="N37" s="27" t="str">
        <f aca="false">IF(OR(L37="",M37=""),"",(M37-L37)*24)</f>
        <v/>
      </c>
      <c r="O37" s="22"/>
    </row>
    <row r="38" customFormat="false" ht="27.75" hidden="false" customHeight="true" outlineLevel="0" collapsed="false">
      <c r="A38" s="20" t="str">
        <f aca="false">IF(B38="","",ROW()-8)</f>
        <v/>
      </c>
      <c r="B38" s="21"/>
      <c r="C38" s="22"/>
      <c r="D38" s="22"/>
      <c r="E38" s="23"/>
      <c r="F38" s="23"/>
      <c r="G38" s="24" t="str">
        <f aca="false">IF(AND(E38="",F38=""),"",E38+F38)</f>
        <v/>
      </c>
      <c r="H38" s="22"/>
      <c r="I38" s="22"/>
      <c r="J38" s="22"/>
      <c r="K38" s="25"/>
      <c r="L38" s="26"/>
      <c r="M38" s="26"/>
      <c r="N38" s="27" t="str">
        <f aca="false">IF(OR(L38="",M38=""),"",(M38-L38)*24)</f>
        <v/>
      </c>
      <c r="O38" s="22"/>
    </row>
    <row r="39" customFormat="false" ht="27.75" hidden="false" customHeight="true" outlineLevel="0" collapsed="false">
      <c r="A39" s="20" t="str">
        <f aca="false">IF(B39="","",ROW()-8)</f>
        <v/>
      </c>
      <c r="B39" s="21"/>
      <c r="C39" s="22"/>
      <c r="D39" s="22"/>
      <c r="E39" s="23"/>
      <c r="F39" s="23"/>
      <c r="G39" s="24" t="str">
        <f aca="false">IF(AND(E39="",F39=""),"",E39+F39)</f>
        <v/>
      </c>
      <c r="H39" s="22"/>
      <c r="I39" s="22"/>
      <c r="J39" s="22"/>
      <c r="K39" s="25"/>
      <c r="L39" s="26"/>
      <c r="M39" s="26"/>
      <c r="N39" s="27" t="str">
        <f aca="false">IF(OR(L39="",M39=""),"",(M39-L39)*24)</f>
        <v/>
      </c>
      <c r="O39" s="22"/>
    </row>
    <row r="40" customFormat="false" ht="27.75" hidden="false" customHeight="true" outlineLevel="0" collapsed="false">
      <c r="A40" s="20" t="str">
        <f aca="false">IF(B40="","",ROW()-8)</f>
        <v/>
      </c>
      <c r="B40" s="21"/>
      <c r="C40" s="22"/>
      <c r="D40" s="22"/>
      <c r="E40" s="23"/>
      <c r="F40" s="23"/>
      <c r="G40" s="24" t="str">
        <f aca="false">IF(AND(E40="",F40=""),"",E40+F40)</f>
        <v/>
      </c>
      <c r="H40" s="22"/>
      <c r="I40" s="22"/>
      <c r="J40" s="22"/>
      <c r="K40" s="25"/>
      <c r="L40" s="26"/>
      <c r="M40" s="26"/>
      <c r="N40" s="27" t="str">
        <f aca="false">IF(OR(L40="",M40=""),"",(M40-L40)*24)</f>
        <v/>
      </c>
      <c r="O40" s="22"/>
    </row>
    <row r="41" customFormat="false" ht="27.75" hidden="false" customHeight="true" outlineLevel="0" collapsed="false">
      <c r="A41" s="20" t="str">
        <f aca="false">IF(B41="","",ROW()-8)</f>
        <v/>
      </c>
      <c r="B41" s="21"/>
      <c r="C41" s="22"/>
      <c r="D41" s="22"/>
      <c r="E41" s="23"/>
      <c r="F41" s="23"/>
      <c r="G41" s="24" t="str">
        <f aca="false">IF(AND(E41="",F41=""),"",E41+F41)</f>
        <v/>
      </c>
      <c r="H41" s="22"/>
      <c r="I41" s="22"/>
      <c r="J41" s="22"/>
      <c r="K41" s="25"/>
      <c r="L41" s="26"/>
      <c r="M41" s="26"/>
      <c r="N41" s="27" t="str">
        <f aca="false">IF(OR(L41="",M41=""),"",(M41-L41)*24)</f>
        <v/>
      </c>
      <c r="O41" s="22"/>
    </row>
    <row r="42" customFormat="false" ht="27.75" hidden="false" customHeight="true" outlineLevel="0" collapsed="false">
      <c r="A42" s="20" t="str">
        <f aca="false">IF(B42="","",ROW()-8)</f>
        <v/>
      </c>
      <c r="B42" s="21"/>
      <c r="C42" s="22"/>
      <c r="D42" s="22"/>
      <c r="E42" s="23"/>
      <c r="F42" s="23"/>
      <c r="G42" s="24" t="str">
        <f aca="false">IF(AND(E42="",F42=""),"",E42+F42)</f>
        <v/>
      </c>
      <c r="H42" s="22"/>
      <c r="I42" s="22"/>
      <c r="J42" s="22"/>
      <c r="K42" s="25"/>
      <c r="L42" s="26"/>
      <c r="M42" s="26"/>
      <c r="N42" s="27" t="str">
        <f aca="false">IF(OR(L42="",M42=""),"",(M42-L42)*24)</f>
        <v/>
      </c>
      <c r="O42" s="22"/>
    </row>
    <row r="43" customFormat="false" ht="27.75" hidden="false" customHeight="true" outlineLevel="0" collapsed="false">
      <c r="A43" s="20" t="str">
        <f aca="false">IF(B43="","",ROW()-8)</f>
        <v/>
      </c>
      <c r="B43" s="21"/>
      <c r="C43" s="22"/>
      <c r="D43" s="22"/>
      <c r="E43" s="23"/>
      <c r="F43" s="23"/>
      <c r="G43" s="24" t="str">
        <f aca="false">IF(AND(E43="",F43=""),"",E43+F43)</f>
        <v/>
      </c>
      <c r="H43" s="22"/>
      <c r="I43" s="22"/>
      <c r="J43" s="22"/>
      <c r="K43" s="25"/>
      <c r="L43" s="26"/>
      <c r="M43" s="26"/>
      <c r="N43" s="27" t="str">
        <f aca="false">IF(OR(L43="",M43=""),"",(M43-L43)*24)</f>
        <v/>
      </c>
      <c r="O43" s="22"/>
    </row>
    <row r="44" customFormat="false" ht="27.75" hidden="false" customHeight="true" outlineLevel="0" collapsed="false">
      <c r="A44" s="20" t="str">
        <f aca="false">IF(B44="","",ROW()-8)</f>
        <v/>
      </c>
      <c r="B44" s="21"/>
      <c r="C44" s="22"/>
      <c r="D44" s="22"/>
      <c r="E44" s="23"/>
      <c r="F44" s="23"/>
      <c r="G44" s="24" t="str">
        <f aca="false">IF(AND(E44="",F44=""),"",E44+F44)</f>
        <v/>
      </c>
      <c r="H44" s="22"/>
      <c r="I44" s="22"/>
      <c r="J44" s="22"/>
      <c r="K44" s="25"/>
      <c r="L44" s="26"/>
      <c r="M44" s="26"/>
      <c r="N44" s="27" t="str">
        <f aca="false">IF(OR(L44="",M44=""),"",(M44-L44)*24)</f>
        <v/>
      </c>
      <c r="O44" s="22"/>
    </row>
    <row r="45" customFormat="false" ht="27.75" hidden="false" customHeight="true" outlineLevel="0" collapsed="false">
      <c r="A45" s="20" t="str">
        <f aca="false">IF(B45="","",ROW()-8)</f>
        <v/>
      </c>
      <c r="B45" s="21"/>
      <c r="C45" s="22"/>
      <c r="D45" s="22"/>
      <c r="E45" s="23"/>
      <c r="F45" s="23"/>
      <c r="G45" s="24" t="str">
        <f aca="false">IF(AND(E45="",F45=""),"",E45+F45)</f>
        <v/>
      </c>
      <c r="H45" s="22"/>
      <c r="I45" s="22"/>
      <c r="J45" s="22"/>
      <c r="K45" s="25"/>
      <c r="L45" s="26"/>
      <c r="M45" s="26"/>
      <c r="N45" s="27" t="str">
        <f aca="false">IF(OR(L45="",M45=""),"",(M45-L45)*24)</f>
        <v/>
      </c>
      <c r="O45" s="22"/>
    </row>
    <row r="46" customFormat="false" ht="27.75" hidden="false" customHeight="true" outlineLevel="0" collapsed="false">
      <c r="A46" s="20" t="str">
        <f aca="false">IF(B46="","",ROW()-8)</f>
        <v/>
      </c>
      <c r="B46" s="21"/>
      <c r="C46" s="22"/>
      <c r="D46" s="22"/>
      <c r="E46" s="23"/>
      <c r="F46" s="23"/>
      <c r="G46" s="24" t="str">
        <f aca="false">IF(AND(E46="",F46=""),"",E46+F46)</f>
        <v/>
      </c>
      <c r="H46" s="22"/>
      <c r="I46" s="22"/>
      <c r="J46" s="22"/>
      <c r="K46" s="25"/>
      <c r="L46" s="26"/>
      <c r="M46" s="26"/>
      <c r="N46" s="27" t="str">
        <f aca="false">IF(OR(L46="",M46=""),"",(M46-L46)*24)</f>
        <v/>
      </c>
      <c r="O46" s="22"/>
    </row>
    <row r="47" customFormat="false" ht="27.75" hidden="false" customHeight="true" outlineLevel="0" collapsed="false">
      <c r="A47" s="20" t="str">
        <f aca="false">IF(B47="","",ROW()-8)</f>
        <v/>
      </c>
      <c r="B47" s="21"/>
      <c r="C47" s="22"/>
      <c r="D47" s="22"/>
      <c r="E47" s="23"/>
      <c r="F47" s="23"/>
      <c r="G47" s="24" t="str">
        <f aca="false">IF(AND(E47="",F47=""),"",E47+F47)</f>
        <v/>
      </c>
      <c r="H47" s="22"/>
      <c r="I47" s="22"/>
      <c r="J47" s="22"/>
      <c r="K47" s="25"/>
      <c r="L47" s="26"/>
      <c r="M47" s="26"/>
      <c r="N47" s="27" t="str">
        <f aca="false">IF(OR(L47="",M47=""),"",(M47-L47)*24)</f>
        <v/>
      </c>
      <c r="O47" s="22"/>
    </row>
    <row r="48" customFormat="false" ht="27.75" hidden="false" customHeight="true" outlineLevel="0" collapsed="false">
      <c r="A48" s="20" t="str">
        <f aca="false">IF(B48="","",ROW()-8)</f>
        <v/>
      </c>
      <c r="B48" s="21"/>
      <c r="C48" s="22"/>
      <c r="D48" s="22"/>
      <c r="E48" s="23"/>
      <c r="F48" s="23"/>
      <c r="G48" s="24" t="str">
        <f aca="false">IF(AND(E48="",F48=""),"",E48+F48)</f>
        <v/>
      </c>
      <c r="H48" s="22"/>
      <c r="I48" s="22"/>
      <c r="J48" s="22"/>
      <c r="K48" s="25"/>
      <c r="L48" s="26"/>
      <c r="M48" s="26"/>
      <c r="N48" s="27" t="str">
        <f aca="false">IF(OR(L48="",M48=""),"",(M48-L48)*24)</f>
        <v/>
      </c>
      <c r="O48" s="22"/>
    </row>
    <row r="49" customFormat="false" ht="27.75" hidden="false" customHeight="true" outlineLevel="0" collapsed="false">
      <c r="A49" s="20" t="str">
        <f aca="false">IF(B49="","",ROW()-8)</f>
        <v/>
      </c>
      <c r="B49" s="21"/>
      <c r="C49" s="22"/>
      <c r="D49" s="22"/>
      <c r="E49" s="23"/>
      <c r="F49" s="23"/>
      <c r="G49" s="24" t="str">
        <f aca="false">IF(AND(E49="",F49=""),"",E49+F49)</f>
        <v/>
      </c>
      <c r="H49" s="22"/>
      <c r="I49" s="22"/>
      <c r="J49" s="22"/>
      <c r="K49" s="25"/>
      <c r="L49" s="26"/>
      <c r="M49" s="26"/>
      <c r="N49" s="27" t="str">
        <f aca="false">IF(OR(L49="",M49=""),"",(M49-L49)*24)</f>
        <v/>
      </c>
      <c r="O49" s="22"/>
    </row>
    <row r="50" customFormat="false" ht="27.75" hidden="false" customHeight="true" outlineLevel="0" collapsed="false">
      <c r="A50" s="20" t="str">
        <f aca="false">IF(B50="","",ROW()-8)</f>
        <v/>
      </c>
      <c r="B50" s="21"/>
      <c r="C50" s="22"/>
      <c r="D50" s="22"/>
      <c r="E50" s="23"/>
      <c r="F50" s="23"/>
      <c r="G50" s="24" t="str">
        <f aca="false">IF(AND(E50="",F50=""),"",E50+F50)</f>
        <v/>
      </c>
      <c r="H50" s="22"/>
      <c r="I50" s="22"/>
      <c r="J50" s="22"/>
      <c r="K50" s="25"/>
      <c r="L50" s="26"/>
      <c r="M50" s="26"/>
      <c r="N50" s="27" t="str">
        <f aca="false">IF(OR(L50="",M50=""),"",(M50-L50)*24)</f>
        <v/>
      </c>
      <c r="O50" s="22"/>
    </row>
    <row r="51" customFormat="false" ht="27.75" hidden="false" customHeight="true" outlineLevel="0" collapsed="false">
      <c r="A51" s="20" t="str">
        <f aca="false">IF(B51="","",ROW()-8)</f>
        <v/>
      </c>
      <c r="B51" s="21"/>
      <c r="C51" s="22"/>
      <c r="D51" s="22"/>
      <c r="E51" s="23"/>
      <c r="F51" s="23"/>
      <c r="G51" s="24" t="str">
        <f aca="false">IF(AND(E51="",F51=""),"",E51+F51)</f>
        <v/>
      </c>
      <c r="H51" s="22"/>
      <c r="I51" s="22"/>
      <c r="J51" s="22"/>
      <c r="K51" s="25"/>
      <c r="L51" s="26"/>
      <c r="M51" s="26"/>
      <c r="N51" s="27" t="str">
        <f aca="false">IF(OR(L51="",M51=""),"",(M51-L51)*24)</f>
        <v/>
      </c>
      <c r="O51" s="22"/>
    </row>
    <row r="52" customFormat="false" ht="27.75" hidden="false" customHeight="true" outlineLevel="0" collapsed="false">
      <c r="A52" s="20" t="str">
        <f aca="false">IF(B52="","",ROW()-8)</f>
        <v/>
      </c>
      <c r="B52" s="21"/>
      <c r="C52" s="22"/>
      <c r="D52" s="22"/>
      <c r="E52" s="23"/>
      <c r="F52" s="23"/>
      <c r="G52" s="24" t="str">
        <f aca="false">IF(AND(E52="",F52=""),"",E52+F52)</f>
        <v/>
      </c>
      <c r="H52" s="22"/>
      <c r="I52" s="22"/>
      <c r="J52" s="22"/>
      <c r="K52" s="25"/>
      <c r="L52" s="26"/>
      <c r="M52" s="26"/>
      <c r="N52" s="27" t="str">
        <f aca="false">IF(OR(L52="",M52=""),"",(M52-L52)*24)</f>
        <v/>
      </c>
      <c r="O52" s="22"/>
    </row>
    <row r="53" customFormat="false" ht="27.75" hidden="false" customHeight="true" outlineLevel="0" collapsed="false">
      <c r="A53" s="20" t="str">
        <f aca="false">IF(B53="","",ROW()-8)</f>
        <v/>
      </c>
      <c r="B53" s="21"/>
      <c r="C53" s="22"/>
      <c r="D53" s="22"/>
      <c r="E53" s="23"/>
      <c r="F53" s="23"/>
      <c r="G53" s="24" t="str">
        <f aca="false">IF(AND(E53="",F53=""),"",E53+F53)</f>
        <v/>
      </c>
      <c r="H53" s="22"/>
      <c r="I53" s="22"/>
      <c r="J53" s="22"/>
      <c r="K53" s="25"/>
      <c r="L53" s="26"/>
      <c r="M53" s="26"/>
      <c r="N53" s="27" t="str">
        <f aca="false">IF(OR(L53="",M53=""),"",(M53-L53)*24)</f>
        <v/>
      </c>
      <c r="O53" s="22"/>
    </row>
    <row r="54" customFormat="false" ht="27.75" hidden="false" customHeight="true" outlineLevel="0" collapsed="false">
      <c r="A54" s="20" t="str">
        <f aca="false">IF(B54="","",ROW()-8)</f>
        <v/>
      </c>
      <c r="B54" s="21"/>
      <c r="C54" s="22"/>
      <c r="D54" s="22"/>
      <c r="E54" s="23"/>
      <c r="F54" s="23"/>
      <c r="G54" s="24" t="str">
        <f aca="false">IF(AND(E54="",F54=""),"",E54+F54)</f>
        <v/>
      </c>
      <c r="H54" s="22"/>
      <c r="I54" s="22"/>
      <c r="J54" s="22"/>
      <c r="K54" s="25"/>
      <c r="L54" s="26"/>
      <c r="M54" s="26"/>
      <c r="N54" s="27" t="str">
        <f aca="false">IF(OR(L54="",M54=""),"",(M54-L54)*24)</f>
        <v/>
      </c>
      <c r="O54" s="22"/>
    </row>
    <row r="55" customFormat="false" ht="27.75" hidden="false" customHeight="true" outlineLevel="0" collapsed="false">
      <c r="A55" s="20" t="str">
        <f aca="false">IF(B55="","",ROW()-8)</f>
        <v/>
      </c>
      <c r="B55" s="21"/>
      <c r="C55" s="22"/>
      <c r="D55" s="22"/>
      <c r="E55" s="23"/>
      <c r="F55" s="23"/>
      <c r="G55" s="24" t="str">
        <f aca="false">IF(AND(E55="",F55=""),"",E55+F55)</f>
        <v/>
      </c>
      <c r="H55" s="22"/>
      <c r="I55" s="22"/>
      <c r="J55" s="22"/>
      <c r="K55" s="25"/>
      <c r="L55" s="26"/>
      <c r="M55" s="26"/>
      <c r="N55" s="27" t="str">
        <f aca="false">IF(OR(L55="",M55=""),"",(M55-L55)*24)</f>
        <v/>
      </c>
      <c r="O55" s="22"/>
    </row>
    <row r="56" customFormat="false" ht="27.75" hidden="false" customHeight="true" outlineLevel="0" collapsed="false">
      <c r="A56" s="20" t="str">
        <f aca="false">IF(B56="","",ROW()-8)</f>
        <v/>
      </c>
      <c r="B56" s="21"/>
      <c r="C56" s="22"/>
      <c r="D56" s="22"/>
      <c r="E56" s="23"/>
      <c r="F56" s="23"/>
      <c r="G56" s="24" t="str">
        <f aca="false">IF(AND(E56="",F56=""),"",E56+F56)</f>
        <v/>
      </c>
      <c r="H56" s="22"/>
      <c r="I56" s="22"/>
      <c r="J56" s="22"/>
      <c r="K56" s="25"/>
      <c r="L56" s="26"/>
      <c r="M56" s="26"/>
      <c r="N56" s="27" t="str">
        <f aca="false">IF(OR(L56="",M56=""),"",(M56-L56)*24)</f>
        <v/>
      </c>
      <c r="O56" s="22"/>
    </row>
    <row r="57" customFormat="false" ht="27.75" hidden="false" customHeight="true" outlineLevel="0" collapsed="false">
      <c r="A57" s="20" t="str">
        <f aca="false">IF(B57="","",ROW()-8)</f>
        <v/>
      </c>
      <c r="B57" s="21"/>
      <c r="C57" s="22"/>
      <c r="D57" s="22"/>
      <c r="E57" s="23"/>
      <c r="F57" s="23"/>
      <c r="G57" s="24" t="str">
        <f aca="false">IF(AND(E57="",F57=""),"",E57+F57)</f>
        <v/>
      </c>
      <c r="H57" s="22"/>
      <c r="I57" s="22"/>
      <c r="J57" s="22"/>
      <c r="K57" s="25"/>
      <c r="L57" s="26"/>
      <c r="M57" s="26"/>
      <c r="N57" s="27" t="str">
        <f aca="false">IF(OR(L57="",M57=""),"",(M57-L57)*24)</f>
        <v/>
      </c>
      <c r="O57" s="22"/>
    </row>
    <row r="58" customFormat="false" ht="27.75" hidden="false" customHeight="true" outlineLevel="0" collapsed="false">
      <c r="A58" s="20" t="str">
        <f aca="false">IF(B58="","",ROW()-8)</f>
        <v/>
      </c>
      <c r="B58" s="21"/>
      <c r="C58" s="22"/>
      <c r="D58" s="22"/>
      <c r="E58" s="23"/>
      <c r="F58" s="23"/>
      <c r="G58" s="24" t="str">
        <f aca="false">IF(AND(E58="",F58=""),"",E58+F58)</f>
        <v/>
      </c>
      <c r="H58" s="22"/>
      <c r="I58" s="22"/>
      <c r="J58" s="22"/>
      <c r="K58" s="25"/>
      <c r="L58" s="26"/>
      <c r="M58" s="26"/>
      <c r="N58" s="27" t="str">
        <f aca="false">IF(OR(L58="",M58=""),"",(M58-L58)*24)</f>
        <v/>
      </c>
      <c r="O58" s="22"/>
    </row>
  </sheetData>
  <autoFilter ref="A8:O8"/>
  <mergeCells count="2">
    <mergeCell ref="A1:C1"/>
    <mergeCell ref="K7:O7"/>
  </mergeCells>
  <conditionalFormatting sqref="A9:A508">
    <cfRule type="expression" priority="2" aboveAverage="0" equalAverage="0" bottom="0" percent="0" rank="0" text="" dxfId="3">
      <formula>OR(WEEKDAY($B9,2)=6,WEEKDAY($B9,2)=7)</formula>
    </cfRule>
  </conditionalFormatting>
  <conditionalFormatting sqref="B9:B508">
    <cfRule type="expression" priority="3" aboveAverage="0" equalAverage="0" bottom="0" percent="0" rank="0" text="" dxfId="3">
      <formula>OR(WEEKDAY($B9,2)=6,WEEKDAY($B9,2)=7)</formula>
    </cfRule>
  </conditionalFormatting>
  <conditionalFormatting sqref="C9:C508">
    <cfRule type="expression" priority="4" aboveAverage="0" equalAverage="0" bottom="0" percent="0" rank="0" text="" dxfId="3">
      <formula>OR(WEEKDAY($B9,2)=6,WEEKDAY($B9,2)=7)</formula>
    </cfRule>
  </conditionalFormatting>
  <conditionalFormatting sqref="D9:D508">
    <cfRule type="expression" priority="5" aboveAverage="0" equalAverage="0" bottom="0" percent="0" rank="0" text="" dxfId="3">
      <formula>OR(WEEKDAY($B9,2)=6,WEEKDAY($B9,2)=7)</formula>
    </cfRule>
  </conditionalFormatting>
  <conditionalFormatting sqref="E9:E508">
    <cfRule type="expression" priority="6" aboveAverage="0" equalAverage="0" bottom="0" percent="0" rank="0" text="" dxfId="3">
      <formula>OR(WEEKDAY($B9,2)=6,WEEKDAY($B9,2)=7)</formula>
    </cfRule>
  </conditionalFormatting>
  <conditionalFormatting sqref="F9:F508">
    <cfRule type="expression" priority="7" aboveAverage="0" equalAverage="0" bottom="0" percent="0" rank="0" text="" dxfId="3">
      <formula>OR(WEEKDAY($B9,2)=6,WEEKDAY($B9,2)=7)</formula>
    </cfRule>
  </conditionalFormatting>
  <conditionalFormatting sqref="G9:G508">
    <cfRule type="expression" priority="8" aboveAverage="0" equalAverage="0" bottom="0" percent="0" rank="0" text="" dxfId="3">
      <formula>OR(WEEKDAY($B9,2)=6,WEEKDAY($B9,2)=7)</formula>
    </cfRule>
    <cfRule type="expression" priority="9" aboveAverage="0" equalAverage="0" bottom="0" percent="0" rank="0" text="" dxfId="4">
      <formula>AND($G9&lt;&gt;"",$G9&gt;=10)</formula>
    </cfRule>
    <cfRule type="expression" priority="10" aboveAverage="0" equalAverage="0" bottom="0" percent="0" rank="0" text="" dxfId="5">
      <formula>AND($G9&lt;&gt;"",$G9&gt;=20)</formula>
    </cfRule>
  </conditionalFormatting>
  <conditionalFormatting sqref="H9:H508">
    <cfRule type="expression" priority="11" aboveAverage="0" equalAverage="0" bottom="0" percent="0" rank="0" text="" dxfId="3">
      <formula>OR(WEEKDAY($B9,2)=6,WEEKDAY($B9,2)=7)</formula>
    </cfRule>
  </conditionalFormatting>
  <conditionalFormatting sqref="I9:I508">
    <cfRule type="expression" priority="12" aboveAverage="0" equalAverage="0" bottom="0" percent="0" rank="0" text="" dxfId="3">
      <formula>OR(WEEKDAY($B9,2)=6,WEEKDAY($B9,2)=7)</formula>
    </cfRule>
  </conditionalFormatting>
  <conditionalFormatting sqref="J9:J508">
    <cfRule type="expression" priority="13" aboveAverage="0" equalAverage="0" bottom="0" percent="0" rank="0" text="" dxfId="3">
      <formula>OR(WEEKDAY($B9,2)=6,WEEKDAY($B9,2)=7)</formula>
    </cfRule>
  </conditionalFormatting>
  <dataValidations count="5">
    <dataValidation allowBlank="true" errorStyle="stop" operator="between" prompt="Select trade" showDropDown="false" showErrorMessage="false" showInputMessage="false" sqref="C9:C508" type="list">
      <formula1>"General Labour,Groundworks,Concrete,Steel Fixing,Formwork/Carpentry,Brickwork/Blockwork,Roofing,M&amp;E Electrical,M&amp;E Mechanical,Plumbing,Plastering/Dry Lining,Painting/Decorating,Scaffolding,Piling,Demolition,Cladding,Fit-Out,Commissioning,Cleaning,Manageme"</formula1>
      <formula2>0</formula2>
    </dataValidation>
    <dataValidation allowBlank="true" errorStyle="stop" operator="between" showDropDown="false" showErrorMessage="false" showInputMessage="false" sqref="K9:K508" type="list">
      <formula1>"Day,Night,Split"</formula1>
      <formula2>0</formula2>
    </dataValidation>
    <dataValidation allowBlank="true" errorStyle="stop" operator="between" showDropDown="false" showErrorMessage="false" showInputMessage="false" sqref="B9:B508" type="date">
      <formula1>0</formula1>
      <formula2>0</formula2>
    </dataValidation>
    <dataValidation allowBlank="true" errorStyle="stop" operator="between" showDropDown="false" showErrorMessage="false" showInputMessage="false" sqref="E9:E508" type="whole">
      <formula1>0</formula1>
      <formula2>500</formula2>
    </dataValidation>
    <dataValidation allowBlank="true" errorStyle="stop" operator="between" showDropDown="false" showErrorMessage="false" showInputMessage="false" sqref="F9:F508" type="whole">
      <formula1>0</formula1>
      <formula2>100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&amp;CDaily Labour Allocation Sheet</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8" t="s">
        <v>90</v>
      </c>
    </row>
    <row r="2" customFormat="false" ht="15" hidden="false" customHeight="false" outlineLevel="0" collapsed="false">
      <c r="A2" s="28"/>
    </row>
    <row r="3" customFormat="false" ht="15" hidden="false" customHeight="false" outlineLevel="0" collapsed="false">
      <c r="A3" s="28" t="s">
        <v>91</v>
      </c>
    </row>
    <row r="4" customFormat="false" ht="15" hidden="false" customHeight="false" outlineLevel="0" collapsed="false">
      <c r="A4" s="28"/>
    </row>
    <row r="5" customFormat="false" ht="15" hidden="false" customHeight="false" outlineLevel="0" collapsed="false">
      <c r="A5" s="28" t="s">
        <v>92</v>
      </c>
    </row>
    <row r="6" customFormat="false" ht="15" hidden="false" customHeight="false" outlineLevel="0" collapsed="false">
      <c r="A6" s="28"/>
    </row>
    <row r="7" customFormat="false" ht="15" hidden="false" customHeight="false" outlineLevel="0" collapsed="false">
      <c r="A7" s="28" t="s">
        <v>93</v>
      </c>
    </row>
    <row r="8" customFormat="false" ht="15" hidden="false" customHeight="false" outlineLevel="0" collapsed="false">
      <c r="A8" s="28"/>
    </row>
    <row r="9" customFormat="false" ht="15" hidden="false" customHeight="false" outlineLevel="0" collapsed="false">
      <c r="A9" s="28" t="s">
        <v>94</v>
      </c>
    </row>
    <row r="10" customFormat="false" ht="15" hidden="false" customHeight="false" outlineLevel="0" collapsed="false">
      <c r="A10" s="28"/>
    </row>
    <row r="11" customFormat="false" ht="15" hidden="false" customHeight="false" outlineLevel="0" collapsed="false">
      <c r="A11" s="28" t="s">
        <v>95</v>
      </c>
    </row>
    <row r="12" customFormat="false" ht="15" hidden="false" customHeight="false" outlineLevel="0" collapsed="false">
      <c r="A12" s="28"/>
    </row>
    <row r="13" customFormat="false" ht="15" hidden="false" customHeight="false" outlineLevel="0" collapsed="false">
      <c r="A13" s="28" t="s">
        <v>96</v>
      </c>
    </row>
    <row r="14" customFormat="false" ht="15" hidden="false" customHeight="false" outlineLevel="0" collapsed="false">
      <c r="A14" s="28"/>
    </row>
    <row r="15" customFormat="false" ht="15" hidden="false" customHeight="false" outlineLevel="0" collapsed="false">
      <c r="A15" s="28" t="s">
        <v>97</v>
      </c>
    </row>
    <row r="16" customFormat="false" ht="15" hidden="false" customHeight="false" outlineLevel="0" collapsed="false">
      <c r="A16" s="28"/>
    </row>
    <row r="17" customFormat="false" ht="15" hidden="false" customHeight="false" outlineLevel="0" collapsed="false">
      <c r="A17" s="28"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Site Management &amp; Planning</cp:category>
  <dcterms:created xsi:type="dcterms:W3CDTF">2026-03-22T17:42:35Z</dcterms:created>
  <dc:creator>Ebrora Ltd</dc:creator>
  <dc:description>Track daily workforce deployment by trade, subcontractor, and work area with auto-calculated totals, shift tracking, hours worked, and labour summary dashboard. Designed for UK construction site managers, project managers, and resource planners.
Free professional construction management template from Ebrora Ltd. Visit ebrora.com for our full range of tools and templates.</dc:description>
  <cp:keywords>Ebrora construction labour allocation workforce daily trade subcontractor site management resource planning</cp:keywords>
  <dc:language>en-US</dc:language>
  <cp:lastModifiedBy>Ebrora Ltd</cp:lastModifiedBy>
  <dcterms:modified xsi:type="dcterms:W3CDTF">2026-03-22T17:42:35Z</dcterms:modified>
  <cp:revision>0</cp:revision>
  <dc:subject>Daily workforce deployment tracker by trade, subcontractor, and work area for construction sites.</dc:subject>
  <dc:title>Daily Labour Allocation Sheet</dc:title>
</cp:coreProperties>
</file>

<file path=docProps/custom.xml><?xml version="1.0" encoding="utf-8"?>
<Properties xmlns="http://schemas.openxmlformats.org/officeDocument/2006/custom-properties" xmlns:vt="http://schemas.openxmlformats.org/officeDocument/2006/docPropsVTypes"/>
</file>