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 Tracker" sheetId="1" state="visible" r:id="rId3"/>
    <sheet name="Instructions" sheetId="2" state="visible" r:id="rId4"/>
  </sheets>
  <definedNames>
    <definedName function="false" hidden="false" localSheetId="0" name="_xlnm.Print_Area" vbProcedure="false">'Payment Tracker'!$A$1:$R$40</definedName>
    <definedName function="false" hidden="false" localSheetId="0" name="_xlnm.Print_Titles" vbProcedure="false">'Payment Tracker'!$1:$6</definedName>
    <definedName function="false" hidden="true" localSheetId="0" name="_xlnm._FilterDatabase" vbProcedure="false">'Payment Tracker'!$A$6:$R$31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<sst xmlns="http://schemas.openxmlformats.org/spreadsheetml/2006/main" count="50" uniqueCount="49">
  <si>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ebrora.com</t>
  </si>
  <si>
    <t xml:space="preserve">SUBCONTRACTOR PAYMENT APPLICATION TRACKER</t>
  </si>
  <si>
    <t xml:space="preserve">Ref: Housing Grants, Construction and Regeneration Act 1996 (as amended); Late Payment of Commercial Debts (Interest) Act 1998</t>
  </si>
  <si>
    <t xml:space="preserve">Project:</t>
  </si>
  <si>
    <t xml:space="preserve">Contract No.:</t>
  </si>
  <si>
    <t xml:space="preserve">QS:</t>
  </si>
  <si>
    <t xml:space="preserve">No.</t>
  </si>
  <si>
    <t xml:space="preserve">Subcontractor
Name</t>
  </si>
  <si>
    <t xml:space="preserve">Package /
Trade</t>
  </si>
  <si>
    <t xml:space="preserve">Subcontract
Value (£)</t>
  </si>
  <si>
    <t xml:space="preserve">Valuation
Period</t>
  </si>
  <si>
    <t xml:space="preserve">Application
Date</t>
  </si>
  <si>
    <t xml:space="preserve">Application
Amount (£)</t>
  </si>
  <si>
    <t xml:space="preserve">Certified /
Agreed
Amount (£)</t>
  </si>
  <si>
    <t xml:space="preserve">Retention
Held (£)</t>
  </si>
  <si>
    <t xml:space="preserve">Contra
Charges (£)</t>
  </si>
  <si>
    <t xml:space="preserve">Net Certified
(£)</t>
  </si>
  <si>
    <t xml:space="preserve">Previous
Cumulative
Certified (£)</t>
  </si>
  <si>
    <t xml:space="preserve">Amount
Due This
Period (£)</t>
  </si>
  <si>
    <t xml:space="preserve">Payment
Due Date</t>
  </si>
  <si>
    <t xml:space="preserve">Payment
Made Date</t>
  </si>
  <si>
    <t xml:space="preserve">Payment
Status</t>
  </si>
  <si>
    <t xml:space="preserve">CIS
Deduction
(£)</t>
  </si>
  <si>
    <t xml:space="preserve">Comments</t>
  </si>
  <si>
    <t xml:space="preserve">COMMERCIAL SUMMARY</t>
  </si>
  <si>
    <t xml:space="preserve">Total Applications:</t>
  </si>
  <si>
    <t xml:space="preserve">Total Applied:</t>
  </si>
  <si>
    <t xml:space="preserve">Total Certified:</t>
  </si>
  <si>
    <t xml:space="preserve">Total Retention Held:</t>
  </si>
  <si>
    <t xml:space="preserve">Total Net Due:</t>
  </si>
  <si>
    <t xml:space="preserve">Paid:</t>
  </si>
  <si>
    <t xml:space="preserve">Overdue:</t>
  </si>
  <si>
    <t xml:space="preserve">INSTRUCTIONS — Subcontractor Payment Application Tracker</t>
  </si>
  <si>
    <t xml:space="preserve">How to Use This Template</t>
  </si>
  <si>
    <t xml:space="preserve">1. Record each subcontractor payment application received.</t>
  </si>
  <si>
    <t xml:space="preserve">2. Enter the application amount, certified/agreed amount, retention, and contra charges.</t>
  </si>
  <si>
    <t xml:space="preserve">3. Net Certified and Amount Due This Period calculate automatically.</t>
  </si>
  <si>
    <t xml:space="preserve">4. Enter the payment due date (per Construction Act — typically 14–30 days).</t>
  </si>
  <si>
    <t xml:space="preserve">5. Track payment status from Received through to Paid.</t>
  </si>
  <si>
    <t xml:space="preserve">6. Overdue payments are flagged red — statutory interest may apply.</t>
  </si>
  <si>
    <t xml:space="preserve">7. Record CIS deductions where applicable.</t>
  </si>
  <si>
    <t xml:space="preserve">Construction Act Payment Requirements:</t>
  </si>
  <si>
    <t xml:space="preserve">  Right to interim payments on contracts lasting &gt;45 days.</t>
  </si>
  <si>
    <t xml:space="preserve">  Payment notice within 5 days of the due date.</t>
  </si>
  <si>
    <t xml:space="preserve">  Pay less notice at least 7 days before the final date for payment.</t>
  </si>
  <si>
    <t xml:space="preserve">References:</t>
  </si>
  <si>
    <t xml:space="preserve">  Housing Grants, Construction and Regeneration Act 1996 (as amended 2011)</t>
  </si>
  <si>
    <t xml:space="preserve">  Late Payment of Commercial Debts (Interest) Act 1998</t>
  </si>
  <si>
    <t xml:space="preserve">  CIS (Construction Industry Scheme) Regulations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</si>
</sst>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800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4" t="s">
        <v>5</v>
      </c>
      <c r="H4" s="5"/>
      <c r="I4" s="5"/>
      <c r="J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  <c r="R6" s="6" t="s">
        <v>23</v>
      </c>
    </row>
    <row r="7" customFormat="false" ht="24" hidden="false" customHeight="true" outlineLevel="0" collapsed="false">
      <c r="A7" s="7" t="n">
        <v>1</v>
      </c>
      <c r="B7" s="5"/>
      <c r="C7" s="5"/>
      <c r="D7" s="8"/>
      <c r="E7" s="9"/>
      <c r="F7" s="9"/>
      <c r="G7" s="8"/>
      <c r="H7" s="8"/>
      <c r="I7" s="8"/>
      <c r="J7" s="8"/>
      <c r="K7" s="10" t="str">
        <f aca="false">IF(H7="","",H7-IF(I7="",0,I7)-IF(J7="",0,J7))</f>
        <v/>
      </c>
      <c r="L7" s="8"/>
      <c r="M7" s="10" t="str">
        <f aca="false">IF(K7="","",K7-IF(L7="",0,L7))</f>
        <v/>
      </c>
      <c r="N7" s="9"/>
      <c r="O7" s="9"/>
      <c r="P7" s="9"/>
      <c r="Q7" s="8"/>
      <c r="R7" s="5"/>
    </row>
    <row r="8" customFormat="false" ht="24" hidden="false" customHeight="true" outlineLevel="0" collapsed="false">
      <c r="A8" s="11" t="n">
        <v>2</v>
      </c>
      <c r="B8" s="5"/>
      <c r="C8" s="5"/>
      <c r="D8" s="8"/>
      <c r="E8" s="9"/>
      <c r="F8" s="9"/>
      <c r="G8" s="8"/>
      <c r="H8" s="8"/>
      <c r="I8" s="8"/>
      <c r="J8" s="8"/>
      <c r="K8" s="12" t="str">
        <f aca="false">IF(H8="","",H8-IF(I8="",0,I8)-IF(J8="",0,J8))</f>
        <v/>
      </c>
      <c r="L8" s="8"/>
      <c r="M8" s="12" t="str">
        <f aca="false">IF(K8="","",K8-IF(L8="",0,L8))</f>
        <v/>
      </c>
      <c r="N8" s="9"/>
      <c r="O8" s="9"/>
      <c r="P8" s="9"/>
      <c r="Q8" s="8"/>
      <c r="R8" s="5"/>
    </row>
    <row r="9" customFormat="false" ht="24" hidden="false" customHeight="true" outlineLevel="0" collapsed="false">
      <c r="A9" s="7" t="n">
        <v>3</v>
      </c>
      <c r="B9" s="5"/>
      <c r="C9" s="5"/>
      <c r="D9" s="8"/>
      <c r="E9" s="9"/>
      <c r="F9" s="9"/>
      <c r="G9" s="8"/>
      <c r="H9" s="8"/>
      <c r="I9" s="8"/>
      <c r="J9" s="8"/>
      <c r="K9" s="10" t="str">
        <f aca="false">IF(H9="","",H9-IF(I9="",0,I9)-IF(J9="",0,J9))</f>
        <v/>
      </c>
      <c r="L9" s="8"/>
      <c r="M9" s="10" t="str">
        <f aca="false">IF(K9="","",K9-IF(L9="",0,L9))</f>
        <v/>
      </c>
      <c r="N9" s="9"/>
      <c r="O9" s="9"/>
      <c r="P9" s="9"/>
      <c r="Q9" s="8"/>
      <c r="R9" s="5"/>
    </row>
    <row r="10" customFormat="false" ht="24" hidden="false" customHeight="true" outlineLevel="0" collapsed="false">
      <c r="A10" s="11" t="n">
        <v>4</v>
      </c>
      <c r="B10" s="5"/>
      <c r="C10" s="5"/>
      <c r="D10" s="8"/>
      <c r="E10" s="9"/>
      <c r="F10" s="9"/>
      <c r="G10" s="8"/>
      <c r="H10" s="8"/>
      <c r="I10" s="8"/>
      <c r="J10" s="8"/>
      <c r="K10" s="12" t="str">
        <f aca="false">IF(H10="","",H10-IF(I10="",0,I10)-IF(J10="",0,J10))</f>
        <v/>
      </c>
      <c r="L10" s="8"/>
      <c r="M10" s="12" t="str">
        <f aca="false">IF(K10="","",K10-IF(L10="",0,L10))</f>
        <v/>
      </c>
      <c r="N10" s="9"/>
      <c r="O10" s="9"/>
      <c r="P10" s="9"/>
      <c r="Q10" s="8"/>
      <c r="R10" s="5"/>
    </row>
    <row r="11" customFormat="false" ht="24" hidden="false" customHeight="true" outlineLevel="0" collapsed="false">
      <c r="A11" s="7" t="n">
        <v>5</v>
      </c>
      <c r="B11" s="5"/>
      <c r="C11" s="5"/>
      <c r="D11" s="8"/>
      <c r="E11" s="9"/>
      <c r="F11" s="9"/>
      <c r="G11" s="8"/>
      <c r="H11" s="8"/>
      <c r="I11" s="8"/>
      <c r="J11" s="8"/>
      <c r="K11" s="10" t="str">
        <f aca="false">IF(H11="","",H11-IF(I11="",0,I11)-IF(J11="",0,J11))</f>
        <v/>
      </c>
      <c r="L11" s="8"/>
      <c r="M11" s="10" t="str">
        <f aca="false">IF(K11="","",K11-IF(L11="",0,L11))</f>
        <v/>
      </c>
      <c r="N11" s="9"/>
      <c r="O11" s="9"/>
      <c r="P11" s="9"/>
      <c r="Q11" s="8"/>
      <c r="R11" s="5"/>
    </row>
    <row r="12" customFormat="false" ht="24" hidden="false" customHeight="true" outlineLevel="0" collapsed="false">
      <c r="A12" s="11" t="n">
        <v>6</v>
      </c>
      <c r="B12" s="5"/>
      <c r="C12" s="5"/>
      <c r="D12" s="8"/>
      <c r="E12" s="9"/>
      <c r="F12" s="9"/>
      <c r="G12" s="8"/>
      <c r="H12" s="8"/>
      <c r="I12" s="8"/>
      <c r="J12" s="8"/>
      <c r="K12" s="12" t="str">
        <f aca="false">IF(H12="","",H12-IF(I12="",0,I12)-IF(J12="",0,J12))</f>
        <v/>
      </c>
      <c r="L12" s="8"/>
      <c r="M12" s="12" t="str">
        <f aca="false">IF(K12="","",K12-IF(L12="",0,L12))</f>
        <v/>
      </c>
      <c r="N12" s="9"/>
      <c r="O12" s="9"/>
      <c r="P12" s="9"/>
      <c r="Q12" s="8"/>
      <c r="R12" s="5"/>
    </row>
    <row r="13" customFormat="false" ht="24" hidden="false" customHeight="true" outlineLevel="0" collapsed="false">
      <c r="A13" s="7" t="n">
        <v>7</v>
      </c>
      <c r="B13" s="5"/>
      <c r="C13" s="5"/>
      <c r="D13" s="8"/>
      <c r="E13" s="9"/>
      <c r="F13" s="9"/>
      <c r="G13" s="8"/>
      <c r="H13" s="8"/>
      <c r="I13" s="8"/>
      <c r="J13" s="8"/>
      <c r="K13" s="10" t="str">
        <f aca="false">IF(H13="","",H13-IF(I13="",0,I13)-IF(J13="",0,J13))</f>
        <v/>
      </c>
      <c r="L13" s="8"/>
      <c r="M13" s="10" t="str">
        <f aca="false">IF(K13="","",K13-IF(L13="",0,L13))</f>
        <v/>
      </c>
      <c r="N13" s="9"/>
      <c r="O13" s="9"/>
      <c r="P13" s="9"/>
      <c r="Q13" s="8"/>
      <c r="R13" s="5"/>
    </row>
    <row r="14" customFormat="false" ht="24" hidden="false" customHeight="true" outlineLevel="0" collapsed="false">
      <c r="A14" s="11" t="n">
        <v>8</v>
      </c>
      <c r="B14" s="5"/>
      <c r="C14" s="5"/>
      <c r="D14" s="8"/>
      <c r="E14" s="9"/>
      <c r="F14" s="9"/>
      <c r="G14" s="8"/>
      <c r="H14" s="8"/>
      <c r="I14" s="8"/>
      <c r="J14" s="8"/>
      <c r="K14" s="12" t="str">
        <f aca="false">IF(H14="","",H14-IF(I14="",0,I14)-IF(J14="",0,J14))</f>
        <v/>
      </c>
      <c r="L14" s="8"/>
      <c r="M14" s="12" t="str">
        <f aca="false">IF(K14="","",K14-IF(L14="",0,L14))</f>
        <v/>
      </c>
      <c r="N14" s="9"/>
      <c r="O14" s="9"/>
      <c r="P14" s="9"/>
      <c r="Q14" s="8"/>
      <c r="R14" s="5"/>
    </row>
    <row r="15" customFormat="false" ht="24" hidden="false" customHeight="true" outlineLevel="0" collapsed="false">
      <c r="A15" s="7" t="n">
        <v>9</v>
      </c>
      <c r="B15" s="5"/>
      <c r="C15" s="5"/>
      <c r="D15" s="8"/>
      <c r="E15" s="9"/>
      <c r="F15" s="9"/>
      <c r="G15" s="8"/>
      <c r="H15" s="8"/>
      <c r="I15" s="8"/>
      <c r="J15" s="8"/>
      <c r="K15" s="10" t="str">
        <f aca="false">IF(H15="","",H15-IF(I15="",0,I15)-IF(J15="",0,J15))</f>
        <v/>
      </c>
      <c r="L15" s="8"/>
      <c r="M15" s="10" t="str">
        <f aca="false">IF(K15="","",K15-IF(L15="",0,L15))</f>
        <v/>
      </c>
      <c r="N15" s="9"/>
      <c r="O15" s="9"/>
      <c r="P15" s="9"/>
      <c r="Q15" s="8"/>
      <c r="R15" s="5"/>
    </row>
    <row r="16" customFormat="false" ht="24" hidden="false" customHeight="true" outlineLevel="0" collapsed="false">
      <c r="A16" s="11" t="n">
        <v>10</v>
      </c>
      <c r="B16" s="5"/>
      <c r="C16" s="5"/>
      <c r="D16" s="8"/>
      <c r="E16" s="9"/>
      <c r="F16" s="9"/>
      <c r="G16" s="8"/>
      <c r="H16" s="8"/>
      <c r="I16" s="8"/>
      <c r="J16" s="8"/>
      <c r="K16" s="12" t="str">
        <f aca="false">IF(H16="","",H16-IF(I16="",0,I16)-IF(J16="",0,J16))</f>
        <v/>
      </c>
      <c r="L16" s="8"/>
      <c r="M16" s="12" t="str">
        <f aca="false">IF(K16="","",K16-IF(L16="",0,L16))</f>
        <v/>
      </c>
      <c r="N16" s="9"/>
      <c r="O16" s="9"/>
      <c r="P16" s="9"/>
      <c r="Q16" s="8"/>
      <c r="R16" s="5"/>
    </row>
    <row r="17" customFormat="false" ht="24" hidden="false" customHeight="true" outlineLevel="0" collapsed="false">
      <c r="A17" s="7" t="n">
        <v>11</v>
      </c>
      <c r="B17" s="5"/>
      <c r="C17" s="5"/>
      <c r="D17" s="8"/>
      <c r="E17" s="9"/>
      <c r="F17" s="9"/>
      <c r="G17" s="8"/>
      <c r="H17" s="8"/>
      <c r="I17" s="8"/>
      <c r="J17" s="8"/>
      <c r="K17" s="10" t="str">
        <f aca="false">IF(H17="","",H17-IF(I17="",0,I17)-IF(J17="",0,J17))</f>
        <v/>
      </c>
      <c r="L17" s="8"/>
      <c r="M17" s="10" t="str">
        <f aca="false">IF(K17="","",K17-IF(L17="",0,L17))</f>
        <v/>
      </c>
      <c r="N17" s="9"/>
      <c r="O17" s="9"/>
      <c r="P17" s="9"/>
      <c r="Q17" s="8"/>
      <c r="R17" s="5"/>
    </row>
    <row r="18" customFormat="false" ht="24" hidden="false" customHeight="true" outlineLevel="0" collapsed="false">
      <c r="A18" s="11" t="n">
        <v>12</v>
      </c>
      <c r="B18" s="5"/>
      <c r="C18" s="5"/>
      <c r="D18" s="8"/>
      <c r="E18" s="9"/>
      <c r="F18" s="9"/>
      <c r="G18" s="8"/>
      <c r="H18" s="8"/>
      <c r="I18" s="8"/>
      <c r="J18" s="8"/>
      <c r="K18" s="12" t="str">
        <f aca="false">IF(H18="","",H18-IF(I18="",0,I18)-IF(J18="",0,J18))</f>
        <v/>
      </c>
      <c r="L18" s="8"/>
      <c r="M18" s="12" t="str">
        <f aca="false">IF(K18="","",K18-IF(L18="",0,L18))</f>
        <v/>
      </c>
      <c r="N18" s="9"/>
      <c r="O18" s="9"/>
      <c r="P18" s="9"/>
      <c r="Q18" s="8"/>
      <c r="R18" s="5"/>
    </row>
    <row r="19" customFormat="false" ht="24" hidden="false" customHeight="true" outlineLevel="0" collapsed="false">
      <c r="A19" s="7" t="n">
        <v>13</v>
      </c>
      <c r="B19" s="5"/>
      <c r="C19" s="5"/>
      <c r="D19" s="8"/>
      <c r="E19" s="9"/>
      <c r="F19" s="9"/>
      <c r="G19" s="8"/>
      <c r="H19" s="8"/>
      <c r="I19" s="8"/>
      <c r="J19" s="8"/>
      <c r="K19" s="10" t="str">
        <f aca="false">IF(H19="","",H19-IF(I19="",0,I19)-IF(J19="",0,J19))</f>
        <v/>
      </c>
      <c r="L19" s="8"/>
      <c r="M19" s="10" t="str">
        <f aca="false">IF(K19="","",K19-IF(L19="",0,L19))</f>
        <v/>
      </c>
      <c r="N19" s="9"/>
      <c r="O19" s="9"/>
      <c r="P19" s="9"/>
      <c r="Q19" s="8"/>
      <c r="R19" s="5"/>
    </row>
    <row r="20" customFormat="false" ht="24" hidden="false" customHeight="true" outlineLevel="0" collapsed="false">
      <c r="A20" s="11" t="n">
        <v>14</v>
      </c>
      <c r="B20" s="5"/>
      <c r="C20" s="5"/>
      <c r="D20" s="8"/>
      <c r="E20" s="9"/>
      <c r="F20" s="9"/>
      <c r="G20" s="8"/>
      <c r="H20" s="8"/>
      <c r="I20" s="8"/>
      <c r="J20" s="8"/>
      <c r="K20" s="12" t="str">
        <f aca="false">IF(H20="","",H20-IF(I20="",0,I20)-IF(J20="",0,J20))</f>
        <v/>
      </c>
      <c r="L20" s="8"/>
      <c r="M20" s="12" t="str">
        <f aca="false">IF(K20="","",K20-IF(L20="",0,L20))</f>
        <v/>
      </c>
      <c r="N20" s="9"/>
      <c r="O20" s="9"/>
      <c r="P20" s="9"/>
      <c r="Q20" s="8"/>
      <c r="R20" s="5"/>
    </row>
    <row r="21" customFormat="false" ht="24" hidden="false" customHeight="true" outlineLevel="0" collapsed="false">
      <c r="A21" s="7" t="n">
        <v>15</v>
      </c>
      <c r="B21" s="5"/>
      <c r="C21" s="5"/>
      <c r="D21" s="8"/>
      <c r="E21" s="9"/>
      <c r="F21" s="9"/>
      <c r="G21" s="8"/>
      <c r="H21" s="8"/>
      <c r="I21" s="8"/>
      <c r="J21" s="8"/>
      <c r="K21" s="10" t="str">
        <f aca="false">IF(H21="","",H21-IF(I21="",0,I21)-IF(J21="",0,J21))</f>
        <v/>
      </c>
      <c r="L21" s="8"/>
      <c r="M21" s="10" t="str">
        <f aca="false">IF(K21="","",K21-IF(L21="",0,L21))</f>
        <v/>
      </c>
      <c r="N21" s="9"/>
      <c r="O21" s="9"/>
      <c r="P21" s="9"/>
      <c r="Q21" s="8"/>
      <c r="R21" s="5"/>
    </row>
    <row r="22" customFormat="false" ht="24" hidden="false" customHeight="true" outlineLevel="0" collapsed="false">
      <c r="A22" s="11" t="n">
        <v>16</v>
      </c>
      <c r="B22" s="5"/>
      <c r="C22" s="5"/>
      <c r="D22" s="8"/>
      <c r="E22" s="9"/>
      <c r="F22" s="9"/>
      <c r="G22" s="8"/>
      <c r="H22" s="8"/>
      <c r="I22" s="8"/>
      <c r="J22" s="8"/>
      <c r="K22" s="12" t="str">
        <f aca="false">IF(H22="","",H22-IF(I22="",0,I22)-IF(J22="",0,J22))</f>
        <v/>
      </c>
      <c r="L22" s="8"/>
      <c r="M22" s="12" t="str">
        <f aca="false">IF(K22="","",K22-IF(L22="",0,L22))</f>
        <v/>
      </c>
      <c r="N22" s="9"/>
      <c r="O22" s="9"/>
      <c r="P22" s="9"/>
      <c r="Q22" s="8"/>
      <c r="R22" s="5"/>
    </row>
    <row r="23" customFormat="false" ht="24" hidden="false" customHeight="true" outlineLevel="0" collapsed="false">
      <c r="A23" s="7" t="n">
        <v>17</v>
      </c>
      <c r="B23" s="5"/>
      <c r="C23" s="5"/>
      <c r="D23" s="8"/>
      <c r="E23" s="9"/>
      <c r="F23" s="9"/>
      <c r="G23" s="8"/>
      <c r="H23" s="8"/>
      <c r="I23" s="8"/>
      <c r="J23" s="8"/>
      <c r="K23" s="10" t="str">
        <f aca="false">IF(H23="","",H23-IF(I23="",0,I23)-IF(J23="",0,J23))</f>
        <v/>
      </c>
      <c r="L23" s="8"/>
      <c r="M23" s="10" t="str">
        <f aca="false">IF(K23="","",K23-IF(L23="",0,L23))</f>
        <v/>
      </c>
      <c r="N23" s="9"/>
      <c r="O23" s="9"/>
      <c r="P23" s="9"/>
      <c r="Q23" s="8"/>
      <c r="R23" s="5"/>
    </row>
    <row r="24" customFormat="false" ht="24" hidden="false" customHeight="true" outlineLevel="0" collapsed="false">
      <c r="A24" s="11" t="n">
        <v>18</v>
      </c>
      <c r="B24" s="5"/>
      <c r="C24" s="5"/>
      <c r="D24" s="8"/>
      <c r="E24" s="9"/>
      <c r="F24" s="9"/>
      <c r="G24" s="8"/>
      <c r="H24" s="8"/>
      <c r="I24" s="8"/>
      <c r="J24" s="8"/>
      <c r="K24" s="12" t="str">
        <f aca="false">IF(H24="","",H24-IF(I24="",0,I24)-IF(J24="",0,J24))</f>
        <v/>
      </c>
      <c r="L24" s="8"/>
      <c r="M24" s="12" t="str">
        <f aca="false">IF(K24="","",K24-IF(L24="",0,L24))</f>
        <v/>
      </c>
      <c r="N24" s="9"/>
      <c r="O24" s="9"/>
      <c r="P24" s="9"/>
      <c r="Q24" s="8"/>
      <c r="R24" s="5"/>
    </row>
    <row r="25" customFormat="false" ht="24" hidden="false" customHeight="true" outlineLevel="0" collapsed="false">
      <c r="A25" s="7" t="n">
        <v>19</v>
      </c>
      <c r="B25" s="5"/>
      <c r="C25" s="5"/>
      <c r="D25" s="8"/>
      <c r="E25" s="9"/>
      <c r="F25" s="9"/>
      <c r="G25" s="8"/>
      <c r="H25" s="8"/>
      <c r="I25" s="8"/>
      <c r="J25" s="8"/>
      <c r="K25" s="10" t="str">
        <f aca="false">IF(H25="","",H25-IF(I25="",0,I25)-IF(J25="",0,J25))</f>
        <v/>
      </c>
      <c r="L25" s="8"/>
      <c r="M25" s="10" t="str">
        <f aca="false">IF(K25="","",K25-IF(L25="",0,L25))</f>
        <v/>
      </c>
      <c r="N25" s="9"/>
      <c r="O25" s="9"/>
      <c r="P25" s="9"/>
      <c r="Q25" s="8"/>
      <c r="R25" s="5"/>
    </row>
    <row r="26" customFormat="false" ht="24" hidden="false" customHeight="true" outlineLevel="0" collapsed="false">
      <c r="A26" s="11" t="n">
        <v>20</v>
      </c>
      <c r="B26" s="5"/>
      <c r="C26" s="5"/>
      <c r="D26" s="8"/>
      <c r="E26" s="9"/>
      <c r="F26" s="9"/>
      <c r="G26" s="8"/>
      <c r="H26" s="8"/>
      <c r="I26" s="8"/>
      <c r="J26" s="8"/>
      <c r="K26" s="12" t="str">
        <f aca="false">IF(H26="","",H26-IF(I26="",0,I26)-IF(J26="",0,J26))</f>
        <v/>
      </c>
      <c r="L26" s="8"/>
      <c r="M26" s="12" t="str">
        <f aca="false">IF(K26="","",K26-IF(L26="",0,L26))</f>
        <v/>
      </c>
      <c r="N26" s="9"/>
      <c r="O26" s="9"/>
      <c r="P26" s="9"/>
      <c r="Q26" s="8"/>
      <c r="R26" s="5"/>
    </row>
    <row r="27" customFormat="false" ht="24" hidden="false" customHeight="true" outlineLevel="0" collapsed="false">
      <c r="A27" s="7" t="n">
        <v>21</v>
      </c>
      <c r="B27" s="5"/>
      <c r="C27" s="5"/>
      <c r="D27" s="8"/>
      <c r="E27" s="9"/>
      <c r="F27" s="9"/>
      <c r="G27" s="8"/>
      <c r="H27" s="8"/>
      <c r="I27" s="8"/>
      <c r="J27" s="8"/>
      <c r="K27" s="10" t="str">
        <f aca="false">IF(H27="","",H27-IF(I27="",0,I27)-IF(J27="",0,J27))</f>
        <v/>
      </c>
      <c r="L27" s="8"/>
      <c r="M27" s="10" t="str">
        <f aca="false">IF(K27="","",K27-IF(L27="",0,L27))</f>
        <v/>
      </c>
      <c r="N27" s="9"/>
      <c r="O27" s="9"/>
      <c r="P27" s="9"/>
      <c r="Q27" s="8"/>
      <c r="R27" s="5"/>
    </row>
    <row r="28" customFormat="false" ht="24" hidden="false" customHeight="true" outlineLevel="0" collapsed="false">
      <c r="A28" s="11" t="n">
        <v>22</v>
      </c>
      <c r="B28" s="5"/>
      <c r="C28" s="5"/>
      <c r="D28" s="8"/>
      <c r="E28" s="9"/>
      <c r="F28" s="9"/>
      <c r="G28" s="8"/>
      <c r="H28" s="8"/>
      <c r="I28" s="8"/>
      <c r="J28" s="8"/>
      <c r="K28" s="12" t="str">
        <f aca="false">IF(H28="","",H28-IF(I28="",0,I28)-IF(J28="",0,J28))</f>
        <v/>
      </c>
      <c r="L28" s="8"/>
      <c r="M28" s="12" t="str">
        <f aca="false">IF(K28="","",K28-IF(L28="",0,L28))</f>
        <v/>
      </c>
      <c r="N28" s="9"/>
      <c r="O28" s="9"/>
      <c r="P28" s="9"/>
      <c r="Q28" s="8"/>
      <c r="R28" s="5"/>
    </row>
    <row r="29" customFormat="false" ht="24" hidden="false" customHeight="true" outlineLevel="0" collapsed="false">
      <c r="A29" s="7" t="n">
        <v>23</v>
      </c>
      <c r="B29" s="5"/>
      <c r="C29" s="5"/>
      <c r="D29" s="8"/>
      <c r="E29" s="9"/>
      <c r="F29" s="9"/>
      <c r="G29" s="8"/>
      <c r="H29" s="8"/>
      <c r="I29" s="8"/>
      <c r="J29" s="8"/>
      <c r="K29" s="10" t="str">
        <f aca="false">IF(H29="","",H29-IF(I29="",0,I29)-IF(J29="",0,J29))</f>
        <v/>
      </c>
      <c r="L29" s="8"/>
      <c r="M29" s="10" t="str">
        <f aca="false">IF(K29="","",K29-IF(L29="",0,L29))</f>
        <v/>
      </c>
      <c r="N29" s="9"/>
      <c r="O29" s="9"/>
      <c r="P29" s="9"/>
      <c r="Q29" s="8"/>
      <c r="R29" s="5"/>
    </row>
    <row r="30" customFormat="false" ht="24" hidden="false" customHeight="true" outlineLevel="0" collapsed="false">
      <c r="A30" s="11" t="n">
        <v>24</v>
      </c>
      <c r="B30" s="5"/>
      <c r="C30" s="5"/>
      <c r="D30" s="8"/>
      <c r="E30" s="9"/>
      <c r="F30" s="9"/>
      <c r="G30" s="8"/>
      <c r="H30" s="8"/>
      <c r="I30" s="8"/>
      <c r="J30" s="8"/>
      <c r="K30" s="12" t="str">
        <f aca="false">IF(H30="","",H30-IF(I30="",0,I30)-IF(J30="",0,J30))</f>
        <v/>
      </c>
      <c r="L30" s="8"/>
      <c r="M30" s="12" t="str">
        <f aca="false">IF(K30="","",K30-IF(L30="",0,L30))</f>
        <v/>
      </c>
      <c r="N30" s="9"/>
      <c r="O30" s="9"/>
      <c r="P30" s="9"/>
      <c r="Q30" s="8"/>
      <c r="R30" s="5"/>
    </row>
    <row r="31" customFormat="false" ht="24" hidden="false" customHeight="true" outlineLevel="0" collapsed="false">
      <c r="A31" s="7" t="n">
        <v>25</v>
      </c>
      <c r="B31" s="5"/>
      <c r="C31" s="5"/>
      <c r="D31" s="8"/>
      <c r="E31" s="9"/>
      <c r="F31" s="9"/>
      <c r="G31" s="8"/>
      <c r="H31" s="8"/>
      <c r="I31" s="8"/>
      <c r="J31" s="8"/>
      <c r="K31" s="10" t="str">
        <f aca="false">IF(H31="","",H31-IF(I31="",0,I31)-IF(J31="",0,J31))</f>
        <v/>
      </c>
      <c r="L31" s="8"/>
      <c r="M31" s="10" t="str">
        <f aca="false">IF(K31="","",K31-IF(L31="",0,L31))</f>
        <v/>
      </c>
      <c r="N31" s="9"/>
      <c r="O31" s="9"/>
      <c r="P31" s="9"/>
      <c r="Q31" s="8"/>
      <c r="R31" s="5"/>
    </row>
    <row r="33" customFormat="false" ht="15" hidden="false" customHeight="true" outlineLevel="0" collapsed="false">
      <c r="A33" s="13" t="s">
        <v>24</v>
      </c>
      <c r="B33" s="13"/>
      <c r="C33" s="13"/>
      <c r="D33" s="13"/>
    </row>
    <row r="34" customFormat="false" ht="15" hidden="false" customHeight="true" outlineLevel="0" collapsed="false">
      <c r="A34" s="4" t="s">
        <v>25</v>
      </c>
      <c r="B34" s="4"/>
      <c r="C34" s="4"/>
      <c r="D34" s="14" t="n">
        <f aca="false">COUNTA(B7:B31)</f>
        <v>0</v>
      </c>
    </row>
    <row r="35" customFormat="false" ht="15" hidden="false" customHeight="true" outlineLevel="0" collapsed="false">
      <c r="A35" s="4" t="s">
        <v>26</v>
      </c>
      <c r="B35" s="4"/>
      <c r="C35" s="4"/>
      <c r="D35" s="15" t="n">
        <f aca="false">SUM(G7:G31)</f>
        <v>0</v>
      </c>
    </row>
    <row r="36" customFormat="false" ht="15" hidden="false" customHeight="true" outlineLevel="0" collapsed="false">
      <c r="A36" s="4" t="s">
        <v>27</v>
      </c>
      <c r="B36" s="4"/>
      <c r="C36" s="4"/>
      <c r="D36" s="15" t="n">
        <f aca="false">SUM(H7:H31)</f>
        <v>0</v>
      </c>
    </row>
    <row r="37" customFormat="false" ht="15" hidden="false" customHeight="true" outlineLevel="0" collapsed="false">
      <c r="A37" s="4" t="s">
        <v>28</v>
      </c>
      <c r="B37" s="4"/>
      <c r="C37" s="4"/>
      <c r="D37" s="15" t="n">
        <f aca="false">SUM(I7:I31)</f>
        <v>0</v>
      </c>
    </row>
    <row r="38" customFormat="false" ht="15" hidden="false" customHeight="true" outlineLevel="0" collapsed="false">
      <c r="A38" s="4" t="s">
        <v>29</v>
      </c>
      <c r="B38" s="4"/>
      <c r="C38" s="4"/>
      <c r="D38" s="15" t="n">
        <f aca="false">SUM(M7:M31)</f>
        <v>0</v>
      </c>
    </row>
    <row r="39" customFormat="false" ht="15" hidden="false" customHeight="true" outlineLevel="0" collapsed="false">
      <c r="A39" s="4" t="s">
        <v>30</v>
      </c>
      <c r="B39" s="4"/>
      <c r="C39" s="4"/>
      <c r="D39" s="14" t="n">
        <f aca="false">COUNTIF(P7:P31,"Paid")</f>
        <v>0</v>
      </c>
    </row>
    <row r="40" customFormat="false" ht="15" hidden="false" customHeight="true" outlineLevel="0" collapsed="false">
      <c r="A40" s="4" t="s">
        <v>31</v>
      </c>
      <c r="B40" s="4"/>
      <c r="C40" s="4"/>
      <c r="D40" s="14" t="n">
        <f aca="false">COUNTIF(P7:P31,"Overdue")</f>
        <v>0</v>
      </c>
    </row>
  </sheetData>
  <autoFilter ref="A6:R31"/>
  <mergeCells count="13">
    <mergeCell ref="A1:R1"/>
    <mergeCell ref="A2:R2"/>
    <mergeCell ref="A3:R3"/>
    <mergeCell ref="B4:D4"/>
    <mergeCell ref="H4:J4"/>
    <mergeCell ref="A33:D33"/>
    <mergeCell ref="A34:C34"/>
    <mergeCell ref="A35:C35"/>
    <mergeCell ref="A36:C36"/>
    <mergeCell ref="A37:C37"/>
    <mergeCell ref="A38:C38"/>
    <mergeCell ref="A39:C39"/>
    <mergeCell ref="A40:C40"/>
  </mergeCells>
  <conditionalFormatting sqref="P7:P31">
    <cfRule type="cellIs" priority="2" operator="equal" aboveAverage="0" equalAverage="0" bottom="0" percent="0" rank="0" text="" dxfId="6">
      <formula>"Paid"</formula>
    </cfRule>
    <cfRule type="cellIs" priority="3" operator="equal" aboveAverage="0" equalAverage="0" bottom="0" percent="0" rank="0" text="" dxfId="7">
      <formula>"Certified"</formula>
    </cfRule>
    <cfRule type="cellIs" priority="4" operator="equal" aboveAverage="0" equalAverage="0" bottom="0" percent="0" rank="0" text="" dxfId="8">
      <formula>"Overdue"</formula>
    </cfRule>
    <cfRule type="cellIs" priority="5" operator="equal" aboveAverage="0" equalAverage="0" bottom="0" percent="0" rank="0" text="" dxfId="9">
      <formula>"Disputed"</formula>
    </cfRule>
  </conditionalFormatting>
  <dataValidations count="2">
    <dataValidation allowBlank="true" errorStyle="stop" operator="between" showDropDown="false" showErrorMessage="false" showInputMessage="false" sqref="P7:P31" type="list">
      <formula1>"Received,Under Review,Certified,Pay Less Notice Issued,Paid,Disputed,Overdue"</formula1>
      <formula2>0</formula2>
    </dataValidation>
    <dataValidation allowBlank="true" errorStyle="stop" operator="between" showDropDown="false" showErrorMessage="false" showInputMessage="false" sqref="E7:E31" type="list">
      <formula1>"1,2,3,4,5,6,7,8,9,10,11,12,13,14,15,16,17,18,19,20,21,22,23,24,Final"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32</v>
      </c>
      <c r="B2" s="2"/>
    </row>
    <row r="4" customFormat="false" ht="15" hidden="false" customHeight="false" outlineLevel="0" collapsed="false">
      <c r="B4" s="13" t="s">
        <v>33</v>
      </c>
    </row>
    <row r="5" customFormat="false" ht="15" hidden="false" customHeight="false" outlineLevel="0" collapsed="false">
      <c r="B5" s="16"/>
    </row>
    <row r="6" customFormat="false" ht="15" hidden="false" customHeight="false" outlineLevel="0" collapsed="false">
      <c r="B6" s="16" t="s">
        <v>34</v>
      </c>
    </row>
    <row r="7" customFormat="false" ht="15" hidden="false" customHeight="false" outlineLevel="0" collapsed="false">
      <c r="B7" s="16" t="s">
        <v>35</v>
      </c>
    </row>
    <row r="8" customFormat="false" ht="15" hidden="false" customHeight="false" outlineLevel="0" collapsed="false">
      <c r="B8" s="16" t="s">
        <v>36</v>
      </c>
    </row>
    <row r="9" customFormat="false" ht="15" hidden="false" customHeight="false" outlineLevel="0" collapsed="false">
      <c r="B9" s="16" t="s">
        <v>37</v>
      </c>
    </row>
    <row r="10" customFormat="false" ht="15" hidden="false" customHeight="false" outlineLevel="0" collapsed="false">
      <c r="B10" s="16" t="s">
        <v>38</v>
      </c>
    </row>
    <row r="11" customFormat="false" ht="15" hidden="false" customHeight="false" outlineLevel="0" collapsed="false">
      <c r="B11" s="16" t="s">
        <v>39</v>
      </c>
    </row>
    <row r="12" customFormat="false" ht="15" hidden="false" customHeight="false" outlineLevel="0" collapsed="false">
      <c r="B12" s="16" t="s">
        <v>40</v>
      </c>
    </row>
    <row r="13" customFormat="false" ht="15" hidden="false" customHeight="false" outlineLevel="0" collapsed="false">
      <c r="B13" s="16"/>
    </row>
    <row r="14" customFormat="false" ht="15" hidden="false" customHeight="false" outlineLevel="0" collapsed="false">
      <c r="B14" s="13" t="s">
        <v>41</v>
      </c>
    </row>
    <row r="15" customFormat="false" ht="15" hidden="false" customHeight="false" outlineLevel="0" collapsed="false">
      <c r="B15" s="16" t="s">
        <v>42</v>
      </c>
    </row>
    <row r="16" customFormat="false" ht="15" hidden="false" customHeight="false" outlineLevel="0" collapsed="false">
      <c r="B16" s="16" t="s">
        <v>43</v>
      </c>
    </row>
    <row r="17" customFormat="false" ht="15" hidden="false" customHeight="false" outlineLevel="0" collapsed="false">
      <c r="B17" s="16" t="s">
        <v>44</v>
      </c>
    </row>
    <row r="18" customFormat="false" ht="15" hidden="false" customHeight="false" outlineLevel="0" collapsed="false">
      <c r="B18" s="16"/>
    </row>
    <row r="19" customFormat="false" ht="15" hidden="false" customHeight="false" outlineLevel="0" collapsed="false">
      <c r="B19" s="13" t="s">
        <v>45</v>
      </c>
    </row>
    <row r="20" customFormat="false" ht="15" hidden="false" customHeight="false" outlineLevel="0" collapsed="false">
      <c r="B20" s="3" t="s">
        <v>46</v>
      </c>
    </row>
    <row r="21" customFormat="false" ht="15" hidden="false" customHeight="false" outlineLevel="0" collapsed="false">
      <c r="B21" s="3" t="s">
        <v>47</v>
      </c>
    </row>
    <row r="22" customFormat="false" ht="15" hidden="false" customHeight="false" outlineLevel="0" collapsed="false">
      <c r="B22" s="3" t="s">
        <v>48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2026-03-27T17:04:49Z</dcterms:created>
  <dc:creator>openpyxl</dc:creator>
  <dc:description/>
  <dc:language>en-US</dc:language>
  <cp:lastModifiedBy/>
  <dcterms:modified xsi:type="dcterms:W3CDTF">2026-03-27T17:04:49Z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