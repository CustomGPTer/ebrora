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VE SCHEDULE AND STATUS REGIS" sheetId="1" state="visible" r:id="rId3"/>
    <sheet name="Instructions" sheetId="2" state="visible" r:id="rId4"/>
  </sheets>
  <definedNames>
    <definedName function="false" hidden="false" localSheetId="0" name="_xlnm.Print_Area" vbProcedure="false">'VALVE SCHEDULE AND STATUS REGIS'!$A$1:$O$37</definedName>
    <definedName function="false" hidden="false" localSheetId="0" name="_xlnm.Print_Titles" vbProcedure="false">'VALVE SCHEDULE AND STATUS REGIS'!$1:$6</definedName>
    <definedName function="false" hidden="true" localSheetId="0" name="_xlnm._FilterDatabase" vbProcedure="false">'VALVE SCHEDULE AND STATUS REGIS'!$A$6:$O$31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<sst xmlns="http://schemas.openxmlformats.org/spreadsheetml/2006/main" count="32" uniqueCount="31">
  <si>
    <t xml:space="preserve">ebrora.com</t>
  </si>
  <si>
    <t xml:space="preserve">VALVE SCHEDULE AND STATUS REGISTER</t>
  </si>
  <si>
    <t xml:space="preserve">Ref: BS EN 1074; BS EN 12266; Contract Specification; P&amp;ID requirements</t>
  </si>
  <si>
    <t xml:space="preserve">Project:</t>
  </si>
  <si>
    <t xml:space="preserve">Prepared By:</t>
  </si>
  <si>
    <t xml:space="preserve">Rev:</t>
  </si>
  <si>
    <t xml:space="preserve">No.</t>
  </si>
  <si>
    <t xml:space="preserve">Tag No.</t>
  </si>
  <si>
    <t xml:space="preserve">P&amp;ID
Ref</t>
  </si>
  <si>
    <t xml:space="preserve">Description /
Service</t>
  </si>
  <si>
    <t xml:space="preserve">Valve
Type</t>
  </si>
  <si>
    <t xml:space="preserve">Size
(DN mm)</t>
  </si>
  <si>
    <t xml:space="preserve">Pressure
Rating
(PN)</t>
  </si>
  <si>
    <t xml:space="preserve">Material</t>
  </si>
  <si>
    <t xml:space="preserve">Actuator
Type</t>
  </si>
  <si>
    <t xml:space="preserve">Manufacturer</t>
  </si>
  <si>
    <t xml:space="preserve">Installed?
(Yes/No)</t>
  </si>
  <si>
    <t xml:space="preserve">Tested?
(Yes/No)</t>
  </si>
  <si>
    <t xml:space="preserve">Commissioned?
(Yes/No)</t>
  </si>
  <si>
    <t xml:space="preserve">Status</t>
  </si>
  <si>
    <t xml:space="preserve">Comments</t>
  </si>
  <si>
    <t xml:space="preserve">SUMMARY</t>
  </si>
  <si>
    <t xml:space="preserve">Total Valves:</t>
  </si>
  <si>
    <t xml:space="preserve">Commissioned:</t>
  </si>
  <si>
    <t xml:space="preserve">Not Installed:</t>
  </si>
  <si>
    <t xml:space="preserve">INSTRUCTIONS — VALVE SCHEDULE AND STATUS REGISTER</t>
  </si>
  <si>
    <t xml:space="preserve">How to Use</t>
  </si>
  <si>
    <t xml:space="preserve">1. Register every valve from P&amp;IDs with tag number and details.</t>
  </si>
  <si>
    <t xml:space="preserve">2. Track installation, testing, and commissioning status.</t>
  </si>
  <si>
    <t xml:space="preserve">References:</t>
  </si>
  <si>
    <t xml:space="preserve">  BS EN 1074 — Valves for Water Supply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</si>
</sst>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0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7" min="6" style="0" width="8"/>
    <col collapsed="false" customWidth="true" hidden="false" outlineLevel="0" max="9" min="8" style="0" width="10"/>
    <col collapsed="false" customWidth="true" hidden="false" outlineLevel="0" max="10" min="10" style="0" width="14"/>
    <col collapsed="false" customWidth="true" hidden="false" outlineLevel="0" max="13" min="11" style="0" width="10"/>
    <col collapsed="false" customWidth="true" hidden="false" outlineLevel="0" max="14" min="14" style="0" width="12"/>
    <col collapsed="false" customWidth="true" hidden="false" outlineLevel="0" max="15" min="15" style="0" width="16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customFormat="false" ht="21.75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customFormat="false" ht="21.75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customFormat="false" ht="21.75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customFormat="false" ht="21.75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customFormat="false" ht="21.75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customFormat="false" ht="21.75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customFormat="false" ht="21.75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customFormat="false" ht="21.75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customFormat="false" ht="21.75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customFormat="false" ht="21.75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customFormat="false" ht="21.75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customFormat="false" ht="21.75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3" customFormat="false" ht="15" hidden="false" customHeight="true" outlineLevel="0" collapsed="false">
      <c r="A33" s="10" t="s">
        <v>21</v>
      </c>
      <c r="B33" s="10"/>
      <c r="C33" s="10"/>
    </row>
    <row r="34" customFormat="false" ht="15" hidden="false" customHeight="true" outlineLevel="0" collapsed="false">
      <c r="A34" s="4" t="s">
        <v>22</v>
      </c>
      <c r="B34" s="4"/>
      <c r="C34" s="11" t="n">
        <f aca="false">COUNTA(B7:B31)</f>
        <v>0</v>
      </c>
    </row>
    <row r="35" customFormat="false" ht="15" hidden="false" customHeight="true" outlineLevel="0" collapsed="false">
      <c r="A35" s="4" t="s">
        <v>23</v>
      </c>
      <c r="B35" s="4"/>
      <c r="C35" s="11" t="n">
        <f aca="false">COUNTIF(N7:N31,"Commissioned")</f>
        <v>0</v>
      </c>
    </row>
    <row r="36" customFormat="false" ht="15" hidden="false" customHeight="true" outlineLevel="0" collapsed="false">
      <c r="A36" s="4" t="s">
        <v>24</v>
      </c>
      <c r="B36" s="4"/>
      <c r="C36" s="11" t="n">
        <f aca="false">COUNTIF(N7:N31,"Not Installed")</f>
        <v>0</v>
      </c>
    </row>
  </sheetData>
  <autoFilter ref="A6:O31"/>
  <mergeCells count="9">
    <mergeCell ref="A1:O1"/>
    <mergeCell ref="A2:O2"/>
    <mergeCell ref="A3:O3"/>
    <mergeCell ref="B4:D4"/>
    <mergeCell ref="F4:H4"/>
    <mergeCell ref="A33:C33"/>
    <mergeCell ref="A34:B34"/>
    <mergeCell ref="A35:B35"/>
    <mergeCell ref="A36:B36"/>
  </mergeCells>
  <conditionalFormatting sqref="N7:N31">
    <cfRule type="cellIs" priority="2" operator="equal" aboveAverage="0" equalAverage="0" bottom="0" percent="0" rank="0" text="" dxfId="5">
      <formula>"Commissioned"</formula>
    </cfRule>
    <cfRule type="cellIs" priority="3" operator="equal" aboveAverage="0" equalAverage="0" bottom="0" percent="0" rank="0" text="" dxfId="6">
      <formula>"Defective"</formula>
    </cfRule>
    <cfRule type="cellIs" priority="4" operator="equal" aboveAverage="0" equalAverage="0" bottom="0" percent="0" rank="0" text="" dxfId="7">
      <formula>"Tested"</formula>
    </cfRule>
  </conditionalFormatting>
  <dataValidations count="6">
    <dataValidation allowBlank="true" errorStyle="stop" operator="between" showDropDown="false" showErrorMessage="false" showInputMessage="false" sqref="E7:E31" type="list">
      <formula1>"Gate,Globe,Ball,Butterfly,Check (NRV),Plug,Diaphragm,Knife Gate,Pressure Relief,Control,Solenoid,Other"</formula1>
      <formula2>0</formula2>
    </dataValidation>
    <dataValidation allowBlank="true" errorStyle="stop" operator="between" showDropDown="false" showErrorMessage="false" showInputMessage="false" sqref="I7:I31" type="list">
      <formula1>"Manual,Electric,Pneumatic,Hydraulic,Self-Actuating,None"</formula1>
      <formula2>0</formula2>
    </dataValidation>
    <dataValidation allowBlank="true" errorStyle="stop" operator="between" showDropDown="false" showErrorMessage="false" showInputMessage="false" sqref="K7:K31" type="list">
      <formula1>"Yes,No"</formula1>
      <formula2>0</formula2>
    </dataValidation>
    <dataValidation allowBlank="true" errorStyle="stop" operator="between" showDropDown="false" showErrorMessage="false" showInputMessage="false" sqref="L7:L31" type="list">
      <formula1>"Yes,No"</formula1>
      <formula2>0</formula2>
    </dataValidation>
    <dataValidation allowBlank="true" errorStyle="stop" operator="between" showDropDown="false" showErrorMessage="false" showInputMessage="false" sqref="M7:M31" type="list">
      <formula1>"Yes,No"</formula1>
      <formula2>0</formula2>
    </dataValidation>
    <dataValidation allowBlank="true" errorStyle="stop" operator="between" showDropDown="false" showErrorMessage="false" showInputMessage="false" sqref="N7:N31" type="list">
      <formula1>"Not Installed,Installed,Tested,Commissioned,Defective"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25</v>
      </c>
      <c r="B2" s="2"/>
    </row>
    <row r="4" customFormat="false" ht="15" hidden="false" customHeight="false" outlineLevel="0" collapsed="false">
      <c r="B4" s="10" t="s">
        <v>26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27</v>
      </c>
    </row>
    <row r="7" customFormat="false" ht="15" hidden="false" customHeight="false" outlineLevel="0" collapsed="false">
      <c r="B7" s="12" t="s">
        <v>28</v>
      </c>
    </row>
    <row r="8" customFormat="false" ht="15" hidden="false" customHeight="false" outlineLevel="0" collapsed="false">
      <c r="B8" s="12"/>
    </row>
    <row r="9" customFormat="false" ht="15" hidden="false" customHeight="false" outlineLevel="0" collapsed="false">
      <c r="B9" s="10" t="s">
        <v>29</v>
      </c>
    </row>
    <row r="10" customFormat="false" ht="15" hidden="false" customHeight="false" outlineLevel="0" collapsed="false">
      <c r="B10" s="3" t="s">
        <v>30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2026-03-27T17:37:39Z</dcterms:created>
  <dc:creator>openpyxl</dc:creator>
  <dc:description/>
  <dc:language>en-US</dc:language>
  <cp:lastModifiedBy/>
  <dcterms:modified xsi:type="dcterms:W3CDTF">2026-03-27T17:37:39Z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