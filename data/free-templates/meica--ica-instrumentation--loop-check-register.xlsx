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Loop Check Register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'Loop Check Register'!$A$1:$N$62</definedName>
    <definedName function="false" hidden="true" localSheetId="2" name="_xlnm._FilterDatabase" vbProcedure="false">'Loop Check Register'!$A$12:$R$200</definedName>
    <definedName function="false" hidden="false" name="DataTable" vbProcedure="false">'Loop Check Register'!$A$12:$R$200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<sst xmlns="http://schemas.openxmlformats.org/spreadsheetml/2006/main" count="140" uniqueCount="115">
  <si>
    <t xml:space="preserve">EBRORA</t>
  </si>
  <si>
    <t xml:space="preserve">ebrora.com</t>
  </si>
  <si>
    <t xml:space="preserve">Loop Check Register</t>
  </si>
  <si>
    <t xml:space="preserve">Record and track instrument loop checks with scored pass/fail criteria — wiring verification, signal simulation, calibration, and functional testing — with automatic completion scoring.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</si>
  <si>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</si>
  <si>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</si>
  <si>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</si>
  <si>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 Open the 'Loop Check Register' sheet. Each row represents one instrument loop on your project.</t>
  </si>
  <si>
    <t xml:space="preserve">2. Enter the Loop Tag (e.g., FIT-101, LT-205) and the associated instrument description, P&amp;ID reference, and system/area.</t>
  </si>
  <si>
    <t xml:space="preserve">3. For each loop, score the four check categories using the dropdowns: Wiring Check, Signal Simulation, Calibration Check, and Functional Test. Options are Pass, Fail, or N/A.</t>
  </si>
  <si>
    <t xml:space="preserve">4. The Score column auto-calculates the percentage of checks passed (N/A items are excluded from the count). The Overall Status updates automatically based on the score.</t>
  </si>
  <si>
    <t xml:space="preserve">5. Record the date checked and the name of the person who performed the loop check in the core columns.</t>
  </si>
  <si>
    <t xml:space="preserve">6. Expand the optional columns for additional detail: expected signal range, actual reading, test equipment reference, and punch list items.</t>
  </si>
  <si>
    <t xml:space="preserve">7. Use the Summary Dashboard at the top to monitor overall progress — total loops, pass rates, and status breakdown update in real time.</t>
  </si>
  <si>
    <t xml:space="preserve">8. Filter by system/area or status to create focused commissioning reports for specific zones or disciplines.</t>
  </si>
  <si>
    <t xml:space="preserve">Colour Key</t>
  </si>
  <si>
    <t xml:space="preserve">Light teal cells = user input / editable fields</t>
  </si>
  <si>
    <t xml:space="preserve">Dark navy headers = do not edit</t>
  </si>
  <si>
    <t xml:space="preserve">Green = All checks passed (100% score)</t>
  </si>
  <si>
    <t xml:space="preserve">Amber = Partially complete (50–99% score)</t>
  </si>
  <si>
    <t xml:space="preserve">Red = Failed or incomplete (&lt;50% score)</t>
  </si>
  <si>
    <t xml:space="preserve">Tips</t>
  </si>
  <si>
    <t xml:space="preserve">• Complete wiring checks before signal simulation — there's no point simulating a signal if the wiring is wrong.</t>
  </si>
  <si>
    <t xml:space="preserve">• Record test equipment serial numbers in the optional columns to maintain a traceable commissioning record for QA audits.</t>
  </si>
  <si>
    <t xml:space="preserve">• Use N/A for checks that don't apply to a given loop type (e.g., calibration may not apply to a simple digital input).</t>
  </si>
  <si>
    <t xml:space="preserve">Loop Check Register — Summary Dashboard</t>
  </si>
  <si>
    <t xml:space="preserve">Overall Progress</t>
  </si>
  <si>
    <t xml:space="preserve">Check Category Pass Rates</t>
  </si>
  <si>
    <t xml:space="preserve">Total Loops</t>
  </si>
  <si>
    <t xml:space="preserve">Category</t>
  </si>
  <si>
    <t xml:space="preserve">Pass Count</t>
  </si>
  <si>
    <t xml:space="preserve">Total Applicable</t>
  </si>
  <si>
    <t xml:space="preserve">Pass Rate</t>
  </si>
  <si>
    <t xml:space="preserve">Loops Passed (100%)</t>
  </si>
  <si>
    <t xml:space="preserve">Wiring Check</t>
  </si>
  <si>
    <t xml:space="preserve">Loops with Failures</t>
  </si>
  <si>
    <t xml:space="preserve">Signal Simulation</t>
  </si>
  <si>
    <t xml:space="preserve">Loops In Progress</t>
  </si>
  <si>
    <t xml:space="preserve">Calibration Check</t>
  </si>
  <si>
    <t xml:space="preserve">Overall Pass Rate</t>
  </si>
  <si>
    <t xml:space="preserve">Functional Test</t>
  </si>
  <si>
    <t xml:space="preserve">Loop Identification</t>
  </si>
  <si>
    <t xml:space="preserve">Scored Check Items (Pass / Fail / N/A)</t>
  </si>
  <si>
    <t xml:space="preserve">Results &amp; Sign-Off</t>
  </si>
  <si>
    <t xml:space="preserve">▸ Optional Fields — Click [+] to expand</t>
  </si>
  <si>
    <t xml:space="preserve">Item No.</t>
  </si>
  <si>
    <t xml:space="preserve">Loop Tag</t>
  </si>
  <si>
    <t xml:space="preserve">Instrument Description</t>
  </si>
  <si>
    <t xml:space="preserve">P&amp;ID Ref</t>
  </si>
  <si>
    <t xml:space="preserve">System / Area</t>
  </si>
  <si>
    <t xml:space="preserve">Instrument Type</t>
  </si>
  <si>
    <t xml:space="preserve">Score (%)</t>
  </si>
  <si>
    <t xml:space="preserve">Overall Status</t>
  </si>
  <si>
    <t xml:space="preserve">Date Checked</t>
  </si>
  <si>
    <t xml:space="preserve">Checked By</t>
  </si>
  <si>
    <t xml:space="preserve">Expected Range</t>
  </si>
  <si>
    <t xml:space="preserve">Actual Reading</t>
  </si>
  <si>
    <t xml:space="preserve">Test Equipment Ref</t>
  </si>
  <si>
    <t xml:space="preserve">Punch Items / Remarks</t>
  </si>
  <si>
    <t xml:space="preserve">FIT-101</t>
  </si>
  <si>
    <t xml:space="preserve">Flow Transmitter — Raw Water Inlet</t>
  </si>
  <si>
    <t xml:space="preserve">P&amp;ID-001</t>
  </si>
  <si>
    <t xml:space="preserve">Inlet Works</t>
  </si>
  <si>
    <t xml:space="preserve">Flow</t>
  </si>
  <si>
    <t xml:space="preserve">Pass</t>
  </si>
  <si>
    <t xml:space="preserve">M. Clarke</t>
  </si>
  <si>
    <t xml:space="preserve">0–50 l/s, 4–20mA</t>
  </si>
  <si>
    <t xml:space="preserve">12.4 mA @ 15.2 l/s</t>
  </si>
  <si>
    <t xml:space="preserve">Fluke 789 S/N 4421</t>
  </si>
  <si>
    <t xml:space="preserve">LT-205</t>
  </si>
  <si>
    <t xml:space="preserve">Level Transmitter — Settlement Tank 2</t>
  </si>
  <si>
    <t xml:space="preserve">P&amp;ID-005</t>
  </si>
  <si>
    <t xml:space="preserve">Primary Treatment</t>
  </si>
  <si>
    <t xml:space="preserve">Level</t>
  </si>
  <si>
    <t xml:space="preserve">Fail</t>
  </si>
  <si>
    <t xml:space="preserve">N/A</t>
  </si>
  <si>
    <t xml:space="preserve">R. Evans</t>
  </si>
  <si>
    <t xml:space="preserve">0–4m, 4–20mA</t>
  </si>
  <si>
    <t xml:space="preserve">8.2 mA @ 1.05m</t>
  </si>
  <si>
    <t xml:space="preserve">Beamex MC6 S/N 887</t>
  </si>
  <si>
    <t xml:space="preserve">Calibration out of tolerance — recalibrate required</t>
  </si>
  <si>
    <t xml:space="preserve">PT-310</t>
  </si>
  <si>
    <t xml:space="preserve">Pressure Transmitter — Backwash Header</t>
  </si>
  <si>
    <t xml:space="preserve">P&amp;ID-010</t>
  </si>
  <si>
    <t xml:space="preserve">Filtration</t>
  </si>
  <si>
    <t xml:space="preserve">Pressure</t>
  </si>
  <si>
    <t xml:space="preserve">0–6 bar, 4–20mA</t>
  </si>
  <si>
    <t xml:space="preserve">Signal stuck at 4mA</t>
  </si>
  <si>
    <t xml:space="preserve">Faulty transmitter — replacement on order</t>
  </si>
  <si>
    <t xml:space="preserve">TT-402</t>
  </si>
  <si>
    <t xml:space="preserve">Temperature Sensor — Digester 1</t>
  </si>
  <si>
    <t xml:space="preserve">P&amp;ID-015</t>
  </si>
  <si>
    <t xml:space="preserve">Sludge Treatment</t>
  </si>
  <si>
    <t xml:space="preserve">Temperature</t>
  </si>
  <si>
    <t xml:space="preserve">J. Patel</t>
  </si>
  <si>
    <t xml:space="preserve">0–80°C, PT100</t>
  </si>
  <si>
    <t xml:space="preserve">37.2°C — matched reference</t>
  </si>
  <si>
    <t xml:space="preserve">Isotech 935-14 S/N 102</t>
  </si>
  <si>
    <t xml:space="preserve">XV-501</t>
  </si>
  <si>
    <t xml:space="preserve">Isolation Valve — Chemical Dosing</t>
  </si>
  <si>
    <t xml:space="preserve">P&amp;ID-020</t>
  </si>
  <si>
    <t xml:space="preserve">Chemical Dosing</t>
  </si>
  <si>
    <t xml:space="preserve">Valve</t>
  </si>
  <si>
    <t xml:space="preserve">Open/Close, 24VDC</t>
  </si>
  <si>
    <t xml:space="preserve">Valve stuck — actuator fault</t>
  </si>
  <si>
    <t xml:space="preserve">Actuator replacement needed — punch item #P-044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</si>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</sst>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d/mm/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2AABB3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2AABB3"/>
        <bgColor rgb="FF3399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AABB3"/>
      </left>
      <right style="thin">
        <color rgb="FF2AABB3"/>
      </right>
      <top style="thin">
        <color rgb="FF2AABB3"/>
      </top>
      <bottom style="thin">
        <color rgb="FF2AABB3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7.35" hidden="false" customHeight="false" outlineLevel="0" collapsed="false">
      <c r="A1" s="8" t="s">
        <v>6</v>
      </c>
      <c r="B1" s="8"/>
      <c r="C1" s="8"/>
      <c r="D1" s="8"/>
      <c r="E1" s="8"/>
      <c r="F1" s="8"/>
    </row>
    <row r="3" customFormat="false" ht="39.75" hidden="false" customHeight="true" outlineLevel="0" collapsed="false">
      <c r="A3" s="9" t="s">
        <v>7</v>
      </c>
      <c r="B3" s="9"/>
      <c r="C3" s="9"/>
      <c r="D3" s="9"/>
      <c r="E3" s="9"/>
      <c r="F3" s="9"/>
    </row>
    <row r="4" customFormat="false" ht="39.75" hidden="false" customHeight="true" outlineLevel="0" collapsed="false">
      <c r="A4" s="9" t="s">
        <v>8</v>
      </c>
      <c r="B4" s="9"/>
      <c r="C4" s="9"/>
      <c r="D4" s="9"/>
      <c r="E4" s="9"/>
      <c r="F4" s="9"/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</row>
    <row r="6" customFormat="false" ht="39.75" hidden="false" customHeight="true" outlineLevel="0" collapsed="false">
      <c r="A6" s="9" t="s">
        <v>10</v>
      </c>
      <c r="B6" s="9"/>
      <c r="C6" s="9"/>
      <c r="D6" s="9"/>
      <c r="E6" s="9"/>
      <c r="F6" s="9"/>
    </row>
    <row r="7" customFormat="false" ht="39.75" hidden="false" customHeight="true" outlineLevel="0" collapsed="false">
      <c r="A7" s="9" t="s">
        <v>11</v>
      </c>
      <c r="B7" s="9"/>
      <c r="C7" s="9"/>
      <c r="D7" s="9"/>
      <c r="E7" s="9"/>
      <c r="F7" s="9"/>
    </row>
    <row r="8" customFormat="false" ht="39.75" hidden="false" customHeight="true" outlineLevel="0" collapsed="false">
      <c r="A8" s="9" t="s">
        <v>12</v>
      </c>
      <c r="B8" s="9"/>
      <c r="C8" s="9"/>
      <c r="D8" s="9"/>
      <c r="E8" s="9"/>
      <c r="F8" s="9"/>
    </row>
    <row r="9" customFormat="false" ht="39.75" hidden="false" customHeight="true" outlineLevel="0" collapsed="false">
      <c r="A9" s="9" t="s">
        <v>13</v>
      </c>
      <c r="B9" s="9"/>
      <c r="C9" s="9"/>
      <c r="D9" s="9"/>
      <c r="E9" s="9"/>
      <c r="F9" s="9"/>
    </row>
    <row r="10" customFormat="false" ht="39.75" hidden="false" customHeight="true" outlineLevel="0" collapsed="false">
      <c r="A10" s="9" t="s">
        <v>14</v>
      </c>
      <c r="B10" s="9"/>
      <c r="C10" s="9"/>
      <c r="D10" s="9"/>
      <c r="E10" s="9"/>
      <c r="F10" s="9"/>
    </row>
    <row r="12" customFormat="false" ht="15" hidden="false" customHeight="false" outlineLevel="0" collapsed="false">
      <c r="A12" s="10" t="s">
        <v>15</v>
      </c>
      <c r="B12" s="10"/>
      <c r="C12" s="10"/>
      <c r="D12" s="10"/>
      <c r="E12" s="10"/>
      <c r="F12" s="10"/>
    </row>
    <row r="13" customFormat="false" ht="15" hidden="false" customHeight="true" outlineLevel="0" collapsed="false">
      <c r="A13" s="11"/>
      <c r="B13" s="9" t="s">
        <v>16</v>
      </c>
      <c r="C13" s="9"/>
      <c r="D13" s="9"/>
      <c r="E13" s="9"/>
      <c r="F13" s="9"/>
    </row>
    <row r="14" customFormat="false" ht="15" hidden="false" customHeight="true" outlineLevel="0" collapsed="false">
      <c r="A14" s="12"/>
      <c r="B14" s="9" t="s">
        <v>17</v>
      </c>
      <c r="C14" s="9"/>
      <c r="D14" s="9"/>
      <c r="E14" s="9"/>
      <c r="F14" s="9"/>
    </row>
    <row r="15" customFormat="false" ht="15" hidden="false" customHeight="true" outlineLevel="0" collapsed="false">
      <c r="A15" s="13"/>
      <c r="B15" s="9" t="s">
        <v>18</v>
      </c>
      <c r="C15" s="9"/>
      <c r="D15" s="9"/>
      <c r="E15" s="9"/>
      <c r="F15" s="9"/>
    </row>
    <row r="16" customFormat="false" ht="15" hidden="false" customHeight="true" outlineLevel="0" collapsed="false">
      <c r="A16" s="14"/>
      <c r="B16" s="9" t="s">
        <v>19</v>
      </c>
      <c r="C16" s="9"/>
      <c r="D16" s="9"/>
      <c r="E16" s="9"/>
      <c r="F16" s="9"/>
    </row>
    <row r="17" customFormat="false" ht="15" hidden="false" customHeight="true" outlineLevel="0" collapsed="false">
      <c r="A17" s="15"/>
      <c r="B17" s="9" t="s">
        <v>20</v>
      </c>
      <c r="C17" s="9"/>
      <c r="D17" s="9"/>
      <c r="E17" s="9"/>
      <c r="F17" s="9"/>
    </row>
    <row r="19" customFormat="false" ht="15" hidden="false" customHeight="false" outlineLevel="0" collapsed="false">
      <c r="A19" s="10" t="s">
        <v>21</v>
      </c>
      <c r="B19" s="10"/>
      <c r="C19" s="10"/>
      <c r="D19" s="10"/>
      <c r="E19" s="10"/>
      <c r="F19" s="10"/>
    </row>
    <row r="20" customFormat="false" ht="34.5" hidden="false" customHeight="true" outlineLevel="0" collapsed="false">
      <c r="A20" s="9" t="s">
        <v>22</v>
      </c>
      <c r="B20" s="9"/>
      <c r="C20" s="9"/>
      <c r="D20" s="9"/>
      <c r="E20" s="9"/>
      <c r="F20" s="9"/>
    </row>
    <row r="21" customFormat="false" ht="34.5" hidden="false" customHeight="true" outlineLevel="0" collapsed="false">
      <c r="A21" s="9" t="s">
        <v>23</v>
      </c>
      <c r="B21" s="9"/>
      <c r="C21" s="9"/>
      <c r="D21" s="9"/>
      <c r="E21" s="9"/>
      <c r="F21" s="9"/>
    </row>
    <row r="22" customFormat="false" ht="34.5" hidden="false" customHeight="true" outlineLevel="0" collapsed="false">
      <c r="A22" s="9" t="s">
        <v>24</v>
      </c>
      <c r="B22" s="9"/>
      <c r="C22" s="9"/>
      <c r="D22" s="9"/>
      <c r="E22" s="9"/>
      <c r="F22" s="9"/>
    </row>
  </sheetData>
  <mergeCells count="19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2:F12"/>
    <mergeCell ref="B13:F13"/>
    <mergeCell ref="B14:F14"/>
    <mergeCell ref="B15:F15"/>
    <mergeCell ref="B16:F16"/>
    <mergeCell ref="B17:F17"/>
    <mergeCell ref="A19:F19"/>
    <mergeCell ref="A20:F20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4" min="12" style="0" width="14"/>
    <col collapsed="false" customWidth="true" hidden="true" outlineLevel="1" max="18" min="15" style="0" width="16"/>
  </cols>
  <sheetData>
    <row r="1" customFormat="false" ht="15" hidden="false" customHeight="true" outlineLevel="0" collapsed="false">
      <c r="A1" s="16" t="s">
        <v>25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3" customFormat="false" ht="15" hidden="false" customHeight="false" outlineLevel="0" collapsed="false">
      <c r="A3" s="10" t="s">
        <v>26</v>
      </c>
      <c r="B3" s="10"/>
      <c r="C3" s="10"/>
      <c r="D3" s="10"/>
      <c r="F3" s="10" t="s">
        <v>27</v>
      </c>
      <c r="G3" s="10"/>
      <c r="H3" s="10"/>
      <c r="I3" s="10"/>
    </row>
    <row r="4" customFormat="false" ht="15" hidden="false" customHeight="false" outlineLevel="0" collapsed="false">
      <c r="A4" s="17" t="s">
        <v>28</v>
      </c>
      <c r="B4" s="17"/>
      <c r="C4" s="18" t="n">
        <f aca="false">COUNTA(B13:B200)</f>
        <v>5</v>
      </c>
      <c r="F4" s="17" t="s">
        <v>29</v>
      </c>
      <c r="G4" s="19" t="s">
        <v>30</v>
      </c>
      <c r="H4" s="19" t="s">
        <v>31</v>
      </c>
      <c r="I4" s="19" t="s">
        <v>32</v>
      </c>
    </row>
    <row r="5" customFormat="false" ht="15" hidden="false" customHeight="false" outlineLevel="0" collapsed="false">
      <c r="A5" s="17" t="s">
        <v>33</v>
      </c>
      <c r="B5" s="17"/>
      <c r="C5" s="18" t="n">
        <f aca="false">COUNTIF(L13:L200,"Pass")</f>
        <v>2</v>
      </c>
      <c r="F5" s="20" t="s">
        <v>34</v>
      </c>
      <c r="G5" s="21" t="n">
        <f aca="false">COUNTIF(G13:G200,"Pass")</f>
        <v>5</v>
      </c>
      <c r="H5" s="21" t="n">
        <f aca="false">COUNTIF(G13:G200,"Pass")+COUNTIF(G13:G200,"Fail")</f>
        <v>5</v>
      </c>
      <c r="I5" s="22" t="n">
        <f aca="false">IF(H5=0,"",G5/H5)</f>
        <v>1</v>
      </c>
    </row>
    <row r="6" customFormat="false" ht="15" hidden="false" customHeight="false" outlineLevel="0" collapsed="false">
      <c r="A6" s="17" t="s">
        <v>35</v>
      </c>
      <c r="B6" s="17"/>
      <c r="C6" s="18" t="n">
        <f aca="false">COUNTIF(L13:L200,"Fail")</f>
        <v>3</v>
      </c>
      <c r="F6" s="20" t="s">
        <v>36</v>
      </c>
      <c r="G6" s="21" t="n">
        <f aca="false">COUNTIF(H13:H200,"Pass")</f>
        <v>3</v>
      </c>
      <c r="H6" s="21" t="n">
        <f aca="false">COUNTIF(H13:H200,"Pass")+COUNTIF(H13:H200,"Fail")</f>
        <v>4</v>
      </c>
      <c r="I6" s="22" t="n">
        <f aca="false">IF(H6=0,"",G6/H6)</f>
        <v>0.75</v>
      </c>
    </row>
    <row r="7" customFormat="false" ht="15" hidden="false" customHeight="false" outlineLevel="0" collapsed="false">
      <c r="A7" s="17" t="s">
        <v>37</v>
      </c>
      <c r="B7" s="17"/>
      <c r="C7" s="18" t="n">
        <f aca="false">COUNTIF(L13:L200,"In Progress")</f>
        <v>0</v>
      </c>
      <c r="F7" s="20" t="s">
        <v>38</v>
      </c>
      <c r="G7" s="21" t="n">
        <f aca="false">COUNTIF(I13:I200,"Pass")</f>
        <v>2</v>
      </c>
      <c r="H7" s="21" t="n">
        <f aca="false">COUNTIF(I13:I200,"Pass")+COUNTIF(I13:I200,"Fail")</f>
        <v>3</v>
      </c>
      <c r="I7" s="22" t="n">
        <f aca="false">IF(H7=0,"",G7/H7)</f>
        <v>0.666666666666667</v>
      </c>
    </row>
    <row r="8" customFormat="false" ht="15" hidden="false" customHeight="false" outlineLevel="0" collapsed="false">
      <c r="A8" s="17" t="s">
        <v>39</v>
      </c>
      <c r="B8" s="17"/>
      <c r="C8" s="23" t="n">
        <f aca="false">IF(COUNTA(B13:B200)=0,"",COUNTIF(L13:L200,"Pass")/COUNTA(B13:B200))</f>
        <v>0.4</v>
      </c>
      <c r="F8" s="20" t="s">
        <v>40</v>
      </c>
      <c r="G8" s="21" t="n">
        <f aca="false">COUNTIF(J13:J200,"Pass")</f>
        <v>2</v>
      </c>
      <c r="H8" s="21" t="n">
        <f aca="false">COUNTIF(J13:J200,"Pass")+COUNTIF(J13:J200,"Fail")</f>
        <v>3</v>
      </c>
      <c r="I8" s="22" t="n">
        <f aca="false">IF(H8=0,"",G8/H8)</f>
        <v>0.666666666666667</v>
      </c>
    </row>
    <row r="11" customFormat="false" ht="22.35" hidden="false" customHeight="true" outlineLevel="0" collapsed="false">
      <c r="A11" s="24" t="s">
        <v>41</v>
      </c>
      <c r="B11" s="24"/>
      <c r="C11" s="24"/>
      <c r="D11" s="24"/>
      <c r="E11" s="24"/>
      <c r="F11" s="24"/>
      <c r="G11" s="24" t="s">
        <v>42</v>
      </c>
      <c r="H11" s="24"/>
      <c r="I11" s="24"/>
      <c r="J11" s="24"/>
      <c r="K11" s="24"/>
      <c r="L11" s="24" t="s">
        <v>43</v>
      </c>
      <c r="M11" s="24"/>
      <c r="N11" s="24"/>
      <c r="O11" s="25" t="s">
        <v>44</v>
      </c>
      <c r="P11" s="25"/>
      <c r="Q11" s="25"/>
      <c r="R11" s="25"/>
    </row>
    <row r="12" customFormat="false" ht="27.75" hidden="false" customHeight="true" outlineLevel="0" collapsed="false">
      <c r="A12" s="26" t="s">
        <v>45</v>
      </c>
      <c r="B12" s="26" t="s">
        <v>46</v>
      </c>
      <c r="C12" s="26" t="s">
        <v>47</v>
      </c>
      <c r="D12" s="26" t="s">
        <v>48</v>
      </c>
      <c r="E12" s="26" t="s">
        <v>49</v>
      </c>
      <c r="F12" s="26" t="s">
        <v>50</v>
      </c>
      <c r="G12" s="26" t="s">
        <v>34</v>
      </c>
      <c r="H12" s="26" t="s">
        <v>36</v>
      </c>
      <c r="I12" s="26" t="s">
        <v>38</v>
      </c>
      <c r="J12" s="26" t="s">
        <v>40</v>
      </c>
      <c r="K12" s="26" t="s">
        <v>51</v>
      </c>
      <c r="L12" s="26" t="s">
        <v>52</v>
      </c>
      <c r="M12" s="26" t="s">
        <v>53</v>
      </c>
      <c r="N12" s="26" t="s">
        <v>54</v>
      </c>
      <c r="O12" s="26" t="s">
        <v>55</v>
      </c>
      <c r="P12" s="26" t="s">
        <v>56</v>
      </c>
      <c r="Q12" s="26" t="s">
        <v>57</v>
      </c>
      <c r="R12" s="26" t="s">
        <v>58</v>
      </c>
    </row>
    <row r="13" customFormat="false" ht="21.75" hidden="false" customHeight="true" outlineLevel="0" collapsed="false">
      <c r="A13" s="21" t="n">
        <f aca="false">IF(COUNTA(B13:N13)=0,"",ROW()-12)</f>
        <v>1</v>
      </c>
      <c r="B13" s="27" t="s">
        <v>59</v>
      </c>
      <c r="C13" s="28" t="s">
        <v>60</v>
      </c>
      <c r="D13" s="27" t="s">
        <v>61</v>
      </c>
      <c r="E13" s="27" t="s">
        <v>62</v>
      </c>
      <c r="F13" s="27" t="s">
        <v>63</v>
      </c>
      <c r="G13" s="27" t="s">
        <v>64</v>
      </c>
      <c r="H13" s="27" t="s">
        <v>64</v>
      </c>
      <c r="I13" s="27" t="s">
        <v>64</v>
      </c>
      <c r="J13" s="27" t="s">
        <v>64</v>
      </c>
      <c r="K13" s="23" t="n">
        <f aca="false">IF(COUNTIF(G13:J13,"Pass")+COUNTIF(G13:J13,"Fail")=0,"",COUNTIF(G13:J13,"Pass")/(COUNTIF(G13:J13,"Pass")+COUNTIF(G13:J13,"Fail")))</f>
        <v>1</v>
      </c>
      <c r="L13" s="29" t="str">
        <f aca="false">IF(COUNTA(G13:J13)=0,"",IF(COUNTIF(G13:J13,"Fail")&gt;0,IF(K13=0,"Fail","Fail"),IF(K13=1,"Pass","In Progress")))</f>
        <v>Pass</v>
      </c>
      <c r="M13" s="30" t="n">
        <v>46091</v>
      </c>
      <c r="N13" s="27" t="s">
        <v>65</v>
      </c>
      <c r="O13" s="27" t="s">
        <v>66</v>
      </c>
      <c r="P13" s="27" t="s">
        <v>67</v>
      </c>
      <c r="Q13" s="28" t="s">
        <v>68</v>
      </c>
      <c r="R13" s="28"/>
    </row>
    <row r="14" customFormat="false" ht="21.75" hidden="false" customHeight="true" outlineLevel="0" collapsed="false">
      <c r="A14" s="21" t="n">
        <f aca="false">IF(COUNTA(B14:N14)=0,"",ROW()-12)</f>
        <v>2</v>
      </c>
      <c r="B14" s="27" t="s">
        <v>69</v>
      </c>
      <c r="C14" s="28" t="s">
        <v>70</v>
      </c>
      <c r="D14" s="27" t="s">
        <v>71</v>
      </c>
      <c r="E14" s="27" t="s">
        <v>72</v>
      </c>
      <c r="F14" s="27" t="s">
        <v>73</v>
      </c>
      <c r="G14" s="27" t="s">
        <v>64</v>
      </c>
      <c r="H14" s="27" t="s">
        <v>64</v>
      </c>
      <c r="I14" s="27" t="s">
        <v>74</v>
      </c>
      <c r="J14" s="27" t="s">
        <v>75</v>
      </c>
      <c r="K14" s="23" t="n">
        <f aca="false">IF(COUNTIF(G14:J14,"Pass")+COUNTIF(G14:J14,"Fail")=0,"",COUNTIF(G14:J14,"Pass")/(COUNTIF(G14:J14,"Pass")+COUNTIF(G14:J14,"Fail")))</f>
        <v>0.666666666666667</v>
      </c>
      <c r="L14" s="29" t="str">
        <f aca="false">IF(COUNTA(G14:J14)=0,"",IF(COUNTIF(G14:J14,"Fail")&gt;0,IF(K14=0,"Fail","Fail"),IF(K14=1,"Pass","In Progress")))</f>
        <v>Fail</v>
      </c>
      <c r="M14" s="30" t="n">
        <v>46092</v>
      </c>
      <c r="N14" s="27" t="s">
        <v>76</v>
      </c>
      <c r="O14" s="27" t="s">
        <v>77</v>
      </c>
      <c r="P14" s="27" t="s">
        <v>78</v>
      </c>
      <c r="Q14" s="28" t="s">
        <v>79</v>
      </c>
      <c r="R14" s="28" t="s">
        <v>80</v>
      </c>
    </row>
    <row r="15" customFormat="false" ht="21.75" hidden="false" customHeight="true" outlineLevel="0" collapsed="false">
      <c r="A15" s="21" t="n">
        <f aca="false">IF(COUNTA(B15:N15)=0,"",ROW()-12)</f>
        <v>3</v>
      </c>
      <c r="B15" s="27" t="s">
        <v>81</v>
      </c>
      <c r="C15" s="28" t="s">
        <v>82</v>
      </c>
      <c r="D15" s="27" t="s">
        <v>83</v>
      </c>
      <c r="E15" s="27" t="s">
        <v>84</v>
      </c>
      <c r="F15" s="27" t="s">
        <v>85</v>
      </c>
      <c r="G15" s="27" t="s">
        <v>64</v>
      </c>
      <c r="H15" s="27" t="s">
        <v>74</v>
      </c>
      <c r="I15" s="27" t="s">
        <v>75</v>
      </c>
      <c r="J15" s="27" t="s">
        <v>75</v>
      </c>
      <c r="K15" s="23" t="n">
        <f aca="false">IF(COUNTIF(G15:J15,"Pass")+COUNTIF(G15:J15,"Fail")=0,"",COUNTIF(G15:J15,"Pass")/(COUNTIF(G15:J15,"Pass")+COUNTIF(G15:J15,"Fail")))</f>
        <v>0.5</v>
      </c>
      <c r="L15" s="29" t="str">
        <f aca="false">IF(COUNTA(G15:J15)=0,"",IF(COUNTIF(G15:J15,"Fail")&gt;0,IF(K15=0,"Fail","Fail"),IF(K15=1,"Pass","In Progress")))</f>
        <v>Fail</v>
      </c>
      <c r="M15" s="30" t="n">
        <v>46093</v>
      </c>
      <c r="N15" s="27" t="s">
        <v>65</v>
      </c>
      <c r="O15" s="27" t="s">
        <v>86</v>
      </c>
      <c r="P15" s="27" t="s">
        <v>87</v>
      </c>
      <c r="Q15" s="28" t="s">
        <v>68</v>
      </c>
      <c r="R15" s="28" t="s">
        <v>88</v>
      </c>
    </row>
    <row r="16" customFormat="false" ht="21.75" hidden="false" customHeight="true" outlineLevel="0" collapsed="false">
      <c r="A16" s="21" t="n">
        <f aca="false">IF(COUNTA(B16:N16)=0,"",ROW()-12)</f>
        <v>4</v>
      </c>
      <c r="B16" s="27" t="s">
        <v>89</v>
      </c>
      <c r="C16" s="28" t="s">
        <v>90</v>
      </c>
      <c r="D16" s="27" t="s">
        <v>91</v>
      </c>
      <c r="E16" s="27" t="s">
        <v>92</v>
      </c>
      <c r="F16" s="27" t="s">
        <v>93</v>
      </c>
      <c r="G16" s="27" t="s">
        <v>64</v>
      </c>
      <c r="H16" s="27" t="s">
        <v>64</v>
      </c>
      <c r="I16" s="27" t="s">
        <v>64</v>
      </c>
      <c r="J16" s="27" t="s">
        <v>64</v>
      </c>
      <c r="K16" s="23" t="n">
        <f aca="false">IF(COUNTIF(G16:J16,"Pass")+COUNTIF(G16:J16,"Fail")=0,"",COUNTIF(G16:J16,"Pass")/(COUNTIF(G16:J16,"Pass")+COUNTIF(G16:J16,"Fail")))</f>
        <v>1</v>
      </c>
      <c r="L16" s="29" t="str">
        <f aca="false">IF(COUNTA(G16:J16)=0,"",IF(COUNTIF(G16:J16,"Fail")&gt;0,IF(K16=0,"Fail","Fail"),IF(K16=1,"Pass","In Progress")))</f>
        <v>Pass</v>
      </c>
      <c r="M16" s="30" t="n">
        <v>46094</v>
      </c>
      <c r="N16" s="27" t="s">
        <v>94</v>
      </c>
      <c r="O16" s="27" t="s">
        <v>95</v>
      </c>
      <c r="P16" s="27" t="s">
        <v>96</v>
      </c>
      <c r="Q16" s="28" t="s">
        <v>97</v>
      </c>
      <c r="R16" s="28"/>
    </row>
    <row r="17" customFormat="false" ht="21.75" hidden="false" customHeight="true" outlineLevel="0" collapsed="false">
      <c r="A17" s="21" t="n">
        <f aca="false">IF(COUNTA(B17:N17)=0,"",ROW()-12)</f>
        <v>5</v>
      </c>
      <c r="B17" s="27" t="s">
        <v>98</v>
      </c>
      <c r="C17" s="28" t="s">
        <v>99</v>
      </c>
      <c r="D17" s="27" t="s">
        <v>100</v>
      </c>
      <c r="E17" s="27" t="s">
        <v>101</v>
      </c>
      <c r="F17" s="27" t="s">
        <v>102</v>
      </c>
      <c r="G17" s="27" t="s">
        <v>64</v>
      </c>
      <c r="H17" s="27" t="s">
        <v>75</v>
      </c>
      <c r="I17" s="27" t="s">
        <v>75</v>
      </c>
      <c r="J17" s="27" t="s">
        <v>74</v>
      </c>
      <c r="K17" s="23" t="n">
        <f aca="false">IF(COUNTIF(G17:J17,"Pass")+COUNTIF(G17:J17,"Fail")=0,"",COUNTIF(G17:J17,"Pass")/(COUNTIF(G17:J17,"Pass")+COUNTIF(G17:J17,"Fail")))</f>
        <v>0.5</v>
      </c>
      <c r="L17" s="29" t="str">
        <f aca="false">IF(COUNTA(G17:J17)=0,"",IF(COUNTIF(G17:J17,"Fail")&gt;0,IF(K17=0,"Fail","Fail"),IF(K17=1,"Pass","In Progress")))</f>
        <v>Fail</v>
      </c>
      <c r="M17" s="30" t="n">
        <v>46095</v>
      </c>
      <c r="N17" s="27" t="s">
        <v>76</v>
      </c>
      <c r="O17" s="27" t="s">
        <v>103</v>
      </c>
      <c r="P17" s="27" t="s">
        <v>104</v>
      </c>
      <c r="Q17" s="28" t="s">
        <v>75</v>
      </c>
      <c r="R17" s="28" t="s">
        <v>105</v>
      </c>
    </row>
    <row r="18" customFormat="false" ht="21.75" hidden="false" customHeight="true" outlineLevel="0" collapsed="false">
      <c r="A18" s="21" t="n">
        <f aca="false">IF(COUNTA(B18:N18)=0,"",ROW()-12)</f>
        <v>6</v>
      </c>
      <c r="B18" s="27"/>
      <c r="C18" s="27"/>
      <c r="D18" s="27"/>
      <c r="E18" s="27"/>
      <c r="F18" s="27"/>
      <c r="G18" s="27"/>
      <c r="H18" s="27"/>
      <c r="I18" s="27"/>
      <c r="J18" s="27"/>
      <c r="K18" s="22" t="str">
        <f aca="false">IF(COUNTIF(G18:J18,"Pass")+COUNTIF(G18:J18,"Fail")=0,"",COUNTIF(G18:J18,"Pass")/(COUNTIF(G18:J18,"Pass")+COUNTIF(G18:J18,"Fail")))</f>
        <v/>
      </c>
      <c r="L18" s="31" t="str">
        <f aca="false">IF(COUNTA(G18:J18)=0,"",IF(COUNTIF(G18:J18,"Fail")&gt;0,IF(K18=0,"Fail","Fail"),IF(K18=1,"Pass","In Progress")))</f>
        <v/>
      </c>
      <c r="M18" s="30"/>
      <c r="N18" s="27"/>
      <c r="O18" s="27"/>
      <c r="P18" s="27"/>
      <c r="Q18" s="27"/>
      <c r="R18" s="27"/>
    </row>
    <row r="19" customFormat="false" ht="21.75" hidden="false" customHeight="true" outlineLevel="0" collapsed="false">
      <c r="A19" s="21" t="n">
        <f aca="false">IF(COUNTA(B19:N19)=0,"",ROW()-12)</f>
        <v>7</v>
      </c>
      <c r="B19" s="27"/>
      <c r="C19" s="27"/>
      <c r="D19" s="27"/>
      <c r="E19" s="27"/>
      <c r="F19" s="27"/>
      <c r="G19" s="27"/>
      <c r="H19" s="27"/>
      <c r="I19" s="27"/>
      <c r="J19" s="27"/>
      <c r="K19" s="22" t="str">
        <f aca="false">IF(COUNTIF(G19:J19,"Pass")+COUNTIF(G19:J19,"Fail")=0,"",COUNTIF(G19:J19,"Pass")/(COUNTIF(G19:J19,"Pass")+COUNTIF(G19:J19,"Fail")))</f>
        <v/>
      </c>
      <c r="L19" s="31" t="str">
        <f aca="false">IF(COUNTA(G19:J19)=0,"",IF(COUNTIF(G19:J19,"Fail")&gt;0,IF(K19=0,"Fail","Fail"),IF(K19=1,"Pass","In Progress")))</f>
        <v/>
      </c>
      <c r="M19" s="30"/>
      <c r="N19" s="27"/>
      <c r="O19" s="27"/>
      <c r="P19" s="27"/>
      <c r="Q19" s="27"/>
      <c r="R19" s="27"/>
    </row>
    <row r="20" customFormat="false" ht="21.75" hidden="false" customHeight="true" outlineLevel="0" collapsed="false">
      <c r="A20" s="21" t="n">
        <f aca="false">IF(COUNTA(B20:N20)=0,"",ROW()-12)</f>
        <v>8</v>
      </c>
      <c r="B20" s="27"/>
      <c r="C20" s="27"/>
      <c r="D20" s="27"/>
      <c r="E20" s="27"/>
      <c r="F20" s="27"/>
      <c r="G20" s="27"/>
      <c r="H20" s="27"/>
      <c r="I20" s="27"/>
      <c r="J20" s="27"/>
      <c r="K20" s="22" t="str">
        <f aca="false">IF(COUNTIF(G20:J20,"Pass")+COUNTIF(G20:J20,"Fail")=0,"",COUNTIF(G20:J20,"Pass")/(COUNTIF(G20:J20,"Pass")+COUNTIF(G20:J20,"Fail")))</f>
        <v/>
      </c>
      <c r="L20" s="31" t="str">
        <f aca="false">IF(COUNTA(G20:J20)=0,"",IF(COUNTIF(G20:J20,"Fail")&gt;0,IF(K20=0,"Fail","Fail"),IF(K20=1,"Pass","In Progress")))</f>
        <v/>
      </c>
      <c r="M20" s="30"/>
      <c r="N20" s="27"/>
      <c r="O20" s="27"/>
      <c r="P20" s="27"/>
      <c r="Q20" s="27"/>
      <c r="R20" s="27"/>
    </row>
    <row r="21" customFormat="false" ht="21.75" hidden="false" customHeight="true" outlineLevel="0" collapsed="false">
      <c r="A21" s="21" t="n">
        <f aca="false">IF(COUNTA(B21:N21)=0,"",ROW()-12)</f>
        <v>9</v>
      </c>
      <c r="B21" s="27"/>
      <c r="C21" s="27"/>
      <c r="D21" s="27"/>
      <c r="E21" s="27"/>
      <c r="F21" s="27"/>
      <c r="G21" s="27"/>
      <c r="H21" s="27"/>
      <c r="I21" s="27"/>
      <c r="J21" s="27"/>
      <c r="K21" s="22" t="str">
        <f aca="false">IF(COUNTIF(G21:J21,"Pass")+COUNTIF(G21:J21,"Fail")=0,"",COUNTIF(G21:J21,"Pass")/(COUNTIF(G21:J21,"Pass")+COUNTIF(G21:J21,"Fail")))</f>
        <v/>
      </c>
      <c r="L21" s="31" t="str">
        <f aca="false">IF(COUNTA(G21:J21)=0,"",IF(COUNTIF(G21:J21,"Fail")&gt;0,IF(K21=0,"Fail","Fail"),IF(K21=1,"Pass","In Progress")))</f>
        <v/>
      </c>
      <c r="M21" s="30"/>
      <c r="N21" s="27"/>
      <c r="O21" s="27"/>
      <c r="P21" s="27"/>
      <c r="Q21" s="27"/>
      <c r="R21" s="27"/>
    </row>
    <row r="22" customFormat="false" ht="21.75" hidden="false" customHeight="true" outlineLevel="0" collapsed="false">
      <c r="A22" s="21" t="n">
        <f aca="false">IF(COUNTA(B22:N22)=0,"",ROW()-12)</f>
        <v>10</v>
      </c>
      <c r="B22" s="27"/>
      <c r="C22" s="27"/>
      <c r="D22" s="27"/>
      <c r="E22" s="27"/>
      <c r="F22" s="27"/>
      <c r="G22" s="27"/>
      <c r="H22" s="27"/>
      <c r="I22" s="27"/>
      <c r="J22" s="27"/>
      <c r="K22" s="22" t="str">
        <f aca="false">IF(COUNTIF(G22:J22,"Pass")+COUNTIF(G22:J22,"Fail")=0,"",COUNTIF(G22:J22,"Pass")/(COUNTIF(G22:J22,"Pass")+COUNTIF(G22:J22,"Fail")))</f>
        <v/>
      </c>
      <c r="L22" s="31" t="str">
        <f aca="false">IF(COUNTA(G22:J22)=0,"",IF(COUNTIF(G22:J22,"Fail")&gt;0,IF(K22=0,"Fail","Fail"),IF(K22=1,"Pass","In Progress")))</f>
        <v/>
      </c>
      <c r="M22" s="30"/>
      <c r="N22" s="27"/>
      <c r="O22" s="27"/>
      <c r="P22" s="27"/>
      <c r="Q22" s="27"/>
      <c r="R22" s="27"/>
    </row>
    <row r="23" customFormat="false" ht="21.75" hidden="false" customHeight="true" outlineLevel="0" collapsed="false">
      <c r="A23" s="21" t="n">
        <f aca="false">IF(COUNTA(B23:N23)=0,"",ROW()-12)</f>
        <v>11</v>
      </c>
      <c r="B23" s="27"/>
      <c r="C23" s="27"/>
      <c r="D23" s="27"/>
      <c r="E23" s="27"/>
      <c r="F23" s="27"/>
      <c r="G23" s="27"/>
      <c r="H23" s="27"/>
      <c r="I23" s="27"/>
      <c r="J23" s="27"/>
      <c r="K23" s="22" t="str">
        <f aca="false">IF(COUNTIF(G23:J23,"Pass")+COUNTIF(G23:J23,"Fail")=0,"",COUNTIF(G23:J23,"Pass")/(COUNTIF(G23:J23,"Pass")+COUNTIF(G23:J23,"Fail")))</f>
        <v/>
      </c>
      <c r="L23" s="31" t="str">
        <f aca="false">IF(COUNTA(G23:J23)=0,"",IF(COUNTIF(G23:J23,"Fail")&gt;0,IF(K23=0,"Fail","Fail"),IF(K23=1,"Pass","In Progress")))</f>
        <v/>
      </c>
      <c r="M23" s="30"/>
      <c r="N23" s="27"/>
      <c r="O23" s="27"/>
      <c r="P23" s="27"/>
      <c r="Q23" s="27"/>
      <c r="R23" s="27"/>
    </row>
    <row r="24" customFormat="false" ht="21.75" hidden="false" customHeight="true" outlineLevel="0" collapsed="false">
      <c r="A24" s="21" t="n">
        <f aca="false">IF(COUNTA(B24:N24)=0,"",ROW()-12)</f>
        <v>12</v>
      </c>
      <c r="B24" s="27"/>
      <c r="C24" s="27"/>
      <c r="D24" s="27"/>
      <c r="E24" s="27"/>
      <c r="F24" s="27"/>
      <c r="G24" s="27"/>
      <c r="H24" s="27"/>
      <c r="I24" s="27"/>
      <c r="J24" s="27"/>
      <c r="K24" s="22" t="str">
        <f aca="false">IF(COUNTIF(G24:J24,"Pass")+COUNTIF(G24:J24,"Fail")=0,"",COUNTIF(G24:J24,"Pass")/(COUNTIF(G24:J24,"Pass")+COUNTIF(G24:J24,"Fail")))</f>
        <v/>
      </c>
      <c r="L24" s="31" t="str">
        <f aca="false">IF(COUNTA(G24:J24)=0,"",IF(COUNTIF(G24:J24,"Fail")&gt;0,IF(K24=0,"Fail","Fail"),IF(K24=1,"Pass","In Progress")))</f>
        <v/>
      </c>
      <c r="M24" s="30"/>
      <c r="N24" s="27"/>
      <c r="O24" s="27"/>
      <c r="P24" s="27"/>
      <c r="Q24" s="27"/>
      <c r="R24" s="27"/>
    </row>
    <row r="25" customFormat="false" ht="21.75" hidden="false" customHeight="true" outlineLevel="0" collapsed="false">
      <c r="A25" s="21" t="n">
        <f aca="false">IF(COUNTA(B25:N25)=0,"",ROW()-12)</f>
        <v>13</v>
      </c>
      <c r="B25" s="27"/>
      <c r="C25" s="27"/>
      <c r="D25" s="27"/>
      <c r="E25" s="27"/>
      <c r="F25" s="27"/>
      <c r="G25" s="27"/>
      <c r="H25" s="27"/>
      <c r="I25" s="27"/>
      <c r="J25" s="27"/>
      <c r="K25" s="22" t="str">
        <f aca="false">IF(COUNTIF(G25:J25,"Pass")+COUNTIF(G25:J25,"Fail")=0,"",COUNTIF(G25:J25,"Pass")/(COUNTIF(G25:J25,"Pass")+COUNTIF(G25:J25,"Fail")))</f>
        <v/>
      </c>
      <c r="L25" s="31" t="str">
        <f aca="false">IF(COUNTA(G25:J25)=0,"",IF(COUNTIF(G25:J25,"Fail")&gt;0,IF(K25=0,"Fail","Fail"),IF(K25=1,"Pass","In Progress")))</f>
        <v/>
      </c>
      <c r="M25" s="30"/>
      <c r="N25" s="27"/>
      <c r="O25" s="27"/>
      <c r="P25" s="27"/>
      <c r="Q25" s="27"/>
      <c r="R25" s="27"/>
    </row>
    <row r="26" customFormat="false" ht="21.75" hidden="false" customHeight="true" outlineLevel="0" collapsed="false">
      <c r="A26" s="21" t="n">
        <f aca="false">IF(COUNTA(B26:N26)=0,"",ROW()-12)</f>
        <v>14</v>
      </c>
      <c r="B26" s="27"/>
      <c r="C26" s="27"/>
      <c r="D26" s="27"/>
      <c r="E26" s="27"/>
      <c r="F26" s="27"/>
      <c r="G26" s="27"/>
      <c r="H26" s="27"/>
      <c r="I26" s="27"/>
      <c r="J26" s="27"/>
      <c r="K26" s="22" t="str">
        <f aca="false">IF(COUNTIF(G26:J26,"Pass")+COUNTIF(G26:J26,"Fail")=0,"",COUNTIF(G26:J26,"Pass")/(COUNTIF(G26:J26,"Pass")+COUNTIF(G26:J26,"Fail")))</f>
        <v/>
      </c>
      <c r="L26" s="31" t="str">
        <f aca="false">IF(COUNTA(G26:J26)=0,"",IF(COUNTIF(G26:J26,"Fail")&gt;0,IF(K26=0,"Fail","Fail"),IF(K26=1,"Pass","In Progress")))</f>
        <v/>
      </c>
      <c r="M26" s="30"/>
      <c r="N26" s="27"/>
      <c r="O26" s="27"/>
      <c r="P26" s="27"/>
      <c r="Q26" s="27"/>
      <c r="R26" s="27"/>
    </row>
    <row r="27" customFormat="false" ht="21.75" hidden="false" customHeight="true" outlineLevel="0" collapsed="false">
      <c r="A27" s="21" t="n">
        <f aca="false">IF(COUNTA(B27:N27)=0,"",ROW()-12)</f>
        <v>15</v>
      </c>
      <c r="B27" s="27"/>
      <c r="C27" s="27"/>
      <c r="D27" s="27"/>
      <c r="E27" s="27"/>
      <c r="F27" s="27"/>
      <c r="G27" s="27"/>
      <c r="H27" s="27"/>
      <c r="I27" s="27"/>
      <c r="J27" s="27"/>
      <c r="K27" s="22" t="str">
        <f aca="false">IF(COUNTIF(G27:J27,"Pass")+COUNTIF(G27:J27,"Fail")=0,"",COUNTIF(G27:J27,"Pass")/(COUNTIF(G27:J27,"Pass")+COUNTIF(G27:J27,"Fail")))</f>
        <v/>
      </c>
      <c r="L27" s="31" t="str">
        <f aca="false">IF(COUNTA(G27:J27)=0,"",IF(COUNTIF(G27:J27,"Fail")&gt;0,IF(K27=0,"Fail","Fail"),IF(K27=1,"Pass","In Progress")))</f>
        <v/>
      </c>
      <c r="M27" s="30"/>
      <c r="N27" s="27"/>
      <c r="O27" s="27"/>
      <c r="P27" s="27"/>
      <c r="Q27" s="27"/>
      <c r="R27" s="27"/>
    </row>
    <row r="28" customFormat="false" ht="21.75" hidden="false" customHeight="true" outlineLevel="0" collapsed="false">
      <c r="A28" s="21" t="n">
        <f aca="false">IF(COUNTA(B28:N28)=0,"",ROW()-12)</f>
        <v>16</v>
      </c>
      <c r="B28" s="27"/>
      <c r="C28" s="27"/>
      <c r="D28" s="27"/>
      <c r="E28" s="27"/>
      <c r="F28" s="27"/>
      <c r="G28" s="27"/>
      <c r="H28" s="27"/>
      <c r="I28" s="27"/>
      <c r="J28" s="27"/>
      <c r="K28" s="22" t="str">
        <f aca="false">IF(COUNTIF(G28:J28,"Pass")+COUNTIF(G28:J28,"Fail")=0,"",COUNTIF(G28:J28,"Pass")/(COUNTIF(G28:J28,"Pass")+COUNTIF(G28:J28,"Fail")))</f>
        <v/>
      </c>
      <c r="L28" s="31" t="str">
        <f aca="false">IF(COUNTA(G28:J28)=0,"",IF(COUNTIF(G28:J28,"Fail")&gt;0,IF(K28=0,"Fail","Fail"),IF(K28=1,"Pass","In Progress")))</f>
        <v/>
      </c>
      <c r="M28" s="30"/>
      <c r="N28" s="27"/>
      <c r="O28" s="27"/>
      <c r="P28" s="27"/>
      <c r="Q28" s="27"/>
      <c r="R28" s="27"/>
    </row>
    <row r="29" customFormat="false" ht="21.75" hidden="false" customHeight="true" outlineLevel="0" collapsed="false">
      <c r="A29" s="21" t="n">
        <f aca="false">IF(COUNTA(B29:N29)=0,"",ROW()-12)</f>
        <v>17</v>
      </c>
      <c r="B29" s="27"/>
      <c r="C29" s="27"/>
      <c r="D29" s="27"/>
      <c r="E29" s="27"/>
      <c r="F29" s="27"/>
      <c r="G29" s="27"/>
      <c r="H29" s="27"/>
      <c r="I29" s="27"/>
      <c r="J29" s="27"/>
      <c r="K29" s="22" t="str">
        <f aca="false">IF(COUNTIF(G29:J29,"Pass")+COUNTIF(G29:J29,"Fail")=0,"",COUNTIF(G29:J29,"Pass")/(COUNTIF(G29:J29,"Pass")+COUNTIF(G29:J29,"Fail")))</f>
        <v/>
      </c>
      <c r="L29" s="31" t="str">
        <f aca="false">IF(COUNTA(G29:J29)=0,"",IF(COUNTIF(G29:J29,"Fail")&gt;0,IF(K29=0,"Fail","Fail"),IF(K29=1,"Pass","In Progress")))</f>
        <v/>
      </c>
      <c r="M29" s="30"/>
      <c r="N29" s="27"/>
      <c r="O29" s="27"/>
      <c r="P29" s="27"/>
      <c r="Q29" s="27"/>
      <c r="R29" s="27"/>
    </row>
    <row r="30" customFormat="false" ht="21.75" hidden="false" customHeight="true" outlineLevel="0" collapsed="false">
      <c r="A30" s="21" t="n">
        <f aca="false">IF(COUNTA(B30:N30)=0,"",ROW()-12)</f>
        <v>18</v>
      </c>
      <c r="B30" s="27"/>
      <c r="C30" s="27"/>
      <c r="D30" s="27"/>
      <c r="E30" s="27"/>
      <c r="F30" s="27"/>
      <c r="G30" s="27"/>
      <c r="H30" s="27"/>
      <c r="I30" s="27"/>
      <c r="J30" s="27"/>
      <c r="K30" s="22" t="str">
        <f aca="false">IF(COUNTIF(G30:J30,"Pass")+COUNTIF(G30:J30,"Fail")=0,"",COUNTIF(G30:J30,"Pass")/(COUNTIF(G30:J30,"Pass")+COUNTIF(G30:J30,"Fail")))</f>
        <v/>
      </c>
      <c r="L30" s="31" t="str">
        <f aca="false">IF(COUNTA(G30:J30)=0,"",IF(COUNTIF(G30:J30,"Fail")&gt;0,IF(K30=0,"Fail","Fail"),IF(K30=1,"Pass","In Progress")))</f>
        <v/>
      </c>
      <c r="M30" s="30"/>
      <c r="N30" s="27"/>
      <c r="O30" s="27"/>
      <c r="P30" s="27"/>
      <c r="Q30" s="27"/>
      <c r="R30" s="27"/>
    </row>
    <row r="31" customFormat="false" ht="21.75" hidden="false" customHeight="true" outlineLevel="0" collapsed="false">
      <c r="A31" s="21" t="n">
        <f aca="false">IF(COUNTA(B31:N31)=0,"",ROW()-12)</f>
        <v>19</v>
      </c>
      <c r="B31" s="27"/>
      <c r="C31" s="27"/>
      <c r="D31" s="27"/>
      <c r="E31" s="27"/>
      <c r="F31" s="27"/>
      <c r="G31" s="27"/>
      <c r="H31" s="27"/>
      <c r="I31" s="27"/>
      <c r="J31" s="27"/>
      <c r="K31" s="22" t="str">
        <f aca="false">IF(COUNTIF(G31:J31,"Pass")+COUNTIF(G31:J31,"Fail")=0,"",COUNTIF(G31:J31,"Pass")/(COUNTIF(G31:J31,"Pass")+COUNTIF(G31:J31,"Fail")))</f>
        <v/>
      </c>
      <c r="L31" s="31" t="str">
        <f aca="false">IF(COUNTA(G31:J31)=0,"",IF(COUNTIF(G31:J31,"Fail")&gt;0,IF(K31=0,"Fail","Fail"),IF(K31=1,"Pass","In Progress")))</f>
        <v/>
      </c>
      <c r="M31" s="30"/>
      <c r="N31" s="27"/>
      <c r="O31" s="27"/>
      <c r="P31" s="27"/>
      <c r="Q31" s="27"/>
      <c r="R31" s="27"/>
    </row>
    <row r="32" customFormat="false" ht="21.75" hidden="false" customHeight="true" outlineLevel="0" collapsed="false">
      <c r="A32" s="21" t="n">
        <f aca="false">IF(COUNTA(B32:N32)=0,"",ROW()-12)</f>
        <v>20</v>
      </c>
      <c r="B32" s="27"/>
      <c r="C32" s="27"/>
      <c r="D32" s="27"/>
      <c r="E32" s="27"/>
      <c r="F32" s="27"/>
      <c r="G32" s="27"/>
      <c r="H32" s="27"/>
      <c r="I32" s="27"/>
      <c r="J32" s="27"/>
      <c r="K32" s="22" t="str">
        <f aca="false">IF(COUNTIF(G32:J32,"Pass")+COUNTIF(G32:J32,"Fail")=0,"",COUNTIF(G32:J32,"Pass")/(COUNTIF(G32:J32,"Pass")+COUNTIF(G32:J32,"Fail")))</f>
        <v/>
      </c>
      <c r="L32" s="31" t="str">
        <f aca="false">IF(COUNTA(G32:J32)=0,"",IF(COUNTIF(G32:J32,"Fail")&gt;0,IF(K32=0,"Fail","Fail"),IF(K32=1,"Pass","In Progress")))</f>
        <v/>
      </c>
      <c r="M32" s="30"/>
      <c r="N32" s="27"/>
      <c r="O32" s="27"/>
      <c r="P32" s="27"/>
      <c r="Q32" s="27"/>
      <c r="R32" s="27"/>
    </row>
    <row r="33" customFormat="false" ht="21.75" hidden="false" customHeight="true" outlineLevel="0" collapsed="false">
      <c r="A33" s="21" t="n">
        <f aca="false">IF(COUNTA(B33:N33)=0,"",ROW()-12)</f>
        <v>21</v>
      </c>
      <c r="B33" s="27"/>
      <c r="C33" s="27"/>
      <c r="D33" s="27"/>
      <c r="E33" s="27"/>
      <c r="F33" s="27"/>
      <c r="G33" s="27"/>
      <c r="H33" s="27"/>
      <c r="I33" s="27"/>
      <c r="J33" s="27"/>
      <c r="K33" s="22" t="str">
        <f aca="false">IF(COUNTIF(G33:J33,"Pass")+COUNTIF(G33:J33,"Fail")=0,"",COUNTIF(G33:J33,"Pass")/(COUNTIF(G33:J33,"Pass")+COUNTIF(G33:J33,"Fail")))</f>
        <v/>
      </c>
      <c r="L33" s="31" t="str">
        <f aca="false">IF(COUNTA(G33:J33)=0,"",IF(COUNTIF(G33:J33,"Fail")&gt;0,IF(K33=0,"Fail","Fail"),IF(K33=1,"Pass","In Progress")))</f>
        <v/>
      </c>
      <c r="M33" s="30"/>
      <c r="N33" s="27"/>
      <c r="O33" s="27"/>
      <c r="P33" s="27"/>
      <c r="Q33" s="27"/>
      <c r="R33" s="27"/>
    </row>
    <row r="34" customFormat="false" ht="21.75" hidden="false" customHeight="true" outlineLevel="0" collapsed="false">
      <c r="A34" s="21" t="n">
        <f aca="false">IF(COUNTA(B34:N34)=0,"",ROW()-12)</f>
        <v>22</v>
      </c>
      <c r="B34" s="27"/>
      <c r="C34" s="27"/>
      <c r="D34" s="27"/>
      <c r="E34" s="27"/>
      <c r="F34" s="27"/>
      <c r="G34" s="27"/>
      <c r="H34" s="27"/>
      <c r="I34" s="27"/>
      <c r="J34" s="27"/>
      <c r="K34" s="22" t="str">
        <f aca="false">IF(COUNTIF(G34:J34,"Pass")+COUNTIF(G34:J34,"Fail")=0,"",COUNTIF(G34:J34,"Pass")/(COUNTIF(G34:J34,"Pass")+COUNTIF(G34:J34,"Fail")))</f>
        <v/>
      </c>
      <c r="L34" s="31" t="str">
        <f aca="false">IF(COUNTA(G34:J34)=0,"",IF(COUNTIF(G34:J34,"Fail")&gt;0,IF(K34=0,"Fail","Fail"),IF(K34=1,"Pass","In Progress")))</f>
        <v/>
      </c>
      <c r="M34" s="30"/>
      <c r="N34" s="27"/>
      <c r="O34" s="27"/>
      <c r="P34" s="27"/>
      <c r="Q34" s="27"/>
      <c r="R34" s="27"/>
    </row>
    <row r="35" customFormat="false" ht="21.75" hidden="false" customHeight="true" outlineLevel="0" collapsed="false">
      <c r="A35" s="21" t="n">
        <f aca="false">IF(COUNTA(B35:N35)=0,"",ROW()-12)</f>
        <v>23</v>
      </c>
      <c r="B35" s="27"/>
      <c r="C35" s="27"/>
      <c r="D35" s="27"/>
      <c r="E35" s="27"/>
      <c r="F35" s="27"/>
      <c r="G35" s="27"/>
      <c r="H35" s="27"/>
      <c r="I35" s="27"/>
      <c r="J35" s="27"/>
      <c r="K35" s="22" t="str">
        <f aca="false">IF(COUNTIF(G35:J35,"Pass")+COUNTIF(G35:J35,"Fail")=0,"",COUNTIF(G35:J35,"Pass")/(COUNTIF(G35:J35,"Pass")+COUNTIF(G35:J35,"Fail")))</f>
        <v/>
      </c>
      <c r="L35" s="31" t="str">
        <f aca="false">IF(COUNTA(G35:J35)=0,"",IF(COUNTIF(G35:J35,"Fail")&gt;0,IF(K35=0,"Fail","Fail"),IF(K35=1,"Pass","In Progress")))</f>
        <v/>
      </c>
      <c r="M35" s="30"/>
      <c r="N35" s="27"/>
      <c r="O35" s="27"/>
      <c r="P35" s="27"/>
      <c r="Q35" s="27"/>
      <c r="R35" s="27"/>
    </row>
    <row r="36" customFormat="false" ht="21.75" hidden="false" customHeight="true" outlineLevel="0" collapsed="false">
      <c r="A36" s="21" t="n">
        <f aca="false">IF(COUNTA(B36:N36)=0,"",ROW()-12)</f>
        <v>24</v>
      </c>
      <c r="B36" s="27"/>
      <c r="C36" s="27"/>
      <c r="D36" s="27"/>
      <c r="E36" s="27"/>
      <c r="F36" s="27"/>
      <c r="G36" s="27"/>
      <c r="H36" s="27"/>
      <c r="I36" s="27"/>
      <c r="J36" s="27"/>
      <c r="K36" s="22" t="str">
        <f aca="false">IF(COUNTIF(G36:J36,"Pass")+COUNTIF(G36:J36,"Fail")=0,"",COUNTIF(G36:J36,"Pass")/(COUNTIF(G36:J36,"Pass")+COUNTIF(G36:J36,"Fail")))</f>
        <v/>
      </c>
      <c r="L36" s="31" t="str">
        <f aca="false">IF(COUNTA(G36:J36)=0,"",IF(COUNTIF(G36:J36,"Fail")&gt;0,IF(K36=0,"Fail","Fail"),IF(K36=1,"Pass","In Progress")))</f>
        <v/>
      </c>
      <c r="M36" s="30"/>
      <c r="N36" s="27"/>
      <c r="O36" s="27"/>
      <c r="P36" s="27"/>
      <c r="Q36" s="27"/>
      <c r="R36" s="27"/>
    </row>
    <row r="37" customFormat="false" ht="21.75" hidden="false" customHeight="true" outlineLevel="0" collapsed="false">
      <c r="A37" s="21" t="n">
        <f aca="false">IF(COUNTA(B37:N37)=0,"",ROW()-12)</f>
        <v>25</v>
      </c>
      <c r="B37" s="27"/>
      <c r="C37" s="27"/>
      <c r="D37" s="27"/>
      <c r="E37" s="27"/>
      <c r="F37" s="27"/>
      <c r="G37" s="27"/>
      <c r="H37" s="27"/>
      <c r="I37" s="27"/>
      <c r="J37" s="27"/>
      <c r="K37" s="22" t="str">
        <f aca="false">IF(COUNTIF(G37:J37,"Pass")+COUNTIF(G37:J37,"Fail")=0,"",COUNTIF(G37:J37,"Pass")/(COUNTIF(G37:J37,"Pass")+COUNTIF(G37:J37,"Fail")))</f>
        <v/>
      </c>
      <c r="L37" s="31" t="str">
        <f aca="false">IF(COUNTA(G37:J37)=0,"",IF(COUNTIF(G37:J37,"Fail")&gt;0,IF(K37=0,"Fail","Fail"),IF(K37=1,"Pass","In Progress")))</f>
        <v/>
      </c>
      <c r="M37" s="30"/>
      <c r="N37" s="27"/>
      <c r="O37" s="27"/>
      <c r="P37" s="27"/>
      <c r="Q37" s="27"/>
      <c r="R37" s="27"/>
    </row>
    <row r="38" customFormat="false" ht="21.75" hidden="false" customHeight="true" outlineLevel="0" collapsed="false">
      <c r="A38" s="21" t="n">
        <f aca="false">IF(COUNTA(B38:N38)=0,"",ROW()-12)</f>
        <v>26</v>
      </c>
      <c r="B38" s="27"/>
      <c r="C38" s="27"/>
      <c r="D38" s="27"/>
      <c r="E38" s="27"/>
      <c r="F38" s="27"/>
      <c r="G38" s="27"/>
      <c r="H38" s="27"/>
      <c r="I38" s="27"/>
      <c r="J38" s="27"/>
      <c r="K38" s="22" t="str">
        <f aca="false">IF(COUNTIF(G38:J38,"Pass")+COUNTIF(G38:J38,"Fail")=0,"",COUNTIF(G38:J38,"Pass")/(COUNTIF(G38:J38,"Pass")+COUNTIF(G38:J38,"Fail")))</f>
        <v/>
      </c>
      <c r="L38" s="31" t="str">
        <f aca="false">IF(COUNTA(G38:J38)=0,"",IF(COUNTIF(G38:J38,"Fail")&gt;0,IF(K38=0,"Fail","Fail"),IF(K38=1,"Pass","In Progress")))</f>
        <v/>
      </c>
      <c r="M38" s="30"/>
      <c r="N38" s="27"/>
      <c r="O38" s="27"/>
      <c r="P38" s="27"/>
      <c r="Q38" s="27"/>
      <c r="R38" s="27"/>
    </row>
    <row r="39" customFormat="false" ht="21.75" hidden="false" customHeight="true" outlineLevel="0" collapsed="false">
      <c r="A39" s="21" t="n">
        <f aca="false">IF(COUNTA(B39:N39)=0,"",ROW()-12)</f>
        <v>27</v>
      </c>
      <c r="B39" s="27"/>
      <c r="C39" s="27"/>
      <c r="D39" s="27"/>
      <c r="E39" s="27"/>
      <c r="F39" s="27"/>
      <c r="G39" s="27"/>
      <c r="H39" s="27"/>
      <c r="I39" s="27"/>
      <c r="J39" s="27"/>
      <c r="K39" s="22" t="str">
        <f aca="false">IF(COUNTIF(G39:J39,"Pass")+COUNTIF(G39:J39,"Fail")=0,"",COUNTIF(G39:J39,"Pass")/(COUNTIF(G39:J39,"Pass")+COUNTIF(G39:J39,"Fail")))</f>
        <v/>
      </c>
      <c r="L39" s="31" t="str">
        <f aca="false">IF(COUNTA(G39:J39)=0,"",IF(COUNTIF(G39:J39,"Fail")&gt;0,IF(K39=0,"Fail","Fail"),IF(K39=1,"Pass","In Progress")))</f>
        <v/>
      </c>
      <c r="M39" s="30"/>
      <c r="N39" s="27"/>
      <c r="O39" s="27"/>
      <c r="P39" s="27"/>
      <c r="Q39" s="27"/>
      <c r="R39" s="27"/>
    </row>
    <row r="40" customFormat="false" ht="21.75" hidden="false" customHeight="true" outlineLevel="0" collapsed="false">
      <c r="A40" s="21" t="n">
        <f aca="false">IF(COUNTA(B40:N40)=0,"",ROW()-12)</f>
        <v>28</v>
      </c>
      <c r="B40" s="27"/>
      <c r="C40" s="27"/>
      <c r="D40" s="27"/>
      <c r="E40" s="27"/>
      <c r="F40" s="27"/>
      <c r="G40" s="27"/>
      <c r="H40" s="27"/>
      <c r="I40" s="27"/>
      <c r="J40" s="27"/>
      <c r="K40" s="22" t="str">
        <f aca="false">IF(COUNTIF(G40:J40,"Pass")+COUNTIF(G40:J40,"Fail")=0,"",COUNTIF(G40:J40,"Pass")/(COUNTIF(G40:J40,"Pass")+COUNTIF(G40:J40,"Fail")))</f>
        <v/>
      </c>
      <c r="L40" s="31" t="str">
        <f aca="false">IF(COUNTA(G40:J40)=0,"",IF(COUNTIF(G40:J40,"Fail")&gt;0,IF(K40=0,"Fail","Fail"),IF(K40=1,"Pass","In Progress")))</f>
        <v/>
      </c>
      <c r="M40" s="30"/>
      <c r="N40" s="27"/>
      <c r="O40" s="27"/>
      <c r="P40" s="27"/>
      <c r="Q40" s="27"/>
      <c r="R40" s="27"/>
    </row>
    <row r="41" customFormat="false" ht="21.75" hidden="false" customHeight="true" outlineLevel="0" collapsed="false">
      <c r="A41" s="21" t="n">
        <f aca="false">IF(COUNTA(B41:N41)=0,"",ROW()-12)</f>
        <v>29</v>
      </c>
      <c r="B41" s="27"/>
      <c r="C41" s="27"/>
      <c r="D41" s="27"/>
      <c r="E41" s="27"/>
      <c r="F41" s="27"/>
      <c r="G41" s="27"/>
      <c r="H41" s="27"/>
      <c r="I41" s="27"/>
      <c r="J41" s="27"/>
      <c r="K41" s="22" t="str">
        <f aca="false">IF(COUNTIF(G41:J41,"Pass")+COUNTIF(G41:J41,"Fail")=0,"",COUNTIF(G41:J41,"Pass")/(COUNTIF(G41:J41,"Pass")+COUNTIF(G41:J41,"Fail")))</f>
        <v/>
      </c>
      <c r="L41" s="31" t="str">
        <f aca="false">IF(COUNTA(G41:J41)=0,"",IF(COUNTIF(G41:J41,"Fail")&gt;0,IF(K41=0,"Fail","Fail"),IF(K41=1,"Pass","In Progress")))</f>
        <v/>
      </c>
      <c r="M41" s="30"/>
      <c r="N41" s="27"/>
      <c r="O41" s="27"/>
      <c r="P41" s="27"/>
      <c r="Q41" s="27"/>
      <c r="R41" s="27"/>
    </row>
    <row r="42" customFormat="false" ht="21.75" hidden="false" customHeight="true" outlineLevel="0" collapsed="false">
      <c r="A42" s="21" t="n">
        <f aca="false">IF(COUNTA(B42:N42)=0,"",ROW()-12)</f>
        <v>30</v>
      </c>
      <c r="B42" s="27"/>
      <c r="C42" s="27"/>
      <c r="D42" s="27"/>
      <c r="E42" s="27"/>
      <c r="F42" s="27"/>
      <c r="G42" s="27"/>
      <c r="H42" s="27"/>
      <c r="I42" s="27"/>
      <c r="J42" s="27"/>
      <c r="K42" s="22" t="str">
        <f aca="false">IF(COUNTIF(G42:J42,"Pass")+COUNTIF(G42:J42,"Fail")=0,"",COUNTIF(G42:J42,"Pass")/(COUNTIF(G42:J42,"Pass")+COUNTIF(G42:J42,"Fail")))</f>
        <v/>
      </c>
      <c r="L42" s="31" t="str">
        <f aca="false">IF(COUNTA(G42:J42)=0,"",IF(COUNTIF(G42:J42,"Fail")&gt;0,IF(K42=0,"Fail","Fail"),IF(K42=1,"Pass","In Progress")))</f>
        <v/>
      </c>
      <c r="M42" s="30"/>
      <c r="N42" s="27"/>
      <c r="O42" s="27"/>
      <c r="P42" s="27"/>
      <c r="Q42" s="27"/>
      <c r="R42" s="27"/>
    </row>
    <row r="43" customFormat="false" ht="21.75" hidden="false" customHeight="true" outlineLevel="0" collapsed="false">
      <c r="A43" s="21" t="n">
        <f aca="false">IF(COUNTA(B43:N43)=0,"",ROW()-12)</f>
        <v>31</v>
      </c>
      <c r="B43" s="27"/>
      <c r="C43" s="27"/>
      <c r="D43" s="27"/>
      <c r="E43" s="27"/>
      <c r="F43" s="27"/>
      <c r="G43" s="27"/>
      <c r="H43" s="27"/>
      <c r="I43" s="27"/>
      <c r="J43" s="27"/>
      <c r="K43" s="22" t="str">
        <f aca="false">IF(COUNTIF(G43:J43,"Pass")+COUNTIF(G43:J43,"Fail")=0,"",COUNTIF(G43:J43,"Pass")/(COUNTIF(G43:J43,"Pass")+COUNTIF(G43:J43,"Fail")))</f>
        <v/>
      </c>
      <c r="L43" s="31" t="str">
        <f aca="false">IF(COUNTA(G43:J43)=0,"",IF(COUNTIF(G43:J43,"Fail")&gt;0,IF(K43=0,"Fail","Fail"),IF(K43=1,"Pass","In Progress")))</f>
        <v/>
      </c>
      <c r="M43" s="30"/>
      <c r="N43" s="27"/>
      <c r="O43" s="27"/>
      <c r="P43" s="27"/>
      <c r="Q43" s="27"/>
      <c r="R43" s="27"/>
    </row>
    <row r="44" customFormat="false" ht="21.75" hidden="false" customHeight="true" outlineLevel="0" collapsed="false">
      <c r="A44" s="21" t="n">
        <f aca="false">IF(COUNTA(B44:N44)=0,"",ROW()-12)</f>
        <v>32</v>
      </c>
      <c r="B44" s="27"/>
      <c r="C44" s="27"/>
      <c r="D44" s="27"/>
      <c r="E44" s="27"/>
      <c r="F44" s="27"/>
      <c r="G44" s="27"/>
      <c r="H44" s="27"/>
      <c r="I44" s="27"/>
      <c r="J44" s="27"/>
      <c r="K44" s="22" t="str">
        <f aca="false">IF(COUNTIF(G44:J44,"Pass")+COUNTIF(G44:J44,"Fail")=0,"",COUNTIF(G44:J44,"Pass")/(COUNTIF(G44:J44,"Pass")+COUNTIF(G44:J44,"Fail")))</f>
        <v/>
      </c>
      <c r="L44" s="31" t="str">
        <f aca="false">IF(COUNTA(G44:J44)=0,"",IF(COUNTIF(G44:J44,"Fail")&gt;0,IF(K44=0,"Fail","Fail"),IF(K44=1,"Pass","In Progress")))</f>
        <v/>
      </c>
      <c r="M44" s="30"/>
      <c r="N44" s="27"/>
      <c r="O44" s="27"/>
      <c r="P44" s="27"/>
      <c r="Q44" s="27"/>
      <c r="R44" s="27"/>
    </row>
    <row r="45" customFormat="false" ht="21.75" hidden="false" customHeight="true" outlineLevel="0" collapsed="false">
      <c r="A45" s="21" t="n">
        <f aca="false">IF(COUNTA(B45:N45)=0,"",ROW()-12)</f>
        <v>33</v>
      </c>
      <c r="B45" s="27"/>
      <c r="C45" s="27"/>
      <c r="D45" s="27"/>
      <c r="E45" s="27"/>
      <c r="F45" s="27"/>
      <c r="G45" s="27"/>
      <c r="H45" s="27"/>
      <c r="I45" s="27"/>
      <c r="J45" s="27"/>
      <c r="K45" s="22" t="str">
        <f aca="false">IF(COUNTIF(G45:J45,"Pass")+COUNTIF(G45:J45,"Fail")=0,"",COUNTIF(G45:J45,"Pass")/(COUNTIF(G45:J45,"Pass")+COUNTIF(G45:J45,"Fail")))</f>
        <v/>
      </c>
      <c r="L45" s="31" t="str">
        <f aca="false">IF(COUNTA(G45:J45)=0,"",IF(COUNTIF(G45:J45,"Fail")&gt;0,IF(K45=0,"Fail","Fail"),IF(K45=1,"Pass","In Progress")))</f>
        <v/>
      </c>
      <c r="M45" s="30"/>
      <c r="N45" s="27"/>
      <c r="O45" s="27"/>
      <c r="P45" s="27"/>
      <c r="Q45" s="27"/>
      <c r="R45" s="27"/>
    </row>
    <row r="46" customFormat="false" ht="21.75" hidden="false" customHeight="true" outlineLevel="0" collapsed="false">
      <c r="A46" s="21" t="n">
        <f aca="false">IF(COUNTA(B46:N46)=0,"",ROW()-12)</f>
        <v>34</v>
      </c>
      <c r="B46" s="27"/>
      <c r="C46" s="27"/>
      <c r="D46" s="27"/>
      <c r="E46" s="27"/>
      <c r="F46" s="27"/>
      <c r="G46" s="27"/>
      <c r="H46" s="27"/>
      <c r="I46" s="27"/>
      <c r="J46" s="27"/>
      <c r="K46" s="22" t="str">
        <f aca="false">IF(COUNTIF(G46:J46,"Pass")+COUNTIF(G46:J46,"Fail")=0,"",COUNTIF(G46:J46,"Pass")/(COUNTIF(G46:J46,"Pass")+COUNTIF(G46:J46,"Fail")))</f>
        <v/>
      </c>
      <c r="L46" s="31" t="str">
        <f aca="false">IF(COUNTA(G46:J46)=0,"",IF(COUNTIF(G46:J46,"Fail")&gt;0,IF(K46=0,"Fail","Fail"),IF(K46=1,"Pass","In Progress")))</f>
        <v/>
      </c>
      <c r="M46" s="30"/>
      <c r="N46" s="27"/>
      <c r="O46" s="27"/>
      <c r="P46" s="27"/>
      <c r="Q46" s="27"/>
      <c r="R46" s="27"/>
    </row>
    <row r="47" customFormat="false" ht="21.75" hidden="false" customHeight="true" outlineLevel="0" collapsed="false">
      <c r="A47" s="21" t="n">
        <f aca="false">IF(COUNTA(B47:N47)=0,"",ROW()-12)</f>
        <v>35</v>
      </c>
      <c r="B47" s="27"/>
      <c r="C47" s="27"/>
      <c r="D47" s="27"/>
      <c r="E47" s="27"/>
      <c r="F47" s="27"/>
      <c r="G47" s="27"/>
      <c r="H47" s="27"/>
      <c r="I47" s="27"/>
      <c r="J47" s="27"/>
      <c r="K47" s="22" t="str">
        <f aca="false">IF(COUNTIF(G47:J47,"Pass")+COUNTIF(G47:J47,"Fail")=0,"",COUNTIF(G47:J47,"Pass")/(COUNTIF(G47:J47,"Pass")+COUNTIF(G47:J47,"Fail")))</f>
        <v/>
      </c>
      <c r="L47" s="31" t="str">
        <f aca="false">IF(COUNTA(G47:J47)=0,"",IF(COUNTIF(G47:J47,"Fail")&gt;0,IF(K47=0,"Fail","Fail"),IF(K47=1,"Pass","In Progress")))</f>
        <v/>
      </c>
      <c r="M47" s="30"/>
      <c r="N47" s="27"/>
      <c r="O47" s="27"/>
      <c r="P47" s="27"/>
      <c r="Q47" s="27"/>
      <c r="R47" s="27"/>
    </row>
    <row r="48" customFormat="false" ht="21.75" hidden="false" customHeight="true" outlineLevel="0" collapsed="false">
      <c r="A48" s="21" t="n">
        <f aca="false">IF(COUNTA(B48:N48)=0,"",ROW()-12)</f>
        <v>36</v>
      </c>
      <c r="B48" s="27"/>
      <c r="C48" s="27"/>
      <c r="D48" s="27"/>
      <c r="E48" s="27"/>
      <c r="F48" s="27"/>
      <c r="G48" s="27"/>
      <c r="H48" s="27"/>
      <c r="I48" s="27"/>
      <c r="J48" s="27"/>
      <c r="K48" s="22" t="str">
        <f aca="false">IF(COUNTIF(G48:J48,"Pass")+COUNTIF(G48:J48,"Fail")=0,"",COUNTIF(G48:J48,"Pass")/(COUNTIF(G48:J48,"Pass")+COUNTIF(G48:J48,"Fail")))</f>
        <v/>
      </c>
      <c r="L48" s="31" t="str">
        <f aca="false">IF(COUNTA(G48:J48)=0,"",IF(COUNTIF(G48:J48,"Fail")&gt;0,IF(K48=0,"Fail","Fail"),IF(K48=1,"Pass","In Progress")))</f>
        <v/>
      </c>
      <c r="M48" s="30"/>
      <c r="N48" s="27"/>
      <c r="O48" s="27"/>
      <c r="P48" s="27"/>
      <c r="Q48" s="27"/>
      <c r="R48" s="27"/>
    </row>
    <row r="49" customFormat="false" ht="21.75" hidden="false" customHeight="true" outlineLevel="0" collapsed="false">
      <c r="A49" s="21" t="n">
        <f aca="false">IF(COUNTA(B49:N49)=0,"",ROW()-12)</f>
        <v>37</v>
      </c>
      <c r="B49" s="27"/>
      <c r="C49" s="27"/>
      <c r="D49" s="27"/>
      <c r="E49" s="27"/>
      <c r="F49" s="27"/>
      <c r="G49" s="27"/>
      <c r="H49" s="27"/>
      <c r="I49" s="27"/>
      <c r="J49" s="27"/>
      <c r="K49" s="22" t="str">
        <f aca="false">IF(COUNTIF(G49:J49,"Pass")+COUNTIF(G49:J49,"Fail")=0,"",COUNTIF(G49:J49,"Pass")/(COUNTIF(G49:J49,"Pass")+COUNTIF(G49:J49,"Fail")))</f>
        <v/>
      </c>
      <c r="L49" s="31" t="str">
        <f aca="false">IF(COUNTA(G49:J49)=0,"",IF(COUNTIF(G49:J49,"Fail")&gt;0,IF(K49=0,"Fail","Fail"),IF(K49=1,"Pass","In Progress")))</f>
        <v/>
      </c>
      <c r="M49" s="30"/>
      <c r="N49" s="27"/>
      <c r="O49" s="27"/>
      <c r="P49" s="27"/>
      <c r="Q49" s="27"/>
      <c r="R49" s="27"/>
    </row>
    <row r="50" customFormat="false" ht="21.75" hidden="false" customHeight="true" outlineLevel="0" collapsed="false">
      <c r="A50" s="21" t="n">
        <f aca="false">IF(COUNTA(B50:N50)=0,"",ROW()-12)</f>
        <v>38</v>
      </c>
      <c r="B50" s="27"/>
      <c r="C50" s="27"/>
      <c r="D50" s="27"/>
      <c r="E50" s="27"/>
      <c r="F50" s="27"/>
      <c r="G50" s="27"/>
      <c r="H50" s="27"/>
      <c r="I50" s="27"/>
      <c r="J50" s="27"/>
      <c r="K50" s="22" t="str">
        <f aca="false">IF(COUNTIF(G50:J50,"Pass")+COUNTIF(G50:J50,"Fail")=0,"",COUNTIF(G50:J50,"Pass")/(COUNTIF(G50:J50,"Pass")+COUNTIF(G50:J50,"Fail")))</f>
        <v/>
      </c>
      <c r="L50" s="31" t="str">
        <f aca="false">IF(COUNTA(G50:J50)=0,"",IF(COUNTIF(G50:J50,"Fail")&gt;0,IF(K50=0,"Fail","Fail"),IF(K50=1,"Pass","In Progress")))</f>
        <v/>
      </c>
      <c r="M50" s="30"/>
      <c r="N50" s="27"/>
      <c r="O50" s="27"/>
      <c r="P50" s="27"/>
      <c r="Q50" s="27"/>
      <c r="R50" s="27"/>
    </row>
    <row r="51" customFormat="false" ht="21.75" hidden="false" customHeight="true" outlineLevel="0" collapsed="false">
      <c r="A51" s="21" t="n">
        <f aca="false">IF(COUNTA(B51:N51)=0,"",ROW()-12)</f>
        <v>39</v>
      </c>
      <c r="B51" s="27"/>
      <c r="C51" s="27"/>
      <c r="D51" s="27"/>
      <c r="E51" s="27"/>
      <c r="F51" s="27"/>
      <c r="G51" s="27"/>
      <c r="H51" s="27"/>
      <c r="I51" s="27"/>
      <c r="J51" s="27"/>
      <c r="K51" s="22" t="str">
        <f aca="false">IF(COUNTIF(G51:J51,"Pass")+COUNTIF(G51:J51,"Fail")=0,"",COUNTIF(G51:J51,"Pass")/(COUNTIF(G51:J51,"Pass")+COUNTIF(G51:J51,"Fail")))</f>
        <v/>
      </c>
      <c r="L51" s="31" t="str">
        <f aca="false">IF(COUNTA(G51:J51)=0,"",IF(COUNTIF(G51:J51,"Fail")&gt;0,IF(K51=0,"Fail","Fail"),IF(K51=1,"Pass","In Progress")))</f>
        <v/>
      </c>
      <c r="M51" s="30"/>
      <c r="N51" s="27"/>
      <c r="O51" s="27"/>
      <c r="P51" s="27"/>
      <c r="Q51" s="27"/>
      <c r="R51" s="27"/>
    </row>
    <row r="52" customFormat="false" ht="21.75" hidden="false" customHeight="true" outlineLevel="0" collapsed="false">
      <c r="A52" s="21" t="n">
        <f aca="false">IF(COUNTA(B52:N52)=0,"",ROW()-12)</f>
        <v>40</v>
      </c>
      <c r="B52" s="27"/>
      <c r="C52" s="27"/>
      <c r="D52" s="27"/>
      <c r="E52" s="27"/>
      <c r="F52" s="27"/>
      <c r="G52" s="27"/>
      <c r="H52" s="27"/>
      <c r="I52" s="27"/>
      <c r="J52" s="27"/>
      <c r="K52" s="22" t="str">
        <f aca="false">IF(COUNTIF(G52:J52,"Pass")+COUNTIF(G52:J52,"Fail")=0,"",COUNTIF(G52:J52,"Pass")/(COUNTIF(G52:J52,"Pass")+COUNTIF(G52:J52,"Fail")))</f>
        <v/>
      </c>
      <c r="L52" s="31" t="str">
        <f aca="false">IF(COUNTA(G52:J52)=0,"",IF(COUNTIF(G52:J52,"Fail")&gt;0,IF(K52=0,"Fail","Fail"),IF(K52=1,"Pass","In Progress")))</f>
        <v/>
      </c>
      <c r="M52" s="30"/>
      <c r="N52" s="27"/>
      <c r="O52" s="27"/>
      <c r="P52" s="27"/>
      <c r="Q52" s="27"/>
      <c r="R52" s="27"/>
    </row>
    <row r="53" customFormat="false" ht="21.75" hidden="false" customHeight="true" outlineLevel="0" collapsed="false">
      <c r="A53" s="21" t="n">
        <f aca="false">IF(COUNTA(B53:N53)=0,"",ROW()-12)</f>
        <v>41</v>
      </c>
      <c r="B53" s="27"/>
      <c r="C53" s="27"/>
      <c r="D53" s="27"/>
      <c r="E53" s="27"/>
      <c r="F53" s="27"/>
      <c r="G53" s="27"/>
      <c r="H53" s="27"/>
      <c r="I53" s="27"/>
      <c r="J53" s="27"/>
      <c r="K53" s="22" t="str">
        <f aca="false">IF(COUNTIF(G53:J53,"Pass")+COUNTIF(G53:J53,"Fail")=0,"",COUNTIF(G53:J53,"Pass")/(COUNTIF(G53:J53,"Pass")+COUNTIF(G53:J53,"Fail")))</f>
        <v/>
      </c>
      <c r="L53" s="31" t="str">
        <f aca="false">IF(COUNTA(G53:J53)=0,"",IF(COUNTIF(G53:J53,"Fail")&gt;0,IF(K53=0,"Fail","Fail"),IF(K53=1,"Pass","In Progress")))</f>
        <v/>
      </c>
      <c r="M53" s="30"/>
      <c r="N53" s="27"/>
      <c r="O53" s="27"/>
      <c r="P53" s="27"/>
      <c r="Q53" s="27"/>
      <c r="R53" s="27"/>
    </row>
    <row r="54" customFormat="false" ht="21.75" hidden="false" customHeight="true" outlineLevel="0" collapsed="false">
      <c r="A54" s="21" t="n">
        <f aca="false">IF(COUNTA(B54:N54)=0,"",ROW()-12)</f>
        <v>42</v>
      </c>
      <c r="B54" s="27"/>
      <c r="C54" s="27"/>
      <c r="D54" s="27"/>
      <c r="E54" s="27"/>
      <c r="F54" s="27"/>
      <c r="G54" s="27"/>
      <c r="H54" s="27"/>
      <c r="I54" s="27"/>
      <c r="J54" s="27"/>
      <c r="K54" s="22" t="str">
        <f aca="false">IF(COUNTIF(G54:J54,"Pass")+COUNTIF(G54:J54,"Fail")=0,"",COUNTIF(G54:J54,"Pass")/(COUNTIF(G54:J54,"Pass")+COUNTIF(G54:J54,"Fail")))</f>
        <v/>
      </c>
      <c r="L54" s="31" t="str">
        <f aca="false">IF(COUNTA(G54:J54)=0,"",IF(COUNTIF(G54:J54,"Fail")&gt;0,IF(K54=0,"Fail","Fail"),IF(K54=1,"Pass","In Progress")))</f>
        <v/>
      </c>
      <c r="M54" s="30"/>
      <c r="N54" s="27"/>
      <c r="O54" s="27"/>
      <c r="P54" s="27"/>
      <c r="Q54" s="27"/>
      <c r="R54" s="27"/>
    </row>
    <row r="55" customFormat="false" ht="21.75" hidden="false" customHeight="true" outlineLevel="0" collapsed="false">
      <c r="A55" s="21" t="n">
        <f aca="false">IF(COUNTA(B55:N55)=0,"",ROW()-12)</f>
        <v>43</v>
      </c>
      <c r="B55" s="27"/>
      <c r="C55" s="27"/>
      <c r="D55" s="27"/>
      <c r="E55" s="27"/>
      <c r="F55" s="27"/>
      <c r="G55" s="27"/>
      <c r="H55" s="27"/>
      <c r="I55" s="27"/>
      <c r="J55" s="27"/>
      <c r="K55" s="22" t="str">
        <f aca="false">IF(COUNTIF(G55:J55,"Pass")+COUNTIF(G55:J55,"Fail")=0,"",COUNTIF(G55:J55,"Pass")/(COUNTIF(G55:J55,"Pass")+COUNTIF(G55:J55,"Fail")))</f>
        <v/>
      </c>
      <c r="L55" s="31" t="str">
        <f aca="false">IF(COUNTA(G55:J55)=0,"",IF(COUNTIF(G55:J55,"Fail")&gt;0,IF(K55=0,"Fail","Fail"),IF(K55=1,"Pass","In Progress")))</f>
        <v/>
      </c>
      <c r="M55" s="30"/>
      <c r="N55" s="27"/>
      <c r="O55" s="27"/>
      <c r="P55" s="27"/>
      <c r="Q55" s="27"/>
      <c r="R55" s="27"/>
    </row>
    <row r="56" customFormat="false" ht="21.75" hidden="false" customHeight="true" outlineLevel="0" collapsed="false">
      <c r="A56" s="21" t="n">
        <f aca="false">IF(COUNTA(B56:N56)=0,"",ROW()-12)</f>
        <v>44</v>
      </c>
      <c r="B56" s="27"/>
      <c r="C56" s="27"/>
      <c r="D56" s="27"/>
      <c r="E56" s="27"/>
      <c r="F56" s="27"/>
      <c r="G56" s="27"/>
      <c r="H56" s="27"/>
      <c r="I56" s="27"/>
      <c r="J56" s="27"/>
      <c r="K56" s="22" t="str">
        <f aca="false">IF(COUNTIF(G56:J56,"Pass")+COUNTIF(G56:J56,"Fail")=0,"",COUNTIF(G56:J56,"Pass")/(COUNTIF(G56:J56,"Pass")+COUNTIF(G56:J56,"Fail")))</f>
        <v/>
      </c>
      <c r="L56" s="31" t="str">
        <f aca="false">IF(COUNTA(G56:J56)=0,"",IF(COUNTIF(G56:J56,"Fail")&gt;0,IF(K56=0,"Fail","Fail"),IF(K56=1,"Pass","In Progress")))</f>
        <v/>
      </c>
      <c r="M56" s="30"/>
      <c r="N56" s="27"/>
      <c r="O56" s="27"/>
      <c r="P56" s="27"/>
      <c r="Q56" s="27"/>
      <c r="R56" s="27"/>
    </row>
    <row r="57" customFormat="false" ht="21.75" hidden="false" customHeight="true" outlineLevel="0" collapsed="false">
      <c r="A57" s="21" t="n">
        <f aca="false">IF(COUNTA(B57:N57)=0,"",ROW()-12)</f>
        <v>45</v>
      </c>
      <c r="B57" s="27"/>
      <c r="C57" s="27"/>
      <c r="D57" s="27"/>
      <c r="E57" s="27"/>
      <c r="F57" s="27"/>
      <c r="G57" s="27"/>
      <c r="H57" s="27"/>
      <c r="I57" s="27"/>
      <c r="J57" s="27"/>
      <c r="K57" s="22" t="str">
        <f aca="false">IF(COUNTIF(G57:J57,"Pass")+COUNTIF(G57:J57,"Fail")=0,"",COUNTIF(G57:J57,"Pass")/(COUNTIF(G57:J57,"Pass")+COUNTIF(G57:J57,"Fail")))</f>
        <v/>
      </c>
      <c r="L57" s="31" t="str">
        <f aca="false">IF(COUNTA(G57:J57)=0,"",IF(COUNTIF(G57:J57,"Fail")&gt;0,IF(K57=0,"Fail","Fail"),IF(K57=1,"Pass","In Progress")))</f>
        <v/>
      </c>
      <c r="M57" s="30"/>
      <c r="N57" s="27"/>
      <c r="O57" s="27"/>
      <c r="P57" s="27"/>
      <c r="Q57" s="27"/>
      <c r="R57" s="27"/>
    </row>
    <row r="58" customFormat="false" ht="21.75" hidden="false" customHeight="true" outlineLevel="0" collapsed="false">
      <c r="A58" s="21" t="n">
        <f aca="false">IF(COUNTA(B58:N58)=0,"",ROW()-12)</f>
        <v>46</v>
      </c>
      <c r="B58" s="27"/>
      <c r="C58" s="27"/>
      <c r="D58" s="27"/>
      <c r="E58" s="27"/>
      <c r="F58" s="27"/>
      <c r="G58" s="27"/>
      <c r="H58" s="27"/>
      <c r="I58" s="27"/>
      <c r="J58" s="27"/>
      <c r="K58" s="22" t="str">
        <f aca="false">IF(COUNTIF(G58:J58,"Pass")+COUNTIF(G58:J58,"Fail")=0,"",COUNTIF(G58:J58,"Pass")/(COUNTIF(G58:J58,"Pass")+COUNTIF(G58:J58,"Fail")))</f>
        <v/>
      </c>
      <c r="L58" s="31" t="str">
        <f aca="false">IF(COUNTA(G58:J58)=0,"",IF(COUNTIF(G58:J58,"Fail")&gt;0,IF(K58=0,"Fail","Fail"),IF(K58=1,"Pass","In Progress")))</f>
        <v/>
      </c>
      <c r="M58" s="30"/>
      <c r="N58" s="27"/>
      <c r="O58" s="27"/>
      <c r="P58" s="27"/>
      <c r="Q58" s="27"/>
      <c r="R58" s="27"/>
    </row>
    <row r="59" customFormat="false" ht="21.75" hidden="false" customHeight="true" outlineLevel="0" collapsed="false">
      <c r="A59" s="21" t="n">
        <f aca="false">IF(COUNTA(B59:N59)=0,"",ROW()-12)</f>
        <v>47</v>
      </c>
      <c r="B59" s="27"/>
      <c r="C59" s="27"/>
      <c r="D59" s="27"/>
      <c r="E59" s="27"/>
      <c r="F59" s="27"/>
      <c r="G59" s="27"/>
      <c r="H59" s="27"/>
      <c r="I59" s="27"/>
      <c r="J59" s="27"/>
      <c r="K59" s="22" t="str">
        <f aca="false">IF(COUNTIF(G59:J59,"Pass")+COUNTIF(G59:J59,"Fail")=0,"",COUNTIF(G59:J59,"Pass")/(COUNTIF(G59:J59,"Pass")+COUNTIF(G59:J59,"Fail")))</f>
        <v/>
      </c>
      <c r="L59" s="31" t="str">
        <f aca="false">IF(COUNTA(G59:J59)=0,"",IF(COUNTIF(G59:J59,"Fail")&gt;0,IF(K59=0,"Fail","Fail"),IF(K59=1,"Pass","In Progress")))</f>
        <v/>
      </c>
      <c r="M59" s="30"/>
      <c r="N59" s="27"/>
      <c r="O59" s="27"/>
      <c r="P59" s="27"/>
      <c r="Q59" s="27"/>
      <c r="R59" s="27"/>
    </row>
    <row r="60" customFormat="false" ht="21.75" hidden="false" customHeight="true" outlineLevel="0" collapsed="false">
      <c r="A60" s="21" t="n">
        <f aca="false">IF(COUNTA(B60:N60)=0,"",ROW()-12)</f>
        <v>48</v>
      </c>
      <c r="B60" s="27"/>
      <c r="C60" s="27"/>
      <c r="D60" s="27"/>
      <c r="E60" s="27"/>
      <c r="F60" s="27"/>
      <c r="G60" s="27"/>
      <c r="H60" s="27"/>
      <c r="I60" s="27"/>
      <c r="J60" s="27"/>
      <c r="K60" s="22" t="str">
        <f aca="false">IF(COUNTIF(G60:J60,"Pass")+COUNTIF(G60:J60,"Fail")=0,"",COUNTIF(G60:J60,"Pass")/(COUNTIF(G60:J60,"Pass")+COUNTIF(G60:J60,"Fail")))</f>
        <v/>
      </c>
      <c r="L60" s="31" t="str">
        <f aca="false">IF(COUNTA(G60:J60)=0,"",IF(COUNTIF(G60:J60,"Fail")&gt;0,IF(K60=0,"Fail","Fail"),IF(K60=1,"Pass","In Progress")))</f>
        <v/>
      </c>
      <c r="M60" s="30"/>
      <c r="N60" s="27"/>
      <c r="O60" s="27"/>
      <c r="P60" s="27"/>
      <c r="Q60" s="27"/>
      <c r="R60" s="27"/>
    </row>
    <row r="61" customFormat="false" ht="21.75" hidden="false" customHeight="true" outlineLevel="0" collapsed="false">
      <c r="A61" s="21" t="n">
        <f aca="false">IF(COUNTA(B61:N61)=0,"",ROW()-12)</f>
        <v>49</v>
      </c>
      <c r="B61" s="27"/>
      <c r="C61" s="27"/>
      <c r="D61" s="27"/>
      <c r="E61" s="27"/>
      <c r="F61" s="27"/>
      <c r="G61" s="27"/>
      <c r="H61" s="27"/>
      <c r="I61" s="27"/>
      <c r="J61" s="27"/>
      <c r="K61" s="22" t="str">
        <f aca="false">IF(COUNTIF(G61:J61,"Pass")+COUNTIF(G61:J61,"Fail")=0,"",COUNTIF(G61:J61,"Pass")/(COUNTIF(G61:J61,"Pass")+COUNTIF(G61:J61,"Fail")))</f>
        <v/>
      </c>
      <c r="L61" s="31" t="str">
        <f aca="false">IF(COUNTA(G61:J61)=0,"",IF(COUNTIF(G61:J61,"Fail")&gt;0,IF(K61=0,"Fail","Fail"),IF(K61=1,"Pass","In Progress")))</f>
        <v/>
      </c>
      <c r="M61" s="30"/>
      <c r="N61" s="27"/>
      <c r="O61" s="27"/>
      <c r="P61" s="27"/>
      <c r="Q61" s="27"/>
      <c r="R61" s="27"/>
    </row>
    <row r="62" customFormat="false" ht="21.75" hidden="false" customHeight="true" outlineLevel="0" collapsed="false">
      <c r="A62" s="21" t="n">
        <f aca="false">IF(COUNTA(B62:N62)=0,"",ROW()-12)</f>
        <v>50</v>
      </c>
      <c r="B62" s="27"/>
      <c r="C62" s="27"/>
      <c r="D62" s="27"/>
      <c r="E62" s="27"/>
      <c r="F62" s="27"/>
      <c r="G62" s="27"/>
      <c r="H62" s="27"/>
      <c r="I62" s="27"/>
      <c r="J62" s="27"/>
      <c r="K62" s="22" t="str">
        <f aca="false">IF(COUNTIF(G62:J62,"Pass")+COUNTIF(G62:J62,"Fail")=0,"",COUNTIF(G62:J62,"Pass")/(COUNTIF(G62:J62,"Pass")+COUNTIF(G62:J62,"Fail")))</f>
        <v/>
      </c>
      <c r="L62" s="31" t="str">
        <f aca="false">IF(COUNTA(G62:J62)=0,"",IF(COUNTIF(G62:J62,"Fail")&gt;0,IF(K62=0,"Fail","Fail"),IF(K62=1,"Pass","In Progress")))</f>
        <v/>
      </c>
      <c r="M62" s="30"/>
      <c r="N62" s="27"/>
      <c r="O62" s="27"/>
      <c r="P62" s="27"/>
      <c r="Q62" s="27"/>
      <c r="R62" s="27"/>
    </row>
    <row r="63" customFormat="false" ht="15" hidden="false" customHeight="false" outlineLevel="0" collapsed="false">
      <c r="M63" s="32"/>
    </row>
    <row r="64" customFormat="false" ht="15" hidden="false" customHeight="false" outlineLevel="0" collapsed="false">
      <c r="M64" s="32"/>
    </row>
    <row r="65" customFormat="false" ht="15" hidden="false" customHeight="false" outlineLevel="0" collapsed="false">
      <c r="M65" s="32"/>
    </row>
    <row r="66" customFormat="false" ht="15" hidden="false" customHeight="false" outlineLevel="0" collapsed="false">
      <c r="M66" s="32"/>
    </row>
    <row r="67" customFormat="false" ht="15" hidden="false" customHeight="false" outlineLevel="0" collapsed="false">
      <c r="M67" s="32"/>
    </row>
    <row r="68" customFormat="false" ht="15" hidden="false" customHeight="false" outlineLevel="0" collapsed="false">
      <c r="M68" s="32"/>
    </row>
    <row r="69" customFormat="false" ht="15" hidden="false" customHeight="false" outlineLevel="0" collapsed="false">
      <c r="M69" s="32"/>
    </row>
    <row r="70" customFormat="false" ht="15" hidden="false" customHeight="false" outlineLevel="0" collapsed="false">
      <c r="M70" s="32"/>
    </row>
    <row r="71" customFormat="false" ht="15" hidden="false" customHeight="false" outlineLevel="0" collapsed="false">
      <c r="M71" s="32"/>
    </row>
    <row r="72" customFormat="false" ht="15" hidden="false" customHeight="false" outlineLevel="0" collapsed="false">
      <c r="M72" s="32"/>
    </row>
    <row r="73" customFormat="false" ht="15" hidden="false" customHeight="false" outlineLevel="0" collapsed="false">
      <c r="M73" s="32"/>
    </row>
    <row r="74" customFormat="false" ht="15" hidden="false" customHeight="false" outlineLevel="0" collapsed="false">
      <c r="M74" s="32"/>
    </row>
    <row r="75" customFormat="false" ht="15" hidden="false" customHeight="false" outlineLevel="0" collapsed="false">
      <c r="M75" s="32"/>
    </row>
    <row r="76" customFormat="false" ht="15" hidden="false" customHeight="false" outlineLevel="0" collapsed="false">
      <c r="M76" s="32"/>
    </row>
    <row r="77" customFormat="false" ht="15" hidden="false" customHeight="false" outlineLevel="0" collapsed="false">
      <c r="M77" s="32"/>
    </row>
    <row r="78" customFormat="false" ht="15" hidden="false" customHeight="false" outlineLevel="0" collapsed="false">
      <c r="M78" s="32"/>
    </row>
    <row r="79" customFormat="false" ht="15" hidden="false" customHeight="false" outlineLevel="0" collapsed="false">
      <c r="M79" s="32"/>
    </row>
    <row r="80" customFormat="false" ht="15" hidden="false" customHeight="false" outlineLevel="0" collapsed="false">
      <c r="M80" s="32"/>
    </row>
    <row r="81" customFormat="false" ht="15" hidden="false" customHeight="false" outlineLevel="0" collapsed="false">
      <c r="M81" s="32"/>
    </row>
    <row r="82" customFormat="false" ht="15" hidden="false" customHeight="false" outlineLevel="0" collapsed="false">
      <c r="M82" s="32"/>
    </row>
    <row r="83" customFormat="false" ht="15" hidden="false" customHeight="false" outlineLevel="0" collapsed="false">
      <c r="M83" s="32"/>
    </row>
    <row r="84" customFormat="false" ht="15" hidden="false" customHeight="false" outlineLevel="0" collapsed="false">
      <c r="M84" s="32"/>
    </row>
    <row r="85" customFormat="false" ht="15" hidden="false" customHeight="false" outlineLevel="0" collapsed="false">
      <c r="M85" s="32"/>
    </row>
    <row r="86" customFormat="false" ht="15" hidden="false" customHeight="false" outlineLevel="0" collapsed="false">
      <c r="M86" s="32"/>
    </row>
    <row r="87" customFormat="false" ht="15" hidden="false" customHeight="false" outlineLevel="0" collapsed="false">
      <c r="M87" s="32"/>
    </row>
    <row r="88" customFormat="false" ht="15" hidden="false" customHeight="false" outlineLevel="0" collapsed="false">
      <c r="M88" s="32"/>
    </row>
    <row r="89" customFormat="false" ht="15" hidden="false" customHeight="false" outlineLevel="0" collapsed="false">
      <c r="M89" s="32"/>
    </row>
    <row r="90" customFormat="false" ht="15" hidden="false" customHeight="false" outlineLevel="0" collapsed="false">
      <c r="M90" s="32"/>
    </row>
    <row r="91" customFormat="false" ht="15" hidden="false" customHeight="false" outlineLevel="0" collapsed="false">
      <c r="M91" s="32"/>
    </row>
    <row r="92" customFormat="false" ht="15" hidden="false" customHeight="false" outlineLevel="0" collapsed="false">
      <c r="M92" s="32"/>
    </row>
    <row r="93" customFormat="false" ht="15" hidden="false" customHeight="false" outlineLevel="0" collapsed="false">
      <c r="M93" s="32"/>
    </row>
    <row r="94" customFormat="false" ht="15" hidden="false" customHeight="false" outlineLevel="0" collapsed="false">
      <c r="M94" s="32"/>
    </row>
    <row r="95" customFormat="false" ht="15" hidden="false" customHeight="false" outlineLevel="0" collapsed="false">
      <c r="M95" s="32"/>
    </row>
    <row r="96" customFormat="false" ht="15" hidden="false" customHeight="false" outlineLevel="0" collapsed="false">
      <c r="M96" s="32"/>
    </row>
    <row r="97" customFormat="false" ht="15" hidden="false" customHeight="false" outlineLevel="0" collapsed="false">
      <c r="M97" s="32"/>
    </row>
    <row r="98" customFormat="false" ht="15" hidden="false" customHeight="false" outlineLevel="0" collapsed="false">
      <c r="M98" s="32"/>
    </row>
    <row r="99" customFormat="false" ht="15" hidden="false" customHeight="false" outlineLevel="0" collapsed="false">
      <c r="M99" s="32"/>
    </row>
    <row r="100" customFormat="false" ht="15" hidden="false" customHeight="false" outlineLevel="0" collapsed="false">
      <c r="M100" s="32"/>
    </row>
    <row r="101" customFormat="false" ht="15" hidden="false" customHeight="false" outlineLevel="0" collapsed="false">
      <c r="M101" s="32"/>
    </row>
    <row r="102" customFormat="false" ht="15" hidden="false" customHeight="false" outlineLevel="0" collapsed="false">
      <c r="M102" s="32"/>
    </row>
    <row r="103" customFormat="false" ht="15" hidden="false" customHeight="false" outlineLevel="0" collapsed="false">
      <c r="M103" s="32"/>
    </row>
    <row r="104" customFormat="false" ht="15" hidden="false" customHeight="false" outlineLevel="0" collapsed="false">
      <c r="M104" s="32"/>
    </row>
    <row r="105" customFormat="false" ht="15" hidden="false" customHeight="false" outlineLevel="0" collapsed="false">
      <c r="M105" s="32"/>
    </row>
    <row r="106" customFormat="false" ht="15" hidden="false" customHeight="false" outlineLevel="0" collapsed="false">
      <c r="M106" s="32"/>
    </row>
    <row r="107" customFormat="false" ht="15" hidden="false" customHeight="false" outlineLevel="0" collapsed="false">
      <c r="M107" s="32"/>
    </row>
    <row r="108" customFormat="false" ht="15" hidden="false" customHeight="false" outlineLevel="0" collapsed="false">
      <c r="M108" s="32"/>
    </row>
    <row r="109" customFormat="false" ht="15" hidden="false" customHeight="false" outlineLevel="0" collapsed="false">
      <c r="M109" s="32"/>
    </row>
    <row r="110" customFormat="false" ht="15" hidden="false" customHeight="false" outlineLevel="0" collapsed="false">
      <c r="M110" s="32"/>
    </row>
    <row r="111" customFormat="false" ht="15" hidden="false" customHeight="false" outlineLevel="0" collapsed="false">
      <c r="M111" s="32"/>
    </row>
    <row r="112" customFormat="false" ht="15" hidden="false" customHeight="false" outlineLevel="0" collapsed="false">
      <c r="M112" s="32"/>
    </row>
    <row r="113" customFormat="false" ht="15" hidden="false" customHeight="false" outlineLevel="0" collapsed="false">
      <c r="M113" s="32"/>
    </row>
    <row r="114" customFormat="false" ht="15" hidden="false" customHeight="false" outlineLevel="0" collapsed="false">
      <c r="M114" s="32"/>
    </row>
    <row r="115" customFormat="false" ht="15" hidden="false" customHeight="false" outlineLevel="0" collapsed="false">
      <c r="M115" s="32"/>
    </row>
    <row r="116" customFormat="false" ht="15" hidden="false" customHeight="false" outlineLevel="0" collapsed="false">
      <c r="M116" s="32"/>
    </row>
    <row r="117" customFormat="false" ht="15" hidden="false" customHeight="false" outlineLevel="0" collapsed="false">
      <c r="M117" s="32"/>
    </row>
    <row r="118" customFormat="false" ht="15" hidden="false" customHeight="false" outlineLevel="0" collapsed="false">
      <c r="M118" s="32"/>
    </row>
    <row r="119" customFormat="false" ht="15" hidden="false" customHeight="false" outlineLevel="0" collapsed="false">
      <c r="M119" s="32"/>
    </row>
    <row r="120" customFormat="false" ht="15" hidden="false" customHeight="false" outlineLevel="0" collapsed="false">
      <c r="M120" s="32"/>
    </row>
    <row r="121" customFormat="false" ht="15" hidden="false" customHeight="false" outlineLevel="0" collapsed="false">
      <c r="M121" s="32"/>
    </row>
    <row r="122" customFormat="false" ht="15" hidden="false" customHeight="false" outlineLevel="0" collapsed="false">
      <c r="M122" s="32"/>
    </row>
    <row r="123" customFormat="false" ht="15" hidden="false" customHeight="false" outlineLevel="0" collapsed="false">
      <c r="M123" s="32"/>
    </row>
    <row r="124" customFormat="false" ht="15" hidden="false" customHeight="false" outlineLevel="0" collapsed="false">
      <c r="M124" s="32"/>
    </row>
    <row r="125" customFormat="false" ht="15" hidden="false" customHeight="false" outlineLevel="0" collapsed="false">
      <c r="M125" s="32"/>
    </row>
    <row r="126" customFormat="false" ht="15" hidden="false" customHeight="false" outlineLevel="0" collapsed="false">
      <c r="M126" s="32"/>
    </row>
    <row r="127" customFormat="false" ht="15" hidden="false" customHeight="false" outlineLevel="0" collapsed="false">
      <c r="M127" s="32"/>
    </row>
    <row r="128" customFormat="false" ht="15" hidden="false" customHeight="false" outlineLevel="0" collapsed="false">
      <c r="M128" s="32"/>
    </row>
    <row r="129" customFormat="false" ht="15" hidden="false" customHeight="false" outlineLevel="0" collapsed="false">
      <c r="M129" s="32"/>
    </row>
    <row r="130" customFormat="false" ht="15" hidden="false" customHeight="false" outlineLevel="0" collapsed="false">
      <c r="M130" s="32"/>
    </row>
    <row r="131" customFormat="false" ht="15" hidden="false" customHeight="false" outlineLevel="0" collapsed="false">
      <c r="M131" s="32"/>
    </row>
    <row r="132" customFormat="false" ht="15" hidden="false" customHeight="false" outlineLevel="0" collapsed="false">
      <c r="M132" s="32"/>
    </row>
    <row r="133" customFormat="false" ht="15" hidden="false" customHeight="false" outlineLevel="0" collapsed="false">
      <c r="M133" s="32"/>
    </row>
    <row r="134" customFormat="false" ht="15" hidden="false" customHeight="false" outlineLevel="0" collapsed="false">
      <c r="M134" s="32"/>
    </row>
    <row r="135" customFormat="false" ht="15" hidden="false" customHeight="false" outlineLevel="0" collapsed="false">
      <c r="M135" s="32"/>
    </row>
    <row r="136" customFormat="false" ht="15" hidden="false" customHeight="false" outlineLevel="0" collapsed="false">
      <c r="M136" s="32"/>
    </row>
    <row r="137" customFormat="false" ht="15" hidden="false" customHeight="false" outlineLevel="0" collapsed="false">
      <c r="M137" s="32"/>
    </row>
    <row r="138" customFormat="false" ht="15" hidden="false" customHeight="false" outlineLevel="0" collapsed="false">
      <c r="M138" s="32"/>
    </row>
    <row r="139" customFormat="false" ht="15" hidden="false" customHeight="false" outlineLevel="0" collapsed="false">
      <c r="M139" s="32"/>
    </row>
    <row r="140" customFormat="false" ht="15" hidden="false" customHeight="false" outlineLevel="0" collapsed="false">
      <c r="M140" s="32"/>
    </row>
    <row r="141" customFormat="false" ht="15" hidden="false" customHeight="false" outlineLevel="0" collapsed="false">
      <c r="M141" s="32"/>
    </row>
    <row r="142" customFormat="false" ht="15" hidden="false" customHeight="false" outlineLevel="0" collapsed="false">
      <c r="M142" s="32"/>
    </row>
    <row r="143" customFormat="false" ht="15" hidden="false" customHeight="false" outlineLevel="0" collapsed="false">
      <c r="M143" s="32"/>
    </row>
    <row r="144" customFormat="false" ht="15" hidden="false" customHeight="false" outlineLevel="0" collapsed="false">
      <c r="M144" s="32"/>
    </row>
    <row r="145" customFormat="false" ht="15" hidden="false" customHeight="false" outlineLevel="0" collapsed="false">
      <c r="M145" s="32"/>
    </row>
    <row r="146" customFormat="false" ht="15" hidden="false" customHeight="false" outlineLevel="0" collapsed="false">
      <c r="M146" s="32"/>
    </row>
    <row r="147" customFormat="false" ht="15" hidden="false" customHeight="false" outlineLevel="0" collapsed="false">
      <c r="M147" s="32"/>
    </row>
    <row r="148" customFormat="false" ht="15" hidden="false" customHeight="false" outlineLevel="0" collapsed="false">
      <c r="M148" s="32"/>
    </row>
    <row r="149" customFormat="false" ht="15" hidden="false" customHeight="false" outlineLevel="0" collapsed="false">
      <c r="M149" s="32"/>
    </row>
    <row r="150" customFormat="false" ht="15" hidden="false" customHeight="false" outlineLevel="0" collapsed="false">
      <c r="M150" s="32"/>
    </row>
    <row r="151" customFormat="false" ht="15" hidden="false" customHeight="false" outlineLevel="0" collapsed="false">
      <c r="M151" s="32"/>
    </row>
    <row r="152" customFormat="false" ht="15" hidden="false" customHeight="false" outlineLevel="0" collapsed="false">
      <c r="M152" s="32"/>
    </row>
    <row r="153" customFormat="false" ht="15" hidden="false" customHeight="false" outlineLevel="0" collapsed="false">
      <c r="M153" s="32"/>
    </row>
    <row r="154" customFormat="false" ht="15" hidden="false" customHeight="false" outlineLevel="0" collapsed="false">
      <c r="M154" s="32"/>
    </row>
    <row r="155" customFormat="false" ht="15" hidden="false" customHeight="false" outlineLevel="0" collapsed="false">
      <c r="M155" s="32"/>
    </row>
    <row r="156" customFormat="false" ht="15" hidden="false" customHeight="false" outlineLevel="0" collapsed="false">
      <c r="M156" s="32"/>
    </row>
    <row r="157" customFormat="false" ht="15" hidden="false" customHeight="false" outlineLevel="0" collapsed="false">
      <c r="M157" s="32"/>
    </row>
    <row r="158" customFormat="false" ht="15" hidden="false" customHeight="false" outlineLevel="0" collapsed="false">
      <c r="M158" s="32"/>
    </row>
    <row r="159" customFormat="false" ht="15" hidden="false" customHeight="false" outlineLevel="0" collapsed="false">
      <c r="M159" s="32"/>
    </row>
    <row r="160" customFormat="false" ht="15" hidden="false" customHeight="false" outlineLevel="0" collapsed="false">
      <c r="M160" s="32"/>
    </row>
    <row r="161" customFormat="false" ht="15" hidden="false" customHeight="false" outlineLevel="0" collapsed="false">
      <c r="M161" s="32"/>
    </row>
    <row r="162" customFormat="false" ht="15" hidden="false" customHeight="false" outlineLevel="0" collapsed="false">
      <c r="M162" s="32"/>
    </row>
    <row r="163" customFormat="false" ht="15" hidden="false" customHeight="false" outlineLevel="0" collapsed="false">
      <c r="M163" s="32"/>
    </row>
    <row r="164" customFormat="false" ht="15" hidden="false" customHeight="false" outlineLevel="0" collapsed="false">
      <c r="M164" s="32"/>
    </row>
    <row r="165" customFormat="false" ht="15" hidden="false" customHeight="false" outlineLevel="0" collapsed="false">
      <c r="M165" s="32"/>
    </row>
    <row r="166" customFormat="false" ht="15" hidden="false" customHeight="false" outlineLevel="0" collapsed="false">
      <c r="M166" s="32"/>
    </row>
    <row r="167" customFormat="false" ht="15" hidden="false" customHeight="false" outlineLevel="0" collapsed="false">
      <c r="M167" s="32"/>
    </row>
    <row r="168" customFormat="false" ht="15" hidden="false" customHeight="false" outlineLevel="0" collapsed="false">
      <c r="M168" s="32"/>
    </row>
    <row r="169" customFormat="false" ht="15" hidden="false" customHeight="false" outlineLevel="0" collapsed="false">
      <c r="M169" s="32"/>
    </row>
    <row r="170" customFormat="false" ht="15" hidden="false" customHeight="false" outlineLevel="0" collapsed="false">
      <c r="M170" s="32"/>
    </row>
    <row r="171" customFormat="false" ht="15" hidden="false" customHeight="false" outlineLevel="0" collapsed="false">
      <c r="M171" s="32"/>
    </row>
    <row r="172" customFormat="false" ht="15" hidden="false" customHeight="false" outlineLevel="0" collapsed="false">
      <c r="M172" s="32"/>
    </row>
    <row r="173" customFormat="false" ht="15" hidden="false" customHeight="false" outlineLevel="0" collapsed="false">
      <c r="M173" s="32"/>
    </row>
    <row r="174" customFormat="false" ht="15" hidden="false" customHeight="false" outlineLevel="0" collapsed="false">
      <c r="M174" s="32"/>
    </row>
    <row r="175" customFormat="false" ht="15" hidden="false" customHeight="false" outlineLevel="0" collapsed="false">
      <c r="M175" s="32"/>
    </row>
    <row r="176" customFormat="false" ht="15" hidden="false" customHeight="false" outlineLevel="0" collapsed="false">
      <c r="M176" s="32"/>
    </row>
    <row r="177" customFormat="false" ht="15" hidden="false" customHeight="false" outlineLevel="0" collapsed="false">
      <c r="M177" s="32"/>
    </row>
    <row r="178" customFormat="false" ht="15" hidden="false" customHeight="false" outlineLevel="0" collapsed="false">
      <c r="M178" s="32"/>
    </row>
    <row r="179" customFormat="false" ht="15" hidden="false" customHeight="false" outlineLevel="0" collapsed="false">
      <c r="M179" s="32"/>
    </row>
    <row r="180" customFormat="false" ht="15" hidden="false" customHeight="false" outlineLevel="0" collapsed="false">
      <c r="M180" s="32"/>
    </row>
    <row r="181" customFormat="false" ht="15" hidden="false" customHeight="false" outlineLevel="0" collapsed="false">
      <c r="M181" s="32"/>
    </row>
    <row r="182" customFormat="false" ht="15" hidden="false" customHeight="false" outlineLevel="0" collapsed="false">
      <c r="M182" s="32"/>
    </row>
    <row r="183" customFormat="false" ht="15" hidden="false" customHeight="false" outlineLevel="0" collapsed="false">
      <c r="M183" s="32"/>
    </row>
    <row r="184" customFormat="false" ht="15" hidden="false" customHeight="false" outlineLevel="0" collapsed="false">
      <c r="M184" s="32"/>
    </row>
    <row r="185" customFormat="false" ht="15" hidden="false" customHeight="false" outlineLevel="0" collapsed="false">
      <c r="M185" s="32"/>
    </row>
    <row r="186" customFormat="false" ht="15" hidden="false" customHeight="false" outlineLevel="0" collapsed="false">
      <c r="M186" s="32"/>
    </row>
    <row r="187" customFormat="false" ht="15" hidden="false" customHeight="false" outlineLevel="0" collapsed="false">
      <c r="M187" s="32"/>
    </row>
    <row r="188" customFormat="false" ht="15" hidden="false" customHeight="false" outlineLevel="0" collapsed="false">
      <c r="M188" s="32"/>
    </row>
    <row r="189" customFormat="false" ht="15" hidden="false" customHeight="false" outlineLevel="0" collapsed="false">
      <c r="M189" s="32"/>
    </row>
    <row r="190" customFormat="false" ht="15" hidden="false" customHeight="false" outlineLevel="0" collapsed="false">
      <c r="M190" s="32"/>
    </row>
    <row r="191" customFormat="false" ht="15" hidden="false" customHeight="false" outlineLevel="0" collapsed="false">
      <c r="M191" s="32"/>
    </row>
    <row r="192" customFormat="false" ht="15" hidden="false" customHeight="false" outlineLevel="0" collapsed="false">
      <c r="M192" s="32"/>
    </row>
    <row r="193" customFormat="false" ht="15" hidden="false" customHeight="false" outlineLevel="0" collapsed="false">
      <c r="M193" s="32"/>
    </row>
    <row r="194" customFormat="false" ht="15" hidden="false" customHeight="false" outlineLevel="0" collapsed="false">
      <c r="M194" s="32"/>
    </row>
    <row r="195" customFormat="false" ht="15" hidden="false" customHeight="false" outlineLevel="0" collapsed="false">
      <c r="M195" s="32"/>
    </row>
    <row r="196" customFormat="false" ht="15" hidden="false" customHeight="false" outlineLevel="0" collapsed="false">
      <c r="M196" s="32"/>
    </row>
    <row r="197" customFormat="false" ht="15" hidden="false" customHeight="false" outlineLevel="0" collapsed="false">
      <c r="M197" s="32"/>
    </row>
    <row r="198" customFormat="false" ht="15" hidden="false" customHeight="false" outlineLevel="0" collapsed="false">
      <c r="M198" s="32"/>
    </row>
    <row r="199" customFormat="false" ht="15" hidden="false" customHeight="false" outlineLevel="0" collapsed="false">
      <c r="M199" s="32"/>
    </row>
    <row r="200" customFormat="false" ht="15" hidden="false" customHeight="false" outlineLevel="0" collapsed="false">
      <c r="M200" s="32"/>
    </row>
  </sheetData>
  <autoFilter ref="A12:R200"/>
  <mergeCells count="12">
    <mergeCell ref="A1:R1"/>
    <mergeCell ref="A3:D3"/>
    <mergeCell ref="F3:I3"/>
    <mergeCell ref="A4:B4"/>
    <mergeCell ref="A5:B5"/>
    <mergeCell ref="A6:B6"/>
    <mergeCell ref="A7:B7"/>
    <mergeCell ref="A8:B8"/>
    <mergeCell ref="A11:F11"/>
    <mergeCell ref="G11:K11"/>
    <mergeCell ref="L11:N11"/>
    <mergeCell ref="O11:R11"/>
  </mergeCells>
  <conditionalFormatting sqref="I5">
    <cfRule type="cellIs" priority="2" operator="greaterThanOrEqual" aboveAverage="0" equalAverage="0" bottom="0" percent="0" rank="0" text="" dxfId="8">
      <formula>0.9</formula>
    </cfRule>
    <cfRule type="cellIs" priority="3" operator="between" aboveAverage="0" equalAverage="0" bottom="0" percent="0" rank="0" text="" dxfId="9">
      <formula>0.5</formula>
      <formula>0.89</formula>
    </cfRule>
    <cfRule type="cellIs" priority="4" operator="lessThan" aboveAverage="0" equalAverage="0" bottom="0" percent="0" rank="0" text="" dxfId="10">
      <formula>0.5</formula>
    </cfRule>
  </conditionalFormatting>
  <conditionalFormatting sqref="I6">
    <cfRule type="cellIs" priority="5" operator="greaterThanOrEqual" aboveAverage="0" equalAverage="0" bottom="0" percent="0" rank="0" text="" dxfId="8">
      <formula>0.9</formula>
    </cfRule>
    <cfRule type="cellIs" priority="6" operator="between" aboveAverage="0" equalAverage="0" bottom="0" percent="0" rank="0" text="" dxfId="9">
      <formula>0.5</formula>
      <formula>0.89</formula>
    </cfRule>
    <cfRule type="cellIs" priority="7" operator="lessThan" aboveAverage="0" equalAverage="0" bottom="0" percent="0" rank="0" text="" dxfId="10">
      <formula>0.5</formula>
    </cfRule>
  </conditionalFormatting>
  <conditionalFormatting sqref="I7">
    <cfRule type="cellIs" priority="8" operator="greaterThanOrEqual" aboveAverage="0" equalAverage="0" bottom="0" percent="0" rank="0" text="" dxfId="8">
      <formula>0.9</formula>
    </cfRule>
    <cfRule type="cellIs" priority="9" operator="between" aboveAverage="0" equalAverage="0" bottom="0" percent="0" rank="0" text="" dxfId="9">
      <formula>0.5</formula>
      <formula>0.89</formula>
    </cfRule>
    <cfRule type="cellIs" priority="10" operator="lessThan" aboveAverage="0" equalAverage="0" bottom="0" percent="0" rank="0" text="" dxfId="10">
      <formula>0.5</formula>
    </cfRule>
  </conditionalFormatting>
  <conditionalFormatting sqref="I8">
    <cfRule type="cellIs" priority="11" operator="greaterThanOrEqual" aboveAverage="0" equalAverage="0" bottom="0" percent="0" rank="0" text="" dxfId="8">
      <formula>0.9</formula>
    </cfRule>
    <cfRule type="cellIs" priority="12" operator="between" aboveAverage="0" equalAverage="0" bottom="0" percent="0" rank="0" text="" dxfId="9">
      <formula>0.5</formula>
      <formula>0.89</formula>
    </cfRule>
    <cfRule type="cellIs" priority="13" operator="lessThan" aboveAverage="0" equalAverage="0" bottom="0" percent="0" rank="0" text="" dxfId="10">
      <formula>0.5</formula>
    </cfRule>
  </conditionalFormatting>
  <conditionalFormatting sqref="C8">
    <cfRule type="cellIs" priority="14" operator="greaterThanOrEqual" aboveAverage="0" equalAverage="0" bottom="0" percent="0" rank="0" text="" dxfId="8">
      <formula>0.8</formula>
    </cfRule>
    <cfRule type="cellIs" priority="15" operator="between" aboveAverage="0" equalAverage="0" bottom="0" percent="0" rank="0" text="" dxfId="9">
      <formula>0.4</formula>
      <formula>0.79</formula>
    </cfRule>
    <cfRule type="cellIs" priority="16" operator="lessThan" aboveAverage="0" equalAverage="0" bottom="0" percent="0" rank="0" text="" dxfId="10">
      <formula>0.4</formula>
    </cfRule>
  </conditionalFormatting>
  <conditionalFormatting sqref="G13:G200">
    <cfRule type="cellIs" priority="17" operator="equal" aboveAverage="0" equalAverage="0" bottom="0" percent="0" rank="0" text="" dxfId="8">
      <formula>"Pass"</formula>
    </cfRule>
    <cfRule type="cellIs" priority="18" operator="equal" aboveAverage="0" equalAverage="0" bottom="0" percent="0" rank="0" text="" dxfId="10">
      <formula>"Fail"</formula>
    </cfRule>
  </conditionalFormatting>
  <conditionalFormatting sqref="H13:H200">
    <cfRule type="cellIs" priority="19" operator="equal" aboveAverage="0" equalAverage="0" bottom="0" percent="0" rank="0" text="" dxfId="8">
      <formula>"Pass"</formula>
    </cfRule>
    <cfRule type="cellIs" priority="20" operator="equal" aboveAverage="0" equalAverage="0" bottom="0" percent="0" rank="0" text="" dxfId="10">
      <formula>"Fail"</formula>
    </cfRule>
  </conditionalFormatting>
  <conditionalFormatting sqref="I13:I200">
    <cfRule type="cellIs" priority="21" operator="equal" aboveAverage="0" equalAverage="0" bottom="0" percent="0" rank="0" text="" dxfId="8">
      <formula>"Pass"</formula>
    </cfRule>
    <cfRule type="cellIs" priority="22" operator="equal" aboveAverage="0" equalAverage="0" bottom="0" percent="0" rank="0" text="" dxfId="10">
      <formula>"Fail"</formula>
    </cfRule>
  </conditionalFormatting>
  <conditionalFormatting sqref="J13:J200">
    <cfRule type="cellIs" priority="23" operator="equal" aboveAverage="0" equalAverage="0" bottom="0" percent="0" rank="0" text="" dxfId="8">
      <formula>"Pass"</formula>
    </cfRule>
    <cfRule type="cellIs" priority="24" operator="equal" aboveAverage="0" equalAverage="0" bottom="0" percent="0" rank="0" text="" dxfId="10">
      <formula>"Fail"</formula>
    </cfRule>
  </conditionalFormatting>
  <conditionalFormatting sqref="K13:K200">
    <cfRule type="cellIs" priority="25" operator="greaterThanOrEqual" aboveAverage="0" equalAverage="0" bottom="0" percent="0" rank="0" text="" dxfId="8">
      <formula>1</formula>
    </cfRule>
    <cfRule type="cellIs" priority="26" operator="between" aboveAverage="0" equalAverage="0" bottom="0" percent="0" rank="0" text="" dxfId="9">
      <formula>0.5</formula>
      <formula>0.99</formula>
    </cfRule>
    <cfRule type="cellIs" priority="27" operator="lessThan" aboveAverage="0" equalAverage="0" bottom="0" percent="0" rank="0" text="" dxfId="10">
      <formula>0.5</formula>
    </cfRule>
  </conditionalFormatting>
  <conditionalFormatting sqref="L13:L200">
    <cfRule type="cellIs" priority="28" operator="equal" aboveAverage="0" equalAverage="0" bottom="0" percent="0" rank="0" text="" dxfId="8">
      <formula>"Pass"</formula>
    </cfRule>
    <cfRule type="cellIs" priority="29" operator="equal" aboveAverage="0" equalAverage="0" bottom="0" percent="0" rank="0" text="" dxfId="10">
      <formula>"Fail"</formula>
    </cfRule>
    <cfRule type="cellIs" priority="30" operator="equal" aboveAverage="0" equalAverage="0" bottom="0" percent="0" rank="0" text="" dxfId="9">
      <formula>"In Progress"</formula>
    </cfRule>
  </conditionalFormatting>
  <dataValidations count="2">
    <dataValidation allowBlank="true" error="Select Pass, Fail, or N/A" errorStyle="stop" operator="between" showDropDown="false" showErrorMessage="false" showInputMessage="false" sqref="G13:J200" type="list">
      <formula1>"Pass,Fail,N/A"</formula1>
      <formula2>0</formula2>
    </dataValidation>
    <dataValidation allowBlank="true" errorStyle="stop" operator="between" showDropDown="false" showErrorMessage="false" showInputMessage="false" sqref="F13:F200" type="list">
      <formula1>"Flow,Level,Pressure,Temperature,Analytical,Valve,Motor,Digital Input,Digital Output,Other"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&amp;CLoop Check Register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33" t="s">
        <v>106</v>
      </c>
    </row>
    <row r="2" customFormat="false" ht="15" hidden="false" customHeight="false" outlineLevel="0" collapsed="false">
      <c r="A2" s="33"/>
    </row>
    <row r="3" customFormat="false" ht="15" hidden="false" customHeight="false" outlineLevel="0" collapsed="false">
      <c r="A3" s="33" t="s">
        <v>107</v>
      </c>
    </row>
    <row r="4" customFormat="false" ht="15" hidden="false" customHeight="false" outlineLevel="0" collapsed="false">
      <c r="A4" s="33"/>
    </row>
    <row r="5" customFormat="false" ht="15" hidden="false" customHeight="false" outlineLevel="0" collapsed="false">
      <c r="A5" s="33" t="s">
        <v>108</v>
      </c>
    </row>
    <row r="6" customFormat="false" ht="15" hidden="false" customHeight="false" outlineLevel="0" collapsed="false">
      <c r="A6" s="33"/>
    </row>
    <row r="7" customFormat="false" ht="15" hidden="false" customHeight="false" outlineLevel="0" collapsed="false">
      <c r="A7" s="33" t="s">
        <v>109</v>
      </c>
    </row>
    <row r="8" customFormat="false" ht="15" hidden="false" customHeight="false" outlineLevel="0" collapsed="false">
      <c r="A8" s="33"/>
    </row>
    <row r="9" customFormat="false" ht="15" hidden="false" customHeight="false" outlineLevel="0" collapsed="false">
      <c r="A9" s="33" t="s">
        <v>110</v>
      </c>
    </row>
    <row r="10" customFormat="false" ht="15" hidden="false" customHeight="false" outlineLevel="0" collapsed="false">
      <c r="A10" s="33"/>
    </row>
    <row r="11" customFormat="false" ht="15" hidden="false" customHeight="false" outlineLevel="0" collapsed="false">
      <c r="A11" s="33" t="s">
        <v>111</v>
      </c>
    </row>
    <row r="12" customFormat="false" ht="15" hidden="false" customHeight="false" outlineLevel="0" collapsed="false">
      <c r="A12" s="33"/>
    </row>
    <row r="13" customFormat="false" ht="15" hidden="false" customHeight="false" outlineLevel="0" collapsed="false">
      <c r="A13" s="33" t="s">
        <v>112</v>
      </c>
    </row>
    <row r="14" customFormat="false" ht="15" hidden="false" customHeight="false" outlineLevel="0" collapsed="false">
      <c r="A14" s="33"/>
    </row>
    <row r="15" customFormat="false" ht="15" hidden="false" customHeight="false" outlineLevel="0" collapsed="false">
      <c r="A15" s="33" t="s">
        <v>113</v>
      </c>
    </row>
    <row r="16" customFormat="false" ht="15" hidden="false" customHeight="false" outlineLevel="0" collapsed="false">
      <c r="A16" s="33"/>
    </row>
    <row r="17" customFormat="false" ht="15" hidden="false" customHeight="false" outlineLevel="0" collapsed="false">
      <c r="A17" s="33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MEICA / Commissioning</cp:category>
  <dcterms:created xsi:type="dcterms:W3CDTF">2026-03-22T20:37:07Z</dcterms:created>
  <dc:creator>Ebrora Ltd</dc:creator>
  <dc:description>Record and track instrument loop checks with scored pass/fail criteria — wiring verification, signal simulation, calibration, and functional testing — with automatic completion scoring.
Free professional construction management template from Ebrora Ltd. Visit ebrora.com for our full range of tools and templates.</dc:description>
  <cp:keywords>Ebrora construction MEICA commissioning loop check instrument testing scoring</cp:keywords>
  <dc:language>en-US</dc:language>
  <cp:lastModifiedBy>Ebrora Ltd</cp:lastModifiedBy>
  <dcterms:modified xsi:type="dcterms:W3CDTF">2026-03-22T20:37:08Z</dcterms:modified>
  <cp:revision>0</cp:revision>
  <dc:subject>Register for recording and scoring instrument loop checks during MEICA commissioning with pass/fail criteria and automatic completion scoring.</dc:subject>
  <dc:title>Loop Check Register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