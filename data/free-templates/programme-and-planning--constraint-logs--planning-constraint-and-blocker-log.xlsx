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straint Log" sheetId="1" state="visible" r:id="rId3"/>
    <sheet name="Instructions" sheetId="2" state="visible" r:id="rId4"/>
  </sheets>
  <definedNames>
    <definedName function="false" hidden="false" localSheetId="0" name="_xlnm.Print_Area" vbProcedure="false">'Constraint Log'!$A$1:$O$37</definedName>
    <definedName function="false" hidden="false" localSheetId="0" name="_xlnm.Print_Titles" vbProcedure="false">'Constraint Log'!$1:$5</definedName>
    <definedName function="false" hidden="true" localSheetId="0" name="_xlnm._FilterDatabase" vbProcedure="false">'Constraint Log'!$A$5:$O$30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<sst xmlns="http://schemas.openxmlformats.org/spreadsheetml/2006/main" count="40" uniqueCount="39">
  <si>
    <t xml:space="preserve">ebrora.com</t>
  </si>
  <si>
    <t xml:space="preserve">PLANNING CONSTRAINT AND BLOCKER LOG</t>
  </si>
  <si>
    <t xml:space="preserve">Project:</t>
  </si>
  <si>
    <t xml:space="preserve">Programme Mgr:</t>
  </si>
  <si>
    <t xml:space="preserve">Rev:</t>
  </si>
  <si>
    <t xml:space="preserve">No.</t>
  </si>
  <si>
    <t xml:space="preserve">Date
Raised</t>
  </si>
  <si>
    <t xml:space="preserve">Constraint /
Blocker Description</t>
  </si>
  <si>
    <t xml:space="preserve">Category</t>
  </si>
  <si>
    <t xml:space="preserve">Affected
Activity /
Work Package</t>
  </si>
  <si>
    <t xml:space="preserve">Impact on
Programme
(Days)</t>
  </si>
  <si>
    <t xml:space="preserve">Priority
(H/M/L)</t>
  </si>
  <si>
    <t xml:space="preserve">Owner /
Responsible</t>
  </si>
  <si>
    <t xml:space="preserve">Resolution
Action Required</t>
  </si>
  <si>
    <t xml:space="preserve">Target
Resolution
Date</t>
  </si>
  <si>
    <t xml:space="preserve">Actual
Resolution
Date</t>
  </si>
  <si>
    <t xml:space="preserve">Days
Open</t>
  </si>
  <si>
    <t xml:space="preserve">Status</t>
  </si>
  <si>
    <t xml:space="preserve">Escalated?
(Yes/No)</t>
  </si>
  <si>
    <t xml:space="preserve">Comments</t>
  </si>
  <si>
    <t xml:space="preserve">SUMMARY</t>
  </si>
  <si>
    <t xml:space="preserve">Total Constraints:</t>
  </si>
  <si>
    <t xml:space="preserve">Open:</t>
  </si>
  <si>
    <t xml:space="preserve">Resolved:</t>
  </si>
  <si>
    <t xml:space="preserve">High Priority Open:</t>
  </si>
  <si>
    <t xml:space="preserve">Total Programme Impact (Days):</t>
  </si>
  <si>
    <t xml:space="preserve">INSTRUCTIONS — Planning Constraint and Blocker Log</t>
  </si>
  <si>
    <t xml:space="preserve">How to Use This Template</t>
  </si>
  <si>
    <t xml:space="preserve">1. Record any constraint or blocker that prevents planned work from proceeding.</t>
  </si>
  <si>
    <t xml:space="preserve">2. Select the category from the dropdown (design info, access, material, etc.).</t>
  </si>
  <si>
    <t xml:space="preserve">3. Identify the affected activity and estimate programme impact in days.</t>
  </si>
  <si>
    <t xml:space="preserve">4. Assign priority (H/M/L) and an owner responsible for resolution.</t>
  </si>
  <si>
    <t xml:space="preserve">5. Describe the required resolution action and set a target date.</t>
  </si>
  <si>
    <t xml:space="preserve">6. Days open auto-calculates. Track status until resolved.</t>
  </si>
  <si>
    <t xml:space="preserve">7. Escalate unresolved high-priority constraints — flag in the Escalated column.</t>
  </si>
  <si>
    <t xml:space="preserve">8. Review constraints weekly at programme/coordination meetings.</t>
  </si>
  <si>
    <t xml:space="preserve">References:</t>
  </si>
  <si>
    <t xml:space="preserve">  NEC4 Clause 32 — Early Warning and Risk Reduction</t>
  </si>
  <si>
    <t xml:space="preserve">  Last Planner System — Constraint Analysis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</si>
</sst>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0"/>
    <numFmt numFmtId="167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2E75B6"/>
      <name val="Arial"/>
      <family val="0"/>
      <charset val="1"/>
    </font>
    <font>
      <b val="true"/>
      <sz val="14"/>
      <color rgb="FF1B2A4A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1B2A4A"/>
      <name val="Arial"/>
      <family val="0"/>
      <charset val="1"/>
    </font>
    <font>
      <i val="true"/>
      <sz val="9"/>
      <color rgb="FF80808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E8F0FE"/>
        <bgColor rgb="FFF2F2F2"/>
      </patternFill>
    </fill>
    <fill>
      <patternFill patternType="solid">
        <fgColor rgb="FF1B2A4A"/>
        <bgColor rgb="FF003366"/>
      </patternFill>
    </fill>
    <fill>
      <patternFill patternType="solid">
        <fgColor rgb="FFF2F2F2"/>
        <bgColor rgb="FFE8F0F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B2A4A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8F0F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>
          <bgColor rgb="FFFF0000"/>
        </patternFill>
      </fill>
    </dxf>
    <dxf>
      <fill>
        <patternFill>
          <bgColor rgb="FFFF8C00"/>
        </patternFill>
      </fill>
    </dxf>
    <dxf>
      <fill>
        <patternFill>
          <bgColor rgb="FF00B05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E8F0F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8C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0"/>
    <col collapsed="false" customWidth="true" hidden="false" outlineLevel="0" max="3" min="3" style="0" width="26"/>
    <col collapsed="false" customWidth="true" hidden="false" outlineLevel="0" max="4" min="4" style="0" width="12"/>
    <col collapsed="false" customWidth="true" hidden="false" outlineLevel="0" max="5" min="5" style="0" width="16"/>
    <col collapsed="false" customWidth="true" hidden="false" outlineLevel="0" max="6" min="6" style="0" width="10"/>
    <col collapsed="false" customWidth="true" hidden="false" outlineLevel="0" max="7" min="7" style="0" width="8"/>
    <col collapsed="false" customWidth="true" hidden="false" outlineLevel="0" max="8" min="8" style="0" width="14"/>
    <col collapsed="false" customWidth="true" hidden="false" outlineLevel="0" max="9" min="9" style="0" width="22"/>
    <col collapsed="false" customWidth="true" hidden="false" outlineLevel="0" max="11" min="10" style="0" width="10"/>
    <col collapsed="false" customWidth="true" hidden="false" outlineLevel="0" max="12" min="12" style="0" width="8"/>
    <col collapsed="false" customWidth="true" hidden="false" outlineLevel="0" max="13" min="13" style="0" width="12"/>
    <col collapsed="false" customWidth="true" hidden="false" outlineLevel="0" max="14" min="14" style="0" width="9"/>
    <col collapsed="false" customWidth="true" hidden="false" outlineLevel="0" max="15" min="15" style="0" width="18"/>
  </cols>
  <sheetData>
    <row r="1" customFormat="false" ht="1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customFormat="false" ht="23.85" hidden="false" customHeight="false" outlineLevel="0" collapsed="false">
      <c r="A3" s="3" t="s">
        <v>2</v>
      </c>
      <c r="B3" s="4"/>
      <c r="C3" s="4"/>
      <c r="D3" s="4"/>
      <c r="E3" s="3" t="s">
        <v>3</v>
      </c>
      <c r="F3" s="4"/>
      <c r="G3" s="4"/>
      <c r="H3" s="4"/>
      <c r="I3" s="3" t="s">
        <v>4</v>
      </c>
      <c r="J3" s="4"/>
    </row>
    <row r="5" customFormat="false" ht="48" hidden="false" customHeight="true" outlineLevel="0" collapsed="false">
      <c r="A5" s="5" t="s">
        <v>5</v>
      </c>
      <c r="B5" s="5" t="s">
        <v>6</v>
      </c>
      <c r="C5" s="5" t="s">
        <v>7</v>
      </c>
      <c r="D5" s="5" t="s">
        <v>8</v>
      </c>
      <c r="E5" s="5" t="s">
        <v>9</v>
      </c>
      <c r="F5" s="5" t="s">
        <v>10</v>
      </c>
      <c r="G5" s="5" t="s">
        <v>11</v>
      </c>
      <c r="H5" s="5" t="s">
        <v>12</v>
      </c>
      <c r="I5" s="5" t="s">
        <v>13</v>
      </c>
      <c r="J5" s="5" t="s">
        <v>14</v>
      </c>
      <c r="K5" s="5" t="s">
        <v>15</v>
      </c>
      <c r="L5" s="5" t="s">
        <v>16</v>
      </c>
      <c r="M5" s="5" t="s">
        <v>17</v>
      </c>
      <c r="N5" s="5" t="s">
        <v>18</v>
      </c>
      <c r="O5" s="5" t="s">
        <v>19</v>
      </c>
    </row>
    <row r="6" customFormat="false" ht="24" hidden="false" customHeight="true" outlineLevel="0" collapsed="false">
      <c r="A6" s="6" t="n">
        <v>1</v>
      </c>
      <c r="B6" s="7"/>
      <c r="C6" s="4"/>
      <c r="D6" s="7"/>
      <c r="E6" s="4"/>
      <c r="F6" s="7"/>
      <c r="G6" s="7"/>
      <c r="H6" s="7"/>
      <c r="I6" s="4"/>
      <c r="J6" s="8"/>
      <c r="K6" s="8"/>
      <c r="L6" s="9" t="str">
        <f aca="true">IF(B6="","",IF(K6&lt;&gt;"",K6-B6,TODAY()-B6))</f>
        <v/>
      </c>
      <c r="M6" s="7"/>
      <c r="N6" s="7"/>
      <c r="O6" s="4"/>
    </row>
    <row r="7" customFormat="false" ht="24" hidden="false" customHeight="true" outlineLevel="0" collapsed="false">
      <c r="A7" s="10" t="n">
        <v>2</v>
      </c>
      <c r="B7" s="7"/>
      <c r="C7" s="4"/>
      <c r="D7" s="7"/>
      <c r="E7" s="4"/>
      <c r="F7" s="7"/>
      <c r="G7" s="7"/>
      <c r="H7" s="7"/>
      <c r="I7" s="4"/>
      <c r="J7" s="8"/>
      <c r="K7" s="8"/>
      <c r="L7" s="11" t="str">
        <f aca="true">IF(B7="","",IF(K7&lt;&gt;"",K7-B7,TODAY()-B7))</f>
        <v/>
      </c>
      <c r="M7" s="7"/>
      <c r="N7" s="7"/>
      <c r="O7" s="4"/>
    </row>
    <row r="8" customFormat="false" ht="24" hidden="false" customHeight="true" outlineLevel="0" collapsed="false">
      <c r="A8" s="6" t="n">
        <v>3</v>
      </c>
      <c r="B8" s="7"/>
      <c r="C8" s="4"/>
      <c r="D8" s="7"/>
      <c r="E8" s="4"/>
      <c r="F8" s="7"/>
      <c r="G8" s="7"/>
      <c r="H8" s="7"/>
      <c r="I8" s="4"/>
      <c r="J8" s="8"/>
      <c r="K8" s="8"/>
      <c r="L8" s="9" t="str">
        <f aca="true">IF(B8="","",IF(K8&lt;&gt;"",K8-B8,TODAY()-B8))</f>
        <v/>
      </c>
      <c r="M8" s="7"/>
      <c r="N8" s="7"/>
      <c r="O8" s="4"/>
    </row>
    <row r="9" customFormat="false" ht="24" hidden="false" customHeight="true" outlineLevel="0" collapsed="false">
      <c r="A9" s="10" t="n">
        <v>4</v>
      </c>
      <c r="B9" s="7"/>
      <c r="C9" s="4"/>
      <c r="D9" s="7"/>
      <c r="E9" s="4"/>
      <c r="F9" s="7"/>
      <c r="G9" s="7"/>
      <c r="H9" s="7"/>
      <c r="I9" s="4"/>
      <c r="J9" s="8"/>
      <c r="K9" s="8"/>
      <c r="L9" s="11" t="str">
        <f aca="true">IF(B9="","",IF(K9&lt;&gt;"",K9-B9,TODAY()-B9))</f>
        <v/>
      </c>
      <c r="M9" s="7"/>
      <c r="N9" s="7"/>
      <c r="O9" s="4"/>
    </row>
    <row r="10" customFormat="false" ht="24" hidden="false" customHeight="true" outlineLevel="0" collapsed="false">
      <c r="A10" s="6" t="n">
        <v>5</v>
      </c>
      <c r="B10" s="7"/>
      <c r="C10" s="4"/>
      <c r="D10" s="7"/>
      <c r="E10" s="4"/>
      <c r="F10" s="7"/>
      <c r="G10" s="7"/>
      <c r="H10" s="7"/>
      <c r="I10" s="4"/>
      <c r="J10" s="8"/>
      <c r="K10" s="8"/>
      <c r="L10" s="9" t="str">
        <f aca="true">IF(B10="","",IF(K10&lt;&gt;"",K10-B10,TODAY()-B10))</f>
        <v/>
      </c>
      <c r="M10" s="7"/>
      <c r="N10" s="7"/>
      <c r="O10" s="4"/>
    </row>
    <row r="11" customFormat="false" ht="24" hidden="false" customHeight="true" outlineLevel="0" collapsed="false">
      <c r="A11" s="10" t="n">
        <v>6</v>
      </c>
      <c r="B11" s="7"/>
      <c r="C11" s="4"/>
      <c r="D11" s="7"/>
      <c r="E11" s="4"/>
      <c r="F11" s="7"/>
      <c r="G11" s="7"/>
      <c r="H11" s="7"/>
      <c r="I11" s="4"/>
      <c r="J11" s="8"/>
      <c r="K11" s="8"/>
      <c r="L11" s="11" t="str">
        <f aca="true">IF(B11="","",IF(K11&lt;&gt;"",K11-B11,TODAY()-B11))</f>
        <v/>
      </c>
      <c r="M11" s="7"/>
      <c r="N11" s="7"/>
      <c r="O11" s="4"/>
    </row>
    <row r="12" customFormat="false" ht="24" hidden="false" customHeight="true" outlineLevel="0" collapsed="false">
      <c r="A12" s="6" t="n">
        <v>7</v>
      </c>
      <c r="B12" s="7"/>
      <c r="C12" s="4"/>
      <c r="D12" s="7"/>
      <c r="E12" s="4"/>
      <c r="F12" s="7"/>
      <c r="G12" s="7"/>
      <c r="H12" s="7"/>
      <c r="I12" s="4"/>
      <c r="J12" s="8"/>
      <c r="K12" s="8"/>
      <c r="L12" s="9" t="str">
        <f aca="true">IF(B12="","",IF(K12&lt;&gt;"",K12-B12,TODAY()-B12))</f>
        <v/>
      </c>
      <c r="M12" s="7"/>
      <c r="N12" s="7"/>
      <c r="O12" s="4"/>
    </row>
    <row r="13" customFormat="false" ht="24" hidden="false" customHeight="true" outlineLevel="0" collapsed="false">
      <c r="A13" s="10" t="n">
        <v>8</v>
      </c>
      <c r="B13" s="7"/>
      <c r="C13" s="4"/>
      <c r="D13" s="7"/>
      <c r="E13" s="4"/>
      <c r="F13" s="7"/>
      <c r="G13" s="7"/>
      <c r="H13" s="7"/>
      <c r="I13" s="4"/>
      <c r="J13" s="8"/>
      <c r="K13" s="8"/>
      <c r="L13" s="11" t="str">
        <f aca="true">IF(B13="","",IF(K13&lt;&gt;"",K13-B13,TODAY()-B13))</f>
        <v/>
      </c>
      <c r="M13" s="7"/>
      <c r="N13" s="7"/>
      <c r="O13" s="4"/>
    </row>
    <row r="14" customFormat="false" ht="24" hidden="false" customHeight="true" outlineLevel="0" collapsed="false">
      <c r="A14" s="6" t="n">
        <v>9</v>
      </c>
      <c r="B14" s="7"/>
      <c r="C14" s="4"/>
      <c r="D14" s="7"/>
      <c r="E14" s="4"/>
      <c r="F14" s="7"/>
      <c r="G14" s="7"/>
      <c r="H14" s="7"/>
      <c r="I14" s="4"/>
      <c r="J14" s="8"/>
      <c r="K14" s="8"/>
      <c r="L14" s="9" t="str">
        <f aca="true">IF(B14="","",IF(K14&lt;&gt;"",K14-B14,TODAY()-B14))</f>
        <v/>
      </c>
      <c r="M14" s="7"/>
      <c r="N14" s="7"/>
      <c r="O14" s="4"/>
    </row>
    <row r="15" customFormat="false" ht="24" hidden="false" customHeight="true" outlineLevel="0" collapsed="false">
      <c r="A15" s="10" t="n">
        <v>10</v>
      </c>
      <c r="B15" s="7"/>
      <c r="C15" s="4"/>
      <c r="D15" s="7"/>
      <c r="E15" s="4"/>
      <c r="F15" s="7"/>
      <c r="G15" s="7"/>
      <c r="H15" s="7"/>
      <c r="I15" s="4"/>
      <c r="J15" s="8"/>
      <c r="K15" s="8"/>
      <c r="L15" s="11" t="str">
        <f aca="true">IF(B15="","",IF(K15&lt;&gt;"",K15-B15,TODAY()-B15))</f>
        <v/>
      </c>
      <c r="M15" s="7"/>
      <c r="N15" s="7"/>
      <c r="O15" s="4"/>
    </row>
    <row r="16" customFormat="false" ht="24" hidden="false" customHeight="true" outlineLevel="0" collapsed="false">
      <c r="A16" s="6" t="n">
        <v>11</v>
      </c>
      <c r="B16" s="7"/>
      <c r="C16" s="4"/>
      <c r="D16" s="7"/>
      <c r="E16" s="4"/>
      <c r="F16" s="7"/>
      <c r="G16" s="7"/>
      <c r="H16" s="7"/>
      <c r="I16" s="4"/>
      <c r="J16" s="8"/>
      <c r="K16" s="8"/>
      <c r="L16" s="9" t="str">
        <f aca="true">IF(B16="","",IF(K16&lt;&gt;"",K16-B16,TODAY()-B16))</f>
        <v/>
      </c>
      <c r="M16" s="7"/>
      <c r="N16" s="7"/>
      <c r="O16" s="4"/>
    </row>
    <row r="17" customFormat="false" ht="24" hidden="false" customHeight="true" outlineLevel="0" collapsed="false">
      <c r="A17" s="10" t="n">
        <v>12</v>
      </c>
      <c r="B17" s="7"/>
      <c r="C17" s="4"/>
      <c r="D17" s="7"/>
      <c r="E17" s="4"/>
      <c r="F17" s="7"/>
      <c r="G17" s="7"/>
      <c r="H17" s="7"/>
      <c r="I17" s="4"/>
      <c r="J17" s="8"/>
      <c r="K17" s="8"/>
      <c r="L17" s="11" t="str">
        <f aca="true">IF(B17="","",IF(K17&lt;&gt;"",K17-B17,TODAY()-B17))</f>
        <v/>
      </c>
      <c r="M17" s="7"/>
      <c r="N17" s="7"/>
      <c r="O17" s="4"/>
    </row>
    <row r="18" customFormat="false" ht="24" hidden="false" customHeight="true" outlineLevel="0" collapsed="false">
      <c r="A18" s="6" t="n">
        <v>13</v>
      </c>
      <c r="B18" s="7"/>
      <c r="C18" s="4"/>
      <c r="D18" s="7"/>
      <c r="E18" s="4"/>
      <c r="F18" s="7"/>
      <c r="G18" s="7"/>
      <c r="H18" s="7"/>
      <c r="I18" s="4"/>
      <c r="J18" s="8"/>
      <c r="K18" s="8"/>
      <c r="L18" s="9" t="str">
        <f aca="true">IF(B18="","",IF(K18&lt;&gt;"",K18-B18,TODAY()-B18))</f>
        <v/>
      </c>
      <c r="M18" s="7"/>
      <c r="N18" s="7"/>
      <c r="O18" s="4"/>
    </row>
    <row r="19" customFormat="false" ht="24" hidden="false" customHeight="true" outlineLevel="0" collapsed="false">
      <c r="A19" s="10" t="n">
        <v>14</v>
      </c>
      <c r="B19" s="7"/>
      <c r="C19" s="4"/>
      <c r="D19" s="7"/>
      <c r="E19" s="4"/>
      <c r="F19" s="7"/>
      <c r="G19" s="7"/>
      <c r="H19" s="7"/>
      <c r="I19" s="4"/>
      <c r="J19" s="8"/>
      <c r="K19" s="8"/>
      <c r="L19" s="11" t="str">
        <f aca="true">IF(B19="","",IF(K19&lt;&gt;"",K19-B19,TODAY()-B19))</f>
        <v/>
      </c>
      <c r="M19" s="7"/>
      <c r="N19" s="7"/>
      <c r="O19" s="4"/>
    </row>
    <row r="20" customFormat="false" ht="24" hidden="false" customHeight="true" outlineLevel="0" collapsed="false">
      <c r="A20" s="6" t="n">
        <v>15</v>
      </c>
      <c r="B20" s="7"/>
      <c r="C20" s="4"/>
      <c r="D20" s="7"/>
      <c r="E20" s="4"/>
      <c r="F20" s="7"/>
      <c r="G20" s="7"/>
      <c r="H20" s="7"/>
      <c r="I20" s="4"/>
      <c r="J20" s="8"/>
      <c r="K20" s="8"/>
      <c r="L20" s="9" t="str">
        <f aca="true">IF(B20="","",IF(K20&lt;&gt;"",K20-B20,TODAY()-B20))</f>
        <v/>
      </c>
      <c r="M20" s="7"/>
      <c r="N20" s="7"/>
      <c r="O20" s="4"/>
    </row>
    <row r="21" customFormat="false" ht="24" hidden="false" customHeight="true" outlineLevel="0" collapsed="false">
      <c r="A21" s="10" t="n">
        <v>16</v>
      </c>
      <c r="B21" s="7"/>
      <c r="C21" s="4"/>
      <c r="D21" s="7"/>
      <c r="E21" s="4"/>
      <c r="F21" s="7"/>
      <c r="G21" s="7"/>
      <c r="H21" s="7"/>
      <c r="I21" s="4"/>
      <c r="J21" s="8"/>
      <c r="K21" s="8"/>
      <c r="L21" s="11" t="str">
        <f aca="true">IF(B21="","",IF(K21&lt;&gt;"",K21-B21,TODAY()-B21))</f>
        <v/>
      </c>
      <c r="M21" s="7"/>
      <c r="N21" s="7"/>
      <c r="O21" s="4"/>
    </row>
    <row r="22" customFormat="false" ht="24" hidden="false" customHeight="true" outlineLevel="0" collapsed="false">
      <c r="A22" s="6" t="n">
        <v>17</v>
      </c>
      <c r="B22" s="7"/>
      <c r="C22" s="4"/>
      <c r="D22" s="7"/>
      <c r="E22" s="4"/>
      <c r="F22" s="7"/>
      <c r="G22" s="7"/>
      <c r="H22" s="7"/>
      <c r="I22" s="4"/>
      <c r="J22" s="8"/>
      <c r="K22" s="8"/>
      <c r="L22" s="9" t="str">
        <f aca="true">IF(B22="","",IF(K22&lt;&gt;"",K22-B22,TODAY()-B22))</f>
        <v/>
      </c>
      <c r="M22" s="7"/>
      <c r="N22" s="7"/>
      <c r="O22" s="4"/>
    </row>
    <row r="23" customFormat="false" ht="24" hidden="false" customHeight="true" outlineLevel="0" collapsed="false">
      <c r="A23" s="10" t="n">
        <v>18</v>
      </c>
      <c r="B23" s="7"/>
      <c r="C23" s="4"/>
      <c r="D23" s="7"/>
      <c r="E23" s="4"/>
      <c r="F23" s="7"/>
      <c r="G23" s="7"/>
      <c r="H23" s="7"/>
      <c r="I23" s="4"/>
      <c r="J23" s="8"/>
      <c r="K23" s="8"/>
      <c r="L23" s="11" t="str">
        <f aca="true">IF(B23="","",IF(K23&lt;&gt;"",K23-B23,TODAY()-B23))</f>
        <v/>
      </c>
      <c r="M23" s="7"/>
      <c r="N23" s="7"/>
      <c r="O23" s="4"/>
    </row>
    <row r="24" customFormat="false" ht="24" hidden="false" customHeight="true" outlineLevel="0" collapsed="false">
      <c r="A24" s="6" t="n">
        <v>19</v>
      </c>
      <c r="B24" s="7"/>
      <c r="C24" s="4"/>
      <c r="D24" s="7"/>
      <c r="E24" s="4"/>
      <c r="F24" s="7"/>
      <c r="G24" s="7"/>
      <c r="H24" s="7"/>
      <c r="I24" s="4"/>
      <c r="J24" s="8"/>
      <c r="K24" s="8"/>
      <c r="L24" s="9" t="str">
        <f aca="true">IF(B24="","",IF(K24&lt;&gt;"",K24-B24,TODAY()-B24))</f>
        <v/>
      </c>
      <c r="M24" s="7"/>
      <c r="N24" s="7"/>
      <c r="O24" s="4"/>
    </row>
    <row r="25" customFormat="false" ht="24" hidden="false" customHeight="true" outlineLevel="0" collapsed="false">
      <c r="A25" s="10" t="n">
        <v>20</v>
      </c>
      <c r="B25" s="7"/>
      <c r="C25" s="4"/>
      <c r="D25" s="7"/>
      <c r="E25" s="4"/>
      <c r="F25" s="7"/>
      <c r="G25" s="7"/>
      <c r="H25" s="7"/>
      <c r="I25" s="4"/>
      <c r="J25" s="8"/>
      <c r="K25" s="8"/>
      <c r="L25" s="11" t="str">
        <f aca="true">IF(B25="","",IF(K25&lt;&gt;"",K25-B25,TODAY()-B25))</f>
        <v/>
      </c>
      <c r="M25" s="7"/>
      <c r="N25" s="7"/>
      <c r="O25" s="4"/>
    </row>
    <row r="26" customFormat="false" ht="24" hidden="false" customHeight="true" outlineLevel="0" collapsed="false">
      <c r="A26" s="6" t="n">
        <v>21</v>
      </c>
      <c r="B26" s="7"/>
      <c r="C26" s="4"/>
      <c r="D26" s="7"/>
      <c r="E26" s="4"/>
      <c r="F26" s="7"/>
      <c r="G26" s="7"/>
      <c r="H26" s="7"/>
      <c r="I26" s="4"/>
      <c r="J26" s="8"/>
      <c r="K26" s="8"/>
      <c r="L26" s="9" t="str">
        <f aca="true">IF(B26="","",IF(K26&lt;&gt;"",K26-B26,TODAY()-B26))</f>
        <v/>
      </c>
      <c r="M26" s="7"/>
      <c r="N26" s="7"/>
      <c r="O26" s="4"/>
    </row>
    <row r="27" customFormat="false" ht="24" hidden="false" customHeight="true" outlineLevel="0" collapsed="false">
      <c r="A27" s="10" t="n">
        <v>22</v>
      </c>
      <c r="B27" s="7"/>
      <c r="C27" s="4"/>
      <c r="D27" s="7"/>
      <c r="E27" s="4"/>
      <c r="F27" s="7"/>
      <c r="G27" s="7"/>
      <c r="H27" s="7"/>
      <c r="I27" s="4"/>
      <c r="J27" s="8"/>
      <c r="K27" s="8"/>
      <c r="L27" s="11" t="str">
        <f aca="true">IF(B27="","",IF(K27&lt;&gt;"",K27-B27,TODAY()-B27))</f>
        <v/>
      </c>
      <c r="M27" s="7"/>
      <c r="N27" s="7"/>
      <c r="O27" s="4"/>
    </row>
    <row r="28" customFormat="false" ht="24" hidden="false" customHeight="true" outlineLevel="0" collapsed="false">
      <c r="A28" s="6" t="n">
        <v>23</v>
      </c>
      <c r="B28" s="7"/>
      <c r="C28" s="4"/>
      <c r="D28" s="7"/>
      <c r="E28" s="4"/>
      <c r="F28" s="7"/>
      <c r="G28" s="7"/>
      <c r="H28" s="7"/>
      <c r="I28" s="4"/>
      <c r="J28" s="8"/>
      <c r="K28" s="8"/>
      <c r="L28" s="9" t="str">
        <f aca="true">IF(B28="","",IF(K28&lt;&gt;"",K28-B28,TODAY()-B28))</f>
        <v/>
      </c>
      <c r="M28" s="7"/>
      <c r="N28" s="7"/>
      <c r="O28" s="4"/>
    </row>
    <row r="29" customFormat="false" ht="24" hidden="false" customHeight="true" outlineLevel="0" collapsed="false">
      <c r="A29" s="10" t="n">
        <v>24</v>
      </c>
      <c r="B29" s="7"/>
      <c r="C29" s="4"/>
      <c r="D29" s="7"/>
      <c r="E29" s="4"/>
      <c r="F29" s="7"/>
      <c r="G29" s="7"/>
      <c r="H29" s="7"/>
      <c r="I29" s="4"/>
      <c r="J29" s="8"/>
      <c r="K29" s="8"/>
      <c r="L29" s="11" t="str">
        <f aca="true">IF(B29="","",IF(K29&lt;&gt;"",K29-B29,TODAY()-B29))</f>
        <v/>
      </c>
      <c r="M29" s="7"/>
      <c r="N29" s="7"/>
      <c r="O29" s="4"/>
    </row>
    <row r="30" customFormat="false" ht="24" hidden="false" customHeight="true" outlineLevel="0" collapsed="false">
      <c r="A30" s="6" t="n">
        <v>25</v>
      </c>
      <c r="B30" s="7"/>
      <c r="C30" s="4"/>
      <c r="D30" s="7"/>
      <c r="E30" s="4"/>
      <c r="F30" s="7"/>
      <c r="G30" s="7"/>
      <c r="H30" s="7"/>
      <c r="I30" s="4"/>
      <c r="J30" s="8"/>
      <c r="K30" s="8"/>
      <c r="L30" s="9" t="str">
        <f aca="true">IF(B30="","",IF(K30&lt;&gt;"",K30-B30,TODAY()-B30))</f>
        <v/>
      </c>
      <c r="M30" s="7"/>
      <c r="N30" s="7"/>
      <c r="O30" s="4"/>
    </row>
    <row r="32" customFormat="false" ht="15" hidden="false" customHeight="true" outlineLevel="0" collapsed="false">
      <c r="A32" s="12" t="s">
        <v>20</v>
      </c>
      <c r="B32" s="12"/>
      <c r="C32" s="12"/>
    </row>
    <row r="33" customFormat="false" ht="23.85" hidden="false" customHeight="true" outlineLevel="0" collapsed="false">
      <c r="A33" s="3" t="s">
        <v>21</v>
      </c>
      <c r="B33" s="3"/>
      <c r="C33" s="13" t="n">
        <f aca="false">COUNTA(C6:C30)</f>
        <v>0</v>
      </c>
    </row>
    <row r="34" customFormat="false" ht="15" hidden="false" customHeight="true" outlineLevel="0" collapsed="false">
      <c r="A34" s="3" t="s">
        <v>22</v>
      </c>
      <c r="B34" s="3"/>
      <c r="C34" s="13" t="n">
        <f aca="false">COUNTIF(M6:M30,"Open")+COUNTIF(M6:M30,"Escalated")</f>
        <v>0</v>
      </c>
    </row>
    <row r="35" customFormat="false" ht="15" hidden="false" customHeight="true" outlineLevel="0" collapsed="false">
      <c r="A35" s="3" t="s">
        <v>23</v>
      </c>
      <c r="B35" s="3"/>
      <c r="C35" s="13" t="n">
        <f aca="false">COUNTIF(M6:M30,"Resolved")</f>
        <v>0</v>
      </c>
    </row>
    <row r="36" customFormat="false" ht="23.85" hidden="false" customHeight="true" outlineLevel="0" collapsed="false">
      <c r="A36" s="3" t="s">
        <v>24</v>
      </c>
      <c r="B36" s="3"/>
      <c r="C36" s="13" t="n">
        <f aca="false">COUNTIFS(G6:G30,"H",M6:M30,"Open")+COUNTIFS(G6:G30,"H",M6:M30,"Escalated")</f>
        <v>0</v>
      </c>
    </row>
    <row r="37" customFormat="false" ht="35.05" hidden="false" customHeight="true" outlineLevel="0" collapsed="false">
      <c r="A37" s="3" t="s">
        <v>25</v>
      </c>
      <c r="B37" s="3"/>
      <c r="C37" s="13" t="n">
        <f aca="false">SUM(F6:F30)</f>
        <v>0</v>
      </c>
    </row>
  </sheetData>
  <autoFilter ref="A5:O30"/>
  <mergeCells count="10">
    <mergeCell ref="A1:O1"/>
    <mergeCell ref="A2:O2"/>
    <mergeCell ref="B3:D3"/>
    <mergeCell ref="F3:H3"/>
    <mergeCell ref="A32:C32"/>
    <mergeCell ref="A33:B33"/>
    <mergeCell ref="A34:B34"/>
    <mergeCell ref="A35:B35"/>
    <mergeCell ref="A36:B36"/>
    <mergeCell ref="A37:B37"/>
  </mergeCells>
  <conditionalFormatting sqref="M6:M30">
    <cfRule type="cellIs" priority="2" operator="equal" aboveAverage="0" equalAverage="0" bottom="0" percent="0" rank="0" text="" dxfId="6">
      <formula>"Open"</formula>
    </cfRule>
    <cfRule type="cellIs" priority="3" operator="equal" aboveAverage="0" equalAverage="0" bottom="0" percent="0" rank="0" text="" dxfId="7">
      <formula>"Escalated"</formula>
    </cfRule>
    <cfRule type="cellIs" priority="4" operator="equal" aboveAverage="0" equalAverage="0" bottom="0" percent="0" rank="0" text="" dxfId="8">
      <formula>"Resolved"</formula>
    </cfRule>
  </conditionalFormatting>
  <conditionalFormatting sqref="G6:G30">
    <cfRule type="cellIs" priority="5" operator="equal" aboveAverage="0" equalAverage="0" bottom="0" percent="0" rank="0" text="" dxfId="6">
      <formula>"H"</formula>
    </cfRule>
  </conditionalFormatting>
  <dataValidations count="4">
    <dataValidation allowBlank="true" errorStyle="stop" operator="between" showDropDown="false" showErrorMessage="false" showInputMessage="false" sqref="D6:D30" type="list">
      <formula1>"Design Information,Material Delivery,Access / Possession,Subcontractor,Client Decision,Third Party Approval,Permit / Consent,Resource / Labour,Plant / Equipment,Commercial,Weather,Other"</formula1>
      <formula2>0</formula2>
    </dataValidation>
    <dataValidation allowBlank="true" errorStyle="stop" operator="between" showDropDown="false" showErrorMessage="false" showInputMessage="false" sqref="G6:G30" type="list">
      <formula1>"H,M,L"</formula1>
      <formula2>0</formula2>
    </dataValidation>
    <dataValidation allowBlank="true" errorStyle="stop" operator="between" showDropDown="false" showErrorMessage="false" showInputMessage="false" sqref="M6:M30" type="list">
      <formula1>"Open,Escalated,Resolved,Accepted,Cancelled"</formula1>
      <formula2>0</formula2>
    </dataValidation>
    <dataValidation allowBlank="true" errorStyle="stop" operator="between" showDropDown="false" showErrorMessage="false" showInputMessage="false" sqref="N6:N30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80"/>
  </cols>
  <sheetData>
    <row r="1" customFormat="false" ht="15" hidden="false" customHeight="true" outlineLevel="0" collapsed="false">
      <c r="A1" s="1" t="s">
        <v>0</v>
      </c>
      <c r="B1" s="1"/>
    </row>
    <row r="2" customFormat="false" ht="27.75" hidden="false" customHeight="true" outlineLevel="0" collapsed="false">
      <c r="A2" s="2" t="s">
        <v>26</v>
      </c>
      <c r="B2" s="2"/>
    </row>
    <row r="4" customFormat="false" ht="15" hidden="false" customHeight="false" outlineLevel="0" collapsed="false">
      <c r="B4" s="12" t="s">
        <v>27</v>
      </c>
    </row>
    <row r="5" customFormat="false" ht="15" hidden="false" customHeight="false" outlineLevel="0" collapsed="false">
      <c r="B5" s="14"/>
    </row>
    <row r="6" customFormat="false" ht="15" hidden="false" customHeight="false" outlineLevel="0" collapsed="false">
      <c r="B6" s="14" t="s">
        <v>28</v>
      </c>
    </row>
    <row r="7" customFormat="false" ht="15" hidden="false" customHeight="false" outlineLevel="0" collapsed="false">
      <c r="B7" s="14" t="s">
        <v>29</v>
      </c>
    </row>
    <row r="8" customFormat="false" ht="15" hidden="false" customHeight="false" outlineLevel="0" collapsed="false">
      <c r="B8" s="14" t="s">
        <v>30</v>
      </c>
    </row>
    <row r="9" customFormat="false" ht="15" hidden="false" customHeight="false" outlineLevel="0" collapsed="false">
      <c r="B9" s="14" t="s">
        <v>31</v>
      </c>
    </row>
    <row r="10" customFormat="false" ht="15" hidden="false" customHeight="false" outlineLevel="0" collapsed="false">
      <c r="B10" s="14" t="s">
        <v>32</v>
      </c>
    </row>
    <row r="11" customFormat="false" ht="15" hidden="false" customHeight="false" outlineLevel="0" collapsed="false">
      <c r="B11" s="14" t="s">
        <v>33</v>
      </c>
    </row>
    <row r="12" customFormat="false" ht="15" hidden="false" customHeight="false" outlineLevel="0" collapsed="false">
      <c r="B12" s="14" t="s">
        <v>34</v>
      </c>
    </row>
    <row r="13" customFormat="false" ht="15" hidden="false" customHeight="false" outlineLevel="0" collapsed="false">
      <c r="B13" s="14" t="s">
        <v>35</v>
      </c>
    </row>
    <row r="14" customFormat="false" ht="15" hidden="false" customHeight="false" outlineLevel="0" collapsed="false">
      <c r="B14" s="14"/>
    </row>
    <row r="15" customFormat="false" ht="15" hidden="false" customHeight="false" outlineLevel="0" collapsed="false">
      <c r="B15" s="12" t="s">
        <v>36</v>
      </c>
    </row>
    <row r="16" customFormat="false" ht="15" hidden="false" customHeight="false" outlineLevel="0" collapsed="false">
      <c r="B16" s="15" t="s">
        <v>37</v>
      </c>
    </row>
    <row r="17" customFormat="false" ht="15" hidden="false" customHeight="false" outlineLevel="0" collapsed="false">
      <c r="B17" s="15" t="s">
        <v>38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2026-03-27T17:02:02Z</dcterms:created>
  <dc:creator>openpyxl</dc:creator>
  <dc:description/>
  <dc:language>en-US</dc:language>
  <cp:lastModifiedBy/>
  <dcterms:modified xsi:type="dcterms:W3CDTF">2026-03-27T17:02:03Z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