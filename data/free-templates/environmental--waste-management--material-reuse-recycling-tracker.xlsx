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Recycling Tracker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'Recycling Tracker'!$A$1:$L$61</definedName>
    <definedName function="false" hidden="true" localSheetId="2" name="_xlnm._FilterDatabase" vbProcedure="false">'Recycling Tracker'!$A$11:$L$511</definedName>
    <definedName function="false" hidden="false" name="RecyclingTracker" vbProcedure="false">'Recycling Tracker'!$A$11:$L$511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<sst xmlns="http://schemas.openxmlformats.org/spreadsheetml/2006/main" count="105" uniqueCount="98">
  <si>
    <t xml:space="preserve">EBRORA</t>
  </si>
  <si>
    <t xml:space="preserve">ebrora.com</t>
  </si>
  <si>
    <t xml:space="preserve">Material Re-Use / Recycling Tracker</t>
  </si>
  <si>
    <t xml:space="preserve">Track material arisings and their re-use, recycling, or disposal outcome.</t>
  </si>
  <si>
    <t xml:space="preserve">Measure and report re-use rates for BREEAM, PAS 2080, and circular economy targets.</t>
  </si>
  <si>
    <t xml:space="preserve">This is a free template from Ebrora.</t>
  </si>
  <si>
    <t xml:space="preserve">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</si>
  <si>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</si>
  <si>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</si>
  <si>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1.</t>
  </si>
  <si>
    <t xml:space="preserve">Open the 'Recycling Tracker' sheet. The top section shows a live material balance dashboard with re-use and recycling rates.</t>
  </si>
  <si>
    <t xml:space="preserve">2.</t>
  </si>
  <si>
    <t xml:space="preserve">Log each material arising in the main table. Enter the date, material type (dropdown), quantity in tonnes, and the outcome: Re-Used on Site, Recycled Off-Site, Recovered, or Landfill.</t>
  </si>
  <si>
    <t xml:space="preserve">3.</t>
  </si>
  <si>
    <t xml:space="preserve">If re-used on site, note where it was used in the Destination column. If sent off-site, record the carrier and receiving facility.</t>
  </si>
  <si>
    <t xml:space="preserve">4.</t>
  </si>
  <si>
    <t xml:space="preserve">The dashboard calculates total tonnage by outcome and your overall re-use + recycling rate as a percentage.</t>
  </si>
  <si>
    <t xml:space="preserve">5.</t>
  </si>
  <si>
    <t xml:space="preserve">Expand optional columns for WTN references, cost/savings, and carbon offset estimates.</t>
  </si>
  <si>
    <t xml:space="preserve">6.</t>
  </si>
  <si>
    <t xml:space="preserve">Use this tracker alongside your Waste Management Log (Template 72) for a complete materials picture.</t>
  </si>
  <si>
    <t xml:space="preserve">Colour Key</t>
  </si>
  <si>
    <t xml:space="preserve">Light teal — user input / editable</t>
  </si>
  <si>
    <t xml:space="preserve">  </t>
  </si>
  <si>
    <t xml:space="preserve">Dark navy — headers, do not edit</t>
  </si>
  <si>
    <t xml:space="preserve">Green — Re-Used on Site or Recycled Off-Site</t>
  </si>
  <si>
    <t xml:space="preserve">Amber — Recovered (energy recovery etc.)</t>
  </si>
  <si>
    <t xml:space="preserve">Red — Landfill</t>
  </si>
  <si>
    <t xml:space="preserve">Tips</t>
  </si>
  <si>
    <t xml:space="preserve">•</t>
  </si>
  <si>
    <t xml:space="preserve">Prioritise on-site re-use (e.g. crushed concrete for haul roads) to minimise transport emissions and cost.</t>
  </si>
  <si>
    <t xml:space="preserve">Target &gt;95% re-use/recycling to meet leading BREEAM Wst 01 credits.</t>
  </si>
  <si>
    <t xml:space="preserve">Track cost savings from re-use in the optional columns — this data strengthens the business case for circular practices.</t>
  </si>
  <si>
    <t xml:space="preserve">MATERIAL RE-USE / RECYCLING TRACKER — DASHBOARD</t>
  </si>
  <si>
    <t xml:space="preserve">Tonnage by Outcome</t>
  </si>
  <si>
    <t xml:space="preserve">Performance Metrics</t>
  </si>
  <si>
    <t xml:space="preserve">Re-Used on Site</t>
  </si>
  <si>
    <t xml:space="preserve">Total Material Arisings (t):</t>
  </si>
  <si>
    <t xml:space="preserve">Recycled Off-Site</t>
  </si>
  <si>
    <t xml:space="preserve">Re-Use Rate (on-site only):</t>
  </si>
  <si>
    <t xml:space="preserve">Recovered</t>
  </si>
  <si>
    <t xml:space="preserve">Re-Use + Recycling Rate:</t>
  </si>
  <si>
    <t xml:space="preserve">Landfill</t>
  </si>
  <si>
    <t xml:space="preserve">Diversion from Landfill:</t>
  </si>
  <si>
    <t xml:space="preserve">TOTAL TRACKED</t>
  </si>
  <si>
    <t xml:space="preserve">MATERIAL RECORDS</t>
  </si>
  <si>
    <t xml:space="preserve">Ref</t>
  </si>
  <si>
    <t xml:space="preserve">Date</t>
  </si>
  <si>
    <t xml:space="preserve">Material Type</t>
  </si>
  <si>
    <t xml:space="preserve">Qty (tonnes)</t>
  </si>
  <si>
    <t xml:space="preserve">Outcome</t>
  </si>
  <si>
    <t xml:space="preserve">Source / Origin</t>
  </si>
  <si>
    <t xml:space="preserve">Destination / End Use</t>
  </si>
  <si>
    <t xml:space="preserve">Carrier</t>
  </si>
  <si>
    <t xml:space="preserve">WTN Ref</t>
  </si>
  <si>
    <t xml:space="preserve">Cost (£)</t>
  </si>
  <si>
    <t xml:space="preserve">Saving (£)</t>
  </si>
  <si>
    <t xml:space="preserve">Notes</t>
  </si>
  <si>
    <t xml:space="preserve">MR-001</t>
  </si>
  <si>
    <t xml:space="preserve">Excavated Soil</t>
  </si>
  <si>
    <t xml:space="preserve">Phase 1 cut — clean clay</t>
  </si>
  <si>
    <t xml:space="preserve">Phase 2 fill embankment</t>
  </si>
  <si>
    <t xml:space="preserve">Clean cut/fill balance — zero off-site transport</t>
  </si>
  <si>
    <t xml:space="preserve">MR-002</t>
  </si>
  <si>
    <t xml:space="preserve">Concrete / Rubite</t>
  </si>
  <si>
    <t xml:space="preserve">Demolished hardstanding</t>
  </si>
  <si>
    <t xml:space="preserve">Crushed on site → haul road sub-base</t>
  </si>
  <si>
    <t xml:space="preserve">Processed through on-site crusher</t>
  </si>
  <si>
    <t xml:space="preserve">MR-003</t>
  </si>
  <si>
    <t xml:space="preserve">Steel / Metal</t>
  </si>
  <si>
    <t xml:space="preserve">Rebar offcuts from RC works</t>
  </si>
  <si>
    <t xml:space="preserve">Reclaim Metals Ltd, Chippenham</t>
  </si>
  <si>
    <t xml:space="preserve">Reclaim Metals</t>
  </si>
  <si>
    <t xml:space="preserve">WTN-2026-051</t>
  </si>
  <si>
    <t xml:space="preserve">Scrap value credited to project</t>
  </si>
  <si>
    <t xml:space="preserve">MR-004</t>
  </si>
  <si>
    <t xml:space="preserve">Timber</t>
  </si>
  <si>
    <t xml:space="preserve">Formwork timber — 3rd use, no longer serviceable</t>
  </si>
  <si>
    <t xml:space="preserve">BioTimber Processing, Bristol</t>
  </si>
  <si>
    <t xml:space="preserve">Green Waste Solutions</t>
  </si>
  <si>
    <t xml:space="preserve">WTN-2026-052</t>
  </si>
  <si>
    <t xml:space="preserve">Untreated timber only</t>
  </si>
  <si>
    <t xml:space="preserve">MR-005</t>
  </si>
  <si>
    <t xml:space="preserve">Tarmac / Asphalt</t>
  </si>
  <si>
    <t xml:space="preserve">Contaminated tarmac planings — tar-bound</t>
  </si>
  <si>
    <t xml:space="preserve">Westfield Landfill, Bath</t>
  </si>
  <si>
    <t xml:space="preserve">Metro Skip Hire</t>
  </si>
  <si>
    <t xml:space="preserve">WTN-2026-053</t>
  </si>
  <si>
    <t xml:space="preserve">Tar content too high for recycling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</si>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</sst>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%"/>
    <numFmt numFmtId="167" formatCode="dd/mm/yyyy"/>
    <numFmt numFmtId="168" formatCode="\£#,##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4"/>
      <color rgb="FF2AABB3"/>
      <name val="Calibri"/>
      <family val="0"/>
      <charset val="1"/>
    </font>
    <font>
      <b val="true"/>
      <sz val="16"/>
      <color rgb="FF2AABB3"/>
      <name val="Calibri"/>
      <family val="0"/>
      <charset val="1"/>
    </font>
    <font>
      <b val="true"/>
      <sz val="12"/>
      <color rgb="FF2AABB3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E8F6F7"/>
        <bgColor rgb="FFF2F2F2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2F2F2"/>
      </patternFill>
    </fill>
    <fill>
      <patternFill patternType="solid">
        <fgColor rgb="FFFFC7CE"/>
        <bgColor rgb="FFD9D9D9"/>
      </patternFill>
    </fill>
    <fill>
      <patternFill patternType="solid">
        <fgColor rgb="FF2AABB3"/>
        <bgColor rgb="FF339966"/>
      </patternFill>
    </fill>
    <fill>
      <patternFill patternType="solid">
        <fgColor rgb="FFF2F2F2"/>
        <bgColor rgb="FFE8F6F7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/>
      <top style="medium">
        <color rgb="FF2AABB3"/>
      </top>
      <bottom style="medium">
        <color rgb="FF2AABB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B2A4A"/>
          <bgColor rgb="FF000000"/>
        </patternFill>
      </fill>
    </dxf>
    <dxf>
      <fill>
        <patternFill patternType="solid">
          <fgColor rgb="FFE8F6F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6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45.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</row>
    <row r="7" customFormat="false" ht="35.05" hidden="false" customHeight="true" outlineLevel="0" collapsed="false">
      <c r="A7" s="5" t="s">
        <v>2</v>
      </c>
      <c r="B7" s="5"/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6" t="s">
        <v>3</v>
      </c>
      <c r="B10" s="6"/>
      <c r="C10" s="6"/>
      <c r="D10" s="6"/>
      <c r="E10" s="6"/>
      <c r="F10" s="6"/>
      <c r="G10" s="6"/>
      <c r="H10" s="6"/>
    </row>
    <row r="11" customFormat="false" ht="15" hidden="false" customHeight="true" outlineLevel="0" collapsed="false">
      <c r="A11" s="6" t="s">
        <v>4</v>
      </c>
      <c r="B11" s="6"/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</row>
    <row r="15" customFormat="false" ht="15" hidden="false" customHeight="true" outlineLevel="0" collapsed="false">
      <c r="A15" s="8" t="s">
        <v>5</v>
      </c>
      <c r="B15" s="8"/>
      <c r="C15" s="8"/>
      <c r="D15" s="8"/>
      <c r="E15" s="8"/>
      <c r="F15" s="8"/>
      <c r="G15" s="8"/>
      <c r="H15" s="8"/>
    </row>
    <row r="16" customFormat="false" ht="15" hidden="false" customHeight="true" outlineLevel="0" collapsed="false">
      <c r="A16" s="8" t="s">
        <v>6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A19" s="9" t="s">
        <v>7</v>
      </c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</row>
  </sheetData>
  <mergeCells count="14">
    <mergeCell ref="A1:H1"/>
    <mergeCell ref="A2:H2"/>
    <mergeCell ref="A3:H3"/>
    <mergeCell ref="A4:H4"/>
    <mergeCell ref="A6:H6"/>
    <mergeCell ref="A7:H7"/>
    <mergeCell ref="A8:H8"/>
    <mergeCell ref="A10:H10"/>
    <mergeCell ref="A11:H11"/>
    <mergeCell ref="A14:H14"/>
    <mergeCell ref="A15:H15"/>
    <mergeCell ref="A16:H16"/>
    <mergeCell ref="A17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6" min="2" style="0" width="22"/>
  </cols>
  <sheetData>
    <row r="1" customFormat="false" ht="17.35" hidden="false" customHeight="false" outlineLevel="0" collapsed="false">
      <c r="A1" s="10" t="s">
        <v>8</v>
      </c>
      <c r="B1" s="10"/>
      <c r="C1" s="10"/>
      <c r="D1" s="10"/>
      <c r="E1" s="10"/>
      <c r="F1" s="10"/>
    </row>
    <row r="3" customFormat="false" ht="36" hidden="false" customHeight="true" outlineLevel="0" collapsed="false">
      <c r="A3" s="11" t="s">
        <v>9</v>
      </c>
      <c r="B3" s="12" t="s">
        <v>10</v>
      </c>
      <c r="C3" s="12"/>
      <c r="D3" s="12"/>
      <c r="E3" s="12"/>
      <c r="F3" s="12"/>
    </row>
    <row r="4" customFormat="false" ht="36" hidden="false" customHeight="true" outlineLevel="0" collapsed="false">
      <c r="A4" s="11" t="s">
        <v>11</v>
      </c>
      <c r="B4" s="12" t="s">
        <v>12</v>
      </c>
      <c r="C4" s="12"/>
      <c r="D4" s="12"/>
      <c r="E4" s="12"/>
      <c r="F4" s="12"/>
    </row>
    <row r="5" customFormat="false" ht="36" hidden="false" customHeight="true" outlineLevel="0" collapsed="false">
      <c r="A5" s="11" t="s">
        <v>13</v>
      </c>
      <c r="B5" s="12" t="s">
        <v>14</v>
      </c>
      <c r="C5" s="12"/>
      <c r="D5" s="12"/>
      <c r="E5" s="12"/>
      <c r="F5" s="12"/>
    </row>
    <row r="6" customFormat="false" ht="36" hidden="false" customHeight="true" outlineLevel="0" collapsed="false">
      <c r="A6" s="11" t="s">
        <v>15</v>
      </c>
      <c r="B6" s="12" t="s">
        <v>16</v>
      </c>
      <c r="C6" s="12"/>
      <c r="D6" s="12"/>
      <c r="E6" s="12"/>
      <c r="F6" s="12"/>
    </row>
    <row r="7" customFormat="false" ht="36" hidden="false" customHeight="true" outlineLevel="0" collapsed="false">
      <c r="A7" s="11" t="s">
        <v>17</v>
      </c>
      <c r="B7" s="12" t="s">
        <v>18</v>
      </c>
      <c r="C7" s="12"/>
      <c r="D7" s="12"/>
      <c r="E7" s="12"/>
      <c r="F7" s="12"/>
    </row>
    <row r="8" customFormat="false" ht="36" hidden="false" customHeight="true" outlineLevel="0" collapsed="false">
      <c r="A8" s="11" t="s">
        <v>19</v>
      </c>
      <c r="B8" s="12" t="s">
        <v>20</v>
      </c>
      <c r="C8" s="12"/>
      <c r="D8" s="12"/>
      <c r="E8" s="12"/>
      <c r="F8" s="12"/>
    </row>
    <row r="10" customFormat="false" ht="15" hidden="false" customHeight="false" outlineLevel="0" collapsed="false">
      <c r="A10" s="13" t="s">
        <v>21</v>
      </c>
      <c r="B10" s="13"/>
      <c r="C10" s="13"/>
      <c r="D10" s="13"/>
      <c r="E10" s="13"/>
      <c r="F10" s="13"/>
    </row>
    <row r="11" customFormat="false" ht="15" hidden="false" customHeight="false" outlineLevel="0" collapsed="false">
      <c r="A11" s="14"/>
      <c r="B11" s="15" t="s">
        <v>22</v>
      </c>
      <c r="C11" s="15"/>
      <c r="D11" s="15"/>
      <c r="E11" s="15"/>
      <c r="F11" s="15"/>
    </row>
    <row r="12" customFormat="false" ht="15" hidden="false" customHeight="false" outlineLevel="0" collapsed="false">
      <c r="A12" s="16" t="s">
        <v>23</v>
      </c>
      <c r="B12" s="15" t="s">
        <v>24</v>
      </c>
      <c r="C12" s="15"/>
      <c r="D12" s="15"/>
      <c r="E12" s="15"/>
      <c r="F12" s="15"/>
    </row>
    <row r="13" customFormat="false" ht="15" hidden="false" customHeight="false" outlineLevel="0" collapsed="false">
      <c r="A13" s="17"/>
      <c r="B13" s="15" t="s">
        <v>25</v>
      </c>
      <c r="C13" s="15"/>
      <c r="D13" s="15"/>
      <c r="E13" s="15"/>
      <c r="F13" s="15"/>
    </row>
    <row r="14" customFormat="false" ht="15" hidden="false" customHeight="false" outlineLevel="0" collapsed="false">
      <c r="A14" s="18"/>
      <c r="B14" s="15" t="s">
        <v>26</v>
      </c>
      <c r="C14" s="15"/>
      <c r="D14" s="15"/>
      <c r="E14" s="15"/>
      <c r="F14" s="15"/>
    </row>
    <row r="15" customFormat="false" ht="15" hidden="false" customHeight="false" outlineLevel="0" collapsed="false">
      <c r="A15" s="19"/>
      <c r="B15" s="15" t="s">
        <v>27</v>
      </c>
      <c r="C15" s="15"/>
      <c r="D15" s="15"/>
      <c r="E15" s="15"/>
      <c r="F15" s="15"/>
    </row>
    <row r="17" customFormat="false" ht="15" hidden="false" customHeight="false" outlineLevel="0" collapsed="false">
      <c r="A17" s="13" t="s">
        <v>28</v>
      </c>
      <c r="B17" s="13"/>
      <c r="C17" s="13"/>
      <c r="D17" s="13"/>
      <c r="E17" s="13"/>
      <c r="F17" s="13"/>
    </row>
    <row r="18" customFormat="false" ht="30" hidden="false" customHeight="true" outlineLevel="0" collapsed="false">
      <c r="A18" s="20" t="s">
        <v>29</v>
      </c>
      <c r="B18" s="12" t="s">
        <v>30</v>
      </c>
      <c r="C18" s="12"/>
      <c r="D18" s="12"/>
      <c r="E18" s="12"/>
      <c r="F18" s="12"/>
    </row>
    <row r="19" customFormat="false" ht="30" hidden="false" customHeight="true" outlineLevel="0" collapsed="false">
      <c r="A19" s="20" t="s">
        <v>29</v>
      </c>
      <c r="B19" s="12" t="s">
        <v>31</v>
      </c>
      <c r="C19" s="12"/>
      <c r="D19" s="12"/>
      <c r="E19" s="12"/>
      <c r="F19" s="12"/>
    </row>
    <row r="20" customFormat="false" ht="30" hidden="false" customHeight="true" outlineLevel="0" collapsed="false">
      <c r="A20" s="20" t="s">
        <v>29</v>
      </c>
      <c r="B20" s="12" t="s">
        <v>32</v>
      </c>
      <c r="C20" s="12"/>
      <c r="D20" s="12"/>
      <c r="E20" s="12"/>
      <c r="F20" s="12"/>
    </row>
  </sheetData>
  <mergeCells count="17">
    <mergeCell ref="A1:F1"/>
    <mergeCell ref="B3:F3"/>
    <mergeCell ref="B4:F4"/>
    <mergeCell ref="B5:F5"/>
    <mergeCell ref="B6:F6"/>
    <mergeCell ref="B7:F7"/>
    <mergeCell ref="B8:F8"/>
    <mergeCell ref="A10:F10"/>
    <mergeCell ref="B11:F11"/>
    <mergeCell ref="B12:F12"/>
    <mergeCell ref="B13:F13"/>
    <mergeCell ref="B14:F14"/>
    <mergeCell ref="B15:F15"/>
    <mergeCell ref="A17:F17"/>
    <mergeCell ref="B18:F18"/>
    <mergeCell ref="B19:F19"/>
    <mergeCell ref="B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7" min="6" style="0" width="25"/>
    <col collapsed="false" customWidth="true" hidden="true" outlineLevel="1" max="12" min="8" style="0" width="18"/>
  </cols>
  <sheetData>
    <row r="1" customFormat="false" ht="30" hidden="false" customHeight="true" outlineLevel="0" collapsed="false">
      <c r="A1" s="21" t="s">
        <v>33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customFormat="false" ht="15" hidden="false" customHeight="true" outlineLevel="0" collapsed="false">
      <c r="A2" s="22" t="s">
        <v>34</v>
      </c>
      <c r="B2" s="22"/>
      <c r="C2" s="22"/>
      <c r="D2" s="22"/>
      <c r="E2" s="22"/>
      <c r="G2" s="22" t="s">
        <v>35</v>
      </c>
      <c r="H2" s="22"/>
      <c r="I2" s="22"/>
      <c r="J2" s="22"/>
      <c r="K2" s="22"/>
      <c r="L2" s="22"/>
    </row>
    <row r="3" customFormat="false" ht="18.65" hidden="false" customHeight="false" outlineLevel="0" collapsed="false">
      <c r="A3" s="23" t="s">
        <v>36</v>
      </c>
      <c r="B3" s="23"/>
      <c r="C3" s="23"/>
      <c r="D3" s="24" t="n">
        <f aca="false">SUMIF(E12:E511,A3,D12:D511)</f>
        <v>107.5</v>
      </c>
      <c r="E3" s="24"/>
      <c r="G3" s="15" t="s">
        <v>37</v>
      </c>
      <c r="H3" s="15"/>
      <c r="I3" s="15"/>
      <c r="J3" s="25" t="n">
        <f aca="false">SUM(D12:D511)</f>
        <v>128.5</v>
      </c>
      <c r="K3" s="25"/>
      <c r="L3" s="25"/>
    </row>
    <row r="4" customFormat="false" ht="18.65" hidden="false" customHeight="false" outlineLevel="0" collapsed="false">
      <c r="A4" s="23" t="s">
        <v>38</v>
      </c>
      <c r="B4" s="23"/>
      <c r="C4" s="23"/>
      <c r="D4" s="24" t="n">
        <f aca="false">SUMIF(E12:E511,A4,D12:D511)</f>
        <v>6</v>
      </c>
      <c r="E4" s="24"/>
      <c r="G4" s="15" t="s">
        <v>39</v>
      </c>
      <c r="H4" s="15"/>
      <c r="I4" s="15"/>
      <c r="J4" s="26" t="n">
        <f aca="false">IF(J3&gt;0,SUMIF(E12:E511,"Re-Used on Site",D12:D511)/J3,0)</f>
        <v>0.836575875486381</v>
      </c>
      <c r="K4" s="26"/>
      <c r="L4" s="26"/>
    </row>
    <row r="5" customFormat="false" ht="20.85" hidden="false" customHeight="false" outlineLevel="0" collapsed="false">
      <c r="A5" s="27" t="s">
        <v>40</v>
      </c>
      <c r="B5" s="27"/>
      <c r="C5" s="27"/>
      <c r="D5" s="24" t="n">
        <f aca="false">SUMIF(E12:E511,A5,D12:D511)</f>
        <v>0</v>
      </c>
      <c r="E5" s="24"/>
      <c r="G5" s="15" t="s">
        <v>41</v>
      </c>
      <c r="H5" s="15"/>
      <c r="I5" s="15"/>
      <c r="J5" s="28" t="n">
        <f aca="false">IF(J3&gt;0,(SUMIF(E12:E511,"Re-Used on Site",D12:D511)+SUMIF(E12:E511,"Recycled Off-Site",D12:D511))/J3,0)</f>
        <v>0.883268482490272</v>
      </c>
      <c r="K5" s="28"/>
      <c r="L5" s="28"/>
    </row>
    <row r="6" customFormat="false" ht="18.65" hidden="false" customHeight="false" outlineLevel="0" collapsed="false">
      <c r="A6" s="29" t="s">
        <v>42</v>
      </c>
      <c r="B6" s="29"/>
      <c r="C6" s="29"/>
      <c r="D6" s="24" t="n">
        <f aca="false">SUMIF(E12:E511,A6,D12:D511)</f>
        <v>15</v>
      </c>
      <c r="E6" s="24"/>
      <c r="G6" s="15" t="s">
        <v>43</v>
      </c>
      <c r="H6" s="15"/>
      <c r="I6" s="15"/>
      <c r="J6" s="26" t="n">
        <f aca="false">IF(J3&gt;0,(J3-SUMIF(E12:E511,"Landfill",D12:D511))/J3,0)</f>
        <v>0.883268482490272</v>
      </c>
      <c r="K6" s="26"/>
      <c r="L6" s="26"/>
    </row>
    <row r="7" customFormat="false" ht="15" hidden="false" customHeight="false" outlineLevel="0" collapsed="false">
      <c r="A7" s="30" t="s">
        <v>44</v>
      </c>
      <c r="B7" s="30"/>
      <c r="C7" s="30"/>
      <c r="D7" s="31" t="n">
        <f aca="false">SUM(D12:D511)</f>
        <v>128.5</v>
      </c>
      <c r="E7" s="31"/>
    </row>
    <row r="8" customFormat="false" ht="6" hidden="false" customHeight="true" outlineLevel="0" collapsed="false"/>
    <row r="9" customFormat="false" ht="25.5" hidden="false" customHeight="true" outlineLevel="0" collapsed="false">
      <c r="A9" s="32" t="s">
        <v>45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</row>
    <row r="10" customFormat="false" ht="3.75" hidden="false" customHeight="true" outlineLevel="0" collapsed="false"/>
    <row r="11" customFormat="false" ht="28.35" hidden="false" customHeight="false" outlineLevel="0" collapsed="false">
      <c r="A11" s="33" t="s">
        <v>46</v>
      </c>
      <c r="B11" s="33" t="s">
        <v>47</v>
      </c>
      <c r="C11" s="33" t="s">
        <v>48</v>
      </c>
      <c r="D11" s="33" t="s">
        <v>49</v>
      </c>
      <c r="E11" s="33" t="s">
        <v>50</v>
      </c>
      <c r="F11" s="33" t="s">
        <v>51</v>
      </c>
      <c r="G11" s="33" t="s">
        <v>52</v>
      </c>
      <c r="H11" s="33" t="s">
        <v>53</v>
      </c>
      <c r="I11" s="33" t="s">
        <v>54</v>
      </c>
      <c r="J11" s="33" t="s">
        <v>55</v>
      </c>
      <c r="K11" s="33" t="s">
        <v>56</v>
      </c>
      <c r="L11" s="33" t="s">
        <v>57</v>
      </c>
    </row>
    <row r="12" customFormat="false" ht="34.5" hidden="false" customHeight="true" outlineLevel="0" collapsed="false">
      <c r="A12" s="34" t="s">
        <v>58</v>
      </c>
      <c r="B12" s="35" t="n">
        <v>46084</v>
      </c>
      <c r="C12" s="34" t="s">
        <v>59</v>
      </c>
      <c r="D12" s="36" t="n">
        <v>85</v>
      </c>
      <c r="E12" s="34" t="s">
        <v>36</v>
      </c>
      <c r="F12" s="37" t="s">
        <v>60</v>
      </c>
      <c r="G12" s="37" t="s">
        <v>61</v>
      </c>
      <c r="H12" s="34"/>
      <c r="I12" s="34"/>
      <c r="J12" s="38"/>
      <c r="K12" s="38" t="n">
        <v>2800</v>
      </c>
      <c r="L12" s="37" t="s">
        <v>62</v>
      </c>
    </row>
    <row r="13" customFormat="false" ht="34.5" hidden="false" customHeight="true" outlineLevel="0" collapsed="false">
      <c r="A13" s="39" t="s">
        <v>63</v>
      </c>
      <c r="B13" s="40" t="n">
        <v>46086</v>
      </c>
      <c r="C13" s="39" t="s">
        <v>64</v>
      </c>
      <c r="D13" s="41" t="n">
        <v>22.5</v>
      </c>
      <c r="E13" s="39" t="s">
        <v>36</v>
      </c>
      <c r="F13" s="42" t="s">
        <v>65</v>
      </c>
      <c r="G13" s="42" t="s">
        <v>66</v>
      </c>
      <c r="H13" s="39"/>
      <c r="I13" s="39"/>
      <c r="J13" s="43"/>
      <c r="K13" s="43" t="n">
        <v>1650</v>
      </c>
      <c r="L13" s="42" t="s">
        <v>67</v>
      </c>
    </row>
    <row r="14" customFormat="false" ht="34.5" hidden="false" customHeight="true" outlineLevel="0" collapsed="false">
      <c r="A14" s="34" t="s">
        <v>68</v>
      </c>
      <c r="B14" s="35" t="n">
        <v>46089</v>
      </c>
      <c r="C14" s="34" t="s">
        <v>69</v>
      </c>
      <c r="D14" s="36" t="n">
        <v>4.2</v>
      </c>
      <c r="E14" s="34" t="s">
        <v>38</v>
      </c>
      <c r="F14" s="37" t="s">
        <v>70</v>
      </c>
      <c r="G14" s="37" t="s">
        <v>71</v>
      </c>
      <c r="H14" s="34" t="s">
        <v>72</v>
      </c>
      <c r="I14" s="34" t="s">
        <v>73</v>
      </c>
      <c r="J14" s="38" t="n">
        <v>380</v>
      </c>
      <c r="K14" s="38"/>
      <c r="L14" s="37" t="s">
        <v>74</v>
      </c>
    </row>
    <row r="15" customFormat="false" ht="34.5" hidden="false" customHeight="true" outlineLevel="0" collapsed="false">
      <c r="A15" s="39" t="s">
        <v>75</v>
      </c>
      <c r="B15" s="40" t="n">
        <v>46093</v>
      </c>
      <c r="C15" s="39" t="s">
        <v>76</v>
      </c>
      <c r="D15" s="41" t="n">
        <v>1.8</v>
      </c>
      <c r="E15" s="39" t="s">
        <v>38</v>
      </c>
      <c r="F15" s="42" t="s">
        <v>77</v>
      </c>
      <c r="G15" s="42" t="s">
        <v>78</v>
      </c>
      <c r="H15" s="39" t="s">
        <v>79</v>
      </c>
      <c r="I15" s="39" t="s">
        <v>80</v>
      </c>
      <c r="J15" s="43" t="n">
        <v>120</v>
      </c>
      <c r="K15" s="43"/>
      <c r="L15" s="42" t="s">
        <v>81</v>
      </c>
    </row>
    <row r="16" customFormat="false" ht="34.5" hidden="false" customHeight="true" outlineLevel="0" collapsed="false">
      <c r="A16" s="34" t="s">
        <v>82</v>
      </c>
      <c r="B16" s="35" t="n">
        <v>46099</v>
      </c>
      <c r="C16" s="34" t="s">
        <v>83</v>
      </c>
      <c r="D16" s="36" t="n">
        <v>15</v>
      </c>
      <c r="E16" s="34" t="s">
        <v>42</v>
      </c>
      <c r="F16" s="37" t="s">
        <v>84</v>
      </c>
      <c r="G16" s="37" t="s">
        <v>85</v>
      </c>
      <c r="H16" s="34" t="s">
        <v>86</v>
      </c>
      <c r="I16" s="34" t="s">
        <v>87</v>
      </c>
      <c r="J16" s="38" t="n">
        <v>950</v>
      </c>
      <c r="K16" s="38"/>
      <c r="L16" s="37" t="s">
        <v>88</v>
      </c>
    </row>
    <row r="17" customFormat="false" ht="15" hidden="false" customHeight="false" outlineLevel="0" collapsed="false">
      <c r="A17" s="39"/>
      <c r="B17" s="40"/>
      <c r="C17" s="39"/>
      <c r="D17" s="41"/>
      <c r="E17" s="39"/>
      <c r="F17" s="42"/>
      <c r="G17" s="42"/>
      <c r="H17" s="39"/>
      <c r="I17" s="39"/>
      <c r="J17" s="43"/>
      <c r="K17" s="43"/>
      <c r="L17" s="42"/>
    </row>
    <row r="18" customFormat="false" ht="15" hidden="false" customHeight="false" outlineLevel="0" collapsed="false">
      <c r="A18" s="34"/>
      <c r="B18" s="35"/>
      <c r="C18" s="34"/>
      <c r="D18" s="36"/>
      <c r="E18" s="34"/>
      <c r="F18" s="37"/>
      <c r="G18" s="37"/>
      <c r="H18" s="34"/>
      <c r="I18" s="34"/>
      <c r="J18" s="38"/>
      <c r="K18" s="38"/>
      <c r="L18" s="37"/>
    </row>
    <row r="19" customFormat="false" ht="15" hidden="false" customHeight="false" outlineLevel="0" collapsed="false">
      <c r="A19" s="39"/>
      <c r="B19" s="40"/>
      <c r="C19" s="39"/>
      <c r="D19" s="41"/>
      <c r="E19" s="39"/>
      <c r="F19" s="42"/>
      <c r="G19" s="42"/>
      <c r="H19" s="39"/>
      <c r="I19" s="39"/>
      <c r="J19" s="43"/>
      <c r="K19" s="43"/>
      <c r="L19" s="42"/>
    </row>
    <row r="20" customFormat="false" ht="15" hidden="false" customHeight="false" outlineLevel="0" collapsed="false">
      <c r="A20" s="34"/>
      <c r="B20" s="35"/>
      <c r="C20" s="34"/>
      <c r="D20" s="36"/>
      <c r="E20" s="34"/>
      <c r="F20" s="37"/>
      <c r="G20" s="37"/>
      <c r="H20" s="34"/>
      <c r="I20" s="34"/>
      <c r="J20" s="38"/>
      <c r="K20" s="38"/>
      <c r="L20" s="37"/>
    </row>
    <row r="21" customFormat="false" ht="15" hidden="false" customHeight="false" outlineLevel="0" collapsed="false">
      <c r="A21" s="39"/>
      <c r="B21" s="40"/>
      <c r="C21" s="39"/>
      <c r="D21" s="41"/>
      <c r="E21" s="39"/>
      <c r="F21" s="42"/>
      <c r="G21" s="42"/>
      <c r="H21" s="39"/>
      <c r="I21" s="39"/>
      <c r="J21" s="43"/>
      <c r="K21" s="43"/>
      <c r="L21" s="42"/>
    </row>
    <row r="22" customFormat="false" ht="15" hidden="false" customHeight="false" outlineLevel="0" collapsed="false">
      <c r="A22" s="34"/>
      <c r="B22" s="35"/>
      <c r="C22" s="34"/>
      <c r="D22" s="36"/>
      <c r="E22" s="34"/>
      <c r="F22" s="37"/>
      <c r="G22" s="37"/>
      <c r="H22" s="34"/>
      <c r="I22" s="34"/>
      <c r="J22" s="38"/>
      <c r="K22" s="38"/>
      <c r="L22" s="37"/>
    </row>
    <row r="23" customFormat="false" ht="15" hidden="false" customHeight="false" outlineLevel="0" collapsed="false">
      <c r="A23" s="39"/>
      <c r="B23" s="40"/>
      <c r="C23" s="39"/>
      <c r="D23" s="41"/>
      <c r="E23" s="39"/>
      <c r="F23" s="42"/>
      <c r="G23" s="42"/>
      <c r="H23" s="39"/>
      <c r="I23" s="39"/>
      <c r="J23" s="43"/>
      <c r="K23" s="43"/>
      <c r="L23" s="42"/>
    </row>
    <row r="24" customFormat="false" ht="15" hidden="false" customHeight="false" outlineLevel="0" collapsed="false">
      <c r="A24" s="34"/>
      <c r="B24" s="35"/>
      <c r="C24" s="34"/>
      <c r="D24" s="36"/>
      <c r="E24" s="34"/>
      <c r="F24" s="37"/>
      <c r="G24" s="37"/>
      <c r="H24" s="34"/>
      <c r="I24" s="34"/>
      <c r="J24" s="38"/>
      <c r="K24" s="38"/>
      <c r="L24" s="37"/>
    </row>
    <row r="25" customFormat="false" ht="15" hidden="false" customHeight="false" outlineLevel="0" collapsed="false">
      <c r="A25" s="39"/>
      <c r="B25" s="40"/>
      <c r="C25" s="39"/>
      <c r="D25" s="41"/>
      <c r="E25" s="39"/>
      <c r="F25" s="42"/>
      <c r="G25" s="42"/>
      <c r="H25" s="39"/>
      <c r="I25" s="39"/>
      <c r="J25" s="43"/>
      <c r="K25" s="43"/>
      <c r="L25" s="42"/>
    </row>
    <row r="26" customFormat="false" ht="15" hidden="false" customHeight="false" outlineLevel="0" collapsed="false">
      <c r="A26" s="34"/>
      <c r="B26" s="35"/>
      <c r="C26" s="34"/>
      <c r="D26" s="36"/>
      <c r="E26" s="34"/>
      <c r="F26" s="37"/>
      <c r="G26" s="37"/>
      <c r="H26" s="34"/>
      <c r="I26" s="34"/>
      <c r="J26" s="38"/>
      <c r="K26" s="38"/>
      <c r="L26" s="37"/>
    </row>
    <row r="27" customFormat="false" ht="15" hidden="false" customHeight="false" outlineLevel="0" collapsed="false">
      <c r="A27" s="39"/>
      <c r="B27" s="40"/>
      <c r="C27" s="39"/>
      <c r="D27" s="41"/>
      <c r="E27" s="39"/>
      <c r="F27" s="42"/>
      <c r="G27" s="42"/>
      <c r="H27" s="39"/>
      <c r="I27" s="39"/>
      <c r="J27" s="43"/>
      <c r="K27" s="43"/>
      <c r="L27" s="42"/>
    </row>
    <row r="28" customFormat="false" ht="15" hidden="false" customHeight="false" outlineLevel="0" collapsed="false">
      <c r="A28" s="34"/>
      <c r="B28" s="35"/>
      <c r="C28" s="34"/>
      <c r="D28" s="36"/>
      <c r="E28" s="34"/>
      <c r="F28" s="37"/>
      <c r="G28" s="37"/>
      <c r="H28" s="34"/>
      <c r="I28" s="34"/>
      <c r="J28" s="38"/>
      <c r="K28" s="38"/>
      <c r="L28" s="37"/>
    </row>
    <row r="29" customFormat="false" ht="15" hidden="false" customHeight="false" outlineLevel="0" collapsed="false">
      <c r="A29" s="39"/>
      <c r="B29" s="40"/>
      <c r="C29" s="39"/>
      <c r="D29" s="41"/>
      <c r="E29" s="39"/>
      <c r="F29" s="42"/>
      <c r="G29" s="42"/>
      <c r="H29" s="39"/>
      <c r="I29" s="39"/>
      <c r="J29" s="43"/>
      <c r="K29" s="43"/>
      <c r="L29" s="42"/>
    </row>
    <row r="30" customFormat="false" ht="15" hidden="false" customHeight="false" outlineLevel="0" collapsed="false">
      <c r="A30" s="34"/>
      <c r="B30" s="35"/>
      <c r="C30" s="34"/>
      <c r="D30" s="36"/>
      <c r="E30" s="34"/>
      <c r="F30" s="37"/>
      <c r="G30" s="37"/>
      <c r="H30" s="34"/>
      <c r="I30" s="34"/>
      <c r="J30" s="38"/>
      <c r="K30" s="38"/>
      <c r="L30" s="37"/>
    </row>
    <row r="31" customFormat="false" ht="15" hidden="false" customHeight="false" outlineLevel="0" collapsed="false">
      <c r="A31" s="39"/>
      <c r="B31" s="40"/>
      <c r="C31" s="39"/>
      <c r="D31" s="41"/>
      <c r="E31" s="39"/>
      <c r="F31" s="42"/>
      <c r="G31" s="42"/>
      <c r="H31" s="39"/>
      <c r="I31" s="39"/>
      <c r="J31" s="43"/>
      <c r="K31" s="43"/>
      <c r="L31" s="42"/>
    </row>
    <row r="32" customFormat="false" ht="15" hidden="false" customHeight="false" outlineLevel="0" collapsed="false">
      <c r="A32" s="34"/>
      <c r="B32" s="35"/>
      <c r="C32" s="34"/>
      <c r="D32" s="36"/>
      <c r="E32" s="34"/>
      <c r="F32" s="37"/>
      <c r="G32" s="37"/>
      <c r="H32" s="34"/>
      <c r="I32" s="34"/>
      <c r="J32" s="38"/>
      <c r="K32" s="38"/>
      <c r="L32" s="37"/>
    </row>
    <row r="33" customFormat="false" ht="15" hidden="false" customHeight="false" outlineLevel="0" collapsed="false">
      <c r="A33" s="39"/>
      <c r="B33" s="40"/>
      <c r="C33" s="39"/>
      <c r="D33" s="41"/>
      <c r="E33" s="39"/>
      <c r="F33" s="42"/>
      <c r="G33" s="42"/>
      <c r="H33" s="39"/>
      <c r="I33" s="39"/>
      <c r="J33" s="43"/>
      <c r="K33" s="43"/>
      <c r="L33" s="42"/>
    </row>
    <row r="34" customFormat="false" ht="15" hidden="false" customHeight="false" outlineLevel="0" collapsed="false">
      <c r="A34" s="34"/>
      <c r="B34" s="35"/>
      <c r="C34" s="34"/>
      <c r="D34" s="36"/>
      <c r="E34" s="34"/>
      <c r="F34" s="37"/>
      <c r="G34" s="37"/>
      <c r="H34" s="34"/>
      <c r="I34" s="34"/>
      <c r="J34" s="38"/>
      <c r="K34" s="38"/>
      <c r="L34" s="37"/>
    </row>
    <row r="35" customFormat="false" ht="15" hidden="false" customHeight="false" outlineLevel="0" collapsed="false">
      <c r="A35" s="39"/>
      <c r="B35" s="40"/>
      <c r="C35" s="39"/>
      <c r="D35" s="41"/>
      <c r="E35" s="39"/>
      <c r="F35" s="42"/>
      <c r="G35" s="42"/>
      <c r="H35" s="39"/>
      <c r="I35" s="39"/>
      <c r="J35" s="43"/>
      <c r="K35" s="43"/>
      <c r="L35" s="42"/>
    </row>
    <row r="36" customFormat="false" ht="15" hidden="false" customHeight="false" outlineLevel="0" collapsed="false">
      <c r="A36" s="34"/>
      <c r="B36" s="35"/>
      <c r="C36" s="34"/>
      <c r="D36" s="36"/>
      <c r="E36" s="34"/>
      <c r="F36" s="37"/>
      <c r="G36" s="37"/>
      <c r="H36" s="34"/>
      <c r="I36" s="34"/>
      <c r="J36" s="38"/>
      <c r="K36" s="38"/>
      <c r="L36" s="37"/>
    </row>
    <row r="37" customFormat="false" ht="15" hidden="false" customHeight="false" outlineLevel="0" collapsed="false">
      <c r="A37" s="39"/>
      <c r="B37" s="40"/>
      <c r="C37" s="39"/>
      <c r="D37" s="41"/>
      <c r="E37" s="39"/>
      <c r="F37" s="42"/>
      <c r="G37" s="42"/>
      <c r="H37" s="39"/>
      <c r="I37" s="39"/>
      <c r="J37" s="43"/>
      <c r="K37" s="43"/>
      <c r="L37" s="42"/>
    </row>
    <row r="38" customFormat="false" ht="15" hidden="false" customHeight="false" outlineLevel="0" collapsed="false">
      <c r="A38" s="34"/>
      <c r="B38" s="35"/>
      <c r="C38" s="34"/>
      <c r="D38" s="36"/>
      <c r="E38" s="34"/>
      <c r="F38" s="37"/>
      <c r="G38" s="37"/>
      <c r="H38" s="34"/>
      <c r="I38" s="34"/>
      <c r="J38" s="38"/>
      <c r="K38" s="38"/>
      <c r="L38" s="37"/>
    </row>
    <row r="39" customFormat="false" ht="15" hidden="false" customHeight="false" outlineLevel="0" collapsed="false">
      <c r="A39" s="39"/>
      <c r="B39" s="40"/>
      <c r="C39" s="39"/>
      <c r="D39" s="41"/>
      <c r="E39" s="39"/>
      <c r="F39" s="42"/>
      <c r="G39" s="42"/>
      <c r="H39" s="39"/>
      <c r="I39" s="39"/>
      <c r="J39" s="43"/>
      <c r="K39" s="43"/>
      <c r="L39" s="42"/>
    </row>
    <row r="40" customFormat="false" ht="15" hidden="false" customHeight="false" outlineLevel="0" collapsed="false">
      <c r="A40" s="34"/>
      <c r="B40" s="35"/>
      <c r="C40" s="34"/>
      <c r="D40" s="36"/>
      <c r="E40" s="34"/>
      <c r="F40" s="37"/>
      <c r="G40" s="37"/>
      <c r="H40" s="34"/>
      <c r="I40" s="34"/>
      <c r="J40" s="38"/>
      <c r="K40" s="38"/>
      <c r="L40" s="37"/>
    </row>
    <row r="41" customFormat="false" ht="15" hidden="false" customHeight="false" outlineLevel="0" collapsed="false">
      <c r="A41" s="39"/>
      <c r="B41" s="40"/>
      <c r="C41" s="39"/>
      <c r="D41" s="41"/>
      <c r="E41" s="39"/>
      <c r="F41" s="42"/>
      <c r="G41" s="42"/>
      <c r="H41" s="39"/>
      <c r="I41" s="39"/>
      <c r="J41" s="43"/>
      <c r="K41" s="43"/>
      <c r="L41" s="42"/>
    </row>
    <row r="42" customFormat="false" ht="15" hidden="false" customHeight="false" outlineLevel="0" collapsed="false">
      <c r="A42" s="34"/>
      <c r="B42" s="35"/>
      <c r="C42" s="34"/>
      <c r="D42" s="36"/>
      <c r="E42" s="34"/>
      <c r="F42" s="37"/>
      <c r="G42" s="37"/>
      <c r="H42" s="34"/>
      <c r="I42" s="34"/>
      <c r="J42" s="38"/>
      <c r="K42" s="38"/>
      <c r="L42" s="37"/>
    </row>
    <row r="43" customFormat="false" ht="15" hidden="false" customHeight="false" outlineLevel="0" collapsed="false">
      <c r="A43" s="39"/>
      <c r="B43" s="40"/>
      <c r="C43" s="39"/>
      <c r="D43" s="41"/>
      <c r="E43" s="39"/>
      <c r="F43" s="42"/>
      <c r="G43" s="42"/>
      <c r="H43" s="39"/>
      <c r="I43" s="39"/>
      <c r="J43" s="43"/>
      <c r="K43" s="43"/>
      <c r="L43" s="42"/>
    </row>
    <row r="44" customFormat="false" ht="15" hidden="false" customHeight="false" outlineLevel="0" collapsed="false">
      <c r="A44" s="34"/>
      <c r="B44" s="35"/>
      <c r="C44" s="34"/>
      <c r="D44" s="36"/>
      <c r="E44" s="34"/>
      <c r="F44" s="37"/>
      <c r="G44" s="37"/>
      <c r="H44" s="34"/>
      <c r="I44" s="34"/>
      <c r="J44" s="38"/>
      <c r="K44" s="38"/>
      <c r="L44" s="37"/>
    </row>
    <row r="45" customFormat="false" ht="15" hidden="false" customHeight="false" outlineLevel="0" collapsed="false">
      <c r="A45" s="39"/>
      <c r="B45" s="40"/>
      <c r="C45" s="39"/>
      <c r="D45" s="41"/>
      <c r="E45" s="39"/>
      <c r="F45" s="42"/>
      <c r="G45" s="42"/>
      <c r="H45" s="39"/>
      <c r="I45" s="39"/>
      <c r="J45" s="43"/>
      <c r="K45" s="43"/>
      <c r="L45" s="42"/>
    </row>
    <row r="46" customFormat="false" ht="15" hidden="false" customHeight="false" outlineLevel="0" collapsed="false">
      <c r="A46" s="34"/>
      <c r="B46" s="35"/>
      <c r="C46" s="34"/>
      <c r="D46" s="36"/>
      <c r="E46" s="34"/>
      <c r="F46" s="37"/>
      <c r="G46" s="37"/>
      <c r="H46" s="34"/>
      <c r="I46" s="34"/>
      <c r="J46" s="38"/>
      <c r="K46" s="38"/>
      <c r="L46" s="37"/>
    </row>
    <row r="47" customFormat="false" ht="15" hidden="false" customHeight="false" outlineLevel="0" collapsed="false">
      <c r="A47" s="39"/>
      <c r="B47" s="40"/>
      <c r="C47" s="39"/>
      <c r="D47" s="41"/>
      <c r="E47" s="39"/>
      <c r="F47" s="42"/>
      <c r="G47" s="42"/>
      <c r="H47" s="39"/>
      <c r="I47" s="39"/>
      <c r="J47" s="43"/>
      <c r="K47" s="43"/>
      <c r="L47" s="42"/>
    </row>
    <row r="48" customFormat="false" ht="15" hidden="false" customHeight="false" outlineLevel="0" collapsed="false">
      <c r="A48" s="34"/>
      <c r="B48" s="35"/>
      <c r="C48" s="34"/>
      <c r="D48" s="36"/>
      <c r="E48" s="34"/>
      <c r="F48" s="37"/>
      <c r="G48" s="37"/>
      <c r="H48" s="34"/>
      <c r="I48" s="34"/>
      <c r="J48" s="38"/>
      <c r="K48" s="38"/>
      <c r="L48" s="37"/>
    </row>
    <row r="49" customFormat="false" ht="15" hidden="false" customHeight="false" outlineLevel="0" collapsed="false">
      <c r="A49" s="39"/>
      <c r="B49" s="40"/>
      <c r="C49" s="39"/>
      <c r="D49" s="41"/>
      <c r="E49" s="39"/>
      <c r="F49" s="42"/>
      <c r="G49" s="42"/>
      <c r="H49" s="39"/>
      <c r="I49" s="39"/>
      <c r="J49" s="43"/>
      <c r="K49" s="43"/>
      <c r="L49" s="42"/>
    </row>
    <row r="50" customFormat="false" ht="15" hidden="false" customHeight="false" outlineLevel="0" collapsed="false">
      <c r="A50" s="34"/>
      <c r="B50" s="35"/>
      <c r="C50" s="34"/>
      <c r="D50" s="36"/>
      <c r="E50" s="34"/>
      <c r="F50" s="37"/>
      <c r="G50" s="37"/>
      <c r="H50" s="34"/>
      <c r="I50" s="34"/>
      <c r="J50" s="38"/>
      <c r="K50" s="38"/>
      <c r="L50" s="37"/>
    </row>
    <row r="51" customFormat="false" ht="15" hidden="false" customHeight="false" outlineLevel="0" collapsed="false">
      <c r="A51" s="39"/>
      <c r="B51" s="40"/>
      <c r="C51" s="39"/>
      <c r="D51" s="41"/>
      <c r="E51" s="39"/>
      <c r="F51" s="42"/>
      <c r="G51" s="42"/>
      <c r="H51" s="39"/>
      <c r="I51" s="39"/>
      <c r="J51" s="43"/>
      <c r="K51" s="43"/>
      <c r="L51" s="42"/>
    </row>
    <row r="52" customFormat="false" ht="15" hidden="false" customHeight="false" outlineLevel="0" collapsed="false">
      <c r="A52" s="34"/>
      <c r="B52" s="35"/>
      <c r="C52" s="34"/>
      <c r="D52" s="36"/>
      <c r="E52" s="34"/>
      <c r="F52" s="37"/>
      <c r="G52" s="37"/>
      <c r="H52" s="34"/>
      <c r="I52" s="34"/>
      <c r="J52" s="38"/>
      <c r="K52" s="38"/>
      <c r="L52" s="37"/>
    </row>
    <row r="53" customFormat="false" ht="15" hidden="false" customHeight="false" outlineLevel="0" collapsed="false">
      <c r="A53" s="39"/>
      <c r="B53" s="40"/>
      <c r="C53" s="39"/>
      <c r="D53" s="41"/>
      <c r="E53" s="39"/>
      <c r="F53" s="42"/>
      <c r="G53" s="42"/>
      <c r="H53" s="39"/>
      <c r="I53" s="39"/>
      <c r="J53" s="43"/>
      <c r="K53" s="43"/>
      <c r="L53" s="42"/>
    </row>
    <row r="54" customFormat="false" ht="15" hidden="false" customHeight="false" outlineLevel="0" collapsed="false">
      <c r="A54" s="34"/>
      <c r="B54" s="35"/>
      <c r="C54" s="34"/>
      <c r="D54" s="36"/>
      <c r="E54" s="34"/>
      <c r="F54" s="37"/>
      <c r="G54" s="37"/>
      <c r="H54" s="34"/>
      <c r="I54" s="34"/>
      <c r="J54" s="38"/>
      <c r="K54" s="38"/>
      <c r="L54" s="37"/>
    </row>
    <row r="55" customFormat="false" ht="15" hidden="false" customHeight="false" outlineLevel="0" collapsed="false">
      <c r="A55" s="39"/>
      <c r="B55" s="40"/>
      <c r="C55" s="39"/>
      <c r="D55" s="41"/>
      <c r="E55" s="39"/>
      <c r="F55" s="42"/>
      <c r="G55" s="42"/>
      <c r="H55" s="39"/>
      <c r="I55" s="39"/>
      <c r="J55" s="43"/>
      <c r="K55" s="43"/>
      <c r="L55" s="42"/>
    </row>
    <row r="56" customFormat="false" ht="15" hidden="false" customHeight="false" outlineLevel="0" collapsed="false">
      <c r="A56" s="34"/>
      <c r="B56" s="35"/>
      <c r="C56" s="34"/>
      <c r="D56" s="36"/>
      <c r="E56" s="34"/>
      <c r="F56" s="37"/>
      <c r="G56" s="37"/>
      <c r="H56" s="34"/>
      <c r="I56" s="34"/>
      <c r="J56" s="38"/>
      <c r="K56" s="38"/>
      <c r="L56" s="37"/>
    </row>
    <row r="57" customFormat="false" ht="15" hidden="false" customHeight="false" outlineLevel="0" collapsed="false">
      <c r="A57" s="39"/>
      <c r="B57" s="40"/>
      <c r="C57" s="39"/>
      <c r="D57" s="41"/>
      <c r="E57" s="39"/>
      <c r="F57" s="42"/>
      <c r="G57" s="42"/>
      <c r="H57" s="39"/>
      <c r="I57" s="39"/>
      <c r="J57" s="43"/>
      <c r="K57" s="43"/>
      <c r="L57" s="42"/>
    </row>
    <row r="58" customFormat="false" ht="15" hidden="false" customHeight="false" outlineLevel="0" collapsed="false">
      <c r="A58" s="34"/>
      <c r="B58" s="35"/>
      <c r="C58" s="34"/>
      <c r="D58" s="36"/>
      <c r="E58" s="34"/>
      <c r="F58" s="37"/>
      <c r="G58" s="37"/>
      <c r="H58" s="34"/>
      <c r="I58" s="34"/>
      <c r="J58" s="38"/>
      <c r="K58" s="38"/>
      <c r="L58" s="37"/>
    </row>
    <row r="59" customFormat="false" ht="15" hidden="false" customHeight="false" outlineLevel="0" collapsed="false">
      <c r="A59" s="39"/>
      <c r="B59" s="40"/>
      <c r="C59" s="39"/>
      <c r="D59" s="41"/>
      <c r="E59" s="39"/>
      <c r="F59" s="42"/>
      <c r="G59" s="42"/>
      <c r="H59" s="39"/>
      <c r="I59" s="39"/>
      <c r="J59" s="43"/>
      <c r="K59" s="43"/>
      <c r="L59" s="42"/>
    </row>
    <row r="60" customFormat="false" ht="15" hidden="false" customHeight="false" outlineLevel="0" collapsed="false">
      <c r="A60" s="34"/>
      <c r="B60" s="35"/>
      <c r="C60" s="34"/>
      <c r="D60" s="36"/>
      <c r="E60" s="34"/>
      <c r="F60" s="37"/>
      <c r="G60" s="37"/>
      <c r="H60" s="34"/>
      <c r="I60" s="34"/>
      <c r="J60" s="38"/>
      <c r="K60" s="38"/>
      <c r="L60" s="37"/>
    </row>
    <row r="61" customFormat="false" ht="15" hidden="false" customHeight="false" outlineLevel="0" collapsed="false">
      <c r="A61" s="39"/>
      <c r="B61" s="40"/>
      <c r="C61" s="39"/>
      <c r="D61" s="41"/>
      <c r="E61" s="39"/>
      <c r="F61" s="42"/>
      <c r="G61" s="42"/>
      <c r="H61" s="39"/>
      <c r="I61" s="39"/>
      <c r="J61" s="43"/>
      <c r="K61" s="43"/>
      <c r="L61" s="42"/>
    </row>
  </sheetData>
  <autoFilter ref="A11:L511"/>
  <mergeCells count="22">
    <mergeCell ref="A1:L1"/>
    <mergeCell ref="A2:E2"/>
    <mergeCell ref="G2:L2"/>
    <mergeCell ref="A3:C3"/>
    <mergeCell ref="D3:E3"/>
    <mergeCell ref="G3:I3"/>
    <mergeCell ref="J3:L3"/>
    <mergeCell ref="A4:C4"/>
    <mergeCell ref="D4:E4"/>
    <mergeCell ref="G4:I4"/>
    <mergeCell ref="J4:L4"/>
    <mergeCell ref="A5:C5"/>
    <mergeCell ref="D5:E5"/>
    <mergeCell ref="G5:I5"/>
    <mergeCell ref="J5:L5"/>
    <mergeCell ref="A6:C6"/>
    <mergeCell ref="D6:E6"/>
    <mergeCell ref="G6:I6"/>
    <mergeCell ref="J6:L6"/>
    <mergeCell ref="A7:C7"/>
    <mergeCell ref="D7:E7"/>
    <mergeCell ref="A9:L9"/>
  </mergeCells>
  <conditionalFormatting sqref="E12:E511">
    <cfRule type="cellIs" priority="2" operator="equal" aboveAverage="0" equalAverage="0" bottom="0" percent="0" rank="0" text="" dxfId="7">
      <formula>"Re-Used on Site"</formula>
    </cfRule>
    <cfRule type="cellIs" priority="3" operator="equal" aboveAverage="0" equalAverage="0" bottom="0" percent="0" rank="0" text="" dxfId="7">
      <formula>"Recycled Off-Site"</formula>
    </cfRule>
    <cfRule type="cellIs" priority="4" operator="equal" aboveAverage="0" equalAverage="0" bottom="0" percent="0" rank="0" text="" dxfId="8">
      <formula>"Recovered"</formula>
    </cfRule>
    <cfRule type="cellIs" priority="5" operator="equal" aboveAverage="0" equalAverage="0" bottom="0" percent="0" rank="0" text="" dxfId="9">
      <formula>"Landfill"</formula>
    </cfRule>
  </conditionalFormatting>
  <dataValidations count="2">
    <dataValidation allowBlank="true" errorStyle="stop" operator="between" showDropDown="false" showErrorMessage="false" showInputMessage="false" sqref="C12:C511" type="list">
      <formula1>"Excavated Soil,Concrete / Rubite,Crushed Aggregate,Timber,Steel / Metal,Brickwork,Topsoil,Tarmac / Asphalt,Other"</formula1>
      <formula2>0</formula2>
    </dataValidation>
    <dataValidation allowBlank="true" errorStyle="stop" operator="between" showDropDown="false" showErrorMessage="false" showInputMessage="false" sqref="E12:E511" type="list">
      <formula1>"Re-Used on Site,Recycled Off-Site,Recovered,Landfill"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&amp;CMaterial Re-Use / Recycling Tracker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false" outlineLevel="0" collapsed="false">
      <c r="A1" s="20" t="s">
        <v>89</v>
      </c>
    </row>
    <row r="2" customFormat="false" ht="15" hidden="false" customHeight="false" outlineLevel="0" collapsed="false">
      <c r="A2" s="20"/>
    </row>
    <row r="3" customFormat="false" ht="15" hidden="false" customHeight="false" outlineLevel="0" collapsed="false">
      <c r="A3" s="20" t="s">
        <v>90</v>
      </c>
    </row>
    <row r="4" customFormat="false" ht="15" hidden="false" customHeight="false" outlineLevel="0" collapsed="false">
      <c r="A4" s="20"/>
    </row>
    <row r="5" customFormat="false" ht="15" hidden="false" customHeight="false" outlineLevel="0" collapsed="false">
      <c r="A5" s="20" t="s">
        <v>91</v>
      </c>
    </row>
    <row r="6" customFormat="false" ht="15" hidden="false" customHeight="false" outlineLevel="0" collapsed="false">
      <c r="A6" s="20"/>
    </row>
    <row r="7" customFormat="false" ht="15" hidden="false" customHeight="false" outlineLevel="0" collapsed="false">
      <c r="A7" s="20" t="s">
        <v>92</v>
      </c>
    </row>
    <row r="8" customFormat="false" ht="15" hidden="false" customHeight="false" outlineLevel="0" collapsed="false">
      <c r="A8" s="20"/>
    </row>
    <row r="9" customFormat="false" ht="15" hidden="false" customHeight="false" outlineLevel="0" collapsed="false">
      <c r="A9" s="20" t="s">
        <v>93</v>
      </c>
    </row>
    <row r="10" customFormat="false" ht="15" hidden="false" customHeight="false" outlineLevel="0" collapsed="false">
      <c r="A10" s="20"/>
    </row>
    <row r="11" customFormat="false" ht="15" hidden="false" customHeight="false" outlineLevel="0" collapsed="false">
      <c r="A11" s="20" t="s">
        <v>94</v>
      </c>
    </row>
    <row r="12" customFormat="false" ht="15" hidden="false" customHeight="false" outlineLevel="0" collapsed="false">
      <c r="A12" s="20"/>
    </row>
    <row r="13" customFormat="false" ht="15" hidden="false" customHeight="false" outlineLevel="0" collapsed="false">
      <c r="A13" s="20" t="s">
        <v>95</v>
      </c>
    </row>
    <row r="14" customFormat="false" ht="15" hidden="false" customHeight="false" outlineLevel="0" collapsed="false">
      <c r="A14" s="20"/>
    </row>
    <row r="15" customFormat="false" ht="15" hidden="false" customHeight="false" outlineLevel="0" collapsed="false">
      <c r="A15" s="20" t="s">
        <v>96</v>
      </c>
    </row>
    <row r="16" customFormat="false" ht="15" hidden="false" customHeight="false" outlineLevel="0" collapsed="false">
      <c r="A16" s="20"/>
    </row>
    <row r="17" customFormat="false" ht="15" hidden="false" customHeight="false" outlineLevel="0" collapsed="false">
      <c r="A17" s="20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Environmental</cp:category>
  <dcterms:created xsi:type="dcterms:W3CDTF">2026-03-23T06:54:07Z</dcterms:created>
  <dc:creator>Ebrora Ltd</dc:creator>
  <dc:description>Track material arisings and their re-use, recycling, or disposal outcome with automatic rate calculations for UK construction projects.
Free professional construction management template from Ebrora Ltd. Visit ebrora.com for our full range of tools and templates.</dc:description>
  <cp:keywords>Ebrora construction material re-use recycling circular economy BREEAM waste environmental</cp:keywords>
  <dc:language>en-US</dc:language>
  <cp:lastModifiedBy>Ebrora Ltd</cp:lastModifiedBy>
  <dcterms:modified xsi:type="dcterms:W3CDTF">2026-03-23T06:54:07Z</dcterms:modified>
  <cp:revision>0</cp:revision>
  <dc:subject>Track material arisings and their re-use, recycling, or disposal outcome with automatic rate calculations.</dc:subject>
  <dc:title>Material Re-Use / Recycling Tracker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