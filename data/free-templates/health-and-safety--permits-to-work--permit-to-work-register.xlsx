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11_B52F5856FD24FFB45B73F012DDB78FDAA0FDBD2D" xr6:coauthVersionLast="47" xr6:coauthVersionMax="47" xr10:uidLastSave="{00000000-0000-0000-0000-000000000000}"/>
  <bookViews>
    <workbookView xWindow="0" yWindow="0" windowWidth="16384" windowHeight="8192" tabRatio="500" activeTab="2" xr2:uid="{00000000-000D-0000-FFFF-FFFF00000000}"/>
  </bookViews>
  <sheets>
    <sheet name="Cover" sheetId="1" r:id="rId1"/>
    <sheet name="Instructions" sheetId="2" r:id="rId2"/>
    <sheet name="Permit to Work Register" sheetId="3" r:id="rId3"/>
    <sheet name="Terms of Use" sheetId="4" state="hidden" r:id="rId4"/>
  </sheets>
  <definedNames>
    <definedName name="_xlnm._FilterDatabase" localSheetId="2" hidden="1">'Permit to Work Register'!$A$4:$S$204</definedName>
    <definedName name="_xlnm.Print_Area" localSheetId="0">Cover!$A$1:$H$20</definedName>
    <definedName name="_xlnm.Print_Area" localSheetId="2">'Permit to Work Register'!$A$1:$S$54</definedName>
    <definedName name="PTW_DataTable">'Permit to Work Register'!$A$4:$S$204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04" i="3" l="1"/>
  <c r="J204" i="3"/>
  <c r="A204" i="3"/>
  <c r="R203" i="3"/>
  <c r="J203" i="3"/>
  <c r="A203" i="3"/>
  <c r="R202" i="3"/>
  <c r="J202" i="3"/>
  <c r="A202" i="3"/>
  <c r="R201" i="3"/>
  <c r="J201" i="3"/>
  <c r="A201" i="3"/>
  <c r="R200" i="3"/>
  <c r="J200" i="3"/>
  <c r="A200" i="3"/>
  <c r="R199" i="3"/>
  <c r="J199" i="3"/>
  <c r="A199" i="3"/>
  <c r="R198" i="3"/>
  <c r="J198" i="3"/>
  <c r="A198" i="3"/>
  <c r="R197" i="3"/>
  <c r="J197" i="3"/>
  <c r="A197" i="3"/>
  <c r="R196" i="3"/>
  <c r="J196" i="3"/>
  <c r="A196" i="3"/>
  <c r="R195" i="3"/>
  <c r="J195" i="3"/>
  <c r="A195" i="3"/>
  <c r="R194" i="3"/>
  <c r="J194" i="3"/>
  <c r="A194" i="3"/>
  <c r="R193" i="3"/>
  <c r="J193" i="3"/>
  <c r="A193" i="3"/>
  <c r="R192" i="3"/>
  <c r="J192" i="3"/>
  <c r="A192" i="3"/>
  <c r="R191" i="3"/>
  <c r="J191" i="3"/>
  <c r="A191" i="3"/>
  <c r="R190" i="3"/>
  <c r="J190" i="3"/>
  <c r="A190" i="3"/>
  <c r="R189" i="3"/>
  <c r="J189" i="3"/>
  <c r="A189" i="3"/>
  <c r="R188" i="3"/>
  <c r="J188" i="3"/>
  <c r="A188" i="3"/>
  <c r="R187" i="3"/>
  <c r="J187" i="3"/>
  <c r="A187" i="3"/>
  <c r="R186" i="3"/>
  <c r="J186" i="3"/>
  <c r="A186" i="3"/>
  <c r="R185" i="3"/>
  <c r="J185" i="3"/>
  <c r="A185" i="3"/>
  <c r="R184" i="3"/>
  <c r="J184" i="3"/>
  <c r="A184" i="3"/>
  <c r="R183" i="3"/>
  <c r="J183" i="3"/>
  <c r="A183" i="3"/>
  <c r="R182" i="3"/>
  <c r="J182" i="3"/>
  <c r="A182" i="3"/>
  <c r="R181" i="3"/>
  <c r="J181" i="3"/>
  <c r="A181" i="3"/>
  <c r="R180" i="3"/>
  <c r="J180" i="3"/>
  <c r="A180" i="3"/>
  <c r="R179" i="3"/>
  <c r="J179" i="3"/>
  <c r="A179" i="3"/>
  <c r="R178" i="3"/>
  <c r="J178" i="3"/>
  <c r="A178" i="3"/>
  <c r="R177" i="3"/>
  <c r="J177" i="3"/>
  <c r="A177" i="3"/>
  <c r="R176" i="3"/>
  <c r="J176" i="3"/>
  <c r="A176" i="3"/>
  <c r="R175" i="3"/>
  <c r="J175" i="3"/>
  <c r="A175" i="3"/>
  <c r="R174" i="3"/>
  <c r="J174" i="3"/>
  <c r="A174" i="3"/>
  <c r="R173" i="3"/>
  <c r="J173" i="3"/>
  <c r="A173" i="3"/>
  <c r="R172" i="3"/>
  <c r="J172" i="3"/>
  <c r="A172" i="3"/>
  <c r="R171" i="3"/>
  <c r="J171" i="3"/>
  <c r="A171" i="3"/>
  <c r="R170" i="3"/>
  <c r="J170" i="3"/>
  <c r="A170" i="3"/>
  <c r="R169" i="3"/>
  <c r="J169" i="3"/>
  <c r="A169" i="3"/>
  <c r="R168" i="3"/>
  <c r="J168" i="3"/>
  <c r="A168" i="3"/>
  <c r="R167" i="3"/>
  <c r="J167" i="3"/>
  <c r="A167" i="3"/>
  <c r="R166" i="3"/>
  <c r="J166" i="3"/>
  <c r="A166" i="3"/>
  <c r="R165" i="3"/>
  <c r="J165" i="3"/>
  <c r="A165" i="3"/>
  <c r="R164" i="3"/>
  <c r="J164" i="3"/>
  <c r="A164" i="3"/>
  <c r="R163" i="3"/>
  <c r="J163" i="3"/>
  <c r="A163" i="3"/>
  <c r="R162" i="3"/>
  <c r="J162" i="3"/>
  <c r="A162" i="3"/>
  <c r="R161" i="3"/>
  <c r="J161" i="3"/>
  <c r="A161" i="3"/>
  <c r="R160" i="3"/>
  <c r="J160" i="3"/>
  <c r="A160" i="3"/>
  <c r="R159" i="3"/>
  <c r="J159" i="3"/>
  <c r="A159" i="3"/>
  <c r="R158" i="3"/>
  <c r="J158" i="3"/>
  <c r="A158" i="3"/>
  <c r="R157" i="3"/>
  <c r="J157" i="3"/>
  <c r="A157" i="3"/>
  <c r="R156" i="3"/>
  <c r="J156" i="3"/>
  <c r="A156" i="3"/>
  <c r="R155" i="3"/>
  <c r="J155" i="3"/>
  <c r="A155" i="3"/>
  <c r="R154" i="3"/>
  <c r="J154" i="3"/>
  <c r="A154" i="3"/>
  <c r="R153" i="3"/>
  <c r="J153" i="3"/>
  <c r="A153" i="3"/>
  <c r="R152" i="3"/>
  <c r="J152" i="3"/>
  <c r="A152" i="3"/>
  <c r="R151" i="3"/>
  <c r="J151" i="3"/>
  <c r="A151" i="3"/>
  <c r="R150" i="3"/>
  <c r="J150" i="3"/>
  <c r="A150" i="3"/>
  <c r="R149" i="3"/>
  <c r="J149" i="3"/>
  <c r="A149" i="3"/>
  <c r="R148" i="3"/>
  <c r="J148" i="3"/>
  <c r="A148" i="3"/>
  <c r="R147" i="3"/>
  <c r="J147" i="3"/>
  <c r="A147" i="3"/>
  <c r="R146" i="3"/>
  <c r="J146" i="3"/>
  <c r="A146" i="3"/>
  <c r="R145" i="3"/>
  <c r="J145" i="3"/>
  <c r="A145" i="3"/>
  <c r="R144" i="3"/>
  <c r="J144" i="3"/>
  <c r="A144" i="3"/>
  <c r="R143" i="3"/>
  <c r="J143" i="3"/>
  <c r="A143" i="3"/>
  <c r="R142" i="3"/>
  <c r="J142" i="3"/>
  <c r="A142" i="3"/>
  <c r="R141" i="3"/>
  <c r="J141" i="3"/>
  <c r="A141" i="3"/>
  <c r="R140" i="3"/>
  <c r="J140" i="3"/>
  <c r="A140" i="3"/>
  <c r="R139" i="3"/>
  <c r="J139" i="3"/>
  <c r="A139" i="3"/>
  <c r="R138" i="3"/>
  <c r="J138" i="3"/>
  <c r="A138" i="3"/>
  <c r="R137" i="3"/>
  <c r="J137" i="3"/>
  <c r="A137" i="3"/>
  <c r="R136" i="3"/>
  <c r="J136" i="3"/>
  <c r="A136" i="3"/>
  <c r="R135" i="3"/>
  <c r="J135" i="3"/>
  <c r="A135" i="3"/>
  <c r="R134" i="3"/>
  <c r="J134" i="3"/>
  <c r="A134" i="3"/>
  <c r="R133" i="3"/>
  <c r="J133" i="3"/>
  <c r="A133" i="3"/>
  <c r="R132" i="3"/>
  <c r="J132" i="3"/>
  <c r="A132" i="3"/>
  <c r="R131" i="3"/>
  <c r="J131" i="3"/>
  <c r="A131" i="3"/>
  <c r="R130" i="3"/>
  <c r="J130" i="3"/>
  <c r="A130" i="3"/>
  <c r="R129" i="3"/>
  <c r="J129" i="3"/>
  <c r="A129" i="3"/>
  <c r="R128" i="3"/>
  <c r="J128" i="3"/>
  <c r="A128" i="3"/>
  <c r="R127" i="3"/>
  <c r="J127" i="3"/>
  <c r="A127" i="3"/>
  <c r="R126" i="3"/>
  <c r="J126" i="3"/>
  <c r="A126" i="3"/>
  <c r="R125" i="3"/>
  <c r="J125" i="3"/>
  <c r="A125" i="3"/>
  <c r="R124" i="3"/>
  <c r="J124" i="3"/>
  <c r="A124" i="3"/>
  <c r="R123" i="3"/>
  <c r="J123" i="3"/>
  <c r="A123" i="3"/>
  <c r="R122" i="3"/>
  <c r="J122" i="3"/>
  <c r="A122" i="3"/>
  <c r="R121" i="3"/>
  <c r="J121" i="3"/>
  <c r="A121" i="3"/>
  <c r="R120" i="3"/>
  <c r="J120" i="3"/>
  <c r="A120" i="3"/>
  <c r="R119" i="3"/>
  <c r="J119" i="3"/>
  <c r="A119" i="3"/>
  <c r="R118" i="3"/>
  <c r="J118" i="3"/>
  <c r="A118" i="3"/>
  <c r="R117" i="3"/>
  <c r="J117" i="3"/>
  <c r="A117" i="3"/>
  <c r="R116" i="3"/>
  <c r="J116" i="3"/>
  <c r="A116" i="3"/>
  <c r="R115" i="3"/>
  <c r="J115" i="3"/>
  <c r="A115" i="3"/>
  <c r="R114" i="3"/>
  <c r="J114" i="3"/>
  <c r="A114" i="3"/>
  <c r="R113" i="3"/>
  <c r="J113" i="3"/>
  <c r="A113" i="3"/>
  <c r="R112" i="3"/>
  <c r="J112" i="3"/>
  <c r="A112" i="3"/>
  <c r="R111" i="3"/>
  <c r="J111" i="3"/>
  <c r="A111" i="3"/>
  <c r="R110" i="3"/>
  <c r="J110" i="3"/>
  <c r="A110" i="3"/>
  <c r="R109" i="3"/>
  <c r="J109" i="3"/>
  <c r="A109" i="3"/>
  <c r="R108" i="3"/>
  <c r="J108" i="3"/>
  <c r="A108" i="3"/>
  <c r="R107" i="3"/>
  <c r="J107" i="3"/>
  <c r="A107" i="3"/>
  <c r="R106" i="3"/>
  <c r="J106" i="3"/>
  <c r="A106" i="3"/>
  <c r="R105" i="3"/>
  <c r="J105" i="3"/>
  <c r="A105" i="3"/>
  <c r="R104" i="3"/>
  <c r="J104" i="3"/>
  <c r="A104" i="3"/>
  <c r="R103" i="3"/>
  <c r="J103" i="3"/>
  <c r="A103" i="3"/>
  <c r="R102" i="3"/>
  <c r="J102" i="3"/>
  <c r="A102" i="3"/>
  <c r="R101" i="3"/>
  <c r="J101" i="3"/>
  <c r="A101" i="3"/>
  <c r="R100" i="3"/>
  <c r="J100" i="3"/>
  <c r="A100" i="3"/>
  <c r="R99" i="3"/>
  <c r="J99" i="3"/>
  <c r="A99" i="3"/>
  <c r="R98" i="3"/>
  <c r="J98" i="3"/>
  <c r="A98" i="3"/>
  <c r="R97" i="3"/>
  <c r="J97" i="3"/>
  <c r="A97" i="3"/>
  <c r="R96" i="3"/>
  <c r="J96" i="3"/>
  <c r="A96" i="3"/>
  <c r="R95" i="3"/>
  <c r="J95" i="3"/>
  <c r="A95" i="3"/>
  <c r="R94" i="3"/>
  <c r="J94" i="3"/>
  <c r="A94" i="3"/>
  <c r="R93" i="3"/>
  <c r="J93" i="3"/>
  <c r="A93" i="3"/>
  <c r="R92" i="3"/>
  <c r="J92" i="3"/>
  <c r="A92" i="3"/>
  <c r="R91" i="3"/>
  <c r="J91" i="3"/>
  <c r="A91" i="3"/>
  <c r="R90" i="3"/>
  <c r="J90" i="3"/>
  <c r="A90" i="3"/>
  <c r="R89" i="3"/>
  <c r="J89" i="3"/>
  <c r="A89" i="3"/>
  <c r="R88" i="3"/>
  <c r="J88" i="3"/>
  <c r="A88" i="3"/>
  <c r="R87" i="3"/>
  <c r="J87" i="3"/>
  <c r="A87" i="3"/>
  <c r="R86" i="3"/>
  <c r="J86" i="3"/>
  <c r="A86" i="3"/>
  <c r="R85" i="3"/>
  <c r="J85" i="3"/>
  <c r="A85" i="3"/>
  <c r="R84" i="3"/>
  <c r="J84" i="3"/>
  <c r="A84" i="3"/>
  <c r="R83" i="3"/>
  <c r="J83" i="3"/>
  <c r="A83" i="3"/>
  <c r="R82" i="3"/>
  <c r="J82" i="3"/>
  <c r="A82" i="3"/>
  <c r="R81" i="3"/>
  <c r="J81" i="3"/>
  <c r="A81" i="3"/>
  <c r="R80" i="3"/>
  <c r="J80" i="3"/>
  <c r="A80" i="3"/>
  <c r="R79" i="3"/>
  <c r="J79" i="3"/>
  <c r="A79" i="3"/>
  <c r="R78" i="3"/>
  <c r="J78" i="3"/>
  <c r="A78" i="3"/>
  <c r="R77" i="3"/>
  <c r="J77" i="3"/>
  <c r="A77" i="3"/>
  <c r="R76" i="3"/>
  <c r="J76" i="3"/>
  <c r="A76" i="3"/>
  <c r="R75" i="3"/>
  <c r="J75" i="3"/>
  <c r="A75" i="3"/>
  <c r="R74" i="3"/>
  <c r="J74" i="3"/>
  <c r="A74" i="3"/>
  <c r="R73" i="3"/>
  <c r="J73" i="3"/>
  <c r="A73" i="3"/>
  <c r="R72" i="3"/>
  <c r="J72" i="3"/>
  <c r="A72" i="3"/>
  <c r="R71" i="3"/>
  <c r="J71" i="3"/>
  <c r="A71" i="3"/>
  <c r="R70" i="3"/>
  <c r="J70" i="3"/>
  <c r="A70" i="3"/>
  <c r="R69" i="3"/>
  <c r="J69" i="3"/>
  <c r="A69" i="3"/>
  <c r="R68" i="3"/>
  <c r="J68" i="3"/>
  <c r="A68" i="3"/>
  <c r="R67" i="3"/>
  <c r="J67" i="3"/>
  <c r="A67" i="3"/>
  <c r="R66" i="3"/>
  <c r="J66" i="3"/>
  <c r="A66" i="3"/>
  <c r="R65" i="3"/>
  <c r="J65" i="3"/>
  <c r="A65" i="3"/>
  <c r="R64" i="3"/>
  <c r="J64" i="3"/>
  <c r="A64" i="3"/>
  <c r="R63" i="3"/>
  <c r="J63" i="3"/>
  <c r="A63" i="3"/>
  <c r="R62" i="3"/>
  <c r="J62" i="3"/>
  <c r="A62" i="3"/>
  <c r="R61" i="3"/>
  <c r="J61" i="3"/>
  <c r="A61" i="3"/>
  <c r="R60" i="3"/>
  <c r="J60" i="3"/>
  <c r="A60" i="3"/>
  <c r="R59" i="3"/>
  <c r="J59" i="3"/>
  <c r="A59" i="3"/>
  <c r="R58" i="3"/>
  <c r="J58" i="3"/>
  <c r="A58" i="3"/>
  <c r="R57" i="3"/>
  <c r="J57" i="3"/>
  <c r="A57" i="3"/>
  <c r="R56" i="3"/>
  <c r="J56" i="3"/>
  <c r="A56" i="3"/>
  <c r="R55" i="3"/>
  <c r="J55" i="3"/>
  <c r="A55" i="3"/>
  <c r="R54" i="3"/>
  <c r="J54" i="3"/>
  <c r="A54" i="3"/>
  <c r="R53" i="3"/>
  <c r="J53" i="3"/>
  <c r="A53" i="3"/>
  <c r="R52" i="3"/>
  <c r="J52" i="3"/>
  <c r="A52" i="3"/>
  <c r="R51" i="3"/>
  <c r="J51" i="3"/>
  <c r="A51" i="3"/>
  <c r="R50" i="3"/>
  <c r="J50" i="3"/>
  <c r="A50" i="3"/>
  <c r="R49" i="3"/>
  <c r="J49" i="3"/>
  <c r="A49" i="3"/>
  <c r="R48" i="3"/>
  <c r="J48" i="3"/>
  <c r="A48" i="3"/>
  <c r="R47" i="3"/>
  <c r="J47" i="3"/>
  <c r="A47" i="3"/>
  <c r="R46" i="3"/>
  <c r="J46" i="3"/>
  <c r="A46" i="3"/>
  <c r="R45" i="3"/>
  <c r="J45" i="3"/>
  <c r="A45" i="3"/>
  <c r="R44" i="3"/>
  <c r="J44" i="3"/>
  <c r="A44" i="3"/>
  <c r="R43" i="3"/>
  <c r="J43" i="3"/>
  <c r="A43" i="3"/>
  <c r="R42" i="3"/>
  <c r="J42" i="3"/>
  <c r="A42" i="3"/>
  <c r="R41" i="3"/>
  <c r="J41" i="3"/>
  <c r="A41" i="3"/>
  <c r="R40" i="3"/>
  <c r="J40" i="3"/>
  <c r="A40" i="3"/>
  <c r="R39" i="3"/>
  <c r="J39" i="3"/>
  <c r="A39" i="3"/>
  <c r="R38" i="3"/>
  <c r="J38" i="3"/>
  <c r="A38" i="3"/>
  <c r="R37" i="3"/>
  <c r="J37" i="3"/>
  <c r="A37" i="3"/>
  <c r="R36" i="3"/>
  <c r="J36" i="3"/>
  <c r="A36" i="3"/>
  <c r="R35" i="3"/>
  <c r="J35" i="3"/>
  <c r="A35" i="3"/>
  <c r="R34" i="3"/>
  <c r="J34" i="3"/>
  <c r="A34" i="3"/>
  <c r="R33" i="3"/>
  <c r="J33" i="3"/>
  <c r="A33" i="3"/>
  <c r="R32" i="3"/>
  <c r="J32" i="3"/>
  <c r="A32" i="3"/>
  <c r="R31" i="3"/>
  <c r="J31" i="3"/>
  <c r="A31" i="3"/>
  <c r="R30" i="3"/>
  <c r="J30" i="3"/>
  <c r="A30" i="3"/>
  <c r="R29" i="3"/>
  <c r="J29" i="3"/>
  <c r="A29" i="3"/>
  <c r="R28" i="3"/>
  <c r="J28" i="3"/>
  <c r="A28" i="3"/>
  <c r="R27" i="3"/>
  <c r="J27" i="3"/>
  <c r="A27" i="3"/>
  <c r="R26" i="3"/>
  <c r="J26" i="3"/>
  <c r="A26" i="3"/>
  <c r="R25" i="3"/>
  <c r="J25" i="3"/>
  <c r="A25" i="3"/>
  <c r="R24" i="3"/>
  <c r="J24" i="3"/>
  <c r="A24" i="3"/>
  <c r="R23" i="3"/>
  <c r="J23" i="3"/>
  <c r="A23" i="3"/>
  <c r="R22" i="3"/>
  <c r="J22" i="3"/>
  <c r="A22" i="3"/>
  <c r="R21" i="3"/>
  <c r="J21" i="3"/>
  <c r="A21" i="3"/>
  <c r="R20" i="3"/>
  <c r="J20" i="3"/>
  <c r="A20" i="3"/>
  <c r="R19" i="3"/>
  <c r="J19" i="3"/>
  <c r="A19" i="3"/>
  <c r="R18" i="3"/>
  <c r="J18" i="3"/>
  <c r="A18" i="3"/>
  <c r="R17" i="3"/>
  <c r="J17" i="3"/>
  <c r="A17" i="3"/>
  <c r="R16" i="3"/>
  <c r="J16" i="3"/>
  <c r="A16" i="3"/>
  <c r="R15" i="3"/>
  <c r="J15" i="3"/>
  <c r="A15" i="3"/>
  <c r="R14" i="3"/>
  <c r="J14" i="3"/>
  <c r="A14" i="3"/>
  <c r="R13" i="3"/>
  <c r="J13" i="3"/>
  <c r="A13" i="3"/>
  <c r="R12" i="3"/>
  <c r="J12" i="3"/>
  <c r="A12" i="3"/>
  <c r="R11" i="3"/>
  <c r="J11" i="3"/>
  <c r="A11" i="3"/>
  <c r="R10" i="3"/>
  <c r="J10" i="3"/>
  <c r="A10" i="3"/>
  <c r="R9" i="3"/>
  <c r="J9" i="3"/>
  <c r="A9" i="3"/>
  <c r="R8" i="3"/>
  <c r="J8" i="3"/>
  <c r="A8" i="3"/>
  <c r="R7" i="3"/>
  <c r="J7" i="3"/>
  <c r="A7" i="3"/>
  <c r="R6" i="3"/>
  <c r="J6" i="3"/>
  <c r="A6" i="3"/>
  <c r="R5" i="3"/>
  <c r="J5" i="3"/>
  <c r="A5" i="3"/>
  <c r="E1" i="3"/>
  <c r="K1" i="3"/>
  <c r="Q1" i="3"/>
  <c r="N1" i="3"/>
  <c r="H1" i="3"/>
</calcChain>
</file>

<file path=xl/sharedStrings.xml><?xml version="1.0" encoding="utf-8"?>
<sst xmlns="http://schemas.openxmlformats.org/spreadsheetml/2006/main" count="126" uniqueCount="119">
  <si>
    <t>EBRORA</t>
  </si>
  <si>
    <t>ebrora.com</t>
  </si>
  <si>
    <t>Permit to Work Register</t>
  </si>
  <si>
    <t>Track, manage, and close out all permits to work on site — hot works, confined spaces, excavations, working at height, and more.</t>
  </si>
  <si>
    <t>This is a free template from Ebrora. For our full range of professional-grade construction management tools, visit ebrora.com</t>
  </si>
  <si>
    <t>© Ebrora 2026 — All rights reserved</t>
  </si>
  <si>
    <t>How to Use This Template</t>
  </si>
  <si>
    <t>Getting Started</t>
  </si>
  <si>
    <t>1.</t>
  </si>
  <si>
    <t>Navigate to the 'Permit to Work Register' sheet to begin logging permits.</t>
  </si>
  <si>
    <t>2.</t>
  </si>
  <si>
    <t>Each row represents one permit to work. Add a new row for every permit issued on site.</t>
  </si>
  <si>
    <t>3.</t>
  </si>
  <si>
    <t>Select the permit type from the dropdown — Hot Works, Confined Space, Excavation, Working at Height, Electrical, Demolition, LOLER/Lifting, or Other.</t>
  </si>
  <si>
    <t>4.</t>
  </si>
  <si>
    <t>Enter a clear description of works, the exact location on site, and the name of the person requesting the permit.</t>
  </si>
  <si>
    <t>5.</t>
  </si>
  <si>
    <t>Record the issuing authority (competent person), the date issued, and the validity period (Valid From / Valid To).</t>
  </si>
  <si>
    <t>6.</t>
  </si>
  <si>
    <t>The 'Duration (Days)' and 'Days Until Expiry' columns calculate automatically — do not edit these.</t>
  </si>
  <si>
    <t>7.</t>
  </si>
  <si>
    <t>Reference the associated risk assessment and method statement numbers so auditors can cross-check.</t>
  </si>
  <si>
    <t>8.</t>
  </si>
  <si>
    <t>When a permit is completed, update the status to 'Closed', enter the closure date and the name of the person closing it, and confirm the physical permit was returned.</t>
  </si>
  <si>
    <t>9.</t>
  </si>
  <si>
    <t>Use the summary dashboard at the top of the data sheet to monitor active, closed, expired, and total permits at a glance.</t>
  </si>
  <si>
    <t>Colour Key</t>
  </si>
  <si>
    <t>Light teal cells (#E8F6F7) — Editable input cells. Enter your data here.</t>
  </si>
  <si>
    <t>Dark navy header row — Column headings. Do not edit.</t>
  </si>
  <si>
    <t>Green fill — Permit status is 'Closed' (safely completed).</t>
  </si>
  <si>
    <t>Amber fill — Permit status is 'Active' or 'Suspended', or expiry is approaching (3 days or fewer).</t>
  </si>
  <si>
    <t>Red fill — Permit status is 'Expired' or 'Cancelled', or expiry has passed.</t>
  </si>
  <si>
    <t>Tips</t>
  </si>
  <si>
    <t>Never allow works to proceed without a valid, in-date permit. Use the 'Days Until Expiry' column to catch permits about to lapse.</t>
  </si>
  <si>
    <t>Ensure the physical permit document is returned and signed off before marking as 'Closed' — the 'Permit Returned' column tracks this.</t>
  </si>
  <si>
    <t>Review this register at every morning briefing to confirm which permits are active and which need renewing or closing out.</t>
  </si>
  <si>
    <t>PERMIT TO WORK REGISTER</t>
  </si>
  <si>
    <t>Total Permits:</t>
  </si>
  <si>
    <t>Active:</t>
  </si>
  <si>
    <t>Closed:</t>
  </si>
  <si>
    <t>Expired/Cancelled:</t>
  </si>
  <si>
    <t>% Closed:</t>
  </si>
  <si>
    <t>Permit No.</t>
  </si>
  <si>
    <t>Permit Type</t>
  </si>
  <si>
    <t>Description of Works</t>
  </si>
  <si>
    <t>Location on Site</t>
  </si>
  <si>
    <t>Requested By</t>
  </si>
  <si>
    <t>Issuing Authority</t>
  </si>
  <si>
    <t>Date Issued</t>
  </si>
  <si>
    <t>Valid From</t>
  </si>
  <si>
    <t>Valid To</t>
  </si>
  <si>
    <t>Duration (Days)</t>
  </si>
  <si>
    <t>Permit Status</t>
  </si>
  <si>
    <t>Risk Assessment Ref</t>
  </si>
  <si>
    <t>Method Statement Ref</t>
  </si>
  <si>
    <t>Specific Controls / Conditions</t>
  </si>
  <si>
    <t>Date Closed</t>
  </si>
  <si>
    <t>Closed By</t>
  </si>
  <si>
    <t>Permit Returned</t>
  </si>
  <si>
    <t>Days Until Expiry</t>
  </si>
  <si>
    <t>Notes / Comments</t>
  </si>
  <si>
    <t>Hot Works</t>
  </si>
  <si>
    <t>Cutting and welding of steel beams at roof level — Block A steelwork connections</t>
  </si>
  <si>
    <t>Block A — Roof Level, Gridline 4-6</t>
  </si>
  <si>
    <t>Mike Brennan</t>
  </si>
  <si>
    <t>David Clarke (Site Manager)</t>
  </si>
  <si>
    <t>Active</t>
  </si>
  <si>
    <t>RA-2026-041</t>
  </si>
  <si>
    <t>MS-2026-019</t>
  </si>
  <si>
    <t>Fire watch maintained for 60 min after works cease. Extinguisher within 2m at all times. Hot work screen erected.</t>
  </si>
  <si>
    <t>No</t>
  </si>
  <si>
    <t>Confined Space</t>
  </si>
  <si>
    <t>Entry into attenuation tank for internal inspection and silt removal</t>
  </si>
  <si>
    <t>External Works — Attenuation Tank AT-01</t>
  </si>
  <si>
    <t>Chris Woodward</t>
  </si>
  <si>
    <t>Closed</t>
  </si>
  <si>
    <t>RA-2026-038</t>
  </si>
  <si>
    <t>MS-2026-017</t>
  </si>
  <si>
    <t>Continuous gas monitoring. Tripod and winch at entry. Two-person standby team. Radio comms.</t>
  </si>
  <si>
    <t>David Clarke</t>
  </si>
  <si>
    <t>Yes</t>
  </si>
  <si>
    <t>Tank cleared. No defects found.</t>
  </si>
  <si>
    <t>Excavation</t>
  </si>
  <si>
    <t>Trench excavation for foul drainage run from MH4 to MH7 — 2.1m depth</t>
  </si>
  <si>
    <t>Phase 2 Drainage — South Elevation</t>
  </si>
  <si>
    <t>Sarah Ahmed</t>
  </si>
  <si>
    <t>James Thornton (Senior Engineer)</t>
  </si>
  <si>
    <t>RA-2026-035</t>
  </si>
  <si>
    <t>MS-2026-015</t>
  </si>
  <si>
    <t>Trench support installed before entry. Banksman for plant operations. Exclusion zone 2m from edge. CAT &amp; Genny sweep completed.</t>
  </si>
  <si>
    <t>Utility survey confirmed no live services in trench alignment.</t>
  </si>
  <si>
    <t>Working at Height</t>
  </si>
  <si>
    <t>Scaffold erection and cladding installation — Block C east elevation</t>
  </si>
  <si>
    <t>Block C — East Elevation, All Levels</t>
  </si>
  <si>
    <t>Tom Fletcher</t>
  </si>
  <si>
    <t>Expired</t>
  </si>
  <si>
    <t>RA-2026-030</t>
  </si>
  <si>
    <t>MS-2026-012</t>
  </si>
  <si>
    <t>Full scaffold inspection by CISRS cardholder before each shift. Harness required above 4m. Debris netting on all elevations.</t>
  </si>
  <si>
    <t>Permit expired — renewal required before works resume.</t>
  </si>
  <si>
    <t>Electrical</t>
  </si>
  <si>
    <t>Isolation and testing of LV distribution board DB-03 for circuit modifications</t>
  </si>
  <si>
    <t>Block B — Electrical Riser, Level 1</t>
  </si>
  <si>
    <t>Ryan Gallagher</t>
  </si>
  <si>
    <t>Neil Parsons (Authorised Person)</t>
  </si>
  <si>
    <t>RA-2026-039</t>
  </si>
  <si>
    <t>MS-2026-018</t>
  </si>
  <si>
    <t>Lock-off and prove dead procedure. Personal padlock on isolator. Permit holder and AP only. Test equipment calibrated.</t>
  </si>
  <si>
    <t>Neil Parsons</t>
  </si>
  <si>
    <t>Isolation confirmed dead. Circuit modifications completed and tested.</t>
  </si>
  <si>
    <t>EBRORA — TERMS OF USE</t>
  </si>
  <si>
    <t>This template is provided free of charge by Ebrora (ebrora.com) for personal and professional use.</t>
  </si>
  <si>
    <t>1. LICENCE: You may use this template for your own projects. You may not resell, redistribute, or claim authorship of this template.</t>
  </si>
  <si>
    <t>2. NO WARRANTY: This template is provided "as is" without warranty of any kind. Ebrora accepts no liability for errors, omissions, or losses arising from use of this template.</t>
  </si>
  <si>
    <t>3. INTELLECTUAL PROPERTY: All design, layout, branding, and content remain the intellectual property of Ebrora.</t>
  </si>
  <si>
    <t>4. MODIFICATIONS: You may modify this template for your own use. Modified versions may not be distributed or sold.</t>
  </si>
  <si>
    <t>5. ATTRIBUTION: If you share outputs generated using this template, attribution to Ebrora (ebrora.com) is appreciated but not required.</t>
  </si>
  <si>
    <t>6. SUPPORT: For queries, feedback, or to report errors, contact support@ebrora.com.</t>
  </si>
  <si>
    <t>For our full range of professional construction management tools, visit ebrora.com.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</si>
</sst>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36"/>
      <color rgb="FFFFFFFF"/>
      <name val="Calibri"/>
      <charset val="1"/>
    </font>
    <font>
      <sz val="12"/>
      <color rgb="FF2AABB3"/>
      <name val="Calibri"/>
      <charset val="1"/>
    </font>
    <font>
      <b/>
      <sz val="28"/>
      <color rgb="FFFFFFFF"/>
      <name val="Calibri"/>
      <charset val="1"/>
    </font>
    <font>
      <sz val="12"/>
      <color rgb="FFFFFFFF"/>
      <name val="Calibri"/>
      <charset val="1"/>
    </font>
    <font>
      <sz val="11"/>
      <color rgb="FF1B2A4A"/>
      <name val="Calibri"/>
      <charset val="1"/>
    </font>
    <font>
      <i/>
      <sz val="9"/>
      <color rgb="FF8C8C8C"/>
      <name val="Calibri"/>
      <charset val="1"/>
    </font>
    <font>
      <b/>
      <sz val="14"/>
      <color rgb="FF1B2A4A"/>
      <name val="Calibri"/>
      <charset val="1"/>
    </font>
    <font>
      <sz val="10"/>
      <color rgb="FF1B2A4A"/>
      <name val="Calibri"/>
      <charset val="1"/>
    </font>
    <font>
      <b/>
      <sz val="11"/>
      <color rgb="FF2AABB3"/>
      <name val="Calibri"/>
      <charset val="1"/>
    </font>
    <font>
      <b/>
      <sz val="10"/>
      <color rgb="FF1B2A4A"/>
      <name val="Calibri"/>
      <charset val="1"/>
    </font>
    <font>
      <b/>
      <sz val="16"/>
      <color rgb="FF1B2A4A"/>
      <name val="Calibri"/>
      <charset val="1"/>
    </font>
    <font>
      <b/>
      <sz val="11"/>
      <color rgb="FFFFFFFF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</fills>
  <borders count="4">
    <border>
      <left/>
      <right/>
      <top/>
      <bottom/>
      <diagonal/>
    </border>
    <border>
      <left style="thin">
        <color rgb="FF2AABB3"/>
      </left>
      <right style="thin">
        <color rgb="FF2AABB3"/>
      </right>
      <top style="thin">
        <color rgb="FF2AABB3"/>
      </top>
      <bottom style="thin">
        <color rgb="FF2AABB3"/>
      </bottom>
      <diagonal/>
    </border>
    <border>
      <left/>
      <right/>
      <top/>
      <bottom style="thin">
        <color rgb="FF2AABB3"/>
      </bottom>
      <diagonal/>
    </border>
    <border>
      <left/>
      <right style="hair">
        <color rgb="FF8C8C8C"/>
      </right>
      <top/>
      <bottom style="hair">
        <color rgb="FF8C8C8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1" fillId="0" borderId="0" xfId="0" applyFont="1" applyBorder="1" applyAlignment="1">
      <alignment horizontal="left" vertical="center"/>
    </xf>
    <xf numFmtId="0" fontId="9" fillId="0" borderId="0" xfId="0" applyFont="1" applyBorder="1"/>
    <xf numFmtId="0" fontId="8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/>
    </xf>
    <xf numFmtId="0" fontId="6" fillId="3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3" borderId="0" xfId="0" applyFill="1" applyBorder="1"/>
    <xf numFmtId="0" fontId="4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2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3" borderId="0" xfId="0" applyFill="1"/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right" vertical="center"/>
    </xf>
    <xf numFmtId="0" fontId="9" fillId="4" borderId="1" xfId="0" applyFont="1" applyFill="1" applyBorder="1" applyAlignment="1">
      <alignment horizontal="center" vertical="center"/>
    </xf>
    <xf numFmtId="9" fontId="9" fillId="4" borderId="1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 wrapText="1"/>
    </xf>
    <xf numFmtId="14" fontId="8" fillId="4" borderId="3" xfId="0" applyNumberFormat="1" applyFont="1" applyFill="1" applyBorder="1" applyAlignment="1">
      <alignment horizontal="center" vertical="center"/>
    </xf>
    <xf numFmtId="1" fontId="8" fillId="3" borderId="3" xfId="0" applyNumberFormat="1" applyFont="1" applyFill="1" applyBorder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10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  <pageSetUpPr fitToPage="1"/>
  </sheetPr>
  <dimension ref="A1:H24"/>
  <sheetViews>
    <sheetView showGridLines="0" zoomScaleNormal="100" workbookViewId="0"/>
  </sheetViews>
  <sheetFormatPr defaultColWidth="8.7421875" defaultRowHeight="15" x14ac:dyDescent="0.2"/>
  <cols>
    <col min="1" max="8" width="13.98828125" customWidth="1"/>
  </cols>
  <sheetData>
    <row r="1" spans="1:8" ht="1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</row>
    <row r="2" spans="1:8" x14ac:dyDescent="0.2">
      <c r="A2" s="12"/>
      <c r="B2" s="12"/>
      <c r="C2" s="12"/>
      <c r="D2" s="12"/>
      <c r="E2" s="12"/>
      <c r="F2" s="12"/>
      <c r="G2" s="12"/>
      <c r="H2" s="12"/>
    </row>
    <row r="3" spans="1:8" x14ac:dyDescent="0.2">
      <c r="A3" s="12"/>
      <c r="B3" s="12"/>
      <c r="C3" s="12"/>
      <c r="D3" s="12"/>
      <c r="E3" s="12"/>
      <c r="F3" s="12"/>
      <c r="G3" s="12"/>
      <c r="H3" s="12"/>
    </row>
    <row r="4" spans="1:8" ht="15" customHeight="1" x14ac:dyDescent="0.2">
      <c r="A4" s="11" t="s">
        <v>1</v>
      </c>
      <c r="B4" s="11"/>
      <c r="C4" s="11"/>
      <c r="D4" s="11"/>
      <c r="E4" s="11"/>
      <c r="F4" s="11"/>
      <c r="G4" s="11"/>
      <c r="H4" s="11"/>
    </row>
    <row r="5" spans="1:8" x14ac:dyDescent="0.2">
      <c r="A5" s="10"/>
      <c r="B5" s="10"/>
      <c r="C5" s="10"/>
      <c r="D5" s="10"/>
      <c r="E5" s="10"/>
      <c r="F5" s="10"/>
      <c r="G5" s="10"/>
      <c r="H5" s="10"/>
    </row>
    <row r="6" spans="1:8" ht="15" customHeight="1" x14ac:dyDescent="0.2">
      <c r="A6" s="9" t="s">
        <v>2</v>
      </c>
      <c r="B6" s="9"/>
      <c r="C6" s="9"/>
      <c r="D6" s="9"/>
      <c r="E6" s="9"/>
      <c r="F6" s="9"/>
      <c r="G6" s="9"/>
      <c r="H6" s="9"/>
    </row>
    <row r="7" spans="1:8" x14ac:dyDescent="0.2">
      <c r="A7" s="9"/>
      <c r="B7" s="9"/>
      <c r="C7" s="9"/>
      <c r="D7" s="9"/>
      <c r="E7" s="9"/>
      <c r="F7" s="9"/>
      <c r="G7" s="9"/>
      <c r="H7" s="9"/>
    </row>
    <row r="8" spans="1:8" x14ac:dyDescent="0.2">
      <c r="A8" s="9"/>
      <c r="B8" s="9"/>
      <c r="C8" s="9"/>
      <c r="D8" s="9"/>
      <c r="E8" s="9"/>
      <c r="F8" s="9"/>
      <c r="G8" s="9"/>
      <c r="H8" s="9"/>
    </row>
    <row r="9" spans="1:8" x14ac:dyDescent="0.2">
      <c r="A9" s="10"/>
      <c r="B9" s="10"/>
      <c r="C9" s="10"/>
      <c r="D9" s="10"/>
      <c r="E9" s="10"/>
      <c r="F9" s="10"/>
      <c r="G9" s="10"/>
      <c r="H9" s="10"/>
    </row>
    <row r="10" spans="1:8" ht="15" customHeight="1" x14ac:dyDescent="0.2">
      <c r="A10" s="8" t="s">
        <v>3</v>
      </c>
      <c r="B10" s="8"/>
      <c r="C10" s="8"/>
      <c r="D10" s="8"/>
      <c r="E10" s="8"/>
      <c r="F10" s="8"/>
      <c r="G10" s="8"/>
      <c r="H10" s="8"/>
    </row>
    <row r="11" spans="1:8" x14ac:dyDescent="0.2">
      <c r="A11" s="8"/>
      <c r="B11" s="8"/>
      <c r="C11" s="8"/>
      <c r="D11" s="8"/>
      <c r="E11" s="8"/>
      <c r="F11" s="8"/>
      <c r="G11" s="8"/>
      <c r="H11" s="8"/>
    </row>
    <row r="12" spans="1:8" x14ac:dyDescent="0.2">
      <c r="A12" s="7"/>
      <c r="B12" s="7"/>
      <c r="C12" s="7"/>
      <c r="D12" s="7"/>
      <c r="E12" s="7"/>
      <c r="F12" s="7"/>
      <c r="G12" s="7"/>
      <c r="H12" s="7"/>
    </row>
    <row r="13" spans="1:8" x14ac:dyDescent="0.2">
      <c r="A13" s="7"/>
      <c r="B13" s="7"/>
      <c r="C13" s="7"/>
      <c r="D13" s="7"/>
      <c r="E13" s="7"/>
      <c r="F13" s="7"/>
      <c r="G13" s="7"/>
      <c r="H13" s="7"/>
    </row>
    <row r="14" spans="1:8" ht="15" customHeight="1" x14ac:dyDescent="0.2">
      <c r="A14" s="6" t="s">
        <v>4</v>
      </c>
      <c r="B14" s="6"/>
      <c r="C14" s="6"/>
      <c r="D14" s="6"/>
      <c r="E14" s="6"/>
      <c r="F14" s="6"/>
      <c r="G14" s="6"/>
      <c r="H14" s="6"/>
    </row>
    <row r="15" spans="1:8" x14ac:dyDescent="0.2">
      <c r="A15" s="6"/>
      <c r="B15" s="6"/>
      <c r="C15" s="6"/>
      <c r="D15" s="6"/>
      <c r="E15" s="6"/>
      <c r="F15" s="6"/>
      <c r="G15" s="6"/>
      <c r="H15" s="6"/>
    </row>
    <row r="16" spans="1:8" x14ac:dyDescent="0.2">
      <c r="A16" s="6"/>
      <c r="B16" s="6"/>
      <c r="C16" s="6"/>
      <c r="D16" s="6"/>
      <c r="E16" s="6"/>
      <c r="F16" s="6"/>
      <c r="G16" s="6"/>
      <c r="H16" s="6"/>
    </row>
    <row r="17" spans="1:8" x14ac:dyDescent="0.2">
      <c r="A17" s="6"/>
      <c r="B17" s="6"/>
      <c r="C17" s="6"/>
      <c r="D17" s="6"/>
      <c r="E17" s="6"/>
      <c r="F17" s="6"/>
      <c r="G17" s="6"/>
      <c r="H17" s="6"/>
    </row>
    <row r="18" spans="1:8" x14ac:dyDescent="0.2">
      <c r="A18" s="7"/>
      <c r="B18" s="7"/>
      <c r="C18" s="7"/>
      <c r="D18" s="7"/>
      <c r="E18" s="7"/>
      <c r="F18" s="7"/>
      <c r="G18" s="7"/>
      <c r="H18" s="7"/>
    </row>
    <row r="19" spans="1:8" ht="15" customHeight="1" x14ac:dyDescent="0.2">
      <c r="A19" s="5" t="s">
        <v>5</v>
      </c>
      <c r="B19" s="5"/>
      <c r="C19" s="5"/>
      <c r="D19" s="5"/>
      <c r="E19" s="5"/>
      <c r="F19" s="5"/>
      <c r="G19" s="5"/>
      <c r="H19" s="5"/>
    </row>
    <row r="20" spans="1:8" x14ac:dyDescent="0.2">
      <c r="A20" s="7"/>
      <c r="B20" s="7"/>
      <c r="C20" s="7"/>
      <c r="D20" s="7"/>
      <c r="E20" s="7"/>
      <c r="F20" s="7"/>
      <c r="G20" s="7"/>
      <c r="H20" s="7"/>
    </row>
    <row r="21" spans="1:8" x14ac:dyDescent="0.2">
      <c r="A21" s="13"/>
      <c r="B21" s="13"/>
      <c r="C21" s="13"/>
      <c r="D21" s="13"/>
      <c r="E21" s="13"/>
      <c r="F21" s="13"/>
      <c r="G21" s="13"/>
      <c r="H21" s="13"/>
    </row>
    <row r="22" spans="1:8" x14ac:dyDescent="0.2">
      <c r="A22" s="13"/>
      <c r="B22" s="13"/>
      <c r="C22" s="13"/>
      <c r="D22" s="13"/>
      <c r="E22" s="13"/>
      <c r="F22" s="13"/>
      <c r="G22" s="13"/>
      <c r="H22" s="13"/>
    </row>
    <row r="23" spans="1:8" x14ac:dyDescent="0.2">
      <c r="A23" s="13"/>
      <c r="B23" s="13"/>
      <c r="C23" s="13"/>
      <c r="D23" s="13"/>
      <c r="E23" s="13"/>
      <c r="F23" s="13"/>
      <c r="G23" s="13"/>
      <c r="H23" s="13"/>
    </row>
    <row r="24" spans="1:8" x14ac:dyDescent="0.2">
      <c r="A24" s="13"/>
      <c r="B24" s="13"/>
      <c r="C24" s="13"/>
      <c r="D24" s="13"/>
      <c r="E24" s="13"/>
      <c r="F24" s="13"/>
      <c r="G24" s="13"/>
      <c r="H24" s="13"/>
    </row>
  </sheetData>
  <mergeCells count="12">
    <mergeCell ref="A19:H19"/>
    <mergeCell ref="A20:H20"/>
    <mergeCell ref="A10:H11"/>
    <mergeCell ref="A12:H12"/>
    <mergeCell ref="A13:H13"/>
    <mergeCell ref="A14:H17"/>
    <mergeCell ref="A18:H18"/>
    <mergeCell ref="A1:H3"/>
    <mergeCell ref="A4:H4"/>
    <mergeCell ref="A5:H5"/>
    <mergeCell ref="A6:H8"/>
    <mergeCell ref="A9:H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AABB3"/>
    <pageSetUpPr fitToPage="1"/>
  </sheetPr>
  <dimension ref="A1:G25"/>
  <sheetViews>
    <sheetView showGridLines="0" topLeftCell="B1" zoomScaleNormal="100" workbookViewId="0"/>
  </sheetViews>
  <sheetFormatPr defaultColWidth="8.7421875" defaultRowHeight="15" x14ac:dyDescent="0.2"/>
  <cols>
    <col min="1" max="1" width="6.05078125" customWidth="1"/>
    <col min="2" max="7" width="18.0234375" customWidth="1"/>
  </cols>
  <sheetData>
    <row r="1" spans="1:7" ht="18.75" x14ac:dyDescent="0.2">
      <c r="A1" s="4" t="s">
        <v>6</v>
      </c>
      <c r="B1" s="4"/>
      <c r="C1" s="4"/>
      <c r="D1" s="4"/>
      <c r="E1" s="4"/>
      <c r="F1" s="4"/>
      <c r="G1" s="4"/>
    </row>
    <row r="3" spans="1:7" x14ac:dyDescent="0.2">
      <c r="A3" s="14"/>
      <c r="B3" s="3"/>
      <c r="C3" s="3"/>
      <c r="D3" s="3"/>
      <c r="E3" s="3"/>
      <c r="F3" s="3"/>
      <c r="G3" s="3"/>
    </row>
    <row r="4" spans="1:7" x14ac:dyDescent="0.2">
      <c r="A4" s="2" t="s">
        <v>7</v>
      </c>
      <c r="B4" s="2"/>
      <c r="C4" s="2"/>
      <c r="D4" s="2"/>
      <c r="E4" s="2"/>
      <c r="F4" s="2"/>
      <c r="G4" s="2"/>
    </row>
    <row r="5" spans="1:7" ht="15" customHeight="1" x14ac:dyDescent="0.2">
      <c r="A5" s="15" t="s">
        <v>8</v>
      </c>
      <c r="B5" s="3" t="s">
        <v>9</v>
      </c>
      <c r="C5" s="3"/>
      <c r="D5" s="3"/>
      <c r="E5" s="3"/>
      <c r="F5" s="3"/>
      <c r="G5" s="3"/>
    </row>
    <row r="6" spans="1:7" ht="15" customHeight="1" x14ac:dyDescent="0.2">
      <c r="A6" s="15" t="s">
        <v>10</v>
      </c>
      <c r="B6" s="3" t="s">
        <v>11</v>
      </c>
      <c r="C6" s="3"/>
      <c r="D6" s="3"/>
      <c r="E6" s="3"/>
      <c r="F6" s="3"/>
      <c r="G6" s="3"/>
    </row>
    <row r="7" spans="1:7" ht="23.85" customHeight="1" x14ac:dyDescent="0.2">
      <c r="A7" s="15" t="s">
        <v>12</v>
      </c>
      <c r="B7" s="3" t="s">
        <v>13</v>
      </c>
      <c r="C7" s="3"/>
      <c r="D7" s="3"/>
      <c r="E7" s="3"/>
      <c r="F7" s="3"/>
      <c r="G7" s="3"/>
    </row>
    <row r="8" spans="1:7" ht="15" customHeight="1" x14ac:dyDescent="0.2">
      <c r="A8" s="15" t="s">
        <v>14</v>
      </c>
      <c r="B8" s="3" t="s">
        <v>15</v>
      </c>
      <c r="C8" s="3"/>
      <c r="D8" s="3"/>
      <c r="E8" s="3"/>
      <c r="F8" s="3"/>
      <c r="G8" s="3"/>
    </row>
    <row r="9" spans="1:7" ht="15" customHeight="1" x14ac:dyDescent="0.2">
      <c r="A9" s="15" t="s">
        <v>16</v>
      </c>
      <c r="B9" s="3" t="s">
        <v>17</v>
      </c>
      <c r="C9" s="3"/>
      <c r="D9" s="3"/>
      <c r="E9" s="3"/>
      <c r="F9" s="3"/>
      <c r="G9" s="3"/>
    </row>
    <row r="10" spans="1:7" ht="15" customHeight="1" x14ac:dyDescent="0.2">
      <c r="A10" s="15" t="s">
        <v>18</v>
      </c>
      <c r="B10" s="3" t="s">
        <v>19</v>
      </c>
      <c r="C10" s="3"/>
      <c r="D10" s="3"/>
      <c r="E10" s="3"/>
      <c r="F10" s="3"/>
      <c r="G10" s="3"/>
    </row>
    <row r="11" spans="1:7" ht="15" customHeight="1" x14ac:dyDescent="0.2">
      <c r="A11" s="15" t="s">
        <v>20</v>
      </c>
      <c r="B11" s="3" t="s">
        <v>21</v>
      </c>
      <c r="C11" s="3"/>
      <c r="D11" s="3"/>
      <c r="E11" s="3"/>
      <c r="F11" s="3"/>
      <c r="G11" s="3"/>
    </row>
    <row r="12" spans="1:7" ht="23.85" customHeight="1" x14ac:dyDescent="0.2">
      <c r="A12" s="15" t="s">
        <v>22</v>
      </c>
      <c r="B12" s="3" t="s">
        <v>23</v>
      </c>
      <c r="C12" s="3"/>
      <c r="D12" s="3"/>
      <c r="E12" s="3"/>
      <c r="F12" s="3"/>
      <c r="G12" s="3"/>
    </row>
    <row r="13" spans="1:7" ht="15" customHeight="1" x14ac:dyDescent="0.2">
      <c r="A13" s="15" t="s">
        <v>24</v>
      </c>
      <c r="B13" s="3" t="s">
        <v>25</v>
      </c>
      <c r="C13" s="3"/>
      <c r="D13" s="3"/>
      <c r="E13" s="3"/>
      <c r="F13" s="3"/>
      <c r="G13" s="3"/>
    </row>
    <row r="14" spans="1:7" x14ac:dyDescent="0.2">
      <c r="A14" s="14"/>
      <c r="B14" s="3"/>
      <c r="C14" s="3"/>
      <c r="D14" s="3"/>
      <c r="E14" s="3"/>
      <c r="F14" s="3"/>
      <c r="G14" s="3"/>
    </row>
    <row r="15" spans="1:7" x14ac:dyDescent="0.2">
      <c r="A15" s="2" t="s">
        <v>26</v>
      </c>
      <c r="B15" s="2"/>
      <c r="C15" s="2"/>
      <c r="D15" s="2"/>
      <c r="E15" s="2"/>
      <c r="F15" s="2"/>
      <c r="G15" s="2"/>
    </row>
    <row r="16" spans="1:7" ht="15" customHeight="1" x14ac:dyDescent="0.2">
      <c r="A16" s="14"/>
      <c r="B16" s="3" t="s">
        <v>27</v>
      </c>
      <c r="C16" s="3"/>
      <c r="D16" s="3"/>
      <c r="E16" s="3"/>
      <c r="F16" s="3"/>
      <c r="G16" s="3"/>
    </row>
    <row r="17" spans="1:7" ht="15" customHeight="1" x14ac:dyDescent="0.2">
      <c r="A17" s="14"/>
      <c r="B17" s="3" t="s">
        <v>28</v>
      </c>
      <c r="C17" s="3"/>
      <c r="D17" s="3"/>
      <c r="E17" s="3"/>
      <c r="F17" s="3"/>
      <c r="G17" s="3"/>
    </row>
    <row r="18" spans="1:7" ht="15" customHeight="1" x14ac:dyDescent="0.2">
      <c r="A18" s="14"/>
      <c r="B18" s="3" t="s">
        <v>29</v>
      </c>
      <c r="C18" s="3"/>
      <c r="D18" s="3"/>
      <c r="E18" s="3"/>
      <c r="F18" s="3"/>
      <c r="G18" s="3"/>
    </row>
    <row r="19" spans="1:7" ht="15" customHeight="1" x14ac:dyDescent="0.2">
      <c r="A19" s="14"/>
      <c r="B19" s="3" t="s">
        <v>30</v>
      </c>
      <c r="C19" s="3"/>
      <c r="D19" s="3"/>
      <c r="E19" s="3"/>
      <c r="F19" s="3"/>
      <c r="G19" s="3"/>
    </row>
    <row r="20" spans="1:7" ht="15" customHeight="1" x14ac:dyDescent="0.2">
      <c r="A20" s="14"/>
      <c r="B20" s="3" t="s">
        <v>31</v>
      </c>
      <c r="C20" s="3"/>
      <c r="D20" s="3"/>
      <c r="E20" s="3"/>
      <c r="F20" s="3"/>
      <c r="G20" s="3"/>
    </row>
    <row r="21" spans="1:7" x14ac:dyDescent="0.2">
      <c r="A21" s="14"/>
      <c r="B21" s="3"/>
      <c r="C21" s="3"/>
      <c r="D21" s="3"/>
      <c r="E21" s="3"/>
      <c r="F21" s="3"/>
      <c r="G21" s="3"/>
    </row>
    <row r="22" spans="1:7" x14ac:dyDescent="0.2">
      <c r="A22" s="2" t="s">
        <v>32</v>
      </c>
      <c r="B22" s="2"/>
      <c r="C22" s="2"/>
      <c r="D22" s="2"/>
      <c r="E22" s="2"/>
      <c r="F22" s="2"/>
      <c r="G22" s="2"/>
    </row>
    <row r="23" spans="1:7" ht="15" customHeight="1" x14ac:dyDescent="0.2">
      <c r="A23" s="14"/>
      <c r="B23" s="3" t="s">
        <v>33</v>
      </c>
      <c r="C23" s="3"/>
      <c r="D23" s="3"/>
      <c r="E23" s="3"/>
      <c r="F23" s="3"/>
      <c r="G23" s="3"/>
    </row>
    <row r="24" spans="1:7" ht="15" customHeight="1" x14ac:dyDescent="0.2">
      <c r="A24" s="14"/>
      <c r="B24" s="3" t="s">
        <v>34</v>
      </c>
      <c r="C24" s="3"/>
      <c r="D24" s="3"/>
      <c r="E24" s="3"/>
      <c r="F24" s="3"/>
      <c r="G24" s="3"/>
    </row>
    <row r="25" spans="1:7" ht="15" customHeight="1" x14ac:dyDescent="0.2">
      <c r="A25" s="14"/>
      <c r="B25" s="3" t="s">
        <v>35</v>
      </c>
      <c r="C25" s="3"/>
      <c r="D25" s="3"/>
      <c r="E25" s="3"/>
      <c r="F25" s="3"/>
      <c r="G25" s="3"/>
    </row>
  </sheetData>
  <mergeCells count="24">
    <mergeCell ref="A22:G22"/>
    <mergeCell ref="B23:G23"/>
    <mergeCell ref="B24:G24"/>
    <mergeCell ref="B25:G25"/>
    <mergeCell ref="B17:G17"/>
    <mergeCell ref="B18:G18"/>
    <mergeCell ref="B19:G19"/>
    <mergeCell ref="B20:G20"/>
    <mergeCell ref="B21:G21"/>
    <mergeCell ref="B12:G12"/>
    <mergeCell ref="B13:G13"/>
    <mergeCell ref="B14:G14"/>
    <mergeCell ref="A15:G15"/>
    <mergeCell ref="B16:G16"/>
    <mergeCell ref="B7:G7"/>
    <mergeCell ref="B8:G8"/>
    <mergeCell ref="B9:G9"/>
    <mergeCell ref="B10:G10"/>
    <mergeCell ref="B11:G11"/>
    <mergeCell ref="A1:G1"/>
    <mergeCell ref="B3:G3"/>
    <mergeCell ref="A4:G4"/>
    <mergeCell ref="B5:G5"/>
    <mergeCell ref="B6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204"/>
  <sheetViews>
    <sheetView tabSelected="1" topLeftCell="H1" zoomScaleNormal="100" workbookViewId="0">
      <pane ySplit="4" topLeftCell="H5" activePane="bottomLeft" state="frozen"/>
      <selection pane="bottomLeft" activeCell="L9" sqref="L9"/>
    </sheetView>
  </sheetViews>
  <sheetFormatPr defaultColWidth="8.7421875" defaultRowHeight="15" x14ac:dyDescent="0.2"/>
  <cols>
    <col min="1" max="1" width="9.953125" customWidth="1"/>
    <col min="2" max="2" width="18.0234375" customWidth="1"/>
    <col min="3" max="3" width="37.93359375" customWidth="1"/>
    <col min="4" max="4" width="22.05859375" customWidth="1"/>
    <col min="5" max="5" width="18.0234375" customWidth="1"/>
    <col min="6" max="6" width="20.04296875" customWidth="1"/>
    <col min="7" max="9" width="13.046875" customWidth="1"/>
    <col min="10" max="10" width="11.97265625" customWidth="1"/>
    <col min="11" max="11" width="16.0078125" customWidth="1"/>
    <col min="12" max="13" width="18.0234375" customWidth="1"/>
    <col min="14" max="14" width="34.97265625" customWidth="1"/>
    <col min="15" max="15" width="13.046875" customWidth="1"/>
    <col min="16" max="16" width="16.0078125" customWidth="1"/>
    <col min="17" max="18" width="13.98828125" customWidth="1"/>
    <col min="19" max="19" width="32.015625" customWidth="1"/>
  </cols>
  <sheetData>
    <row r="1" spans="1:19" ht="21" x14ac:dyDescent="0.2">
      <c r="A1" s="1" t="s">
        <v>36</v>
      </c>
      <c r="B1" s="1"/>
      <c r="D1" s="16" t="s">
        <v>37</v>
      </c>
      <c r="E1" s="17">
        <f>COUNTA(B5:B204)</f>
        <v>5</v>
      </c>
      <c r="G1" s="16" t="s">
        <v>38</v>
      </c>
      <c r="H1" s="17">
        <f>COUNTIF(K5:K204,"Active")</f>
        <v>2</v>
      </c>
      <c r="J1" s="16" t="s">
        <v>39</v>
      </c>
      <c r="K1" s="17">
        <f>COUNTIF(K5:K204,"Closed")</f>
        <v>2</v>
      </c>
      <c r="M1" s="16" t="s">
        <v>40</v>
      </c>
      <c r="N1" s="17">
        <f>COUNTIF(K5:K204,"Expired")+COUNTIF(K5:K204,"Cancelled")</f>
        <v>1</v>
      </c>
      <c r="P1" s="16" t="s">
        <v>41</v>
      </c>
      <c r="Q1" s="18">
        <f>IF(E1&gt;0,K1/E1,0)</f>
        <v>0.4</v>
      </c>
    </row>
    <row r="4" spans="1:19" ht="27.75" x14ac:dyDescent="0.2">
      <c r="A4" s="19" t="s">
        <v>42</v>
      </c>
      <c r="B4" s="19" t="s">
        <v>43</v>
      </c>
      <c r="C4" s="19" t="s">
        <v>44</v>
      </c>
      <c r="D4" s="19" t="s">
        <v>45</v>
      </c>
      <c r="E4" s="19" t="s">
        <v>46</v>
      </c>
      <c r="F4" s="19" t="s">
        <v>47</v>
      </c>
      <c r="G4" s="19" t="s">
        <v>48</v>
      </c>
      <c r="H4" s="19" t="s">
        <v>49</v>
      </c>
      <c r="I4" s="19" t="s">
        <v>50</v>
      </c>
      <c r="J4" s="19" t="s">
        <v>51</v>
      </c>
      <c r="K4" s="19" t="s">
        <v>52</v>
      </c>
      <c r="L4" s="19" t="s">
        <v>53</v>
      </c>
      <c r="M4" s="19" t="s">
        <v>54</v>
      </c>
      <c r="N4" s="19" t="s">
        <v>55</v>
      </c>
      <c r="O4" s="19" t="s">
        <v>56</v>
      </c>
      <c r="P4" s="19" t="s">
        <v>57</v>
      </c>
      <c r="Q4" s="19" t="s">
        <v>58</v>
      </c>
      <c r="R4" s="19" t="s">
        <v>59</v>
      </c>
      <c r="S4" s="19" t="s">
        <v>60</v>
      </c>
    </row>
    <row r="5" spans="1:19" ht="37.5" x14ac:dyDescent="0.2">
      <c r="A5" s="20" t="str">
        <f>IF(B5&lt;&gt;"","PTW-"&amp;TEXT(ROW()-4,"000"),"")</f>
        <v>PTW-001</v>
      </c>
      <c r="B5" s="21" t="s">
        <v>61</v>
      </c>
      <c r="C5" s="22" t="s">
        <v>62</v>
      </c>
      <c r="D5" s="22" t="s">
        <v>63</v>
      </c>
      <c r="E5" s="21" t="s">
        <v>64</v>
      </c>
      <c r="F5" s="21" t="s">
        <v>65</v>
      </c>
      <c r="G5" s="23">
        <v>46091</v>
      </c>
      <c r="H5" s="23">
        <v>46091</v>
      </c>
      <c r="I5" s="23">
        <v>46092</v>
      </c>
      <c r="J5" s="24">
        <f>IF(AND(I5&lt;&gt;"",H5&lt;&gt;""),I5-H5,"")</f>
        <v>1</v>
      </c>
      <c r="K5" s="21" t="s">
        <v>66</v>
      </c>
      <c r="L5" s="21" t="s">
        <v>67</v>
      </c>
      <c r="M5" s="21" t="s">
        <v>68</v>
      </c>
      <c r="N5" s="22" t="s">
        <v>69</v>
      </c>
      <c r="O5" s="23"/>
      <c r="P5" s="21"/>
      <c r="Q5" s="21" t="s">
        <v>70</v>
      </c>
      <c r="R5" s="24">
        <f ca="1">IF(AND(I5&lt;&gt;"",K5="Active"),I5-TODAY(),"")</f>
        <v>-10</v>
      </c>
      <c r="S5" s="22"/>
    </row>
    <row r="6" spans="1:19" ht="37.5" x14ac:dyDescent="0.2">
      <c r="A6" s="20" t="str">
        <f>IF(B6&lt;&gt;"","PTW-"&amp;TEXT(ROW()-4,"000"),"")</f>
        <v>PTW-002</v>
      </c>
      <c r="B6" s="21" t="s">
        <v>71</v>
      </c>
      <c r="C6" s="22" t="s">
        <v>72</v>
      </c>
      <c r="D6" s="22" t="s">
        <v>73</v>
      </c>
      <c r="E6" s="21" t="s">
        <v>74</v>
      </c>
      <c r="F6" s="21" t="s">
        <v>65</v>
      </c>
      <c r="G6" s="23">
        <v>46088</v>
      </c>
      <c r="H6" s="23">
        <v>46088</v>
      </c>
      <c r="I6" s="23">
        <v>46089</v>
      </c>
      <c r="J6" s="24">
        <f>IF(AND(I6&lt;&gt;"",H6&lt;&gt;""),I6-H6,"")</f>
        <v>1</v>
      </c>
      <c r="K6" s="21" t="s">
        <v>75</v>
      </c>
      <c r="L6" s="21" t="s">
        <v>76</v>
      </c>
      <c r="M6" s="21" t="s">
        <v>77</v>
      </c>
      <c r="N6" s="22" t="s">
        <v>78</v>
      </c>
      <c r="O6" s="23">
        <v>46089</v>
      </c>
      <c r="P6" s="21" t="s">
        <v>79</v>
      </c>
      <c r="Q6" s="21" t="s">
        <v>80</v>
      </c>
      <c r="R6" s="24" t="str">
        <f ca="1">IF(AND(I6&lt;&gt;"",K6="Active"),I6-TODAY(),"")</f>
        <v/>
      </c>
      <c r="S6" s="22" t="s">
        <v>81</v>
      </c>
    </row>
    <row r="7" spans="1:19" ht="49.5" x14ac:dyDescent="0.2">
      <c r="A7" s="20" t="str">
        <f>IF(B7&lt;&gt;"","PTW-"&amp;TEXT(ROW()-4,"000"),"")</f>
        <v>PTW-003</v>
      </c>
      <c r="B7" s="21" t="s">
        <v>82</v>
      </c>
      <c r="C7" s="22" t="s">
        <v>83</v>
      </c>
      <c r="D7" s="22" t="s">
        <v>84</v>
      </c>
      <c r="E7" s="21" t="s">
        <v>85</v>
      </c>
      <c r="F7" s="21" t="s">
        <v>86</v>
      </c>
      <c r="G7" s="23">
        <v>46086</v>
      </c>
      <c r="H7" s="23">
        <v>46086</v>
      </c>
      <c r="I7" s="23">
        <v>46093</v>
      </c>
      <c r="J7" s="24">
        <f>IF(AND(I7&lt;&gt;"",H7&lt;&gt;""),I7-H7,"")</f>
        <v>7</v>
      </c>
      <c r="K7" s="21" t="s">
        <v>66</v>
      </c>
      <c r="L7" s="21" t="s">
        <v>87</v>
      </c>
      <c r="M7" s="21" t="s">
        <v>88</v>
      </c>
      <c r="N7" s="22" t="s">
        <v>89</v>
      </c>
      <c r="O7" s="23"/>
      <c r="P7" s="21"/>
      <c r="Q7" s="21" t="s">
        <v>70</v>
      </c>
      <c r="R7" s="24">
        <f ca="1">IF(AND(I7&lt;&gt;"",K7="Active"),I7-TODAY(),"")</f>
        <v>-9</v>
      </c>
      <c r="S7" s="22" t="s">
        <v>90</v>
      </c>
    </row>
    <row r="8" spans="1:19" ht="37.5" x14ac:dyDescent="0.2">
      <c r="A8" s="20" t="str">
        <f>IF(B8&lt;&gt;"","PTW-"&amp;TEXT(ROW()-4,"000"),"")</f>
        <v>PTW-004</v>
      </c>
      <c r="B8" s="21" t="s">
        <v>91</v>
      </c>
      <c r="C8" s="22" t="s">
        <v>92</v>
      </c>
      <c r="D8" s="22" t="s">
        <v>93</v>
      </c>
      <c r="E8" s="21" t="s">
        <v>94</v>
      </c>
      <c r="F8" s="21" t="s">
        <v>65</v>
      </c>
      <c r="G8" s="23">
        <v>46084</v>
      </c>
      <c r="H8" s="23">
        <v>46084</v>
      </c>
      <c r="I8" s="23">
        <v>46090</v>
      </c>
      <c r="J8" s="24">
        <f>IF(AND(I8&lt;&gt;"",H8&lt;&gt;""),I8-H8,"")</f>
        <v>6</v>
      </c>
      <c r="K8" s="21" t="s">
        <v>95</v>
      </c>
      <c r="L8" s="21" t="s">
        <v>96</v>
      </c>
      <c r="M8" s="21" t="s">
        <v>97</v>
      </c>
      <c r="N8" s="22" t="s">
        <v>98</v>
      </c>
      <c r="O8" s="23"/>
      <c r="P8" s="21"/>
      <c r="Q8" s="21" t="s">
        <v>70</v>
      </c>
      <c r="R8" s="24" t="str">
        <f ca="1">IF(AND(I8&lt;&gt;"",K8="Active"),I8-TODAY(),"")</f>
        <v/>
      </c>
      <c r="S8" s="22" t="s">
        <v>99</v>
      </c>
    </row>
    <row r="9" spans="1:19" ht="37.5" x14ac:dyDescent="0.2">
      <c r="A9" s="20" t="str">
        <f>IF(B9&lt;&gt;"","PTW-"&amp;TEXT(ROW()-4,"000"),"")</f>
        <v>PTW-005</v>
      </c>
      <c r="B9" s="21" t="s">
        <v>100</v>
      </c>
      <c r="C9" s="22" t="s">
        <v>101</v>
      </c>
      <c r="D9" s="22" t="s">
        <v>102</v>
      </c>
      <c r="E9" s="21" t="s">
        <v>103</v>
      </c>
      <c r="F9" s="21" t="s">
        <v>104</v>
      </c>
      <c r="G9" s="23">
        <v>46089</v>
      </c>
      <c r="H9" s="23">
        <v>46089</v>
      </c>
      <c r="I9" s="23">
        <v>46089</v>
      </c>
      <c r="J9" s="24">
        <f>IF(AND(I9&lt;&gt;"",H9&lt;&gt;""),I9-H9,"")</f>
        <v>0</v>
      </c>
      <c r="K9" s="21" t="s">
        <v>75</v>
      </c>
      <c r="L9" s="21" t="s">
        <v>105</v>
      </c>
      <c r="M9" s="21" t="s">
        <v>106</v>
      </c>
      <c r="N9" s="22" t="s">
        <v>107</v>
      </c>
      <c r="O9" s="23">
        <v>46089</v>
      </c>
      <c r="P9" s="21" t="s">
        <v>108</v>
      </c>
      <c r="Q9" s="21" t="s">
        <v>80</v>
      </c>
      <c r="R9" s="24" t="str">
        <f ca="1">IF(AND(I9&lt;&gt;"",K9="Active"),I9-TODAY(),"")</f>
        <v/>
      </c>
      <c r="S9" s="22" t="s">
        <v>109</v>
      </c>
    </row>
    <row r="10" spans="1:19" x14ac:dyDescent="0.2">
      <c r="A10" s="20" t="str">
        <f>IF(B10&lt;&gt;"","PTW-"&amp;TEXT(ROW()-4,"000"),"")</f>
        <v/>
      </c>
      <c r="B10" s="21"/>
      <c r="C10" s="22"/>
      <c r="D10" s="22"/>
      <c r="E10" s="21"/>
      <c r="F10" s="21"/>
      <c r="G10" s="23"/>
      <c r="H10" s="23"/>
      <c r="I10" s="23"/>
      <c r="J10" s="24" t="str">
        <f>IF(AND(I10&lt;&gt;"",H10&lt;&gt;""),I10-H10,"")</f>
        <v/>
      </c>
      <c r="K10" s="21"/>
      <c r="L10" s="21"/>
      <c r="M10" s="21"/>
      <c r="N10" s="22"/>
      <c r="O10" s="23"/>
      <c r="P10" s="21"/>
      <c r="Q10" s="21"/>
      <c r="R10" s="24" t="str">
        <f ca="1">IF(AND(I10&lt;&gt;"",K10="Active"),I10-TODAY(),"")</f>
        <v/>
      </c>
      <c r="S10" s="22"/>
    </row>
    <row r="11" spans="1:19" x14ac:dyDescent="0.2">
      <c r="A11" s="20" t="str">
        <f>IF(B11&lt;&gt;"","PTW-"&amp;TEXT(ROW()-4,"000"),"")</f>
        <v/>
      </c>
      <c r="B11" s="21"/>
      <c r="C11" s="22"/>
      <c r="D11" s="22"/>
      <c r="E11" s="21"/>
      <c r="F11" s="21"/>
      <c r="G11" s="23"/>
      <c r="H11" s="23"/>
      <c r="I11" s="23"/>
      <c r="J11" s="24" t="str">
        <f>IF(AND(I11&lt;&gt;"",H11&lt;&gt;""),I11-H11,"")</f>
        <v/>
      </c>
      <c r="K11" s="21"/>
      <c r="L11" s="21"/>
      <c r="M11" s="21"/>
      <c r="N11" s="22"/>
      <c r="O11" s="23"/>
      <c r="P11" s="21"/>
      <c r="Q11" s="21"/>
      <c r="R11" s="24" t="str">
        <f ca="1">IF(AND(I11&lt;&gt;"",K11="Active"),I11-TODAY(),"")</f>
        <v/>
      </c>
      <c r="S11" s="22"/>
    </row>
    <row r="12" spans="1:19" x14ac:dyDescent="0.2">
      <c r="A12" s="20" t="str">
        <f>IF(B12&lt;&gt;"","PTW-"&amp;TEXT(ROW()-4,"000"),"")</f>
        <v/>
      </c>
      <c r="B12" s="21"/>
      <c r="C12" s="22"/>
      <c r="D12" s="22"/>
      <c r="E12" s="21"/>
      <c r="F12" s="21"/>
      <c r="G12" s="23"/>
      <c r="H12" s="23"/>
      <c r="I12" s="23"/>
      <c r="J12" s="24" t="str">
        <f>IF(AND(I12&lt;&gt;"",H12&lt;&gt;""),I12-H12,"")</f>
        <v/>
      </c>
      <c r="K12" s="21"/>
      <c r="L12" s="21"/>
      <c r="M12" s="21"/>
      <c r="N12" s="22"/>
      <c r="O12" s="23"/>
      <c r="P12" s="21"/>
      <c r="Q12" s="21"/>
      <c r="R12" s="24" t="str">
        <f ca="1">IF(AND(I12&lt;&gt;"",K12="Active"),I12-TODAY(),"")</f>
        <v/>
      </c>
      <c r="S12" s="22"/>
    </row>
    <row r="13" spans="1:19" x14ac:dyDescent="0.2">
      <c r="A13" s="20" t="str">
        <f>IF(B13&lt;&gt;"","PTW-"&amp;TEXT(ROW()-4,"000"),"")</f>
        <v/>
      </c>
      <c r="B13" s="21"/>
      <c r="C13" s="22"/>
      <c r="D13" s="22"/>
      <c r="E13" s="21"/>
      <c r="F13" s="21"/>
      <c r="G13" s="23"/>
      <c r="H13" s="23"/>
      <c r="I13" s="23"/>
      <c r="J13" s="24" t="str">
        <f>IF(AND(I13&lt;&gt;"",H13&lt;&gt;""),I13-H13,"")</f>
        <v/>
      </c>
      <c r="K13" s="21"/>
      <c r="L13" s="21"/>
      <c r="M13" s="21"/>
      <c r="N13" s="22"/>
      <c r="O13" s="23"/>
      <c r="P13" s="21"/>
      <c r="Q13" s="21"/>
      <c r="R13" s="24" t="str">
        <f ca="1">IF(AND(I13&lt;&gt;"",K13="Active"),I13-TODAY(),"")</f>
        <v/>
      </c>
      <c r="S13" s="22"/>
    </row>
    <row r="14" spans="1:19" x14ac:dyDescent="0.2">
      <c r="A14" s="20" t="str">
        <f>IF(B14&lt;&gt;"","PTW-"&amp;TEXT(ROW()-4,"000"),"")</f>
        <v/>
      </c>
      <c r="B14" s="21"/>
      <c r="C14" s="22"/>
      <c r="D14" s="22"/>
      <c r="E14" s="21"/>
      <c r="F14" s="21"/>
      <c r="G14" s="23"/>
      <c r="H14" s="23"/>
      <c r="I14" s="23"/>
      <c r="J14" s="24" t="str">
        <f>IF(AND(I14&lt;&gt;"",H14&lt;&gt;""),I14-H14,"")</f>
        <v/>
      </c>
      <c r="K14" s="21"/>
      <c r="L14" s="21"/>
      <c r="M14" s="21"/>
      <c r="N14" s="22"/>
      <c r="O14" s="23"/>
      <c r="P14" s="21"/>
      <c r="Q14" s="21"/>
      <c r="R14" s="24" t="str">
        <f ca="1">IF(AND(I14&lt;&gt;"",K14="Active"),I14-TODAY(),"")</f>
        <v/>
      </c>
      <c r="S14" s="22"/>
    </row>
    <row r="15" spans="1:19" x14ac:dyDescent="0.2">
      <c r="A15" s="20" t="str">
        <f>IF(B15&lt;&gt;"","PTW-"&amp;TEXT(ROW()-4,"000"),"")</f>
        <v/>
      </c>
      <c r="B15" s="21"/>
      <c r="C15" s="22"/>
      <c r="D15" s="22"/>
      <c r="E15" s="21"/>
      <c r="F15" s="21"/>
      <c r="G15" s="23"/>
      <c r="H15" s="23"/>
      <c r="I15" s="23"/>
      <c r="J15" s="24" t="str">
        <f>IF(AND(I15&lt;&gt;"",H15&lt;&gt;""),I15-H15,"")</f>
        <v/>
      </c>
      <c r="K15" s="21"/>
      <c r="L15" s="21"/>
      <c r="M15" s="21"/>
      <c r="N15" s="22"/>
      <c r="O15" s="23"/>
      <c r="P15" s="21"/>
      <c r="Q15" s="21"/>
      <c r="R15" s="24" t="str">
        <f ca="1">IF(AND(I15&lt;&gt;"",K15="Active"),I15-TODAY(),"")</f>
        <v/>
      </c>
      <c r="S15" s="22"/>
    </row>
    <row r="16" spans="1:19" x14ac:dyDescent="0.2">
      <c r="A16" s="20" t="str">
        <f>IF(B16&lt;&gt;"","PTW-"&amp;TEXT(ROW()-4,"000"),"")</f>
        <v/>
      </c>
      <c r="B16" s="21"/>
      <c r="C16" s="22"/>
      <c r="D16" s="22"/>
      <c r="E16" s="21"/>
      <c r="F16" s="21"/>
      <c r="G16" s="23"/>
      <c r="H16" s="23"/>
      <c r="I16" s="23"/>
      <c r="J16" s="24" t="str">
        <f>IF(AND(I16&lt;&gt;"",H16&lt;&gt;""),I16-H16,"")</f>
        <v/>
      </c>
      <c r="K16" s="21"/>
      <c r="L16" s="21"/>
      <c r="M16" s="21"/>
      <c r="N16" s="22"/>
      <c r="O16" s="23"/>
      <c r="P16" s="21"/>
      <c r="Q16" s="21"/>
      <c r="R16" s="24" t="str">
        <f ca="1">IF(AND(I16&lt;&gt;"",K16="Active"),I16-TODAY(),"")</f>
        <v/>
      </c>
      <c r="S16" s="22"/>
    </row>
    <row r="17" spans="1:19" x14ac:dyDescent="0.2">
      <c r="A17" s="20" t="str">
        <f>IF(B17&lt;&gt;"","PTW-"&amp;TEXT(ROW()-4,"000"),"")</f>
        <v/>
      </c>
      <c r="B17" s="21"/>
      <c r="C17" s="22"/>
      <c r="D17" s="22"/>
      <c r="E17" s="21"/>
      <c r="F17" s="21"/>
      <c r="G17" s="23"/>
      <c r="H17" s="23"/>
      <c r="I17" s="23"/>
      <c r="J17" s="24" t="str">
        <f>IF(AND(I17&lt;&gt;"",H17&lt;&gt;""),I17-H17,"")</f>
        <v/>
      </c>
      <c r="K17" s="21"/>
      <c r="L17" s="21"/>
      <c r="M17" s="21"/>
      <c r="N17" s="22"/>
      <c r="O17" s="23"/>
      <c r="P17" s="21"/>
      <c r="Q17" s="21"/>
      <c r="R17" s="24" t="str">
        <f ca="1">IF(AND(I17&lt;&gt;"",K17="Active"),I17-TODAY(),"")</f>
        <v/>
      </c>
      <c r="S17" s="22"/>
    </row>
    <row r="18" spans="1:19" x14ac:dyDescent="0.2">
      <c r="A18" s="20" t="str">
        <f>IF(B18&lt;&gt;"","PTW-"&amp;TEXT(ROW()-4,"000"),"")</f>
        <v/>
      </c>
      <c r="B18" s="21"/>
      <c r="C18" s="22"/>
      <c r="D18" s="22"/>
      <c r="E18" s="21"/>
      <c r="F18" s="21"/>
      <c r="G18" s="23"/>
      <c r="H18" s="23"/>
      <c r="I18" s="23"/>
      <c r="J18" s="24" t="str">
        <f>IF(AND(I18&lt;&gt;"",H18&lt;&gt;""),I18-H18,"")</f>
        <v/>
      </c>
      <c r="K18" s="21"/>
      <c r="L18" s="21"/>
      <c r="M18" s="21"/>
      <c r="N18" s="22"/>
      <c r="O18" s="23"/>
      <c r="P18" s="21"/>
      <c r="Q18" s="21"/>
      <c r="R18" s="24" t="str">
        <f ca="1">IF(AND(I18&lt;&gt;"",K18="Active"),I18-TODAY(),"")</f>
        <v/>
      </c>
      <c r="S18" s="22"/>
    </row>
    <row r="19" spans="1:19" x14ac:dyDescent="0.2">
      <c r="A19" s="20" t="str">
        <f>IF(B19&lt;&gt;"","PTW-"&amp;TEXT(ROW()-4,"000"),"")</f>
        <v/>
      </c>
      <c r="B19" s="21"/>
      <c r="C19" s="22"/>
      <c r="D19" s="22"/>
      <c r="E19" s="21"/>
      <c r="F19" s="21"/>
      <c r="G19" s="23"/>
      <c r="H19" s="23"/>
      <c r="I19" s="23"/>
      <c r="J19" s="24" t="str">
        <f>IF(AND(I19&lt;&gt;"",H19&lt;&gt;""),I19-H19,"")</f>
        <v/>
      </c>
      <c r="K19" s="21"/>
      <c r="L19" s="21"/>
      <c r="M19" s="21"/>
      <c r="N19" s="22"/>
      <c r="O19" s="23"/>
      <c r="P19" s="21"/>
      <c r="Q19" s="21"/>
      <c r="R19" s="24" t="str">
        <f ca="1">IF(AND(I19&lt;&gt;"",K19="Active"),I19-TODAY(),"")</f>
        <v/>
      </c>
      <c r="S19" s="22"/>
    </row>
    <row r="20" spans="1:19" x14ac:dyDescent="0.2">
      <c r="A20" s="20" t="str">
        <f>IF(B20&lt;&gt;"","PTW-"&amp;TEXT(ROW()-4,"000"),"")</f>
        <v/>
      </c>
      <c r="B20" s="21"/>
      <c r="C20" s="22"/>
      <c r="D20" s="22"/>
      <c r="E20" s="21"/>
      <c r="F20" s="21"/>
      <c r="G20" s="23"/>
      <c r="H20" s="23"/>
      <c r="I20" s="23"/>
      <c r="J20" s="24" t="str">
        <f>IF(AND(I20&lt;&gt;"",H20&lt;&gt;""),I20-H20,"")</f>
        <v/>
      </c>
      <c r="K20" s="21"/>
      <c r="L20" s="21"/>
      <c r="M20" s="21"/>
      <c r="N20" s="22"/>
      <c r="O20" s="23"/>
      <c r="P20" s="21"/>
      <c r="Q20" s="21"/>
      <c r="R20" s="24" t="str">
        <f ca="1">IF(AND(I20&lt;&gt;"",K20="Active"),I20-TODAY(),"")</f>
        <v/>
      </c>
      <c r="S20" s="22"/>
    </row>
    <row r="21" spans="1:19" x14ac:dyDescent="0.2">
      <c r="A21" s="20" t="str">
        <f>IF(B21&lt;&gt;"","PTW-"&amp;TEXT(ROW()-4,"000"),"")</f>
        <v/>
      </c>
      <c r="B21" s="21"/>
      <c r="C21" s="22"/>
      <c r="D21" s="22"/>
      <c r="E21" s="21"/>
      <c r="F21" s="21"/>
      <c r="G21" s="23"/>
      <c r="H21" s="23"/>
      <c r="I21" s="23"/>
      <c r="J21" s="24" t="str">
        <f>IF(AND(I21&lt;&gt;"",H21&lt;&gt;""),I21-H21,"")</f>
        <v/>
      </c>
      <c r="K21" s="21"/>
      <c r="L21" s="21"/>
      <c r="M21" s="21"/>
      <c r="N21" s="22"/>
      <c r="O21" s="23"/>
      <c r="P21" s="21"/>
      <c r="Q21" s="21"/>
      <c r="R21" s="24" t="str">
        <f ca="1">IF(AND(I21&lt;&gt;"",K21="Active"),I21-TODAY(),"")</f>
        <v/>
      </c>
      <c r="S21" s="22"/>
    </row>
    <row r="22" spans="1:19" x14ac:dyDescent="0.2">
      <c r="A22" s="20" t="str">
        <f>IF(B22&lt;&gt;"","PTW-"&amp;TEXT(ROW()-4,"000"),"")</f>
        <v/>
      </c>
      <c r="B22" s="21"/>
      <c r="C22" s="22"/>
      <c r="D22" s="22"/>
      <c r="E22" s="21"/>
      <c r="F22" s="21"/>
      <c r="G22" s="23"/>
      <c r="H22" s="23"/>
      <c r="I22" s="23"/>
      <c r="J22" s="24" t="str">
        <f>IF(AND(I22&lt;&gt;"",H22&lt;&gt;""),I22-H22,"")</f>
        <v/>
      </c>
      <c r="K22" s="21"/>
      <c r="L22" s="21"/>
      <c r="M22" s="21"/>
      <c r="N22" s="22"/>
      <c r="O22" s="23"/>
      <c r="P22" s="21"/>
      <c r="Q22" s="21"/>
      <c r="R22" s="24" t="str">
        <f ca="1">IF(AND(I22&lt;&gt;"",K22="Active"),I22-TODAY(),"")</f>
        <v/>
      </c>
      <c r="S22" s="22"/>
    </row>
    <row r="23" spans="1:19" x14ac:dyDescent="0.2">
      <c r="A23" s="20" t="str">
        <f>IF(B23&lt;&gt;"","PTW-"&amp;TEXT(ROW()-4,"000"),"")</f>
        <v/>
      </c>
      <c r="B23" s="21"/>
      <c r="C23" s="22"/>
      <c r="D23" s="22"/>
      <c r="E23" s="21"/>
      <c r="F23" s="21"/>
      <c r="G23" s="23"/>
      <c r="H23" s="23"/>
      <c r="I23" s="23"/>
      <c r="J23" s="24" t="str">
        <f>IF(AND(I23&lt;&gt;"",H23&lt;&gt;""),I23-H23,"")</f>
        <v/>
      </c>
      <c r="K23" s="21"/>
      <c r="L23" s="21"/>
      <c r="M23" s="21"/>
      <c r="N23" s="22"/>
      <c r="O23" s="23"/>
      <c r="P23" s="21"/>
      <c r="Q23" s="21"/>
      <c r="R23" s="24" t="str">
        <f ca="1">IF(AND(I23&lt;&gt;"",K23="Active"),I23-TODAY(),"")</f>
        <v/>
      </c>
      <c r="S23" s="22"/>
    </row>
    <row r="24" spans="1:19" x14ac:dyDescent="0.2">
      <c r="A24" s="20" t="str">
        <f>IF(B24&lt;&gt;"","PTW-"&amp;TEXT(ROW()-4,"000"),"")</f>
        <v/>
      </c>
      <c r="B24" s="21"/>
      <c r="C24" s="22"/>
      <c r="D24" s="22"/>
      <c r="E24" s="21"/>
      <c r="F24" s="21"/>
      <c r="G24" s="23"/>
      <c r="H24" s="23"/>
      <c r="I24" s="23"/>
      <c r="J24" s="24" t="str">
        <f>IF(AND(I24&lt;&gt;"",H24&lt;&gt;""),I24-H24,"")</f>
        <v/>
      </c>
      <c r="K24" s="21"/>
      <c r="L24" s="21"/>
      <c r="M24" s="21"/>
      <c r="N24" s="22"/>
      <c r="O24" s="23"/>
      <c r="P24" s="21"/>
      <c r="Q24" s="21"/>
      <c r="R24" s="24" t="str">
        <f ca="1">IF(AND(I24&lt;&gt;"",K24="Active"),I24-TODAY(),"")</f>
        <v/>
      </c>
      <c r="S24" s="22"/>
    </row>
    <row r="25" spans="1:19" x14ac:dyDescent="0.2">
      <c r="A25" s="20" t="str">
        <f>IF(B25&lt;&gt;"","PTW-"&amp;TEXT(ROW()-4,"000"),"")</f>
        <v/>
      </c>
      <c r="B25" s="21"/>
      <c r="C25" s="22"/>
      <c r="D25" s="22"/>
      <c r="E25" s="21"/>
      <c r="F25" s="21"/>
      <c r="G25" s="23"/>
      <c r="H25" s="23"/>
      <c r="I25" s="23"/>
      <c r="J25" s="24" t="str">
        <f>IF(AND(I25&lt;&gt;"",H25&lt;&gt;""),I25-H25,"")</f>
        <v/>
      </c>
      <c r="K25" s="21"/>
      <c r="L25" s="21"/>
      <c r="M25" s="21"/>
      <c r="N25" s="22"/>
      <c r="O25" s="23"/>
      <c r="P25" s="21"/>
      <c r="Q25" s="21"/>
      <c r="R25" s="24" t="str">
        <f ca="1">IF(AND(I25&lt;&gt;"",K25="Active"),I25-TODAY(),"")</f>
        <v/>
      </c>
      <c r="S25" s="22"/>
    </row>
    <row r="26" spans="1:19" x14ac:dyDescent="0.2">
      <c r="A26" s="20" t="str">
        <f>IF(B26&lt;&gt;"","PTW-"&amp;TEXT(ROW()-4,"000"),"")</f>
        <v/>
      </c>
      <c r="B26" s="21"/>
      <c r="C26" s="22"/>
      <c r="D26" s="22"/>
      <c r="E26" s="21"/>
      <c r="F26" s="21"/>
      <c r="G26" s="23"/>
      <c r="H26" s="23"/>
      <c r="I26" s="23"/>
      <c r="J26" s="24" t="str">
        <f>IF(AND(I26&lt;&gt;"",H26&lt;&gt;""),I26-H26,"")</f>
        <v/>
      </c>
      <c r="K26" s="21"/>
      <c r="L26" s="21"/>
      <c r="M26" s="21"/>
      <c r="N26" s="22"/>
      <c r="O26" s="23"/>
      <c r="P26" s="21"/>
      <c r="Q26" s="21"/>
      <c r="R26" s="24" t="str">
        <f ca="1">IF(AND(I26&lt;&gt;"",K26="Active"),I26-TODAY(),"")</f>
        <v/>
      </c>
      <c r="S26" s="22"/>
    </row>
    <row r="27" spans="1:19" x14ac:dyDescent="0.2">
      <c r="A27" s="20" t="str">
        <f>IF(B27&lt;&gt;"","PTW-"&amp;TEXT(ROW()-4,"000"),"")</f>
        <v/>
      </c>
      <c r="B27" s="21"/>
      <c r="C27" s="22"/>
      <c r="D27" s="22"/>
      <c r="E27" s="21"/>
      <c r="F27" s="21"/>
      <c r="G27" s="23"/>
      <c r="H27" s="23"/>
      <c r="I27" s="23"/>
      <c r="J27" s="24" t="str">
        <f>IF(AND(I27&lt;&gt;"",H27&lt;&gt;""),I27-H27,"")</f>
        <v/>
      </c>
      <c r="K27" s="21"/>
      <c r="L27" s="21"/>
      <c r="M27" s="21"/>
      <c r="N27" s="22"/>
      <c r="O27" s="23"/>
      <c r="P27" s="21"/>
      <c r="Q27" s="21"/>
      <c r="R27" s="24" t="str">
        <f ca="1">IF(AND(I27&lt;&gt;"",K27="Active"),I27-TODAY(),"")</f>
        <v/>
      </c>
      <c r="S27" s="22"/>
    </row>
    <row r="28" spans="1:19" x14ac:dyDescent="0.2">
      <c r="A28" s="20" t="str">
        <f>IF(B28&lt;&gt;"","PTW-"&amp;TEXT(ROW()-4,"000"),"")</f>
        <v/>
      </c>
      <c r="B28" s="21"/>
      <c r="C28" s="22"/>
      <c r="D28" s="22"/>
      <c r="E28" s="21"/>
      <c r="F28" s="21"/>
      <c r="G28" s="23"/>
      <c r="H28" s="23"/>
      <c r="I28" s="23"/>
      <c r="J28" s="24" t="str">
        <f>IF(AND(I28&lt;&gt;"",H28&lt;&gt;""),I28-H28,"")</f>
        <v/>
      </c>
      <c r="K28" s="21"/>
      <c r="L28" s="21"/>
      <c r="M28" s="21"/>
      <c r="N28" s="22"/>
      <c r="O28" s="23"/>
      <c r="P28" s="21"/>
      <c r="Q28" s="21"/>
      <c r="R28" s="24" t="str">
        <f ca="1">IF(AND(I28&lt;&gt;"",K28="Active"),I28-TODAY(),"")</f>
        <v/>
      </c>
      <c r="S28" s="22"/>
    </row>
    <row r="29" spans="1:19" x14ac:dyDescent="0.2">
      <c r="A29" s="20" t="str">
        <f>IF(B29&lt;&gt;"","PTW-"&amp;TEXT(ROW()-4,"000"),"")</f>
        <v/>
      </c>
      <c r="B29" s="21"/>
      <c r="C29" s="22"/>
      <c r="D29" s="22"/>
      <c r="E29" s="21"/>
      <c r="F29" s="21"/>
      <c r="G29" s="23"/>
      <c r="H29" s="23"/>
      <c r="I29" s="23"/>
      <c r="J29" s="24" t="str">
        <f>IF(AND(I29&lt;&gt;"",H29&lt;&gt;""),I29-H29,"")</f>
        <v/>
      </c>
      <c r="K29" s="21"/>
      <c r="L29" s="21"/>
      <c r="M29" s="21"/>
      <c r="N29" s="22"/>
      <c r="O29" s="23"/>
      <c r="P29" s="21"/>
      <c r="Q29" s="21"/>
      <c r="R29" s="24" t="str">
        <f ca="1">IF(AND(I29&lt;&gt;"",K29="Active"),I29-TODAY(),"")</f>
        <v/>
      </c>
      <c r="S29" s="22"/>
    </row>
    <row r="30" spans="1:19" x14ac:dyDescent="0.2">
      <c r="A30" s="20" t="str">
        <f>IF(B30&lt;&gt;"","PTW-"&amp;TEXT(ROW()-4,"000"),"")</f>
        <v/>
      </c>
      <c r="B30" s="21"/>
      <c r="C30" s="22"/>
      <c r="D30" s="22"/>
      <c r="E30" s="21"/>
      <c r="F30" s="21"/>
      <c r="G30" s="23"/>
      <c r="H30" s="23"/>
      <c r="I30" s="23"/>
      <c r="J30" s="24" t="str">
        <f>IF(AND(I30&lt;&gt;"",H30&lt;&gt;""),I30-H30,"")</f>
        <v/>
      </c>
      <c r="K30" s="21"/>
      <c r="L30" s="21"/>
      <c r="M30" s="21"/>
      <c r="N30" s="22"/>
      <c r="O30" s="23"/>
      <c r="P30" s="21"/>
      <c r="Q30" s="21"/>
      <c r="R30" s="24" t="str">
        <f ca="1">IF(AND(I30&lt;&gt;"",K30="Active"),I30-TODAY(),"")</f>
        <v/>
      </c>
      <c r="S30" s="22"/>
    </row>
    <row r="31" spans="1:19" x14ac:dyDescent="0.2">
      <c r="A31" s="20" t="str">
        <f>IF(B31&lt;&gt;"","PTW-"&amp;TEXT(ROW()-4,"000"),"")</f>
        <v/>
      </c>
      <c r="B31" s="21"/>
      <c r="C31" s="22"/>
      <c r="D31" s="22"/>
      <c r="E31" s="21"/>
      <c r="F31" s="21"/>
      <c r="G31" s="23"/>
      <c r="H31" s="23"/>
      <c r="I31" s="23"/>
      <c r="J31" s="24" t="str">
        <f>IF(AND(I31&lt;&gt;"",H31&lt;&gt;""),I31-H31,"")</f>
        <v/>
      </c>
      <c r="K31" s="21"/>
      <c r="L31" s="21"/>
      <c r="M31" s="21"/>
      <c r="N31" s="22"/>
      <c r="O31" s="23"/>
      <c r="P31" s="21"/>
      <c r="Q31" s="21"/>
      <c r="R31" s="24" t="str">
        <f ca="1">IF(AND(I31&lt;&gt;"",K31="Active"),I31-TODAY(),"")</f>
        <v/>
      </c>
      <c r="S31" s="22"/>
    </row>
    <row r="32" spans="1:19" x14ac:dyDescent="0.2">
      <c r="A32" s="20" t="str">
        <f>IF(B32&lt;&gt;"","PTW-"&amp;TEXT(ROW()-4,"000"),"")</f>
        <v/>
      </c>
      <c r="B32" s="21"/>
      <c r="C32" s="22"/>
      <c r="D32" s="22"/>
      <c r="E32" s="21"/>
      <c r="F32" s="21"/>
      <c r="G32" s="23"/>
      <c r="H32" s="23"/>
      <c r="I32" s="23"/>
      <c r="J32" s="24" t="str">
        <f>IF(AND(I32&lt;&gt;"",H32&lt;&gt;""),I32-H32,"")</f>
        <v/>
      </c>
      <c r="K32" s="21"/>
      <c r="L32" s="21"/>
      <c r="M32" s="21"/>
      <c r="N32" s="22"/>
      <c r="O32" s="23"/>
      <c r="P32" s="21"/>
      <c r="Q32" s="21"/>
      <c r="R32" s="24" t="str">
        <f ca="1">IF(AND(I32&lt;&gt;"",K32="Active"),I32-TODAY(),"")</f>
        <v/>
      </c>
      <c r="S32" s="22"/>
    </row>
    <row r="33" spans="1:19" x14ac:dyDescent="0.2">
      <c r="A33" s="20" t="str">
        <f>IF(B33&lt;&gt;"","PTW-"&amp;TEXT(ROW()-4,"000"),"")</f>
        <v/>
      </c>
      <c r="B33" s="21"/>
      <c r="C33" s="22"/>
      <c r="D33" s="22"/>
      <c r="E33" s="21"/>
      <c r="F33" s="21"/>
      <c r="G33" s="23"/>
      <c r="H33" s="23"/>
      <c r="I33" s="23"/>
      <c r="J33" s="24" t="str">
        <f>IF(AND(I33&lt;&gt;"",H33&lt;&gt;""),I33-H33,"")</f>
        <v/>
      </c>
      <c r="K33" s="21"/>
      <c r="L33" s="21"/>
      <c r="M33" s="21"/>
      <c r="N33" s="22"/>
      <c r="O33" s="23"/>
      <c r="P33" s="21"/>
      <c r="Q33" s="21"/>
      <c r="R33" s="24" t="str">
        <f ca="1">IF(AND(I33&lt;&gt;"",K33="Active"),I33-TODAY(),"")</f>
        <v/>
      </c>
      <c r="S33" s="22"/>
    </row>
    <row r="34" spans="1:19" x14ac:dyDescent="0.2">
      <c r="A34" s="20" t="str">
        <f>IF(B34&lt;&gt;"","PTW-"&amp;TEXT(ROW()-4,"000"),"")</f>
        <v/>
      </c>
      <c r="B34" s="21"/>
      <c r="C34" s="22"/>
      <c r="D34" s="22"/>
      <c r="E34" s="21"/>
      <c r="F34" s="21"/>
      <c r="G34" s="23"/>
      <c r="H34" s="23"/>
      <c r="I34" s="23"/>
      <c r="J34" s="24" t="str">
        <f>IF(AND(I34&lt;&gt;"",H34&lt;&gt;""),I34-H34,"")</f>
        <v/>
      </c>
      <c r="K34" s="21"/>
      <c r="L34" s="21"/>
      <c r="M34" s="21"/>
      <c r="N34" s="22"/>
      <c r="O34" s="23"/>
      <c r="P34" s="21"/>
      <c r="Q34" s="21"/>
      <c r="R34" s="24" t="str">
        <f ca="1">IF(AND(I34&lt;&gt;"",K34="Active"),I34-TODAY(),"")</f>
        <v/>
      </c>
      <c r="S34" s="22"/>
    </row>
    <row r="35" spans="1:19" x14ac:dyDescent="0.2">
      <c r="A35" s="20" t="str">
        <f>IF(B35&lt;&gt;"","PTW-"&amp;TEXT(ROW()-4,"000"),"")</f>
        <v/>
      </c>
      <c r="B35" s="21"/>
      <c r="C35" s="22"/>
      <c r="D35" s="22"/>
      <c r="E35" s="21"/>
      <c r="F35" s="21"/>
      <c r="G35" s="23"/>
      <c r="H35" s="23"/>
      <c r="I35" s="23"/>
      <c r="J35" s="24" t="str">
        <f>IF(AND(I35&lt;&gt;"",H35&lt;&gt;""),I35-H35,"")</f>
        <v/>
      </c>
      <c r="K35" s="21"/>
      <c r="L35" s="21"/>
      <c r="M35" s="21"/>
      <c r="N35" s="22"/>
      <c r="O35" s="23"/>
      <c r="P35" s="21"/>
      <c r="Q35" s="21"/>
      <c r="R35" s="24" t="str">
        <f ca="1">IF(AND(I35&lt;&gt;"",K35="Active"),I35-TODAY(),"")</f>
        <v/>
      </c>
      <c r="S35" s="22"/>
    </row>
    <row r="36" spans="1:19" x14ac:dyDescent="0.2">
      <c r="A36" s="20" t="str">
        <f>IF(B36&lt;&gt;"","PTW-"&amp;TEXT(ROW()-4,"000"),"")</f>
        <v/>
      </c>
      <c r="B36" s="21"/>
      <c r="C36" s="22"/>
      <c r="D36" s="22"/>
      <c r="E36" s="21"/>
      <c r="F36" s="21"/>
      <c r="G36" s="23"/>
      <c r="H36" s="23"/>
      <c r="I36" s="23"/>
      <c r="J36" s="24" t="str">
        <f>IF(AND(I36&lt;&gt;"",H36&lt;&gt;""),I36-H36,"")</f>
        <v/>
      </c>
      <c r="K36" s="21"/>
      <c r="L36" s="21"/>
      <c r="M36" s="21"/>
      <c r="N36" s="22"/>
      <c r="O36" s="23"/>
      <c r="P36" s="21"/>
      <c r="Q36" s="21"/>
      <c r="R36" s="24" t="str">
        <f ca="1">IF(AND(I36&lt;&gt;"",K36="Active"),I36-TODAY(),"")</f>
        <v/>
      </c>
      <c r="S36" s="22"/>
    </row>
    <row r="37" spans="1:19" x14ac:dyDescent="0.2">
      <c r="A37" s="20" t="str">
        <f>IF(B37&lt;&gt;"","PTW-"&amp;TEXT(ROW()-4,"000"),"")</f>
        <v/>
      </c>
      <c r="B37" s="21"/>
      <c r="C37" s="22"/>
      <c r="D37" s="22"/>
      <c r="E37" s="21"/>
      <c r="F37" s="21"/>
      <c r="G37" s="23"/>
      <c r="H37" s="23"/>
      <c r="I37" s="23"/>
      <c r="J37" s="24" t="str">
        <f>IF(AND(I37&lt;&gt;"",H37&lt;&gt;""),I37-H37,"")</f>
        <v/>
      </c>
      <c r="K37" s="21"/>
      <c r="L37" s="21"/>
      <c r="M37" s="21"/>
      <c r="N37" s="22"/>
      <c r="O37" s="23"/>
      <c r="P37" s="21"/>
      <c r="Q37" s="21"/>
      <c r="R37" s="24" t="str">
        <f ca="1">IF(AND(I37&lt;&gt;"",K37="Active"),I37-TODAY(),"")</f>
        <v/>
      </c>
      <c r="S37" s="22"/>
    </row>
    <row r="38" spans="1:19" x14ac:dyDescent="0.2">
      <c r="A38" s="20" t="str">
        <f>IF(B38&lt;&gt;"","PTW-"&amp;TEXT(ROW()-4,"000"),"")</f>
        <v/>
      </c>
      <c r="B38" s="21"/>
      <c r="C38" s="22"/>
      <c r="D38" s="22"/>
      <c r="E38" s="21"/>
      <c r="F38" s="21"/>
      <c r="G38" s="23"/>
      <c r="H38" s="23"/>
      <c r="I38" s="23"/>
      <c r="J38" s="24" t="str">
        <f>IF(AND(I38&lt;&gt;"",H38&lt;&gt;""),I38-H38,"")</f>
        <v/>
      </c>
      <c r="K38" s="21"/>
      <c r="L38" s="21"/>
      <c r="M38" s="21"/>
      <c r="N38" s="22"/>
      <c r="O38" s="23"/>
      <c r="P38" s="21"/>
      <c r="Q38" s="21"/>
      <c r="R38" s="24" t="str">
        <f ca="1">IF(AND(I38&lt;&gt;"",K38="Active"),I38-TODAY(),"")</f>
        <v/>
      </c>
      <c r="S38" s="22"/>
    </row>
    <row r="39" spans="1:19" x14ac:dyDescent="0.2">
      <c r="A39" s="20" t="str">
        <f>IF(B39&lt;&gt;"","PTW-"&amp;TEXT(ROW()-4,"000"),"")</f>
        <v/>
      </c>
      <c r="B39" s="21"/>
      <c r="C39" s="22"/>
      <c r="D39" s="22"/>
      <c r="E39" s="21"/>
      <c r="F39" s="21"/>
      <c r="G39" s="23"/>
      <c r="H39" s="23"/>
      <c r="I39" s="23"/>
      <c r="J39" s="24" t="str">
        <f>IF(AND(I39&lt;&gt;"",H39&lt;&gt;""),I39-H39,"")</f>
        <v/>
      </c>
      <c r="K39" s="21"/>
      <c r="L39" s="21"/>
      <c r="M39" s="21"/>
      <c r="N39" s="22"/>
      <c r="O39" s="23"/>
      <c r="P39" s="21"/>
      <c r="Q39" s="21"/>
      <c r="R39" s="24" t="str">
        <f ca="1">IF(AND(I39&lt;&gt;"",K39="Active"),I39-TODAY(),"")</f>
        <v/>
      </c>
      <c r="S39" s="22"/>
    </row>
    <row r="40" spans="1:19" x14ac:dyDescent="0.2">
      <c r="A40" s="20" t="str">
        <f>IF(B40&lt;&gt;"","PTW-"&amp;TEXT(ROW()-4,"000"),"")</f>
        <v/>
      </c>
      <c r="B40" s="21"/>
      <c r="C40" s="22"/>
      <c r="D40" s="22"/>
      <c r="E40" s="21"/>
      <c r="F40" s="21"/>
      <c r="G40" s="23"/>
      <c r="H40" s="23"/>
      <c r="I40" s="23"/>
      <c r="J40" s="24" t="str">
        <f>IF(AND(I40&lt;&gt;"",H40&lt;&gt;""),I40-H40,"")</f>
        <v/>
      </c>
      <c r="K40" s="21"/>
      <c r="L40" s="21"/>
      <c r="M40" s="21"/>
      <c r="N40" s="22"/>
      <c r="O40" s="23"/>
      <c r="P40" s="21"/>
      <c r="Q40" s="21"/>
      <c r="R40" s="24" t="str">
        <f ca="1">IF(AND(I40&lt;&gt;"",K40="Active"),I40-TODAY(),"")</f>
        <v/>
      </c>
      <c r="S40" s="22"/>
    </row>
    <row r="41" spans="1:19" x14ac:dyDescent="0.2">
      <c r="A41" s="20" t="str">
        <f>IF(B41&lt;&gt;"","PTW-"&amp;TEXT(ROW()-4,"000"),"")</f>
        <v/>
      </c>
      <c r="B41" s="21"/>
      <c r="C41" s="22"/>
      <c r="D41" s="22"/>
      <c r="E41" s="21"/>
      <c r="F41" s="21"/>
      <c r="G41" s="23"/>
      <c r="H41" s="23"/>
      <c r="I41" s="23"/>
      <c r="J41" s="24" t="str">
        <f>IF(AND(I41&lt;&gt;"",H41&lt;&gt;""),I41-H41,"")</f>
        <v/>
      </c>
      <c r="K41" s="21"/>
      <c r="L41" s="21"/>
      <c r="M41" s="21"/>
      <c r="N41" s="22"/>
      <c r="O41" s="23"/>
      <c r="P41" s="21"/>
      <c r="Q41" s="21"/>
      <c r="R41" s="24" t="str">
        <f ca="1">IF(AND(I41&lt;&gt;"",K41="Active"),I41-TODAY(),"")</f>
        <v/>
      </c>
      <c r="S41" s="22"/>
    </row>
    <row r="42" spans="1:19" x14ac:dyDescent="0.2">
      <c r="A42" s="20" t="str">
        <f>IF(B42&lt;&gt;"","PTW-"&amp;TEXT(ROW()-4,"000"),"")</f>
        <v/>
      </c>
      <c r="B42" s="21"/>
      <c r="C42" s="22"/>
      <c r="D42" s="22"/>
      <c r="E42" s="21"/>
      <c r="F42" s="21"/>
      <c r="G42" s="23"/>
      <c r="H42" s="23"/>
      <c r="I42" s="23"/>
      <c r="J42" s="24" t="str">
        <f>IF(AND(I42&lt;&gt;"",H42&lt;&gt;""),I42-H42,"")</f>
        <v/>
      </c>
      <c r="K42" s="21"/>
      <c r="L42" s="21"/>
      <c r="M42" s="21"/>
      <c r="N42" s="22"/>
      <c r="O42" s="23"/>
      <c r="P42" s="21"/>
      <c r="Q42" s="21"/>
      <c r="R42" s="24" t="str">
        <f ca="1">IF(AND(I42&lt;&gt;"",K42="Active"),I42-TODAY(),"")</f>
        <v/>
      </c>
      <c r="S42" s="22"/>
    </row>
    <row r="43" spans="1:19" x14ac:dyDescent="0.2">
      <c r="A43" s="20" t="str">
        <f>IF(B43&lt;&gt;"","PTW-"&amp;TEXT(ROW()-4,"000"),"")</f>
        <v/>
      </c>
      <c r="B43" s="21"/>
      <c r="C43" s="22"/>
      <c r="D43" s="22"/>
      <c r="E43" s="21"/>
      <c r="F43" s="21"/>
      <c r="G43" s="23"/>
      <c r="H43" s="23"/>
      <c r="I43" s="23"/>
      <c r="J43" s="24" t="str">
        <f>IF(AND(I43&lt;&gt;"",H43&lt;&gt;""),I43-H43,"")</f>
        <v/>
      </c>
      <c r="K43" s="21"/>
      <c r="L43" s="21"/>
      <c r="M43" s="21"/>
      <c r="N43" s="22"/>
      <c r="O43" s="23"/>
      <c r="P43" s="21"/>
      <c r="Q43" s="21"/>
      <c r="R43" s="24" t="str">
        <f ca="1">IF(AND(I43&lt;&gt;"",K43="Active"),I43-TODAY(),"")</f>
        <v/>
      </c>
      <c r="S43" s="22"/>
    </row>
    <row r="44" spans="1:19" x14ac:dyDescent="0.2">
      <c r="A44" s="20" t="str">
        <f>IF(B44&lt;&gt;"","PTW-"&amp;TEXT(ROW()-4,"000"),"")</f>
        <v/>
      </c>
      <c r="B44" s="21"/>
      <c r="C44" s="22"/>
      <c r="D44" s="22"/>
      <c r="E44" s="21"/>
      <c r="F44" s="21"/>
      <c r="G44" s="23"/>
      <c r="H44" s="23"/>
      <c r="I44" s="23"/>
      <c r="J44" s="24" t="str">
        <f>IF(AND(I44&lt;&gt;"",H44&lt;&gt;""),I44-H44,"")</f>
        <v/>
      </c>
      <c r="K44" s="21"/>
      <c r="L44" s="21"/>
      <c r="M44" s="21"/>
      <c r="N44" s="22"/>
      <c r="O44" s="23"/>
      <c r="P44" s="21"/>
      <c r="Q44" s="21"/>
      <c r="R44" s="24" t="str">
        <f ca="1">IF(AND(I44&lt;&gt;"",K44="Active"),I44-TODAY(),"")</f>
        <v/>
      </c>
      <c r="S44" s="22"/>
    </row>
    <row r="45" spans="1:19" x14ac:dyDescent="0.2">
      <c r="A45" s="20" t="str">
        <f>IF(B45&lt;&gt;"","PTW-"&amp;TEXT(ROW()-4,"000"),"")</f>
        <v/>
      </c>
      <c r="B45" s="21"/>
      <c r="C45" s="22"/>
      <c r="D45" s="22"/>
      <c r="E45" s="21"/>
      <c r="F45" s="21"/>
      <c r="G45" s="23"/>
      <c r="H45" s="23"/>
      <c r="I45" s="23"/>
      <c r="J45" s="24" t="str">
        <f>IF(AND(I45&lt;&gt;"",H45&lt;&gt;""),I45-H45,"")</f>
        <v/>
      </c>
      <c r="K45" s="21"/>
      <c r="L45" s="21"/>
      <c r="M45" s="21"/>
      <c r="N45" s="22"/>
      <c r="O45" s="23"/>
      <c r="P45" s="21"/>
      <c r="Q45" s="21"/>
      <c r="R45" s="24" t="str">
        <f ca="1">IF(AND(I45&lt;&gt;"",K45="Active"),I45-TODAY(),"")</f>
        <v/>
      </c>
      <c r="S45" s="22"/>
    </row>
    <row r="46" spans="1:19" x14ac:dyDescent="0.2">
      <c r="A46" s="20" t="str">
        <f>IF(B46&lt;&gt;"","PTW-"&amp;TEXT(ROW()-4,"000"),"")</f>
        <v/>
      </c>
      <c r="B46" s="21"/>
      <c r="C46" s="22"/>
      <c r="D46" s="22"/>
      <c r="E46" s="21"/>
      <c r="F46" s="21"/>
      <c r="G46" s="23"/>
      <c r="H46" s="23"/>
      <c r="I46" s="23"/>
      <c r="J46" s="24" t="str">
        <f>IF(AND(I46&lt;&gt;"",H46&lt;&gt;""),I46-H46,"")</f>
        <v/>
      </c>
      <c r="K46" s="21"/>
      <c r="L46" s="21"/>
      <c r="M46" s="21"/>
      <c r="N46" s="22"/>
      <c r="O46" s="23"/>
      <c r="P46" s="21"/>
      <c r="Q46" s="21"/>
      <c r="R46" s="24" t="str">
        <f ca="1">IF(AND(I46&lt;&gt;"",K46="Active"),I46-TODAY(),"")</f>
        <v/>
      </c>
      <c r="S46" s="22"/>
    </row>
    <row r="47" spans="1:19" x14ac:dyDescent="0.2">
      <c r="A47" s="20" t="str">
        <f>IF(B47&lt;&gt;"","PTW-"&amp;TEXT(ROW()-4,"000"),"")</f>
        <v/>
      </c>
      <c r="B47" s="21"/>
      <c r="C47" s="22"/>
      <c r="D47" s="22"/>
      <c r="E47" s="21"/>
      <c r="F47" s="21"/>
      <c r="G47" s="23"/>
      <c r="H47" s="23"/>
      <c r="I47" s="23"/>
      <c r="J47" s="24" t="str">
        <f>IF(AND(I47&lt;&gt;"",H47&lt;&gt;""),I47-H47,"")</f>
        <v/>
      </c>
      <c r="K47" s="21"/>
      <c r="L47" s="21"/>
      <c r="M47" s="21"/>
      <c r="N47" s="22"/>
      <c r="O47" s="23"/>
      <c r="P47" s="21"/>
      <c r="Q47" s="21"/>
      <c r="R47" s="24" t="str">
        <f ca="1">IF(AND(I47&lt;&gt;"",K47="Active"),I47-TODAY(),"")</f>
        <v/>
      </c>
      <c r="S47" s="22"/>
    </row>
    <row r="48" spans="1:19" x14ac:dyDescent="0.2">
      <c r="A48" s="20" t="str">
        <f>IF(B48&lt;&gt;"","PTW-"&amp;TEXT(ROW()-4,"000"),"")</f>
        <v/>
      </c>
      <c r="B48" s="21"/>
      <c r="C48" s="22"/>
      <c r="D48" s="22"/>
      <c r="E48" s="21"/>
      <c r="F48" s="21"/>
      <c r="G48" s="23"/>
      <c r="H48" s="23"/>
      <c r="I48" s="23"/>
      <c r="J48" s="24" t="str">
        <f>IF(AND(I48&lt;&gt;"",H48&lt;&gt;""),I48-H48,"")</f>
        <v/>
      </c>
      <c r="K48" s="21"/>
      <c r="L48" s="21"/>
      <c r="M48" s="21"/>
      <c r="N48" s="22"/>
      <c r="O48" s="23"/>
      <c r="P48" s="21"/>
      <c r="Q48" s="21"/>
      <c r="R48" s="24" t="str">
        <f ca="1">IF(AND(I48&lt;&gt;"",K48="Active"),I48-TODAY(),"")</f>
        <v/>
      </c>
      <c r="S48" s="22"/>
    </row>
    <row r="49" spans="1:19" x14ac:dyDescent="0.2">
      <c r="A49" s="20" t="str">
        <f>IF(B49&lt;&gt;"","PTW-"&amp;TEXT(ROW()-4,"000"),"")</f>
        <v/>
      </c>
      <c r="B49" s="21"/>
      <c r="C49" s="22"/>
      <c r="D49" s="22"/>
      <c r="E49" s="21"/>
      <c r="F49" s="21"/>
      <c r="G49" s="23"/>
      <c r="H49" s="23"/>
      <c r="I49" s="23"/>
      <c r="J49" s="24" t="str">
        <f>IF(AND(I49&lt;&gt;"",H49&lt;&gt;""),I49-H49,"")</f>
        <v/>
      </c>
      <c r="K49" s="21"/>
      <c r="L49" s="21"/>
      <c r="M49" s="21"/>
      <c r="N49" s="22"/>
      <c r="O49" s="23"/>
      <c r="P49" s="21"/>
      <c r="Q49" s="21"/>
      <c r="R49" s="24" t="str">
        <f ca="1">IF(AND(I49&lt;&gt;"",K49="Active"),I49-TODAY(),"")</f>
        <v/>
      </c>
      <c r="S49" s="22"/>
    </row>
    <row r="50" spans="1:19" x14ac:dyDescent="0.2">
      <c r="A50" s="20" t="str">
        <f>IF(B50&lt;&gt;"","PTW-"&amp;TEXT(ROW()-4,"000"),"")</f>
        <v/>
      </c>
      <c r="B50" s="21"/>
      <c r="C50" s="22"/>
      <c r="D50" s="22"/>
      <c r="E50" s="21"/>
      <c r="F50" s="21"/>
      <c r="G50" s="23"/>
      <c r="H50" s="23"/>
      <c r="I50" s="23"/>
      <c r="J50" s="24" t="str">
        <f>IF(AND(I50&lt;&gt;"",H50&lt;&gt;""),I50-H50,"")</f>
        <v/>
      </c>
      <c r="K50" s="21"/>
      <c r="L50" s="21"/>
      <c r="M50" s="21"/>
      <c r="N50" s="22"/>
      <c r="O50" s="23"/>
      <c r="P50" s="21"/>
      <c r="Q50" s="21"/>
      <c r="R50" s="24" t="str">
        <f ca="1">IF(AND(I50&lt;&gt;"",K50="Active"),I50-TODAY(),"")</f>
        <v/>
      </c>
      <c r="S50" s="22"/>
    </row>
    <row r="51" spans="1:19" x14ac:dyDescent="0.2">
      <c r="A51" s="20" t="str">
        <f>IF(B51&lt;&gt;"","PTW-"&amp;TEXT(ROW()-4,"000"),"")</f>
        <v/>
      </c>
      <c r="B51" s="21"/>
      <c r="C51" s="22"/>
      <c r="D51" s="22"/>
      <c r="E51" s="21"/>
      <c r="F51" s="21"/>
      <c r="G51" s="23"/>
      <c r="H51" s="23"/>
      <c r="I51" s="23"/>
      <c r="J51" s="24" t="str">
        <f>IF(AND(I51&lt;&gt;"",H51&lt;&gt;""),I51-H51,"")</f>
        <v/>
      </c>
      <c r="K51" s="21"/>
      <c r="L51" s="21"/>
      <c r="M51" s="21"/>
      <c r="N51" s="22"/>
      <c r="O51" s="23"/>
      <c r="P51" s="21"/>
      <c r="Q51" s="21"/>
      <c r="R51" s="24" t="str">
        <f ca="1">IF(AND(I51&lt;&gt;"",K51="Active"),I51-TODAY(),"")</f>
        <v/>
      </c>
      <c r="S51" s="22"/>
    </row>
    <row r="52" spans="1:19" x14ac:dyDescent="0.2">
      <c r="A52" s="20" t="str">
        <f>IF(B52&lt;&gt;"","PTW-"&amp;TEXT(ROW()-4,"000"),"")</f>
        <v/>
      </c>
      <c r="B52" s="21"/>
      <c r="C52" s="22"/>
      <c r="D52" s="22"/>
      <c r="E52" s="21"/>
      <c r="F52" s="21"/>
      <c r="G52" s="23"/>
      <c r="H52" s="23"/>
      <c r="I52" s="23"/>
      <c r="J52" s="24" t="str">
        <f>IF(AND(I52&lt;&gt;"",H52&lt;&gt;""),I52-H52,"")</f>
        <v/>
      </c>
      <c r="K52" s="21"/>
      <c r="L52" s="21"/>
      <c r="M52" s="21"/>
      <c r="N52" s="22"/>
      <c r="O52" s="23"/>
      <c r="P52" s="21"/>
      <c r="Q52" s="21"/>
      <c r="R52" s="24" t="str">
        <f ca="1">IF(AND(I52&lt;&gt;"",K52="Active"),I52-TODAY(),"")</f>
        <v/>
      </c>
      <c r="S52" s="22"/>
    </row>
    <row r="53" spans="1:19" x14ac:dyDescent="0.2">
      <c r="A53" s="20" t="str">
        <f>IF(B53&lt;&gt;"","PTW-"&amp;TEXT(ROW()-4,"000"),"")</f>
        <v/>
      </c>
      <c r="B53" s="21"/>
      <c r="C53" s="22"/>
      <c r="D53" s="22"/>
      <c r="E53" s="21"/>
      <c r="F53" s="21"/>
      <c r="G53" s="23"/>
      <c r="H53" s="23"/>
      <c r="I53" s="23"/>
      <c r="J53" s="24" t="str">
        <f>IF(AND(I53&lt;&gt;"",H53&lt;&gt;""),I53-H53,"")</f>
        <v/>
      </c>
      <c r="K53" s="21"/>
      <c r="L53" s="21"/>
      <c r="M53" s="21"/>
      <c r="N53" s="22"/>
      <c r="O53" s="23"/>
      <c r="P53" s="21"/>
      <c r="Q53" s="21"/>
      <c r="R53" s="24" t="str">
        <f ca="1">IF(AND(I53&lt;&gt;"",K53="Active"),I53-TODAY(),"")</f>
        <v/>
      </c>
      <c r="S53" s="22"/>
    </row>
    <row r="54" spans="1:19" x14ac:dyDescent="0.2">
      <c r="A54" s="20" t="str">
        <f>IF(B54&lt;&gt;"","PTW-"&amp;TEXT(ROW()-4,"000"),"")</f>
        <v/>
      </c>
      <c r="B54" s="21"/>
      <c r="C54" s="22"/>
      <c r="D54" s="22"/>
      <c r="E54" s="21"/>
      <c r="F54" s="21"/>
      <c r="G54" s="23"/>
      <c r="H54" s="23"/>
      <c r="I54" s="23"/>
      <c r="J54" s="24" t="str">
        <f>IF(AND(I54&lt;&gt;"",H54&lt;&gt;""),I54-H54,"")</f>
        <v/>
      </c>
      <c r="K54" s="21"/>
      <c r="L54" s="21"/>
      <c r="M54" s="21"/>
      <c r="N54" s="22"/>
      <c r="O54" s="23"/>
      <c r="P54" s="21"/>
      <c r="Q54" s="21"/>
      <c r="R54" s="24" t="str">
        <f ca="1">IF(AND(I54&lt;&gt;"",K54="Active"),I54-TODAY(),"")</f>
        <v/>
      </c>
      <c r="S54" s="22"/>
    </row>
    <row r="55" spans="1:19" x14ac:dyDescent="0.2">
      <c r="A55" s="20" t="str">
        <f>IF(B55&lt;&gt;"","PTW-"&amp;TEXT(ROW()-4,"000"),"")</f>
        <v/>
      </c>
      <c r="B55" s="21"/>
      <c r="C55" s="22"/>
      <c r="D55" s="22"/>
      <c r="E55" s="21"/>
      <c r="F55" s="21"/>
      <c r="G55" s="23"/>
      <c r="H55" s="23"/>
      <c r="I55" s="23"/>
      <c r="J55" s="24" t="str">
        <f>IF(AND(I55&lt;&gt;"",H55&lt;&gt;""),I55-H55,"")</f>
        <v/>
      </c>
      <c r="K55" s="21"/>
      <c r="L55" s="21"/>
      <c r="M55" s="21"/>
      <c r="N55" s="22"/>
      <c r="O55" s="23"/>
      <c r="P55" s="21"/>
      <c r="Q55" s="21"/>
      <c r="R55" s="24" t="str">
        <f ca="1">IF(AND(I55&lt;&gt;"",K55="Active"),I55-TODAY(),"")</f>
        <v/>
      </c>
      <c r="S55" s="22"/>
    </row>
    <row r="56" spans="1:19" x14ac:dyDescent="0.2">
      <c r="A56" s="20" t="str">
        <f>IF(B56&lt;&gt;"","PTW-"&amp;TEXT(ROW()-4,"000"),"")</f>
        <v/>
      </c>
      <c r="B56" s="21"/>
      <c r="C56" s="22"/>
      <c r="D56" s="22"/>
      <c r="E56" s="21"/>
      <c r="F56" s="21"/>
      <c r="G56" s="23"/>
      <c r="H56" s="23"/>
      <c r="I56" s="23"/>
      <c r="J56" s="24" t="str">
        <f>IF(AND(I56&lt;&gt;"",H56&lt;&gt;""),I56-H56,"")</f>
        <v/>
      </c>
      <c r="K56" s="21"/>
      <c r="L56" s="21"/>
      <c r="M56" s="21"/>
      <c r="N56" s="22"/>
      <c r="O56" s="23"/>
      <c r="P56" s="21"/>
      <c r="Q56" s="21"/>
      <c r="R56" s="24" t="str">
        <f ca="1">IF(AND(I56&lt;&gt;"",K56="Active"),I56-TODAY(),"")</f>
        <v/>
      </c>
      <c r="S56" s="22"/>
    </row>
    <row r="57" spans="1:19" x14ac:dyDescent="0.2">
      <c r="A57" s="20" t="str">
        <f>IF(B57&lt;&gt;"","PTW-"&amp;TEXT(ROW()-4,"000"),"")</f>
        <v/>
      </c>
      <c r="B57" s="21"/>
      <c r="C57" s="22"/>
      <c r="D57" s="22"/>
      <c r="E57" s="21"/>
      <c r="F57" s="21"/>
      <c r="G57" s="23"/>
      <c r="H57" s="23"/>
      <c r="I57" s="23"/>
      <c r="J57" s="24" t="str">
        <f>IF(AND(I57&lt;&gt;"",H57&lt;&gt;""),I57-H57,"")</f>
        <v/>
      </c>
      <c r="K57" s="21"/>
      <c r="L57" s="21"/>
      <c r="M57" s="21"/>
      <c r="N57" s="22"/>
      <c r="O57" s="23"/>
      <c r="P57" s="21"/>
      <c r="Q57" s="21"/>
      <c r="R57" s="24" t="str">
        <f ca="1">IF(AND(I57&lt;&gt;"",K57="Active"),I57-TODAY(),"")</f>
        <v/>
      </c>
      <c r="S57" s="22"/>
    </row>
    <row r="58" spans="1:19" x14ac:dyDescent="0.2">
      <c r="A58" s="20" t="str">
        <f>IF(B58&lt;&gt;"","PTW-"&amp;TEXT(ROW()-4,"000"),"")</f>
        <v/>
      </c>
      <c r="B58" s="21"/>
      <c r="C58" s="22"/>
      <c r="D58" s="22"/>
      <c r="E58" s="21"/>
      <c r="F58" s="21"/>
      <c r="G58" s="23"/>
      <c r="H58" s="23"/>
      <c r="I58" s="23"/>
      <c r="J58" s="24" t="str">
        <f>IF(AND(I58&lt;&gt;"",H58&lt;&gt;""),I58-H58,"")</f>
        <v/>
      </c>
      <c r="K58" s="21"/>
      <c r="L58" s="21"/>
      <c r="M58" s="21"/>
      <c r="N58" s="22"/>
      <c r="O58" s="23"/>
      <c r="P58" s="21"/>
      <c r="Q58" s="21"/>
      <c r="R58" s="24" t="str">
        <f ca="1">IF(AND(I58&lt;&gt;"",K58="Active"),I58-TODAY(),"")</f>
        <v/>
      </c>
      <c r="S58" s="22"/>
    </row>
    <row r="59" spans="1:19" x14ac:dyDescent="0.2">
      <c r="A59" s="20" t="str">
        <f>IF(B59&lt;&gt;"","PTW-"&amp;TEXT(ROW()-4,"000"),"")</f>
        <v/>
      </c>
      <c r="B59" s="21"/>
      <c r="C59" s="22"/>
      <c r="D59" s="22"/>
      <c r="E59" s="21"/>
      <c r="F59" s="21"/>
      <c r="G59" s="23"/>
      <c r="H59" s="23"/>
      <c r="I59" s="23"/>
      <c r="J59" s="24" t="str">
        <f>IF(AND(I59&lt;&gt;"",H59&lt;&gt;""),I59-H59,"")</f>
        <v/>
      </c>
      <c r="K59" s="21"/>
      <c r="L59" s="21"/>
      <c r="M59" s="21"/>
      <c r="N59" s="22"/>
      <c r="O59" s="23"/>
      <c r="P59" s="21"/>
      <c r="Q59" s="21"/>
      <c r="R59" s="24" t="str">
        <f ca="1">IF(AND(I59&lt;&gt;"",K59="Active"),I59-TODAY(),"")</f>
        <v/>
      </c>
      <c r="S59" s="22"/>
    </row>
    <row r="60" spans="1:19" x14ac:dyDescent="0.2">
      <c r="A60" s="20" t="str">
        <f>IF(B60&lt;&gt;"","PTW-"&amp;TEXT(ROW()-4,"000"),"")</f>
        <v/>
      </c>
      <c r="B60" s="21"/>
      <c r="C60" s="22"/>
      <c r="D60" s="22"/>
      <c r="E60" s="21"/>
      <c r="F60" s="21"/>
      <c r="G60" s="23"/>
      <c r="H60" s="23"/>
      <c r="I60" s="23"/>
      <c r="J60" s="24" t="str">
        <f>IF(AND(I60&lt;&gt;"",H60&lt;&gt;""),I60-H60,"")</f>
        <v/>
      </c>
      <c r="K60" s="21"/>
      <c r="L60" s="21"/>
      <c r="M60" s="21"/>
      <c r="N60" s="22"/>
      <c r="O60" s="23"/>
      <c r="P60" s="21"/>
      <c r="Q60" s="21"/>
      <c r="R60" s="24" t="str">
        <f ca="1">IF(AND(I60&lt;&gt;"",K60="Active"),I60-TODAY(),"")</f>
        <v/>
      </c>
      <c r="S60" s="22"/>
    </row>
    <row r="61" spans="1:19" x14ac:dyDescent="0.2">
      <c r="A61" s="20" t="str">
        <f>IF(B61&lt;&gt;"","PTW-"&amp;TEXT(ROW()-4,"000"),"")</f>
        <v/>
      </c>
      <c r="B61" s="21"/>
      <c r="C61" s="22"/>
      <c r="D61" s="22"/>
      <c r="E61" s="21"/>
      <c r="F61" s="21"/>
      <c r="G61" s="23"/>
      <c r="H61" s="23"/>
      <c r="I61" s="23"/>
      <c r="J61" s="24" t="str">
        <f>IF(AND(I61&lt;&gt;"",H61&lt;&gt;""),I61-H61,"")</f>
        <v/>
      </c>
      <c r="K61" s="21"/>
      <c r="L61" s="21"/>
      <c r="M61" s="21"/>
      <c r="N61" s="22"/>
      <c r="O61" s="23"/>
      <c r="P61" s="21"/>
      <c r="Q61" s="21"/>
      <c r="R61" s="24" t="str">
        <f ca="1">IF(AND(I61&lt;&gt;"",K61="Active"),I61-TODAY(),"")</f>
        <v/>
      </c>
      <c r="S61" s="22"/>
    </row>
    <row r="62" spans="1:19" x14ac:dyDescent="0.2">
      <c r="A62" s="20" t="str">
        <f>IF(B62&lt;&gt;"","PTW-"&amp;TEXT(ROW()-4,"000"),"")</f>
        <v/>
      </c>
      <c r="B62" s="21"/>
      <c r="C62" s="22"/>
      <c r="D62" s="22"/>
      <c r="E62" s="21"/>
      <c r="F62" s="21"/>
      <c r="G62" s="23"/>
      <c r="H62" s="23"/>
      <c r="I62" s="23"/>
      <c r="J62" s="24" t="str">
        <f>IF(AND(I62&lt;&gt;"",H62&lt;&gt;""),I62-H62,"")</f>
        <v/>
      </c>
      <c r="K62" s="21"/>
      <c r="L62" s="21"/>
      <c r="M62" s="21"/>
      <c r="N62" s="22"/>
      <c r="O62" s="23"/>
      <c r="P62" s="21"/>
      <c r="Q62" s="21"/>
      <c r="R62" s="24" t="str">
        <f ca="1">IF(AND(I62&lt;&gt;"",K62="Active"),I62-TODAY(),"")</f>
        <v/>
      </c>
      <c r="S62" s="22"/>
    </row>
    <row r="63" spans="1:19" x14ac:dyDescent="0.2">
      <c r="A63" s="20" t="str">
        <f>IF(B63&lt;&gt;"","PTW-"&amp;TEXT(ROW()-4,"000"),"")</f>
        <v/>
      </c>
      <c r="B63" s="21"/>
      <c r="C63" s="22"/>
      <c r="D63" s="22"/>
      <c r="E63" s="21"/>
      <c r="F63" s="21"/>
      <c r="G63" s="23"/>
      <c r="H63" s="23"/>
      <c r="I63" s="23"/>
      <c r="J63" s="24" t="str">
        <f>IF(AND(I63&lt;&gt;"",H63&lt;&gt;""),I63-H63,"")</f>
        <v/>
      </c>
      <c r="K63" s="21"/>
      <c r="L63" s="21"/>
      <c r="M63" s="21"/>
      <c r="N63" s="22"/>
      <c r="O63" s="23"/>
      <c r="P63" s="21"/>
      <c r="Q63" s="21"/>
      <c r="R63" s="24" t="str">
        <f ca="1">IF(AND(I63&lt;&gt;"",K63="Active"),I63-TODAY(),"")</f>
        <v/>
      </c>
      <c r="S63" s="22"/>
    </row>
    <row r="64" spans="1:19" x14ac:dyDescent="0.2">
      <c r="A64" s="20" t="str">
        <f>IF(B64&lt;&gt;"","PTW-"&amp;TEXT(ROW()-4,"000"),"")</f>
        <v/>
      </c>
      <c r="B64" s="21"/>
      <c r="C64" s="22"/>
      <c r="D64" s="22"/>
      <c r="E64" s="21"/>
      <c r="F64" s="21"/>
      <c r="G64" s="23"/>
      <c r="H64" s="23"/>
      <c r="I64" s="23"/>
      <c r="J64" s="24" t="str">
        <f>IF(AND(I64&lt;&gt;"",H64&lt;&gt;""),I64-H64,"")</f>
        <v/>
      </c>
      <c r="K64" s="21"/>
      <c r="L64" s="21"/>
      <c r="M64" s="21"/>
      <c r="N64" s="22"/>
      <c r="O64" s="23"/>
      <c r="P64" s="21"/>
      <c r="Q64" s="21"/>
      <c r="R64" s="24" t="str">
        <f ca="1">IF(AND(I64&lt;&gt;"",K64="Active"),I64-TODAY(),"")</f>
        <v/>
      </c>
      <c r="S64" s="22"/>
    </row>
    <row r="65" spans="1:19" x14ac:dyDescent="0.2">
      <c r="A65" s="20" t="str">
        <f>IF(B65&lt;&gt;"","PTW-"&amp;TEXT(ROW()-4,"000"),"")</f>
        <v/>
      </c>
      <c r="B65" s="21"/>
      <c r="C65" s="22"/>
      <c r="D65" s="22"/>
      <c r="E65" s="21"/>
      <c r="F65" s="21"/>
      <c r="G65" s="23"/>
      <c r="H65" s="23"/>
      <c r="I65" s="23"/>
      <c r="J65" s="24" t="str">
        <f>IF(AND(I65&lt;&gt;"",H65&lt;&gt;""),I65-H65,"")</f>
        <v/>
      </c>
      <c r="K65" s="21"/>
      <c r="L65" s="21"/>
      <c r="M65" s="21"/>
      <c r="N65" s="22"/>
      <c r="O65" s="23"/>
      <c r="P65" s="21"/>
      <c r="Q65" s="21"/>
      <c r="R65" s="24" t="str">
        <f ca="1">IF(AND(I65&lt;&gt;"",K65="Active"),I65-TODAY(),"")</f>
        <v/>
      </c>
      <c r="S65" s="22"/>
    </row>
    <row r="66" spans="1:19" x14ac:dyDescent="0.2">
      <c r="A66" s="20" t="str">
        <f>IF(B66&lt;&gt;"","PTW-"&amp;TEXT(ROW()-4,"000"),"")</f>
        <v/>
      </c>
      <c r="B66" s="21"/>
      <c r="C66" s="22"/>
      <c r="D66" s="22"/>
      <c r="E66" s="21"/>
      <c r="F66" s="21"/>
      <c r="G66" s="23"/>
      <c r="H66" s="23"/>
      <c r="I66" s="23"/>
      <c r="J66" s="24" t="str">
        <f>IF(AND(I66&lt;&gt;"",H66&lt;&gt;""),I66-H66,"")</f>
        <v/>
      </c>
      <c r="K66" s="21"/>
      <c r="L66" s="21"/>
      <c r="M66" s="21"/>
      <c r="N66" s="22"/>
      <c r="O66" s="23"/>
      <c r="P66" s="21"/>
      <c r="Q66" s="21"/>
      <c r="R66" s="24" t="str">
        <f ca="1">IF(AND(I66&lt;&gt;"",K66="Active"),I66-TODAY(),"")</f>
        <v/>
      </c>
      <c r="S66" s="22"/>
    </row>
    <row r="67" spans="1:19" x14ac:dyDescent="0.2">
      <c r="A67" s="20" t="str">
        <f>IF(B67&lt;&gt;"","PTW-"&amp;TEXT(ROW()-4,"000"),"")</f>
        <v/>
      </c>
      <c r="B67" s="21"/>
      <c r="C67" s="22"/>
      <c r="D67" s="22"/>
      <c r="E67" s="21"/>
      <c r="F67" s="21"/>
      <c r="G67" s="23"/>
      <c r="H67" s="23"/>
      <c r="I67" s="23"/>
      <c r="J67" s="24" t="str">
        <f>IF(AND(I67&lt;&gt;"",H67&lt;&gt;""),I67-H67,"")</f>
        <v/>
      </c>
      <c r="K67" s="21"/>
      <c r="L67" s="21"/>
      <c r="M67" s="21"/>
      <c r="N67" s="22"/>
      <c r="O67" s="23"/>
      <c r="P67" s="21"/>
      <c r="Q67" s="21"/>
      <c r="R67" s="24" t="str">
        <f ca="1">IF(AND(I67&lt;&gt;"",K67="Active"),I67-TODAY(),"")</f>
        <v/>
      </c>
      <c r="S67" s="22"/>
    </row>
    <row r="68" spans="1:19" x14ac:dyDescent="0.2">
      <c r="A68" s="20" t="str">
        <f>IF(B68&lt;&gt;"","PTW-"&amp;TEXT(ROW()-4,"000"),"")</f>
        <v/>
      </c>
      <c r="B68" s="21"/>
      <c r="C68" s="22"/>
      <c r="D68" s="22"/>
      <c r="E68" s="21"/>
      <c r="F68" s="21"/>
      <c r="G68" s="23"/>
      <c r="H68" s="23"/>
      <c r="I68" s="23"/>
      <c r="J68" s="24" t="str">
        <f>IF(AND(I68&lt;&gt;"",H68&lt;&gt;""),I68-H68,"")</f>
        <v/>
      </c>
      <c r="K68" s="21"/>
      <c r="L68" s="21"/>
      <c r="M68" s="21"/>
      <c r="N68" s="22"/>
      <c r="O68" s="23"/>
      <c r="P68" s="21"/>
      <c r="Q68" s="21"/>
      <c r="R68" s="24" t="str">
        <f ca="1">IF(AND(I68&lt;&gt;"",K68="Active"),I68-TODAY(),"")</f>
        <v/>
      </c>
      <c r="S68" s="22"/>
    </row>
    <row r="69" spans="1:19" x14ac:dyDescent="0.2">
      <c r="A69" s="20" t="str">
        <f>IF(B69&lt;&gt;"","PTW-"&amp;TEXT(ROW()-4,"000"),"")</f>
        <v/>
      </c>
      <c r="B69" s="21"/>
      <c r="C69" s="22"/>
      <c r="D69" s="22"/>
      <c r="E69" s="21"/>
      <c r="F69" s="21"/>
      <c r="G69" s="23"/>
      <c r="H69" s="23"/>
      <c r="I69" s="23"/>
      <c r="J69" s="24" t="str">
        <f>IF(AND(I69&lt;&gt;"",H69&lt;&gt;""),I69-H69,"")</f>
        <v/>
      </c>
      <c r="K69" s="21"/>
      <c r="L69" s="21"/>
      <c r="M69" s="21"/>
      <c r="N69" s="22"/>
      <c r="O69" s="23"/>
      <c r="P69" s="21"/>
      <c r="Q69" s="21"/>
      <c r="R69" s="24" t="str">
        <f ca="1">IF(AND(I69&lt;&gt;"",K69="Active"),I69-TODAY(),"")</f>
        <v/>
      </c>
      <c r="S69" s="22"/>
    </row>
    <row r="70" spans="1:19" x14ac:dyDescent="0.2">
      <c r="A70" s="20" t="str">
        <f>IF(B70&lt;&gt;"","PTW-"&amp;TEXT(ROW()-4,"000"),"")</f>
        <v/>
      </c>
      <c r="B70" s="21"/>
      <c r="C70" s="22"/>
      <c r="D70" s="22"/>
      <c r="E70" s="21"/>
      <c r="F70" s="21"/>
      <c r="G70" s="23"/>
      <c r="H70" s="23"/>
      <c r="I70" s="23"/>
      <c r="J70" s="24" t="str">
        <f>IF(AND(I70&lt;&gt;"",H70&lt;&gt;""),I70-H70,"")</f>
        <v/>
      </c>
      <c r="K70" s="21"/>
      <c r="L70" s="21"/>
      <c r="M70" s="21"/>
      <c r="N70" s="22"/>
      <c r="O70" s="23"/>
      <c r="P70" s="21"/>
      <c r="Q70" s="21"/>
      <c r="R70" s="24" t="str">
        <f ca="1">IF(AND(I70&lt;&gt;"",K70="Active"),I70-TODAY(),"")</f>
        <v/>
      </c>
      <c r="S70" s="22"/>
    </row>
    <row r="71" spans="1:19" x14ac:dyDescent="0.2">
      <c r="A71" s="20" t="str">
        <f>IF(B71&lt;&gt;"","PTW-"&amp;TEXT(ROW()-4,"000"),"")</f>
        <v/>
      </c>
      <c r="B71" s="21"/>
      <c r="C71" s="22"/>
      <c r="D71" s="22"/>
      <c r="E71" s="21"/>
      <c r="F71" s="21"/>
      <c r="G71" s="23"/>
      <c r="H71" s="23"/>
      <c r="I71" s="23"/>
      <c r="J71" s="24" t="str">
        <f>IF(AND(I71&lt;&gt;"",H71&lt;&gt;""),I71-H71,"")</f>
        <v/>
      </c>
      <c r="K71" s="21"/>
      <c r="L71" s="21"/>
      <c r="M71" s="21"/>
      <c r="N71" s="22"/>
      <c r="O71" s="23"/>
      <c r="P71" s="21"/>
      <c r="Q71" s="21"/>
      <c r="R71" s="24" t="str">
        <f ca="1">IF(AND(I71&lt;&gt;"",K71="Active"),I71-TODAY(),"")</f>
        <v/>
      </c>
      <c r="S71" s="22"/>
    </row>
    <row r="72" spans="1:19" x14ac:dyDescent="0.2">
      <c r="A72" s="20" t="str">
        <f>IF(B72&lt;&gt;"","PTW-"&amp;TEXT(ROW()-4,"000"),"")</f>
        <v/>
      </c>
      <c r="B72" s="21"/>
      <c r="C72" s="22"/>
      <c r="D72" s="22"/>
      <c r="E72" s="21"/>
      <c r="F72" s="21"/>
      <c r="G72" s="23"/>
      <c r="H72" s="23"/>
      <c r="I72" s="23"/>
      <c r="J72" s="24" t="str">
        <f>IF(AND(I72&lt;&gt;"",H72&lt;&gt;""),I72-H72,"")</f>
        <v/>
      </c>
      <c r="K72" s="21"/>
      <c r="L72" s="21"/>
      <c r="M72" s="21"/>
      <c r="N72" s="22"/>
      <c r="O72" s="23"/>
      <c r="P72" s="21"/>
      <c r="Q72" s="21"/>
      <c r="R72" s="24" t="str">
        <f ca="1">IF(AND(I72&lt;&gt;"",K72="Active"),I72-TODAY(),"")</f>
        <v/>
      </c>
      <c r="S72" s="22"/>
    </row>
    <row r="73" spans="1:19" x14ac:dyDescent="0.2">
      <c r="A73" s="20" t="str">
        <f>IF(B73&lt;&gt;"","PTW-"&amp;TEXT(ROW()-4,"000"),"")</f>
        <v/>
      </c>
      <c r="B73" s="21"/>
      <c r="C73" s="22"/>
      <c r="D73" s="22"/>
      <c r="E73" s="21"/>
      <c r="F73" s="21"/>
      <c r="G73" s="23"/>
      <c r="H73" s="23"/>
      <c r="I73" s="23"/>
      <c r="J73" s="24" t="str">
        <f>IF(AND(I73&lt;&gt;"",H73&lt;&gt;""),I73-H73,"")</f>
        <v/>
      </c>
      <c r="K73" s="21"/>
      <c r="L73" s="21"/>
      <c r="M73" s="21"/>
      <c r="N73" s="22"/>
      <c r="O73" s="23"/>
      <c r="P73" s="21"/>
      <c r="Q73" s="21"/>
      <c r="R73" s="24" t="str">
        <f ca="1">IF(AND(I73&lt;&gt;"",K73="Active"),I73-TODAY(),"")</f>
        <v/>
      </c>
      <c r="S73" s="22"/>
    </row>
    <row r="74" spans="1:19" x14ac:dyDescent="0.2">
      <c r="A74" s="20" t="str">
        <f>IF(B74&lt;&gt;"","PTW-"&amp;TEXT(ROW()-4,"000"),"")</f>
        <v/>
      </c>
      <c r="B74" s="21"/>
      <c r="C74" s="22"/>
      <c r="D74" s="22"/>
      <c r="E74" s="21"/>
      <c r="F74" s="21"/>
      <c r="G74" s="23"/>
      <c r="H74" s="23"/>
      <c r="I74" s="23"/>
      <c r="J74" s="24" t="str">
        <f>IF(AND(I74&lt;&gt;"",H74&lt;&gt;""),I74-H74,"")</f>
        <v/>
      </c>
      <c r="K74" s="21"/>
      <c r="L74" s="21"/>
      <c r="M74" s="21"/>
      <c r="N74" s="22"/>
      <c r="O74" s="23"/>
      <c r="P74" s="21"/>
      <c r="Q74" s="21"/>
      <c r="R74" s="24" t="str">
        <f ca="1">IF(AND(I74&lt;&gt;"",K74="Active"),I74-TODAY(),"")</f>
        <v/>
      </c>
      <c r="S74" s="22"/>
    </row>
    <row r="75" spans="1:19" x14ac:dyDescent="0.2">
      <c r="A75" s="20" t="str">
        <f>IF(B75&lt;&gt;"","PTW-"&amp;TEXT(ROW()-4,"000"),"")</f>
        <v/>
      </c>
      <c r="B75" s="21"/>
      <c r="C75" s="22"/>
      <c r="D75" s="22"/>
      <c r="E75" s="21"/>
      <c r="F75" s="21"/>
      <c r="G75" s="23"/>
      <c r="H75" s="23"/>
      <c r="I75" s="23"/>
      <c r="J75" s="24" t="str">
        <f>IF(AND(I75&lt;&gt;"",H75&lt;&gt;""),I75-H75,"")</f>
        <v/>
      </c>
      <c r="K75" s="21"/>
      <c r="L75" s="21"/>
      <c r="M75" s="21"/>
      <c r="N75" s="22"/>
      <c r="O75" s="23"/>
      <c r="P75" s="21"/>
      <c r="Q75" s="21"/>
      <c r="R75" s="24" t="str">
        <f ca="1">IF(AND(I75&lt;&gt;"",K75="Active"),I75-TODAY(),"")</f>
        <v/>
      </c>
      <c r="S75" s="22"/>
    </row>
    <row r="76" spans="1:19" x14ac:dyDescent="0.2">
      <c r="A76" s="20" t="str">
        <f>IF(B76&lt;&gt;"","PTW-"&amp;TEXT(ROW()-4,"000"),"")</f>
        <v/>
      </c>
      <c r="B76" s="21"/>
      <c r="C76" s="22"/>
      <c r="D76" s="22"/>
      <c r="E76" s="21"/>
      <c r="F76" s="21"/>
      <c r="G76" s="23"/>
      <c r="H76" s="23"/>
      <c r="I76" s="23"/>
      <c r="J76" s="24" t="str">
        <f>IF(AND(I76&lt;&gt;"",H76&lt;&gt;""),I76-H76,"")</f>
        <v/>
      </c>
      <c r="K76" s="21"/>
      <c r="L76" s="21"/>
      <c r="M76" s="21"/>
      <c r="N76" s="22"/>
      <c r="O76" s="23"/>
      <c r="P76" s="21"/>
      <c r="Q76" s="21"/>
      <c r="R76" s="24" t="str">
        <f ca="1">IF(AND(I76&lt;&gt;"",K76="Active"),I76-TODAY(),"")</f>
        <v/>
      </c>
      <c r="S76" s="22"/>
    </row>
    <row r="77" spans="1:19" x14ac:dyDescent="0.2">
      <c r="A77" s="20" t="str">
        <f>IF(B77&lt;&gt;"","PTW-"&amp;TEXT(ROW()-4,"000"),"")</f>
        <v/>
      </c>
      <c r="B77" s="21"/>
      <c r="C77" s="22"/>
      <c r="D77" s="22"/>
      <c r="E77" s="21"/>
      <c r="F77" s="21"/>
      <c r="G77" s="23"/>
      <c r="H77" s="23"/>
      <c r="I77" s="23"/>
      <c r="J77" s="24" t="str">
        <f>IF(AND(I77&lt;&gt;"",H77&lt;&gt;""),I77-H77,"")</f>
        <v/>
      </c>
      <c r="K77" s="21"/>
      <c r="L77" s="21"/>
      <c r="M77" s="21"/>
      <c r="N77" s="22"/>
      <c r="O77" s="23"/>
      <c r="P77" s="21"/>
      <c r="Q77" s="21"/>
      <c r="R77" s="24" t="str">
        <f ca="1">IF(AND(I77&lt;&gt;"",K77="Active"),I77-TODAY(),"")</f>
        <v/>
      </c>
      <c r="S77" s="22"/>
    </row>
    <row r="78" spans="1:19" x14ac:dyDescent="0.2">
      <c r="A78" s="20" t="str">
        <f>IF(B78&lt;&gt;"","PTW-"&amp;TEXT(ROW()-4,"000"),"")</f>
        <v/>
      </c>
      <c r="B78" s="21"/>
      <c r="C78" s="22"/>
      <c r="D78" s="22"/>
      <c r="E78" s="21"/>
      <c r="F78" s="21"/>
      <c r="G78" s="23"/>
      <c r="H78" s="23"/>
      <c r="I78" s="23"/>
      <c r="J78" s="24" t="str">
        <f>IF(AND(I78&lt;&gt;"",H78&lt;&gt;""),I78-H78,"")</f>
        <v/>
      </c>
      <c r="K78" s="21"/>
      <c r="L78" s="21"/>
      <c r="M78" s="21"/>
      <c r="N78" s="22"/>
      <c r="O78" s="23"/>
      <c r="P78" s="21"/>
      <c r="Q78" s="21"/>
      <c r="R78" s="24" t="str">
        <f ca="1">IF(AND(I78&lt;&gt;"",K78="Active"),I78-TODAY(),"")</f>
        <v/>
      </c>
      <c r="S78" s="22"/>
    </row>
    <row r="79" spans="1:19" x14ac:dyDescent="0.2">
      <c r="A79" s="20" t="str">
        <f>IF(B79&lt;&gt;"","PTW-"&amp;TEXT(ROW()-4,"000"),"")</f>
        <v/>
      </c>
      <c r="B79" s="21"/>
      <c r="C79" s="22"/>
      <c r="D79" s="22"/>
      <c r="E79" s="21"/>
      <c r="F79" s="21"/>
      <c r="G79" s="23"/>
      <c r="H79" s="23"/>
      <c r="I79" s="23"/>
      <c r="J79" s="24" t="str">
        <f>IF(AND(I79&lt;&gt;"",H79&lt;&gt;""),I79-H79,"")</f>
        <v/>
      </c>
      <c r="K79" s="21"/>
      <c r="L79" s="21"/>
      <c r="M79" s="21"/>
      <c r="N79" s="22"/>
      <c r="O79" s="23"/>
      <c r="P79" s="21"/>
      <c r="Q79" s="21"/>
      <c r="R79" s="24" t="str">
        <f ca="1">IF(AND(I79&lt;&gt;"",K79="Active"),I79-TODAY(),"")</f>
        <v/>
      </c>
      <c r="S79" s="22"/>
    </row>
    <row r="80" spans="1:19" x14ac:dyDescent="0.2">
      <c r="A80" s="20" t="str">
        <f>IF(B80&lt;&gt;"","PTW-"&amp;TEXT(ROW()-4,"000"),"")</f>
        <v/>
      </c>
      <c r="B80" s="21"/>
      <c r="C80" s="22"/>
      <c r="D80" s="22"/>
      <c r="E80" s="21"/>
      <c r="F80" s="21"/>
      <c r="G80" s="23"/>
      <c r="H80" s="23"/>
      <c r="I80" s="23"/>
      <c r="J80" s="24" t="str">
        <f>IF(AND(I80&lt;&gt;"",H80&lt;&gt;""),I80-H80,"")</f>
        <v/>
      </c>
      <c r="K80" s="21"/>
      <c r="L80" s="21"/>
      <c r="M80" s="21"/>
      <c r="N80" s="22"/>
      <c r="O80" s="23"/>
      <c r="P80" s="21"/>
      <c r="Q80" s="21"/>
      <c r="R80" s="24" t="str">
        <f ca="1">IF(AND(I80&lt;&gt;"",K80="Active"),I80-TODAY(),"")</f>
        <v/>
      </c>
      <c r="S80" s="22"/>
    </row>
    <row r="81" spans="1:19" x14ac:dyDescent="0.2">
      <c r="A81" s="20" t="str">
        <f>IF(B81&lt;&gt;"","PTW-"&amp;TEXT(ROW()-4,"000"),"")</f>
        <v/>
      </c>
      <c r="B81" s="21"/>
      <c r="C81" s="22"/>
      <c r="D81" s="22"/>
      <c r="E81" s="21"/>
      <c r="F81" s="21"/>
      <c r="G81" s="23"/>
      <c r="H81" s="23"/>
      <c r="I81" s="23"/>
      <c r="J81" s="24" t="str">
        <f>IF(AND(I81&lt;&gt;"",H81&lt;&gt;""),I81-H81,"")</f>
        <v/>
      </c>
      <c r="K81" s="21"/>
      <c r="L81" s="21"/>
      <c r="M81" s="21"/>
      <c r="N81" s="22"/>
      <c r="O81" s="23"/>
      <c r="P81" s="21"/>
      <c r="Q81" s="21"/>
      <c r="R81" s="24" t="str">
        <f ca="1">IF(AND(I81&lt;&gt;"",K81="Active"),I81-TODAY(),"")</f>
        <v/>
      </c>
      <c r="S81" s="22"/>
    </row>
    <row r="82" spans="1:19" x14ac:dyDescent="0.2">
      <c r="A82" s="20" t="str">
        <f>IF(B82&lt;&gt;"","PTW-"&amp;TEXT(ROW()-4,"000"),"")</f>
        <v/>
      </c>
      <c r="B82" s="21"/>
      <c r="C82" s="22"/>
      <c r="D82" s="22"/>
      <c r="E82" s="21"/>
      <c r="F82" s="21"/>
      <c r="G82" s="23"/>
      <c r="H82" s="23"/>
      <c r="I82" s="23"/>
      <c r="J82" s="24" t="str">
        <f>IF(AND(I82&lt;&gt;"",H82&lt;&gt;""),I82-H82,"")</f>
        <v/>
      </c>
      <c r="K82" s="21"/>
      <c r="L82" s="21"/>
      <c r="M82" s="21"/>
      <c r="N82" s="22"/>
      <c r="O82" s="23"/>
      <c r="P82" s="21"/>
      <c r="Q82" s="21"/>
      <c r="R82" s="24" t="str">
        <f ca="1">IF(AND(I82&lt;&gt;"",K82="Active"),I82-TODAY(),"")</f>
        <v/>
      </c>
      <c r="S82" s="22"/>
    </row>
    <row r="83" spans="1:19" x14ac:dyDescent="0.2">
      <c r="A83" s="20" t="str">
        <f>IF(B83&lt;&gt;"","PTW-"&amp;TEXT(ROW()-4,"000"),"")</f>
        <v/>
      </c>
      <c r="B83" s="21"/>
      <c r="C83" s="22"/>
      <c r="D83" s="22"/>
      <c r="E83" s="21"/>
      <c r="F83" s="21"/>
      <c r="G83" s="23"/>
      <c r="H83" s="23"/>
      <c r="I83" s="23"/>
      <c r="J83" s="24" t="str">
        <f>IF(AND(I83&lt;&gt;"",H83&lt;&gt;""),I83-H83,"")</f>
        <v/>
      </c>
      <c r="K83" s="21"/>
      <c r="L83" s="21"/>
      <c r="M83" s="21"/>
      <c r="N83" s="22"/>
      <c r="O83" s="23"/>
      <c r="P83" s="21"/>
      <c r="Q83" s="21"/>
      <c r="R83" s="24" t="str">
        <f ca="1">IF(AND(I83&lt;&gt;"",K83="Active"),I83-TODAY(),"")</f>
        <v/>
      </c>
      <c r="S83" s="22"/>
    </row>
    <row r="84" spans="1:19" x14ac:dyDescent="0.2">
      <c r="A84" s="20" t="str">
        <f>IF(B84&lt;&gt;"","PTW-"&amp;TEXT(ROW()-4,"000"),"")</f>
        <v/>
      </c>
      <c r="B84" s="21"/>
      <c r="C84" s="22"/>
      <c r="D84" s="22"/>
      <c r="E84" s="21"/>
      <c r="F84" s="21"/>
      <c r="G84" s="23"/>
      <c r="H84" s="23"/>
      <c r="I84" s="23"/>
      <c r="J84" s="24" t="str">
        <f>IF(AND(I84&lt;&gt;"",H84&lt;&gt;""),I84-H84,"")</f>
        <v/>
      </c>
      <c r="K84" s="21"/>
      <c r="L84" s="21"/>
      <c r="M84" s="21"/>
      <c r="N84" s="22"/>
      <c r="O84" s="23"/>
      <c r="P84" s="21"/>
      <c r="Q84" s="21"/>
      <c r="R84" s="24" t="str">
        <f ca="1">IF(AND(I84&lt;&gt;"",K84="Active"),I84-TODAY(),"")</f>
        <v/>
      </c>
      <c r="S84" s="22"/>
    </row>
    <row r="85" spans="1:19" x14ac:dyDescent="0.2">
      <c r="A85" s="20" t="str">
        <f>IF(B85&lt;&gt;"","PTW-"&amp;TEXT(ROW()-4,"000"),"")</f>
        <v/>
      </c>
      <c r="B85" s="21"/>
      <c r="C85" s="22"/>
      <c r="D85" s="22"/>
      <c r="E85" s="21"/>
      <c r="F85" s="21"/>
      <c r="G85" s="23"/>
      <c r="H85" s="23"/>
      <c r="I85" s="23"/>
      <c r="J85" s="24" t="str">
        <f>IF(AND(I85&lt;&gt;"",H85&lt;&gt;""),I85-H85,"")</f>
        <v/>
      </c>
      <c r="K85" s="21"/>
      <c r="L85" s="21"/>
      <c r="M85" s="21"/>
      <c r="N85" s="22"/>
      <c r="O85" s="23"/>
      <c r="P85" s="21"/>
      <c r="Q85" s="21"/>
      <c r="R85" s="24" t="str">
        <f ca="1">IF(AND(I85&lt;&gt;"",K85="Active"),I85-TODAY(),"")</f>
        <v/>
      </c>
      <c r="S85" s="22"/>
    </row>
    <row r="86" spans="1:19" x14ac:dyDescent="0.2">
      <c r="A86" s="20" t="str">
        <f>IF(B86&lt;&gt;"","PTW-"&amp;TEXT(ROW()-4,"000"),"")</f>
        <v/>
      </c>
      <c r="B86" s="21"/>
      <c r="C86" s="22"/>
      <c r="D86" s="22"/>
      <c r="E86" s="21"/>
      <c r="F86" s="21"/>
      <c r="G86" s="23"/>
      <c r="H86" s="23"/>
      <c r="I86" s="23"/>
      <c r="J86" s="24" t="str">
        <f>IF(AND(I86&lt;&gt;"",H86&lt;&gt;""),I86-H86,"")</f>
        <v/>
      </c>
      <c r="K86" s="21"/>
      <c r="L86" s="21"/>
      <c r="M86" s="21"/>
      <c r="N86" s="22"/>
      <c r="O86" s="23"/>
      <c r="P86" s="21"/>
      <c r="Q86" s="21"/>
      <c r="R86" s="24" t="str">
        <f ca="1">IF(AND(I86&lt;&gt;"",K86="Active"),I86-TODAY(),"")</f>
        <v/>
      </c>
      <c r="S86" s="22"/>
    </row>
    <row r="87" spans="1:19" x14ac:dyDescent="0.2">
      <c r="A87" s="20" t="str">
        <f>IF(B87&lt;&gt;"","PTW-"&amp;TEXT(ROW()-4,"000"),"")</f>
        <v/>
      </c>
      <c r="B87" s="21"/>
      <c r="C87" s="22"/>
      <c r="D87" s="22"/>
      <c r="E87" s="21"/>
      <c r="F87" s="21"/>
      <c r="G87" s="23"/>
      <c r="H87" s="23"/>
      <c r="I87" s="23"/>
      <c r="J87" s="24" t="str">
        <f>IF(AND(I87&lt;&gt;"",H87&lt;&gt;""),I87-H87,"")</f>
        <v/>
      </c>
      <c r="K87" s="21"/>
      <c r="L87" s="21"/>
      <c r="M87" s="21"/>
      <c r="N87" s="22"/>
      <c r="O87" s="23"/>
      <c r="P87" s="21"/>
      <c r="Q87" s="21"/>
      <c r="R87" s="24" t="str">
        <f ca="1">IF(AND(I87&lt;&gt;"",K87="Active"),I87-TODAY(),"")</f>
        <v/>
      </c>
      <c r="S87" s="22"/>
    </row>
    <row r="88" spans="1:19" x14ac:dyDescent="0.2">
      <c r="A88" s="20" t="str">
        <f>IF(B88&lt;&gt;"","PTW-"&amp;TEXT(ROW()-4,"000"),"")</f>
        <v/>
      </c>
      <c r="B88" s="21"/>
      <c r="C88" s="22"/>
      <c r="D88" s="22"/>
      <c r="E88" s="21"/>
      <c r="F88" s="21"/>
      <c r="G88" s="23"/>
      <c r="H88" s="23"/>
      <c r="I88" s="23"/>
      <c r="J88" s="24" t="str">
        <f>IF(AND(I88&lt;&gt;"",H88&lt;&gt;""),I88-H88,"")</f>
        <v/>
      </c>
      <c r="K88" s="21"/>
      <c r="L88" s="21"/>
      <c r="M88" s="21"/>
      <c r="N88" s="22"/>
      <c r="O88" s="23"/>
      <c r="P88" s="21"/>
      <c r="Q88" s="21"/>
      <c r="R88" s="24" t="str">
        <f ca="1">IF(AND(I88&lt;&gt;"",K88="Active"),I88-TODAY(),"")</f>
        <v/>
      </c>
      <c r="S88" s="22"/>
    </row>
    <row r="89" spans="1:19" x14ac:dyDescent="0.2">
      <c r="A89" s="20" t="str">
        <f>IF(B89&lt;&gt;"","PTW-"&amp;TEXT(ROW()-4,"000"),"")</f>
        <v/>
      </c>
      <c r="B89" s="21"/>
      <c r="C89" s="22"/>
      <c r="D89" s="22"/>
      <c r="E89" s="21"/>
      <c r="F89" s="21"/>
      <c r="G89" s="23"/>
      <c r="H89" s="23"/>
      <c r="I89" s="23"/>
      <c r="J89" s="24" t="str">
        <f>IF(AND(I89&lt;&gt;"",H89&lt;&gt;""),I89-H89,"")</f>
        <v/>
      </c>
      <c r="K89" s="21"/>
      <c r="L89" s="21"/>
      <c r="M89" s="21"/>
      <c r="N89" s="22"/>
      <c r="O89" s="23"/>
      <c r="P89" s="21"/>
      <c r="Q89" s="21"/>
      <c r="R89" s="24" t="str">
        <f ca="1">IF(AND(I89&lt;&gt;"",K89="Active"),I89-TODAY(),"")</f>
        <v/>
      </c>
      <c r="S89" s="22"/>
    </row>
    <row r="90" spans="1:19" x14ac:dyDescent="0.2">
      <c r="A90" s="20" t="str">
        <f>IF(B90&lt;&gt;"","PTW-"&amp;TEXT(ROW()-4,"000"),"")</f>
        <v/>
      </c>
      <c r="B90" s="21"/>
      <c r="C90" s="22"/>
      <c r="D90" s="22"/>
      <c r="E90" s="21"/>
      <c r="F90" s="21"/>
      <c r="G90" s="23"/>
      <c r="H90" s="23"/>
      <c r="I90" s="23"/>
      <c r="J90" s="24" t="str">
        <f>IF(AND(I90&lt;&gt;"",H90&lt;&gt;""),I90-H90,"")</f>
        <v/>
      </c>
      <c r="K90" s="21"/>
      <c r="L90" s="21"/>
      <c r="M90" s="21"/>
      <c r="N90" s="22"/>
      <c r="O90" s="23"/>
      <c r="P90" s="21"/>
      <c r="Q90" s="21"/>
      <c r="R90" s="24" t="str">
        <f ca="1">IF(AND(I90&lt;&gt;"",K90="Active"),I90-TODAY(),"")</f>
        <v/>
      </c>
      <c r="S90" s="22"/>
    </row>
    <row r="91" spans="1:19" x14ac:dyDescent="0.2">
      <c r="A91" s="20" t="str">
        <f>IF(B91&lt;&gt;"","PTW-"&amp;TEXT(ROW()-4,"000"),"")</f>
        <v/>
      </c>
      <c r="B91" s="21"/>
      <c r="C91" s="22"/>
      <c r="D91" s="22"/>
      <c r="E91" s="21"/>
      <c r="F91" s="21"/>
      <c r="G91" s="23"/>
      <c r="H91" s="23"/>
      <c r="I91" s="23"/>
      <c r="J91" s="24" t="str">
        <f>IF(AND(I91&lt;&gt;"",H91&lt;&gt;""),I91-H91,"")</f>
        <v/>
      </c>
      <c r="K91" s="21"/>
      <c r="L91" s="21"/>
      <c r="M91" s="21"/>
      <c r="N91" s="22"/>
      <c r="O91" s="23"/>
      <c r="P91" s="21"/>
      <c r="Q91" s="21"/>
      <c r="R91" s="24" t="str">
        <f ca="1">IF(AND(I91&lt;&gt;"",K91="Active"),I91-TODAY(),"")</f>
        <v/>
      </c>
      <c r="S91" s="22"/>
    </row>
    <row r="92" spans="1:19" x14ac:dyDescent="0.2">
      <c r="A92" s="20" t="str">
        <f>IF(B92&lt;&gt;"","PTW-"&amp;TEXT(ROW()-4,"000"),"")</f>
        <v/>
      </c>
      <c r="B92" s="21"/>
      <c r="C92" s="22"/>
      <c r="D92" s="22"/>
      <c r="E92" s="21"/>
      <c r="F92" s="21"/>
      <c r="G92" s="23"/>
      <c r="H92" s="23"/>
      <c r="I92" s="23"/>
      <c r="J92" s="24" t="str">
        <f>IF(AND(I92&lt;&gt;"",H92&lt;&gt;""),I92-H92,"")</f>
        <v/>
      </c>
      <c r="K92" s="21"/>
      <c r="L92" s="21"/>
      <c r="M92" s="21"/>
      <c r="N92" s="22"/>
      <c r="O92" s="23"/>
      <c r="P92" s="21"/>
      <c r="Q92" s="21"/>
      <c r="R92" s="24" t="str">
        <f ca="1">IF(AND(I92&lt;&gt;"",K92="Active"),I92-TODAY(),"")</f>
        <v/>
      </c>
      <c r="S92" s="22"/>
    </row>
    <row r="93" spans="1:19" x14ac:dyDescent="0.2">
      <c r="A93" s="20" t="str">
        <f>IF(B93&lt;&gt;"","PTW-"&amp;TEXT(ROW()-4,"000"),"")</f>
        <v/>
      </c>
      <c r="B93" s="21"/>
      <c r="C93" s="22"/>
      <c r="D93" s="22"/>
      <c r="E93" s="21"/>
      <c r="F93" s="21"/>
      <c r="G93" s="23"/>
      <c r="H93" s="23"/>
      <c r="I93" s="23"/>
      <c r="J93" s="24" t="str">
        <f>IF(AND(I93&lt;&gt;"",H93&lt;&gt;""),I93-H93,"")</f>
        <v/>
      </c>
      <c r="K93" s="21"/>
      <c r="L93" s="21"/>
      <c r="M93" s="21"/>
      <c r="N93" s="22"/>
      <c r="O93" s="23"/>
      <c r="P93" s="21"/>
      <c r="Q93" s="21"/>
      <c r="R93" s="24" t="str">
        <f ca="1">IF(AND(I93&lt;&gt;"",K93="Active"),I93-TODAY(),"")</f>
        <v/>
      </c>
      <c r="S93" s="22"/>
    </row>
    <row r="94" spans="1:19" x14ac:dyDescent="0.2">
      <c r="A94" s="20" t="str">
        <f>IF(B94&lt;&gt;"","PTW-"&amp;TEXT(ROW()-4,"000"),"")</f>
        <v/>
      </c>
      <c r="B94" s="21"/>
      <c r="C94" s="22"/>
      <c r="D94" s="22"/>
      <c r="E94" s="21"/>
      <c r="F94" s="21"/>
      <c r="G94" s="23"/>
      <c r="H94" s="23"/>
      <c r="I94" s="23"/>
      <c r="J94" s="24" t="str">
        <f>IF(AND(I94&lt;&gt;"",H94&lt;&gt;""),I94-H94,"")</f>
        <v/>
      </c>
      <c r="K94" s="21"/>
      <c r="L94" s="21"/>
      <c r="M94" s="21"/>
      <c r="N94" s="22"/>
      <c r="O94" s="23"/>
      <c r="P94" s="21"/>
      <c r="Q94" s="21"/>
      <c r="R94" s="24" t="str">
        <f ca="1">IF(AND(I94&lt;&gt;"",K94="Active"),I94-TODAY(),"")</f>
        <v/>
      </c>
      <c r="S94" s="22"/>
    </row>
    <row r="95" spans="1:19" x14ac:dyDescent="0.2">
      <c r="A95" s="20" t="str">
        <f>IF(B95&lt;&gt;"","PTW-"&amp;TEXT(ROW()-4,"000"),"")</f>
        <v/>
      </c>
      <c r="B95" s="21"/>
      <c r="C95" s="22"/>
      <c r="D95" s="22"/>
      <c r="E95" s="21"/>
      <c r="F95" s="21"/>
      <c r="G95" s="23"/>
      <c r="H95" s="23"/>
      <c r="I95" s="23"/>
      <c r="J95" s="24" t="str">
        <f>IF(AND(I95&lt;&gt;"",H95&lt;&gt;""),I95-H95,"")</f>
        <v/>
      </c>
      <c r="K95" s="21"/>
      <c r="L95" s="21"/>
      <c r="M95" s="21"/>
      <c r="N95" s="22"/>
      <c r="O95" s="23"/>
      <c r="P95" s="21"/>
      <c r="Q95" s="21"/>
      <c r="R95" s="24" t="str">
        <f ca="1">IF(AND(I95&lt;&gt;"",K95="Active"),I95-TODAY(),"")</f>
        <v/>
      </c>
      <c r="S95" s="22"/>
    </row>
    <row r="96" spans="1:19" x14ac:dyDescent="0.2">
      <c r="A96" s="20" t="str">
        <f>IF(B96&lt;&gt;"","PTW-"&amp;TEXT(ROW()-4,"000"),"")</f>
        <v/>
      </c>
      <c r="B96" s="21"/>
      <c r="C96" s="22"/>
      <c r="D96" s="22"/>
      <c r="E96" s="21"/>
      <c r="F96" s="21"/>
      <c r="G96" s="23"/>
      <c r="H96" s="23"/>
      <c r="I96" s="23"/>
      <c r="J96" s="24" t="str">
        <f>IF(AND(I96&lt;&gt;"",H96&lt;&gt;""),I96-H96,"")</f>
        <v/>
      </c>
      <c r="K96" s="21"/>
      <c r="L96" s="21"/>
      <c r="M96" s="21"/>
      <c r="N96" s="22"/>
      <c r="O96" s="23"/>
      <c r="P96" s="21"/>
      <c r="Q96" s="21"/>
      <c r="R96" s="24" t="str">
        <f ca="1">IF(AND(I96&lt;&gt;"",K96="Active"),I96-TODAY(),"")</f>
        <v/>
      </c>
      <c r="S96" s="22"/>
    </row>
    <row r="97" spans="1:19" x14ac:dyDescent="0.2">
      <c r="A97" s="20" t="str">
        <f>IF(B97&lt;&gt;"","PTW-"&amp;TEXT(ROW()-4,"000"),"")</f>
        <v/>
      </c>
      <c r="B97" s="21"/>
      <c r="C97" s="22"/>
      <c r="D97" s="22"/>
      <c r="E97" s="21"/>
      <c r="F97" s="21"/>
      <c r="G97" s="23"/>
      <c r="H97" s="23"/>
      <c r="I97" s="23"/>
      <c r="J97" s="24" t="str">
        <f>IF(AND(I97&lt;&gt;"",H97&lt;&gt;""),I97-H97,"")</f>
        <v/>
      </c>
      <c r="K97" s="21"/>
      <c r="L97" s="21"/>
      <c r="M97" s="21"/>
      <c r="N97" s="22"/>
      <c r="O97" s="23"/>
      <c r="P97" s="21"/>
      <c r="Q97" s="21"/>
      <c r="R97" s="24" t="str">
        <f ca="1">IF(AND(I97&lt;&gt;"",K97="Active"),I97-TODAY(),"")</f>
        <v/>
      </c>
      <c r="S97" s="22"/>
    </row>
    <row r="98" spans="1:19" x14ac:dyDescent="0.2">
      <c r="A98" s="20" t="str">
        <f>IF(B98&lt;&gt;"","PTW-"&amp;TEXT(ROW()-4,"000"),"")</f>
        <v/>
      </c>
      <c r="B98" s="21"/>
      <c r="C98" s="22"/>
      <c r="D98" s="22"/>
      <c r="E98" s="21"/>
      <c r="F98" s="21"/>
      <c r="G98" s="23"/>
      <c r="H98" s="23"/>
      <c r="I98" s="23"/>
      <c r="J98" s="24" t="str">
        <f>IF(AND(I98&lt;&gt;"",H98&lt;&gt;""),I98-H98,"")</f>
        <v/>
      </c>
      <c r="K98" s="21"/>
      <c r="L98" s="21"/>
      <c r="M98" s="21"/>
      <c r="N98" s="22"/>
      <c r="O98" s="23"/>
      <c r="P98" s="21"/>
      <c r="Q98" s="21"/>
      <c r="R98" s="24" t="str">
        <f ca="1">IF(AND(I98&lt;&gt;"",K98="Active"),I98-TODAY(),"")</f>
        <v/>
      </c>
      <c r="S98" s="22"/>
    </row>
    <row r="99" spans="1:19" x14ac:dyDescent="0.2">
      <c r="A99" s="20" t="str">
        <f>IF(B99&lt;&gt;"","PTW-"&amp;TEXT(ROW()-4,"000"),"")</f>
        <v/>
      </c>
      <c r="B99" s="21"/>
      <c r="C99" s="22"/>
      <c r="D99" s="22"/>
      <c r="E99" s="21"/>
      <c r="F99" s="21"/>
      <c r="G99" s="23"/>
      <c r="H99" s="23"/>
      <c r="I99" s="23"/>
      <c r="J99" s="24" t="str">
        <f>IF(AND(I99&lt;&gt;"",H99&lt;&gt;""),I99-H99,"")</f>
        <v/>
      </c>
      <c r="K99" s="21"/>
      <c r="L99" s="21"/>
      <c r="M99" s="21"/>
      <c r="N99" s="22"/>
      <c r="O99" s="23"/>
      <c r="P99" s="21"/>
      <c r="Q99" s="21"/>
      <c r="R99" s="24" t="str">
        <f ca="1">IF(AND(I99&lt;&gt;"",K99="Active"),I99-TODAY(),"")</f>
        <v/>
      </c>
      <c r="S99" s="22"/>
    </row>
    <row r="100" spans="1:19" x14ac:dyDescent="0.2">
      <c r="A100" s="20" t="str">
        <f>IF(B100&lt;&gt;"","PTW-"&amp;TEXT(ROW()-4,"000"),"")</f>
        <v/>
      </c>
      <c r="B100" s="21"/>
      <c r="C100" s="22"/>
      <c r="D100" s="22"/>
      <c r="E100" s="21"/>
      <c r="F100" s="21"/>
      <c r="G100" s="23"/>
      <c r="H100" s="23"/>
      <c r="I100" s="23"/>
      <c r="J100" s="24" t="str">
        <f>IF(AND(I100&lt;&gt;"",H100&lt;&gt;""),I100-H100,"")</f>
        <v/>
      </c>
      <c r="K100" s="21"/>
      <c r="L100" s="21"/>
      <c r="M100" s="21"/>
      <c r="N100" s="22"/>
      <c r="O100" s="23"/>
      <c r="P100" s="21"/>
      <c r="Q100" s="21"/>
      <c r="R100" s="24" t="str">
        <f ca="1">IF(AND(I100&lt;&gt;"",K100="Active"),I100-TODAY(),"")</f>
        <v/>
      </c>
      <c r="S100" s="22"/>
    </row>
    <row r="101" spans="1:19" x14ac:dyDescent="0.2">
      <c r="A101" s="20" t="str">
        <f>IF(B101&lt;&gt;"","PTW-"&amp;TEXT(ROW()-4,"000"),"")</f>
        <v/>
      </c>
      <c r="B101" s="21"/>
      <c r="C101" s="22"/>
      <c r="D101" s="22"/>
      <c r="E101" s="21"/>
      <c r="F101" s="21"/>
      <c r="G101" s="23"/>
      <c r="H101" s="23"/>
      <c r="I101" s="23"/>
      <c r="J101" s="24" t="str">
        <f>IF(AND(I101&lt;&gt;"",H101&lt;&gt;""),I101-H101,"")</f>
        <v/>
      </c>
      <c r="K101" s="21"/>
      <c r="L101" s="21"/>
      <c r="M101" s="21"/>
      <c r="N101" s="22"/>
      <c r="O101" s="23"/>
      <c r="P101" s="21"/>
      <c r="Q101" s="21"/>
      <c r="R101" s="24" t="str">
        <f ca="1">IF(AND(I101&lt;&gt;"",K101="Active"),I101-TODAY(),"")</f>
        <v/>
      </c>
      <c r="S101" s="22"/>
    </row>
    <row r="102" spans="1:19" x14ac:dyDescent="0.2">
      <c r="A102" s="20" t="str">
        <f>IF(B102&lt;&gt;"","PTW-"&amp;TEXT(ROW()-4,"000"),"")</f>
        <v/>
      </c>
      <c r="B102" s="21"/>
      <c r="C102" s="22"/>
      <c r="D102" s="22"/>
      <c r="E102" s="21"/>
      <c r="F102" s="21"/>
      <c r="G102" s="23"/>
      <c r="H102" s="23"/>
      <c r="I102" s="23"/>
      <c r="J102" s="24" t="str">
        <f>IF(AND(I102&lt;&gt;"",H102&lt;&gt;""),I102-H102,"")</f>
        <v/>
      </c>
      <c r="K102" s="21"/>
      <c r="L102" s="21"/>
      <c r="M102" s="21"/>
      <c r="N102" s="22"/>
      <c r="O102" s="23"/>
      <c r="P102" s="21"/>
      <c r="Q102" s="21"/>
      <c r="R102" s="24" t="str">
        <f ca="1">IF(AND(I102&lt;&gt;"",K102="Active"),I102-TODAY(),"")</f>
        <v/>
      </c>
      <c r="S102" s="22"/>
    </row>
    <row r="103" spans="1:19" x14ac:dyDescent="0.2">
      <c r="A103" s="20" t="str">
        <f>IF(B103&lt;&gt;"","PTW-"&amp;TEXT(ROW()-4,"000"),"")</f>
        <v/>
      </c>
      <c r="B103" s="21"/>
      <c r="C103" s="22"/>
      <c r="D103" s="22"/>
      <c r="E103" s="21"/>
      <c r="F103" s="21"/>
      <c r="G103" s="23"/>
      <c r="H103" s="23"/>
      <c r="I103" s="23"/>
      <c r="J103" s="24" t="str">
        <f>IF(AND(I103&lt;&gt;"",H103&lt;&gt;""),I103-H103,"")</f>
        <v/>
      </c>
      <c r="K103" s="21"/>
      <c r="L103" s="21"/>
      <c r="M103" s="21"/>
      <c r="N103" s="22"/>
      <c r="O103" s="23"/>
      <c r="P103" s="21"/>
      <c r="Q103" s="21"/>
      <c r="R103" s="24" t="str">
        <f ca="1">IF(AND(I103&lt;&gt;"",K103="Active"),I103-TODAY(),"")</f>
        <v/>
      </c>
      <c r="S103" s="22"/>
    </row>
    <row r="104" spans="1:19" x14ac:dyDescent="0.2">
      <c r="A104" s="20" t="str">
        <f>IF(B104&lt;&gt;"","PTW-"&amp;TEXT(ROW()-4,"000"),"")</f>
        <v/>
      </c>
      <c r="B104" s="21"/>
      <c r="C104" s="22"/>
      <c r="D104" s="22"/>
      <c r="E104" s="21"/>
      <c r="F104" s="21"/>
      <c r="G104" s="23"/>
      <c r="H104" s="23"/>
      <c r="I104" s="23"/>
      <c r="J104" s="24" t="str">
        <f>IF(AND(I104&lt;&gt;"",H104&lt;&gt;""),I104-H104,"")</f>
        <v/>
      </c>
      <c r="K104" s="21"/>
      <c r="L104" s="21"/>
      <c r="M104" s="21"/>
      <c r="N104" s="22"/>
      <c r="O104" s="23"/>
      <c r="P104" s="21"/>
      <c r="Q104" s="21"/>
      <c r="R104" s="24" t="str">
        <f ca="1">IF(AND(I104&lt;&gt;"",K104="Active"),I104-TODAY(),"")</f>
        <v/>
      </c>
      <c r="S104" s="22"/>
    </row>
    <row r="105" spans="1:19" x14ac:dyDescent="0.2">
      <c r="A105" s="20" t="str">
        <f>IF(B105&lt;&gt;"","PTW-"&amp;TEXT(ROW()-4,"000"),"")</f>
        <v/>
      </c>
      <c r="B105" s="21"/>
      <c r="C105" s="22"/>
      <c r="D105" s="22"/>
      <c r="E105" s="21"/>
      <c r="F105" s="21"/>
      <c r="G105" s="23"/>
      <c r="H105" s="23"/>
      <c r="I105" s="23"/>
      <c r="J105" s="24" t="str">
        <f>IF(AND(I105&lt;&gt;"",H105&lt;&gt;""),I105-H105,"")</f>
        <v/>
      </c>
      <c r="K105" s="21"/>
      <c r="L105" s="21"/>
      <c r="M105" s="21"/>
      <c r="N105" s="22"/>
      <c r="O105" s="23"/>
      <c r="P105" s="21"/>
      <c r="Q105" s="21"/>
      <c r="R105" s="24" t="str">
        <f ca="1">IF(AND(I105&lt;&gt;"",K105="Active"),I105-TODAY(),"")</f>
        <v/>
      </c>
      <c r="S105" s="22"/>
    </row>
    <row r="106" spans="1:19" x14ac:dyDescent="0.2">
      <c r="A106" s="20" t="str">
        <f>IF(B106&lt;&gt;"","PTW-"&amp;TEXT(ROW()-4,"000"),"")</f>
        <v/>
      </c>
      <c r="B106" s="21"/>
      <c r="C106" s="22"/>
      <c r="D106" s="22"/>
      <c r="E106" s="21"/>
      <c r="F106" s="21"/>
      <c r="G106" s="23"/>
      <c r="H106" s="23"/>
      <c r="I106" s="23"/>
      <c r="J106" s="24" t="str">
        <f>IF(AND(I106&lt;&gt;"",H106&lt;&gt;""),I106-H106,"")</f>
        <v/>
      </c>
      <c r="K106" s="21"/>
      <c r="L106" s="21"/>
      <c r="M106" s="21"/>
      <c r="N106" s="22"/>
      <c r="O106" s="23"/>
      <c r="P106" s="21"/>
      <c r="Q106" s="21"/>
      <c r="R106" s="24" t="str">
        <f ca="1">IF(AND(I106&lt;&gt;"",K106="Active"),I106-TODAY(),"")</f>
        <v/>
      </c>
      <c r="S106" s="22"/>
    </row>
    <row r="107" spans="1:19" x14ac:dyDescent="0.2">
      <c r="A107" s="20" t="str">
        <f>IF(B107&lt;&gt;"","PTW-"&amp;TEXT(ROW()-4,"000"),"")</f>
        <v/>
      </c>
      <c r="B107" s="21"/>
      <c r="C107" s="22"/>
      <c r="D107" s="22"/>
      <c r="E107" s="21"/>
      <c r="F107" s="21"/>
      <c r="G107" s="23"/>
      <c r="H107" s="23"/>
      <c r="I107" s="23"/>
      <c r="J107" s="24" t="str">
        <f>IF(AND(I107&lt;&gt;"",H107&lt;&gt;""),I107-H107,"")</f>
        <v/>
      </c>
      <c r="K107" s="21"/>
      <c r="L107" s="21"/>
      <c r="M107" s="21"/>
      <c r="N107" s="22"/>
      <c r="O107" s="23"/>
      <c r="P107" s="21"/>
      <c r="Q107" s="21"/>
      <c r="R107" s="24" t="str">
        <f ca="1">IF(AND(I107&lt;&gt;"",K107="Active"),I107-TODAY(),"")</f>
        <v/>
      </c>
      <c r="S107" s="22"/>
    </row>
    <row r="108" spans="1:19" x14ac:dyDescent="0.2">
      <c r="A108" s="20" t="str">
        <f>IF(B108&lt;&gt;"","PTW-"&amp;TEXT(ROW()-4,"000"),"")</f>
        <v/>
      </c>
      <c r="B108" s="21"/>
      <c r="C108" s="22"/>
      <c r="D108" s="22"/>
      <c r="E108" s="21"/>
      <c r="F108" s="21"/>
      <c r="G108" s="23"/>
      <c r="H108" s="23"/>
      <c r="I108" s="23"/>
      <c r="J108" s="24" t="str">
        <f>IF(AND(I108&lt;&gt;"",H108&lt;&gt;""),I108-H108,"")</f>
        <v/>
      </c>
      <c r="K108" s="21"/>
      <c r="L108" s="21"/>
      <c r="M108" s="21"/>
      <c r="N108" s="22"/>
      <c r="O108" s="23"/>
      <c r="P108" s="21"/>
      <c r="Q108" s="21"/>
      <c r="R108" s="24" t="str">
        <f ca="1">IF(AND(I108&lt;&gt;"",K108="Active"),I108-TODAY(),"")</f>
        <v/>
      </c>
      <c r="S108" s="22"/>
    </row>
    <row r="109" spans="1:19" x14ac:dyDescent="0.2">
      <c r="A109" s="20" t="str">
        <f>IF(B109&lt;&gt;"","PTW-"&amp;TEXT(ROW()-4,"000"),"")</f>
        <v/>
      </c>
      <c r="B109" s="21"/>
      <c r="C109" s="22"/>
      <c r="D109" s="22"/>
      <c r="E109" s="21"/>
      <c r="F109" s="21"/>
      <c r="G109" s="23"/>
      <c r="H109" s="23"/>
      <c r="I109" s="23"/>
      <c r="J109" s="24" t="str">
        <f>IF(AND(I109&lt;&gt;"",H109&lt;&gt;""),I109-H109,"")</f>
        <v/>
      </c>
      <c r="K109" s="21"/>
      <c r="L109" s="21"/>
      <c r="M109" s="21"/>
      <c r="N109" s="22"/>
      <c r="O109" s="23"/>
      <c r="P109" s="21"/>
      <c r="Q109" s="21"/>
      <c r="R109" s="24" t="str">
        <f ca="1">IF(AND(I109&lt;&gt;"",K109="Active"),I109-TODAY(),"")</f>
        <v/>
      </c>
      <c r="S109" s="22"/>
    </row>
    <row r="110" spans="1:19" x14ac:dyDescent="0.2">
      <c r="A110" s="20" t="str">
        <f>IF(B110&lt;&gt;"","PTW-"&amp;TEXT(ROW()-4,"000"),"")</f>
        <v/>
      </c>
      <c r="B110" s="21"/>
      <c r="C110" s="22"/>
      <c r="D110" s="22"/>
      <c r="E110" s="21"/>
      <c r="F110" s="21"/>
      <c r="G110" s="23"/>
      <c r="H110" s="23"/>
      <c r="I110" s="23"/>
      <c r="J110" s="24" t="str">
        <f>IF(AND(I110&lt;&gt;"",H110&lt;&gt;""),I110-H110,"")</f>
        <v/>
      </c>
      <c r="K110" s="21"/>
      <c r="L110" s="21"/>
      <c r="M110" s="21"/>
      <c r="N110" s="22"/>
      <c r="O110" s="23"/>
      <c r="P110" s="21"/>
      <c r="Q110" s="21"/>
      <c r="R110" s="24" t="str">
        <f ca="1">IF(AND(I110&lt;&gt;"",K110="Active"),I110-TODAY(),"")</f>
        <v/>
      </c>
      <c r="S110" s="22"/>
    </row>
    <row r="111" spans="1:19" x14ac:dyDescent="0.2">
      <c r="A111" s="20" t="str">
        <f>IF(B111&lt;&gt;"","PTW-"&amp;TEXT(ROW()-4,"000"),"")</f>
        <v/>
      </c>
      <c r="B111" s="21"/>
      <c r="C111" s="22"/>
      <c r="D111" s="22"/>
      <c r="E111" s="21"/>
      <c r="F111" s="21"/>
      <c r="G111" s="23"/>
      <c r="H111" s="23"/>
      <c r="I111" s="23"/>
      <c r="J111" s="24" t="str">
        <f>IF(AND(I111&lt;&gt;"",H111&lt;&gt;""),I111-H111,"")</f>
        <v/>
      </c>
      <c r="K111" s="21"/>
      <c r="L111" s="21"/>
      <c r="M111" s="21"/>
      <c r="N111" s="22"/>
      <c r="O111" s="23"/>
      <c r="P111" s="21"/>
      <c r="Q111" s="21"/>
      <c r="R111" s="24" t="str">
        <f ca="1">IF(AND(I111&lt;&gt;"",K111="Active"),I111-TODAY(),"")</f>
        <v/>
      </c>
      <c r="S111" s="22"/>
    </row>
    <row r="112" spans="1:19" x14ac:dyDescent="0.2">
      <c r="A112" s="20" t="str">
        <f>IF(B112&lt;&gt;"","PTW-"&amp;TEXT(ROW()-4,"000"),"")</f>
        <v/>
      </c>
      <c r="B112" s="21"/>
      <c r="C112" s="22"/>
      <c r="D112" s="22"/>
      <c r="E112" s="21"/>
      <c r="F112" s="21"/>
      <c r="G112" s="23"/>
      <c r="H112" s="23"/>
      <c r="I112" s="23"/>
      <c r="J112" s="24" t="str">
        <f>IF(AND(I112&lt;&gt;"",H112&lt;&gt;""),I112-H112,"")</f>
        <v/>
      </c>
      <c r="K112" s="21"/>
      <c r="L112" s="21"/>
      <c r="M112" s="21"/>
      <c r="N112" s="22"/>
      <c r="O112" s="23"/>
      <c r="P112" s="21"/>
      <c r="Q112" s="21"/>
      <c r="R112" s="24" t="str">
        <f ca="1">IF(AND(I112&lt;&gt;"",K112="Active"),I112-TODAY(),"")</f>
        <v/>
      </c>
      <c r="S112" s="22"/>
    </row>
    <row r="113" spans="1:19" x14ac:dyDescent="0.2">
      <c r="A113" s="20" t="str">
        <f>IF(B113&lt;&gt;"","PTW-"&amp;TEXT(ROW()-4,"000"),"")</f>
        <v/>
      </c>
      <c r="B113" s="21"/>
      <c r="C113" s="22"/>
      <c r="D113" s="22"/>
      <c r="E113" s="21"/>
      <c r="F113" s="21"/>
      <c r="G113" s="23"/>
      <c r="H113" s="23"/>
      <c r="I113" s="23"/>
      <c r="J113" s="24" t="str">
        <f>IF(AND(I113&lt;&gt;"",H113&lt;&gt;""),I113-H113,"")</f>
        <v/>
      </c>
      <c r="K113" s="21"/>
      <c r="L113" s="21"/>
      <c r="M113" s="21"/>
      <c r="N113" s="22"/>
      <c r="O113" s="23"/>
      <c r="P113" s="21"/>
      <c r="Q113" s="21"/>
      <c r="R113" s="24" t="str">
        <f ca="1">IF(AND(I113&lt;&gt;"",K113="Active"),I113-TODAY(),"")</f>
        <v/>
      </c>
      <c r="S113" s="22"/>
    </row>
    <row r="114" spans="1:19" x14ac:dyDescent="0.2">
      <c r="A114" s="20" t="str">
        <f>IF(B114&lt;&gt;"","PTW-"&amp;TEXT(ROW()-4,"000"),"")</f>
        <v/>
      </c>
      <c r="B114" s="21"/>
      <c r="C114" s="22"/>
      <c r="D114" s="22"/>
      <c r="E114" s="21"/>
      <c r="F114" s="21"/>
      <c r="G114" s="23"/>
      <c r="H114" s="23"/>
      <c r="I114" s="23"/>
      <c r="J114" s="24" t="str">
        <f>IF(AND(I114&lt;&gt;"",H114&lt;&gt;""),I114-H114,"")</f>
        <v/>
      </c>
      <c r="K114" s="21"/>
      <c r="L114" s="21"/>
      <c r="M114" s="21"/>
      <c r="N114" s="22"/>
      <c r="O114" s="23"/>
      <c r="P114" s="21"/>
      <c r="Q114" s="21"/>
      <c r="R114" s="24" t="str">
        <f ca="1">IF(AND(I114&lt;&gt;"",K114="Active"),I114-TODAY(),"")</f>
        <v/>
      </c>
      <c r="S114" s="22"/>
    </row>
    <row r="115" spans="1:19" x14ac:dyDescent="0.2">
      <c r="A115" s="20" t="str">
        <f>IF(B115&lt;&gt;"","PTW-"&amp;TEXT(ROW()-4,"000"),"")</f>
        <v/>
      </c>
      <c r="B115" s="21"/>
      <c r="C115" s="22"/>
      <c r="D115" s="22"/>
      <c r="E115" s="21"/>
      <c r="F115" s="21"/>
      <c r="G115" s="23"/>
      <c r="H115" s="23"/>
      <c r="I115" s="23"/>
      <c r="J115" s="24" t="str">
        <f>IF(AND(I115&lt;&gt;"",H115&lt;&gt;""),I115-H115,"")</f>
        <v/>
      </c>
      <c r="K115" s="21"/>
      <c r="L115" s="21"/>
      <c r="M115" s="21"/>
      <c r="N115" s="22"/>
      <c r="O115" s="23"/>
      <c r="P115" s="21"/>
      <c r="Q115" s="21"/>
      <c r="R115" s="24" t="str">
        <f ca="1">IF(AND(I115&lt;&gt;"",K115="Active"),I115-TODAY(),"")</f>
        <v/>
      </c>
      <c r="S115" s="22"/>
    </row>
    <row r="116" spans="1:19" x14ac:dyDescent="0.2">
      <c r="A116" s="20" t="str">
        <f>IF(B116&lt;&gt;"","PTW-"&amp;TEXT(ROW()-4,"000"),"")</f>
        <v/>
      </c>
      <c r="B116" s="21"/>
      <c r="C116" s="22"/>
      <c r="D116" s="22"/>
      <c r="E116" s="21"/>
      <c r="F116" s="21"/>
      <c r="G116" s="23"/>
      <c r="H116" s="23"/>
      <c r="I116" s="23"/>
      <c r="J116" s="24" t="str">
        <f>IF(AND(I116&lt;&gt;"",H116&lt;&gt;""),I116-H116,"")</f>
        <v/>
      </c>
      <c r="K116" s="21"/>
      <c r="L116" s="21"/>
      <c r="M116" s="21"/>
      <c r="N116" s="22"/>
      <c r="O116" s="23"/>
      <c r="P116" s="21"/>
      <c r="Q116" s="21"/>
      <c r="R116" s="24" t="str">
        <f ca="1">IF(AND(I116&lt;&gt;"",K116="Active"),I116-TODAY(),"")</f>
        <v/>
      </c>
      <c r="S116" s="22"/>
    </row>
    <row r="117" spans="1:19" x14ac:dyDescent="0.2">
      <c r="A117" s="20" t="str">
        <f>IF(B117&lt;&gt;"","PTW-"&amp;TEXT(ROW()-4,"000"),"")</f>
        <v/>
      </c>
      <c r="B117" s="21"/>
      <c r="C117" s="22"/>
      <c r="D117" s="22"/>
      <c r="E117" s="21"/>
      <c r="F117" s="21"/>
      <c r="G117" s="23"/>
      <c r="H117" s="23"/>
      <c r="I117" s="23"/>
      <c r="J117" s="24" t="str">
        <f>IF(AND(I117&lt;&gt;"",H117&lt;&gt;""),I117-H117,"")</f>
        <v/>
      </c>
      <c r="K117" s="21"/>
      <c r="L117" s="21"/>
      <c r="M117" s="21"/>
      <c r="N117" s="22"/>
      <c r="O117" s="23"/>
      <c r="P117" s="21"/>
      <c r="Q117" s="21"/>
      <c r="R117" s="24" t="str">
        <f ca="1">IF(AND(I117&lt;&gt;"",K117="Active"),I117-TODAY(),"")</f>
        <v/>
      </c>
      <c r="S117" s="22"/>
    </row>
    <row r="118" spans="1:19" x14ac:dyDescent="0.2">
      <c r="A118" s="20" t="str">
        <f>IF(B118&lt;&gt;"","PTW-"&amp;TEXT(ROW()-4,"000"),"")</f>
        <v/>
      </c>
      <c r="B118" s="21"/>
      <c r="C118" s="22"/>
      <c r="D118" s="22"/>
      <c r="E118" s="21"/>
      <c r="F118" s="21"/>
      <c r="G118" s="23"/>
      <c r="H118" s="23"/>
      <c r="I118" s="23"/>
      <c r="J118" s="24" t="str">
        <f>IF(AND(I118&lt;&gt;"",H118&lt;&gt;""),I118-H118,"")</f>
        <v/>
      </c>
      <c r="K118" s="21"/>
      <c r="L118" s="21"/>
      <c r="M118" s="21"/>
      <c r="N118" s="22"/>
      <c r="O118" s="23"/>
      <c r="P118" s="21"/>
      <c r="Q118" s="21"/>
      <c r="R118" s="24" t="str">
        <f ca="1">IF(AND(I118&lt;&gt;"",K118="Active"),I118-TODAY(),"")</f>
        <v/>
      </c>
      <c r="S118" s="22"/>
    </row>
    <row r="119" spans="1:19" x14ac:dyDescent="0.2">
      <c r="A119" s="20" t="str">
        <f>IF(B119&lt;&gt;"","PTW-"&amp;TEXT(ROW()-4,"000"),"")</f>
        <v/>
      </c>
      <c r="B119" s="21"/>
      <c r="C119" s="22"/>
      <c r="D119" s="22"/>
      <c r="E119" s="21"/>
      <c r="F119" s="21"/>
      <c r="G119" s="23"/>
      <c r="H119" s="23"/>
      <c r="I119" s="23"/>
      <c r="J119" s="24" t="str">
        <f>IF(AND(I119&lt;&gt;"",H119&lt;&gt;""),I119-H119,"")</f>
        <v/>
      </c>
      <c r="K119" s="21"/>
      <c r="L119" s="21"/>
      <c r="M119" s="21"/>
      <c r="N119" s="22"/>
      <c r="O119" s="23"/>
      <c r="P119" s="21"/>
      <c r="Q119" s="21"/>
      <c r="R119" s="24" t="str">
        <f ca="1">IF(AND(I119&lt;&gt;"",K119="Active"),I119-TODAY(),"")</f>
        <v/>
      </c>
      <c r="S119" s="22"/>
    </row>
    <row r="120" spans="1:19" x14ac:dyDescent="0.2">
      <c r="A120" s="20" t="str">
        <f>IF(B120&lt;&gt;"","PTW-"&amp;TEXT(ROW()-4,"000"),"")</f>
        <v/>
      </c>
      <c r="B120" s="21"/>
      <c r="C120" s="22"/>
      <c r="D120" s="22"/>
      <c r="E120" s="21"/>
      <c r="F120" s="21"/>
      <c r="G120" s="23"/>
      <c r="H120" s="23"/>
      <c r="I120" s="23"/>
      <c r="J120" s="24" t="str">
        <f>IF(AND(I120&lt;&gt;"",H120&lt;&gt;""),I120-H120,"")</f>
        <v/>
      </c>
      <c r="K120" s="21"/>
      <c r="L120" s="21"/>
      <c r="M120" s="21"/>
      <c r="N120" s="22"/>
      <c r="O120" s="23"/>
      <c r="P120" s="21"/>
      <c r="Q120" s="21"/>
      <c r="R120" s="24" t="str">
        <f ca="1">IF(AND(I120&lt;&gt;"",K120="Active"),I120-TODAY(),"")</f>
        <v/>
      </c>
      <c r="S120" s="22"/>
    </row>
    <row r="121" spans="1:19" x14ac:dyDescent="0.2">
      <c r="A121" s="20" t="str">
        <f>IF(B121&lt;&gt;"","PTW-"&amp;TEXT(ROW()-4,"000"),"")</f>
        <v/>
      </c>
      <c r="B121" s="21"/>
      <c r="C121" s="22"/>
      <c r="D121" s="22"/>
      <c r="E121" s="21"/>
      <c r="F121" s="21"/>
      <c r="G121" s="23"/>
      <c r="H121" s="23"/>
      <c r="I121" s="23"/>
      <c r="J121" s="24" t="str">
        <f>IF(AND(I121&lt;&gt;"",H121&lt;&gt;""),I121-H121,"")</f>
        <v/>
      </c>
      <c r="K121" s="21"/>
      <c r="L121" s="21"/>
      <c r="M121" s="21"/>
      <c r="N121" s="22"/>
      <c r="O121" s="23"/>
      <c r="P121" s="21"/>
      <c r="Q121" s="21"/>
      <c r="R121" s="24" t="str">
        <f ca="1">IF(AND(I121&lt;&gt;"",K121="Active"),I121-TODAY(),"")</f>
        <v/>
      </c>
      <c r="S121" s="22"/>
    </row>
    <row r="122" spans="1:19" x14ac:dyDescent="0.2">
      <c r="A122" s="20" t="str">
        <f>IF(B122&lt;&gt;"","PTW-"&amp;TEXT(ROW()-4,"000"),"")</f>
        <v/>
      </c>
      <c r="B122" s="21"/>
      <c r="C122" s="22"/>
      <c r="D122" s="22"/>
      <c r="E122" s="21"/>
      <c r="F122" s="21"/>
      <c r="G122" s="23"/>
      <c r="H122" s="23"/>
      <c r="I122" s="23"/>
      <c r="J122" s="24" t="str">
        <f>IF(AND(I122&lt;&gt;"",H122&lt;&gt;""),I122-H122,"")</f>
        <v/>
      </c>
      <c r="K122" s="21"/>
      <c r="L122" s="21"/>
      <c r="M122" s="21"/>
      <c r="N122" s="22"/>
      <c r="O122" s="23"/>
      <c r="P122" s="21"/>
      <c r="Q122" s="21"/>
      <c r="R122" s="24" t="str">
        <f ca="1">IF(AND(I122&lt;&gt;"",K122="Active"),I122-TODAY(),"")</f>
        <v/>
      </c>
      <c r="S122" s="22"/>
    </row>
    <row r="123" spans="1:19" x14ac:dyDescent="0.2">
      <c r="A123" s="20" t="str">
        <f>IF(B123&lt;&gt;"","PTW-"&amp;TEXT(ROW()-4,"000"),"")</f>
        <v/>
      </c>
      <c r="B123" s="21"/>
      <c r="C123" s="22"/>
      <c r="D123" s="22"/>
      <c r="E123" s="21"/>
      <c r="F123" s="21"/>
      <c r="G123" s="23"/>
      <c r="H123" s="23"/>
      <c r="I123" s="23"/>
      <c r="J123" s="24" t="str">
        <f>IF(AND(I123&lt;&gt;"",H123&lt;&gt;""),I123-H123,"")</f>
        <v/>
      </c>
      <c r="K123" s="21"/>
      <c r="L123" s="21"/>
      <c r="M123" s="21"/>
      <c r="N123" s="22"/>
      <c r="O123" s="23"/>
      <c r="P123" s="21"/>
      <c r="Q123" s="21"/>
      <c r="R123" s="24" t="str">
        <f ca="1">IF(AND(I123&lt;&gt;"",K123="Active"),I123-TODAY(),"")</f>
        <v/>
      </c>
      <c r="S123" s="22"/>
    </row>
    <row r="124" spans="1:19" x14ac:dyDescent="0.2">
      <c r="A124" s="20" t="str">
        <f>IF(B124&lt;&gt;"","PTW-"&amp;TEXT(ROW()-4,"000"),"")</f>
        <v/>
      </c>
      <c r="B124" s="21"/>
      <c r="C124" s="22"/>
      <c r="D124" s="22"/>
      <c r="E124" s="21"/>
      <c r="F124" s="21"/>
      <c r="G124" s="23"/>
      <c r="H124" s="23"/>
      <c r="I124" s="23"/>
      <c r="J124" s="24" t="str">
        <f>IF(AND(I124&lt;&gt;"",H124&lt;&gt;""),I124-H124,"")</f>
        <v/>
      </c>
      <c r="K124" s="21"/>
      <c r="L124" s="21"/>
      <c r="M124" s="21"/>
      <c r="N124" s="22"/>
      <c r="O124" s="23"/>
      <c r="P124" s="21"/>
      <c r="Q124" s="21"/>
      <c r="R124" s="24" t="str">
        <f ca="1">IF(AND(I124&lt;&gt;"",K124="Active"),I124-TODAY(),"")</f>
        <v/>
      </c>
      <c r="S124" s="22"/>
    </row>
    <row r="125" spans="1:19" x14ac:dyDescent="0.2">
      <c r="A125" s="20" t="str">
        <f>IF(B125&lt;&gt;"","PTW-"&amp;TEXT(ROW()-4,"000"),"")</f>
        <v/>
      </c>
      <c r="B125" s="21"/>
      <c r="C125" s="22"/>
      <c r="D125" s="22"/>
      <c r="E125" s="21"/>
      <c r="F125" s="21"/>
      <c r="G125" s="23"/>
      <c r="H125" s="23"/>
      <c r="I125" s="23"/>
      <c r="J125" s="24" t="str">
        <f>IF(AND(I125&lt;&gt;"",H125&lt;&gt;""),I125-H125,"")</f>
        <v/>
      </c>
      <c r="K125" s="21"/>
      <c r="L125" s="21"/>
      <c r="M125" s="21"/>
      <c r="N125" s="22"/>
      <c r="O125" s="23"/>
      <c r="P125" s="21"/>
      <c r="Q125" s="21"/>
      <c r="R125" s="24" t="str">
        <f ca="1">IF(AND(I125&lt;&gt;"",K125="Active"),I125-TODAY(),"")</f>
        <v/>
      </c>
      <c r="S125" s="22"/>
    </row>
    <row r="126" spans="1:19" x14ac:dyDescent="0.2">
      <c r="A126" s="20" t="str">
        <f>IF(B126&lt;&gt;"","PTW-"&amp;TEXT(ROW()-4,"000"),"")</f>
        <v/>
      </c>
      <c r="B126" s="21"/>
      <c r="C126" s="22"/>
      <c r="D126" s="22"/>
      <c r="E126" s="21"/>
      <c r="F126" s="21"/>
      <c r="G126" s="23"/>
      <c r="H126" s="23"/>
      <c r="I126" s="23"/>
      <c r="J126" s="24" t="str">
        <f>IF(AND(I126&lt;&gt;"",H126&lt;&gt;""),I126-H126,"")</f>
        <v/>
      </c>
      <c r="K126" s="21"/>
      <c r="L126" s="21"/>
      <c r="M126" s="21"/>
      <c r="N126" s="22"/>
      <c r="O126" s="23"/>
      <c r="P126" s="21"/>
      <c r="Q126" s="21"/>
      <c r="R126" s="24" t="str">
        <f ca="1">IF(AND(I126&lt;&gt;"",K126="Active"),I126-TODAY(),"")</f>
        <v/>
      </c>
      <c r="S126" s="22"/>
    </row>
    <row r="127" spans="1:19" x14ac:dyDescent="0.2">
      <c r="A127" s="20" t="str">
        <f>IF(B127&lt;&gt;"","PTW-"&amp;TEXT(ROW()-4,"000"),"")</f>
        <v/>
      </c>
      <c r="B127" s="21"/>
      <c r="C127" s="22"/>
      <c r="D127" s="22"/>
      <c r="E127" s="21"/>
      <c r="F127" s="21"/>
      <c r="G127" s="23"/>
      <c r="H127" s="23"/>
      <c r="I127" s="23"/>
      <c r="J127" s="24" t="str">
        <f>IF(AND(I127&lt;&gt;"",H127&lt;&gt;""),I127-H127,"")</f>
        <v/>
      </c>
      <c r="K127" s="21"/>
      <c r="L127" s="21"/>
      <c r="M127" s="21"/>
      <c r="N127" s="22"/>
      <c r="O127" s="23"/>
      <c r="P127" s="21"/>
      <c r="Q127" s="21"/>
      <c r="R127" s="24" t="str">
        <f ca="1">IF(AND(I127&lt;&gt;"",K127="Active"),I127-TODAY(),"")</f>
        <v/>
      </c>
      <c r="S127" s="22"/>
    </row>
    <row r="128" spans="1:19" x14ac:dyDescent="0.2">
      <c r="A128" s="20" t="str">
        <f>IF(B128&lt;&gt;"","PTW-"&amp;TEXT(ROW()-4,"000"),"")</f>
        <v/>
      </c>
      <c r="B128" s="21"/>
      <c r="C128" s="22"/>
      <c r="D128" s="22"/>
      <c r="E128" s="21"/>
      <c r="F128" s="21"/>
      <c r="G128" s="23"/>
      <c r="H128" s="23"/>
      <c r="I128" s="23"/>
      <c r="J128" s="24" t="str">
        <f>IF(AND(I128&lt;&gt;"",H128&lt;&gt;""),I128-H128,"")</f>
        <v/>
      </c>
      <c r="K128" s="21"/>
      <c r="L128" s="21"/>
      <c r="M128" s="21"/>
      <c r="N128" s="22"/>
      <c r="O128" s="23"/>
      <c r="P128" s="21"/>
      <c r="Q128" s="21"/>
      <c r="R128" s="24" t="str">
        <f ca="1">IF(AND(I128&lt;&gt;"",K128="Active"),I128-TODAY(),"")</f>
        <v/>
      </c>
      <c r="S128" s="22"/>
    </row>
    <row r="129" spans="1:19" x14ac:dyDescent="0.2">
      <c r="A129" s="20" t="str">
        <f>IF(B129&lt;&gt;"","PTW-"&amp;TEXT(ROW()-4,"000"),"")</f>
        <v/>
      </c>
      <c r="B129" s="21"/>
      <c r="C129" s="22"/>
      <c r="D129" s="22"/>
      <c r="E129" s="21"/>
      <c r="F129" s="21"/>
      <c r="G129" s="23"/>
      <c r="H129" s="23"/>
      <c r="I129" s="23"/>
      <c r="J129" s="24" t="str">
        <f>IF(AND(I129&lt;&gt;"",H129&lt;&gt;""),I129-H129,"")</f>
        <v/>
      </c>
      <c r="K129" s="21"/>
      <c r="L129" s="21"/>
      <c r="M129" s="21"/>
      <c r="N129" s="22"/>
      <c r="O129" s="23"/>
      <c r="P129" s="21"/>
      <c r="Q129" s="21"/>
      <c r="R129" s="24" t="str">
        <f ca="1">IF(AND(I129&lt;&gt;"",K129="Active"),I129-TODAY(),"")</f>
        <v/>
      </c>
      <c r="S129" s="22"/>
    </row>
    <row r="130" spans="1:19" x14ac:dyDescent="0.2">
      <c r="A130" s="20" t="str">
        <f>IF(B130&lt;&gt;"","PTW-"&amp;TEXT(ROW()-4,"000"),"")</f>
        <v/>
      </c>
      <c r="B130" s="21"/>
      <c r="C130" s="22"/>
      <c r="D130" s="22"/>
      <c r="E130" s="21"/>
      <c r="F130" s="21"/>
      <c r="G130" s="23"/>
      <c r="H130" s="23"/>
      <c r="I130" s="23"/>
      <c r="J130" s="24" t="str">
        <f>IF(AND(I130&lt;&gt;"",H130&lt;&gt;""),I130-H130,"")</f>
        <v/>
      </c>
      <c r="K130" s="21"/>
      <c r="L130" s="21"/>
      <c r="M130" s="21"/>
      <c r="N130" s="22"/>
      <c r="O130" s="23"/>
      <c r="P130" s="21"/>
      <c r="Q130" s="21"/>
      <c r="R130" s="24" t="str">
        <f ca="1">IF(AND(I130&lt;&gt;"",K130="Active"),I130-TODAY(),"")</f>
        <v/>
      </c>
      <c r="S130" s="22"/>
    </row>
    <row r="131" spans="1:19" x14ac:dyDescent="0.2">
      <c r="A131" s="20" t="str">
        <f>IF(B131&lt;&gt;"","PTW-"&amp;TEXT(ROW()-4,"000"),"")</f>
        <v/>
      </c>
      <c r="B131" s="21"/>
      <c r="C131" s="22"/>
      <c r="D131" s="22"/>
      <c r="E131" s="21"/>
      <c r="F131" s="21"/>
      <c r="G131" s="23"/>
      <c r="H131" s="23"/>
      <c r="I131" s="23"/>
      <c r="J131" s="24" t="str">
        <f>IF(AND(I131&lt;&gt;"",H131&lt;&gt;""),I131-H131,"")</f>
        <v/>
      </c>
      <c r="K131" s="21"/>
      <c r="L131" s="21"/>
      <c r="M131" s="21"/>
      <c r="N131" s="22"/>
      <c r="O131" s="23"/>
      <c r="P131" s="21"/>
      <c r="Q131" s="21"/>
      <c r="R131" s="24" t="str">
        <f ca="1">IF(AND(I131&lt;&gt;"",K131="Active"),I131-TODAY(),"")</f>
        <v/>
      </c>
      <c r="S131" s="22"/>
    </row>
    <row r="132" spans="1:19" x14ac:dyDescent="0.2">
      <c r="A132" s="20" t="str">
        <f>IF(B132&lt;&gt;"","PTW-"&amp;TEXT(ROW()-4,"000"),"")</f>
        <v/>
      </c>
      <c r="B132" s="21"/>
      <c r="C132" s="22"/>
      <c r="D132" s="22"/>
      <c r="E132" s="21"/>
      <c r="F132" s="21"/>
      <c r="G132" s="23"/>
      <c r="H132" s="23"/>
      <c r="I132" s="23"/>
      <c r="J132" s="24" t="str">
        <f>IF(AND(I132&lt;&gt;"",H132&lt;&gt;""),I132-H132,"")</f>
        <v/>
      </c>
      <c r="K132" s="21"/>
      <c r="L132" s="21"/>
      <c r="M132" s="21"/>
      <c r="N132" s="22"/>
      <c r="O132" s="23"/>
      <c r="P132" s="21"/>
      <c r="Q132" s="21"/>
      <c r="R132" s="24" t="str">
        <f ca="1">IF(AND(I132&lt;&gt;"",K132="Active"),I132-TODAY(),"")</f>
        <v/>
      </c>
      <c r="S132" s="22"/>
    </row>
    <row r="133" spans="1:19" x14ac:dyDescent="0.2">
      <c r="A133" s="20" t="str">
        <f>IF(B133&lt;&gt;"","PTW-"&amp;TEXT(ROW()-4,"000"),"")</f>
        <v/>
      </c>
      <c r="B133" s="21"/>
      <c r="C133" s="22"/>
      <c r="D133" s="22"/>
      <c r="E133" s="21"/>
      <c r="F133" s="21"/>
      <c r="G133" s="23"/>
      <c r="H133" s="23"/>
      <c r="I133" s="23"/>
      <c r="J133" s="24" t="str">
        <f>IF(AND(I133&lt;&gt;"",H133&lt;&gt;""),I133-H133,"")</f>
        <v/>
      </c>
      <c r="K133" s="21"/>
      <c r="L133" s="21"/>
      <c r="M133" s="21"/>
      <c r="N133" s="22"/>
      <c r="O133" s="23"/>
      <c r="P133" s="21"/>
      <c r="Q133" s="21"/>
      <c r="R133" s="24" t="str">
        <f ca="1">IF(AND(I133&lt;&gt;"",K133="Active"),I133-TODAY(),"")</f>
        <v/>
      </c>
      <c r="S133" s="22"/>
    </row>
    <row r="134" spans="1:19" x14ac:dyDescent="0.2">
      <c r="A134" s="20" t="str">
        <f>IF(B134&lt;&gt;"","PTW-"&amp;TEXT(ROW()-4,"000"),"")</f>
        <v/>
      </c>
      <c r="B134" s="21"/>
      <c r="C134" s="22"/>
      <c r="D134" s="22"/>
      <c r="E134" s="21"/>
      <c r="F134" s="21"/>
      <c r="G134" s="23"/>
      <c r="H134" s="23"/>
      <c r="I134" s="23"/>
      <c r="J134" s="24" t="str">
        <f>IF(AND(I134&lt;&gt;"",H134&lt;&gt;""),I134-H134,"")</f>
        <v/>
      </c>
      <c r="K134" s="21"/>
      <c r="L134" s="21"/>
      <c r="M134" s="21"/>
      <c r="N134" s="22"/>
      <c r="O134" s="23"/>
      <c r="P134" s="21"/>
      <c r="Q134" s="21"/>
      <c r="R134" s="24" t="str">
        <f ca="1">IF(AND(I134&lt;&gt;"",K134="Active"),I134-TODAY(),"")</f>
        <v/>
      </c>
      <c r="S134" s="22"/>
    </row>
    <row r="135" spans="1:19" x14ac:dyDescent="0.2">
      <c r="A135" s="20" t="str">
        <f>IF(B135&lt;&gt;"","PTW-"&amp;TEXT(ROW()-4,"000"),"")</f>
        <v/>
      </c>
      <c r="B135" s="21"/>
      <c r="C135" s="22"/>
      <c r="D135" s="22"/>
      <c r="E135" s="21"/>
      <c r="F135" s="21"/>
      <c r="G135" s="23"/>
      <c r="H135" s="23"/>
      <c r="I135" s="23"/>
      <c r="J135" s="24" t="str">
        <f>IF(AND(I135&lt;&gt;"",H135&lt;&gt;""),I135-H135,"")</f>
        <v/>
      </c>
      <c r="K135" s="21"/>
      <c r="L135" s="21"/>
      <c r="M135" s="21"/>
      <c r="N135" s="22"/>
      <c r="O135" s="23"/>
      <c r="P135" s="21"/>
      <c r="Q135" s="21"/>
      <c r="R135" s="24" t="str">
        <f ca="1">IF(AND(I135&lt;&gt;"",K135="Active"),I135-TODAY(),"")</f>
        <v/>
      </c>
      <c r="S135" s="22"/>
    </row>
    <row r="136" spans="1:19" x14ac:dyDescent="0.2">
      <c r="A136" s="20" t="str">
        <f>IF(B136&lt;&gt;"","PTW-"&amp;TEXT(ROW()-4,"000"),"")</f>
        <v/>
      </c>
      <c r="B136" s="21"/>
      <c r="C136" s="22"/>
      <c r="D136" s="22"/>
      <c r="E136" s="21"/>
      <c r="F136" s="21"/>
      <c r="G136" s="23"/>
      <c r="H136" s="23"/>
      <c r="I136" s="23"/>
      <c r="J136" s="24" t="str">
        <f>IF(AND(I136&lt;&gt;"",H136&lt;&gt;""),I136-H136,"")</f>
        <v/>
      </c>
      <c r="K136" s="21"/>
      <c r="L136" s="21"/>
      <c r="M136" s="21"/>
      <c r="N136" s="22"/>
      <c r="O136" s="23"/>
      <c r="P136" s="21"/>
      <c r="Q136" s="21"/>
      <c r="R136" s="24" t="str">
        <f ca="1">IF(AND(I136&lt;&gt;"",K136="Active"),I136-TODAY(),"")</f>
        <v/>
      </c>
      <c r="S136" s="22"/>
    </row>
    <row r="137" spans="1:19" x14ac:dyDescent="0.2">
      <c r="A137" s="20" t="str">
        <f>IF(B137&lt;&gt;"","PTW-"&amp;TEXT(ROW()-4,"000"),"")</f>
        <v/>
      </c>
      <c r="B137" s="21"/>
      <c r="C137" s="22"/>
      <c r="D137" s="22"/>
      <c r="E137" s="21"/>
      <c r="F137" s="21"/>
      <c r="G137" s="23"/>
      <c r="H137" s="23"/>
      <c r="I137" s="23"/>
      <c r="J137" s="24" t="str">
        <f>IF(AND(I137&lt;&gt;"",H137&lt;&gt;""),I137-H137,"")</f>
        <v/>
      </c>
      <c r="K137" s="21"/>
      <c r="L137" s="21"/>
      <c r="M137" s="21"/>
      <c r="N137" s="22"/>
      <c r="O137" s="23"/>
      <c r="P137" s="21"/>
      <c r="Q137" s="21"/>
      <c r="R137" s="24" t="str">
        <f ca="1">IF(AND(I137&lt;&gt;"",K137="Active"),I137-TODAY(),"")</f>
        <v/>
      </c>
      <c r="S137" s="22"/>
    </row>
    <row r="138" spans="1:19" x14ac:dyDescent="0.2">
      <c r="A138" s="20" t="str">
        <f>IF(B138&lt;&gt;"","PTW-"&amp;TEXT(ROW()-4,"000"),"")</f>
        <v/>
      </c>
      <c r="B138" s="21"/>
      <c r="C138" s="22"/>
      <c r="D138" s="22"/>
      <c r="E138" s="21"/>
      <c r="F138" s="21"/>
      <c r="G138" s="23"/>
      <c r="H138" s="23"/>
      <c r="I138" s="23"/>
      <c r="J138" s="24" t="str">
        <f>IF(AND(I138&lt;&gt;"",H138&lt;&gt;""),I138-H138,"")</f>
        <v/>
      </c>
      <c r="K138" s="21"/>
      <c r="L138" s="21"/>
      <c r="M138" s="21"/>
      <c r="N138" s="22"/>
      <c r="O138" s="23"/>
      <c r="P138" s="21"/>
      <c r="Q138" s="21"/>
      <c r="R138" s="24" t="str">
        <f ca="1">IF(AND(I138&lt;&gt;"",K138="Active"),I138-TODAY(),"")</f>
        <v/>
      </c>
      <c r="S138" s="22"/>
    </row>
    <row r="139" spans="1:19" x14ac:dyDescent="0.2">
      <c r="A139" s="20" t="str">
        <f>IF(B139&lt;&gt;"","PTW-"&amp;TEXT(ROW()-4,"000"),"")</f>
        <v/>
      </c>
      <c r="B139" s="21"/>
      <c r="C139" s="22"/>
      <c r="D139" s="22"/>
      <c r="E139" s="21"/>
      <c r="F139" s="21"/>
      <c r="G139" s="23"/>
      <c r="H139" s="23"/>
      <c r="I139" s="23"/>
      <c r="J139" s="24" t="str">
        <f>IF(AND(I139&lt;&gt;"",H139&lt;&gt;""),I139-H139,"")</f>
        <v/>
      </c>
      <c r="K139" s="21"/>
      <c r="L139" s="21"/>
      <c r="M139" s="21"/>
      <c r="N139" s="22"/>
      <c r="O139" s="23"/>
      <c r="P139" s="21"/>
      <c r="Q139" s="21"/>
      <c r="R139" s="24" t="str">
        <f ca="1">IF(AND(I139&lt;&gt;"",K139="Active"),I139-TODAY(),"")</f>
        <v/>
      </c>
      <c r="S139" s="22"/>
    </row>
    <row r="140" spans="1:19" x14ac:dyDescent="0.2">
      <c r="A140" s="20" t="str">
        <f>IF(B140&lt;&gt;"","PTW-"&amp;TEXT(ROW()-4,"000"),"")</f>
        <v/>
      </c>
      <c r="B140" s="21"/>
      <c r="C140" s="22"/>
      <c r="D140" s="22"/>
      <c r="E140" s="21"/>
      <c r="F140" s="21"/>
      <c r="G140" s="23"/>
      <c r="H140" s="23"/>
      <c r="I140" s="23"/>
      <c r="J140" s="24" t="str">
        <f>IF(AND(I140&lt;&gt;"",H140&lt;&gt;""),I140-H140,"")</f>
        <v/>
      </c>
      <c r="K140" s="21"/>
      <c r="L140" s="21"/>
      <c r="M140" s="21"/>
      <c r="N140" s="22"/>
      <c r="O140" s="23"/>
      <c r="P140" s="21"/>
      <c r="Q140" s="21"/>
      <c r="R140" s="24" t="str">
        <f ca="1">IF(AND(I140&lt;&gt;"",K140="Active"),I140-TODAY(),"")</f>
        <v/>
      </c>
      <c r="S140" s="22"/>
    </row>
    <row r="141" spans="1:19" x14ac:dyDescent="0.2">
      <c r="A141" s="20" t="str">
        <f>IF(B141&lt;&gt;"","PTW-"&amp;TEXT(ROW()-4,"000"),"")</f>
        <v/>
      </c>
      <c r="B141" s="21"/>
      <c r="C141" s="22"/>
      <c r="D141" s="22"/>
      <c r="E141" s="21"/>
      <c r="F141" s="21"/>
      <c r="G141" s="23"/>
      <c r="H141" s="23"/>
      <c r="I141" s="23"/>
      <c r="J141" s="24" t="str">
        <f>IF(AND(I141&lt;&gt;"",H141&lt;&gt;""),I141-H141,"")</f>
        <v/>
      </c>
      <c r="K141" s="21"/>
      <c r="L141" s="21"/>
      <c r="M141" s="21"/>
      <c r="N141" s="22"/>
      <c r="O141" s="23"/>
      <c r="P141" s="21"/>
      <c r="Q141" s="21"/>
      <c r="R141" s="24" t="str">
        <f ca="1">IF(AND(I141&lt;&gt;"",K141="Active"),I141-TODAY(),"")</f>
        <v/>
      </c>
      <c r="S141" s="22"/>
    </row>
    <row r="142" spans="1:19" x14ac:dyDescent="0.2">
      <c r="A142" s="20" t="str">
        <f>IF(B142&lt;&gt;"","PTW-"&amp;TEXT(ROW()-4,"000"),"")</f>
        <v/>
      </c>
      <c r="B142" s="21"/>
      <c r="C142" s="22"/>
      <c r="D142" s="22"/>
      <c r="E142" s="21"/>
      <c r="F142" s="21"/>
      <c r="G142" s="23"/>
      <c r="H142" s="23"/>
      <c r="I142" s="23"/>
      <c r="J142" s="24" t="str">
        <f>IF(AND(I142&lt;&gt;"",H142&lt;&gt;""),I142-H142,"")</f>
        <v/>
      </c>
      <c r="K142" s="21"/>
      <c r="L142" s="21"/>
      <c r="M142" s="21"/>
      <c r="N142" s="22"/>
      <c r="O142" s="23"/>
      <c r="P142" s="21"/>
      <c r="Q142" s="21"/>
      <c r="R142" s="24" t="str">
        <f ca="1">IF(AND(I142&lt;&gt;"",K142="Active"),I142-TODAY(),"")</f>
        <v/>
      </c>
      <c r="S142" s="22"/>
    </row>
    <row r="143" spans="1:19" x14ac:dyDescent="0.2">
      <c r="A143" s="20" t="str">
        <f>IF(B143&lt;&gt;"","PTW-"&amp;TEXT(ROW()-4,"000"),"")</f>
        <v/>
      </c>
      <c r="B143" s="21"/>
      <c r="C143" s="22"/>
      <c r="D143" s="22"/>
      <c r="E143" s="21"/>
      <c r="F143" s="21"/>
      <c r="G143" s="23"/>
      <c r="H143" s="23"/>
      <c r="I143" s="23"/>
      <c r="J143" s="24" t="str">
        <f>IF(AND(I143&lt;&gt;"",H143&lt;&gt;""),I143-H143,"")</f>
        <v/>
      </c>
      <c r="K143" s="21"/>
      <c r="L143" s="21"/>
      <c r="M143" s="21"/>
      <c r="N143" s="22"/>
      <c r="O143" s="23"/>
      <c r="P143" s="21"/>
      <c r="Q143" s="21"/>
      <c r="R143" s="24" t="str">
        <f ca="1">IF(AND(I143&lt;&gt;"",K143="Active"),I143-TODAY(),"")</f>
        <v/>
      </c>
      <c r="S143" s="22"/>
    </row>
    <row r="144" spans="1:19" x14ac:dyDescent="0.2">
      <c r="A144" s="20" t="str">
        <f>IF(B144&lt;&gt;"","PTW-"&amp;TEXT(ROW()-4,"000"),"")</f>
        <v/>
      </c>
      <c r="B144" s="21"/>
      <c r="C144" s="22"/>
      <c r="D144" s="22"/>
      <c r="E144" s="21"/>
      <c r="F144" s="21"/>
      <c r="G144" s="23"/>
      <c r="H144" s="23"/>
      <c r="I144" s="23"/>
      <c r="J144" s="24" t="str">
        <f>IF(AND(I144&lt;&gt;"",H144&lt;&gt;""),I144-H144,"")</f>
        <v/>
      </c>
      <c r="K144" s="21"/>
      <c r="L144" s="21"/>
      <c r="M144" s="21"/>
      <c r="N144" s="22"/>
      <c r="O144" s="23"/>
      <c r="P144" s="21"/>
      <c r="Q144" s="21"/>
      <c r="R144" s="24" t="str">
        <f ca="1">IF(AND(I144&lt;&gt;"",K144="Active"),I144-TODAY(),"")</f>
        <v/>
      </c>
      <c r="S144" s="22"/>
    </row>
    <row r="145" spans="1:19" x14ac:dyDescent="0.2">
      <c r="A145" s="20" t="str">
        <f>IF(B145&lt;&gt;"","PTW-"&amp;TEXT(ROW()-4,"000"),"")</f>
        <v/>
      </c>
      <c r="B145" s="21"/>
      <c r="C145" s="22"/>
      <c r="D145" s="22"/>
      <c r="E145" s="21"/>
      <c r="F145" s="21"/>
      <c r="G145" s="23"/>
      <c r="H145" s="23"/>
      <c r="I145" s="23"/>
      <c r="J145" s="24" t="str">
        <f>IF(AND(I145&lt;&gt;"",H145&lt;&gt;""),I145-H145,"")</f>
        <v/>
      </c>
      <c r="K145" s="21"/>
      <c r="L145" s="21"/>
      <c r="M145" s="21"/>
      <c r="N145" s="22"/>
      <c r="O145" s="23"/>
      <c r="P145" s="21"/>
      <c r="Q145" s="21"/>
      <c r="R145" s="24" t="str">
        <f ca="1">IF(AND(I145&lt;&gt;"",K145="Active"),I145-TODAY(),"")</f>
        <v/>
      </c>
      <c r="S145" s="22"/>
    </row>
    <row r="146" spans="1:19" x14ac:dyDescent="0.2">
      <c r="A146" s="20" t="str">
        <f>IF(B146&lt;&gt;"","PTW-"&amp;TEXT(ROW()-4,"000"),"")</f>
        <v/>
      </c>
      <c r="B146" s="21"/>
      <c r="C146" s="22"/>
      <c r="D146" s="22"/>
      <c r="E146" s="21"/>
      <c r="F146" s="21"/>
      <c r="G146" s="23"/>
      <c r="H146" s="23"/>
      <c r="I146" s="23"/>
      <c r="J146" s="24" t="str">
        <f>IF(AND(I146&lt;&gt;"",H146&lt;&gt;""),I146-H146,"")</f>
        <v/>
      </c>
      <c r="K146" s="21"/>
      <c r="L146" s="21"/>
      <c r="M146" s="21"/>
      <c r="N146" s="22"/>
      <c r="O146" s="23"/>
      <c r="P146" s="21"/>
      <c r="Q146" s="21"/>
      <c r="R146" s="24" t="str">
        <f ca="1">IF(AND(I146&lt;&gt;"",K146="Active"),I146-TODAY(),"")</f>
        <v/>
      </c>
      <c r="S146" s="22"/>
    </row>
    <row r="147" spans="1:19" x14ac:dyDescent="0.2">
      <c r="A147" s="20" t="str">
        <f>IF(B147&lt;&gt;"","PTW-"&amp;TEXT(ROW()-4,"000"),"")</f>
        <v/>
      </c>
      <c r="B147" s="21"/>
      <c r="C147" s="22"/>
      <c r="D147" s="22"/>
      <c r="E147" s="21"/>
      <c r="F147" s="21"/>
      <c r="G147" s="23"/>
      <c r="H147" s="23"/>
      <c r="I147" s="23"/>
      <c r="J147" s="24" t="str">
        <f>IF(AND(I147&lt;&gt;"",H147&lt;&gt;""),I147-H147,"")</f>
        <v/>
      </c>
      <c r="K147" s="21"/>
      <c r="L147" s="21"/>
      <c r="M147" s="21"/>
      <c r="N147" s="22"/>
      <c r="O147" s="23"/>
      <c r="P147" s="21"/>
      <c r="Q147" s="21"/>
      <c r="R147" s="24" t="str">
        <f ca="1">IF(AND(I147&lt;&gt;"",K147="Active"),I147-TODAY(),"")</f>
        <v/>
      </c>
      <c r="S147" s="22"/>
    </row>
    <row r="148" spans="1:19" x14ac:dyDescent="0.2">
      <c r="A148" s="20" t="str">
        <f>IF(B148&lt;&gt;"","PTW-"&amp;TEXT(ROW()-4,"000"),"")</f>
        <v/>
      </c>
      <c r="B148" s="21"/>
      <c r="C148" s="22"/>
      <c r="D148" s="22"/>
      <c r="E148" s="21"/>
      <c r="F148" s="21"/>
      <c r="G148" s="23"/>
      <c r="H148" s="23"/>
      <c r="I148" s="23"/>
      <c r="J148" s="24" t="str">
        <f>IF(AND(I148&lt;&gt;"",H148&lt;&gt;""),I148-H148,"")</f>
        <v/>
      </c>
      <c r="K148" s="21"/>
      <c r="L148" s="21"/>
      <c r="M148" s="21"/>
      <c r="N148" s="22"/>
      <c r="O148" s="23"/>
      <c r="P148" s="21"/>
      <c r="Q148" s="21"/>
      <c r="R148" s="24" t="str">
        <f ca="1">IF(AND(I148&lt;&gt;"",K148="Active"),I148-TODAY(),"")</f>
        <v/>
      </c>
      <c r="S148" s="22"/>
    </row>
    <row r="149" spans="1:19" x14ac:dyDescent="0.2">
      <c r="A149" s="20" t="str">
        <f>IF(B149&lt;&gt;"","PTW-"&amp;TEXT(ROW()-4,"000"),"")</f>
        <v/>
      </c>
      <c r="B149" s="21"/>
      <c r="C149" s="22"/>
      <c r="D149" s="22"/>
      <c r="E149" s="21"/>
      <c r="F149" s="21"/>
      <c r="G149" s="23"/>
      <c r="H149" s="23"/>
      <c r="I149" s="23"/>
      <c r="J149" s="24" t="str">
        <f>IF(AND(I149&lt;&gt;"",H149&lt;&gt;""),I149-H149,"")</f>
        <v/>
      </c>
      <c r="K149" s="21"/>
      <c r="L149" s="21"/>
      <c r="M149" s="21"/>
      <c r="N149" s="22"/>
      <c r="O149" s="23"/>
      <c r="P149" s="21"/>
      <c r="Q149" s="21"/>
      <c r="R149" s="24" t="str">
        <f ca="1">IF(AND(I149&lt;&gt;"",K149="Active"),I149-TODAY(),"")</f>
        <v/>
      </c>
      <c r="S149" s="22"/>
    </row>
    <row r="150" spans="1:19" x14ac:dyDescent="0.2">
      <c r="A150" s="20" t="str">
        <f>IF(B150&lt;&gt;"","PTW-"&amp;TEXT(ROW()-4,"000"),"")</f>
        <v/>
      </c>
      <c r="B150" s="21"/>
      <c r="C150" s="22"/>
      <c r="D150" s="22"/>
      <c r="E150" s="21"/>
      <c r="F150" s="21"/>
      <c r="G150" s="23"/>
      <c r="H150" s="23"/>
      <c r="I150" s="23"/>
      <c r="J150" s="24" t="str">
        <f>IF(AND(I150&lt;&gt;"",H150&lt;&gt;""),I150-H150,"")</f>
        <v/>
      </c>
      <c r="K150" s="21"/>
      <c r="L150" s="21"/>
      <c r="M150" s="21"/>
      <c r="N150" s="22"/>
      <c r="O150" s="23"/>
      <c r="P150" s="21"/>
      <c r="Q150" s="21"/>
      <c r="R150" s="24" t="str">
        <f ca="1">IF(AND(I150&lt;&gt;"",K150="Active"),I150-TODAY(),"")</f>
        <v/>
      </c>
      <c r="S150" s="22"/>
    </row>
    <row r="151" spans="1:19" x14ac:dyDescent="0.2">
      <c r="A151" s="20" t="str">
        <f>IF(B151&lt;&gt;"","PTW-"&amp;TEXT(ROW()-4,"000"),"")</f>
        <v/>
      </c>
      <c r="B151" s="21"/>
      <c r="C151" s="22"/>
      <c r="D151" s="22"/>
      <c r="E151" s="21"/>
      <c r="F151" s="21"/>
      <c r="G151" s="23"/>
      <c r="H151" s="23"/>
      <c r="I151" s="23"/>
      <c r="J151" s="24" t="str">
        <f>IF(AND(I151&lt;&gt;"",H151&lt;&gt;""),I151-H151,"")</f>
        <v/>
      </c>
      <c r="K151" s="21"/>
      <c r="L151" s="21"/>
      <c r="M151" s="21"/>
      <c r="N151" s="22"/>
      <c r="O151" s="23"/>
      <c r="P151" s="21"/>
      <c r="Q151" s="21"/>
      <c r="R151" s="24" t="str">
        <f ca="1">IF(AND(I151&lt;&gt;"",K151="Active"),I151-TODAY(),"")</f>
        <v/>
      </c>
      <c r="S151" s="22"/>
    </row>
    <row r="152" spans="1:19" x14ac:dyDescent="0.2">
      <c r="A152" s="20" t="str">
        <f>IF(B152&lt;&gt;"","PTW-"&amp;TEXT(ROW()-4,"000"),"")</f>
        <v/>
      </c>
      <c r="B152" s="21"/>
      <c r="C152" s="22"/>
      <c r="D152" s="22"/>
      <c r="E152" s="21"/>
      <c r="F152" s="21"/>
      <c r="G152" s="23"/>
      <c r="H152" s="23"/>
      <c r="I152" s="23"/>
      <c r="J152" s="24" t="str">
        <f>IF(AND(I152&lt;&gt;"",H152&lt;&gt;""),I152-H152,"")</f>
        <v/>
      </c>
      <c r="K152" s="21"/>
      <c r="L152" s="21"/>
      <c r="M152" s="21"/>
      <c r="N152" s="22"/>
      <c r="O152" s="23"/>
      <c r="P152" s="21"/>
      <c r="Q152" s="21"/>
      <c r="R152" s="24" t="str">
        <f ca="1">IF(AND(I152&lt;&gt;"",K152="Active"),I152-TODAY(),"")</f>
        <v/>
      </c>
      <c r="S152" s="22"/>
    </row>
    <row r="153" spans="1:19" x14ac:dyDescent="0.2">
      <c r="A153" s="20" t="str">
        <f>IF(B153&lt;&gt;"","PTW-"&amp;TEXT(ROW()-4,"000"),"")</f>
        <v/>
      </c>
      <c r="B153" s="21"/>
      <c r="C153" s="22"/>
      <c r="D153" s="22"/>
      <c r="E153" s="21"/>
      <c r="F153" s="21"/>
      <c r="G153" s="23"/>
      <c r="H153" s="23"/>
      <c r="I153" s="23"/>
      <c r="J153" s="24" t="str">
        <f>IF(AND(I153&lt;&gt;"",H153&lt;&gt;""),I153-H153,"")</f>
        <v/>
      </c>
      <c r="K153" s="21"/>
      <c r="L153" s="21"/>
      <c r="M153" s="21"/>
      <c r="N153" s="22"/>
      <c r="O153" s="23"/>
      <c r="P153" s="21"/>
      <c r="Q153" s="21"/>
      <c r="R153" s="24" t="str">
        <f ca="1">IF(AND(I153&lt;&gt;"",K153="Active"),I153-TODAY(),"")</f>
        <v/>
      </c>
      <c r="S153" s="22"/>
    </row>
    <row r="154" spans="1:19" x14ac:dyDescent="0.2">
      <c r="A154" s="20" t="str">
        <f>IF(B154&lt;&gt;"","PTW-"&amp;TEXT(ROW()-4,"000"),"")</f>
        <v/>
      </c>
      <c r="B154" s="21"/>
      <c r="C154" s="22"/>
      <c r="D154" s="22"/>
      <c r="E154" s="21"/>
      <c r="F154" s="21"/>
      <c r="G154" s="23"/>
      <c r="H154" s="23"/>
      <c r="I154" s="23"/>
      <c r="J154" s="24" t="str">
        <f>IF(AND(I154&lt;&gt;"",H154&lt;&gt;""),I154-H154,"")</f>
        <v/>
      </c>
      <c r="K154" s="21"/>
      <c r="L154" s="21"/>
      <c r="M154" s="21"/>
      <c r="N154" s="22"/>
      <c r="O154" s="23"/>
      <c r="P154" s="21"/>
      <c r="Q154" s="21"/>
      <c r="R154" s="24" t="str">
        <f ca="1">IF(AND(I154&lt;&gt;"",K154="Active"),I154-TODAY(),"")</f>
        <v/>
      </c>
      <c r="S154" s="22"/>
    </row>
    <row r="155" spans="1:19" x14ac:dyDescent="0.2">
      <c r="A155" s="20" t="str">
        <f>IF(B155&lt;&gt;"","PTW-"&amp;TEXT(ROW()-4,"000"),"")</f>
        <v/>
      </c>
      <c r="B155" s="21"/>
      <c r="C155" s="22"/>
      <c r="D155" s="22"/>
      <c r="E155" s="21"/>
      <c r="F155" s="21"/>
      <c r="G155" s="23"/>
      <c r="H155" s="23"/>
      <c r="I155" s="23"/>
      <c r="J155" s="24" t="str">
        <f>IF(AND(I155&lt;&gt;"",H155&lt;&gt;""),I155-H155,"")</f>
        <v/>
      </c>
      <c r="K155" s="21"/>
      <c r="L155" s="21"/>
      <c r="M155" s="21"/>
      <c r="N155" s="22"/>
      <c r="O155" s="23"/>
      <c r="P155" s="21"/>
      <c r="Q155" s="21"/>
      <c r="R155" s="24" t="str">
        <f ca="1">IF(AND(I155&lt;&gt;"",K155="Active"),I155-TODAY(),"")</f>
        <v/>
      </c>
      <c r="S155" s="22"/>
    </row>
    <row r="156" spans="1:19" x14ac:dyDescent="0.2">
      <c r="A156" s="20" t="str">
        <f>IF(B156&lt;&gt;"","PTW-"&amp;TEXT(ROW()-4,"000"),"")</f>
        <v/>
      </c>
      <c r="B156" s="21"/>
      <c r="C156" s="22"/>
      <c r="D156" s="22"/>
      <c r="E156" s="21"/>
      <c r="F156" s="21"/>
      <c r="G156" s="23"/>
      <c r="H156" s="23"/>
      <c r="I156" s="23"/>
      <c r="J156" s="24" t="str">
        <f>IF(AND(I156&lt;&gt;"",H156&lt;&gt;""),I156-H156,"")</f>
        <v/>
      </c>
      <c r="K156" s="21"/>
      <c r="L156" s="21"/>
      <c r="M156" s="21"/>
      <c r="N156" s="22"/>
      <c r="O156" s="23"/>
      <c r="P156" s="21"/>
      <c r="Q156" s="21"/>
      <c r="R156" s="24" t="str">
        <f ca="1">IF(AND(I156&lt;&gt;"",K156="Active"),I156-TODAY(),"")</f>
        <v/>
      </c>
      <c r="S156" s="22"/>
    </row>
    <row r="157" spans="1:19" x14ac:dyDescent="0.2">
      <c r="A157" s="20" t="str">
        <f>IF(B157&lt;&gt;"","PTW-"&amp;TEXT(ROW()-4,"000"),"")</f>
        <v/>
      </c>
      <c r="B157" s="21"/>
      <c r="C157" s="22"/>
      <c r="D157" s="22"/>
      <c r="E157" s="21"/>
      <c r="F157" s="21"/>
      <c r="G157" s="23"/>
      <c r="H157" s="23"/>
      <c r="I157" s="23"/>
      <c r="J157" s="24" t="str">
        <f>IF(AND(I157&lt;&gt;"",H157&lt;&gt;""),I157-H157,"")</f>
        <v/>
      </c>
      <c r="K157" s="21"/>
      <c r="L157" s="21"/>
      <c r="M157" s="21"/>
      <c r="N157" s="22"/>
      <c r="O157" s="23"/>
      <c r="P157" s="21"/>
      <c r="Q157" s="21"/>
      <c r="R157" s="24" t="str">
        <f ca="1">IF(AND(I157&lt;&gt;"",K157="Active"),I157-TODAY(),"")</f>
        <v/>
      </c>
      <c r="S157" s="22"/>
    </row>
    <row r="158" spans="1:19" x14ac:dyDescent="0.2">
      <c r="A158" s="20" t="str">
        <f>IF(B158&lt;&gt;"","PTW-"&amp;TEXT(ROW()-4,"000"),"")</f>
        <v/>
      </c>
      <c r="B158" s="21"/>
      <c r="C158" s="22"/>
      <c r="D158" s="22"/>
      <c r="E158" s="21"/>
      <c r="F158" s="21"/>
      <c r="G158" s="23"/>
      <c r="H158" s="23"/>
      <c r="I158" s="23"/>
      <c r="J158" s="24" t="str">
        <f>IF(AND(I158&lt;&gt;"",H158&lt;&gt;""),I158-H158,"")</f>
        <v/>
      </c>
      <c r="K158" s="21"/>
      <c r="L158" s="21"/>
      <c r="M158" s="21"/>
      <c r="N158" s="22"/>
      <c r="O158" s="23"/>
      <c r="P158" s="21"/>
      <c r="Q158" s="21"/>
      <c r="R158" s="24" t="str">
        <f ca="1">IF(AND(I158&lt;&gt;"",K158="Active"),I158-TODAY(),"")</f>
        <v/>
      </c>
      <c r="S158" s="22"/>
    </row>
    <row r="159" spans="1:19" x14ac:dyDescent="0.2">
      <c r="A159" s="20" t="str">
        <f>IF(B159&lt;&gt;"","PTW-"&amp;TEXT(ROW()-4,"000"),"")</f>
        <v/>
      </c>
      <c r="B159" s="21"/>
      <c r="C159" s="22"/>
      <c r="D159" s="22"/>
      <c r="E159" s="21"/>
      <c r="F159" s="21"/>
      <c r="G159" s="23"/>
      <c r="H159" s="23"/>
      <c r="I159" s="23"/>
      <c r="J159" s="24" t="str">
        <f>IF(AND(I159&lt;&gt;"",H159&lt;&gt;""),I159-H159,"")</f>
        <v/>
      </c>
      <c r="K159" s="21"/>
      <c r="L159" s="21"/>
      <c r="M159" s="21"/>
      <c r="N159" s="22"/>
      <c r="O159" s="23"/>
      <c r="P159" s="21"/>
      <c r="Q159" s="21"/>
      <c r="R159" s="24" t="str">
        <f ca="1">IF(AND(I159&lt;&gt;"",K159="Active"),I159-TODAY(),"")</f>
        <v/>
      </c>
      <c r="S159" s="22"/>
    </row>
    <row r="160" spans="1:19" x14ac:dyDescent="0.2">
      <c r="A160" s="20" t="str">
        <f>IF(B160&lt;&gt;"","PTW-"&amp;TEXT(ROW()-4,"000"),"")</f>
        <v/>
      </c>
      <c r="B160" s="21"/>
      <c r="C160" s="22"/>
      <c r="D160" s="22"/>
      <c r="E160" s="21"/>
      <c r="F160" s="21"/>
      <c r="G160" s="23"/>
      <c r="H160" s="23"/>
      <c r="I160" s="23"/>
      <c r="J160" s="24" t="str">
        <f>IF(AND(I160&lt;&gt;"",H160&lt;&gt;""),I160-H160,"")</f>
        <v/>
      </c>
      <c r="K160" s="21"/>
      <c r="L160" s="21"/>
      <c r="M160" s="21"/>
      <c r="N160" s="22"/>
      <c r="O160" s="23"/>
      <c r="P160" s="21"/>
      <c r="Q160" s="21"/>
      <c r="R160" s="24" t="str">
        <f ca="1">IF(AND(I160&lt;&gt;"",K160="Active"),I160-TODAY(),"")</f>
        <v/>
      </c>
      <c r="S160" s="22"/>
    </row>
    <row r="161" spans="1:19" x14ac:dyDescent="0.2">
      <c r="A161" s="20" t="str">
        <f>IF(B161&lt;&gt;"","PTW-"&amp;TEXT(ROW()-4,"000"),"")</f>
        <v/>
      </c>
      <c r="B161" s="21"/>
      <c r="C161" s="22"/>
      <c r="D161" s="22"/>
      <c r="E161" s="21"/>
      <c r="F161" s="21"/>
      <c r="G161" s="23"/>
      <c r="H161" s="23"/>
      <c r="I161" s="23"/>
      <c r="J161" s="24" t="str">
        <f>IF(AND(I161&lt;&gt;"",H161&lt;&gt;""),I161-H161,"")</f>
        <v/>
      </c>
      <c r="K161" s="21"/>
      <c r="L161" s="21"/>
      <c r="M161" s="21"/>
      <c r="N161" s="22"/>
      <c r="O161" s="23"/>
      <c r="P161" s="21"/>
      <c r="Q161" s="21"/>
      <c r="R161" s="24" t="str">
        <f ca="1">IF(AND(I161&lt;&gt;"",K161="Active"),I161-TODAY(),"")</f>
        <v/>
      </c>
      <c r="S161" s="22"/>
    </row>
    <row r="162" spans="1:19" x14ac:dyDescent="0.2">
      <c r="A162" s="20" t="str">
        <f>IF(B162&lt;&gt;"","PTW-"&amp;TEXT(ROW()-4,"000"),"")</f>
        <v/>
      </c>
      <c r="B162" s="21"/>
      <c r="C162" s="22"/>
      <c r="D162" s="22"/>
      <c r="E162" s="21"/>
      <c r="F162" s="21"/>
      <c r="G162" s="23"/>
      <c r="H162" s="23"/>
      <c r="I162" s="23"/>
      <c r="J162" s="24" t="str">
        <f>IF(AND(I162&lt;&gt;"",H162&lt;&gt;""),I162-H162,"")</f>
        <v/>
      </c>
      <c r="K162" s="21"/>
      <c r="L162" s="21"/>
      <c r="M162" s="21"/>
      <c r="N162" s="22"/>
      <c r="O162" s="23"/>
      <c r="P162" s="21"/>
      <c r="Q162" s="21"/>
      <c r="R162" s="24" t="str">
        <f ca="1">IF(AND(I162&lt;&gt;"",K162="Active"),I162-TODAY(),"")</f>
        <v/>
      </c>
      <c r="S162" s="22"/>
    </row>
    <row r="163" spans="1:19" x14ac:dyDescent="0.2">
      <c r="A163" s="20" t="str">
        <f>IF(B163&lt;&gt;"","PTW-"&amp;TEXT(ROW()-4,"000"),"")</f>
        <v/>
      </c>
      <c r="B163" s="21"/>
      <c r="C163" s="22"/>
      <c r="D163" s="22"/>
      <c r="E163" s="21"/>
      <c r="F163" s="21"/>
      <c r="G163" s="23"/>
      <c r="H163" s="23"/>
      <c r="I163" s="23"/>
      <c r="J163" s="24" t="str">
        <f>IF(AND(I163&lt;&gt;"",H163&lt;&gt;""),I163-H163,"")</f>
        <v/>
      </c>
      <c r="K163" s="21"/>
      <c r="L163" s="21"/>
      <c r="M163" s="21"/>
      <c r="N163" s="22"/>
      <c r="O163" s="23"/>
      <c r="P163" s="21"/>
      <c r="Q163" s="21"/>
      <c r="R163" s="24" t="str">
        <f ca="1">IF(AND(I163&lt;&gt;"",K163="Active"),I163-TODAY(),"")</f>
        <v/>
      </c>
      <c r="S163" s="22"/>
    </row>
    <row r="164" spans="1:19" x14ac:dyDescent="0.2">
      <c r="A164" s="20" t="str">
        <f>IF(B164&lt;&gt;"","PTW-"&amp;TEXT(ROW()-4,"000"),"")</f>
        <v/>
      </c>
      <c r="B164" s="21"/>
      <c r="C164" s="22"/>
      <c r="D164" s="22"/>
      <c r="E164" s="21"/>
      <c r="F164" s="21"/>
      <c r="G164" s="23"/>
      <c r="H164" s="23"/>
      <c r="I164" s="23"/>
      <c r="J164" s="24" t="str">
        <f>IF(AND(I164&lt;&gt;"",H164&lt;&gt;""),I164-H164,"")</f>
        <v/>
      </c>
      <c r="K164" s="21"/>
      <c r="L164" s="21"/>
      <c r="M164" s="21"/>
      <c r="N164" s="22"/>
      <c r="O164" s="23"/>
      <c r="P164" s="21"/>
      <c r="Q164" s="21"/>
      <c r="R164" s="24" t="str">
        <f ca="1">IF(AND(I164&lt;&gt;"",K164="Active"),I164-TODAY(),"")</f>
        <v/>
      </c>
      <c r="S164" s="22"/>
    </row>
    <row r="165" spans="1:19" x14ac:dyDescent="0.2">
      <c r="A165" s="20" t="str">
        <f>IF(B165&lt;&gt;"","PTW-"&amp;TEXT(ROW()-4,"000"),"")</f>
        <v/>
      </c>
      <c r="B165" s="21"/>
      <c r="C165" s="22"/>
      <c r="D165" s="22"/>
      <c r="E165" s="21"/>
      <c r="F165" s="21"/>
      <c r="G165" s="23"/>
      <c r="H165" s="23"/>
      <c r="I165" s="23"/>
      <c r="J165" s="24" t="str">
        <f>IF(AND(I165&lt;&gt;"",H165&lt;&gt;""),I165-H165,"")</f>
        <v/>
      </c>
      <c r="K165" s="21"/>
      <c r="L165" s="21"/>
      <c r="M165" s="21"/>
      <c r="N165" s="22"/>
      <c r="O165" s="23"/>
      <c r="P165" s="21"/>
      <c r="Q165" s="21"/>
      <c r="R165" s="24" t="str">
        <f ca="1">IF(AND(I165&lt;&gt;"",K165="Active"),I165-TODAY(),"")</f>
        <v/>
      </c>
      <c r="S165" s="22"/>
    </row>
    <row r="166" spans="1:19" x14ac:dyDescent="0.2">
      <c r="A166" s="20" t="str">
        <f>IF(B166&lt;&gt;"","PTW-"&amp;TEXT(ROW()-4,"000"),"")</f>
        <v/>
      </c>
      <c r="B166" s="21"/>
      <c r="C166" s="22"/>
      <c r="D166" s="22"/>
      <c r="E166" s="21"/>
      <c r="F166" s="21"/>
      <c r="G166" s="23"/>
      <c r="H166" s="23"/>
      <c r="I166" s="23"/>
      <c r="J166" s="24" t="str">
        <f>IF(AND(I166&lt;&gt;"",H166&lt;&gt;""),I166-H166,"")</f>
        <v/>
      </c>
      <c r="K166" s="21"/>
      <c r="L166" s="21"/>
      <c r="M166" s="21"/>
      <c r="N166" s="22"/>
      <c r="O166" s="23"/>
      <c r="P166" s="21"/>
      <c r="Q166" s="21"/>
      <c r="R166" s="24" t="str">
        <f ca="1">IF(AND(I166&lt;&gt;"",K166="Active"),I166-TODAY(),"")</f>
        <v/>
      </c>
      <c r="S166" s="22"/>
    </row>
    <row r="167" spans="1:19" x14ac:dyDescent="0.2">
      <c r="A167" s="20" t="str">
        <f>IF(B167&lt;&gt;"","PTW-"&amp;TEXT(ROW()-4,"000"),"")</f>
        <v/>
      </c>
      <c r="B167" s="21"/>
      <c r="C167" s="22"/>
      <c r="D167" s="22"/>
      <c r="E167" s="21"/>
      <c r="F167" s="21"/>
      <c r="G167" s="23"/>
      <c r="H167" s="23"/>
      <c r="I167" s="23"/>
      <c r="J167" s="24" t="str">
        <f>IF(AND(I167&lt;&gt;"",H167&lt;&gt;""),I167-H167,"")</f>
        <v/>
      </c>
      <c r="K167" s="21"/>
      <c r="L167" s="21"/>
      <c r="M167" s="21"/>
      <c r="N167" s="22"/>
      <c r="O167" s="23"/>
      <c r="P167" s="21"/>
      <c r="Q167" s="21"/>
      <c r="R167" s="24" t="str">
        <f ca="1">IF(AND(I167&lt;&gt;"",K167="Active"),I167-TODAY(),"")</f>
        <v/>
      </c>
      <c r="S167" s="22"/>
    </row>
    <row r="168" spans="1:19" x14ac:dyDescent="0.2">
      <c r="A168" s="20" t="str">
        <f>IF(B168&lt;&gt;"","PTW-"&amp;TEXT(ROW()-4,"000"),"")</f>
        <v/>
      </c>
      <c r="B168" s="21"/>
      <c r="C168" s="22"/>
      <c r="D168" s="22"/>
      <c r="E168" s="21"/>
      <c r="F168" s="21"/>
      <c r="G168" s="23"/>
      <c r="H168" s="23"/>
      <c r="I168" s="23"/>
      <c r="J168" s="24" t="str">
        <f>IF(AND(I168&lt;&gt;"",H168&lt;&gt;""),I168-H168,"")</f>
        <v/>
      </c>
      <c r="K168" s="21"/>
      <c r="L168" s="21"/>
      <c r="M168" s="21"/>
      <c r="N168" s="22"/>
      <c r="O168" s="23"/>
      <c r="P168" s="21"/>
      <c r="Q168" s="21"/>
      <c r="R168" s="24" t="str">
        <f ca="1">IF(AND(I168&lt;&gt;"",K168="Active"),I168-TODAY(),"")</f>
        <v/>
      </c>
      <c r="S168" s="22"/>
    </row>
    <row r="169" spans="1:19" x14ac:dyDescent="0.2">
      <c r="A169" s="20" t="str">
        <f>IF(B169&lt;&gt;"","PTW-"&amp;TEXT(ROW()-4,"000"),"")</f>
        <v/>
      </c>
      <c r="B169" s="21"/>
      <c r="C169" s="22"/>
      <c r="D169" s="22"/>
      <c r="E169" s="21"/>
      <c r="F169" s="21"/>
      <c r="G169" s="23"/>
      <c r="H169" s="23"/>
      <c r="I169" s="23"/>
      <c r="J169" s="24" t="str">
        <f>IF(AND(I169&lt;&gt;"",H169&lt;&gt;""),I169-H169,"")</f>
        <v/>
      </c>
      <c r="K169" s="21"/>
      <c r="L169" s="21"/>
      <c r="M169" s="21"/>
      <c r="N169" s="22"/>
      <c r="O169" s="23"/>
      <c r="P169" s="21"/>
      <c r="Q169" s="21"/>
      <c r="R169" s="24" t="str">
        <f ca="1">IF(AND(I169&lt;&gt;"",K169="Active"),I169-TODAY(),"")</f>
        <v/>
      </c>
      <c r="S169" s="22"/>
    </row>
    <row r="170" spans="1:19" x14ac:dyDescent="0.2">
      <c r="A170" s="20" t="str">
        <f>IF(B170&lt;&gt;"","PTW-"&amp;TEXT(ROW()-4,"000"),"")</f>
        <v/>
      </c>
      <c r="B170" s="21"/>
      <c r="C170" s="22"/>
      <c r="D170" s="22"/>
      <c r="E170" s="21"/>
      <c r="F170" s="21"/>
      <c r="G170" s="23"/>
      <c r="H170" s="23"/>
      <c r="I170" s="23"/>
      <c r="J170" s="24" t="str">
        <f>IF(AND(I170&lt;&gt;"",H170&lt;&gt;""),I170-H170,"")</f>
        <v/>
      </c>
      <c r="K170" s="21"/>
      <c r="L170" s="21"/>
      <c r="M170" s="21"/>
      <c r="N170" s="22"/>
      <c r="O170" s="23"/>
      <c r="P170" s="21"/>
      <c r="Q170" s="21"/>
      <c r="R170" s="24" t="str">
        <f ca="1">IF(AND(I170&lt;&gt;"",K170="Active"),I170-TODAY(),"")</f>
        <v/>
      </c>
      <c r="S170" s="22"/>
    </row>
    <row r="171" spans="1:19" x14ac:dyDescent="0.2">
      <c r="A171" s="20" t="str">
        <f>IF(B171&lt;&gt;"","PTW-"&amp;TEXT(ROW()-4,"000"),"")</f>
        <v/>
      </c>
      <c r="B171" s="21"/>
      <c r="C171" s="22"/>
      <c r="D171" s="22"/>
      <c r="E171" s="21"/>
      <c r="F171" s="21"/>
      <c r="G171" s="23"/>
      <c r="H171" s="23"/>
      <c r="I171" s="23"/>
      <c r="J171" s="24" t="str">
        <f>IF(AND(I171&lt;&gt;"",H171&lt;&gt;""),I171-H171,"")</f>
        <v/>
      </c>
      <c r="K171" s="21"/>
      <c r="L171" s="21"/>
      <c r="M171" s="21"/>
      <c r="N171" s="22"/>
      <c r="O171" s="23"/>
      <c r="P171" s="21"/>
      <c r="Q171" s="21"/>
      <c r="R171" s="24" t="str">
        <f ca="1">IF(AND(I171&lt;&gt;"",K171="Active"),I171-TODAY(),"")</f>
        <v/>
      </c>
      <c r="S171" s="22"/>
    </row>
    <row r="172" spans="1:19" x14ac:dyDescent="0.2">
      <c r="A172" s="20" t="str">
        <f>IF(B172&lt;&gt;"","PTW-"&amp;TEXT(ROW()-4,"000"),"")</f>
        <v/>
      </c>
      <c r="B172" s="21"/>
      <c r="C172" s="22"/>
      <c r="D172" s="22"/>
      <c r="E172" s="21"/>
      <c r="F172" s="21"/>
      <c r="G172" s="23"/>
      <c r="H172" s="23"/>
      <c r="I172" s="23"/>
      <c r="J172" s="24" t="str">
        <f>IF(AND(I172&lt;&gt;"",H172&lt;&gt;""),I172-H172,"")</f>
        <v/>
      </c>
      <c r="K172" s="21"/>
      <c r="L172" s="21"/>
      <c r="M172" s="21"/>
      <c r="N172" s="22"/>
      <c r="O172" s="23"/>
      <c r="P172" s="21"/>
      <c r="Q172" s="21"/>
      <c r="R172" s="24" t="str">
        <f ca="1">IF(AND(I172&lt;&gt;"",K172="Active"),I172-TODAY(),"")</f>
        <v/>
      </c>
      <c r="S172" s="22"/>
    </row>
    <row r="173" spans="1:19" x14ac:dyDescent="0.2">
      <c r="A173" s="20" t="str">
        <f>IF(B173&lt;&gt;"","PTW-"&amp;TEXT(ROW()-4,"000"),"")</f>
        <v/>
      </c>
      <c r="B173" s="21"/>
      <c r="C173" s="22"/>
      <c r="D173" s="22"/>
      <c r="E173" s="21"/>
      <c r="F173" s="21"/>
      <c r="G173" s="23"/>
      <c r="H173" s="23"/>
      <c r="I173" s="23"/>
      <c r="J173" s="24" t="str">
        <f>IF(AND(I173&lt;&gt;"",H173&lt;&gt;""),I173-H173,"")</f>
        <v/>
      </c>
      <c r="K173" s="21"/>
      <c r="L173" s="21"/>
      <c r="M173" s="21"/>
      <c r="N173" s="22"/>
      <c r="O173" s="23"/>
      <c r="P173" s="21"/>
      <c r="Q173" s="21"/>
      <c r="R173" s="24" t="str">
        <f ca="1">IF(AND(I173&lt;&gt;"",K173="Active"),I173-TODAY(),"")</f>
        <v/>
      </c>
      <c r="S173" s="22"/>
    </row>
    <row r="174" spans="1:19" x14ac:dyDescent="0.2">
      <c r="A174" s="20" t="str">
        <f>IF(B174&lt;&gt;"","PTW-"&amp;TEXT(ROW()-4,"000"),"")</f>
        <v/>
      </c>
      <c r="B174" s="21"/>
      <c r="C174" s="22"/>
      <c r="D174" s="22"/>
      <c r="E174" s="21"/>
      <c r="F174" s="21"/>
      <c r="G174" s="23"/>
      <c r="H174" s="23"/>
      <c r="I174" s="23"/>
      <c r="J174" s="24" t="str">
        <f>IF(AND(I174&lt;&gt;"",H174&lt;&gt;""),I174-H174,"")</f>
        <v/>
      </c>
      <c r="K174" s="21"/>
      <c r="L174" s="21"/>
      <c r="M174" s="21"/>
      <c r="N174" s="22"/>
      <c r="O174" s="23"/>
      <c r="P174" s="21"/>
      <c r="Q174" s="21"/>
      <c r="R174" s="24" t="str">
        <f ca="1">IF(AND(I174&lt;&gt;"",K174="Active"),I174-TODAY(),"")</f>
        <v/>
      </c>
      <c r="S174" s="22"/>
    </row>
    <row r="175" spans="1:19" x14ac:dyDescent="0.2">
      <c r="A175" s="20" t="str">
        <f>IF(B175&lt;&gt;"","PTW-"&amp;TEXT(ROW()-4,"000"),"")</f>
        <v/>
      </c>
      <c r="B175" s="21"/>
      <c r="C175" s="22"/>
      <c r="D175" s="22"/>
      <c r="E175" s="21"/>
      <c r="F175" s="21"/>
      <c r="G175" s="23"/>
      <c r="H175" s="23"/>
      <c r="I175" s="23"/>
      <c r="J175" s="24" t="str">
        <f>IF(AND(I175&lt;&gt;"",H175&lt;&gt;""),I175-H175,"")</f>
        <v/>
      </c>
      <c r="K175" s="21"/>
      <c r="L175" s="21"/>
      <c r="M175" s="21"/>
      <c r="N175" s="22"/>
      <c r="O175" s="23"/>
      <c r="P175" s="21"/>
      <c r="Q175" s="21"/>
      <c r="R175" s="24" t="str">
        <f ca="1">IF(AND(I175&lt;&gt;"",K175="Active"),I175-TODAY(),"")</f>
        <v/>
      </c>
      <c r="S175" s="22"/>
    </row>
    <row r="176" spans="1:19" x14ac:dyDescent="0.2">
      <c r="A176" s="20" t="str">
        <f>IF(B176&lt;&gt;"","PTW-"&amp;TEXT(ROW()-4,"000"),"")</f>
        <v/>
      </c>
      <c r="B176" s="21"/>
      <c r="C176" s="22"/>
      <c r="D176" s="22"/>
      <c r="E176" s="21"/>
      <c r="F176" s="21"/>
      <c r="G176" s="23"/>
      <c r="H176" s="23"/>
      <c r="I176" s="23"/>
      <c r="J176" s="24" t="str">
        <f>IF(AND(I176&lt;&gt;"",H176&lt;&gt;""),I176-H176,"")</f>
        <v/>
      </c>
      <c r="K176" s="21"/>
      <c r="L176" s="21"/>
      <c r="M176" s="21"/>
      <c r="N176" s="22"/>
      <c r="O176" s="23"/>
      <c r="P176" s="21"/>
      <c r="Q176" s="21"/>
      <c r="R176" s="24" t="str">
        <f ca="1">IF(AND(I176&lt;&gt;"",K176="Active"),I176-TODAY(),"")</f>
        <v/>
      </c>
      <c r="S176" s="22"/>
    </row>
    <row r="177" spans="1:19" x14ac:dyDescent="0.2">
      <c r="A177" s="20" t="str">
        <f>IF(B177&lt;&gt;"","PTW-"&amp;TEXT(ROW()-4,"000"),"")</f>
        <v/>
      </c>
      <c r="B177" s="21"/>
      <c r="C177" s="22"/>
      <c r="D177" s="22"/>
      <c r="E177" s="21"/>
      <c r="F177" s="21"/>
      <c r="G177" s="23"/>
      <c r="H177" s="23"/>
      <c r="I177" s="23"/>
      <c r="J177" s="24" t="str">
        <f>IF(AND(I177&lt;&gt;"",H177&lt;&gt;""),I177-H177,"")</f>
        <v/>
      </c>
      <c r="K177" s="21"/>
      <c r="L177" s="21"/>
      <c r="M177" s="21"/>
      <c r="N177" s="22"/>
      <c r="O177" s="23"/>
      <c r="P177" s="21"/>
      <c r="Q177" s="21"/>
      <c r="R177" s="24" t="str">
        <f ca="1">IF(AND(I177&lt;&gt;"",K177="Active"),I177-TODAY(),"")</f>
        <v/>
      </c>
      <c r="S177" s="22"/>
    </row>
    <row r="178" spans="1:19" x14ac:dyDescent="0.2">
      <c r="A178" s="20" t="str">
        <f>IF(B178&lt;&gt;"","PTW-"&amp;TEXT(ROW()-4,"000"),"")</f>
        <v/>
      </c>
      <c r="B178" s="21"/>
      <c r="C178" s="22"/>
      <c r="D178" s="22"/>
      <c r="E178" s="21"/>
      <c r="F178" s="21"/>
      <c r="G178" s="23"/>
      <c r="H178" s="23"/>
      <c r="I178" s="23"/>
      <c r="J178" s="24" t="str">
        <f>IF(AND(I178&lt;&gt;"",H178&lt;&gt;""),I178-H178,"")</f>
        <v/>
      </c>
      <c r="K178" s="21"/>
      <c r="L178" s="21"/>
      <c r="M178" s="21"/>
      <c r="N178" s="22"/>
      <c r="O178" s="23"/>
      <c r="P178" s="21"/>
      <c r="Q178" s="21"/>
      <c r="R178" s="24" t="str">
        <f ca="1">IF(AND(I178&lt;&gt;"",K178="Active"),I178-TODAY(),"")</f>
        <v/>
      </c>
      <c r="S178" s="22"/>
    </row>
    <row r="179" spans="1:19" x14ac:dyDescent="0.2">
      <c r="A179" s="20" t="str">
        <f>IF(B179&lt;&gt;"","PTW-"&amp;TEXT(ROW()-4,"000"),"")</f>
        <v/>
      </c>
      <c r="B179" s="21"/>
      <c r="C179" s="22"/>
      <c r="D179" s="22"/>
      <c r="E179" s="21"/>
      <c r="F179" s="21"/>
      <c r="G179" s="23"/>
      <c r="H179" s="23"/>
      <c r="I179" s="23"/>
      <c r="J179" s="24" t="str">
        <f>IF(AND(I179&lt;&gt;"",H179&lt;&gt;""),I179-H179,"")</f>
        <v/>
      </c>
      <c r="K179" s="21"/>
      <c r="L179" s="21"/>
      <c r="M179" s="21"/>
      <c r="N179" s="22"/>
      <c r="O179" s="23"/>
      <c r="P179" s="21"/>
      <c r="Q179" s="21"/>
      <c r="R179" s="24" t="str">
        <f ca="1">IF(AND(I179&lt;&gt;"",K179="Active"),I179-TODAY(),"")</f>
        <v/>
      </c>
      <c r="S179" s="22"/>
    </row>
    <row r="180" spans="1:19" x14ac:dyDescent="0.2">
      <c r="A180" s="20" t="str">
        <f>IF(B180&lt;&gt;"","PTW-"&amp;TEXT(ROW()-4,"000"),"")</f>
        <v/>
      </c>
      <c r="B180" s="21"/>
      <c r="C180" s="22"/>
      <c r="D180" s="22"/>
      <c r="E180" s="21"/>
      <c r="F180" s="21"/>
      <c r="G180" s="23"/>
      <c r="H180" s="23"/>
      <c r="I180" s="23"/>
      <c r="J180" s="24" t="str">
        <f>IF(AND(I180&lt;&gt;"",H180&lt;&gt;""),I180-H180,"")</f>
        <v/>
      </c>
      <c r="K180" s="21"/>
      <c r="L180" s="21"/>
      <c r="M180" s="21"/>
      <c r="N180" s="22"/>
      <c r="O180" s="23"/>
      <c r="P180" s="21"/>
      <c r="Q180" s="21"/>
      <c r="R180" s="24" t="str">
        <f ca="1">IF(AND(I180&lt;&gt;"",K180="Active"),I180-TODAY(),"")</f>
        <v/>
      </c>
      <c r="S180" s="22"/>
    </row>
    <row r="181" spans="1:19" x14ac:dyDescent="0.2">
      <c r="A181" s="20" t="str">
        <f>IF(B181&lt;&gt;"","PTW-"&amp;TEXT(ROW()-4,"000"),"")</f>
        <v/>
      </c>
      <c r="B181" s="21"/>
      <c r="C181" s="22"/>
      <c r="D181" s="22"/>
      <c r="E181" s="21"/>
      <c r="F181" s="21"/>
      <c r="G181" s="23"/>
      <c r="H181" s="23"/>
      <c r="I181" s="23"/>
      <c r="J181" s="24" t="str">
        <f>IF(AND(I181&lt;&gt;"",H181&lt;&gt;""),I181-H181,"")</f>
        <v/>
      </c>
      <c r="K181" s="21"/>
      <c r="L181" s="21"/>
      <c r="M181" s="21"/>
      <c r="N181" s="22"/>
      <c r="O181" s="23"/>
      <c r="P181" s="21"/>
      <c r="Q181" s="21"/>
      <c r="R181" s="24" t="str">
        <f ca="1">IF(AND(I181&lt;&gt;"",K181="Active"),I181-TODAY(),"")</f>
        <v/>
      </c>
      <c r="S181" s="22"/>
    </row>
    <row r="182" spans="1:19" x14ac:dyDescent="0.2">
      <c r="A182" s="20" t="str">
        <f>IF(B182&lt;&gt;"","PTW-"&amp;TEXT(ROW()-4,"000"),"")</f>
        <v/>
      </c>
      <c r="B182" s="21"/>
      <c r="C182" s="22"/>
      <c r="D182" s="22"/>
      <c r="E182" s="21"/>
      <c r="F182" s="21"/>
      <c r="G182" s="23"/>
      <c r="H182" s="23"/>
      <c r="I182" s="23"/>
      <c r="J182" s="24" t="str">
        <f>IF(AND(I182&lt;&gt;"",H182&lt;&gt;""),I182-H182,"")</f>
        <v/>
      </c>
      <c r="K182" s="21"/>
      <c r="L182" s="21"/>
      <c r="M182" s="21"/>
      <c r="N182" s="22"/>
      <c r="O182" s="23"/>
      <c r="P182" s="21"/>
      <c r="Q182" s="21"/>
      <c r="R182" s="24" t="str">
        <f ca="1">IF(AND(I182&lt;&gt;"",K182="Active"),I182-TODAY(),"")</f>
        <v/>
      </c>
      <c r="S182" s="22"/>
    </row>
    <row r="183" spans="1:19" x14ac:dyDescent="0.2">
      <c r="A183" s="20" t="str">
        <f>IF(B183&lt;&gt;"","PTW-"&amp;TEXT(ROW()-4,"000"),"")</f>
        <v/>
      </c>
      <c r="B183" s="21"/>
      <c r="C183" s="22"/>
      <c r="D183" s="22"/>
      <c r="E183" s="21"/>
      <c r="F183" s="21"/>
      <c r="G183" s="23"/>
      <c r="H183" s="23"/>
      <c r="I183" s="23"/>
      <c r="J183" s="24" t="str">
        <f>IF(AND(I183&lt;&gt;"",H183&lt;&gt;""),I183-H183,"")</f>
        <v/>
      </c>
      <c r="K183" s="21"/>
      <c r="L183" s="21"/>
      <c r="M183" s="21"/>
      <c r="N183" s="22"/>
      <c r="O183" s="23"/>
      <c r="P183" s="21"/>
      <c r="Q183" s="21"/>
      <c r="R183" s="24" t="str">
        <f ca="1">IF(AND(I183&lt;&gt;"",K183="Active"),I183-TODAY(),"")</f>
        <v/>
      </c>
      <c r="S183" s="22"/>
    </row>
    <row r="184" spans="1:19" x14ac:dyDescent="0.2">
      <c r="A184" s="20" t="str">
        <f>IF(B184&lt;&gt;"","PTW-"&amp;TEXT(ROW()-4,"000"),"")</f>
        <v/>
      </c>
      <c r="B184" s="21"/>
      <c r="C184" s="22"/>
      <c r="D184" s="22"/>
      <c r="E184" s="21"/>
      <c r="F184" s="21"/>
      <c r="G184" s="23"/>
      <c r="H184" s="23"/>
      <c r="I184" s="23"/>
      <c r="J184" s="24" t="str">
        <f>IF(AND(I184&lt;&gt;"",H184&lt;&gt;""),I184-H184,"")</f>
        <v/>
      </c>
      <c r="K184" s="21"/>
      <c r="L184" s="21"/>
      <c r="M184" s="21"/>
      <c r="N184" s="22"/>
      <c r="O184" s="23"/>
      <c r="P184" s="21"/>
      <c r="Q184" s="21"/>
      <c r="R184" s="24" t="str">
        <f ca="1">IF(AND(I184&lt;&gt;"",K184="Active"),I184-TODAY(),"")</f>
        <v/>
      </c>
      <c r="S184" s="22"/>
    </row>
    <row r="185" spans="1:19" x14ac:dyDescent="0.2">
      <c r="A185" s="20" t="str">
        <f>IF(B185&lt;&gt;"","PTW-"&amp;TEXT(ROW()-4,"000"),"")</f>
        <v/>
      </c>
      <c r="B185" s="21"/>
      <c r="C185" s="22"/>
      <c r="D185" s="22"/>
      <c r="E185" s="21"/>
      <c r="F185" s="21"/>
      <c r="G185" s="23"/>
      <c r="H185" s="23"/>
      <c r="I185" s="23"/>
      <c r="J185" s="24" t="str">
        <f>IF(AND(I185&lt;&gt;"",H185&lt;&gt;""),I185-H185,"")</f>
        <v/>
      </c>
      <c r="K185" s="21"/>
      <c r="L185" s="21"/>
      <c r="M185" s="21"/>
      <c r="N185" s="22"/>
      <c r="O185" s="23"/>
      <c r="P185" s="21"/>
      <c r="Q185" s="21"/>
      <c r="R185" s="24" t="str">
        <f ca="1">IF(AND(I185&lt;&gt;"",K185="Active"),I185-TODAY(),"")</f>
        <v/>
      </c>
      <c r="S185" s="22"/>
    </row>
    <row r="186" spans="1:19" x14ac:dyDescent="0.2">
      <c r="A186" s="20" t="str">
        <f>IF(B186&lt;&gt;"","PTW-"&amp;TEXT(ROW()-4,"000"),"")</f>
        <v/>
      </c>
      <c r="B186" s="21"/>
      <c r="C186" s="22"/>
      <c r="D186" s="22"/>
      <c r="E186" s="21"/>
      <c r="F186" s="21"/>
      <c r="G186" s="23"/>
      <c r="H186" s="23"/>
      <c r="I186" s="23"/>
      <c r="J186" s="24" t="str">
        <f>IF(AND(I186&lt;&gt;"",H186&lt;&gt;""),I186-H186,"")</f>
        <v/>
      </c>
      <c r="K186" s="21"/>
      <c r="L186" s="21"/>
      <c r="M186" s="21"/>
      <c r="N186" s="22"/>
      <c r="O186" s="23"/>
      <c r="P186" s="21"/>
      <c r="Q186" s="21"/>
      <c r="R186" s="24" t="str">
        <f ca="1">IF(AND(I186&lt;&gt;"",K186="Active"),I186-TODAY(),"")</f>
        <v/>
      </c>
      <c r="S186" s="22"/>
    </row>
    <row r="187" spans="1:19" x14ac:dyDescent="0.2">
      <c r="A187" s="20" t="str">
        <f>IF(B187&lt;&gt;"","PTW-"&amp;TEXT(ROW()-4,"000"),"")</f>
        <v/>
      </c>
      <c r="B187" s="21"/>
      <c r="C187" s="22"/>
      <c r="D187" s="22"/>
      <c r="E187" s="21"/>
      <c r="F187" s="21"/>
      <c r="G187" s="23"/>
      <c r="H187" s="23"/>
      <c r="I187" s="23"/>
      <c r="J187" s="24" t="str">
        <f>IF(AND(I187&lt;&gt;"",H187&lt;&gt;""),I187-H187,"")</f>
        <v/>
      </c>
      <c r="K187" s="21"/>
      <c r="L187" s="21"/>
      <c r="M187" s="21"/>
      <c r="N187" s="22"/>
      <c r="O187" s="23"/>
      <c r="P187" s="21"/>
      <c r="Q187" s="21"/>
      <c r="R187" s="24" t="str">
        <f ca="1">IF(AND(I187&lt;&gt;"",K187="Active"),I187-TODAY(),"")</f>
        <v/>
      </c>
      <c r="S187" s="22"/>
    </row>
    <row r="188" spans="1:19" x14ac:dyDescent="0.2">
      <c r="A188" s="20" t="str">
        <f>IF(B188&lt;&gt;"","PTW-"&amp;TEXT(ROW()-4,"000"),"")</f>
        <v/>
      </c>
      <c r="B188" s="21"/>
      <c r="C188" s="22"/>
      <c r="D188" s="22"/>
      <c r="E188" s="21"/>
      <c r="F188" s="21"/>
      <c r="G188" s="23"/>
      <c r="H188" s="23"/>
      <c r="I188" s="23"/>
      <c r="J188" s="24" t="str">
        <f>IF(AND(I188&lt;&gt;"",H188&lt;&gt;""),I188-H188,"")</f>
        <v/>
      </c>
      <c r="K188" s="21"/>
      <c r="L188" s="21"/>
      <c r="M188" s="21"/>
      <c r="N188" s="22"/>
      <c r="O188" s="23"/>
      <c r="P188" s="21"/>
      <c r="Q188" s="21"/>
      <c r="R188" s="24" t="str">
        <f ca="1">IF(AND(I188&lt;&gt;"",K188="Active"),I188-TODAY(),"")</f>
        <v/>
      </c>
      <c r="S188" s="22"/>
    </row>
    <row r="189" spans="1:19" x14ac:dyDescent="0.2">
      <c r="A189" s="20" t="str">
        <f>IF(B189&lt;&gt;"","PTW-"&amp;TEXT(ROW()-4,"000"),"")</f>
        <v/>
      </c>
      <c r="B189" s="21"/>
      <c r="C189" s="22"/>
      <c r="D189" s="22"/>
      <c r="E189" s="21"/>
      <c r="F189" s="21"/>
      <c r="G189" s="23"/>
      <c r="H189" s="23"/>
      <c r="I189" s="23"/>
      <c r="J189" s="24" t="str">
        <f>IF(AND(I189&lt;&gt;"",H189&lt;&gt;""),I189-H189,"")</f>
        <v/>
      </c>
      <c r="K189" s="21"/>
      <c r="L189" s="21"/>
      <c r="M189" s="21"/>
      <c r="N189" s="22"/>
      <c r="O189" s="23"/>
      <c r="P189" s="21"/>
      <c r="Q189" s="21"/>
      <c r="R189" s="24" t="str">
        <f ca="1">IF(AND(I189&lt;&gt;"",K189="Active"),I189-TODAY(),"")</f>
        <v/>
      </c>
      <c r="S189" s="22"/>
    </row>
    <row r="190" spans="1:19" x14ac:dyDescent="0.2">
      <c r="A190" s="20" t="str">
        <f>IF(B190&lt;&gt;"","PTW-"&amp;TEXT(ROW()-4,"000"),"")</f>
        <v/>
      </c>
      <c r="B190" s="21"/>
      <c r="C190" s="22"/>
      <c r="D190" s="22"/>
      <c r="E190" s="21"/>
      <c r="F190" s="21"/>
      <c r="G190" s="23"/>
      <c r="H190" s="23"/>
      <c r="I190" s="23"/>
      <c r="J190" s="24" t="str">
        <f>IF(AND(I190&lt;&gt;"",H190&lt;&gt;""),I190-H190,"")</f>
        <v/>
      </c>
      <c r="K190" s="21"/>
      <c r="L190" s="21"/>
      <c r="M190" s="21"/>
      <c r="N190" s="22"/>
      <c r="O190" s="23"/>
      <c r="P190" s="21"/>
      <c r="Q190" s="21"/>
      <c r="R190" s="24" t="str">
        <f ca="1">IF(AND(I190&lt;&gt;"",K190="Active"),I190-TODAY(),"")</f>
        <v/>
      </c>
      <c r="S190" s="22"/>
    </row>
    <row r="191" spans="1:19" x14ac:dyDescent="0.2">
      <c r="A191" s="20" t="str">
        <f>IF(B191&lt;&gt;"","PTW-"&amp;TEXT(ROW()-4,"000"),"")</f>
        <v/>
      </c>
      <c r="B191" s="21"/>
      <c r="C191" s="22"/>
      <c r="D191" s="22"/>
      <c r="E191" s="21"/>
      <c r="F191" s="21"/>
      <c r="G191" s="23"/>
      <c r="H191" s="23"/>
      <c r="I191" s="23"/>
      <c r="J191" s="24" t="str">
        <f>IF(AND(I191&lt;&gt;"",H191&lt;&gt;""),I191-H191,"")</f>
        <v/>
      </c>
      <c r="K191" s="21"/>
      <c r="L191" s="21"/>
      <c r="M191" s="21"/>
      <c r="N191" s="22"/>
      <c r="O191" s="23"/>
      <c r="P191" s="21"/>
      <c r="Q191" s="21"/>
      <c r="R191" s="24" t="str">
        <f ca="1">IF(AND(I191&lt;&gt;"",K191="Active"),I191-TODAY(),"")</f>
        <v/>
      </c>
      <c r="S191" s="22"/>
    </row>
    <row r="192" spans="1:19" x14ac:dyDescent="0.2">
      <c r="A192" s="20" t="str">
        <f>IF(B192&lt;&gt;"","PTW-"&amp;TEXT(ROW()-4,"000"),"")</f>
        <v/>
      </c>
      <c r="B192" s="21"/>
      <c r="C192" s="22"/>
      <c r="D192" s="22"/>
      <c r="E192" s="21"/>
      <c r="F192" s="21"/>
      <c r="G192" s="23"/>
      <c r="H192" s="23"/>
      <c r="I192" s="23"/>
      <c r="J192" s="24" t="str">
        <f>IF(AND(I192&lt;&gt;"",H192&lt;&gt;""),I192-H192,"")</f>
        <v/>
      </c>
      <c r="K192" s="21"/>
      <c r="L192" s="21"/>
      <c r="M192" s="21"/>
      <c r="N192" s="22"/>
      <c r="O192" s="23"/>
      <c r="P192" s="21"/>
      <c r="Q192" s="21"/>
      <c r="R192" s="24" t="str">
        <f ca="1">IF(AND(I192&lt;&gt;"",K192="Active"),I192-TODAY(),"")</f>
        <v/>
      </c>
      <c r="S192" s="22"/>
    </row>
    <row r="193" spans="1:19" x14ac:dyDescent="0.2">
      <c r="A193" s="20" t="str">
        <f>IF(B193&lt;&gt;"","PTW-"&amp;TEXT(ROW()-4,"000"),"")</f>
        <v/>
      </c>
      <c r="B193" s="21"/>
      <c r="C193" s="22"/>
      <c r="D193" s="22"/>
      <c r="E193" s="21"/>
      <c r="F193" s="21"/>
      <c r="G193" s="23"/>
      <c r="H193" s="23"/>
      <c r="I193" s="23"/>
      <c r="J193" s="24" t="str">
        <f>IF(AND(I193&lt;&gt;"",H193&lt;&gt;""),I193-H193,"")</f>
        <v/>
      </c>
      <c r="K193" s="21"/>
      <c r="L193" s="21"/>
      <c r="M193" s="21"/>
      <c r="N193" s="22"/>
      <c r="O193" s="23"/>
      <c r="P193" s="21"/>
      <c r="Q193" s="21"/>
      <c r="R193" s="24" t="str">
        <f ca="1">IF(AND(I193&lt;&gt;"",K193="Active"),I193-TODAY(),"")</f>
        <v/>
      </c>
      <c r="S193" s="22"/>
    </row>
    <row r="194" spans="1:19" x14ac:dyDescent="0.2">
      <c r="A194" s="20" t="str">
        <f>IF(B194&lt;&gt;"","PTW-"&amp;TEXT(ROW()-4,"000"),"")</f>
        <v/>
      </c>
      <c r="B194" s="21"/>
      <c r="C194" s="22"/>
      <c r="D194" s="22"/>
      <c r="E194" s="21"/>
      <c r="F194" s="21"/>
      <c r="G194" s="23"/>
      <c r="H194" s="23"/>
      <c r="I194" s="23"/>
      <c r="J194" s="24" t="str">
        <f>IF(AND(I194&lt;&gt;"",H194&lt;&gt;""),I194-H194,"")</f>
        <v/>
      </c>
      <c r="K194" s="21"/>
      <c r="L194" s="21"/>
      <c r="M194" s="21"/>
      <c r="N194" s="22"/>
      <c r="O194" s="23"/>
      <c r="P194" s="21"/>
      <c r="Q194" s="21"/>
      <c r="R194" s="24" t="str">
        <f ca="1">IF(AND(I194&lt;&gt;"",K194="Active"),I194-TODAY(),"")</f>
        <v/>
      </c>
      <c r="S194" s="22"/>
    </row>
    <row r="195" spans="1:19" x14ac:dyDescent="0.2">
      <c r="A195" s="20" t="str">
        <f>IF(B195&lt;&gt;"","PTW-"&amp;TEXT(ROW()-4,"000"),"")</f>
        <v/>
      </c>
      <c r="B195" s="21"/>
      <c r="C195" s="22"/>
      <c r="D195" s="22"/>
      <c r="E195" s="21"/>
      <c r="F195" s="21"/>
      <c r="G195" s="23"/>
      <c r="H195" s="23"/>
      <c r="I195" s="23"/>
      <c r="J195" s="24" t="str">
        <f>IF(AND(I195&lt;&gt;"",H195&lt;&gt;""),I195-H195,"")</f>
        <v/>
      </c>
      <c r="K195" s="21"/>
      <c r="L195" s="21"/>
      <c r="M195" s="21"/>
      <c r="N195" s="22"/>
      <c r="O195" s="23"/>
      <c r="P195" s="21"/>
      <c r="Q195" s="21"/>
      <c r="R195" s="24" t="str">
        <f ca="1">IF(AND(I195&lt;&gt;"",K195="Active"),I195-TODAY(),"")</f>
        <v/>
      </c>
      <c r="S195" s="22"/>
    </row>
    <row r="196" spans="1:19" x14ac:dyDescent="0.2">
      <c r="A196" s="20" t="str">
        <f>IF(B196&lt;&gt;"","PTW-"&amp;TEXT(ROW()-4,"000"),"")</f>
        <v/>
      </c>
      <c r="B196" s="21"/>
      <c r="C196" s="22"/>
      <c r="D196" s="22"/>
      <c r="E196" s="21"/>
      <c r="F196" s="21"/>
      <c r="G196" s="23"/>
      <c r="H196" s="23"/>
      <c r="I196" s="23"/>
      <c r="J196" s="24" t="str">
        <f>IF(AND(I196&lt;&gt;"",H196&lt;&gt;""),I196-H196,"")</f>
        <v/>
      </c>
      <c r="K196" s="21"/>
      <c r="L196" s="21"/>
      <c r="M196" s="21"/>
      <c r="N196" s="22"/>
      <c r="O196" s="23"/>
      <c r="P196" s="21"/>
      <c r="Q196" s="21"/>
      <c r="R196" s="24" t="str">
        <f ca="1">IF(AND(I196&lt;&gt;"",K196="Active"),I196-TODAY(),"")</f>
        <v/>
      </c>
      <c r="S196" s="22"/>
    </row>
    <row r="197" spans="1:19" x14ac:dyDescent="0.2">
      <c r="A197" s="20" t="str">
        <f>IF(B197&lt;&gt;"","PTW-"&amp;TEXT(ROW()-4,"000"),"")</f>
        <v/>
      </c>
      <c r="B197" s="21"/>
      <c r="C197" s="22"/>
      <c r="D197" s="22"/>
      <c r="E197" s="21"/>
      <c r="F197" s="21"/>
      <c r="G197" s="23"/>
      <c r="H197" s="23"/>
      <c r="I197" s="23"/>
      <c r="J197" s="24" t="str">
        <f>IF(AND(I197&lt;&gt;"",H197&lt;&gt;""),I197-H197,"")</f>
        <v/>
      </c>
      <c r="K197" s="21"/>
      <c r="L197" s="21"/>
      <c r="M197" s="21"/>
      <c r="N197" s="22"/>
      <c r="O197" s="23"/>
      <c r="P197" s="21"/>
      <c r="Q197" s="21"/>
      <c r="R197" s="24" t="str">
        <f ca="1">IF(AND(I197&lt;&gt;"",K197="Active"),I197-TODAY(),"")</f>
        <v/>
      </c>
      <c r="S197" s="22"/>
    </row>
    <row r="198" spans="1:19" x14ac:dyDescent="0.2">
      <c r="A198" s="20" t="str">
        <f>IF(B198&lt;&gt;"","PTW-"&amp;TEXT(ROW()-4,"000"),"")</f>
        <v/>
      </c>
      <c r="B198" s="21"/>
      <c r="C198" s="22"/>
      <c r="D198" s="22"/>
      <c r="E198" s="21"/>
      <c r="F198" s="21"/>
      <c r="G198" s="23"/>
      <c r="H198" s="23"/>
      <c r="I198" s="23"/>
      <c r="J198" s="24" t="str">
        <f>IF(AND(I198&lt;&gt;"",H198&lt;&gt;""),I198-H198,"")</f>
        <v/>
      </c>
      <c r="K198" s="21"/>
      <c r="L198" s="21"/>
      <c r="M198" s="21"/>
      <c r="N198" s="22"/>
      <c r="O198" s="23"/>
      <c r="P198" s="21"/>
      <c r="Q198" s="21"/>
      <c r="R198" s="24" t="str">
        <f ca="1">IF(AND(I198&lt;&gt;"",K198="Active"),I198-TODAY(),"")</f>
        <v/>
      </c>
      <c r="S198" s="22"/>
    </row>
    <row r="199" spans="1:19" x14ac:dyDescent="0.2">
      <c r="A199" s="20" t="str">
        <f>IF(B199&lt;&gt;"","PTW-"&amp;TEXT(ROW()-4,"000"),"")</f>
        <v/>
      </c>
      <c r="B199" s="21"/>
      <c r="C199" s="22"/>
      <c r="D199" s="22"/>
      <c r="E199" s="21"/>
      <c r="F199" s="21"/>
      <c r="G199" s="23"/>
      <c r="H199" s="23"/>
      <c r="I199" s="23"/>
      <c r="J199" s="24" t="str">
        <f>IF(AND(I199&lt;&gt;"",H199&lt;&gt;""),I199-H199,"")</f>
        <v/>
      </c>
      <c r="K199" s="21"/>
      <c r="L199" s="21"/>
      <c r="M199" s="21"/>
      <c r="N199" s="22"/>
      <c r="O199" s="23"/>
      <c r="P199" s="21"/>
      <c r="Q199" s="21"/>
      <c r="R199" s="24" t="str">
        <f ca="1">IF(AND(I199&lt;&gt;"",K199="Active"),I199-TODAY(),"")</f>
        <v/>
      </c>
      <c r="S199" s="22"/>
    </row>
    <row r="200" spans="1:19" x14ac:dyDescent="0.2">
      <c r="A200" s="20" t="str">
        <f>IF(B200&lt;&gt;"","PTW-"&amp;TEXT(ROW()-4,"000"),"")</f>
        <v/>
      </c>
      <c r="B200" s="21"/>
      <c r="C200" s="22"/>
      <c r="D200" s="22"/>
      <c r="E200" s="21"/>
      <c r="F200" s="21"/>
      <c r="G200" s="23"/>
      <c r="H200" s="23"/>
      <c r="I200" s="23"/>
      <c r="J200" s="24" t="str">
        <f>IF(AND(I200&lt;&gt;"",H200&lt;&gt;""),I200-H200,"")</f>
        <v/>
      </c>
      <c r="K200" s="21"/>
      <c r="L200" s="21"/>
      <c r="M200" s="21"/>
      <c r="N200" s="22"/>
      <c r="O200" s="23"/>
      <c r="P200" s="21"/>
      <c r="Q200" s="21"/>
      <c r="R200" s="24" t="str">
        <f ca="1">IF(AND(I200&lt;&gt;"",K200="Active"),I200-TODAY(),"")</f>
        <v/>
      </c>
      <c r="S200" s="22"/>
    </row>
    <row r="201" spans="1:19" x14ac:dyDescent="0.2">
      <c r="A201" s="20" t="str">
        <f>IF(B201&lt;&gt;"","PTW-"&amp;TEXT(ROW()-4,"000"),"")</f>
        <v/>
      </c>
      <c r="B201" s="21"/>
      <c r="C201" s="22"/>
      <c r="D201" s="22"/>
      <c r="E201" s="21"/>
      <c r="F201" s="21"/>
      <c r="G201" s="23"/>
      <c r="H201" s="23"/>
      <c r="I201" s="23"/>
      <c r="J201" s="24" t="str">
        <f>IF(AND(I201&lt;&gt;"",H201&lt;&gt;""),I201-H201,"")</f>
        <v/>
      </c>
      <c r="K201" s="21"/>
      <c r="L201" s="21"/>
      <c r="M201" s="21"/>
      <c r="N201" s="22"/>
      <c r="O201" s="23"/>
      <c r="P201" s="21"/>
      <c r="Q201" s="21"/>
      <c r="R201" s="24" t="str">
        <f ca="1">IF(AND(I201&lt;&gt;"",K201="Active"),I201-TODAY(),"")</f>
        <v/>
      </c>
      <c r="S201" s="22"/>
    </row>
    <row r="202" spans="1:19" x14ac:dyDescent="0.2">
      <c r="A202" s="20" t="str">
        <f>IF(B202&lt;&gt;"","PTW-"&amp;TEXT(ROW()-4,"000"),"")</f>
        <v/>
      </c>
      <c r="B202" s="21"/>
      <c r="C202" s="22"/>
      <c r="D202" s="22"/>
      <c r="E202" s="21"/>
      <c r="F202" s="21"/>
      <c r="G202" s="23"/>
      <c r="H202" s="23"/>
      <c r="I202" s="23"/>
      <c r="J202" s="24" t="str">
        <f>IF(AND(I202&lt;&gt;"",H202&lt;&gt;""),I202-H202,"")</f>
        <v/>
      </c>
      <c r="K202" s="21"/>
      <c r="L202" s="21"/>
      <c r="M202" s="21"/>
      <c r="N202" s="22"/>
      <c r="O202" s="23"/>
      <c r="P202" s="21"/>
      <c r="Q202" s="21"/>
      <c r="R202" s="24" t="str">
        <f ca="1">IF(AND(I202&lt;&gt;"",K202="Active"),I202-TODAY(),"")</f>
        <v/>
      </c>
      <c r="S202" s="22"/>
    </row>
    <row r="203" spans="1:19" x14ac:dyDescent="0.2">
      <c r="A203" s="20" t="str">
        <f>IF(B203&lt;&gt;"","PTW-"&amp;TEXT(ROW()-4,"000"),"")</f>
        <v/>
      </c>
      <c r="B203" s="21"/>
      <c r="C203" s="22"/>
      <c r="D203" s="22"/>
      <c r="E203" s="21"/>
      <c r="F203" s="21"/>
      <c r="G203" s="23"/>
      <c r="H203" s="23"/>
      <c r="I203" s="23"/>
      <c r="J203" s="24" t="str">
        <f>IF(AND(I203&lt;&gt;"",H203&lt;&gt;""),I203-H203,"")</f>
        <v/>
      </c>
      <c r="K203" s="21"/>
      <c r="L203" s="21"/>
      <c r="M203" s="21"/>
      <c r="N203" s="22"/>
      <c r="O203" s="23"/>
      <c r="P203" s="21"/>
      <c r="Q203" s="21"/>
      <c r="R203" s="24" t="str">
        <f ca="1">IF(AND(I203&lt;&gt;"",K203="Active"),I203-TODAY(),"")</f>
        <v/>
      </c>
      <c r="S203" s="22"/>
    </row>
    <row r="204" spans="1:19" x14ac:dyDescent="0.2">
      <c r="A204" s="20" t="str">
        <f>IF(B204&lt;&gt;"","PTW-"&amp;TEXT(ROW()-4,"000"),"")</f>
        <v/>
      </c>
      <c r="B204" s="21"/>
      <c r="C204" s="22"/>
      <c r="D204" s="22"/>
      <c r="E204" s="21"/>
      <c r="F204" s="21"/>
      <c r="G204" s="23"/>
      <c r="H204" s="23"/>
      <c r="I204" s="23"/>
      <c r="J204" s="24" t="str">
        <f>IF(AND(I204&lt;&gt;"",H204&lt;&gt;""),I204-H204,"")</f>
        <v/>
      </c>
      <c r="K204" s="21"/>
      <c r="L204" s="21"/>
      <c r="M204" s="21"/>
      <c r="N204" s="22"/>
      <c r="O204" s="23"/>
      <c r="P204" s="21"/>
      <c r="Q204" s="21"/>
      <c r="R204" s="24" t="str">
        <f ca="1">IF(AND(I204&lt;&gt;"",K204="Active"),I204-TODAY(),"")</f>
        <v/>
      </c>
      <c r="S204" s="22"/>
    </row>
  </sheetData>
  <autoFilter ref="A4:S204" xr:uid="{00000000-0009-0000-0000-000002000000}"/>
  <mergeCells count="1">
    <mergeCell ref="A1:B1"/>
  </mergeCells>
  <conditionalFormatting sqref="K5:K204">
    <cfRule type="cellIs" dxfId="9" priority="2" operator="equal">
      <formula>"Closed"</formula>
    </cfRule>
    <cfRule type="cellIs" dxfId="8" priority="3" operator="equal">
      <formula>"Active"</formula>
    </cfRule>
    <cfRule type="cellIs" dxfId="7" priority="4" operator="equal">
      <formula>"Suspended"</formula>
    </cfRule>
    <cfRule type="cellIs" dxfId="6" priority="5" operator="equal">
      <formula>"Expired"</formula>
    </cfRule>
    <cfRule type="cellIs" dxfId="5" priority="6" operator="equal">
      <formula>"Cancelled"</formula>
    </cfRule>
  </conditionalFormatting>
  <conditionalFormatting sqref="Q5:Q204">
    <cfRule type="cellIs" dxfId="4" priority="10" operator="equal">
      <formula>"No"</formula>
    </cfRule>
    <cfRule type="cellIs" dxfId="3" priority="11" operator="equal">
      <formula>"Yes"</formula>
    </cfRule>
  </conditionalFormatting>
  <conditionalFormatting sqref="R5:R204">
    <cfRule type="cellIs" dxfId="2" priority="7" operator="lessThanOrEqual">
      <formula>0</formula>
    </cfRule>
    <cfRule type="cellIs" dxfId="1" priority="8" operator="between">
      <formula>1</formula>
      <formula>3</formula>
    </cfRule>
    <cfRule type="cellIs" dxfId="0" priority="9" operator="greaterThan">
      <formula>3</formula>
    </cfRule>
  </conditionalFormatting>
  <dataValidations count="3">
    <dataValidation type="list" allowBlank="1" error="Select a permit type from the list." sqref="B5:B204" xr:uid="{00000000-0002-0000-0200-000000000000}">
      <formula1>"Hot Works,Confined Space,Excavation,Working at Height,Electrical,Demolition,LOLER/Lifting,Other"</formula1>
      <formula2>0</formula2>
    </dataValidation>
    <dataValidation type="list" allowBlank="1" error="Select a permit status from the list." sqref="K5:K204" xr:uid="{00000000-0002-0000-0200-000001000000}">
      <formula1>"Active,Closed,Suspended,Cancelled,Expired"</formula1>
      <formula2>0</formula2>
    </dataValidation>
    <dataValidation type="list" allowBlank="1" error="Select Yes, No, or N/A." sqref="Q5:Q204" xr:uid="{00000000-0002-0000-0200-000002000000}">
      <formula1>"Yes,No,N/A"</formula1>
      <formula2>0</formula2>
    </dataValidation>
  </dataValidations>
  <pageMargins left="0.75" right="0.75" top="1" bottom="1" header="0.5" footer="0.5"/>
  <pageSetup paperSize="9" fitToHeight="0" orientation="landscape" horizontalDpi="300" verticalDpi="300"/>
  <headerFooter>
    <oddHeader>&amp;CPermit to Work Register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2A4A"/>
  </sheetPr>
  <dimension ref="A1:A17"/>
  <sheetViews>
    <sheetView zoomScaleNormal="100" workbookViewId="0"/>
  </sheetViews>
  <sheetFormatPr defaultColWidth="8.7421875" defaultRowHeight="15" x14ac:dyDescent="0.2"/>
  <cols>
    <col min="1" max="1" width="99.94921875" customWidth="1"/>
  </cols>
  <sheetData>
    <row r="1" spans="1:1" ht="18.75" x14ac:dyDescent="0.25">
      <c r="A1" s="25" t="s">
        <v>110</v>
      </c>
    </row>
    <row r="2" spans="1:1" x14ac:dyDescent="0.2">
      <c r="A2" s="14"/>
    </row>
    <row r="3" spans="1:1" x14ac:dyDescent="0.2">
      <c r="A3" s="14" t="s">
        <v>111</v>
      </c>
    </row>
    <row r="4" spans="1:1" x14ac:dyDescent="0.2">
      <c r="A4" s="14"/>
    </row>
    <row r="5" spans="1:1" x14ac:dyDescent="0.2">
      <c r="A5" s="14" t="s">
        <v>112</v>
      </c>
    </row>
    <row r="6" spans="1:1" x14ac:dyDescent="0.2">
      <c r="A6" s="14"/>
    </row>
    <row r="7" spans="1:1" x14ac:dyDescent="0.2">
      <c r="A7" s="14" t="s">
        <v>113</v>
      </c>
    </row>
    <row r="8" spans="1:1" x14ac:dyDescent="0.2">
      <c r="A8" s="14"/>
    </row>
    <row r="9" spans="1:1" x14ac:dyDescent="0.2">
      <c r="A9" s="14" t="s">
        <v>114</v>
      </c>
    </row>
    <row r="10" spans="1:1" x14ac:dyDescent="0.2">
      <c r="A10" s="14"/>
    </row>
    <row r="11" spans="1:1" x14ac:dyDescent="0.2">
      <c r="A11" s="14" t="s">
        <v>115</v>
      </c>
    </row>
    <row r="12" spans="1:1" x14ac:dyDescent="0.2">
      <c r="A12" s="14"/>
    </row>
    <row r="13" spans="1:1" x14ac:dyDescent="0.2">
      <c r="A13" s="14" t="s">
        <v>116</v>
      </c>
    </row>
    <row r="14" spans="1:1" x14ac:dyDescent="0.2">
      <c r="A14" s="14"/>
    </row>
    <row r="15" spans="1:1" x14ac:dyDescent="0.2">
      <c r="A15" s="14" t="s">
        <v>117</v>
      </c>
    </row>
    <row r="16" spans="1:1" x14ac:dyDescent="0.2">
      <c r="A16" s="14"/>
    </row>
    <row r="17" spans="1:1" x14ac:dyDescent="0.2">
      <c r="A17" s="14" t="s">
        <v>118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Cover</vt:lpstr>
      <vt:lpstr>Instructions</vt:lpstr>
      <vt:lpstr>Permit to Work Register</vt:lpstr>
      <vt:lpstr>Terms of Use</vt:lpstr>
      <vt:lpstr>Cover!Print_Area</vt:lpstr>
      <vt:lpstr>Permit to Work Register!Print_Area</vt:lpstr>
      <vt:lpstr>PTW_DataTable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2026-03-21T21:06:48Z</dcterms:created>
  <dcterms:modified xsi:type="dcterms:W3CDTF">2026-03-21T21:06:48Z</dcterms:modified>
  <dc:language>en-US</dc:language>
</cp:coreProperties>
</file>