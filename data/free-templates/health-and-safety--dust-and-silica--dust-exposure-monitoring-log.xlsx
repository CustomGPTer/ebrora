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nitoring Log" sheetId="1" state="visible" r:id="rId3"/>
    <sheet name="Instructions" sheetId="2" state="visible" r:id="rId4"/>
  </sheets>
  <definedNames>
    <definedName function="false" hidden="false" localSheetId="0" name="_xlnm.Print_Area" vbProcedure="false">'Monitoring Log'!$A$1:$P$48</definedName>
    <definedName function="false" hidden="false" localSheetId="0" name="_xlnm.Print_Titles" vbProcedure="false">'Monitoring Log'!$1:$6</definedName>
    <definedName function="false" hidden="true" localSheetId="0" name="_xlnm._FilterDatabase" vbProcedure="false">'Monitoring Log'!$A$6:$P$31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<sst xmlns="http://schemas.openxmlformats.org/spreadsheetml/2006/main" count="73" uniqueCount="62">
  <si>
    <t xml:space="preserve">ebrora.com</t>
  </si>
  <si>
    <t xml:space="preserve">DUST EXPOSURE MONITORING LOG</t>
  </si>
  <si>
    <t xml:space="preserve">Ref: COSHH 2002; HSE EH40; HSE EH75 — Monitoring Strategies for Toxic Substances</t>
  </si>
  <si>
    <t xml:space="preserve">Project:</t>
  </si>
  <si>
    <t xml:space="preserve">Monitoring Provider:</t>
  </si>
  <si>
    <t xml:space="preserve">Rev:</t>
  </si>
  <si>
    <t xml:space="preserve">No.</t>
  </si>
  <si>
    <t xml:space="preserve">Date</t>
  </si>
  <si>
    <t xml:space="preserve">Worker /
SEG Name</t>
  </si>
  <si>
    <t xml:space="preserve">Occupation /
Task</t>
  </si>
  <si>
    <t xml:space="preserve">Location /
Area</t>
  </si>
  <si>
    <t xml:space="preserve">Dust Type</t>
  </si>
  <si>
    <t xml:space="preserve">Monitoring
Type</t>
  </si>
  <si>
    <t xml:space="preserve">Equipment
Used</t>
  </si>
  <si>
    <t xml:space="preserve">Sample
Duration
(mins)</t>
  </si>
  <si>
    <t xml:space="preserve">Inhalable
Dust Result
(mg/m³)</t>
  </si>
  <si>
    <t xml:space="preserve">Respirable
Dust Result
(mg/m³)</t>
  </si>
  <si>
    <t xml:space="preserve">RCS Result
(mg/m³)</t>
  </si>
  <si>
    <t xml:space="preserve">WEL
(mg/m³)</t>
  </si>
  <si>
    <t xml:space="preserve">% of WEL</t>
  </si>
  <si>
    <t xml:space="preserve">Compliance
Status</t>
  </si>
  <si>
    <t xml:space="preserve">Controls in Place /
Actions Required</t>
  </si>
  <si>
    <t xml:space="preserve">UK WORKPLACE EXPOSURE LIMITS (EH40)</t>
  </si>
  <si>
    <t xml:space="preserve">Substance</t>
  </si>
  <si>
    <t xml:space="preserve">WEL 8-hr TWA (mg/m³)</t>
  </si>
  <si>
    <t xml:space="preserve">WEL 15-min STEL (mg/m³)</t>
  </si>
  <si>
    <t xml:space="preserve">Inhalable dust (PNOC)</t>
  </si>
  <si>
    <t xml:space="preserve">10</t>
  </si>
  <si>
    <t xml:space="preserve">—</t>
  </si>
  <si>
    <t xml:space="preserve">Respirable dust (PNOC)</t>
  </si>
  <si>
    <t xml:space="preserve">4</t>
  </si>
  <si>
    <t xml:space="preserve">Respirable Crystalline Silica (RCS)</t>
  </si>
  <si>
    <t xml:space="preserve">0.1</t>
  </si>
  <si>
    <t xml:space="preserve">Wood dust (all species)</t>
  </si>
  <si>
    <t xml:space="preserve">3</t>
  </si>
  <si>
    <t xml:space="preserve">Wood dust (hardwood)</t>
  </si>
  <si>
    <t xml:space="preserve">Cement dust (Portland)</t>
  </si>
  <si>
    <t xml:space="preserve">10 (inhalable) / 4 (respirable)</t>
  </si>
  <si>
    <t xml:space="preserve">MDF dust</t>
  </si>
  <si>
    <t xml:space="preserve">Plaster of Paris (calcium sulphate)</t>
  </si>
  <si>
    <t xml:space="preserve">SUMMARY</t>
  </si>
  <si>
    <t xml:space="preserve">Total Samples:</t>
  </si>
  <si>
    <t xml:space="preserve">Compliant:</t>
  </si>
  <si>
    <t xml:space="preserve">Exceeds WEL:</t>
  </si>
  <si>
    <t xml:space="preserve">Approaching WEL:</t>
  </si>
  <si>
    <t xml:space="preserve">INSTRUCTIONS — Dust Exposure Monitoring Log</t>
  </si>
  <si>
    <t xml:space="preserve">How to Use This Template</t>
  </si>
  <si>
    <t xml:space="preserve">1. Record all dust exposure monitoring conducted on site.</t>
  </si>
  <si>
    <t xml:space="preserve">2. Enter worker/SEG name, task, location, and dust type.</t>
  </si>
  <si>
    <t xml:space="preserve">3. Select the monitoring type and equipment used.</t>
  </si>
  <si>
    <t xml:space="preserve">4. Enter sample duration and the laboratory results for inhalable, respirable, and/or RCS.</t>
  </si>
  <si>
    <t xml:space="preserve">5. Enter the applicable WEL from EH40 — the % of WEL auto-calculates.</t>
  </si>
  <si>
    <t xml:space="preserve">6. Select the compliance status from the dropdown.</t>
  </si>
  <si>
    <t xml:space="preserve">7. Record controls in place and any further actions required.</t>
  </si>
  <si>
    <t xml:space="preserve">8. The WEL reference table provides common UK exposure limits.</t>
  </si>
  <si>
    <t xml:space="preserve">Key RCS Limit Change:</t>
  </si>
  <si>
    <t xml:space="preserve">  The UK WEL for RCS was reduced to 0.1 mg/m³ (8-hr TWA) in April 2022.</t>
  </si>
  <si>
    <t xml:space="preserve">References:</t>
  </si>
  <si>
    <t xml:space="preserve">  COSHH Regulations 2002 (as amended)</t>
  </si>
  <si>
    <t xml:space="preserve">  HSE EH40/2005 — Workplace Exposure Limits (4th edition 2020)</t>
  </si>
  <si>
    <t xml:space="preserve">  HSE EH75 — Monitoring Strategies for Toxic Substances</t>
  </si>
  <si>
    <t xml:space="preserve">  HSE guidance CIS36 — Silica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</si>
</sst>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\%"/>
    <numFmt numFmtId="166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2E75B6"/>
      <name val="Arial"/>
      <family val="0"/>
      <charset val="1"/>
    </font>
    <font>
      <b val="true"/>
      <sz val="14"/>
      <color rgb="FF1B2A4A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1B2A4A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E8F0FE"/>
        <bgColor rgb="FFF2F2F2"/>
      </patternFill>
    </fill>
    <fill>
      <patternFill patternType="solid">
        <fgColor rgb="FF1B2A4A"/>
        <bgColor rgb="FF003366"/>
      </patternFill>
    </fill>
    <fill>
      <patternFill patternType="solid">
        <fgColor rgb="FFF2F2F2"/>
        <bgColor rgb="FFE8F0F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B2A4A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8F0F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E8F0F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0"/>
    <col collapsed="false" customWidth="true" hidden="false" outlineLevel="0" max="4" min="3" style="0" width="14"/>
    <col collapsed="false" customWidth="true" hidden="false" outlineLevel="0" max="5" min="5" style="0" width="13"/>
    <col collapsed="false" customWidth="true" hidden="false" outlineLevel="0" max="6" min="6" style="0" width="12"/>
    <col collapsed="false" customWidth="true" hidden="false" outlineLevel="0" max="7" min="7" style="0" width="11"/>
    <col collapsed="false" customWidth="true" hidden="false" outlineLevel="0" max="8" min="8" style="0" width="12"/>
    <col collapsed="false" customWidth="true" hidden="false" outlineLevel="0" max="9" min="9" style="0" width="9"/>
    <col collapsed="false" customWidth="true" hidden="false" outlineLevel="0" max="12" min="10" style="0" width="11"/>
    <col collapsed="false" customWidth="true" hidden="false" outlineLevel="0" max="14" min="13" style="0" width="9"/>
    <col collapsed="false" customWidth="true" hidden="false" outlineLevel="0" max="15" min="15" style="0" width="12"/>
    <col collapsed="false" customWidth="true" hidden="false" outlineLevel="0" max="16" min="16" style="0" width="22"/>
  </cols>
  <sheetData>
    <row r="1" customFormat="false" ht="1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27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customFormat="false" ht="1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customFormat="false" ht="23.85" hidden="false" customHeight="true" outlineLevel="0" collapsed="false">
      <c r="A4" s="4" t="s">
        <v>3</v>
      </c>
      <c r="B4" s="5"/>
      <c r="C4" s="5"/>
      <c r="D4" s="5"/>
      <c r="E4" s="4" t="s">
        <v>4</v>
      </c>
      <c r="F4" s="4"/>
      <c r="G4" s="5"/>
      <c r="H4" s="5"/>
      <c r="I4" s="5"/>
      <c r="J4" s="4" t="s">
        <v>5</v>
      </c>
      <c r="K4" s="5"/>
    </row>
    <row r="6" customFormat="false" ht="51.75" hidden="false" customHeight="true" outlineLevel="0" collapsed="false">
      <c r="A6" s="6" t="s">
        <v>6</v>
      </c>
      <c r="B6" s="6" t="s">
        <v>7</v>
      </c>
      <c r="C6" s="6" t="s">
        <v>8</v>
      </c>
      <c r="D6" s="6" t="s">
        <v>9</v>
      </c>
      <c r="E6" s="6" t="s">
        <v>10</v>
      </c>
      <c r="F6" s="6" t="s">
        <v>11</v>
      </c>
      <c r="G6" s="6" t="s">
        <v>12</v>
      </c>
      <c r="H6" s="6" t="s">
        <v>13</v>
      </c>
      <c r="I6" s="6" t="s">
        <v>14</v>
      </c>
      <c r="J6" s="6" t="s">
        <v>15</v>
      </c>
      <c r="K6" s="6" t="s">
        <v>16</v>
      </c>
      <c r="L6" s="6" t="s">
        <v>17</v>
      </c>
      <c r="M6" s="6" t="s">
        <v>18</v>
      </c>
      <c r="N6" s="6" t="s">
        <v>19</v>
      </c>
      <c r="O6" s="6" t="s">
        <v>20</v>
      </c>
      <c r="P6" s="6" t="s">
        <v>21</v>
      </c>
    </row>
    <row r="7" customFormat="false" ht="24" hidden="false" customHeight="true" outlineLevel="0" collapsed="false">
      <c r="A7" s="7" t="n">
        <v>1</v>
      </c>
      <c r="B7" s="8"/>
      <c r="C7" s="5"/>
      <c r="D7" s="5"/>
      <c r="E7" s="5"/>
      <c r="F7" s="8"/>
      <c r="G7" s="8"/>
      <c r="H7" s="5"/>
      <c r="I7" s="8"/>
      <c r="J7" s="8"/>
      <c r="K7" s="8"/>
      <c r="L7" s="8"/>
      <c r="M7" s="8"/>
      <c r="N7" s="9" t="str">
        <f aca="false">IF(OR(M7="",MAX(J7:L7)=0),"",ROUND(MAX(J7:L7)/M7*100,0))</f>
        <v/>
      </c>
      <c r="O7" s="8"/>
      <c r="P7" s="5"/>
    </row>
    <row r="8" customFormat="false" ht="24" hidden="false" customHeight="true" outlineLevel="0" collapsed="false">
      <c r="A8" s="10" t="n">
        <v>2</v>
      </c>
      <c r="B8" s="8"/>
      <c r="C8" s="5"/>
      <c r="D8" s="5"/>
      <c r="E8" s="5"/>
      <c r="F8" s="8"/>
      <c r="G8" s="8"/>
      <c r="H8" s="5"/>
      <c r="I8" s="8"/>
      <c r="J8" s="8"/>
      <c r="K8" s="8"/>
      <c r="L8" s="8"/>
      <c r="M8" s="8"/>
      <c r="N8" s="11" t="str">
        <f aca="false">IF(OR(M8="",MAX(J8:L8)=0),"",ROUND(MAX(J8:L8)/M8*100,0))</f>
        <v/>
      </c>
      <c r="O8" s="8"/>
      <c r="P8" s="5"/>
    </row>
    <row r="9" customFormat="false" ht="24" hidden="false" customHeight="true" outlineLevel="0" collapsed="false">
      <c r="A9" s="7" t="n">
        <v>3</v>
      </c>
      <c r="B9" s="8"/>
      <c r="C9" s="5"/>
      <c r="D9" s="5"/>
      <c r="E9" s="5"/>
      <c r="F9" s="8"/>
      <c r="G9" s="8"/>
      <c r="H9" s="5"/>
      <c r="I9" s="8"/>
      <c r="J9" s="8"/>
      <c r="K9" s="8"/>
      <c r="L9" s="8"/>
      <c r="M9" s="8"/>
      <c r="N9" s="9" t="str">
        <f aca="false">IF(OR(M9="",MAX(J9:L9)=0),"",ROUND(MAX(J9:L9)/M9*100,0))</f>
        <v/>
      </c>
      <c r="O9" s="8"/>
      <c r="P9" s="5"/>
    </row>
    <row r="10" customFormat="false" ht="24" hidden="false" customHeight="true" outlineLevel="0" collapsed="false">
      <c r="A10" s="10" t="n">
        <v>4</v>
      </c>
      <c r="B10" s="8"/>
      <c r="C10" s="5"/>
      <c r="D10" s="5"/>
      <c r="E10" s="5"/>
      <c r="F10" s="8"/>
      <c r="G10" s="8"/>
      <c r="H10" s="5"/>
      <c r="I10" s="8"/>
      <c r="J10" s="8"/>
      <c r="K10" s="8"/>
      <c r="L10" s="8"/>
      <c r="M10" s="8"/>
      <c r="N10" s="11" t="str">
        <f aca="false">IF(OR(M10="",MAX(J10:L10)=0),"",ROUND(MAX(J10:L10)/M10*100,0))</f>
        <v/>
      </c>
      <c r="O10" s="8"/>
      <c r="P10" s="5"/>
    </row>
    <row r="11" customFormat="false" ht="24" hidden="false" customHeight="true" outlineLevel="0" collapsed="false">
      <c r="A11" s="7" t="n">
        <v>5</v>
      </c>
      <c r="B11" s="8"/>
      <c r="C11" s="5"/>
      <c r="D11" s="5"/>
      <c r="E11" s="5"/>
      <c r="F11" s="8"/>
      <c r="G11" s="8"/>
      <c r="H11" s="5"/>
      <c r="I11" s="8"/>
      <c r="J11" s="8"/>
      <c r="K11" s="8"/>
      <c r="L11" s="8"/>
      <c r="M11" s="8"/>
      <c r="N11" s="9" t="str">
        <f aca="false">IF(OR(M11="",MAX(J11:L11)=0),"",ROUND(MAX(J11:L11)/M11*100,0))</f>
        <v/>
      </c>
      <c r="O11" s="8"/>
      <c r="P11" s="5"/>
    </row>
    <row r="12" customFormat="false" ht="24" hidden="false" customHeight="true" outlineLevel="0" collapsed="false">
      <c r="A12" s="10" t="n">
        <v>6</v>
      </c>
      <c r="B12" s="8"/>
      <c r="C12" s="5"/>
      <c r="D12" s="5"/>
      <c r="E12" s="5"/>
      <c r="F12" s="8"/>
      <c r="G12" s="8"/>
      <c r="H12" s="5"/>
      <c r="I12" s="8"/>
      <c r="J12" s="8"/>
      <c r="K12" s="8"/>
      <c r="L12" s="8"/>
      <c r="M12" s="8"/>
      <c r="N12" s="11" t="str">
        <f aca="false">IF(OR(M12="",MAX(J12:L12)=0),"",ROUND(MAX(J12:L12)/M12*100,0))</f>
        <v/>
      </c>
      <c r="O12" s="8"/>
      <c r="P12" s="5"/>
    </row>
    <row r="13" customFormat="false" ht="24" hidden="false" customHeight="true" outlineLevel="0" collapsed="false">
      <c r="A13" s="7" t="n">
        <v>7</v>
      </c>
      <c r="B13" s="8"/>
      <c r="C13" s="5"/>
      <c r="D13" s="5"/>
      <c r="E13" s="5"/>
      <c r="F13" s="8"/>
      <c r="G13" s="8"/>
      <c r="H13" s="5"/>
      <c r="I13" s="8"/>
      <c r="J13" s="8"/>
      <c r="K13" s="8"/>
      <c r="L13" s="8"/>
      <c r="M13" s="8"/>
      <c r="N13" s="9" t="str">
        <f aca="false">IF(OR(M13="",MAX(J13:L13)=0),"",ROUND(MAX(J13:L13)/M13*100,0))</f>
        <v/>
      </c>
      <c r="O13" s="8"/>
      <c r="P13" s="5"/>
    </row>
    <row r="14" customFormat="false" ht="24" hidden="false" customHeight="true" outlineLevel="0" collapsed="false">
      <c r="A14" s="10" t="n">
        <v>8</v>
      </c>
      <c r="B14" s="8"/>
      <c r="C14" s="5"/>
      <c r="D14" s="5"/>
      <c r="E14" s="5"/>
      <c r="F14" s="8"/>
      <c r="G14" s="8"/>
      <c r="H14" s="5"/>
      <c r="I14" s="8"/>
      <c r="J14" s="8"/>
      <c r="K14" s="8"/>
      <c r="L14" s="8"/>
      <c r="M14" s="8"/>
      <c r="N14" s="11" t="str">
        <f aca="false">IF(OR(M14="",MAX(J14:L14)=0),"",ROUND(MAX(J14:L14)/M14*100,0))</f>
        <v/>
      </c>
      <c r="O14" s="8"/>
      <c r="P14" s="5"/>
    </row>
    <row r="15" customFormat="false" ht="24" hidden="false" customHeight="true" outlineLevel="0" collapsed="false">
      <c r="A15" s="7" t="n">
        <v>9</v>
      </c>
      <c r="B15" s="8"/>
      <c r="C15" s="5"/>
      <c r="D15" s="5"/>
      <c r="E15" s="5"/>
      <c r="F15" s="8"/>
      <c r="G15" s="8"/>
      <c r="H15" s="5"/>
      <c r="I15" s="8"/>
      <c r="J15" s="8"/>
      <c r="K15" s="8"/>
      <c r="L15" s="8"/>
      <c r="M15" s="8"/>
      <c r="N15" s="9" t="str">
        <f aca="false">IF(OR(M15="",MAX(J15:L15)=0),"",ROUND(MAX(J15:L15)/M15*100,0))</f>
        <v/>
      </c>
      <c r="O15" s="8"/>
      <c r="P15" s="5"/>
    </row>
    <row r="16" customFormat="false" ht="24" hidden="false" customHeight="true" outlineLevel="0" collapsed="false">
      <c r="A16" s="10" t="n">
        <v>10</v>
      </c>
      <c r="B16" s="8"/>
      <c r="C16" s="5"/>
      <c r="D16" s="5"/>
      <c r="E16" s="5"/>
      <c r="F16" s="8"/>
      <c r="G16" s="8"/>
      <c r="H16" s="5"/>
      <c r="I16" s="8"/>
      <c r="J16" s="8"/>
      <c r="K16" s="8"/>
      <c r="L16" s="8"/>
      <c r="M16" s="8"/>
      <c r="N16" s="11" t="str">
        <f aca="false">IF(OR(M16="",MAX(J16:L16)=0),"",ROUND(MAX(J16:L16)/M16*100,0))</f>
        <v/>
      </c>
      <c r="O16" s="8"/>
      <c r="P16" s="5"/>
    </row>
    <row r="17" customFormat="false" ht="24" hidden="false" customHeight="true" outlineLevel="0" collapsed="false">
      <c r="A17" s="7" t="n">
        <v>11</v>
      </c>
      <c r="B17" s="8"/>
      <c r="C17" s="5"/>
      <c r="D17" s="5"/>
      <c r="E17" s="5"/>
      <c r="F17" s="8"/>
      <c r="G17" s="8"/>
      <c r="H17" s="5"/>
      <c r="I17" s="8"/>
      <c r="J17" s="8"/>
      <c r="K17" s="8"/>
      <c r="L17" s="8"/>
      <c r="M17" s="8"/>
      <c r="N17" s="9" t="str">
        <f aca="false">IF(OR(M17="",MAX(J17:L17)=0),"",ROUND(MAX(J17:L17)/M17*100,0))</f>
        <v/>
      </c>
      <c r="O17" s="8"/>
      <c r="P17" s="5"/>
    </row>
    <row r="18" customFormat="false" ht="24" hidden="false" customHeight="true" outlineLevel="0" collapsed="false">
      <c r="A18" s="10" t="n">
        <v>12</v>
      </c>
      <c r="B18" s="8"/>
      <c r="C18" s="5"/>
      <c r="D18" s="5"/>
      <c r="E18" s="5"/>
      <c r="F18" s="8"/>
      <c r="G18" s="8"/>
      <c r="H18" s="5"/>
      <c r="I18" s="8"/>
      <c r="J18" s="8"/>
      <c r="K18" s="8"/>
      <c r="L18" s="8"/>
      <c r="M18" s="8"/>
      <c r="N18" s="11" t="str">
        <f aca="false">IF(OR(M18="",MAX(J18:L18)=0),"",ROUND(MAX(J18:L18)/M18*100,0))</f>
        <v/>
      </c>
      <c r="O18" s="8"/>
      <c r="P18" s="5"/>
    </row>
    <row r="19" customFormat="false" ht="24" hidden="false" customHeight="true" outlineLevel="0" collapsed="false">
      <c r="A19" s="7" t="n">
        <v>13</v>
      </c>
      <c r="B19" s="8"/>
      <c r="C19" s="5"/>
      <c r="D19" s="5"/>
      <c r="E19" s="5"/>
      <c r="F19" s="8"/>
      <c r="G19" s="8"/>
      <c r="H19" s="5"/>
      <c r="I19" s="8"/>
      <c r="J19" s="8"/>
      <c r="K19" s="8"/>
      <c r="L19" s="8"/>
      <c r="M19" s="8"/>
      <c r="N19" s="9" t="str">
        <f aca="false">IF(OR(M19="",MAX(J19:L19)=0),"",ROUND(MAX(J19:L19)/M19*100,0))</f>
        <v/>
      </c>
      <c r="O19" s="8"/>
      <c r="P19" s="5"/>
    </row>
    <row r="20" customFormat="false" ht="24" hidden="false" customHeight="true" outlineLevel="0" collapsed="false">
      <c r="A20" s="10" t="n">
        <v>14</v>
      </c>
      <c r="B20" s="8"/>
      <c r="C20" s="5"/>
      <c r="D20" s="5"/>
      <c r="E20" s="5"/>
      <c r="F20" s="8"/>
      <c r="G20" s="8"/>
      <c r="H20" s="5"/>
      <c r="I20" s="8"/>
      <c r="J20" s="8"/>
      <c r="K20" s="8"/>
      <c r="L20" s="8"/>
      <c r="M20" s="8"/>
      <c r="N20" s="11" t="str">
        <f aca="false">IF(OR(M20="",MAX(J20:L20)=0),"",ROUND(MAX(J20:L20)/M20*100,0))</f>
        <v/>
      </c>
      <c r="O20" s="8"/>
      <c r="P20" s="5"/>
    </row>
    <row r="21" customFormat="false" ht="24" hidden="false" customHeight="true" outlineLevel="0" collapsed="false">
      <c r="A21" s="7" t="n">
        <v>15</v>
      </c>
      <c r="B21" s="8"/>
      <c r="C21" s="5"/>
      <c r="D21" s="5"/>
      <c r="E21" s="5"/>
      <c r="F21" s="8"/>
      <c r="G21" s="8"/>
      <c r="H21" s="5"/>
      <c r="I21" s="8"/>
      <c r="J21" s="8"/>
      <c r="K21" s="8"/>
      <c r="L21" s="8"/>
      <c r="M21" s="8"/>
      <c r="N21" s="9" t="str">
        <f aca="false">IF(OR(M21="",MAX(J21:L21)=0),"",ROUND(MAX(J21:L21)/M21*100,0))</f>
        <v/>
      </c>
      <c r="O21" s="8"/>
      <c r="P21" s="5"/>
    </row>
    <row r="22" customFormat="false" ht="24" hidden="false" customHeight="true" outlineLevel="0" collapsed="false">
      <c r="A22" s="10" t="n">
        <v>16</v>
      </c>
      <c r="B22" s="8"/>
      <c r="C22" s="5"/>
      <c r="D22" s="5"/>
      <c r="E22" s="5"/>
      <c r="F22" s="8"/>
      <c r="G22" s="8"/>
      <c r="H22" s="5"/>
      <c r="I22" s="8"/>
      <c r="J22" s="8"/>
      <c r="K22" s="8"/>
      <c r="L22" s="8"/>
      <c r="M22" s="8"/>
      <c r="N22" s="11" t="str">
        <f aca="false">IF(OR(M22="",MAX(J22:L22)=0),"",ROUND(MAX(J22:L22)/M22*100,0))</f>
        <v/>
      </c>
      <c r="O22" s="8"/>
      <c r="P22" s="5"/>
    </row>
    <row r="23" customFormat="false" ht="24" hidden="false" customHeight="true" outlineLevel="0" collapsed="false">
      <c r="A23" s="7" t="n">
        <v>17</v>
      </c>
      <c r="B23" s="8"/>
      <c r="C23" s="5"/>
      <c r="D23" s="5"/>
      <c r="E23" s="5"/>
      <c r="F23" s="8"/>
      <c r="G23" s="8"/>
      <c r="H23" s="5"/>
      <c r="I23" s="8"/>
      <c r="J23" s="8"/>
      <c r="K23" s="8"/>
      <c r="L23" s="8"/>
      <c r="M23" s="8"/>
      <c r="N23" s="9" t="str">
        <f aca="false">IF(OR(M23="",MAX(J23:L23)=0),"",ROUND(MAX(J23:L23)/M23*100,0))</f>
        <v/>
      </c>
      <c r="O23" s="8"/>
      <c r="P23" s="5"/>
    </row>
    <row r="24" customFormat="false" ht="24" hidden="false" customHeight="true" outlineLevel="0" collapsed="false">
      <c r="A24" s="10" t="n">
        <v>18</v>
      </c>
      <c r="B24" s="8"/>
      <c r="C24" s="5"/>
      <c r="D24" s="5"/>
      <c r="E24" s="5"/>
      <c r="F24" s="8"/>
      <c r="G24" s="8"/>
      <c r="H24" s="5"/>
      <c r="I24" s="8"/>
      <c r="J24" s="8"/>
      <c r="K24" s="8"/>
      <c r="L24" s="8"/>
      <c r="M24" s="8"/>
      <c r="N24" s="11" t="str">
        <f aca="false">IF(OR(M24="",MAX(J24:L24)=0),"",ROUND(MAX(J24:L24)/M24*100,0))</f>
        <v/>
      </c>
      <c r="O24" s="8"/>
      <c r="P24" s="5"/>
    </row>
    <row r="25" customFormat="false" ht="24" hidden="false" customHeight="true" outlineLevel="0" collapsed="false">
      <c r="A25" s="7" t="n">
        <v>19</v>
      </c>
      <c r="B25" s="8"/>
      <c r="C25" s="5"/>
      <c r="D25" s="5"/>
      <c r="E25" s="5"/>
      <c r="F25" s="8"/>
      <c r="G25" s="8"/>
      <c r="H25" s="5"/>
      <c r="I25" s="8"/>
      <c r="J25" s="8"/>
      <c r="K25" s="8"/>
      <c r="L25" s="8"/>
      <c r="M25" s="8"/>
      <c r="N25" s="9" t="str">
        <f aca="false">IF(OR(M25="",MAX(J25:L25)=0),"",ROUND(MAX(J25:L25)/M25*100,0))</f>
        <v/>
      </c>
      <c r="O25" s="8"/>
      <c r="P25" s="5"/>
    </row>
    <row r="26" customFormat="false" ht="24" hidden="false" customHeight="true" outlineLevel="0" collapsed="false">
      <c r="A26" s="10" t="n">
        <v>20</v>
      </c>
      <c r="B26" s="8"/>
      <c r="C26" s="5"/>
      <c r="D26" s="5"/>
      <c r="E26" s="5"/>
      <c r="F26" s="8"/>
      <c r="G26" s="8"/>
      <c r="H26" s="5"/>
      <c r="I26" s="8"/>
      <c r="J26" s="8"/>
      <c r="K26" s="8"/>
      <c r="L26" s="8"/>
      <c r="M26" s="8"/>
      <c r="N26" s="11" t="str">
        <f aca="false">IF(OR(M26="",MAX(J26:L26)=0),"",ROUND(MAX(J26:L26)/M26*100,0))</f>
        <v/>
      </c>
      <c r="O26" s="8"/>
      <c r="P26" s="5"/>
    </row>
    <row r="27" customFormat="false" ht="24" hidden="false" customHeight="true" outlineLevel="0" collapsed="false">
      <c r="A27" s="7" t="n">
        <v>21</v>
      </c>
      <c r="B27" s="8"/>
      <c r="C27" s="5"/>
      <c r="D27" s="5"/>
      <c r="E27" s="5"/>
      <c r="F27" s="8"/>
      <c r="G27" s="8"/>
      <c r="H27" s="5"/>
      <c r="I27" s="8"/>
      <c r="J27" s="8"/>
      <c r="K27" s="8"/>
      <c r="L27" s="8"/>
      <c r="M27" s="8"/>
      <c r="N27" s="9" t="str">
        <f aca="false">IF(OR(M27="",MAX(J27:L27)=0),"",ROUND(MAX(J27:L27)/M27*100,0))</f>
        <v/>
      </c>
      <c r="O27" s="8"/>
      <c r="P27" s="5"/>
    </row>
    <row r="28" customFormat="false" ht="24" hidden="false" customHeight="true" outlineLevel="0" collapsed="false">
      <c r="A28" s="10" t="n">
        <v>22</v>
      </c>
      <c r="B28" s="8"/>
      <c r="C28" s="5"/>
      <c r="D28" s="5"/>
      <c r="E28" s="5"/>
      <c r="F28" s="8"/>
      <c r="G28" s="8"/>
      <c r="H28" s="5"/>
      <c r="I28" s="8"/>
      <c r="J28" s="8"/>
      <c r="K28" s="8"/>
      <c r="L28" s="8"/>
      <c r="M28" s="8"/>
      <c r="N28" s="11" t="str">
        <f aca="false">IF(OR(M28="",MAX(J28:L28)=0),"",ROUND(MAX(J28:L28)/M28*100,0))</f>
        <v/>
      </c>
      <c r="O28" s="8"/>
      <c r="P28" s="5"/>
    </row>
    <row r="29" customFormat="false" ht="24" hidden="false" customHeight="true" outlineLevel="0" collapsed="false">
      <c r="A29" s="7" t="n">
        <v>23</v>
      </c>
      <c r="B29" s="8"/>
      <c r="C29" s="5"/>
      <c r="D29" s="5"/>
      <c r="E29" s="5"/>
      <c r="F29" s="8"/>
      <c r="G29" s="8"/>
      <c r="H29" s="5"/>
      <c r="I29" s="8"/>
      <c r="J29" s="8"/>
      <c r="K29" s="8"/>
      <c r="L29" s="8"/>
      <c r="M29" s="8"/>
      <c r="N29" s="9" t="str">
        <f aca="false">IF(OR(M29="",MAX(J29:L29)=0),"",ROUND(MAX(J29:L29)/M29*100,0))</f>
        <v/>
      </c>
      <c r="O29" s="8"/>
      <c r="P29" s="5"/>
    </row>
    <row r="30" customFormat="false" ht="24" hidden="false" customHeight="true" outlineLevel="0" collapsed="false">
      <c r="A30" s="10" t="n">
        <v>24</v>
      </c>
      <c r="B30" s="8"/>
      <c r="C30" s="5"/>
      <c r="D30" s="5"/>
      <c r="E30" s="5"/>
      <c r="F30" s="8"/>
      <c r="G30" s="8"/>
      <c r="H30" s="5"/>
      <c r="I30" s="8"/>
      <c r="J30" s="8"/>
      <c r="K30" s="8"/>
      <c r="L30" s="8"/>
      <c r="M30" s="8"/>
      <c r="N30" s="11" t="str">
        <f aca="false">IF(OR(M30="",MAX(J30:L30)=0),"",ROUND(MAX(J30:L30)/M30*100,0))</f>
        <v/>
      </c>
      <c r="O30" s="8"/>
      <c r="P30" s="5"/>
    </row>
    <row r="31" customFormat="false" ht="24" hidden="false" customHeight="true" outlineLevel="0" collapsed="false">
      <c r="A31" s="7" t="n">
        <v>25</v>
      </c>
      <c r="B31" s="8"/>
      <c r="C31" s="5"/>
      <c r="D31" s="5"/>
      <c r="E31" s="5"/>
      <c r="F31" s="8"/>
      <c r="G31" s="8"/>
      <c r="H31" s="5"/>
      <c r="I31" s="8"/>
      <c r="J31" s="8"/>
      <c r="K31" s="8"/>
      <c r="L31" s="8"/>
      <c r="M31" s="8"/>
      <c r="N31" s="9" t="str">
        <f aca="false">IF(OR(M31="",MAX(J31:L31)=0),"",ROUND(MAX(J31:L31)/M31*100,0))</f>
        <v/>
      </c>
      <c r="O31" s="8"/>
      <c r="P31" s="5"/>
    </row>
    <row r="33" customFormat="false" ht="15" hidden="false" customHeight="true" outlineLevel="0" collapsed="false">
      <c r="A33" s="12" t="s">
        <v>22</v>
      </c>
      <c r="B33" s="12"/>
      <c r="C33" s="12"/>
      <c r="D33" s="12"/>
      <c r="E33" s="12"/>
      <c r="F33" s="12"/>
      <c r="G33" s="12"/>
      <c r="H33" s="12"/>
    </row>
    <row r="34" customFormat="false" ht="15" hidden="false" customHeight="true" outlineLevel="0" collapsed="false">
      <c r="A34" s="6"/>
      <c r="B34" s="13" t="s">
        <v>23</v>
      </c>
      <c r="C34" s="6" t="s">
        <v>24</v>
      </c>
      <c r="D34" s="6"/>
      <c r="E34" s="6" t="s">
        <v>25</v>
      </c>
      <c r="F34" s="6"/>
    </row>
    <row r="35" customFormat="false" ht="35.05" hidden="false" customHeight="true" outlineLevel="0" collapsed="false">
      <c r="A35" s="7"/>
      <c r="B35" s="14" t="s">
        <v>26</v>
      </c>
      <c r="C35" s="7" t="s">
        <v>27</v>
      </c>
      <c r="D35" s="7"/>
      <c r="E35" s="7" t="s">
        <v>28</v>
      </c>
      <c r="F35" s="7"/>
    </row>
    <row r="36" customFormat="false" ht="35.05" hidden="false" customHeight="true" outlineLevel="0" collapsed="false">
      <c r="A36" s="10"/>
      <c r="B36" s="15" t="s">
        <v>29</v>
      </c>
      <c r="C36" s="10" t="s">
        <v>30</v>
      </c>
      <c r="D36" s="10"/>
      <c r="E36" s="10" t="s">
        <v>28</v>
      </c>
      <c r="F36" s="10"/>
    </row>
    <row r="37" customFormat="false" ht="46.25" hidden="false" customHeight="true" outlineLevel="0" collapsed="false">
      <c r="A37" s="7"/>
      <c r="B37" s="14" t="s">
        <v>31</v>
      </c>
      <c r="C37" s="7" t="s">
        <v>32</v>
      </c>
      <c r="D37" s="7"/>
      <c r="E37" s="7" t="s">
        <v>28</v>
      </c>
      <c r="F37" s="7"/>
    </row>
    <row r="38" customFormat="false" ht="35.05" hidden="false" customHeight="true" outlineLevel="0" collapsed="false">
      <c r="A38" s="10"/>
      <c r="B38" s="15" t="s">
        <v>33</v>
      </c>
      <c r="C38" s="10" t="s">
        <v>34</v>
      </c>
      <c r="D38" s="10"/>
      <c r="E38" s="10" t="s">
        <v>28</v>
      </c>
      <c r="F38" s="10"/>
    </row>
    <row r="39" customFormat="false" ht="23.85" hidden="false" customHeight="true" outlineLevel="0" collapsed="false">
      <c r="A39" s="7"/>
      <c r="B39" s="14" t="s">
        <v>35</v>
      </c>
      <c r="C39" s="7" t="s">
        <v>34</v>
      </c>
      <c r="D39" s="7"/>
      <c r="E39" s="7" t="s">
        <v>28</v>
      </c>
      <c r="F39" s="7"/>
    </row>
    <row r="40" customFormat="false" ht="35.05" hidden="false" customHeight="true" outlineLevel="0" collapsed="false">
      <c r="A40" s="10"/>
      <c r="B40" s="15" t="s">
        <v>36</v>
      </c>
      <c r="C40" s="10" t="s">
        <v>37</v>
      </c>
      <c r="D40" s="10"/>
      <c r="E40" s="10" t="s">
        <v>28</v>
      </c>
      <c r="F40" s="10"/>
    </row>
    <row r="41" customFormat="false" ht="15" hidden="false" customHeight="true" outlineLevel="0" collapsed="false">
      <c r="A41" s="7"/>
      <c r="B41" s="14" t="s">
        <v>38</v>
      </c>
      <c r="C41" s="7" t="s">
        <v>34</v>
      </c>
      <c r="D41" s="7"/>
      <c r="E41" s="7" t="s">
        <v>28</v>
      </c>
      <c r="F41" s="7"/>
    </row>
    <row r="42" customFormat="false" ht="46.25" hidden="false" customHeight="true" outlineLevel="0" collapsed="false">
      <c r="A42" s="10"/>
      <c r="B42" s="15" t="s">
        <v>39</v>
      </c>
      <c r="C42" s="10" t="s">
        <v>37</v>
      </c>
      <c r="D42" s="10"/>
      <c r="E42" s="10" t="s">
        <v>28</v>
      </c>
      <c r="F42" s="10"/>
    </row>
    <row r="44" customFormat="false" ht="15" hidden="false" customHeight="true" outlineLevel="0" collapsed="false">
      <c r="A44" s="12" t="s">
        <v>40</v>
      </c>
      <c r="B44" s="12"/>
      <c r="C44" s="12"/>
    </row>
    <row r="45" customFormat="false" ht="15" hidden="false" customHeight="true" outlineLevel="0" collapsed="false">
      <c r="A45" s="4" t="s">
        <v>41</v>
      </c>
      <c r="B45" s="4"/>
      <c r="C45" s="16" t="n">
        <f aca="false">COUNTA(C7:C31)</f>
        <v>0</v>
      </c>
    </row>
    <row r="46" customFormat="false" ht="15" hidden="false" customHeight="true" outlineLevel="0" collapsed="false">
      <c r="A46" s="4" t="s">
        <v>42</v>
      </c>
      <c r="B46" s="4"/>
      <c r="C46" s="16" t="n">
        <f aca="false">COUNTIF(O7:O31,"Compliant")</f>
        <v>0</v>
      </c>
    </row>
    <row r="47" customFormat="false" ht="15" hidden="false" customHeight="true" outlineLevel="0" collapsed="false">
      <c r="A47" s="4" t="s">
        <v>43</v>
      </c>
      <c r="B47" s="4"/>
      <c r="C47" s="16" t="n">
        <f aca="false">COUNTIF(O7:O31,"Exceeds WEL")</f>
        <v>0</v>
      </c>
    </row>
    <row r="48" customFormat="false" ht="23.85" hidden="false" customHeight="true" outlineLevel="0" collapsed="false">
      <c r="A48" s="4" t="s">
        <v>44</v>
      </c>
      <c r="B48" s="4"/>
      <c r="C48" s="16" t="n">
        <f aca="false">COUNTIF(O7:O31,"Approaching WEL")</f>
        <v>0</v>
      </c>
    </row>
  </sheetData>
  <autoFilter ref="A6:P31"/>
  <mergeCells count="30">
    <mergeCell ref="A1:P1"/>
    <mergeCell ref="A2:P2"/>
    <mergeCell ref="A3:P3"/>
    <mergeCell ref="B4:D4"/>
    <mergeCell ref="E4:F4"/>
    <mergeCell ref="G4:I4"/>
    <mergeCell ref="A33:H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A44:C44"/>
    <mergeCell ref="A45:B45"/>
    <mergeCell ref="A46:B46"/>
    <mergeCell ref="A47:B47"/>
    <mergeCell ref="A48:B48"/>
  </mergeCells>
  <conditionalFormatting sqref="O7:O31">
    <cfRule type="cellIs" priority="2" operator="equal" aboveAverage="0" equalAverage="0" bottom="0" percent="0" rank="0" text="" dxfId="6">
      <formula>"Compliant"</formula>
    </cfRule>
    <cfRule type="cellIs" priority="3" operator="equal" aboveAverage="0" equalAverage="0" bottom="0" percent="0" rank="0" text="" dxfId="7">
      <formula>"Exceeds WEL"</formula>
    </cfRule>
    <cfRule type="cellIs" priority="4" operator="equal" aboveAverage="0" equalAverage="0" bottom="0" percent="0" rank="0" text="" dxfId="8">
      <formula>"Approaching WEL"</formula>
    </cfRule>
  </conditionalFormatting>
  <dataValidations count="3">
    <dataValidation allowBlank="true" errorStyle="stop" operator="between" showDropDown="false" showErrorMessage="false" showInputMessage="false" sqref="F7:F31" type="list">
      <formula1>"Inhalable Dust,Respirable Dust,Respirable Crystalline Silica (RCS),Wood Dust,Cement Dust,MDF Dust,Plaster Dust,Mixed Construction Dust,Other"</formula1>
      <formula2>0</formula2>
    </dataValidation>
    <dataValidation allowBlank="true" errorStyle="stop" operator="between" showDropDown="false" showErrorMessage="false" showInputMessage="false" sqref="G7:G31" type="list">
      <formula1>"Personal (Static),Personal (Lapel),Area / Background,Real-Time (Optical)"</formula1>
      <formula2>0</formula2>
    </dataValidation>
    <dataValidation allowBlank="true" errorStyle="stop" operator="between" showDropDown="false" showErrorMessage="false" showInputMessage="false" sqref="O7:O31" type="list">
      <formula1>"Compliant,Exceeds WEL,Approaching WEL,Pending Results"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80"/>
  </cols>
  <sheetData>
    <row r="1" customFormat="false" ht="15" hidden="false" customHeight="true" outlineLevel="0" collapsed="false">
      <c r="A1" s="1" t="s">
        <v>0</v>
      </c>
      <c r="B1" s="1"/>
    </row>
    <row r="2" customFormat="false" ht="27.75" hidden="false" customHeight="true" outlineLevel="0" collapsed="false">
      <c r="A2" s="2" t="s">
        <v>45</v>
      </c>
      <c r="B2" s="2"/>
    </row>
    <row r="4" customFormat="false" ht="15" hidden="false" customHeight="false" outlineLevel="0" collapsed="false">
      <c r="B4" s="12" t="s">
        <v>46</v>
      </c>
    </row>
    <row r="5" customFormat="false" ht="15" hidden="false" customHeight="false" outlineLevel="0" collapsed="false">
      <c r="B5" s="15"/>
    </row>
    <row r="6" customFormat="false" ht="15" hidden="false" customHeight="false" outlineLevel="0" collapsed="false">
      <c r="B6" s="15" t="s">
        <v>47</v>
      </c>
    </row>
    <row r="7" customFormat="false" ht="15" hidden="false" customHeight="false" outlineLevel="0" collapsed="false">
      <c r="B7" s="15" t="s">
        <v>48</v>
      </c>
    </row>
    <row r="8" customFormat="false" ht="15" hidden="false" customHeight="false" outlineLevel="0" collapsed="false">
      <c r="B8" s="15" t="s">
        <v>49</v>
      </c>
    </row>
    <row r="9" customFormat="false" ht="15" hidden="false" customHeight="false" outlineLevel="0" collapsed="false">
      <c r="B9" s="15" t="s">
        <v>50</v>
      </c>
    </row>
    <row r="10" customFormat="false" ht="15" hidden="false" customHeight="false" outlineLevel="0" collapsed="false">
      <c r="B10" s="15" t="s">
        <v>51</v>
      </c>
    </row>
    <row r="11" customFormat="false" ht="15" hidden="false" customHeight="false" outlineLevel="0" collapsed="false">
      <c r="B11" s="15" t="s">
        <v>52</v>
      </c>
    </row>
    <row r="12" customFormat="false" ht="15" hidden="false" customHeight="false" outlineLevel="0" collapsed="false">
      <c r="B12" s="15" t="s">
        <v>53</v>
      </c>
    </row>
    <row r="13" customFormat="false" ht="15" hidden="false" customHeight="false" outlineLevel="0" collapsed="false">
      <c r="B13" s="15" t="s">
        <v>54</v>
      </c>
    </row>
    <row r="14" customFormat="false" ht="15" hidden="false" customHeight="false" outlineLevel="0" collapsed="false">
      <c r="B14" s="15"/>
    </row>
    <row r="15" customFormat="false" ht="15" hidden="false" customHeight="false" outlineLevel="0" collapsed="false">
      <c r="B15" s="12" t="s">
        <v>55</v>
      </c>
    </row>
    <row r="16" customFormat="false" ht="15" hidden="false" customHeight="false" outlineLevel="0" collapsed="false">
      <c r="B16" s="15" t="s">
        <v>56</v>
      </c>
    </row>
    <row r="17" customFormat="false" ht="15" hidden="false" customHeight="false" outlineLevel="0" collapsed="false">
      <c r="B17" s="15"/>
    </row>
    <row r="18" customFormat="false" ht="15" hidden="false" customHeight="false" outlineLevel="0" collapsed="false">
      <c r="B18" s="12" t="s">
        <v>57</v>
      </c>
    </row>
    <row r="19" customFormat="false" ht="15" hidden="false" customHeight="false" outlineLevel="0" collapsed="false">
      <c r="B19" s="3" t="s">
        <v>58</v>
      </c>
    </row>
    <row r="20" customFormat="false" ht="15" hidden="false" customHeight="false" outlineLevel="0" collapsed="false">
      <c r="B20" s="3" t="s">
        <v>59</v>
      </c>
    </row>
    <row r="21" customFormat="false" ht="15" hidden="false" customHeight="false" outlineLevel="0" collapsed="false">
      <c r="B21" s="3" t="s">
        <v>60</v>
      </c>
    </row>
    <row r="22" customFormat="false" ht="15" hidden="false" customHeight="false" outlineLevel="0" collapsed="false">
      <c r="B22" s="3" t="s">
        <v>61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2026-03-27T16:41:28Z</dcterms:created>
  <dc:creator>openpyxl</dc:creator>
  <dc:description/>
  <dc:language>en-US</dc:language>
  <cp:lastModifiedBy/>
  <dcterms:modified xsi:type="dcterms:W3CDTF">2026-03-27T16:41:28Z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