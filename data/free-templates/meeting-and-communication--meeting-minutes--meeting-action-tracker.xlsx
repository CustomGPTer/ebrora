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ETING ACTION TRACKER" sheetId="1" state="visible" r:id="rId3"/>
    <sheet name="Instructions" sheetId="2" state="visible" r:id="rId4"/>
  </sheets>
  <definedNames>
    <definedName function="false" hidden="false" localSheetId="0" name="_xlnm.Print_Area" vbProcedure="false">'MEETING ACTION TRACKER'!$A$1:$M$38</definedName>
    <definedName function="false" hidden="false" localSheetId="0" name="_xlnm.Print_Titles" vbProcedure="false">'MEETING ACTION TRACKER'!$1:$6</definedName>
    <definedName function="false" hidden="true" localSheetId="0" name="_xlnm._FilterDatabase" vbProcedure="false">'MEETING ACTION TRACKER'!$A$6:$M$31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<sst xmlns="http://schemas.openxmlformats.org/spreadsheetml/2006/main" count="34" uniqueCount="33">
  <si>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ebrora.com</t>
  </si>
  <si>
    <t xml:space="preserve">MEETING ACTION TRACKER</t>
  </si>
  <si>
    <t xml:space="preserve">Ref: NEC4 Clause 16 — Early Warning Meetings; Project Governance</t>
  </si>
  <si>
    <t xml:space="preserve">Project:</t>
  </si>
  <si>
    <t xml:space="preserve">Prepared By:</t>
  </si>
  <si>
    <t xml:space="preserve">Rev:</t>
  </si>
  <si>
    <t xml:space="preserve">No.</t>
  </si>
  <si>
    <t xml:space="preserve">Meeting
Date</t>
  </si>
  <si>
    <t xml:space="preserve">Meeting
Type</t>
  </si>
  <si>
    <t xml:space="preserve">Action
Ref</t>
  </si>
  <si>
    <t xml:space="preserve">Action Description</t>
  </si>
  <si>
    <t xml:space="preserve">Assigned To</t>
  </si>
  <si>
    <t xml:space="preserve">Company</t>
  </si>
  <si>
    <t xml:space="preserve">Priority
(H/M/L)</t>
  </si>
  <si>
    <t xml:space="preserve">Target
Date</t>
  </si>
  <si>
    <t xml:space="preserve">Date
Closed</t>
  </si>
  <si>
    <t xml:space="preserve">Days
Open</t>
  </si>
  <si>
    <t xml:space="preserve">Status</t>
  </si>
  <si>
    <t xml:space="preserve">Comments</t>
  </si>
  <si>
    <t xml:space="preserve">SUMMARY</t>
  </si>
  <si>
    <t xml:space="preserve">Total Actions:</t>
  </si>
  <si>
    <t xml:space="preserve">Open:</t>
  </si>
  <si>
    <t xml:space="preserve">Overdue:</t>
  </si>
  <si>
    <t xml:space="preserve">Closed:</t>
  </si>
  <si>
    <t xml:space="preserve">INSTRUCTIONS — MEETING ACTION TRACKER</t>
  </si>
  <si>
    <t xml:space="preserve">How to Use This Template</t>
  </si>
  <si>
    <t xml:space="preserve">1. Record all actions from project meetings.</t>
  </si>
  <si>
    <t xml:space="preserve">2. Assign a unique action reference, owner, and target date.</t>
  </si>
  <si>
    <t xml:space="preserve">3. Days open auto-calculates. Overdue items flagged red.</t>
  </si>
  <si>
    <t xml:space="preserve">4. Review open actions at the start of each meeting.</t>
  </si>
  <si>
    <t xml:space="preserve">References:</t>
  </si>
  <si>
    <t xml:space="preserve">  NEC4 Clause 16 — Early Warning</t>
  </si>
  <si>
    <t xml:space="preserve">  Project Governance Procedures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</si>
</sst>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8"/>
    <col collapsed="false" customWidth="true" hidden="false" outlineLevel="0" max="10" min="9" style="1" width="10"/>
    <col collapsed="false" customWidth="true" hidden="false" outlineLevel="0" max="11" min="11" style="1" width="8"/>
    <col collapsed="false" customWidth="true" hidden="false" outlineLevel="0" max="12" min="12" style="1" width="12"/>
    <col collapsed="false" customWidth="true" hidden="false" outlineLevel="0" max="13" min="13" style="1" width="18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10" t="str">
        <f aca="true">IF(B7="","",IF(J7&lt;&gt;"",J7-B7,TODAY()-B7))</f>
        <v/>
      </c>
      <c r="L7" s="9"/>
      <c r="M7" s="9"/>
    </row>
    <row r="8" customFormat="false" ht="21.75" hidden="false" customHeight="true" outlineLevel="0" collapsed="false">
      <c r="A8" s="11" t="n">
        <v>2</v>
      </c>
      <c r="B8" s="6"/>
      <c r="C8" s="6"/>
      <c r="D8" s="6"/>
      <c r="E8" s="9"/>
      <c r="F8" s="9"/>
      <c r="G8" s="9"/>
      <c r="H8" s="9"/>
      <c r="I8" s="9"/>
      <c r="J8" s="9"/>
      <c r="K8" s="12" t="str">
        <f aca="true">IF(B8="","",IF(J8&lt;&gt;"",J8-B8,TODAY()-B8))</f>
        <v/>
      </c>
      <c r="L8" s="9"/>
      <c r="M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10" t="str">
        <f aca="true">IF(B9="","",IF(J9&lt;&gt;"",J9-B9,TODAY()-B9))</f>
        <v/>
      </c>
      <c r="L9" s="9"/>
      <c r="M9" s="9"/>
    </row>
    <row r="10" customFormat="false" ht="21.75" hidden="false" customHeight="true" outlineLevel="0" collapsed="false">
      <c r="A10" s="11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12" t="str">
        <f aca="true">IF(B10="","",IF(J10&lt;&gt;"",J10-B10,TODAY()-B10))</f>
        <v/>
      </c>
      <c r="L10" s="9"/>
      <c r="M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10" t="str">
        <f aca="true">IF(B11="","",IF(J11&lt;&gt;"",J11-B11,TODAY()-B11))</f>
        <v/>
      </c>
      <c r="L11" s="9"/>
      <c r="M11" s="9"/>
    </row>
    <row r="12" customFormat="false" ht="21.75" hidden="false" customHeight="true" outlineLevel="0" collapsed="false">
      <c r="A12" s="11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12" t="str">
        <f aca="true">IF(B12="","",IF(J12&lt;&gt;"",J12-B12,TODAY()-B12))</f>
        <v/>
      </c>
      <c r="L12" s="9"/>
      <c r="M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10" t="str">
        <f aca="true">IF(B13="","",IF(J13&lt;&gt;"",J13-B13,TODAY()-B13))</f>
        <v/>
      </c>
      <c r="L13" s="9"/>
      <c r="M13" s="9"/>
    </row>
    <row r="14" customFormat="false" ht="21.75" hidden="false" customHeight="true" outlineLevel="0" collapsed="false">
      <c r="A14" s="11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12" t="str">
        <f aca="true">IF(B14="","",IF(J14&lt;&gt;"",J14-B14,TODAY()-B14))</f>
        <v/>
      </c>
      <c r="L14" s="9"/>
      <c r="M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10" t="str">
        <f aca="true">IF(B15="","",IF(J15&lt;&gt;"",J15-B15,TODAY()-B15))</f>
        <v/>
      </c>
      <c r="L15" s="9"/>
      <c r="M15" s="9"/>
    </row>
    <row r="16" customFormat="false" ht="21.75" hidden="false" customHeight="true" outlineLevel="0" collapsed="false">
      <c r="A16" s="11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12" t="str">
        <f aca="true">IF(B16="","",IF(J16&lt;&gt;"",J16-B16,TODAY()-B16))</f>
        <v/>
      </c>
      <c r="L16" s="9"/>
      <c r="M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10" t="str">
        <f aca="true">IF(B17="","",IF(J17&lt;&gt;"",J17-B17,TODAY()-B17))</f>
        <v/>
      </c>
      <c r="L17" s="9"/>
      <c r="M17" s="9"/>
    </row>
    <row r="18" customFormat="false" ht="21.75" hidden="false" customHeight="true" outlineLevel="0" collapsed="false">
      <c r="A18" s="11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12" t="str">
        <f aca="true">IF(B18="","",IF(J18&lt;&gt;"",J18-B18,TODAY()-B18))</f>
        <v/>
      </c>
      <c r="L18" s="9"/>
      <c r="M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10" t="str">
        <f aca="true">IF(B19="","",IF(J19&lt;&gt;"",J19-B19,TODAY()-B19))</f>
        <v/>
      </c>
      <c r="L19" s="9"/>
      <c r="M19" s="9"/>
    </row>
    <row r="20" customFormat="false" ht="21.75" hidden="false" customHeight="true" outlineLevel="0" collapsed="false">
      <c r="A20" s="11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12" t="str">
        <f aca="true">IF(B20="","",IF(J20&lt;&gt;"",J20-B20,TODAY()-B20))</f>
        <v/>
      </c>
      <c r="L20" s="9"/>
      <c r="M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10" t="str">
        <f aca="true">IF(B21="","",IF(J21&lt;&gt;"",J21-B21,TODAY()-B21))</f>
        <v/>
      </c>
      <c r="L21" s="9"/>
      <c r="M21" s="9"/>
    </row>
    <row r="22" customFormat="false" ht="21.75" hidden="false" customHeight="true" outlineLevel="0" collapsed="false">
      <c r="A22" s="11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12" t="str">
        <f aca="true">IF(B22="","",IF(J22&lt;&gt;"",J22-B22,TODAY()-B22))</f>
        <v/>
      </c>
      <c r="L22" s="9"/>
      <c r="M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10" t="str">
        <f aca="true">IF(B23="","",IF(J23&lt;&gt;"",J23-B23,TODAY()-B23))</f>
        <v/>
      </c>
      <c r="L23" s="9"/>
      <c r="M23" s="9"/>
    </row>
    <row r="24" customFormat="false" ht="21.75" hidden="false" customHeight="true" outlineLevel="0" collapsed="false">
      <c r="A24" s="11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12" t="str">
        <f aca="true">IF(B24="","",IF(J24&lt;&gt;"",J24-B24,TODAY()-B24))</f>
        <v/>
      </c>
      <c r="L24" s="9"/>
      <c r="M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10" t="str">
        <f aca="true">IF(B25="","",IF(J25&lt;&gt;"",J25-B25,TODAY()-B25))</f>
        <v/>
      </c>
      <c r="L25" s="9"/>
      <c r="M25" s="9"/>
    </row>
    <row r="26" customFormat="false" ht="21.75" hidden="false" customHeight="true" outlineLevel="0" collapsed="false">
      <c r="A26" s="11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12" t="str">
        <f aca="true">IF(B26="","",IF(J26&lt;&gt;"",J26-B26,TODAY()-B26))</f>
        <v/>
      </c>
      <c r="L26" s="9"/>
      <c r="M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10" t="str">
        <f aca="true">IF(B27="","",IF(J27&lt;&gt;"",J27-B27,TODAY()-B27))</f>
        <v/>
      </c>
      <c r="L27" s="9"/>
      <c r="M27" s="9"/>
    </row>
    <row r="28" customFormat="false" ht="21.75" hidden="false" customHeight="true" outlineLevel="0" collapsed="false">
      <c r="A28" s="11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12" t="str">
        <f aca="true">IF(B28="","",IF(J28&lt;&gt;"",J28-B28,TODAY()-B28))</f>
        <v/>
      </c>
      <c r="L28" s="9"/>
      <c r="M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10" t="str">
        <f aca="true">IF(B29="","",IF(J29&lt;&gt;"",J29-B29,TODAY()-B29))</f>
        <v/>
      </c>
      <c r="L29" s="9"/>
      <c r="M29" s="9"/>
    </row>
    <row r="30" customFormat="false" ht="21.75" hidden="false" customHeight="true" outlineLevel="0" collapsed="false">
      <c r="A30" s="11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12" t="str">
        <f aca="true">IF(B30="","",IF(J30&lt;&gt;"",J30-B30,TODAY()-B30))</f>
        <v/>
      </c>
      <c r="L30" s="9"/>
      <c r="M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10" t="str">
        <f aca="true">IF(B31="","",IF(J31&lt;&gt;"",J31-B31,TODAY()-B31))</f>
        <v/>
      </c>
      <c r="L31" s="9"/>
      <c r="M31" s="9"/>
    </row>
    <row r="33" customFormat="false" ht="15" hidden="false" customHeight="true" outlineLevel="0" collapsed="false">
      <c r="A33" s="13" t="s">
        <v>19</v>
      </c>
      <c r="B33" s="13"/>
      <c r="C33" s="13"/>
    </row>
    <row r="34" customFormat="false" ht="15" hidden="false" customHeight="true" outlineLevel="0" collapsed="false">
      <c r="A34" s="5" t="s">
        <v>20</v>
      </c>
      <c r="B34" s="5"/>
      <c r="C34" s="14" t="n">
        <f aca="false">COUNTA(E7:E31)</f>
        <v>0</v>
      </c>
    </row>
    <row r="35" customFormat="false" ht="15" hidden="false" customHeight="true" outlineLevel="0" collapsed="false">
      <c r="A35" s="5" t="s">
        <v>21</v>
      </c>
      <c r="B35" s="5"/>
      <c r="C35" s="14" t="n">
        <f aca="false">COUNTIF(L7:L31,"Open")+COUNTIF(L7:L31,"In Progress")</f>
        <v>0</v>
      </c>
    </row>
    <row r="36" customFormat="false" ht="15" hidden="false" customHeight="true" outlineLevel="0" collapsed="false">
      <c r="A36" s="5" t="s">
        <v>22</v>
      </c>
      <c r="B36" s="5"/>
      <c r="C36" s="14" t="n">
        <f aca="false">COUNTIF(L7:L31,"Overdue")</f>
        <v>0</v>
      </c>
    </row>
    <row r="37" customFormat="false" ht="15" hidden="false" customHeight="true" outlineLevel="0" collapsed="false">
      <c r="A37" s="5" t="s">
        <v>23</v>
      </c>
      <c r="B37" s="5"/>
      <c r="C37" s="14" t="n">
        <f aca="false">COUNTIF(L7:L31,"Closed")</f>
        <v>0</v>
      </c>
    </row>
  </sheetData>
  <autoFilter ref="A6:M31"/>
  <mergeCells count="10">
    <mergeCell ref="A1:M1"/>
    <mergeCell ref="A2:M2"/>
    <mergeCell ref="A3:M3"/>
    <mergeCell ref="B4:D4"/>
    <mergeCell ref="F4:H4"/>
    <mergeCell ref="A33:C33"/>
    <mergeCell ref="A34:B34"/>
    <mergeCell ref="A35:B35"/>
    <mergeCell ref="A36:B36"/>
    <mergeCell ref="A37:B37"/>
  </mergeCells>
  <conditionalFormatting sqref="L7:L31">
    <cfRule type="cellIs" priority="2" operator="equal" aboveAverage="0" equalAverage="0" bottom="0" percent="0" rank="0" text="" dxfId="6">
      <formula>"Closed"</formula>
    </cfRule>
    <cfRule type="cellIs" priority="3" operator="equal" aboveAverage="0" equalAverage="0" bottom="0" percent="0" rank="0" text="" dxfId="7">
      <formula>"Overdue"</formula>
    </cfRule>
    <cfRule type="cellIs" priority="4" operator="equal" aboveAverage="0" equalAverage="0" bottom="0" percent="0" rank="0" text="" dxfId="8">
      <formula>"Open"</formula>
    </cfRule>
    <cfRule type="cellIs" priority="5" operator="equal" aboveAverage="0" equalAverage="0" bottom="0" percent="0" rank="0" text="" dxfId="9">
      <formula>"In Progress"</formula>
    </cfRule>
  </conditionalFormatting>
  <conditionalFormatting sqref="H7:H31">
    <cfRule type="cellIs" priority="6" operator="equal" aboveAverage="0" equalAverage="0" bottom="0" percent="0" rank="0" text="" dxfId="7">
      <formula>"H"</formula>
    </cfRule>
  </conditionalFormatting>
  <dataValidations count="3">
    <dataValidation allowBlank="true" errorStyle="stop" operator="between" showDropDown="false" showErrorMessage="false" showInputMessage="false" sqref="C7:C31" type="list">
      <formula1>"Progress Meeting,Design Review,Coordination,H&amp;S Committee,Client Meeting,Risk Review,Handover,Other"</formula1>
      <formula2>0</formula2>
    </dataValidation>
    <dataValidation allowBlank="true" errorStyle="stop" operator="between" showDropDown="false" showErrorMessage="false" showInputMessage="false" sqref="H7:H31" type="list">
      <formula1>"H,M,L"</formula1>
      <formula2>0</formula2>
    </dataValidation>
    <dataValidation allowBlank="true" errorStyle="stop" operator="between" showDropDown="false" showErrorMessage="false" showInputMessage="false" sqref="L7:L31" type="list">
      <formula1>"Open,In Progress,Closed,Overdue,Cancelled"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24</v>
      </c>
      <c r="B2" s="3"/>
    </row>
    <row r="4" customFormat="false" ht="15" hidden="false" customHeight="false" outlineLevel="0" collapsed="false">
      <c r="B4" s="13" t="s">
        <v>25</v>
      </c>
    </row>
    <row r="5" customFormat="false" ht="15" hidden="false" customHeight="false" outlineLevel="0" collapsed="false">
      <c r="B5" s="15"/>
    </row>
    <row r="6" customFormat="false" ht="15" hidden="false" customHeight="false" outlineLevel="0" collapsed="false">
      <c r="B6" s="15" t="s">
        <v>26</v>
      </c>
    </row>
    <row r="7" customFormat="false" ht="15" hidden="false" customHeight="false" outlineLevel="0" collapsed="false">
      <c r="B7" s="15" t="s">
        <v>27</v>
      </c>
    </row>
    <row r="8" customFormat="false" ht="15" hidden="false" customHeight="false" outlineLevel="0" collapsed="false">
      <c r="B8" s="15" t="s">
        <v>28</v>
      </c>
    </row>
    <row r="9" customFormat="false" ht="15" hidden="false" customHeight="false" outlineLevel="0" collapsed="false">
      <c r="B9" s="15" t="s">
        <v>29</v>
      </c>
    </row>
    <row r="10" customFormat="false" ht="15" hidden="false" customHeight="false" outlineLevel="0" collapsed="false">
      <c r="B10" s="15"/>
    </row>
    <row r="11" customFormat="false" ht="15" hidden="false" customHeight="false" outlineLevel="0" collapsed="false">
      <c r="B11" s="13" t="s">
        <v>30</v>
      </c>
    </row>
    <row r="12" customFormat="false" ht="15" hidden="false" customHeight="false" outlineLevel="0" collapsed="false">
      <c r="B12" s="4" t="s">
        <v>31</v>
      </c>
    </row>
    <row r="13" customFormat="false" ht="15" hidden="false" customHeight="false" outlineLevel="0" collapsed="false">
      <c r="B13" s="4" t="s">
        <v>32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2026-03-27T17:22:23Z</dcterms:created>
  <dc:creator>openpyxl</dc:creator>
  <dc:description/>
  <dc:language>en-US</dc:language>
  <cp:lastModifiedBy/>
  <dcterms:modified xsi:type="dcterms:W3CDTF">2026-03-27T17:22:23Z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