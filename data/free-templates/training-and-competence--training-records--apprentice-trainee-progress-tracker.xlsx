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Apprentice Tracker" sheetId="3" state="visible" r:id="rId5"/>
    <sheet name="Terms of Use" sheetId="4" state="hidden" r:id="rId6"/>
  </sheets>
  <definedNames>
    <definedName function="false" hidden="false" localSheetId="2" name="_xlnm.Print_Area" vbProcedure="false">'Apprentice Tracker'!$A$1:$N$57</definedName>
    <definedName function="false" hidden="true" localSheetId="2" name="_xlnm._FilterDatabase" vbProcedure="false">'Apprentice Tracker'!$A$7:$N$107</definedName>
    <definedName function="false" hidden="false" localSheetId="0" name="_xlnm.Print_Area" vbProcedure="false">Cover!$A$1:$H$20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<sst xmlns="http://schemas.openxmlformats.org/spreadsheetml/2006/main" count="116" uniqueCount="83">
  <si>
    <t xml:space="preserve">EBRORA</t>
  </si>
  <si>
    <t xml:space="preserve">ebrora.com</t>
  </si>
  <si>
    <t xml:space="preserve">Apprentice / Trainee Progress Tracker</t>
  </si>
  <si>
    <t xml:space="preserve">Track apprentice and trainee progress through qualifications, milestones, and on-site competencies.</t>
  </si>
  <si>
    <t xml:space="preserve">Stage-gate tracker with auto-completion percentage and milestone timeline.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</si>
  <si>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</si>
  <si>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</si>
  <si>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</si>
  <si>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</si>
  <si>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1.</t>
  </si>
  <si>
    <t xml:space="preserve">Open the 'Apprentice Tracker' sheet. Each row is an apprentice/trainee. The tracker covers their full development journey.</t>
  </si>
  <si>
    <t xml:space="preserve">2.</t>
  </si>
  <si>
    <t xml:space="preserve">Enter the apprentice's name, trade, level, employer, training provider, start date, and expected end date.</t>
  </si>
  <si>
    <t xml:space="preserve">3.</t>
  </si>
  <si>
    <t xml:space="preserve">For each milestone (Induction, Month 3 Review, Month 6 Review, Month 12 Review, EPA Gateway, EPA), mark as Complete, In Progress, or Not Started.</t>
  </si>
  <si>
    <t xml:space="preserve">4.</t>
  </si>
  <si>
    <t xml:space="preserve">The Progress % column auto-calculates based on milestones completed. The timeline shows days remaining to expected end date.</t>
  </si>
  <si>
    <t xml:space="preserve">5.</t>
  </si>
  <si>
    <t xml:space="preserve">Expand optional columns for college attendance %, off-the-job training hours, and mentor/supervisor details.</t>
  </si>
  <si>
    <t xml:space="preserve">6.</t>
  </si>
  <si>
    <t xml:space="preserve">The dashboard shows total apprentices, completion rates, and any at-risk learners (behind schedule or low attendance).</t>
  </si>
  <si>
    <t xml:space="preserve">7.</t>
  </si>
  <si>
    <t xml:space="preserve">Review monthly with the training provider. Flag any apprentice at &lt;80% attendance or behind on milestones.</t>
  </si>
  <si>
    <t xml:space="preserve">Colour Key</t>
  </si>
  <si>
    <t xml:space="preserve">Light teal — user input</t>
  </si>
  <si>
    <t xml:space="preserve">  </t>
  </si>
  <si>
    <t xml:space="preserve">Dark navy — headers</t>
  </si>
  <si>
    <t xml:space="preserve">Green — Complete / on track</t>
  </si>
  <si>
    <t xml:space="preserve">Amber — In Progress / approaching deadline</t>
  </si>
  <si>
    <t xml:space="preserve">Red — Not Started (overdue) / at risk</t>
  </si>
  <si>
    <t xml:space="preserve">Tips</t>
  </si>
  <si>
    <t xml:space="preserve">•</t>
  </si>
  <si>
    <t xml:space="preserve">Apprentices must spend at least 20% of their time in off-the-job training. Track this in the optional columns.</t>
  </si>
  <si>
    <t xml:space="preserve">The End Point Assessment (EPA) is the final hurdle. Ensure the apprentice is EPA-ready before registering — a fail is costly.</t>
  </si>
  <si>
    <t xml:space="preserve">Social Value reporting often requires apprentice data — this tracker provides the evidence for client KPI submissions.</t>
  </si>
  <si>
    <t xml:space="preserve">APPRENTICE / TRAINEE PROGRESS TRACKER</t>
  </si>
  <si>
    <t xml:space="preserve">Programme Summary</t>
  </si>
  <si>
    <t xml:space="preserve">Total Apprentices:</t>
  </si>
  <si>
    <t xml:space="preserve">At Risk:</t>
  </si>
  <si>
    <t xml:space="preserve">On Track:</t>
  </si>
  <si>
    <t xml:space="preserve">APPRENTICE PROGRESS LOG</t>
  </si>
  <si>
    <t xml:space="preserve">Name</t>
  </si>
  <si>
    <t xml:space="preserve">Trade / Occupation</t>
  </si>
  <si>
    <t xml:space="preserve">Level</t>
  </si>
  <si>
    <t xml:space="preserve">Training Provider</t>
  </si>
  <si>
    <t xml:space="preserve">Start Date</t>
  </si>
  <si>
    <t xml:space="preserve">End Date</t>
  </si>
  <si>
    <t xml:space="preserve">Induction</t>
  </si>
  <si>
    <t xml:space="preserve">3-Month Review</t>
  </si>
  <si>
    <t xml:space="preserve">6-Month Review</t>
  </si>
  <si>
    <t xml:space="preserve">12-Month Review</t>
  </si>
  <si>
    <t xml:space="preserve">EPA Gateway</t>
  </si>
  <si>
    <t xml:space="preserve">EPA</t>
  </si>
  <si>
    <t xml:space="preserve">Progress %</t>
  </si>
  <si>
    <t xml:space="preserve">Status</t>
  </si>
  <si>
    <t xml:space="preserve">J. Carter</t>
  </si>
  <si>
    <t xml:space="preserve">Bricklayer</t>
  </si>
  <si>
    <t xml:space="preserve">L2</t>
  </si>
  <si>
    <t xml:space="preserve">CITB Training</t>
  </si>
  <si>
    <t xml:space="preserve">Complete</t>
  </si>
  <si>
    <t xml:space="preserve">In Progress</t>
  </si>
  <si>
    <t xml:space="preserve">Not Started</t>
  </si>
  <si>
    <t xml:space="preserve">S. Begum</t>
  </si>
  <si>
    <t xml:space="preserve">Civil Engineer</t>
  </si>
  <si>
    <t xml:space="preserve">L3</t>
  </si>
  <si>
    <t xml:space="preserve">Leeds College</t>
  </si>
  <si>
    <t xml:space="preserve">M. Reeves</t>
  </si>
  <si>
    <t xml:space="preserve">Electrician</t>
  </si>
  <si>
    <t xml:space="preserve">JTL Training</t>
  </si>
  <si>
    <t xml:space="preserve">D. Okonkwo</t>
  </si>
  <si>
    <t xml:space="preserve">Groundworker</t>
  </si>
  <si>
    <t xml:space="preserve">E. Thomas</t>
  </si>
  <si>
    <t xml:space="preserve">Plumber</t>
  </si>
  <si>
    <t xml:space="preserve">JIB Training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</si>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</sst>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/mm/yyyy"/>
    <numFmt numFmtId="167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1"/>
      <color rgb="FF006100"/>
      <name val="Calibri"/>
      <family val="0"/>
      <charset val="1"/>
    </font>
    <font>
      <b val="true"/>
      <sz val="11"/>
      <color rgb="FF9C0006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2AABB3"/>
        <bgColor rgb="FF339966"/>
      </patternFill>
    </fill>
    <fill>
      <patternFill patternType="solid">
        <fgColor rgb="FFF2F2F2"/>
        <bgColor rgb="FFE8F6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AABB3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45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35.05" hidden="false" customHeight="true" outlineLevel="0" collapsed="false">
      <c r="A7" s="5" t="s">
        <v>2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3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4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5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6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7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10" t="s">
        <v>8</v>
      </c>
      <c r="B1" s="10"/>
      <c r="C1" s="10"/>
      <c r="D1" s="10"/>
      <c r="E1" s="10"/>
      <c r="F1" s="10"/>
    </row>
    <row r="3" customFormat="false" ht="36" hidden="false" customHeight="true" outlineLevel="0" collapsed="false">
      <c r="A3" s="11" t="s">
        <v>9</v>
      </c>
      <c r="B3" s="12" t="s">
        <v>10</v>
      </c>
      <c r="C3" s="12"/>
      <c r="D3" s="12"/>
      <c r="E3" s="12"/>
      <c r="F3" s="12"/>
    </row>
    <row r="4" customFormat="false" ht="36" hidden="false" customHeight="true" outlineLevel="0" collapsed="false">
      <c r="A4" s="11" t="s">
        <v>11</v>
      </c>
      <c r="B4" s="12" t="s">
        <v>12</v>
      </c>
      <c r="C4" s="12"/>
      <c r="D4" s="12"/>
      <c r="E4" s="12"/>
      <c r="F4" s="12"/>
    </row>
    <row r="5" customFormat="false" ht="36" hidden="false" customHeight="true" outlineLevel="0" collapsed="false">
      <c r="A5" s="11" t="s">
        <v>13</v>
      </c>
      <c r="B5" s="12" t="s">
        <v>14</v>
      </c>
      <c r="C5" s="12"/>
      <c r="D5" s="12"/>
      <c r="E5" s="12"/>
      <c r="F5" s="12"/>
    </row>
    <row r="6" customFormat="false" ht="36" hidden="false" customHeight="true" outlineLevel="0" collapsed="false">
      <c r="A6" s="11" t="s">
        <v>15</v>
      </c>
      <c r="B6" s="12" t="s">
        <v>16</v>
      </c>
      <c r="C6" s="12"/>
      <c r="D6" s="12"/>
      <c r="E6" s="12"/>
      <c r="F6" s="12"/>
    </row>
    <row r="7" customFormat="false" ht="36" hidden="false" customHeight="true" outlineLevel="0" collapsed="false">
      <c r="A7" s="11" t="s">
        <v>17</v>
      </c>
      <c r="B7" s="12" t="s">
        <v>18</v>
      </c>
      <c r="C7" s="12"/>
      <c r="D7" s="12"/>
      <c r="E7" s="12"/>
      <c r="F7" s="12"/>
    </row>
    <row r="8" customFormat="false" ht="36" hidden="false" customHeight="true" outlineLevel="0" collapsed="false">
      <c r="A8" s="11" t="s">
        <v>19</v>
      </c>
      <c r="B8" s="12" t="s">
        <v>20</v>
      </c>
      <c r="C8" s="12"/>
      <c r="D8" s="12"/>
      <c r="E8" s="12"/>
      <c r="F8" s="12"/>
    </row>
    <row r="9" customFormat="false" ht="36" hidden="false" customHeight="true" outlineLevel="0" collapsed="false">
      <c r="A9" s="11" t="s">
        <v>21</v>
      </c>
      <c r="B9" s="12" t="s">
        <v>22</v>
      </c>
      <c r="C9" s="12"/>
      <c r="D9" s="12"/>
      <c r="E9" s="12"/>
      <c r="F9" s="12"/>
    </row>
    <row r="11" customFormat="false" ht="15" hidden="false" customHeight="false" outlineLevel="0" collapsed="false">
      <c r="A11" s="13" t="s">
        <v>23</v>
      </c>
      <c r="B11" s="13"/>
      <c r="C11" s="13"/>
      <c r="D11" s="13"/>
      <c r="E11" s="13"/>
      <c r="F11" s="13"/>
    </row>
    <row r="12" customFormat="false" ht="15" hidden="false" customHeight="false" outlineLevel="0" collapsed="false">
      <c r="A12" s="14"/>
      <c r="B12" s="15" t="s">
        <v>24</v>
      </c>
      <c r="C12" s="15"/>
      <c r="D12" s="15"/>
      <c r="E12" s="15"/>
      <c r="F12" s="15"/>
    </row>
    <row r="13" customFormat="false" ht="15" hidden="false" customHeight="false" outlineLevel="0" collapsed="false">
      <c r="A13" s="16" t="s">
        <v>25</v>
      </c>
      <c r="B13" s="15" t="s">
        <v>26</v>
      </c>
      <c r="C13" s="15"/>
      <c r="D13" s="15"/>
      <c r="E13" s="15"/>
      <c r="F13" s="15"/>
    </row>
    <row r="14" customFormat="false" ht="15" hidden="false" customHeight="false" outlineLevel="0" collapsed="false">
      <c r="A14" s="17"/>
      <c r="B14" s="15" t="s">
        <v>27</v>
      </c>
      <c r="C14" s="15"/>
      <c r="D14" s="15"/>
      <c r="E14" s="15"/>
      <c r="F14" s="15"/>
    </row>
    <row r="15" customFormat="false" ht="15" hidden="false" customHeight="false" outlineLevel="0" collapsed="false">
      <c r="A15" s="18"/>
      <c r="B15" s="15" t="s">
        <v>28</v>
      </c>
      <c r="C15" s="15"/>
      <c r="D15" s="15"/>
      <c r="E15" s="15"/>
      <c r="F15" s="15"/>
    </row>
    <row r="16" customFormat="false" ht="15" hidden="false" customHeight="false" outlineLevel="0" collapsed="false">
      <c r="A16" s="19"/>
      <c r="B16" s="15" t="s">
        <v>29</v>
      </c>
      <c r="C16" s="15"/>
      <c r="D16" s="15"/>
      <c r="E16" s="15"/>
      <c r="F16" s="15"/>
    </row>
    <row r="18" customFormat="false" ht="15" hidden="false" customHeight="false" outlineLevel="0" collapsed="false">
      <c r="A18" s="13" t="s">
        <v>30</v>
      </c>
      <c r="B18" s="13"/>
      <c r="C18" s="13"/>
      <c r="D18" s="13"/>
      <c r="E18" s="13"/>
      <c r="F18" s="13"/>
    </row>
    <row r="19" customFormat="false" ht="30" hidden="false" customHeight="true" outlineLevel="0" collapsed="false">
      <c r="A19" s="20" t="s">
        <v>31</v>
      </c>
      <c r="B19" s="12" t="s">
        <v>32</v>
      </c>
      <c r="C19" s="12"/>
      <c r="D19" s="12"/>
      <c r="E19" s="12"/>
      <c r="F19" s="12"/>
    </row>
    <row r="20" customFormat="false" ht="30" hidden="false" customHeight="true" outlineLevel="0" collapsed="false">
      <c r="A20" s="20" t="s">
        <v>31</v>
      </c>
      <c r="B20" s="12" t="s">
        <v>33</v>
      </c>
      <c r="C20" s="12"/>
      <c r="D20" s="12"/>
      <c r="E20" s="12"/>
      <c r="F20" s="12"/>
    </row>
    <row r="21" customFormat="false" ht="30" hidden="false" customHeight="true" outlineLevel="0" collapsed="false">
      <c r="A21" s="20" t="s">
        <v>31</v>
      </c>
      <c r="B21" s="12" t="s">
        <v>34</v>
      </c>
      <c r="C21" s="12"/>
      <c r="D21" s="12"/>
      <c r="E21" s="12"/>
      <c r="F21" s="12"/>
    </row>
  </sheetData>
  <mergeCells count="18">
    <mergeCell ref="A1:F1"/>
    <mergeCell ref="B3:F3"/>
    <mergeCell ref="B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B15:F15"/>
    <mergeCell ref="B16:F16"/>
    <mergeCell ref="A18:F18"/>
    <mergeCell ref="B19:F19"/>
    <mergeCell ref="B20:F20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6" min="5" style="0" width="12"/>
    <col collapsed="false" customWidth="true" hidden="false" outlineLevel="0" max="12" min="7" style="0" width="11"/>
    <col collapsed="false" customWidth="true" hidden="false" outlineLevel="0" max="13" min="13" style="0" width="10"/>
    <col collapsed="false" customWidth="true" hidden="false" outlineLevel="0" max="14" min="14" style="0" width="12"/>
  </cols>
  <sheetData>
    <row r="1" customFormat="false" ht="30" hidden="false" customHeight="true" outlineLevel="0" collapsed="false">
      <c r="A1" s="21" t="s">
        <v>35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15" hidden="false" customHeight="true" outlineLevel="0" collapsed="false">
      <c r="A2" s="22" t="s">
        <v>36</v>
      </c>
      <c r="B2" s="22"/>
      <c r="C2" s="22"/>
    </row>
    <row r="3" customFormat="false" ht="15" hidden="false" customHeight="false" outlineLevel="0" collapsed="false">
      <c r="A3" s="20" t="s">
        <v>37</v>
      </c>
      <c r="B3" s="23" t="n">
        <f aca="false">COUNTA(A8:A107)</f>
        <v>5</v>
      </c>
      <c r="C3" s="20" t="s">
        <v>38</v>
      </c>
    </row>
    <row r="4" customFormat="false" ht="15" hidden="false" customHeight="false" outlineLevel="0" collapsed="false">
      <c r="A4" s="20" t="s">
        <v>39</v>
      </c>
      <c r="B4" s="24" t="n">
        <f aca="false">COUNTIF(N8:N107,"On Track")</f>
        <v>2</v>
      </c>
      <c r="C4" s="25" t="n">
        <f aca="false">COUNTIF(N8:N107,"At Risk")</f>
        <v>3</v>
      </c>
    </row>
    <row r="5" customFormat="false" ht="3.75" hidden="false" customHeight="true" outlineLevel="0" collapsed="false"/>
    <row r="6" customFormat="false" ht="25.5" hidden="false" customHeight="true" outlineLevel="0" collapsed="false">
      <c r="A6" s="26" t="s">
        <v>40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</row>
    <row r="7" customFormat="false" ht="41.75" hidden="false" customHeight="false" outlineLevel="0" collapsed="false">
      <c r="A7" s="27" t="s">
        <v>41</v>
      </c>
      <c r="B7" s="27" t="s">
        <v>42</v>
      </c>
      <c r="C7" s="27" t="s">
        <v>43</v>
      </c>
      <c r="D7" s="27" t="s">
        <v>44</v>
      </c>
      <c r="E7" s="27" t="s">
        <v>45</v>
      </c>
      <c r="F7" s="27" t="s">
        <v>46</v>
      </c>
      <c r="G7" s="27" t="s">
        <v>47</v>
      </c>
      <c r="H7" s="27" t="s">
        <v>48</v>
      </c>
      <c r="I7" s="27" t="s">
        <v>49</v>
      </c>
      <c r="J7" s="27" t="s">
        <v>50</v>
      </c>
      <c r="K7" s="27" t="s">
        <v>51</v>
      </c>
      <c r="L7" s="27" t="s">
        <v>52</v>
      </c>
      <c r="M7" s="27" t="s">
        <v>53</v>
      </c>
      <c r="N7" s="27" t="s">
        <v>54</v>
      </c>
    </row>
    <row r="8" customFormat="false" ht="24" hidden="false" customHeight="true" outlineLevel="0" collapsed="false">
      <c r="A8" s="28" t="s">
        <v>55</v>
      </c>
      <c r="B8" s="29" t="s">
        <v>56</v>
      </c>
      <c r="C8" s="29" t="s">
        <v>57</v>
      </c>
      <c r="D8" s="28" t="s">
        <v>58</v>
      </c>
      <c r="E8" s="30" t="n">
        <v>45536</v>
      </c>
      <c r="F8" s="30" t="n">
        <v>46265</v>
      </c>
      <c r="G8" s="29" t="s">
        <v>59</v>
      </c>
      <c r="H8" s="29" t="s">
        <v>59</v>
      </c>
      <c r="I8" s="29" t="s">
        <v>59</v>
      </c>
      <c r="J8" s="29" t="s">
        <v>60</v>
      </c>
      <c r="K8" s="29" t="s">
        <v>61</v>
      </c>
      <c r="L8" s="29" t="s">
        <v>61</v>
      </c>
      <c r="M8" s="31" t="n">
        <f aca="false">IF(A8="","",(COUNTIF(G8:L8,"Complete")+COUNTIF(G8:L8,"N/A"))/6)</f>
        <v>0.5</v>
      </c>
      <c r="N8" s="32" t="str">
        <f aca="true">IF(A8="","",IF(M8&gt;=IF(AND(E8&lt;&gt;"",F8&lt;&gt;""),MIN(1,(TODAY()-E8)/(F8-E8)),0),"On Track","At Risk"))</f>
        <v>At Risk</v>
      </c>
    </row>
    <row r="9" customFormat="false" ht="24" hidden="false" customHeight="true" outlineLevel="0" collapsed="false">
      <c r="A9" s="33" t="s">
        <v>62</v>
      </c>
      <c r="B9" s="34" t="s">
        <v>63</v>
      </c>
      <c r="C9" s="34" t="s">
        <v>64</v>
      </c>
      <c r="D9" s="33" t="s">
        <v>65</v>
      </c>
      <c r="E9" s="35" t="n">
        <v>45663</v>
      </c>
      <c r="F9" s="35" t="n">
        <v>46392</v>
      </c>
      <c r="G9" s="34" t="s">
        <v>59</v>
      </c>
      <c r="H9" s="34" t="s">
        <v>59</v>
      </c>
      <c r="I9" s="34" t="s">
        <v>60</v>
      </c>
      <c r="J9" s="34" t="s">
        <v>61</v>
      </c>
      <c r="K9" s="34" t="s">
        <v>61</v>
      </c>
      <c r="L9" s="34" t="s">
        <v>61</v>
      </c>
      <c r="M9" s="31" t="n">
        <f aca="false">IF(A9="","",(COUNTIF(G9:L9,"Complete")+COUNTIF(G9:L9,"N/A"))/6)</f>
        <v>0.333333333333333</v>
      </c>
      <c r="N9" s="32" t="str">
        <f aca="true">IF(A9="","",IF(M9&gt;=IF(AND(E9&lt;&gt;"",F9&lt;&gt;""),MIN(1,(TODAY()-E9)/(F9-E9)),0),"On Track","At Risk"))</f>
        <v>At Risk</v>
      </c>
    </row>
    <row r="10" customFormat="false" ht="24" hidden="false" customHeight="true" outlineLevel="0" collapsed="false">
      <c r="A10" s="28" t="s">
        <v>66</v>
      </c>
      <c r="B10" s="29" t="s">
        <v>67</v>
      </c>
      <c r="C10" s="29" t="s">
        <v>64</v>
      </c>
      <c r="D10" s="28" t="s">
        <v>68</v>
      </c>
      <c r="E10" s="30" t="n">
        <v>45761</v>
      </c>
      <c r="F10" s="30" t="n">
        <v>46856</v>
      </c>
      <c r="G10" s="29" t="s">
        <v>59</v>
      </c>
      <c r="H10" s="29" t="s">
        <v>59</v>
      </c>
      <c r="I10" s="29" t="s">
        <v>61</v>
      </c>
      <c r="J10" s="29" t="s">
        <v>61</v>
      </c>
      <c r="K10" s="29" t="s">
        <v>61</v>
      </c>
      <c r="L10" s="29" t="s">
        <v>61</v>
      </c>
      <c r="M10" s="31" t="n">
        <f aca="false">IF(A10="","",(COUNTIF(G10:L10,"Complete")+COUNTIF(G10:L10,"N/A"))/6)</f>
        <v>0.333333333333333</v>
      </c>
      <c r="N10" s="32" t="str">
        <f aca="true">IF(A10="","",IF(M10&gt;=IF(AND(E10&lt;&gt;"",F10&lt;&gt;""),MIN(1,(TODAY()-E10)/(F10-E10)),0),"On Track","At Risk"))</f>
        <v>On Track</v>
      </c>
    </row>
    <row r="11" customFormat="false" ht="24" hidden="false" customHeight="true" outlineLevel="0" collapsed="false">
      <c r="A11" s="33" t="s">
        <v>69</v>
      </c>
      <c r="B11" s="34" t="s">
        <v>70</v>
      </c>
      <c r="C11" s="34" t="s">
        <v>57</v>
      </c>
      <c r="D11" s="33" t="s">
        <v>58</v>
      </c>
      <c r="E11" s="35" t="n">
        <v>45901</v>
      </c>
      <c r="F11" s="35" t="n">
        <v>46630</v>
      </c>
      <c r="G11" s="34" t="s">
        <v>59</v>
      </c>
      <c r="H11" s="34" t="s">
        <v>60</v>
      </c>
      <c r="I11" s="34" t="s">
        <v>61</v>
      </c>
      <c r="J11" s="34" t="s">
        <v>61</v>
      </c>
      <c r="K11" s="34" t="s">
        <v>61</v>
      </c>
      <c r="L11" s="34" t="s">
        <v>61</v>
      </c>
      <c r="M11" s="31" t="n">
        <f aca="false">IF(A11="","",(COUNTIF(G11:L11,"Complete")+COUNTIF(G11:L11,"N/A"))/6)</f>
        <v>0.166666666666667</v>
      </c>
      <c r="N11" s="32" t="str">
        <f aca="true">IF(A11="","",IF(M11&gt;=IF(AND(E11&lt;&gt;"",F11&lt;&gt;""),MIN(1,(TODAY()-E11)/(F11-E11)),0),"On Track","At Risk"))</f>
        <v>At Risk</v>
      </c>
    </row>
    <row r="12" customFormat="false" ht="24" hidden="false" customHeight="true" outlineLevel="0" collapsed="false">
      <c r="A12" s="28" t="s">
        <v>71</v>
      </c>
      <c r="B12" s="29" t="s">
        <v>72</v>
      </c>
      <c r="C12" s="29" t="s">
        <v>64</v>
      </c>
      <c r="D12" s="28" t="s">
        <v>73</v>
      </c>
      <c r="E12" s="30" t="n">
        <v>46034</v>
      </c>
      <c r="F12" s="30" t="n">
        <v>47129</v>
      </c>
      <c r="G12" s="29" t="s">
        <v>59</v>
      </c>
      <c r="H12" s="29" t="s">
        <v>61</v>
      </c>
      <c r="I12" s="29" t="s">
        <v>61</v>
      </c>
      <c r="J12" s="29" t="s">
        <v>61</v>
      </c>
      <c r="K12" s="29" t="s">
        <v>61</v>
      </c>
      <c r="L12" s="29" t="s">
        <v>61</v>
      </c>
      <c r="M12" s="31" t="n">
        <f aca="false">IF(A12="","",(COUNTIF(G12:L12,"Complete")+COUNTIF(G12:L12,"N/A"))/6)</f>
        <v>0.166666666666667</v>
      </c>
      <c r="N12" s="32" t="str">
        <f aca="true">IF(A12="","",IF(M12&gt;=IF(AND(E12&lt;&gt;"",F12&lt;&gt;""),MIN(1,(TODAY()-E12)/(F12-E12)),0),"On Track","At Risk"))</f>
        <v>On Track</v>
      </c>
    </row>
    <row r="13" customFormat="false" ht="15" hidden="false" customHeight="false" outlineLevel="0" collapsed="false">
      <c r="A13" s="33"/>
      <c r="B13" s="34"/>
      <c r="C13" s="34"/>
      <c r="D13" s="33"/>
      <c r="E13" s="35"/>
      <c r="F13" s="35"/>
      <c r="G13" s="34"/>
      <c r="H13" s="34"/>
      <c r="I13" s="34"/>
      <c r="J13" s="34"/>
      <c r="K13" s="34"/>
      <c r="L13" s="34"/>
      <c r="M13" s="31" t="str">
        <f aca="false">IF(A13="","",(COUNTIF(G13:L13,"Complete")+COUNTIF(G13:L13,"N/A"))/6)</f>
        <v/>
      </c>
      <c r="N13" s="32" t="str">
        <f aca="true">IF(A13="","",IF(M13&gt;=IF(AND(E13&lt;&gt;"",F13&lt;&gt;""),MIN(1,(TODAY()-E13)/(F13-E13)),0),"On Track","At Risk"))</f>
        <v/>
      </c>
    </row>
    <row r="14" customFormat="false" ht="15" hidden="false" customHeight="false" outlineLevel="0" collapsed="false">
      <c r="A14" s="28"/>
      <c r="B14" s="29"/>
      <c r="C14" s="29"/>
      <c r="D14" s="28"/>
      <c r="E14" s="30"/>
      <c r="F14" s="30"/>
      <c r="G14" s="29"/>
      <c r="H14" s="29"/>
      <c r="I14" s="29"/>
      <c r="J14" s="29"/>
      <c r="K14" s="29"/>
      <c r="L14" s="29"/>
      <c r="M14" s="31" t="str">
        <f aca="false">IF(A14="","",(COUNTIF(G14:L14,"Complete")+COUNTIF(G14:L14,"N/A"))/6)</f>
        <v/>
      </c>
      <c r="N14" s="32" t="str">
        <f aca="true">IF(A14="","",IF(M14&gt;=IF(AND(E14&lt;&gt;"",F14&lt;&gt;""),MIN(1,(TODAY()-E14)/(F14-E14)),0),"On Track","At Risk"))</f>
        <v/>
      </c>
    </row>
    <row r="15" customFormat="false" ht="15" hidden="false" customHeight="false" outlineLevel="0" collapsed="false">
      <c r="A15" s="33"/>
      <c r="B15" s="34"/>
      <c r="C15" s="34"/>
      <c r="D15" s="33"/>
      <c r="E15" s="35"/>
      <c r="F15" s="35"/>
      <c r="G15" s="34"/>
      <c r="H15" s="34"/>
      <c r="I15" s="34"/>
      <c r="J15" s="34"/>
      <c r="K15" s="34"/>
      <c r="L15" s="34"/>
      <c r="M15" s="31" t="str">
        <f aca="false">IF(A15="","",(COUNTIF(G15:L15,"Complete")+COUNTIF(G15:L15,"N/A"))/6)</f>
        <v/>
      </c>
      <c r="N15" s="32" t="str">
        <f aca="true">IF(A15="","",IF(M15&gt;=IF(AND(E15&lt;&gt;"",F15&lt;&gt;""),MIN(1,(TODAY()-E15)/(F15-E15)),0),"On Track","At Risk"))</f>
        <v/>
      </c>
    </row>
    <row r="16" customFormat="false" ht="15" hidden="false" customHeight="false" outlineLevel="0" collapsed="false">
      <c r="A16" s="28"/>
      <c r="B16" s="29"/>
      <c r="C16" s="29"/>
      <c r="D16" s="28"/>
      <c r="E16" s="30"/>
      <c r="F16" s="30"/>
      <c r="G16" s="29"/>
      <c r="H16" s="29"/>
      <c r="I16" s="29"/>
      <c r="J16" s="29"/>
      <c r="K16" s="29"/>
      <c r="L16" s="29"/>
      <c r="M16" s="31" t="str">
        <f aca="false">IF(A16="","",(COUNTIF(G16:L16,"Complete")+COUNTIF(G16:L16,"N/A"))/6)</f>
        <v/>
      </c>
      <c r="N16" s="32" t="str">
        <f aca="true">IF(A16="","",IF(M16&gt;=IF(AND(E16&lt;&gt;"",F16&lt;&gt;""),MIN(1,(TODAY()-E16)/(F16-E16)),0),"On Track","At Risk"))</f>
        <v/>
      </c>
    </row>
    <row r="17" customFormat="false" ht="15" hidden="false" customHeight="false" outlineLevel="0" collapsed="false">
      <c r="A17" s="33"/>
      <c r="B17" s="34"/>
      <c r="C17" s="34"/>
      <c r="D17" s="33"/>
      <c r="E17" s="35"/>
      <c r="F17" s="35"/>
      <c r="G17" s="34"/>
      <c r="H17" s="34"/>
      <c r="I17" s="34"/>
      <c r="J17" s="34"/>
      <c r="K17" s="34"/>
      <c r="L17" s="34"/>
      <c r="M17" s="31" t="str">
        <f aca="false">IF(A17="","",(COUNTIF(G17:L17,"Complete")+COUNTIF(G17:L17,"N/A"))/6)</f>
        <v/>
      </c>
      <c r="N17" s="32" t="str">
        <f aca="true">IF(A17="","",IF(M17&gt;=IF(AND(E17&lt;&gt;"",F17&lt;&gt;""),MIN(1,(TODAY()-E17)/(F17-E17)),0),"On Track","At Risk"))</f>
        <v/>
      </c>
    </row>
    <row r="18" customFormat="false" ht="15" hidden="false" customHeight="false" outlineLevel="0" collapsed="false">
      <c r="A18" s="28"/>
      <c r="B18" s="29"/>
      <c r="C18" s="29"/>
      <c r="D18" s="28"/>
      <c r="E18" s="30"/>
      <c r="F18" s="30"/>
      <c r="G18" s="29"/>
      <c r="H18" s="29"/>
      <c r="I18" s="29"/>
      <c r="J18" s="29"/>
      <c r="K18" s="29"/>
      <c r="L18" s="29"/>
      <c r="M18" s="31" t="str">
        <f aca="false">IF(A18="","",(COUNTIF(G18:L18,"Complete")+COUNTIF(G18:L18,"N/A"))/6)</f>
        <v/>
      </c>
      <c r="N18" s="32" t="str">
        <f aca="true">IF(A18="","",IF(M18&gt;=IF(AND(E18&lt;&gt;"",F18&lt;&gt;""),MIN(1,(TODAY()-E18)/(F18-E18)),0),"On Track","At Risk"))</f>
        <v/>
      </c>
    </row>
    <row r="19" customFormat="false" ht="15" hidden="false" customHeight="false" outlineLevel="0" collapsed="false">
      <c r="A19" s="33"/>
      <c r="B19" s="34"/>
      <c r="C19" s="34"/>
      <c r="D19" s="33"/>
      <c r="E19" s="35"/>
      <c r="F19" s="35"/>
      <c r="G19" s="34"/>
      <c r="H19" s="34"/>
      <c r="I19" s="34"/>
      <c r="J19" s="34"/>
      <c r="K19" s="34"/>
      <c r="L19" s="34"/>
      <c r="M19" s="31" t="str">
        <f aca="false">IF(A19="","",(COUNTIF(G19:L19,"Complete")+COUNTIF(G19:L19,"N/A"))/6)</f>
        <v/>
      </c>
      <c r="N19" s="32" t="str">
        <f aca="true">IF(A19="","",IF(M19&gt;=IF(AND(E19&lt;&gt;"",F19&lt;&gt;""),MIN(1,(TODAY()-E19)/(F19-E19)),0),"On Track","At Risk"))</f>
        <v/>
      </c>
    </row>
    <row r="20" customFormat="false" ht="15" hidden="false" customHeight="false" outlineLevel="0" collapsed="false">
      <c r="A20" s="28"/>
      <c r="B20" s="29"/>
      <c r="C20" s="29"/>
      <c r="D20" s="28"/>
      <c r="E20" s="30"/>
      <c r="F20" s="30"/>
      <c r="G20" s="29"/>
      <c r="H20" s="29"/>
      <c r="I20" s="29"/>
      <c r="J20" s="29"/>
      <c r="K20" s="29"/>
      <c r="L20" s="29"/>
      <c r="M20" s="31" t="str">
        <f aca="false">IF(A20="","",(COUNTIF(G20:L20,"Complete")+COUNTIF(G20:L20,"N/A"))/6)</f>
        <v/>
      </c>
      <c r="N20" s="32" t="str">
        <f aca="true">IF(A20="","",IF(M20&gt;=IF(AND(E20&lt;&gt;"",F20&lt;&gt;""),MIN(1,(TODAY()-E20)/(F20-E20)),0),"On Track","At Risk"))</f>
        <v/>
      </c>
    </row>
    <row r="21" customFormat="false" ht="15" hidden="false" customHeight="false" outlineLevel="0" collapsed="false">
      <c r="A21" s="33"/>
      <c r="B21" s="34"/>
      <c r="C21" s="34"/>
      <c r="D21" s="33"/>
      <c r="E21" s="35"/>
      <c r="F21" s="35"/>
      <c r="G21" s="34"/>
      <c r="H21" s="34"/>
      <c r="I21" s="34"/>
      <c r="J21" s="34"/>
      <c r="K21" s="34"/>
      <c r="L21" s="34"/>
      <c r="M21" s="31" t="str">
        <f aca="false">IF(A21="","",(COUNTIF(G21:L21,"Complete")+COUNTIF(G21:L21,"N/A"))/6)</f>
        <v/>
      </c>
      <c r="N21" s="32" t="str">
        <f aca="true">IF(A21="","",IF(M21&gt;=IF(AND(E21&lt;&gt;"",F21&lt;&gt;""),MIN(1,(TODAY()-E21)/(F21-E21)),0),"On Track","At Risk"))</f>
        <v/>
      </c>
    </row>
    <row r="22" customFormat="false" ht="15" hidden="false" customHeight="false" outlineLevel="0" collapsed="false">
      <c r="A22" s="28"/>
      <c r="B22" s="29"/>
      <c r="C22" s="29"/>
      <c r="D22" s="28"/>
      <c r="E22" s="30"/>
      <c r="F22" s="30"/>
      <c r="G22" s="29"/>
      <c r="H22" s="29"/>
      <c r="I22" s="29"/>
      <c r="J22" s="29"/>
      <c r="K22" s="29"/>
      <c r="L22" s="29"/>
      <c r="M22" s="31" t="str">
        <f aca="false">IF(A22="","",(COUNTIF(G22:L22,"Complete")+COUNTIF(G22:L22,"N/A"))/6)</f>
        <v/>
      </c>
      <c r="N22" s="32" t="str">
        <f aca="true">IF(A22="","",IF(M22&gt;=IF(AND(E22&lt;&gt;"",F22&lt;&gt;""),MIN(1,(TODAY()-E22)/(F22-E22)),0),"On Track","At Risk"))</f>
        <v/>
      </c>
    </row>
    <row r="23" customFormat="false" ht="15" hidden="false" customHeight="false" outlineLevel="0" collapsed="false">
      <c r="A23" s="33"/>
      <c r="B23" s="34"/>
      <c r="C23" s="34"/>
      <c r="D23" s="33"/>
      <c r="E23" s="35"/>
      <c r="F23" s="35"/>
      <c r="G23" s="34"/>
      <c r="H23" s="34"/>
      <c r="I23" s="34"/>
      <c r="J23" s="34"/>
      <c r="K23" s="34"/>
      <c r="L23" s="34"/>
      <c r="M23" s="31" t="str">
        <f aca="false">IF(A23="","",(COUNTIF(G23:L23,"Complete")+COUNTIF(G23:L23,"N/A"))/6)</f>
        <v/>
      </c>
      <c r="N23" s="32" t="str">
        <f aca="true">IF(A23="","",IF(M23&gt;=IF(AND(E23&lt;&gt;"",F23&lt;&gt;""),MIN(1,(TODAY()-E23)/(F23-E23)),0),"On Track","At Risk"))</f>
        <v/>
      </c>
    </row>
    <row r="24" customFormat="false" ht="15" hidden="false" customHeight="false" outlineLevel="0" collapsed="false">
      <c r="A24" s="28"/>
      <c r="B24" s="29"/>
      <c r="C24" s="29"/>
      <c r="D24" s="28"/>
      <c r="E24" s="30"/>
      <c r="F24" s="30"/>
      <c r="G24" s="29"/>
      <c r="H24" s="29"/>
      <c r="I24" s="29"/>
      <c r="J24" s="29"/>
      <c r="K24" s="29"/>
      <c r="L24" s="29"/>
      <c r="M24" s="31" t="str">
        <f aca="false">IF(A24="","",(COUNTIF(G24:L24,"Complete")+COUNTIF(G24:L24,"N/A"))/6)</f>
        <v/>
      </c>
      <c r="N24" s="32" t="str">
        <f aca="true">IF(A24="","",IF(M24&gt;=IF(AND(E24&lt;&gt;"",F24&lt;&gt;""),MIN(1,(TODAY()-E24)/(F24-E24)),0),"On Track","At Risk"))</f>
        <v/>
      </c>
    </row>
    <row r="25" customFormat="false" ht="15" hidden="false" customHeight="false" outlineLevel="0" collapsed="false">
      <c r="A25" s="33"/>
      <c r="B25" s="34"/>
      <c r="C25" s="34"/>
      <c r="D25" s="33"/>
      <c r="E25" s="35"/>
      <c r="F25" s="35"/>
      <c r="G25" s="34"/>
      <c r="H25" s="34"/>
      <c r="I25" s="34"/>
      <c r="J25" s="34"/>
      <c r="K25" s="34"/>
      <c r="L25" s="34"/>
      <c r="M25" s="31" t="str">
        <f aca="false">IF(A25="","",(COUNTIF(G25:L25,"Complete")+COUNTIF(G25:L25,"N/A"))/6)</f>
        <v/>
      </c>
      <c r="N25" s="32" t="str">
        <f aca="true">IF(A25="","",IF(M25&gt;=IF(AND(E25&lt;&gt;"",F25&lt;&gt;""),MIN(1,(TODAY()-E25)/(F25-E25)),0),"On Track","At Risk"))</f>
        <v/>
      </c>
    </row>
    <row r="26" customFormat="false" ht="15" hidden="false" customHeight="false" outlineLevel="0" collapsed="false">
      <c r="A26" s="28"/>
      <c r="B26" s="29"/>
      <c r="C26" s="29"/>
      <c r="D26" s="28"/>
      <c r="E26" s="30"/>
      <c r="F26" s="30"/>
      <c r="G26" s="29"/>
      <c r="H26" s="29"/>
      <c r="I26" s="29"/>
      <c r="J26" s="29"/>
      <c r="K26" s="29"/>
      <c r="L26" s="29"/>
      <c r="M26" s="31" t="str">
        <f aca="false">IF(A26="","",(COUNTIF(G26:L26,"Complete")+COUNTIF(G26:L26,"N/A"))/6)</f>
        <v/>
      </c>
      <c r="N26" s="32" t="str">
        <f aca="true">IF(A26="","",IF(M26&gt;=IF(AND(E26&lt;&gt;"",F26&lt;&gt;""),MIN(1,(TODAY()-E26)/(F26-E26)),0),"On Track","At Risk"))</f>
        <v/>
      </c>
    </row>
    <row r="27" customFormat="false" ht="15" hidden="false" customHeight="false" outlineLevel="0" collapsed="false">
      <c r="A27" s="33"/>
      <c r="B27" s="34"/>
      <c r="C27" s="34"/>
      <c r="D27" s="33"/>
      <c r="E27" s="35"/>
      <c r="F27" s="35"/>
      <c r="G27" s="34"/>
      <c r="H27" s="34"/>
      <c r="I27" s="34"/>
      <c r="J27" s="34"/>
      <c r="K27" s="34"/>
      <c r="L27" s="34"/>
      <c r="M27" s="31" t="str">
        <f aca="false">IF(A27="","",(COUNTIF(G27:L27,"Complete")+COUNTIF(G27:L27,"N/A"))/6)</f>
        <v/>
      </c>
      <c r="N27" s="32" t="str">
        <f aca="true">IF(A27="","",IF(M27&gt;=IF(AND(E27&lt;&gt;"",F27&lt;&gt;""),MIN(1,(TODAY()-E27)/(F27-E27)),0),"On Track","At Risk"))</f>
        <v/>
      </c>
    </row>
    <row r="28" customFormat="false" ht="15" hidden="false" customHeight="false" outlineLevel="0" collapsed="false">
      <c r="A28" s="28"/>
      <c r="B28" s="29"/>
      <c r="C28" s="29"/>
      <c r="D28" s="28"/>
      <c r="E28" s="30"/>
      <c r="F28" s="30"/>
      <c r="G28" s="29"/>
      <c r="H28" s="29"/>
      <c r="I28" s="29"/>
      <c r="J28" s="29"/>
      <c r="K28" s="29"/>
      <c r="L28" s="29"/>
      <c r="M28" s="31" t="str">
        <f aca="false">IF(A28="","",(COUNTIF(G28:L28,"Complete")+COUNTIF(G28:L28,"N/A"))/6)</f>
        <v/>
      </c>
      <c r="N28" s="32" t="str">
        <f aca="true">IF(A28="","",IF(M28&gt;=IF(AND(E28&lt;&gt;"",F28&lt;&gt;""),MIN(1,(TODAY()-E28)/(F28-E28)),0),"On Track","At Risk"))</f>
        <v/>
      </c>
    </row>
    <row r="29" customFormat="false" ht="15" hidden="false" customHeight="false" outlineLevel="0" collapsed="false">
      <c r="A29" s="33"/>
      <c r="B29" s="34"/>
      <c r="C29" s="34"/>
      <c r="D29" s="33"/>
      <c r="E29" s="35"/>
      <c r="F29" s="35"/>
      <c r="G29" s="34"/>
      <c r="H29" s="34"/>
      <c r="I29" s="34"/>
      <c r="J29" s="34"/>
      <c r="K29" s="34"/>
      <c r="L29" s="34"/>
      <c r="M29" s="31" t="str">
        <f aca="false">IF(A29="","",(COUNTIF(G29:L29,"Complete")+COUNTIF(G29:L29,"N/A"))/6)</f>
        <v/>
      </c>
      <c r="N29" s="32" t="str">
        <f aca="true">IF(A29="","",IF(M29&gt;=IF(AND(E29&lt;&gt;"",F29&lt;&gt;""),MIN(1,(TODAY()-E29)/(F29-E29)),0),"On Track","At Risk"))</f>
        <v/>
      </c>
    </row>
    <row r="30" customFormat="false" ht="15" hidden="false" customHeight="false" outlineLevel="0" collapsed="false">
      <c r="A30" s="28"/>
      <c r="B30" s="29"/>
      <c r="C30" s="29"/>
      <c r="D30" s="28"/>
      <c r="E30" s="30"/>
      <c r="F30" s="30"/>
      <c r="G30" s="29"/>
      <c r="H30" s="29"/>
      <c r="I30" s="29"/>
      <c r="J30" s="29"/>
      <c r="K30" s="29"/>
      <c r="L30" s="29"/>
      <c r="M30" s="31" t="str">
        <f aca="false">IF(A30="","",(COUNTIF(G30:L30,"Complete")+COUNTIF(G30:L30,"N/A"))/6)</f>
        <v/>
      </c>
      <c r="N30" s="32" t="str">
        <f aca="true">IF(A30="","",IF(M30&gt;=IF(AND(E30&lt;&gt;"",F30&lt;&gt;""),MIN(1,(TODAY()-E30)/(F30-E30)),0),"On Track","At Risk"))</f>
        <v/>
      </c>
    </row>
    <row r="31" customFormat="false" ht="15" hidden="false" customHeight="false" outlineLevel="0" collapsed="false">
      <c r="A31" s="33"/>
      <c r="B31" s="34"/>
      <c r="C31" s="34"/>
      <c r="D31" s="33"/>
      <c r="E31" s="35"/>
      <c r="F31" s="35"/>
      <c r="G31" s="34"/>
      <c r="H31" s="34"/>
      <c r="I31" s="34"/>
      <c r="J31" s="34"/>
      <c r="K31" s="34"/>
      <c r="L31" s="34"/>
      <c r="M31" s="31" t="str">
        <f aca="false">IF(A31="","",(COUNTIF(G31:L31,"Complete")+COUNTIF(G31:L31,"N/A"))/6)</f>
        <v/>
      </c>
      <c r="N31" s="32" t="str">
        <f aca="true">IF(A31="","",IF(M31&gt;=IF(AND(E31&lt;&gt;"",F31&lt;&gt;""),MIN(1,(TODAY()-E31)/(F31-E31)),0),"On Track","At Risk"))</f>
        <v/>
      </c>
    </row>
    <row r="32" customFormat="false" ht="15" hidden="false" customHeight="false" outlineLevel="0" collapsed="false">
      <c r="A32" s="28"/>
      <c r="B32" s="29"/>
      <c r="C32" s="29"/>
      <c r="D32" s="28"/>
      <c r="E32" s="30"/>
      <c r="F32" s="30"/>
      <c r="G32" s="29"/>
      <c r="H32" s="29"/>
      <c r="I32" s="29"/>
      <c r="J32" s="29"/>
      <c r="K32" s="29"/>
      <c r="L32" s="29"/>
      <c r="M32" s="31" t="str">
        <f aca="false">IF(A32="","",(COUNTIF(G32:L32,"Complete")+COUNTIF(G32:L32,"N/A"))/6)</f>
        <v/>
      </c>
      <c r="N32" s="32" t="str">
        <f aca="true">IF(A32="","",IF(M32&gt;=IF(AND(E32&lt;&gt;"",F32&lt;&gt;""),MIN(1,(TODAY()-E32)/(F32-E32)),0),"On Track","At Risk"))</f>
        <v/>
      </c>
    </row>
    <row r="33" customFormat="false" ht="15" hidden="false" customHeight="false" outlineLevel="0" collapsed="false">
      <c r="A33" s="33"/>
      <c r="B33" s="34"/>
      <c r="C33" s="34"/>
      <c r="D33" s="33"/>
      <c r="E33" s="35"/>
      <c r="F33" s="35"/>
      <c r="G33" s="34"/>
      <c r="H33" s="34"/>
      <c r="I33" s="34"/>
      <c r="J33" s="34"/>
      <c r="K33" s="34"/>
      <c r="L33" s="34"/>
      <c r="M33" s="31" t="str">
        <f aca="false">IF(A33="","",(COUNTIF(G33:L33,"Complete")+COUNTIF(G33:L33,"N/A"))/6)</f>
        <v/>
      </c>
      <c r="N33" s="32" t="str">
        <f aca="true">IF(A33="","",IF(M33&gt;=IF(AND(E33&lt;&gt;"",F33&lt;&gt;""),MIN(1,(TODAY()-E33)/(F33-E33)),0),"On Track","At Risk"))</f>
        <v/>
      </c>
    </row>
    <row r="34" customFormat="false" ht="15" hidden="false" customHeight="false" outlineLevel="0" collapsed="false">
      <c r="A34" s="28"/>
      <c r="B34" s="29"/>
      <c r="C34" s="29"/>
      <c r="D34" s="28"/>
      <c r="E34" s="30"/>
      <c r="F34" s="30"/>
      <c r="G34" s="29"/>
      <c r="H34" s="29"/>
      <c r="I34" s="29"/>
      <c r="J34" s="29"/>
      <c r="K34" s="29"/>
      <c r="L34" s="29"/>
      <c r="M34" s="31" t="str">
        <f aca="false">IF(A34="","",(COUNTIF(G34:L34,"Complete")+COUNTIF(G34:L34,"N/A"))/6)</f>
        <v/>
      </c>
      <c r="N34" s="32" t="str">
        <f aca="true">IF(A34="","",IF(M34&gt;=IF(AND(E34&lt;&gt;"",F34&lt;&gt;""),MIN(1,(TODAY()-E34)/(F34-E34)),0),"On Track","At Risk"))</f>
        <v/>
      </c>
    </row>
    <row r="35" customFormat="false" ht="15" hidden="false" customHeight="false" outlineLevel="0" collapsed="false">
      <c r="A35" s="33"/>
      <c r="B35" s="34"/>
      <c r="C35" s="34"/>
      <c r="D35" s="33"/>
      <c r="E35" s="35"/>
      <c r="F35" s="35"/>
      <c r="G35" s="34"/>
      <c r="H35" s="34"/>
      <c r="I35" s="34"/>
      <c r="J35" s="34"/>
      <c r="K35" s="34"/>
      <c r="L35" s="34"/>
      <c r="M35" s="31" t="str">
        <f aca="false">IF(A35="","",(COUNTIF(G35:L35,"Complete")+COUNTIF(G35:L35,"N/A"))/6)</f>
        <v/>
      </c>
      <c r="N35" s="32" t="str">
        <f aca="true">IF(A35="","",IF(M35&gt;=IF(AND(E35&lt;&gt;"",F35&lt;&gt;""),MIN(1,(TODAY()-E35)/(F35-E35)),0),"On Track","At Risk"))</f>
        <v/>
      </c>
    </row>
    <row r="36" customFormat="false" ht="15" hidden="false" customHeight="false" outlineLevel="0" collapsed="false">
      <c r="A36" s="28"/>
      <c r="B36" s="29"/>
      <c r="C36" s="29"/>
      <c r="D36" s="28"/>
      <c r="E36" s="30"/>
      <c r="F36" s="30"/>
      <c r="G36" s="29"/>
      <c r="H36" s="29"/>
      <c r="I36" s="29"/>
      <c r="J36" s="29"/>
      <c r="K36" s="29"/>
      <c r="L36" s="29"/>
      <c r="M36" s="31" t="str">
        <f aca="false">IF(A36="","",(COUNTIF(G36:L36,"Complete")+COUNTIF(G36:L36,"N/A"))/6)</f>
        <v/>
      </c>
      <c r="N36" s="32" t="str">
        <f aca="true">IF(A36="","",IF(M36&gt;=IF(AND(E36&lt;&gt;"",F36&lt;&gt;""),MIN(1,(TODAY()-E36)/(F36-E36)),0),"On Track","At Risk"))</f>
        <v/>
      </c>
    </row>
    <row r="37" customFormat="false" ht="15" hidden="false" customHeight="false" outlineLevel="0" collapsed="false">
      <c r="A37" s="33"/>
      <c r="B37" s="34"/>
      <c r="C37" s="34"/>
      <c r="D37" s="33"/>
      <c r="E37" s="35"/>
      <c r="F37" s="35"/>
      <c r="G37" s="34"/>
      <c r="H37" s="34"/>
      <c r="I37" s="34"/>
      <c r="J37" s="34"/>
      <c r="K37" s="34"/>
      <c r="L37" s="34"/>
      <c r="M37" s="31" t="str">
        <f aca="false">IF(A37="","",(COUNTIF(G37:L37,"Complete")+COUNTIF(G37:L37,"N/A"))/6)</f>
        <v/>
      </c>
      <c r="N37" s="32" t="str">
        <f aca="true">IF(A37="","",IF(M37&gt;=IF(AND(E37&lt;&gt;"",F37&lt;&gt;""),MIN(1,(TODAY()-E37)/(F37-E37)),0),"On Track","At Risk"))</f>
        <v/>
      </c>
    </row>
    <row r="38" customFormat="false" ht="15" hidden="false" customHeight="false" outlineLevel="0" collapsed="false">
      <c r="A38" s="28"/>
      <c r="B38" s="29"/>
      <c r="C38" s="29"/>
      <c r="D38" s="28"/>
      <c r="E38" s="30"/>
      <c r="F38" s="30"/>
      <c r="G38" s="29"/>
      <c r="H38" s="29"/>
      <c r="I38" s="29"/>
      <c r="J38" s="29"/>
      <c r="K38" s="29"/>
      <c r="L38" s="29"/>
      <c r="M38" s="31" t="str">
        <f aca="false">IF(A38="","",(COUNTIF(G38:L38,"Complete")+COUNTIF(G38:L38,"N/A"))/6)</f>
        <v/>
      </c>
      <c r="N38" s="32" t="str">
        <f aca="true">IF(A38="","",IF(M38&gt;=IF(AND(E38&lt;&gt;"",F38&lt;&gt;""),MIN(1,(TODAY()-E38)/(F38-E38)),0),"On Track","At Risk"))</f>
        <v/>
      </c>
    </row>
    <row r="39" customFormat="false" ht="15" hidden="false" customHeight="false" outlineLevel="0" collapsed="false">
      <c r="A39" s="33"/>
      <c r="B39" s="34"/>
      <c r="C39" s="34"/>
      <c r="D39" s="33"/>
      <c r="E39" s="35"/>
      <c r="F39" s="35"/>
      <c r="G39" s="34"/>
      <c r="H39" s="34"/>
      <c r="I39" s="34"/>
      <c r="J39" s="34"/>
      <c r="K39" s="34"/>
      <c r="L39" s="34"/>
      <c r="M39" s="31" t="str">
        <f aca="false">IF(A39="","",(COUNTIF(G39:L39,"Complete")+COUNTIF(G39:L39,"N/A"))/6)</f>
        <v/>
      </c>
      <c r="N39" s="32" t="str">
        <f aca="true">IF(A39="","",IF(M39&gt;=IF(AND(E39&lt;&gt;"",F39&lt;&gt;""),MIN(1,(TODAY()-E39)/(F39-E39)),0),"On Track","At Risk"))</f>
        <v/>
      </c>
    </row>
    <row r="40" customFormat="false" ht="15" hidden="false" customHeight="false" outlineLevel="0" collapsed="false">
      <c r="A40" s="28"/>
      <c r="B40" s="29"/>
      <c r="C40" s="29"/>
      <c r="D40" s="28"/>
      <c r="E40" s="30"/>
      <c r="F40" s="30"/>
      <c r="G40" s="29"/>
      <c r="H40" s="29"/>
      <c r="I40" s="29"/>
      <c r="J40" s="29"/>
      <c r="K40" s="29"/>
      <c r="L40" s="29"/>
      <c r="M40" s="31" t="str">
        <f aca="false">IF(A40="","",(COUNTIF(G40:L40,"Complete")+COUNTIF(G40:L40,"N/A"))/6)</f>
        <v/>
      </c>
      <c r="N40" s="32" t="str">
        <f aca="true">IF(A40="","",IF(M40&gt;=IF(AND(E40&lt;&gt;"",F40&lt;&gt;""),MIN(1,(TODAY()-E40)/(F40-E40)),0),"On Track","At Risk"))</f>
        <v/>
      </c>
    </row>
    <row r="41" customFormat="false" ht="15" hidden="false" customHeight="false" outlineLevel="0" collapsed="false">
      <c r="A41" s="33"/>
      <c r="B41" s="34"/>
      <c r="C41" s="34"/>
      <c r="D41" s="33"/>
      <c r="E41" s="35"/>
      <c r="F41" s="35"/>
      <c r="G41" s="34"/>
      <c r="H41" s="34"/>
      <c r="I41" s="34"/>
      <c r="J41" s="34"/>
      <c r="K41" s="34"/>
      <c r="L41" s="34"/>
      <c r="M41" s="31" t="str">
        <f aca="false">IF(A41="","",(COUNTIF(G41:L41,"Complete")+COUNTIF(G41:L41,"N/A"))/6)</f>
        <v/>
      </c>
      <c r="N41" s="32" t="str">
        <f aca="true">IF(A41="","",IF(M41&gt;=IF(AND(E41&lt;&gt;"",F41&lt;&gt;""),MIN(1,(TODAY()-E41)/(F41-E41)),0),"On Track","At Risk"))</f>
        <v/>
      </c>
    </row>
    <row r="42" customFormat="false" ht="15" hidden="false" customHeight="false" outlineLevel="0" collapsed="false">
      <c r="A42" s="28"/>
      <c r="B42" s="29"/>
      <c r="C42" s="29"/>
      <c r="D42" s="28"/>
      <c r="E42" s="30"/>
      <c r="F42" s="30"/>
      <c r="G42" s="29"/>
      <c r="H42" s="29"/>
      <c r="I42" s="29"/>
      <c r="J42" s="29"/>
      <c r="K42" s="29"/>
      <c r="L42" s="29"/>
      <c r="M42" s="31" t="str">
        <f aca="false">IF(A42="","",(COUNTIF(G42:L42,"Complete")+COUNTIF(G42:L42,"N/A"))/6)</f>
        <v/>
      </c>
      <c r="N42" s="32" t="str">
        <f aca="true">IF(A42="","",IF(M42&gt;=IF(AND(E42&lt;&gt;"",F42&lt;&gt;""),MIN(1,(TODAY()-E42)/(F42-E42)),0),"On Track","At Risk"))</f>
        <v/>
      </c>
    </row>
    <row r="43" customFormat="false" ht="15" hidden="false" customHeight="false" outlineLevel="0" collapsed="false">
      <c r="A43" s="33"/>
      <c r="B43" s="34"/>
      <c r="C43" s="34"/>
      <c r="D43" s="33"/>
      <c r="E43" s="35"/>
      <c r="F43" s="35"/>
      <c r="G43" s="34"/>
      <c r="H43" s="34"/>
      <c r="I43" s="34"/>
      <c r="J43" s="34"/>
      <c r="K43" s="34"/>
      <c r="L43" s="34"/>
      <c r="M43" s="31" t="str">
        <f aca="false">IF(A43="","",(COUNTIF(G43:L43,"Complete")+COUNTIF(G43:L43,"N/A"))/6)</f>
        <v/>
      </c>
      <c r="N43" s="32" t="str">
        <f aca="true">IF(A43="","",IF(M43&gt;=IF(AND(E43&lt;&gt;"",F43&lt;&gt;""),MIN(1,(TODAY()-E43)/(F43-E43)),0),"On Track","At Risk"))</f>
        <v/>
      </c>
    </row>
    <row r="44" customFormat="false" ht="15" hidden="false" customHeight="false" outlineLevel="0" collapsed="false">
      <c r="A44" s="28"/>
      <c r="B44" s="29"/>
      <c r="C44" s="29"/>
      <c r="D44" s="28"/>
      <c r="E44" s="30"/>
      <c r="F44" s="30"/>
      <c r="G44" s="29"/>
      <c r="H44" s="29"/>
      <c r="I44" s="29"/>
      <c r="J44" s="29"/>
      <c r="K44" s="29"/>
      <c r="L44" s="29"/>
      <c r="M44" s="31" t="str">
        <f aca="false">IF(A44="","",(COUNTIF(G44:L44,"Complete")+COUNTIF(G44:L44,"N/A"))/6)</f>
        <v/>
      </c>
      <c r="N44" s="32" t="str">
        <f aca="true">IF(A44="","",IF(M44&gt;=IF(AND(E44&lt;&gt;"",F44&lt;&gt;""),MIN(1,(TODAY()-E44)/(F44-E44)),0),"On Track","At Risk"))</f>
        <v/>
      </c>
    </row>
    <row r="45" customFormat="false" ht="15" hidden="false" customHeight="false" outlineLevel="0" collapsed="false">
      <c r="A45" s="33"/>
      <c r="B45" s="34"/>
      <c r="C45" s="34"/>
      <c r="D45" s="33"/>
      <c r="E45" s="35"/>
      <c r="F45" s="35"/>
      <c r="G45" s="34"/>
      <c r="H45" s="34"/>
      <c r="I45" s="34"/>
      <c r="J45" s="34"/>
      <c r="K45" s="34"/>
      <c r="L45" s="34"/>
      <c r="M45" s="31" t="str">
        <f aca="false">IF(A45="","",(COUNTIF(G45:L45,"Complete")+COUNTIF(G45:L45,"N/A"))/6)</f>
        <v/>
      </c>
      <c r="N45" s="32" t="str">
        <f aca="true">IF(A45="","",IF(M45&gt;=IF(AND(E45&lt;&gt;"",F45&lt;&gt;""),MIN(1,(TODAY()-E45)/(F45-E45)),0),"On Track","At Risk"))</f>
        <v/>
      </c>
    </row>
    <row r="46" customFormat="false" ht="15" hidden="false" customHeight="false" outlineLevel="0" collapsed="false">
      <c r="A46" s="28"/>
      <c r="B46" s="29"/>
      <c r="C46" s="29"/>
      <c r="D46" s="28"/>
      <c r="E46" s="30"/>
      <c r="F46" s="30"/>
      <c r="G46" s="29"/>
      <c r="H46" s="29"/>
      <c r="I46" s="29"/>
      <c r="J46" s="29"/>
      <c r="K46" s="29"/>
      <c r="L46" s="29"/>
      <c r="M46" s="31" t="str">
        <f aca="false">IF(A46="","",(COUNTIF(G46:L46,"Complete")+COUNTIF(G46:L46,"N/A"))/6)</f>
        <v/>
      </c>
      <c r="N46" s="32" t="str">
        <f aca="true">IF(A46="","",IF(M46&gt;=IF(AND(E46&lt;&gt;"",F46&lt;&gt;""),MIN(1,(TODAY()-E46)/(F46-E46)),0),"On Track","At Risk"))</f>
        <v/>
      </c>
    </row>
    <row r="47" customFormat="false" ht="15" hidden="false" customHeight="false" outlineLevel="0" collapsed="false">
      <c r="A47" s="33"/>
      <c r="B47" s="34"/>
      <c r="C47" s="34"/>
      <c r="D47" s="33"/>
      <c r="E47" s="35"/>
      <c r="F47" s="35"/>
      <c r="G47" s="34"/>
      <c r="H47" s="34"/>
      <c r="I47" s="34"/>
      <c r="J47" s="34"/>
      <c r="K47" s="34"/>
      <c r="L47" s="34"/>
      <c r="M47" s="31" t="str">
        <f aca="false">IF(A47="","",(COUNTIF(G47:L47,"Complete")+COUNTIF(G47:L47,"N/A"))/6)</f>
        <v/>
      </c>
      <c r="N47" s="32" t="str">
        <f aca="true">IF(A47="","",IF(M47&gt;=IF(AND(E47&lt;&gt;"",F47&lt;&gt;""),MIN(1,(TODAY()-E47)/(F47-E47)),0),"On Track","At Risk"))</f>
        <v/>
      </c>
    </row>
    <row r="48" customFormat="false" ht="15" hidden="false" customHeight="false" outlineLevel="0" collapsed="false">
      <c r="A48" s="28"/>
      <c r="B48" s="29"/>
      <c r="C48" s="29"/>
      <c r="D48" s="28"/>
      <c r="E48" s="30"/>
      <c r="F48" s="30"/>
      <c r="G48" s="29"/>
      <c r="H48" s="29"/>
      <c r="I48" s="29"/>
      <c r="J48" s="29"/>
      <c r="K48" s="29"/>
      <c r="L48" s="29"/>
      <c r="M48" s="31" t="str">
        <f aca="false">IF(A48="","",(COUNTIF(G48:L48,"Complete")+COUNTIF(G48:L48,"N/A"))/6)</f>
        <v/>
      </c>
      <c r="N48" s="32" t="str">
        <f aca="true">IF(A48="","",IF(M48&gt;=IF(AND(E48&lt;&gt;"",F48&lt;&gt;""),MIN(1,(TODAY()-E48)/(F48-E48)),0),"On Track","At Risk"))</f>
        <v/>
      </c>
    </row>
    <row r="49" customFormat="false" ht="15" hidden="false" customHeight="false" outlineLevel="0" collapsed="false">
      <c r="A49" s="33"/>
      <c r="B49" s="34"/>
      <c r="C49" s="34"/>
      <c r="D49" s="33"/>
      <c r="E49" s="35"/>
      <c r="F49" s="35"/>
      <c r="G49" s="34"/>
      <c r="H49" s="34"/>
      <c r="I49" s="34"/>
      <c r="J49" s="34"/>
      <c r="K49" s="34"/>
      <c r="L49" s="34"/>
      <c r="M49" s="31" t="str">
        <f aca="false">IF(A49="","",(COUNTIF(G49:L49,"Complete")+COUNTIF(G49:L49,"N/A"))/6)</f>
        <v/>
      </c>
      <c r="N49" s="32" t="str">
        <f aca="true">IF(A49="","",IF(M49&gt;=IF(AND(E49&lt;&gt;"",F49&lt;&gt;""),MIN(1,(TODAY()-E49)/(F49-E49)),0),"On Track","At Risk"))</f>
        <v/>
      </c>
    </row>
    <row r="50" customFormat="false" ht="15" hidden="false" customHeight="false" outlineLevel="0" collapsed="false">
      <c r="A50" s="28"/>
      <c r="B50" s="29"/>
      <c r="C50" s="29"/>
      <c r="D50" s="28"/>
      <c r="E50" s="30"/>
      <c r="F50" s="30"/>
      <c r="G50" s="29"/>
      <c r="H50" s="29"/>
      <c r="I50" s="29"/>
      <c r="J50" s="29"/>
      <c r="K50" s="29"/>
      <c r="L50" s="29"/>
      <c r="M50" s="31" t="str">
        <f aca="false">IF(A50="","",(COUNTIF(G50:L50,"Complete")+COUNTIF(G50:L50,"N/A"))/6)</f>
        <v/>
      </c>
      <c r="N50" s="32" t="str">
        <f aca="true">IF(A50="","",IF(M50&gt;=IF(AND(E50&lt;&gt;"",F50&lt;&gt;""),MIN(1,(TODAY()-E50)/(F50-E50)),0),"On Track","At Risk"))</f>
        <v/>
      </c>
    </row>
    <row r="51" customFormat="false" ht="15" hidden="false" customHeight="false" outlineLevel="0" collapsed="false">
      <c r="A51" s="33"/>
      <c r="B51" s="34"/>
      <c r="C51" s="34"/>
      <c r="D51" s="33"/>
      <c r="E51" s="35"/>
      <c r="F51" s="35"/>
      <c r="G51" s="34"/>
      <c r="H51" s="34"/>
      <c r="I51" s="34"/>
      <c r="J51" s="34"/>
      <c r="K51" s="34"/>
      <c r="L51" s="34"/>
      <c r="M51" s="31" t="str">
        <f aca="false">IF(A51="","",(COUNTIF(G51:L51,"Complete")+COUNTIF(G51:L51,"N/A"))/6)</f>
        <v/>
      </c>
      <c r="N51" s="32" t="str">
        <f aca="true">IF(A51="","",IF(M51&gt;=IF(AND(E51&lt;&gt;"",F51&lt;&gt;""),MIN(1,(TODAY()-E51)/(F51-E51)),0),"On Track","At Risk"))</f>
        <v/>
      </c>
    </row>
    <row r="52" customFormat="false" ht="15" hidden="false" customHeight="false" outlineLevel="0" collapsed="false">
      <c r="A52" s="28"/>
      <c r="B52" s="29"/>
      <c r="C52" s="29"/>
      <c r="D52" s="28"/>
      <c r="E52" s="30"/>
      <c r="F52" s="30"/>
      <c r="G52" s="29"/>
      <c r="H52" s="29"/>
      <c r="I52" s="29"/>
      <c r="J52" s="29"/>
      <c r="K52" s="29"/>
      <c r="L52" s="29"/>
      <c r="M52" s="31" t="str">
        <f aca="false">IF(A52="","",(COUNTIF(G52:L52,"Complete")+COUNTIF(G52:L52,"N/A"))/6)</f>
        <v/>
      </c>
      <c r="N52" s="32" t="str">
        <f aca="true">IF(A52="","",IF(M52&gt;=IF(AND(E52&lt;&gt;"",F52&lt;&gt;""),MIN(1,(TODAY()-E52)/(F52-E52)),0),"On Track","At Risk"))</f>
        <v/>
      </c>
    </row>
    <row r="53" customFormat="false" ht="15" hidden="false" customHeight="false" outlineLevel="0" collapsed="false">
      <c r="A53" s="33"/>
      <c r="B53" s="34"/>
      <c r="C53" s="34"/>
      <c r="D53" s="33"/>
      <c r="E53" s="35"/>
      <c r="F53" s="35"/>
      <c r="G53" s="34"/>
      <c r="H53" s="34"/>
      <c r="I53" s="34"/>
      <c r="J53" s="34"/>
      <c r="K53" s="34"/>
      <c r="L53" s="34"/>
      <c r="M53" s="31" t="str">
        <f aca="false">IF(A53="","",(COUNTIF(G53:L53,"Complete")+COUNTIF(G53:L53,"N/A"))/6)</f>
        <v/>
      </c>
      <c r="N53" s="32" t="str">
        <f aca="true">IF(A53="","",IF(M53&gt;=IF(AND(E53&lt;&gt;"",F53&lt;&gt;""),MIN(1,(TODAY()-E53)/(F53-E53)),0),"On Track","At Risk"))</f>
        <v/>
      </c>
    </row>
    <row r="54" customFormat="false" ht="15" hidden="false" customHeight="false" outlineLevel="0" collapsed="false">
      <c r="A54" s="28"/>
      <c r="B54" s="29"/>
      <c r="C54" s="29"/>
      <c r="D54" s="28"/>
      <c r="E54" s="30"/>
      <c r="F54" s="30"/>
      <c r="G54" s="29"/>
      <c r="H54" s="29"/>
      <c r="I54" s="29"/>
      <c r="J54" s="29"/>
      <c r="K54" s="29"/>
      <c r="L54" s="29"/>
      <c r="M54" s="31" t="str">
        <f aca="false">IF(A54="","",(COUNTIF(G54:L54,"Complete")+COUNTIF(G54:L54,"N/A"))/6)</f>
        <v/>
      </c>
      <c r="N54" s="32" t="str">
        <f aca="true">IF(A54="","",IF(M54&gt;=IF(AND(E54&lt;&gt;"",F54&lt;&gt;""),MIN(1,(TODAY()-E54)/(F54-E54)),0),"On Track","At Risk"))</f>
        <v/>
      </c>
    </row>
    <row r="55" customFormat="false" ht="15" hidden="false" customHeight="false" outlineLevel="0" collapsed="false">
      <c r="A55" s="33"/>
      <c r="B55" s="34"/>
      <c r="C55" s="34"/>
      <c r="D55" s="33"/>
      <c r="E55" s="35"/>
      <c r="F55" s="35"/>
      <c r="G55" s="34"/>
      <c r="H55" s="34"/>
      <c r="I55" s="34"/>
      <c r="J55" s="34"/>
      <c r="K55" s="34"/>
      <c r="L55" s="34"/>
      <c r="M55" s="31" t="str">
        <f aca="false">IF(A55="","",(COUNTIF(G55:L55,"Complete")+COUNTIF(G55:L55,"N/A"))/6)</f>
        <v/>
      </c>
      <c r="N55" s="32" t="str">
        <f aca="true">IF(A55="","",IF(M55&gt;=IF(AND(E55&lt;&gt;"",F55&lt;&gt;""),MIN(1,(TODAY()-E55)/(F55-E55)),0),"On Track","At Risk"))</f>
        <v/>
      </c>
    </row>
    <row r="56" customFormat="false" ht="15" hidden="false" customHeight="false" outlineLevel="0" collapsed="false">
      <c r="A56" s="28"/>
      <c r="B56" s="29"/>
      <c r="C56" s="29"/>
      <c r="D56" s="28"/>
      <c r="E56" s="30"/>
      <c r="F56" s="30"/>
      <c r="G56" s="29"/>
      <c r="H56" s="29"/>
      <c r="I56" s="29"/>
      <c r="J56" s="29"/>
      <c r="K56" s="29"/>
      <c r="L56" s="29"/>
      <c r="M56" s="31" t="str">
        <f aca="false">IF(A56="","",(COUNTIF(G56:L56,"Complete")+COUNTIF(G56:L56,"N/A"))/6)</f>
        <v/>
      </c>
      <c r="N56" s="32" t="str">
        <f aca="true">IF(A56="","",IF(M56&gt;=IF(AND(E56&lt;&gt;"",F56&lt;&gt;""),MIN(1,(TODAY()-E56)/(F56-E56)),0),"On Track","At Risk"))</f>
        <v/>
      </c>
    </row>
    <row r="57" customFormat="false" ht="15" hidden="false" customHeight="false" outlineLevel="0" collapsed="false">
      <c r="A57" s="33"/>
      <c r="B57" s="34"/>
      <c r="C57" s="34"/>
      <c r="D57" s="33"/>
      <c r="E57" s="35"/>
      <c r="F57" s="35"/>
      <c r="G57" s="34"/>
      <c r="H57" s="34"/>
      <c r="I57" s="34"/>
      <c r="J57" s="34"/>
      <c r="K57" s="34"/>
      <c r="L57" s="34"/>
      <c r="M57" s="31" t="str">
        <f aca="false">IF(A57="","",(COUNTIF(G57:L57,"Complete")+COUNTIF(G57:L57,"N/A"))/6)</f>
        <v/>
      </c>
      <c r="N57" s="32" t="str">
        <f aca="true">IF(A57="","",IF(M57&gt;=IF(AND(E57&lt;&gt;"",F57&lt;&gt;""),MIN(1,(TODAY()-E57)/(F57-E57)),0),"On Track","At Risk"))</f>
        <v/>
      </c>
    </row>
  </sheetData>
  <autoFilter ref="A7:N107"/>
  <mergeCells count="3">
    <mergeCell ref="A1:N1"/>
    <mergeCell ref="A2:C2"/>
    <mergeCell ref="A6:N6"/>
  </mergeCells>
  <conditionalFormatting sqref="G8:G57">
    <cfRule type="cellIs" priority="2" operator="equal" aboveAverage="0" equalAverage="0" bottom="0" percent="0" rank="0" text="" dxfId="10">
      <formula>"Complete"</formula>
    </cfRule>
    <cfRule type="cellIs" priority="3" operator="equal" aboveAverage="0" equalAverage="0" bottom="0" percent="0" rank="0" text="" dxfId="11">
      <formula>"In Progress"</formula>
    </cfRule>
    <cfRule type="cellIs" priority="4" operator="equal" aboveAverage="0" equalAverage="0" bottom="0" percent="0" rank="0" text="" dxfId="12">
      <formula>"Not Started"</formula>
    </cfRule>
  </conditionalFormatting>
  <conditionalFormatting sqref="H8:H57">
    <cfRule type="cellIs" priority="5" operator="equal" aboveAverage="0" equalAverage="0" bottom="0" percent="0" rank="0" text="" dxfId="10">
      <formula>"Complete"</formula>
    </cfRule>
    <cfRule type="cellIs" priority="6" operator="equal" aboveAverage="0" equalAverage="0" bottom="0" percent="0" rank="0" text="" dxfId="11">
      <formula>"In Progress"</formula>
    </cfRule>
    <cfRule type="cellIs" priority="7" operator="equal" aboveAverage="0" equalAverage="0" bottom="0" percent="0" rank="0" text="" dxfId="12">
      <formula>"Not Started"</formula>
    </cfRule>
  </conditionalFormatting>
  <conditionalFormatting sqref="I8:I57">
    <cfRule type="cellIs" priority="8" operator="equal" aboveAverage="0" equalAverage="0" bottom="0" percent="0" rank="0" text="" dxfId="10">
      <formula>"Complete"</formula>
    </cfRule>
    <cfRule type="cellIs" priority="9" operator="equal" aboveAverage="0" equalAverage="0" bottom="0" percent="0" rank="0" text="" dxfId="11">
      <formula>"In Progress"</formula>
    </cfRule>
    <cfRule type="cellIs" priority="10" operator="equal" aboveAverage="0" equalAverage="0" bottom="0" percent="0" rank="0" text="" dxfId="12">
      <formula>"Not Started"</formula>
    </cfRule>
  </conditionalFormatting>
  <conditionalFormatting sqref="J8:J57">
    <cfRule type="cellIs" priority="11" operator="equal" aboveAverage="0" equalAverage="0" bottom="0" percent="0" rank="0" text="" dxfId="10">
      <formula>"Complete"</formula>
    </cfRule>
    <cfRule type="cellIs" priority="12" operator="equal" aboveAverage="0" equalAverage="0" bottom="0" percent="0" rank="0" text="" dxfId="11">
      <formula>"In Progress"</formula>
    </cfRule>
    <cfRule type="cellIs" priority="13" operator="equal" aboveAverage="0" equalAverage="0" bottom="0" percent="0" rank="0" text="" dxfId="12">
      <formula>"Not Started"</formula>
    </cfRule>
  </conditionalFormatting>
  <conditionalFormatting sqref="K8:K57">
    <cfRule type="cellIs" priority="14" operator="equal" aboveAverage="0" equalAverage="0" bottom="0" percent="0" rank="0" text="" dxfId="10">
      <formula>"Complete"</formula>
    </cfRule>
    <cfRule type="cellIs" priority="15" operator="equal" aboveAverage="0" equalAverage="0" bottom="0" percent="0" rank="0" text="" dxfId="11">
      <formula>"In Progress"</formula>
    </cfRule>
    <cfRule type="cellIs" priority="16" operator="equal" aboveAverage="0" equalAverage="0" bottom="0" percent="0" rank="0" text="" dxfId="12">
      <formula>"Not Started"</formula>
    </cfRule>
  </conditionalFormatting>
  <conditionalFormatting sqref="L8:L57">
    <cfRule type="cellIs" priority="17" operator="equal" aboveAverage="0" equalAverage="0" bottom="0" percent="0" rank="0" text="" dxfId="10">
      <formula>"Complete"</formula>
    </cfRule>
    <cfRule type="cellIs" priority="18" operator="equal" aboveAverage="0" equalAverage="0" bottom="0" percent="0" rank="0" text="" dxfId="11">
      <formula>"In Progress"</formula>
    </cfRule>
    <cfRule type="cellIs" priority="19" operator="equal" aboveAverage="0" equalAverage="0" bottom="0" percent="0" rank="0" text="" dxfId="12">
      <formula>"Not Started"</formula>
    </cfRule>
  </conditionalFormatting>
  <conditionalFormatting sqref="N8:N57">
    <cfRule type="cellIs" priority="20" operator="equal" aboveAverage="0" equalAverage="0" bottom="0" percent="0" rank="0" text="" dxfId="10">
      <formula>"On Track"</formula>
    </cfRule>
    <cfRule type="cellIs" priority="21" operator="equal" aboveAverage="0" equalAverage="0" bottom="0" percent="0" rank="0" text="" dxfId="12">
      <formula>"At Risk"</formula>
    </cfRule>
  </conditionalFormatting>
  <dataValidations count="1">
    <dataValidation allowBlank="true" errorStyle="stop" operator="between" showDropDown="false" showErrorMessage="false" showInputMessage="false" sqref="G8:L57" type="list">
      <formula1>"Complete,In Progress,Not Started,N/A"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&amp;CApprentice / Trainee Progress Tracker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20" t="s">
        <v>74</v>
      </c>
    </row>
    <row r="2" customFormat="false" ht="15" hidden="false" customHeight="false" outlineLevel="0" collapsed="false">
      <c r="A2" s="20"/>
    </row>
    <row r="3" customFormat="false" ht="15" hidden="false" customHeight="false" outlineLevel="0" collapsed="false">
      <c r="A3" s="20" t="s">
        <v>75</v>
      </c>
    </row>
    <row r="4" customFormat="false" ht="15" hidden="false" customHeight="false" outlineLevel="0" collapsed="false">
      <c r="A4" s="20"/>
    </row>
    <row r="5" customFormat="false" ht="15" hidden="false" customHeight="false" outlineLevel="0" collapsed="false">
      <c r="A5" s="20" t="s">
        <v>76</v>
      </c>
    </row>
    <row r="6" customFormat="false" ht="15" hidden="false" customHeight="false" outlineLevel="0" collapsed="false">
      <c r="A6" s="20"/>
    </row>
    <row r="7" customFormat="false" ht="15" hidden="false" customHeight="false" outlineLevel="0" collapsed="false">
      <c r="A7" s="20" t="s">
        <v>77</v>
      </c>
    </row>
    <row r="8" customFormat="false" ht="15" hidden="false" customHeight="false" outlineLevel="0" collapsed="false">
      <c r="A8" s="20"/>
    </row>
    <row r="9" customFormat="false" ht="15" hidden="false" customHeight="false" outlineLevel="0" collapsed="false">
      <c r="A9" s="20" t="s">
        <v>78</v>
      </c>
    </row>
    <row r="10" customFormat="false" ht="15" hidden="false" customHeight="false" outlineLevel="0" collapsed="false">
      <c r="A10" s="20"/>
    </row>
    <row r="11" customFormat="false" ht="15" hidden="false" customHeight="false" outlineLevel="0" collapsed="false">
      <c r="A11" s="20" t="s">
        <v>79</v>
      </c>
    </row>
    <row r="12" customFormat="false" ht="15" hidden="false" customHeight="false" outlineLevel="0" collapsed="false">
      <c r="A12" s="20"/>
    </row>
    <row r="13" customFormat="false" ht="15" hidden="false" customHeight="false" outlineLevel="0" collapsed="false">
      <c r="A13" s="20" t="s">
        <v>80</v>
      </c>
    </row>
    <row r="14" customFormat="false" ht="15" hidden="false" customHeight="false" outlineLevel="0" collapsed="false">
      <c r="A14" s="20"/>
    </row>
    <row r="15" customFormat="false" ht="15" hidden="false" customHeight="false" outlineLevel="0" collapsed="false">
      <c r="A15" s="20" t="s">
        <v>81</v>
      </c>
    </row>
    <row r="16" customFormat="false" ht="15" hidden="false" customHeight="false" outlineLevel="0" collapsed="false">
      <c r="A16" s="20"/>
    </row>
    <row r="17" customFormat="false" ht="15" hidden="false" customHeight="false" outlineLevel="0" collapsed="false">
      <c r="A17" s="20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People / HR</cp:category>
  <dcterms:created xsi:type="dcterms:W3CDTF">2026-03-23T07:37:13Z</dcterms:created>
  <dc:creator>Ebrora Ltd</dc:creator>
  <dc:description>Track apprentice and trainee progress through qualifications, milestones, and on-site competencies for UK construction projects.
Free professional construction management template from Ebrora Ltd. Visit ebrora.com for our full range of tools and templates.</dc:description>
  <cp:keywords>Ebrora construction apprentice trainee progress NVQ EPA Social Value HR people</cp:keywords>
  <dc:language>en-US</dc:language>
  <cp:lastModifiedBy>Ebrora Ltd</cp:lastModifiedBy>
  <dcterms:modified xsi:type="dcterms:W3CDTF">2026-03-23T07:37:13Z</dcterms:modified>
  <cp:revision>0</cp:revision>
  <dc:subject>Track apprentice and trainee progress through qualifications, milestones, and on-site competencies.</dc:subject>
  <dc:title>Apprentice / Trainee Progress Tracker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