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Accessories Register" sheetId="3" state="visible" r:id="rId5"/>
    <sheet name="Terms of Use" sheetId="4" state="hidden" r:id="rId6"/>
  </sheets>
  <definedNames>
    <definedName function="false" hidden="false" localSheetId="2" name="_xlnm.Print_Area" vbProcedure="false">'Accessories Register'!$A$1:$K$50</definedName>
    <definedName function="false" hidden="false" localSheetId="2" name="_xlnm.Print_Titles" vbProcedure="false">'Accessories Register'!$1:$1</definedName>
    <definedName function="false" hidden="true" localSheetId="2" name="_xlnm._FilterDatabase" vbProcedure="false">'Accessories Register'!$A$1:$P$1</definedName>
    <definedName function="false" hidden="false" localSheetId="0" name="_xlnm.Print_Area" vbProcedure="false">Cover!$A$1:$H$20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<sst xmlns="http://schemas.openxmlformats.org/spreadsheetml/2006/main" count="125" uniqueCount="115">
  <si>
    <t xml:space="preserve">EBRORA</t>
  </si>
  <si>
    <t xml:space="preserve">ebrora.com</t>
  </si>
  <si>
    <t xml:space="preserve">Lifting Accessories</t>
  </si>
  <si>
    <t xml:space="preserve">Register</t>
  </si>
  <si>
    <t xml:space="preserve">Track slings, shackles, and lifting accessories with WLL, colour codes,</t>
  </si>
  <si>
    <t xml:space="preserve">inspection dates, and discard/replacement scheduling.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</si>
  <si>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</si>
  <si>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</si>
  <si>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</si>
  <si>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</si>
  <si>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</si>
  <si>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</si>
  <si>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'Accessories Register' sheet. Each row is one lifting accessory.</t>
  </si>
  <si>
    <t xml:space="preserve">2.</t>
  </si>
  <si>
    <t xml:space="preserve">Record the unique ID (stamped on the accessory), Description, Type, WLL (Working Load Limit), and Colour Code.</t>
  </si>
  <si>
    <t xml:space="preserve">3.</t>
  </si>
  <si>
    <t xml:space="preserve">Enter the Last Inspection Date and Certificate No. The Next Due auto-calculates (6-monthly per LOLER).</t>
  </si>
  <si>
    <t xml:space="preserve">4.</t>
  </si>
  <si>
    <t xml:space="preserve">Select the Status: In Service, Quarantined, Discarded, Lost.</t>
  </si>
  <si>
    <t xml:space="preserve">5.</t>
  </si>
  <si>
    <t xml:space="preserve">Days to Expiry auto-calculates. Items within 14 days of expiry highlight amber; expired items highlight red.</t>
  </si>
  <si>
    <t xml:space="preserve">6.</t>
  </si>
  <si>
    <t xml:space="preserve">Expand optional columns for manufacturer, batch/serial, purchase date, allocated crane, and storage location.</t>
  </si>
  <si>
    <t xml:space="preserve">Colour Key</t>
  </si>
  <si>
    <t xml:space="preserve">Light teal = Input cells</t>
  </si>
  <si>
    <t xml:space="preserve">Green = In Service and current</t>
  </si>
  <si>
    <t xml:space="preserve">Amber = Approaching expiry (≤14 days) or Quarantined</t>
  </si>
  <si>
    <t xml:space="preserve">Red = Expired / Discarded / Lost</t>
  </si>
  <si>
    <t xml:space="preserve">Tips</t>
  </si>
  <si>
    <t xml:space="preserve">Tip 1:</t>
  </si>
  <si>
    <t xml:space="preserve">Colour code inspections quarterly using the standard colour rotation (Green→Red→Blue→Yellow). Record the current colour here.</t>
  </si>
  <si>
    <t xml:space="preserve">Tip 2:</t>
  </si>
  <si>
    <t xml:space="preserve">Any accessory without a readable unique ID must be immediately discarded. No ID = no traceability = no use.</t>
  </si>
  <si>
    <t xml:space="preserve">Tip 3:</t>
  </si>
  <si>
    <t xml:space="preserve">The appointed person must inspect all accessories before each shift. This register tracks the formal 6-monthly thorough examination.</t>
  </si>
  <si>
    <t xml:space="preserve">Unique ID</t>
  </si>
  <si>
    <t xml:space="preserve">Description</t>
  </si>
  <si>
    <t xml:space="preserve">Type</t>
  </si>
  <si>
    <t xml:space="preserve">WLL (t)</t>
  </si>
  <si>
    <t xml:space="preserve">Colour Code</t>
  </si>
  <si>
    <t xml:space="preserve">Last Inspection</t>
  </si>
  <si>
    <t xml:space="preserve">Certificate No</t>
  </si>
  <si>
    <t xml:space="preserve">Next Due</t>
  </si>
  <si>
    <t xml:space="preserve">Days to Expiry</t>
  </si>
  <si>
    <t xml:space="preserve">Status</t>
  </si>
  <si>
    <t xml:space="preserve">Notes</t>
  </si>
  <si>
    <t xml:space="preserve">Manufacturer</t>
  </si>
  <si>
    <t xml:space="preserve">Batch / Serial</t>
  </si>
  <si>
    <t xml:space="preserve">Purchase Date</t>
  </si>
  <si>
    <t xml:space="preserve">Allocated Crane</t>
  </si>
  <si>
    <t xml:space="preserve">Storage Location</t>
  </si>
  <si>
    <t xml:space="preserve">SL-001</t>
  </si>
  <si>
    <t xml:space="preserve">2t x 3m Webbing Sling — Yellow</t>
  </si>
  <si>
    <t xml:space="preserve">Webbing Sling</t>
  </si>
  <si>
    <t xml:space="preserve">Green</t>
  </si>
  <si>
    <t xml:space="preserve">TE-LA-001</t>
  </si>
  <si>
    <t xml:space="preserve">In Service</t>
  </si>
  <si>
    <t xml:space="preserve">SpanSet</t>
  </si>
  <si>
    <t xml:space="preserve">WS-2024-001</t>
  </si>
  <si>
    <t xml:space="preserve">CR-001</t>
  </si>
  <si>
    <t xml:space="preserve">Crane store</t>
  </si>
  <si>
    <t xml:space="preserve">SL-002</t>
  </si>
  <si>
    <t xml:space="preserve">5t x 4m Chain Sling — 2-leg</t>
  </si>
  <si>
    <t xml:space="preserve">Chain Sling</t>
  </si>
  <si>
    <t xml:space="preserve">TE-LA-002</t>
  </si>
  <si>
    <t xml:space="preserve">Gunnebo</t>
  </si>
  <si>
    <t xml:space="preserve">CS-2024-015</t>
  </si>
  <si>
    <t xml:space="preserve">SH-001</t>
  </si>
  <si>
    <t xml:space="preserve">3.25t Bow Shackle — Green Pin</t>
  </si>
  <si>
    <t xml:space="preserve">Shackle (Bow)</t>
  </si>
  <si>
    <t xml:space="preserve">TE-LA-003</t>
  </si>
  <si>
    <t xml:space="preserve">Green Pin</t>
  </si>
  <si>
    <t xml:space="preserve">GP-B-3.25-042</t>
  </si>
  <si>
    <t xml:space="preserve">Lifting store</t>
  </si>
  <si>
    <t xml:space="preserve">SL-003</t>
  </si>
  <si>
    <t xml:space="preserve">1t x 2m Round Sling — Purple</t>
  </si>
  <si>
    <t xml:space="preserve">Round Sling</t>
  </si>
  <si>
    <t xml:space="preserve">Red</t>
  </si>
  <si>
    <t xml:space="preserve">TE-LA-004</t>
  </si>
  <si>
    <t xml:space="preserve">Due for re-inspection soon</t>
  </si>
  <si>
    <t xml:space="preserve">RS-2024-008</t>
  </si>
  <si>
    <t xml:space="preserve">SH-002</t>
  </si>
  <si>
    <t xml:space="preserve">4.75t Dee Shackle</t>
  </si>
  <si>
    <t xml:space="preserve">Shackle (Dee)</t>
  </si>
  <si>
    <t xml:space="preserve">Blue</t>
  </si>
  <si>
    <t xml:space="preserve">TE-LA-005</t>
  </si>
  <si>
    <t xml:space="preserve">Quarantined</t>
  </si>
  <si>
    <t xml:space="preserve">Pin thread damaged — sent for repair</t>
  </si>
  <si>
    <t xml:space="preserve">Cromox</t>
  </si>
  <si>
    <t xml:space="preserve">CD-2024-022</t>
  </si>
  <si>
    <t xml:space="preserve">Quarantine cage</t>
  </si>
  <si>
    <t xml:space="preserve">SL-004</t>
  </si>
  <si>
    <t xml:space="preserve">3t x 5m Wire Rope Sling — Single Leg</t>
  </si>
  <si>
    <t xml:space="preserve">Wire Rope Sling</t>
  </si>
  <si>
    <t xml:space="preserve">Yellow</t>
  </si>
  <si>
    <t xml:space="preserve">TE-LA-006</t>
  </si>
  <si>
    <t xml:space="preserve">Discarded</t>
  </si>
  <si>
    <t xml:space="preserve">Broken wires exceeded discard criteria</t>
  </si>
  <si>
    <t xml:space="preserve">Bridon</t>
  </si>
  <si>
    <t xml:space="preserve">WR-2023-101</t>
  </si>
  <si>
    <t xml:space="preserve">Discarded bin</t>
  </si>
  <si>
    <t xml:space="preserve">SUMMARY</t>
  </si>
  <si>
    <t xml:space="preserve">Total:</t>
  </si>
  <si>
    <t xml:space="preserve">In Service:</t>
  </si>
  <si>
    <t xml:space="preserve">Quarantined:</t>
  </si>
  <si>
    <t xml:space="preserve">Expired: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</si>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</sst>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15" hidden="false" customHeight="false" outlineLevel="0" collapsed="false">
      <c r="A5" s="11" t="s">
        <v>11</v>
      </c>
      <c r="B5" s="12" t="s">
        <v>12</v>
      </c>
    </row>
    <row r="6" customFormat="false" ht="15" hidden="false" customHeight="false" outlineLevel="0" collapsed="false">
      <c r="A6" s="11" t="s">
        <v>13</v>
      </c>
      <c r="B6" s="12" t="s">
        <v>14</v>
      </c>
    </row>
    <row r="7" customFormat="false" ht="15" hidden="false" customHeight="false" outlineLevel="0" collapsed="false">
      <c r="A7" s="11" t="s">
        <v>15</v>
      </c>
      <c r="B7" s="12" t="s">
        <v>16</v>
      </c>
    </row>
    <row r="8" customFormat="false" ht="15" hidden="false" customHeight="false" outlineLevel="0" collapsed="false">
      <c r="A8" s="11" t="s">
        <v>17</v>
      </c>
      <c r="B8" s="12" t="s">
        <v>18</v>
      </c>
    </row>
    <row r="9" customFormat="false" ht="15" hidden="false" customHeight="false" outlineLevel="0" collapsed="false">
      <c r="A9" s="11" t="s">
        <v>19</v>
      </c>
      <c r="B9" s="12" t="s">
        <v>20</v>
      </c>
    </row>
    <row r="10" customFormat="false" ht="15" hidden="false" customHeight="false" outlineLevel="0" collapsed="false">
      <c r="A10" s="11" t="s">
        <v>21</v>
      </c>
      <c r="B10" s="12" t="s">
        <v>22</v>
      </c>
    </row>
    <row r="11" customFormat="false" ht="15" hidden="false" customHeight="false" outlineLevel="0" collapsed="false">
      <c r="A11" s="11"/>
      <c r="B11" s="12"/>
    </row>
    <row r="12" customFormat="false" ht="15" hidden="false" customHeight="false" outlineLevel="0" collapsed="false">
      <c r="A12" s="13" t="s">
        <v>23</v>
      </c>
      <c r="B12" s="12"/>
    </row>
    <row r="13" customFormat="false" ht="15" hidden="false" customHeight="false" outlineLevel="0" collapsed="false">
      <c r="A13" s="11"/>
      <c r="B13" s="12" t="s">
        <v>24</v>
      </c>
    </row>
    <row r="14" customFormat="false" ht="15" hidden="false" customHeight="false" outlineLevel="0" collapsed="false">
      <c r="A14" s="11"/>
      <c r="B14" s="12" t="s">
        <v>25</v>
      </c>
    </row>
    <row r="15" customFormat="false" ht="15" hidden="false" customHeight="false" outlineLevel="0" collapsed="false">
      <c r="A15" s="11"/>
      <c r="B15" s="12" t="s">
        <v>26</v>
      </c>
    </row>
    <row r="16" customFormat="false" ht="15" hidden="false" customHeight="false" outlineLevel="0" collapsed="false">
      <c r="A16" s="11"/>
      <c r="B16" s="12" t="s">
        <v>27</v>
      </c>
    </row>
    <row r="17" customFormat="false" ht="15" hidden="false" customHeight="false" outlineLevel="0" collapsed="false">
      <c r="A17" s="11"/>
      <c r="B17" s="12"/>
    </row>
    <row r="18" customFormat="false" ht="15" hidden="false" customHeight="false" outlineLevel="0" collapsed="false">
      <c r="A18" s="13" t="s">
        <v>28</v>
      </c>
      <c r="B18" s="12"/>
    </row>
    <row r="19" customFormat="false" ht="23.85" hidden="false" customHeight="false" outlineLevel="0" collapsed="false">
      <c r="A19" s="14" t="s">
        <v>29</v>
      </c>
      <c r="B19" s="12" t="s">
        <v>30</v>
      </c>
    </row>
    <row r="20" customFormat="false" ht="15" hidden="false" customHeight="false" outlineLevel="0" collapsed="false">
      <c r="A20" s="14" t="s">
        <v>31</v>
      </c>
      <c r="B20" s="12" t="s">
        <v>32</v>
      </c>
    </row>
    <row r="21" customFormat="false" ht="23.85" hidden="false" customHeight="false" outlineLevel="0" collapsed="false">
      <c r="A21" s="14" t="s">
        <v>33</v>
      </c>
      <c r="B21" s="12" t="s">
        <v>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true" outlineLevel="1" max="16" min="12" style="0" width="16"/>
  </cols>
  <sheetData>
    <row r="1" customFormat="false" ht="28.35" hidden="false" customHeight="false" outlineLevel="0" collapsed="false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42</v>
      </c>
      <c r="I1" s="15" t="s">
        <v>43</v>
      </c>
      <c r="J1" s="15" t="s">
        <v>44</v>
      </c>
      <c r="K1" s="15" t="s">
        <v>45</v>
      </c>
      <c r="L1" s="15" t="s">
        <v>46</v>
      </c>
      <c r="M1" s="15" t="s">
        <v>47</v>
      </c>
      <c r="N1" s="15" t="s">
        <v>48</v>
      </c>
      <c r="O1" s="15" t="s">
        <v>49</v>
      </c>
      <c r="P1" s="15" t="s">
        <v>50</v>
      </c>
    </row>
    <row r="2" customFormat="false" ht="15" hidden="false" customHeight="false" outlineLevel="0" collapsed="false">
      <c r="A2" s="16" t="s">
        <v>51</v>
      </c>
      <c r="B2" s="17" t="s">
        <v>52</v>
      </c>
      <c r="C2" s="16" t="s">
        <v>53</v>
      </c>
      <c r="D2" s="16" t="n">
        <v>2</v>
      </c>
      <c r="E2" s="16" t="s">
        <v>54</v>
      </c>
      <c r="F2" s="18" t="n">
        <v>46045</v>
      </c>
      <c r="G2" s="16" t="s">
        <v>55</v>
      </c>
      <c r="H2" s="19" t="n">
        <f aca="false">IF(F2="","",DATE(YEAR(F2),MONTH(F2)+6,DAY(F2)))</f>
        <v>46226</v>
      </c>
      <c r="I2" s="20" t="n">
        <f aca="true">IF(H2="","",IF(J2="Discarded","—",H2-TODAY()))</f>
        <v>121</v>
      </c>
      <c r="J2" s="16" t="s">
        <v>56</v>
      </c>
      <c r="K2" s="17"/>
      <c r="L2" s="16" t="s">
        <v>57</v>
      </c>
      <c r="M2" s="16" t="s">
        <v>58</v>
      </c>
      <c r="N2" s="18" t="n">
        <v>45444</v>
      </c>
      <c r="O2" s="16" t="s">
        <v>59</v>
      </c>
      <c r="P2" s="16" t="s">
        <v>60</v>
      </c>
    </row>
    <row r="3" customFormat="false" ht="15" hidden="false" customHeight="false" outlineLevel="0" collapsed="false">
      <c r="A3" s="16" t="s">
        <v>61</v>
      </c>
      <c r="B3" s="17" t="s">
        <v>62</v>
      </c>
      <c r="C3" s="16" t="s">
        <v>63</v>
      </c>
      <c r="D3" s="16" t="n">
        <v>5</v>
      </c>
      <c r="E3" s="16" t="s">
        <v>54</v>
      </c>
      <c r="F3" s="18" t="n">
        <v>46045</v>
      </c>
      <c r="G3" s="16" t="s">
        <v>64</v>
      </c>
      <c r="H3" s="19" t="n">
        <f aca="false">IF(F3="","",DATE(YEAR(F3),MONTH(F3)+6,DAY(F3)))</f>
        <v>46226</v>
      </c>
      <c r="I3" s="20" t="n">
        <f aca="true">IF(H3="","",IF(J3="Discarded","—",H3-TODAY()))</f>
        <v>121</v>
      </c>
      <c r="J3" s="16" t="s">
        <v>56</v>
      </c>
      <c r="K3" s="17"/>
      <c r="L3" s="16" t="s">
        <v>65</v>
      </c>
      <c r="M3" s="16" t="s">
        <v>66</v>
      </c>
      <c r="N3" s="18" t="n">
        <v>45366</v>
      </c>
      <c r="O3" s="16" t="s">
        <v>59</v>
      </c>
      <c r="P3" s="16" t="s">
        <v>60</v>
      </c>
    </row>
    <row r="4" customFormat="false" ht="15" hidden="false" customHeight="false" outlineLevel="0" collapsed="false">
      <c r="A4" s="16" t="s">
        <v>67</v>
      </c>
      <c r="B4" s="17" t="s">
        <v>68</v>
      </c>
      <c r="C4" s="16" t="s">
        <v>69</v>
      </c>
      <c r="D4" s="16" t="n">
        <v>3.25</v>
      </c>
      <c r="E4" s="16" t="s">
        <v>54</v>
      </c>
      <c r="F4" s="18" t="n">
        <v>46045</v>
      </c>
      <c r="G4" s="16" t="s">
        <v>70</v>
      </c>
      <c r="H4" s="19" t="n">
        <f aca="false">IF(F4="","",DATE(YEAR(F4),MONTH(F4)+6,DAY(F4)))</f>
        <v>46226</v>
      </c>
      <c r="I4" s="20" t="n">
        <f aca="true">IF(H4="","",IF(J4="Discarded","—",H4-TODAY()))</f>
        <v>121</v>
      </c>
      <c r="J4" s="16" t="s">
        <v>56</v>
      </c>
      <c r="K4" s="17"/>
      <c r="L4" s="16" t="s">
        <v>71</v>
      </c>
      <c r="M4" s="16" t="s">
        <v>72</v>
      </c>
      <c r="N4" s="18" t="n">
        <v>45505</v>
      </c>
      <c r="O4" s="16"/>
      <c r="P4" s="16" t="s">
        <v>73</v>
      </c>
    </row>
    <row r="5" customFormat="false" ht="15" hidden="false" customHeight="false" outlineLevel="0" collapsed="false">
      <c r="A5" s="16" t="s">
        <v>74</v>
      </c>
      <c r="B5" s="17" t="s">
        <v>75</v>
      </c>
      <c r="C5" s="16" t="s">
        <v>76</v>
      </c>
      <c r="D5" s="16" t="n">
        <v>1</v>
      </c>
      <c r="E5" s="16" t="s">
        <v>77</v>
      </c>
      <c r="F5" s="18" t="n">
        <v>45955</v>
      </c>
      <c r="G5" s="16" t="s">
        <v>78</v>
      </c>
      <c r="H5" s="19" t="n">
        <f aca="false">IF(F5="","",DATE(YEAR(F5),MONTH(F5)+6,DAY(F5)))</f>
        <v>46137</v>
      </c>
      <c r="I5" s="20" t="n">
        <f aca="true">IF(H5="","",IF(J5="Discarded","—",H5-TODAY()))</f>
        <v>32</v>
      </c>
      <c r="J5" s="16" t="s">
        <v>56</v>
      </c>
      <c r="K5" s="17" t="s">
        <v>79</v>
      </c>
      <c r="L5" s="16" t="s">
        <v>57</v>
      </c>
      <c r="M5" s="16" t="s">
        <v>80</v>
      </c>
      <c r="N5" s="18" t="n">
        <v>45413</v>
      </c>
      <c r="O5" s="16"/>
      <c r="P5" s="16" t="s">
        <v>73</v>
      </c>
    </row>
    <row r="6" customFormat="false" ht="23.85" hidden="false" customHeight="false" outlineLevel="0" collapsed="false">
      <c r="A6" s="16" t="s">
        <v>81</v>
      </c>
      <c r="B6" s="17" t="s">
        <v>82</v>
      </c>
      <c r="C6" s="16" t="s">
        <v>83</v>
      </c>
      <c r="D6" s="16" t="n">
        <v>4.75</v>
      </c>
      <c r="E6" s="16" t="s">
        <v>84</v>
      </c>
      <c r="F6" s="18" t="n">
        <v>45905</v>
      </c>
      <c r="G6" s="16" t="s">
        <v>85</v>
      </c>
      <c r="H6" s="19" t="n">
        <f aca="false">IF(F6="","",DATE(YEAR(F6),MONTH(F6)+6,DAY(F6)))</f>
        <v>46086</v>
      </c>
      <c r="I6" s="20" t="n">
        <f aca="true">IF(H6="","",IF(J6="Discarded","—",H6-TODAY()))</f>
        <v>-19</v>
      </c>
      <c r="J6" s="16" t="s">
        <v>86</v>
      </c>
      <c r="K6" s="17" t="s">
        <v>87</v>
      </c>
      <c r="L6" s="16" t="s">
        <v>88</v>
      </c>
      <c r="M6" s="16" t="s">
        <v>89</v>
      </c>
      <c r="N6" s="18" t="n">
        <v>45301</v>
      </c>
      <c r="O6" s="16" t="s">
        <v>59</v>
      </c>
      <c r="P6" s="16" t="s">
        <v>90</v>
      </c>
    </row>
    <row r="7" customFormat="false" ht="23.85" hidden="false" customHeight="false" outlineLevel="0" collapsed="false">
      <c r="A7" s="16" t="s">
        <v>91</v>
      </c>
      <c r="B7" s="17" t="s">
        <v>92</v>
      </c>
      <c r="C7" s="16" t="s">
        <v>93</v>
      </c>
      <c r="D7" s="16" t="n">
        <v>3</v>
      </c>
      <c r="E7" s="16" t="s">
        <v>94</v>
      </c>
      <c r="F7" s="18" t="n">
        <v>45855</v>
      </c>
      <c r="G7" s="16" t="s">
        <v>95</v>
      </c>
      <c r="H7" s="19" t="n">
        <f aca="false">IF(F7="","",DATE(YEAR(F7),MONTH(F7)+6,DAY(F7)))</f>
        <v>46039</v>
      </c>
      <c r="I7" s="20" t="str">
        <f aca="true">IF(H7="","",IF(J7="Discarded","—",H7-TODAY()))</f>
        <v>—</v>
      </c>
      <c r="J7" s="16" t="s">
        <v>96</v>
      </c>
      <c r="K7" s="17" t="s">
        <v>97</v>
      </c>
      <c r="L7" s="16" t="s">
        <v>98</v>
      </c>
      <c r="M7" s="16" t="s">
        <v>99</v>
      </c>
      <c r="N7" s="18" t="n">
        <v>45231</v>
      </c>
      <c r="O7" s="16"/>
      <c r="P7" s="16" t="s">
        <v>100</v>
      </c>
    </row>
    <row r="8" customFormat="false" ht="15" hidden="false" customHeight="false" outlineLevel="0" collapsed="false">
      <c r="A8" s="16"/>
      <c r="B8" s="17"/>
      <c r="C8" s="16"/>
      <c r="D8" s="16"/>
      <c r="E8" s="16"/>
      <c r="F8" s="18"/>
      <c r="G8" s="16"/>
      <c r="H8" s="19" t="str">
        <f aca="false">IF(F8="","",DATE(YEAR(F8),MONTH(F8)+6,DAY(F8)))</f>
        <v/>
      </c>
      <c r="I8" s="20" t="str">
        <f aca="true">IF(H8="","",IF(J8="Discarded","—",H8-TODAY()))</f>
        <v/>
      </c>
      <c r="J8" s="16"/>
      <c r="K8" s="17"/>
      <c r="L8" s="16"/>
      <c r="M8" s="16"/>
      <c r="N8" s="18"/>
      <c r="O8" s="16"/>
      <c r="P8" s="16"/>
    </row>
    <row r="9" customFormat="false" ht="15" hidden="false" customHeight="false" outlineLevel="0" collapsed="false">
      <c r="A9" s="16"/>
      <c r="B9" s="17"/>
      <c r="C9" s="16"/>
      <c r="D9" s="16"/>
      <c r="E9" s="16"/>
      <c r="F9" s="18"/>
      <c r="G9" s="16"/>
      <c r="H9" s="19" t="str">
        <f aca="false">IF(F9="","",DATE(YEAR(F9),MONTH(F9)+6,DAY(F9)))</f>
        <v/>
      </c>
      <c r="I9" s="20" t="str">
        <f aca="true">IF(H9="","",IF(J9="Discarded","—",H9-TODAY()))</f>
        <v/>
      </c>
      <c r="J9" s="16"/>
      <c r="K9" s="17"/>
      <c r="L9" s="16"/>
      <c r="M9" s="16"/>
      <c r="N9" s="18"/>
      <c r="O9" s="16"/>
      <c r="P9" s="16"/>
    </row>
    <row r="10" customFormat="false" ht="15" hidden="false" customHeight="false" outlineLevel="0" collapsed="false">
      <c r="A10" s="16"/>
      <c r="B10" s="17"/>
      <c r="C10" s="16"/>
      <c r="D10" s="16"/>
      <c r="E10" s="16"/>
      <c r="F10" s="18"/>
      <c r="G10" s="16"/>
      <c r="H10" s="19" t="str">
        <f aca="false">IF(F10="","",DATE(YEAR(F10),MONTH(F10)+6,DAY(F10)))</f>
        <v/>
      </c>
      <c r="I10" s="20" t="str">
        <f aca="true">IF(H10="","",IF(J10="Discarded","—",H10-TODAY()))</f>
        <v/>
      </c>
      <c r="J10" s="16"/>
      <c r="K10" s="17"/>
      <c r="L10" s="16"/>
      <c r="M10" s="16"/>
      <c r="N10" s="18"/>
      <c r="O10" s="16"/>
      <c r="P10" s="16"/>
    </row>
    <row r="11" customFormat="false" ht="15" hidden="false" customHeight="false" outlineLevel="0" collapsed="false">
      <c r="A11" s="16"/>
      <c r="B11" s="17"/>
      <c r="C11" s="16"/>
      <c r="D11" s="16"/>
      <c r="E11" s="16"/>
      <c r="F11" s="18"/>
      <c r="G11" s="16"/>
      <c r="H11" s="19" t="str">
        <f aca="false">IF(F11="","",DATE(YEAR(F11),MONTH(F11)+6,DAY(F11)))</f>
        <v/>
      </c>
      <c r="I11" s="20" t="str">
        <f aca="true">IF(H11="","",IF(J11="Discarded","—",H11-TODAY()))</f>
        <v/>
      </c>
      <c r="J11" s="16"/>
      <c r="K11" s="17"/>
      <c r="L11" s="16"/>
      <c r="M11" s="16"/>
      <c r="N11" s="18"/>
      <c r="O11" s="16"/>
      <c r="P11" s="16"/>
    </row>
    <row r="12" customFormat="false" ht="15" hidden="false" customHeight="false" outlineLevel="0" collapsed="false">
      <c r="A12" s="16"/>
      <c r="B12" s="17"/>
      <c r="C12" s="16"/>
      <c r="D12" s="16"/>
      <c r="E12" s="16"/>
      <c r="F12" s="18"/>
      <c r="G12" s="16"/>
      <c r="H12" s="19" t="str">
        <f aca="false">IF(F12="","",DATE(YEAR(F12),MONTH(F12)+6,DAY(F12)))</f>
        <v/>
      </c>
      <c r="I12" s="20" t="str">
        <f aca="true">IF(H12="","",IF(J12="Discarded","—",H12-TODAY()))</f>
        <v/>
      </c>
      <c r="J12" s="16"/>
      <c r="K12" s="17"/>
      <c r="L12" s="16"/>
      <c r="M12" s="16"/>
      <c r="N12" s="18"/>
      <c r="O12" s="16"/>
      <c r="P12" s="16"/>
    </row>
    <row r="13" customFormat="false" ht="15" hidden="false" customHeight="false" outlineLevel="0" collapsed="false">
      <c r="A13" s="16"/>
      <c r="B13" s="17"/>
      <c r="C13" s="16"/>
      <c r="D13" s="16"/>
      <c r="E13" s="16"/>
      <c r="F13" s="18"/>
      <c r="G13" s="16"/>
      <c r="H13" s="19" t="str">
        <f aca="false">IF(F13="","",DATE(YEAR(F13),MONTH(F13)+6,DAY(F13)))</f>
        <v/>
      </c>
      <c r="I13" s="20" t="str">
        <f aca="true">IF(H13="","",IF(J13="Discarded","—",H13-TODAY()))</f>
        <v/>
      </c>
      <c r="J13" s="16"/>
      <c r="K13" s="17"/>
      <c r="L13" s="16"/>
      <c r="M13" s="16"/>
      <c r="N13" s="18"/>
      <c r="O13" s="16"/>
      <c r="P13" s="16"/>
    </row>
    <row r="14" customFormat="false" ht="15" hidden="false" customHeight="false" outlineLevel="0" collapsed="false">
      <c r="A14" s="16"/>
      <c r="B14" s="17"/>
      <c r="C14" s="16"/>
      <c r="D14" s="16"/>
      <c r="E14" s="16"/>
      <c r="F14" s="18"/>
      <c r="G14" s="16"/>
      <c r="H14" s="19" t="str">
        <f aca="false">IF(F14="","",DATE(YEAR(F14),MONTH(F14)+6,DAY(F14)))</f>
        <v/>
      </c>
      <c r="I14" s="20" t="str">
        <f aca="true">IF(H14="","",IF(J14="Discarded","—",H14-TODAY()))</f>
        <v/>
      </c>
      <c r="J14" s="16"/>
      <c r="K14" s="17"/>
      <c r="L14" s="16"/>
      <c r="M14" s="16"/>
      <c r="N14" s="18"/>
      <c r="O14" s="16"/>
      <c r="P14" s="16"/>
    </row>
    <row r="15" customFormat="false" ht="15" hidden="false" customHeight="false" outlineLevel="0" collapsed="false">
      <c r="A15" s="16"/>
      <c r="B15" s="17"/>
      <c r="C15" s="16"/>
      <c r="D15" s="16"/>
      <c r="E15" s="16"/>
      <c r="F15" s="18"/>
      <c r="G15" s="16"/>
      <c r="H15" s="19" t="str">
        <f aca="false">IF(F15="","",DATE(YEAR(F15),MONTH(F15)+6,DAY(F15)))</f>
        <v/>
      </c>
      <c r="I15" s="20" t="str">
        <f aca="true">IF(H15="","",IF(J15="Discarded","—",H15-TODAY()))</f>
        <v/>
      </c>
      <c r="J15" s="16"/>
      <c r="K15" s="17"/>
      <c r="L15" s="16"/>
      <c r="M15" s="16"/>
      <c r="N15" s="18"/>
      <c r="O15" s="16"/>
      <c r="P15" s="16"/>
    </row>
    <row r="16" customFormat="false" ht="15" hidden="false" customHeight="false" outlineLevel="0" collapsed="false">
      <c r="A16" s="16"/>
      <c r="B16" s="17"/>
      <c r="C16" s="16"/>
      <c r="D16" s="16"/>
      <c r="E16" s="16"/>
      <c r="F16" s="18"/>
      <c r="G16" s="16"/>
      <c r="H16" s="19" t="str">
        <f aca="false">IF(F16="","",DATE(YEAR(F16),MONTH(F16)+6,DAY(F16)))</f>
        <v/>
      </c>
      <c r="I16" s="20" t="str">
        <f aca="true">IF(H16="","",IF(J16="Discarded","—",H16-TODAY()))</f>
        <v/>
      </c>
      <c r="J16" s="16"/>
      <c r="K16" s="17"/>
      <c r="L16" s="16"/>
      <c r="M16" s="16"/>
      <c r="N16" s="18"/>
      <c r="O16" s="16"/>
      <c r="P16" s="16"/>
    </row>
    <row r="17" customFormat="false" ht="15" hidden="false" customHeight="false" outlineLevel="0" collapsed="false">
      <c r="A17" s="16"/>
      <c r="B17" s="17"/>
      <c r="C17" s="16"/>
      <c r="D17" s="16"/>
      <c r="E17" s="16"/>
      <c r="F17" s="18"/>
      <c r="G17" s="16"/>
      <c r="H17" s="19" t="str">
        <f aca="false">IF(F17="","",DATE(YEAR(F17),MONTH(F17)+6,DAY(F17)))</f>
        <v/>
      </c>
      <c r="I17" s="20" t="str">
        <f aca="true">IF(H17="","",IF(J17="Discarded","—",H17-TODAY()))</f>
        <v/>
      </c>
      <c r="J17" s="16"/>
      <c r="K17" s="17"/>
      <c r="L17" s="16"/>
      <c r="M17" s="16"/>
      <c r="N17" s="18"/>
      <c r="O17" s="16"/>
      <c r="P17" s="16"/>
    </row>
    <row r="18" customFormat="false" ht="15" hidden="false" customHeight="false" outlineLevel="0" collapsed="false">
      <c r="A18" s="16"/>
      <c r="B18" s="17"/>
      <c r="C18" s="16"/>
      <c r="D18" s="16"/>
      <c r="E18" s="16"/>
      <c r="F18" s="18"/>
      <c r="G18" s="16"/>
      <c r="H18" s="19" t="str">
        <f aca="false">IF(F18="","",DATE(YEAR(F18),MONTH(F18)+6,DAY(F18)))</f>
        <v/>
      </c>
      <c r="I18" s="20" t="str">
        <f aca="true">IF(H18="","",IF(J18="Discarded","—",H18-TODAY()))</f>
        <v/>
      </c>
      <c r="J18" s="16"/>
      <c r="K18" s="17"/>
      <c r="L18" s="16"/>
      <c r="M18" s="16"/>
      <c r="N18" s="18"/>
      <c r="O18" s="16"/>
      <c r="P18" s="16"/>
    </row>
    <row r="19" customFormat="false" ht="15" hidden="false" customHeight="false" outlineLevel="0" collapsed="false">
      <c r="A19" s="16"/>
      <c r="B19" s="17"/>
      <c r="C19" s="16"/>
      <c r="D19" s="16"/>
      <c r="E19" s="16"/>
      <c r="F19" s="18"/>
      <c r="G19" s="16"/>
      <c r="H19" s="19" t="str">
        <f aca="false">IF(F19="","",DATE(YEAR(F19),MONTH(F19)+6,DAY(F19)))</f>
        <v/>
      </c>
      <c r="I19" s="20" t="str">
        <f aca="true">IF(H19="","",IF(J19="Discarded","—",H19-TODAY()))</f>
        <v/>
      </c>
      <c r="J19" s="16"/>
      <c r="K19" s="17"/>
      <c r="L19" s="16"/>
      <c r="M19" s="16"/>
      <c r="N19" s="18"/>
      <c r="O19" s="16"/>
      <c r="P19" s="16"/>
    </row>
    <row r="20" customFormat="false" ht="15" hidden="false" customHeight="false" outlineLevel="0" collapsed="false">
      <c r="A20" s="16"/>
      <c r="B20" s="17"/>
      <c r="C20" s="16"/>
      <c r="D20" s="16"/>
      <c r="E20" s="16"/>
      <c r="F20" s="18"/>
      <c r="G20" s="16"/>
      <c r="H20" s="19" t="str">
        <f aca="false">IF(F20="","",DATE(YEAR(F20),MONTH(F20)+6,DAY(F20)))</f>
        <v/>
      </c>
      <c r="I20" s="20" t="str">
        <f aca="true">IF(H20="","",IF(J20="Discarded","—",H20-TODAY()))</f>
        <v/>
      </c>
      <c r="J20" s="16"/>
      <c r="K20" s="17"/>
      <c r="L20" s="16"/>
      <c r="M20" s="16"/>
      <c r="N20" s="18"/>
      <c r="O20" s="16"/>
      <c r="P20" s="16"/>
    </row>
    <row r="21" customFormat="false" ht="15" hidden="false" customHeight="false" outlineLevel="0" collapsed="false">
      <c r="A21" s="16"/>
      <c r="B21" s="17"/>
      <c r="C21" s="16"/>
      <c r="D21" s="16"/>
      <c r="E21" s="16"/>
      <c r="F21" s="18"/>
      <c r="G21" s="16"/>
      <c r="H21" s="19" t="str">
        <f aca="false">IF(F21="","",DATE(YEAR(F21),MONTH(F21)+6,DAY(F21)))</f>
        <v/>
      </c>
      <c r="I21" s="20" t="str">
        <f aca="true">IF(H21="","",IF(J21="Discarded","—",H21-TODAY()))</f>
        <v/>
      </c>
      <c r="J21" s="16"/>
      <c r="K21" s="17"/>
      <c r="L21" s="16"/>
      <c r="M21" s="16"/>
      <c r="N21" s="18"/>
      <c r="O21" s="16"/>
      <c r="P21" s="16"/>
    </row>
    <row r="22" customFormat="false" ht="15" hidden="false" customHeight="false" outlineLevel="0" collapsed="false">
      <c r="A22" s="16"/>
      <c r="B22" s="17"/>
      <c r="C22" s="16"/>
      <c r="D22" s="16"/>
      <c r="E22" s="16"/>
      <c r="F22" s="18"/>
      <c r="G22" s="16"/>
      <c r="H22" s="19" t="str">
        <f aca="false">IF(F22="","",DATE(YEAR(F22),MONTH(F22)+6,DAY(F22)))</f>
        <v/>
      </c>
      <c r="I22" s="20" t="str">
        <f aca="true">IF(H22="","",IF(J22="Discarded","—",H22-TODAY()))</f>
        <v/>
      </c>
      <c r="J22" s="16"/>
      <c r="K22" s="17"/>
      <c r="L22" s="16"/>
      <c r="M22" s="16"/>
      <c r="N22" s="18"/>
      <c r="O22" s="16"/>
      <c r="P22" s="16"/>
    </row>
    <row r="23" customFormat="false" ht="15" hidden="false" customHeight="false" outlineLevel="0" collapsed="false">
      <c r="A23" s="16"/>
      <c r="B23" s="17"/>
      <c r="C23" s="16"/>
      <c r="D23" s="16"/>
      <c r="E23" s="16"/>
      <c r="F23" s="18"/>
      <c r="G23" s="16"/>
      <c r="H23" s="19" t="str">
        <f aca="false">IF(F23="","",DATE(YEAR(F23),MONTH(F23)+6,DAY(F23)))</f>
        <v/>
      </c>
      <c r="I23" s="20" t="str">
        <f aca="true">IF(H23="","",IF(J23="Discarded","—",H23-TODAY()))</f>
        <v/>
      </c>
      <c r="J23" s="16"/>
      <c r="K23" s="17"/>
      <c r="L23" s="16"/>
      <c r="M23" s="16"/>
      <c r="N23" s="18"/>
      <c r="O23" s="16"/>
      <c r="P23" s="16"/>
    </row>
    <row r="24" customFormat="false" ht="15" hidden="false" customHeight="false" outlineLevel="0" collapsed="false">
      <c r="A24" s="16"/>
      <c r="B24" s="17"/>
      <c r="C24" s="16"/>
      <c r="D24" s="16"/>
      <c r="E24" s="16"/>
      <c r="F24" s="18"/>
      <c r="G24" s="16"/>
      <c r="H24" s="19" t="str">
        <f aca="false">IF(F24="","",DATE(YEAR(F24),MONTH(F24)+6,DAY(F24)))</f>
        <v/>
      </c>
      <c r="I24" s="20" t="str">
        <f aca="true">IF(H24="","",IF(J24="Discarded","—",H24-TODAY()))</f>
        <v/>
      </c>
      <c r="J24" s="16"/>
      <c r="K24" s="17"/>
      <c r="L24" s="16"/>
      <c r="M24" s="16"/>
      <c r="N24" s="18"/>
      <c r="O24" s="16"/>
      <c r="P24" s="16"/>
    </row>
    <row r="25" customFormat="false" ht="15" hidden="false" customHeight="false" outlineLevel="0" collapsed="false">
      <c r="A25" s="16"/>
      <c r="B25" s="17"/>
      <c r="C25" s="16"/>
      <c r="D25" s="16"/>
      <c r="E25" s="16"/>
      <c r="F25" s="18"/>
      <c r="G25" s="16"/>
      <c r="H25" s="19" t="str">
        <f aca="false">IF(F25="","",DATE(YEAR(F25),MONTH(F25)+6,DAY(F25)))</f>
        <v/>
      </c>
      <c r="I25" s="20" t="str">
        <f aca="true">IF(H25="","",IF(J25="Discarded","—",H25-TODAY()))</f>
        <v/>
      </c>
      <c r="J25" s="16"/>
      <c r="K25" s="17"/>
      <c r="L25" s="16"/>
      <c r="M25" s="16"/>
      <c r="N25" s="18"/>
      <c r="O25" s="16"/>
      <c r="P25" s="16"/>
    </row>
    <row r="26" customFormat="false" ht="15" hidden="false" customHeight="false" outlineLevel="0" collapsed="false">
      <c r="A26" s="16"/>
      <c r="B26" s="17"/>
      <c r="C26" s="16"/>
      <c r="D26" s="16"/>
      <c r="E26" s="16"/>
      <c r="F26" s="18"/>
      <c r="G26" s="16"/>
      <c r="H26" s="19" t="str">
        <f aca="false">IF(F26="","",DATE(YEAR(F26),MONTH(F26)+6,DAY(F26)))</f>
        <v/>
      </c>
      <c r="I26" s="20" t="str">
        <f aca="true">IF(H26="","",IF(J26="Discarded","—",H26-TODAY()))</f>
        <v/>
      </c>
      <c r="J26" s="16"/>
      <c r="K26" s="17"/>
      <c r="L26" s="16"/>
      <c r="M26" s="16"/>
      <c r="N26" s="18"/>
      <c r="O26" s="16"/>
      <c r="P26" s="16"/>
    </row>
    <row r="27" customFormat="false" ht="15" hidden="false" customHeight="false" outlineLevel="0" collapsed="false">
      <c r="A27" s="16"/>
      <c r="B27" s="17"/>
      <c r="C27" s="16"/>
      <c r="D27" s="16"/>
      <c r="E27" s="16"/>
      <c r="F27" s="18"/>
      <c r="G27" s="16"/>
      <c r="H27" s="19" t="str">
        <f aca="false">IF(F27="","",DATE(YEAR(F27),MONTH(F27)+6,DAY(F27)))</f>
        <v/>
      </c>
      <c r="I27" s="20" t="str">
        <f aca="true">IF(H27="","",IF(J27="Discarded","—",H27-TODAY()))</f>
        <v/>
      </c>
      <c r="J27" s="16"/>
      <c r="K27" s="17"/>
      <c r="L27" s="16"/>
      <c r="M27" s="16"/>
      <c r="N27" s="18"/>
      <c r="O27" s="16"/>
      <c r="P27" s="16"/>
    </row>
    <row r="28" customFormat="false" ht="15" hidden="false" customHeight="false" outlineLevel="0" collapsed="false">
      <c r="A28" s="16"/>
      <c r="B28" s="17"/>
      <c r="C28" s="16"/>
      <c r="D28" s="16"/>
      <c r="E28" s="16"/>
      <c r="F28" s="18"/>
      <c r="G28" s="16"/>
      <c r="H28" s="19" t="str">
        <f aca="false">IF(F28="","",DATE(YEAR(F28),MONTH(F28)+6,DAY(F28)))</f>
        <v/>
      </c>
      <c r="I28" s="20" t="str">
        <f aca="true">IF(H28="","",IF(J28="Discarded","—",H28-TODAY()))</f>
        <v/>
      </c>
      <c r="J28" s="16"/>
      <c r="K28" s="17"/>
      <c r="L28" s="16"/>
      <c r="M28" s="16"/>
      <c r="N28" s="18"/>
      <c r="O28" s="16"/>
      <c r="P28" s="16"/>
    </row>
    <row r="29" customFormat="false" ht="15" hidden="false" customHeight="false" outlineLevel="0" collapsed="false">
      <c r="A29" s="16"/>
      <c r="B29" s="17"/>
      <c r="C29" s="16"/>
      <c r="D29" s="16"/>
      <c r="E29" s="16"/>
      <c r="F29" s="18"/>
      <c r="G29" s="16"/>
      <c r="H29" s="19" t="str">
        <f aca="false">IF(F29="","",DATE(YEAR(F29),MONTH(F29)+6,DAY(F29)))</f>
        <v/>
      </c>
      <c r="I29" s="20" t="str">
        <f aca="true">IF(H29="","",IF(J29="Discarded","—",H29-TODAY()))</f>
        <v/>
      </c>
      <c r="J29" s="16"/>
      <c r="K29" s="17"/>
      <c r="L29" s="16"/>
      <c r="M29" s="16"/>
      <c r="N29" s="18"/>
      <c r="O29" s="16"/>
      <c r="P29" s="16"/>
    </row>
    <row r="30" customFormat="false" ht="15" hidden="false" customHeight="false" outlineLevel="0" collapsed="false">
      <c r="A30" s="16"/>
      <c r="B30" s="17"/>
      <c r="C30" s="16"/>
      <c r="D30" s="16"/>
      <c r="E30" s="16"/>
      <c r="F30" s="18"/>
      <c r="G30" s="16"/>
      <c r="H30" s="19" t="str">
        <f aca="false">IF(F30="","",DATE(YEAR(F30),MONTH(F30)+6,DAY(F30)))</f>
        <v/>
      </c>
      <c r="I30" s="20" t="str">
        <f aca="true">IF(H30="","",IF(J30="Discarded","—",H30-TODAY()))</f>
        <v/>
      </c>
      <c r="J30" s="16"/>
      <c r="K30" s="17"/>
      <c r="L30" s="16"/>
      <c r="M30" s="16"/>
      <c r="N30" s="18"/>
      <c r="O30" s="16"/>
      <c r="P30" s="16"/>
    </row>
    <row r="31" customFormat="false" ht="15" hidden="false" customHeight="false" outlineLevel="0" collapsed="false">
      <c r="A31" s="16"/>
      <c r="B31" s="17"/>
      <c r="C31" s="16"/>
      <c r="D31" s="16"/>
      <c r="E31" s="16"/>
      <c r="F31" s="18"/>
      <c r="G31" s="16"/>
      <c r="H31" s="19" t="str">
        <f aca="false">IF(F31="","",DATE(YEAR(F31),MONTH(F31)+6,DAY(F31)))</f>
        <v/>
      </c>
      <c r="I31" s="20" t="str">
        <f aca="true">IF(H31="","",IF(J31="Discarded","—",H31-TODAY()))</f>
        <v/>
      </c>
      <c r="J31" s="16"/>
      <c r="K31" s="17"/>
      <c r="L31" s="16"/>
      <c r="M31" s="16"/>
      <c r="N31" s="18"/>
      <c r="O31" s="16"/>
      <c r="P31" s="16"/>
    </row>
    <row r="32" customFormat="false" ht="15" hidden="false" customHeight="false" outlineLevel="0" collapsed="false">
      <c r="A32" s="16"/>
      <c r="B32" s="17"/>
      <c r="C32" s="16"/>
      <c r="D32" s="16"/>
      <c r="E32" s="16"/>
      <c r="F32" s="18"/>
      <c r="G32" s="16"/>
      <c r="H32" s="19" t="str">
        <f aca="false">IF(F32="","",DATE(YEAR(F32),MONTH(F32)+6,DAY(F32)))</f>
        <v/>
      </c>
      <c r="I32" s="20" t="str">
        <f aca="true">IF(H32="","",IF(J32="Discarded","—",H32-TODAY()))</f>
        <v/>
      </c>
      <c r="J32" s="16"/>
      <c r="K32" s="17"/>
      <c r="L32" s="16"/>
      <c r="M32" s="16"/>
      <c r="N32" s="18"/>
      <c r="O32" s="16"/>
      <c r="P32" s="16"/>
    </row>
    <row r="33" customFormat="false" ht="15" hidden="false" customHeight="false" outlineLevel="0" collapsed="false">
      <c r="A33" s="16"/>
      <c r="B33" s="17"/>
      <c r="C33" s="16"/>
      <c r="D33" s="16"/>
      <c r="E33" s="16"/>
      <c r="F33" s="18"/>
      <c r="G33" s="16"/>
      <c r="H33" s="19" t="str">
        <f aca="false">IF(F33="","",DATE(YEAR(F33),MONTH(F33)+6,DAY(F33)))</f>
        <v/>
      </c>
      <c r="I33" s="20" t="str">
        <f aca="true">IF(H33="","",IF(J33="Discarded","—",H33-TODAY()))</f>
        <v/>
      </c>
      <c r="J33" s="16"/>
      <c r="K33" s="17"/>
      <c r="L33" s="16"/>
      <c r="M33" s="16"/>
      <c r="N33" s="18"/>
      <c r="O33" s="16"/>
      <c r="P33" s="16"/>
    </row>
    <row r="34" customFormat="false" ht="15" hidden="false" customHeight="false" outlineLevel="0" collapsed="false">
      <c r="A34" s="16"/>
      <c r="B34" s="17"/>
      <c r="C34" s="16"/>
      <c r="D34" s="16"/>
      <c r="E34" s="16"/>
      <c r="F34" s="18"/>
      <c r="G34" s="16"/>
      <c r="H34" s="19" t="str">
        <f aca="false">IF(F34="","",DATE(YEAR(F34),MONTH(F34)+6,DAY(F34)))</f>
        <v/>
      </c>
      <c r="I34" s="20" t="str">
        <f aca="true">IF(H34="","",IF(J34="Discarded","—",H34-TODAY()))</f>
        <v/>
      </c>
      <c r="J34" s="16"/>
      <c r="K34" s="17"/>
      <c r="L34" s="16"/>
      <c r="M34" s="16"/>
      <c r="N34" s="18"/>
      <c r="O34" s="16"/>
      <c r="P34" s="16"/>
    </row>
    <row r="35" customFormat="false" ht="15" hidden="false" customHeight="false" outlineLevel="0" collapsed="false">
      <c r="A35" s="16"/>
      <c r="B35" s="17"/>
      <c r="C35" s="16"/>
      <c r="D35" s="16"/>
      <c r="E35" s="16"/>
      <c r="F35" s="18"/>
      <c r="G35" s="16"/>
      <c r="H35" s="19" t="str">
        <f aca="false">IF(F35="","",DATE(YEAR(F35),MONTH(F35)+6,DAY(F35)))</f>
        <v/>
      </c>
      <c r="I35" s="20" t="str">
        <f aca="true">IF(H35="","",IF(J35="Discarded","—",H35-TODAY()))</f>
        <v/>
      </c>
      <c r="J35" s="16"/>
      <c r="K35" s="17"/>
      <c r="L35" s="16"/>
      <c r="M35" s="16"/>
      <c r="N35" s="18"/>
      <c r="O35" s="16"/>
      <c r="P35" s="16"/>
    </row>
    <row r="36" customFormat="false" ht="15" hidden="false" customHeight="false" outlineLevel="0" collapsed="false">
      <c r="A36" s="16"/>
      <c r="B36" s="17"/>
      <c r="C36" s="16"/>
      <c r="D36" s="16"/>
      <c r="E36" s="16"/>
      <c r="F36" s="18"/>
      <c r="G36" s="16"/>
      <c r="H36" s="19" t="str">
        <f aca="false">IF(F36="","",DATE(YEAR(F36),MONTH(F36)+6,DAY(F36)))</f>
        <v/>
      </c>
      <c r="I36" s="20" t="str">
        <f aca="true">IF(H36="","",IF(J36="Discarded","—",H36-TODAY()))</f>
        <v/>
      </c>
      <c r="J36" s="16"/>
      <c r="K36" s="17"/>
      <c r="L36" s="16"/>
      <c r="M36" s="16"/>
      <c r="N36" s="18"/>
      <c r="O36" s="16"/>
      <c r="P36" s="16"/>
    </row>
    <row r="37" customFormat="false" ht="15" hidden="false" customHeight="false" outlineLevel="0" collapsed="false">
      <c r="A37" s="16"/>
      <c r="B37" s="17"/>
      <c r="C37" s="16"/>
      <c r="D37" s="16"/>
      <c r="E37" s="16"/>
      <c r="F37" s="18"/>
      <c r="G37" s="16"/>
      <c r="H37" s="19" t="str">
        <f aca="false">IF(F37="","",DATE(YEAR(F37),MONTH(F37)+6,DAY(F37)))</f>
        <v/>
      </c>
      <c r="I37" s="20" t="str">
        <f aca="true">IF(H37="","",IF(J37="Discarded","—",H37-TODAY()))</f>
        <v/>
      </c>
      <c r="J37" s="16"/>
      <c r="K37" s="17"/>
      <c r="L37" s="16"/>
      <c r="M37" s="16"/>
      <c r="N37" s="18"/>
      <c r="O37" s="16"/>
      <c r="P37" s="16"/>
    </row>
    <row r="38" customFormat="false" ht="15" hidden="false" customHeight="false" outlineLevel="0" collapsed="false">
      <c r="A38" s="16"/>
      <c r="B38" s="17"/>
      <c r="C38" s="16"/>
      <c r="D38" s="16"/>
      <c r="E38" s="16"/>
      <c r="F38" s="18"/>
      <c r="G38" s="16"/>
      <c r="H38" s="19" t="str">
        <f aca="false">IF(F38="","",DATE(YEAR(F38),MONTH(F38)+6,DAY(F38)))</f>
        <v/>
      </c>
      <c r="I38" s="20" t="str">
        <f aca="true">IF(H38="","",IF(J38="Discarded","—",H38-TODAY()))</f>
        <v/>
      </c>
      <c r="J38" s="16"/>
      <c r="K38" s="17"/>
      <c r="L38" s="16"/>
      <c r="M38" s="16"/>
      <c r="N38" s="18"/>
      <c r="O38" s="16"/>
      <c r="P38" s="16"/>
    </row>
    <row r="39" customFormat="false" ht="15" hidden="false" customHeight="false" outlineLevel="0" collapsed="false">
      <c r="A39" s="16"/>
      <c r="B39" s="17"/>
      <c r="C39" s="16"/>
      <c r="D39" s="16"/>
      <c r="E39" s="16"/>
      <c r="F39" s="18"/>
      <c r="G39" s="16"/>
      <c r="H39" s="19" t="str">
        <f aca="false">IF(F39="","",DATE(YEAR(F39),MONTH(F39)+6,DAY(F39)))</f>
        <v/>
      </c>
      <c r="I39" s="20" t="str">
        <f aca="true">IF(H39="","",IF(J39="Discarded","—",H39-TODAY()))</f>
        <v/>
      </c>
      <c r="J39" s="16"/>
      <c r="K39" s="17"/>
      <c r="L39" s="16"/>
      <c r="M39" s="16"/>
      <c r="N39" s="18"/>
      <c r="O39" s="16"/>
      <c r="P39" s="16"/>
    </row>
    <row r="40" customFormat="false" ht="15" hidden="false" customHeight="false" outlineLevel="0" collapsed="false">
      <c r="A40" s="16"/>
      <c r="B40" s="17"/>
      <c r="C40" s="16"/>
      <c r="D40" s="16"/>
      <c r="E40" s="16"/>
      <c r="F40" s="18"/>
      <c r="G40" s="16"/>
      <c r="H40" s="19" t="str">
        <f aca="false">IF(F40="","",DATE(YEAR(F40),MONTH(F40)+6,DAY(F40)))</f>
        <v/>
      </c>
      <c r="I40" s="20" t="str">
        <f aca="true">IF(H40="","",IF(J40="Discarded","—",H40-TODAY()))</f>
        <v/>
      </c>
      <c r="J40" s="16"/>
      <c r="K40" s="17"/>
      <c r="L40" s="16"/>
      <c r="M40" s="16"/>
      <c r="N40" s="18"/>
      <c r="O40" s="16"/>
      <c r="P40" s="16"/>
    </row>
    <row r="41" customFormat="false" ht="15" hidden="false" customHeight="false" outlineLevel="0" collapsed="false">
      <c r="A41" s="16"/>
      <c r="B41" s="17"/>
      <c r="C41" s="16"/>
      <c r="D41" s="16"/>
      <c r="E41" s="16"/>
      <c r="F41" s="18"/>
      <c r="G41" s="16"/>
      <c r="H41" s="19" t="str">
        <f aca="false">IF(F41="","",DATE(YEAR(F41),MONTH(F41)+6,DAY(F41)))</f>
        <v/>
      </c>
      <c r="I41" s="20" t="str">
        <f aca="true">IF(H41="","",IF(J41="Discarded","—",H41-TODAY()))</f>
        <v/>
      </c>
      <c r="J41" s="16"/>
      <c r="K41" s="17"/>
      <c r="L41" s="16"/>
      <c r="M41" s="16"/>
      <c r="N41" s="18"/>
      <c r="O41" s="16"/>
      <c r="P41" s="16"/>
    </row>
    <row r="42" customFormat="false" ht="15" hidden="false" customHeight="false" outlineLevel="0" collapsed="false">
      <c r="A42" s="16"/>
      <c r="B42" s="17"/>
      <c r="C42" s="16"/>
      <c r="D42" s="16"/>
      <c r="E42" s="16"/>
      <c r="F42" s="18"/>
      <c r="G42" s="16"/>
      <c r="H42" s="19" t="str">
        <f aca="false">IF(F42="","",DATE(YEAR(F42),MONTH(F42)+6,DAY(F42)))</f>
        <v/>
      </c>
      <c r="I42" s="20" t="str">
        <f aca="true">IF(H42="","",IF(J42="Discarded","—",H42-TODAY()))</f>
        <v/>
      </c>
      <c r="J42" s="16"/>
      <c r="K42" s="17"/>
      <c r="L42" s="16"/>
      <c r="M42" s="16"/>
      <c r="N42" s="18"/>
      <c r="O42" s="16"/>
      <c r="P42" s="16"/>
    </row>
    <row r="43" customFormat="false" ht="15" hidden="false" customHeight="false" outlineLevel="0" collapsed="false">
      <c r="A43" s="16"/>
      <c r="B43" s="17"/>
      <c r="C43" s="16"/>
      <c r="D43" s="16"/>
      <c r="E43" s="16"/>
      <c r="F43" s="18"/>
      <c r="G43" s="16"/>
      <c r="H43" s="19" t="str">
        <f aca="false">IF(F43="","",DATE(YEAR(F43),MONTH(F43)+6,DAY(F43)))</f>
        <v/>
      </c>
      <c r="I43" s="20" t="str">
        <f aca="true">IF(H43="","",IF(J43="Discarded","—",H43-TODAY()))</f>
        <v/>
      </c>
      <c r="J43" s="16"/>
      <c r="K43" s="17"/>
      <c r="L43" s="16"/>
      <c r="M43" s="16"/>
      <c r="N43" s="18"/>
      <c r="O43" s="16"/>
      <c r="P43" s="16"/>
    </row>
    <row r="44" customFormat="false" ht="15" hidden="false" customHeight="false" outlineLevel="0" collapsed="false">
      <c r="A44" s="16"/>
      <c r="B44" s="17"/>
      <c r="C44" s="16"/>
      <c r="D44" s="16"/>
      <c r="E44" s="16"/>
      <c r="F44" s="18"/>
      <c r="G44" s="16"/>
      <c r="H44" s="19" t="str">
        <f aca="false">IF(F44="","",DATE(YEAR(F44),MONTH(F44)+6,DAY(F44)))</f>
        <v/>
      </c>
      <c r="I44" s="20" t="str">
        <f aca="true">IF(H44="","",IF(J44="Discarded","—",H44-TODAY()))</f>
        <v/>
      </c>
      <c r="J44" s="16"/>
      <c r="K44" s="17"/>
      <c r="L44" s="16"/>
      <c r="M44" s="16"/>
      <c r="N44" s="18"/>
      <c r="O44" s="16"/>
      <c r="P44" s="16"/>
    </row>
    <row r="45" customFormat="false" ht="15" hidden="false" customHeight="false" outlineLevel="0" collapsed="false">
      <c r="A45" s="16"/>
      <c r="B45" s="17"/>
      <c r="C45" s="16"/>
      <c r="D45" s="16"/>
      <c r="E45" s="16"/>
      <c r="F45" s="18"/>
      <c r="G45" s="16"/>
      <c r="H45" s="19" t="str">
        <f aca="false">IF(F45="","",DATE(YEAR(F45),MONTH(F45)+6,DAY(F45)))</f>
        <v/>
      </c>
      <c r="I45" s="20" t="str">
        <f aca="true">IF(H45="","",IF(J45="Discarded","—",H45-TODAY()))</f>
        <v/>
      </c>
      <c r="J45" s="16"/>
      <c r="K45" s="17"/>
      <c r="L45" s="16"/>
      <c r="M45" s="16"/>
      <c r="N45" s="18"/>
      <c r="O45" s="16"/>
      <c r="P45" s="16"/>
    </row>
    <row r="46" customFormat="false" ht="15" hidden="false" customHeight="false" outlineLevel="0" collapsed="false">
      <c r="A46" s="16"/>
      <c r="B46" s="17"/>
      <c r="C46" s="16"/>
      <c r="D46" s="16"/>
      <c r="E46" s="16"/>
      <c r="F46" s="18"/>
      <c r="G46" s="16"/>
      <c r="H46" s="19" t="str">
        <f aca="false">IF(F46="","",DATE(YEAR(F46),MONTH(F46)+6,DAY(F46)))</f>
        <v/>
      </c>
      <c r="I46" s="20" t="str">
        <f aca="true">IF(H46="","",IF(J46="Discarded","—",H46-TODAY()))</f>
        <v/>
      </c>
      <c r="J46" s="16"/>
      <c r="K46" s="17"/>
      <c r="L46" s="16"/>
      <c r="M46" s="16"/>
      <c r="N46" s="18"/>
      <c r="O46" s="16"/>
      <c r="P46" s="16"/>
    </row>
    <row r="47" customFormat="false" ht="15" hidden="false" customHeight="false" outlineLevel="0" collapsed="false">
      <c r="A47" s="16"/>
      <c r="B47" s="17"/>
      <c r="C47" s="16"/>
      <c r="D47" s="16"/>
      <c r="E47" s="16"/>
      <c r="F47" s="18"/>
      <c r="G47" s="16"/>
      <c r="H47" s="19" t="str">
        <f aca="false">IF(F47="","",DATE(YEAR(F47),MONTH(F47)+6,DAY(F47)))</f>
        <v/>
      </c>
      <c r="I47" s="20" t="str">
        <f aca="true">IF(H47="","",IF(J47="Discarded","—",H47-TODAY()))</f>
        <v/>
      </c>
      <c r="J47" s="16"/>
      <c r="K47" s="17"/>
      <c r="L47" s="16"/>
      <c r="M47" s="16"/>
      <c r="N47" s="18"/>
      <c r="O47" s="16"/>
      <c r="P47" s="16"/>
    </row>
    <row r="48" customFormat="false" ht="15" hidden="false" customHeight="false" outlineLevel="0" collapsed="false">
      <c r="A48" s="16"/>
      <c r="B48" s="17"/>
      <c r="C48" s="16"/>
      <c r="D48" s="16"/>
      <c r="E48" s="16"/>
      <c r="F48" s="18"/>
      <c r="G48" s="16"/>
      <c r="H48" s="19" t="str">
        <f aca="false">IF(F48="","",DATE(YEAR(F48),MONTH(F48)+6,DAY(F48)))</f>
        <v/>
      </c>
      <c r="I48" s="20" t="str">
        <f aca="true">IF(H48="","",IF(J48="Discarded","—",H48-TODAY()))</f>
        <v/>
      </c>
      <c r="J48" s="16"/>
      <c r="K48" s="17"/>
      <c r="L48" s="16"/>
      <c r="M48" s="16"/>
      <c r="N48" s="18"/>
      <c r="O48" s="16"/>
      <c r="P48" s="16"/>
    </row>
    <row r="49" customFormat="false" ht="15" hidden="false" customHeight="false" outlineLevel="0" collapsed="false">
      <c r="A49" s="16"/>
      <c r="B49" s="17"/>
      <c r="C49" s="16"/>
      <c r="D49" s="16"/>
      <c r="E49" s="16"/>
      <c r="F49" s="18"/>
      <c r="G49" s="16"/>
      <c r="H49" s="19" t="str">
        <f aca="false">IF(F49="","",DATE(YEAR(F49),MONTH(F49)+6,DAY(F49)))</f>
        <v/>
      </c>
      <c r="I49" s="20" t="str">
        <f aca="true">IF(H49="","",IF(J49="Discarded","—",H49-TODAY()))</f>
        <v/>
      </c>
      <c r="J49" s="16"/>
      <c r="K49" s="17"/>
      <c r="L49" s="16"/>
      <c r="M49" s="16"/>
      <c r="N49" s="18"/>
      <c r="O49" s="16"/>
      <c r="P49" s="16"/>
    </row>
    <row r="50" customFormat="false" ht="15" hidden="false" customHeight="false" outlineLevel="0" collapsed="false">
      <c r="A50" s="16"/>
      <c r="B50" s="17"/>
      <c r="C50" s="16"/>
      <c r="D50" s="16"/>
      <c r="E50" s="16"/>
      <c r="F50" s="18"/>
      <c r="G50" s="16"/>
      <c r="H50" s="19" t="str">
        <f aca="false">IF(F50="","",DATE(YEAR(F50),MONTH(F50)+6,DAY(F50)))</f>
        <v/>
      </c>
      <c r="I50" s="20" t="str">
        <f aca="true">IF(H50="","",IF(J50="Discarded","—",H50-TODAY()))</f>
        <v/>
      </c>
      <c r="J50" s="16"/>
      <c r="K50" s="17"/>
      <c r="L50" s="16"/>
      <c r="M50" s="16"/>
      <c r="N50" s="18"/>
      <c r="O50" s="16"/>
      <c r="P50" s="16"/>
    </row>
    <row r="51" customFormat="false" ht="15" hidden="false" customHeight="false" outlineLevel="0" collapsed="false">
      <c r="A51" s="16"/>
      <c r="B51" s="17"/>
      <c r="C51" s="16"/>
      <c r="D51" s="16"/>
      <c r="E51" s="16"/>
      <c r="F51" s="18"/>
      <c r="G51" s="16"/>
      <c r="H51" s="19" t="str">
        <f aca="false">IF(F51="","",DATE(YEAR(F51),MONTH(F51)+6,DAY(F51)))</f>
        <v/>
      </c>
      <c r="I51" s="20" t="str">
        <f aca="true">IF(H51="","",IF(J51="Discarded","—",H51-TODAY()))</f>
        <v/>
      </c>
      <c r="J51" s="16"/>
      <c r="K51" s="17"/>
      <c r="L51" s="16"/>
      <c r="M51" s="16"/>
      <c r="N51" s="18"/>
      <c r="O51" s="16"/>
      <c r="P51" s="16"/>
    </row>
    <row r="52" customFormat="false" ht="15" hidden="false" customHeight="false" outlineLevel="0" collapsed="false">
      <c r="A52" s="16"/>
      <c r="B52" s="17"/>
      <c r="C52" s="16"/>
      <c r="D52" s="16"/>
      <c r="E52" s="16"/>
      <c r="F52" s="18"/>
      <c r="G52" s="16"/>
      <c r="H52" s="19" t="str">
        <f aca="false">IF(F52="","",DATE(YEAR(F52),MONTH(F52)+6,DAY(F52)))</f>
        <v/>
      </c>
      <c r="I52" s="20" t="str">
        <f aca="true">IF(H52="","",IF(J52="Discarded","—",H52-TODAY()))</f>
        <v/>
      </c>
      <c r="J52" s="16"/>
      <c r="K52" s="17"/>
      <c r="L52" s="16"/>
      <c r="M52" s="16"/>
      <c r="N52" s="18"/>
      <c r="O52" s="16"/>
      <c r="P52" s="16"/>
    </row>
    <row r="53" customFormat="false" ht="15" hidden="false" customHeight="false" outlineLevel="0" collapsed="false">
      <c r="A53" s="16"/>
      <c r="B53" s="17"/>
      <c r="C53" s="16"/>
      <c r="D53" s="16"/>
      <c r="E53" s="16"/>
      <c r="F53" s="18"/>
      <c r="G53" s="16"/>
      <c r="H53" s="19" t="str">
        <f aca="false">IF(F53="","",DATE(YEAR(F53),MONTH(F53)+6,DAY(F53)))</f>
        <v/>
      </c>
      <c r="I53" s="20" t="str">
        <f aca="true">IF(H53="","",IF(J53="Discarded","—",H53-TODAY()))</f>
        <v/>
      </c>
      <c r="J53" s="16"/>
      <c r="K53" s="17"/>
      <c r="L53" s="16"/>
      <c r="M53" s="16"/>
      <c r="N53" s="18"/>
      <c r="O53" s="16"/>
      <c r="P53" s="16"/>
    </row>
    <row r="54" customFormat="false" ht="15" hidden="false" customHeight="false" outlineLevel="0" collapsed="false">
      <c r="A54" s="16"/>
      <c r="B54" s="17"/>
      <c r="C54" s="16"/>
      <c r="D54" s="16"/>
      <c r="E54" s="16"/>
      <c r="F54" s="18"/>
      <c r="G54" s="16"/>
      <c r="H54" s="19" t="str">
        <f aca="false">IF(F54="","",DATE(YEAR(F54),MONTH(F54)+6,DAY(F54)))</f>
        <v/>
      </c>
      <c r="I54" s="20" t="str">
        <f aca="true">IF(H54="","",IF(J54="Discarded","—",H54-TODAY()))</f>
        <v/>
      </c>
      <c r="J54" s="16"/>
      <c r="K54" s="17"/>
      <c r="L54" s="16"/>
      <c r="M54" s="16"/>
      <c r="N54" s="18"/>
      <c r="O54" s="16"/>
      <c r="P54" s="16"/>
    </row>
    <row r="55" customFormat="false" ht="15" hidden="false" customHeight="false" outlineLevel="0" collapsed="false">
      <c r="A55" s="16"/>
      <c r="B55" s="17"/>
      <c r="C55" s="16"/>
      <c r="D55" s="16"/>
      <c r="E55" s="16"/>
      <c r="F55" s="18"/>
      <c r="G55" s="16"/>
      <c r="H55" s="19" t="str">
        <f aca="false">IF(F55="","",DATE(YEAR(F55),MONTH(F55)+6,DAY(F55)))</f>
        <v/>
      </c>
      <c r="I55" s="20" t="str">
        <f aca="true">IF(H55="","",IF(J55="Discarded","—",H55-TODAY()))</f>
        <v/>
      </c>
      <c r="J55" s="16"/>
      <c r="K55" s="17"/>
      <c r="L55" s="16"/>
      <c r="M55" s="16"/>
      <c r="N55" s="18"/>
      <c r="O55" s="16"/>
      <c r="P55" s="16"/>
    </row>
    <row r="56" customFormat="false" ht="15" hidden="false" customHeight="false" outlineLevel="0" collapsed="false">
      <c r="A56" s="16"/>
      <c r="B56" s="17"/>
      <c r="C56" s="16"/>
      <c r="D56" s="16"/>
      <c r="E56" s="16"/>
      <c r="F56" s="18"/>
      <c r="G56" s="16"/>
      <c r="H56" s="19" t="str">
        <f aca="false">IF(F56="","",DATE(YEAR(F56),MONTH(F56)+6,DAY(F56)))</f>
        <v/>
      </c>
      <c r="I56" s="20" t="str">
        <f aca="true">IF(H56="","",IF(J56="Discarded","—",H56-TODAY()))</f>
        <v/>
      </c>
      <c r="J56" s="16"/>
      <c r="K56" s="17"/>
      <c r="L56" s="16"/>
      <c r="M56" s="16"/>
      <c r="N56" s="18"/>
      <c r="O56" s="16"/>
      <c r="P56" s="16"/>
    </row>
    <row r="57" customFormat="false" ht="15" hidden="false" customHeight="false" outlineLevel="0" collapsed="false">
      <c r="A57" s="16"/>
      <c r="B57" s="17"/>
      <c r="C57" s="16"/>
      <c r="D57" s="16"/>
      <c r="E57" s="16"/>
      <c r="F57" s="18"/>
      <c r="G57" s="16"/>
      <c r="H57" s="19" t="str">
        <f aca="false">IF(F57="","",DATE(YEAR(F57),MONTH(F57)+6,DAY(F57)))</f>
        <v/>
      </c>
      <c r="I57" s="20" t="str">
        <f aca="true">IF(H57="","",IF(J57="Discarded","—",H57-TODAY()))</f>
        <v/>
      </c>
      <c r="J57" s="16"/>
      <c r="K57" s="17"/>
      <c r="L57" s="16"/>
      <c r="M57" s="16"/>
      <c r="N57" s="18"/>
      <c r="O57" s="16"/>
      <c r="P57" s="16"/>
    </row>
    <row r="58" customFormat="false" ht="15" hidden="false" customHeight="false" outlineLevel="0" collapsed="false">
      <c r="A58" s="16"/>
      <c r="B58" s="17"/>
      <c r="C58" s="16"/>
      <c r="D58" s="16"/>
      <c r="E58" s="16"/>
      <c r="F58" s="18"/>
      <c r="G58" s="16"/>
      <c r="H58" s="19" t="str">
        <f aca="false">IF(F58="","",DATE(YEAR(F58),MONTH(F58)+6,DAY(F58)))</f>
        <v/>
      </c>
      <c r="I58" s="20" t="str">
        <f aca="true">IF(H58="","",IF(J58="Discarded","—",H58-TODAY()))</f>
        <v/>
      </c>
      <c r="J58" s="16"/>
      <c r="K58" s="17"/>
      <c r="L58" s="16"/>
      <c r="M58" s="16"/>
      <c r="N58" s="18"/>
      <c r="O58" s="16"/>
      <c r="P58" s="16"/>
    </row>
    <row r="59" customFormat="false" ht="15" hidden="false" customHeight="false" outlineLevel="0" collapsed="false">
      <c r="A59" s="16"/>
      <c r="B59" s="17"/>
      <c r="C59" s="16"/>
      <c r="D59" s="16"/>
      <c r="E59" s="16"/>
      <c r="F59" s="18"/>
      <c r="G59" s="16"/>
      <c r="H59" s="19" t="str">
        <f aca="false">IF(F59="","",DATE(YEAR(F59),MONTH(F59)+6,DAY(F59)))</f>
        <v/>
      </c>
      <c r="I59" s="20" t="str">
        <f aca="true">IF(H59="","",IF(J59="Discarded","—",H59-TODAY()))</f>
        <v/>
      </c>
      <c r="J59" s="16"/>
      <c r="K59" s="17"/>
      <c r="L59" s="16"/>
      <c r="M59" s="16"/>
      <c r="N59" s="18"/>
      <c r="O59" s="16"/>
      <c r="P59" s="16"/>
    </row>
    <row r="60" customFormat="false" ht="15" hidden="false" customHeight="false" outlineLevel="0" collapsed="false">
      <c r="A60" s="16"/>
      <c r="B60" s="17"/>
      <c r="C60" s="16"/>
      <c r="D60" s="16"/>
      <c r="E60" s="16"/>
      <c r="F60" s="18"/>
      <c r="G60" s="16"/>
      <c r="H60" s="19" t="str">
        <f aca="false">IF(F60="","",DATE(YEAR(F60),MONTH(F60)+6,DAY(F60)))</f>
        <v/>
      </c>
      <c r="I60" s="20" t="str">
        <f aca="true">IF(H60="","",IF(J60="Discarded","—",H60-TODAY()))</f>
        <v/>
      </c>
      <c r="J60" s="16"/>
      <c r="K60" s="17"/>
      <c r="L60" s="16"/>
      <c r="M60" s="16"/>
      <c r="N60" s="18"/>
      <c r="O60" s="16"/>
      <c r="P60" s="16"/>
    </row>
    <row r="61" customFormat="false" ht="15" hidden="false" customHeight="false" outlineLevel="0" collapsed="false">
      <c r="A61" s="16"/>
      <c r="B61" s="17"/>
      <c r="C61" s="16"/>
      <c r="D61" s="16"/>
      <c r="E61" s="16"/>
      <c r="F61" s="18"/>
      <c r="G61" s="16"/>
      <c r="H61" s="19" t="str">
        <f aca="false">IF(F61="","",DATE(YEAR(F61),MONTH(F61)+6,DAY(F61)))</f>
        <v/>
      </c>
      <c r="I61" s="20" t="str">
        <f aca="true">IF(H61="","",IF(J61="Discarded","—",H61-TODAY()))</f>
        <v/>
      </c>
      <c r="J61" s="16"/>
      <c r="K61" s="17"/>
      <c r="L61" s="16"/>
      <c r="M61" s="16"/>
      <c r="N61" s="18"/>
      <c r="O61" s="16"/>
      <c r="P61" s="16"/>
    </row>
    <row r="62" customFormat="false" ht="15" hidden="false" customHeight="false" outlineLevel="0" collapsed="false">
      <c r="A62" s="16"/>
      <c r="B62" s="17"/>
      <c r="C62" s="16"/>
      <c r="D62" s="16"/>
      <c r="E62" s="16"/>
      <c r="F62" s="18"/>
      <c r="G62" s="16"/>
      <c r="H62" s="19" t="str">
        <f aca="false">IF(F62="","",DATE(YEAR(F62),MONTH(F62)+6,DAY(F62)))</f>
        <v/>
      </c>
      <c r="I62" s="20" t="str">
        <f aca="true">IF(H62="","",IF(J62="Discarded","—",H62-TODAY()))</f>
        <v/>
      </c>
      <c r="J62" s="16"/>
      <c r="K62" s="17"/>
      <c r="L62" s="16"/>
      <c r="M62" s="16"/>
      <c r="N62" s="18"/>
      <c r="O62" s="16"/>
      <c r="P62" s="16"/>
    </row>
    <row r="63" customFormat="false" ht="15" hidden="false" customHeight="false" outlineLevel="0" collapsed="false">
      <c r="A63" s="16"/>
      <c r="B63" s="17"/>
      <c r="C63" s="16"/>
      <c r="D63" s="16"/>
      <c r="E63" s="16"/>
      <c r="F63" s="18"/>
      <c r="G63" s="16"/>
      <c r="H63" s="19" t="str">
        <f aca="false">IF(F63="","",DATE(YEAR(F63),MONTH(F63)+6,DAY(F63)))</f>
        <v/>
      </c>
      <c r="I63" s="20" t="str">
        <f aca="true">IF(H63="","",IF(J63="Discarded","—",H63-TODAY()))</f>
        <v/>
      </c>
      <c r="J63" s="16"/>
      <c r="K63" s="17"/>
      <c r="L63" s="16"/>
      <c r="M63" s="16"/>
      <c r="N63" s="18"/>
      <c r="O63" s="16"/>
      <c r="P63" s="16"/>
    </row>
    <row r="64" customFormat="false" ht="15" hidden="false" customHeight="false" outlineLevel="0" collapsed="false">
      <c r="A64" s="16"/>
      <c r="B64" s="17"/>
      <c r="C64" s="16"/>
      <c r="D64" s="16"/>
      <c r="E64" s="16"/>
      <c r="F64" s="18"/>
      <c r="G64" s="16"/>
      <c r="H64" s="19" t="str">
        <f aca="false">IF(F64="","",DATE(YEAR(F64),MONTH(F64)+6,DAY(F64)))</f>
        <v/>
      </c>
      <c r="I64" s="20" t="str">
        <f aca="true">IF(H64="","",IF(J64="Discarded","—",H64-TODAY()))</f>
        <v/>
      </c>
      <c r="J64" s="16"/>
      <c r="K64" s="17"/>
      <c r="L64" s="16"/>
      <c r="M64" s="16"/>
      <c r="N64" s="18"/>
      <c r="O64" s="16"/>
      <c r="P64" s="16"/>
    </row>
    <row r="65" customFormat="false" ht="15" hidden="false" customHeight="false" outlineLevel="0" collapsed="false">
      <c r="A65" s="16"/>
      <c r="B65" s="17"/>
      <c r="C65" s="16"/>
      <c r="D65" s="16"/>
      <c r="E65" s="16"/>
      <c r="F65" s="18"/>
      <c r="G65" s="16"/>
      <c r="H65" s="19" t="str">
        <f aca="false">IF(F65="","",DATE(YEAR(F65),MONTH(F65)+6,DAY(F65)))</f>
        <v/>
      </c>
      <c r="I65" s="20" t="str">
        <f aca="true">IF(H65="","",IF(J65="Discarded","—",H65-TODAY()))</f>
        <v/>
      </c>
      <c r="J65" s="16"/>
      <c r="K65" s="17"/>
      <c r="L65" s="16"/>
      <c r="M65" s="16"/>
      <c r="N65" s="18"/>
      <c r="O65" s="16"/>
      <c r="P65" s="16"/>
    </row>
    <row r="66" customFormat="false" ht="15" hidden="false" customHeight="false" outlineLevel="0" collapsed="false">
      <c r="A66" s="16"/>
      <c r="B66" s="17"/>
      <c r="C66" s="16"/>
      <c r="D66" s="16"/>
      <c r="E66" s="16"/>
      <c r="F66" s="18"/>
      <c r="G66" s="16"/>
      <c r="H66" s="19" t="str">
        <f aca="false">IF(F66="","",DATE(YEAR(F66),MONTH(F66)+6,DAY(F66)))</f>
        <v/>
      </c>
      <c r="I66" s="20" t="str">
        <f aca="true">IF(H66="","",IF(J66="Discarded","—",H66-TODAY()))</f>
        <v/>
      </c>
      <c r="J66" s="16"/>
      <c r="K66" s="17"/>
      <c r="L66" s="16"/>
      <c r="M66" s="16"/>
      <c r="N66" s="18"/>
      <c r="O66" s="16"/>
      <c r="P66" s="16"/>
    </row>
    <row r="67" customFormat="false" ht="15" hidden="false" customHeight="false" outlineLevel="0" collapsed="false">
      <c r="A67" s="16"/>
      <c r="B67" s="17"/>
      <c r="C67" s="16"/>
      <c r="D67" s="16"/>
      <c r="E67" s="16"/>
      <c r="F67" s="18"/>
      <c r="G67" s="16"/>
      <c r="H67" s="19" t="str">
        <f aca="false">IF(F67="","",DATE(YEAR(F67),MONTH(F67)+6,DAY(F67)))</f>
        <v/>
      </c>
      <c r="I67" s="20" t="str">
        <f aca="true">IF(H67="","",IF(J67="Discarded","—",H67-TODAY()))</f>
        <v/>
      </c>
      <c r="J67" s="16"/>
      <c r="K67" s="17"/>
      <c r="L67" s="16"/>
      <c r="M67" s="16"/>
      <c r="N67" s="18"/>
      <c r="O67" s="16"/>
      <c r="P67" s="16"/>
    </row>
    <row r="68" customFormat="false" ht="15" hidden="false" customHeight="false" outlineLevel="0" collapsed="false">
      <c r="A68" s="16"/>
      <c r="B68" s="17"/>
      <c r="C68" s="16"/>
      <c r="D68" s="16"/>
      <c r="E68" s="16"/>
      <c r="F68" s="18"/>
      <c r="G68" s="16"/>
      <c r="H68" s="19" t="str">
        <f aca="false">IF(F68="","",DATE(YEAR(F68),MONTH(F68)+6,DAY(F68)))</f>
        <v/>
      </c>
      <c r="I68" s="20" t="str">
        <f aca="true">IF(H68="","",IF(J68="Discarded","—",H68-TODAY()))</f>
        <v/>
      </c>
      <c r="J68" s="16"/>
      <c r="K68" s="17"/>
      <c r="L68" s="16"/>
      <c r="M68" s="16"/>
      <c r="N68" s="18"/>
      <c r="O68" s="16"/>
      <c r="P68" s="16"/>
    </row>
    <row r="69" customFormat="false" ht="15" hidden="false" customHeight="false" outlineLevel="0" collapsed="false">
      <c r="A69" s="16"/>
      <c r="B69" s="17"/>
      <c r="C69" s="16"/>
      <c r="D69" s="16"/>
      <c r="E69" s="16"/>
      <c r="F69" s="18"/>
      <c r="G69" s="16"/>
      <c r="H69" s="19" t="str">
        <f aca="false">IF(F69="","",DATE(YEAR(F69),MONTH(F69)+6,DAY(F69)))</f>
        <v/>
      </c>
      <c r="I69" s="20" t="str">
        <f aca="true">IF(H69="","",IF(J69="Discarded","—",H69-TODAY()))</f>
        <v/>
      </c>
      <c r="J69" s="16"/>
      <c r="K69" s="17"/>
      <c r="L69" s="16"/>
      <c r="M69" s="16"/>
      <c r="N69" s="18"/>
      <c r="O69" s="16"/>
      <c r="P69" s="16"/>
    </row>
    <row r="70" customFormat="false" ht="15" hidden="false" customHeight="false" outlineLevel="0" collapsed="false">
      <c r="A70" s="16"/>
      <c r="B70" s="17"/>
      <c r="C70" s="16"/>
      <c r="D70" s="16"/>
      <c r="E70" s="16"/>
      <c r="F70" s="18"/>
      <c r="G70" s="16"/>
      <c r="H70" s="19" t="str">
        <f aca="false">IF(F70="","",DATE(YEAR(F70),MONTH(F70)+6,DAY(F70)))</f>
        <v/>
      </c>
      <c r="I70" s="20" t="str">
        <f aca="true">IF(H70="","",IF(J70="Discarded","—",H70-TODAY()))</f>
        <v/>
      </c>
      <c r="J70" s="16"/>
      <c r="K70" s="17"/>
      <c r="L70" s="16"/>
      <c r="M70" s="16"/>
      <c r="N70" s="18"/>
      <c r="O70" s="16"/>
      <c r="P70" s="16"/>
    </row>
    <row r="71" customFormat="false" ht="15" hidden="false" customHeight="false" outlineLevel="0" collapsed="false">
      <c r="A71" s="16"/>
      <c r="B71" s="17"/>
      <c r="C71" s="16"/>
      <c r="D71" s="16"/>
      <c r="E71" s="16"/>
      <c r="F71" s="18"/>
      <c r="G71" s="16"/>
      <c r="H71" s="19" t="str">
        <f aca="false">IF(F71="","",DATE(YEAR(F71),MONTH(F71)+6,DAY(F71)))</f>
        <v/>
      </c>
      <c r="I71" s="20" t="str">
        <f aca="true">IF(H71="","",IF(J71="Discarded","—",H71-TODAY()))</f>
        <v/>
      </c>
      <c r="J71" s="16"/>
      <c r="K71" s="17"/>
      <c r="L71" s="16"/>
      <c r="M71" s="16"/>
      <c r="N71" s="18"/>
      <c r="O71" s="16"/>
      <c r="P71" s="16"/>
    </row>
    <row r="72" customFormat="false" ht="15" hidden="false" customHeight="false" outlineLevel="0" collapsed="false">
      <c r="A72" s="16"/>
      <c r="B72" s="17"/>
      <c r="C72" s="16"/>
      <c r="D72" s="16"/>
      <c r="E72" s="16"/>
      <c r="F72" s="18"/>
      <c r="G72" s="16"/>
      <c r="H72" s="19" t="str">
        <f aca="false">IF(F72="","",DATE(YEAR(F72),MONTH(F72)+6,DAY(F72)))</f>
        <v/>
      </c>
      <c r="I72" s="20" t="str">
        <f aca="true">IF(H72="","",IF(J72="Discarded","—",H72-TODAY()))</f>
        <v/>
      </c>
      <c r="J72" s="16"/>
      <c r="K72" s="17"/>
      <c r="L72" s="16"/>
      <c r="M72" s="16"/>
      <c r="N72" s="18"/>
      <c r="O72" s="16"/>
      <c r="P72" s="16"/>
    </row>
    <row r="73" customFormat="false" ht="15" hidden="false" customHeight="false" outlineLevel="0" collapsed="false">
      <c r="A73" s="16"/>
      <c r="B73" s="17"/>
      <c r="C73" s="16"/>
      <c r="D73" s="16"/>
      <c r="E73" s="16"/>
      <c r="F73" s="18"/>
      <c r="G73" s="16"/>
      <c r="H73" s="19" t="str">
        <f aca="false">IF(F73="","",DATE(YEAR(F73),MONTH(F73)+6,DAY(F73)))</f>
        <v/>
      </c>
      <c r="I73" s="20" t="str">
        <f aca="true">IF(H73="","",IF(J73="Discarded","—",H73-TODAY()))</f>
        <v/>
      </c>
      <c r="J73" s="16"/>
      <c r="K73" s="17"/>
      <c r="L73" s="16"/>
      <c r="M73" s="16"/>
      <c r="N73" s="18"/>
      <c r="O73" s="16"/>
      <c r="P73" s="16"/>
    </row>
    <row r="74" customFormat="false" ht="15" hidden="false" customHeight="false" outlineLevel="0" collapsed="false">
      <c r="A74" s="16"/>
      <c r="B74" s="17"/>
      <c r="C74" s="16"/>
      <c r="D74" s="16"/>
      <c r="E74" s="16"/>
      <c r="F74" s="18"/>
      <c r="G74" s="16"/>
      <c r="H74" s="19" t="str">
        <f aca="false">IF(F74="","",DATE(YEAR(F74),MONTH(F74)+6,DAY(F74)))</f>
        <v/>
      </c>
      <c r="I74" s="20" t="str">
        <f aca="true">IF(H74="","",IF(J74="Discarded","—",H74-TODAY()))</f>
        <v/>
      </c>
      <c r="J74" s="16"/>
      <c r="K74" s="17"/>
      <c r="L74" s="16"/>
      <c r="M74" s="16"/>
      <c r="N74" s="18"/>
      <c r="O74" s="16"/>
      <c r="P74" s="16"/>
    </row>
    <row r="75" customFormat="false" ht="15" hidden="false" customHeight="false" outlineLevel="0" collapsed="false">
      <c r="A75" s="16"/>
      <c r="B75" s="17"/>
      <c r="C75" s="16"/>
      <c r="D75" s="16"/>
      <c r="E75" s="16"/>
      <c r="F75" s="18"/>
      <c r="G75" s="16"/>
      <c r="H75" s="19" t="str">
        <f aca="false">IF(F75="","",DATE(YEAR(F75),MONTH(F75)+6,DAY(F75)))</f>
        <v/>
      </c>
      <c r="I75" s="20" t="str">
        <f aca="true">IF(H75="","",IF(J75="Discarded","—",H75-TODAY()))</f>
        <v/>
      </c>
      <c r="J75" s="16"/>
      <c r="K75" s="17"/>
      <c r="L75" s="16"/>
      <c r="M75" s="16"/>
      <c r="N75" s="18"/>
      <c r="O75" s="16"/>
      <c r="P75" s="16"/>
    </row>
    <row r="76" customFormat="false" ht="15" hidden="false" customHeight="false" outlineLevel="0" collapsed="false">
      <c r="A76" s="16"/>
      <c r="B76" s="17"/>
      <c r="C76" s="16"/>
      <c r="D76" s="16"/>
      <c r="E76" s="16"/>
      <c r="F76" s="18"/>
      <c r="G76" s="16"/>
      <c r="H76" s="19" t="str">
        <f aca="false">IF(F76="","",DATE(YEAR(F76),MONTH(F76)+6,DAY(F76)))</f>
        <v/>
      </c>
      <c r="I76" s="20" t="str">
        <f aca="true">IF(H76="","",IF(J76="Discarded","—",H76-TODAY()))</f>
        <v/>
      </c>
      <c r="J76" s="16"/>
      <c r="K76" s="17"/>
      <c r="L76" s="16"/>
      <c r="M76" s="16"/>
      <c r="N76" s="18"/>
      <c r="O76" s="16"/>
      <c r="P76" s="16"/>
    </row>
    <row r="77" customFormat="false" ht="15" hidden="false" customHeight="false" outlineLevel="0" collapsed="false">
      <c r="A77" s="16"/>
      <c r="B77" s="17"/>
      <c r="C77" s="16"/>
      <c r="D77" s="16"/>
      <c r="E77" s="16"/>
      <c r="F77" s="18"/>
      <c r="G77" s="16"/>
      <c r="H77" s="19" t="str">
        <f aca="false">IF(F77="","",DATE(YEAR(F77),MONTH(F77)+6,DAY(F77)))</f>
        <v/>
      </c>
      <c r="I77" s="20" t="str">
        <f aca="true">IF(H77="","",IF(J77="Discarded","—",H77-TODAY()))</f>
        <v/>
      </c>
      <c r="J77" s="16"/>
      <c r="K77" s="17"/>
      <c r="L77" s="16"/>
      <c r="M77" s="16"/>
      <c r="N77" s="18"/>
      <c r="O77" s="16"/>
      <c r="P77" s="16"/>
    </row>
    <row r="78" customFormat="false" ht="15" hidden="false" customHeight="false" outlineLevel="0" collapsed="false">
      <c r="A78" s="16"/>
      <c r="B78" s="17"/>
      <c r="C78" s="16"/>
      <c r="D78" s="16"/>
      <c r="E78" s="16"/>
      <c r="F78" s="18"/>
      <c r="G78" s="16"/>
      <c r="H78" s="19" t="str">
        <f aca="false">IF(F78="","",DATE(YEAR(F78),MONTH(F78)+6,DAY(F78)))</f>
        <v/>
      </c>
      <c r="I78" s="20" t="str">
        <f aca="true">IF(H78="","",IF(J78="Discarded","—",H78-TODAY()))</f>
        <v/>
      </c>
      <c r="J78" s="16"/>
      <c r="K78" s="17"/>
      <c r="L78" s="16"/>
      <c r="M78" s="16"/>
      <c r="N78" s="18"/>
      <c r="O78" s="16"/>
      <c r="P78" s="16"/>
    </row>
    <row r="79" customFormat="false" ht="15" hidden="false" customHeight="false" outlineLevel="0" collapsed="false">
      <c r="A79" s="16"/>
      <c r="B79" s="17"/>
      <c r="C79" s="16"/>
      <c r="D79" s="16"/>
      <c r="E79" s="16"/>
      <c r="F79" s="18"/>
      <c r="G79" s="16"/>
      <c r="H79" s="19" t="str">
        <f aca="false">IF(F79="","",DATE(YEAR(F79),MONTH(F79)+6,DAY(F79)))</f>
        <v/>
      </c>
      <c r="I79" s="20" t="str">
        <f aca="true">IF(H79="","",IF(J79="Discarded","—",H79-TODAY()))</f>
        <v/>
      </c>
      <c r="J79" s="16"/>
      <c r="K79" s="17"/>
      <c r="L79" s="16"/>
      <c r="M79" s="16"/>
      <c r="N79" s="18"/>
      <c r="O79" s="16"/>
      <c r="P79" s="16"/>
    </row>
    <row r="80" customFormat="false" ht="15" hidden="false" customHeight="false" outlineLevel="0" collapsed="false">
      <c r="A80" s="16"/>
      <c r="B80" s="17"/>
      <c r="C80" s="16"/>
      <c r="D80" s="16"/>
      <c r="E80" s="16"/>
      <c r="F80" s="18"/>
      <c r="G80" s="16"/>
      <c r="H80" s="19" t="str">
        <f aca="false">IF(F80="","",DATE(YEAR(F80),MONTH(F80)+6,DAY(F80)))</f>
        <v/>
      </c>
      <c r="I80" s="20" t="str">
        <f aca="true">IF(H80="","",IF(J80="Discarded","—",H80-TODAY()))</f>
        <v/>
      </c>
      <c r="J80" s="16"/>
      <c r="K80" s="17"/>
      <c r="L80" s="16"/>
      <c r="M80" s="16"/>
      <c r="N80" s="18"/>
      <c r="O80" s="16"/>
      <c r="P80" s="16"/>
    </row>
    <row r="81" customFormat="false" ht="15" hidden="false" customHeight="false" outlineLevel="0" collapsed="false">
      <c r="A81" s="16"/>
      <c r="B81" s="17"/>
      <c r="C81" s="16"/>
      <c r="D81" s="16"/>
      <c r="E81" s="16"/>
      <c r="F81" s="18"/>
      <c r="G81" s="16"/>
      <c r="H81" s="19" t="str">
        <f aca="false">IF(F81="","",DATE(YEAR(F81),MONTH(F81)+6,DAY(F81)))</f>
        <v/>
      </c>
      <c r="I81" s="20" t="str">
        <f aca="true">IF(H81="","",IF(J81="Discarded","—",H81-TODAY()))</f>
        <v/>
      </c>
      <c r="J81" s="16"/>
      <c r="K81" s="17"/>
      <c r="L81" s="16"/>
      <c r="M81" s="16"/>
      <c r="N81" s="18"/>
      <c r="O81" s="16"/>
      <c r="P81" s="16"/>
    </row>
    <row r="82" customFormat="false" ht="15" hidden="false" customHeight="false" outlineLevel="0" collapsed="false">
      <c r="A82" s="16"/>
      <c r="B82" s="17"/>
      <c r="C82" s="16"/>
      <c r="D82" s="16"/>
      <c r="E82" s="16"/>
      <c r="F82" s="18"/>
      <c r="G82" s="16"/>
      <c r="H82" s="19" t="str">
        <f aca="false">IF(F82="","",DATE(YEAR(F82),MONTH(F82)+6,DAY(F82)))</f>
        <v/>
      </c>
      <c r="I82" s="20" t="str">
        <f aca="true">IF(H82="","",IF(J82="Discarded","—",H82-TODAY()))</f>
        <v/>
      </c>
      <c r="J82" s="16"/>
      <c r="K82" s="17"/>
      <c r="L82" s="16"/>
      <c r="M82" s="16"/>
      <c r="N82" s="18"/>
      <c r="O82" s="16"/>
      <c r="P82" s="16"/>
    </row>
    <row r="83" customFormat="false" ht="15" hidden="false" customHeight="false" outlineLevel="0" collapsed="false">
      <c r="A83" s="16"/>
      <c r="B83" s="17"/>
      <c r="C83" s="16"/>
      <c r="D83" s="16"/>
      <c r="E83" s="16"/>
      <c r="F83" s="18"/>
      <c r="G83" s="16"/>
      <c r="H83" s="19" t="str">
        <f aca="false">IF(F83="","",DATE(YEAR(F83),MONTH(F83)+6,DAY(F83)))</f>
        <v/>
      </c>
      <c r="I83" s="20" t="str">
        <f aca="true">IF(H83="","",IF(J83="Discarded","—",H83-TODAY()))</f>
        <v/>
      </c>
      <c r="J83" s="16"/>
      <c r="K83" s="17"/>
      <c r="L83" s="16"/>
      <c r="M83" s="16"/>
      <c r="N83" s="18"/>
      <c r="O83" s="16"/>
      <c r="P83" s="16"/>
    </row>
    <row r="84" customFormat="false" ht="15" hidden="false" customHeight="false" outlineLevel="0" collapsed="false">
      <c r="A84" s="16"/>
      <c r="B84" s="17"/>
      <c r="C84" s="16"/>
      <c r="D84" s="16"/>
      <c r="E84" s="16"/>
      <c r="F84" s="18"/>
      <c r="G84" s="16"/>
      <c r="H84" s="19" t="str">
        <f aca="false">IF(F84="","",DATE(YEAR(F84),MONTH(F84)+6,DAY(F84)))</f>
        <v/>
      </c>
      <c r="I84" s="20" t="str">
        <f aca="true">IF(H84="","",IF(J84="Discarded","—",H84-TODAY()))</f>
        <v/>
      </c>
      <c r="J84" s="16"/>
      <c r="K84" s="17"/>
      <c r="L84" s="16"/>
      <c r="M84" s="16"/>
      <c r="N84" s="18"/>
      <c r="O84" s="16"/>
      <c r="P84" s="16"/>
    </row>
    <row r="85" customFormat="false" ht="15" hidden="false" customHeight="false" outlineLevel="0" collapsed="false">
      <c r="A85" s="16"/>
      <c r="B85" s="17"/>
      <c r="C85" s="16"/>
      <c r="D85" s="16"/>
      <c r="E85" s="16"/>
      <c r="F85" s="18"/>
      <c r="G85" s="16"/>
      <c r="H85" s="19" t="str">
        <f aca="false">IF(F85="","",DATE(YEAR(F85),MONTH(F85)+6,DAY(F85)))</f>
        <v/>
      </c>
      <c r="I85" s="20" t="str">
        <f aca="true">IF(H85="","",IF(J85="Discarded","—",H85-TODAY()))</f>
        <v/>
      </c>
      <c r="J85" s="16"/>
      <c r="K85" s="17"/>
      <c r="L85" s="16"/>
      <c r="M85" s="16"/>
      <c r="N85" s="18"/>
      <c r="O85" s="16"/>
      <c r="P85" s="16"/>
    </row>
    <row r="86" customFormat="false" ht="15" hidden="false" customHeight="false" outlineLevel="0" collapsed="false">
      <c r="A86" s="16"/>
      <c r="B86" s="17"/>
      <c r="C86" s="16"/>
      <c r="D86" s="16"/>
      <c r="E86" s="16"/>
      <c r="F86" s="18"/>
      <c r="G86" s="16"/>
      <c r="H86" s="19" t="str">
        <f aca="false">IF(F86="","",DATE(YEAR(F86),MONTH(F86)+6,DAY(F86)))</f>
        <v/>
      </c>
      <c r="I86" s="20" t="str">
        <f aca="true">IF(H86="","",IF(J86="Discarded","—",H86-TODAY()))</f>
        <v/>
      </c>
      <c r="J86" s="16"/>
      <c r="K86" s="17"/>
      <c r="L86" s="16"/>
      <c r="M86" s="16"/>
      <c r="N86" s="18"/>
      <c r="O86" s="16"/>
      <c r="P86" s="16"/>
    </row>
    <row r="87" customFormat="false" ht="15" hidden="false" customHeight="false" outlineLevel="0" collapsed="false">
      <c r="A87" s="16"/>
      <c r="B87" s="17"/>
      <c r="C87" s="16"/>
      <c r="D87" s="16"/>
      <c r="E87" s="16"/>
      <c r="F87" s="18"/>
      <c r="G87" s="16"/>
      <c r="H87" s="19" t="str">
        <f aca="false">IF(F87="","",DATE(YEAR(F87),MONTH(F87)+6,DAY(F87)))</f>
        <v/>
      </c>
      <c r="I87" s="20" t="str">
        <f aca="true">IF(H87="","",IF(J87="Discarded","—",H87-TODAY()))</f>
        <v/>
      </c>
      <c r="J87" s="16"/>
      <c r="K87" s="17"/>
      <c r="L87" s="16"/>
      <c r="M87" s="16"/>
      <c r="N87" s="18"/>
      <c r="O87" s="16"/>
      <c r="P87" s="16"/>
    </row>
    <row r="88" customFormat="false" ht="15" hidden="false" customHeight="false" outlineLevel="0" collapsed="false">
      <c r="A88" s="16"/>
      <c r="B88" s="17"/>
      <c r="C88" s="16"/>
      <c r="D88" s="16"/>
      <c r="E88" s="16"/>
      <c r="F88" s="18"/>
      <c r="G88" s="16"/>
      <c r="H88" s="19" t="str">
        <f aca="false">IF(F88="","",DATE(YEAR(F88),MONTH(F88)+6,DAY(F88)))</f>
        <v/>
      </c>
      <c r="I88" s="20" t="str">
        <f aca="true">IF(H88="","",IF(J88="Discarded","—",H88-TODAY()))</f>
        <v/>
      </c>
      <c r="J88" s="16"/>
      <c r="K88" s="17"/>
      <c r="L88" s="16"/>
      <c r="M88" s="16"/>
      <c r="N88" s="18"/>
      <c r="O88" s="16"/>
      <c r="P88" s="16"/>
    </row>
    <row r="89" customFormat="false" ht="15" hidden="false" customHeight="false" outlineLevel="0" collapsed="false">
      <c r="A89" s="16"/>
      <c r="B89" s="17"/>
      <c r="C89" s="16"/>
      <c r="D89" s="16"/>
      <c r="E89" s="16"/>
      <c r="F89" s="18"/>
      <c r="G89" s="16"/>
      <c r="H89" s="19" t="str">
        <f aca="false">IF(F89="","",DATE(YEAR(F89),MONTH(F89)+6,DAY(F89)))</f>
        <v/>
      </c>
      <c r="I89" s="20" t="str">
        <f aca="true">IF(H89="","",IF(J89="Discarded","—",H89-TODAY()))</f>
        <v/>
      </c>
      <c r="J89" s="16"/>
      <c r="K89" s="17"/>
      <c r="L89" s="16"/>
      <c r="M89" s="16"/>
      <c r="N89" s="18"/>
      <c r="O89" s="16"/>
      <c r="P89" s="16"/>
    </row>
    <row r="90" customFormat="false" ht="15" hidden="false" customHeight="false" outlineLevel="0" collapsed="false">
      <c r="A90" s="16"/>
      <c r="B90" s="17"/>
      <c r="C90" s="16"/>
      <c r="D90" s="16"/>
      <c r="E90" s="16"/>
      <c r="F90" s="18"/>
      <c r="G90" s="16"/>
      <c r="H90" s="19" t="str">
        <f aca="false">IF(F90="","",DATE(YEAR(F90),MONTH(F90)+6,DAY(F90)))</f>
        <v/>
      </c>
      <c r="I90" s="20" t="str">
        <f aca="true">IF(H90="","",IF(J90="Discarded","—",H90-TODAY()))</f>
        <v/>
      </c>
      <c r="J90" s="16"/>
      <c r="K90" s="17"/>
      <c r="L90" s="16"/>
      <c r="M90" s="16"/>
      <c r="N90" s="18"/>
      <c r="O90" s="16"/>
      <c r="P90" s="16"/>
    </row>
    <row r="91" customFormat="false" ht="15" hidden="false" customHeight="false" outlineLevel="0" collapsed="false">
      <c r="A91" s="16"/>
      <c r="B91" s="17"/>
      <c r="C91" s="16"/>
      <c r="D91" s="16"/>
      <c r="E91" s="16"/>
      <c r="F91" s="18"/>
      <c r="G91" s="16"/>
      <c r="H91" s="19" t="str">
        <f aca="false">IF(F91="","",DATE(YEAR(F91),MONTH(F91)+6,DAY(F91)))</f>
        <v/>
      </c>
      <c r="I91" s="20" t="str">
        <f aca="true">IF(H91="","",IF(J91="Discarded","—",H91-TODAY()))</f>
        <v/>
      </c>
      <c r="J91" s="16"/>
      <c r="K91" s="17"/>
      <c r="L91" s="16"/>
      <c r="M91" s="16"/>
      <c r="N91" s="18"/>
      <c r="O91" s="16"/>
      <c r="P91" s="16"/>
    </row>
    <row r="92" customFormat="false" ht="15" hidden="false" customHeight="false" outlineLevel="0" collapsed="false">
      <c r="A92" s="16"/>
      <c r="B92" s="17"/>
      <c r="C92" s="16"/>
      <c r="D92" s="16"/>
      <c r="E92" s="16"/>
      <c r="F92" s="18"/>
      <c r="G92" s="16"/>
      <c r="H92" s="19" t="str">
        <f aca="false">IF(F92="","",DATE(YEAR(F92),MONTH(F92)+6,DAY(F92)))</f>
        <v/>
      </c>
      <c r="I92" s="20" t="str">
        <f aca="true">IF(H92="","",IF(J92="Discarded","—",H92-TODAY()))</f>
        <v/>
      </c>
      <c r="J92" s="16"/>
      <c r="K92" s="17"/>
      <c r="L92" s="16"/>
      <c r="M92" s="16"/>
      <c r="N92" s="18"/>
      <c r="O92" s="16"/>
      <c r="P92" s="16"/>
    </row>
    <row r="93" customFormat="false" ht="15" hidden="false" customHeight="false" outlineLevel="0" collapsed="false">
      <c r="A93" s="16"/>
      <c r="B93" s="17"/>
      <c r="C93" s="16"/>
      <c r="D93" s="16"/>
      <c r="E93" s="16"/>
      <c r="F93" s="18"/>
      <c r="G93" s="16"/>
      <c r="H93" s="19" t="str">
        <f aca="false">IF(F93="","",DATE(YEAR(F93),MONTH(F93)+6,DAY(F93)))</f>
        <v/>
      </c>
      <c r="I93" s="20" t="str">
        <f aca="true">IF(H93="","",IF(J93="Discarded","—",H93-TODAY()))</f>
        <v/>
      </c>
      <c r="J93" s="16"/>
      <c r="K93" s="17"/>
      <c r="L93" s="16"/>
      <c r="M93" s="16"/>
      <c r="N93" s="18"/>
      <c r="O93" s="16"/>
      <c r="P93" s="16"/>
    </row>
    <row r="94" customFormat="false" ht="15" hidden="false" customHeight="false" outlineLevel="0" collapsed="false">
      <c r="A94" s="16"/>
      <c r="B94" s="17"/>
      <c r="C94" s="16"/>
      <c r="D94" s="16"/>
      <c r="E94" s="16"/>
      <c r="F94" s="18"/>
      <c r="G94" s="16"/>
      <c r="H94" s="19" t="str">
        <f aca="false">IF(F94="","",DATE(YEAR(F94),MONTH(F94)+6,DAY(F94)))</f>
        <v/>
      </c>
      <c r="I94" s="20" t="str">
        <f aca="true">IF(H94="","",IF(J94="Discarded","—",H94-TODAY()))</f>
        <v/>
      </c>
      <c r="J94" s="16"/>
      <c r="K94" s="17"/>
      <c r="L94" s="16"/>
      <c r="M94" s="16"/>
      <c r="N94" s="18"/>
      <c r="O94" s="16"/>
      <c r="P94" s="16"/>
    </row>
    <row r="95" customFormat="false" ht="15" hidden="false" customHeight="false" outlineLevel="0" collapsed="false">
      <c r="A95" s="16"/>
      <c r="B95" s="17"/>
      <c r="C95" s="16"/>
      <c r="D95" s="16"/>
      <c r="E95" s="16"/>
      <c r="F95" s="18"/>
      <c r="G95" s="16"/>
      <c r="H95" s="19" t="str">
        <f aca="false">IF(F95="","",DATE(YEAR(F95),MONTH(F95)+6,DAY(F95)))</f>
        <v/>
      </c>
      <c r="I95" s="20" t="str">
        <f aca="true">IF(H95="","",IF(J95="Discarded","—",H95-TODAY()))</f>
        <v/>
      </c>
      <c r="J95" s="16"/>
      <c r="K95" s="17"/>
      <c r="L95" s="16"/>
      <c r="M95" s="16"/>
      <c r="N95" s="18"/>
      <c r="O95" s="16"/>
      <c r="P95" s="16"/>
    </row>
    <row r="96" customFormat="false" ht="15" hidden="false" customHeight="false" outlineLevel="0" collapsed="false">
      <c r="A96" s="16"/>
      <c r="B96" s="17"/>
      <c r="C96" s="16"/>
      <c r="D96" s="16"/>
      <c r="E96" s="16"/>
      <c r="F96" s="18"/>
      <c r="G96" s="16"/>
      <c r="H96" s="19" t="str">
        <f aca="false">IF(F96="","",DATE(YEAR(F96),MONTH(F96)+6,DAY(F96)))</f>
        <v/>
      </c>
      <c r="I96" s="20" t="str">
        <f aca="true">IF(H96="","",IF(J96="Discarded","—",H96-TODAY()))</f>
        <v/>
      </c>
      <c r="J96" s="16"/>
      <c r="K96" s="17"/>
      <c r="L96" s="16"/>
      <c r="M96" s="16"/>
      <c r="N96" s="18"/>
      <c r="O96" s="16"/>
      <c r="P96" s="16"/>
    </row>
    <row r="97" customFormat="false" ht="15" hidden="false" customHeight="false" outlineLevel="0" collapsed="false">
      <c r="A97" s="16"/>
      <c r="B97" s="17"/>
      <c r="C97" s="16"/>
      <c r="D97" s="16"/>
      <c r="E97" s="16"/>
      <c r="F97" s="18"/>
      <c r="G97" s="16"/>
      <c r="H97" s="19" t="str">
        <f aca="false">IF(F97="","",DATE(YEAR(F97),MONTH(F97)+6,DAY(F97)))</f>
        <v/>
      </c>
      <c r="I97" s="20" t="str">
        <f aca="true">IF(H97="","",IF(J97="Discarded","—",H97-TODAY()))</f>
        <v/>
      </c>
      <c r="J97" s="16"/>
      <c r="K97" s="17"/>
      <c r="L97" s="16"/>
      <c r="M97" s="16"/>
      <c r="N97" s="18"/>
      <c r="O97" s="16"/>
      <c r="P97" s="16"/>
    </row>
    <row r="98" customFormat="false" ht="15" hidden="false" customHeight="false" outlineLevel="0" collapsed="false">
      <c r="A98" s="16"/>
      <c r="B98" s="17"/>
      <c r="C98" s="16"/>
      <c r="D98" s="16"/>
      <c r="E98" s="16"/>
      <c r="F98" s="18"/>
      <c r="G98" s="16"/>
      <c r="H98" s="19" t="str">
        <f aca="false">IF(F98="","",DATE(YEAR(F98),MONTH(F98)+6,DAY(F98)))</f>
        <v/>
      </c>
      <c r="I98" s="20" t="str">
        <f aca="true">IF(H98="","",IF(J98="Discarded","—",H98-TODAY()))</f>
        <v/>
      </c>
      <c r="J98" s="16"/>
      <c r="K98" s="17"/>
      <c r="L98" s="16"/>
      <c r="M98" s="16"/>
      <c r="N98" s="18"/>
      <c r="O98" s="16"/>
      <c r="P98" s="16"/>
    </row>
    <row r="99" customFormat="false" ht="15" hidden="false" customHeight="false" outlineLevel="0" collapsed="false">
      <c r="A99" s="16"/>
      <c r="B99" s="17"/>
      <c r="C99" s="16"/>
      <c r="D99" s="16"/>
      <c r="E99" s="16"/>
      <c r="F99" s="18"/>
      <c r="G99" s="16"/>
      <c r="H99" s="19" t="str">
        <f aca="false">IF(F99="","",DATE(YEAR(F99),MONTH(F99)+6,DAY(F99)))</f>
        <v/>
      </c>
      <c r="I99" s="20" t="str">
        <f aca="true">IF(H99="","",IF(J99="Discarded","—",H99-TODAY()))</f>
        <v/>
      </c>
      <c r="J99" s="16"/>
      <c r="K99" s="17"/>
      <c r="L99" s="16"/>
      <c r="M99" s="16"/>
      <c r="N99" s="18"/>
      <c r="O99" s="16"/>
      <c r="P99" s="16"/>
    </row>
    <row r="100" customFormat="false" ht="15" hidden="false" customHeight="false" outlineLevel="0" collapsed="false">
      <c r="A100" s="16"/>
      <c r="B100" s="17"/>
      <c r="C100" s="16"/>
      <c r="D100" s="16"/>
      <c r="E100" s="16"/>
      <c r="F100" s="18"/>
      <c r="G100" s="16"/>
      <c r="H100" s="19" t="str">
        <f aca="false">IF(F100="","",DATE(YEAR(F100),MONTH(F100)+6,DAY(F100)))</f>
        <v/>
      </c>
      <c r="I100" s="20" t="str">
        <f aca="true">IF(H100="","",IF(J100="Discarded","—",H100-TODAY()))</f>
        <v/>
      </c>
      <c r="J100" s="16"/>
      <c r="K100" s="17"/>
      <c r="L100" s="16"/>
      <c r="M100" s="16"/>
      <c r="N100" s="18"/>
      <c r="O100" s="16"/>
      <c r="P100" s="16"/>
    </row>
    <row r="102" customFormat="false" ht="15" hidden="false" customHeight="false" outlineLevel="0" collapsed="false">
      <c r="A102" s="21" t="s">
        <v>101</v>
      </c>
      <c r="B102" s="14" t="s">
        <v>102</v>
      </c>
      <c r="C102" s="14" t="n">
        <f aca="false">COUNTA(A2:A100)</f>
        <v>6</v>
      </c>
      <c r="D102" s="14" t="s">
        <v>103</v>
      </c>
      <c r="E102" s="14" t="n">
        <f aca="false">COUNTIF(J2:J100,"In Service")</f>
        <v>4</v>
      </c>
      <c r="F102" s="14" t="s">
        <v>104</v>
      </c>
      <c r="G102" s="14" t="n">
        <f aca="false">COUNTIF(J2:J100,"Quarantined")</f>
        <v>1</v>
      </c>
      <c r="H102" s="14" t="s">
        <v>105</v>
      </c>
      <c r="I102" s="14" t="n">
        <f aca="false">COUNTIFS(I2:I100,"&lt;0",J2:J100,"In Service")</f>
        <v>0</v>
      </c>
    </row>
  </sheetData>
  <autoFilter ref="A1:P1"/>
  <conditionalFormatting sqref="J2:J100">
    <cfRule type="cellIs" priority="2" operator="equal" aboveAverage="0" equalAverage="0" bottom="0" percent="0" rank="0" text="" dxfId="2">
      <formula>"In Service"</formula>
    </cfRule>
    <cfRule type="cellIs" priority="3" operator="equal" aboveAverage="0" equalAverage="0" bottom="0" percent="0" rank="0" text="" dxfId="3">
      <formula>"Quarantined"</formula>
    </cfRule>
    <cfRule type="cellIs" priority="4" operator="equal" aboveAverage="0" equalAverage="0" bottom="0" percent="0" rank="0" text="" dxfId="4">
      <formula>"Discarded"</formula>
    </cfRule>
    <cfRule type="cellIs" priority="5" operator="equal" aboveAverage="0" equalAverage="0" bottom="0" percent="0" rank="0" text="" dxfId="4">
      <formula>"Lost"</formula>
    </cfRule>
  </conditionalFormatting>
  <conditionalFormatting sqref="I2:I100">
    <cfRule type="cellIs" priority="6" operator="lessThanOrEqual" aboveAverage="0" equalAverage="0" bottom="0" percent="0" rank="0" text="" dxfId="4">
      <formula>0</formula>
    </cfRule>
    <cfRule type="cellIs" priority="7" operator="between" aboveAverage="0" equalAverage="0" bottom="0" percent="0" rank="0" text="" dxfId="3">
      <formula>1</formula>
      <formula>14</formula>
    </cfRule>
    <cfRule type="cellIs" priority="8" operator="greaterThan" aboveAverage="0" equalAverage="0" bottom="0" percent="0" rank="0" text="" dxfId="2">
      <formula>14</formula>
    </cfRule>
  </conditionalFormatting>
  <dataValidations count="4">
    <dataValidation allowBlank="true" errorStyle="stop" operator="between" showDropDown="false" showErrorMessage="false" showInputMessage="false" sqref="C2:C100" type="list">
      <formula1>"Webbing Sling,Chain Sling,Wire Rope Sling,Round Sling,Shackle (Bow),Shackle (Dee),Eyebolt,Swivel,Beam Clamp,Lifting Beam,Spreader Bar,Other"</formula1>
      <formula2>0</formula2>
    </dataValidation>
    <dataValidation allowBlank="true" errorStyle="stop" operator="between" showDropDown="false" showErrorMessage="false" showInputMessage="false" sqref="E2:E100" type="list">
      <formula1>"Green,Red,Blue,Yellow"</formula1>
      <formula2>0</formula2>
    </dataValidation>
    <dataValidation allowBlank="true" errorStyle="stop" operator="between" showDropDown="false" showErrorMessage="false" showInputMessage="false" sqref="J2:J100" type="list">
      <formula1>"In Service,Quarantined,Discarded,Lost"</formula1>
      <formula2>0</formula2>
    </dataValidation>
    <dataValidation allowBlank="true" errorStyle="stop" operator="between" showDropDown="false" showErrorMessage="false" showInputMessage="false" sqref="F2:F100 N2:N1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&amp;CLifting Accessories Register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2" t="s">
        <v>106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3" t="s">
        <v>107</v>
      </c>
    </row>
    <row r="4" customFormat="false" ht="15" hidden="false" customHeight="false" outlineLevel="0" collapsed="false">
      <c r="A4" s="23"/>
    </row>
    <row r="5" customFormat="false" ht="15" hidden="false" customHeight="false" outlineLevel="0" collapsed="false">
      <c r="A5" s="24" t="s">
        <v>108</v>
      </c>
    </row>
    <row r="6" customFormat="false" ht="23.85" hidden="false" customHeight="false" outlineLevel="0" collapsed="false">
      <c r="A6" s="24" t="s">
        <v>109</v>
      </c>
    </row>
    <row r="7" customFormat="false" ht="15" hidden="false" customHeight="false" outlineLevel="0" collapsed="false">
      <c r="A7" s="24" t="s">
        <v>110</v>
      </c>
    </row>
    <row r="8" customFormat="false" ht="15" hidden="false" customHeight="false" outlineLevel="0" collapsed="false">
      <c r="A8" s="24" t="s">
        <v>111</v>
      </c>
    </row>
    <row r="9" customFormat="false" ht="23.85" hidden="false" customHeight="false" outlineLevel="0" collapsed="false">
      <c r="A9" s="24" t="s">
        <v>112</v>
      </c>
    </row>
    <row r="10" customFormat="false" ht="15" hidden="false" customHeight="false" outlineLevel="0" collapsed="false">
      <c r="A10" s="24" t="s">
        <v>113</v>
      </c>
    </row>
    <row r="11" customFormat="false" ht="15" hidden="false" customHeight="false" outlineLevel="0" collapsed="false">
      <c r="A11" s="23"/>
    </row>
    <row r="12" customFormat="false" ht="15" hidden="false" customHeight="false" outlineLevel="0" collapsed="false">
      <c r="A12" s="2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Health, Safety &amp; Statutory</cp:category>
  <dcterms:created xsi:type="dcterms:W3CDTF">2026-03-24T17:03:51Z</dcterms:created>
  <dc:creator>Ebrora Ltd</dc:creator>
  <dc:description>Track lifting accessories including slings, shackles, eyebolts, and beams with WLL, colour code rotation, 6-monthly thorough examination scheduling, and discard/quarantine tracking.
Free professional construction management template from Ebrora Ltd. Visit ebrora.com for our full range of tools and templates.</dc:description>
  <cp:keywords>Ebrora construction lifting accessories slings shackles LOLER WLL safety</cp:keywords>
  <dc:language>en-US</dc:language>
  <cp:lastModifiedBy>Ebrora Ltd</cp:lastModifiedBy>
  <dcterms:modified xsi:type="dcterms:W3CDTF">2026-03-24T17:03:51Z</dcterms:modified>
  <cp:revision>0</cp:revision>
  <dc:subject>Track slings, shackles, and lifting accessories with WLL, colour codes, inspection dates, and discard scheduling.</dc:subject>
  <dc:title>Lifting Accessories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