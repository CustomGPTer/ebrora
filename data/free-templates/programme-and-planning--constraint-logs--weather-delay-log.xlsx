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Delay Log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'Delay Log'!$A$1:$I$62</definedName>
    <definedName function="false" hidden="true" localSheetId="2" name="_xlnm._FilterDatabase" vbProcedure="false">'Delay Log'!$A$12:$O$62</definedName>
    <definedName function="false" hidden="false" name="DataTable" vbProcedure="false">'Delay Log'!$A$12:$O$62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<sst xmlns="http://schemas.openxmlformats.org/spreadsheetml/2006/main" count="106" uniqueCount="102">
  <si>
    <t xml:space="preserve">EBRORA</t>
  </si>
  <si>
    <t xml:space="preserve">ebrora.com</t>
  </si>
  <si>
    <t xml:space="preserve">Weather Delay Log</t>
  </si>
  <si>
    <t xml:space="preserve">Record weather events that affect site progress — with contractual delay tracking to support extension of time claims and compensation events.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</si>
  <si>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</si>
  <si>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</si>
  <si>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</si>
  <si>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</si>
  <si>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</si>
  <si>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'Delay Log' sheet. The monthly summary grid at the top shows total delay events and hours lost per month — this updates automatically as you add entries.</t>
  </si>
  <si>
    <t xml:space="preserve">2.</t>
  </si>
  <si>
    <t xml:space="preserve">Each row in the main log represents one weather delay event. Fill in the light teal cells.</t>
  </si>
  <si>
    <t xml:space="preserve">3.</t>
  </si>
  <si>
    <t xml:space="preserve">Enter the Date, select the Weather Type from the dropdown, and record the Start Time and End Time of the disruption.</t>
  </si>
  <si>
    <t xml:space="preserve">4.</t>
  </si>
  <si>
    <t xml:space="preserve">The Duration column calculates automatically in hours and minutes. The Delay Hours column rounds this to a decimal for reporting.</t>
  </si>
  <si>
    <t xml:space="preserve">5.</t>
  </si>
  <si>
    <t xml:space="preserve">Describe the Affected Area or Activity (e.g. 'Crane operations suspended', 'Concrete pour postponed') and select the Impact level: Full Stop, Partial, or Minor.</t>
  </si>
  <si>
    <t xml:space="preserve">6.</t>
  </si>
  <si>
    <t xml:space="preserve">Expand the optional columns (click [+]) to record wind speed, temperature, rainfall measurements, contractual references, notification status, and photo evidence.</t>
  </si>
  <si>
    <t xml:space="preserve">7.</t>
  </si>
  <si>
    <t xml:space="preserve">For NEC contracts, cross-reference each entry with a Compensation Event number in the optional 'Contractual Ref' column. For JCT, reference the relevant EOT clause.</t>
  </si>
  <si>
    <t xml:space="preserve">Colour Key</t>
  </si>
  <si>
    <t xml:space="preserve">Light teal cells — Editable input cells.</t>
  </si>
  <si>
    <t xml:space="preserve">Dark navy headers — Do not edit.</t>
  </si>
  <si>
    <t xml:space="preserve">Red — Impact is 'Full Stop' (total site shutdown).</t>
  </si>
  <si>
    <t xml:space="preserve">Amber — Impact is 'Partial' (some activities affected).</t>
  </si>
  <si>
    <t xml:space="preserve">Green — Impact is 'Minor' (limited disruption).</t>
  </si>
  <si>
    <t xml:space="preserve">Tips</t>
  </si>
  <si>
    <t xml:space="preserve">Tip 1:</t>
  </si>
  <si>
    <t xml:space="preserve">Record weather events the same day they happen. Retrospective entries are weaker evidence in a contractual dispute — contemporaneous records carry far more weight.</t>
  </si>
  <si>
    <t xml:space="preserve">Tip 2:</t>
  </si>
  <si>
    <t xml:space="preserve">Cross-reference this log with your Daily Site Diary. The diary gives narrative context; this log gives the hard data (times, durations, measurements).</t>
  </si>
  <si>
    <t xml:space="preserve">Tip 3:</t>
  </si>
  <si>
    <t xml:space="preserve">Under NEC4 clause 60.1(12), weather is a compensation event if it's measured at the 1-in-10 year threshold. Keep the optional weather measurement columns filled in to support your case.</t>
  </si>
  <si>
    <t xml:space="preserve">WEATHER DELAY LOG</t>
  </si>
  <si>
    <t xml:space="preserve">MONTHLY SUMMARY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</si>
  <si>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</si>
  <si>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</si>
  <si>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</si>
  <si>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</si>
  <si>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</si>
  <si>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</si>
  <si>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</si>
  <si>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</si>
  <si>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</si>
  <si>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</si>
  <si>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</si>
  <si>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</si>
  <si>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</si>
  <si>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Events</t>
  </si>
  <si>
    <t xml:space="preserve">Hours Lost</t>
  </si>
  <si>
    <t xml:space="preserve">Full Stops</t>
  </si>
  <si>
    <t xml:space="preserve">Summary auto-calculates from the log below. Months with zero events show 0.</t>
  </si>
  <si>
    <t xml:space="preserve">▸ Optional Fields — Click [+] to expand</t>
  </si>
  <si>
    <t xml:space="preserve">No.</t>
  </si>
  <si>
    <t xml:space="preserve">Date</t>
  </si>
  <si>
    <t xml:space="preserve">Weather Type</t>
  </si>
  <si>
    <t xml:space="preserve">Start Time</t>
  </si>
  <si>
    <t xml:space="preserve">End Time</t>
  </si>
  <si>
    <t xml:space="preserve">Duration</t>
  </si>
  <si>
    <t xml:space="preserve">Affected Area / Activity</t>
  </si>
  <si>
    <t xml:space="preserve">Impact</t>
  </si>
  <si>
    <t xml:space="preserve">Delay (hrs)</t>
  </si>
  <si>
    <t xml:space="preserve">Wind (mph)</t>
  </si>
  <si>
    <t xml:space="preserve">Temp (°C)</t>
  </si>
  <si>
    <t xml:space="preserve">Rain (mm)</t>
  </si>
  <si>
    <t xml:space="preserve">Contractual Ref</t>
  </si>
  <si>
    <t xml:space="preserve">Notified</t>
  </si>
  <si>
    <t xml:space="preserve">Photo Ref</t>
  </si>
  <si>
    <t xml:space="preserve">Rain</t>
  </si>
  <si>
    <t xml:space="preserve">Full site — crane ops suspended, excavation flooded</t>
  </si>
  <si>
    <t xml:space="preserve">Full Stop</t>
  </si>
  <si>
    <t xml:space="preserve">CE-2026-003</t>
  </si>
  <si>
    <t xml:space="preserve">Yes</t>
  </si>
  <si>
    <t xml:space="preserve">IMG_0501.jpg</t>
  </si>
  <si>
    <t xml:space="preserve">High Wind</t>
  </si>
  <si>
    <t xml:space="preserve">Tower crane zone — all lifting stopped above 38mph</t>
  </si>
  <si>
    <t xml:space="preserve">Partial</t>
  </si>
  <si>
    <t xml:space="preserve">CE-2026-005</t>
  </si>
  <si>
    <t xml:space="preserve">IMG_0518.jpg</t>
  </si>
  <si>
    <t xml:space="preserve">Snow/Ice</t>
  </si>
  <si>
    <t xml:space="preserve">Access roads impassable — deliveries cancelled, morning shift delayed</t>
  </si>
  <si>
    <t xml:space="preserve">CE-2026-008</t>
  </si>
  <si>
    <t xml:space="preserve">IMG_0530.jpg</t>
  </si>
  <si>
    <t xml:space="preserve">Storm</t>
  </si>
  <si>
    <t xml:space="preserve">Scaffolding inspection required after 55mph gusts — external works stopped</t>
  </si>
  <si>
    <t xml:space="preserve">No</t>
  </si>
  <si>
    <t xml:space="preserve">IMG_0545.jpg</t>
  </si>
  <si>
    <t xml:space="preserve">Fog</t>
  </si>
  <si>
    <t xml:space="preserve">Crane visibility below safe limits — morning lift programme delayed</t>
  </si>
  <si>
    <t xml:space="preserve">Minor</t>
  </si>
  <si>
    <t xml:space="preserve">N/A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</si>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</sst>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"/>
    <numFmt numFmtId="167" formatCode="dd/mm/yyyy"/>
    <numFmt numFmtId="168" formatCode="hh:mm"/>
    <numFmt numFmtId="169" formatCode="[h]:mm"/>
    <numFmt numFmtId="170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1"/>
      <color rgb="FFCC0000"/>
      <name val="Calibri"/>
      <family val="0"/>
      <charset val="1"/>
    </font>
    <font>
      <b val="true"/>
      <sz val="11"/>
      <color rgb="FFCC0000"/>
      <name val="Calibri"/>
      <family val="0"/>
      <charset val="1"/>
    </font>
    <font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F2F2F2"/>
        <bgColor rgb="FFE8F6F7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 style="hair">
        <color rgb="FF2AABB3"/>
      </right>
      <top/>
      <bottom style="hair">
        <color rgb="FF2AABB3"/>
      </bottom>
      <diagonal/>
    </border>
    <border diagonalUp="false" diagonalDown="false">
      <left style="thin">
        <color rgb="FF1B2A4A"/>
      </left>
      <right style="hair">
        <color rgb="FF1B2A4A"/>
      </right>
      <top/>
      <bottom style="hair">
        <color rgb="FF1B2A4A"/>
      </bottom>
      <diagonal/>
    </border>
    <border diagonalUp="false" diagonalDown="false">
      <left/>
      <right/>
      <top/>
      <bottom style="thick">
        <color rgb="FF1B2A4A"/>
      </bottom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/>
      <right style="hair">
        <color rgb="FF8C8C8C"/>
      </right>
      <top/>
      <bottom style="hair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5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5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2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15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15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15" hidden="false" customHeight="tru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7" t="s">
        <v>4</v>
      </c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15" hidden="false" customHeight="true" outlineLevel="0" collapsed="false">
      <c r="A16" s="7"/>
      <c r="B16" s="7"/>
      <c r="C16" s="7"/>
      <c r="D16" s="7"/>
      <c r="E16" s="7"/>
      <c r="F16" s="7"/>
      <c r="G16" s="7"/>
      <c r="H16" s="7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8" t="s">
        <v>5</v>
      </c>
      <c r="B19" s="8"/>
      <c r="C19" s="8"/>
      <c r="D19" s="8"/>
      <c r="E19" s="8"/>
      <c r="F19" s="8"/>
      <c r="G19" s="8"/>
      <c r="H19" s="8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6" min="2" style="1" width="16"/>
  </cols>
  <sheetData>
    <row r="1" customFormat="false" ht="18" hidden="false" customHeight="true" outlineLevel="0" collapsed="false">
      <c r="A1" s="9" t="s">
        <v>6</v>
      </c>
      <c r="B1" s="9"/>
      <c r="C1" s="9"/>
      <c r="D1" s="9"/>
      <c r="E1" s="9"/>
      <c r="F1" s="9"/>
    </row>
    <row r="3" customFormat="false" ht="15" hidden="false" customHeight="true" outlineLevel="0" collapsed="false">
      <c r="A3" s="10"/>
      <c r="B3" s="11"/>
      <c r="C3" s="11"/>
      <c r="D3" s="11"/>
      <c r="E3" s="11"/>
      <c r="F3" s="11"/>
    </row>
    <row r="4" customFormat="false" ht="15" hidden="false" customHeight="true" outlineLevel="0" collapsed="false">
      <c r="A4" s="12" t="s">
        <v>7</v>
      </c>
      <c r="B4" s="12"/>
      <c r="C4" s="12"/>
      <c r="D4" s="12"/>
      <c r="E4" s="12"/>
      <c r="F4" s="12"/>
    </row>
    <row r="5" customFormat="false" ht="23.25" hidden="false" customHeight="true" outlineLevel="0" collapsed="false">
      <c r="A5" s="10" t="s">
        <v>8</v>
      </c>
      <c r="B5" s="11" t="s">
        <v>9</v>
      </c>
      <c r="C5" s="11"/>
      <c r="D5" s="11"/>
      <c r="E5" s="11"/>
      <c r="F5" s="11"/>
    </row>
    <row r="6" customFormat="false" ht="15" hidden="false" customHeight="true" outlineLevel="0" collapsed="false">
      <c r="A6" s="10" t="s">
        <v>10</v>
      </c>
      <c r="B6" s="11" t="s">
        <v>11</v>
      </c>
      <c r="C6" s="11"/>
      <c r="D6" s="11"/>
      <c r="E6" s="11"/>
      <c r="F6" s="11"/>
    </row>
    <row r="7" customFormat="false" ht="23.25" hidden="false" customHeight="true" outlineLevel="0" collapsed="false">
      <c r="A7" s="10" t="s">
        <v>12</v>
      </c>
      <c r="B7" s="11" t="s">
        <v>13</v>
      </c>
      <c r="C7" s="11"/>
      <c r="D7" s="11"/>
      <c r="E7" s="11"/>
      <c r="F7" s="11"/>
    </row>
    <row r="8" customFormat="false" ht="23.25" hidden="false" customHeight="true" outlineLevel="0" collapsed="false">
      <c r="A8" s="10" t="s">
        <v>14</v>
      </c>
      <c r="B8" s="11" t="s">
        <v>15</v>
      </c>
      <c r="C8" s="11"/>
      <c r="D8" s="11"/>
      <c r="E8" s="11"/>
      <c r="F8" s="11"/>
    </row>
    <row r="9" customFormat="false" ht="23.25" hidden="false" customHeight="true" outlineLevel="0" collapsed="false">
      <c r="A9" s="10" t="s">
        <v>16</v>
      </c>
      <c r="B9" s="11" t="s">
        <v>17</v>
      </c>
      <c r="C9" s="11"/>
      <c r="D9" s="11"/>
      <c r="E9" s="11"/>
      <c r="F9" s="11"/>
    </row>
    <row r="10" customFormat="false" ht="23.25" hidden="false" customHeight="true" outlineLevel="0" collapsed="false">
      <c r="A10" s="10" t="s">
        <v>18</v>
      </c>
      <c r="B10" s="11" t="s">
        <v>19</v>
      </c>
      <c r="C10" s="11"/>
      <c r="D10" s="11"/>
      <c r="E10" s="11"/>
      <c r="F10" s="11"/>
    </row>
    <row r="11" customFormat="false" ht="23.25" hidden="false" customHeight="true" outlineLevel="0" collapsed="false">
      <c r="A11" s="10" t="s">
        <v>20</v>
      </c>
      <c r="B11" s="11" t="s">
        <v>21</v>
      </c>
      <c r="C11" s="11"/>
      <c r="D11" s="11"/>
      <c r="E11" s="11"/>
      <c r="F11" s="11"/>
    </row>
    <row r="12" customFormat="false" ht="15" hidden="false" customHeight="true" outlineLevel="0" collapsed="false">
      <c r="A12" s="10"/>
      <c r="B12" s="11"/>
      <c r="C12" s="11"/>
      <c r="D12" s="11"/>
      <c r="E12" s="11"/>
      <c r="F12" s="11"/>
    </row>
    <row r="13" customFormat="false" ht="15" hidden="false" customHeight="true" outlineLevel="0" collapsed="false">
      <c r="A13" s="12" t="s">
        <v>22</v>
      </c>
      <c r="B13" s="12"/>
      <c r="C13" s="12"/>
      <c r="D13" s="12"/>
      <c r="E13" s="12"/>
      <c r="F13" s="12"/>
    </row>
    <row r="14" customFormat="false" ht="15" hidden="false" customHeight="true" outlineLevel="0" collapsed="false">
      <c r="A14" s="10"/>
      <c r="B14" s="11" t="s">
        <v>23</v>
      </c>
      <c r="C14" s="11"/>
      <c r="D14" s="11"/>
      <c r="E14" s="11"/>
      <c r="F14" s="11"/>
    </row>
    <row r="15" customFormat="false" ht="15" hidden="false" customHeight="true" outlineLevel="0" collapsed="false">
      <c r="A15" s="10"/>
      <c r="B15" s="11" t="s">
        <v>24</v>
      </c>
      <c r="C15" s="11"/>
      <c r="D15" s="11"/>
      <c r="E15" s="11"/>
      <c r="F15" s="11"/>
    </row>
    <row r="16" customFormat="false" ht="15" hidden="false" customHeight="true" outlineLevel="0" collapsed="false">
      <c r="A16" s="10"/>
      <c r="B16" s="11" t="s">
        <v>25</v>
      </c>
      <c r="C16" s="11"/>
      <c r="D16" s="11"/>
      <c r="E16" s="11"/>
      <c r="F16" s="11"/>
    </row>
    <row r="17" customFormat="false" ht="15" hidden="false" customHeight="true" outlineLevel="0" collapsed="false">
      <c r="A17" s="10"/>
      <c r="B17" s="11" t="s">
        <v>26</v>
      </c>
      <c r="C17" s="11"/>
      <c r="D17" s="11"/>
      <c r="E17" s="11"/>
      <c r="F17" s="11"/>
    </row>
    <row r="18" customFormat="false" ht="15" hidden="false" customHeight="true" outlineLevel="0" collapsed="false">
      <c r="A18" s="10"/>
      <c r="B18" s="11" t="s">
        <v>27</v>
      </c>
      <c r="C18" s="11"/>
      <c r="D18" s="11"/>
      <c r="E18" s="11"/>
      <c r="F18" s="11"/>
    </row>
    <row r="19" customFormat="false" ht="15" hidden="false" customHeight="true" outlineLevel="0" collapsed="false">
      <c r="A19" s="10"/>
      <c r="B19" s="11"/>
      <c r="C19" s="11"/>
      <c r="D19" s="11"/>
      <c r="E19" s="11"/>
      <c r="F19" s="11"/>
    </row>
    <row r="20" customFormat="false" ht="15" hidden="false" customHeight="true" outlineLevel="0" collapsed="false">
      <c r="A20" s="12" t="s">
        <v>28</v>
      </c>
      <c r="B20" s="12"/>
      <c r="C20" s="12"/>
      <c r="D20" s="12"/>
      <c r="E20" s="12"/>
      <c r="F20" s="12"/>
    </row>
    <row r="21" customFormat="false" ht="23.25" hidden="false" customHeight="true" outlineLevel="0" collapsed="false">
      <c r="A21" s="13" t="s">
        <v>29</v>
      </c>
      <c r="B21" s="11" t="s">
        <v>30</v>
      </c>
      <c r="C21" s="11"/>
      <c r="D21" s="11"/>
      <c r="E21" s="11"/>
      <c r="F21" s="11"/>
    </row>
    <row r="22" customFormat="false" ht="23.25" hidden="false" customHeight="true" outlineLevel="0" collapsed="false">
      <c r="A22" s="13" t="s">
        <v>31</v>
      </c>
      <c r="B22" s="11" t="s">
        <v>32</v>
      </c>
      <c r="C22" s="11"/>
      <c r="D22" s="11"/>
      <c r="E22" s="11"/>
      <c r="F22" s="11"/>
    </row>
    <row r="23" customFormat="false" ht="23.25" hidden="false" customHeight="true" outlineLevel="0" collapsed="false">
      <c r="A23" s="13" t="s">
        <v>33</v>
      </c>
      <c r="B23" s="11" t="s">
        <v>34</v>
      </c>
      <c r="C23" s="11"/>
      <c r="D23" s="11"/>
      <c r="E23" s="11"/>
      <c r="F23" s="11"/>
    </row>
  </sheetData>
  <mergeCells count="22">
    <mergeCell ref="A1:F1"/>
    <mergeCell ref="B3:F3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A13:F13"/>
    <mergeCell ref="B14:F14"/>
    <mergeCell ref="B15:F15"/>
    <mergeCell ref="B16:F16"/>
    <mergeCell ref="B17:F17"/>
    <mergeCell ref="B18:F18"/>
    <mergeCell ref="B19:F19"/>
    <mergeCell ref="A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6" min="4" style="1" width="10"/>
    <col collapsed="false" customWidth="true" hidden="false" outlineLevel="0" max="7" min="7" style="1" width="32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true" outlineLevel="1" max="15" min="10" style="1" width="11"/>
  </cols>
  <sheetData>
    <row r="1" customFormat="false" ht="18" hidden="false" customHeight="true" outlineLevel="0" collapsed="false">
      <c r="A1" s="14" t="s">
        <v>35</v>
      </c>
      <c r="B1" s="14"/>
      <c r="C1" s="14"/>
      <c r="D1" s="14"/>
      <c r="E1" s="14"/>
      <c r="F1" s="14"/>
      <c r="G1" s="14"/>
      <c r="H1" s="14"/>
      <c r="I1" s="14"/>
      <c r="J1" s="15"/>
      <c r="K1" s="15"/>
      <c r="L1" s="15"/>
      <c r="M1" s="15"/>
      <c r="N1" s="15"/>
      <c r="O1" s="15"/>
    </row>
    <row r="3" customFormat="false" ht="54.75" hidden="false" customHeight="true" outlineLevel="0" collapsed="false">
      <c r="A3" s="16" t="s">
        <v>36</v>
      </c>
    </row>
    <row r="4" customFormat="false" ht="15" hidden="false" customHeight="true" outlineLevel="0" collapsed="false">
      <c r="B4" s="17" t="s">
        <v>37</v>
      </c>
      <c r="C4" s="17" t="s">
        <v>38</v>
      </c>
      <c r="D4" s="17" t="s">
        <v>39</v>
      </c>
      <c r="E4" s="17" t="s">
        <v>40</v>
      </c>
      <c r="F4" s="17" t="s">
        <v>41</v>
      </c>
      <c r="G4" s="17" t="s">
        <v>42</v>
      </c>
      <c r="H4" s="17" t="s">
        <v>43</v>
      </c>
      <c r="I4" s="17" t="s">
        <v>44</v>
      </c>
      <c r="J4" s="17" t="s">
        <v>45</v>
      </c>
      <c r="K4" s="17" t="s">
        <v>46</v>
      </c>
      <c r="L4" s="17" t="s">
        <v>47</v>
      </c>
      <c r="M4" s="17" t="s">
        <v>48</v>
      </c>
      <c r="N4" s="17" t="s">
        <v>49</v>
      </c>
    </row>
    <row r="5" customFormat="false" ht="15" hidden="false" customHeight="true" outlineLevel="0" collapsed="false">
      <c r="A5" s="18" t="s">
        <v>50</v>
      </c>
      <c r="B5" s="19" t="n">
        <f aca="false">SUMPRODUCT((MONTH(B13:B62)=1)*(B13:B62&lt;&gt;""))</f>
        <v>2</v>
      </c>
      <c r="C5" s="19" t="n">
        <f aca="false">SUMPRODUCT((MONTH(B13:B62)=2)*(B13:B62&lt;&gt;""))</f>
        <v>1</v>
      </c>
      <c r="D5" s="19" t="n">
        <f aca="false">SUMPRODUCT((MONTH(B13:B62)=3)*(B13:B62&lt;&gt;""))</f>
        <v>2</v>
      </c>
      <c r="E5" s="19" t="n">
        <f aca="false">SUMPRODUCT((MONTH(B13:B62)=4)*(B13:B62&lt;&gt;""))</f>
        <v>0</v>
      </c>
      <c r="F5" s="19" t="n">
        <f aca="false">SUMPRODUCT((MONTH(B13:B62)=5)*(B13:B62&lt;&gt;""))</f>
        <v>0</v>
      </c>
      <c r="G5" s="19" t="n">
        <f aca="false">SUMPRODUCT((MONTH(B13:B62)=6)*(B13:B62&lt;&gt;""))</f>
        <v>0</v>
      </c>
      <c r="H5" s="19" t="n">
        <f aca="false">SUMPRODUCT((MONTH(B13:B62)=7)*(B13:B62&lt;&gt;""))</f>
        <v>0</v>
      </c>
      <c r="I5" s="19" t="n">
        <f aca="false">SUMPRODUCT((MONTH(B13:B62)=8)*(B13:B62&lt;&gt;""))</f>
        <v>0</v>
      </c>
      <c r="J5" s="19" t="n">
        <f aca="false">SUMPRODUCT((MONTH(B13:B62)=9)*(B13:B62&lt;&gt;""))</f>
        <v>0</v>
      </c>
      <c r="K5" s="19" t="n">
        <f aca="false">SUMPRODUCT((MONTH(B13:B62)=10)*(B13:B62&lt;&gt;""))</f>
        <v>0</v>
      </c>
      <c r="L5" s="19" t="n">
        <f aca="false">SUMPRODUCT((MONTH(B13:B62)=11)*(B13:B62&lt;&gt;""))</f>
        <v>0</v>
      </c>
      <c r="M5" s="19" t="n">
        <f aca="false">SUMPRODUCT((MONTH(B13:B62)=12)*(B13:B62&lt;&gt;""))</f>
        <v>0</v>
      </c>
      <c r="N5" s="20" t="n">
        <f aca="false">SUM(B5:M5)</f>
        <v>5</v>
      </c>
    </row>
    <row r="6" customFormat="false" ht="23.25" hidden="false" customHeight="true" outlineLevel="0" collapsed="false">
      <c r="A6" s="18" t="s">
        <v>51</v>
      </c>
      <c r="B6" s="21" t="n">
        <f aca="false">SUMPRODUCT((MONTH(B13:B62)=1)*N(I13:I62))</f>
        <v>13.5</v>
      </c>
      <c r="C6" s="21" t="n">
        <f aca="false">SUMPRODUCT((MONTH(B13:B62)=2)*N(I13:I62))</f>
        <v>5</v>
      </c>
      <c r="D6" s="21" t="n">
        <f aca="false">SUMPRODUCT((MONTH(B13:B62)=3)*N(I13:I62))</f>
        <v>8</v>
      </c>
      <c r="E6" s="21" t="n">
        <f aca="false">SUMPRODUCT((MONTH(B13:B62)=4)*N(I13:I62))</f>
        <v>0</v>
      </c>
      <c r="F6" s="21" t="n">
        <f aca="false">SUMPRODUCT((MONTH(B13:B62)=5)*N(I13:I62))</f>
        <v>0</v>
      </c>
      <c r="G6" s="21" t="n">
        <f aca="false">SUMPRODUCT((MONTH(B13:B62)=6)*N(I13:I62))</f>
        <v>0</v>
      </c>
      <c r="H6" s="21" t="n">
        <f aca="false">SUMPRODUCT((MONTH(B13:B62)=7)*N(I13:I62))</f>
        <v>0</v>
      </c>
      <c r="I6" s="21" t="n">
        <f aca="false">SUMPRODUCT((MONTH(B13:B62)=8)*N(I13:I62))</f>
        <v>0</v>
      </c>
      <c r="J6" s="21" t="n">
        <f aca="false">SUMPRODUCT((MONTH(B13:B62)=9)*N(I13:I62))</f>
        <v>0</v>
      </c>
      <c r="K6" s="21" t="n">
        <f aca="false">SUMPRODUCT((MONTH(B13:B62)=10)*N(I13:I62))</f>
        <v>0</v>
      </c>
      <c r="L6" s="21" t="n">
        <f aca="false">SUMPRODUCT((MONTH(B13:B62)=11)*N(I13:I62))</f>
        <v>0</v>
      </c>
      <c r="M6" s="21" t="n">
        <f aca="false">SUMPRODUCT((MONTH(B13:B62)=12)*N(I13:I62))</f>
        <v>0</v>
      </c>
      <c r="N6" s="22" t="n">
        <f aca="false">SUM(B6:M6)</f>
        <v>26.5</v>
      </c>
    </row>
    <row r="7" customFormat="false" ht="23.25" hidden="false" customHeight="true" outlineLevel="0" collapsed="false">
      <c r="A7" s="18" t="s">
        <v>52</v>
      </c>
      <c r="B7" s="23" t="n">
        <f aca="false">SUMPRODUCT((MONTH(B13:B62)=1)*(H13:H62="Full Stop"))</f>
        <v>1</v>
      </c>
      <c r="C7" s="23" t="n">
        <f aca="false">SUMPRODUCT((MONTH(B13:B62)=2)*(H13:H62="Full Stop"))</f>
        <v>1</v>
      </c>
      <c r="D7" s="23" t="n">
        <f aca="false">SUMPRODUCT((MONTH(B13:B62)=3)*(H13:H62="Full Stop"))</f>
        <v>0</v>
      </c>
      <c r="E7" s="23" t="n">
        <f aca="false">SUMPRODUCT((MONTH(B13:B62)=4)*(H13:H62="Full Stop"))</f>
        <v>0</v>
      </c>
      <c r="F7" s="23" t="n">
        <f aca="false">SUMPRODUCT((MONTH(B13:B62)=5)*(H13:H62="Full Stop"))</f>
        <v>0</v>
      </c>
      <c r="G7" s="23" t="n">
        <f aca="false">SUMPRODUCT((MONTH(B13:B62)=6)*(H13:H62="Full Stop"))</f>
        <v>0</v>
      </c>
      <c r="H7" s="23" t="n">
        <f aca="false">SUMPRODUCT((MONTH(B13:B62)=7)*(H13:H62="Full Stop"))</f>
        <v>0</v>
      </c>
      <c r="I7" s="23" t="n">
        <f aca="false">SUMPRODUCT((MONTH(B13:B62)=8)*(H13:H62="Full Stop"))</f>
        <v>0</v>
      </c>
      <c r="J7" s="23" t="n">
        <f aca="false">SUMPRODUCT((MONTH(B13:B62)=9)*(H13:H62="Full Stop"))</f>
        <v>0</v>
      </c>
      <c r="K7" s="23" t="n">
        <f aca="false">SUMPRODUCT((MONTH(B13:B62)=10)*(H13:H62="Full Stop"))</f>
        <v>0</v>
      </c>
      <c r="L7" s="23" t="n">
        <f aca="false">SUMPRODUCT((MONTH(B13:B62)=11)*(H13:H62="Full Stop"))</f>
        <v>0</v>
      </c>
      <c r="M7" s="23" t="n">
        <f aca="false">SUMPRODUCT((MONTH(B13:B62)=12)*(H13:H62="Full Stop"))</f>
        <v>0</v>
      </c>
      <c r="N7" s="24" t="n">
        <f aca="false">SUM(B7:M7)</f>
        <v>2</v>
      </c>
    </row>
    <row r="9" customFormat="false" ht="15" hidden="false" customHeight="true" outlineLevel="0" collapsed="false">
      <c r="A9" s="25" t="s">
        <v>53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customFormat="false" ht="15" hidden="false" customHeight="true" outlineLevel="0" collapsed="false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customFormat="false" ht="32.25" hidden="false" customHeight="true" outlineLevel="0" collapsed="false">
      <c r="J11" s="27" t="s">
        <v>54</v>
      </c>
      <c r="K11" s="27"/>
      <c r="L11" s="27"/>
      <c r="M11" s="27"/>
      <c r="N11" s="27"/>
      <c r="O11" s="27"/>
    </row>
    <row r="12" customFormat="false" ht="27.75" hidden="false" customHeight="true" outlineLevel="0" collapsed="false">
      <c r="A12" s="28" t="s">
        <v>55</v>
      </c>
      <c r="B12" s="28" t="s">
        <v>56</v>
      </c>
      <c r="C12" s="28" t="s">
        <v>57</v>
      </c>
      <c r="D12" s="28" t="s">
        <v>58</v>
      </c>
      <c r="E12" s="28" t="s">
        <v>59</v>
      </c>
      <c r="F12" s="28" t="s">
        <v>60</v>
      </c>
      <c r="G12" s="28" t="s">
        <v>61</v>
      </c>
      <c r="H12" s="28" t="s">
        <v>62</v>
      </c>
      <c r="I12" s="28" t="s">
        <v>63</v>
      </c>
      <c r="J12" s="28" t="s">
        <v>64</v>
      </c>
      <c r="K12" s="28" t="s">
        <v>65</v>
      </c>
      <c r="L12" s="28" t="s">
        <v>66</v>
      </c>
      <c r="M12" s="28" t="s">
        <v>67</v>
      </c>
      <c r="N12" s="28" t="s">
        <v>68</v>
      </c>
      <c r="O12" s="28" t="s">
        <v>69</v>
      </c>
    </row>
    <row r="13" customFormat="false" ht="23.25" hidden="false" customHeight="true" outlineLevel="0" collapsed="false">
      <c r="A13" s="29" t="n">
        <f aca="false">IF(B13&lt;&gt;"",ROW()-12,"")</f>
        <v>1</v>
      </c>
      <c r="B13" s="30" t="n">
        <v>46030</v>
      </c>
      <c r="C13" s="31" t="s">
        <v>70</v>
      </c>
      <c r="D13" s="32" t="n">
        <v>0.25</v>
      </c>
      <c r="E13" s="32" t="n">
        <v>0.583333333333333</v>
      </c>
      <c r="F13" s="33" t="n">
        <f aca="false">IF(AND(D13&lt;&gt;"",E13&lt;&gt;""),E13-D13,"")</f>
        <v>0.333333333333333</v>
      </c>
      <c r="G13" s="31" t="s">
        <v>71</v>
      </c>
      <c r="H13" s="31" t="s">
        <v>72</v>
      </c>
      <c r="I13" s="34" t="n">
        <f aca="false">IF(AND(D13&lt;&gt;"",E13&lt;&gt;""),(E13-D13)*24,0)</f>
        <v>8</v>
      </c>
      <c r="J13" s="35" t="n">
        <v>35</v>
      </c>
      <c r="K13" s="36" t="n">
        <v>4</v>
      </c>
      <c r="L13" s="36" t="n">
        <v>22.5</v>
      </c>
      <c r="M13" s="31" t="s">
        <v>73</v>
      </c>
      <c r="N13" s="31" t="s">
        <v>74</v>
      </c>
      <c r="O13" s="31" t="s">
        <v>75</v>
      </c>
    </row>
    <row r="14" customFormat="false" ht="23.25" hidden="false" customHeight="true" outlineLevel="0" collapsed="false">
      <c r="A14" s="29" t="n">
        <f aca="false">IF(B14&lt;&gt;"",ROW()-12,"")</f>
        <v>2</v>
      </c>
      <c r="B14" s="37" t="n">
        <v>46044</v>
      </c>
      <c r="C14" s="38" t="s">
        <v>76</v>
      </c>
      <c r="D14" s="39" t="n">
        <v>0.4375</v>
      </c>
      <c r="E14" s="39" t="n">
        <v>0.666666666666667</v>
      </c>
      <c r="F14" s="33" t="n">
        <f aca="false">IF(AND(D14&lt;&gt;"",E14&lt;&gt;""),E14-D14,"")</f>
        <v>0.229166666666667</v>
      </c>
      <c r="G14" s="38" t="s">
        <v>77</v>
      </c>
      <c r="H14" s="38" t="s">
        <v>78</v>
      </c>
      <c r="I14" s="34" t="n">
        <f aca="false">IF(AND(D14&lt;&gt;"",E14&lt;&gt;""),(E14-D14)*24,0)</f>
        <v>5.5</v>
      </c>
      <c r="J14" s="35" t="n">
        <v>42</v>
      </c>
      <c r="K14" s="36" t="n">
        <v>7</v>
      </c>
      <c r="L14" s="36" t="n">
        <v>0</v>
      </c>
      <c r="M14" s="31" t="s">
        <v>79</v>
      </c>
      <c r="N14" s="31" t="s">
        <v>74</v>
      </c>
      <c r="O14" s="31" t="s">
        <v>80</v>
      </c>
    </row>
    <row r="15" customFormat="false" ht="23.25" hidden="false" customHeight="true" outlineLevel="0" collapsed="false">
      <c r="A15" s="29" t="n">
        <f aca="false">IF(B15&lt;&gt;"",ROW()-12,"")</f>
        <v>3</v>
      </c>
      <c r="B15" s="30" t="n">
        <v>46058</v>
      </c>
      <c r="C15" s="31" t="s">
        <v>81</v>
      </c>
      <c r="D15" s="32" t="n">
        <v>0.25</v>
      </c>
      <c r="E15" s="32" t="n">
        <v>0.458333333333333</v>
      </c>
      <c r="F15" s="33" t="n">
        <f aca="false">IF(AND(D15&lt;&gt;"",E15&lt;&gt;""),E15-D15,"")</f>
        <v>0.208333333333333</v>
      </c>
      <c r="G15" s="31" t="s">
        <v>82</v>
      </c>
      <c r="H15" s="31" t="s">
        <v>72</v>
      </c>
      <c r="I15" s="34" t="n">
        <f aca="false">IF(AND(D15&lt;&gt;"",E15&lt;&gt;""),(E15-D15)*24,0)</f>
        <v>5</v>
      </c>
      <c r="J15" s="35" t="n">
        <v>0</v>
      </c>
      <c r="K15" s="36" t="n">
        <v>-3</v>
      </c>
      <c r="L15" s="36" t="n">
        <v>0</v>
      </c>
      <c r="M15" s="31" t="s">
        <v>83</v>
      </c>
      <c r="N15" s="31" t="s">
        <v>74</v>
      </c>
      <c r="O15" s="31" t="s">
        <v>84</v>
      </c>
    </row>
    <row r="16" customFormat="false" ht="23.25" hidden="false" customHeight="true" outlineLevel="0" collapsed="false">
      <c r="A16" s="29" t="n">
        <f aca="false">IF(B16&lt;&gt;"",ROW()-12,"")</f>
        <v>4</v>
      </c>
      <c r="B16" s="37" t="n">
        <v>46093</v>
      </c>
      <c r="C16" s="38" t="s">
        <v>85</v>
      </c>
      <c r="D16" s="39" t="n">
        <v>0.541666666666667</v>
      </c>
      <c r="E16" s="39" t="n">
        <v>0.729166666666667</v>
      </c>
      <c r="F16" s="33" t="n">
        <f aca="false">IF(AND(D16&lt;&gt;"",E16&lt;&gt;""),E16-D16,"")</f>
        <v>0.1875</v>
      </c>
      <c r="G16" s="38" t="s">
        <v>86</v>
      </c>
      <c r="H16" s="38" t="s">
        <v>78</v>
      </c>
      <c r="I16" s="34" t="n">
        <f aca="false">IF(AND(D16&lt;&gt;"",E16&lt;&gt;""),(E16-D16)*24,0)</f>
        <v>4.5</v>
      </c>
      <c r="J16" s="35" t="n">
        <v>55</v>
      </c>
      <c r="K16" s="36" t="n">
        <v>9</v>
      </c>
      <c r="L16" s="36" t="n">
        <v>8</v>
      </c>
      <c r="M16" s="31"/>
      <c r="N16" s="31" t="s">
        <v>87</v>
      </c>
      <c r="O16" s="31" t="s">
        <v>88</v>
      </c>
    </row>
    <row r="17" customFormat="false" ht="23.25" hidden="false" customHeight="true" outlineLevel="0" collapsed="false">
      <c r="A17" s="29" t="n">
        <f aca="false">IF(B17&lt;&gt;"",ROW()-12,"")</f>
        <v>5</v>
      </c>
      <c r="B17" s="30" t="n">
        <v>46100</v>
      </c>
      <c r="C17" s="31" t="s">
        <v>89</v>
      </c>
      <c r="D17" s="32" t="n">
        <v>0.25</v>
      </c>
      <c r="E17" s="32" t="n">
        <v>0.395833333333333</v>
      </c>
      <c r="F17" s="33" t="n">
        <f aca="false">IF(AND(D17&lt;&gt;"",E17&lt;&gt;""),E17-D17,"")</f>
        <v>0.145833333333333</v>
      </c>
      <c r="G17" s="31" t="s">
        <v>90</v>
      </c>
      <c r="H17" s="31" t="s">
        <v>91</v>
      </c>
      <c r="I17" s="34" t="n">
        <f aca="false">IF(AND(D17&lt;&gt;"",E17&lt;&gt;""),(E17-D17)*24,0)</f>
        <v>3.5</v>
      </c>
      <c r="J17" s="35" t="n">
        <v>0</v>
      </c>
      <c r="K17" s="36" t="n">
        <v>5</v>
      </c>
      <c r="L17" s="36" t="n">
        <v>0</v>
      </c>
      <c r="M17" s="31"/>
      <c r="N17" s="31" t="s">
        <v>92</v>
      </c>
      <c r="O17" s="31"/>
    </row>
    <row r="18" customFormat="false" ht="15" hidden="false" customHeight="true" outlineLevel="0" collapsed="false">
      <c r="A18" s="29" t="str">
        <f aca="false">IF(B18&lt;&gt;"",ROW()-12,"")</f>
        <v/>
      </c>
      <c r="B18" s="37"/>
      <c r="C18" s="38"/>
      <c r="D18" s="39"/>
      <c r="E18" s="39"/>
      <c r="F18" s="33" t="str">
        <f aca="false">IF(AND(D18&lt;&gt;"",E18&lt;&gt;""),E18-D18,"")</f>
        <v/>
      </c>
      <c r="G18" s="38"/>
      <c r="H18" s="38"/>
      <c r="I18" s="34" t="n">
        <f aca="false">IF(AND(D18&lt;&gt;"",E18&lt;&gt;""),(E18-D18)*24,0)</f>
        <v>0</v>
      </c>
      <c r="J18" s="35"/>
      <c r="K18" s="36"/>
      <c r="L18" s="36"/>
      <c r="M18" s="31"/>
      <c r="N18" s="31"/>
      <c r="O18" s="31"/>
    </row>
    <row r="19" customFormat="false" ht="15" hidden="false" customHeight="true" outlineLevel="0" collapsed="false">
      <c r="A19" s="29" t="str">
        <f aca="false">IF(B19&lt;&gt;"",ROW()-12,"")</f>
        <v/>
      </c>
      <c r="B19" s="30"/>
      <c r="C19" s="31"/>
      <c r="D19" s="32"/>
      <c r="E19" s="32"/>
      <c r="F19" s="33" t="str">
        <f aca="false">IF(AND(D19&lt;&gt;"",E19&lt;&gt;""),E19-D19,"")</f>
        <v/>
      </c>
      <c r="G19" s="31"/>
      <c r="H19" s="31"/>
      <c r="I19" s="34" t="n">
        <f aca="false">IF(AND(D19&lt;&gt;"",E19&lt;&gt;""),(E19-D19)*24,0)</f>
        <v>0</v>
      </c>
      <c r="J19" s="35"/>
      <c r="K19" s="36"/>
      <c r="L19" s="36"/>
      <c r="M19" s="31"/>
      <c r="N19" s="31"/>
      <c r="O19" s="31"/>
    </row>
    <row r="20" customFormat="false" ht="15" hidden="false" customHeight="true" outlineLevel="0" collapsed="false">
      <c r="A20" s="29" t="str">
        <f aca="false">IF(B20&lt;&gt;"",ROW()-12,"")</f>
        <v/>
      </c>
      <c r="B20" s="37"/>
      <c r="C20" s="38"/>
      <c r="D20" s="39"/>
      <c r="E20" s="39"/>
      <c r="F20" s="33" t="str">
        <f aca="false">IF(AND(D20&lt;&gt;"",E20&lt;&gt;""),E20-D20,"")</f>
        <v/>
      </c>
      <c r="G20" s="38"/>
      <c r="H20" s="38"/>
      <c r="I20" s="34" t="n">
        <f aca="false">IF(AND(D20&lt;&gt;"",E20&lt;&gt;""),(E20-D20)*24,0)</f>
        <v>0</v>
      </c>
      <c r="J20" s="35"/>
      <c r="K20" s="36"/>
      <c r="L20" s="36"/>
      <c r="M20" s="31"/>
      <c r="N20" s="31"/>
      <c r="O20" s="31"/>
    </row>
    <row r="21" customFormat="false" ht="15" hidden="false" customHeight="true" outlineLevel="0" collapsed="false">
      <c r="A21" s="29" t="str">
        <f aca="false">IF(B21&lt;&gt;"",ROW()-12,"")</f>
        <v/>
      </c>
      <c r="B21" s="30"/>
      <c r="C21" s="31"/>
      <c r="D21" s="32"/>
      <c r="E21" s="32"/>
      <c r="F21" s="33" t="str">
        <f aca="false">IF(AND(D21&lt;&gt;"",E21&lt;&gt;""),E21-D21,"")</f>
        <v/>
      </c>
      <c r="G21" s="31"/>
      <c r="H21" s="31"/>
      <c r="I21" s="34" t="n">
        <f aca="false">IF(AND(D21&lt;&gt;"",E21&lt;&gt;""),(E21-D21)*24,0)</f>
        <v>0</v>
      </c>
      <c r="J21" s="35"/>
      <c r="K21" s="36"/>
      <c r="L21" s="36"/>
      <c r="M21" s="31"/>
      <c r="N21" s="31"/>
      <c r="O21" s="31"/>
    </row>
    <row r="22" customFormat="false" ht="15" hidden="false" customHeight="true" outlineLevel="0" collapsed="false">
      <c r="A22" s="29" t="str">
        <f aca="false">IF(B22&lt;&gt;"",ROW()-12,"")</f>
        <v/>
      </c>
      <c r="B22" s="37"/>
      <c r="C22" s="38"/>
      <c r="D22" s="39"/>
      <c r="E22" s="39"/>
      <c r="F22" s="33" t="str">
        <f aca="false">IF(AND(D22&lt;&gt;"",E22&lt;&gt;""),E22-D22,"")</f>
        <v/>
      </c>
      <c r="G22" s="38"/>
      <c r="H22" s="38"/>
      <c r="I22" s="34" t="n">
        <f aca="false">IF(AND(D22&lt;&gt;"",E22&lt;&gt;""),(E22-D22)*24,0)</f>
        <v>0</v>
      </c>
      <c r="J22" s="35"/>
      <c r="K22" s="36"/>
      <c r="L22" s="36"/>
      <c r="M22" s="31"/>
      <c r="N22" s="31"/>
      <c r="O22" s="31"/>
    </row>
    <row r="23" customFormat="false" ht="15" hidden="false" customHeight="true" outlineLevel="0" collapsed="false">
      <c r="A23" s="29" t="str">
        <f aca="false">IF(B23&lt;&gt;"",ROW()-12,"")</f>
        <v/>
      </c>
      <c r="B23" s="30"/>
      <c r="C23" s="31"/>
      <c r="D23" s="32"/>
      <c r="E23" s="32"/>
      <c r="F23" s="33" t="str">
        <f aca="false">IF(AND(D23&lt;&gt;"",E23&lt;&gt;""),E23-D23,"")</f>
        <v/>
      </c>
      <c r="G23" s="31"/>
      <c r="H23" s="31"/>
      <c r="I23" s="34" t="n">
        <f aca="false">IF(AND(D23&lt;&gt;"",E23&lt;&gt;""),(E23-D23)*24,0)</f>
        <v>0</v>
      </c>
      <c r="J23" s="35"/>
      <c r="K23" s="36"/>
      <c r="L23" s="36"/>
      <c r="M23" s="31"/>
      <c r="N23" s="31"/>
      <c r="O23" s="31"/>
    </row>
    <row r="24" customFormat="false" ht="15" hidden="false" customHeight="true" outlineLevel="0" collapsed="false">
      <c r="A24" s="29" t="str">
        <f aca="false">IF(B24&lt;&gt;"",ROW()-12,"")</f>
        <v/>
      </c>
      <c r="B24" s="37"/>
      <c r="C24" s="38"/>
      <c r="D24" s="39"/>
      <c r="E24" s="39"/>
      <c r="F24" s="33" t="str">
        <f aca="false">IF(AND(D24&lt;&gt;"",E24&lt;&gt;""),E24-D24,"")</f>
        <v/>
      </c>
      <c r="G24" s="38"/>
      <c r="H24" s="38"/>
      <c r="I24" s="34" t="n">
        <f aca="false">IF(AND(D24&lt;&gt;"",E24&lt;&gt;""),(E24-D24)*24,0)</f>
        <v>0</v>
      </c>
      <c r="J24" s="35"/>
      <c r="K24" s="36"/>
      <c r="L24" s="36"/>
      <c r="M24" s="31"/>
      <c r="N24" s="31"/>
      <c r="O24" s="31"/>
    </row>
    <row r="25" customFormat="false" ht="15" hidden="false" customHeight="true" outlineLevel="0" collapsed="false">
      <c r="A25" s="29" t="str">
        <f aca="false">IF(B25&lt;&gt;"",ROW()-12,"")</f>
        <v/>
      </c>
      <c r="B25" s="30"/>
      <c r="C25" s="31"/>
      <c r="D25" s="32"/>
      <c r="E25" s="32"/>
      <c r="F25" s="33" t="str">
        <f aca="false">IF(AND(D25&lt;&gt;"",E25&lt;&gt;""),E25-D25,"")</f>
        <v/>
      </c>
      <c r="G25" s="31"/>
      <c r="H25" s="31"/>
      <c r="I25" s="34" t="n">
        <f aca="false">IF(AND(D25&lt;&gt;"",E25&lt;&gt;""),(E25-D25)*24,0)</f>
        <v>0</v>
      </c>
      <c r="J25" s="35"/>
      <c r="K25" s="36"/>
      <c r="L25" s="36"/>
      <c r="M25" s="31"/>
      <c r="N25" s="31"/>
      <c r="O25" s="31"/>
    </row>
    <row r="26" customFormat="false" ht="15" hidden="false" customHeight="true" outlineLevel="0" collapsed="false">
      <c r="A26" s="29" t="str">
        <f aca="false">IF(B26&lt;&gt;"",ROW()-12,"")</f>
        <v/>
      </c>
      <c r="B26" s="37"/>
      <c r="C26" s="38"/>
      <c r="D26" s="39"/>
      <c r="E26" s="39"/>
      <c r="F26" s="33" t="str">
        <f aca="false">IF(AND(D26&lt;&gt;"",E26&lt;&gt;""),E26-D26,"")</f>
        <v/>
      </c>
      <c r="G26" s="38"/>
      <c r="H26" s="38"/>
      <c r="I26" s="34" t="n">
        <f aca="false">IF(AND(D26&lt;&gt;"",E26&lt;&gt;""),(E26-D26)*24,0)</f>
        <v>0</v>
      </c>
      <c r="J26" s="35"/>
      <c r="K26" s="36"/>
      <c r="L26" s="36"/>
      <c r="M26" s="31"/>
      <c r="N26" s="31"/>
      <c r="O26" s="31"/>
    </row>
    <row r="27" customFormat="false" ht="15" hidden="false" customHeight="true" outlineLevel="0" collapsed="false">
      <c r="A27" s="29" t="str">
        <f aca="false">IF(B27&lt;&gt;"",ROW()-12,"")</f>
        <v/>
      </c>
      <c r="B27" s="30"/>
      <c r="C27" s="31"/>
      <c r="D27" s="32"/>
      <c r="E27" s="32"/>
      <c r="F27" s="33" t="str">
        <f aca="false">IF(AND(D27&lt;&gt;"",E27&lt;&gt;""),E27-D27,"")</f>
        <v/>
      </c>
      <c r="G27" s="31"/>
      <c r="H27" s="31"/>
      <c r="I27" s="34" t="n">
        <f aca="false">IF(AND(D27&lt;&gt;"",E27&lt;&gt;""),(E27-D27)*24,0)</f>
        <v>0</v>
      </c>
      <c r="J27" s="35"/>
      <c r="K27" s="36"/>
      <c r="L27" s="36"/>
      <c r="M27" s="31"/>
      <c r="N27" s="31"/>
      <c r="O27" s="31"/>
    </row>
    <row r="28" customFormat="false" ht="15" hidden="false" customHeight="true" outlineLevel="0" collapsed="false">
      <c r="A28" s="29" t="str">
        <f aca="false">IF(B28&lt;&gt;"",ROW()-12,"")</f>
        <v/>
      </c>
      <c r="B28" s="37"/>
      <c r="C28" s="38"/>
      <c r="D28" s="39"/>
      <c r="E28" s="39"/>
      <c r="F28" s="33" t="str">
        <f aca="false">IF(AND(D28&lt;&gt;"",E28&lt;&gt;""),E28-D28,"")</f>
        <v/>
      </c>
      <c r="G28" s="38"/>
      <c r="H28" s="38"/>
      <c r="I28" s="34" t="n">
        <f aca="false">IF(AND(D28&lt;&gt;"",E28&lt;&gt;""),(E28-D28)*24,0)</f>
        <v>0</v>
      </c>
      <c r="J28" s="35"/>
      <c r="K28" s="36"/>
      <c r="L28" s="36"/>
      <c r="M28" s="31"/>
      <c r="N28" s="31"/>
      <c r="O28" s="31"/>
    </row>
    <row r="29" customFormat="false" ht="15" hidden="false" customHeight="true" outlineLevel="0" collapsed="false">
      <c r="A29" s="29" t="str">
        <f aca="false">IF(B29&lt;&gt;"",ROW()-12,"")</f>
        <v/>
      </c>
      <c r="B29" s="30"/>
      <c r="C29" s="31"/>
      <c r="D29" s="32"/>
      <c r="E29" s="32"/>
      <c r="F29" s="33" t="str">
        <f aca="false">IF(AND(D29&lt;&gt;"",E29&lt;&gt;""),E29-D29,"")</f>
        <v/>
      </c>
      <c r="G29" s="31"/>
      <c r="H29" s="31"/>
      <c r="I29" s="34" t="n">
        <f aca="false">IF(AND(D29&lt;&gt;"",E29&lt;&gt;""),(E29-D29)*24,0)</f>
        <v>0</v>
      </c>
      <c r="J29" s="35"/>
      <c r="K29" s="36"/>
      <c r="L29" s="36"/>
      <c r="M29" s="31"/>
      <c r="N29" s="31"/>
      <c r="O29" s="31"/>
    </row>
    <row r="30" customFormat="false" ht="15" hidden="false" customHeight="true" outlineLevel="0" collapsed="false">
      <c r="A30" s="29" t="str">
        <f aca="false">IF(B30&lt;&gt;"",ROW()-12,"")</f>
        <v/>
      </c>
      <c r="B30" s="37"/>
      <c r="C30" s="38"/>
      <c r="D30" s="39"/>
      <c r="E30" s="39"/>
      <c r="F30" s="33" t="str">
        <f aca="false">IF(AND(D30&lt;&gt;"",E30&lt;&gt;""),E30-D30,"")</f>
        <v/>
      </c>
      <c r="G30" s="38"/>
      <c r="H30" s="38"/>
      <c r="I30" s="34" t="n">
        <f aca="false">IF(AND(D30&lt;&gt;"",E30&lt;&gt;""),(E30-D30)*24,0)</f>
        <v>0</v>
      </c>
      <c r="J30" s="35"/>
      <c r="K30" s="36"/>
      <c r="L30" s="36"/>
      <c r="M30" s="31"/>
      <c r="N30" s="31"/>
      <c r="O30" s="31"/>
    </row>
    <row r="31" customFormat="false" ht="15" hidden="false" customHeight="true" outlineLevel="0" collapsed="false">
      <c r="A31" s="29" t="str">
        <f aca="false">IF(B31&lt;&gt;"",ROW()-12,"")</f>
        <v/>
      </c>
      <c r="B31" s="30"/>
      <c r="C31" s="31"/>
      <c r="D31" s="32"/>
      <c r="E31" s="32"/>
      <c r="F31" s="33" t="str">
        <f aca="false">IF(AND(D31&lt;&gt;"",E31&lt;&gt;""),E31-D31,"")</f>
        <v/>
      </c>
      <c r="G31" s="31"/>
      <c r="H31" s="31"/>
      <c r="I31" s="34" t="n">
        <f aca="false">IF(AND(D31&lt;&gt;"",E31&lt;&gt;""),(E31-D31)*24,0)</f>
        <v>0</v>
      </c>
      <c r="J31" s="35"/>
      <c r="K31" s="36"/>
      <c r="L31" s="36"/>
      <c r="M31" s="31"/>
      <c r="N31" s="31"/>
      <c r="O31" s="31"/>
    </row>
    <row r="32" customFormat="false" ht="15" hidden="false" customHeight="true" outlineLevel="0" collapsed="false">
      <c r="A32" s="29" t="str">
        <f aca="false">IF(B32&lt;&gt;"",ROW()-12,"")</f>
        <v/>
      </c>
      <c r="B32" s="37"/>
      <c r="C32" s="38"/>
      <c r="D32" s="39"/>
      <c r="E32" s="39"/>
      <c r="F32" s="33" t="str">
        <f aca="false">IF(AND(D32&lt;&gt;"",E32&lt;&gt;""),E32-D32,"")</f>
        <v/>
      </c>
      <c r="G32" s="38"/>
      <c r="H32" s="38"/>
      <c r="I32" s="34" t="n">
        <f aca="false">IF(AND(D32&lt;&gt;"",E32&lt;&gt;""),(E32-D32)*24,0)</f>
        <v>0</v>
      </c>
      <c r="J32" s="35"/>
      <c r="K32" s="36"/>
      <c r="L32" s="36"/>
      <c r="M32" s="31"/>
      <c r="N32" s="31"/>
      <c r="O32" s="31"/>
    </row>
    <row r="33" customFormat="false" ht="15" hidden="false" customHeight="true" outlineLevel="0" collapsed="false">
      <c r="A33" s="29" t="str">
        <f aca="false">IF(B33&lt;&gt;"",ROW()-12,"")</f>
        <v/>
      </c>
      <c r="B33" s="30"/>
      <c r="C33" s="31"/>
      <c r="D33" s="32"/>
      <c r="E33" s="32"/>
      <c r="F33" s="33" t="str">
        <f aca="false">IF(AND(D33&lt;&gt;"",E33&lt;&gt;""),E33-D33,"")</f>
        <v/>
      </c>
      <c r="G33" s="31"/>
      <c r="H33" s="31"/>
      <c r="I33" s="34" t="n">
        <f aca="false">IF(AND(D33&lt;&gt;"",E33&lt;&gt;""),(E33-D33)*24,0)</f>
        <v>0</v>
      </c>
      <c r="J33" s="35"/>
      <c r="K33" s="36"/>
      <c r="L33" s="36"/>
      <c r="M33" s="31"/>
      <c r="N33" s="31"/>
      <c r="O33" s="31"/>
    </row>
    <row r="34" customFormat="false" ht="15" hidden="false" customHeight="true" outlineLevel="0" collapsed="false">
      <c r="A34" s="29" t="str">
        <f aca="false">IF(B34&lt;&gt;"",ROW()-12,"")</f>
        <v/>
      </c>
      <c r="B34" s="37"/>
      <c r="C34" s="38"/>
      <c r="D34" s="39"/>
      <c r="E34" s="39"/>
      <c r="F34" s="33" t="str">
        <f aca="false">IF(AND(D34&lt;&gt;"",E34&lt;&gt;""),E34-D34,"")</f>
        <v/>
      </c>
      <c r="G34" s="38"/>
      <c r="H34" s="38"/>
      <c r="I34" s="34" t="n">
        <f aca="false">IF(AND(D34&lt;&gt;"",E34&lt;&gt;""),(E34-D34)*24,0)</f>
        <v>0</v>
      </c>
      <c r="J34" s="35"/>
      <c r="K34" s="36"/>
      <c r="L34" s="36"/>
      <c r="M34" s="31"/>
      <c r="N34" s="31"/>
      <c r="O34" s="31"/>
    </row>
    <row r="35" customFormat="false" ht="15" hidden="false" customHeight="true" outlineLevel="0" collapsed="false">
      <c r="A35" s="29" t="str">
        <f aca="false">IF(B35&lt;&gt;"",ROW()-12,"")</f>
        <v/>
      </c>
      <c r="B35" s="30"/>
      <c r="C35" s="31"/>
      <c r="D35" s="32"/>
      <c r="E35" s="32"/>
      <c r="F35" s="33" t="str">
        <f aca="false">IF(AND(D35&lt;&gt;"",E35&lt;&gt;""),E35-D35,"")</f>
        <v/>
      </c>
      <c r="G35" s="31"/>
      <c r="H35" s="31"/>
      <c r="I35" s="34" t="n">
        <f aca="false">IF(AND(D35&lt;&gt;"",E35&lt;&gt;""),(E35-D35)*24,0)</f>
        <v>0</v>
      </c>
      <c r="J35" s="35"/>
      <c r="K35" s="36"/>
      <c r="L35" s="36"/>
      <c r="M35" s="31"/>
      <c r="N35" s="31"/>
      <c r="O35" s="31"/>
    </row>
    <row r="36" customFormat="false" ht="15" hidden="false" customHeight="true" outlineLevel="0" collapsed="false">
      <c r="A36" s="29" t="str">
        <f aca="false">IF(B36&lt;&gt;"",ROW()-12,"")</f>
        <v/>
      </c>
      <c r="B36" s="37"/>
      <c r="C36" s="38"/>
      <c r="D36" s="39"/>
      <c r="E36" s="39"/>
      <c r="F36" s="33" t="str">
        <f aca="false">IF(AND(D36&lt;&gt;"",E36&lt;&gt;""),E36-D36,"")</f>
        <v/>
      </c>
      <c r="G36" s="38"/>
      <c r="H36" s="38"/>
      <c r="I36" s="34" t="n">
        <f aca="false">IF(AND(D36&lt;&gt;"",E36&lt;&gt;""),(E36-D36)*24,0)</f>
        <v>0</v>
      </c>
      <c r="J36" s="35"/>
      <c r="K36" s="36"/>
      <c r="L36" s="36"/>
      <c r="M36" s="31"/>
      <c r="N36" s="31"/>
      <c r="O36" s="31"/>
    </row>
    <row r="37" customFormat="false" ht="15" hidden="false" customHeight="true" outlineLevel="0" collapsed="false">
      <c r="A37" s="29" t="str">
        <f aca="false">IF(B37&lt;&gt;"",ROW()-12,"")</f>
        <v/>
      </c>
      <c r="B37" s="30"/>
      <c r="C37" s="31"/>
      <c r="D37" s="32"/>
      <c r="E37" s="32"/>
      <c r="F37" s="33" t="str">
        <f aca="false">IF(AND(D37&lt;&gt;"",E37&lt;&gt;""),E37-D37,"")</f>
        <v/>
      </c>
      <c r="G37" s="31"/>
      <c r="H37" s="31"/>
      <c r="I37" s="34" t="n">
        <f aca="false">IF(AND(D37&lt;&gt;"",E37&lt;&gt;""),(E37-D37)*24,0)</f>
        <v>0</v>
      </c>
      <c r="J37" s="35"/>
      <c r="K37" s="36"/>
      <c r="L37" s="36"/>
      <c r="M37" s="31"/>
      <c r="N37" s="31"/>
      <c r="O37" s="31"/>
    </row>
    <row r="38" customFormat="false" ht="15" hidden="false" customHeight="true" outlineLevel="0" collapsed="false">
      <c r="A38" s="29" t="str">
        <f aca="false">IF(B38&lt;&gt;"",ROW()-12,"")</f>
        <v/>
      </c>
      <c r="B38" s="37"/>
      <c r="C38" s="38"/>
      <c r="D38" s="39"/>
      <c r="E38" s="39"/>
      <c r="F38" s="33" t="str">
        <f aca="false">IF(AND(D38&lt;&gt;"",E38&lt;&gt;""),E38-D38,"")</f>
        <v/>
      </c>
      <c r="G38" s="38"/>
      <c r="H38" s="38"/>
      <c r="I38" s="34" t="n">
        <f aca="false">IF(AND(D38&lt;&gt;"",E38&lt;&gt;""),(E38-D38)*24,0)</f>
        <v>0</v>
      </c>
      <c r="J38" s="35"/>
      <c r="K38" s="36"/>
      <c r="L38" s="36"/>
      <c r="M38" s="31"/>
      <c r="N38" s="31"/>
      <c r="O38" s="31"/>
    </row>
    <row r="39" customFormat="false" ht="15" hidden="false" customHeight="true" outlineLevel="0" collapsed="false">
      <c r="A39" s="29" t="str">
        <f aca="false">IF(B39&lt;&gt;"",ROW()-12,"")</f>
        <v/>
      </c>
      <c r="B39" s="30"/>
      <c r="C39" s="31"/>
      <c r="D39" s="32"/>
      <c r="E39" s="32"/>
      <c r="F39" s="33" t="str">
        <f aca="false">IF(AND(D39&lt;&gt;"",E39&lt;&gt;""),E39-D39,"")</f>
        <v/>
      </c>
      <c r="G39" s="31"/>
      <c r="H39" s="31"/>
      <c r="I39" s="34" t="n">
        <f aca="false">IF(AND(D39&lt;&gt;"",E39&lt;&gt;""),(E39-D39)*24,0)</f>
        <v>0</v>
      </c>
      <c r="J39" s="35"/>
      <c r="K39" s="36"/>
      <c r="L39" s="36"/>
      <c r="M39" s="31"/>
      <c r="N39" s="31"/>
      <c r="O39" s="31"/>
    </row>
    <row r="40" customFormat="false" ht="15" hidden="false" customHeight="true" outlineLevel="0" collapsed="false">
      <c r="A40" s="29" t="str">
        <f aca="false">IF(B40&lt;&gt;"",ROW()-12,"")</f>
        <v/>
      </c>
      <c r="B40" s="37"/>
      <c r="C40" s="38"/>
      <c r="D40" s="39"/>
      <c r="E40" s="39"/>
      <c r="F40" s="33" t="str">
        <f aca="false">IF(AND(D40&lt;&gt;"",E40&lt;&gt;""),E40-D40,"")</f>
        <v/>
      </c>
      <c r="G40" s="38"/>
      <c r="H40" s="38"/>
      <c r="I40" s="34" t="n">
        <f aca="false">IF(AND(D40&lt;&gt;"",E40&lt;&gt;""),(E40-D40)*24,0)</f>
        <v>0</v>
      </c>
      <c r="J40" s="35"/>
      <c r="K40" s="36"/>
      <c r="L40" s="36"/>
      <c r="M40" s="31"/>
      <c r="N40" s="31"/>
      <c r="O40" s="31"/>
    </row>
    <row r="41" customFormat="false" ht="15" hidden="false" customHeight="true" outlineLevel="0" collapsed="false">
      <c r="A41" s="29" t="str">
        <f aca="false">IF(B41&lt;&gt;"",ROW()-12,"")</f>
        <v/>
      </c>
      <c r="B41" s="30"/>
      <c r="C41" s="31"/>
      <c r="D41" s="32"/>
      <c r="E41" s="32"/>
      <c r="F41" s="33" t="str">
        <f aca="false">IF(AND(D41&lt;&gt;"",E41&lt;&gt;""),E41-D41,"")</f>
        <v/>
      </c>
      <c r="G41" s="31"/>
      <c r="H41" s="31"/>
      <c r="I41" s="34" t="n">
        <f aca="false">IF(AND(D41&lt;&gt;"",E41&lt;&gt;""),(E41-D41)*24,0)</f>
        <v>0</v>
      </c>
      <c r="J41" s="35"/>
      <c r="K41" s="36"/>
      <c r="L41" s="36"/>
      <c r="M41" s="31"/>
      <c r="N41" s="31"/>
      <c r="O41" s="31"/>
    </row>
    <row r="42" customFormat="false" ht="15" hidden="false" customHeight="true" outlineLevel="0" collapsed="false">
      <c r="A42" s="29" t="str">
        <f aca="false">IF(B42&lt;&gt;"",ROW()-12,"")</f>
        <v/>
      </c>
      <c r="B42" s="37"/>
      <c r="C42" s="38"/>
      <c r="D42" s="39"/>
      <c r="E42" s="39"/>
      <c r="F42" s="33" t="str">
        <f aca="false">IF(AND(D42&lt;&gt;"",E42&lt;&gt;""),E42-D42,"")</f>
        <v/>
      </c>
      <c r="G42" s="38"/>
      <c r="H42" s="38"/>
      <c r="I42" s="34" t="n">
        <f aca="false">IF(AND(D42&lt;&gt;"",E42&lt;&gt;""),(E42-D42)*24,0)</f>
        <v>0</v>
      </c>
      <c r="J42" s="35"/>
      <c r="K42" s="36"/>
      <c r="L42" s="36"/>
      <c r="M42" s="31"/>
      <c r="N42" s="31"/>
      <c r="O42" s="31"/>
    </row>
    <row r="43" customFormat="false" ht="15" hidden="false" customHeight="true" outlineLevel="0" collapsed="false">
      <c r="A43" s="29" t="str">
        <f aca="false">IF(B43&lt;&gt;"",ROW()-12,"")</f>
        <v/>
      </c>
      <c r="B43" s="30"/>
      <c r="C43" s="31"/>
      <c r="D43" s="32"/>
      <c r="E43" s="32"/>
      <c r="F43" s="33" t="str">
        <f aca="false">IF(AND(D43&lt;&gt;"",E43&lt;&gt;""),E43-D43,"")</f>
        <v/>
      </c>
      <c r="G43" s="31"/>
      <c r="H43" s="31"/>
      <c r="I43" s="34" t="n">
        <f aca="false">IF(AND(D43&lt;&gt;"",E43&lt;&gt;""),(E43-D43)*24,0)</f>
        <v>0</v>
      </c>
      <c r="J43" s="35"/>
      <c r="K43" s="36"/>
      <c r="L43" s="36"/>
      <c r="M43" s="31"/>
      <c r="N43" s="31"/>
      <c r="O43" s="31"/>
    </row>
    <row r="44" customFormat="false" ht="15" hidden="false" customHeight="true" outlineLevel="0" collapsed="false">
      <c r="A44" s="29" t="str">
        <f aca="false">IF(B44&lt;&gt;"",ROW()-12,"")</f>
        <v/>
      </c>
      <c r="B44" s="37"/>
      <c r="C44" s="38"/>
      <c r="D44" s="39"/>
      <c r="E44" s="39"/>
      <c r="F44" s="33" t="str">
        <f aca="false">IF(AND(D44&lt;&gt;"",E44&lt;&gt;""),E44-D44,"")</f>
        <v/>
      </c>
      <c r="G44" s="38"/>
      <c r="H44" s="38"/>
      <c r="I44" s="34" t="n">
        <f aca="false">IF(AND(D44&lt;&gt;"",E44&lt;&gt;""),(E44-D44)*24,0)</f>
        <v>0</v>
      </c>
      <c r="J44" s="35"/>
      <c r="K44" s="36"/>
      <c r="L44" s="36"/>
      <c r="M44" s="31"/>
      <c r="N44" s="31"/>
      <c r="O44" s="31"/>
    </row>
    <row r="45" customFormat="false" ht="15" hidden="false" customHeight="true" outlineLevel="0" collapsed="false">
      <c r="A45" s="29" t="str">
        <f aca="false">IF(B45&lt;&gt;"",ROW()-12,"")</f>
        <v/>
      </c>
      <c r="B45" s="30"/>
      <c r="C45" s="31"/>
      <c r="D45" s="32"/>
      <c r="E45" s="32"/>
      <c r="F45" s="33" t="str">
        <f aca="false">IF(AND(D45&lt;&gt;"",E45&lt;&gt;""),E45-D45,"")</f>
        <v/>
      </c>
      <c r="G45" s="31"/>
      <c r="H45" s="31"/>
      <c r="I45" s="34" t="n">
        <f aca="false">IF(AND(D45&lt;&gt;"",E45&lt;&gt;""),(E45-D45)*24,0)</f>
        <v>0</v>
      </c>
      <c r="J45" s="35"/>
      <c r="K45" s="36"/>
      <c r="L45" s="36"/>
      <c r="M45" s="31"/>
      <c r="N45" s="31"/>
      <c r="O45" s="31"/>
    </row>
    <row r="46" customFormat="false" ht="15" hidden="false" customHeight="true" outlineLevel="0" collapsed="false">
      <c r="A46" s="29" t="str">
        <f aca="false">IF(B46&lt;&gt;"",ROW()-12,"")</f>
        <v/>
      </c>
      <c r="B46" s="37"/>
      <c r="C46" s="38"/>
      <c r="D46" s="39"/>
      <c r="E46" s="39"/>
      <c r="F46" s="33" t="str">
        <f aca="false">IF(AND(D46&lt;&gt;"",E46&lt;&gt;""),E46-D46,"")</f>
        <v/>
      </c>
      <c r="G46" s="38"/>
      <c r="H46" s="38"/>
      <c r="I46" s="34" t="n">
        <f aca="false">IF(AND(D46&lt;&gt;"",E46&lt;&gt;""),(E46-D46)*24,0)</f>
        <v>0</v>
      </c>
      <c r="J46" s="35"/>
      <c r="K46" s="36"/>
      <c r="L46" s="36"/>
      <c r="M46" s="31"/>
      <c r="N46" s="31"/>
      <c r="O46" s="31"/>
    </row>
    <row r="47" customFormat="false" ht="15" hidden="false" customHeight="true" outlineLevel="0" collapsed="false">
      <c r="A47" s="29" t="str">
        <f aca="false">IF(B47&lt;&gt;"",ROW()-12,"")</f>
        <v/>
      </c>
      <c r="B47" s="30"/>
      <c r="C47" s="31"/>
      <c r="D47" s="32"/>
      <c r="E47" s="32"/>
      <c r="F47" s="33" t="str">
        <f aca="false">IF(AND(D47&lt;&gt;"",E47&lt;&gt;""),E47-D47,"")</f>
        <v/>
      </c>
      <c r="G47" s="31"/>
      <c r="H47" s="31"/>
      <c r="I47" s="34" t="n">
        <f aca="false">IF(AND(D47&lt;&gt;"",E47&lt;&gt;""),(E47-D47)*24,0)</f>
        <v>0</v>
      </c>
      <c r="J47" s="35"/>
      <c r="K47" s="36"/>
      <c r="L47" s="36"/>
      <c r="M47" s="31"/>
      <c r="N47" s="31"/>
      <c r="O47" s="31"/>
    </row>
    <row r="48" customFormat="false" ht="15" hidden="false" customHeight="true" outlineLevel="0" collapsed="false">
      <c r="A48" s="29" t="str">
        <f aca="false">IF(B48&lt;&gt;"",ROW()-12,"")</f>
        <v/>
      </c>
      <c r="B48" s="37"/>
      <c r="C48" s="38"/>
      <c r="D48" s="39"/>
      <c r="E48" s="39"/>
      <c r="F48" s="33" t="str">
        <f aca="false">IF(AND(D48&lt;&gt;"",E48&lt;&gt;""),E48-D48,"")</f>
        <v/>
      </c>
      <c r="G48" s="38"/>
      <c r="H48" s="38"/>
      <c r="I48" s="34" t="n">
        <f aca="false">IF(AND(D48&lt;&gt;"",E48&lt;&gt;""),(E48-D48)*24,0)</f>
        <v>0</v>
      </c>
      <c r="J48" s="35"/>
      <c r="K48" s="36"/>
      <c r="L48" s="36"/>
      <c r="M48" s="31"/>
      <c r="N48" s="31"/>
      <c r="O48" s="31"/>
    </row>
    <row r="49" customFormat="false" ht="15" hidden="false" customHeight="true" outlineLevel="0" collapsed="false">
      <c r="A49" s="29" t="str">
        <f aca="false">IF(B49&lt;&gt;"",ROW()-12,"")</f>
        <v/>
      </c>
      <c r="B49" s="30"/>
      <c r="C49" s="31"/>
      <c r="D49" s="32"/>
      <c r="E49" s="32"/>
      <c r="F49" s="33" t="str">
        <f aca="false">IF(AND(D49&lt;&gt;"",E49&lt;&gt;""),E49-D49,"")</f>
        <v/>
      </c>
      <c r="G49" s="31"/>
      <c r="H49" s="31"/>
      <c r="I49" s="34" t="n">
        <f aca="false">IF(AND(D49&lt;&gt;"",E49&lt;&gt;""),(E49-D49)*24,0)</f>
        <v>0</v>
      </c>
      <c r="J49" s="35"/>
      <c r="K49" s="36"/>
      <c r="L49" s="36"/>
      <c r="M49" s="31"/>
      <c r="N49" s="31"/>
      <c r="O49" s="31"/>
    </row>
    <row r="50" customFormat="false" ht="15" hidden="false" customHeight="true" outlineLevel="0" collapsed="false">
      <c r="A50" s="29" t="str">
        <f aca="false">IF(B50&lt;&gt;"",ROW()-12,"")</f>
        <v/>
      </c>
      <c r="B50" s="37"/>
      <c r="C50" s="38"/>
      <c r="D50" s="39"/>
      <c r="E50" s="39"/>
      <c r="F50" s="33" t="str">
        <f aca="false">IF(AND(D50&lt;&gt;"",E50&lt;&gt;""),E50-D50,"")</f>
        <v/>
      </c>
      <c r="G50" s="38"/>
      <c r="H50" s="38"/>
      <c r="I50" s="34" t="n">
        <f aca="false">IF(AND(D50&lt;&gt;"",E50&lt;&gt;""),(E50-D50)*24,0)</f>
        <v>0</v>
      </c>
      <c r="J50" s="35"/>
      <c r="K50" s="36"/>
      <c r="L50" s="36"/>
      <c r="M50" s="31"/>
      <c r="N50" s="31"/>
      <c r="O50" s="31"/>
    </row>
    <row r="51" customFormat="false" ht="15" hidden="false" customHeight="true" outlineLevel="0" collapsed="false">
      <c r="A51" s="29" t="str">
        <f aca="false">IF(B51&lt;&gt;"",ROW()-12,"")</f>
        <v/>
      </c>
      <c r="B51" s="30"/>
      <c r="C51" s="31"/>
      <c r="D51" s="32"/>
      <c r="E51" s="32"/>
      <c r="F51" s="33" t="str">
        <f aca="false">IF(AND(D51&lt;&gt;"",E51&lt;&gt;""),E51-D51,"")</f>
        <v/>
      </c>
      <c r="G51" s="31"/>
      <c r="H51" s="31"/>
      <c r="I51" s="34" t="n">
        <f aca="false">IF(AND(D51&lt;&gt;"",E51&lt;&gt;""),(E51-D51)*24,0)</f>
        <v>0</v>
      </c>
      <c r="J51" s="35"/>
      <c r="K51" s="36"/>
      <c r="L51" s="36"/>
      <c r="M51" s="31"/>
      <c r="N51" s="31"/>
      <c r="O51" s="31"/>
    </row>
    <row r="52" customFormat="false" ht="15" hidden="false" customHeight="true" outlineLevel="0" collapsed="false">
      <c r="A52" s="29" t="str">
        <f aca="false">IF(B52&lt;&gt;"",ROW()-12,"")</f>
        <v/>
      </c>
      <c r="B52" s="37"/>
      <c r="C52" s="38"/>
      <c r="D52" s="39"/>
      <c r="E52" s="39"/>
      <c r="F52" s="33" t="str">
        <f aca="false">IF(AND(D52&lt;&gt;"",E52&lt;&gt;""),E52-D52,"")</f>
        <v/>
      </c>
      <c r="G52" s="38"/>
      <c r="H52" s="38"/>
      <c r="I52" s="34" t="n">
        <f aca="false">IF(AND(D52&lt;&gt;"",E52&lt;&gt;""),(E52-D52)*24,0)</f>
        <v>0</v>
      </c>
      <c r="J52" s="35"/>
      <c r="K52" s="36"/>
      <c r="L52" s="36"/>
      <c r="M52" s="31"/>
      <c r="N52" s="31"/>
      <c r="O52" s="31"/>
    </row>
    <row r="53" customFormat="false" ht="15" hidden="false" customHeight="true" outlineLevel="0" collapsed="false">
      <c r="A53" s="29" t="str">
        <f aca="false">IF(B53&lt;&gt;"",ROW()-12,"")</f>
        <v/>
      </c>
      <c r="B53" s="30"/>
      <c r="C53" s="31"/>
      <c r="D53" s="32"/>
      <c r="E53" s="32"/>
      <c r="F53" s="33" t="str">
        <f aca="false">IF(AND(D53&lt;&gt;"",E53&lt;&gt;""),E53-D53,"")</f>
        <v/>
      </c>
      <c r="G53" s="31"/>
      <c r="H53" s="31"/>
      <c r="I53" s="34" t="n">
        <f aca="false">IF(AND(D53&lt;&gt;"",E53&lt;&gt;""),(E53-D53)*24,0)</f>
        <v>0</v>
      </c>
      <c r="J53" s="35"/>
      <c r="K53" s="36"/>
      <c r="L53" s="36"/>
      <c r="M53" s="31"/>
      <c r="N53" s="31"/>
      <c r="O53" s="31"/>
    </row>
    <row r="54" customFormat="false" ht="15" hidden="false" customHeight="true" outlineLevel="0" collapsed="false">
      <c r="A54" s="29" t="str">
        <f aca="false">IF(B54&lt;&gt;"",ROW()-12,"")</f>
        <v/>
      </c>
      <c r="B54" s="37"/>
      <c r="C54" s="38"/>
      <c r="D54" s="39"/>
      <c r="E54" s="39"/>
      <c r="F54" s="33" t="str">
        <f aca="false">IF(AND(D54&lt;&gt;"",E54&lt;&gt;""),E54-D54,"")</f>
        <v/>
      </c>
      <c r="G54" s="38"/>
      <c r="H54" s="38"/>
      <c r="I54" s="34" t="n">
        <f aca="false">IF(AND(D54&lt;&gt;"",E54&lt;&gt;""),(E54-D54)*24,0)</f>
        <v>0</v>
      </c>
      <c r="J54" s="35"/>
      <c r="K54" s="36"/>
      <c r="L54" s="36"/>
      <c r="M54" s="31"/>
      <c r="N54" s="31"/>
      <c r="O54" s="31"/>
    </row>
    <row r="55" customFormat="false" ht="15" hidden="false" customHeight="true" outlineLevel="0" collapsed="false">
      <c r="A55" s="29" t="str">
        <f aca="false">IF(B55&lt;&gt;"",ROW()-12,"")</f>
        <v/>
      </c>
      <c r="B55" s="30"/>
      <c r="C55" s="31"/>
      <c r="D55" s="32"/>
      <c r="E55" s="32"/>
      <c r="F55" s="33" t="str">
        <f aca="false">IF(AND(D55&lt;&gt;"",E55&lt;&gt;""),E55-D55,"")</f>
        <v/>
      </c>
      <c r="G55" s="31"/>
      <c r="H55" s="31"/>
      <c r="I55" s="34" t="n">
        <f aca="false">IF(AND(D55&lt;&gt;"",E55&lt;&gt;""),(E55-D55)*24,0)</f>
        <v>0</v>
      </c>
      <c r="J55" s="35"/>
      <c r="K55" s="36"/>
      <c r="L55" s="36"/>
      <c r="M55" s="31"/>
      <c r="N55" s="31"/>
      <c r="O55" s="31"/>
    </row>
    <row r="56" customFormat="false" ht="15" hidden="false" customHeight="true" outlineLevel="0" collapsed="false">
      <c r="A56" s="29" t="str">
        <f aca="false">IF(B56&lt;&gt;"",ROW()-12,"")</f>
        <v/>
      </c>
      <c r="B56" s="37"/>
      <c r="C56" s="38"/>
      <c r="D56" s="39"/>
      <c r="E56" s="39"/>
      <c r="F56" s="33" t="str">
        <f aca="false">IF(AND(D56&lt;&gt;"",E56&lt;&gt;""),E56-D56,"")</f>
        <v/>
      </c>
      <c r="G56" s="38"/>
      <c r="H56" s="38"/>
      <c r="I56" s="34" t="n">
        <f aca="false">IF(AND(D56&lt;&gt;"",E56&lt;&gt;""),(E56-D56)*24,0)</f>
        <v>0</v>
      </c>
      <c r="J56" s="35"/>
      <c r="K56" s="36"/>
      <c r="L56" s="36"/>
      <c r="M56" s="31"/>
      <c r="N56" s="31"/>
      <c r="O56" s="31"/>
    </row>
    <row r="57" customFormat="false" ht="15" hidden="false" customHeight="true" outlineLevel="0" collapsed="false">
      <c r="A57" s="29" t="str">
        <f aca="false">IF(B57&lt;&gt;"",ROW()-12,"")</f>
        <v/>
      </c>
      <c r="B57" s="30"/>
      <c r="C57" s="31"/>
      <c r="D57" s="32"/>
      <c r="E57" s="32"/>
      <c r="F57" s="33" t="str">
        <f aca="false">IF(AND(D57&lt;&gt;"",E57&lt;&gt;""),E57-D57,"")</f>
        <v/>
      </c>
      <c r="G57" s="31"/>
      <c r="H57" s="31"/>
      <c r="I57" s="34" t="n">
        <f aca="false">IF(AND(D57&lt;&gt;"",E57&lt;&gt;""),(E57-D57)*24,0)</f>
        <v>0</v>
      </c>
      <c r="J57" s="35"/>
      <c r="K57" s="36"/>
      <c r="L57" s="36"/>
      <c r="M57" s="31"/>
      <c r="N57" s="31"/>
      <c r="O57" s="31"/>
    </row>
    <row r="58" customFormat="false" ht="15" hidden="false" customHeight="true" outlineLevel="0" collapsed="false">
      <c r="A58" s="29" t="str">
        <f aca="false">IF(B58&lt;&gt;"",ROW()-12,"")</f>
        <v/>
      </c>
      <c r="B58" s="37"/>
      <c r="C58" s="38"/>
      <c r="D58" s="39"/>
      <c r="E58" s="39"/>
      <c r="F58" s="33" t="str">
        <f aca="false">IF(AND(D58&lt;&gt;"",E58&lt;&gt;""),E58-D58,"")</f>
        <v/>
      </c>
      <c r="G58" s="38"/>
      <c r="H58" s="38"/>
      <c r="I58" s="34" t="n">
        <f aca="false">IF(AND(D58&lt;&gt;"",E58&lt;&gt;""),(E58-D58)*24,0)</f>
        <v>0</v>
      </c>
      <c r="J58" s="35"/>
      <c r="K58" s="36"/>
      <c r="L58" s="36"/>
      <c r="M58" s="31"/>
      <c r="N58" s="31"/>
      <c r="O58" s="31"/>
    </row>
    <row r="59" customFormat="false" ht="15" hidden="false" customHeight="true" outlineLevel="0" collapsed="false">
      <c r="A59" s="29" t="str">
        <f aca="false">IF(B59&lt;&gt;"",ROW()-12,"")</f>
        <v/>
      </c>
      <c r="B59" s="30"/>
      <c r="C59" s="31"/>
      <c r="D59" s="32"/>
      <c r="E59" s="32"/>
      <c r="F59" s="33" t="str">
        <f aca="false">IF(AND(D59&lt;&gt;"",E59&lt;&gt;""),E59-D59,"")</f>
        <v/>
      </c>
      <c r="G59" s="31"/>
      <c r="H59" s="31"/>
      <c r="I59" s="34" t="n">
        <f aca="false">IF(AND(D59&lt;&gt;"",E59&lt;&gt;""),(E59-D59)*24,0)</f>
        <v>0</v>
      </c>
      <c r="J59" s="35"/>
      <c r="K59" s="36"/>
      <c r="L59" s="36"/>
      <c r="M59" s="31"/>
      <c r="N59" s="31"/>
      <c r="O59" s="31"/>
    </row>
    <row r="60" customFormat="false" ht="15" hidden="false" customHeight="true" outlineLevel="0" collapsed="false">
      <c r="A60" s="29" t="str">
        <f aca="false">IF(B60&lt;&gt;"",ROW()-12,"")</f>
        <v/>
      </c>
      <c r="B60" s="37"/>
      <c r="C60" s="38"/>
      <c r="D60" s="39"/>
      <c r="E60" s="39"/>
      <c r="F60" s="33" t="str">
        <f aca="false">IF(AND(D60&lt;&gt;"",E60&lt;&gt;""),E60-D60,"")</f>
        <v/>
      </c>
      <c r="G60" s="38"/>
      <c r="H60" s="38"/>
      <c r="I60" s="34" t="n">
        <f aca="false">IF(AND(D60&lt;&gt;"",E60&lt;&gt;""),(E60-D60)*24,0)</f>
        <v>0</v>
      </c>
      <c r="J60" s="35"/>
      <c r="K60" s="36"/>
      <c r="L60" s="36"/>
      <c r="M60" s="31"/>
      <c r="N60" s="31"/>
      <c r="O60" s="31"/>
    </row>
    <row r="61" customFormat="false" ht="15" hidden="false" customHeight="true" outlineLevel="0" collapsed="false">
      <c r="A61" s="29" t="str">
        <f aca="false">IF(B61&lt;&gt;"",ROW()-12,"")</f>
        <v/>
      </c>
      <c r="B61" s="30"/>
      <c r="C61" s="31"/>
      <c r="D61" s="32"/>
      <c r="E61" s="32"/>
      <c r="F61" s="33" t="str">
        <f aca="false">IF(AND(D61&lt;&gt;"",E61&lt;&gt;""),E61-D61,"")</f>
        <v/>
      </c>
      <c r="G61" s="31"/>
      <c r="H61" s="31"/>
      <c r="I61" s="34" t="n">
        <f aca="false">IF(AND(D61&lt;&gt;"",E61&lt;&gt;""),(E61-D61)*24,0)</f>
        <v>0</v>
      </c>
      <c r="J61" s="35"/>
      <c r="K61" s="36"/>
      <c r="L61" s="36"/>
      <c r="M61" s="31"/>
      <c r="N61" s="31"/>
      <c r="O61" s="31"/>
    </row>
    <row r="62" customFormat="false" ht="15" hidden="false" customHeight="true" outlineLevel="0" collapsed="false">
      <c r="A62" s="29" t="str">
        <f aca="false">IF(B62&lt;&gt;"",ROW()-12,"")</f>
        <v/>
      </c>
      <c r="B62" s="37"/>
      <c r="C62" s="38"/>
      <c r="D62" s="39"/>
      <c r="E62" s="39"/>
      <c r="F62" s="33" t="str">
        <f aca="false">IF(AND(D62&lt;&gt;"",E62&lt;&gt;""),E62-D62,"")</f>
        <v/>
      </c>
      <c r="G62" s="38"/>
      <c r="H62" s="38"/>
      <c r="I62" s="34" t="n">
        <f aca="false">IF(AND(D62&lt;&gt;"",E62&lt;&gt;""),(E62-D62)*24,0)</f>
        <v>0</v>
      </c>
      <c r="J62" s="35"/>
      <c r="K62" s="36"/>
      <c r="L62" s="36"/>
      <c r="M62" s="31"/>
      <c r="N62" s="31"/>
      <c r="O62" s="31"/>
    </row>
  </sheetData>
  <autoFilter ref="A12:O62"/>
  <mergeCells count="3">
    <mergeCell ref="A1:I1"/>
    <mergeCell ref="A9:N9"/>
    <mergeCell ref="J11:O11"/>
  </mergeCells>
  <conditionalFormatting sqref="H13:H62">
    <cfRule type="cellIs" priority="2" operator="equal" aboveAverage="0" equalAverage="0" bottom="0" percent="0" rank="0" text="" dxfId="7">
      <formula>"Full Stop"</formula>
    </cfRule>
    <cfRule type="cellIs" priority="3" operator="equal" aboveAverage="0" equalAverage="0" bottom="0" percent="0" rank="0" text="" dxfId="8">
      <formula>"Partial"</formula>
    </cfRule>
    <cfRule type="cellIs" priority="4" operator="equal" aboveAverage="0" equalAverage="0" bottom="0" percent="0" rank="0" text="" dxfId="9">
      <formula>"Minor"</formula>
    </cfRule>
  </conditionalFormatting>
  <conditionalFormatting sqref="I13:I62">
    <cfRule type="expression" priority="5" aboveAverage="0" equalAverage="0" bottom="0" percent="0" rank="0" text="" dxfId="7">
      <formula>AND(I13&lt;&gt;"",I13&gt;4)</formula>
    </cfRule>
    <cfRule type="expression" priority="6" aboveAverage="0" equalAverage="0" bottom="0" percent="0" rank="0" text="" dxfId="8">
      <formula>AND(I13&lt;&gt;"",I13&gt;=2,I13&lt;=4)</formula>
    </cfRule>
  </conditionalFormatting>
  <conditionalFormatting sqref="N13:N62">
    <cfRule type="cellIs" priority="7" operator="equal" aboveAverage="0" equalAverage="0" bottom="0" percent="0" rank="0" text="" dxfId="7">
      <formula>"No"</formula>
    </cfRule>
  </conditionalFormatting>
  <dataValidations count="3">
    <dataValidation allowBlank="true" errorStyle="stop" operator="between" prompt="Select weather type" showDropDown="false" showErrorMessage="false" showInputMessage="false" sqref="C13:C62" type="list">
      <formula1>"Rain,Snow/Ice,High Wind,Fog,Extreme Heat,Flooding,Storm,Lightning,Hail,Other"</formula1>
      <formula2>0</formula2>
    </dataValidation>
    <dataValidation allowBlank="true" errorStyle="stop" operator="between" showDropDown="false" showErrorMessage="false" showInputMessage="false" sqref="H13:H62" type="list">
      <formula1>"Full Stop,Partial,Minor"</formula1>
      <formula2>0</formula2>
    </dataValidation>
    <dataValidation allowBlank="true" errorStyle="stop" operator="between" showDropDown="false" showErrorMessage="false" showInputMessage="false" sqref="N13:N62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&amp;CWeather Delay Log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</cols>
  <sheetData>
    <row r="1" customFormat="false" ht="18" hidden="false" customHeight="true" outlineLevel="0" collapsed="false">
      <c r="A1" s="40" t="s">
        <v>93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0" t="s">
        <v>94</v>
      </c>
    </row>
    <row r="4" customFormat="false" ht="15" hidden="false" customHeight="true" outlineLevel="0" collapsed="false">
      <c r="A4" s="10"/>
    </row>
    <row r="5" customFormat="false" ht="23.25" hidden="false" customHeight="true" outlineLevel="0" collapsed="false">
      <c r="A5" s="10" t="s">
        <v>95</v>
      </c>
    </row>
    <row r="6" customFormat="false" ht="15" hidden="false" customHeight="true" outlineLevel="0" collapsed="false">
      <c r="A6" s="10"/>
    </row>
    <row r="7" customFormat="false" ht="23.25" hidden="false" customHeight="true" outlineLevel="0" collapsed="false">
      <c r="A7" s="10" t="s">
        <v>96</v>
      </c>
    </row>
    <row r="8" customFormat="false" ht="15" hidden="false" customHeight="true" outlineLevel="0" collapsed="false">
      <c r="A8" s="10"/>
    </row>
    <row r="9" customFormat="false" ht="15" hidden="false" customHeight="true" outlineLevel="0" collapsed="false">
      <c r="A9" s="10" t="s">
        <v>97</v>
      </c>
    </row>
    <row r="10" customFormat="false" ht="15" hidden="false" customHeight="true" outlineLevel="0" collapsed="false">
      <c r="A10" s="10"/>
    </row>
    <row r="11" customFormat="false" ht="15" hidden="false" customHeight="true" outlineLevel="0" collapsed="false">
      <c r="A11" s="10" t="s">
        <v>98</v>
      </c>
    </row>
    <row r="12" customFormat="false" ht="15" hidden="false" customHeight="true" outlineLevel="0" collapsed="false">
      <c r="A12" s="10"/>
    </row>
    <row r="13" customFormat="false" ht="23.25" hidden="false" customHeight="true" outlineLevel="0" collapsed="false">
      <c r="A13" s="10" t="s">
        <v>99</v>
      </c>
    </row>
    <row r="14" customFormat="false" ht="15" hidden="false" customHeight="true" outlineLevel="0" collapsed="false">
      <c r="A14" s="10"/>
    </row>
    <row r="15" customFormat="false" ht="15" hidden="false" customHeight="true" outlineLevel="0" collapsed="false">
      <c r="A15" s="10" t="s">
        <v>100</v>
      </c>
    </row>
    <row r="16" customFormat="false" ht="15" hidden="false" customHeight="true" outlineLevel="0" collapsed="false">
      <c r="A16" s="10"/>
    </row>
    <row r="17" customFormat="false" ht="15" hidden="false" customHeight="true" outlineLevel="0" collapsed="false">
      <c r="A17" s="1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Site Management &amp; Planning</cp:category>
  <dcterms:created xsi:type="dcterms:W3CDTF">2026-03-22T19:01:33Z</dcterms:created>
  <dc:creator>Ebrora Ltd</dc:creator>
  <dc:description>Record weather-related site delays with automatic duration calculation, impact assessment, and a monthly summary grid — designed for UK construction project managers supporting EOT and CE claims.
Free professional construction management template from Ebrora Ltd. Visit ebrora.com for our full range of tools and templates.</dc:description>
  <cp:keywords>Ebrora construction weather delay log extension of time compensation event NEC JCT site management</cp:keywords>
  <dc:language>en-US</dc:language>
  <cp:lastModifiedBy>Ebrora Ltd</cp:lastModifiedBy>
  <dcterms:modified xsi:type="dcterms:W3CDTF">2026-03-22T19:01:53Z</dcterms:modified>
  <cp:revision>0</cp:revision>
  <dc:subject>Daily log of weather events causing site delays, with duration tracking, impact assessment, and monthly summary for contractual claims.</dc:subject>
  <dc:title>Weather Delay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