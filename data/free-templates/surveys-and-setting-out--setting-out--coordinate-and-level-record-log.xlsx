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ORDINATE AND LEVEL RECORD LOG" sheetId="1" state="visible" r:id="rId3"/>
    <sheet name="Instructions" sheetId="2" state="visible" r:id="rId4"/>
  </sheets>
  <definedNames>
    <definedName function="false" hidden="false" localSheetId="0" name="_xlnm.Print_Area" vbProcedure="false">'COORDINATE AND LEVEL RECORD LOG'!$A$1:$O$37</definedName>
    <definedName function="false" hidden="false" localSheetId="0" name="_xlnm.Print_Titles" vbProcedure="false">'COORDINATE AND LEVEL RECORD LOG'!$1:$6</definedName>
    <definedName function="false" hidden="true" localSheetId="0" name="_xlnm._FilterDatabase" vbProcedure="false">'COORDINATE AND LEVEL RECORD LOG'!$A$6:$O$31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<sst xmlns="http://schemas.openxmlformats.org/spreadsheetml/2006/main" count="33" uniqueCount="32">
  <si>
    <t xml:space="preserve">ebrora.com</t>
  </si>
  <si>
    <t xml:space="preserve">COORDINATE AND LEVEL RECORD LOG</t>
  </si>
  <si>
    <t xml:space="preserve">Ref: BS 5606 — Accuracy in Building; Contract Tolerances; Project Survey Control</t>
  </si>
  <si>
    <t xml:space="preserve">Project:</t>
  </si>
  <si>
    <t xml:space="preserve">Prepared By:</t>
  </si>
  <si>
    <t xml:space="preserve">Rev:</t>
  </si>
  <si>
    <t xml:space="preserve">No.</t>
  </si>
  <si>
    <t xml:space="preserve">Date</t>
  </si>
  <si>
    <t xml:space="preserve">Point
Ref</t>
  </si>
  <si>
    <t xml:space="preserve">Description /
Element</t>
  </si>
  <si>
    <t xml:space="preserve">Design
Easting (m)</t>
  </si>
  <si>
    <t xml:space="preserve">Design
Northing (m)</t>
  </si>
  <si>
    <t xml:space="preserve">Design
Level
(mAOD)</t>
  </si>
  <si>
    <t xml:space="preserve">As-Set
Easting (m)</t>
  </si>
  <si>
    <t xml:space="preserve">As-Set
Northing (m)</t>
  </si>
  <si>
    <t xml:space="preserve">As-Set
Level
(mAOD)</t>
  </si>
  <si>
    <t xml:space="preserve">Deviation
Plan (mm)</t>
  </si>
  <si>
    <t xml:space="preserve">Deviation
Level (mm)</t>
  </si>
  <si>
    <t xml:space="preserve">Within
Tolerance?
(Yes/No)</t>
  </si>
  <si>
    <t xml:space="preserve">Set Out By</t>
  </si>
  <si>
    <t xml:space="preserve">Checked By</t>
  </si>
  <si>
    <t xml:space="preserve">SUMMARY</t>
  </si>
  <si>
    <t xml:space="preserve">Total Points:</t>
  </si>
  <si>
    <t xml:space="preserve">Within Tolerance:</t>
  </si>
  <si>
    <t xml:space="preserve">Outside Tolerance:</t>
  </si>
  <si>
    <t xml:space="preserve">INSTRUCTIONS — COORDINATE AND LEVEL RECORD LOG</t>
  </si>
  <si>
    <t xml:space="preserve">How to Use</t>
  </si>
  <si>
    <t xml:space="preserve">1. Record all setting out coordinates and levels.</t>
  </si>
  <si>
    <t xml:space="preserve">2. Deviations auto-calculate from design vs as-set values.</t>
  </si>
  <si>
    <t xml:space="preserve">3. Out-of-tolerance points flagged red — investigate and correct.</t>
  </si>
  <si>
    <t xml:space="preserve">References:</t>
  </si>
  <si>
    <t xml:space="preserve">  BS 5606 — Guide to Accuracy in Building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</si>
</sst>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B2A4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0"/>
    <col collapsed="false" customWidth="true" hidden="false" outlineLevel="0" max="4" min="4" style="0" width="16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9" min="8" style="0" width="12"/>
    <col collapsed="false" customWidth="true" hidden="false" outlineLevel="0" max="13" min="10" style="0" width="10"/>
    <col collapsed="false" customWidth="true" hidden="false" outlineLevel="0" max="15" min="14" style="0" width="12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5"/>
    </row>
    <row r="6" customFormat="false" ht="48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  <c r="O6" s="6" t="s">
        <v>20</v>
      </c>
    </row>
    <row r="7" customFormat="false" ht="21.75" hidden="false" customHeight="true" outlineLevel="0" collapsed="false">
      <c r="A7" s="7" t="n">
        <v>1</v>
      </c>
      <c r="B7" s="5"/>
      <c r="C7" s="5"/>
      <c r="D7" s="5"/>
      <c r="E7" s="8"/>
      <c r="F7" s="8"/>
      <c r="G7" s="8"/>
      <c r="H7" s="8"/>
      <c r="I7" s="8"/>
      <c r="J7" s="8"/>
      <c r="K7" s="9" t="str">
        <f aca="false">IF(OR(E7="",H7=""),"",ROUND(SQRT((H7-E7)^2+(I7-F7)^2)*1000,0))</f>
        <v/>
      </c>
      <c r="L7" s="9" t="str">
        <f aca="false">IF(OR(G7="",J7=""),"",ROUND((J7-G7)*1000,0))</f>
        <v/>
      </c>
      <c r="M7" s="8"/>
      <c r="N7" s="8"/>
      <c r="O7" s="8"/>
    </row>
    <row r="8" customFormat="false" ht="21.75" hidden="false" customHeight="true" outlineLevel="0" collapsed="false">
      <c r="A8" s="10" t="n">
        <v>2</v>
      </c>
      <c r="B8" s="5"/>
      <c r="C8" s="5"/>
      <c r="D8" s="5"/>
      <c r="E8" s="8"/>
      <c r="F8" s="8"/>
      <c r="G8" s="8"/>
      <c r="H8" s="8"/>
      <c r="I8" s="8"/>
      <c r="J8" s="8"/>
      <c r="K8" s="11" t="str">
        <f aca="false">IF(OR(E8="",H8=""),"",ROUND(SQRT((H8-E8)^2+(I8-F8)^2)*1000,0))</f>
        <v/>
      </c>
      <c r="L8" s="11" t="str">
        <f aca="false">IF(OR(G8="",J8=""),"",ROUND((J8-G8)*1000,0))</f>
        <v/>
      </c>
      <c r="M8" s="8"/>
      <c r="N8" s="8"/>
      <c r="O8" s="8"/>
    </row>
    <row r="9" customFormat="false" ht="21.75" hidden="false" customHeight="true" outlineLevel="0" collapsed="false">
      <c r="A9" s="7" t="n">
        <v>3</v>
      </c>
      <c r="B9" s="5"/>
      <c r="C9" s="5"/>
      <c r="D9" s="5"/>
      <c r="E9" s="8"/>
      <c r="F9" s="8"/>
      <c r="G9" s="8"/>
      <c r="H9" s="8"/>
      <c r="I9" s="8"/>
      <c r="J9" s="8"/>
      <c r="K9" s="9" t="str">
        <f aca="false">IF(OR(E9="",H9=""),"",ROUND(SQRT((H9-E9)^2+(I9-F9)^2)*1000,0))</f>
        <v/>
      </c>
      <c r="L9" s="9" t="str">
        <f aca="false">IF(OR(G9="",J9=""),"",ROUND((J9-G9)*1000,0))</f>
        <v/>
      </c>
      <c r="M9" s="8"/>
      <c r="N9" s="8"/>
      <c r="O9" s="8"/>
    </row>
    <row r="10" customFormat="false" ht="21.75" hidden="false" customHeight="true" outlineLevel="0" collapsed="false">
      <c r="A10" s="10" t="n">
        <v>4</v>
      </c>
      <c r="B10" s="5"/>
      <c r="C10" s="5"/>
      <c r="D10" s="5"/>
      <c r="E10" s="8"/>
      <c r="F10" s="8"/>
      <c r="G10" s="8"/>
      <c r="H10" s="8"/>
      <c r="I10" s="8"/>
      <c r="J10" s="8"/>
      <c r="K10" s="11" t="str">
        <f aca="false">IF(OR(E10="",H10=""),"",ROUND(SQRT((H10-E10)^2+(I10-F10)^2)*1000,0))</f>
        <v/>
      </c>
      <c r="L10" s="11" t="str">
        <f aca="false">IF(OR(G10="",J10=""),"",ROUND((J10-G10)*1000,0))</f>
        <v/>
      </c>
      <c r="M10" s="8"/>
      <c r="N10" s="8"/>
      <c r="O10" s="8"/>
    </row>
    <row r="11" customFormat="false" ht="21.75" hidden="false" customHeight="true" outlineLevel="0" collapsed="false">
      <c r="A11" s="7" t="n">
        <v>5</v>
      </c>
      <c r="B11" s="5"/>
      <c r="C11" s="5"/>
      <c r="D11" s="5"/>
      <c r="E11" s="8"/>
      <c r="F11" s="8"/>
      <c r="G11" s="8"/>
      <c r="H11" s="8"/>
      <c r="I11" s="8"/>
      <c r="J11" s="8"/>
      <c r="K11" s="9" t="str">
        <f aca="false">IF(OR(E11="",H11=""),"",ROUND(SQRT((H11-E11)^2+(I11-F11)^2)*1000,0))</f>
        <v/>
      </c>
      <c r="L11" s="9" t="str">
        <f aca="false">IF(OR(G11="",J11=""),"",ROUND((J11-G11)*1000,0))</f>
        <v/>
      </c>
      <c r="M11" s="8"/>
      <c r="N11" s="8"/>
      <c r="O11" s="8"/>
    </row>
    <row r="12" customFormat="false" ht="21.75" hidden="false" customHeight="true" outlineLevel="0" collapsed="false">
      <c r="A12" s="10" t="n">
        <v>6</v>
      </c>
      <c r="B12" s="5"/>
      <c r="C12" s="5"/>
      <c r="D12" s="5"/>
      <c r="E12" s="8"/>
      <c r="F12" s="8"/>
      <c r="G12" s="8"/>
      <c r="H12" s="8"/>
      <c r="I12" s="8"/>
      <c r="J12" s="8"/>
      <c r="K12" s="11" t="str">
        <f aca="false">IF(OR(E12="",H12=""),"",ROUND(SQRT((H12-E12)^2+(I12-F12)^2)*1000,0))</f>
        <v/>
      </c>
      <c r="L12" s="11" t="str">
        <f aca="false">IF(OR(G12="",J12=""),"",ROUND((J12-G12)*1000,0))</f>
        <v/>
      </c>
      <c r="M12" s="8"/>
      <c r="N12" s="8"/>
      <c r="O12" s="8"/>
    </row>
    <row r="13" customFormat="false" ht="21.75" hidden="false" customHeight="true" outlineLevel="0" collapsed="false">
      <c r="A13" s="7" t="n">
        <v>7</v>
      </c>
      <c r="B13" s="5"/>
      <c r="C13" s="5"/>
      <c r="D13" s="5"/>
      <c r="E13" s="8"/>
      <c r="F13" s="8"/>
      <c r="G13" s="8"/>
      <c r="H13" s="8"/>
      <c r="I13" s="8"/>
      <c r="J13" s="8"/>
      <c r="K13" s="9" t="str">
        <f aca="false">IF(OR(E13="",H13=""),"",ROUND(SQRT((H13-E13)^2+(I13-F13)^2)*1000,0))</f>
        <v/>
      </c>
      <c r="L13" s="9" t="str">
        <f aca="false">IF(OR(G13="",J13=""),"",ROUND((J13-G13)*1000,0))</f>
        <v/>
      </c>
      <c r="M13" s="8"/>
      <c r="N13" s="8"/>
      <c r="O13" s="8"/>
    </row>
    <row r="14" customFormat="false" ht="21.75" hidden="false" customHeight="true" outlineLevel="0" collapsed="false">
      <c r="A14" s="10" t="n">
        <v>8</v>
      </c>
      <c r="B14" s="5"/>
      <c r="C14" s="5"/>
      <c r="D14" s="5"/>
      <c r="E14" s="8"/>
      <c r="F14" s="8"/>
      <c r="G14" s="8"/>
      <c r="H14" s="8"/>
      <c r="I14" s="8"/>
      <c r="J14" s="8"/>
      <c r="K14" s="11" t="str">
        <f aca="false">IF(OR(E14="",H14=""),"",ROUND(SQRT((H14-E14)^2+(I14-F14)^2)*1000,0))</f>
        <v/>
      </c>
      <c r="L14" s="11" t="str">
        <f aca="false">IF(OR(G14="",J14=""),"",ROUND((J14-G14)*1000,0))</f>
        <v/>
      </c>
      <c r="M14" s="8"/>
      <c r="N14" s="8"/>
      <c r="O14" s="8"/>
    </row>
    <row r="15" customFormat="false" ht="21.75" hidden="false" customHeight="true" outlineLevel="0" collapsed="false">
      <c r="A15" s="7" t="n">
        <v>9</v>
      </c>
      <c r="B15" s="5"/>
      <c r="C15" s="5"/>
      <c r="D15" s="5"/>
      <c r="E15" s="8"/>
      <c r="F15" s="8"/>
      <c r="G15" s="8"/>
      <c r="H15" s="8"/>
      <c r="I15" s="8"/>
      <c r="J15" s="8"/>
      <c r="K15" s="9" t="str">
        <f aca="false">IF(OR(E15="",H15=""),"",ROUND(SQRT((H15-E15)^2+(I15-F15)^2)*1000,0))</f>
        <v/>
      </c>
      <c r="L15" s="9" t="str">
        <f aca="false">IF(OR(G15="",J15=""),"",ROUND((J15-G15)*1000,0))</f>
        <v/>
      </c>
      <c r="M15" s="8"/>
      <c r="N15" s="8"/>
      <c r="O15" s="8"/>
    </row>
    <row r="16" customFormat="false" ht="21.75" hidden="false" customHeight="true" outlineLevel="0" collapsed="false">
      <c r="A16" s="10" t="n">
        <v>10</v>
      </c>
      <c r="B16" s="5"/>
      <c r="C16" s="5"/>
      <c r="D16" s="5"/>
      <c r="E16" s="8"/>
      <c r="F16" s="8"/>
      <c r="G16" s="8"/>
      <c r="H16" s="8"/>
      <c r="I16" s="8"/>
      <c r="J16" s="8"/>
      <c r="K16" s="11" t="str">
        <f aca="false">IF(OR(E16="",H16=""),"",ROUND(SQRT((H16-E16)^2+(I16-F16)^2)*1000,0))</f>
        <v/>
      </c>
      <c r="L16" s="11" t="str">
        <f aca="false">IF(OR(G16="",J16=""),"",ROUND((J16-G16)*1000,0))</f>
        <v/>
      </c>
      <c r="M16" s="8"/>
      <c r="N16" s="8"/>
      <c r="O16" s="8"/>
    </row>
    <row r="17" customFormat="false" ht="21.75" hidden="false" customHeight="true" outlineLevel="0" collapsed="false">
      <c r="A17" s="7" t="n">
        <v>11</v>
      </c>
      <c r="B17" s="5"/>
      <c r="C17" s="5"/>
      <c r="D17" s="5"/>
      <c r="E17" s="8"/>
      <c r="F17" s="8"/>
      <c r="G17" s="8"/>
      <c r="H17" s="8"/>
      <c r="I17" s="8"/>
      <c r="J17" s="8"/>
      <c r="K17" s="9" t="str">
        <f aca="false">IF(OR(E17="",H17=""),"",ROUND(SQRT((H17-E17)^2+(I17-F17)^2)*1000,0))</f>
        <v/>
      </c>
      <c r="L17" s="9" t="str">
        <f aca="false">IF(OR(G17="",J17=""),"",ROUND((J17-G17)*1000,0))</f>
        <v/>
      </c>
      <c r="M17" s="8"/>
      <c r="N17" s="8"/>
      <c r="O17" s="8"/>
    </row>
    <row r="18" customFormat="false" ht="21.75" hidden="false" customHeight="true" outlineLevel="0" collapsed="false">
      <c r="A18" s="10" t="n">
        <v>12</v>
      </c>
      <c r="B18" s="5"/>
      <c r="C18" s="5"/>
      <c r="D18" s="5"/>
      <c r="E18" s="8"/>
      <c r="F18" s="8"/>
      <c r="G18" s="8"/>
      <c r="H18" s="8"/>
      <c r="I18" s="8"/>
      <c r="J18" s="8"/>
      <c r="K18" s="11" t="str">
        <f aca="false">IF(OR(E18="",H18=""),"",ROUND(SQRT((H18-E18)^2+(I18-F18)^2)*1000,0))</f>
        <v/>
      </c>
      <c r="L18" s="11" t="str">
        <f aca="false">IF(OR(G18="",J18=""),"",ROUND((J18-G18)*1000,0))</f>
        <v/>
      </c>
      <c r="M18" s="8"/>
      <c r="N18" s="8"/>
      <c r="O18" s="8"/>
    </row>
    <row r="19" customFormat="false" ht="21.75" hidden="false" customHeight="true" outlineLevel="0" collapsed="false">
      <c r="A19" s="7" t="n">
        <v>13</v>
      </c>
      <c r="B19" s="5"/>
      <c r="C19" s="5"/>
      <c r="D19" s="5"/>
      <c r="E19" s="8"/>
      <c r="F19" s="8"/>
      <c r="G19" s="8"/>
      <c r="H19" s="8"/>
      <c r="I19" s="8"/>
      <c r="J19" s="8"/>
      <c r="K19" s="9" t="str">
        <f aca="false">IF(OR(E19="",H19=""),"",ROUND(SQRT((H19-E19)^2+(I19-F19)^2)*1000,0))</f>
        <v/>
      </c>
      <c r="L19" s="9" t="str">
        <f aca="false">IF(OR(G19="",J19=""),"",ROUND((J19-G19)*1000,0))</f>
        <v/>
      </c>
      <c r="M19" s="8"/>
      <c r="N19" s="8"/>
      <c r="O19" s="8"/>
    </row>
    <row r="20" customFormat="false" ht="21.75" hidden="false" customHeight="true" outlineLevel="0" collapsed="false">
      <c r="A20" s="10" t="n">
        <v>14</v>
      </c>
      <c r="B20" s="5"/>
      <c r="C20" s="5"/>
      <c r="D20" s="5"/>
      <c r="E20" s="8"/>
      <c r="F20" s="8"/>
      <c r="G20" s="8"/>
      <c r="H20" s="8"/>
      <c r="I20" s="8"/>
      <c r="J20" s="8"/>
      <c r="K20" s="11" t="str">
        <f aca="false">IF(OR(E20="",H20=""),"",ROUND(SQRT((H20-E20)^2+(I20-F20)^2)*1000,0))</f>
        <v/>
      </c>
      <c r="L20" s="11" t="str">
        <f aca="false">IF(OR(G20="",J20=""),"",ROUND((J20-G20)*1000,0))</f>
        <v/>
      </c>
      <c r="M20" s="8"/>
      <c r="N20" s="8"/>
      <c r="O20" s="8"/>
    </row>
    <row r="21" customFormat="false" ht="21.75" hidden="false" customHeight="true" outlineLevel="0" collapsed="false">
      <c r="A21" s="7" t="n">
        <v>15</v>
      </c>
      <c r="B21" s="5"/>
      <c r="C21" s="5"/>
      <c r="D21" s="5"/>
      <c r="E21" s="8"/>
      <c r="F21" s="8"/>
      <c r="G21" s="8"/>
      <c r="H21" s="8"/>
      <c r="I21" s="8"/>
      <c r="J21" s="8"/>
      <c r="K21" s="9" t="str">
        <f aca="false">IF(OR(E21="",H21=""),"",ROUND(SQRT((H21-E21)^2+(I21-F21)^2)*1000,0))</f>
        <v/>
      </c>
      <c r="L21" s="9" t="str">
        <f aca="false">IF(OR(G21="",J21=""),"",ROUND((J21-G21)*1000,0))</f>
        <v/>
      </c>
      <c r="M21" s="8"/>
      <c r="N21" s="8"/>
      <c r="O21" s="8"/>
    </row>
    <row r="22" customFormat="false" ht="21.75" hidden="false" customHeight="true" outlineLevel="0" collapsed="false">
      <c r="A22" s="10" t="n">
        <v>16</v>
      </c>
      <c r="B22" s="5"/>
      <c r="C22" s="5"/>
      <c r="D22" s="5"/>
      <c r="E22" s="8"/>
      <c r="F22" s="8"/>
      <c r="G22" s="8"/>
      <c r="H22" s="8"/>
      <c r="I22" s="8"/>
      <c r="J22" s="8"/>
      <c r="K22" s="11" t="str">
        <f aca="false">IF(OR(E22="",H22=""),"",ROUND(SQRT((H22-E22)^2+(I22-F22)^2)*1000,0))</f>
        <v/>
      </c>
      <c r="L22" s="11" t="str">
        <f aca="false">IF(OR(G22="",J22=""),"",ROUND((J22-G22)*1000,0))</f>
        <v/>
      </c>
      <c r="M22" s="8"/>
      <c r="N22" s="8"/>
      <c r="O22" s="8"/>
    </row>
    <row r="23" customFormat="false" ht="21.75" hidden="false" customHeight="true" outlineLevel="0" collapsed="false">
      <c r="A23" s="7" t="n">
        <v>17</v>
      </c>
      <c r="B23" s="5"/>
      <c r="C23" s="5"/>
      <c r="D23" s="5"/>
      <c r="E23" s="8"/>
      <c r="F23" s="8"/>
      <c r="G23" s="8"/>
      <c r="H23" s="8"/>
      <c r="I23" s="8"/>
      <c r="J23" s="8"/>
      <c r="K23" s="9" t="str">
        <f aca="false">IF(OR(E23="",H23=""),"",ROUND(SQRT((H23-E23)^2+(I23-F23)^2)*1000,0))</f>
        <v/>
      </c>
      <c r="L23" s="9" t="str">
        <f aca="false">IF(OR(G23="",J23=""),"",ROUND((J23-G23)*1000,0))</f>
        <v/>
      </c>
      <c r="M23" s="8"/>
      <c r="N23" s="8"/>
      <c r="O23" s="8"/>
    </row>
    <row r="24" customFormat="false" ht="21.75" hidden="false" customHeight="true" outlineLevel="0" collapsed="false">
      <c r="A24" s="10" t="n">
        <v>18</v>
      </c>
      <c r="B24" s="5"/>
      <c r="C24" s="5"/>
      <c r="D24" s="5"/>
      <c r="E24" s="8"/>
      <c r="F24" s="8"/>
      <c r="G24" s="8"/>
      <c r="H24" s="8"/>
      <c r="I24" s="8"/>
      <c r="J24" s="8"/>
      <c r="K24" s="11" t="str">
        <f aca="false">IF(OR(E24="",H24=""),"",ROUND(SQRT((H24-E24)^2+(I24-F24)^2)*1000,0))</f>
        <v/>
      </c>
      <c r="L24" s="11" t="str">
        <f aca="false">IF(OR(G24="",J24=""),"",ROUND((J24-G24)*1000,0))</f>
        <v/>
      </c>
      <c r="M24" s="8"/>
      <c r="N24" s="8"/>
      <c r="O24" s="8"/>
    </row>
    <row r="25" customFormat="false" ht="21.75" hidden="false" customHeight="true" outlineLevel="0" collapsed="false">
      <c r="A25" s="7" t="n">
        <v>19</v>
      </c>
      <c r="B25" s="5"/>
      <c r="C25" s="5"/>
      <c r="D25" s="5"/>
      <c r="E25" s="8"/>
      <c r="F25" s="8"/>
      <c r="G25" s="8"/>
      <c r="H25" s="8"/>
      <c r="I25" s="8"/>
      <c r="J25" s="8"/>
      <c r="K25" s="9" t="str">
        <f aca="false">IF(OR(E25="",H25=""),"",ROUND(SQRT((H25-E25)^2+(I25-F25)^2)*1000,0))</f>
        <v/>
      </c>
      <c r="L25" s="9" t="str">
        <f aca="false">IF(OR(G25="",J25=""),"",ROUND((J25-G25)*1000,0))</f>
        <v/>
      </c>
      <c r="M25" s="8"/>
      <c r="N25" s="8"/>
      <c r="O25" s="8"/>
    </row>
    <row r="26" customFormat="false" ht="21.75" hidden="false" customHeight="true" outlineLevel="0" collapsed="false">
      <c r="A26" s="10" t="n">
        <v>20</v>
      </c>
      <c r="B26" s="5"/>
      <c r="C26" s="5"/>
      <c r="D26" s="5"/>
      <c r="E26" s="8"/>
      <c r="F26" s="8"/>
      <c r="G26" s="8"/>
      <c r="H26" s="8"/>
      <c r="I26" s="8"/>
      <c r="J26" s="8"/>
      <c r="K26" s="11" t="str">
        <f aca="false">IF(OR(E26="",H26=""),"",ROUND(SQRT((H26-E26)^2+(I26-F26)^2)*1000,0))</f>
        <v/>
      </c>
      <c r="L26" s="11" t="str">
        <f aca="false">IF(OR(G26="",J26=""),"",ROUND((J26-G26)*1000,0))</f>
        <v/>
      </c>
      <c r="M26" s="8"/>
      <c r="N26" s="8"/>
      <c r="O26" s="8"/>
    </row>
    <row r="27" customFormat="false" ht="21.75" hidden="false" customHeight="true" outlineLevel="0" collapsed="false">
      <c r="A27" s="7" t="n">
        <v>21</v>
      </c>
      <c r="B27" s="5"/>
      <c r="C27" s="5"/>
      <c r="D27" s="5"/>
      <c r="E27" s="8"/>
      <c r="F27" s="8"/>
      <c r="G27" s="8"/>
      <c r="H27" s="8"/>
      <c r="I27" s="8"/>
      <c r="J27" s="8"/>
      <c r="K27" s="9" t="str">
        <f aca="false">IF(OR(E27="",H27=""),"",ROUND(SQRT((H27-E27)^2+(I27-F27)^2)*1000,0))</f>
        <v/>
      </c>
      <c r="L27" s="9" t="str">
        <f aca="false">IF(OR(G27="",J27=""),"",ROUND((J27-G27)*1000,0))</f>
        <v/>
      </c>
      <c r="M27" s="8"/>
      <c r="N27" s="8"/>
      <c r="O27" s="8"/>
    </row>
    <row r="28" customFormat="false" ht="21.75" hidden="false" customHeight="true" outlineLevel="0" collapsed="false">
      <c r="A28" s="10" t="n">
        <v>22</v>
      </c>
      <c r="B28" s="5"/>
      <c r="C28" s="5"/>
      <c r="D28" s="5"/>
      <c r="E28" s="8"/>
      <c r="F28" s="8"/>
      <c r="G28" s="8"/>
      <c r="H28" s="8"/>
      <c r="I28" s="8"/>
      <c r="J28" s="8"/>
      <c r="K28" s="11" t="str">
        <f aca="false">IF(OR(E28="",H28=""),"",ROUND(SQRT((H28-E28)^2+(I28-F28)^2)*1000,0))</f>
        <v/>
      </c>
      <c r="L28" s="11" t="str">
        <f aca="false">IF(OR(G28="",J28=""),"",ROUND((J28-G28)*1000,0))</f>
        <v/>
      </c>
      <c r="M28" s="8"/>
      <c r="N28" s="8"/>
      <c r="O28" s="8"/>
    </row>
    <row r="29" customFormat="false" ht="21.75" hidden="false" customHeight="true" outlineLevel="0" collapsed="false">
      <c r="A29" s="7" t="n">
        <v>23</v>
      </c>
      <c r="B29" s="5"/>
      <c r="C29" s="5"/>
      <c r="D29" s="5"/>
      <c r="E29" s="8"/>
      <c r="F29" s="8"/>
      <c r="G29" s="8"/>
      <c r="H29" s="8"/>
      <c r="I29" s="8"/>
      <c r="J29" s="8"/>
      <c r="K29" s="9" t="str">
        <f aca="false">IF(OR(E29="",H29=""),"",ROUND(SQRT((H29-E29)^2+(I29-F29)^2)*1000,0))</f>
        <v/>
      </c>
      <c r="L29" s="9" t="str">
        <f aca="false">IF(OR(G29="",J29=""),"",ROUND((J29-G29)*1000,0))</f>
        <v/>
      </c>
      <c r="M29" s="8"/>
      <c r="N29" s="8"/>
      <c r="O29" s="8"/>
    </row>
    <row r="30" customFormat="false" ht="21.75" hidden="false" customHeight="true" outlineLevel="0" collapsed="false">
      <c r="A30" s="10" t="n">
        <v>24</v>
      </c>
      <c r="B30" s="5"/>
      <c r="C30" s="5"/>
      <c r="D30" s="5"/>
      <c r="E30" s="8"/>
      <c r="F30" s="8"/>
      <c r="G30" s="8"/>
      <c r="H30" s="8"/>
      <c r="I30" s="8"/>
      <c r="J30" s="8"/>
      <c r="K30" s="11" t="str">
        <f aca="false">IF(OR(E30="",H30=""),"",ROUND(SQRT((H30-E30)^2+(I30-F30)^2)*1000,0))</f>
        <v/>
      </c>
      <c r="L30" s="11" t="str">
        <f aca="false">IF(OR(G30="",J30=""),"",ROUND((J30-G30)*1000,0))</f>
        <v/>
      </c>
      <c r="M30" s="8"/>
      <c r="N30" s="8"/>
      <c r="O30" s="8"/>
    </row>
    <row r="31" customFormat="false" ht="21.75" hidden="false" customHeight="true" outlineLevel="0" collapsed="false">
      <c r="A31" s="7" t="n">
        <v>25</v>
      </c>
      <c r="B31" s="5"/>
      <c r="C31" s="5"/>
      <c r="D31" s="5"/>
      <c r="E31" s="8"/>
      <c r="F31" s="8"/>
      <c r="G31" s="8"/>
      <c r="H31" s="8"/>
      <c r="I31" s="8"/>
      <c r="J31" s="8"/>
      <c r="K31" s="9" t="str">
        <f aca="false">IF(OR(E31="",H31=""),"",ROUND(SQRT((H31-E31)^2+(I31-F31)^2)*1000,0))</f>
        <v/>
      </c>
      <c r="L31" s="9" t="str">
        <f aca="false">IF(OR(G31="",J31=""),"",ROUND((J31-G31)*1000,0))</f>
        <v/>
      </c>
      <c r="M31" s="8"/>
      <c r="N31" s="8"/>
      <c r="O31" s="8"/>
    </row>
    <row r="33" customFormat="false" ht="15" hidden="false" customHeight="true" outlineLevel="0" collapsed="false">
      <c r="A33" s="12" t="s">
        <v>21</v>
      </c>
      <c r="B33" s="12"/>
      <c r="C33" s="12"/>
    </row>
    <row r="34" customFormat="false" ht="15" hidden="false" customHeight="true" outlineLevel="0" collapsed="false">
      <c r="A34" s="4" t="s">
        <v>22</v>
      </c>
      <c r="B34" s="4"/>
      <c r="C34" s="13" t="n">
        <f aca="false">COUNTA(C7:C31)</f>
        <v>0</v>
      </c>
    </row>
    <row r="35" customFormat="false" ht="23.85" hidden="false" customHeight="true" outlineLevel="0" collapsed="false">
      <c r="A35" s="4" t="s">
        <v>23</v>
      </c>
      <c r="B35" s="4"/>
      <c r="C35" s="13" t="n">
        <f aca="false">COUNTIF(M7:M31,"Yes")</f>
        <v>0</v>
      </c>
    </row>
    <row r="36" customFormat="false" ht="23.85" hidden="false" customHeight="true" outlineLevel="0" collapsed="false">
      <c r="A36" s="4" t="s">
        <v>24</v>
      </c>
      <c r="B36" s="4"/>
      <c r="C36" s="13" t="n">
        <f aca="false">COUNTIF(M7:M31,"No")</f>
        <v>0</v>
      </c>
    </row>
  </sheetData>
  <autoFilter ref="A6:O31"/>
  <mergeCells count="9">
    <mergeCell ref="A1:O1"/>
    <mergeCell ref="A2:O2"/>
    <mergeCell ref="A3:O3"/>
    <mergeCell ref="B4:D4"/>
    <mergeCell ref="F4:H4"/>
    <mergeCell ref="A33:C33"/>
    <mergeCell ref="A34:B34"/>
    <mergeCell ref="A35:B35"/>
    <mergeCell ref="A36:B36"/>
  </mergeCells>
  <conditionalFormatting sqref="M7:M31">
    <cfRule type="cellIs" priority="2" operator="equal" aboveAverage="0" equalAverage="0" bottom="0" percent="0" rank="0" text="" dxfId="6">
      <formula>"No"</formula>
    </cfRule>
    <cfRule type="cellIs" priority="3" operator="equal" aboveAverage="0" equalAverage="0" bottom="0" percent="0" rank="0" text="" dxfId="7">
      <formula>"Yes"</formula>
    </cfRule>
  </conditionalFormatting>
  <dataValidations count="1">
    <dataValidation allowBlank="true" errorStyle="stop" operator="between" showDropDown="false" showErrorMessage="false" showInputMessage="false" sqref="M7:M3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25</v>
      </c>
      <c r="B2" s="2"/>
    </row>
    <row r="4" customFormat="false" ht="15" hidden="false" customHeight="false" outlineLevel="0" collapsed="false">
      <c r="B4" s="12" t="s">
        <v>26</v>
      </c>
    </row>
    <row r="5" customFormat="false" ht="15" hidden="false" customHeight="false" outlineLevel="0" collapsed="false">
      <c r="B5" s="14"/>
    </row>
    <row r="6" customFormat="false" ht="15" hidden="false" customHeight="false" outlineLevel="0" collapsed="false">
      <c r="B6" s="14" t="s">
        <v>27</v>
      </c>
    </row>
    <row r="7" customFormat="false" ht="15" hidden="false" customHeight="false" outlineLevel="0" collapsed="false">
      <c r="B7" s="14" t="s">
        <v>28</v>
      </c>
    </row>
    <row r="8" customFormat="false" ht="15" hidden="false" customHeight="false" outlineLevel="0" collapsed="false">
      <c r="B8" s="14" t="s">
        <v>29</v>
      </c>
    </row>
    <row r="9" customFormat="false" ht="15" hidden="false" customHeight="false" outlineLevel="0" collapsed="false">
      <c r="B9" s="14"/>
    </row>
    <row r="10" customFormat="false" ht="15" hidden="false" customHeight="false" outlineLevel="0" collapsed="false">
      <c r="B10" s="12" t="s">
        <v>30</v>
      </c>
    </row>
    <row r="11" customFormat="false" ht="15" hidden="false" customHeight="false" outlineLevel="0" collapsed="false">
      <c r="B11" s="3" t="s">
        <v>31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2026-03-27T17:37:39Z</dcterms:created>
  <dc:creator>openpyxl</dc:creator>
  <dc:description/>
  <dc:language>en-US</dc:language>
  <cp:lastModifiedBy/>
  <dcterms:modified xsi:type="dcterms:W3CDTF">2026-03-27T17:37:39Z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