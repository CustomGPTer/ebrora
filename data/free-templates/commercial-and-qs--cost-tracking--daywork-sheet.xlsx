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Daywork Sheet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'Daywork Sheet'!$A$1:$G$57</definedName>
    <definedName function="false" hidden="false" localSheetId="1" name="_xlnm.Print_Area" vbProcedure="false">Instructions!$A$1:$F$25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<sst xmlns="http://schemas.openxmlformats.org/spreadsheetml/2006/main" count="135" uniqueCount="126">
  <si>
    <t xml:space="preserve">EBRORA</t>
  </si>
  <si>
    <t xml:space="preserve">ebrora.com</t>
  </si>
  <si>
    <t xml:space="preserve">Daywork Sheet</t>
  </si>
  <si>
    <t xml:space="preserve">Record labour, plant, and materials for daywork activities</t>
  </si>
  <si>
    <t xml:space="preserve">with automatic cost calculation and on-cost percentages.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</si>
  <si>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</si>
  <si>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</si>
  <si>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</si>
  <si>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</si>
  <si>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</si>
  <si>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</si>
  <si>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'Daywork Sheet' tab. Fill in the header block first: project name, contractor, daywork sheet number, date, location on site, and a description of the work carried out.</t>
  </si>
  <si>
    <t xml:space="preserve">2.</t>
  </si>
  <si>
    <t xml:space="preserve">The sheet has three sections — Labour, Plant, and Materials. Each is a mini-table with its own columns and a subtotal row.</t>
  </si>
  <si>
    <t xml:space="preserve">3.</t>
  </si>
  <si>
    <t xml:space="preserve">In the Labour section, enter each operative’s name, trade, hours worked (normal and overtime), and their hourly rates. The Amount column calculates automatically.</t>
  </si>
  <si>
    <t xml:space="preserve">4.</t>
  </si>
  <si>
    <t xml:space="preserve">In the Plant section, enter each item of plant, the hours or days used, and the rate. Amount calculates automatically.</t>
  </si>
  <si>
    <t xml:space="preserve">5.</t>
  </si>
  <si>
    <t xml:space="preserve">In the Materials section, enter each material, quantity, unit, and unit rate. Amount calculates automatically.</t>
  </si>
  <si>
    <t xml:space="preserve">6.</t>
  </si>
  <si>
    <t xml:space="preserve">The Cost Summary at the bottom totals all three sections, adds the on-cost/overhead percentage (editable, default 12.5%), and calculates the Total Daywork Value including VAT.</t>
  </si>
  <si>
    <t xml:space="preserve">Sign-Off</t>
  </si>
  <si>
    <t xml:space="preserve">7.</t>
  </si>
  <si>
    <t xml:space="preserve">Both the contractor’s representative and the employer’s/CA’s representative should sign and date the sheet. Daywork must be agreed on the day or as close to the event as possible.</t>
  </si>
  <si>
    <t xml:space="preserve">8.</t>
  </si>
  <si>
    <t xml:space="preserve">Unsigned or late daywork sheets are one of the most common reasons claims are rejected at final account.</t>
  </si>
  <si>
    <t xml:space="preserve">Colour Key</t>
  </si>
  <si>
    <t xml:space="preserve">Light teal cells (#E8F6F7) — User input. Enter your data here.</t>
  </si>
  <si>
    <t xml:space="preserve">Dark navy headers — Do not edit. Section headers.</t>
  </si>
  <si>
    <t xml:space="preserve">Teal section banners — Labour / Plant / Materials section markers.</t>
  </si>
  <si>
    <t xml:space="preserve">Grey rows — Subtotal and calculation rows with formulas.</t>
  </si>
  <si>
    <t xml:space="preserve">Tips</t>
  </si>
  <si>
    <t xml:space="preserve">Tip 1:</t>
  </si>
  <si>
    <t xml:space="preserve">Complete and get signatures on the same day the work is done. Under most standard forms (JCT, NEC), daywork must be verified promptly to be valid.</t>
  </si>
  <si>
    <t xml:space="preserve">Tip 2:</t>
  </si>
  <si>
    <t xml:space="preserve">Photograph the daywork activity and attach the photo reference to the sheet. This provides evidence if the daywork is later disputed.</t>
  </si>
  <si>
    <t xml:space="preserve">Tip 3:</t>
  </si>
  <si>
    <t xml:space="preserve">Cross-reference the daywork sheet number against your Variation Order Register — daywork often supports or evidences a VO claim.</t>
  </si>
  <si>
    <t xml:space="preserve">DAYWORK SHEET</t>
  </si>
  <si>
    <t xml:space="preserve">Project Name:</t>
  </si>
  <si>
    <t xml:space="preserve">Riverside Business Park — Phase 2</t>
  </si>
  <si>
    <t xml:space="preserve">Daywork Sheet No:</t>
  </si>
  <si>
    <t xml:space="preserve">DW-027</t>
  </si>
  <si>
    <t xml:space="preserve">Main Contractor:</t>
  </si>
  <si>
    <t xml:space="preserve">Kier Construction Ltd</t>
  </si>
  <si>
    <t xml:space="preserve">Date:</t>
  </si>
  <si>
    <t xml:space="preserve">Subcontractor:</t>
  </si>
  <si>
    <t xml:space="preserve">McCann Electrical Ltd</t>
  </si>
  <si>
    <t xml:space="preserve">Instruction Ref:</t>
  </si>
  <si>
    <t xml:space="preserve">SI-042</t>
  </si>
  <si>
    <t xml:space="preserve">Location on Site:</t>
  </si>
  <si>
    <t xml:space="preserve">Level 2 riser cupboard, Zone B</t>
  </si>
  <si>
    <t xml:space="preserve">Linked VO Ref:</t>
  </si>
  <si>
    <t xml:space="preserve">VO-009</t>
  </si>
  <si>
    <t xml:space="preserve">Description of Work:</t>
  </si>
  <si>
    <t xml:space="preserve">Additional fire stopping to M&amp;E service penetrations through 2-hour fire-rated wall in Level 2 riser. Not included in original scope — required following Building Control inspection comment BC-014.</t>
  </si>
  <si>
    <t xml:space="preserve">SECTION 1: LABOUR</t>
  </si>
  <si>
    <t xml:space="preserve">Name / Operative</t>
  </si>
  <si>
    <t xml:space="preserve">Trade / Grade</t>
  </si>
  <si>
    <t xml:space="preserve">Normal
Hours</t>
  </si>
  <si>
    <t xml:space="preserve">Overtime
Hours</t>
  </si>
  <si>
    <t xml:space="preserve">Rate (Normal)
(£/hr)</t>
  </si>
  <si>
    <t xml:space="preserve">Rate (OT)
(£/hr)</t>
  </si>
  <si>
    <t xml:space="preserve">Amount (£)</t>
  </si>
  <si>
    <t xml:space="preserve">J. Williams</t>
  </si>
  <si>
    <t xml:space="preserve">Electrician</t>
  </si>
  <si>
    <t xml:space="preserve">S. Patel</t>
  </si>
  <si>
    <t xml:space="preserve">Electrician’s Mate</t>
  </si>
  <si>
    <t xml:space="preserve">R. Hughes</t>
  </si>
  <si>
    <t xml:space="preserve">Fire Stopper (specialist)</t>
  </si>
  <si>
    <t xml:space="preserve">K. Brennan</t>
  </si>
  <si>
    <t xml:space="preserve">Labourer</t>
  </si>
  <si>
    <t xml:space="preserve">LABOUR SUBTOTAL</t>
  </si>
  <si>
    <t xml:space="preserve">SECTION 2: PLANT &amp; EQUIPMENT</t>
  </si>
  <si>
    <t xml:space="preserve">Plant / Equipment</t>
  </si>
  <si>
    <t xml:space="preserve">Description</t>
  </si>
  <si>
    <t xml:space="preserve">Quantity</t>
  </si>
  <si>
    <t xml:space="preserve">Unit</t>
  </si>
  <si>
    <t xml:space="preserve">Rate (£)</t>
  </si>
  <si>
    <t xml:space="preserve">Core drill rig</t>
  </si>
  <si>
    <t xml:space="preserve">Hilti DD250 + diamond core bits</t>
  </si>
  <si>
    <t xml:space="preserve">day</t>
  </si>
  <si>
    <t xml:space="preserve">Dust extraction unit</t>
  </si>
  <si>
    <t xml:space="preserve">110V dust suppression</t>
  </si>
  <si>
    <t xml:space="preserve">SDS drill</t>
  </si>
  <si>
    <t xml:space="preserve">Hilti TE 30-A36 cordless</t>
  </si>
  <si>
    <t xml:space="preserve">PLANT SUBTOTAL</t>
  </si>
  <si>
    <t xml:space="preserve">SECTION 3: MATERIALS</t>
  </si>
  <si>
    <t xml:space="preserve">Material</t>
  </si>
  <si>
    <t xml:space="preserve">Specification / Size</t>
  </si>
  <si>
    <t xml:space="preserve">Unit Rate (£)</t>
  </si>
  <si>
    <t xml:space="preserve">Intumescent fire sealant</t>
  </si>
  <si>
    <t xml:space="preserve">Hilti CP 606 — 310ml cartridge</t>
  </si>
  <si>
    <t xml:space="preserve">nr</t>
  </si>
  <si>
    <t xml:space="preserve">Fire batt mineral wool</t>
  </si>
  <si>
    <t xml:space="preserve">Rockwool Fire Barrier — 60mm</t>
  </si>
  <si>
    <t xml:space="preserve">m²</t>
  </si>
  <si>
    <t xml:space="preserve">Intumescent pipe collar</t>
  </si>
  <si>
    <t xml:space="preserve">Promat PROMASEAL — 110mm</t>
  </si>
  <si>
    <t xml:space="preserve">Acrylic sealant</t>
  </si>
  <si>
    <t xml:space="preserve">White, fire-rated, 300ml</t>
  </si>
  <si>
    <t xml:space="preserve">MATERIALS SUBTOTAL</t>
  </si>
  <si>
    <t xml:space="preserve">COST SUMMARY</t>
  </si>
  <si>
    <t xml:space="preserve">A.  Labour Subtotal</t>
  </si>
  <si>
    <t xml:space="preserve">B.  Plant &amp; Equipment Subtotal</t>
  </si>
  <si>
    <t xml:space="preserve">C.  Materials Subtotal</t>
  </si>
  <si>
    <t xml:space="preserve">D.  Net Subtotal (A + B + C)</t>
  </si>
  <si>
    <t xml:space="preserve">E.  On-Costs / Overheads &amp; Profit</t>
  </si>
  <si>
    <t xml:space="preserve">F.  Total Daywork Value (excl. VAT)</t>
  </si>
  <si>
    <t xml:space="preserve">G.  VAT @ 20%</t>
  </si>
  <si>
    <t xml:space="preserve">TOTAL DAYWORK VALUE (incl. VAT)</t>
  </si>
  <si>
    <t xml:space="preserve">CONFIRMATION &amp; SIGN-OFF</t>
  </si>
  <si>
    <t xml:space="preserve">I confirm that the labour, plant, and materials listed above were employed/used on the date and for the work described.</t>
  </si>
  <si>
    <t xml:space="preserve">Contractor’s Representative:</t>
  </si>
  <si>
    <t xml:space="preserve">Employer’s / CA’s Representative:</t>
  </si>
  <si>
    <t xml:space="preserve">Signed / Name / Date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</si>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</sst>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£#,##0.00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6"/>
      <color rgb="FF1B2A4A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F2F2F2"/>
        <bgColor rgb="FFE8F6F7"/>
      </patternFill>
    </fill>
    <fill>
      <patternFill patternType="solid">
        <fgColor rgb="FF2AABB3"/>
        <bgColor rgb="FF3399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/>
      <diagonal/>
    </border>
    <border diagonalUp="false" diagonalDown="false">
      <left/>
      <right/>
      <top/>
      <bottom style="double">
        <color rgb="FF1B2A4A"/>
      </bottom>
      <diagonal/>
    </border>
    <border diagonalUp="false" diagonalDown="false"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 diagonalUp="false" diagonalDown="false">
      <left/>
      <right/>
      <top/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5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8"/>
  </cols>
  <sheetData>
    <row r="1" customFormat="false" ht="18.65" hidden="false" customHeight="true" outlineLevel="0" collapsed="false">
      <c r="A1" s="10" t="s">
        <v>8</v>
      </c>
      <c r="B1" s="10"/>
      <c r="C1" s="10"/>
      <c r="D1" s="10"/>
      <c r="E1" s="10"/>
      <c r="F1" s="10"/>
    </row>
    <row r="3" customFormat="false" ht="15" hidden="false" customHeight="true" outlineLevel="0" collapsed="false">
      <c r="A3" s="11" t="s">
        <v>9</v>
      </c>
      <c r="B3" s="11"/>
      <c r="C3" s="11"/>
      <c r="D3" s="11"/>
      <c r="E3" s="11"/>
      <c r="F3" s="11"/>
    </row>
    <row r="4" customFormat="false" ht="23.85" hidden="false" customHeight="true" outlineLevel="0" collapsed="false">
      <c r="A4" s="12" t="s">
        <v>10</v>
      </c>
      <c r="B4" s="13" t="s">
        <v>11</v>
      </c>
      <c r="C4" s="13"/>
      <c r="D4" s="13"/>
      <c r="E4" s="13"/>
      <c r="F4" s="13"/>
    </row>
    <row r="5" customFormat="false" ht="23.85" hidden="false" customHeight="true" outlineLevel="0" collapsed="false">
      <c r="A5" s="12" t="s">
        <v>12</v>
      </c>
      <c r="B5" s="13" t="s">
        <v>13</v>
      </c>
      <c r="C5" s="13"/>
      <c r="D5" s="13"/>
      <c r="E5" s="13"/>
      <c r="F5" s="13"/>
    </row>
    <row r="6" customFormat="false" ht="23.85" hidden="false" customHeight="true" outlineLevel="0" collapsed="false">
      <c r="A6" s="12" t="s">
        <v>14</v>
      </c>
      <c r="B6" s="13" t="s">
        <v>15</v>
      </c>
      <c r="C6" s="13"/>
      <c r="D6" s="13"/>
      <c r="E6" s="13"/>
      <c r="F6" s="13"/>
    </row>
    <row r="7" customFormat="false" ht="15" hidden="false" customHeight="true" outlineLevel="0" collapsed="false">
      <c r="A7" s="12" t="s">
        <v>16</v>
      </c>
      <c r="B7" s="13" t="s">
        <v>17</v>
      </c>
      <c r="C7" s="13"/>
      <c r="D7" s="13"/>
      <c r="E7" s="13"/>
      <c r="F7" s="13"/>
    </row>
    <row r="8" customFormat="false" ht="15" hidden="false" customHeight="true" outlineLevel="0" collapsed="false">
      <c r="A8" s="12" t="s">
        <v>18</v>
      </c>
      <c r="B8" s="13" t="s">
        <v>19</v>
      </c>
      <c r="C8" s="13"/>
      <c r="D8" s="13"/>
      <c r="E8" s="13"/>
      <c r="F8" s="13"/>
    </row>
    <row r="9" customFormat="false" ht="23.85" hidden="false" customHeight="true" outlineLevel="0" collapsed="false">
      <c r="A9" s="12" t="s">
        <v>20</v>
      </c>
      <c r="B9" s="13" t="s">
        <v>21</v>
      </c>
      <c r="C9" s="13"/>
      <c r="D9" s="13"/>
      <c r="E9" s="13"/>
      <c r="F9" s="13"/>
    </row>
    <row r="11" customFormat="false" ht="15" hidden="false" customHeight="true" outlineLevel="0" collapsed="false">
      <c r="A11" s="11" t="s">
        <v>22</v>
      </c>
      <c r="B11" s="11"/>
      <c r="C11" s="11"/>
      <c r="D11" s="11"/>
      <c r="E11" s="11"/>
      <c r="F11" s="11"/>
    </row>
    <row r="12" customFormat="false" ht="23.85" hidden="false" customHeight="true" outlineLevel="0" collapsed="false">
      <c r="A12" s="12" t="s">
        <v>23</v>
      </c>
      <c r="B12" s="13" t="s">
        <v>24</v>
      </c>
      <c r="C12" s="13"/>
      <c r="D12" s="13"/>
      <c r="E12" s="13"/>
      <c r="F12" s="13"/>
    </row>
    <row r="13" customFormat="false" ht="15" hidden="false" customHeight="true" outlineLevel="0" collapsed="false">
      <c r="A13" s="12" t="s">
        <v>25</v>
      </c>
      <c r="B13" s="13" t="s">
        <v>26</v>
      </c>
      <c r="C13" s="13"/>
      <c r="D13" s="13"/>
      <c r="E13" s="13"/>
      <c r="F13" s="13"/>
    </row>
    <row r="15" customFormat="false" ht="15" hidden="false" customHeight="true" outlineLevel="0" collapsed="false">
      <c r="A15" s="11" t="s">
        <v>27</v>
      </c>
      <c r="B15" s="11"/>
      <c r="C15" s="11"/>
      <c r="D15" s="11"/>
      <c r="E15" s="11"/>
      <c r="F15" s="11"/>
    </row>
    <row r="16" customFormat="false" ht="15" hidden="false" customHeight="true" outlineLevel="0" collapsed="false">
      <c r="A16" s="14" t="s">
        <v>28</v>
      </c>
      <c r="B16" s="14"/>
      <c r="C16" s="14"/>
      <c r="D16" s="14"/>
      <c r="E16" s="14"/>
      <c r="F16" s="14"/>
    </row>
    <row r="17" customFormat="false" ht="15" hidden="false" customHeight="true" outlineLevel="0" collapsed="false">
      <c r="A17" s="14" t="s">
        <v>29</v>
      </c>
      <c r="B17" s="14"/>
      <c r="C17" s="14"/>
      <c r="D17" s="14"/>
      <c r="E17" s="14"/>
      <c r="F17" s="14"/>
    </row>
    <row r="18" customFormat="false" ht="15" hidden="false" customHeight="true" outlineLevel="0" collapsed="false">
      <c r="A18" s="14" t="s">
        <v>30</v>
      </c>
      <c r="B18" s="14"/>
      <c r="C18" s="14"/>
      <c r="D18" s="14"/>
      <c r="E18" s="14"/>
      <c r="F18" s="14"/>
    </row>
    <row r="19" customFormat="false" ht="15" hidden="false" customHeight="true" outlineLevel="0" collapsed="false">
      <c r="A19" s="14" t="s">
        <v>31</v>
      </c>
      <c r="B19" s="14"/>
      <c r="C19" s="14"/>
      <c r="D19" s="14"/>
      <c r="E19" s="14"/>
      <c r="F19" s="14"/>
    </row>
    <row r="21" customFormat="false" ht="15" hidden="false" customHeight="true" outlineLevel="0" collapsed="false">
      <c r="A21" s="11" t="s">
        <v>32</v>
      </c>
      <c r="B21" s="11"/>
      <c r="C21" s="11"/>
      <c r="D21" s="11"/>
      <c r="E21" s="11"/>
      <c r="F21" s="11"/>
    </row>
    <row r="22" customFormat="false" ht="23.85" hidden="false" customHeight="true" outlineLevel="0" collapsed="false">
      <c r="A22" s="12" t="s">
        <v>33</v>
      </c>
      <c r="B22" s="13" t="s">
        <v>34</v>
      </c>
      <c r="C22" s="13"/>
      <c r="D22" s="13"/>
      <c r="E22" s="13"/>
      <c r="F22" s="13"/>
    </row>
    <row r="23" customFormat="false" ht="23.85" hidden="false" customHeight="true" outlineLevel="0" collapsed="false">
      <c r="A23" s="12" t="s">
        <v>35</v>
      </c>
      <c r="B23" s="13" t="s">
        <v>36</v>
      </c>
      <c r="C23" s="13"/>
      <c r="D23" s="13"/>
      <c r="E23" s="13"/>
      <c r="F23" s="13"/>
    </row>
    <row r="24" customFormat="false" ht="23.85" hidden="false" customHeight="true" outlineLevel="0" collapsed="false">
      <c r="A24" s="12" t="s">
        <v>37</v>
      </c>
      <c r="B24" s="13" t="s">
        <v>38</v>
      </c>
      <c r="C24" s="13"/>
      <c r="D24" s="13"/>
      <c r="E24" s="13"/>
      <c r="F24" s="13"/>
    </row>
  </sheetData>
  <mergeCells count="20">
    <mergeCell ref="A1:F1"/>
    <mergeCell ref="A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A15:F15"/>
    <mergeCell ref="A16:F16"/>
    <mergeCell ref="A17:F17"/>
    <mergeCell ref="A18:F18"/>
    <mergeCell ref="A19:F19"/>
    <mergeCell ref="A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15" hidden="false" customHeight="true" outlineLevel="0" collapsed="false">
      <c r="A1" s="15" t="s">
        <v>39</v>
      </c>
      <c r="B1" s="15"/>
      <c r="C1" s="15"/>
      <c r="D1" s="15"/>
      <c r="E1" s="15"/>
      <c r="F1" s="15"/>
      <c r="G1" s="15"/>
    </row>
    <row r="3" customFormat="false" ht="23.85" hidden="false" customHeight="true" outlineLevel="0" collapsed="false">
      <c r="A3" s="16" t="s">
        <v>40</v>
      </c>
      <c r="B3" s="16"/>
      <c r="C3" s="17" t="s">
        <v>41</v>
      </c>
      <c r="D3" s="17"/>
      <c r="E3" s="16" t="s">
        <v>42</v>
      </c>
      <c r="F3" s="18" t="s">
        <v>43</v>
      </c>
      <c r="G3" s="18"/>
    </row>
    <row r="4" customFormat="false" ht="15" hidden="false" customHeight="true" outlineLevel="0" collapsed="false">
      <c r="A4" s="16" t="s">
        <v>44</v>
      </c>
      <c r="B4" s="16"/>
      <c r="C4" s="17" t="s">
        <v>45</v>
      </c>
      <c r="D4" s="17"/>
      <c r="E4" s="16" t="s">
        <v>46</v>
      </c>
      <c r="F4" s="19" t="n">
        <v>46071</v>
      </c>
      <c r="G4" s="19"/>
    </row>
    <row r="5" customFormat="false" ht="15" hidden="false" customHeight="true" outlineLevel="0" collapsed="false">
      <c r="A5" s="16" t="s">
        <v>47</v>
      </c>
      <c r="B5" s="16"/>
      <c r="C5" s="17" t="s">
        <v>48</v>
      </c>
      <c r="D5" s="17"/>
      <c r="E5" s="16" t="s">
        <v>49</v>
      </c>
      <c r="F5" s="18" t="s">
        <v>50</v>
      </c>
      <c r="G5" s="18"/>
    </row>
    <row r="6" customFormat="false" ht="15" hidden="false" customHeight="true" outlineLevel="0" collapsed="false">
      <c r="A6" s="16" t="s">
        <v>51</v>
      </c>
      <c r="B6" s="16"/>
      <c r="C6" s="17" t="s">
        <v>52</v>
      </c>
      <c r="D6" s="17"/>
      <c r="E6" s="16" t="s">
        <v>53</v>
      </c>
      <c r="F6" s="18" t="s">
        <v>54</v>
      </c>
      <c r="G6" s="18"/>
    </row>
    <row r="8" customFormat="false" ht="15" hidden="false" customHeight="true" outlineLevel="0" collapsed="false">
      <c r="A8" s="16" t="s">
        <v>55</v>
      </c>
      <c r="B8" s="16"/>
      <c r="C8" s="20" t="s">
        <v>56</v>
      </c>
      <c r="D8" s="20"/>
      <c r="E8" s="20"/>
      <c r="F8" s="20"/>
      <c r="G8" s="20"/>
    </row>
    <row r="9" customFormat="false" ht="15" hidden="false" customHeight="false" outlineLevel="0" collapsed="false">
      <c r="A9" s="21"/>
      <c r="B9" s="21"/>
      <c r="C9" s="20"/>
      <c r="D9" s="20"/>
      <c r="E9" s="20"/>
      <c r="F9" s="20"/>
      <c r="G9" s="20"/>
    </row>
    <row r="11" customFormat="false" ht="15" hidden="false" customHeight="true" outlineLevel="0" collapsed="false">
      <c r="A11" s="22" t="s">
        <v>57</v>
      </c>
      <c r="B11" s="22"/>
      <c r="C11" s="22"/>
      <c r="D11" s="22"/>
      <c r="E11" s="22"/>
      <c r="F11" s="22"/>
      <c r="G11" s="22"/>
    </row>
    <row r="12" customFormat="false" ht="23.85" hidden="false" customHeight="false" outlineLevel="0" collapsed="false">
      <c r="A12" s="23" t="s">
        <v>58</v>
      </c>
      <c r="B12" s="23" t="s">
        <v>59</v>
      </c>
      <c r="C12" s="23" t="s">
        <v>60</v>
      </c>
      <c r="D12" s="23" t="s">
        <v>61</v>
      </c>
      <c r="E12" s="23" t="s">
        <v>62</v>
      </c>
      <c r="F12" s="23" t="s">
        <v>63</v>
      </c>
      <c r="G12" s="23" t="s">
        <v>64</v>
      </c>
    </row>
    <row r="13" customFormat="false" ht="15" hidden="false" customHeight="false" outlineLevel="0" collapsed="false">
      <c r="A13" s="17" t="s">
        <v>65</v>
      </c>
      <c r="B13" s="17" t="s">
        <v>66</v>
      </c>
      <c r="C13" s="18" t="n">
        <v>8</v>
      </c>
      <c r="D13" s="18" t="n">
        <v>2</v>
      </c>
      <c r="E13" s="24" t="n">
        <v>32.5</v>
      </c>
      <c r="F13" s="24" t="n">
        <v>48.75</v>
      </c>
      <c r="G13" s="25" t="n">
        <f aca="false">(C13*E13)+(D13*F13)</f>
        <v>357.5</v>
      </c>
    </row>
    <row r="14" customFormat="false" ht="15" hidden="false" customHeight="false" outlineLevel="0" collapsed="false">
      <c r="A14" s="17" t="s">
        <v>67</v>
      </c>
      <c r="B14" s="17" t="s">
        <v>68</v>
      </c>
      <c r="C14" s="18" t="n">
        <v>8</v>
      </c>
      <c r="D14" s="18" t="n">
        <v>2</v>
      </c>
      <c r="E14" s="24" t="n">
        <v>24</v>
      </c>
      <c r="F14" s="24" t="n">
        <v>36</v>
      </c>
      <c r="G14" s="25" t="n">
        <f aca="false">(C14*E14)+(D14*F14)</f>
        <v>264</v>
      </c>
    </row>
    <row r="15" customFormat="false" ht="23.85" hidden="false" customHeight="false" outlineLevel="0" collapsed="false">
      <c r="A15" s="17" t="s">
        <v>69</v>
      </c>
      <c r="B15" s="17" t="s">
        <v>70</v>
      </c>
      <c r="C15" s="18" t="n">
        <v>8</v>
      </c>
      <c r="D15" s="18" t="n">
        <v>0</v>
      </c>
      <c r="E15" s="24" t="n">
        <v>38</v>
      </c>
      <c r="F15" s="24" t="n">
        <v>57</v>
      </c>
      <c r="G15" s="25" t="n">
        <f aca="false">(C15*E15)+(D15*F15)</f>
        <v>304</v>
      </c>
    </row>
    <row r="16" customFormat="false" ht="15" hidden="false" customHeight="false" outlineLevel="0" collapsed="false">
      <c r="A16" s="17" t="s">
        <v>71</v>
      </c>
      <c r="B16" s="17" t="s">
        <v>72</v>
      </c>
      <c r="C16" s="18" t="n">
        <v>4</v>
      </c>
      <c r="D16" s="18" t="n">
        <v>0</v>
      </c>
      <c r="E16" s="24" t="n">
        <v>18.5</v>
      </c>
      <c r="F16" s="24" t="n">
        <v>27.75</v>
      </c>
      <c r="G16" s="25" t="n">
        <f aca="false">(C16*E16)+(D16*F16)</f>
        <v>74</v>
      </c>
    </row>
    <row r="17" customFormat="false" ht="15" hidden="false" customHeight="false" outlineLevel="0" collapsed="false">
      <c r="A17" s="17"/>
      <c r="B17" s="17"/>
      <c r="C17" s="18"/>
      <c r="D17" s="18"/>
      <c r="E17" s="24"/>
      <c r="F17" s="24"/>
      <c r="G17" s="26" t="str">
        <f aca="false">IF(OR(C17&lt;&gt;"",D17&lt;&gt;""),(C17*E17)+(D17*F17),"")</f>
        <v/>
      </c>
    </row>
    <row r="18" customFormat="false" ht="15" hidden="false" customHeight="false" outlineLevel="0" collapsed="false">
      <c r="A18" s="17"/>
      <c r="B18" s="17"/>
      <c r="C18" s="18"/>
      <c r="D18" s="18"/>
      <c r="E18" s="24"/>
      <c r="F18" s="24"/>
      <c r="G18" s="26" t="str">
        <f aca="false">IF(OR(C18&lt;&gt;"",D18&lt;&gt;""),(C18*E18)+(D18*F18),"")</f>
        <v/>
      </c>
    </row>
    <row r="19" customFormat="false" ht="15" hidden="false" customHeight="true" outlineLevel="0" collapsed="false">
      <c r="A19" s="16" t="s">
        <v>73</v>
      </c>
      <c r="B19" s="16"/>
      <c r="C19" s="16"/>
      <c r="D19" s="16"/>
      <c r="E19" s="16"/>
      <c r="F19" s="16"/>
      <c r="G19" s="27" t="n">
        <f aca="false">SUM(G13:G18)</f>
        <v>999.5</v>
      </c>
    </row>
    <row r="21" customFormat="false" ht="15" hidden="false" customHeight="true" outlineLevel="0" collapsed="false">
      <c r="A21" s="22" t="s">
        <v>74</v>
      </c>
      <c r="B21" s="22"/>
      <c r="C21" s="22"/>
      <c r="D21" s="22"/>
      <c r="E21" s="22"/>
      <c r="F21" s="22"/>
      <c r="G21" s="22"/>
    </row>
    <row r="22" customFormat="false" ht="15" hidden="false" customHeight="true" outlineLevel="0" collapsed="false">
      <c r="A22" s="23" t="s">
        <v>75</v>
      </c>
      <c r="B22" s="23" t="s">
        <v>76</v>
      </c>
      <c r="C22" s="23" t="s">
        <v>77</v>
      </c>
      <c r="D22" s="23" t="s">
        <v>78</v>
      </c>
      <c r="E22" s="23" t="s">
        <v>79</v>
      </c>
      <c r="F22" s="23"/>
      <c r="G22" s="23" t="s">
        <v>64</v>
      </c>
    </row>
    <row r="23" customFormat="false" ht="23.85" hidden="false" customHeight="false" outlineLevel="0" collapsed="false">
      <c r="A23" s="17" t="s">
        <v>80</v>
      </c>
      <c r="B23" s="17" t="s">
        <v>81</v>
      </c>
      <c r="C23" s="18" t="n">
        <v>1</v>
      </c>
      <c r="D23" s="18" t="s">
        <v>82</v>
      </c>
      <c r="E23" s="24" t="n">
        <v>185</v>
      </c>
      <c r="F23" s="24"/>
      <c r="G23" s="25" t="n">
        <f aca="false">C23*E23</f>
        <v>185</v>
      </c>
    </row>
    <row r="24" customFormat="false" ht="23.85" hidden="false" customHeight="false" outlineLevel="0" collapsed="false">
      <c r="A24" s="17" t="s">
        <v>83</v>
      </c>
      <c r="B24" s="17" t="s">
        <v>84</v>
      </c>
      <c r="C24" s="18" t="n">
        <v>1</v>
      </c>
      <c r="D24" s="18" t="s">
        <v>82</v>
      </c>
      <c r="E24" s="24" t="n">
        <v>45</v>
      </c>
      <c r="F24" s="24"/>
      <c r="G24" s="25" t="n">
        <f aca="false">C24*E24</f>
        <v>45</v>
      </c>
    </row>
    <row r="25" customFormat="false" ht="23.85" hidden="false" customHeight="false" outlineLevel="0" collapsed="false">
      <c r="A25" s="17" t="s">
        <v>85</v>
      </c>
      <c r="B25" s="17" t="s">
        <v>86</v>
      </c>
      <c r="C25" s="18" t="n">
        <v>1</v>
      </c>
      <c r="D25" s="18" t="s">
        <v>82</v>
      </c>
      <c r="E25" s="24" t="n">
        <v>35</v>
      </c>
      <c r="F25" s="24"/>
      <c r="G25" s="25" t="n">
        <f aca="false">C25*E25</f>
        <v>35</v>
      </c>
    </row>
    <row r="26" customFormat="false" ht="15" hidden="false" customHeight="false" outlineLevel="0" collapsed="false">
      <c r="A26" s="17"/>
      <c r="B26" s="17"/>
      <c r="C26" s="18"/>
      <c r="D26" s="18"/>
      <c r="E26" s="24"/>
      <c r="F26" s="24"/>
      <c r="G26" s="26" t="str">
        <f aca="false">IF(C26&lt;&gt;"",C26*E26,"")</f>
        <v/>
      </c>
    </row>
    <row r="27" customFormat="false" ht="15" hidden="false" customHeight="false" outlineLevel="0" collapsed="false">
      <c r="A27" s="17"/>
      <c r="B27" s="17"/>
      <c r="C27" s="18"/>
      <c r="D27" s="18"/>
      <c r="E27" s="24"/>
      <c r="F27" s="24"/>
      <c r="G27" s="26" t="str">
        <f aca="false">IF(C27&lt;&gt;"",C27*E27,"")</f>
        <v/>
      </c>
    </row>
    <row r="28" customFormat="false" ht="15" hidden="false" customHeight="true" outlineLevel="0" collapsed="false">
      <c r="A28" s="16" t="s">
        <v>87</v>
      </c>
      <c r="B28" s="16"/>
      <c r="C28" s="16"/>
      <c r="D28" s="16"/>
      <c r="E28" s="16"/>
      <c r="F28" s="16"/>
      <c r="G28" s="27" t="n">
        <f aca="false">SUM(G23:G27)</f>
        <v>265</v>
      </c>
    </row>
    <row r="30" customFormat="false" ht="15" hidden="false" customHeight="true" outlineLevel="0" collapsed="false">
      <c r="A30" s="22" t="s">
        <v>88</v>
      </c>
      <c r="B30" s="22"/>
      <c r="C30" s="22"/>
      <c r="D30" s="22"/>
      <c r="E30" s="22"/>
      <c r="F30" s="22"/>
      <c r="G30" s="22"/>
    </row>
    <row r="31" customFormat="false" ht="15" hidden="false" customHeight="true" outlineLevel="0" collapsed="false">
      <c r="A31" s="23" t="s">
        <v>89</v>
      </c>
      <c r="B31" s="23" t="s">
        <v>90</v>
      </c>
      <c r="C31" s="23" t="s">
        <v>77</v>
      </c>
      <c r="D31" s="23" t="s">
        <v>78</v>
      </c>
      <c r="E31" s="23" t="s">
        <v>91</v>
      </c>
      <c r="F31" s="23"/>
      <c r="G31" s="23" t="s">
        <v>64</v>
      </c>
    </row>
    <row r="32" customFormat="false" ht="23.85" hidden="false" customHeight="false" outlineLevel="0" collapsed="false">
      <c r="A32" s="17" t="s">
        <v>92</v>
      </c>
      <c r="B32" s="17" t="s">
        <v>93</v>
      </c>
      <c r="C32" s="18" t="n">
        <v>12</v>
      </c>
      <c r="D32" s="18" t="s">
        <v>94</v>
      </c>
      <c r="E32" s="24" t="n">
        <v>8.95</v>
      </c>
      <c r="F32" s="24"/>
      <c r="G32" s="25" t="n">
        <f aca="false">C32*E32</f>
        <v>107.4</v>
      </c>
    </row>
    <row r="33" customFormat="false" ht="23.85" hidden="false" customHeight="false" outlineLevel="0" collapsed="false">
      <c r="A33" s="17" t="s">
        <v>95</v>
      </c>
      <c r="B33" s="17" t="s">
        <v>96</v>
      </c>
      <c r="C33" s="18" t="n">
        <v>6</v>
      </c>
      <c r="D33" s="18" t="s">
        <v>97</v>
      </c>
      <c r="E33" s="24" t="n">
        <v>14.5</v>
      </c>
      <c r="F33" s="24"/>
      <c r="G33" s="25" t="n">
        <f aca="false">C33*E33</f>
        <v>87</v>
      </c>
    </row>
    <row r="34" customFormat="false" ht="23.85" hidden="false" customHeight="false" outlineLevel="0" collapsed="false">
      <c r="A34" s="17" t="s">
        <v>98</v>
      </c>
      <c r="B34" s="17" t="s">
        <v>99</v>
      </c>
      <c r="C34" s="18" t="n">
        <v>4</v>
      </c>
      <c r="D34" s="18" t="s">
        <v>94</v>
      </c>
      <c r="E34" s="24" t="n">
        <v>32</v>
      </c>
      <c r="F34" s="24"/>
      <c r="G34" s="25" t="n">
        <f aca="false">C34*E34</f>
        <v>128</v>
      </c>
    </row>
    <row r="35" customFormat="false" ht="23.85" hidden="false" customHeight="false" outlineLevel="0" collapsed="false">
      <c r="A35" s="17" t="s">
        <v>100</v>
      </c>
      <c r="B35" s="17" t="s">
        <v>101</v>
      </c>
      <c r="C35" s="18" t="n">
        <v>4</v>
      </c>
      <c r="D35" s="18" t="s">
        <v>94</v>
      </c>
      <c r="E35" s="24" t="n">
        <v>5.75</v>
      </c>
      <c r="F35" s="24"/>
      <c r="G35" s="25" t="n">
        <f aca="false">C35*E35</f>
        <v>23</v>
      </c>
    </row>
    <row r="36" customFormat="false" ht="15" hidden="false" customHeight="false" outlineLevel="0" collapsed="false">
      <c r="A36" s="17"/>
      <c r="B36" s="17"/>
      <c r="C36" s="18"/>
      <c r="D36" s="18"/>
      <c r="E36" s="24"/>
      <c r="F36" s="24"/>
      <c r="G36" s="26" t="str">
        <f aca="false">IF(C36&lt;&gt;"",C36*E36,"")</f>
        <v/>
      </c>
    </row>
    <row r="37" customFormat="false" ht="15" hidden="false" customHeight="false" outlineLevel="0" collapsed="false">
      <c r="A37" s="17"/>
      <c r="B37" s="17"/>
      <c r="C37" s="18"/>
      <c r="D37" s="18"/>
      <c r="E37" s="24"/>
      <c r="F37" s="24"/>
      <c r="G37" s="26" t="str">
        <f aca="false">IF(C37&lt;&gt;"",C37*E37,"")</f>
        <v/>
      </c>
    </row>
    <row r="38" customFormat="false" ht="15" hidden="false" customHeight="true" outlineLevel="0" collapsed="false">
      <c r="A38" s="16" t="s">
        <v>102</v>
      </c>
      <c r="B38" s="16"/>
      <c r="C38" s="16"/>
      <c r="D38" s="16"/>
      <c r="E38" s="16"/>
      <c r="F38" s="16"/>
      <c r="G38" s="27" t="n">
        <f aca="false">SUM(G32:G37)</f>
        <v>345.4</v>
      </c>
    </row>
    <row r="40" customFormat="false" ht="15" hidden="false" customHeight="true" outlineLevel="0" collapsed="false">
      <c r="A40" s="15" t="s">
        <v>103</v>
      </c>
      <c r="B40" s="15"/>
      <c r="C40" s="15"/>
      <c r="D40" s="15"/>
      <c r="E40" s="15"/>
      <c r="F40" s="15"/>
      <c r="G40" s="15"/>
    </row>
    <row r="41" customFormat="false" ht="15" hidden="false" customHeight="true" outlineLevel="0" collapsed="false">
      <c r="A41" s="28" t="s">
        <v>104</v>
      </c>
      <c r="B41" s="28"/>
      <c r="C41" s="28"/>
      <c r="D41" s="28"/>
      <c r="E41" s="28"/>
      <c r="F41" s="29" t="n">
        <f aca="false">G19</f>
        <v>999.5</v>
      </c>
      <c r="G41" s="29"/>
    </row>
    <row r="42" customFormat="false" ht="15" hidden="false" customHeight="true" outlineLevel="0" collapsed="false">
      <c r="A42" s="28" t="s">
        <v>105</v>
      </c>
      <c r="B42" s="28"/>
      <c r="C42" s="28"/>
      <c r="D42" s="28"/>
      <c r="E42" s="28"/>
      <c r="F42" s="29" t="n">
        <f aca="false">G28</f>
        <v>265</v>
      </c>
      <c r="G42" s="29"/>
    </row>
    <row r="43" customFormat="false" ht="15" hidden="false" customHeight="true" outlineLevel="0" collapsed="false">
      <c r="A43" s="28" t="s">
        <v>106</v>
      </c>
      <c r="B43" s="28"/>
      <c r="C43" s="28"/>
      <c r="D43" s="28"/>
      <c r="E43" s="28"/>
      <c r="F43" s="29" t="n">
        <f aca="false">G38</f>
        <v>345.4</v>
      </c>
      <c r="G43" s="29"/>
    </row>
    <row r="44" customFormat="false" ht="15" hidden="false" customHeight="true" outlineLevel="0" collapsed="false">
      <c r="A44" s="28" t="s">
        <v>107</v>
      </c>
      <c r="B44" s="28"/>
      <c r="C44" s="28"/>
      <c r="D44" s="28"/>
      <c r="E44" s="28"/>
      <c r="F44" s="29" t="n">
        <f aca="false">F41+F42+F43</f>
        <v>1609.9</v>
      </c>
      <c r="G44" s="29"/>
    </row>
    <row r="45" customFormat="false" ht="15" hidden="false" customHeight="true" outlineLevel="0" collapsed="false">
      <c r="A45" s="28" t="s">
        <v>108</v>
      </c>
      <c r="B45" s="28"/>
      <c r="C45" s="28"/>
      <c r="D45" s="28"/>
      <c r="E45" s="28"/>
      <c r="F45" s="30" t="n">
        <v>0.125</v>
      </c>
      <c r="G45" s="29" t="n">
        <f aca="false">F44*F45</f>
        <v>201.2375</v>
      </c>
    </row>
    <row r="46" customFormat="false" ht="15" hidden="false" customHeight="true" outlineLevel="0" collapsed="false">
      <c r="A46" s="28" t="s">
        <v>109</v>
      </c>
      <c r="B46" s="28"/>
      <c r="C46" s="28"/>
      <c r="D46" s="28"/>
      <c r="E46" s="28"/>
      <c r="F46" s="29" t="n">
        <f aca="false">F44+G45</f>
        <v>1811.1375</v>
      </c>
      <c r="G46" s="29"/>
    </row>
    <row r="47" customFormat="false" ht="15" hidden="false" customHeight="true" outlineLevel="0" collapsed="false">
      <c r="A47" s="28" t="s">
        <v>110</v>
      </c>
      <c r="B47" s="28"/>
      <c r="C47" s="28"/>
      <c r="D47" s="28"/>
      <c r="E47" s="28"/>
      <c r="F47" s="29" t="n">
        <f aca="false">F46*0.2</f>
        <v>362.2275</v>
      </c>
      <c r="G47" s="29"/>
    </row>
    <row r="48" customFormat="false" ht="15" hidden="false" customHeight="false" outlineLevel="0" collapsed="false">
      <c r="A48" s="31"/>
      <c r="B48" s="31"/>
      <c r="C48" s="31"/>
      <c r="D48" s="31"/>
      <c r="E48" s="31"/>
      <c r="F48" s="31"/>
      <c r="G48" s="31"/>
    </row>
    <row r="49" customFormat="false" ht="20.85" hidden="false" customHeight="true" outlineLevel="0" collapsed="false">
      <c r="A49" s="32" t="s">
        <v>111</v>
      </c>
      <c r="B49" s="32"/>
      <c r="C49" s="32"/>
      <c r="D49" s="32"/>
      <c r="E49" s="32"/>
      <c r="F49" s="33" t="n">
        <f aca="false">F46+F47</f>
        <v>2173.365</v>
      </c>
      <c r="G49" s="33"/>
    </row>
    <row r="51" customFormat="false" ht="15" hidden="false" customHeight="true" outlineLevel="0" collapsed="false">
      <c r="A51" s="15" t="s">
        <v>112</v>
      </c>
      <c r="B51" s="15"/>
      <c r="C51" s="15"/>
      <c r="D51" s="15"/>
      <c r="E51" s="15"/>
      <c r="F51" s="15"/>
      <c r="G51" s="15"/>
    </row>
    <row r="52" customFormat="false" ht="15" hidden="false" customHeight="true" outlineLevel="0" collapsed="false">
      <c r="A52" s="34" t="s">
        <v>113</v>
      </c>
      <c r="B52" s="34"/>
      <c r="C52" s="34"/>
      <c r="D52" s="34"/>
      <c r="E52" s="34"/>
      <c r="F52" s="34"/>
      <c r="G52" s="34"/>
    </row>
    <row r="54" customFormat="false" ht="15" hidden="false" customHeight="false" outlineLevel="0" collapsed="false">
      <c r="A54" s="35" t="s">
        <v>114</v>
      </c>
      <c r="B54" s="35"/>
      <c r="C54" s="35"/>
      <c r="E54" s="35" t="s">
        <v>115</v>
      </c>
      <c r="F54" s="35"/>
      <c r="G54" s="35"/>
    </row>
    <row r="56" customFormat="false" ht="15" hidden="false" customHeight="false" outlineLevel="0" collapsed="false">
      <c r="A56" s="36"/>
      <c r="B56" s="36"/>
      <c r="C56" s="36"/>
      <c r="E56" s="36"/>
      <c r="F56" s="36"/>
      <c r="G56" s="36"/>
    </row>
    <row r="57" customFormat="false" ht="15" hidden="false" customHeight="false" outlineLevel="0" collapsed="false">
      <c r="A57" s="37" t="s">
        <v>116</v>
      </c>
      <c r="E57" s="37" t="s">
        <v>116</v>
      </c>
    </row>
  </sheetData>
  <mergeCells count="57">
    <mergeCell ref="A1:G1"/>
    <mergeCell ref="A3:B3"/>
    <mergeCell ref="C3:D3"/>
    <mergeCell ref="F3:G3"/>
    <mergeCell ref="A4:B4"/>
    <mergeCell ref="C4:D4"/>
    <mergeCell ref="F4:G4"/>
    <mergeCell ref="A5:B5"/>
    <mergeCell ref="C5:D5"/>
    <mergeCell ref="F5:G5"/>
    <mergeCell ref="A6:B6"/>
    <mergeCell ref="C6:D6"/>
    <mergeCell ref="F6:G6"/>
    <mergeCell ref="A8:B8"/>
    <mergeCell ref="C8:G9"/>
    <mergeCell ref="A9:B9"/>
    <mergeCell ref="A11:G11"/>
    <mergeCell ref="A19:F19"/>
    <mergeCell ref="A21:G21"/>
    <mergeCell ref="E22:F22"/>
    <mergeCell ref="E23:F23"/>
    <mergeCell ref="E24:F24"/>
    <mergeCell ref="E25:F25"/>
    <mergeCell ref="E26:F26"/>
    <mergeCell ref="E27:F27"/>
    <mergeCell ref="A28:F28"/>
    <mergeCell ref="A30:G30"/>
    <mergeCell ref="E31:F31"/>
    <mergeCell ref="E32:F32"/>
    <mergeCell ref="E33:F33"/>
    <mergeCell ref="E34:F34"/>
    <mergeCell ref="E35:F35"/>
    <mergeCell ref="E36:F36"/>
    <mergeCell ref="E37:F37"/>
    <mergeCell ref="A38:F38"/>
    <mergeCell ref="A40:G40"/>
    <mergeCell ref="A41:E41"/>
    <mergeCell ref="F41:G41"/>
    <mergeCell ref="A42:E42"/>
    <mergeCell ref="F42:G42"/>
    <mergeCell ref="A43:E43"/>
    <mergeCell ref="F43:G43"/>
    <mergeCell ref="A44:E44"/>
    <mergeCell ref="F44:G44"/>
    <mergeCell ref="A45:E45"/>
    <mergeCell ref="A46:E46"/>
    <mergeCell ref="F46:G46"/>
    <mergeCell ref="A47:E47"/>
    <mergeCell ref="F47:G47"/>
    <mergeCell ref="A49:E49"/>
    <mergeCell ref="F49:G49"/>
    <mergeCell ref="A51:G51"/>
    <mergeCell ref="A52:G52"/>
    <mergeCell ref="A54:C54"/>
    <mergeCell ref="E54:G54"/>
    <mergeCell ref="A56:C56"/>
    <mergeCell ref="E56:G56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&amp;CDaywork Sheet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8" t="s">
        <v>117</v>
      </c>
    </row>
    <row r="2" customFormat="false" ht="15" hidden="false" customHeight="false" outlineLevel="0" collapsed="false">
      <c r="A2" s="38"/>
    </row>
    <row r="3" customFormat="false" ht="15" hidden="false" customHeight="false" outlineLevel="0" collapsed="false">
      <c r="A3" s="38" t="s">
        <v>118</v>
      </c>
    </row>
    <row r="4" customFormat="false" ht="15" hidden="false" customHeight="false" outlineLevel="0" collapsed="false">
      <c r="A4" s="38"/>
    </row>
    <row r="5" customFormat="false" ht="15" hidden="false" customHeight="false" outlineLevel="0" collapsed="false">
      <c r="A5" s="38" t="s">
        <v>119</v>
      </c>
    </row>
    <row r="6" customFormat="false" ht="15" hidden="false" customHeight="false" outlineLevel="0" collapsed="false">
      <c r="A6" s="38"/>
    </row>
    <row r="7" customFormat="false" ht="15" hidden="false" customHeight="false" outlineLevel="0" collapsed="false">
      <c r="A7" s="38" t="s">
        <v>120</v>
      </c>
    </row>
    <row r="8" customFormat="false" ht="15" hidden="false" customHeight="false" outlineLevel="0" collapsed="false">
      <c r="A8" s="38"/>
    </row>
    <row r="9" customFormat="false" ht="15" hidden="false" customHeight="false" outlineLevel="0" collapsed="false">
      <c r="A9" s="38" t="s">
        <v>121</v>
      </c>
    </row>
    <row r="10" customFormat="false" ht="15" hidden="false" customHeight="false" outlineLevel="0" collapsed="false">
      <c r="A10" s="38"/>
    </row>
    <row r="11" customFormat="false" ht="15" hidden="false" customHeight="false" outlineLevel="0" collapsed="false">
      <c r="A11" s="38" t="s">
        <v>122</v>
      </c>
    </row>
    <row r="12" customFormat="false" ht="15" hidden="false" customHeight="false" outlineLevel="0" collapsed="false">
      <c r="A12" s="38"/>
    </row>
    <row r="13" customFormat="false" ht="15" hidden="false" customHeight="false" outlineLevel="0" collapsed="false">
      <c r="A13" s="38" t="s">
        <v>123</v>
      </c>
    </row>
    <row r="14" customFormat="false" ht="15" hidden="false" customHeight="false" outlineLevel="0" collapsed="false">
      <c r="A14" s="38"/>
    </row>
    <row r="15" customFormat="false" ht="15" hidden="false" customHeight="false" outlineLevel="0" collapsed="false">
      <c r="A15" s="38" t="s">
        <v>124</v>
      </c>
    </row>
    <row r="16" customFormat="false" ht="15" hidden="false" customHeight="false" outlineLevel="0" collapsed="false">
      <c r="A16" s="38"/>
    </row>
    <row r="17" customFormat="false" ht="15" hidden="false" customHeight="false" outlineLevel="0" collapsed="false">
      <c r="A17" s="38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Commercial &amp; Project Controls</cp:category>
  <dcterms:created xsi:type="dcterms:W3CDTF">2026-03-22T21:34:04Z</dcterms:created>
  <dc:creator>Ebrora Ltd</dc:creator>
  <dc:description>Record labour, plant and materials for daywork activities with automatic cost calculation, on-cost percentages, VAT and sign-off block, designed for UK construction site and commercial teams.
Free professional construction management template from Ebrora Ltd. Visit ebrora.com for our full range of tools and templates.</dc:description>
  <cp:keywords>Ebrora construction daywork time and materials labour plant commercial variation</cp:keywords>
  <dc:language>en-US</dc:language>
  <cp:lastModifiedBy>Ebrora Ltd</cp:lastModifiedBy>
  <dcterms:modified xsi:type="dcterms:W3CDTF">2026-03-22T21:34:04Z</dcterms:modified>
  <cp:revision>0</cp:revision>
  <dc:subject>Daywork record form for capturing labour, plant, and materials on a time-and-materials basis with automatic cost calculation.</dc:subject>
  <dc:title>Daywork 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