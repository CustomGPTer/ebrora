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ITP Track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'ITP Tracker'!$A$1:$M$58</definedName>
    <definedName function="false" hidden="true" localSheetId="2" name="_xlnm._FilterDatabase" vbProcedure="false">'ITP Tracker'!$A$8:$M$508</definedName>
    <definedName function="false" hidden="false" name="ITPTracker" vbProcedure="false">'ITP Tracker'!$A$8:$M$508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<sst xmlns="http://schemas.openxmlformats.org/spreadsheetml/2006/main" count="158" uniqueCount="117">
  <si>
    <t xml:space="preserve">EBRORA</t>
  </si>
  <si>
    <t xml:space="preserve">ebrora.com</t>
  </si>
  <si>
    <t xml:space="preserve">ITP (Inspection &amp; Test Plan) Tracker</t>
  </si>
  <si>
    <t xml:space="preserve">Track inspection and test plan activities with hold, witness, and review point management.</t>
  </si>
  <si>
    <t xml:space="preserve">Stage-gate tracker with sign-off status, responsible parties, and completion monitoring.</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</si>
  <si>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</si>
  <si>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</si>
  <si>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</si>
  <si>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</si>
  <si>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</si>
  <si>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'ITP Tracker' sheet. The dashboard shows completion rates by inspection type (Hold/Witness/Review).</t>
  </si>
  <si>
    <t xml:space="preserve">2.</t>
  </si>
  <si>
    <t xml:space="preserve">List each work activity or construction stage in the Activity column. Assign the inspection type: H (Hold Point), W (Witness Point), or R (Review Point).</t>
  </si>
  <si>
    <t xml:space="preserve">3.</t>
  </si>
  <si>
    <t xml:space="preserve">Hold Points (H) require mandatory sign-off before work proceeds. Witness Points (W) are optional — the inspector may choose to attend. Review Points (R) require document review only.</t>
  </si>
  <si>
    <t xml:space="preserve">4.</t>
  </si>
  <si>
    <t xml:space="preserve">For each activity, enter the responsible party (Contractor, Client, Third Party), the acceptance criteria, and the reference document.</t>
  </si>
  <si>
    <t xml:space="preserve">5.</t>
  </si>
  <si>
    <t xml:space="preserve">When an inspection is completed, enter the date, result (Pass/Fail/Conditional), and the inspector's name. Pass turns green, Fail turns red.</t>
  </si>
  <si>
    <t xml:space="preserve">6.</t>
  </si>
  <si>
    <t xml:space="preserve">The dashboard auto-counts inspections by status: Pending, Passed, Failed, and Conditional. Overall ITP completion % updates in real time.</t>
  </si>
  <si>
    <t xml:space="preserve">7.</t>
  </si>
  <si>
    <t xml:space="preserve">Use this alongside your quality management plan. Hold Points that are bypassed without sign-off are non-conformances.</t>
  </si>
  <si>
    <t xml:space="preserve">Colour Key</t>
  </si>
  <si>
    <t xml:space="preserve">Light teal — user input</t>
  </si>
  <si>
    <t xml:space="preserve">  </t>
  </si>
  <si>
    <t xml:space="preserve">Dark navy — headers</t>
  </si>
  <si>
    <t xml:space="preserve">Green — Pass / completed</t>
  </si>
  <si>
    <t xml:space="preserve">Amber — Conditional pass or Witness point (optional)</t>
  </si>
  <si>
    <t xml:space="preserve">Red — Fail / Hold Point not yet released</t>
  </si>
  <si>
    <t xml:space="preserve">Tips</t>
  </si>
  <si>
    <t xml:space="preserve">•</t>
  </si>
  <si>
    <t xml:space="preserve">Never proceed past a Hold Point without documented sign-off — this is the most critical quality control mechanism.</t>
  </si>
  <si>
    <t xml:space="preserve">Issue the ITP to the client/supervisor at project start. Agree Hold and Witness Points before work begins.</t>
  </si>
  <si>
    <t xml:space="preserve">Keep all inspection records filed with the ITP — they form part of the quality handover pack.</t>
  </si>
  <si>
    <t xml:space="preserve">INSPECTION &amp; TEST PLAN (ITP) TRACKER</t>
  </si>
  <si>
    <t xml:space="preserve">Project:</t>
  </si>
  <si>
    <t xml:space="preserve">Example Infrastructure Project</t>
  </si>
  <si>
    <t xml:space="preserve">ITP Ref:</t>
  </si>
  <si>
    <t xml:space="preserve">ITP-2026-001</t>
  </si>
  <si>
    <t xml:space="preserve">Completion Dashboard</t>
  </si>
  <si>
    <t xml:space="preserve">Overall Progress</t>
  </si>
  <si>
    <t xml:space="preserve">Pending:</t>
  </si>
  <si>
    <t xml:space="preserve">Pass:</t>
  </si>
  <si>
    <t xml:space="preserve">Total Items:</t>
  </si>
  <si>
    <t xml:space="preserve">Fail:</t>
  </si>
  <si>
    <t xml:space="preserve">Conditional:</t>
  </si>
  <si>
    <t xml:space="preserve">Completion:</t>
  </si>
  <si>
    <t xml:space="preserve">ITP SCHEDULE</t>
  </si>
  <si>
    <t xml:space="preserve">Activity / Work Stage</t>
  </si>
  <si>
    <t xml:space="preserve">Inspection Type</t>
  </si>
  <si>
    <t xml:space="preserve">Acceptance Criteria</t>
  </si>
  <si>
    <t xml:space="preserve">Reference Document</t>
  </si>
  <si>
    <t xml:space="preserve">Responsible Party</t>
  </si>
  <si>
    <t xml:space="preserve">Contractor</t>
  </si>
  <si>
    <t xml:space="preserve">Client</t>
  </si>
  <si>
    <t xml:space="preserve">Inspection Date</t>
  </si>
  <si>
    <t xml:space="preserve">Result</t>
  </si>
  <si>
    <t xml:space="preserve">Inspector</t>
  </si>
  <si>
    <t xml:space="preserve">NCR Ref</t>
  </si>
  <si>
    <t xml:space="preserve">Remarks</t>
  </si>
  <si>
    <t xml:space="preserve">Close-Out Date</t>
  </si>
  <si>
    <t xml:space="preserve">FOUNDATIONS</t>
  </si>
  <si>
    <t xml:space="preserve">Excavation to formation level</t>
  </si>
  <si>
    <t xml:space="preserve">H — Hold Point</t>
  </si>
  <si>
    <t xml:space="preserve">Formation level check ±25mm. No soft spots or water ingress.</t>
  </si>
  <si>
    <t xml:space="preserve">Spec Section 3.2</t>
  </si>
  <si>
    <t xml:space="preserve">Joint</t>
  </si>
  <si>
    <t xml:space="preserve">✓</t>
  </si>
  <si>
    <t xml:space="preserve">Pass</t>
  </si>
  <si>
    <t xml:space="preserve">T. Henderson</t>
  </si>
  <si>
    <t xml:space="preserve">Formation approved. Photo record taken.</t>
  </si>
  <si>
    <t xml:space="preserve">Blinding concrete placement</t>
  </si>
  <si>
    <t xml:space="preserve">R — Review Point</t>
  </si>
  <si>
    <t xml:space="preserve">Concrete grade C10, min 50mm thickness.</t>
  </si>
  <si>
    <t xml:space="preserve">Spec Section 3.3</t>
  </si>
  <si>
    <t xml:space="preserve">—</t>
  </si>
  <si>
    <t xml:space="preserve">M. Khan</t>
  </si>
  <si>
    <t xml:space="preserve">Rebar fixing — foundations</t>
  </si>
  <si>
    <t xml:space="preserve">Rebar size, spacing, cover per drawing RC-101. Spacers at 1m centres.</t>
  </si>
  <si>
    <t xml:space="preserve">Drawing RC-101</t>
  </si>
  <si>
    <t xml:space="preserve">Cover meter readings logged.</t>
  </si>
  <si>
    <t xml:space="preserve">Concrete pour — foundations</t>
  </si>
  <si>
    <t xml:space="preserve">W — Witness Point</t>
  </si>
  <si>
    <t xml:space="preserve">C35/45, slump 100±25mm. Cube samples taken (3 per 50m³).</t>
  </si>
  <si>
    <t xml:space="preserve">Spec Section 3.5</t>
  </si>
  <si>
    <t xml:space="preserve">Batch tickets on file. 6 cubes taken.</t>
  </si>
  <si>
    <t xml:space="preserve">SUBSTRUCTURE</t>
  </si>
  <si>
    <t xml:space="preserve">Waterproofing membrane installation</t>
  </si>
  <si>
    <t xml:space="preserve">Type A membrane per BS 8102. Laps min 150mm. No damage.</t>
  </si>
  <si>
    <t xml:space="preserve">Spec Section 4.1</t>
  </si>
  <si>
    <t xml:space="preserve">Conditional</t>
  </si>
  <si>
    <t xml:space="preserve">NCR-007</t>
  </si>
  <si>
    <t xml:space="preserve">Minor lap defect at Grid B3. Repaired and re-inspected.</t>
  </si>
  <si>
    <t xml:space="preserve">Backfill material approval</t>
  </si>
  <si>
    <t xml:space="preserve">6F2 material, compaction to 95% MDD. Layer thickness max 300mm.</t>
  </si>
  <si>
    <t xml:space="preserve">Spec Section 4.3</t>
  </si>
  <si>
    <t xml:space="preserve">Pending</t>
  </si>
  <si>
    <t xml:space="preserve">Drainage installation — below slab</t>
  </si>
  <si>
    <t xml:space="preserve">Falls min 1:80. Joints sealed. CCTV survey before cover.</t>
  </si>
  <si>
    <t xml:space="preserve">Drawing DR-201</t>
  </si>
  <si>
    <t xml:space="preserve">SUPERSTRUCTURE</t>
  </si>
  <si>
    <t xml:space="preserve">Steel frame erection — alignment check</t>
  </si>
  <si>
    <t xml:space="preserve">Plumb ±5mm per storey. Bolt torque per structural engineer spec.</t>
  </si>
  <si>
    <t xml:space="preserve">Drawing S-301</t>
  </si>
  <si>
    <t xml:space="preserve">Concrete frame — rebar pre-pour</t>
  </si>
  <si>
    <t xml:space="preserve">As per RC drawing series. Cover, spacers, laps per spec.</t>
  </si>
  <si>
    <t xml:space="preserve">Drawing RC-301</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</si>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</sst>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22">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2AABB3"/>
      <name val="Calibri"/>
      <family val="0"/>
      <charset val="1"/>
    </font>
    <font>
      <b val="true"/>
      <sz val="11"/>
      <color rgb="FF9C6500"/>
      <name val="Calibri"/>
      <family val="0"/>
      <charset val="1"/>
    </font>
    <font>
      <b val="true"/>
      <sz val="11"/>
      <color rgb="FF006100"/>
      <name val="Calibri"/>
      <family val="0"/>
      <charset val="1"/>
    </font>
    <font>
      <b val="true"/>
      <sz val="11"/>
      <color rgb="FF9C0006"/>
      <name val="Calibri"/>
      <family val="0"/>
      <charset val="1"/>
    </font>
    <font>
      <b val="true"/>
      <sz val="16"/>
      <color rgb="FF2AABB3"/>
      <name val="Calibri"/>
      <family val="0"/>
      <charset val="1"/>
    </font>
    <font>
      <b val="true"/>
      <sz val="12"/>
      <color rgb="FFFFFFFF"/>
      <name val="Calibri"/>
      <family val="0"/>
      <charset val="1"/>
    </font>
    <font>
      <b val="true"/>
      <sz val="11"/>
      <color rgb="FFFFFFFF"/>
      <name val="Calibri"/>
      <family val="0"/>
      <charset val="1"/>
    </font>
    <font>
      <b val="true"/>
      <sz val="10"/>
      <color rgb="FFFFFFFF"/>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2AABB3"/>
        <bgColor rgb="FF339966"/>
      </patternFill>
    </fill>
    <fill>
      <patternFill patternType="solid">
        <fgColor rgb="FFF2F2F2"/>
        <bgColor rgb="FFE8F6F7"/>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right" vertical="center" textRotation="0" wrapText="false" indent="0" shrinkToFit="false"/>
      <protection locked="true" hidden="false"/>
    </xf>
    <xf numFmtId="164" fontId="12" fillId="4" borderId="0" xfId="0" applyFont="true" applyBorder="tru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5"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1"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6" fontId="18" fillId="0" borderId="0" xfId="0" applyFont="true" applyBorder="false" applyAlignment="true" applyProtection="false">
      <alignment horizontal="center" vertical="center" textRotation="0" wrapText="true" indent="0" shrinkToFit="false"/>
      <protection locked="true" hidden="false"/>
    </xf>
    <xf numFmtId="164" fontId="19" fillId="8"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4" fontId="21" fillId="2" borderId="3" xfId="0" applyFont="true" applyBorder="true" applyAlignment="true" applyProtection="false">
      <alignment horizontal="left" vertical="center" textRotation="0" wrapText="true" indent="0" shrinkToFit="false"/>
      <protection locked="true" hidden="false"/>
    </xf>
    <xf numFmtId="164" fontId="12" fillId="9" borderId="3" xfId="0" applyFont="true" applyBorder="true" applyAlignment="true" applyProtection="false">
      <alignment horizontal="left"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7" fontId="12" fillId="9" borderId="3"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7" fontId="12" fillId="4"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0000"/>
          <bgColor rgb="FF000000"/>
        </patternFill>
      </fill>
    </dxf>
    <dxf>
      <fill>
        <patternFill>
          <bgColor rgb="FFC6EFCE"/>
        </patternFill>
      </fill>
    </dxf>
    <dxf>
      <fill>
        <patternFill>
          <bgColor rgb="FFFFC7CE"/>
        </patternFill>
      </fill>
    </dxf>
    <dxf>
      <fill>
        <patternFill>
          <bgColor rgb="FFFFEB9C"/>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1"/>
  <cols>
    <col collapsed="false" customWidth="true" hidden="false" outlineLevel="0" max="1" min="1" style="0" width="30"/>
    <col collapsed="false" customWidth="true" hidden="false" outlineLevel="0" max="2" min="2" style="0" width="12"/>
    <col collapsed="false" customWidth="true" hidden="false" outlineLevel="0" max="3" min="3" style="0" width="28"/>
    <col collapsed="false" customWidth="true" hidden="false" outlineLevel="0" max="4" min="4" style="0" width="18"/>
    <col collapsed="false" customWidth="true" hidden="false" outlineLevel="0" max="5" min="5" style="0" width="16"/>
    <col collapsed="false" customWidth="true" hidden="false" outlineLevel="0" max="7" min="6" style="0" width="10"/>
    <col collapsed="false" customWidth="true" hidden="false" outlineLevel="0" max="8" min="8" style="0" width="13"/>
    <col collapsed="false" customWidth="true" hidden="false" outlineLevel="0" max="9" min="9" style="0" width="12"/>
    <col collapsed="false" customWidth="true" hidden="false" outlineLevel="0" max="10" min="10" style="0" width="14"/>
    <col collapsed="false" customWidth="true" hidden="true" outlineLevel="1" max="13" min="11" style="0" width="12"/>
  </cols>
  <sheetData>
    <row r="1" customFormat="false" ht="30" hidden="false" customHeight="true" outlineLevel="0" collapsed="false">
      <c r="A1" s="21" t="s">
        <v>35</v>
      </c>
      <c r="B1" s="21"/>
      <c r="C1" s="21"/>
      <c r="D1" s="21"/>
      <c r="E1" s="21"/>
      <c r="F1" s="21"/>
      <c r="G1" s="21"/>
      <c r="H1" s="21"/>
      <c r="I1" s="21"/>
      <c r="J1" s="21"/>
      <c r="K1" s="21"/>
      <c r="L1" s="21"/>
      <c r="M1" s="21"/>
    </row>
    <row r="2" customFormat="false" ht="15" hidden="false" customHeight="true" outlineLevel="0" collapsed="false">
      <c r="A2" s="22" t="s">
        <v>36</v>
      </c>
      <c r="B2" s="22"/>
      <c r="C2" s="23" t="s">
        <v>37</v>
      </c>
      <c r="D2" s="23"/>
      <c r="E2" s="23"/>
      <c r="G2" s="22" t="s">
        <v>38</v>
      </c>
      <c r="H2" s="22"/>
      <c r="I2" s="24" t="s">
        <v>39</v>
      </c>
      <c r="J2" s="24"/>
    </row>
    <row r="3" customFormat="false" ht="15" hidden="false" customHeight="true" outlineLevel="0" collapsed="false">
      <c r="A3" s="25" t="s">
        <v>40</v>
      </c>
      <c r="B3" s="25"/>
      <c r="C3" s="25"/>
      <c r="F3" s="25" t="s">
        <v>41</v>
      </c>
      <c r="G3" s="25"/>
      <c r="H3" s="25"/>
    </row>
    <row r="4" customFormat="false" ht="15" hidden="false" customHeight="false" outlineLevel="0" collapsed="false">
      <c r="A4" s="20" t="s">
        <v>42</v>
      </c>
      <c r="B4" s="26" t="n">
        <f aca="false">COUNTIF(J9:J508,"Pending")</f>
        <v>0</v>
      </c>
      <c r="C4" s="20" t="s">
        <v>43</v>
      </c>
      <c r="D4" s="27" t="n">
        <f aca="false">COUNTIF(J9:J508,"Pass")</f>
        <v>0</v>
      </c>
      <c r="F4" s="20" t="s">
        <v>44</v>
      </c>
      <c r="G4" s="28" t="n">
        <f aca="false">COUNTA(A9:A508)</f>
        <v>12</v>
      </c>
    </row>
    <row r="5" customFormat="false" ht="20.85" hidden="false" customHeight="false" outlineLevel="0" collapsed="false">
      <c r="A5" s="20" t="s">
        <v>45</v>
      </c>
      <c r="B5" s="29" t="n">
        <f aca="false">COUNTIF(J9:J508,"Fail")</f>
        <v>0</v>
      </c>
      <c r="C5" s="20" t="s">
        <v>46</v>
      </c>
      <c r="D5" s="26" t="n">
        <f aca="false">COUNTIF(J9:J508,"Conditional")</f>
        <v>0</v>
      </c>
      <c r="F5" s="20" t="s">
        <v>47</v>
      </c>
      <c r="G5" s="30" t="n">
        <f aca="false">IF(G4&gt;0,(D4+COUNTIF(J9:J508,"Conditional"))/G4,0)</f>
        <v>0</v>
      </c>
    </row>
    <row r="6" customFormat="false" ht="6" hidden="false" customHeight="true" outlineLevel="0" collapsed="false"/>
    <row r="7" customFormat="false" ht="25.5" hidden="false" customHeight="true" outlineLevel="0" collapsed="false">
      <c r="A7" s="31" t="s">
        <v>48</v>
      </c>
      <c r="B7" s="31"/>
      <c r="C7" s="31"/>
      <c r="D7" s="31"/>
      <c r="E7" s="31"/>
      <c r="F7" s="31"/>
      <c r="G7" s="31"/>
      <c r="H7" s="31"/>
      <c r="I7" s="31"/>
      <c r="J7" s="31"/>
      <c r="K7" s="31"/>
      <c r="L7" s="31"/>
      <c r="M7" s="31"/>
    </row>
    <row r="8" customFormat="false" ht="28.35" hidden="false" customHeight="false" outlineLevel="0" collapsed="false">
      <c r="A8" s="32" t="s">
        <v>49</v>
      </c>
      <c r="B8" s="32" t="s">
        <v>50</v>
      </c>
      <c r="C8" s="32" t="s">
        <v>51</v>
      </c>
      <c r="D8" s="32" t="s">
        <v>52</v>
      </c>
      <c r="E8" s="32" t="s">
        <v>53</v>
      </c>
      <c r="F8" s="32" t="s">
        <v>54</v>
      </c>
      <c r="G8" s="32" t="s">
        <v>55</v>
      </c>
      <c r="H8" s="32" t="s">
        <v>56</v>
      </c>
      <c r="I8" s="32" t="s">
        <v>57</v>
      </c>
      <c r="J8" s="32" t="s">
        <v>58</v>
      </c>
      <c r="K8" s="32" t="s">
        <v>59</v>
      </c>
      <c r="L8" s="32" t="s">
        <v>60</v>
      </c>
      <c r="M8" s="32" t="s">
        <v>61</v>
      </c>
    </row>
    <row r="9" customFormat="false" ht="21.75" hidden="false" customHeight="true" outlineLevel="0" collapsed="false">
      <c r="A9" s="33" t="s">
        <v>62</v>
      </c>
      <c r="B9" s="33"/>
      <c r="C9" s="33"/>
      <c r="D9" s="33"/>
      <c r="E9" s="33"/>
      <c r="F9" s="33"/>
      <c r="G9" s="33"/>
      <c r="H9" s="33"/>
      <c r="I9" s="33"/>
      <c r="J9" s="33"/>
      <c r="K9" s="33"/>
      <c r="L9" s="33"/>
      <c r="M9" s="33"/>
    </row>
    <row r="10" customFormat="false" ht="39.75" hidden="false" customHeight="true" outlineLevel="0" collapsed="false">
      <c r="A10" s="34" t="s">
        <v>63</v>
      </c>
      <c r="B10" s="35" t="s">
        <v>64</v>
      </c>
      <c r="C10" s="34" t="s">
        <v>65</v>
      </c>
      <c r="D10" s="35" t="s">
        <v>66</v>
      </c>
      <c r="E10" s="35" t="s">
        <v>67</v>
      </c>
      <c r="F10" s="35" t="s">
        <v>68</v>
      </c>
      <c r="G10" s="35" t="s">
        <v>68</v>
      </c>
      <c r="H10" s="36" t="n">
        <v>46068</v>
      </c>
      <c r="I10" s="35" t="s">
        <v>69</v>
      </c>
      <c r="J10" s="35" t="s">
        <v>70</v>
      </c>
      <c r="K10" s="35"/>
      <c r="L10" s="34" t="s">
        <v>71</v>
      </c>
      <c r="M10" s="36"/>
    </row>
    <row r="11" customFormat="false" ht="39.75" hidden="false" customHeight="true" outlineLevel="0" collapsed="false">
      <c r="A11" s="37" t="s">
        <v>72</v>
      </c>
      <c r="B11" s="38" t="s">
        <v>73</v>
      </c>
      <c r="C11" s="37" t="s">
        <v>74</v>
      </c>
      <c r="D11" s="38" t="s">
        <v>75</v>
      </c>
      <c r="E11" s="38" t="s">
        <v>54</v>
      </c>
      <c r="F11" s="38" t="s">
        <v>68</v>
      </c>
      <c r="G11" s="38" t="s">
        <v>76</v>
      </c>
      <c r="H11" s="39" t="n">
        <v>46069</v>
      </c>
      <c r="I11" s="38" t="s">
        <v>69</v>
      </c>
      <c r="J11" s="38" t="s">
        <v>77</v>
      </c>
      <c r="K11" s="38"/>
      <c r="L11" s="37"/>
      <c r="M11" s="39"/>
    </row>
    <row r="12" customFormat="false" ht="39.75" hidden="false" customHeight="true" outlineLevel="0" collapsed="false">
      <c r="A12" s="34" t="s">
        <v>78</v>
      </c>
      <c r="B12" s="35" t="s">
        <v>64</v>
      </c>
      <c r="C12" s="34" t="s">
        <v>79</v>
      </c>
      <c r="D12" s="35" t="s">
        <v>80</v>
      </c>
      <c r="E12" s="35" t="s">
        <v>67</v>
      </c>
      <c r="F12" s="35" t="s">
        <v>68</v>
      </c>
      <c r="G12" s="35" t="s">
        <v>68</v>
      </c>
      <c r="H12" s="36" t="n">
        <v>46073</v>
      </c>
      <c r="I12" s="35" t="s">
        <v>69</v>
      </c>
      <c r="J12" s="35" t="s">
        <v>70</v>
      </c>
      <c r="K12" s="35"/>
      <c r="L12" s="34" t="s">
        <v>81</v>
      </c>
      <c r="M12" s="36"/>
    </row>
    <row r="13" customFormat="false" ht="39.75" hidden="false" customHeight="true" outlineLevel="0" collapsed="false">
      <c r="A13" s="37" t="s">
        <v>82</v>
      </c>
      <c r="B13" s="38" t="s">
        <v>83</v>
      </c>
      <c r="C13" s="37" t="s">
        <v>84</v>
      </c>
      <c r="D13" s="38" t="s">
        <v>85</v>
      </c>
      <c r="E13" s="38" t="s">
        <v>67</v>
      </c>
      <c r="F13" s="38" t="s">
        <v>68</v>
      </c>
      <c r="G13" s="38" t="s">
        <v>68</v>
      </c>
      <c r="H13" s="39" t="n">
        <v>46075</v>
      </c>
      <c r="I13" s="38" t="s">
        <v>69</v>
      </c>
      <c r="J13" s="38" t="s">
        <v>70</v>
      </c>
      <c r="K13" s="38"/>
      <c r="L13" s="37" t="s">
        <v>86</v>
      </c>
      <c r="M13" s="39"/>
    </row>
    <row r="14" customFormat="false" ht="21.75" hidden="false" customHeight="true" outlineLevel="0" collapsed="false">
      <c r="A14" s="33" t="s">
        <v>87</v>
      </c>
      <c r="B14" s="33"/>
      <c r="C14" s="33"/>
      <c r="D14" s="33"/>
      <c r="E14" s="33"/>
      <c r="F14" s="33"/>
      <c r="G14" s="33"/>
      <c r="H14" s="33"/>
      <c r="I14" s="33"/>
      <c r="J14" s="33"/>
      <c r="K14" s="33"/>
      <c r="L14" s="33"/>
      <c r="M14" s="33"/>
    </row>
    <row r="15" customFormat="false" ht="39.75" hidden="false" customHeight="true" outlineLevel="0" collapsed="false">
      <c r="A15" s="37" t="s">
        <v>88</v>
      </c>
      <c r="B15" s="38" t="s">
        <v>64</v>
      </c>
      <c r="C15" s="37" t="s">
        <v>89</v>
      </c>
      <c r="D15" s="38" t="s">
        <v>90</v>
      </c>
      <c r="E15" s="38" t="s">
        <v>67</v>
      </c>
      <c r="F15" s="38" t="s">
        <v>68</v>
      </c>
      <c r="G15" s="38" t="s">
        <v>68</v>
      </c>
      <c r="H15" s="39" t="n">
        <v>46086</v>
      </c>
      <c r="I15" s="38" t="s">
        <v>91</v>
      </c>
      <c r="J15" s="38" t="s">
        <v>70</v>
      </c>
      <c r="K15" s="38" t="s">
        <v>92</v>
      </c>
      <c r="L15" s="37" t="s">
        <v>93</v>
      </c>
      <c r="M15" s="39" t="n">
        <v>46089</v>
      </c>
    </row>
    <row r="16" customFormat="false" ht="39.75" hidden="false" customHeight="true" outlineLevel="0" collapsed="false">
      <c r="A16" s="34" t="s">
        <v>94</v>
      </c>
      <c r="B16" s="35" t="s">
        <v>64</v>
      </c>
      <c r="C16" s="34" t="s">
        <v>95</v>
      </c>
      <c r="D16" s="35" t="s">
        <v>96</v>
      </c>
      <c r="E16" s="35" t="s">
        <v>54</v>
      </c>
      <c r="F16" s="35" t="s">
        <v>68</v>
      </c>
      <c r="G16" s="35" t="s">
        <v>76</v>
      </c>
      <c r="H16" s="36"/>
      <c r="I16" s="35" t="s">
        <v>97</v>
      </c>
      <c r="J16" s="35"/>
      <c r="K16" s="35"/>
      <c r="L16" s="34"/>
      <c r="M16" s="36"/>
    </row>
    <row r="17" customFormat="false" ht="39.75" hidden="false" customHeight="true" outlineLevel="0" collapsed="false">
      <c r="A17" s="37" t="s">
        <v>98</v>
      </c>
      <c r="B17" s="38" t="s">
        <v>83</v>
      </c>
      <c r="C17" s="37" t="s">
        <v>99</v>
      </c>
      <c r="D17" s="38" t="s">
        <v>100</v>
      </c>
      <c r="E17" s="38" t="s">
        <v>67</v>
      </c>
      <c r="F17" s="38" t="s">
        <v>68</v>
      </c>
      <c r="G17" s="38" t="s">
        <v>68</v>
      </c>
      <c r="H17" s="39"/>
      <c r="I17" s="38" t="s">
        <v>97</v>
      </c>
      <c r="J17" s="38"/>
      <c r="K17" s="38"/>
      <c r="L17" s="37"/>
      <c r="M17" s="39"/>
    </row>
    <row r="18" customFormat="false" ht="21.75" hidden="false" customHeight="true" outlineLevel="0" collapsed="false">
      <c r="A18" s="33" t="s">
        <v>101</v>
      </c>
      <c r="B18" s="33"/>
      <c r="C18" s="33"/>
      <c r="D18" s="33"/>
      <c r="E18" s="33"/>
      <c r="F18" s="33"/>
      <c r="G18" s="33"/>
      <c r="H18" s="33"/>
      <c r="I18" s="33"/>
      <c r="J18" s="33"/>
      <c r="K18" s="33"/>
      <c r="L18" s="33"/>
      <c r="M18" s="33"/>
    </row>
    <row r="19" customFormat="false" ht="39.75" hidden="false" customHeight="true" outlineLevel="0" collapsed="false">
      <c r="A19" s="37" t="s">
        <v>102</v>
      </c>
      <c r="B19" s="38" t="s">
        <v>64</v>
      </c>
      <c r="C19" s="37" t="s">
        <v>103</v>
      </c>
      <c r="D19" s="38" t="s">
        <v>104</v>
      </c>
      <c r="E19" s="38" t="s">
        <v>67</v>
      </c>
      <c r="F19" s="38" t="s">
        <v>68</v>
      </c>
      <c r="G19" s="38" t="s">
        <v>68</v>
      </c>
      <c r="H19" s="39"/>
      <c r="I19" s="38" t="s">
        <v>97</v>
      </c>
      <c r="J19" s="38"/>
      <c r="K19" s="38"/>
      <c r="L19" s="37"/>
      <c r="M19" s="39"/>
    </row>
    <row r="20" customFormat="false" ht="39.75" hidden="false" customHeight="true" outlineLevel="0" collapsed="false">
      <c r="A20" s="34" t="s">
        <v>105</v>
      </c>
      <c r="B20" s="35" t="s">
        <v>64</v>
      </c>
      <c r="C20" s="34" t="s">
        <v>106</v>
      </c>
      <c r="D20" s="35" t="s">
        <v>107</v>
      </c>
      <c r="E20" s="35" t="s">
        <v>67</v>
      </c>
      <c r="F20" s="35" t="s">
        <v>68</v>
      </c>
      <c r="G20" s="35" t="s">
        <v>68</v>
      </c>
      <c r="H20" s="36"/>
      <c r="I20" s="35" t="s">
        <v>97</v>
      </c>
      <c r="J20" s="35"/>
      <c r="K20" s="35"/>
      <c r="L20" s="34"/>
      <c r="M20" s="36"/>
    </row>
    <row r="21" customFormat="false" ht="15" hidden="false" customHeight="false" outlineLevel="0" collapsed="false">
      <c r="A21" s="37"/>
      <c r="B21" s="38"/>
      <c r="C21" s="37"/>
      <c r="D21" s="38"/>
      <c r="E21" s="38"/>
      <c r="F21" s="38"/>
      <c r="G21" s="38"/>
      <c r="H21" s="39"/>
      <c r="I21" s="38"/>
      <c r="J21" s="38"/>
      <c r="K21" s="38"/>
      <c r="L21" s="37"/>
      <c r="M21" s="39"/>
    </row>
    <row r="22" customFormat="false" ht="15" hidden="false" customHeight="false" outlineLevel="0" collapsed="false">
      <c r="A22" s="34"/>
      <c r="B22" s="35"/>
      <c r="C22" s="34"/>
      <c r="D22" s="35"/>
      <c r="E22" s="35"/>
      <c r="F22" s="35"/>
      <c r="G22" s="35"/>
      <c r="H22" s="36"/>
      <c r="I22" s="35"/>
      <c r="J22" s="35"/>
      <c r="K22" s="35"/>
      <c r="L22" s="34"/>
      <c r="M22" s="36"/>
    </row>
    <row r="23" customFormat="false" ht="15" hidden="false" customHeight="false" outlineLevel="0" collapsed="false">
      <c r="A23" s="37"/>
      <c r="B23" s="38"/>
      <c r="C23" s="37"/>
      <c r="D23" s="38"/>
      <c r="E23" s="38"/>
      <c r="F23" s="38"/>
      <c r="G23" s="38"/>
      <c r="H23" s="39"/>
      <c r="I23" s="38"/>
      <c r="J23" s="38"/>
      <c r="K23" s="38"/>
      <c r="L23" s="37"/>
      <c r="M23" s="39"/>
    </row>
    <row r="24" customFormat="false" ht="15" hidden="false" customHeight="false" outlineLevel="0" collapsed="false">
      <c r="A24" s="34"/>
      <c r="B24" s="35"/>
      <c r="C24" s="34"/>
      <c r="D24" s="35"/>
      <c r="E24" s="35"/>
      <c r="F24" s="35"/>
      <c r="G24" s="35"/>
      <c r="H24" s="36"/>
      <c r="I24" s="35"/>
      <c r="J24" s="35"/>
      <c r="K24" s="35"/>
      <c r="L24" s="34"/>
      <c r="M24" s="36"/>
    </row>
    <row r="25" customFormat="false" ht="15" hidden="false" customHeight="false" outlineLevel="0" collapsed="false">
      <c r="A25" s="37"/>
      <c r="B25" s="38"/>
      <c r="C25" s="37"/>
      <c r="D25" s="38"/>
      <c r="E25" s="38"/>
      <c r="F25" s="38"/>
      <c r="G25" s="38"/>
      <c r="H25" s="39"/>
      <c r="I25" s="38"/>
      <c r="J25" s="38"/>
      <c r="K25" s="38"/>
      <c r="L25" s="37"/>
      <c r="M25" s="39"/>
    </row>
    <row r="26" customFormat="false" ht="15" hidden="false" customHeight="false" outlineLevel="0" collapsed="false">
      <c r="A26" s="34"/>
      <c r="B26" s="35"/>
      <c r="C26" s="34"/>
      <c r="D26" s="35"/>
      <c r="E26" s="35"/>
      <c r="F26" s="35"/>
      <c r="G26" s="35"/>
      <c r="H26" s="36"/>
      <c r="I26" s="35"/>
      <c r="J26" s="35"/>
      <c r="K26" s="35"/>
      <c r="L26" s="34"/>
      <c r="M26" s="36"/>
    </row>
    <row r="27" customFormat="false" ht="15" hidden="false" customHeight="false" outlineLevel="0" collapsed="false">
      <c r="A27" s="37"/>
      <c r="B27" s="38"/>
      <c r="C27" s="37"/>
      <c r="D27" s="38"/>
      <c r="E27" s="38"/>
      <c r="F27" s="38"/>
      <c r="G27" s="38"/>
      <c r="H27" s="39"/>
      <c r="I27" s="38"/>
      <c r="J27" s="38"/>
      <c r="K27" s="38"/>
      <c r="L27" s="37"/>
      <c r="M27" s="39"/>
    </row>
    <row r="28" customFormat="false" ht="15" hidden="false" customHeight="false" outlineLevel="0" collapsed="false">
      <c r="A28" s="34"/>
      <c r="B28" s="35"/>
      <c r="C28" s="34"/>
      <c r="D28" s="35"/>
      <c r="E28" s="35"/>
      <c r="F28" s="35"/>
      <c r="G28" s="35"/>
      <c r="H28" s="36"/>
      <c r="I28" s="35"/>
      <c r="J28" s="35"/>
      <c r="K28" s="35"/>
      <c r="L28" s="34"/>
      <c r="M28" s="36"/>
    </row>
    <row r="29" customFormat="false" ht="15" hidden="false" customHeight="false" outlineLevel="0" collapsed="false">
      <c r="A29" s="37"/>
      <c r="B29" s="38"/>
      <c r="C29" s="37"/>
      <c r="D29" s="38"/>
      <c r="E29" s="38"/>
      <c r="F29" s="38"/>
      <c r="G29" s="38"/>
      <c r="H29" s="39"/>
      <c r="I29" s="38"/>
      <c r="J29" s="38"/>
      <c r="K29" s="38"/>
      <c r="L29" s="37"/>
      <c r="M29" s="39"/>
    </row>
    <row r="30" customFormat="false" ht="15" hidden="false" customHeight="false" outlineLevel="0" collapsed="false">
      <c r="A30" s="34"/>
      <c r="B30" s="35"/>
      <c r="C30" s="34"/>
      <c r="D30" s="35"/>
      <c r="E30" s="35"/>
      <c r="F30" s="35"/>
      <c r="G30" s="35"/>
      <c r="H30" s="36"/>
      <c r="I30" s="35"/>
      <c r="J30" s="35"/>
      <c r="K30" s="35"/>
      <c r="L30" s="34"/>
      <c r="M30" s="36"/>
    </row>
    <row r="31" customFormat="false" ht="15" hidden="false" customHeight="false" outlineLevel="0" collapsed="false">
      <c r="A31" s="37"/>
      <c r="B31" s="38"/>
      <c r="C31" s="37"/>
      <c r="D31" s="38"/>
      <c r="E31" s="38"/>
      <c r="F31" s="38"/>
      <c r="G31" s="38"/>
      <c r="H31" s="39"/>
      <c r="I31" s="38"/>
      <c r="J31" s="38"/>
      <c r="K31" s="38"/>
      <c r="L31" s="37"/>
      <c r="M31" s="39"/>
    </row>
    <row r="32" customFormat="false" ht="15" hidden="false" customHeight="false" outlineLevel="0" collapsed="false">
      <c r="A32" s="34"/>
      <c r="B32" s="35"/>
      <c r="C32" s="34"/>
      <c r="D32" s="35"/>
      <c r="E32" s="35"/>
      <c r="F32" s="35"/>
      <c r="G32" s="35"/>
      <c r="H32" s="36"/>
      <c r="I32" s="35"/>
      <c r="J32" s="35"/>
      <c r="K32" s="35"/>
      <c r="L32" s="34"/>
      <c r="M32" s="36"/>
    </row>
    <row r="33" customFormat="false" ht="15" hidden="false" customHeight="false" outlineLevel="0" collapsed="false">
      <c r="A33" s="37"/>
      <c r="B33" s="38"/>
      <c r="C33" s="37"/>
      <c r="D33" s="38"/>
      <c r="E33" s="38"/>
      <c r="F33" s="38"/>
      <c r="G33" s="38"/>
      <c r="H33" s="39"/>
      <c r="I33" s="38"/>
      <c r="J33" s="38"/>
      <c r="K33" s="38"/>
      <c r="L33" s="37"/>
      <c r="M33" s="39"/>
    </row>
    <row r="34" customFormat="false" ht="15" hidden="false" customHeight="false" outlineLevel="0" collapsed="false">
      <c r="A34" s="34"/>
      <c r="B34" s="35"/>
      <c r="C34" s="34"/>
      <c r="D34" s="35"/>
      <c r="E34" s="35"/>
      <c r="F34" s="35"/>
      <c r="G34" s="35"/>
      <c r="H34" s="36"/>
      <c r="I34" s="35"/>
      <c r="J34" s="35"/>
      <c r="K34" s="35"/>
      <c r="L34" s="34"/>
      <c r="M34" s="36"/>
    </row>
    <row r="35" customFormat="false" ht="15" hidden="false" customHeight="false" outlineLevel="0" collapsed="false">
      <c r="A35" s="37"/>
      <c r="B35" s="38"/>
      <c r="C35" s="37"/>
      <c r="D35" s="38"/>
      <c r="E35" s="38"/>
      <c r="F35" s="38"/>
      <c r="G35" s="38"/>
      <c r="H35" s="39"/>
      <c r="I35" s="38"/>
      <c r="J35" s="38"/>
      <c r="K35" s="38"/>
      <c r="L35" s="37"/>
      <c r="M35" s="39"/>
    </row>
    <row r="36" customFormat="false" ht="15" hidden="false" customHeight="false" outlineLevel="0" collapsed="false">
      <c r="A36" s="34"/>
      <c r="B36" s="35"/>
      <c r="C36" s="34"/>
      <c r="D36" s="35"/>
      <c r="E36" s="35"/>
      <c r="F36" s="35"/>
      <c r="G36" s="35"/>
      <c r="H36" s="36"/>
      <c r="I36" s="35"/>
      <c r="J36" s="35"/>
      <c r="K36" s="35"/>
      <c r="L36" s="34"/>
      <c r="M36" s="36"/>
    </row>
    <row r="37" customFormat="false" ht="15" hidden="false" customHeight="false" outlineLevel="0" collapsed="false">
      <c r="A37" s="37"/>
      <c r="B37" s="38"/>
      <c r="C37" s="37"/>
      <c r="D37" s="38"/>
      <c r="E37" s="38"/>
      <c r="F37" s="38"/>
      <c r="G37" s="38"/>
      <c r="H37" s="39"/>
      <c r="I37" s="38"/>
      <c r="J37" s="38"/>
      <c r="K37" s="38"/>
      <c r="L37" s="37"/>
      <c r="M37" s="39"/>
    </row>
    <row r="38" customFormat="false" ht="15" hidden="false" customHeight="false" outlineLevel="0" collapsed="false">
      <c r="A38" s="34"/>
      <c r="B38" s="35"/>
      <c r="C38" s="34"/>
      <c r="D38" s="35"/>
      <c r="E38" s="35"/>
      <c r="F38" s="35"/>
      <c r="G38" s="35"/>
      <c r="H38" s="36"/>
      <c r="I38" s="35"/>
      <c r="J38" s="35"/>
      <c r="K38" s="35"/>
      <c r="L38" s="34"/>
      <c r="M38" s="36"/>
    </row>
    <row r="39" customFormat="false" ht="15" hidden="false" customHeight="false" outlineLevel="0" collapsed="false">
      <c r="A39" s="37"/>
      <c r="B39" s="38"/>
      <c r="C39" s="37"/>
      <c r="D39" s="38"/>
      <c r="E39" s="38"/>
      <c r="F39" s="38"/>
      <c r="G39" s="38"/>
      <c r="H39" s="39"/>
      <c r="I39" s="38"/>
      <c r="J39" s="38"/>
      <c r="K39" s="38"/>
      <c r="L39" s="37"/>
      <c r="M39" s="39"/>
    </row>
    <row r="40" customFormat="false" ht="15" hidden="false" customHeight="false" outlineLevel="0" collapsed="false">
      <c r="A40" s="34"/>
      <c r="B40" s="35"/>
      <c r="C40" s="34"/>
      <c r="D40" s="35"/>
      <c r="E40" s="35"/>
      <c r="F40" s="35"/>
      <c r="G40" s="35"/>
      <c r="H40" s="36"/>
      <c r="I40" s="35"/>
      <c r="J40" s="35"/>
      <c r="K40" s="35"/>
      <c r="L40" s="34"/>
      <c r="M40" s="36"/>
    </row>
    <row r="41" customFormat="false" ht="15" hidden="false" customHeight="false" outlineLevel="0" collapsed="false">
      <c r="A41" s="37"/>
      <c r="B41" s="38"/>
      <c r="C41" s="37"/>
      <c r="D41" s="38"/>
      <c r="E41" s="38"/>
      <c r="F41" s="38"/>
      <c r="G41" s="38"/>
      <c r="H41" s="39"/>
      <c r="I41" s="38"/>
      <c r="J41" s="38"/>
      <c r="K41" s="38"/>
      <c r="L41" s="37"/>
      <c r="M41" s="39"/>
    </row>
    <row r="42" customFormat="false" ht="15" hidden="false" customHeight="false" outlineLevel="0" collapsed="false">
      <c r="A42" s="34"/>
      <c r="B42" s="35"/>
      <c r="C42" s="34"/>
      <c r="D42" s="35"/>
      <c r="E42" s="35"/>
      <c r="F42" s="35"/>
      <c r="G42" s="35"/>
      <c r="H42" s="36"/>
      <c r="I42" s="35"/>
      <c r="J42" s="35"/>
      <c r="K42" s="35"/>
      <c r="L42" s="34"/>
      <c r="M42" s="36"/>
    </row>
    <row r="43" customFormat="false" ht="15" hidden="false" customHeight="false" outlineLevel="0" collapsed="false">
      <c r="A43" s="37"/>
      <c r="B43" s="38"/>
      <c r="C43" s="37"/>
      <c r="D43" s="38"/>
      <c r="E43" s="38"/>
      <c r="F43" s="38"/>
      <c r="G43" s="38"/>
      <c r="H43" s="39"/>
      <c r="I43" s="38"/>
      <c r="J43" s="38"/>
      <c r="K43" s="38"/>
      <c r="L43" s="37"/>
      <c r="M43" s="39"/>
    </row>
    <row r="44" customFormat="false" ht="15" hidden="false" customHeight="false" outlineLevel="0" collapsed="false">
      <c r="A44" s="34"/>
      <c r="B44" s="35"/>
      <c r="C44" s="34"/>
      <c r="D44" s="35"/>
      <c r="E44" s="35"/>
      <c r="F44" s="35"/>
      <c r="G44" s="35"/>
      <c r="H44" s="36"/>
      <c r="I44" s="35"/>
      <c r="J44" s="35"/>
      <c r="K44" s="35"/>
      <c r="L44" s="34"/>
      <c r="M44" s="36"/>
    </row>
    <row r="45" customFormat="false" ht="15" hidden="false" customHeight="false" outlineLevel="0" collapsed="false">
      <c r="A45" s="37"/>
      <c r="B45" s="38"/>
      <c r="C45" s="37"/>
      <c r="D45" s="38"/>
      <c r="E45" s="38"/>
      <c r="F45" s="38"/>
      <c r="G45" s="38"/>
      <c r="H45" s="39"/>
      <c r="I45" s="38"/>
      <c r="J45" s="38"/>
      <c r="K45" s="38"/>
      <c r="L45" s="37"/>
      <c r="M45" s="39"/>
    </row>
    <row r="46" customFormat="false" ht="15" hidden="false" customHeight="false" outlineLevel="0" collapsed="false">
      <c r="A46" s="34"/>
      <c r="B46" s="35"/>
      <c r="C46" s="34"/>
      <c r="D46" s="35"/>
      <c r="E46" s="35"/>
      <c r="F46" s="35"/>
      <c r="G46" s="35"/>
      <c r="H46" s="36"/>
      <c r="I46" s="35"/>
      <c r="J46" s="35"/>
      <c r="K46" s="35"/>
      <c r="L46" s="34"/>
      <c r="M46" s="36"/>
    </row>
    <row r="47" customFormat="false" ht="15" hidden="false" customHeight="false" outlineLevel="0" collapsed="false">
      <c r="A47" s="37"/>
      <c r="B47" s="38"/>
      <c r="C47" s="37"/>
      <c r="D47" s="38"/>
      <c r="E47" s="38"/>
      <c r="F47" s="38"/>
      <c r="G47" s="38"/>
      <c r="H47" s="39"/>
      <c r="I47" s="38"/>
      <c r="J47" s="38"/>
      <c r="K47" s="38"/>
      <c r="L47" s="37"/>
      <c r="M47" s="39"/>
    </row>
    <row r="48" customFormat="false" ht="15" hidden="false" customHeight="false" outlineLevel="0" collapsed="false">
      <c r="A48" s="34"/>
      <c r="B48" s="35"/>
      <c r="C48" s="34"/>
      <c r="D48" s="35"/>
      <c r="E48" s="35"/>
      <c r="F48" s="35"/>
      <c r="G48" s="35"/>
      <c r="H48" s="36"/>
      <c r="I48" s="35"/>
      <c r="J48" s="35"/>
      <c r="K48" s="35"/>
      <c r="L48" s="34"/>
      <c r="M48" s="36"/>
    </row>
    <row r="49" customFormat="false" ht="15" hidden="false" customHeight="false" outlineLevel="0" collapsed="false">
      <c r="A49" s="37"/>
      <c r="B49" s="38"/>
      <c r="C49" s="37"/>
      <c r="D49" s="38"/>
      <c r="E49" s="38"/>
      <c r="F49" s="38"/>
      <c r="G49" s="38"/>
      <c r="H49" s="39"/>
      <c r="I49" s="38"/>
      <c r="J49" s="38"/>
      <c r="K49" s="38"/>
      <c r="L49" s="37"/>
      <c r="M49" s="39"/>
    </row>
    <row r="50" customFormat="false" ht="15" hidden="false" customHeight="false" outlineLevel="0" collapsed="false">
      <c r="A50" s="34"/>
      <c r="B50" s="35"/>
      <c r="C50" s="34"/>
      <c r="D50" s="35"/>
      <c r="E50" s="35"/>
      <c r="F50" s="35"/>
      <c r="G50" s="35"/>
      <c r="H50" s="36"/>
      <c r="I50" s="35"/>
      <c r="J50" s="35"/>
      <c r="K50" s="35"/>
      <c r="L50" s="34"/>
      <c r="M50" s="36"/>
    </row>
    <row r="51" customFormat="false" ht="15" hidden="false" customHeight="false" outlineLevel="0" collapsed="false">
      <c r="A51" s="37"/>
      <c r="B51" s="38"/>
      <c r="C51" s="37"/>
      <c r="D51" s="38"/>
      <c r="E51" s="38"/>
      <c r="F51" s="38"/>
      <c r="G51" s="38"/>
      <c r="H51" s="39"/>
      <c r="I51" s="38"/>
      <c r="J51" s="38"/>
      <c r="K51" s="38"/>
      <c r="L51" s="37"/>
      <c r="M51" s="39"/>
    </row>
    <row r="52" customFormat="false" ht="15" hidden="false" customHeight="false" outlineLevel="0" collapsed="false">
      <c r="A52" s="34"/>
      <c r="B52" s="35"/>
      <c r="C52" s="34"/>
      <c r="D52" s="35"/>
      <c r="E52" s="35"/>
      <c r="F52" s="35"/>
      <c r="G52" s="35"/>
      <c r="H52" s="36"/>
      <c r="I52" s="35"/>
      <c r="J52" s="35"/>
      <c r="K52" s="35"/>
      <c r="L52" s="34"/>
      <c r="M52" s="36"/>
    </row>
    <row r="53" customFormat="false" ht="15" hidden="false" customHeight="false" outlineLevel="0" collapsed="false">
      <c r="A53" s="37"/>
      <c r="B53" s="38"/>
      <c r="C53" s="37"/>
      <c r="D53" s="38"/>
      <c r="E53" s="38"/>
      <c r="F53" s="38"/>
      <c r="G53" s="38"/>
      <c r="H53" s="39"/>
      <c r="I53" s="38"/>
      <c r="J53" s="38"/>
      <c r="K53" s="38"/>
      <c r="L53" s="37"/>
      <c r="M53" s="39"/>
    </row>
    <row r="54" customFormat="false" ht="15" hidden="false" customHeight="false" outlineLevel="0" collapsed="false">
      <c r="A54" s="34"/>
      <c r="B54" s="35"/>
      <c r="C54" s="34"/>
      <c r="D54" s="35"/>
      <c r="E54" s="35"/>
      <c r="F54" s="35"/>
      <c r="G54" s="35"/>
      <c r="H54" s="36"/>
      <c r="I54" s="35"/>
      <c r="J54" s="35"/>
      <c r="K54" s="35"/>
      <c r="L54" s="34"/>
      <c r="M54" s="36"/>
    </row>
    <row r="55" customFormat="false" ht="15" hidden="false" customHeight="false" outlineLevel="0" collapsed="false">
      <c r="A55" s="37"/>
      <c r="B55" s="38"/>
      <c r="C55" s="37"/>
      <c r="D55" s="38"/>
      <c r="E55" s="38"/>
      <c r="F55" s="38"/>
      <c r="G55" s="38"/>
      <c r="H55" s="39"/>
      <c r="I55" s="38"/>
      <c r="J55" s="38"/>
      <c r="K55" s="38"/>
      <c r="L55" s="37"/>
      <c r="M55" s="39"/>
    </row>
    <row r="56" customFormat="false" ht="15" hidden="false" customHeight="false" outlineLevel="0" collapsed="false">
      <c r="A56" s="34"/>
      <c r="B56" s="35"/>
      <c r="C56" s="34"/>
      <c r="D56" s="35"/>
      <c r="E56" s="35"/>
      <c r="F56" s="35"/>
      <c r="G56" s="35"/>
      <c r="H56" s="36"/>
      <c r="I56" s="35"/>
      <c r="J56" s="35"/>
      <c r="K56" s="35"/>
      <c r="L56" s="34"/>
      <c r="M56" s="36"/>
    </row>
    <row r="57" customFormat="false" ht="15" hidden="false" customHeight="false" outlineLevel="0" collapsed="false">
      <c r="A57" s="37"/>
      <c r="B57" s="38"/>
      <c r="C57" s="37"/>
      <c r="D57" s="38"/>
      <c r="E57" s="38"/>
      <c r="F57" s="38"/>
      <c r="G57" s="38"/>
      <c r="H57" s="39"/>
      <c r="I57" s="38"/>
      <c r="J57" s="38"/>
      <c r="K57" s="38"/>
      <c r="L57" s="37"/>
      <c r="M57" s="39"/>
    </row>
    <row r="58" customFormat="false" ht="15" hidden="false" customHeight="false" outlineLevel="0" collapsed="false">
      <c r="A58" s="34"/>
      <c r="B58" s="35"/>
      <c r="C58" s="34"/>
      <c r="D58" s="35"/>
      <c r="E58" s="35"/>
      <c r="F58" s="35"/>
      <c r="G58" s="35"/>
      <c r="H58" s="36"/>
      <c r="I58" s="35"/>
      <c r="J58" s="35"/>
      <c r="K58" s="35"/>
      <c r="L58" s="34"/>
      <c r="M58" s="36"/>
    </row>
  </sheetData>
  <autoFilter ref="A8:M508"/>
  <mergeCells count="11">
    <mergeCell ref="A1:M1"/>
    <mergeCell ref="A2:B2"/>
    <mergeCell ref="C2:E2"/>
    <mergeCell ref="G2:H2"/>
    <mergeCell ref="I2:J2"/>
    <mergeCell ref="A3:C3"/>
    <mergeCell ref="F3:H3"/>
    <mergeCell ref="A7:M7"/>
    <mergeCell ref="A9:M9"/>
    <mergeCell ref="A14:M14"/>
    <mergeCell ref="A18:M18"/>
  </mergeCells>
  <conditionalFormatting sqref="I9:I508">
    <cfRule type="cellIs" priority="2" operator="equal" aboveAverage="0" equalAverage="0" bottom="0" percent="0" rank="0" text="" dxfId="9">
      <formula>"Pass"</formula>
    </cfRule>
    <cfRule type="cellIs" priority="3" operator="equal" aboveAverage="0" equalAverage="0" bottom="0" percent="0" rank="0" text="" dxfId="10">
      <formula>"Fail"</formula>
    </cfRule>
    <cfRule type="cellIs" priority="4" operator="equal" aboveAverage="0" equalAverage="0" bottom="0" percent="0" rank="0" text="" dxfId="11">
      <formula>"Conditional"</formula>
    </cfRule>
    <cfRule type="cellIs" priority="5" operator="equal" aboveAverage="0" equalAverage="0" bottom="0" percent="0" rank="0" text="" dxfId="12">
      <formula>"Pending"</formula>
    </cfRule>
  </conditionalFormatting>
  <conditionalFormatting sqref="B9:B508">
    <cfRule type="cellIs" priority="6" operator="equal" aboveAverage="0" equalAverage="0" bottom="0" percent="0" rank="0" text="" dxfId="10">
      <formula>"H — Hold Point"</formula>
    </cfRule>
    <cfRule type="cellIs" priority="7" operator="equal" aboveAverage="0" equalAverage="0" bottom="0" percent="0" rank="0" text="" dxfId="11">
      <formula>"W — Witness Point"</formula>
    </cfRule>
    <cfRule type="cellIs" priority="8" operator="equal" aboveAverage="0" equalAverage="0" bottom="0" percent="0" rank="0" text="" dxfId="9">
      <formula>"R — Review Point"</formula>
    </cfRule>
  </conditionalFormatting>
  <dataValidations count="4">
    <dataValidation allowBlank="true" errorStyle="stop" operator="between" showDropDown="false" showErrorMessage="false" showInputMessage="false" sqref="B9:B508" type="list">
      <formula1>"H — Hold Point,W — Witness Point,R — Review Point"</formula1>
      <formula2>0</formula2>
    </dataValidation>
    <dataValidation allowBlank="true" errorStyle="stop" operator="between" showDropDown="false" showErrorMessage="false" showInputMessage="false" sqref="I9:I508" type="list">
      <formula1>"Pending,Pass,Fail,Conditional,N/A"</formula1>
      <formula2>0</formula2>
    </dataValidation>
    <dataValidation allowBlank="true" errorStyle="stop" operator="between" showDropDown="false" showErrorMessage="false" showInputMessage="false" sqref="E9:E508" type="list">
      <formula1>"Contractor,Client,Third Party,Joint"</formula1>
      <formula2>0</formula2>
    </dataValidation>
    <dataValidation allowBlank="true" errorStyle="stop" operator="between" showDropDown="false" showErrorMessage="false" showInputMessage="false" sqref="F9:G508" type="list">
      <formula1>"✓,—"</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&amp;CITP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108</v>
      </c>
    </row>
    <row r="2" customFormat="false" ht="15" hidden="false" customHeight="false" outlineLevel="0" collapsed="false">
      <c r="A2" s="20"/>
    </row>
    <row r="3" customFormat="false" ht="15" hidden="false" customHeight="false" outlineLevel="0" collapsed="false">
      <c r="A3" s="20" t="s">
        <v>109</v>
      </c>
    </row>
    <row r="4" customFormat="false" ht="15" hidden="false" customHeight="false" outlineLevel="0" collapsed="false">
      <c r="A4" s="20"/>
    </row>
    <row r="5" customFormat="false" ht="15" hidden="false" customHeight="false" outlineLevel="0" collapsed="false">
      <c r="A5" s="20" t="s">
        <v>110</v>
      </c>
    </row>
    <row r="6" customFormat="false" ht="15" hidden="false" customHeight="false" outlineLevel="0" collapsed="false">
      <c r="A6" s="20"/>
    </row>
    <row r="7" customFormat="false" ht="15" hidden="false" customHeight="false" outlineLevel="0" collapsed="false">
      <c r="A7" s="20" t="s">
        <v>111</v>
      </c>
    </row>
    <row r="8" customFormat="false" ht="15" hidden="false" customHeight="false" outlineLevel="0" collapsed="false">
      <c r="A8" s="20"/>
    </row>
    <row r="9" customFormat="false" ht="15" hidden="false" customHeight="false" outlineLevel="0" collapsed="false">
      <c r="A9" s="20" t="s">
        <v>112</v>
      </c>
    </row>
    <row r="10" customFormat="false" ht="15" hidden="false" customHeight="false" outlineLevel="0" collapsed="false">
      <c r="A10" s="20"/>
    </row>
    <row r="11" customFormat="false" ht="15" hidden="false" customHeight="false" outlineLevel="0" collapsed="false">
      <c r="A11" s="20" t="s">
        <v>113</v>
      </c>
    </row>
    <row r="12" customFormat="false" ht="15" hidden="false" customHeight="false" outlineLevel="0" collapsed="false">
      <c r="A12" s="20"/>
    </row>
    <row r="13" customFormat="false" ht="15" hidden="false" customHeight="false" outlineLevel="0" collapsed="false">
      <c r="A13" s="20" t="s">
        <v>114</v>
      </c>
    </row>
    <row r="14" customFormat="false" ht="15" hidden="false" customHeight="false" outlineLevel="0" collapsed="false">
      <c r="A14" s="20"/>
    </row>
    <row r="15" customFormat="false" ht="15" hidden="false" customHeight="false" outlineLevel="0" collapsed="false">
      <c r="A15" s="20" t="s">
        <v>115</v>
      </c>
    </row>
    <row r="16" customFormat="false" ht="15" hidden="false" customHeight="false" outlineLevel="0" collapsed="false">
      <c r="A16" s="20"/>
    </row>
    <row r="17" customFormat="false" ht="15" hidden="false" customHeight="false" outlineLevel="0" collapsed="false">
      <c r="A17" s="20"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cp:category>
  <dcterms:created xsi:type="dcterms:W3CDTF">2026-03-23T09:02:16Z</dcterms:created>
  <dc:creator>Ebrora Ltd</dc:creator>
  <dc:description>Track inspection and test plan activities with hold, witness, and review point management for UK construction projects.
Free professional construction management template from Ebrora Ltd. Visit ebrora.com for our full range of tools and templates.</dc:description>
  <cp:keywords>Ebrora construction ITP inspection test plan hold point witness point quality</cp:keywords>
  <dc:language>en-US</dc:language>
  <cp:lastModifiedBy>Ebrora Ltd</cp:lastModifiedBy>
  <dcterms:modified xsi:type="dcterms:W3CDTF">2026-03-23T09:02:16Z</dcterms:modified>
  <cp:revision>0</cp:revision>
  <dc:subject>Track inspection and test plan activities with hold, witness, and review point management.</dc:subject>
  <dc:title>ITP (Inspection &amp; Test Plan) Tracker</dc:title>
</cp:coreProperties>
</file>

<file path=docProps/custom.xml><?xml version="1.0" encoding="utf-8"?>
<Properties xmlns="http://schemas.openxmlformats.org/officeDocument/2006/custom-properties" xmlns:vt="http://schemas.openxmlformats.org/officeDocument/2006/docPropsVTypes"/>
</file>