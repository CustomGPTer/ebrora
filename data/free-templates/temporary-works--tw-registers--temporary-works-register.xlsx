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Temporary Works Register" sheetId="3" state="visible" r:id="rId5"/>
    <sheet name="Terms of Use" sheetId="4" state="hidden" r:id="rId6"/>
  </sheets>
  <definedNames>
    <definedName function="false" hidden="false" localSheetId="0" name="_xlnm.Print_Area" vbProcedure="false">Cover!$A$1:$H$20</definedName>
    <definedName function="false" hidden="false" localSheetId="1" name="_xlnm.Print_Area" vbProcedure="false">Instructions!$A$1:$F$28</definedName>
    <definedName function="false" hidden="false" localSheetId="2" name="_xlnm.Print_Area" vbProcedure="false">'Temporary Works Register'!$A$1:$J$58</definedName>
    <definedName function="false" hidden="true" localSheetId="2" name="_xlnm._FilterDatabase" vbProcedure="false">'Temporary Works Register'!$A$8:$P$8</definedName>
    <definedName function="false" hidden="false" name="DataTable" vbProcedure="false">'Temporary Works Register'!$A$8:$P$508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<sst xmlns="http://schemas.openxmlformats.org/spreadsheetml/2006/main" count="149" uniqueCount="121">
  <si>
    <t xml:space="preserve">EBRORA</t>
  </si>
  <si>
    <t xml:space="preserve">ebrora.com</t>
  </si>
  <si>
    <t xml:space="preserve">Temporary Works Register</t>
  </si>
  <si>
    <t xml:space="preserve">Manage all temporary works on site — track design status, installation, permits to load, and dismantling in one BS 5975-aligned register.</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</si>
  <si>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</si>
  <si>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</si>
  <si>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</si>
  <si>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Getting Started</t>
  </si>
  <si>
    <t xml:space="preserve">1.</t>
  </si>
  <si>
    <t xml:space="preserve">Go to the “Temporary Works Register” tab. Each row records one temporary works item on site.</t>
  </si>
  <si>
    <t xml:space="preserve">2.</t>
  </si>
  <si>
    <t xml:space="preserve">Enter the Date Raised and a clear Description of the temporary works (e.g. “Propping to slab S03 during demolition of internal wall W7”).</t>
  </si>
  <si>
    <t xml:space="preserve">3.</t>
  </si>
  <si>
    <t xml:space="preserve">Record the Location on site and select the Category from the dropdown: Propping, Shoring, Falsework, Formwork, Hoarding, Scaffolding, Cofferdam, Temporary Access, Dewatering, or Other.</t>
  </si>
  <si>
    <t xml:space="preserve">4.</t>
  </si>
  <si>
    <t xml:space="preserve">Enter the name of the Temporary Works Coordinator (TWC). Under BS 5975:2019, the TWC is the competent person responsible for managing all temporary works on site.</t>
  </si>
  <si>
    <t xml:space="preserve">5.</t>
  </si>
  <si>
    <t xml:space="preserve">Indicate whether a Design Check is required (Yes/No). Category 1 (low risk, standard solutions) items may not need a formal design check. Category 2 and 3 items always do.</t>
  </si>
  <si>
    <t xml:space="preserve">6.</t>
  </si>
  <si>
    <t xml:space="preserve">Track the Design Status through its stages: Not Started, In Progress, Approved, or N/A. No temporary works may be installed until the design is Approved (or marked N/A for items not requiring design).</t>
  </si>
  <si>
    <t xml:space="preserve">7.</t>
  </si>
  <si>
    <t xml:space="preserve">Track the Installation Status: Not Installed, In Progress, Installed, or Removed. Update this as work progresses.</t>
  </si>
  <si>
    <t xml:space="preserve">8.</t>
  </si>
  <si>
    <t xml:space="preserve">Record whether a Permit to Load has been issued (Yes/No). The permit to load confirms the temporary works have been inspected, are in accordance with the design, and may be loaded. No loading is permitted without this.</t>
  </si>
  <si>
    <t xml:space="preserve">9.</t>
  </si>
  <si>
    <t xml:space="preserve">For additional detail, expand the optional columns: Designer/Checker, Design Ref, Installation Inspection Date, Dismantling Date, Risk Level, and Notes.</t>
  </si>
  <si>
    <t xml:space="preserve">10.</t>
  </si>
  <si>
    <t xml:space="preserve">The dashboard auto-calculates design and installation status breakdowns, items awaiting approval, and flags items installed without a permit to load.</t>
  </si>
  <si>
    <t xml:space="preserve">Colour Key</t>
  </si>
  <si>
    <t xml:space="preserve">•</t>
  </si>
  <si>
    <t xml:space="preserve">Light teal cells = User input / editable fields.</t>
  </si>
  <si>
    <t xml:space="preserve">Dark navy headers = Column headers. Do not edit.</t>
  </si>
  <si>
    <t xml:space="preserve">Design Status: Green = Approved, Amber = In Progress, Red = Not Started.</t>
  </si>
  <si>
    <t xml:space="preserve">Installation Status: Green = Installed, Amber = In Progress, Red = Not Installed, Grey = Removed.</t>
  </si>
  <si>
    <t xml:space="preserve">Red flag on Permit to Load = “No” when Installation Status is “Installed” — this is a critical non-compliance.</t>
  </si>
  <si>
    <t xml:space="preserve">Risk Level: Green = Low, Amber = Medium, Red = High.</t>
  </si>
  <si>
    <t xml:space="preserve">Tips</t>
  </si>
  <si>
    <t xml:space="preserve">BS 5975:2019 requires a formal temporary works register on every construction project. This template supports compliance but should be used alongside your project’s temporary works procedure.</t>
  </si>
  <si>
    <t xml:space="preserve">Never load temporary works without a signed permit to load. The register flags this as a critical non-compliance if Permit to Load is “No” while Installation Status is “Installed”.</t>
  </si>
  <si>
    <t xml:space="preserve">Review the register at every temporary works coordination meeting (typically fortnightly). Filter by Design Status to chase items awaiting approval.</t>
  </si>
  <si>
    <t xml:space="preserve">TEMPORARY WORKS REGISTER</t>
  </si>
  <si>
    <t xml:space="preserve">Total TW Items:</t>
  </si>
  <si>
    <t xml:space="preserve">Awaiting Design Approval:</t>
  </si>
  <si>
    <t xml:space="preserve">Design — Approved:</t>
  </si>
  <si>
    <t xml:space="preserve">In Progress:</t>
  </si>
  <si>
    <t xml:space="preserve">Not Started:</t>
  </si>
  <si>
    <t xml:space="preserve">Install — Installed:</t>
  </si>
  <si>
    <t xml:space="preserve">Removed:</t>
  </si>
  <si>
    <t xml:space="preserve">Installed WITHOUT Permit:</t>
  </si>
  <si>
    <t xml:space="preserve">High Risk Items:</t>
  </si>
  <si>
    <t xml:space="preserve">Propping:</t>
  </si>
  <si>
    <t xml:space="preserve">Falsework:</t>
  </si>
  <si>
    <t xml:space="preserve">Formwork:</t>
  </si>
  <si>
    <t xml:space="preserve">▸ Optional Fields — Click [+] to expand</t>
  </si>
  <si>
    <t xml:space="preserve">TW Ref No.</t>
  </si>
  <si>
    <t xml:space="preserve">Date Raised</t>
  </si>
  <si>
    <t xml:space="preserve">Description of Temporary Works</t>
  </si>
  <si>
    <t xml:space="preserve">Location</t>
  </si>
  <si>
    <t xml:space="preserve">Category</t>
  </si>
  <si>
    <t xml:space="preserve">TW Coordinator</t>
  </si>
  <si>
    <t xml:space="preserve">Design Check Req</t>
  </si>
  <si>
    <t xml:space="preserve">Design Status</t>
  </si>
  <si>
    <t xml:space="preserve">Installation Status</t>
  </si>
  <si>
    <t xml:space="preserve">Permit to Load</t>
  </si>
  <si>
    <t xml:space="preserve">Designer / Checker</t>
  </si>
  <si>
    <t xml:space="preserve">Design Ref</t>
  </si>
  <si>
    <t xml:space="preserve">Install Inspection Date</t>
  </si>
  <si>
    <t xml:space="preserve">Dismantling Date</t>
  </si>
  <si>
    <t xml:space="preserve">Risk Level</t>
  </si>
  <si>
    <t xml:space="preserve">Notes</t>
  </si>
  <si>
    <t xml:space="preserve">TW-001</t>
  </si>
  <si>
    <t xml:space="preserve">Propping to slab S03 during demolition of internal wall W7 — 4No. Acrow props at 1.2m centres</t>
  </si>
  <si>
    <t xml:space="preserve">Block A, Ground Floor, Grid B2–B5</t>
  </si>
  <si>
    <t xml:space="preserve">Propping</t>
  </si>
  <si>
    <t xml:space="preserve">R. Thomas</t>
  </si>
  <si>
    <t xml:space="preserve">Yes</t>
  </si>
  <si>
    <t xml:space="preserve">Approved</t>
  </si>
  <si>
    <t xml:space="preserve">Installed</t>
  </si>
  <si>
    <t xml:space="preserve">J. Griffiths (Design) / A. Patel (Check)</t>
  </si>
  <si>
    <t xml:space="preserve">TWD-001-Rev02</t>
  </si>
  <si>
    <t xml:space="preserve">Medium</t>
  </si>
  <si>
    <t xml:space="preserve">Props installed 14/03. Permit to load issued same day. Monitoring weekly.</t>
  </si>
  <si>
    <t xml:space="preserve">TW-002</t>
  </si>
  <si>
    <t xml:space="preserve">Falsework to in-situ concrete beam B12 — Peri Multiprop system, 8.2m span</t>
  </si>
  <si>
    <t xml:space="preserve">Block B, Level 1, Grid C1–C4</t>
  </si>
  <si>
    <t xml:space="preserve">Falsework</t>
  </si>
  <si>
    <t xml:space="preserve">Peri Formwork (Design) / J. Griffiths (Check)</t>
  </si>
  <si>
    <t xml:space="preserve">TWD-002-Rev01</t>
  </si>
  <si>
    <t xml:space="preserve">High</t>
  </si>
  <si>
    <t xml:space="preserve">Cat 3 temporary works. Design approved by TWC and independent checker. Pour scheduled 24/03.</t>
  </si>
  <si>
    <t xml:space="preserve">TW-003</t>
  </si>
  <si>
    <t xml:space="preserve">Temporary edge protection to lift shaft opening — steel handrail and mesh infill panels</t>
  </si>
  <si>
    <t xml:space="preserve">Block A, Level 1–3, Lift Shaft LS-01</t>
  </si>
  <si>
    <t xml:space="preserve">Other</t>
  </si>
  <si>
    <t xml:space="preserve">No</t>
  </si>
  <si>
    <t xml:space="preserve">N/A</t>
  </si>
  <si>
    <t xml:space="preserve">Low</t>
  </si>
  <si>
    <t xml:space="preserve">Standard proprietary system. No bespoke design needed. Cat 1 item.</t>
  </si>
  <si>
    <t xml:space="preserve">TW-004</t>
  </si>
  <si>
    <t xml:space="preserve">Trench shoring to drainage excavation DR-05 — hydraulic drag boxes, 3.5m depth</t>
  </si>
  <si>
    <t xml:space="preserve">Block C, External, Grid E1–E6</t>
  </si>
  <si>
    <t xml:space="preserve">Shoring</t>
  </si>
  <si>
    <t xml:space="preserve">In Progress</t>
  </si>
  <si>
    <t xml:space="preserve">Not Installed</t>
  </si>
  <si>
    <t xml:space="preserve">Mabey Hire (Design)</t>
  </si>
  <si>
    <t xml:space="preserve">TWD-004-Draft</t>
  </si>
  <si>
    <t xml:space="preserve">Design submitted 17/03. Checker review in progress. Excavation on hold until design approved and shoring installed.</t>
  </si>
  <si>
    <t xml:space="preserve">TW-005</t>
  </si>
  <si>
    <t xml:space="preserve">Site hoarding extension — 2.4m plywood hoarding along new south boundary, 45m run</t>
  </si>
  <si>
    <t xml:space="preserve">South boundary, adjacent to public footpath</t>
  </si>
  <si>
    <t xml:space="preserve">Hoarding</t>
  </si>
  <si>
    <t xml:space="preserve">Standard hoarding detail. Installation 60% complete. Wind loading check done by TWC — no formal design needed.</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</si>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</sst>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3">
    <numFmt numFmtId="164" formatCode="General"/>
    <numFmt numFmtId="165" formatCode="General"/>
    <numFmt numFmtId="166" formatCode="dd/mm/yyyy"/>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0"/>
      <color rgb="FF2AABB3"/>
      <name val="Calibri"/>
      <family val="0"/>
      <charset val="1"/>
    </font>
    <font>
      <b val="true"/>
      <sz val="10"/>
      <color rgb="FFFF0000"/>
      <name val="Calibri"/>
      <family val="0"/>
      <charset val="1"/>
    </font>
    <font>
      <b val="true"/>
      <sz val="10"/>
      <color rgb="FF006100"/>
      <name val="Calibri"/>
      <family val="0"/>
      <charset val="1"/>
    </font>
    <font>
      <b val="true"/>
      <sz val="10"/>
      <color rgb="FF9C6500"/>
      <name val="Calibri"/>
      <family val="0"/>
      <charset val="1"/>
    </font>
    <font>
      <b val="true"/>
      <sz val="10"/>
      <color rgb="FF9C0006"/>
      <name val="Calibri"/>
      <family val="0"/>
      <charset val="1"/>
    </font>
    <font>
      <b val="true"/>
      <sz val="9"/>
      <color rgb="FF2AABB3"/>
      <name val="Calibri"/>
      <family val="0"/>
      <charset val="1"/>
    </font>
    <font>
      <b val="true"/>
      <sz val="11"/>
      <color rgb="FFFFFFFF"/>
      <name val="Calibri"/>
      <family val="0"/>
      <charset val="1"/>
    </font>
  </fonts>
  <fills count="5">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F2F2F2"/>
      </left>
      <right style="thin">
        <color rgb="FFF2F2F2"/>
      </right>
      <top style="thin">
        <color rgb="FFF2F2F2"/>
      </top>
      <bottom style="thin">
        <color rgb="FFF2F2F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false" applyAlignment="false" applyProtection="false">
      <alignment horizontal="general" vertical="bottom" textRotation="0" wrapText="false" indent="0" shrinkToFit="false"/>
      <protection locked="true" hidden="false"/>
    </xf>
    <xf numFmtId="164" fontId="12" fillId="3" borderId="0" xfId="0" applyFont="true" applyBorder="true" applyAlignment="true" applyProtection="false">
      <alignment horizontal="general"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18" fillId="0" borderId="0" xfId="0" applyFont="true" applyBorder="false" applyAlignment="true" applyProtection="false">
      <alignment horizontal="right" vertical="center" textRotation="0" wrapText="false" indent="0" shrinkToFit="false"/>
      <protection locked="true" hidden="false"/>
    </xf>
    <xf numFmtId="164" fontId="19" fillId="4" borderId="0" xfId="0" applyFont="true" applyBorder="true" applyAlignment="true" applyProtection="false">
      <alignment horizontal="center" vertical="center" textRotation="0" wrapText="true" indent="0" shrinkToFit="false"/>
      <protection locked="true" hidden="false"/>
    </xf>
    <xf numFmtId="164" fontId="20" fillId="2"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6" fontId="12" fillId="4" borderId="2" xfId="0" applyFont="true" applyBorder="true" applyAlignment="true" applyProtection="false">
      <alignment horizontal="left" vertical="center" textRotation="0" wrapText="true" indent="0" shrinkToFit="false"/>
      <protection locked="true" hidden="false"/>
    </xf>
    <xf numFmtId="164" fontId="12" fillId="4" borderId="2"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bgColor rgb="FFC6EFCE"/>
        </patternFill>
      </fill>
    </dxf>
    <dxf>
      <fill>
        <patternFill>
          <bgColor rgb="FFFFEB9C"/>
        </patternFill>
      </fill>
    </dxf>
    <dxf>
      <fill>
        <patternFill>
          <bgColor rgb="FFFFC7CE"/>
        </patternFill>
      </fill>
    </dxf>
    <dxf>
      <fill>
        <patternFill>
          <bgColor rgb="FFF2F2F2"/>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2F2F2"/>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30" hidden="false" customHeight="true" outlineLevel="0" collapsed="false">
      <c r="A1" s="1" t="s">
        <v>0</v>
      </c>
      <c r="B1" s="1"/>
      <c r="C1" s="1"/>
      <c r="D1" s="1"/>
      <c r="E1" s="1"/>
      <c r="F1" s="1"/>
      <c r="G1" s="1"/>
      <c r="H1" s="1"/>
      <c r="I1" s="2"/>
      <c r="J1" s="2"/>
    </row>
    <row r="2" customFormat="false" ht="30" hidden="false" customHeight="true" outlineLevel="0" collapsed="false">
      <c r="A2" s="1"/>
      <c r="B2" s="1"/>
      <c r="C2" s="1"/>
      <c r="D2" s="1"/>
      <c r="E2" s="1"/>
      <c r="F2" s="1"/>
      <c r="G2" s="1"/>
      <c r="H2" s="1"/>
      <c r="I2" s="2"/>
      <c r="J2" s="2"/>
    </row>
    <row r="3" customFormat="false" ht="30" hidden="false" customHeight="true" outlineLevel="0" collapsed="false">
      <c r="A3" s="1"/>
      <c r="B3" s="1"/>
      <c r="C3" s="1"/>
      <c r="D3" s="1"/>
      <c r="E3" s="1"/>
      <c r="F3" s="1"/>
      <c r="G3" s="1"/>
      <c r="H3" s="1"/>
      <c r="I3" s="2"/>
      <c r="J3" s="2"/>
    </row>
    <row r="4" customFormat="false" ht="15" hidden="false" customHeight="true" outlineLevel="0" collapsed="false">
      <c r="A4" s="3" t="s">
        <v>1</v>
      </c>
      <c r="B4" s="3"/>
      <c r="C4" s="3"/>
      <c r="D4" s="3"/>
      <c r="E4" s="3"/>
      <c r="F4" s="3"/>
      <c r="G4" s="3"/>
      <c r="H4" s="3"/>
      <c r="I4" s="2"/>
      <c r="J4" s="2"/>
    </row>
    <row r="5" customFormat="false" ht="15" hidden="false" customHeight="false" outlineLevel="0" collapsed="false">
      <c r="A5" s="2"/>
      <c r="B5" s="2"/>
      <c r="C5" s="2"/>
      <c r="D5" s="2"/>
      <c r="E5" s="2"/>
      <c r="F5" s="2"/>
      <c r="G5" s="2"/>
      <c r="H5" s="2"/>
      <c r="I5" s="2"/>
      <c r="J5" s="2"/>
    </row>
    <row r="6" customFormat="false" ht="24.75" hidden="false" customHeight="true" outlineLevel="0" collapsed="false">
      <c r="A6" s="4" t="s">
        <v>2</v>
      </c>
      <c r="B6" s="4"/>
      <c r="C6" s="4"/>
      <c r="D6" s="4"/>
      <c r="E6" s="4"/>
      <c r="F6" s="4"/>
      <c r="G6" s="4"/>
      <c r="H6" s="4"/>
      <c r="I6" s="2"/>
      <c r="J6" s="2"/>
    </row>
    <row r="7" customFormat="false" ht="24.75" hidden="false" customHeight="true" outlineLevel="0" collapsed="false">
      <c r="A7" s="4"/>
      <c r="B7" s="4"/>
      <c r="C7" s="4"/>
      <c r="D7" s="4"/>
      <c r="E7" s="4"/>
      <c r="F7" s="4"/>
      <c r="G7" s="4"/>
      <c r="H7" s="4"/>
      <c r="I7" s="2"/>
      <c r="J7" s="2"/>
    </row>
    <row r="8" customFormat="false" ht="24.75" hidden="false" customHeight="true" outlineLevel="0" collapsed="false">
      <c r="A8" s="4"/>
      <c r="B8" s="4"/>
      <c r="C8" s="4"/>
      <c r="D8" s="4"/>
      <c r="E8" s="4"/>
      <c r="F8" s="4"/>
      <c r="G8" s="4"/>
      <c r="H8" s="4"/>
      <c r="I8" s="2"/>
      <c r="J8" s="2"/>
    </row>
    <row r="9" customFormat="false" ht="15" hidden="false" customHeight="false" outlineLevel="0" collapsed="false">
      <c r="A9" s="2"/>
      <c r="B9" s="2"/>
      <c r="C9" s="2"/>
      <c r="D9" s="2"/>
      <c r="E9" s="2"/>
      <c r="F9" s="2"/>
      <c r="G9" s="2"/>
      <c r="H9" s="2"/>
      <c r="I9" s="2"/>
      <c r="J9" s="2"/>
    </row>
    <row r="10" customFormat="false" ht="15" hidden="false" customHeight="true" outlineLevel="0" collapsed="false">
      <c r="A10" s="5" t="s">
        <v>3</v>
      </c>
      <c r="B10" s="5"/>
      <c r="C10" s="5"/>
      <c r="D10" s="5"/>
      <c r="E10" s="5"/>
      <c r="F10" s="5"/>
      <c r="G10" s="5"/>
      <c r="H10" s="5"/>
      <c r="I10" s="2"/>
      <c r="J10" s="2"/>
    </row>
    <row r="11" customFormat="false" ht="15" hidden="false" customHeight="false" outlineLevel="0" collapsed="false">
      <c r="A11" s="5"/>
      <c r="B11" s="5"/>
      <c r="C11" s="5"/>
      <c r="D11" s="5"/>
      <c r="E11" s="5"/>
      <c r="F11" s="5"/>
      <c r="G11" s="5"/>
      <c r="H11" s="5"/>
      <c r="I11" s="2"/>
      <c r="J11" s="2"/>
    </row>
    <row r="12" customFormat="false" ht="15" hidden="false" customHeight="false" outlineLevel="0" collapsed="false">
      <c r="A12" s="2"/>
      <c r="B12" s="2"/>
      <c r="C12" s="2"/>
      <c r="D12" s="2"/>
      <c r="E12" s="2"/>
      <c r="F12" s="2"/>
      <c r="G12" s="2"/>
      <c r="H12" s="2"/>
      <c r="I12" s="2"/>
      <c r="J12" s="2"/>
    </row>
    <row r="13" customFormat="false" ht="15" hidden="false" customHeight="false" outlineLevel="0" collapsed="false">
      <c r="A13" s="2"/>
      <c r="B13" s="2"/>
      <c r="C13" s="2"/>
      <c r="D13" s="2"/>
      <c r="E13" s="2"/>
      <c r="F13" s="2"/>
      <c r="G13" s="2"/>
      <c r="H13" s="2"/>
      <c r="I13" s="2"/>
      <c r="J13" s="2"/>
    </row>
    <row r="14" customFormat="false" ht="15" hidden="false" customHeight="true" outlineLevel="0" collapsed="false">
      <c r="A14" s="6" t="s">
        <v>4</v>
      </c>
      <c r="B14" s="6"/>
      <c r="C14" s="6"/>
      <c r="D14" s="6"/>
      <c r="E14" s="6"/>
      <c r="F14" s="6"/>
      <c r="G14" s="6"/>
      <c r="H14" s="6"/>
      <c r="I14" s="2"/>
      <c r="J14" s="2"/>
    </row>
    <row r="15" customFormat="false" ht="15" hidden="false" customHeight="false" outlineLevel="0" collapsed="false">
      <c r="A15" s="6"/>
      <c r="B15" s="6"/>
      <c r="C15" s="6"/>
      <c r="D15" s="6"/>
      <c r="E15" s="6"/>
      <c r="F15" s="6"/>
      <c r="G15" s="6"/>
      <c r="H15" s="6"/>
      <c r="I15" s="2"/>
      <c r="J15" s="2"/>
    </row>
    <row r="16" customFormat="false" ht="15" hidden="false" customHeight="false" outlineLevel="0" collapsed="false">
      <c r="A16" s="6"/>
      <c r="B16" s="6"/>
      <c r="C16" s="6"/>
      <c r="D16" s="6"/>
      <c r="E16" s="6"/>
      <c r="F16" s="6"/>
      <c r="G16" s="6"/>
      <c r="H16" s="6"/>
      <c r="I16" s="2"/>
      <c r="J16" s="2"/>
    </row>
    <row r="17" customFormat="false" ht="15" hidden="false" customHeight="false" outlineLevel="0" collapsed="false">
      <c r="A17" s="6"/>
      <c r="B17" s="6"/>
      <c r="C17" s="6"/>
      <c r="D17" s="6"/>
      <c r="E17" s="6"/>
      <c r="F17" s="6"/>
      <c r="G17" s="6"/>
      <c r="H17" s="6"/>
      <c r="I17" s="2"/>
      <c r="J17" s="2"/>
    </row>
    <row r="18" customFormat="false" ht="15" hidden="false" customHeight="false" outlineLevel="0" collapsed="false">
      <c r="A18" s="2"/>
      <c r="B18" s="2"/>
      <c r="C18" s="2"/>
      <c r="D18" s="2"/>
      <c r="E18" s="2"/>
      <c r="F18" s="2"/>
      <c r="G18" s="2"/>
      <c r="H18" s="2"/>
      <c r="I18" s="2"/>
      <c r="J18" s="2"/>
    </row>
    <row r="19" customFormat="false" ht="15" hidden="false" customHeight="true" outlineLevel="0" collapsed="false">
      <c r="A19" s="7" t="s">
        <v>5</v>
      </c>
      <c r="B19" s="7"/>
      <c r="C19" s="7"/>
      <c r="D19" s="7"/>
      <c r="E19" s="7"/>
      <c r="F19" s="7"/>
      <c r="G19" s="7"/>
      <c r="H19" s="7"/>
      <c r="I19" s="2"/>
      <c r="J19" s="2"/>
    </row>
    <row r="20" customFormat="false" ht="15" hidden="false" customHeight="false" outlineLevel="0" collapsed="false">
      <c r="A20" s="2"/>
      <c r="B20" s="2"/>
      <c r="C20" s="2"/>
      <c r="D20" s="2"/>
      <c r="E20" s="2"/>
      <c r="F20" s="2"/>
      <c r="G20" s="2"/>
      <c r="H20" s="2"/>
      <c r="I20" s="2"/>
      <c r="J20" s="2"/>
    </row>
    <row r="21" customFormat="false" ht="15" hidden="false" customHeight="false" outlineLevel="0" collapsed="false">
      <c r="A21" s="2"/>
      <c r="B21" s="2"/>
      <c r="C21" s="2"/>
      <c r="D21" s="2"/>
      <c r="E21" s="2"/>
      <c r="F21" s="2"/>
      <c r="G21" s="2"/>
      <c r="H21" s="2"/>
      <c r="I21" s="2"/>
      <c r="J21" s="2"/>
    </row>
    <row r="22" customFormat="false" ht="15" hidden="false" customHeight="false" outlineLevel="0" collapsed="false">
      <c r="A22" s="2"/>
      <c r="B22" s="2"/>
      <c r="C22" s="2"/>
      <c r="D22" s="2"/>
      <c r="E22" s="2"/>
      <c r="F22" s="2"/>
      <c r="G22" s="2"/>
      <c r="H22" s="2"/>
      <c r="I22" s="2"/>
      <c r="J22" s="2"/>
    </row>
    <row r="23" customFormat="false" ht="15" hidden="false" customHeight="false" outlineLevel="0" collapsed="false">
      <c r="A23" s="2"/>
      <c r="B23" s="2"/>
      <c r="C23" s="2"/>
      <c r="D23" s="2"/>
      <c r="E23" s="2"/>
      <c r="F23" s="2"/>
      <c r="G23" s="2"/>
      <c r="H23" s="2"/>
      <c r="I23" s="2"/>
      <c r="J23" s="2"/>
    </row>
    <row r="24" customFormat="false" ht="15" hidden="false" customHeight="false" outlineLevel="0" collapsed="false">
      <c r="A24" s="2"/>
      <c r="B24" s="2"/>
      <c r="C24" s="2"/>
      <c r="D24" s="2"/>
      <c r="E24" s="2"/>
      <c r="F24" s="2"/>
      <c r="G24" s="2"/>
      <c r="H24" s="2"/>
      <c r="I24" s="2"/>
      <c r="J24" s="2"/>
    </row>
    <row r="25" customFormat="false" ht="15" hidden="false" customHeight="false" outlineLevel="0" collapsed="false">
      <c r="A25" s="2"/>
      <c r="B25" s="2"/>
      <c r="C25" s="2"/>
      <c r="D25" s="2"/>
      <c r="E25" s="2"/>
      <c r="F25" s="2"/>
      <c r="G25" s="2"/>
      <c r="H25" s="2"/>
      <c r="I25" s="2"/>
      <c r="J25" s="2"/>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5"/>
  </cols>
  <sheetData>
    <row r="1" customFormat="false" ht="17.35" hidden="false" customHeight="false" outlineLevel="0" collapsed="false">
      <c r="A1" s="8" t="s">
        <v>6</v>
      </c>
      <c r="B1" s="8"/>
      <c r="C1" s="8"/>
      <c r="D1" s="8"/>
      <c r="E1" s="8"/>
      <c r="F1" s="8"/>
      <c r="G1" s="2"/>
      <c r="H1" s="2"/>
    </row>
    <row r="2" customFormat="false" ht="15" hidden="false" customHeight="false" outlineLevel="0" collapsed="false">
      <c r="A2" s="2"/>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9" t="s">
        <v>7</v>
      </c>
      <c r="B4" s="2"/>
      <c r="C4" s="2"/>
      <c r="D4" s="2"/>
      <c r="E4" s="2"/>
      <c r="F4" s="2"/>
      <c r="G4" s="2"/>
      <c r="H4" s="2"/>
    </row>
    <row r="5" customFormat="false" ht="15" hidden="false" customHeight="true" outlineLevel="0" collapsed="false">
      <c r="A5" s="10" t="s">
        <v>8</v>
      </c>
      <c r="B5" s="11" t="s">
        <v>9</v>
      </c>
      <c r="C5" s="11"/>
      <c r="D5" s="11"/>
      <c r="E5" s="11"/>
      <c r="F5" s="11"/>
      <c r="G5" s="2"/>
      <c r="H5" s="2"/>
    </row>
    <row r="6" customFormat="false" ht="15" hidden="false" customHeight="true" outlineLevel="0" collapsed="false">
      <c r="A6" s="10" t="s">
        <v>10</v>
      </c>
      <c r="B6" s="11" t="s">
        <v>11</v>
      </c>
      <c r="C6" s="11"/>
      <c r="D6" s="11"/>
      <c r="E6" s="11"/>
      <c r="F6" s="11"/>
      <c r="G6" s="2"/>
      <c r="H6" s="2"/>
    </row>
    <row r="7" customFormat="false" ht="23.85" hidden="false" customHeight="true" outlineLevel="0" collapsed="false">
      <c r="A7" s="10" t="s">
        <v>12</v>
      </c>
      <c r="B7" s="11" t="s">
        <v>13</v>
      </c>
      <c r="C7" s="11"/>
      <c r="D7" s="11"/>
      <c r="E7" s="11"/>
      <c r="F7" s="11"/>
      <c r="G7" s="2"/>
      <c r="H7" s="2"/>
    </row>
    <row r="8" customFormat="false" ht="15" hidden="false" customHeight="true" outlineLevel="0" collapsed="false">
      <c r="A8" s="10" t="s">
        <v>14</v>
      </c>
      <c r="B8" s="11" t="s">
        <v>15</v>
      </c>
      <c r="C8" s="11"/>
      <c r="D8" s="11"/>
      <c r="E8" s="11"/>
      <c r="F8" s="11"/>
      <c r="G8" s="2"/>
      <c r="H8" s="2"/>
    </row>
    <row r="9" customFormat="false" ht="15" hidden="false" customHeight="true" outlineLevel="0" collapsed="false">
      <c r="A9" s="10" t="s">
        <v>16</v>
      </c>
      <c r="B9" s="11" t="s">
        <v>17</v>
      </c>
      <c r="C9" s="11"/>
      <c r="D9" s="11"/>
      <c r="E9" s="11"/>
      <c r="F9" s="11"/>
      <c r="G9" s="2"/>
      <c r="H9" s="2"/>
    </row>
    <row r="10" customFormat="false" ht="23.85" hidden="false" customHeight="true" outlineLevel="0" collapsed="false">
      <c r="A10" s="10" t="s">
        <v>18</v>
      </c>
      <c r="B10" s="11" t="s">
        <v>19</v>
      </c>
      <c r="C10" s="11"/>
      <c r="D10" s="11"/>
      <c r="E10" s="11"/>
      <c r="F10" s="11"/>
      <c r="G10" s="2"/>
      <c r="H10" s="2"/>
    </row>
    <row r="11" customFormat="false" ht="15" hidden="false" customHeight="true" outlineLevel="0" collapsed="false">
      <c r="A11" s="10" t="s">
        <v>20</v>
      </c>
      <c r="B11" s="11" t="s">
        <v>21</v>
      </c>
      <c r="C11" s="11"/>
      <c r="D11" s="11"/>
      <c r="E11" s="11"/>
      <c r="F11" s="11"/>
      <c r="G11" s="2"/>
      <c r="H11" s="2"/>
    </row>
    <row r="12" customFormat="false" ht="23.85" hidden="false" customHeight="true" outlineLevel="0" collapsed="false">
      <c r="A12" s="10" t="s">
        <v>22</v>
      </c>
      <c r="B12" s="11" t="s">
        <v>23</v>
      </c>
      <c r="C12" s="11"/>
      <c r="D12" s="11"/>
      <c r="E12" s="11"/>
      <c r="F12" s="11"/>
      <c r="G12" s="2"/>
      <c r="H12" s="2"/>
    </row>
    <row r="13" customFormat="false" ht="15" hidden="false" customHeight="true" outlineLevel="0" collapsed="false">
      <c r="A13" s="10" t="s">
        <v>24</v>
      </c>
      <c r="B13" s="11" t="s">
        <v>25</v>
      </c>
      <c r="C13" s="11"/>
      <c r="D13" s="11"/>
      <c r="E13" s="11"/>
      <c r="F13" s="11"/>
      <c r="G13" s="2"/>
      <c r="H13" s="2"/>
    </row>
    <row r="14" customFormat="false" ht="15" hidden="false" customHeight="true" outlineLevel="0" collapsed="false">
      <c r="A14" s="10" t="s">
        <v>26</v>
      </c>
      <c r="B14" s="11" t="s">
        <v>27</v>
      </c>
      <c r="C14" s="11"/>
      <c r="D14" s="11"/>
      <c r="E14" s="11"/>
      <c r="F14" s="11"/>
      <c r="G14" s="2"/>
      <c r="H14" s="2"/>
    </row>
    <row r="15" customFormat="false" ht="15" hidden="false" customHeight="false" outlineLevel="0" collapsed="false">
      <c r="A15" s="2"/>
      <c r="B15" s="2"/>
      <c r="C15" s="2"/>
      <c r="D15" s="2"/>
      <c r="E15" s="2"/>
      <c r="F15" s="2"/>
      <c r="G15" s="2"/>
      <c r="H15" s="2"/>
    </row>
    <row r="16" customFormat="false" ht="15" hidden="false" customHeight="false" outlineLevel="0" collapsed="false">
      <c r="A16" s="9" t="s">
        <v>28</v>
      </c>
      <c r="B16" s="2"/>
      <c r="C16" s="2"/>
      <c r="D16" s="2"/>
      <c r="E16" s="2"/>
      <c r="F16" s="2"/>
      <c r="G16" s="2"/>
      <c r="H16" s="2"/>
    </row>
    <row r="17" customFormat="false" ht="15" hidden="false" customHeight="true" outlineLevel="0" collapsed="false">
      <c r="A17" s="10" t="s">
        <v>29</v>
      </c>
      <c r="B17" s="11" t="s">
        <v>30</v>
      </c>
      <c r="C17" s="11"/>
      <c r="D17" s="11"/>
      <c r="E17" s="11"/>
      <c r="F17" s="11"/>
      <c r="G17" s="2"/>
      <c r="H17" s="2"/>
    </row>
    <row r="18" customFormat="false" ht="15" hidden="false" customHeight="true" outlineLevel="0" collapsed="false">
      <c r="A18" s="10" t="s">
        <v>29</v>
      </c>
      <c r="B18" s="11" t="s">
        <v>31</v>
      </c>
      <c r="C18" s="11"/>
      <c r="D18" s="11"/>
      <c r="E18" s="11"/>
      <c r="F18" s="11"/>
      <c r="G18" s="2"/>
      <c r="H18" s="2"/>
    </row>
    <row r="19" customFormat="false" ht="15" hidden="false" customHeight="true" outlineLevel="0" collapsed="false">
      <c r="A19" s="10" t="s">
        <v>29</v>
      </c>
      <c r="B19" s="11" t="s">
        <v>32</v>
      </c>
      <c r="C19" s="11"/>
      <c r="D19" s="11"/>
      <c r="E19" s="11"/>
      <c r="F19" s="11"/>
      <c r="G19" s="2"/>
      <c r="H19" s="2"/>
    </row>
    <row r="20" customFormat="false" ht="15" hidden="false" customHeight="true" outlineLevel="0" collapsed="false">
      <c r="A20" s="10" t="s">
        <v>29</v>
      </c>
      <c r="B20" s="11" t="s">
        <v>33</v>
      </c>
      <c r="C20" s="11"/>
      <c r="D20" s="11"/>
      <c r="E20" s="11"/>
      <c r="F20" s="11"/>
      <c r="G20" s="2"/>
      <c r="H20" s="2"/>
    </row>
    <row r="21" customFormat="false" ht="15" hidden="false" customHeight="true" outlineLevel="0" collapsed="false">
      <c r="A21" s="10" t="s">
        <v>29</v>
      </c>
      <c r="B21" s="11" t="s">
        <v>34</v>
      </c>
      <c r="C21" s="11"/>
      <c r="D21" s="11"/>
      <c r="E21" s="11"/>
      <c r="F21" s="11"/>
      <c r="G21" s="2"/>
      <c r="H21" s="2"/>
    </row>
    <row r="22" customFormat="false" ht="15" hidden="false" customHeight="true" outlineLevel="0" collapsed="false">
      <c r="A22" s="10" t="s">
        <v>29</v>
      </c>
      <c r="B22" s="11" t="s">
        <v>35</v>
      </c>
      <c r="C22" s="11"/>
      <c r="D22" s="11"/>
      <c r="E22" s="11"/>
      <c r="F22" s="11"/>
      <c r="G22" s="2"/>
      <c r="H22" s="2"/>
    </row>
    <row r="23" customFormat="false" ht="15" hidden="false" customHeight="false" outlineLevel="0" collapsed="false">
      <c r="A23" s="2"/>
      <c r="B23" s="2"/>
      <c r="C23" s="2"/>
      <c r="D23" s="2"/>
      <c r="E23" s="2"/>
      <c r="F23" s="2"/>
      <c r="G23" s="2"/>
      <c r="H23" s="2"/>
    </row>
    <row r="24" customFormat="false" ht="15" hidden="false" customHeight="false" outlineLevel="0" collapsed="false">
      <c r="A24" s="9" t="s">
        <v>36</v>
      </c>
      <c r="B24" s="2"/>
      <c r="C24" s="2"/>
      <c r="D24" s="2"/>
      <c r="E24" s="2"/>
      <c r="F24" s="2"/>
      <c r="G24" s="2"/>
      <c r="H24" s="2"/>
    </row>
    <row r="25" customFormat="false" ht="23.85" hidden="false" customHeight="true" outlineLevel="0" collapsed="false">
      <c r="A25" s="10" t="s">
        <v>29</v>
      </c>
      <c r="B25" s="11" t="s">
        <v>37</v>
      </c>
      <c r="C25" s="11"/>
      <c r="D25" s="11"/>
      <c r="E25" s="11"/>
      <c r="F25" s="11"/>
      <c r="G25" s="2"/>
      <c r="H25" s="2"/>
    </row>
    <row r="26" customFormat="false" ht="15" hidden="false" customHeight="true" outlineLevel="0" collapsed="false">
      <c r="A26" s="10" t="s">
        <v>29</v>
      </c>
      <c r="B26" s="11" t="s">
        <v>38</v>
      </c>
      <c r="C26" s="11"/>
      <c r="D26" s="11"/>
      <c r="E26" s="11"/>
      <c r="F26" s="11"/>
      <c r="G26" s="2"/>
      <c r="H26" s="2"/>
    </row>
    <row r="27" customFormat="false" ht="15" hidden="false" customHeight="true" outlineLevel="0" collapsed="false">
      <c r="A27" s="10" t="s">
        <v>29</v>
      </c>
      <c r="B27" s="11" t="s">
        <v>39</v>
      </c>
      <c r="C27" s="11"/>
      <c r="D27" s="11"/>
      <c r="E27" s="11"/>
      <c r="F27" s="11"/>
      <c r="G27" s="2"/>
      <c r="H27" s="2"/>
    </row>
    <row r="28" customFormat="false" ht="15" hidden="false" customHeight="false" outlineLevel="0" collapsed="false">
      <c r="A28" s="2"/>
      <c r="B28" s="2"/>
      <c r="C28" s="2"/>
      <c r="D28" s="2"/>
      <c r="E28" s="2"/>
      <c r="F28" s="2"/>
      <c r="G28" s="2"/>
      <c r="H28" s="2"/>
    </row>
    <row r="29" customFormat="false" ht="15" hidden="false" customHeight="false" outlineLevel="0" collapsed="false">
      <c r="A29" s="2"/>
      <c r="B29" s="2"/>
      <c r="C29" s="2"/>
      <c r="D29" s="2"/>
      <c r="E29" s="2"/>
      <c r="F29" s="2"/>
      <c r="G29" s="2"/>
      <c r="H29" s="2"/>
    </row>
    <row r="30" customFormat="false" ht="15" hidden="false" customHeight="false" outlineLevel="0" collapsed="false">
      <c r="A30" s="2"/>
      <c r="B30" s="2"/>
      <c r="C30" s="2"/>
      <c r="D30" s="2"/>
      <c r="E30" s="2"/>
      <c r="F30" s="2"/>
      <c r="G30" s="2"/>
      <c r="H30" s="2"/>
    </row>
    <row r="31" customFormat="false" ht="15" hidden="false" customHeight="false" outlineLevel="0" collapsed="false">
      <c r="A31" s="2"/>
      <c r="B31" s="2"/>
      <c r="C31" s="2"/>
      <c r="D31" s="2"/>
      <c r="E31" s="2"/>
      <c r="F31" s="2"/>
      <c r="G31" s="2"/>
      <c r="H31" s="2"/>
    </row>
    <row r="32" customFormat="false" ht="15" hidden="false" customHeight="false" outlineLevel="0" collapsed="false">
      <c r="A32" s="2"/>
      <c r="B32" s="2"/>
      <c r="C32" s="2"/>
      <c r="D32" s="2"/>
      <c r="E32" s="2"/>
      <c r="F32" s="2"/>
      <c r="G32" s="2"/>
      <c r="H32" s="2"/>
    </row>
    <row r="33" customFormat="false" ht="15" hidden="false" customHeight="false" outlineLevel="0" collapsed="false">
      <c r="A33" s="2"/>
      <c r="B33" s="2"/>
      <c r="C33" s="2"/>
      <c r="D33" s="2"/>
      <c r="E33" s="2"/>
      <c r="F33" s="2"/>
      <c r="G33" s="2"/>
      <c r="H33" s="2"/>
    </row>
  </sheetData>
  <mergeCells count="20">
    <mergeCell ref="A1:F1"/>
    <mergeCell ref="B5:F5"/>
    <mergeCell ref="B6:F6"/>
    <mergeCell ref="B7:F7"/>
    <mergeCell ref="B8:F8"/>
    <mergeCell ref="B9:F9"/>
    <mergeCell ref="B10:F10"/>
    <mergeCell ref="B11:F11"/>
    <mergeCell ref="B12:F12"/>
    <mergeCell ref="B13:F13"/>
    <mergeCell ref="B14:F14"/>
    <mergeCell ref="B17:F17"/>
    <mergeCell ref="B18:F18"/>
    <mergeCell ref="B19:F19"/>
    <mergeCell ref="B20:F20"/>
    <mergeCell ref="B21:F21"/>
    <mergeCell ref="B22:F22"/>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2"/>
    <col collapsed="false" customWidth="true" hidden="false" outlineLevel="0" max="2" min="2" style="0" width="13"/>
    <col collapsed="false" customWidth="true" hidden="false" outlineLevel="0" max="3" min="3" style="0" width="38"/>
    <col collapsed="false" customWidth="true" hidden="false" outlineLevel="0" max="4" min="4" style="0" width="24"/>
    <col collapsed="false" customWidth="true" hidden="false" outlineLevel="0" max="5" min="5" style="0" width="16"/>
    <col collapsed="false" customWidth="true" hidden="false" outlineLevel="0" max="6" min="6" style="0" width="18"/>
    <col collapsed="false" customWidth="true" hidden="false" outlineLevel="0" max="7" min="7" style="0" width="14"/>
    <col collapsed="false" customWidth="true" hidden="false" outlineLevel="0" max="9" min="8" style="0" width="16"/>
    <col collapsed="false" customWidth="true" hidden="false" outlineLevel="0" max="10" min="10" style="0" width="14"/>
    <col collapsed="false" customWidth="true" hidden="true" outlineLevel="1" max="16" min="11" style="0" width="20"/>
  </cols>
  <sheetData>
    <row r="1" customFormat="false" ht="17.35" hidden="false" customHeight="false" outlineLevel="0" collapsed="false">
      <c r="A1" s="12" t="s">
        <v>40</v>
      </c>
      <c r="B1" s="12"/>
      <c r="C1" s="12"/>
      <c r="E1" s="13" t="s">
        <v>41</v>
      </c>
      <c r="F1" s="14" t="n">
        <f aca="false">COUNTA(B9:B508)</f>
        <v>5</v>
      </c>
      <c r="H1" s="13" t="s">
        <v>42</v>
      </c>
      <c r="I1" s="15" t="n">
        <f aca="false">COUNTIFS(H9:H508,"&lt;&gt;Approved",H9:H508,"&lt;&gt;N/A",H9:H508,"&lt;&gt;")</f>
        <v>1</v>
      </c>
    </row>
    <row r="2" customFormat="false" ht="15" hidden="false" customHeight="false" outlineLevel="0" collapsed="false">
      <c r="E2" s="16" t="s">
        <v>43</v>
      </c>
      <c r="F2" s="14" t="n">
        <f aca="false">COUNTIF(H9:H508,"Approved")</f>
        <v>2</v>
      </c>
      <c r="G2" s="17" t="s">
        <v>44</v>
      </c>
      <c r="H2" s="14" t="n">
        <f aca="false">COUNTIF(H9:H508,"In Progress")</f>
        <v>1</v>
      </c>
      <c r="I2" s="18" t="s">
        <v>45</v>
      </c>
      <c r="J2" s="14" t="n">
        <f aca="false">COUNTIF(H9:H508,"Not Started")</f>
        <v>0</v>
      </c>
    </row>
    <row r="3" customFormat="false" ht="15" hidden="false" customHeight="false" outlineLevel="0" collapsed="false">
      <c r="E3" s="16" t="s">
        <v>46</v>
      </c>
      <c r="F3" s="14" t="n">
        <f aca="false">COUNTIF(I9:I508,"Installed")</f>
        <v>3</v>
      </c>
      <c r="G3" s="17" t="s">
        <v>44</v>
      </c>
      <c r="H3" s="14" t="n">
        <f aca="false">COUNTIF(I9:I508,"In Progress")</f>
        <v>1</v>
      </c>
      <c r="I3" s="13" t="s">
        <v>47</v>
      </c>
      <c r="J3" s="14" t="n">
        <f aca="false">COUNTIF(I9:I508,"Removed")</f>
        <v>0</v>
      </c>
    </row>
    <row r="4" customFormat="false" ht="15" hidden="false" customHeight="false" outlineLevel="0" collapsed="false">
      <c r="E4" s="13" t="s">
        <v>48</v>
      </c>
      <c r="F4" s="15" t="n">
        <f aca="false">COUNTIFS(I9:I508,"Installed",J9:J508,"No")</f>
        <v>0</v>
      </c>
      <c r="H4" s="13" t="s">
        <v>49</v>
      </c>
      <c r="I4" s="15" t="n">
        <f aca="false">COUNTIF(O9:O508,"High")</f>
        <v>2</v>
      </c>
    </row>
    <row r="5" customFormat="false" ht="15" hidden="false" customHeight="false" outlineLevel="0" collapsed="false">
      <c r="E5" s="13" t="s">
        <v>50</v>
      </c>
      <c r="F5" s="14" t="n">
        <f aca="false">COUNTIF(E9:E508,"Propping")</f>
        <v>1</v>
      </c>
      <c r="G5" s="13" t="s">
        <v>51</v>
      </c>
      <c r="H5" s="14" t="n">
        <f aca="false">COUNTIF(E9:E508,"Falsework")</f>
        <v>1</v>
      </c>
      <c r="I5" s="13" t="s">
        <v>52</v>
      </c>
      <c r="J5" s="14" t="n">
        <f aca="false">COUNTIF(E9:E508,"Formwork")</f>
        <v>0</v>
      </c>
    </row>
    <row r="7" customFormat="false" ht="22.35" hidden="false" customHeight="true" outlineLevel="0" collapsed="false">
      <c r="K7" s="19" t="s">
        <v>53</v>
      </c>
      <c r="L7" s="19"/>
      <c r="M7" s="19"/>
      <c r="N7" s="19"/>
      <c r="O7" s="19"/>
      <c r="P7" s="19"/>
    </row>
    <row r="8" customFormat="false" ht="28.35" hidden="false" customHeight="false" outlineLevel="0" collapsed="false">
      <c r="A8" s="20" t="s">
        <v>54</v>
      </c>
      <c r="B8" s="20" t="s">
        <v>55</v>
      </c>
      <c r="C8" s="20" t="s">
        <v>56</v>
      </c>
      <c r="D8" s="20" t="s">
        <v>57</v>
      </c>
      <c r="E8" s="20" t="s">
        <v>58</v>
      </c>
      <c r="F8" s="20" t="s">
        <v>59</v>
      </c>
      <c r="G8" s="20" t="s">
        <v>60</v>
      </c>
      <c r="H8" s="20" t="s">
        <v>61</v>
      </c>
      <c r="I8" s="20" t="s">
        <v>62</v>
      </c>
      <c r="J8" s="20" t="s">
        <v>63</v>
      </c>
      <c r="K8" s="20" t="s">
        <v>64</v>
      </c>
      <c r="L8" s="20" t="s">
        <v>65</v>
      </c>
      <c r="M8" s="20" t="s">
        <v>66</v>
      </c>
      <c r="N8" s="20" t="s">
        <v>67</v>
      </c>
      <c r="O8" s="20" t="s">
        <v>68</v>
      </c>
      <c r="P8" s="20" t="s">
        <v>69</v>
      </c>
    </row>
    <row r="9" customFormat="false" ht="31.5" hidden="false" customHeight="true" outlineLevel="0" collapsed="false">
      <c r="A9" s="21" t="s">
        <v>70</v>
      </c>
      <c r="B9" s="22" t="n">
        <v>46091</v>
      </c>
      <c r="C9" s="23" t="s">
        <v>71</v>
      </c>
      <c r="D9" s="23" t="s">
        <v>72</v>
      </c>
      <c r="E9" s="21" t="s">
        <v>73</v>
      </c>
      <c r="F9" s="23" t="s">
        <v>74</v>
      </c>
      <c r="G9" s="21" t="s">
        <v>75</v>
      </c>
      <c r="H9" s="21" t="s">
        <v>76</v>
      </c>
      <c r="I9" s="21" t="s">
        <v>77</v>
      </c>
      <c r="J9" s="21" t="s">
        <v>75</v>
      </c>
      <c r="K9" s="23" t="s">
        <v>78</v>
      </c>
      <c r="L9" s="23" t="s">
        <v>79</v>
      </c>
      <c r="M9" s="22" t="n">
        <v>46095</v>
      </c>
      <c r="N9" s="22"/>
      <c r="O9" s="21" t="s">
        <v>80</v>
      </c>
      <c r="P9" s="23" t="s">
        <v>81</v>
      </c>
    </row>
    <row r="10" customFormat="false" ht="31.5" hidden="false" customHeight="true" outlineLevel="0" collapsed="false">
      <c r="A10" s="21" t="s">
        <v>82</v>
      </c>
      <c r="B10" s="22" t="n">
        <v>46093</v>
      </c>
      <c r="C10" s="23" t="s">
        <v>83</v>
      </c>
      <c r="D10" s="23" t="s">
        <v>84</v>
      </c>
      <c r="E10" s="21" t="s">
        <v>85</v>
      </c>
      <c r="F10" s="23" t="s">
        <v>74</v>
      </c>
      <c r="G10" s="21" t="s">
        <v>75</v>
      </c>
      <c r="H10" s="21" t="s">
        <v>76</v>
      </c>
      <c r="I10" s="21" t="s">
        <v>77</v>
      </c>
      <c r="J10" s="21" t="s">
        <v>75</v>
      </c>
      <c r="K10" s="23" t="s">
        <v>86</v>
      </c>
      <c r="L10" s="23" t="s">
        <v>87</v>
      </c>
      <c r="M10" s="22" t="n">
        <v>46097</v>
      </c>
      <c r="N10" s="22"/>
      <c r="O10" s="21" t="s">
        <v>88</v>
      </c>
      <c r="P10" s="23" t="s">
        <v>89</v>
      </c>
    </row>
    <row r="11" customFormat="false" ht="31.5" hidden="false" customHeight="true" outlineLevel="0" collapsed="false">
      <c r="A11" s="21" t="s">
        <v>90</v>
      </c>
      <c r="B11" s="22" t="n">
        <v>46096</v>
      </c>
      <c r="C11" s="23" t="s">
        <v>91</v>
      </c>
      <c r="D11" s="23" t="s">
        <v>92</v>
      </c>
      <c r="E11" s="21" t="s">
        <v>93</v>
      </c>
      <c r="F11" s="23" t="s">
        <v>74</v>
      </c>
      <c r="G11" s="21" t="s">
        <v>94</v>
      </c>
      <c r="H11" s="21" t="s">
        <v>95</v>
      </c>
      <c r="I11" s="21" t="s">
        <v>77</v>
      </c>
      <c r="J11" s="21" t="s">
        <v>75</v>
      </c>
      <c r="K11" s="23"/>
      <c r="L11" s="23"/>
      <c r="M11" s="22" t="n">
        <v>46096</v>
      </c>
      <c r="N11" s="22"/>
      <c r="O11" s="21" t="s">
        <v>96</v>
      </c>
      <c r="P11" s="23" t="s">
        <v>97</v>
      </c>
    </row>
    <row r="12" customFormat="false" ht="31.5" hidden="false" customHeight="true" outlineLevel="0" collapsed="false">
      <c r="A12" s="21" t="s">
        <v>98</v>
      </c>
      <c r="B12" s="22" t="n">
        <v>46098</v>
      </c>
      <c r="C12" s="23" t="s">
        <v>99</v>
      </c>
      <c r="D12" s="23" t="s">
        <v>100</v>
      </c>
      <c r="E12" s="21" t="s">
        <v>101</v>
      </c>
      <c r="F12" s="23" t="s">
        <v>74</v>
      </c>
      <c r="G12" s="21" t="s">
        <v>75</v>
      </c>
      <c r="H12" s="21" t="s">
        <v>102</v>
      </c>
      <c r="I12" s="21" t="s">
        <v>103</v>
      </c>
      <c r="J12" s="21" t="s">
        <v>94</v>
      </c>
      <c r="K12" s="23" t="s">
        <v>104</v>
      </c>
      <c r="L12" s="23" t="s">
        <v>105</v>
      </c>
      <c r="M12" s="22"/>
      <c r="N12" s="22"/>
      <c r="O12" s="21" t="s">
        <v>88</v>
      </c>
      <c r="P12" s="23" t="s">
        <v>106</v>
      </c>
    </row>
    <row r="13" customFormat="false" ht="31.5" hidden="false" customHeight="true" outlineLevel="0" collapsed="false">
      <c r="A13" s="21" t="s">
        <v>107</v>
      </c>
      <c r="B13" s="22" t="n">
        <v>46099</v>
      </c>
      <c r="C13" s="23" t="s">
        <v>108</v>
      </c>
      <c r="D13" s="23" t="s">
        <v>109</v>
      </c>
      <c r="E13" s="21" t="s">
        <v>110</v>
      </c>
      <c r="F13" s="23" t="s">
        <v>74</v>
      </c>
      <c r="G13" s="21" t="s">
        <v>94</v>
      </c>
      <c r="H13" s="21" t="s">
        <v>95</v>
      </c>
      <c r="I13" s="21" t="s">
        <v>102</v>
      </c>
      <c r="J13" s="21" t="s">
        <v>94</v>
      </c>
      <c r="K13" s="23"/>
      <c r="L13" s="23"/>
      <c r="M13" s="22"/>
      <c r="N13" s="22"/>
      <c r="O13" s="21" t="s">
        <v>96</v>
      </c>
      <c r="P13" s="23" t="s">
        <v>111</v>
      </c>
    </row>
    <row r="14" customFormat="false" ht="31.5" hidden="false" customHeight="true" outlineLevel="0" collapsed="false">
      <c r="A14" s="21"/>
      <c r="B14" s="22"/>
      <c r="C14" s="23"/>
      <c r="D14" s="23"/>
      <c r="E14" s="21"/>
      <c r="F14" s="23"/>
      <c r="G14" s="21"/>
      <c r="H14" s="21"/>
      <c r="I14" s="21"/>
      <c r="J14" s="21"/>
      <c r="K14" s="23"/>
      <c r="L14" s="23"/>
      <c r="M14" s="22"/>
      <c r="N14" s="22"/>
      <c r="O14" s="21"/>
      <c r="P14" s="23"/>
    </row>
    <row r="15" customFormat="false" ht="31.5" hidden="false" customHeight="true" outlineLevel="0" collapsed="false">
      <c r="A15" s="21"/>
      <c r="B15" s="22"/>
      <c r="C15" s="23"/>
      <c r="D15" s="23"/>
      <c r="E15" s="21"/>
      <c r="F15" s="23"/>
      <c r="G15" s="21"/>
      <c r="H15" s="21"/>
      <c r="I15" s="21"/>
      <c r="J15" s="21"/>
      <c r="K15" s="23"/>
      <c r="L15" s="23"/>
      <c r="M15" s="22"/>
      <c r="N15" s="22"/>
      <c r="O15" s="21"/>
      <c r="P15" s="23"/>
    </row>
    <row r="16" customFormat="false" ht="31.5" hidden="false" customHeight="true" outlineLevel="0" collapsed="false">
      <c r="A16" s="21"/>
      <c r="B16" s="22"/>
      <c r="C16" s="23"/>
      <c r="D16" s="23"/>
      <c r="E16" s="21"/>
      <c r="F16" s="23"/>
      <c r="G16" s="21"/>
      <c r="H16" s="21"/>
      <c r="I16" s="21"/>
      <c r="J16" s="21"/>
      <c r="K16" s="23"/>
      <c r="L16" s="23"/>
      <c r="M16" s="22"/>
      <c r="N16" s="22"/>
      <c r="O16" s="21"/>
      <c r="P16" s="23"/>
    </row>
    <row r="17" customFormat="false" ht="31.5" hidden="false" customHeight="true" outlineLevel="0" collapsed="false">
      <c r="A17" s="21"/>
      <c r="B17" s="22"/>
      <c r="C17" s="23"/>
      <c r="D17" s="23"/>
      <c r="E17" s="21"/>
      <c r="F17" s="23"/>
      <c r="G17" s="21"/>
      <c r="H17" s="21"/>
      <c r="I17" s="21"/>
      <c r="J17" s="21"/>
      <c r="K17" s="23"/>
      <c r="L17" s="23"/>
      <c r="M17" s="22"/>
      <c r="N17" s="22"/>
      <c r="O17" s="21"/>
      <c r="P17" s="23"/>
    </row>
    <row r="18" customFormat="false" ht="31.5" hidden="false" customHeight="true" outlineLevel="0" collapsed="false">
      <c r="A18" s="21"/>
      <c r="B18" s="22"/>
      <c r="C18" s="23"/>
      <c r="D18" s="23"/>
      <c r="E18" s="21"/>
      <c r="F18" s="23"/>
      <c r="G18" s="21"/>
      <c r="H18" s="21"/>
      <c r="I18" s="21"/>
      <c r="J18" s="21"/>
      <c r="K18" s="23"/>
      <c r="L18" s="23"/>
      <c r="M18" s="22"/>
      <c r="N18" s="22"/>
      <c r="O18" s="21"/>
      <c r="P18" s="23"/>
    </row>
    <row r="19" customFormat="false" ht="31.5" hidden="false" customHeight="true" outlineLevel="0" collapsed="false">
      <c r="A19" s="21"/>
      <c r="B19" s="22"/>
      <c r="C19" s="23"/>
      <c r="D19" s="23"/>
      <c r="E19" s="21"/>
      <c r="F19" s="23"/>
      <c r="G19" s="21"/>
      <c r="H19" s="21"/>
      <c r="I19" s="21"/>
      <c r="J19" s="21"/>
      <c r="K19" s="23"/>
      <c r="L19" s="23"/>
      <c r="M19" s="22"/>
      <c r="N19" s="22"/>
      <c r="O19" s="21"/>
      <c r="P19" s="23"/>
    </row>
    <row r="20" customFormat="false" ht="31.5" hidden="false" customHeight="true" outlineLevel="0" collapsed="false">
      <c r="A20" s="21"/>
      <c r="B20" s="22"/>
      <c r="C20" s="23"/>
      <c r="D20" s="23"/>
      <c r="E20" s="21"/>
      <c r="F20" s="23"/>
      <c r="G20" s="21"/>
      <c r="H20" s="21"/>
      <c r="I20" s="21"/>
      <c r="J20" s="21"/>
      <c r="K20" s="23"/>
      <c r="L20" s="23"/>
      <c r="M20" s="22"/>
      <c r="N20" s="22"/>
      <c r="O20" s="21"/>
      <c r="P20" s="23"/>
    </row>
    <row r="21" customFormat="false" ht="31.5" hidden="false" customHeight="true" outlineLevel="0" collapsed="false">
      <c r="A21" s="21"/>
      <c r="B21" s="22"/>
      <c r="C21" s="23"/>
      <c r="D21" s="23"/>
      <c r="E21" s="21"/>
      <c r="F21" s="23"/>
      <c r="G21" s="21"/>
      <c r="H21" s="21"/>
      <c r="I21" s="21"/>
      <c r="J21" s="21"/>
      <c r="K21" s="23"/>
      <c r="L21" s="23"/>
      <c r="M21" s="22"/>
      <c r="N21" s="22"/>
      <c r="O21" s="21"/>
      <c r="P21" s="23"/>
    </row>
    <row r="22" customFormat="false" ht="31.5" hidden="false" customHeight="true" outlineLevel="0" collapsed="false">
      <c r="A22" s="21"/>
      <c r="B22" s="22"/>
      <c r="C22" s="23"/>
      <c r="D22" s="23"/>
      <c r="E22" s="21"/>
      <c r="F22" s="23"/>
      <c r="G22" s="21"/>
      <c r="H22" s="21"/>
      <c r="I22" s="21"/>
      <c r="J22" s="21"/>
      <c r="K22" s="23"/>
      <c r="L22" s="23"/>
      <c r="M22" s="22"/>
      <c r="N22" s="22"/>
      <c r="O22" s="21"/>
      <c r="P22" s="23"/>
    </row>
    <row r="23" customFormat="false" ht="31.5" hidden="false" customHeight="true" outlineLevel="0" collapsed="false">
      <c r="A23" s="21"/>
      <c r="B23" s="22"/>
      <c r="C23" s="23"/>
      <c r="D23" s="23"/>
      <c r="E23" s="21"/>
      <c r="F23" s="23"/>
      <c r="G23" s="21"/>
      <c r="H23" s="21"/>
      <c r="I23" s="21"/>
      <c r="J23" s="21"/>
      <c r="K23" s="23"/>
      <c r="L23" s="23"/>
      <c r="M23" s="22"/>
      <c r="N23" s="22"/>
      <c r="O23" s="21"/>
      <c r="P23" s="23"/>
    </row>
    <row r="24" customFormat="false" ht="31.5" hidden="false" customHeight="true" outlineLevel="0" collapsed="false">
      <c r="A24" s="21"/>
      <c r="B24" s="22"/>
      <c r="C24" s="23"/>
      <c r="D24" s="23"/>
      <c r="E24" s="21"/>
      <c r="F24" s="23"/>
      <c r="G24" s="21"/>
      <c r="H24" s="21"/>
      <c r="I24" s="21"/>
      <c r="J24" s="21"/>
      <c r="K24" s="23"/>
      <c r="L24" s="23"/>
      <c r="M24" s="22"/>
      <c r="N24" s="22"/>
      <c r="O24" s="21"/>
      <c r="P24" s="23"/>
    </row>
    <row r="25" customFormat="false" ht="31.5" hidden="false" customHeight="true" outlineLevel="0" collapsed="false">
      <c r="A25" s="21"/>
      <c r="B25" s="22"/>
      <c r="C25" s="23"/>
      <c r="D25" s="23"/>
      <c r="E25" s="21"/>
      <c r="F25" s="23"/>
      <c r="G25" s="21"/>
      <c r="H25" s="21"/>
      <c r="I25" s="21"/>
      <c r="J25" s="21"/>
      <c r="K25" s="23"/>
      <c r="L25" s="23"/>
      <c r="M25" s="22"/>
      <c r="N25" s="22"/>
      <c r="O25" s="21"/>
      <c r="P25" s="23"/>
    </row>
    <row r="26" customFormat="false" ht="31.5" hidden="false" customHeight="true" outlineLevel="0" collapsed="false">
      <c r="A26" s="21"/>
      <c r="B26" s="22"/>
      <c r="C26" s="23"/>
      <c r="D26" s="23"/>
      <c r="E26" s="21"/>
      <c r="F26" s="23"/>
      <c r="G26" s="21"/>
      <c r="H26" s="21"/>
      <c r="I26" s="21"/>
      <c r="J26" s="21"/>
      <c r="K26" s="23"/>
      <c r="L26" s="23"/>
      <c r="M26" s="22"/>
      <c r="N26" s="22"/>
      <c r="O26" s="21"/>
      <c r="P26" s="23"/>
    </row>
    <row r="27" customFormat="false" ht="31.5" hidden="false" customHeight="true" outlineLevel="0" collapsed="false">
      <c r="A27" s="21"/>
      <c r="B27" s="22"/>
      <c r="C27" s="23"/>
      <c r="D27" s="23"/>
      <c r="E27" s="21"/>
      <c r="F27" s="23"/>
      <c r="G27" s="21"/>
      <c r="H27" s="21"/>
      <c r="I27" s="21"/>
      <c r="J27" s="21"/>
      <c r="K27" s="23"/>
      <c r="L27" s="23"/>
      <c r="M27" s="22"/>
      <c r="N27" s="22"/>
      <c r="O27" s="21"/>
      <c r="P27" s="23"/>
    </row>
    <row r="28" customFormat="false" ht="31.5" hidden="false" customHeight="true" outlineLevel="0" collapsed="false">
      <c r="A28" s="21"/>
      <c r="B28" s="22"/>
      <c r="C28" s="23"/>
      <c r="D28" s="23"/>
      <c r="E28" s="21"/>
      <c r="F28" s="23"/>
      <c r="G28" s="21"/>
      <c r="H28" s="21"/>
      <c r="I28" s="21"/>
      <c r="J28" s="21"/>
      <c r="K28" s="23"/>
      <c r="L28" s="23"/>
      <c r="M28" s="22"/>
      <c r="N28" s="22"/>
      <c r="O28" s="21"/>
      <c r="P28" s="23"/>
    </row>
    <row r="29" customFormat="false" ht="31.5" hidden="false" customHeight="true" outlineLevel="0" collapsed="false">
      <c r="A29" s="21"/>
      <c r="B29" s="22"/>
      <c r="C29" s="23"/>
      <c r="D29" s="23"/>
      <c r="E29" s="21"/>
      <c r="F29" s="23"/>
      <c r="G29" s="21"/>
      <c r="H29" s="21"/>
      <c r="I29" s="21"/>
      <c r="J29" s="21"/>
      <c r="K29" s="23"/>
      <c r="L29" s="23"/>
      <c r="M29" s="22"/>
      <c r="N29" s="22"/>
      <c r="O29" s="21"/>
      <c r="P29" s="23"/>
    </row>
    <row r="30" customFormat="false" ht="31.5" hidden="false" customHeight="true" outlineLevel="0" collapsed="false">
      <c r="A30" s="21"/>
      <c r="B30" s="22"/>
      <c r="C30" s="23"/>
      <c r="D30" s="23"/>
      <c r="E30" s="21"/>
      <c r="F30" s="23"/>
      <c r="G30" s="21"/>
      <c r="H30" s="21"/>
      <c r="I30" s="21"/>
      <c r="J30" s="21"/>
      <c r="K30" s="23"/>
      <c r="L30" s="23"/>
      <c r="M30" s="22"/>
      <c r="N30" s="22"/>
      <c r="O30" s="21"/>
      <c r="P30" s="23"/>
    </row>
    <row r="31" customFormat="false" ht="31.5" hidden="false" customHeight="true" outlineLevel="0" collapsed="false">
      <c r="A31" s="21"/>
      <c r="B31" s="22"/>
      <c r="C31" s="23"/>
      <c r="D31" s="23"/>
      <c r="E31" s="21"/>
      <c r="F31" s="23"/>
      <c r="G31" s="21"/>
      <c r="H31" s="21"/>
      <c r="I31" s="21"/>
      <c r="J31" s="21"/>
      <c r="K31" s="23"/>
      <c r="L31" s="23"/>
      <c r="M31" s="22"/>
      <c r="N31" s="22"/>
      <c r="O31" s="21"/>
      <c r="P31" s="23"/>
    </row>
    <row r="32" customFormat="false" ht="31.5" hidden="false" customHeight="true" outlineLevel="0" collapsed="false">
      <c r="A32" s="21"/>
      <c r="B32" s="22"/>
      <c r="C32" s="23"/>
      <c r="D32" s="23"/>
      <c r="E32" s="21"/>
      <c r="F32" s="23"/>
      <c r="G32" s="21"/>
      <c r="H32" s="21"/>
      <c r="I32" s="21"/>
      <c r="J32" s="21"/>
      <c r="K32" s="23"/>
      <c r="L32" s="23"/>
      <c r="M32" s="22"/>
      <c r="N32" s="22"/>
      <c r="O32" s="21"/>
      <c r="P32" s="23"/>
    </row>
    <row r="33" customFormat="false" ht="31.5" hidden="false" customHeight="true" outlineLevel="0" collapsed="false">
      <c r="A33" s="21"/>
      <c r="B33" s="22"/>
      <c r="C33" s="23"/>
      <c r="D33" s="23"/>
      <c r="E33" s="21"/>
      <c r="F33" s="23"/>
      <c r="G33" s="21"/>
      <c r="H33" s="21"/>
      <c r="I33" s="21"/>
      <c r="J33" s="21"/>
      <c r="K33" s="23"/>
      <c r="L33" s="23"/>
      <c r="M33" s="22"/>
      <c r="N33" s="22"/>
      <c r="O33" s="21"/>
      <c r="P33" s="23"/>
    </row>
    <row r="34" customFormat="false" ht="31.5" hidden="false" customHeight="true" outlineLevel="0" collapsed="false">
      <c r="A34" s="21"/>
      <c r="B34" s="22"/>
      <c r="C34" s="23"/>
      <c r="D34" s="23"/>
      <c r="E34" s="21"/>
      <c r="F34" s="23"/>
      <c r="G34" s="21"/>
      <c r="H34" s="21"/>
      <c r="I34" s="21"/>
      <c r="J34" s="21"/>
      <c r="K34" s="23"/>
      <c r="L34" s="23"/>
      <c r="M34" s="22"/>
      <c r="N34" s="22"/>
      <c r="O34" s="21"/>
      <c r="P34" s="23"/>
    </row>
    <row r="35" customFormat="false" ht="31.5" hidden="false" customHeight="true" outlineLevel="0" collapsed="false">
      <c r="A35" s="21"/>
      <c r="B35" s="22"/>
      <c r="C35" s="23"/>
      <c r="D35" s="23"/>
      <c r="E35" s="21"/>
      <c r="F35" s="23"/>
      <c r="G35" s="21"/>
      <c r="H35" s="21"/>
      <c r="I35" s="21"/>
      <c r="J35" s="21"/>
      <c r="K35" s="23"/>
      <c r="L35" s="23"/>
      <c r="M35" s="22"/>
      <c r="N35" s="22"/>
      <c r="O35" s="21"/>
      <c r="P35" s="23"/>
    </row>
    <row r="36" customFormat="false" ht="31.5" hidden="false" customHeight="true" outlineLevel="0" collapsed="false">
      <c r="A36" s="21"/>
      <c r="B36" s="22"/>
      <c r="C36" s="23"/>
      <c r="D36" s="23"/>
      <c r="E36" s="21"/>
      <c r="F36" s="23"/>
      <c r="G36" s="21"/>
      <c r="H36" s="21"/>
      <c r="I36" s="21"/>
      <c r="J36" s="21"/>
      <c r="K36" s="23"/>
      <c r="L36" s="23"/>
      <c r="M36" s="22"/>
      <c r="N36" s="22"/>
      <c r="O36" s="21"/>
      <c r="P36" s="23"/>
    </row>
    <row r="37" customFormat="false" ht="31.5" hidden="false" customHeight="true" outlineLevel="0" collapsed="false">
      <c r="A37" s="21"/>
      <c r="B37" s="22"/>
      <c r="C37" s="23"/>
      <c r="D37" s="23"/>
      <c r="E37" s="21"/>
      <c r="F37" s="23"/>
      <c r="G37" s="21"/>
      <c r="H37" s="21"/>
      <c r="I37" s="21"/>
      <c r="J37" s="21"/>
      <c r="K37" s="23"/>
      <c r="L37" s="23"/>
      <c r="M37" s="22"/>
      <c r="N37" s="22"/>
      <c r="O37" s="21"/>
      <c r="P37" s="23"/>
    </row>
    <row r="38" customFormat="false" ht="31.5" hidden="false" customHeight="true" outlineLevel="0" collapsed="false">
      <c r="A38" s="21"/>
      <c r="B38" s="22"/>
      <c r="C38" s="23"/>
      <c r="D38" s="23"/>
      <c r="E38" s="21"/>
      <c r="F38" s="23"/>
      <c r="G38" s="21"/>
      <c r="H38" s="21"/>
      <c r="I38" s="21"/>
      <c r="J38" s="21"/>
      <c r="K38" s="23"/>
      <c r="L38" s="23"/>
      <c r="M38" s="22"/>
      <c r="N38" s="22"/>
      <c r="O38" s="21"/>
      <c r="P38" s="23"/>
    </row>
    <row r="39" customFormat="false" ht="31.5" hidden="false" customHeight="true" outlineLevel="0" collapsed="false">
      <c r="A39" s="21"/>
      <c r="B39" s="22"/>
      <c r="C39" s="23"/>
      <c r="D39" s="23"/>
      <c r="E39" s="21"/>
      <c r="F39" s="23"/>
      <c r="G39" s="21"/>
      <c r="H39" s="21"/>
      <c r="I39" s="21"/>
      <c r="J39" s="21"/>
      <c r="K39" s="23"/>
      <c r="L39" s="23"/>
      <c r="M39" s="22"/>
      <c r="N39" s="22"/>
      <c r="O39" s="21"/>
      <c r="P39" s="23"/>
    </row>
    <row r="40" customFormat="false" ht="31.5" hidden="false" customHeight="true" outlineLevel="0" collapsed="false">
      <c r="A40" s="21"/>
      <c r="B40" s="22"/>
      <c r="C40" s="23"/>
      <c r="D40" s="23"/>
      <c r="E40" s="21"/>
      <c r="F40" s="23"/>
      <c r="G40" s="21"/>
      <c r="H40" s="21"/>
      <c r="I40" s="21"/>
      <c r="J40" s="21"/>
      <c r="K40" s="23"/>
      <c r="L40" s="23"/>
      <c r="M40" s="22"/>
      <c r="N40" s="22"/>
      <c r="O40" s="21"/>
      <c r="P40" s="23"/>
    </row>
    <row r="41" customFormat="false" ht="31.5" hidden="false" customHeight="true" outlineLevel="0" collapsed="false">
      <c r="A41" s="21"/>
      <c r="B41" s="22"/>
      <c r="C41" s="23"/>
      <c r="D41" s="23"/>
      <c r="E41" s="21"/>
      <c r="F41" s="23"/>
      <c r="G41" s="21"/>
      <c r="H41" s="21"/>
      <c r="I41" s="21"/>
      <c r="J41" s="21"/>
      <c r="K41" s="23"/>
      <c r="L41" s="23"/>
      <c r="M41" s="22"/>
      <c r="N41" s="22"/>
      <c r="O41" s="21"/>
      <c r="P41" s="23"/>
    </row>
    <row r="42" customFormat="false" ht="31.5" hidden="false" customHeight="true" outlineLevel="0" collapsed="false">
      <c r="A42" s="21"/>
      <c r="B42" s="22"/>
      <c r="C42" s="23"/>
      <c r="D42" s="23"/>
      <c r="E42" s="21"/>
      <c r="F42" s="23"/>
      <c r="G42" s="21"/>
      <c r="H42" s="21"/>
      <c r="I42" s="21"/>
      <c r="J42" s="21"/>
      <c r="K42" s="23"/>
      <c r="L42" s="23"/>
      <c r="M42" s="22"/>
      <c r="N42" s="22"/>
      <c r="O42" s="21"/>
      <c r="P42" s="23"/>
    </row>
    <row r="43" customFormat="false" ht="31.5" hidden="false" customHeight="true" outlineLevel="0" collapsed="false">
      <c r="A43" s="21"/>
      <c r="B43" s="22"/>
      <c r="C43" s="23"/>
      <c r="D43" s="23"/>
      <c r="E43" s="21"/>
      <c r="F43" s="23"/>
      <c r="G43" s="21"/>
      <c r="H43" s="21"/>
      <c r="I43" s="21"/>
      <c r="J43" s="21"/>
      <c r="K43" s="23"/>
      <c r="L43" s="23"/>
      <c r="M43" s="22"/>
      <c r="N43" s="22"/>
      <c r="O43" s="21"/>
      <c r="P43" s="23"/>
    </row>
    <row r="44" customFormat="false" ht="31.5" hidden="false" customHeight="true" outlineLevel="0" collapsed="false">
      <c r="A44" s="21"/>
      <c r="B44" s="22"/>
      <c r="C44" s="23"/>
      <c r="D44" s="23"/>
      <c r="E44" s="21"/>
      <c r="F44" s="23"/>
      <c r="G44" s="21"/>
      <c r="H44" s="21"/>
      <c r="I44" s="21"/>
      <c r="J44" s="21"/>
      <c r="K44" s="23"/>
      <c r="L44" s="23"/>
      <c r="M44" s="22"/>
      <c r="N44" s="22"/>
      <c r="O44" s="21"/>
      <c r="P44" s="23"/>
    </row>
    <row r="45" customFormat="false" ht="31.5" hidden="false" customHeight="true" outlineLevel="0" collapsed="false">
      <c r="A45" s="21"/>
      <c r="B45" s="22"/>
      <c r="C45" s="23"/>
      <c r="D45" s="23"/>
      <c r="E45" s="21"/>
      <c r="F45" s="23"/>
      <c r="G45" s="21"/>
      <c r="H45" s="21"/>
      <c r="I45" s="21"/>
      <c r="J45" s="21"/>
      <c r="K45" s="23"/>
      <c r="L45" s="23"/>
      <c r="M45" s="22"/>
      <c r="N45" s="22"/>
      <c r="O45" s="21"/>
      <c r="P45" s="23"/>
    </row>
    <row r="46" customFormat="false" ht="31.5" hidden="false" customHeight="true" outlineLevel="0" collapsed="false">
      <c r="A46" s="21"/>
      <c r="B46" s="22"/>
      <c r="C46" s="23"/>
      <c r="D46" s="23"/>
      <c r="E46" s="21"/>
      <c r="F46" s="23"/>
      <c r="G46" s="21"/>
      <c r="H46" s="21"/>
      <c r="I46" s="21"/>
      <c r="J46" s="21"/>
      <c r="K46" s="23"/>
      <c r="L46" s="23"/>
      <c r="M46" s="22"/>
      <c r="N46" s="22"/>
      <c r="O46" s="21"/>
      <c r="P46" s="23"/>
    </row>
    <row r="47" customFormat="false" ht="31.5" hidden="false" customHeight="true" outlineLevel="0" collapsed="false">
      <c r="A47" s="21"/>
      <c r="B47" s="22"/>
      <c r="C47" s="23"/>
      <c r="D47" s="23"/>
      <c r="E47" s="21"/>
      <c r="F47" s="23"/>
      <c r="G47" s="21"/>
      <c r="H47" s="21"/>
      <c r="I47" s="21"/>
      <c r="J47" s="21"/>
      <c r="K47" s="23"/>
      <c r="L47" s="23"/>
      <c r="M47" s="22"/>
      <c r="N47" s="22"/>
      <c r="O47" s="21"/>
      <c r="P47" s="23"/>
    </row>
    <row r="48" customFormat="false" ht="31.5" hidden="false" customHeight="true" outlineLevel="0" collapsed="false">
      <c r="A48" s="21"/>
      <c r="B48" s="22"/>
      <c r="C48" s="23"/>
      <c r="D48" s="23"/>
      <c r="E48" s="21"/>
      <c r="F48" s="23"/>
      <c r="G48" s="21"/>
      <c r="H48" s="21"/>
      <c r="I48" s="21"/>
      <c r="J48" s="21"/>
      <c r="K48" s="23"/>
      <c r="L48" s="23"/>
      <c r="M48" s="22"/>
      <c r="N48" s="22"/>
      <c r="O48" s="21"/>
      <c r="P48" s="23"/>
    </row>
    <row r="49" customFormat="false" ht="31.5" hidden="false" customHeight="true" outlineLevel="0" collapsed="false">
      <c r="A49" s="21"/>
      <c r="B49" s="22"/>
      <c r="C49" s="23"/>
      <c r="D49" s="23"/>
      <c r="E49" s="21"/>
      <c r="F49" s="23"/>
      <c r="G49" s="21"/>
      <c r="H49" s="21"/>
      <c r="I49" s="21"/>
      <c r="J49" s="21"/>
      <c r="K49" s="23"/>
      <c r="L49" s="23"/>
      <c r="M49" s="22"/>
      <c r="N49" s="22"/>
      <c r="O49" s="21"/>
      <c r="P49" s="23"/>
    </row>
    <row r="50" customFormat="false" ht="31.5" hidden="false" customHeight="true" outlineLevel="0" collapsed="false">
      <c r="A50" s="21"/>
      <c r="B50" s="22"/>
      <c r="C50" s="23"/>
      <c r="D50" s="23"/>
      <c r="E50" s="21"/>
      <c r="F50" s="23"/>
      <c r="G50" s="21"/>
      <c r="H50" s="21"/>
      <c r="I50" s="21"/>
      <c r="J50" s="21"/>
      <c r="K50" s="23"/>
      <c r="L50" s="23"/>
      <c r="M50" s="22"/>
      <c r="N50" s="22"/>
      <c r="O50" s="21"/>
      <c r="P50" s="23"/>
    </row>
    <row r="51" customFormat="false" ht="31.5" hidden="false" customHeight="true" outlineLevel="0" collapsed="false">
      <c r="A51" s="21"/>
      <c r="B51" s="22"/>
      <c r="C51" s="23"/>
      <c r="D51" s="23"/>
      <c r="E51" s="21"/>
      <c r="F51" s="23"/>
      <c r="G51" s="21"/>
      <c r="H51" s="21"/>
      <c r="I51" s="21"/>
      <c r="J51" s="21"/>
      <c r="K51" s="23"/>
      <c r="L51" s="23"/>
      <c r="M51" s="22"/>
      <c r="N51" s="22"/>
      <c r="O51" s="21"/>
      <c r="P51" s="23"/>
    </row>
    <row r="52" customFormat="false" ht="31.5" hidden="false" customHeight="true" outlineLevel="0" collapsed="false">
      <c r="A52" s="21"/>
      <c r="B52" s="22"/>
      <c r="C52" s="23"/>
      <c r="D52" s="23"/>
      <c r="E52" s="21"/>
      <c r="F52" s="23"/>
      <c r="G52" s="21"/>
      <c r="H52" s="21"/>
      <c r="I52" s="21"/>
      <c r="J52" s="21"/>
      <c r="K52" s="23"/>
      <c r="L52" s="23"/>
      <c r="M52" s="22"/>
      <c r="N52" s="22"/>
      <c r="O52" s="21"/>
      <c r="P52" s="23"/>
    </row>
    <row r="53" customFormat="false" ht="31.5" hidden="false" customHeight="true" outlineLevel="0" collapsed="false">
      <c r="A53" s="21"/>
      <c r="B53" s="22"/>
      <c r="C53" s="23"/>
      <c r="D53" s="23"/>
      <c r="E53" s="21"/>
      <c r="F53" s="23"/>
      <c r="G53" s="21"/>
      <c r="H53" s="21"/>
      <c r="I53" s="21"/>
      <c r="J53" s="21"/>
      <c r="K53" s="23"/>
      <c r="L53" s="23"/>
      <c r="M53" s="22"/>
      <c r="N53" s="22"/>
      <c r="O53" s="21"/>
      <c r="P53" s="23"/>
    </row>
    <row r="54" customFormat="false" ht="31.5" hidden="false" customHeight="true" outlineLevel="0" collapsed="false">
      <c r="A54" s="21"/>
      <c r="B54" s="22"/>
      <c r="C54" s="23"/>
      <c r="D54" s="23"/>
      <c r="E54" s="21"/>
      <c r="F54" s="23"/>
      <c r="G54" s="21"/>
      <c r="H54" s="21"/>
      <c r="I54" s="21"/>
      <c r="J54" s="21"/>
      <c r="K54" s="23"/>
      <c r="L54" s="23"/>
      <c r="M54" s="22"/>
      <c r="N54" s="22"/>
      <c r="O54" s="21"/>
      <c r="P54" s="23"/>
    </row>
    <row r="55" customFormat="false" ht="31.5" hidden="false" customHeight="true" outlineLevel="0" collapsed="false">
      <c r="A55" s="21"/>
      <c r="B55" s="22"/>
      <c r="C55" s="23"/>
      <c r="D55" s="23"/>
      <c r="E55" s="21"/>
      <c r="F55" s="23"/>
      <c r="G55" s="21"/>
      <c r="H55" s="21"/>
      <c r="I55" s="21"/>
      <c r="J55" s="21"/>
      <c r="K55" s="23"/>
      <c r="L55" s="23"/>
      <c r="M55" s="22"/>
      <c r="N55" s="22"/>
      <c r="O55" s="21"/>
      <c r="P55" s="23"/>
    </row>
    <row r="56" customFormat="false" ht="31.5" hidden="false" customHeight="true" outlineLevel="0" collapsed="false">
      <c r="A56" s="21"/>
      <c r="B56" s="22"/>
      <c r="C56" s="23"/>
      <c r="D56" s="23"/>
      <c r="E56" s="21"/>
      <c r="F56" s="23"/>
      <c r="G56" s="21"/>
      <c r="H56" s="21"/>
      <c r="I56" s="21"/>
      <c r="J56" s="21"/>
      <c r="K56" s="23"/>
      <c r="L56" s="23"/>
      <c r="M56" s="22"/>
      <c r="N56" s="22"/>
      <c r="O56" s="21"/>
      <c r="P56" s="23"/>
    </row>
    <row r="57" customFormat="false" ht="31.5" hidden="false" customHeight="true" outlineLevel="0" collapsed="false">
      <c r="A57" s="21"/>
      <c r="B57" s="22"/>
      <c r="C57" s="23"/>
      <c r="D57" s="23"/>
      <c r="E57" s="21"/>
      <c r="F57" s="23"/>
      <c r="G57" s="21"/>
      <c r="H57" s="21"/>
      <c r="I57" s="21"/>
      <c r="J57" s="21"/>
      <c r="K57" s="23"/>
      <c r="L57" s="23"/>
      <c r="M57" s="22"/>
      <c r="N57" s="22"/>
      <c r="O57" s="21"/>
      <c r="P57" s="23"/>
    </row>
    <row r="58" customFormat="false" ht="31.5" hidden="false" customHeight="true" outlineLevel="0" collapsed="false">
      <c r="A58" s="21"/>
      <c r="B58" s="22"/>
      <c r="C58" s="23"/>
      <c r="D58" s="23"/>
      <c r="E58" s="21"/>
      <c r="F58" s="23"/>
      <c r="G58" s="21"/>
      <c r="H58" s="21"/>
      <c r="I58" s="21"/>
      <c r="J58" s="21"/>
      <c r="K58" s="23"/>
      <c r="L58" s="23"/>
      <c r="M58" s="22"/>
      <c r="N58" s="22"/>
      <c r="O58" s="21"/>
      <c r="P58" s="23"/>
    </row>
  </sheetData>
  <autoFilter ref="A8:P8"/>
  <mergeCells count="2">
    <mergeCell ref="A1:C1"/>
    <mergeCell ref="K7:P7"/>
  </mergeCells>
  <conditionalFormatting sqref="H9:H508">
    <cfRule type="expression" priority="2" aboveAverage="0" equalAverage="0" bottom="0" percent="0" rank="0" text="" dxfId="3">
      <formula>$H9="Approved"</formula>
    </cfRule>
    <cfRule type="expression" priority="3" aboveAverage="0" equalAverage="0" bottom="0" percent="0" rank="0" text="" dxfId="4">
      <formula>$H9="In Progress"</formula>
    </cfRule>
    <cfRule type="expression" priority="4" aboveAverage="0" equalAverage="0" bottom="0" percent="0" rank="0" text="" dxfId="5">
      <formula>$H9="Not Started"</formula>
    </cfRule>
  </conditionalFormatting>
  <conditionalFormatting sqref="I9:I508">
    <cfRule type="expression" priority="5" aboveAverage="0" equalAverage="0" bottom="0" percent="0" rank="0" text="" dxfId="3">
      <formula>$I9="Installed"</formula>
    </cfRule>
    <cfRule type="expression" priority="6" aboveAverage="0" equalAverage="0" bottom="0" percent="0" rank="0" text="" dxfId="4">
      <formula>$I9="In Progress"</formula>
    </cfRule>
    <cfRule type="expression" priority="7" aboveAverage="0" equalAverage="0" bottom="0" percent="0" rank="0" text="" dxfId="5">
      <formula>$I9="Not Installed"</formula>
    </cfRule>
    <cfRule type="expression" priority="8" aboveAverage="0" equalAverage="0" bottom="0" percent="0" rank="0" text="" dxfId="6">
      <formula>$I9="Removed"</formula>
    </cfRule>
  </conditionalFormatting>
  <conditionalFormatting sqref="J9:J508">
    <cfRule type="expression" priority="9" aboveAverage="0" equalAverage="0" bottom="0" percent="0" rank="0" text="" dxfId="5">
      <formula>AND($I9="Installed",$J9="No")</formula>
    </cfRule>
  </conditionalFormatting>
  <conditionalFormatting sqref="A9:J508">
    <cfRule type="expression" priority="10" aboveAverage="0" equalAverage="0" bottom="0" percent="0" rank="0" text="" dxfId="5">
      <formula>AND($I9="Installed",$J9="No")</formula>
    </cfRule>
  </conditionalFormatting>
  <conditionalFormatting sqref="O9:O508">
    <cfRule type="expression" priority="11" aboveAverage="0" equalAverage="0" bottom="0" percent="0" rank="0" text="" dxfId="5">
      <formula>$O9="High"</formula>
    </cfRule>
    <cfRule type="expression" priority="12" aboveAverage="0" equalAverage="0" bottom="0" percent="0" rank="0" text="" dxfId="4">
      <formula>$O9="Medium"</formula>
    </cfRule>
    <cfRule type="expression" priority="13" aboveAverage="0" equalAverage="0" bottom="0" percent="0" rank="0" text="" dxfId="3">
      <formula>$O9="Low"</formula>
    </cfRule>
  </conditionalFormatting>
  <dataValidations count="7">
    <dataValidation allowBlank="true" errorStyle="stop" operator="between" prompt="Select TW category" showDropDown="false" showErrorMessage="false" showInputMessage="false" sqref="E9:E508" type="list">
      <formula1>"Propping,Shoring,Falsework,Formwork,Hoarding,Scaffolding,Cofferdam,Temporary Access,Dewatering,Other"</formula1>
      <formula2>0</formula2>
    </dataValidation>
    <dataValidation allowBlank="true" errorStyle="stop" operator="between" showDropDown="false" showErrorMessage="false" showInputMessage="false" sqref="G9:G508" type="list">
      <formula1>"Yes,No"</formula1>
      <formula2>0</formula2>
    </dataValidation>
    <dataValidation allowBlank="true" errorStyle="stop" operator="between" showDropDown="false" showErrorMessage="false" showInputMessage="false" sqref="J9:J508" type="list">
      <formula1>"Yes,No"</formula1>
      <formula2>0</formula2>
    </dataValidation>
    <dataValidation allowBlank="true" errorStyle="stop" operator="between" prompt="Select design status" showDropDown="false" showErrorMessage="false" showInputMessage="false" sqref="H9:H508" type="list">
      <formula1>"Not Started,In Progress,Approved,N/A"</formula1>
      <formula2>0</formula2>
    </dataValidation>
    <dataValidation allowBlank="true" errorStyle="stop" operator="between" prompt="Select installation status" showDropDown="false" showErrorMessage="false" showInputMessage="false" sqref="I9:I508" type="list">
      <formula1>"Not Installed,In Progress,Installed,Removed"</formula1>
      <formula2>0</formula2>
    </dataValidation>
    <dataValidation allowBlank="true" errorStyle="stop" operator="between" showDropDown="false" showErrorMessage="false" showInputMessage="false" sqref="O9:O508" type="list">
      <formula1>"Low,Medium,High"</formula1>
      <formula2>0</formula2>
    </dataValidation>
    <dataValidation allowBlank="true" errorStyle="stop" operator="between" showDropDown="false" showErrorMessage="false" showInputMessage="false" sqref="B9:B508 M9:N508"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&amp;CTemporary Works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5" hidden="false" customHeight="false" outlineLevel="0" collapsed="false">
      <c r="A1" s="24" t="s">
        <v>112</v>
      </c>
    </row>
    <row r="2" customFormat="false" ht="15" hidden="false" customHeight="false" outlineLevel="0" collapsed="false">
      <c r="A2" s="24"/>
    </row>
    <row r="3" customFormat="false" ht="15" hidden="false" customHeight="false" outlineLevel="0" collapsed="false">
      <c r="A3" s="24" t="s">
        <v>113</v>
      </c>
    </row>
    <row r="4" customFormat="false" ht="15" hidden="false" customHeight="false" outlineLevel="0" collapsed="false">
      <c r="A4" s="24"/>
    </row>
    <row r="5" customFormat="false" ht="15" hidden="false" customHeight="false" outlineLevel="0" collapsed="false">
      <c r="A5" s="24" t="s">
        <v>114</v>
      </c>
    </row>
    <row r="6" customFormat="false" ht="15" hidden="false" customHeight="false" outlineLevel="0" collapsed="false">
      <c r="A6" s="24"/>
    </row>
    <row r="7" customFormat="false" ht="15" hidden="false" customHeight="false" outlineLevel="0" collapsed="false">
      <c r="A7" s="24" t="s">
        <v>115</v>
      </c>
    </row>
    <row r="8" customFormat="false" ht="15" hidden="false" customHeight="false" outlineLevel="0" collapsed="false">
      <c r="A8" s="24"/>
    </row>
    <row r="9" customFormat="false" ht="15" hidden="false" customHeight="false" outlineLevel="0" collapsed="false">
      <c r="A9" s="24" t="s">
        <v>116</v>
      </c>
    </row>
    <row r="10" customFormat="false" ht="15" hidden="false" customHeight="false" outlineLevel="0" collapsed="false">
      <c r="A10" s="24"/>
    </row>
    <row r="11" customFormat="false" ht="15" hidden="false" customHeight="false" outlineLevel="0" collapsed="false">
      <c r="A11" s="24" t="s">
        <v>117</v>
      </c>
    </row>
    <row r="12" customFormat="false" ht="15" hidden="false" customHeight="false" outlineLevel="0" collapsed="false">
      <c r="A12" s="24"/>
    </row>
    <row r="13" customFormat="false" ht="15" hidden="false" customHeight="false" outlineLevel="0" collapsed="false">
      <c r="A13" s="24" t="s">
        <v>118</v>
      </c>
    </row>
    <row r="14" customFormat="false" ht="15" hidden="false" customHeight="false" outlineLevel="0" collapsed="false">
      <c r="A14" s="24"/>
    </row>
    <row r="15" customFormat="false" ht="15" hidden="false" customHeight="false" outlineLevel="0" collapsed="false">
      <c r="A15" s="24" t="s">
        <v>119</v>
      </c>
    </row>
    <row r="16" customFormat="false" ht="15" hidden="false" customHeight="false" outlineLevel="0" collapsed="false">
      <c r="A16" s="24"/>
    </row>
    <row r="17" customFormat="false" ht="15" hidden="false" customHeight="false" outlineLevel="0" collapsed="false">
      <c r="A17" s="24"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Health &amp; Safety</cp:category>
  <dcterms:created xsi:type="dcterms:W3CDTF">2026-03-22T17:17:06Z</dcterms:created>
  <dc:creator>Ebrora Ltd</dc:creator>
  <dc:description>Manage all temporary works on site with design status tracking, installation monitoring, permit to load compliance, risk level assessment, and category breakdown. Designed for UK construction site managers, temporary works coordinators, and project engineers.
Free professional construction management template from Ebrora Ltd. Visit ebrora.com for our full range of tools and templates.</dc:description>
  <cp:keywords>Ebrora construction temporary works BS 5975 TWC propping falsework formwork permit to load health and safety site management</cp:keywords>
  <dc:language>en-US</dc:language>
  <cp:lastModifiedBy>Ebrora Ltd</cp:lastModifiedBy>
  <dcterms:modified xsi:type="dcterms:W3CDTF">2026-03-22T17:17:06Z</dcterms:modified>
  <cp:revision>0</cp:revision>
  <dc:subject>Register for managing all temporary works on construction sites in compliance with BS 5975:2019.</dc:subject>
  <dc:title>Temporary Works Register</dc:title>
</cp:coreProperties>
</file>

<file path=docProps/custom.xml><?xml version="1.0" encoding="utf-8"?>
<Properties xmlns="http://schemas.openxmlformats.org/officeDocument/2006/custom-properties" xmlns:vt="http://schemas.openxmlformats.org/officeDocument/2006/docPropsVTypes"/>
</file>