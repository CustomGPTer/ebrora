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SHH Assessment Register" sheetId="3" state="visible" r:id="rId5"/>
    <sheet name="Terms of Use" sheetId="4" state="hidden" r:id="rId6"/>
  </sheets>
  <definedNames>
    <definedName function="false" hidden="false" localSheetId="2" name="_xlnm.Print_Area" vbProcedure="false">'COSHH Assessment Register'!$A$1:$J$57</definedName>
    <definedName function="false" hidden="true" localSheetId="2" name="_xlnm._FilterDatabase" vbProcedure="false">'COSHH Assessment Register'!$A$7:$J$7</definedName>
    <definedName function="false" hidden="false" localSheetId="0" name="_xlnm.Print_Area" vbProcedure="false">Cover!$A$1:$H$20</definedName>
    <definedName function="false" hidden="false" localSheetId="1" name="_xlnm.Print_Area" vbProcedure="false">Instructions!$A$1:$F$25</definedName>
    <definedName function="false" hidden="false" name="DataTable" vbProcedure="false">'COSHH Assessment Register'!$A$7:$J$507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<sst xmlns="http://schemas.openxmlformats.org/spreadsheetml/2006/main" count="110" uniqueCount="97">
  <si>
    <t xml:space="preserve">EBRORA</t>
  </si>
  <si>
    <t xml:space="preserve">ebrora.com</t>
  </si>
  <si>
    <t xml:space="preserve">COSHH Assessment Register</t>
  </si>
  <si>
    <t xml:space="preserve">Log and manage COSHH assessments for all hazardous substances on site — track hazards, controls, risk ratings, and review dates in one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</si>
  <si>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</si>
  <si>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</si>
  <si>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</si>
  <si>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</si>
  <si>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</si>
  <si>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“COSHH Assessment Register” tab. Each row records one COSHH assessment for a hazardous substance used on site.</t>
  </si>
  <si>
    <t xml:space="preserve">2.</t>
  </si>
  <si>
    <t xml:space="preserve">Enter the Date of Assessment and the full Substance / Product Name exactly as it appears on the container or safety data sheet (SDS).</t>
  </si>
  <si>
    <t xml:space="preserve">3.</t>
  </si>
  <si>
    <t xml:space="preserve">Record the Manufacturer and select the primary Hazard Type from the dropdown (e.g. Irritant, Corrosive, Toxic, Flammable). If a substance has multiple hazards, select the most significant one and note the others in the Control Measures column.</t>
  </si>
  <si>
    <t xml:space="preserve">4.</t>
  </si>
  <si>
    <t xml:space="preserve">Select the Risk Rating: Low (minor risk with basic controls), Medium (moderate risk requiring specific controls), or High (significant risk requiring strict controls and supervision).</t>
  </si>
  <si>
    <t xml:space="preserve">5.</t>
  </si>
  <si>
    <t xml:space="preserve">In the Control Measures column, describe the specific measures in place to manage the risk — e.g. ventilation, PPE, restricted access, substitution with a less hazardous product.</t>
  </si>
  <si>
    <t xml:space="preserve">6.</t>
  </si>
  <si>
    <t xml:space="preserve">Record the Location of Use on site and the name of the person who carried out the assessment.</t>
  </si>
  <si>
    <t xml:space="preserve">7.</t>
  </si>
  <si>
    <t xml:space="preserve">Set the Review Date. COSHH assessments must be reviewed regularly — typically annually, or sooner if the substance, process, or workplace changes. The register will flag overdue and upcoming reviews automatically.</t>
  </si>
  <si>
    <t xml:space="preserve">8.</t>
  </si>
  <si>
    <t xml:space="preserve">The summary dashboard at the top auto-calculates total assessments, risk breakdown, overdue reviews, reviews due soon, and a breakdown by hazard type.</t>
  </si>
  <si>
    <t xml:space="preserve">Colour Key</t>
  </si>
  <si>
    <t xml:space="preserve">•</t>
  </si>
  <si>
    <t xml:space="preserve">Light teal cells (#E8F6F7) = User input / editable fields. Type directly into these.</t>
  </si>
  <si>
    <t xml:space="preserve">Dark navy headers (#1B2A4A) = Column headers. Do not edit.</t>
  </si>
  <si>
    <t xml:space="preserve">Risk Rating row colours: Green = Low, Amber = Medium, Red = High.</t>
  </si>
  <si>
    <t xml:space="preserve">Red cell in Review Date = Review is overdue (date has passed).</t>
  </si>
  <si>
    <t xml:space="preserve">Amber cell in Review Date = Review is due within the next 30 days.</t>
  </si>
  <si>
    <t xml:space="preserve">Tips</t>
  </si>
  <si>
    <t xml:space="preserve">Under the Control of Substances Hazardous to Health Regulations 2002 (COSHH), employers must assess the risks from hazardous substances and put controls in place. This register helps you demonstrate compliance.</t>
  </si>
  <si>
    <t xml:space="preserve">Always obtain the safety data sheet (SDS) from the manufacturer or supplier before allowing any substance on site. Keep SDS copies in your site safety file.</t>
  </si>
  <si>
    <t xml:space="preserve">Review the register at least monthly. Filter by Risk Rating = High to prioritise the most critical substances, and check Review Date for any overdue assessments.</t>
  </si>
  <si>
    <t xml:space="preserve">COSHH ASSESSMENT REGISTER</t>
  </si>
  <si>
    <t xml:space="preserve">Total Assessments:</t>
  </si>
  <si>
    <t xml:space="preserve">Overdue Reviews:</t>
  </si>
  <si>
    <t xml:space="preserve">Low Risk:</t>
  </si>
  <si>
    <t xml:space="preserve">Medium Risk:</t>
  </si>
  <si>
    <t xml:space="preserve">High Risk:</t>
  </si>
  <si>
    <t xml:space="preserve">Reviews Due (30 days):</t>
  </si>
  <si>
    <t xml:space="preserve">High Risk %:</t>
  </si>
  <si>
    <t xml:space="preserve">Irritant:</t>
  </si>
  <si>
    <t xml:space="preserve">Corrosive:</t>
  </si>
  <si>
    <t xml:space="preserve">Toxic:</t>
  </si>
  <si>
    <t xml:space="preserve">Flammable:</t>
  </si>
  <si>
    <t xml:space="preserve">Harmful:</t>
  </si>
  <si>
    <t xml:space="preserve">Oxidising:</t>
  </si>
  <si>
    <t xml:space="preserve">Ref No.</t>
  </si>
  <si>
    <t xml:space="preserve">Date of Assessment</t>
  </si>
  <si>
    <t xml:space="preserve">Substance / Product Name</t>
  </si>
  <si>
    <t xml:space="preserve">Manufacturer</t>
  </si>
  <si>
    <t xml:space="preserve">Hazard Type</t>
  </si>
  <si>
    <t xml:space="preserve">Risk Rating</t>
  </si>
  <si>
    <t xml:space="preserve">Control Measures</t>
  </si>
  <si>
    <t xml:space="preserve">Location of Use</t>
  </si>
  <si>
    <t xml:space="preserve">Assessed By</t>
  </si>
  <si>
    <t xml:space="preserve">Review Date</t>
  </si>
  <si>
    <t xml:space="preserve">Sika MonoTop-610 Repair Mortar</t>
  </si>
  <si>
    <t xml:space="preserve">Sika Ltd</t>
  </si>
  <si>
    <t xml:space="preserve">Irritant</t>
  </si>
  <si>
    <t xml:space="preserve">Medium</t>
  </si>
  <si>
    <t xml:space="preserve">Wear nitrile gloves and safety goggles when mixing. Use in well-ventilated areas. Wash hands after use. Keep away from drains.</t>
  </si>
  <si>
    <t xml:space="preserve">Block A, Ground Floor, Concrete Repair Area</t>
  </si>
  <si>
    <t xml:space="preserve">M. Davies</t>
  </si>
  <si>
    <t xml:space="preserve">Fosroc Nitobond AR Primer</t>
  </si>
  <si>
    <t xml:space="preserve">Fosroc Ltd</t>
  </si>
  <si>
    <t xml:space="preserve">Flammable</t>
  </si>
  <si>
    <t xml:space="preserve">High</t>
  </si>
  <si>
    <t xml:space="preserve">No naked flames or hot works within 5m during application. Use in well-ventilated areas only. Wear solvent-resistant gloves, goggles, and RPE (organic vapour filter). Store in flammable goods cabinet.</t>
  </si>
  <si>
    <t xml:space="preserve">Block B, Level 1, Structural Repair Zone</t>
  </si>
  <si>
    <t xml:space="preserve">Ordinary Portland Cement (OPC)</t>
  </si>
  <si>
    <t xml:space="preserve">Hanson UK</t>
  </si>
  <si>
    <t xml:space="preserve">Wear alkali-resistant gloves, dust mask (FFP2), and safety goggles. Avoid prolonged skin contact — cement burns can develop over hours. Provide skin barrier cream. Welfare facilities for washing must be available.</t>
  </si>
  <si>
    <t xml:space="preserve">General use — all areas</t>
  </si>
  <si>
    <t xml:space="preserve">R. Thomas</t>
  </si>
  <si>
    <t xml:space="preserve">Hilti CF-812 Fire Stop Foam</t>
  </si>
  <si>
    <t xml:space="preserve">Hilti (GB) Ltd</t>
  </si>
  <si>
    <t xml:space="preserve">Harmful</t>
  </si>
  <si>
    <t xml:space="preserve">Low</t>
  </si>
  <si>
    <t xml:space="preserve">Wear disposable gloves during application. Ensure adequate ventilation. Avoid inhalation of vapours. Store upright below 25°C.</t>
  </si>
  <si>
    <t xml:space="preserve">Block A &amp; B, All Levels, Fire Stopping Works</t>
  </si>
  <si>
    <t xml:space="preserve">Hydrochloric Acid Solution (10%)</t>
  </si>
  <si>
    <t xml:space="preserve">Fisher Scientific</t>
  </si>
  <si>
    <t xml:space="preserve">Corrosive</t>
  </si>
  <si>
    <t xml:space="preserve">Strict supervision required. Wear full face shield, chemical-resistant gloves (neoprene), apron, and RPE (acid gas filter). Neutralisation kit and eyewash station must be available within 5m. Never mix with bleach or other chemicals. Spillage to be contained with absorbent granules.</t>
  </si>
  <si>
    <t xml:space="preserve">Plant Room 2, Descaling Operations</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</si>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</sst>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19"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7"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B2A4A"/>
          <bgColor rgb="FF000000"/>
        </patternFill>
      </fill>
    </dxf>
    <dxf>
      <fill>
        <patternFill patternType="solid">
          <fgColor rgb="FFFFFFFF"/>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23.85" hidden="false" customHeight="true" outlineLevel="0" collapsed="false">
      <c r="A7" s="10" t="s">
        <v>12</v>
      </c>
      <c r="B7" s="11" t="s">
        <v>13</v>
      </c>
      <c r="C7" s="11"/>
      <c r="D7" s="11"/>
      <c r="E7" s="11"/>
      <c r="F7" s="11"/>
      <c r="G7" s="2"/>
      <c r="H7" s="2"/>
    </row>
    <row r="8" customFormat="false" ht="23.85" hidden="false" customHeight="true" outlineLevel="0" collapsed="false">
      <c r="A8" s="10" t="s">
        <v>14</v>
      </c>
      <c r="B8" s="11" t="s">
        <v>15</v>
      </c>
      <c r="C8" s="11"/>
      <c r="D8" s="11"/>
      <c r="E8" s="11"/>
      <c r="F8" s="11"/>
      <c r="G8" s="2"/>
      <c r="H8" s="2"/>
    </row>
    <row r="9" customFormat="false" ht="23.8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23.8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false" outlineLevel="0" collapsed="false">
      <c r="A13" s="2"/>
      <c r="B13" s="2"/>
      <c r="C13" s="2"/>
      <c r="D13" s="2"/>
      <c r="E13" s="2"/>
      <c r="F13" s="2"/>
      <c r="G13" s="2"/>
      <c r="H13" s="2"/>
    </row>
    <row r="14" customFormat="false" ht="15" hidden="false" customHeight="false" outlineLevel="0" collapsed="false">
      <c r="A14" s="9" t="s">
        <v>24</v>
      </c>
      <c r="B14" s="2"/>
      <c r="C14" s="2"/>
      <c r="D14" s="2"/>
      <c r="E14" s="2"/>
      <c r="F14" s="2"/>
      <c r="G14" s="2"/>
      <c r="H14" s="2"/>
    </row>
    <row r="15" customFormat="false" ht="15" hidden="false" customHeight="true" outlineLevel="0" collapsed="false">
      <c r="A15" s="10" t="s">
        <v>25</v>
      </c>
      <c r="B15" s="11" t="s">
        <v>26</v>
      </c>
      <c r="C15" s="11"/>
      <c r="D15" s="11"/>
      <c r="E15" s="11"/>
      <c r="F15" s="11"/>
      <c r="G15" s="2"/>
      <c r="H15" s="2"/>
    </row>
    <row r="16" customFormat="false" ht="15" hidden="false" customHeight="true" outlineLevel="0" collapsed="false">
      <c r="A16" s="10" t="s">
        <v>25</v>
      </c>
      <c r="B16" s="11" t="s">
        <v>27</v>
      </c>
      <c r="C16" s="11"/>
      <c r="D16" s="11"/>
      <c r="E16" s="11"/>
      <c r="F16" s="11"/>
      <c r="G16" s="2"/>
      <c r="H16" s="2"/>
    </row>
    <row r="17" customFormat="false" ht="15" hidden="false" customHeight="true" outlineLevel="0" collapsed="false">
      <c r="A17" s="10" t="s">
        <v>25</v>
      </c>
      <c r="B17" s="11" t="s">
        <v>28</v>
      </c>
      <c r="C17" s="11"/>
      <c r="D17" s="11"/>
      <c r="E17" s="11"/>
      <c r="F17" s="11"/>
      <c r="G17" s="2"/>
      <c r="H17" s="2"/>
    </row>
    <row r="18" customFormat="false" ht="15" hidden="false" customHeight="true" outlineLevel="0" collapsed="false">
      <c r="A18" s="10" t="s">
        <v>25</v>
      </c>
      <c r="B18" s="11" t="s">
        <v>29</v>
      </c>
      <c r="C18" s="11"/>
      <c r="D18" s="11"/>
      <c r="E18" s="11"/>
      <c r="F18" s="11"/>
      <c r="G18" s="2"/>
      <c r="H18" s="2"/>
    </row>
    <row r="19" customFormat="false" ht="15" hidden="false" customHeight="true" outlineLevel="0" collapsed="false">
      <c r="A19" s="10" t="s">
        <v>25</v>
      </c>
      <c r="B19" s="11" t="s">
        <v>30</v>
      </c>
      <c r="C19" s="11"/>
      <c r="D19" s="11"/>
      <c r="E19" s="11"/>
      <c r="F19" s="11"/>
      <c r="G19" s="2"/>
      <c r="H19" s="2"/>
    </row>
    <row r="20" customFormat="false" ht="15" hidden="false" customHeight="false" outlineLevel="0" collapsed="false">
      <c r="A20" s="2"/>
      <c r="B20" s="2"/>
      <c r="C20" s="2"/>
      <c r="D20" s="2"/>
      <c r="E20" s="2"/>
      <c r="F20" s="2"/>
      <c r="G20" s="2"/>
      <c r="H20" s="2"/>
    </row>
    <row r="21" customFormat="false" ht="15" hidden="false" customHeight="false" outlineLevel="0" collapsed="false">
      <c r="A21" s="9" t="s">
        <v>31</v>
      </c>
      <c r="B21" s="2"/>
      <c r="C21" s="2"/>
      <c r="D21" s="2"/>
      <c r="E21" s="2"/>
      <c r="F21" s="2"/>
      <c r="G21" s="2"/>
      <c r="H21" s="2"/>
    </row>
    <row r="22" customFormat="false" ht="23.85" hidden="false" customHeight="true" outlineLevel="0" collapsed="false">
      <c r="A22" s="10" t="s">
        <v>25</v>
      </c>
      <c r="B22" s="11" t="s">
        <v>32</v>
      </c>
      <c r="C22" s="11"/>
      <c r="D22" s="11"/>
      <c r="E22" s="11"/>
      <c r="F22" s="11"/>
      <c r="G22" s="2"/>
      <c r="H22" s="2"/>
    </row>
    <row r="23" customFormat="false" ht="15" hidden="false" customHeight="true" outlineLevel="0" collapsed="false">
      <c r="A23" s="10" t="s">
        <v>25</v>
      </c>
      <c r="B23" s="11" t="s">
        <v>33</v>
      </c>
      <c r="C23" s="11"/>
      <c r="D23" s="11"/>
      <c r="E23" s="11"/>
      <c r="F23" s="11"/>
      <c r="G23" s="2"/>
      <c r="H23" s="2"/>
    </row>
    <row r="24" customFormat="false" ht="15" hidden="false" customHeight="true" outlineLevel="0" collapsed="false">
      <c r="A24" s="10" t="s">
        <v>25</v>
      </c>
      <c r="B24" s="11" t="s">
        <v>34</v>
      </c>
      <c r="C24" s="11"/>
      <c r="D24" s="11"/>
      <c r="E24" s="11"/>
      <c r="F24" s="11"/>
      <c r="G24" s="2"/>
      <c r="H24" s="2"/>
    </row>
    <row r="25" customFormat="false" ht="15" hidden="false" customHeight="false" outlineLevel="0" collapsed="false">
      <c r="A25" s="2"/>
      <c r="B25" s="2"/>
      <c r="C25" s="2"/>
      <c r="D25" s="2"/>
      <c r="E25" s="2"/>
      <c r="F25" s="2"/>
      <c r="G25" s="2"/>
      <c r="H25" s="2"/>
    </row>
    <row r="26" customFormat="false" ht="15" hidden="false" customHeight="false" outlineLevel="0" collapsed="false">
      <c r="A26" s="2"/>
      <c r="B26" s="2"/>
      <c r="C26" s="2"/>
      <c r="D26" s="2"/>
      <c r="E26" s="2"/>
      <c r="F26" s="2"/>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sheetData>
  <mergeCells count="17">
    <mergeCell ref="A1:F1"/>
    <mergeCell ref="B5:F5"/>
    <mergeCell ref="B6:F6"/>
    <mergeCell ref="B7:F7"/>
    <mergeCell ref="B8:F8"/>
    <mergeCell ref="B9:F9"/>
    <mergeCell ref="B10:F10"/>
    <mergeCell ref="B11:F11"/>
    <mergeCell ref="B12:F12"/>
    <mergeCell ref="B15:F15"/>
    <mergeCell ref="B16:F16"/>
    <mergeCell ref="B17:F17"/>
    <mergeCell ref="B18:F18"/>
    <mergeCell ref="B19:F19"/>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18"/>
    <col collapsed="false" customWidth="true" hidden="false" outlineLevel="0" max="6" min="6" style="0" width="14"/>
    <col collapsed="false" customWidth="true" hidden="false" outlineLevel="0" max="7" min="7" style="0" width="45"/>
    <col collapsed="false" customWidth="true" hidden="false" outlineLevel="0" max="8" min="8" style="0" width="24"/>
    <col collapsed="false" customWidth="true" hidden="false" outlineLevel="0" max="9" min="9" style="0" width="18"/>
    <col collapsed="false" customWidth="true" hidden="false" outlineLevel="0" max="10" min="10" style="0" width="14"/>
  </cols>
  <sheetData>
    <row r="1" customFormat="false" ht="17.35" hidden="false" customHeight="false" outlineLevel="0" collapsed="false">
      <c r="A1" s="12" t="s">
        <v>35</v>
      </c>
      <c r="B1" s="12"/>
      <c r="C1" s="12"/>
      <c r="E1" s="13" t="s">
        <v>36</v>
      </c>
      <c r="F1" s="14" t="n">
        <f aca="false">COUNTA(B8:B507)</f>
        <v>5</v>
      </c>
      <c r="H1" s="13" t="s">
        <v>37</v>
      </c>
      <c r="I1" s="15" t="n">
        <f aca="true">COUNTIFS(J8:J507,"&lt;"&amp;TODAY(),J8:J507,"&lt;&gt;")</f>
        <v>1</v>
      </c>
    </row>
    <row r="2" customFormat="false" ht="15" hidden="false" customHeight="false" outlineLevel="0" collapsed="false">
      <c r="E2" s="16" t="s">
        <v>38</v>
      </c>
      <c r="F2" s="14" t="n">
        <f aca="false">COUNTIF(F8:F507,"Low")</f>
        <v>1</v>
      </c>
      <c r="G2" s="17" t="s">
        <v>39</v>
      </c>
      <c r="H2" s="14" t="n">
        <f aca="false">COUNTIF(F8:F507,"Medium")</f>
        <v>2</v>
      </c>
      <c r="I2" s="18" t="s">
        <v>40</v>
      </c>
      <c r="J2" s="14" t="n">
        <f aca="false">COUNTIF(F8:F507,"High")</f>
        <v>2</v>
      </c>
    </row>
    <row r="3" customFormat="false" ht="15" hidden="false" customHeight="false" outlineLevel="0" collapsed="false">
      <c r="E3" s="13" t="s">
        <v>41</v>
      </c>
      <c r="F3" s="14" t="n">
        <f aca="true">COUNTIFS(J8:J507,"&gt;="&amp;TODAY(),J8:J507,"&lt;="&amp;TODAY()+30)</f>
        <v>0</v>
      </c>
      <c r="H3" s="13" t="s">
        <v>42</v>
      </c>
      <c r="I3" s="19" t="n">
        <f aca="false">IFERROR(COUNTIF(F8:F507,"High")/COUNTA(F8:F507),"")</f>
        <v>0.4</v>
      </c>
    </row>
    <row r="4" customFormat="false" ht="15" hidden="false" customHeight="false" outlineLevel="0" collapsed="false">
      <c r="E4" s="13" t="s">
        <v>43</v>
      </c>
      <c r="F4" s="14" t="n">
        <f aca="false">COUNTIF(E8:E507,"Irritant")</f>
        <v>2</v>
      </c>
      <c r="G4" s="13" t="s">
        <v>44</v>
      </c>
      <c r="H4" s="14" t="n">
        <f aca="false">COUNTIF(E8:E507,"Corrosive")</f>
        <v>1</v>
      </c>
      <c r="I4" s="13" t="s">
        <v>45</v>
      </c>
      <c r="J4" s="14" t="n">
        <f aca="false">COUNTIF(E8:E507,"Toxic")</f>
        <v>0</v>
      </c>
    </row>
    <row r="5" customFormat="false" ht="15" hidden="false" customHeight="false" outlineLevel="0" collapsed="false">
      <c r="E5" s="13" t="s">
        <v>46</v>
      </c>
      <c r="F5" s="14" t="n">
        <f aca="false">COUNTIF(E8:E507,"Flammable")</f>
        <v>1</v>
      </c>
      <c r="G5" s="13" t="s">
        <v>47</v>
      </c>
      <c r="H5" s="14" t="n">
        <f aca="false">COUNTIF(E8:E507,"Harmful")</f>
        <v>1</v>
      </c>
      <c r="I5" s="13" t="s">
        <v>48</v>
      </c>
      <c r="J5" s="14" t="n">
        <f aca="false">COUNTIF(E8:E507,"Oxidising")</f>
        <v>0</v>
      </c>
    </row>
    <row r="7" customFormat="false" ht="28.35" hidden="false" customHeight="false" outlineLevel="0" collapsed="false">
      <c r="A7" s="20" t="s">
        <v>49</v>
      </c>
      <c r="B7" s="20" t="s">
        <v>50</v>
      </c>
      <c r="C7" s="20" t="s">
        <v>51</v>
      </c>
      <c r="D7" s="20" t="s">
        <v>52</v>
      </c>
      <c r="E7" s="20" t="s">
        <v>53</v>
      </c>
      <c r="F7" s="20" t="s">
        <v>54</v>
      </c>
      <c r="G7" s="20" t="s">
        <v>55</v>
      </c>
      <c r="H7" s="20" t="s">
        <v>56</v>
      </c>
      <c r="I7" s="20" t="s">
        <v>57</v>
      </c>
      <c r="J7" s="20" t="s">
        <v>58</v>
      </c>
    </row>
    <row r="8" customFormat="false" ht="37.5" hidden="false" customHeight="true" outlineLevel="0" collapsed="false">
      <c r="A8" s="21" t="n">
        <f aca="false">IF(B8="","",ROW()-7)</f>
        <v>1</v>
      </c>
      <c r="B8" s="22" t="n">
        <v>46037</v>
      </c>
      <c r="C8" s="23" t="s">
        <v>59</v>
      </c>
      <c r="D8" s="23" t="s">
        <v>60</v>
      </c>
      <c r="E8" s="24" t="s">
        <v>61</v>
      </c>
      <c r="F8" s="24" t="s">
        <v>62</v>
      </c>
      <c r="G8" s="23" t="s">
        <v>63</v>
      </c>
      <c r="H8" s="23" t="s">
        <v>64</v>
      </c>
      <c r="I8" s="23" t="s">
        <v>65</v>
      </c>
      <c r="J8" s="22" t="n">
        <v>46218</v>
      </c>
    </row>
    <row r="9" customFormat="false" ht="37.5" hidden="false" customHeight="true" outlineLevel="0" collapsed="false">
      <c r="A9" s="21" t="n">
        <f aca="false">IF(B9="","",ROW()-7)</f>
        <v>2</v>
      </c>
      <c r="B9" s="22" t="n">
        <v>46056</v>
      </c>
      <c r="C9" s="23" t="s">
        <v>66</v>
      </c>
      <c r="D9" s="23" t="s">
        <v>67</v>
      </c>
      <c r="E9" s="24" t="s">
        <v>68</v>
      </c>
      <c r="F9" s="24" t="s">
        <v>69</v>
      </c>
      <c r="G9" s="23" t="s">
        <v>70</v>
      </c>
      <c r="H9" s="23" t="s">
        <v>71</v>
      </c>
      <c r="I9" s="23" t="s">
        <v>65</v>
      </c>
      <c r="J9" s="22" t="n">
        <v>46237</v>
      </c>
    </row>
    <row r="10" customFormat="false" ht="37.5" hidden="false" customHeight="true" outlineLevel="0" collapsed="false">
      <c r="A10" s="21" t="n">
        <f aca="false">IF(B10="","",ROW()-7)</f>
        <v>3</v>
      </c>
      <c r="B10" s="22" t="n">
        <v>45981</v>
      </c>
      <c r="C10" s="23" t="s">
        <v>72</v>
      </c>
      <c r="D10" s="23" t="s">
        <v>73</v>
      </c>
      <c r="E10" s="24" t="s">
        <v>61</v>
      </c>
      <c r="F10" s="24" t="s">
        <v>62</v>
      </c>
      <c r="G10" s="23" t="s">
        <v>74</v>
      </c>
      <c r="H10" s="23" t="s">
        <v>75</v>
      </c>
      <c r="I10" s="23" t="s">
        <v>76</v>
      </c>
      <c r="J10" s="22" t="n">
        <v>46162</v>
      </c>
    </row>
    <row r="11" customFormat="false" ht="37.5" hidden="false" customHeight="true" outlineLevel="0" collapsed="false">
      <c r="A11" s="21" t="n">
        <f aca="false">IF(B11="","",ROW()-7)</f>
        <v>4</v>
      </c>
      <c r="B11" s="22" t="n">
        <v>46082</v>
      </c>
      <c r="C11" s="23" t="s">
        <v>77</v>
      </c>
      <c r="D11" s="23" t="s">
        <v>78</v>
      </c>
      <c r="E11" s="24" t="s">
        <v>79</v>
      </c>
      <c r="F11" s="24" t="s">
        <v>80</v>
      </c>
      <c r="G11" s="23" t="s">
        <v>81</v>
      </c>
      <c r="H11" s="23" t="s">
        <v>82</v>
      </c>
      <c r="I11" s="23" t="s">
        <v>65</v>
      </c>
      <c r="J11" s="22" t="n">
        <v>46447</v>
      </c>
    </row>
    <row r="12" customFormat="false" ht="37.5" hidden="false" customHeight="true" outlineLevel="0" collapsed="false">
      <c r="A12" s="21" t="n">
        <f aca="false">IF(B12="","",ROW()-7)</f>
        <v>5</v>
      </c>
      <c r="B12" s="22" t="n">
        <v>45818</v>
      </c>
      <c r="C12" s="23" t="s">
        <v>83</v>
      </c>
      <c r="D12" s="23" t="s">
        <v>84</v>
      </c>
      <c r="E12" s="24" t="s">
        <v>85</v>
      </c>
      <c r="F12" s="24" t="s">
        <v>69</v>
      </c>
      <c r="G12" s="23" t="s">
        <v>86</v>
      </c>
      <c r="H12" s="23" t="s">
        <v>87</v>
      </c>
      <c r="I12" s="23" t="s">
        <v>76</v>
      </c>
      <c r="J12" s="22" t="n">
        <v>46091</v>
      </c>
    </row>
    <row r="13" customFormat="false" ht="37.5" hidden="false" customHeight="true" outlineLevel="0" collapsed="false">
      <c r="A13" s="21" t="str">
        <f aca="false">IF(B13="","",ROW()-7)</f>
        <v/>
      </c>
      <c r="B13" s="22"/>
      <c r="C13" s="23"/>
      <c r="D13" s="23"/>
      <c r="E13" s="24"/>
      <c r="F13" s="24"/>
      <c r="G13" s="23"/>
      <c r="H13" s="23"/>
      <c r="I13" s="23"/>
      <c r="J13" s="22"/>
    </row>
    <row r="14" customFormat="false" ht="37.5" hidden="false" customHeight="true" outlineLevel="0" collapsed="false">
      <c r="A14" s="21" t="str">
        <f aca="false">IF(B14="","",ROW()-7)</f>
        <v/>
      </c>
      <c r="B14" s="22"/>
      <c r="C14" s="23"/>
      <c r="D14" s="23"/>
      <c r="E14" s="24"/>
      <c r="F14" s="24"/>
      <c r="G14" s="23"/>
      <c r="H14" s="23"/>
      <c r="I14" s="23"/>
      <c r="J14" s="22"/>
    </row>
    <row r="15" customFormat="false" ht="37.5" hidden="false" customHeight="true" outlineLevel="0" collapsed="false">
      <c r="A15" s="21" t="str">
        <f aca="false">IF(B15="","",ROW()-7)</f>
        <v/>
      </c>
      <c r="B15" s="22"/>
      <c r="C15" s="23"/>
      <c r="D15" s="23"/>
      <c r="E15" s="24"/>
      <c r="F15" s="24"/>
      <c r="G15" s="23"/>
      <c r="H15" s="23"/>
      <c r="I15" s="23"/>
      <c r="J15" s="22"/>
    </row>
    <row r="16" customFormat="false" ht="37.5" hidden="false" customHeight="true" outlineLevel="0" collapsed="false">
      <c r="A16" s="21" t="str">
        <f aca="false">IF(B16="","",ROW()-7)</f>
        <v/>
      </c>
      <c r="B16" s="22"/>
      <c r="C16" s="23"/>
      <c r="D16" s="23"/>
      <c r="E16" s="24"/>
      <c r="F16" s="24"/>
      <c r="G16" s="23"/>
      <c r="H16" s="23"/>
      <c r="I16" s="23"/>
      <c r="J16" s="22"/>
    </row>
    <row r="17" customFormat="false" ht="37.5" hidden="false" customHeight="true" outlineLevel="0" collapsed="false">
      <c r="A17" s="21" t="str">
        <f aca="false">IF(B17="","",ROW()-7)</f>
        <v/>
      </c>
      <c r="B17" s="22"/>
      <c r="C17" s="23"/>
      <c r="D17" s="23"/>
      <c r="E17" s="24"/>
      <c r="F17" s="24"/>
      <c r="G17" s="23"/>
      <c r="H17" s="23"/>
      <c r="I17" s="23"/>
      <c r="J17" s="22"/>
    </row>
    <row r="18" customFormat="false" ht="37.5" hidden="false" customHeight="true" outlineLevel="0" collapsed="false">
      <c r="A18" s="21" t="str">
        <f aca="false">IF(B18="","",ROW()-7)</f>
        <v/>
      </c>
      <c r="B18" s="22"/>
      <c r="C18" s="23"/>
      <c r="D18" s="23"/>
      <c r="E18" s="24"/>
      <c r="F18" s="24"/>
      <c r="G18" s="23"/>
      <c r="H18" s="23"/>
      <c r="I18" s="23"/>
      <c r="J18" s="22"/>
    </row>
    <row r="19" customFormat="false" ht="37.5" hidden="false" customHeight="true" outlineLevel="0" collapsed="false">
      <c r="A19" s="21" t="str">
        <f aca="false">IF(B19="","",ROW()-7)</f>
        <v/>
      </c>
      <c r="B19" s="22"/>
      <c r="C19" s="23"/>
      <c r="D19" s="23"/>
      <c r="E19" s="24"/>
      <c r="F19" s="24"/>
      <c r="G19" s="23"/>
      <c r="H19" s="23"/>
      <c r="I19" s="23"/>
      <c r="J19" s="22"/>
    </row>
    <row r="20" customFormat="false" ht="37.5" hidden="false" customHeight="true" outlineLevel="0" collapsed="false">
      <c r="A20" s="21" t="str">
        <f aca="false">IF(B20="","",ROW()-7)</f>
        <v/>
      </c>
      <c r="B20" s="22"/>
      <c r="C20" s="23"/>
      <c r="D20" s="23"/>
      <c r="E20" s="24"/>
      <c r="F20" s="24"/>
      <c r="G20" s="23"/>
      <c r="H20" s="23"/>
      <c r="I20" s="23"/>
      <c r="J20" s="22"/>
    </row>
    <row r="21" customFormat="false" ht="37.5" hidden="false" customHeight="true" outlineLevel="0" collapsed="false">
      <c r="A21" s="21" t="str">
        <f aca="false">IF(B21="","",ROW()-7)</f>
        <v/>
      </c>
      <c r="B21" s="22"/>
      <c r="C21" s="23"/>
      <c r="D21" s="23"/>
      <c r="E21" s="24"/>
      <c r="F21" s="24"/>
      <c r="G21" s="23"/>
      <c r="H21" s="23"/>
      <c r="I21" s="23"/>
      <c r="J21" s="22"/>
    </row>
    <row r="22" customFormat="false" ht="37.5" hidden="false" customHeight="true" outlineLevel="0" collapsed="false">
      <c r="A22" s="21" t="str">
        <f aca="false">IF(B22="","",ROW()-7)</f>
        <v/>
      </c>
      <c r="B22" s="22"/>
      <c r="C22" s="23"/>
      <c r="D22" s="23"/>
      <c r="E22" s="24"/>
      <c r="F22" s="24"/>
      <c r="G22" s="23"/>
      <c r="H22" s="23"/>
      <c r="I22" s="23"/>
      <c r="J22" s="22"/>
    </row>
    <row r="23" customFormat="false" ht="37.5" hidden="false" customHeight="true" outlineLevel="0" collapsed="false">
      <c r="A23" s="21" t="str">
        <f aca="false">IF(B23="","",ROW()-7)</f>
        <v/>
      </c>
      <c r="B23" s="22"/>
      <c r="C23" s="23"/>
      <c r="D23" s="23"/>
      <c r="E23" s="24"/>
      <c r="F23" s="24"/>
      <c r="G23" s="23"/>
      <c r="H23" s="23"/>
      <c r="I23" s="23"/>
      <c r="J23" s="22"/>
    </row>
    <row r="24" customFormat="false" ht="37.5" hidden="false" customHeight="true" outlineLevel="0" collapsed="false">
      <c r="A24" s="21" t="str">
        <f aca="false">IF(B24="","",ROW()-7)</f>
        <v/>
      </c>
      <c r="B24" s="22"/>
      <c r="C24" s="23"/>
      <c r="D24" s="23"/>
      <c r="E24" s="24"/>
      <c r="F24" s="24"/>
      <c r="G24" s="23"/>
      <c r="H24" s="23"/>
      <c r="I24" s="23"/>
      <c r="J24" s="22"/>
    </row>
    <row r="25" customFormat="false" ht="37.5" hidden="false" customHeight="true" outlineLevel="0" collapsed="false">
      <c r="A25" s="21" t="str">
        <f aca="false">IF(B25="","",ROW()-7)</f>
        <v/>
      </c>
      <c r="B25" s="22"/>
      <c r="C25" s="23"/>
      <c r="D25" s="23"/>
      <c r="E25" s="24"/>
      <c r="F25" s="24"/>
      <c r="G25" s="23"/>
      <c r="H25" s="23"/>
      <c r="I25" s="23"/>
      <c r="J25" s="22"/>
    </row>
    <row r="26" customFormat="false" ht="37.5" hidden="false" customHeight="true" outlineLevel="0" collapsed="false">
      <c r="A26" s="21" t="str">
        <f aca="false">IF(B26="","",ROW()-7)</f>
        <v/>
      </c>
      <c r="B26" s="22"/>
      <c r="C26" s="23"/>
      <c r="D26" s="23"/>
      <c r="E26" s="24"/>
      <c r="F26" s="24"/>
      <c r="G26" s="23"/>
      <c r="H26" s="23"/>
      <c r="I26" s="23"/>
      <c r="J26" s="22"/>
    </row>
    <row r="27" customFormat="false" ht="37.5" hidden="false" customHeight="true" outlineLevel="0" collapsed="false">
      <c r="A27" s="21" t="str">
        <f aca="false">IF(B27="","",ROW()-7)</f>
        <v/>
      </c>
      <c r="B27" s="22"/>
      <c r="C27" s="23"/>
      <c r="D27" s="23"/>
      <c r="E27" s="24"/>
      <c r="F27" s="24"/>
      <c r="G27" s="23"/>
      <c r="H27" s="23"/>
      <c r="I27" s="23"/>
      <c r="J27" s="22"/>
    </row>
    <row r="28" customFormat="false" ht="37.5" hidden="false" customHeight="true" outlineLevel="0" collapsed="false">
      <c r="A28" s="21" t="str">
        <f aca="false">IF(B28="","",ROW()-7)</f>
        <v/>
      </c>
      <c r="B28" s="22"/>
      <c r="C28" s="23"/>
      <c r="D28" s="23"/>
      <c r="E28" s="24"/>
      <c r="F28" s="24"/>
      <c r="G28" s="23"/>
      <c r="H28" s="23"/>
      <c r="I28" s="23"/>
      <c r="J28" s="22"/>
    </row>
    <row r="29" customFormat="false" ht="37.5" hidden="false" customHeight="true" outlineLevel="0" collapsed="false">
      <c r="A29" s="21" t="str">
        <f aca="false">IF(B29="","",ROW()-7)</f>
        <v/>
      </c>
      <c r="B29" s="22"/>
      <c r="C29" s="23"/>
      <c r="D29" s="23"/>
      <c r="E29" s="24"/>
      <c r="F29" s="24"/>
      <c r="G29" s="23"/>
      <c r="H29" s="23"/>
      <c r="I29" s="23"/>
      <c r="J29" s="22"/>
    </row>
    <row r="30" customFormat="false" ht="37.5" hidden="false" customHeight="true" outlineLevel="0" collapsed="false">
      <c r="A30" s="21" t="str">
        <f aca="false">IF(B30="","",ROW()-7)</f>
        <v/>
      </c>
      <c r="B30" s="22"/>
      <c r="C30" s="23"/>
      <c r="D30" s="23"/>
      <c r="E30" s="24"/>
      <c r="F30" s="24"/>
      <c r="G30" s="23"/>
      <c r="H30" s="23"/>
      <c r="I30" s="23"/>
      <c r="J30" s="22"/>
    </row>
    <row r="31" customFormat="false" ht="37.5" hidden="false" customHeight="true" outlineLevel="0" collapsed="false">
      <c r="A31" s="21" t="str">
        <f aca="false">IF(B31="","",ROW()-7)</f>
        <v/>
      </c>
      <c r="B31" s="22"/>
      <c r="C31" s="23"/>
      <c r="D31" s="23"/>
      <c r="E31" s="24"/>
      <c r="F31" s="24"/>
      <c r="G31" s="23"/>
      <c r="H31" s="23"/>
      <c r="I31" s="23"/>
      <c r="J31" s="22"/>
    </row>
    <row r="32" customFormat="false" ht="37.5" hidden="false" customHeight="true" outlineLevel="0" collapsed="false">
      <c r="A32" s="21" t="str">
        <f aca="false">IF(B32="","",ROW()-7)</f>
        <v/>
      </c>
      <c r="B32" s="22"/>
      <c r="C32" s="23"/>
      <c r="D32" s="23"/>
      <c r="E32" s="24"/>
      <c r="F32" s="24"/>
      <c r="G32" s="23"/>
      <c r="H32" s="23"/>
      <c r="I32" s="23"/>
      <c r="J32" s="22"/>
    </row>
    <row r="33" customFormat="false" ht="37.5" hidden="false" customHeight="true" outlineLevel="0" collapsed="false">
      <c r="A33" s="21" t="str">
        <f aca="false">IF(B33="","",ROW()-7)</f>
        <v/>
      </c>
      <c r="B33" s="22"/>
      <c r="C33" s="23"/>
      <c r="D33" s="23"/>
      <c r="E33" s="24"/>
      <c r="F33" s="24"/>
      <c r="G33" s="23"/>
      <c r="H33" s="23"/>
      <c r="I33" s="23"/>
      <c r="J33" s="22"/>
    </row>
    <row r="34" customFormat="false" ht="37.5" hidden="false" customHeight="true" outlineLevel="0" collapsed="false">
      <c r="A34" s="21" t="str">
        <f aca="false">IF(B34="","",ROW()-7)</f>
        <v/>
      </c>
      <c r="B34" s="22"/>
      <c r="C34" s="23"/>
      <c r="D34" s="23"/>
      <c r="E34" s="24"/>
      <c r="F34" s="24"/>
      <c r="G34" s="23"/>
      <c r="H34" s="23"/>
      <c r="I34" s="23"/>
      <c r="J34" s="22"/>
    </row>
    <row r="35" customFormat="false" ht="37.5" hidden="false" customHeight="true" outlineLevel="0" collapsed="false">
      <c r="A35" s="21" t="str">
        <f aca="false">IF(B35="","",ROW()-7)</f>
        <v/>
      </c>
      <c r="B35" s="22"/>
      <c r="C35" s="23"/>
      <c r="D35" s="23"/>
      <c r="E35" s="24"/>
      <c r="F35" s="24"/>
      <c r="G35" s="23"/>
      <c r="H35" s="23"/>
      <c r="I35" s="23"/>
      <c r="J35" s="22"/>
    </row>
    <row r="36" customFormat="false" ht="37.5" hidden="false" customHeight="true" outlineLevel="0" collapsed="false">
      <c r="A36" s="21" t="str">
        <f aca="false">IF(B36="","",ROW()-7)</f>
        <v/>
      </c>
      <c r="B36" s="22"/>
      <c r="C36" s="23"/>
      <c r="D36" s="23"/>
      <c r="E36" s="24"/>
      <c r="F36" s="24"/>
      <c r="G36" s="23"/>
      <c r="H36" s="23"/>
      <c r="I36" s="23"/>
      <c r="J36" s="22"/>
    </row>
    <row r="37" customFormat="false" ht="37.5" hidden="false" customHeight="true" outlineLevel="0" collapsed="false">
      <c r="A37" s="21" t="str">
        <f aca="false">IF(B37="","",ROW()-7)</f>
        <v/>
      </c>
      <c r="B37" s="22"/>
      <c r="C37" s="23"/>
      <c r="D37" s="23"/>
      <c r="E37" s="24"/>
      <c r="F37" s="24"/>
      <c r="G37" s="23"/>
      <c r="H37" s="23"/>
      <c r="I37" s="23"/>
      <c r="J37" s="22"/>
    </row>
    <row r="38" customFormat="false" ht="37.5" hidden="false" customHeight="true" outlineLevel="0" collapsed="false">
      <c r="A38" s="21" t="str">
        <f aca="false">IF(B38="","",ROW()-7)</f>
        <v/>
      </c>
      <c r="B38" s="22"/>
      <c r="C38" s="23"/>
      <c r="D38" s="23"/>
      <c r="E38" s="24"/>
      <c r="F38" s="24"/>
      <c r="G38" s="23"/>
      <c r="H38" s="23"/>
      <c r="I38" s="23"/>
      <c r="J38" s="22"/>
    </row>
    <row r="39" customFormat="false" ht="37.5" hidden="false" customHeight="true" outlineLevel="0" collapsed="false">
      <c r="A39" s="21" t="str">
        <f aca="false">IF(B39="","",ROW()-7)</f>
        <v/>
      </c>
      <c r="B39" s="22"/>
      <c r="C39" s="23"/>
      <c r="D39" s="23"/>
      <c r="E39" s="24"/>
      <c r="F39" s="24"/>
      <c r="G39" s="23"/>
      <c r="H39" s="23"/>
      <c r="I39" s="23"/>
      <c r="J39" s="22"/>
    </row>
    <row r="40" customFormat="false" ht="37.5" hidden="false" customHeight="true" outlineLevel="0" collapsed="false">
      <c r="A40" s="21" t="str">
        <f aca="false">IF(B40="","",ROW()-7)</f>
        <v/>
      </c>
      <c r="B40" s="22"/>
      <c r="C40" s="23"/>
      <c r="D40" s="23"/>
      <c r="E40" s="24"/>
      <c r="F40" s="24"/>
      <c r="G40" s="23"/>
      <c r="H40" s="23"/>
      <c r="I40" s="23"/>
      <c r="J40" s="22"/>
    </row>
    <row r="41" customFormat="false" ht="37.5" hidden="false" customHeight="true" outlineLevel="0" collapsed="false">
      <c r="A41" s="21" t="str">
        <f aca="false">IF(B41="","",ROW()-7)</f>
        <v/>
      </c>
      <c r="B41" s="22"/>
      <c r="C41" s="23"/>
      <c r="D41" s="23"/>
      <c r="E41" s="24"/>
      <c r="F41" s="24"/>
      <c r="G41" s="23"/>
      <c r="H41" s="23"/>
      <c r="I41" s="23"/>
      <c r="J41" s="22"/>
    </row>
    <row r="42" customFormat="false" ht="37.5" hidden="false" customHeight="true" outlineLevel="0" collapsed="false">
      <c r="A42" s="21" t="str">
        <f aca="false">IF(B42="","",ROW()-7)</f>
        <v/>
      </c>
      <c r="B42" s="22"/>
      <c r="C42" s="23"/>
      <c r="D42" s="23"/>
      <c r="E42" s="24"/>
      <c r="F42" s="24"/>
      <c r="G42" s="23"/>
      <c r="H42" s="23"/>
      <c r="I42" s="23"/>
      <c r="J42" s="22"/>
    </row>
    <row r="43" customFormat="false" ht="37.5" hidden="false" customHeight="true" outlineLevel="0" collapsed="false">
      <c r="A43" s="21" t="str">
        <f aca="false">IF(B43="","",ROW()-7)</f>
        <v/>
      </c>
      <c r="B43" s="22"/>
      <c r="C43" s="23"/>
      <c r="D43" s="23"/>
      <c r="E43" s="24"/>
      <c r="F43" s="24"/>
      <c r="G43" s="23"/>
      <c r="H43" s="23"/>
      <c r="I43" s="23"/>
      <c r="J43" s="22"/>
    </row>
    <row r="44" customFormat="false" ht="37.5" hidden="false" customHeight="true" outlineLevel="0" collapsed="false">
      <c r="A44" s="21" t="str">
        <f aca="false">IF(B44="","",ROW()-7)</f>
        <v/>
      </c>
      <c r="B44" s="22"/>
      <c r="C44" s="23"/>
      <c r="D44" s="23"/>
      <c r="E44" s="24"/>
      <c r="F44" s="24"/>
      <c r="G44" s="23"/>
      <c r="H44" s="23"/>
      <c r="I44" s="23"/>
      <c r="J44" s="22"/>
    </row>
    <row r="45" customFormat="false" ht="37.5" hidden="false" customHeight="true" outlineLevel="0" collapsed="false">
      <c r="A45" s="21" t="str">
        <f aca="false">IF(B45="","",ROW()-7)</f>
        <v/>
      </c>
      <c r="B45" s="22"/>
      <c r="C45" s="23"/>
      <c r="D45" s="23"/>
      <c r="E45" s="24"/>
      <c r="F45" s="24"/>
      <c r="G45" s="23"/>
      <c r="H45" s="23"/>
      <c r="I45" s="23"/>
      <c r="J45" s="22"/>
    </row>
    <row r="46" customFormat="false" ht="37.5" hidden="false" customHeight="true" outlineLevel="0" collapsed="false">
      <c r="A46" s="21" t="str">
        <f aca="false">IF(B46="","",ROW()-7)</f>
        <v/>
      </c>
      <c r="B46" s="22"/>
      <c r="C46" s="23"/>
      <c r="D46" s="23"/>
      <c r="E46" s="24"/>
      <c r="F46" s="24"/>
      <c r="G46" s="23"/>
      <c r="H46" s="23"/>
      <c r="I46" s="23"/>
      <c r="J46" s="22"/>
    </row>
    <row r="47" customFormat="false" ht="37.5" hidden="false" customHeight="true" outlineLevel="0" collapsed="false">
      <c r="A47" s="21" t="str">
        <f aca="false">IF(B47="","",ROW()-7)</f>
        <v/>
      </c>
      <c r="B47" s="22"/>
      <c r="C47" s="23"/>
      <c r="D47" s="23"/>
      <c r="E47" s="24"/>
      <c r="F47" s="24"/>
      <c r="G47" s="23"/>
      <c r="H47" s="23"/>
      <c r="I47" s="23"/>
      <c r="J47" s="22"/>
    </row>
    <row r="48" customFormat="false" ht="37.5" hidden="false" customHeight="true" outlineLevel="0" collapsed="false">
      <c r="A48" s="21" t="str">
        <f aca="false">IF(B48="","",ROW()-7)</f>
        <v/>
      </c>
      <c r="B48" s="22"/>
      <c r="C48" s="23"/>
      <c r="D48" s="23"/>
      <c r="E48" s="24"/>
      <c r="F48" s="24"/>
      <c r="G48" s="23"/>
      <c r="H48" s="23"/>
      <c r="I48" s="23"/>
      <c r="J48" s="22"/>
    </row>
    <row r="49" customFormat="false" ht="37.5" hidden="false" customHeight="true" outlineLevel="0" collapsed="false">
      <c r="A49" s="21" t="str">
        <f aca="false">IF(B49="","",ROW()-7)</f>
        <v/>
      </c>
      <c r="B49" s="22"/>
      <c r="C49" s="23"/>
      <c r="D49" s="23"/>
      <c r="E49" s="24"/>
      <c r="F49" s="24"/>
      <c r="G49" s="23"/>
      <c r="H49" s="23"/>
      <c r="I49" s="23"/>
      <c r="J49" s="22"/>
    </row>
    <row r="50" customFormat="false" ht="37.5" hidden="false" customHeight="true" outlineLevel="0" collapsed="false">
      <c r="A50" s="21" t="str">
        <f aca="false">IF(B50="","",ROW()-7)</f>
        <v/>
      </c>
      <c r="B50" s="22"/>
      <c r="C50" s="23"/>
      <c r="D50" s="23"/>
      <c r="E50" s="24"/>
      <c r="F50" s="24"/>
      <c r="G50" s="23"/>
      <c r="H50" s="23"/>
      <c r="I50" s="23"/>
      <c r="J50" s="22"/>
    </row>
    <row r="51" customFormat="false" ht="37.5" hidden="false" customHeight="true" outlineLevel="0" collapsed="false">
      <c r="A51" s="21" t="str">
        <f aca="false">IF(B51="","",ROW()-7)</f>
        <v/>
      </c>
      <c r="B51" s="22"/>
      <c r="C51" s="23"/>
      <c r="D51" s="23"/>
      <c r="E51" s="24"/>
      <c r="F51" s="24"/>
      <c r="G51" s="23"/>
      <c r="H51" s="23"/>
      <c r="I51" s="23"/>
      <c r="J51" s="22"/>
    </row>
    <row r="52" customFormat="false" ht="37.5" hidden="false" customHeight="true" outlineLevel="0" collapsed="false">
      <c r="A52" s="21" t="str">
        <f aca="false">IF(B52="","",ROW()-7)</f>
        <v/>
      </c>
      <c r="B52" s="22"/>
      <c r="C52" s="23"/>
      <c r="D52" s="23"/>
      <c r="E52" s="24"/>
      <c r="F52" s="24"/>
      <c r="G52" s="23"/>
      <c r="H52" s="23"/>
      <c r="I52" s="23"/>
      <c r="J52" s="22"/>
    </row>
    <row r="53" customFormat="false" ht="37.5" hidden="false" customHeight="true" outlineLevel="0" collapsed="false">
      <c r="A53" s="21" t="str">
        <f aca="false">IF(B53="","",ROW()-7)</f>
        <v/>
      </c>
      <c r="B53" s="22"/>
      <c r="C53" s="23"/>
      <c r="D53" s="23"/>
      <c r="E53" s="24"/>
      <c r="F53" s="24"/>
      <c r="G53" s="23"/>
      <c r="H53" s="23"/>
      <c r="I53" s="23"/>
      <c r="J53" s="22"/>
    </row>
    <row r="54" customFormat="false" ht="37.5" hidden="false" customHeight="true" outlineLevel="0" collapsed="false">
      <c r="A54" s="21" t="str">
        <f aca="false">IF(B54="","",ROW()-7)</f>
        <v/>
      </c>
      <c r="B54" s="22"/>
      <c r="C54" s="23"/>
      <c r="D54" s="23"/>
      <c r="E54" s="24"/>
      <c r="F54" s="24"/>
      <c r="G54" s="23"/>
      <c r="H54" s="23"/>
      <c r="I54" s="23"/>
      <c r="J54" s="22"/>
    </row>
    <row r="55" customFormat="false" ht="37.5" hidden="false" customHeight="true" outlineLevel="0" collapsed="false">
      <c r="A55" s="21" t="str">
        <f aca="false">IF(B55="","",ROW()-7)</f>
        <v/>
      </c>
      <c r="B55" s="22"/>
      <c r="C55" s="23"/>
      <c r="D55" s="23"/>
      <c r="E55" s="24"/>
      <c r="F55" s="24"/>
      <c r="G55" s="23"/>
      <c r="H55" s="23"/>
      <c r="I55" s="23"/>
      <c r="J55" s="22"/>
    </row>
    <row r="56" customFormat="false" ht="37.5" hidden="false" customHeight="true" outlineLevel="0" collapsed="false">
      <c r="A56" s="21" t="str">
        <f aca="false">IF(B56="","",ROW()-7)</f>
        <v/>
      </c>
      <c r="B56" s="22"/>
      <c r="C56" s="23"/>
      <c r="D56" s="23"/>
      <c r="E56" s="24"/>
      <c r="F56" s="24"/>
      <c r="G56" s="23"/>
      <c r="H56" s="23"/>
      <c r="I56" s="23"/>
      <c r="J56" s="22"/>
    </row>
    <row r="57" customFormat="false" ht="37.5" hidden="false" customHeight="true" outlineLevel="0" collapsed="false">
      <c r="A57" s="21" t="str">
        <f aca="false">IF(B57="","",ROW()-7)</f>
        <v/>
      </c>
      <c r="B57" s="22"/>
      <c r="C57" s="23"/>
      <c r="D57" s="23"/>
      <c r="E57" s="24"/>
      <c r="F57" s="24"/>
      <c r="G57" s="23"/>
      <c r="H57" s="23"/>
      <c r="I57" s="23"/>
      <c r="J57" s="22"/>
    </row>
  </sheetData>
  <autoFilter ref="A7:J7"/>
  <mergeCells count="1">
    <mergeCell ref="A1:C1"/>
  </mergeCells>
  <conditionalFormatting sqref="A8:J507">
    <cfRule type="expression" priority="2" aboveAverage="0" equalAverage="0" bottom="0" percent="0" rank="0" text="" dxfId="2">
      <formula>$F8="High"</formula>
    </cfRule>
    <cfRule type="expression" priority="3" aboveAverage="0" equalAverage="0" bottom="0" percent="0" rank="0" text="" dxfId="3">
      <formula>$F8="Medium"</formula>
    </cfRule>
    <cfRule type="expression" priority="4" aboveAverage="0" equalAverage="0" bottom="0" percent="0" rank="0" text="" dxfId="4">
      <formula>$F8="Low"</formula>
    </cfRule>
  </conditionalFormatting>
  <conditionalFormatting sqref="J8:J507">
    <cfRule type="expression" priority="5" aboveAverage="0" equalAverage="0" bottom="0" percent="0" rank="0" text="" dxfId="2">
      <formula>AND($J8&lt;&gt;"",$J8&lt;TODAY())</formula>
    </cfRule>
    <cfRule type="expression" priority="6" aboveAverage="0" equalAverage="0" bottom="0" percent="0" rank="0" text="" dxfId="3">
      <formula>AND($J8&lt;&gt;"",$J8&gt;=TODAY(),$J8&lt;=TODAY()+30)</formula>
    </cfRule>
  </conditionalFormatting>
  <dataValidations count="3">
    <dataValidation allowBlank="true" errorStyle="stop" operator="between" prompt="Select primary hazard type" promptTitle="Hazard Type" showDropDown="false" showErrorMessage="false" showInputMessage="false" sqref="E8:E507" type="list">
      <formula1>"Irritant,Corrosive,Toxic,Flammable,Harmful,Oxidising,Environmental Hazard,Other"</formula1>
      <formula2>0</formula2>
    </dataValidation>
    <dataValidation allowBlank="true" errorStyle="stop" operator="between" prompt="Select risk rating" promptTitle="Risk Rating" showDropDown="false" showErrorMessage="false" showInputMessage="false" sqref="F8:F507" type="list">
      <formula1>"Low,Medium,High"</formula1>
      <formula2>0</formula2>
    </dataValidation>
    <dataValidation allowBlank="true" error="Please enter a valid date" errorStyle="stop" operator="between" showDropDown="false" showErrorMessage="false" showInputMessage="false" sqref="B8:B507 J8:J507"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&amp;CCOSHH Assessment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5" t="s">
        <v>88</v>
      </c>
    </row>
    <row r="2" customFormat="false" ht="15" hidden="false" customHeight="false" outlineLevel="0" collapsed="false">
      <c r="A2" s="25"/>
    </row>
    <row r="3" customFormat="false" ht="15" hidden="false" customHeight="false" outlineLevel="0" collapsed="false">
      <c r="A3" s="25" t="s">
        <v>89</v>
      </c>
    </row>
    <row r="4" customFormat="false" ht="15" hidden="false" customHeight="false" outlineLevel="0" collapsed="false">
      <c r="A4" s="25"/>
    </row>
    <row r="5" customFormat="false" ht="15" hidden="false" customHeight="false" outlineLevel="0" collapsed="false">
      <c r="A5" s="25" t="s">
        <v>90</v>
      </c>
    </row>
    <row r="6" customFormat="false" ht="15" hidden="false" customHeight="false" outlineLevel="0" collapsed="false">
      <c r="A6" s="25"/>
    </row>
    <row r="7" customFormat="false" ht="15" hidden="false" customHeight="false" outlineLevel="0" collapsed="false">
      <c r="A7" s="25" t="s">
        <v>91</v>
      </c>
    </row>
    <row r="8" customFormat="false" ht="15" hidden="false" customHeight="false" outlineLevel="0" collapsed="false">
      <c r="A8" s="25"/>
    </row>
    <row r="9" customFormat="false" ht="15" hidden="false" customHeight="false" outlineLevel="0" collapsed="false">
      <c r="A9" s="25" t="s">
        <v>92</v>
      </c>
    </row>
    <row r="10" customFormat="false" ht="15" hidden="false" customHeight="false" outlineLevel="0" collapsed="false">
      <c r="A10" s="25"/>
    </row>
    <row r="11" customFormat="false" ht="15" hidden="false" customHeight="false" outlineLevel="0" collapsed="false">
      <c r="A11" s="25" t="s">
        <v>93</v>
      </c>
    </row>
    <row r="12" customFormat="false" ht="15" hidden="false" customHeight="false" outlineLevel="0" collapsed="false">
      <c r="A12" s="25"/>
    </row>
    <row r="13" customFormat="false" ht="15" hidden="false" customHeight="false" outlineLevel="0" collapsed="false">
      <c r="A13" s="25" t="s">
        <v>94</v>
      </c>
    </row>
    <row r="14" customFormat="false" ht="15" hidden="false" customHeight="false" outlineLevel="0" collapsed="false">
      <c r="A14" s="25"/>
    </row>
    <row r="15" customFormat="false" ht="15" hidden="false" customHeight="false" outlineLevel="0" collapsed="false">
      <c r="A15" s="25" t="s">
        <v>95</v>
      </c>
    </row>
    <row r="16" customFormat="false" ht="15" hidden="false" customHeight="false" outlineLevel="0" collapsed="false">
      <c r="A16" s="25"/>
    </row>
    <row r="17" customFormat="false" ht="15" hidden="false" customHeight="false" outlineLevel="0" collapsed="false">
      <c r="A17" s="25"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2026-03-22T16:43:18Z</dcterms:created>
  <dc:creator>Ebrora Ltd</dc:creator>
  <dc:description>Log and manage COSHH assessments for all hazardous substances on site, with risk-based colour coding, overdue review alerts, and hazard type breakdown. Designed for UK construction site managers, safety advisors, and COSHH assessors.
Free professional construction management template from Ebrora Ltd. Visit ebrora.com for our full range of tools and templates.</dc:description>
  <cp:keywords>Ebrora construction COSHH hazardous substances risk assessment health and safety site management control measures</cp:keywords>
  <dc:language>en-US</dc:language>
  <cp:lastModifiedBy>Ebrora Ltd</cp:lastModifiedBy>
  <dcterms:modified xsi:type="dcterms:W3CDTF">2026-03-22T16:43:18Z</dcterms:modified>
  <cp:revision>0</cp:revision>
  <dc:subject>Register for logging and tracking COSHH assessments for all hazardous substances used on construction sites.</dc:subject>
  <dc:title>COSHH Assessment Register</dc:title>
</cp:coreProperties>
</file>

<file path=docProps/custom.xml><?xml version="1.0" encoding="utf-8"?>
<Properties xmlns="http://schemas.openxmlformats.org/officeDocument/2006/custom-properties" xmlns:vt="http://schemas.openxmlformats.org/officeDocument/2006/docPropsVTypes"/>
</file>