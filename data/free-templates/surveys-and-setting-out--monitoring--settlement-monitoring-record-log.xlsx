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LEMENT MONITORING RECORD LO" sheetId="1" state="visible" r:id="rId3"/>
    <sheet name="Instructions" sheetId="2" state="visible" r:id="rId4"/>
  </sheets>
  <definedNames>
    <definedName function="false" hidden="false" localSheetId="0" name="_xlnm.Print_Area" vbProcedure="false">'SETTLEMENT MONITORING RECORD LO'!$A$1:$N$37</definedName>
    <definedName function="false" hidden="false" localSheetId="0" name="_xlnm.Print_Titles" vbProcedure="false">'SETTLEMENT MONITORING RECORD LO'!$1:$6</definedName>
    <definedName function="false" hidden="true" localSheetId="0" name="_xlnm._FilterDatabase" vbProcedure="false">'SETTLEMENT MONITORING RECORD LO'!$A$6:$N$31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<sst xmlns="http://schemas.openxmlformats.org/spreadsheetml/2006/main" count="33" uniqueCount="32">
  <si>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ebrora.com</t>
  </si>
  <si>
    <t xml:space="preserve">SETTLEMENT MONITORING RECORD LOG</t>
  </si>
  <si>
    <t xml:space="preserve">Ref: BS 5606; Eurocode 7; Structural Engineer's monitoring requirements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</si>
  <si>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</si>
  <si>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</si>
  <si>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</si>
  <si>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</si>
  <si>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</si>
  <si>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Monitoring
Point Ref</t>
  </si>
  <si>
    <t xml:space="preserve">Location</t>
  </si>
  <si>
    <t xml:space="preserve">Structure /
Element</t>
  </si>
  <si>
    <t xml:space="preserve">Baseline
Level
(mAOD)</t>
  </si>
  <si>
    <t xml:space="preserve">Current
Level
(mAOD)</t>
  </si>
  <si>
    <t xml:space="preserve">Settlement
(mm)</t>
  </si>
  <si>
    <t xml:space="preserve">Cumulative
Settlement
(mm)</t>
  </si>
  <si>
    <t xml:space="preserve">Trigger
Level 1
(mm)</t>
  </si>
  <si>
    <t xml:space="preserve">Trigger
Level 2
(mm)</t>
  </si>
  <si>
    <t xml:space="preserve">Trigger
Breached?
(No/TL1/TL2)</t>
  </si>
  <si>
    <t xml:space="preserve">Monitored By</t>
  </si>
  <si>
    <t xml:space="preserve">Comments</t>
  </si>
  <si>
    <t xml:space="preserve">SUMMARY</t>
  </si>
  <si>
    <t xml:space="preserve">Total Points:</t>
  </si>
  <si>
    <t xml:space="preserve">TL1 Breached:</t>
  </si>
  <si>
    <t xml:space="preserve">TL2 Breached:</t>
  </si>
  <si>
    <t xml:space="preserve">INSTRUCTIONS — SETTLEMENT MONITORING RECORD LOG</t>
  </si>
  <si>
    <t xml:space="preserve">How to Use</t>
  </si>
  <si>
    <t xml:space="preserve">1. Record settlement monitoring at each survey point.</t>
  </si>
  <si>
    <t xml:space="preserve">2. Settlement auto-calculates from baseline vs current level.</t>
  </si>
  <si>
    <t xml:space="preserve">3. Compare against trigger levels — TL2 breach requires immediate action.</t>
  </si>
  <si>
    <t xml:space="preserve">References:</t>
  </si>
  <si>
    <t xml:space="preserve">  Eurocode 7 — Geotechnical Design</t>
  </si>
  <si>
    <t xml:space="preserve">  BS 5606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</si>
</sst>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0"/>
    <col collapsed="false" customWidth="true" hidden="false" outlineLevel="0" max="5" min="4" style="0" width="14"/>
    <col collapsed="false" customWidth="true" hidden="false" outlineLevel="0" max="11" min="6" style="0" width="10"/>
    <col collapsed="false" customWidth="true" hidden="false" outlineLevel="0" max="13" min="12" style="0" width="12"/>
    <col collapsed="false" customWidth="true" hidden="false" outlineLevel="0" max="14" min="14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9" t="str">
        <f aca="false">IF(OR(F7="",G7=""),"",ROUND((F7-G7)*1000,1))</f>
        <v/>
      </c>
      <c r="I7" s="8"/>
      <c r="J7" s="8"/>
      <c r="K7" s="8"/>
      <c r="L7" s="8"/>
      <c r="M7" s="8"/>
      <c r="N7" s="8"/>
    </row>
    <row r="8" customFormat="false" ht="21.75" hidden="false" customHeight="true" outlineLevel="0" collapsed="false">
      <c r="A8" s="10" t="n">
        <v>2</v>
      </c>
      <c r="B8" s="5"/>
      <c r="C8" s="5"/>
      <c r="D8" s="5"/>
      <c r="E8" s="8"/>
      <c r="F8" s="8"/>
      <c r="G8" s="8"/>
      <c r="H8" s="11" t="str">
        <f aca="false">IF(OR(F8="",G8=""),"",ROUND((F8-G8)*1000,1))</f>
        <v/>
      </c>
      <c r="I8" s="8"/>
      <c r="J8" s="8"/>
      <c r="K8" s="8"/>
      <c r="L8" s="8"/>
      <c r="M8" s="8"/>
      <c r="N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9" t="str">
        <f aca="false">IF(OR(F9="",G9=""),"",ROUND((F9-G9)*1000,1))</f>
        <v/>
      </c>
      <c r="I9" s="8"/>
      <c r="J9" s="8"/>
      <c r="K9" s="8"/>
      <c r="L9" s="8"/>
      <c r="M9" s="8"/>
      <c r="N9" s="8"/>
    </row>
    <row r="10" customFormat="false" ht="21.75" hidden="false" customHeight="true" outlineLevel="0" collapsed="false">
      <c r="A10" s="10" t="n">
        <v>4</v>
      </c>
      <c r="B10" s="5"/>
      <c r="C10" s="5"/>
      <c r="D10" s="5"/>
      <c r="E10" s="8"/>
      <c r="F10" s="8"/>
      <c r="G10" s="8"/>
      <c r="H10" s="11" t="str">
        <f aca="false">IF(OR(F10="",G10=""),"",ROUND((F10-G10)*1000,1))</f>
        <v/>
      </c>
      <c r="I10" s="8"/>
      <c r="J10" s="8"/>
      <c r="K10" s="8"/>
      <c r="L10" s="8"/>
      <c r="M10" s="8"/>
      <c r="N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9" t="str">
        <f aca="false">IF(OR(F11="",G11=""),"",ROUND((F11-G11)*1000,1))</f>
        <v/>
      </c>
      <c r="I11" s="8"/>
      <c r="J11" s="8"/>
      <c r="K11" s="8"/>
      <c r="L11" s="8"/>
      <c r="M11" s="8"/>
      <c r="N11" s="8"/>
    </row>
    <row r="12" customFormat="false" ht="21.75" hidden="false" customHeight="true" outlineLevel="0" collapsed="false">
      <c r="A12" s="10" t="n">
        <v>6</v>
      </c>
      <c r="B12" s="5"/>
      <c r="C12" s="5"/>
      <c r="D12" s="5"/>
      <c r="E12" s="8"/>
      <c r="F12" s="8"/>
      <c r="G12" s="8"/>
      <c r="H12" s="11" t="str">
        <f aca="false">IF(OR(F12="",G12=""),"",ROUND((F12-G12)*1000,1))</f>
        <v/>
      </c>
      <c r="I12" s="8"/>
      <c r="J12" s="8"/>
      <c r="K12" s="8"/>
      <c r="L12" s="8"/>
      <c r="M12" s="8"/>
      <c r="N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9" t="str">
        <f aca="false">IF(OR(F13="",G13=""),"",ROUND((F13-G13)*1000,1))</f>
        <v/>
      </c>
      <c r="I13" s="8"/>
      <c r="J13" s="8"/>
      <c r="K13" s="8"/>
      <c r="L13" s="8"/>
      <c r="M13" s="8"/>
      <c r="N13" s="8"/>
    </row>
    <row r="14" customFormat="false" ht="21.75" hidden="false" customHeight="true" outlineLevel="0" collapsed="false">
      <c r="A14" s="10" t="n">
        <v>8</v>
      </c>
      <c r="B14" s="5"/>
      <c r="C14" s="5"/>
      <c r="D14" s="5"/>
      <c r="E14" s="8"/>
      <c r="F14" s="8"/>
      <c r="G14" s="8"/>
      <c r="H14" s="11" t="str">
        <f aca="false">IF(OR(F14="",G14=""),"",ROUND((F14-G14)*1000,1))</f>
        <v/>
      </c>
      <c r="I14" s="8"/>
      <c r="J14" s="8"/>
      <c r="K14" s="8"/>
      <c r="L14" s="8"/>
      <c r="M14" s="8"/>
      <c r="N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9" t="str">
        <f aca="false">IF(OR(F15="",G15=""),"",ROUND((F15-G15)*1000,1))</f>
        <v/>
      </c>
      <c r="I15" s="8"/>
      <c r="J15" s="8"/>
      <c r="K15" s="8"/>
      <c r="L15" s="8"/>
      <c r="M15" s="8"/>
      <c r="N15" s="8"/>
    </row>
    <row r="16" customFormat="false" ht="21.75" hidden="false" customHeight="true" outlineLevel="0" collapsed="false">
      <c r="A16" s="10" t="n">
        <v>10</v>
      </c>
      <c r="B16" s="5"/>
      <c r="C16" s="5"/>
      <c r="D16" s="5"/>
      <c r="E16" s="8"/>
      <c r="F16" s="8"/>
      <c r="G16" s="8"/>
      <c r="H16" s="11" t="str">
        <f aca="false">IF(OR(F16="",G16=""),"",ROUND((F16-G16)*1000,1))</f>
        <v/>
      </c>
      <c r="I16" s="8"/>
      <c r="J16" s="8"/>
      <c r="K16" s="8"/>
      <c r="L16" s="8"/>
      <c r="M16" s="8"/>
      <c r="N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9" t="str">
        <f aca="false">IF(OR(F17="",G17=""),"",ROUND((F17-G17)*1000,1))</f>
        <v/>
      </c>
      <c r="I17" s="8"/>
      <c r="J17" s="8"/>
      <c r="K17" s="8"/>
      <c r="L17" s="8"/>
      <c r="M17" s="8"/>
      <c r="N17" s="8"/>
    </row>
    <row r="18" customFormat="false" ht="21.75" hidden="false" customHeight="true" outlineLevel="0" collapsed="false">
      <c r="A18" s="10" t="n">
        <v>12</v>
      </c>
      <c r="B18" s="5"/>
      <c r="C18" s="5"/>
      <c r="D18" s="5"/>
      <c r="E18" s="8"/>
      <c r="F18" s="8"/>
      <c r="G18" s="8"/>
      <c r="H18" s="11" t="str">
        <f aca="false">IF(OR(F18="",G18=""),"",ROUND((F18-G18)*1000,1))</f>
        <v/>
      </c>
      <c r="I18" s="8"/>
      <c r="J18" s="8"/>
      <c r="K18" s="8"/>
      <c r="L18" s="8"/>
      <c r="M18" s="8"/>
      <c r="N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9" t="str">
        <f aca="false">IF(OR(F19="",G19=""),"",ROUND((F19-G19)*1000,1))</f>
        <v/>
      </c>
      <c r="I19" s="8"/>
      <c r="J19" s="8"/>
      <c r="K19" s="8"/>
      <c r="L19" s="8"/>
      <c r="M19" s="8"/>
      <c r="N19" s="8"/>
    </row>
    <row r="20" customFormat="false" ht="21.75" hidden="false" customHeight="true" outlineLevel="0" collapsed="false">
      <c r="A20" s="10" t="n">
        <v>14</v>
      </c>
      <c r="B20" s="5"/>
      <c r="C20" s="5"/>
      <c r="D20" s="5"/>
      <c r="E20" s="8"/>
      <c r="F20" s="8"/>
      <c r="G20" s="8"/>
      <c r="H20" s="11" t="str">
        <f aca="false">IF(OR(F20="",G20=""),"",ROUND((F20-G20)*1000,1))</f>
        <v/>
      </c>
      <c r="I20" s="8"/>
      <c r="J20" s="8"/>
      <c r="K20" s="8"/>
      <c r="L20" s="8"/>
      <c r="M20" s="8"/>
      <c r="N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9" t="str">
        <f aca="false">IF(OR(F21="",G21=""),"",ROUND((F21-G21)*1000,1))</f>
        <v/>
      </c>
      <c r="I21" s="8"/>
      <c r="J21" s="8"/>
      <c r="K21" s="8"/>
      <c r="L21" s="8"/>
      <c r="M21" s="8"/>
      <c r="N21" s="8"/>
    </row>
    <row r="22" customFormat="false" ht="21.75" hidden="false" customHeight="true" outlineLevel="0" collapsed="false">
      <c r="A22" s="10" t="n">
        <v>16</v>
      </c>
      <c r="B22" s="5"/>
      <c r="C22" s="5"/>
      <c r="D22" s="5"/>
      <c r="E22" s="8"/>
      <c r="F22" s="8"/>
      <c r="G22" s="8"/>
      <c r="H22" s="11" t="str">
        <f aca="false">IF(OR(F22="",G22=""),"",ROUND((F22-G22)*1000,1))</f>
        <v/>
      </c>
      <c r="I22" s="8"/>
      <c r="J22" s="8"/>
      <c r="K22" s="8"/>
      <c r="L22" s="8"/>
      <c r="M22" s="8"/>
      <c r="N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9" t="str">
        <f aca="false">IF(OR(F23="",G23=""),"",ROUND((F23-G23)*1000,1))</f>
        <v/>
      </c>
      <c r="I23" s="8"/>
      <c r="J23" s="8"/>
      <c r="K23" s="8"/>
      <c r="L23" s="8"/>
      <c r="M23" s="8"/>
      <c r="N23" s="8"/>
    </row>
    <row r="24" customFormat="false" ht="21.75" hidden="false" customHeight="true" outlineLevel="0" collapsed="false">
      <c r="A24" s="10" t="n">
        <v>18</v>
      </c>
      <c r="B24" s="5"/>
      <c r="C24" s="5"/>
      <c r="D24" s="5"/>
      <c r="E24" s="8"/>
      <c r="F24" s="8"/>
      <c r="G24" s="8"/>
      <c r="H24" s="11" t="str">
        <f aca="false">IF(OR(F24="",G24=""),"",ROUND((F24-G24)*1000,1))</f>
        <v/>
      </c>
      <c r="I24" s="8"/>
      <c r="J24" s="8"/>
      <c r="K24" s="8"/>
      <c r="L24" s="8"/>
      <c r="M24" s="8"/>
      <c r="N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9" t="str">
        <f aca="false">IF(OR(F25="",G25=""),"",ROUND((F25-G25)*1000,1))</f>
        <v/>
      </c>
      <c r="I25" s="8"/>
      <c r="J25" s="8"/>
      <c r="K25" s="8"/>
      <c r="L25" s="8"/>
      <c r="M25" s="8"/>
      <c r="N25" s="8"/>
    </row>
    <row r="26" customFormat="false" ht="21.75" hidden="false" customHeight="true" outlineLevel="0" collapsed="false">
      <c r="A26" s="10" t="n">
        <v>20</v>
      </c>
      <c r="B26" s="5"/>
      <c r="C26" s="5"/>
      <c r="D26" s="5"/>
      <c r="E26" s="8"/>
      <c r="F26" s="8"/>
      <c r="G26" s="8"/>
      <c r="H26" s="11" t="str">
        <f aca="false">IF(OR(F26="",G26=""),"",ROUND((F26-G26)*1000,1))</f>
        <v/>
      </c>
      <c r="I26" s="8"/>
      <c r="J26" s="8"/>
      <c r="K26" s="8"/>
      <c r="L26" s="8"/>
      <c r="M26" s="8"/>
      <c r="N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9" t="str">
        <f aca="false">IF(OR(F27="",G27=""),"",ROUND((F27-G27)*1000,1))</f>
        <v/>
      </c>
      <c r="I27" s="8"/>
      <c r="J27" s="8"/>
      <c r="K27" s="8"/>
      <c r="L27" s="8"/>
      <c r="M27" s="8"/>
      <c r="N27" s="8"/>
    </row>
    <row r="28" customFormat="false" ht="21.75" hidden="false" customHeight="true" outlineLevel="0" collapsed="false">
      <c r="A28" s="10" t="n">
        <v>22</v>
      </c>
      <c r="B28" s="5"/>
      <c r="C28" s="5"/>
      <c r="D28" s="5"/>
      <c r="E28" s="8"/>
      <c r="F28" s="8"/>
      <c r="G28" s="8"/>
      <c r="H28" s="11" t="str">
        <f aca="false">IF(OR(F28="",G28=""),"",ROUND((F28-G28)*1000,1))</f>
        <v/>
      </c>
      <c r="I28" s="8"/>
      <c r="J28" s="8"/>
      <c r="K28" s="8"/>
      <c r="L28" s="8"/>
      <c r="M28" s="8"/>
      <c r="N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9" t="str">
        <f aca="false">IF(OR(F29="",G29=""),"",ROUND((F29-G29)*1000,1))</f>
        <v/>
      </c>
      <c r="I29" s="8"/>
      <c r="J29" s="8"/>
      <c r="K29" s="8"/>
      <c r="L29" s="8"/>
      <c r="M29" s="8"/>
      <c r="N29" s="8"/>
    </row>
    <row r="30" customFormat="false" ht="21.75" hidden="false" customHeight="true" outlineLevel="0" collapsed="false">
      <c r="A30" s="10" t="n">
        <v>24</v>
      </c>
      <c r="B30" s="5"/>
      <c r="C30" s="5"/>
      <c r="D30" s="5"/>
      <c r="E30" s="8"/>
      <c r="F30" s="8"/>
      <c r="G30" s="8"/>
      <c r="H30" s="11" t="str">
        <f aca="false">IF(OR(F30="",G30=""),"",ROUND((F30-G30)*1000,1))</f>
        <v/>
      </c>
      <c r="I30" s="8"/>
      <c r="J30" s="8"/>
      <c r="K30" s="8"/>
      <c r="L30" s="8"/>
      <c r="M30" s="8"/>
      <c r="N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9" t="str">
        <f aca="false">IF(OR(F31="",G31=""),"",ROUND((F31-G31)*1000,1))</f>
        <v/>
      </c>
      <c r="I31" s="8"/>
      <c r="J31" s="8"/>
      <c r="K31" s="8"/>
      <c r="L31" s="8"/>
      <c r="M31" s="8"/>
      <c r="N31" s="8"/>
    </row>
    <row r="33" customFormat="false" ht="15" hidden="false" customHeight="true" outlineLevel="0" collapsed="false">
      <c r="A33" s="12" t="s">
        <v>20</v>
      </c>
      <c r="B33" s="12"/>
      <c r="C33" s="12"/>
    </row>
    <row r="34" customFormat="false" ht="15" hidden="false" customHeight="true" outlineLevel="0" collapsed="false">
      <c r="A34" s="4" t="s">
        <v>21</v>
      </c>
      <c r="B34" s="4"/>
      <c r="C34" s="13" t="n">
        <f aca="false">COUNTA(C7:C31)</f>
        <v>0</v>
      </c>
    </row>
    <row r="35" customFormat="false" ht="15" hidden="false" customHeight="true" outlineLevel="0" collapsed="false">
      <c r="A35" s="4" t="s">
        <v>22</v>
      </c>
      <c r="B35" s="4"/>
      <c r="C35" s="13" t="n">
        <f aca="false">COUNTIF(L7:L31,"TL1*")</f>
        <v>0</v>
      </c>
    </row>
    <row r="36" customFormat="false" ht="15" hidden="false" customHeight="true" outlineLevel="0" collapsed="false">
      <c r="A36" s="4" t="s">
        <v>23</v>
      </c>
      <c r="B36" s="4"/>
      <c r="C36" s="13" t="n">
        <f aca="false">COUNTIF(L7:L31,"TL2*")</f>
        <v>0</v>
      </c>
    </row>
  </sheetData>
  <autoFilter ref="A6:N31"/>
  <mergeCells count="9">
    <mergeCell ref="A1:N1"/>
    <mergeCell ref="A2:N2"/>
    <mergeCell ref="A3:N3"/>
    <mergeCell ref="B4:D4"/>
    <mergeCell ref="F4:H4"/>
    <mergeCell ref="A33:C33"/>
    <mergeCell ref="A34:B34"/>
    <mergeCell ref="A35:B35"/>
    <mergeCell ref="A36:B36"/>
  </mergeCells>
  <conditionalFormatting sqref="L7:L31">
    <cfRule type="cellIs" priority="2" operator="equal" aboveAverage="0" equalAverage="0" bottom="0" percent="0" rank="0" text="" dxfId="6">
      <formula>"TL2 (Red)"</formula>
    </cfRule>
    <cfRule type="cellIs" priority="3" operator="equal" aboveAverage="0" equalAverage="0" bottom="0" percent="0" rank="0" text="" dxfId="7">
      <formula>"TL1 (Amber)"</formula>
    </cfRule>
    <cfRule type="cellIs" priority="4" operator="equal" aboveAverage="0" equalAverage="0" bottom="0" percent="0" rank="0" text="" dxfId="8">
      <formula>"No"</formula>
    </cfRule>
  </conditionalFormatting>
  <dataValidations count="1">
    <dataValidation allowBlank="true" errorStyle="stop" operator="between" showDropDown="false" showErrorMessage="false" showInputMessage="false" sqref="L7:L31" type="list">
      <formula1>"No,TL1 (Amber),TL2 (Red)"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24</v>
      </c>
      <c r="B2" s="2"/>
    </row>
    <row r="4" customFormat="false" ht="15" hidden="false" customHeight="false" outlineLevel="0" collapsed="false">
      <c r="B4" s="12" t="s">
        <v>25</v>
      </c>
    </row>
    <row r="5" customFormat="false" ht="15" hidden="false" customHeight="false" outlineLevel="0" collapsed="false">
      <c r="B5" s="14"/>
    </row>
    <row r="6" customFormat="false" ht="15" hidden="false" customHeight="false" outlineLevel="0" collapsed="false">
      <c r="B6" s="14" t="s">
        <v>26</v>
      </c>
    </row>
    <row r="7" customFormat="false" ht="15" hidden="false" customHeight="false" outlineLevel="0" collapsed="false">
      <c r="B7" s="14" t="s">
        <v>27</v>
      </c>
    </row>
    <row r="8" customFormat="false" ht="15" hidden="false" customHeight="false" outlineLevel="0" collapsed="false">
      <c r="B8" s="14" t="s">
        <v>28</v>
      </c>
    </row>
    <row r="9" customFormat="false" ht="15" hidden="false" customHeight="false" outlineLevel="0" collapsed="false">
      <c r="B9" s="14"/>
    </row>
    <row r="10" customFormat="false" ht="15" hidden="false" customHeight="false" outlineLevel="0" collapsed="false">
      <c r="B10" s="12" t="s">
        <v>29</v>
      </c>
    </row>
    <row r="11" customFormat="false" ht="15" hidden="false" customHeight="false" outlineLevel="0" collapsed="false">
      <c r="B11" s="3" t="s">
        <v>30</v>
      </c>
    </row>
    <row r="12" customFormat="false" ht="15" hidden="false" customHeight="false" outlineLevel="0" collapsed="false">
      <c r="B12" s="3" t="s">
        <v>31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2026-03-27T17:37:39Z</dcterms:created>
  <dc:creator>openpyxl</dc:creator>
  <dc:description/>
  <dc:language>en-US</dc:language>
  <cp:lastModifiedBy/>
  <dcterms:modified xsi:type="dcterms:W3CDTF">2026-03-27T17:37:39Z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