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Fire Extinguisher Checklist"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'Fire Extinguisher Checklist'!$A$1:$J$58</definedName>
    <definedName function="false" hidden="true" localSheetId="2" name="_xlnm._FilterDatabase" vbProcedure="false">'Fire Extinguisher Checklist'!$A$8:$R$8</definedName>
    <definedName function="false" hidden="false" localSheetId="1" name="_xlnm.Print_Area" vbProcedure="false">Instructions!$A$1:$F$30</definedName>
    <definedName function="false" hidden="false" name="DataTable" vbProcedure="false">'Fire Extinguisher Checklist'!$A$8:$R$508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<sst xmlns="http://schemas.openxmlformats.org/spreadsheetml/2006/main" count="146" uniqueCount="108">
  <si>
    <t xml:space="preserve">EBRORA</t>
  </si>
  <si>
    <t xml:space="preserve">ebrora.com</t>
  </si>
  <si>
    <t xml:space="preserve">Fire Extinguisher Inspection Checklist</t>
  </si>
  <si>
    <t xml:space="preserve">Track and inspect all fire extinguishers on site — monthly visual checks, service dates, condition, and compliance in one register.</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</si>
  <si>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</si>
  <si>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</si>
  <si>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</si>
  <si>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</si>
  <si>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</si>
  <si>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“Fire Extinguisher Checklist” tab. Each row represents one extinguisher on site.</t>
  </si>
  <si>
    <t xml:space="preserve">2.</t>
  </si>
  <si>
    <t xml:space="preserve">Enter the Extinguisher No. (usually the asset tag or site reference number) and its Location (e.g. “Block A, Ground Floor, Main Corridor”).</t>
  </si>
  <si>
    <t xml:space="preserve">3.</t>
  </si>
  <si>
    <t xml:space="preserve">Select the extinguisher Type from the dropdown: Water, Foam, CO2, Dry Powder, or Wet Chemical.</t>
  </si>
  <si>
    <t xml:space="preserve">4.</t>
  </si>
  <si>
    <t xml:space="preserve">When carrying out your monthly visual inspection, enter the Date of Inspection and work through the check columns:</t>
  </si>
  <si>
    <t xml:space="preserve">  • Pressure Gauge OK — is the needle in the green zone?</t>
  </si>
  <si>
    <t xml:space="preserve">  • Pin &amp; Tamper Seal Intact — is the safety pin in place and the tamper seal unbroken?</t>
  </si>
  <si>
    <t xml:space="preserve">5.</t>
  </si>
  <si>
    <t xml:space="preserve">Select the overall Condition: Good (no issues), Fair (minor cosmetic issues, still serviceable), or Poor (damaged, corroded, or discharged — needs immediate action).</t>
  </si>
  <si>
    <t xml:space="preserve">6.</t>
  </si>
  <si>
    <t xml:space="preserve">If any check fails or condition is Fair/Poor, describe the action required in the “Action Required” column.</t>
  </si>
  <si>
    <t xml:space="preserve">7.</t>
  </si>
  <si>
    <t xml:space="preserve">Enter the inspector’s name in “Inspected By” and set the Next Inspection Due date (typically one month from today).</t>
  </si>
  <si>
    <t xml:space="preserve">8.</t>
  </si>
  <si>
    <t xml:space="preserve">For additional tracking, click the [+] button above the optional columns to expand: Manufacture Date, Last Service Date, Service Due Date, Weight (kg), Bracket/Stand Secure, Signage Visible, Access Clear, and Notes.</t>
  </si>
  <si>
    <t xml:space="preserve">9.</t>
  </si>
  <si>
    <t xml:space="preserve">The summary dashboard at the top auto-calculates totals, pass rate, failed checks, overdue inspections, overdue services, and a breakdown by type and condition.</t>
  </si>
  <si>
    <t xml:space="preserve">Colour Key</t>
  </si>
  <si>
    <t xml:space="preserve">•</t>
  </si>
  <si>
    <t xml:space="preserve">Light teal cells (#E8F6F7) = User input / editable fields. Type directly into these.</t>
  </si>
  <si>
    <t xml:space="preserve">Dark navy headers (#1B2A4A) = Column headers. Do not edit.</t>
  </si>
  <si>
    <t xml:space="preserve">Green cell in Condition = Good. Amber = Fair. Red = Poor.</t>
  </si>
  <si>
    <t xml:space="preserve">Red cell in any Y/N column = “No” — that check has failed and needs action.</t>
  </si>
  <si>
    <t xml:space="preserve">Red cell in Next Inspection Due = Overdue (date has passed).</t>
  </si>
  <si>
    <t xml:space="preserve">Amber cell in Next Inspection Due = Due within the next 7 days.</t>
  </si>
  <si>
    <t xml:space="preserve">Red cell in Service Due Date = Service overdue. Amber = Due within 30 days.</t>
  </si>
  <si>
    <t xml:space="preserve">Tips</t>
  </si>
  <si>
    <t xml:space="preserve">Carry out visual inspections monthly as a minimum. The Regulatory Reform (Fire Safety) Order 2005 requires the responsible person to maintain firefighting equipment in working order.</t>
  </si>
  <si>
    <t xml:space="preserve">All extinguishers must be professionally serviced annually by a competent person (BS 5306-3). Track this in the Service Due Date optional column.</t>
  </si>
  <si>
    <t xml:space="preserve">Keep this register updated every inspection round. Print a copy for your fire safety file and site noticeboard.</t>
  </si>
  <si>
    <t xml:space="preserve">FIRE EXTINGUISHER INSPECTION CHECKLIST</t>
  </si>
  <si>
    <t xml:space="preserve">Total Extinguishers:</t>
  </si>
  <si>
    <t xml:space="preserve">Pass Rate (Good):</t>
  </si>
  <si>
    <t xml:space="preserve">Water:</t>
  </si>
  <si>
    <t xml:space="preserve">Foam:</t>
  </si>
  <si>
    <t xml:space="preserve">CO2:</t>
  </si>
  <si>
    <t xml:space="preserve">Dry Powder:</t>
  </si>
  <si>
    <t xml:space="preserve">Wet Chemical:</t>
  </si>
  <si>
    <t xml:space="preserve">Good:</t>
  </si>
  <si>
    <t xml:space="preserve">Fair:</t>
  </si>
  <si>
    <t xml:space="preserve">Poor:</t>
  </si>
  <si>
    <t xml:space="preserve">Failed Checks (any No):</t>
  </si>
  <si>
    <t xml:space="preserve">Overdue Inspections:</t>
  </si>
  <si>
    <t xml:space="preserve">Overdue Services:</t>
  </si>
  <si>
    <t xml:space="preserve">▸ Optional Fields — Click [+] to expand</t>
  </si>
  <si>
    <t xml:space="preserve">Extinguisher No.</t>
  </si>
  <si>
    <t xml:space="preserve">Location</t>
  </si>
  <si>
    <t xml:space="preserve">Type</t>
  </si>
  <si>
    <t xml:space="preserve">Date of Inspection</t>
  </si>
  <si>
    <t xml:space="preserve">Pressure Gauge OK</t>
  </si>
  <si>
    <t xml:space="preserve">Pin &amp; Tamper Seal Intact</t>
  </si>
  <si>
    <t xml:space="preserve">Condition</t>
  </si>
  <si>
    <t xml:space="preserve">Action Required</t>
  </si>
  <si>
    <t xml:space="preserve">Inspected By</t>
  </si>
  <si>
    <t xml:space="preserve">Next Inspection Due</t>
  </si>
  <si>
    <t xml:space="preserve">Manufacture Date</t>
  </si>
  <si>
    <t xml:space="preserve">Last Service Date</t>
  </si>
  <si>
    <t xml:space="preserve">Service Due Date</t>
  </si>
  <si>
    <t xml:space="preserve">Weight (kg)</t>
  </si>
  <si>
    <t xml:space="preserve">Bracket / Stand Secure</t>
  </si>
  <si>
    <t xml:space="preserve">Signage Visible</t>
  </si>
  <si>
    <t xml:space="preserve">Access Clear</t>
  </si>
  <si>
    <t xml:space="preserve">Notes</t>
  </si>
  <si>
    <t xml:space="preserve">FE-001</t>
  </si>
  <si>
    <t xml:space="preserve">Block A, Ground Floor, Main Corridor</t>
  </si>
  <si>
    <t xml:space="preserve">Water</t>
  </si>
  <si>
    <t xml:space="preserve">Yes</t>
  </si>
  <si>
    <t xml:space="preserve">Good</t>
  </si>
  <si>
    <t xml:space="preserve">M. Davies</t>
  </si>
  <si>
    <t xml:space="preserve">FE-002</t>
  </si>
  <si>
    <t xml:space="preserve">Block A, Level 1, Stairwell North</t>
  </si>
  <si>
    <t xml:space="preserve">CO2</t>
  </si>
  <si>
    <t xml:space="preserve">FE-003</t>
  </si>
  <si>
    <t xml:space="preserve">Block B, Ground Floor, Plant Room Entrance</t>
  </si>
  <si>
    <t xml:space="preserve">Dry Powder</t>
  </si>
  <si>
    <t xml:space="preserve">No</t>
  </si>
  <si>
    <t xml:space="preserve">Fair</t>
  </si>
  <si>
    <t xml:space="preserve">Tamper seal broken — replace seal and re-inspect</t>
  </si>
  <si>
    <t xml:space="preserve">Tamper seal appears to have been pulled but pin still in place. No sign of discharge.</t>
  </si>
  <si>
    <t xml:space="preserve">FE-004</t>
  </si>
  <si>
    <t xml:space="preserve">Site Welfare Cabin, Kitchen Area</t>
  </si>
  <si>
    <t xml:space="preserve">Wet Chemical</t>
  </si>
  <si>
    <t xml:space="preserve">FE-005</t>
  </si>
  <si>
    <t xml:space="preserve">Block C, External Steel Store</t>
  </si>
  <si>
    <t xml:space="preserve">Foam</t>
  </si>
  <si>
    <t xml:space="preserve">Poor</t>
  </si>
  <si>
    <t xml:space="preserve">Pressure gauge in red zone — remove from service, replace immediately</t>
  </si>
  <si>
    <t xml:space="preserve">Extinguisher blocked by stored materials. Signage obscured. Pressure loss indicates possible slow leak. Flagged for replacement.</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</si>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</sst>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dd/mm/yyyy"/>
    <numFmt numFmtId="168" formatCode="0.0"/>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006100"/>
      <name val="Calibri"/>
      <family val="0"/>
      <charset val="1"/>
    </font>
    <font>
      <b val="true"/>
      <sz val="10"/>
      <color rgb="FF9C6500"/>
      <name val="Calibri"/>
      <family val="0"/>
      <charset val="1"/>
    </font>
    <font>
      <b val="true"/>
      <sz val="10"/>
      <color rgb="FF9C0006"/>
      <name val="Calibri"/>
      <family val="0"/>
      <charset val="1"/>
    </font>
    <font>
      <b val="true"/>
      <sz val="10"/>
      <color rgb="FFFF0000"/>
      <name val="Calibri"/>
      <family val="0"/>
      <charset val="1"/>
    </font>
    <font>
      <b val="true"/>
      <sz val="9"/>
      <color rgb="FF2AABB3"/>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4" fontId="19" fillId="4" borderId="0"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7" fontId="12" fillId="4" borderId="2" xfId="0" applyFont="true" applyBorder="true" applyAlignment="true" applyProtection="false">
      <alignment horizontal="left" vertical="center" textRotation="0" wrapText="true" indent="0" shrinkToFit="false"/>
      <protection locked="true" hidden="false"/>
    </xf>
    <xf numFmtId="168" fontId="12" fillId="4" borderId="2"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B2A4A"/>
          <bgColor rgb="FF000000"/>
        </patternFill>
      </fill>
    </dxf>
    <dxf>
      <fill>
        <patternFill patternType="solid">
          <fgColor rgb="FFFFFFFF"/>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15" hidden="false" customHeight="true" outlineLevel="0" collapsed="false">
      <c r="A7" s="10" t="s">
        <v>12</v>
      </c>
      <c r="B7" s="11" t="s">
        <v>13</v>
      </c>
      <c r="C7" s="11"/>
      <c r="D7" s="11"/>
      <c r="E7" s="11"/>
      <c r="F7" s="11"/>
      <c r="G7" s="2"/>
      <c r="H7" s="2"/>
    </row>
    <row r="8" customFormat="false" ht="15" hidden="false" customHeight="true" outlineLevel="0" collapsed="false">
      <c r="A8" s="10" t="s">
        <v>14</v>
      </c>
      <c r="B8" s="11" t="s">
        <v>15</v>
      </c>
      <c r="C8" s="11"/>
      <c r="D8" s="11"/>
      <c r="E8" s="11"/>
      <c r="F8" s="11"/>
      <c r="G8" s="2"/>
      <c r="H8" s="2"/>
    </row>
    <row r="9" customFormat="false" ht="15" hidden="false" customHeight="true" outlineLevel="0" collapsed="false">
      <c r="A9" s="2"/>
      <c r="B9" s="11" t="s">
        <v>16</v>
      </c>
      <c r="C9" s="11"/>
      <c r="D9" s="11"/>
      <c r="E9" s="11"/>
      <c r="F9" s="11"/>
      <c r="G9" s="2"/>
      <c r="H9" s="2"/>
    </row>
    <row r="10" customFormat="false" ht="15" hidden="false" customHeight="true" outlineLevel="0" collapsed="false">
      <c r="A10" s="2"/>
      <c r="B10" s="11" t="s">
        <v>17</v>
      </c>
      <c r="C10" s="11"/>
      <c r="D10" s="11"/>
      <c r="E10" s="11"/>
      <c r="F10" s="11"/>
      <c r="G10" s="2"/>
      <c r="H10" s="2"/>
    </row>
    <row r="11" customFormat="false" ht="15" hidden="false" customHeight="true" outlineLevel="0" collapsed="false">
      <c r="A11" s="10" t="s">
        <v>18</v>
      </c>
      <c r="B11" s="11" t="s">
        <v>19</v>
      </c>
      <c r="C11" s="11"/>
      <c r="D11" s="11"/>
      <c r="E11" s="11"/>
      <c r="F11" s="11"/>
      <c r="G11" s="2"/>
      <c r="H11" s="2"/>
    </row>
    <row r="12" customFormat="false" ht="15" hidden="false" customHeight="true" outlineLevel="0" collapsed="false">
      <c r="A12" s="10" t="s">
        <v>20</v>
      </c>
      <c r="B12" s="11" t="s">
        <v>21</v>
      </c>
      <c r="C12" s="11"/>
      <c r="D12" s="11"/>
      <c r="E12" s="11"/>
      <c r="F12" s="11"/>
      <c r="G12" s="2"/>
      <c r="H12" s="2"/>
    </row>
    <row r="13" customFormat="false" ht="15" hidden="false" customHeight="true" outlineLevel="0" collapsed="false">
      <c r="A13" s="10" t="s">
        <v>22</v>
      </c>
      <c r="B13" s="11" t="s">
        <v>23</v>
      </c>
      <c r="C13" s="11"/>
      <c r="D13" s="11"/>
      <c r="E13" s="11"/>
      <c r="F13" s="11"/>
      <c r="G13" s="2"/>
      <c r="H13" s="2"/>
    </row>
    <row r="14" customFormat="false" ht="23.85" hidden="false" customHeight="true" outlineLevel="0" collapsed="false">
      <c r="A14" s="10" t="s">
        <v>24</v>
      </c>
      <c r="B14" s="11" t="s">
        <v>25</v>
      </c>
      <c r="C14" s="11"/>
      <c r="D14" s="11"/>
      <c r="E14" s="11"/>
      <c r="F14" s="11"/>
      <c r="G14" s="2"/>
      <c r="H14" s="2"/>
    </row>
    <row r="15" customFormat="false" ht="15" hidden="false" customHeight="true" outlineLevel="0" collapsed="false">
      <c r="A15" s="10" t="s">
        <v>26</v>
      </c>
      <c r="B15" s="11" t="s">
        <v>27</v>
      </c>
      <c r="C15" s="11"/>
      <c r="D15" s="11"/>
      <c r="E15" s="11"/>
      <c r="F15" s="11"/>
      <c r="G15" s="2"/>
      <c r="H15" s="2"/>
    </row>
    <row r="16" customFormat="false" ht="15" hidden="false" customHeight="false" outlineLevel="0" collapsed="false">
      <c r="A16" s="2"/>
      <c r="B16" s="2"/>
      <c r="C16" s="2"/>
      <c r="D16" s="2"/>
      <c r="E16" s="2"/>
      <c r="F16" s="2"/>
      <c r="G16" s="2"/>
      <c r="H16" s="2"/>
    </row>
    <row r="17" customFormat="false" ht="15" hidden="false" customHeight="false" outlineLevel="0" collapsed="false">
      <c r="A17" s="9" t="s">
        <v>28</v>
      </c>
      <c r="B17" s="2"/>
      <c r="C17" s="2"/>
      <c r="D17" s="2"/>
      <c r="E17" s="2"/>
      <c r="F17" s="2"/>
      <c r="G17" s="2"/>
      <c r="H17" s="2"/>
    </row>
    <row r="18" customFormat="false" ht="15" hidden="false" customHeight="true" outlineLevel="0" collapsed="false">
      <c r="A18" s="10" t="s">
        <v>29</v>
      </c>
      <c r="B18" s="11" t="s">
        <v>30</v>
      </c>
      <c r="C18" s="11"/>
      <c r="D18" s="11"/>
      <c r="E18" s="11"/>
      <c r="F18" s="11"/>
      <c r="G18" s="2"/>
      <c r="H18" s="2"/>
    </row>
    <row r="19" customFormat="false" ht="15" hidden="false" customHeight="true" outlineLevel="0" collapsed="false">
      <c r="A19" s="10" t="s">
        <v>29</v>
      </c>
      <c r="B19" s="11" t="s">
        <v>31</v>
      </c>
      <c r="C19" s="11"/>
      <c r="D19" s="11"/>
      <c r="E19" s="11"/>
      <c r="F19" s="11"/>
      <c r="G19" s="2"/>
      <c r="H19" s="2"/>
    </row>
    <row r="20" customFormat="false" ht="15" hidden="false" customHeight="true" outlineLevel="0" collapsed="false">
      <c r="A20" s="10" t="s">
        <v>29</v>
      </c>
      <c r="B20" s="11" t="s">
        <v>32</v>
      </c>
      <c r="C20" s="11"/>
      <c r="D20" s="11"/>
      <c r="E20" s="11"/>
      <c r="F20" s="11"/>
      <c r="G20" s="2"/>
      <c r="H20" s="2"/>
    </row>
    <row r="21" customFormat="false" ht="15" hidden="false" customHeight="true" outlineLevel="0" collapsed="false">
      <c r="A21" s="10" t="s">
        <v>29</v>
      </c>
      <c r="B21" s="11" t="s">
        <v>33</v>
      </c>
      <c r="C21" s="11"/>
      <c r="D21" s="11"/>
      <c r="E21" s="11"/>
      <c r="F21" s="11"/>
      <c r="G21" s="2"/>
      <c r="H21" s="2"/>
    </row>
    <row r="22" customFormat="false" ht="15" hidden="false" customHeight="true" outlineLevel="0" collapsed="false">
      <c r="A22" s="10" t="s">
        <v>29</v>
      </c>
      <c r="B22" s="11" t="s">
        <v>34</v>
      </c>
      <c r="C22" s="11"/>
      <c r="D22" s="11"/>
      <c r="E22" s="11"/>
      <c r="F22" s="11"/>
      <c r="G22" s="2"/>
      <c r="H22" s="2"/>
    </row>
    <row r="23" customFormat="false" ht="15" hidden="false" customHeight="true" outlineLevel="0" collapsed="false">
      <c r="A23" s="10" t="s">
        <v>29</v>
      </c>
      <c r="B23" s="11" t="s">
        <v>35</v>
      </c>
      <c r="C23" s="11"/>
      <c r="D23" s="11"/>
      <c r="E23" s="11"/>
      <c r="F23" s="11"/>
      <c r="G23" s="2"/>
      <c r="H23" s="2"/>
    </row>
    <row r="24" customFormat="false" ht="15" hidden="false" customHeight="true" outlineLevel="0" collapsed="false">
      <c r="A24" s="10" t="s">
        <v>29</v>
      </c>
      <c r="B24" s="11" t="s">
        <v>36</v>
      </c>
      <c r="C24" s="11"/>
      <c r="D24" s="11"/>
      <c r="E24" s="11"/>
      <c r="F24" s="11"/>
      <c r="G24" s="2"/>
      <c r="H24" s="2"/>
    </row>
    <row r="25" customFormat="false" ht="15" hidden="false" customHeight="false" outlineLevel="0" collapsed="false">
      <c r="A25" s="2"/>
      <c r="B25" s="2"/>
      <c r="C25" s="2"/>
      <c r="D25" s="2"/>
      <c r="E25" s="2"/>
      <c r="F25" s="2"/>
      <c r="G25" s="2"/>
      <c r="H25" s="2"/>
    </row>
    <row r="26" customFormat="false" ht="15" hidden="false" customHeight="false" outlineLevel="0" collapsed="false">
      <c r="A26" s="9" t="s">
        <v>37</v>
      </c>
      <c r="B26" s="2"/>
      <c r="C26" s="2"/>
      <c r="D26" s="2"/>
      <c r="E26" s="2"/>
      <c r="F26" s="2"/>
      <c r="G26" s="2"/>
      <c r="H26" s="2"/>
    </row>
    <row r="27" customFormat="false" ht="23.85" hidden="false" customHeight="true" outlineLevel="0" collapsed="false">
      <c r="A27" s="10" t="s">
        <v>29</v>
      </c>
      <c r="B27" s="11" t="s">
        <v>38</v>
      </c>
      <c r="C27" s="11"/>
      <c r="D27" s="11"/>
      <c r="E27" s="11"/>
      <c r="F27" s="11"/>
      <c r="G27" s="2"/>
      <c r="H27" s="2"/>
    </row>
    <row r="28" customFormat="false" ht="15" hidden="false" customHeight="true" outlineLevel="0" collapsed="false">
      <c r="A28" s="10" t="s">
        <v>29</v>
      </c>
      <c r="B28" s="11" t="s">
        <v>39</v>
      </c>
      <c r="C28" s="11"/>
      <c r="D28" s="11"/>
      <c r="E28" s="11"/>
      <c r="F28" s="11"/>
      <c r="G28" s="2"/>
      <c r="H28" s="2"/>
    </row>
    <row r="29" customFormat="false" ht="15" hidden="false" customHeight="true" outlineLevel="0" collapsed="false">
      <c r="A29" s="10" t="s">
        <v>29</v>
      </c>
      <c r="B29" s="11" t="s">
        <v>40</v>
      </c>
      <c r="C29" s="11"/>
      <c r="D29" s="11"/>
      <c r="E29" s="11"/>
      <c r="F29" s="11"/>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2"/>
      <c r="B31" s="2"/>
      <c r="C31" s="2"/>
      <c r="D31" s="2"/>
      <c r="E31" s="2"/>
      <c r="F31" s="2"/>
      <c r="G31" s="2"/>
      <c r="H31" s="2"/>
    </row>
    <row r="32" customFormat="false" ht="15" hidden="false" customHeight="false" outlineLevel="0" collapsed="false">
      <c r="A32" s="2"/>
      <c r="B32" s="2"/>
      <c r="C32" s="2"/>
      <c r="D32" s="2"/>
      <c r="E32" s="2"/>
      <c r="F32" s="2"/>
      <c r="G32" s="2"/>
      <c r="H32" s="2"/>
    </row>
    <row r="33" customFormat="false" ht="15" hidden="false" customHeight="false" outlineLevel="0" collapsed="false">
      <c r="A33" s="2"/>
      <c r="B33" s="2"/>
      <c r="C33" s="2"/>
      <c r="D33" s="2"/>
      <c r="E33" s="2"/>
      <c r="F33" s="2"/>
      <c r="G33" s="2"/>
      <c r="H33" s="2"/>
    </row>
    <row r="34" customFormat="false" ht="15" hidden="false" customHeight="false" outlineLevel="0" collapsed="false">
      <c r="A34" s="2"/>
      <c r="B34" s="2"/>
      <c r="C34" s="2"/>
      <c r="D34" s="2"/>
      <c r="E34" s="2"/>
      <c r="F34" s="2"/>
      <c r="G34" s="2"/>
      <c r="H34" s="2"/>
    </row>
    <row r="35" customFormat="false" ht="15" hidden="false" customHeight="false" outlineLevel="0" collapsed="false">
      <c r="A35" s="2"/>
      <c r="B35" s="2"/>
      <c r="C35" s="2"/>
      <c r="D35" s="2"/>
      <c r="E35" s="2"/>
      <c r="F35" s="2"/>
      <c r="G35" s="2"/>
      <c r="H35" s="2"/>
    </row>
  </sheetData>
  <mergeCells count="22">
    <mergeCell ref="A1:F1"/>
    <mergeCell ref="B5:F5"/>
    <mergeCell ref="B6:F6"/>
    <mergeCell ref="B7:F7"/>
    <mergeCell ref="B8:F8"/>
    <mergeCell ref="B9:F9"/>
    <mergeCell ref="B10:F10"/>
    <mergeCell ref="B11:F11"/>
    <mergeCell ref="B12:F12"/>
    <mergeCell ref="B13:F13"/>
    <mergeCell ref="B14:F14"/>
    <mergeCell ref="B15:F15"/>
    <mergeCell ref="B18:F18"/>
    <mergeCell ref="B19:F19"/>
    <mergeCell ref="B20:F20"/>
    <mergeCell ref="B21:F21"/>
    <mergeCell ref="B22:F22"/>
    <mergeCell ref="B23:F23"/>
    <mergeCell ref="B24:F24"/>
    <mergeCell ref="B27:F27"/>
    <mergeCell ref="B28:F28"/>
    <mergeCell ref="B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6"/>
    <col collapsed="false" customWidth="true" hidden="false" outlineLevel="0" max="2" min="2" style="0" width="28"/>
    <col collapsed="false" customWidth="true" hidden="false" outlineLevel="0" max="3" min="3" style="0" width="15"/>
    <col collapsed="false" customWidth="true" hidden="false" outlineLevel="0" max="5" min="4" style="0" width="16"/>
    <col collapsed="false" customWidth="true" hidden="false" outlineLevel="0" max="6" min="6" style="0" width="18"/>
    <col collapsed="false" customWidth="true" hidden="false" outlineLevel="0" max="7" min="7" style="0" width="14"/>
    <col collapsed="false" customWidth="true" hidden="false" outlineLevel="0" max="8" min="8" style="0" width="30"/>
    <col collapsed="false" customWidth="true" hidden="false" outlineLevel="0" max="10" min="9" style="0" width="18"/>
    <col collapsed="false" customWidth="true" hidden="true" outlineLevel="1" max="18" min="11" style="0" width="16"/>
  </cols>
  <sheetData>
    <row r="1" customFormat="false" ht="17.35" hidden="false" customHeight="false" outlineLevel="0" collapsed="false">
      <c r="A1" s="12" t="s">
        <v>41</v>
      </c>
      <c r="B1" s="12"/>
      <c r="C1" s="12"/>
      <c r="E1" s="13" t="s">
        <v>42</v>
      </c>
      <c r="F1" s="14" t="n">
        <f aca="false">COUNTA(A9:A508)</f>
        <v>5</v>
      </c>
      <c r="H1" s="13" t="s">
        <v>43</v>
      </c>
      <c r="I1" s="15" t="n">
        <f aca="false">IFERROR(COUNTIF(G9:G508,"Good")/COUNTA(G9:G508),"")</f>
        <v>0.6</v>
      </c>
    </row>
    <row r="2" customFormat="false" ht="15" hidden="false" customHeight="false" outlineLevel="0" collapsed="false">
      <c r="E2" s="13" t="s">
        <v>44</v>
      </c>
      <c r="F2" s="14" t="n">
        <f aca="false">COUNTIF(C9:C508,"Water")</f>
        <v>1</v>
      </c>
      <c r="G2" s="13" t="s">
        <v>45</v>
      </c>
      <c r="H2" s="14" t="n">
        <f aca="false">COUNTIF(C9:C508,"Foam")</f>
        <v>1</v>
      </c>
      <c r="I2" s="13" t="s">
        <v>46</v>
      </c>
      <c r="J2" s="14" t="n">
        <f aca="false">COUNTIF(C9:C508,"CO2")</f>
        <v>1</v>
      </c>
    </row>
    <row r="3" customFormat="false" ht="15" hidden="false" customHeight="false" outlineLevel="0" collapsed="false">
      <c r="E3" s="13" t="s">
        <v>47</v>
      </c>
      <c r="F3" s="14" t="n">
        <f aca="false">COUNTIF(C9:C508,"Dry Powder")</f>
        <v>1</v>
      </c>
      <c r="G3" s="13" t="s">
        <v>48</v>
      </c>
      <c r="H3" s="14" t="n">
        <f aca="false">COUNTIF(C9:C508,"Wet Chemical")</f>
        <v>1</v>
      </c>
    </row>
    <row r="4" customFormat="false" ht="15" hidden="false" customHeight="false" outlineLevel="0" collapsed="false">
      <c r="E4" s="16" t="s">
        <v>49</v>
      </c>
      <c r="F4" s="14" t="n">
        <f aca="false">COUNTIF(G9:G508,"Good")</f>
        <v>3</v>
      </c>
      <c r="G4" s="17" t="s">
        <v>50</v>
      </c>
      <c r="H4" s="14" t="n">
        <f aca="false">COUNTIF(G9:G508,"Fair")</f>
        <v>1</v>
      </c>
      <c r="I4" s="18" t="s">
        <v>51</v>
      </c>
      <c r="J4" s="14" t="n">
        <f aca="false">COUNTIF(G9:G508,"Poor")</f>
        <v>1</v>
      </c>
    </row>
    <row r="5" customFormat="false" ht="15" hidden="false" customHeight="false" outlineLevel="0" collapsed="false">
      <c r="E5" s="13" t="s">
        <v>52</v>
      </c>
      <c r="F5" s="19" t="n">
        <f aca="false">COUNTIF(E9:E508,"No")+COUNTIF(F9:F508,"No")+COUNTIF(O9:O508,"No")+COUNTIF(P9:P508,"No")+COUNTIF(Q9:Q508,"No")</f>
        <v>4</v>
      </c>
      <c r="H5" s="13" t="s">
        <v>53</v>
      </c>
      <c r="I5" s="19" t="n">
        <f aca="true">COUNTIFS(J9:J508,"&lt;"&amp;TODAY(),J9:J508,"&lt;&gt;")</f>
        <v>1</v>
      </c>
    </row>
    <row r="6" customFormat="false" ht="15" hidden="false" customHeight="false" outlineLevel="0" collapsed="false">
      <c r="E6" s="13" t="s">
        <v>54</v>
      </c>
      <c r="F6" s="19" t="n">
        <f aca="true">COUNTIFS(M9:M508,"&lt;"&amp;TODAY(),M9:M508,"&lt;&gt;")</f>
        <v>1</v>
      </c>
    </row>
    <row r="7" customFormat="false" ht="22.35" hidden="false" customHeight="true" outlineLevel="0" collapsed="false">
      <c r="K7" s="20" t="s">
        <v>55</v>
      </c>
      <c r="L7" s="20"/>
      <c r="M7" s="20"/>
      <c r="N7" s="20"/>
      <c r="O7" s="20"/>
      <c r="P7" s="20"/>
      <c r="Q7" s="20"/>
      <c r="R7" s="20"/>
    </row>
    <row r="8" customFormat="false" ht="28.35" hidden="false" customHeight="false" outlineLevel="0" collapsed="false">
      <c r="A8" s="21" t="s">
        <v>56</v>
      </c>
      <c r="B8" s="21" t="s">
        <v>57</v>
      </c>
      <c r="C8" s="21" t="s">
        <v>58</v>
      </c>
      <c r="D8" s="21" t="s">
        <v>59</v>
      </c>
      <c r="E8" s="21" t="s">
        <v>60</v>
      </c>
      <c r="F8" s="21" t="s">
        <v>61</v>
      </c>
      <c r="G8" s="21" t="s">
        <v>62</v>
      </c>
      <c r="H8" s="21" t="s">
        <v>63</v>
      </c>
      <c r="I8" s="21" t="s">
        <v>64</v>
      </c>
      <c r="J8" s="21" t="s">
        <v>65</v>
      </c>
      <c r="K8" s="21" t="s">
        <v>66</v>
      </c>
      <c r="L8" s="21" t="s">
        <v>67</v>
      </c>
      <c r="M8" s="21" t="s">
        <v>68</v>
      </c>
      <c r="N8" s="21" t="s">
        <v>69</v>
      </c>
      <c r="O8" s="21" t="s">
        <v>70</v>
      </c>
      <c r="P8" s="21" t="s">
        <v>71</v>
      </c>
      <c r="Q8" s="21" t="s">
        <v>72</v>
      </c>
      <c r="R8" s="21" t="s">
        <v>73</v>
      </c>
    </row>
    <row r="9" customFormat="false" ht="27.75" hidden="false" customHeight="true" outlineLevel="0" collapsed="false">
      <c r="A9" s="22" t="s">
        <v>74</v>
      </c>
      <c r="B9" s="22" t="s">
        <v>75</v>
      </c>
      <c r="C9" s="23" t="s">
        <v>76</v>
      </c>
      <c r="D9" s="24" t="n">
        <v>46096</v>
      </c>
      <c r="E9" s="23" t="s">
        <v>77</v>
      </c>
      <c r="F9" s="23" t="s">
        <v>77</v>
      </c>
      <c r="G9" s="23" t="s">
        <v>78</v>
      </c>
      <c r="H9" s="22"/>
      <c r="I9" s="22" t="s">
        <v>79</v>
      </c>
      <c r="J9" s="24" t="n">
        <v>46127</v>
      </c>
      <c r="K9" s="24" t="n">
        <v>44713</v>
      </c>
      <c r="L9" s="24" t="n">
        <v>45910</v>
      </c>
      <c r="M9" s="24" t="n">
        <v>46275</v>
      </c>
      <c r="N9" s="25" t="n">
        <v>13.6</v>
      </c>
      <c r="O9" s="23" t="s">
        <v>77</v>
      </c>
      <c r="P9" s="23" t="s">
        <v>77</v>
      </c>
      <c r="Q9" s="23" t="s">
        <v>77</v>
      </c>
      <c r="R9" s="22"/>
    </row>
    <row r="10" customFormat="false" ht="27.75" hidden="false" customHeight="true" outlineLevel="0" collapsed="false">
      <c r="A10" s="22" t="s">
        <v>80</v>
      </c>
      <c r="B10" s="22" t="s">
        <v>81</v>
      </c>
      <c r="C10" s="23" t="s">
        <v>82</v>
      </c>
      <c r="D10" s="24" t="n">
        <v>46096</v>
      </c>
      <c r="E10" s="23" t="s">
        <v>77</v>
      </c>
      <c r="F10" s="23" t="s">
        <v>77</v>
      </c>
      <c r="G10" s="23" t="s">
        <v>78</v>
      </c>
      <c r="H10" s="22"/>
      <c r="I10" s="22" t="s">
        <v>79</v>
      </c>
      <c r="J10" s="24" t="n">
        <v>46127</v>
      </c>
      <c r="K10" s="24" t="n">
        <v>44941</v>
      </c>
      <c r="L10" s="24" t="n">
        <v>45910</v>
      </c>
      <c r="M10" s="24" t="n">
        <v>46275</v>
      </c>
      <c r="N10" s="25" t="n">
        <v>5</v>
      </c>
      <c r="O10" s="23" t="s">
        <v>77</v>
      </c>
      <c r="P10" s="23" t="s">
        <v>77</v>
      </c>
      <c r="Q10" s="23" t="s">
        <v>77</v>
      </c>
      <c r="R10" s="22"/>
    </row>
    <row r="11" customFormat="false" ht="27.75" hidden="false" customHeight="true" outlineLevel="0" collapsed="false">
      <c r="A11" s="22" t="s">
        <v>83</v>
      </c>
      <c r="B11" s="22" t="s">
        <v>84</v>
      </c>
      <c r="C11" s="23" t="s">
        <v>85</v>
      </c>
      <c r="D11" s="24" t="n">
        <v>46096</v>
      </c>
      <c r="E11" s="23" t="s">
        <v>77</v>
      </c>
      <c r="F11" s="23" t="s">
        <v>86</v>
      </c>
      <c r="G11" s="23" t="s">
        <v>87</v>
      </c>
      <c r="H11" s="22" t="s">
        <v>88</v>
      </c>
      <c r="I11" s="22" t="s">
        <v>79</v>
      </c>
      <c r="J11" s="24" t="n">
        <v>46103</v>
      </c>
      <c r="K11" s="24" t="n">
        <v>44275</v>
      </c>
      <c r="L11" s="24" t="n">
        <v>45910</v>
      </c>
      <c r="M11" s="24" t="n">
        <v>46275</v>
      </c>
      <c r="N11" s="25" t="n">
        <v>9</v>
      </c>
      <c r="O11" s="23" t="s">
        <v>77</v>
      </c>
      <c r="P11" s="23" t="s">
        <v>77</v>
      </c>
      <c r="Q11" s="23" t="s">
        <v>77</v>
      </c>
      <c r="R11" s="22" t="s">
        <v>89</v>
      </c>
    </row>
    <row r="12" customFormat="false" ht="27.75" hidden="false" customHeight="true" outlineLevel="0" collapsed="false">
      <c r="A12" s="22" t="s">
        <v>90</v>
      </c>
      <c r="B12" s="22" t="s">
        <v>91</v>
      </c>
      <c r="C12" s="23" t="s">
        <v>92</v>
      </c>
      <c r="D12" s="24" t="n">
        <v>46096</v>
      </c>
      <c r="E12" s="23" t="s">
        <v>77</v>
      </c>
      <c r="F12" s="23" t="s">
        <v>77</v>
      </c>
      <c r="G12" s="23" t="s">
        <v>78</v>
      </c>
      <c r="H12" s="22"/>
      <c r="I12" s="22" t="s">
        <v>79</v>
      </c>
      <c r="J12" s="24" t="n">
        <v>46127</v>
      </c>
      <c r="K12" s="24" t="n">
        <v>45323</v>
      </c>
      <c r="L12" s="24" t="n">
        <v>45910</v>
      </c>
      <c r="M12" s="24" t="n">
        <v>46275</v>
      </c>
      <c r="N12" s="25" t="n">
        <v>6</v>
      </c>
      <c r="O12" s="23" t="s">
        <v>77</v>
      </c>
      <c r="P12" s="23" t="s">
        <v>77</v>
      </c>
      <c r="Q12" s="23" t="s">
        <v>77</v>
      </c>
      <c r="R12" s="22"/>
    </row>
    <row r="13" customFormat="false" ht="27.75" hidden="false" customHeight="true" outlineLevel="0" collapsed="false">
      <c r="A13" s="22" t="s">
        <v>93</v>
      </c>
      <c r="B13" s="22" t="s">
        <v>94</v>
      </c>
      <c r="C13" s="23" t="s">
        <v>95</v>
      </c>
      <c r="D13" s="24" t="n">
        <v>46096</v>
      </c>
      <c r="E13" s="23" t="s">
        <v>86</v>
      </c>
      <c r="F13" s="23" t="s">
        <v>77</v>
      </c>
      <c r="G13" s="23" t="s">
        <v>96</v>
      </c>
      <c r="H13" s="22" t="s">
        <v>97</v>
      </c>
      <c r="I13" s="22" t="s">
        <v>79</v>
      </c>
      <c r="J13" s="24" t="n">
        <v>46097</v>
      </c>
      <c r="K13" s="24" t="n">
        <v>43774</v>
      </c>
      <c r="L13" s="24" t="n">
        <v>45724</v>
      </c>
      <c r="M13" s="24" t="n">
        <v>46089</v>
      </c>
      <c r="N13" s="25" t="n">
        <v>9</v>
      </c>
      <c r="O13" s="23" t="s">
        <v>77</v>
      </c>
      <c r="P13" s="23" t="s">
        <v>86</v>
      </c>
      <c r="Q13" s="23" t="s">
        <v>86</v>
      </c>
      <c r="R13" s="22" t="s">
        <v>98</v>
      </c>
    </row>
    <row r="14" customFormat="false" ht="27.75" hidden="false" customHeight="true" outlineLevel="0" collapsed="false">
      <c r="A14" s="22"/>
      <c r="B14" s="22"/>
      <c r="C14" s="23"/>
      <c r="D14" s="24"/>
      <c r="E14" s="23"/>
      <c r="F14" s="23"/>
      <c r="G14" s="23"/>
      <c r="H14" s="22"/>
      <c r="I14" s="22"/>
      <c r="J14" s="24"/>
      <c r="K14" s="24"/>
      <c r="L14" s="24"/>
      <c r="M14" s="24"/>
      <c r="N14" s="25"/>
      <c r="O14" s="23"/>
      <c r="P14" s="23"/>
      <c r="Q14" s="23"/>
      <c r="R14" s="22"/>
    </row>
    <row r="15" customFormat="false" ht="27.75" hidden="false" customHeight="true" outlineLevel="0" collapsed="false">
      <c r="A15" s="22"/>
      <c r="B15" s="22"/>
      <c r="C15" s="23"/>
      <c r="D15" s="24"/>
      <c r="E15" s="23"/>
      <c r="F15" s="23"/>
      <c r="G15" s="23"/>
      <c r="H15" s="22"/>
      <c r="I15" s="22"/>
      <c r="J15" s="24"/>
      <c r="K15" s="24"/>
      <c r="L15" s="24"/>
      <c r="M15" s="24"/>
      <c r="N15" s="25"/>
      <c r="O15" s="23"/>
      <c r="P15" s="23"/>
      <c r="Q15" s="23"/>
      <c r="R15" s="22"/>
    </row>
    <row r="16" customFormat="false" ht="27.75" hidden="false" customHeight="true" outlineLevel="0" collapsed="false">
      <c r="A16" s="22"/>
      <c r="B16" s="22"/>
      <c r="C16" s="23"/>
      <c r="D16" s="24"/>
      <c r="E16" s="23"/>
      <c r="F16" s="23"/>
      <c r="G16" s="23"/>
      <c r="H16" s="22"/>
      <c r="I16" s="22"/>
      <c r="J16" s="24"/>
      <c r="K16" s="24"/>
      <c r="L16" s="24"/>
      <c r="M16" s="24"/>
      <c r="N16" s="25"/>
      <c r="O16" s="23"/>
      <c r="P16" s="23"/>
      <c r="Q16" s="23"/>
      <c r="R16" s="22"/>
    </row>
    <row r="17" customFormat="false" ht="27.75" hidden="false" customHeight="true" outlineLevel="0" collapsed="false">
      <c r="A17" s="22"/>
      <c r="B17" s="22"/>
      <c r="C17" s="23"/>
      <c r="D17" s="24"/>
      <c r="E17" s="23"/>
      <c r="F17" s="23"/>
      <c r="G17" s="23"/>
      <c r="H17" s="22"/>
      <c r="I17" s="22"/>
      <c r="J17" s="24"/>
      <c r="K17" s="24"/>
      <c r="L17" s="24"/>
      <c r="M17" s="24"/>
      <c r="N17" s="25"/>
      <c r="O17" s="23"/>
      <c r="P17" s="23"/>
      <c r="Q17" s="23"/>
      <c r="R17" s="22"/>
    </row>
    <row r="18" customFormat="false" ht="27.75" hidden="false" customHeight="true" outlineLevel="0" collapsed="false">
      <c r="A18" s="22"/>
      <c r="B18" s="22"/>
      <c r="C18" s="23"/>
      <c r="D18" s="24"/>
      <c r="E18" s="23"/>
      <c r="F18" s="23"/>
      <c r="G18" s="23"/>
      <c r="H18" s="22"/>
      <c r="I18" s="22"/>
      <c r="J18" s="24"/>
      <c r="K18" s="24"/>
      <c r="L18" s="24"/>
      <c r="M18" s="24"/>
      <c r="N18" s="25"/>
      <c r="O18" s="23"/>
      <c r="P18" s="23"/>
      <c r="Q18" s="23"/>
      <c r="R18" s="22"/>
    </row>
    <row r="19" customFormat="false" ht="27.75" hidden="false" customHeight="true" outlineLevel="0" collapsed="false">
      <c r="A19" s="22"/>
      <c r="B19" s="22"/>
      <c r="C19" s="23"/>
      <c r="D19" s="24"/>
      <c r="E19" s="23"/>
      <c r="F19" s="23"/>
      <c r="G19" s="23"/>
      <c r="H19" s="22"/>
      <c r="I19" s="22"/>
      <c r="J19" s="24"/>
      <c r="K19" s="24"/>
      <c r="L19" s="24"/>
      <c r="M19" s="24"/>
      <c r="N19" s="25"/>
      <c r="O19" s="23"/>
      <c r="P19" s="23"/>
      <c r="Q19" s="23"/>
      <c r="R19" s="22"/>
    </row>
    <row r="20" customFormat="false" ht="27.75" hidden="false" customHeight="true" outlineLevel="0" collapsed="false">
      <c r="A20" s="22"/>
      <c r="B20" s="22"/>
      <c r="C20" s="23"/>
      <c r="D20" s="24"/>
      <c r="E20" s="23"/>
      <c r="F20" s="23"/>
      <c r="G20" s="23"/>
      <c r="H20" s="22"/>
      <c r="I20" s="22"/>
      <c r="J20" s="24"/>
      <c r="K20" s="24"/>
      <c r="L20" s="24"/>
      <c r="M20" s="24"/>
      <c r="N20" s="25"/>
      <c r="O20" s="23"/>
      <c r="P20" s="23"/>
      <c r="Q20" s="23"/>
      <c r="R20" s="22"/>
    </row>
    <row r="21" customFormat="false" ht="27.75" hidden="false" customHeight="true" outlineLevel="0" collapsed="false">
      <c r="A21" s="22"/>
      <c r="B21" s="22"/>
      <c r="C21" s="23"/>
      <c r="D21" s="24"/>
      <c r="E21" s="23"/>
      <c r="F21" s="23"/>
      <c r="G21" s="23"/>
      <c r="H21" s="22"/>
      <c r="I21" s="22"/>
      <c r="J21" s="24"/>
      <c r="K21" s="24"/>
      <c r="L21" s="24"/>
      <c r="M21" s="24"/>
      <c r="N21" s="25"/>
      <c r="O21" s="23"/>
      <c r="P21" s="23"/>
      <c r="Q21" s="23"/>
      <c r="R21" s="22"/>
    </row>
    <row r="22" customFormat="false" ht="27.75" hidden="false" customHeight="true" outlineLevel="0" collapsed="false">
      <c r="A22" s="22"/>
      <c r="B22" s="22"/>
      <c r="C22" s="23"/>
      <c r="D22" s="24"/>
      <c r="E22" s="23"/>
      <c r="F22" s="23"/>
      <c r="G22" s="23"/>
      <c r="H22" s="22"/>
      <c r="I22" s="22"/>
      <c r="J22" s="24"/>
      <c r="K22" s="24"/>
      <c r="L22" s="24"/>
      <c r="M22" s="24"/>
      <c r="N22" s="25"/>
      <c r="O22" s="23"/>
      <c r="P22" s="23"/>
      <c r="Q22" s="23"/>
      <c r="R22" s="22"/>
    </row>
    <row r="23" customFormat="false" ht="27.75" hidden="false" customHeight="true" outlineLevel="0" collapsed="false">
      <c r="A23" s="22"/>
      <c r="B23" s="22"/>
      <c r="C23" s="23"/>
      <c r="D23" s="24"/>
      <c r="E23" s="23"/>
      <c r="F23" s="23"/>
      <c r="G23" s="23"/>
      <c r="H23" s="22"/>
      <c r="I23" s="22"/>
      <c r="J23" s="24"/>
      <c r="K23" s="24"/>
      <c r="L23" s="24"/>
      <c r="M23" s="24"/>
      <c r="N23" s="25"/>
      <c r="O23" s="23"/>
      <c r="P23" s="23"/>
      <c r="Q23" s="23"/>
      <c r="R23" s="22"/>
    </row>
    <row r="24" customFormat="false" ht="27.75" hidden="false" customHeight="true" outlineLevel="0" collapsed="false">
      <c r="A24" s="22"/>
      <c r="B24" s="22"/>
      <c r="C24" s="23"/>
      <c r="D24" s="24"/>
      <c r="E24" s="23"/>
      <c r="F24" s="23"/>
      <c r="G24" s="23"/>
      <c r="H24" s="22"/>
      <c r="I24" s="22"/>
      <c r="J24" s="24"/>
      <c r="K24" s="24"/>
      <c r="L24" s="24"/>
      <c r="M24" s="24"/>
      <c r="N24" s="25"/>
      <c r="O24" s="23"/>
      <c r="P24" s="23"/>
      <c r="Q24" s="23"/>
      <c r="R24" s="22"/>
    </row>
    <row r="25" customFormat="false" ht="27.75" hidden="false" customHeight="true" outlineLevel="0" collapsed="false">
      <c r="A25" s="22"/>
      <c r="B25" s="22"/>
      <c r="C25" s="23"/>
      <c r="D25" s="24"/>
      <c r="E25" s="23"/>
      <c r="F25" s="23"/>
      <c r="G25" s="23"/>
      <c r="H25" s="22"/>
      <c r="I25" s="22"/>
      <c r="J25" s="24"/>
      <c r="K25" s="24"/>
      <c r="L25" s="24"/>
      <c r="M25" s="24"/>
      <c r="N25" s="25"/>
      <c r="O25" s="23"/>
      <c r="P25" s="23"/>
      <c r="Q25" s="23"/>
      <c r="R25" s="22"/>
    </row>
    <row r="26" customFormat="false" ht="27.75" hidden="false" customHeight="true" outlineLevel="0" collapsed="false">
      <c r="A26" s="22"/>
      <c r="B26" s="22"/>
      <c r="C26" s="23"/>
      <c r="D26" s="24"/>
      <c r="E26" s="23"/>
      <c r="F26" s="23"/>
      <c r="G26" s="23"/>
      <c r="H26" s="22"/>
      <c r="I26" s="22"/>
      <c r="J26" s="24"/>
      <c r="K26" s="24"/>
      <c r="L26" s="24"/>
      <c r="M26" s="24"/>
      <c r="N26" s="25"/>
      <c r="O26" s="23"/>
      <c r="P26" s="23"/>
      <c r="Q26" s="23"/>
      <c r="R26" s="22"/>
    </row>
    <row r="27" customFormat="false" ht="27.75" hidden="false" customHeight="true" outlineLevel="0" collapsed="false">
      <c r="A27" s="22"/>
      <c r="B27" s="22"/>
      <c r="C27" s="23"/>
      <c r="D27" s="24"/>
      <c r="E27" s="23"/>
      <c r="F27" s="23"/>
      <c r="G27" s="23"/>
      <c r="H27" s="22"/>
      <c r="I27" s="22"/>
      <c r="J27" s="24"/>
      <c r="K27" s="24"/>
      <c r="L27" s="24"/>
      <c r="M27" s="24"/>
      <c r="N27" s="25"/>
      <c r="O27" s="23"/>
      <c r="P27" s="23"/>
      <c r="Q27" s="23"/>
      <c r="R27" s="22"/>
    </row>
    <row r="28" customFormat="false" ht="27.75" hidden="false" customHeight="true" outlineLevel="0" collapsed="false">
      <c r="A28" s="22"/>
      <c r="B28" s="22"/>
      <c r="C28" s="23"/>
      <c r="D28" s="24"/>
      <c r="E28" s="23"/>
      <c r="F28" s="23"/>
      <c r="G28" s="23"/>
      <c r="H28" s="22"/>
      <c r="I28" s="22"/>
      <c r="J28" s="24"/>
      <c r="K28" s="24"/>
      <c r="L28" s="24"/>
      <c r="M28" s="24"/>
      <c r="N28" s="25"/>
      <c r="O28" s="23"/>
      <c r="P28" s="23"/>
      <c r="Q28" s="23"/>
      <c r="R28" s="22"/>
    </row>
    <row r="29" customFormat="false" ht="27.75" hidden="false" customHeight="true" outlineLevel="0" collapsed="false">
      <c r="A29" s="22"/>
      <c r="B29" s="22"/>
      <c r="C29" s="23"/>
      <c r="D29" s="24"/>
      <c r="E29" s="23"/>
      <c r="F29" s="23"/>
      <c r="G29" s="23"/>
      <c r="H29" s="22"/>
      <c r="I29" s="22"/>
      <c r="J29" s="24"/>
      <c r="K29" s="24"/>
      <c r="L29" s="24"/>
      <c r="M29" s="24"/>
      <c r="N29" s="25"/>
      <c r="O29" s="23"/>
      <c r="P29" s="23"/>
      <c r="Q29" s="23"/>
      <c r="R29" s="22"/>
    </row>
    <row r="30" customFormat="false" ht="27.75" hidden="false" customHeight="true" outlineLevel="0" collapsed="false">
      <c r="A30" s="22"/>
      <c r="B30" s="22"/>
      <c r="C30" s="23"/>
      <c r="D30" s="24"/>
      <c r="E30" s="23"/>
      <c r="F30" s="23"/>
      <c r="G30" s="23"/>
      <c r="H30" s="22"/>
      <c r="I30" s="22"/>
      <c r="J30" s="24"/>
      <c r="K30" s="24"/>
      <c r="L30" s="24"/>
      <c r="M30" s="24"/>
      <c r="N30" s="25"/>
      <c r="O30" s="23"/>
      <c r="P30" s="23"/>
      <c r="Q30" s="23"/>
      <c r="R30" s="22"/>
    </row>
    <row r="31" customFormat="false" ht="27.75" hidden="false" customHeight="true" outlineLevel="0" collapsed="false">
      <c r="A31" s="22"/>
      <c r="B31" s="22"/>
      <c r="C31" s="23"/>
      <c r="D31" s="24"/>
      <c r="E31" s="23"/>
      <c r="F31" s="23"/>
      <c r="G31" s="23"/>
      <c r="H31" s="22"/>
      <c r="I31" s="22"/>
      <c r="J31" s="24"/>
      <c r="K31" s="24"/>
      <c r="L31" s="24"/>
      <c r="M31" s="24"/>
      <c r="N31" s="25"/>
      <c r="O31" s="23"/>
      <c r="P31" s="23"/>
      <c r="Q31" s="23"/>
      <c r="R31" s="22"/>
    </row>
    <row r="32" customFormat="false" ht="27.75" hidden="false" customHeight="true" outlineLevel="0" collapsed="false">
      <c r="A32" s="22"/>
      <c r="B32" s="22"/>
      <c r="C32" s="23"/>
      <c r="D32" s="24"/>
      <c r="E32" s="23"/>
      <c r="F32" s="23"/>
      <c r="G32" s="23"/>
      <c r="H32" s="22"/>
      <c r="I32" s="22"/>
      <c r="J32" s="24"/>
      <c r="K32" s="24"/>
      <c r="L32" s="24"/>
      <c r="M32" s="24"/>
      <c r="N32" s="25"/>
      <c r="O32" s="23"/>
      <c r="P32" s="23"/>
      <c r="Q32" s="23"/>
      <c r="R32" s="22"/>
    </row>
    <row r="33" customFormat="false" ht="27.75" hidden="false" customHeight="true" outlineLevel="0" collapsed="false">
      <c r="A33" s="22"/>
      <c r="B33" s="22"/>
      <c r="C33" s="23"/>
      <c r="D33" s="24"/>
      <c r="E33" s="23"/>
      <c r="F33" s="23"/>
      <c r="G33" s="23"/>
      <c r="H33" s="22"/>
      <c r="I33" s="22"/>
      <c r="J33" s="24"/>
      <c r="K33" s="24"/>
      <c r="L33" s="24"/>
      <c r="M33" s="24"/>
      <c r="N33" s="25"/>
      <c r="O33" s="23"/>
      <c r="P33" s="23"/>
      <c r="Q33" s="23"/>
      <c r="R33" s="22"/>
    </row>
    <row r="34" customFormat="false" ht="27.75" hidden="false" customHeight="true" outlineLevel="0" collapsed="false">
      <c r="A34" s="22"/>
      <c r="B34" s="22"/>
      <c r="C34" s="23"/>
      <c r="D34" s="24"/>
      <c r="E34" s="23"/>
      <c r="F34" s="23"/>
      <c r="G34" s="23"/>
      <c r="H34" s="22"/>
      <c r="I34" s="22"/>
      <c r="J34" s="24"/>
      <c r="K34" s="24"/>
      <c r="L34" s="24"/>
      <c r="M34" s="24"/>
      <c r="N34" s="25"/>
      <c r="O34" s="23"/>
      <c r="P34" s="23"/>
      <c r="Q34" s="23"/>
      <c r="R34" s="22"/>
    </row>
    <row r="35" customFormat="false" ht="27.75" hidden="false" customHeight="true" outlineLevel="0" collapsed="false">
      <c r="A35" s="22"/>
      <c r="B35" s="22"/>
      <c r="C35" s="23"/>
      <c r="D35" s="24"/>
      <c r="E35" s="23"/>
      <c r="F35" s="23"/>
      <c r="G35" s="23"/>
      <c r="H35" s="22"/>
      <c r="I35" s="22"/>
      <c r="J35" s="24"/>
      <c r="K35" s="24"/>
      <c r="L35" s="24"/>
      <c r="M35" s="24"/>
      <c r="N35" s="25"/>
      <c r="O35" s="23"/>
      <c r="P35" s="23"/>
      <c r="Q35" s="23"/>
      <c r="R35" s="22"/>
    </row>
    <row r="36" customFormat="false" ht="27.75" hidden="false" customHeight="true" outlineLevel="0" collapsed="false">
      <c r="A36" s="22"/>
      <c r="B36" s="22"/>
      <c r="C36" s="23"/>
      <c r="D36" s="24"/>
      <c r="E36" s="23"/>
      <c r="F36" s="23"/>
      <c r="G36" s="23"/>
      <c r="H36" s="22"/>
      <c r="I36" s="22"/>
      <c r="J36" s="24"/>
      <c r="K36" s="24"/>
      <c r="L36" s="24"/>
      <c r="M36" s="24"/>
      <c r="N36" s="25"/>
      <c r="O36" s="23"/>
      <c r="P36" s="23"/>
      <c r="Q36" s="23"/>
      <c r="R36" s="22"/>
    </row>
    <row r="37" customFormat="false" ht="27.75" hidden="false" customHeight="true" outlineLevel="0" collapsed="false">
      <c r="A37" s="22"/>
      <c r="B37" s="22"/>
      <c r="C37" s="23"/>
      <c r="D37" s="24"/>
      <c r="E37" s="23"/>
      <c r="F37" s="23"/>
      <c r="G37" s="23"/>
      <c r="H37" s="22"/>
      <c r="I37" s="22"/>
      <c r="J37" s="24"/>
      <c r="K37" s="24"/>
      <c r="L37" s="24"/>
      <c r="M37" s="24"/>
      <c r="N37" s="25"/>
      <c r="O37" s="23"/>
      <c r="P37" s="23"/>
      <c r="Q37" s="23"/>
      <c r="R37" s="22"/>
    </row>
    <row r="38" customFormat="false" ht="27.75" hidden="false" customHeight="true" outlineLevel="0" collapsed="false">
      <c r="A38" s="22"/>
      <c r="B38" s="22"/>
      <c r="C38" s="23"/>
      <c r="D38" s="24"/>
      <c r="E38" s="23"/>
      <c r="F38" s="23"/>
      <c r="G38" s="23"/>
      <c r="H38" s="22"/>
      <c r="I38" s="22"/>
      <c r="J38" s="24"/>
      <c r="K38" s="24"/>
      <c r="L38" s="24"/>
      <c r="M38" s="24"/>
      <c r="N38" s="25"/>
      <c r="O38" s="23"/>
      <c r="P38" s="23"/>
      <c r="Q38" s="23"/>
      <c r="R38" s="22"/>
    </row>
    <row r="39" customFormat="false" ht="27.75" hidden="false" customHeight="true" outlineLevel="0" collapsed="false">
      <c r="A39" s="22"/>
      <c r="B39" s="22"/>
      <c r="C39" s="23"/>
      <c r="D39" s="24"/>
      <c r="E39" s="23"/>
      <c r="F39" s="23"/>
      <c r="G39" s="23"/>
      <c r="H39" s="22"/>
      <c r="I39" s="22"/>
      <c r="J39" s="24"/>
      <c r="K39" s="24"/>
      <c r="L39" s="24"/>
      <c r="M39" s="24"/>
      <c r="N39" s="25"/>
      <c r="O39" s="23"/>
      <c r="P39" s="23"/>
      <c r="Q39" s="23"/>
      <c r="R39" s="22"/>
    </row>
    <row r="40" customFormat="false" ht="27.75" hidden="false" customHeight="true" outlineLevel="0" collapsed="false">
      <c r="A40" s="22"/>
      <c r="B40" s="22"/>
      <c r="C40" s="23"/>
      <c r="D40" s="24"/>
      <c r="E40" s="23"/>
      <c r="F40" s="23"/>
      <c r="G40" s="23"/>
      <c r="H40" s="22"/>
      <c r="I40" s="22"/>
      <c r="J40" s="24"/>
      <c r="K40" s="24"/>
      <c r="L40" s="24"/>
      <c r="M40" s="24"/>
      <c r="N40" s="25"/>
      <c r="O40" s="23"/>
      <c r="P40" s="23"/>
      <c r="Q40" s="23"/>
      <c r="R40" s="22"/>
    </row>
    <row r="41" customFormat="false" ht="27.75" hidden="false" customHeight="true" outlineLevel="0" collapsed="false">
      <c r="A41" s="22"/>
      <c r="B41" s="22"/>
      <c r="C41" s="23"/>
      <c r="D41" s="24"/>
      <c r="E41" s="23"/>
      <c r="F41" s="23"/>
      <c r="G41" s="23"/>
      <c r="H41" s="22"/>
      <c r="I41" s="22"/>
      <c r="J41" s="24"/>
      <c r="K41" s="24"/>
      <c r="L41" s="24"/>
      <c r="M41" s="24"/>
      <c r="N41" s="25"/>
      <c r="O41" s="23"/>
      <c r="P41" s="23"/>
      <c r="Q41" s="23"/>
      <c r="R41" s="22"/>
    </row>
    <row r="42" customFormat="false" ht="27.75" hidden="false" customHeight="true" outlineLevel="0" collapsed="false">
      <c r="A42" s="22"/>
      <c r="B42" s="22"/>
      <c r="C42" s="23"/>
      <c r="D42" s="24"/>
      <c r="E42" s="23"/>
      <c r="F42" s="23"/>
      <c r="G42" s="23"/>
      <c r="H42" s="22"/>
      <c r="I42" s="22"/>
      <c r="J42" s="24"/>
      <c r="K42" s="24"/>
      <c r="L42" s="24"/>
      <c r="M42" s="24"/>
      <c r="N42" s="25"/>
      <c r="O42" s="23"/>
      <c r="P42" s="23"/>
      <c r="Q42" s="23"/>
      <c r="R42" s="22"/>
    </row>
    <row r="43" customFormat="false" ht="27.75" hidden="false" customHeight="true" outlineLevel="0" collapsed="false">
      <c r="A43" s="22"/>
      <c r="B43" s="22"/>
      <c r="C43" s="23"/>
      <c r="D43" s="24"/>
      <c r="E43" s="23"/>
      <c r="F43" s="23"/>
      <c r="G43" s="23"/>
      <c r="H43" s="22"/>
      <c r="I43" s="22"/>
      <c r="J43" s="24"/>
      <c r="K43" s="24"/>
      <c r="L43" s="24"/>
      <c r="M43" s="24"/>
      <c r="N43" s="25"/>
      <c r="O43" s="23"/>
      <c r="P43" s="23"/>
      <c r="Q43" s="23"/>
      <c r="R43" s="22"/>
    </row>
    <row r="44" customFormat="false" ht="27.75" hidden="false" customHeight="true" outlineLevel="0" collapsed="false">
      <c r="A44" s="22"/>
      <c r="B44" s="22"/>
      <c r="C44" s="23"/>
      <c r="D44" s="24"/>
      <c r="E44" s="23"/>
      <c r="F44" s="23"/>
      <c r="G44" s="23"/>
      <c r="H44" s="22"/>
      <c r="I44" s="22"/>
      <c r="J44" s="24"/>
      <c r="K44" s="24"/>
      <c r="L44" s="24"/>
      <c r="M44" s="24"/>
      <c r="N44" s="25"/>
      <c r="O44" s="23"/>
      <c r="P44" s="23"/>
      <c r="Q44" s="23"/>
      <c r="R44" s="22"/>
    </row>
    <row r="45" customFormat="false" ht="27.75" hidden="false" customHeight="true" outlineLevel="0" collapsed="false">
      <c r="A45" s="22"/>
      <c r="B45" s="22"/>
      <c r="C45" s="23"/>
      <c r="D45" s="24"/>
      <c r="E45" s="23"/>
      <c r="F45" s="23"/>
      <c r="G45" s="23"/>
      <c r="H45" s="22"/>
      <c r="I45" s="22"/>
      <c r="J45" s="24"/>
      <c r="K45" s="24"/>
      <c r="L45" s="24"/>
      <c r="M45" s="24"/>
      <c r="N45" s="25"/>
      <c r="O45" s="23"/>
      <c r="P45" s="23"/>
      <c r="Q45" s="23"/>
      <c r="R45" s="22"/>
    </row>
    <row r="46" customFormat="false" ht="27.75" hidden="false" customHeight="true" outlineLevel="0" collapsed="false">
      <c r="A46" s="22"/>
      <c r="B46" s="22"/>
      <c r="C46" s="23"/>
      <c r="D46" s="24"/>
      <c r="E46" s="23"/>
      <c r="F46" s="23"/>
      <c r="G46" s="23"/>
      <c r="H46" s="22"/>
      <c r="I46" s="22"/>
      <c r="J46" s="24"/>
      <c r="K46" s="24"/>
      <c r="L46" s="24"/>
      <c r="M46" s="24"/>
      <c r="N46" s="25"/>
      <c r="O46" s="23"/>
      <c r="P46" s="23"/>
      <c r="Q46" s="23"/>
      <c r="R46" s="22"/>
    </row>
    <row r="47" customFormat="false" ht="27.75" hidden="false" customHeight="true" outlineLevel="0" collapsed="false">
      <c r="A47" s="22"/>
      <c r="B47" s="22"/>
      <c r="C47" s="23"/>
      <c r="D47" s="24"/>
      <c r="E47" s="23"/>
      <c r="F47" s="23"/>
      <c r="G47" s="23"/>
      <c r="H47" s="22"/>
      <c r="I47" s="22"/>
      <c r="J47" s="24"/>
      <c r="K47" s="24"/>
      <c r="L47" s="24"/>
      <c r="M47" s="24"/>
      <c r="N47" s="25"/>
      <c r="O47" s="23"/>
      <c r="P47" s="23"/>
      <c r="Q47" s="23"/>
      <c r="R47" s="22"/>
    </row>
    <row r="48" customFormat="false" ht="27.75" hidden="false" customHeight="true" outlineLevel="0" collapsed="false">
      <c r="A48" s="22"/>
      <c r="B48" s="22"/>
      <c r="C48" s="23"/>
      <c r="D48" s="24"/>
      <c r="E48" s="23"/>
      <c r="F48" s="23"/>
      <c r="G48" s="23"/>
      <c r="H48" s="22"/>
      <c r="I48" s="22"/>
      <c r="J48" s="24"/>
      <c r="K48" s="24"/>
      <c r="L48" s="24"/>
      <c r="M48" s="24"/>
      <c r="N48" s="25"/>
      <c r="O48" s="23"/>
      <c r="P48" s="23"/>
      <c r="Q48" s="23"/>
      <c r="R48" s="22"/>
    </row>
    <row r="49" customFormat="false" ht="27.75" hidden="false" customHeight="true" outlineLevel="0" collapsed="false">
      <c r="A49" s="22"/>
      <c r="B49" s="22"/>
      <c r="C49" s="23"/>
      <c r="D49" s="24"/>
      <c r="E49" s="23"/>
      <c r="F49" s="23"/>
      <c r="G49" s="23"/>
      <c r="H49" s="22"/>
      <c r="I49" s="22"/>
      <c r="J49" s="24"/>
      <c r="K49" s="24"/>
      <c r="L49" s="24"/>
      <c r="M49" s="24"/>
      <c r="N49" s="25"/>
      <c r="O49" s="23"/>
      <c r="P49" s="23"/>
      <c r="Q49" s="23"/>
      <c r="R49" s="22"/>
    </row>
    <row r="50" customFormat="false" ht="27.75" hidden="false" customHeight="true" outlineLevel="0" collapsed="false">
      <c r="A50" s="22"/>
      <c r="B50" s="22"/>
      <c r="C50" s="23"/>
      <c r="D50" s="24"/>
      <c r="E50" s="23"/>
      <c r="F50" s="23"/>
      <c r="G50" s="23"/>
      <c r="H50" s="22"/>
      <c r="I50" s="22"/>
      <c r="J50" s="24"/>
      <c r="K50" s="24"/>
      <c r="L50" s="24"/>
      <c r="M50" s="24"/>
      <c r="N50" s="25"/>
      <c r="O50" s="23"/>
      <c r="P50" s="23"/>
      <c r="Q50" s="23"/>
      <c r="R50" s="22"/>
    </row>
    <row r="51" customFormat="false" ht="27.75" hidden="false" customHeight="true" outlineLevel="0" collapsed="false">
      <c r="A51" s="22"/>
      <c r="B51" s="22"/>
      <c r="C51" s="23"/>
      <c r="D51" s="24"/>
      <c r="E51" s="23"/>
      <c r="F51" s="23"/>
      <c r="G51" s="23"/>
      <c r="H51" s="22"/>
      <c r="I51" s="22"/>
      <c r="J51" s="24"/>
      <c r="K51" s="24"/>
      <c r="L51" s="24"/>
      <c r="M51" s="24"/>
      <c r="N51" s="25"/>
      <c r="O51" s="23"/>
      <c r="P51" s="23"/>
      <c r="Q51" s="23"/>
      <c r="R51" s="22"/>
    </row>
    <row r="52" customFormat="false" ht="27.75" hidden="false" customHeight="true" outlineLevel="0" collapsed="false">
      <c r="A52" s="22"/>
      <c r="B52" s="22"/>
      <c r="C52" s="23"/>
      <c r="D52" s="24"/>
      <c r="E52" s="23"/>
      <c r="F52" s="23"/>
      <c r="G52" s="23"/>
      <c r="H52" s="22"/>
      <c r="I52" s="22"/>
      <c r="J52" s="24"/>
      <c r="K52" s="24"/>
      <c r="L52" s="24"/>
      <c r="M52" s="24"/>
      <c r="N52" s="25"/>
      <c r="O52" s="23"/>
      <c r="P52" s="23"/>
      <c r="Q52" s="23"/>
      <c r="R52" s="22"/>
    </row>
    <row r="53" customFormat="false" ht="27.75" hidden="false" customHeight="true" outlineLevel="0" collapsed="false">
      <c r="A53" s="22"/>
      <c r="B53" s="22"/>
      <c r="C53" s="23"/>
      <c r="D53" s="24"/>
      <c r="E53" s="23"/>
      <c r="F53" s="23"/>
      <c r="G53" s="23"/>
      <c r="H53" s="22"/>
      <c r="I53" s="22"/>
      <c r="J53" s="24"/>
      <c r="K53" s="24"/>
      <c r="L53" s="24"/>
      <c r="M53" s="24"/>
      <c r="N53" s="25"/>
      <c r="O53" s="23"/>
      <c r="P53" s="23"/>
      <c r="Q53" s="23"/>
      <c r="R53" s="22"/>
    </row>
    <row r="54" customFormat="false" ht="27.75" hidden="false" customHeight="true" outlineLevel="0" collapsed="false">
      <c r="A54" s="22"/>
      <c r="B54" s="22"/>
      <c r="C54" s="23"/>
      <c r="D54" s="24"/>
      <c r="E54" s="23"/>
      <c r="F54" s="23"/>
      <c r="G54" s="23"/>
      <c r="H54" s="22"/>
      <c r="I54" s="22"/>
      <c r="J54" s="24"/>
      <c r="K54" s="24"/>
      <c r="L54" s="24"/>
      <c r="M54" s="24"/>
      <c r="N54" s="25"/>
      <c r="O54" s="23"/>
      <c r="P54" s="23"/>
      <c r="Q54" s="23"/>
      <c r="R54" s="22"/>
    </row>
    <row r="55" customFormat="false" ht="27.75" hidden="false" customHeight="true" outlineLevel="0" collapsed="false">
      <c r="A55" s="22"/>
      <c r="B55" s="22"/>
      <c r="C55" s="23"/>
      <c r="D55" s="24"/>
      <c r="E55" s="23"/>
      <c r="F55" s="23"/>
      <c r="G55" s="23"/>
      <c r="H55" s="22"/>
      <c r="I55" s="22"/>
      <c r="J55" s="24"/>
      <c r="K55" s="24"/>
      <c r="L55" s="24"/>
      <c r="M55" s="24"/>
      <c r="N55" s="25"/>
      <c r="O55" s="23"/>
      <c r="P55" s="23"/>
      <c r="Q55" s="23"/>
      <c r="R55" s="22"/>
    </row>
    <row r="56" customFormat="false" ht="27.75" hidden="false" customHeight="true" outlineLevel="0" collapsed="false">
      <c r="A56" s="22"/>
      <c r="B56" s="22"/>
      <c r="C56" s="23"/>
      <c r="D56" s="24"/>
      <c r="E56" s="23"/>
      <c r="F56" s="23"/>
      <c r="G56" s="23"/>
      <c r="H56" s="22"/>
      <c r="I56" s="22"/>
      <c r="J56" s="24"/>
      <c r="K56" s="24"/>
      <c r="L56" s="24"/>
      <c r="M56" s="24"/>
      <c r="N56" s="25"/>
      <c r="O56" s="23"/>
      <c r="P56" s="23"/>
      <c r="Q56" s="23"/>
      <c r="R56" s="22"/>
    </row>
    <row r="57" customFormat="false" ht="27.75" hidden="false" customHeight="true" outlineLevel="0" collapsed="false">
      <c r="A57" s="22"/>
      <c r="B57" s="22"/>
      <c r="C57" s="23"/>
      <c r="D57" s="24"/>
      <c r="E57" s="23"/>
      <c r="F57" s="23"/>
      <c r="G57" s="23"/>
      <c r="H57" s="22"/>
      <c r="I57" s="22"/>
      <c r="J57" s="24"/>
      <c r="K57" s="24"/>
      <c r="L57" s="24"/>
      <c r="M57" s="24"/>
      <c r="N57" s="25"/>
      <c r="O57" s="23"/>
      <c r="P57" s="23"/>
      <c r="Q57" s="23"/>
      <c r="R57" s="22"/>
    </row>
    <row r="58" customFormat="false" ht="27.75" hidden="false" customHeight="true" outlineLevel="0" collapsed="false">
      <c r="A58" s="22"/>
      <c r="B58" s="22"/>
      <c r="C58" s="23"/>
      <c r="D58" s="24"/>
      <c r="E58" s="23"/>
      <c r="F58" s="23"/>
      <c r="G58" s="23"/>
      <c r="H58" s="22"/>
      <c r="I58" s="22"/>
      <c r="J58" s="24"/>
      <c r="K58" s="24"/>
      <c r="L58" s="24"/>
      <c r="M58" s="24"/>
      <c r="N58" s="25"/>
      <c r="O58" s="23"/>
      <c r="P58" s="23"/>
      <c r="Q58" s="23"/>
      <c r="R58" s="22"/>
    </row>
  </sheetData>
  <autoFilter ref="A8:R8"/>
  <mergeCells count="2">
    <mergeCell ref="A1:C1"/>
    <mergeCell ref="K7:R7"/>
  </mergeCells>
  <conditionalFormatting sqref="G9:G508">
    <cfRule type="expression" priority="2" aboveAverage="0" equalAverage="0" bottom="0" percent="0" rank="0" text="" dxfId="2">
      <formula>$G9="Good"</formula>
    </cfRule>
    <cfRule type="expression" priority="3" aboveAverage="0" equalAverage="0" bottom="0" percent="0" rank="0" text="" dxfId="3">
      <formula>$G9="Fair"</formula>
    </cfRule>
    <cfRule type="expression" priority="4" aboveAverage="0" equalAverage="0" bottom="0" percent="0" rank="0" text="" dxfId="4">
      <formula>$G9="Poor"</formula>
    </cfRule>
  </conditionalFormatting>
  <conditionalFormatting sqref="E9:E508">
    <cfRule type="expression" priority="5" aboveAverage="0" equalAverage="0" bottom="0" percent="0" rank="0" text="" dxfId="4">
      <formula>$E9="No"</formula>
    </cfRule>
  </conditionalFormatting>
  <conditionalFormatting sqref="F9:F508">
    <cfRule type="expression" priority="6" aboveAverage="0" equalAverage="0" bottom="0" percent="0" rank="0" text="" dxfId="4">
      <formula>$F9="No"</formula>
    </cfRule>
  </conditionalFormatting>
  <conditionalFormatting sqref="O9:O508">
    <cfRule type="expression" priority="7" aboveAverage="0" equalAverage="0" bottom="0" percent="0" rank="0" text="" dxfId="4">
      <formula>$O9="No"</formula>
    </cfRule>
  </conditionalFormatting>
  <conditionalFormatting sqref="P9:P508">
    <cfRule type="expression" priority="8" aboveAverage="0" equalAverage="0" bottom="0" percent="0" rank="0" text="" dxfId="4">
      <formula>$P9="No"</formula>
    </cfRule>
  </conditionalFormatting>
  <conditionalFormatting sqref="Q9:Q508">
    <cfRule type="expression" priority="9" aboveAverage="0" equalAverage="0" bottom="0" percent="0" rank="0" text="" dxfId="4">
      <formula>$Q9="No"</formula>
    </cfRule>
  </conditionalFormatting>
  <conditionalFormatting sqref="J9:J508">
    <cfRule type="expression" priority="10" aboveAverage="0" equalAverage="0" bottom="0" percent="0" rank="0" text="" dxfId="4">
      <formula>AND($J9&lt;&gt;"",$J9&lt;TODAY())</formula>
    </cfRule>
    <cfRule type="expression" priority="11" aboveAverage="0" equalAverage="0" bottom="0" percent="0" rank="0" text="" dxfId="3">
      <formula>AND($J9&lt;&gt;"",$J9&gt;=TODAY(),$J9&lt;=TODAY()+7)</formula>
    </cfRule>
  </conditionalFormatting>
  <conditionalFormatting sqref="M9:M508">
    <cfRule type="expression" priority="12" aboveAverage="0" equalAverage="0" bottom="0" percent="0" rank="0" text="" dxfId="4">
      <formula>AND($M9&lt;&gt;"",$M9&lt;TODAY())</formula>
    </cfRule>
    <cfRule type="expression" priority="13" aboveAverage="0" equalAverage="0" bottom="0" percent="0" rank="0" text="" dxfId="3">
      <formula>AND($M9&lt;&gt;"",$M9&gt;=TODAY(),$M9&lt;=TODAY()+30)</formula>
    </cfRule>
  </conditionalFormatting>
  <dataValidations count="10">
    <dataValidation allowBlank="true" errorStyle="stop" operator="between" prompt="Select extinguisher type" promptTitle="Type" showDropDown="false" showErrorMessage="false" showInputMessage="false" sqref="C9:C508" type="list">
      <formula1>"Water,Foam,CO2,Dry Powder,Wet Chemical"</formula1>
      <formula2>0</formula2>
    </dataValidation>
    <dataValidation allowBlank="true" errorStyle="stop" operator="between" prompt="Select condition" showDropDown="false" showErrorMessage="false" showInputMessage="false" sqref="G9:G508" type="list">
      <formula1>"Good,Fair,Poor"</formula1>
      <formula2>0</formula2>
    </dataValidation>
    <dataValidation allowBlank="true" errorStyle="stop" operator="between" showDropDown="false" showErrorMessage="false" showInputMessage="false" sqref="E9:E508" type="list">
      <formula1>"Yes,No"</formula1>
      <formula2>0</formula2>
    </dataValidation>
    <dataValidation allowBlank="true" errorStyle="stop" operator="between" showDropDown="false" showErrorMessage="false" showInputMessage="false" sqref="F9:F508" type="list">
      <formula1>"Yes,No"</formula1>
      <formula2>0</formula2>
    </dataValidation>
    <dataValidation allowBlank="true" errorStyle="stop" operator="between" showDropDown="false" showErrorMessage="false" showInputMessage="false" sqref="O9:O508" type="list">
      <formula1>"Yes,No"</formula1>
      <formula2>0</formula2>
    </dataValidation>
    <dataValidation allowBlank="true" errorStyle="stop" operator="between" showDropDown="false" showErrorMessage="false" showInputMessage="false" sqref="P9:P508" type="list">
      <formula1>"Yes,No"</formula1>
      <formula2>0</formula2>
    </dataValidation>
    <dataValidation allowBlank="true" errorStyle="stop" operator="between" showDropDown="false" showErrorMessage="false" showInputMessage="false" sqref="Q9:Q508" type="list">
      <formula1>"Yes,No"</formula1>
      <formula2>0</formula2>
    </dataValidation>
    <dataValidation allowBlank="true" error="Please enter a valid date" errorStyle="stop" operator="between" showDropDown="false" showErrorMessage="false" showInputMessage="false" sqref="D9:D508" type="date">
      <formula1>0</formula1>
      <formula2>0</formula2>
    </dataValidation>
    <dataValidation allowBlank="true" errorStyle="stop" operator="between" showDropDown="false" showErrorMessage="false" showInputMessage="false" sqref="J9:M508" type="date">
      <formula1>0</formula1>
      <formula2>0</formula2>
    </dataValidation>
    <dataValidation allowBlank="true" error="Enter weight between 0 and 50 kg" errorStyle="stop" operator="between" showDropDown="false" showErrorMessage="false" showInputMessage="false" sqref="N9:N508" type="decimal">
      <formula1>0</formula1>
      <formula2>50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&amp;CFire Extinguisher Inspection Checklist</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6" t="s">
        <v>99</v>
      </c>
    </row>
    <row r="2" customFormat="false" ht="15" hidden="false" customHeight="false" outlineLevel="0" collapsed="false">
      <c r="A2" s="26"/>
    </row>
    <row r="3" customFormat="false" ht="15" hidden="false" customHeight="false" outlineLevel="0" collapsed="false">
      <c r="A3" s="26" t="s">
        <v>100</v>
      </c>
    </row>
    <row r="4" customFormat="false" ht="15" hidden="false" customHeight="false" outlineLevel="0" collapsed="false">
      <c r="A4" s="26"/>
    </row>
    <row r="5" customFormat="false" ht="15" hidden="false" customHeight="false" outlineLevel="0" collapsed="false">
      <c r="A5" s="26" t="s">
        <v>101</v>
      </c>
    </row>
    <row r="6" customFormat="false" ht="15" hidden="false" customHeight="false" outlineLevel="0" collapsed="false">
      <c r="A6" s="26"/>
    </row>
    <row r="7" customFormat="false" ht="15" hidden="false" customHeight="false" outlineLevel="0" collapsed="false">
      <c r="A7" s="26" t="s">
        <v>102</v>
      </c>
    </row>
    <row r="8" customFormat="false" ht="15" hidden="false" customHeight="false" outlineLevel="0" collapsed="false">
      <c r="A8" s="26"/>
    </row>
    <row r="9" customFormat="false" ht="15" hidden="false" customHeight="false" outlineLevel="0" collapsed="false">
      <c r="A9" s="26" t="s">
        <v>103</v>
      </c>
    </row>
    <row r="10" customFormat="false" ht="15" hidden="false" customHeight="false" outlineLevel="0" collapsed="false">
      <c r="A10" s="26"/>
    </row>
    <row r="11" customFormat="false" ht="15" hidden="false" customHeight="false" outlineLevel="0" collapsed="false">
      <c r="A11" s="26" t="s">
        <v>104</v>
      </c>
    </row>
    <row r="12" customFormat="false" ht="15" hidden="false" customHeight="false" outlineLevel="0" collapsed="false">
      <c r="A12" s="26"/>
    </row>
    <row r="13" customFormat="false" ht="15" hidden="false" customHeight="false" outlineLevel="0" collapsed="false">
      <c r="A13" s="26" t="s">
        <v>105</v>
      </c>
    </row>
    <row r="14" customFormat="false" ht="15" hidden="false" customHeight="false" outlineLevel="0" collapsed="false">
      <c r="A14" s="26"/>
    </row>
    <row r="15" customFormat="false" ht="15" hidden="false" customHeight="false" outlineLevel="0" collapsed="false">
      <c r="A15" s="26" t="s">
        <v>106</v>
      </c>
    </row>
    <row r="16" customFormat="false" ht="15" hidden="false" customHeight="false" outlineLevel="0" collapsed="false">
      <c r="A16" s="26"/>
    </row>
    <row r="17" customFormat="false" ht="15" hidden="false" customHeight="false" outlineLevel="0" collapsed="false">
      <c r="A17" s="26"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2026-03-22T16:36:52Z</dcterms:created>
  <dc:creator>Ebrora Ltd</dc:creator>
  <dc:description>Track and inspect all fire extinguishers on site with monthly visual checks, condition grading, service date tracking, and automatic overdue alerts. Designed for UK construction site managers, fire wardens, and safety coordinators.
Free professional construction management template from Ebrora Ltd. Visit ebrora.com for our full range of tools and templates.</dc:description>
  <cp:keywords>Ebrora construction fire extinguisher inspection checklist fire safety health and safety BS 5306 site management</cp:keywords>
  <dc:language>en-US</dc:language>
  <cp:lastModifiedBy>Ebrora Ltd</cp:lastModifiedBy>
  <dcterms:modified xsi:type="dcterms:W3CDTF">2026-03-22T16:36:52Z</dcterms:modified>
  <cp:revision>0</cp:revision>
  <dc:subject>Monthly visual inspection register for all fire extinguishers on construction sites.</dc:subject>
  <dc:title>Fire Extinguisher Inspection Checklist</dc:title>
</cp:coreProperties>
</file>

<file path=docProps/custom.xml><?xml version="1.0" encoding="utf-8"?>
<Properties xmlns="http://schemas.openxmlformats.org/officeDocument/2006/custom-properties" xmlns:vt="http://schemas.openxmlformats.org/officeDocument/2006/docPropsVTypes"/>
</file>