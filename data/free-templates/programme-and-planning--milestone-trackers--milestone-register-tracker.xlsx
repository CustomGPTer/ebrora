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Tracker" sheetId="1" state="visible" r:id="rId3"/>
    <sheet name="Instructions" sheetId="2" state="visible" r:id="rId4"/>
  </sheets>
  <definedNames>
    <definedName function="false" hidden="false" localSheetId="0" name="_xlnm.Print_Area" vbProcedure="false">'Milestone Tracker'!$A$1:$N$39</definedName>
    <definedName function="false" hidden="false" localSheetId="0" name="_xlnm.Print_Titles" vbProcedure="false">'Milestone Tracker'!$1:$5</definedName>
    <definedName function="false" hidden="true" localSheetId="0" name="_xlnm._FilterDatabase" vbProcedure="false">'Milestone Tracker'!$A$5:$N$30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<sst xmlns="http://schemas.openxmlformats.org/spreadsheetml/2006/main" count="40" uniqueCount="39">
  <si>
    <t xml:space="preserve">ebrora.com</t>
  </si>
  <si>
    <t xml:space="preserve">MILESTONE REGISTER TRACKER</t>
  </si>
  <si>
    <t xml:space="preserve">Project:</t>
  </si>
  <si>
    <t xml:space="preserve">Contract No.:</t>
  </si>
  <si>
    <t xml:space="preserve">Rev:</t>
  </si>
  <si>
    <t xml:space="preserve">No.</t>
  </si>
  <si>
    <t xml:space="preserve">Milestone
Ref</t>
  </si>
  <si>
    <t xml:space="preserve">Milestone Description</t>
  </si>
  <si>
    <t xml:space="preserve">Category /
Phase</t>
  </si>
  <si>
    <t xml:space="preserve">Contractual?
(Yes/No)</t>
  </si>
  <si>
    <t xml:space="preserve">Baseline
Date</t>
  </si>
  <si>
    <t xml:space="preserve">Forecast
Date</t>
  </si>
  <si>
    <t xml:space="preserve">Actual
Date</t>
  </si>
  <si>
    <t xml:space="preserve">Variance
(Days)</t>
  </si>
  <si>
    <t xml:space="preserve">RAG
Status</t>
  </si>
  <si>
    <t xml:space="preserve">Owner /
Responsible</t>
  </si>
  <si>
    <t xml:space="preserve">Dependencies /
Predecessors</t>
  </si>
  <si>
    <t xml:space="preserve">Risk /
Comments</t>
  </si>
  <si>
    <t xml:space="preserve">Achieved?
(Yes/No)</t>
  </si>
  <si>
    <t xml:space="preserve">SUMMARY</t>
  </si>
  <si>
    <t xml:space="preserve">Total Milestones:</t>
  </si>
  <si>
    <t xml:space="preserve">Achieved:</t>
  </si>
  <si>
    <t xml:space="preserve">Green:</t>
  </si>
  <si>
    <t xml:space="preserve">Amber:</t>
  </si>
  <si>
    <t xml:space="preserve">Red:</t>
  </si>
  <si>
    <t xml:space="preserve">Contractual:</t>
  </si>
  <si>
    <t xml:space="preserve">% Achieved:</t>
  </si>
  <si>
    <t xml:space="preserve">INSTRUCTIONS — Milestone Register Tracker</t>
  </si>
  <si>
    <t xml:space="preserve">How to Use This Template</t>
  </si>
  <si>
    <t xml:space="preserve">1. List all project milestones with unique references.</t>
  </si>
  <si>
    <t xml:space="preserve">2. Flag contractual milestones — these carry commercial/programme risk.</t>
  </si>
  <si>
    <t xml:space="preserve">3. Enter baseline and forecast dates. Variance auto-calculates.</t>
  </si>
  <si>
    <t xml:space="preserve">4. Positive variance (days behind) flags red; negative (ahead) flags green.</t>
  </si>
  <si>
    <t xml:space="preserve">5. Set RAG status based on confidence of achieving the milestone.</t>
  </si>
  <si>
    <t xml:space="preserve">6. Record dependencies and risks that could impact delivery.</t>
  </si>
  <si>
    <t xml:space="preserve">7. Mark 'Achieved' when the milestone is formally signed off.</t>
  </si>
  <si>
    <t xml:space="preserve">References:</t>
  </si>
  <si>
    <t xml:space="preserve">  NEC4 Clause 30 — Programme and Key Dates</t>
  </si>
  <si>
    <t xml:space="preserve">  JCT Contract — Sectional Completion provisions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</si>
</sst>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General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9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3" t="s">
        <v>2</v>
      </c>
      <c r="B3" s="4"/>
      <c r="C3" s="4"/>
      <c r="D3" s="4"/>
      <c r="E3" s="3" t="s">
        <v>3</v>
      </c>
      <c r="F3" s="4"/>
      <c r="G3" s="4"/>
      <c r="H3" s="3" t="s">
        <v>4</v>
      </c>
      <c r="I3" s="4"/>
    </row>
    <row r="5" customFormat="false" ht="48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</row>
    <row r="6" customFormat="false" ht="24" hidden="false" customHeight="true" outlineLevel="0" collapsed="false">
      <c r="A6" s="6" t="n">
        <v>1</v>
      </c>
      <c r="B6" s="7"/>
      <c r="C6" s="4"/>
      <c r="D6" s="7"/>
      <c r="E6" s="7"/>
      <c r="F6" s="8"/>
      <c r="G6" s="8"/>
      <c r="H6" s="8"/>
      <c r="I6" s="9" t="str">
        <f aca="false">IF(OR(F6="",G6=""),"",G6-F6)</f>
        <v/>
      </c>
      <c r="J6" s="7"/>
      <c r="K6" s="7"/>
      <c r="L6" s="4"/>
      <c r="M6" s="4"/>
      <c r="N6" s="7"/>
    </row>
    <row r="7" customFormat="false" ht="24" hidden="false" customHeight="true" outlineLevel="0" collapsed="false">
      <c r="A7" s="10" t="n">
        <v>2</v>
      </c>
      <c r="B7" s="7"/>
      <c r="C7" s="4"/>
      <c r="D7" s="7"/>
      <c r="E7" s="7"/>
      <c r="F7" s="8"/>
      <c r="G7" s="8"/>
      <c r="H7" s="8"/>
      <c r="I7" s="11" t="str">
        <f aca="false">IF(OR(F7="",G7=""),"",G7-F7)</f>
        <v/>
      </c>
      <c r="J7" s="7"/>
      <c r="K7" s="7"/>
      <c r="L7" s="4"/>
      <c r="M7" s="4"/>
      <c r="N7" s="7"/>
    </row>
    <row r="8" customFormat="false" ht="24" hidden="false" customHeight="true" outlineLevel="0" collapsed="false">
      <c r="A8" s="6" t="n">
        <v>3</v>
      </c>
      <c r="B8" s="7"/>
      <c r="C8" s="4"/>
      <c r="D8" s="7"/>
      <c r="E8" s="7"/>
      <c r="F8" s="8"/>
      <c r="G8" s="8"/>
      <c r="H8" s="8"/>
      <c r="I8" s="9" t="str">
        <f aca="false">IF(OR(F8="",G8=""),"",G8-F8)</f>
        <v/>
      </c>
      <c r="J8" s="7"/>
      <c r="K8" s="7"/>
      <c r="L8" s="4"/>
      <c r="M8" s="4"/>
      <c r="N8" s="7"/>
    </row>
    <row r="9" customFormat="false" ht="24" hidden="false" customHeight="true" outlineLevel="0" collapsed="false">
      <c r="A9" s="10" t="n">
        <v>4</v>
      </c>
      <c r="B9" s="7"/>
      <c r="C9" s="4"/>
      <c r="D9" s="7"/>
      <c r="E9" s="7"/>
      <c r="F9" s="8"/>
      <c r="G9" s="8"/>
      <c r="H9" s="8"/>
      <c r="I9" s="11" t="str">
        <f aca="false">IF(OR(F9="",G9=""),"",G9-F9)</f>
        <v/>
      </c>
      <c r="J9" s="7"/>
      <c r="K9" s="7"/>
      <c r="L9" s="4"/>
      <c r="M9" s="4"/>
      <c r="N9" s="7"/>
    </row>
    <row r="10" customFormat="false" ht="24" hidden="false" customHeight="true" outlineLevel="0" collapsed="false">
      <c r="A10" s="6" t="n">
        <v>5</v>
      </c>
      <c r="B10" s="7"/>
      <c r="C10" s="4"/>
      <c r="D10" s="7"/>
      <c r="E10" s="7"/>
      <c r="F10" s="8"/>
      <c r="G10" s="8"/>
      <c r="H10" s="8"/>
      <c r="I10" s="9" t="str">
        <f aca="false">IF(OR(F10="",G10=""),"",G10-F10)</f>
        <v/>
      </c>
      <c r="J10" s="7"/>
      <c r="K10" s="7"/>
      <c r="L10" s="4"/>
      <c r="M10" s="4"/>
      <c r="N10" s="7"/>
    </row>
    <row r="11" customFormat="false" ht="24" hidden="false" customHeight="true" outlineLevel="0" collapsed="false">
      <c r="A11" s="10" t="n">
        <v>6</v>
      </c>
      <c r="B11" s="7"/>
      <c r="C11" s="4"/>
      <c r="D11" s="7"/>
      <c r="E11" s="7"/>
      <c r="F11" s="8"/>
      <c r="G11" s="8"/>
      <c r="H11" s="8"/>
      <c r="I11" s="11" t="str">
        <f aca="false">IF(OR(F11="",G11=""),"",G11-F11)</f>
        <v/>
      </c>
      <c r="J11" s="7"/>
      <c r="K11" s="7"/>
      <c r="L11" s="4"/>
      <c r="M11" s="4"/>
      <c r="N11" s="7"/>
    </row>
    <row r="12" customFormat="false" ht="24" hidden="false" customHeight="true" outlineLevel="0" collapsed="false">
      <c r="A12" s="6" t="n">
        <v>7</v>
      </c>
      <c r="B12" s="7"/>
      <c r="C12" s="4"/>
      <c r="D12" s="7"/>
      <c r="E12" s="7"/>
      <c r="F12" s="8"/>
      <c r="G12" s="8"/>
      <c r="H12" s="8"/>
      <c r="I12" s="9" t="str">
        <f aca="false">IF(OR(F12="",G12=""),"",G12-F12)</f>
        <v/>
      </c>
      <c r="J12" s="7"/>
      <c r="K12" s="7"/>
      <c r="L12" s="4"/>
      <c r="M12" s="4"/>
      <c r="N12" s="7"/>
    </row>
    <row r="13" customFormat="false" ht="24" hidden="false" customHeight="true" outlineLevel="0" collapsed="false">
      <c r="A13" s="10" t="n">
        <v>8</v>
      </c>
      <c r="B13" s="7"/>
      <c r="C13" s="4"/>
      <c r="D13" s="7"/>
      <c r="E13" s="7"/>
      <c r="F13" s="8"/>
      <c r="G13" s="8"/>
      <c r="H13" s="8"/>
      <c r="I13" s="11" t="str">
        <f aca="false">IF(OR(F13="",G13=""),"",G13-F13)</f>
        <v/>
      </c>
      <c r="J13" s="7"/>
      <c r="K13" s="7"/>
      <c r="L13" s="4"/>
      <c r="M13" s="4"/>
      <c r="N13" s="7"/>
    </row>
    <row r="14" customFormat="false" ht="24" hidden="false" customHeight="true" outlineLevel="0" collapsed="false">
      <c r="A14" s="6" t="n">
        <v>9</v>
      </c>
      <c r="B14" s="7"/>
      <c r="C14" s="4"/>
      <c r="D14" s="7"/>
      <c r="E14" s="7"/>
      <c r="F14" s="8"/>
      <c r="G14" s="8"/>
      <c r="H14" s="8"/>
      <c r="I14" s="9" t="str">
        <f aca="false">IF(OR(F14="",G14=""),"",G14-F14)</f>
        <v/>
      </c>
      <c r="J14" s="7"/>
      <c r="K14" s="7"/>
      <c r="L14" s="4"/>
      <c r="M14" s="4"/>
      <c r="N14" s="7"/>
    </row>
    <row r="15" customFormat="false" ht="24" hidden="false" customHeight="true" outlineLevel="0" collapsed="false">
      <c r="A15" s="10" t="n">
        <v>10</v>
      </c>
      <c r="B15" s="7"/>
      <c r="C15" s="4"/>
      <c r="D15" s="7"/>
      <c r="E15" s="7"/>
      <c r="F15" s="8"/>
      <c r="G15" s="8"/>
      <c r="H15" s="8"/>
      <c r="I15" s="11" t="str">
        <f aca="false">IF(OR(F15="",G15=""),"",G15-F15)</f>
        <v/>
      </c>
      <c r="J15" s="7"/>
      <c r="K15" s="7"/>
      <c r="L15" s="4"/>
      <c r="M15" s="4"/>
      <c r="N15" s="7"/>
    </row>
    <row r="16" customFormat="false" ht="24" hidden="false" customHeight="true" outlineLevel="0" collapsed="false">
      <c r="A16" s="6" t="n">
        <v>11</v>
      </c>
      <c r="B16" s="7"/>
      <c r="C16" s="4"/>
      <c r="D16" s="7"/>
      <c r="E16" s="7"/>
      <c r="F16" s="8"/>
      <c r="G16" s="8"/>
      <c r="H16" s="8"/>
      <c r="I16" s="9" t="str">
        <f aca="false">IF(OR(F16="",G16=""),"",G16-F16)</f>
        <v/>
      </c>
      <c r="J16" s="7"/>
      <c r="K16" s="7"/>
      <c r="L16" s="4"/>
      <c r="M16" s="4"/>
      <c r="N16" s="7"/>
    </row>
    <row r="17" customFormat="false" ht="24" hidden="false" customHeight="true" outlineLevel="0" collapsed="false">
      <c r="A17" s="10" t="n">
        <v>12</v>
      </c>
      <c r="B17" s="7"/>
      <c r="C17" s="4"/>
      <c r="D17" s="7"/>
      <c r="E17" s="7"/>
      <c r="F17" s="8"/>
      <c r="G17" s="8"/>
      <c r="H17" s="8"/>
      <c r="I17" s="11" t="str">
        <f aca="false">IF(OR(F17="",G17=""),"",G17-F17)</f>
        <v/>
      </c>
      <c r="J17" s="7"/>
      <c r="K17" s="7"/>
      <c r="L17" s="4"/>
      <c r="M17" s="4"/>
      <c r="N17" s="7"/>
    </row>
    <row r="18" customFormat="false" ht="24" hidden="false" customHeight="true" outlineLevel="0" collapsed="false">
      <c r="A18" s="6" t="n">
        <v>13</v>
      </c>
      <c r="B18" s="7"/>
      <c r="C18" s="4"/>
      <c r="D18" s="7"/>
      <c r="E18" s="7"/>
      <c r="F18" s="8"/>
      <c r="G18" s="8"/>
      <c r="H18" s="8"/>
      <c r="I18" s="9" t="str">
        <f aca="false">IF(OR(F18="",G18=""),"",G18-F18)</f>
        <v/>
      </c>
      <c r="J18" s="7"/>
      <c r="K18" s="7"/>
      <c r="L18" s="4"/>
      <c r="M18" s="4"/>
      <c r="N18" s="7"/>
    </row>
    <row r="19" customFormat="false" ht="24" hidden="false" customHeight="true" outlineLevel="0" collapsed="false">
      <c r="A19" s="10" t="n">
        <v>14</v>
      </c>
      <c r="B19" s="7"/>
      <c r="C19" s="4"/>
      <c r="D19" s="7"/>
      <c r="E19" s="7"/>
      <c r="F19" s="8"/>
      <c r="G19" s="8"/>
      <c r="H19" s="8"/>
      <c r="I19" s="11" t="str">
        <f aca="false">IF(OR(F19="",G19=""),"",G19-F19)</f>
        <v/>
      </c>
      <c r="J19" s="7"/>
      <c r="K19" s="7"/>
      <c r="L19" s="4"/>
      <c r="M19" s="4"/>
      <c r="N19" s="7"/>
    </row>
    <row r="20" customFormat="false" ht="24" hidden="false" customHeight="true" outlineLevel="0" collapsed="false">
      <c r="A20" s="6" t="n">
        <v>15</v>
      </c>
      <c r="B20" s="7"/>
      <c r="C20" s="4"/>
      <c r="D20" s="7"/>
      <c r="E20" s="7"/>
      <c r="F20" s="8"/>
      <c r="G20" s="8"/>
      <c r="H20" s="8"/>
      <c r="I20" s="9" t="str">
        <f aca="false">IF(OR(F20="",G20=""),"",G20-F20)</f>
        <v/>
      </c>
      <c r="J20" s="7"/>
      <c r="K20" s="7"/>
      <c r="L20" s="4"/>
      <c r="M20" s="4"/>
      <c r="N20" s="7"/>
    </row>
    <row r="21" customFormat="false" ht="24" hidden="false" customHeight="true" outlineLevel="0" collapsed="false">
      <c r="A21" s="10" t="n">
        <v>16</v>
      </c>
      <c r="B21" s="7"/>
      <c r="C21" s="4"/>
      <c r="D21" s="7"/>
      <c r="E21" s="7"/>
      <c r="F21" s="8"/>
      <c r="G21" s="8"/>
      <c r="H21" s="8"/>
      <c r="I21" s="11" t="str">
        <f aca="false">IF(OR(F21="",G21=""),"",G21-F21)</f>
        <v/>
      </c>
      <c r="J21" s="7"/>
      <c r="K21" s="7"/>
      <c r="L21" s="4"/>
      <c r="M21" s="4"/>
      <c r="N21" s="7"/>
    </row>
    <row r="22" customFormat="false" ht="24" hidden="false" customHeight="true" outlineLevel="0" collapsed="false">
      <c r="A22" s="6" t="n">
        <v>17</v>
      </c>
      <c r="B22" s="7"/>
      <c r="C22" s="4"/>
      <c r="D22" s="7"/>
      <c r="E22" s="7"/>
      <c r="F22" s="8"/>
      <c r="G22" s="8"/>
      <c r="H22" s="8"/>
      <c r="I22" s="9" t="str">
        <f aca="false">IF(OR(F22="",G22=""),"",G22-F22)</f>
        <v/>
      </c>
      <c r="J22" s="7"/>
      <c r="K22" s="7"/>
      <c r="L22" s="4"/>
      <c r="M22" s="4"/>
      <c r="N22" s="7"/>
    </row>
    <row r="23" customFormat="false" ht="24" hidden="false" customHeight="true" outlineLevel="0" collapsed="false">
      <c r="A23" s="10" t="n">
        <v>18</v>
      </c>
      <c r="B23" s="7"/>
      <c r="C23" s="4"/>
      <c r="D23" s="7"/>
      <c r="E23" s="7"/>
      <c r="F23" s="8"/>
      <c r="G23" s="8"/>
      <c r="H23" s="8"/>
      <c r="I23" s="11" t="str">
        <f aca="false">IF(OR(F23="",G23=""),"",G23-F23)</f>
        <v/>
      </c>
      <c r="J23" s="7"/>
      <c r="K23" s="7"/>
      <c r="L23" s="4"/>
      <c r="M23" s="4"/>
      <c r="N23" s="7"/>
    </row>
    <row r="24" customFormat="false" ht="24" hidden="false" customHeight="true" outlineLevel="0" collapsed="false">
      <c r="A24" s="6" t="n">
        <v>19</v>
      </c>
      <c r="B24" s="7"/>
      <c r="C24" s="4"/>
      <c r="D24" s="7"/>
      <c r="E24" s="7"/>
      <c r="F24" s="8"/>
      <c r="G24" s="8"/>
      <c r="H24" s="8"/>
      <c r="I24" s="9" t="str">
        <f aca="false">IF(OR(F24="",G24=""),"",G24-F24)</f>
        <v/>
      </c>
      <c r="J24" s="7"/>
      <c r="K24" s="7"/>
      <c r="L24" s="4"/>
      <c r="M24" s="4"/>
      <c r="N24" s="7"/>
    </row>
    <row r="25" customFormat="false" ht="24" hidden="false" customHeight="true" outlineLevel="0" collapsed="false">
      <c r="A25" s="10" t="n">
        <v>20</v>
      </c>
      <c r="B25" s="7"/>
      <c r="C25" s="4"/>
      <c r="D25" s="7"/>
      <c r="E25" s="7"/>
      <c r="F25" s="8"/>
      <c r="G25" s="8"/>
      <c r="H25" s="8"/>
      <c r="I25" s="11" t="str">
        <f aca="false">IF(OR(F25="",G25=""),"",G25-F25)</f>
        <v/>
      </c>
      <c r="J25" s="7"/>
      <c r="K25" s="7"/>
      <c r="L25" s="4"/>
      <c r="M25" s="4"/>
      <c r="N25" s="7"/>
    </row>
    <row r="26" customFormat="false" ht="24" hidden="false" customHeight="true" outlineLevel="0" collapsed="false">
      <c r="A26" s="6" t="n">
        <v>21</v>
      </c>
      <c r="B26" s="7"/>
      <c r="C26" s="4"/>
      <c r="D26" s="7"/>
      <c r="E26" s="7"/>
      <c r="F26" s="8"/>
      <c r="G26" s="8"/>
      <c r="H26" s="8"/>
      <c r="I26" s="9" t="str">
        <f aca="false">IF(OR(F26="",G26=""),"",G26-F26)</f>
        <v/>
      </c>
      <c r="J26" s="7"/>
      <c r="K26" s="7"/>
      <c r="L26" s="4"/>
      <c r="M26" s="4"/>
      <c r="N26" s="7"/>
    </row>
    <row r="27" customFormat="false" ht="24" hidden="false" customHeight="true" outlineLevel="0" collapsed="false">
      <c r="A27" s="10" t="n">
        <v>22</v>
      </c>
      <c r="B27" s="7"/>
      <c r="C27" s="4"/>
      <c r="D27" s="7"/>
      <c r="E27" s="7"/>
      <c r="F27" s="8"/>
      <c r="G27" s="8"/>
      <c r="H27" s="8"/>
      <c r="I27" s="11" t="str">
        <f aca="false">IF(OR(F27="",G27=""),"",G27-F27)</f>
        <v/>
      </c>
      <c r="J27" s="7"/>
      <c r="K27" s="7"/>
      <c r="L27" s="4"/>
      <c r="M27" s="4"/>
      <c r="N27" s="7"/>
    </row>
    <row r="28" customFormat="false" ht="24" hidden="false" customHeight="true" outlineLevel="0" collapsed="false">
      <c r="A28" s="6" t="n">
        <v>23</v>
      </c>
      <c r="B28" s="7"/>
      <c r="C28" s="4"/>
      <c r="D28" s="7"/>
      <c r="E28" s="7"/>
      <c r="F28" s="8"/>
      <c r="G28" s="8"/>
      <c r="H28" s="8"/>
      <c r="I28" s="9" t="str">
        <f aca="false">IF(OR(F28="",G28=""),"",G28-F28)</f>
        <v/>
      </c>
      <c r="J28" s="7"/>
      <c r="K28" s="7"/>
      <c r="L28" s="4"/>
      <c r="M28" s="4"/>
      <c r="N28" s="7"/>
    </row>
    <row r="29" customFormat="false" ht="24" hidden="false" customHeight="true" outlineLevel="0" collapsed="false">
      <c r="A29" s="10" t="n">
        <v>24</v>
      </c>
      <c r="B29" s="7"/>
      <c r="C29" s="4"/>
      <c r="D29" s="7"/>
      <c r="E29" s="7"/>
      <c r="F29" s="8"/>
      <c r="G29" s="8"/>
      <c r="H29" s="8"/>
      <c r="I29" s="11" t="str">
        <f aca="false">IF(OR(F29="",G29=""),"",G29-F29)</f>
        <v/>
      </c>
      <c r="J29" s="7"/>
      <c r="K29" s="7"/>
      <c r="L29" s="4"/>
      <c r="M29" s="4"/>
      <c r="N29" s="7"/>
    </row>
    <row r="30" customFormat="false" ht="24" hidden="false" customHeight="true" outlineLevel="0" collapsed="false">
      <c r="A30" s="6" t="n">
        <v>25</v>
      </c>
      <c r="B30" s="7"/>
      <c r="C30" s="4"/>
      <c r="D30" s="7"/>
      <c r="E30" s="7"/>
      <c r="F30" s="8"/>
      <c r="G30" s="8"/>
      <c r="H30" s="8"/>
      <c r="I30" s="9" t="str">
        <f aca="false">IF(OR(F30="",G30=""),"",G30-F30)</f>
        <v/>
      </c>
      <c r="J30" s="7"/>
      <c r="K30" s="7"/>
      <c r="L30" s="4"/>
      <c r="M30" s="4"/>
      <c r="N30" s="7"/>
    </row>
    <row r="32" customFormat="false" ht="15" hidden="false" customHeight="true" outlineLevel="0" collapsed="false">
      <c r="A32" s="12" t="s">
        <v>19</v>
      </c>
      <c r="B32" s="12"/>
      <c r="C32" s="12"/>
    </row>
    <row r="33" customFormat="false" ht="23.85" hidden="false" customHeight="true" outlineLevel="0" collapsed="false">
      <c r="A33" s="3" t="s">
        <v>20</v>
      </c>
      <c r="B33" s="3"/>
      <c r="C33" s="13" t="n">
        <f aca="false">COUNTA(C6:C30)</f>
        <v>0</v>
      </c>
    </row>
    <row r="34" customFormat="false" ht="15" hidden="false" customHeight="true" outlineLevel="0" collapsed="false">
      <c r="A34" s="3" t="s">
        <v>21</v>
      </c>
      <c r="B34" s="3"/>
      <c r="C34" s="13" t="n">
        <f aca="false">COUNTIF(N6:N30,"Yes")</f>
        <v>0</v>
      </c>
    </row>
    <row r="35" customFormat="false" ht="15" hidden="false" customHeight="true" outlineLevel="0" collapsed="false">
      <c r="A35" s="3" t="s">
        <v>22</v>
      </c>
      <c r="B35" s="3"/>
      <c r="C35" s="13" t="n">
        <f aca="false">COUNTIF(J6:J30,"Green")</f>
        <v>0</v>
      </c>
    </row>
    <row r="36" customFormat="false" ht="15" hidden="false" customHeight="true" outlineLevel="0" collapsed="false">
      <c r="A36" s="3" t="s">
        <v>23</v>
      </c>
      <c r="B36" s="3"/>
      <c r="C36" s="13" t="n">
        <f aca="false">COUNTIF(J6:J30,"Amber")</f>
        <v>0</v>
      </c>
    </row>
    <row r="37" customFormat="false" ht="15" hidden="false" customHeight="true" outlineLevel="0" collapsed="false">
      <c r="A37" s="3" t="s">
        <v>24</v>
      </c>
      <c r="B37" s="3"/>
      <c r="C37" s="13" t="n">
        <f aca="false">COUNTIF(J6:J30,"Red")</f>
        <v>0</v>
      </c>
    </row>
    <row r="38" customFormat="false" ht="15" hidden="false" customHeight="true" outlineLevel="0" collapsed="false">
      <c r="A38" s="3" t="s">
        <v>25</v>
      </c>
      <c r="B38" s="3"/>
      <c r="C38" s="13" t="n">
        <f aca="false">COUNTIF(E6:E30,"Yes")</f>
        <v>0</v>
      </c>
    </row>
    <row r="39" customFormat="false" ht="15" hidden="false" customHeight="true" outlineLevel="0" collapsed="false">
      <c r="A39" s="3" t="s">
        <v>26</v>
      </c>
      <c r="B39" s="3"/>
      <c r="C39" s="14" t="str">
        <f aca="false">IF(COUNTA(C6:C30)=0,"",COUNTIF(N6:N30,"Yes")/COUNTA(C6:C30))</f>
        <v/>
      </c>
    </row>
  </sheetData>
  <autoFilter ref="A5:N30"/>
  <mergeCells count="12">
    <mergeCell ref="A1:N1"/>
    <mergeCell ref="A2:N2"/>
    <mergeCell ref="B3:D3"/>
    <mergeCell ref="F3:G3"/>
    <mergeCell ref="A32:C32"/>
    <mergeCell ref="A33:B33"/>
    <mergeCell ref="A34:B34"/>
    <mergeCell ref="A35:B35"/>
    <mergeCell ref="A36:B36"/>
    <mergeCell ref="A37:B37"/>
    <mergeCell ref="A38:B38"/>
    <mergeCell ref="A39:B39"/>
  </mergeCells>
  <conditionalFormatting sqref="J6:J30">
    <cfRule type="cellIs" priority="2" operator="equal" aboveAverage="0" equalAverage="0" bottom="0" percent="0" rank="0" text="" dxfId="6">
      <formula>"Green"</formula>
    </cfRule>
    <cfRule type="cellIs" priority="3" operator="equal" aboveAverage="0" equalAverage="0" bottom="0" percent="0" rank="0" text="" dxfId="7">
      <formula>"Amber"</formula>
    </cfRule>
    <cfRule type="cellIs" priority="4" operator="equal" aboveAverage="0" equalAverage="0" bottom="0" percent="0" rank="0" text="" dxfId="8">
      <formula>"Red"</formula>
    </cfRule>
  </conditionalFormatting>
  <conditionalFormatting sqref="I6:I30">
    <cfRule type="expression" priority="5" aboveAverage="0" equalAverage="0" bottom="0" percent="0" rank="0" text="" dxfId="8">
      <formula>AND(I6&lt;&gt;"",I6&gt;0)</formula>
    </cfRule>
    <cfRule type="expression" priority="6" aboveAverage="0" equalAverage="0" bottom="0" percent="0" rank="0" text="" dxfId="6">
      <formula>AND(I6&lt;&gt;"",I6&lt;0)</formula>
    </cfRule>
    <cfRule type="expression" priority="7" aboveAverage="0" equalAverage="0" bottom="0" percent="0" rank="0" text="" dxfId="6">
      <formula>AND(I6&lt;&gt;"",I6=0)</formula>
    </cfRule>
  </conditionalFormatting>
  <dataValidations count="3">
    <dataValidation allowBlank="true" errorStyle="stop" operator="between" showDropDown="false" showErrorMessage="false" showInputMessage="false" sqref="E6:E30 N6:N30" type="list">
      <formula1>"Yes,No"</formula1>
      <formula2>0</formula2>
    </dataValidation>
    <dataValidation allowBlank="true" errorStyle="stop" operator="between" showDropDown="false" showErrorMessage="false" showInputMessage="false" sqref="D6:D30" type="list">
      <formula1>"Pre-Construction,Mobilisation,Enabling Works,Substructure,Superstructure,MEP,Fit-Out,External Works,Testing &amp; Commissioning,Handover,Other"</formula1>
      <formula2>0</formula2>
    </dataValidation>
    <dataValidation allowBlank="true" errorStyle="stop" operator="between" showDropDown="false" showErrorMessage="false" showInputMessage="false" sqref="J6:J30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2" t="s">
        <v>28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29</v>
      </c>
    </row>
    <row r="7" customFormat="false" ht="15" hidden="false" customHeight="false" outlineLevel="0" collapsed="false">
      <c r="B7" s="15" t="s">
        <v>30</v>
      </c>
    </row>
    <row r="8" customFormat="false" ht="15" hidden="false" customHeight="false" outlineLevel="0" collapsed="false">
      <c r="B8" s="15" t="s">
        <v>31</v>
      </c>
    </row>
    <row r="9" customFormat="false" ht="15" hidden="false" customHeight="false" outlineLevel="0" collapsed="false">
      <c r="B9" s="15" t="s">
        <v>32</v>
      </c>
    </row>
    <row r="10" customFormat="false" ht="15" hidden="false" customHeight="false" outlineLevel="0" collapsed="false">
      <c r="B10" s="15" t="s">
        <v>33</v>
      </c>
    </row>
    <row r="11" customFormat="false" ht="15" hidden="false" customHeight="false" outlineLevel="0" collapsed="false">
      <c r="B11" s="15" t="s">
        <v>34</v>
      </c>
    </row>
    <row r="12" customFormat="false" ht="15" hidden="false" customHeight="false" outlineLevel="0" collapsed="false">
      <c r="B12" s="15" t="s">
        <v>35</v>
      </c>
    </row>
    <row r="13" customFormat="false" ht="15" hidden="false" customHeight="false" outlineLevel="0" collapsed="false">
      <c r="B13" s="15"/>
    </row>
    <row r="14" customFormat="false" ht="15" hidden="false" customHeight="false" outlineLevel="0" collapsed="false">
      <c r="B14" s="12" t="s">
        <v>36</v>
      </c>
    </row>
    <row r="15" customFormat="false" ht="15" hidden="false" customHeight="false" outlineLevel="0" collapsed="false">
      <c r="B15" s="16" t="s">
        <v>37</v>
      </c>
    </row>
    <row r="16" customFormat="false" ht="15" hidden="false" customHeight="false" outlineLevel="0" collapsed="false">
      <c r="B16" s="16" t="s">
        <v>38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2026-03-27T17:01:30Z</dcterms:created>
  <dc:creator>openpyxl</dc:creator>
  <dc:description/>
  <dc:language>en-US</dc:language>
  <cp:lastModifiedBy/>
  <dcterms:modified xsi:type="dcterms:W3CDTF">2026-03-27T17:01:30Z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