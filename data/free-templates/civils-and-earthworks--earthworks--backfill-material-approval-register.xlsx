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Material Approvals"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'Material Approvals'!$A$1:$L$38</definedName>
    <definedName function="false" hidden="true" localSheetId="2" name="_xlnm._FilterDatabase" vbProcedure="false">'Material Approvals'!$A$7:$P$38</definedName>
    <definedName function="false" hidden="false" name="DataTable" vbProcedure="false">'Material Approvals'!$A$7:$P$38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<sst xmlns="http://schemas.openxmlformats.org/spreadsheetml/2006/main" count="125" uniqueCount="112">
  <si>
    <t xml:space="preserve">EBRORA</t>
  </si>
  <si>
    <t xml:space="preserve">ebrora.com</t>
  </si>
  <si>
    <t xml:space="preserve">Backfill Material
Approval Register</t>
  </si>
  <si>
    <t xml:space="preserve">Track backfill material sources through sampling, testing, and formal approval with automatic status and review age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</si>
  <si>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</si>
  <si>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</si>
  <si>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</si>
  <si>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</si>
  <si>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'Material Approvals' sheet. The summary shows approval status breakdown and pending items.</t>
  </si>
  <si>
    <t xml:space="preserve">2. Enter each material source with its description, supplier/quarry, intended use, and SHW classification.</t>
  </si>
  <si>
    <t xml:space="preserve">3. Record the date the sample was submitted for testing and the lab reference number.</t>
  </si>
  <si>
    <t xml:space="preserve">4. When test results return, enter the date received and the test outcome (Compliant/Non-Compliant).</t>
  </si>
  <si>
    <t xml:space="preserve">5. The approval status is set manually by the engineer: Approved, Rejected, Conditional, or Pending.</t>
  </si>
  <si>
    <t xml:space="preserve">6. 'Days Since Submission' auto-calculates — pending items over 14 days highlight amber, over 21 days red.</t>
  </si>
  <si>
    <t xml:space="preserve">7. Expand optional columns [+] for PSD results, MCV, CBR, chemical analysis, and source location.</t>
  </si>
  <si>
    <t xml:space="preserve">8. Never use a material on site until it appears as 'Approved' on this register.</t>
  </si>
  <si>
    <t xml:space="preserve">Colour Key</t>
  </si>
  <si>
    <t xml:space="preserve">Light teal</t>
  </si>
  <si>
    <t xml:space="preserve">Editable cells</t>
  </si>
  <si>
    <t xml:space="preserve">Dark navy</t>
  </si>
  <si>
    <t xml:space="preserve">Headers</t>
  </si>
  <si>
    <t xml:space="preserve">Green</t>
  </si>
  <si>
    <t xml:space="preserve">Approved — material cleared for use</t>
  </si>
  <si>
    <t xml:space="preserve">Amber</t>
  </si>
  <si>
    <t xml:space="preserve">Conditional or Pending review</t>
  </si>
  <si>
    <t xml:space="preserve">Red</t>
  </si>
  <si>
    <t xml:space="preserve">Rejected — do not use</t>
  </si>
  <si>
    <t xml:space="preserve">Tips</t>
  </si>
  <si>
    <t xml:space="preserve">• SHW classifications: Class 1 (general), Class 2 (cohesive), Class 6 (capping) — always match to your earthworks spec.</t>
  </si>
  <si>
    <t xml:space="preserve">• Re-test material if the source changes or if the quarry face moves to a different stratum.</t>
  </si>
  <si>
    <t xml:space="preserve">• Keep original lab test certificates filed alongside this register for audit and adoption purposes.</t>
  </si>
  <si>
    <t xml:space="preserve">BACKFILL MATERIAL APPROVAL REGISTER</t>
  </si>
  <si>
    <t xml:space="preserve">Total Sources</t>
  </si>
  <si>
    <t xml:space="preserve">Approved</t>
  </si>
  <si>
    <t xml:space="preserve">Pending</t>
  </si>
  <si>
    <t xml:space="preserve">Rejected</t>
  </si>
  <si>
    <t xml:space="preserve">Conditional</t>
  </si>
  <si>
    <t xml:space="preserve">Approval Rate</t>
  </si>
  <si>
    <t xml:space="preserve">▸ Optional Fields — Click [+] to expand</t>
  </si>
  <si>
    <t xml:space="preserve">Mat.
Ref</t>
  </si>
  <si>
    <t xml:space="preserve">Material Description</t>
  </si>
  <si>
    <t xml:space="preserve">Supplier / Quarry</t>
  </si>
  <si>
    <t xml:space="preserve">Intended Use</t>
  </si>
  <si>
    <t xml:space="preserve">SHW
Class</t>
  </si>
  <si>
    <t xml:space="preserve">Date
Submitted</t>
  </si>
  <si>
    <t xml:space="preserve">Lab
Ref</t>
  </si>
  <si>
    <t xml:space="preserve">Results
Date</t>
  </si>
  <si>
    <t xml:space="preserve">Test
Outcome</t>
  </si>
  <si>
    <t xml:space="preserve">Approval
Status</t>
  </si>
  <si>
    <t xml:space="preserve">Days Since
Submission</t>
  </si>
  <si>
    <t xml:space="preserve">Notes</t>
  </si>
  <si>
    <t xml:space="preserve">PSD
Result</t>
  </si>
  <si>
    <t xml:space="preserve">MCV</t>
  </si>
  <si>
    <t xml:space="preserve">CBR (%)</t>
  </si>
  <si>
    <t xml:space="preserve">Source Location</t>
  </si>
  <si>
    <t xml:space="preserve">BF-001</t>
  </si>
  <si>
    <t xml:space="preserve">Granular fill — 6F5 recycled aggregate</t>
  </si>
  <si>
    <t xml:space="preserve">Smiths Recycling, Theale</t>
  </si>
  <si>
    <t xml:space="preserve">Pipe bedding &amp; surround</t>
  </si>
  <si>
    <t xml:space="preserve">Type 1 Sub-base</t>
  </si>
  <si>
    <t xml:space="preserve">LAB-5501</t>
  </si>
  <si>
    <t xml:space="preserve">Compliant</t>
  </si>
  <si>
    <t xml:space="preserve">PSD within SHW limits</t>
  </si>
  <si>
    <t xml:space="preserve">Well graded</t>
  </si>
  <si>
    <t xml:space="preserve">N/A</t>
  </si>
  <si>
    <t xml:space="preserve">SP 6543 7123</t>
  </si>
  <si>
    <t xml:space="preserve">BF-002</t>
  </si>
  <si>
    <t xml:space="preserve">Cohesive fill — brown sandy clay</t>
  </si>
  <si>
    <t xml:space="preserve">Site-won (Zone A strip)</t>
  </si>
  <si>
    <t xml:space="preserve">General backfill</t>
  </si>
  <si>
    <t xml:space="preserve">Class 2</t>
  </si>
  <si>
    <t xml:space="preserve">LAB-5510</t>
  </si>
  <si>
    <t xml:space="preserve">MCV 12 — suitable</t>
  </si>
  <si>
    <t xml:space="preserve">12</t>
  </si>
  <si>
    <t xml:space="preserve">On-site stockpile</t>
  </si>
  <si>
    <t xml:space="preserve">BF-003</t>
  </si>
  <si>
    <t xml:space="preserve">Type 1 sub-base — limestone</t>
  </si>
  <si>
    <t xml:space="preserve">Hanson Quarry, Whatley</t>
  </si>
  <si>
    <t xml:space="preserve">Road sub-base layer</t>
  </si>
  <si>
    <t xml:space="preserve">LAB-5520</t>
  </si>
  <si>
    <t xml:space="preserve">85</t>
  </si>
  <si>
    <t xml:space="preserve">BA5 2QA</t>
  </si>
  <si>
    <t xml:space="preserve">BF-004</t>
  </si>
  <si>
    <t xml:space="preserve">Capping layer — Class 6N</t>
  </si>
  <si>
    <t xml:space="preserve">J Murphy Recycling</t>
  </si>
  <si>
    <t xml:space="preserve">Capping below sub-base</t>
  </si>
  <si>
    <t xml:space="preserve">Class 6</t>
  </si>
  <si>
    <t xml:space="preserve">LAB-5535</t>
  </si>
  <si>
    <t xml:space="preserve">Awaiting</t>
  </si>
  <si>
    <t xml:space="preserve">Results expected 28/02</t>
  </si>
  <si>
    <t xml:space="preserve">RG7 4SA</t>
  </si>
  <si>
    <t xml:space="preserve">BF-005</t>
  </si>
  <si>
    <t xml:space="preserve">Sandy gravel — imported</t>
  </si>
  <si>
    <t xml:space="preserve">Unknown quarry</t>
  </si>
  <si>
    <t xml:space="preserve">Trench backfill</t>
  </si>
  <si>
    <t xml:space="preserve">Class 1</t>
  </si>
  <si>
    <t xml:space="preserve">LAB-5528</t>
  </si>
  <si>
    <t xml:space="preserve">Non-Compliant</t>
  </si>
  <si>
    <t xml:space="preserve">Excessive fines — 35% passing 63µm. Rejected.</t>
  </si>
  <si>
    <t xml:space="preserve">Poorly graded</t>
  </si>
  <si>
    <t xml:space="preserve">8</t>
  </si>
  <si>
    <t xml:space="preserve">15</t>
  </si>
  <si>
    <t xml:space="preserve">Unknown</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</si>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</sst>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8"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0006"/>
      </font>
      <fill>
        <patternFill>
          <bgColor rgb="FFFFC7CE"/>
        </patternFill>
      </fill>
    </dxf>
    <dxf>
      <font>
        <name val="Calibri"/>
        <charset val="1"/>
        <family val="0"/>
        <b val="1"/>
        <color rgb="FF9C6500"/>
      </font>
      <fill>
        <patternFill>
          <bgColor rgb="FFFFEB9C"/>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8"/>
    <col collapsed="false" customWidth="true" hidden="false" outlineLevel="0" max="5" min="5" style="0" width="14"/>
    <col collapsed="false" customWidth="true" hidden="false" outlineLevel="0" max="6" min="6" style="0" width="13"/>
    <col collapsed="false" customWidth="true" hidden="false" outlineLevel="0" max="7" min="7" style="0" width="12"/>
    <col collapsed="false" customWidth="true" hidden="false" outlineLevel="0" max="10" min="8" style="0" width="14"/>
    <col collapsed="false" customWidth="true" hidden="false" outlineLevel="0" max="11" min="11" style="0" width="13"/>
    <col collapsed="false" customWidth="true" hidden="false" outlineLevel="0" max="12" min="12" style="0" width="28"/>
    <col collapsed="false" customWidth="true" hidden="true" outlineLevel="1" max="16" min="13" style="0" width="14"/>
  </cols>
  <sheetData>
    <row r="1" customFormat="false" ht="18.65" hidden="false" customHeight="true" outlineLevel="0" collapsed="false">
      <c r="A1" s="18" t="s">
        <v>31</v>
      </c>
      <c r="B1" s="18"/>
      <c r="C1" s="18"/>
      <c r="D1" s="18"/>
      <c r="E1" s="18"/>
      <c r="F1" s="18"/>
      <c r="G1" s="18"/>
      <c r="H1" s="18"/>
      <c r="I1" s="18"/>
      <c r="J1" s="18"/>
      <c r="K1" s="18"/>
      <c r="L1" s="18"/>
      <c r="M1" s="19"/>
      <c r="N1" s="19"/>
      <c r="O1" s="19"/>
      <c r="P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COUNTA(A8:A38)</f>
        <v>5</v>
      </c>
      <c r="C4" s="22" t="n">
        <f aca="false">COUNTIF(J8:J38,"Approved")</f>
        <v>3</v>
      </c>
      <c r="E4" s="21" t="n">
        <f aca="false">COUNTIF(J8:J38,"Pending")</f>
        <v>1</v>
      </c>
      <c r="G4" s="23" t="n">
        <f aca="false">COUNTIF(J8:J38,"Rejected")</f>
        <v>1</v>
      </c>
      <c r="I4" s="21" t="n">
        <f aca="false">COUNTIF(J8:J38,"Conditional")</f>
        <v>0</v>
      </c>
      <c r="K4" s="24" t="n">
        <f aca="false">IFERROR(C4/A4,0)</f>
        <v>0.6</v>
      </c>
    </row>
    <row r="5" customFormat="false" ht="15" hidden="false" customHeight="false" outlineLevel="0" collapsed="false">
      <c r="A5" s="25"/>
      <c r="B5" s="25"/>
      <c r="C5" s="25"/>
      <c r="D5" s="25"/>
      <c r="E5" s="25"/>
      <c r="F5" s="25"/>
      <c r="G5" s="25"/>
      <c r="H5" s="25"/>
      <c r="I5" s="25"/>
      <c r="J5" s="25"/>
      <c r="K5" s="25"/>
      <c r="L5" s="25"/>
      <c r="M5" s="25"/>
      <c r="N5" s="25"/>
      <c r="O5" s="25"/>
      <c r="P5" s="25"/>
    </row>
    <row r="6" customFormat="false" ht="3.75" hidden="false" customHeight="true" outlineLevel="0" collapsed="false">
      <c r="M6" s="26" t="s">
        <v>38</v>
      </c>
      <c r="N6" s="26"/>
      <c r="O6" s="26"/>
      <c r="P6" s="26"/>
    </row>
    <row r="7" customFormat="false" ht="37.5" hidden="false" customHeight="true" outlineLevel="0" collapsed="false">
      <c r="A7" s="27" t="s">
        <v>39</v>
      </c>
      <c r="B7" s="27" t="s">
        <v>40</v>
      </c>
      <c r="C7" s="27" t="s">
        <v>41</v>
      </c>
      <c r="D7" s="27" t="s">
        <v>42</v>
      </c>
      <c r="E7" s="27" t="s">
        <v>43</v>
      </c>
      <c r="F7" s="27" t="s">
        <v>44</v>
      </c>
      <c r="G7" s="27" t="s">
        <v>45</v>
      </c>
      <c r="H7" s="27" t="s">
        <v>46</v>
      </c>
      <c r="I7" s="27" t="s">
        <v>47</v>
      </c>
      <c r="J7" s="27" t="s">
        <v>48</v>
      </c>
      <c r="K7" s="27" t="s">
        <v>49</v>
      </c>
      <c r="L7" s="27" t="s">
        <v>50</v>
      </c>
      <c r="M7" s="27" t="s">
        <v>51</v>
      </c>
      <c r="N7" s="27" t="s">
        <v>52</v>
      </c>
      <c r="O7" s="27" t="s">
        <v>53</v>
      </c>
      <c r="P7" s="27" t="s">
        <v>54</v>
      </c>
    </row>
    <row r="8" customFormat="false" ht="23.85" hidden="false" customHeight="false" outlineLevel="0" collapsed="false">
      <c r="A8" s="28" t="s">
        <v>55</v>
      </c>
      <c r="B8" s="29" t="s">
        <v>56</v>
      </c>
      <c r="C8" s="29" t="s">
        <v>57</v>
      </c>
      <c r="D8" s="29" t="s">
        <v>58</v>
      </c>
      <c r="E8" s="28" t="s">
        <v>59</v>
      </c>
      <c r="F8" s="30" t="n">
        <v>46054</v>
      </c>
      <c r="G8" s="28" t="s">
        <v>60</v>
      </c>
      <c r="H8" s="30" t="n">
        <v>46061</v>
      </c>
      <c r="I8" s="28" t="s">
        <v>61</v>
      </c>
      <c r="J8" s="28" t="s">
        <v>33</v>
      </c>
      <c r="K8" s="31" t="n">
        <f aca="true">IF(F8="","",IF(H8&lt;&gt;"",H8-F8,TODAY()-F8))</f>
        <v>7</v>
      </c>
      <c r="L8" s="29" t="s">
        <v>62</v>
      </c>
      <c r="M8" s="28" t="s">
        <v>63</v>
      </c>
      <c r="N8" s="28" t="s">
        <v>64</v>
      </c>
      <c r="O8" s="28" t="s">
        <v>64</v>
      </c>
      <c r="P8" s="29" t="s">
        <v>65</v>
      </c>
    </row>
    <row r="9" customFormat="false" ht="23.85" hidden="false" customHeight="false" outlineLevel="0" collapsed="false">
      <c r="A9" s="28" t="s">
        <v>66</v>
      </c>
      <c r="B9" s="29" t="s">
        <v>67</v>
      </c>
      <c r="C9" s="29" t="s">
        <v>68</v>
      </c>
      <c r="D9" s="29" t="s">
        <v>69</v>
      </c>
      <c r="E9" s="28" t="s">
        <v>70</v>
      </c>
      <c r="F9" s="30" t="n">
        <v>46058</v>
      </c>
      <c r="G9" s="28" t="s">
        <v>71</v>
      </c>
      <c r="H9" s="30" t="n">
        <v>46067</v>
      </c>
      <c r="I9" s="28" t="s">
        <v>61</v>
      </c>
      <c r="J9" s="28" t="s">
        <v>33</v>
      </c>
      <c r="K9" s="31" t="n">
        <f aca="true">IF(F9="","",IF(H9&lt;&gt;"",H9-F9,TODAY()-F9))</f>
        <v>9</v>
      </c>
      <c r="L9" s="29" t="s">
        <v>72</v>
      </c>
      <c r="M9" s="28" t="s">
        <v>64</v>
      </c>
      <c r="N9" s="28" t="s">
        <v>73</v>
      </c>
      <c r="O9" s="28" t="s">
        <v>64</v>
      </c>
      <c r="P9" s="29" t="s">
        <v>74</v>
      </c>
    </row>
    <row r="10" customFormat="false" ht="15" hidden="false" customHeight="false" outlineLevel="0" collapsed="false">
      <c r="A10" s="28" t="s">
        <v>75</v>
      </c>
      <c r="B10" s="29" t="s">
        <v>76</v>
      </c>
      <c r="C10" s="29" t="s">
        <v>77</v>
      </c>
      <c r="D10" s="29" t="s">
        <v>78</v>
      </c>
      <c r="E10" s="28" t="s">
        <v>59</v>
      </c>
      <c r="F10" s="30" t="n">
        <v>46063</v>
      </c>
      <c r="G10" s="28" t="s">
        <v>79</v>
      </c>
      <c r="H10" s="30" t="n">
        <v>46071</v>
      </c>
      <c r="I10" s="28" t="s">
        <v>61</v>
      </c>
      <c r="J10" s="28" t="s">
        <v>33</v>
      </c>
      <c r="K10" s="31" t="n">
        <f aca="true">IF(F10="","",IF(H10&lt;&gt;"",H10-F10,TODAY()-F10))</f>
        <v>8</v>
      </c>
      <c r="L10" s="29"/>
      <c r="M10" s="28" t="s">
        <v>63</v>
      </c>
      <c r="N10" s="28" t="s">
        <v>64</v>
      </c>
      <c r="O10" s="28" t="s">
        <v>80</v>
      </c>
      <c r="P10" s="29" t="s">
        <v>81</v>
      </c>
    </row>
    <row r="11" customFormat="false" ht="23.85" hidden="false" customHeight="false" outlineLevel="0" collapsed="false">
      <c r="A11" s="28" t="s">
        <v>82</v>
      </c>
      <c r="B11" s="29" t="s">
        <v>83</v>
      </c>
      <c r="C11" s="29" t="s">
        <v>84</v>
      </c>
      <c r="D11" s="29" t="s">
        <v>85</v>
      </c>
      <c r="E11" s="28" t="s">
        <v>86</v>
      </c>
      <c r="F11" s="30" t="n">
        <v>46068</v>
      </c>
      <c r="G11" s="28" t="s">
        <v>87</v>
      </c>
      <c r="H11" s="30"/>
      <c r="I11" s="28" t="s">
        <v>88</v>
      </c>
      <c r="J11" s="28" t="s">
        <v>34</v>
      </c>
      <c r="K11" s="31" t="n">
        <f aca="true">IF(F11="","",IF(H11&lt;&gt;"",H11-F11,TODAY()-F11))</f>
        <v>36</v>
      </c>
      <c r="L11" s="29" t="s">
        <v>89</v>
      </c>
      <c r="M11" s="28"/>
      <c r="N11" s="28"/>
      <c r="O11" s="28"/>
      <c r="P11" s="29" t="s">
        <v>90</v>
      </c>
    </row>
    <row r="12" customFormat="false" ht="23.85" hidden="false" customHeight="false" outlineLevel="0" collapsed="false">
      <c r="A12" s="28" t="s">
        <v>91</v>
      </c>
      <c r="B12" s="29" t="s">
        <v>92</v>
      </c>
      <c r="C12" s="29" t="s">
        <v>93</v>
      </c>
      <c r="D12" s="29" t="s">
        <v>94</v>
      </c>
      <c r="E12" s="28" t="s">
        <v>95</v>
      </c>
      <c r="F12" s="30" t="n">
        <v>46065</v>
      </c>
      <c r="G12" s="28" t="s">
        <v>96</v>
      </c>
      <c r="H12" s="30" t="n">
        <v>46073</v>
      </c>
      <c r="I12" s="28" t="s">
        <v>97</v>
      </c>
      <c r="J12" s="28" t="s">
        <v>35</v>
      </c>
      <c r="K12" s="31" t="n">
        <f aca="true">IF(F12="","",IF(H12&lt;&gt;"",H12-F12,TODAY()-F12))</f>
        <v>8</v>
      </c>
      <c r="L12" s="29" t="s">
        <v>98</v>
      </c>
      <c r="M12" s="28" t="s">
        <v>99</v>
      </c>
      <c r="N12" s="28" t="s">
        <v>100</v>
      </c>
      <c r="O12" s="28" t="s">
        <v>101</v>
      </c>
      <c r="P12" s="29" t="s">
        <v>102</v>
      </c>
    </row>
    <row r="13" customFormat="false" ht="15" hidden="false" customHeight="false" outlineLevel="0" collapsed="false">
      <c r="A13" s="28"/>
      <c r="B13" s="29"/>
      <c r="C13" s="29"/>
      <c r="D13" s="29"/>
      <c r="E13" s="28"/>
      <c r="F13" s="30"/>
      <c r="G13" s="28"/>
      <c r="H13" s="30"/>
      <c r="I13" s="28"/>
      <c r="J13" s="28"/>
      <c r="K13" s="31" t="str">
        <f aca="true">IF(F13="","",IF(H13&lt;&gt;"",H13-F13,TODAY()-F13))</f>
        <v/>
      </c>
      <c r="L13" s="29"/>
      <c r="M13" s="28"/>
      <c r="N13" s="28"/>
      <c r="O13" s="28"/>
      <c r="P13" s="29"/>
    </row>
    <row r="14" customFormat="false" ht="15" hidden="false" customHeight="false" outlineLevel="0" collapsed="false">
      <c r="A14" s="28"/>
      <c r="B14" s="29"/>
      <c r="C14" s="29"/>
      <c r="D14" s="29"/>
      <c r="E14" s="28"/>
      <c r="F14" s="30"/>
      <c r="G14" s="28"/>
      <c r="H14" s="30"/>
      <c r="I14" s="28"/>
      <c r="J14" s="28"/>
      <c r="K14" s="31" t="str">
        <f aca="true">IF(F14="","",IF(H14&lt;&gt;"",H14-F14,TODAY()-F14))</f>
        <v/>
      </c>
      <c r="L14" s="29"/>
      <c r="M14" s="28"/>
      <c r="N14" s="28"/>
      <c r="O14" s="28"/>
      <c r="P14" s="29"/>
    </row>
    <row r="15" customFormat="false" ht="15" hidden="false" customHeight="false" outlineLevel="0" collapsed="false">
      <c r="A15" s="28"/>
      <c r="B15" s="29"/>
      <c r="C15" s="29"/>
      <c r="D15" s="29"/>
      <c r="E15" s="28"/>
      <c r="F15" s="30"/>
      <c r="G15" s="28"/>
      <c r="H15" s="30"/>
      <c r="I15" s="28"/>
      <c r="J15" s="28"/>
      <c r="K15" s="31" t="str">
        <f aca="true">IF(F15="","",IF(H15&lt;&gt;"",H15-F15,TODAY()-F15))</f>
        <v/>
      </c>
      <c r="L15" s="29"/>
      <c r="M15" s="28"/>
      <c r="N15" s="28"/>
      <c r="O15" s="28"/>
      <c r="P15" s="29"/>
    </row>
    <row r="16" customFormat="false" ht="15" hidden="false" customHeight="false" outlineLevel="0" collapsed="false">
      <c r="A16" s="28"/>
      <c r="B16" s="29"/>
      <c r="C16" s="29"/>
      <c r="D16" s="29"/>
      <c r="E16" s="28"/>
      <c r="F16" s="30"/>
      <c r="G16" s="28"/>
      <c r="H16" s="30"/>
      <c r="I16" s="28"/>
      <c r="J16" s="28"/>
      <c r="K16" s="31" t="str">
        <f aca="true">IF(F16="","",IF(H16&lt;&gt;"",H16-F16,TODAY()-F16))</f>
        <v/>
      </c>
      <c r="L16" s="29"/>
      <c r="M16" s="28"/>
      <c r="N16" s="28"/>
      <c r="O16" s="28"/>
      <c r="P16" s="29"/>
    </row>
    <row r="17" customFormat="false" ht="15" hidden="false" customHeight="false" outlineLevel="0" collapsed="false">
      <c r="A17" s="28"/>
      <c r="B17" s="29"/>
      <c r="C17" s="29"/>
      <c r="D17" s="29"/>
      <c r="E17" s="28"/>
      <c r="F17" s="30"/>
      <c r="G17" s="28"/>
      <c r="H17" s="30"/>
      <c r="I17" s="28"/>
      <c r="J17" s="28"/>
      <c r="K17" s="31" t="str">
        <f aca="true">IF(F17="","",IF(H17&lt;&gt;"",H17-F17,TODAY()-F17))</f>
        <v/>
      </c>
      <c r="L17" s="29"/>
      <c r="M17" s="28"/>
      <c r="N17" s="28"/>
      <c r="O17" s="28"/>
      <c r="P17" s="29"/>
    </row>
    <row r="18" customFormat="false" ht="15" hidden="false" customHeight="false" outlineLevel="0" collapsed="false">
      <c r="A18" s="28"/>
      <c r="B18" s="29"/>
      <c r="C18" s="29"/>
      <c r="D18" s="29"/>
      <c r="E18" s="28"/>
      <c r="F18" s="30"/>
      <c r="G18" s="28"/>
      <c r="H18" s="30"/>
      <c r="I18" s="28"/>
      <c r="J18" s="28"/>
      <c r="K18" s="31" t="str">
        <f aca="true">IF(F18="","",IF(H18&lt;&gt;"",H18-F18,TODAY()-F18))</f>
        <v/>
      </c>
      <c r="L18" s="29"/>
      <c r="M18" s="28"/>
      <c r="N18" s="28"/>
      <c r="O18" s="28"/>
      <c r="P18" s="29"/>
    </row>
    <row r="19" customFormat="false" ht="15" hidden="false" customHeight="false" outlineLevel="0" collapsed="false">
      <c r="A19" s="28"/>
      <c r="B19" s="29"/>
      <c r="C19" s="29"/>
      <c r="D19" s="29"/>
      <c r="E19" s="28"/>
      <c r="F19" s="30"/>
      <c r="G19" s="28"/>
      <c r="H19" s="30"/>
      <c r="I19" s="28"/>
      <c r="J19" s="28"/>
      <c r="K19" s="31" t="str">
        <f aca="true">IF(F19="","",IF(H19&lt;&gt;"",H19-F19,TODAY()-F19))</f>
        <v/>
      </c>
      <c r="L19" s="29"/>
      <c r="M19" s="28"/>
      <c r="N19" s="28"/>
      <c r="O19" s="28"/>
      <c r="P19" s="29"/>
    </row>
    <row r="20" customFormat="false" ht="15" hidden="false" customHeight="false" outlineLevel="0" collapsed="false">
      <c r="A20" s="28"/>
      <c r="B20" s="29"/>
      <c r="C20" s="29"/>
      <c r="D20" s="29"/>
      <c r="E20" s="28"/>
      <c r="F20" s="30"/>
      <c r="G20" s="28"/>
      <c r="H20" s="30"/>
      <c r="I20" s="28"/>
      <c r="J20" s="28"/>
      <c r="K20" s="31" t="str">
        <f aca="true">IF(F20="","",IF(H20&lt;&gt;"",H20-F20,TODAY()-F20))</f>
        <v/>
      </c>
      <c r="L20" s="29"/>
      <c r="M20" s="28"/>
      <c r="N20" s="28"/>
      <c r="O20" s="28"/>
      <c r="P20" s="29"/>
    </row>
    <row r="21" customFormat="false" ht="15" hidden="false" customHeight="false" outlineLevel="0" collapsed="false">
      <c r="A21" s="28"/>
      <c r="B21" s="29"/>
      <c r="C21" s="29"/>
      <c r="D21" s="29"/>
      <c r="E21" s="28"/>
      <c r="F21" s="30"/>
      <c r="G21" s="28"/>
      <c r="H21" s="30"/>
      <c r="I21" s="28"/>
      <c r="J21" s="28"/>
      <c r="K21" s="31" t="str">
        <f aca="true">IF(F21="","",IF(H21&lt;&gt;"",H21-F21,TODAY()-F21))</f>
        <v/>
      </c>
      <c r="L21" s="29"/>
      <c r="M21" s="28"/>
      <c r="N21" s="28"/>
      <c r="O21" s="28"/>
      <c r="P21" s="29"/>
    </row>
    <row r="22" customFormat="false" ht="15" hidden="false" customHeight="false" outlineLevel="0" collapsed="false">
      <c r="A22" s="28"/>
      <c r="B22" s="29"/>
      <c r="C22" s="29"/>
      <c r="D22" s="29"/>
      <c r="E22" s="28"/>
      <c r="F22" s="30"/>
      <c r="G22" s="28"/>
      <c r="H22" s="30"/>
      <c r="I22" s="28"/>
      <c r="J22" s="28"/>
      <c r="K22" s="31" t="str">
        <f aca="true">IF(F22="","",IF(H22&lt;&gt;"",H22-F22,TODAY()-F22))</f>
        <v/>
      </c>
      <c r="L22" s="29"/>
      <c r="M22" s="28"/>
      <c r="N22" s="28"/>
      <c r="O22" s="28"/>
      <c r="P22" s="29"/>
    </row>
    <row r="23" customFormat="false" ht="15" hidden="false" customHeight="false" outlineLevel="0" collapsed="false">
      <c r="A23" s="28"/>
      <c r="B23" s="29"/>
      <c r="C23" s="29"/>
      <c r="D23" s="29"/>
      <c r="E23" s="28"/>
      <c r="F23" s="30"/>
      <c r="G23" s="28"/>
      <c r="H23" s="30"/>
      <c r="I23" s="28"/>
      <c r="J23" s="28"/>
      <c r="K23" s="31" t="str">
        <f aca="true">IF(F23="","",IF(H23&lt;&gt;"",H23-F23,TODAY()-F23))</f>
        <v/>
      </c>
      <c r="L23" s="29"/>
      <c r="M23" s="28"/>
      <c r="N23" s="28"/>
      <c r="O23" s="28"/>
      <c r="P23" s="29"/>
    </row>
    <row r="24" customFormat="false" ht="15" hidden="false" customHeight="false" outlineLevel="0" collapsed="false">
      <c r="A24" s="28"/>
      <c r="B24" s="29"/>
      <c r="C24" s="29"/>
      <c r="D24" s="29"/>
      <c r="E24" s="28"/>
      <c r="F24" s="30"/>
      <c r="G24" s="28"/>
      <c r="H24" s="30"/>
      <c r="I24" s="28"/>
      <c r="J24" s="28"/>
      <c r="K24" s="31" t="str">
        <f aca="true">IF(F24="","",IF(H24&lt;&gt;"",H24-F24,TODAY()-F24))</f>
        <v/>
      </c>
      <c r="L24" s="29"/>
      <c r="M24" s="28"/>
      <c r="N24" s="28"/>
      <c r="O24" s="28"/>
      <c r="P24" s="29"/>
    </row>
    <row r="25" customFormat="false" ht="15" hidden="false" customHeight="false" outlineLevel="0" collapsed="false">
      <c r="A25" s="28"/>
      <c r="B25" s="29"/>
      <c r="C25" s="29"/>
      <c r="D25" s="29"/>
      <c r="E25" s="28"/>
      <c r="F25" s="30"/>
      <c r="G25" s="28"/>
      <c r="H25" s="30"/>
      <c r="I25" s="28"/>
      <c r="J25" s="28"/>
      <c r="K25" s="31" t="str">
        <f aca="true">IF(F25="","",IF(H25&lt;&gt;"",H25-F25,TODAY()-F25))</f>
        <v/>
      </c>
      <c r="L25" s="29"/>
      <c r="M25" s="28"/>
      <c r="N25" s="28"/>
      <c r="O25" s="28"/>
      <c r="P25" s="29"/>
    </row>
    <row r="26" customFormat="false" ht="15" hidden="false" customHeight="false" outlineLevel="0" collapsed="false">
      <c r="A26" s="28"/>
      <c r="B26" s="29"/>
      <c r="C26" s="29"/>
      <c r="D26" s="29"/>
      <c r="E26" s="28"/>
      <c r="F26" s="30"/>
      <c r="G26" s="28"/>
      <c r="H26" s="30"/>
      <c r="I26" s="28"/>
      <c r="J26" s="28"/>
      <c r="K26" s="31" t="str">
        <f aca="true">IF(F26="","",IF(H26&lt;&gt;"",H26-F26,TODAY()-F26))</f>
        <v/>
      </c>
      <c r="L26" s="29"/>
      <c r="M26" s="28"/>
      <c r="N26" s="28"/>
      <c r="O26" s="28"/>
      <c r="P26" s="29"/>
    </row>
    <row r="27" customFormat="false" ht="15" hidden="false" customHeight="false" outlineLevel="0" collapsed="false">
      <c r="A27" s="28"/>
      <c r="B27" s="29"/>
      <c r="C27" s="29"/>
      <c r="D27" s="29"/>
      <c r="E27" s="28"/>
      <c r="F27" s="30"/>
      <c r="G27" s="28"/>
      <c r="H27" s="30"/>
      <c r="I27" s="28"/>
      <c r="J27" s="28"/>
      <c r="K27" s="31" t="str">
        <f aca="true">IF(F27="","",IF(H27&lt;&gt;"",H27-F27,TODAY()-F27))</f>
        <v/>
      </c>
      <c r="L27" s="29"/>
      <c r="M27" s="28"/>
      <c r="N27" s="28"/>
      <c r="O27" s="28"/>
      <c r="P27" s="29"/>
    </row>
    <row r="28" customFormat="false" ht="15" hidden="false" customHeight="false" outlineLevel="0" collapsed="false">
      <c r="A28" s="28"/>
      <c r="B28" s="29"/>
      <c r="C28" s="29"/>
      <c r="D28" s="29"/>
      <c r="E28" s="28"/>
      <c r="F28" s="30"/>
      <c r="G28" s="28"/>
      <c r="H28" s="30"/>
      <c r="I28" s="28"/>
      <c r="J28" s="28"/>
      <c r="K28" s="31" t="str">
        <f aca="true">IF(F28="","",IF(H28&lt;&gt;"",H28-F28,TODAY()-F28))</f>
        <v/>
      </c>
      <c r="L28" s="29"/>
      <c r="M28" s="28"/>
      <c r="N28" s="28"/>
      <c r="O28" s="28"/>
      <c r="P28" s="29"/>
    </row>
    <row r="29" customFormat="false" ht="15" hidden="false" customHeight="false" outlineLevel="0" collapsed="false">
      <c r="A29" s="28"/>
      <c r="B29" s="29"/>
      <c r="C29" s="29"/>
      <c r="D29" s="29"/>
      <c r="E29" s="28"/>
      <c r="F29" s="30"/>
      <c r="G29" s="28"/>
      <c r="H29" s="30"/>
      <c r="I29" s="28"/>
      <c r="J29" s="28"/>
      <c r="K29" s="31" t="str">
        <f aca="true">IF(F29="","",IF(H29&lt;&gt;"",H29-F29,TODAY()-F29))</f>
        <v/>
      </c>
      <c r="L29" s="29"/>
      <c r="M29" s="28"/>
      <c r="N29" s="28"/>
      <c r="O29" s="28"/>
      <c r="P29" s="29"/>
    </row>
    <row r="30" customFormat="false" ht="15" hidden="false" customHeight="false" outlineLevel="0" collapsed="false">
      <c r="A30" s="28"/>
      <c r="B30" s="29"/>
      <c r="C30" s="29"/>
      <c r="D30" s="29"/>
      <c r="E30" s="28"/>
      <c r="F30" s="30"/>
      <c r="G30" s="28"/>
      <c r="H30" s="30"/>
      <c r="I30" s="28"/>
      <c r="J30" s="28"/>
      <c r="K30" s="31" t="str">
        <f aca="true">IF(F30="","",IF(H30&lt;&gt;"",H30-F30,TODAY()-F30))</f>
        <v/>
      </c>
      <c r="L30" s="29"/>
      <c r="M30" s="28"/>
      <c r="N30" s="28"/>
      <c r="O30" s="28"/>
      <c r="P30" s="29"/>
    </row>
    <row r="31" customFormat="false" ht="15" hidden="false" customHeight="false" outlineLevel="0" collapsed="false">
      <c r="A31" s="28"/>
      <c r="B31" s="29"/>
      <c r="C31" s="29"/>
      <c r="D31" s="29"/>
      <c r="E31" s="28"/>
      <c r="F31" s="30"/>
      <c r="G31" s="28"/>
      <c r="H31" s="30"/>
      <c r="I31" s="28"/>
      <c r="J31" s="28"/>
      <c r="K31" s="31" t="str">
        <f aca="true">IF(F31="","",IF(H31&lt;&gt;"",H31-F31,TODAY()-F31))</f>
        <v/>
      </c>
      <c r="L31" s="29"/>
      <c r="M31" s="28"/>
      <c r="N31" s="28"/>
      <c r="O31" s="28"/>
      <c r="P31" s="29"/>
    </row>
    <row r="32" customFormat="false" ht="15" hidden="false" customHeight="false" outlineLevel="0" collapsed="false">
      <c r="A32" s="28"/>
      <c r="B32" s="29"/>
      <c r="C32" s="29"/>
      <c r="D32" s="29"/>
      <c r="E32" s="28"/>
      <c r="F32" s="30"/>
      <c r="G32" s="28"/>
      <c r="H32" s="30"/>
      <c r="I32" s="28"/>
      <c r="J32" s="28"/>
      <c r="K32" s="31" t="str">
        <f aca="true">IF(F32="","",IF(H32&lt;&gt;"",H32-F32,TODAY()-F32))</f>
        <v/>
      </c>
      <c r="L32" s="29"/>
      <c r="M32" s="28"/>
      <c r="N32" s="28"/>
      <c r="O32" s="28"/>
      <c r="P32" s="29"/>
    </row>
    <row r="33" customFormat="false" ht="15" hidden="false" customHeight="false" outlineLevel="0" collapsed="false">
      <c r="A33" s="28"/>
      <c r="B33" s="29"/>
      <c r="C33" s="29"/>
      <c r="D33" s="29"/>
      <c r="E33" s="28"/>
      <c r="F33" s="30"/>
      <c r="G33" s="28"/>
      <c r="H33" s="30"/>
      <c r="I33" s="28"/>
      <c r="J33" s="28"/>
      <c r="K33" s="31" t="str">
        <f aca="true">IF(F33="","",IF(H33&lt;&gt;"",H33-F33,TODAY()-F33))</f>
        <v/>
      </c>
      <c r="L33" s="29"/>
      <c r="M33" s="28"/>
      <c r="N33" s="28"/>
      <c r="O33" s="28"/>
      <c r="P33" s="29"/>
    </row>
    <row r="34" customFormat="false" ht="15" hidden="false" customHeight="false" outlineLevel="0" collapsed="false">
      <c r="A34" s="28"/>
      <c r="B34" s="29"/>
      <c r="C34" s="29"/>
      <c r="D34" s="29"/>
      <c r="E34" s="28"/>
      <c r="F34" s="30"/>
      <c r="G34" s="28"/>
      <c r="H34" s="30"/>
      <c r="I34" s="28"/>
      <c r="J34" s="28"/>
      <c r="K34" s="31" t="str">
        <f aca="true">IF(F34="","",IF(H34&lt;&gt;"",H34-F34,TODAY()-F34))</f>
        <v/>
      </c>
      <c r="L34" s="29"/>
      <c r="M34" s="28"/>
      <c r="N34" s="28"/>
      <c r="O34" s="28"/>
      <c r="P34" s="29"/>
    </row>
    <row r="35" customFormat="false" ht="15" hidden="false" customHeight="false" outlineLevel="0" collapsed="false">
      <c r="A35" s="28"/>
      <c r="B35" s="29"/>
      <c r="C35" s="29"/>
      <c r="D35" s="29"/>
      <c r="E35" s="28"/>
      <c r="F35" s="30"/>
      <c r="G35" s="28"/>
      <c r="H35" s="30"/>
      <c r="I35" s="28"/>
      <c r="J35" s="28"/>
      <c r="K35" s="31" t="str">
        <f aca="true">IF(F35="","",IF(H35&lt;&gt;"",H35-F35,TODAY()-F35))</f>
        <v/>
      </c>
      <c r="L35" s="29"/>
      <c r="M35" s="28"/>
      <c r="N35" s="28"/>
      <c r="O35" s="28"/>
      <c r="P35" s="29"/>
    </row>
    <row r="36" customFormat="false" ht="15" hidden="false" customHeight="false" outlineLevel="0" collapsed="false">
      <c r="A36" s="28"/>
      <c r="B36" s="29"/>
      <c r="C36" s="29"/>
      <c r="D36" s="29"/>
      <c r="E36" s="28"/>
      <c r="F36" s="30"/>
      <c r="G36" s="28"/>
      <c r="H36" s="30"/>
      <c r="I36" s="28"/>
      <c r="J36" s="28"/>
      <c r="K36" s="31" t="str">
        <f aca="true">IF(F36="","",IF(H36&lt;&gt;"",H36-F36,TODAY()-F36))</f>
        <v/>
      </c>
      <c r="L36" s="29"/>
      <c r="M36" s="28"/>
      <c r="N36" s="28"/>
      <c r="O36" s="28"/>
      <c r="P36" s="29"/>
    </row>
    <row r="37" customFormat="false" ht="15" hidden="false" customHeight="false" outlineLevel="0" collapsed="false">
      <c r="A37" s="28"/>
      <c r="B37" s="29"/>
      <c r="C37" s="29"/>
      <c r="D37" s="29"/>
      <c r="E37" s="28"/>
      <c r="F37" s="30"/>
      <c r="G37" s="28"/>
      <c r="H37" s="30"/>
      <c r="I37" s="28"/>
      <c r="J37" s="28"/>
      <c r="K37" s="31" t="str">
        <f aca="true">IF(F37="","",IF(H37&lt;&gt;"",H37-F37,TODAY()-F37))</f>
        <v/>
      </c>
      <c r="L37" s="29"/>
      <c r="M37" s="28"/>
      <c r="N37" s="28"/>
      <c r="O37" s="28"/>
      <c r="P37" s="29"/>
    </row>
    <row r="38" customFormat="false" ht="15" hidden="false" customHeight="false" outlineLevel="0" collapsed="false">
      <c r="A38" s="28"/>
      <c r="B38" s="29"/>
      <c r="C38" s="29"/>
      <c r="D38" s="29"/>
      <c r="E38" s="28"/>
      <c r="F38" s="30"/>
      <c r="G38" s="28"/>
      <c r="H38" s="30"/>
      <c r="I38" s="28"/>
      <c r="J38" s="28"/>
      <c r="K38" s="31" t="str">
        <f aca="true">IF(F38="","",IF(H38&lt;&gt;"",H38-F38,TODAY()-F38))</f>
        <v/>
      </c>
      <c r="L38" s="29"/>
      <c r="M38" s="28"/>
      <c r="N38" s="28"/>
      <c r="O38" s="28"/>
      <c r="P38" s="29"/>
    </row>
  </sheetData>
  <autoFilter ref="A7:P38"/>
  <mergeCells count="2">
    <mergeCell ref="A1:L1"/>
    <mergeCell ref="M6:P6"/>
  </mergeCells>
  <conditionalFormatting sqref="J8:J38">
    <cfRule type="cellIs" priority="2" operator="equal" aboveAverage="0" equalAverage="0" bottom="0" percent="0" rank="0" text="" dxfId="9">
      <formula>"Approved"</formula>
    </cfRule>
    <cfRule type="cellIs" priority="3" operator="equal" aboveAverage="0" equalAverage="0" bottom="0" percent="0" rank="0" text="" dxfId="10">
      <formula>"Rejected"</formula>
    </cfRule>
    <cfRule type="cellIs" priority="4" operator="equal" aboveAverage="0" equalAverage="0" bottom="0" percent="0" rank="0" text="" dxfId="11">
      <formula>"Conditional"</formula>
    </cfRule>
    <cfRule type="cellIs" priority="5" operator="equal" aboveAverage="0" equalAverage="0" bottom="0" percent="0" rank="0" text="" dxfId="11">
      <formula>"Pending"</formula>
    </cfRule>
  </conditionalFormatting>
  <conditionalFormatting sqref="K8:K38">
    <cfRule type="expression" priority="6" aboveAverage="0" equalAverage="0" bottom="0" percent="0" rank="0" text="" dxfId="12">
      <formula>AND(K8&lt;&gt;"",J8="Pending",K8&gt;21)</formula>
    </cfRule>
    <cfRule type="expression" priority="7" aboveAverage="0" equalAverage="0" bottom="0" percent="0" rank="0" text="" dxfId="13">
      <formula>AND(K8&lt;&gt;"",J8="Pending",K8&gt;14,K8&lt;=21)</formula>
    </cfRule>
  </conditionalFormatting>
  <dataValidations count="3">
    <dataValidation allowBlank="true" errorStyle="stop" operator="between" showDropDown="false" showErrorMessage="false" showInputMessage="false" sqref="E8:E38" type="list">
      <formula1>"Class 1,Class 2,Class 6,Class 7,Type 1 Sub-base,Type 2 Sub-base,Topsoil,Other"</formula1>
      <formula2>0</formula2>
    </dataValidation>
    <dataValidation allowBlank="true" errorStyle="stop" operator="between" showDropDown="false" showErrorMessage="false" showInputMessage="false" sqref="I8:I38" type="list">
      <formula1>"Compliant,Non-Compliant,Partial,Awaiting"</formula1>
      <formula2>0</formula2>
    </dataValidation>
    <dataValidation allowBlank="true" errorStyle="stop" operator="between" showDropDown="false" showErrorMessage="false" showInputMessage="false" sqref="J8:J38" type="list">
      <formula1>"Approved,Rejected,Conditional,Pending"</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&amp;CBackfill Material Approval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2" t="s">
        <v>103</v>
      </c>
    </row>
    <row r="2" customFormat="false" ht="15" hidden="false" customHeight="false" outlineLevel="0" collapsed="false">
      <c r="A2" s="32"/>
    </row>
    <row r="3" customFormat="false" ht="15" hidden="false" customHeight="false" outlineLevel="0" collapsed="false">
      <c r="A3" s="32" t="s">
        <v>104</v>
      </c>
    </row>
    <row r="4" customFormat="false" ht="15" hidden="false" customHeight="false" outlineLevel="0" collapsed="false">
      <c r="A4" s="32"/>
    </row>
    <row r="5" customFormat="false" ht="15" hidden="false" customHeight="false" outlineLevel="0" collapsed="false">
      <c r="A5" s="32" t="s">
        <v>105</v>
      </c>
    </row>
    <row r="6" customFormat="false" ht="15" hidden="false" customHeight="false" outlineLevel="0" collapsed="false">
      <c r="A6" s="32"/>
    </row>
    <row r="7" customFormat="false" ht="15" hidden="false" customHeight="false" outlineLevel="0" collapsed="false">
      <c r="A7" s="32" t="s">
        <v>106</v>
      </c>
    </row>
    <row r="8" customFormat="false" ht="15" hidden="false" customHeight="false" outlineLevel="0" collapsed="false">
      <c r="A8" s="32"/>
    </row>
    <row r="9" customFormat="false" ht="15" hidden="false" customHeight="false" outlineLevel="0" collapsed="false">
      <c r="A9" s="32" t="s">
        <v>107</v>
      </c>
    </row>
    <row r="10" customFormat="false" ht="15" hidden="false" customHeight="false" outlineLevel="0" collapsed="false">
      <c r="A10" s="32"/>
    </row>
    <row r="11" customFormat="false" ht="15" hidden="false" customHeight="false" outlineLevel="0" collapsed="false">
      <c r="A11" s="32" t="s">
        <v>108</v>
      </c>
    </row>
    <row r="12" customFormat="false" ht="15" hidden="false" customHeight="false" outlineLevel="0" collapsed="false">
      <c r="A12" s="32"/>
    </row>
    <row r="13" customFormat="false" ht="15" hidden="false" customHeight="false" outlineLevel="0" collapsed="false">
      <c r="A13" s="32" t="s">
        <v>109</v>
      </c>
    </row>
    <row r="14" customFormat="false" ht="15" hidden="false" customHeight="false" outlineLevel="0" collapsed="false">
      <c r="A14" s="32"/>
    </row>
    <row r="15" customFormat="false" ht="15" hidden="false" customHeight="false" outlineLevel="0" collapsed="false">
      <c r="A15" s="32" t="s">
        <v>110</v>
      </c>
    </row>
    <row r="16" customFormat="false" ht="15" hidden="false" customHeight="false" outlineLevel="0" collapsed="false">
      <c r="A16" s="32"/>
    </row>
    <row r="17" customFormat="false" ht="15" hidden="false" customHeight="false" outlineLevel="0" collapsed="false">
      <c r="A17" s="32"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2026-03-23T13:45:28Z</dcterms:created>
  <dc:creator>Ebrora Ltd</dc:creator>
  <dc:description>Track backfill material sources through sampling, testing, and formal approval with automatic status and review age tracking.
Free professional construction management template from Ebrora Ltd. Visit ebrora.com for our full range of tools and templates.</dc:description>
  <cp:keywords>Ebrora construction civils backfill material approval testing earthworks groundworks</cp:keywords>
  <dc:language>en-US</dc:language>
  <cp:lastModifiedBy>Ebrora Ltd</cp:lastModifiedBy>
  <dcterms:modified xsi:type="dcterms:W3CDTF">2026-03-23T13:45:28Z</dcterms:modified>
  <cp:revision>0</cp:revision>
  <dc:subject>Track backfill material sources through sampling, testing, and formal approval with status tracking.</dc:subject>
  <dc:title>Backfill Material Approval Register</dc:title>
</cp:coreProperties>
</file>

<file path=docProps/custom.xml><?xml version="1.0" encoding="utf-8"?>
<Properties xmlns="http://schemas.openxmlformats.org/officeDocument/2006/custom-properties" xmlns:vt="http://schemas.openxmlformats.org/officeDocument/2006/docPropsVTypes"/>
</file>