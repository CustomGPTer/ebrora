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nagging Register" sheetId="1" state="visible" r:id="rId3"/>
    <sheet name="Instructions" sheetId="2" state="visible" r:id="rId4"/>
  </sheets>
  <definedNames>
    <definedName function="false" hidden="false" localSheetId="0" name="_xlnm.Print_Area" vbProcedure="false">'Snagging Register'!$A$1:$P$65</definedName>
    <definedName function="false" hidden="false" localSheetId="0" name="_xlnm.Print_Titles" vbProcedure="false">'Snagging Register'!$1:$6</definedName>
    <definedName function="false" hidden="true" localSheetId="0" name="_xlnm._FilterDatabase" vbProcedure="false">'Snagging Register'!$A$6:$P$56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<sst xmlns="http://schemas.openxmlformats.org/spreadsheetml/2006/main" count="48" uniqueCount="47">
  <si>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ebrora.com</t>
  </si>
  <si>
    <t xml:space="preserve">SNAGGING AND DEFECTS REGISTER</t>
  </si>
  <si>
    <t xml:space="preserve">Ref: JCT/NEC Contract Conditions; Defects Liability Period Provisions</t>
  </si>
  <si>
    <t xml:space="preserve">Project:</t>
  </si>
  <si>
    <t xml:space="preserve">Contract No.:</t>
  </si>
  <si>
    <t xml:space="preserve">Prepared By:</t>
  </si>
  <si>
    <t xml:space="preserve">DLP Expiry:</t>
  </si>
  <si>
    <t xml:space="preserve">No.</t>
  </si>
  <si>
    <t xml:space="preserve">Snag
Ref</t>
  </si>
  <si>
    <t xml:space="preserve">Date
Identified</t>
  </si>
  <si>
    <t xml:space="preserve">Building /
Block</t>
  </si>
  <si>
    <t xml:space="preserve">Floor /
Level</t>
  </si>
  <si>
    <t xml:space="preserve">Room /
Area</t>
  </si>
  <si>
    <t xml:space="preserve">Trade /
Discipline</t>
  </si>
  <si>
    <t xml:space="preserve">Description of
Defect / Snag</t>
  </si>
  <si>
    <t xml:space="preserve">Priority
(A/B/C)</t>
  </si>
  <si>
    <t xml:space="preserve">Responsible
Contractor</t>
  </si>
  <si>
    <t xml:space="preserve">Photo
Ref</t>
  </si>
  <si>
    <t xml:space="preserve">Target
Date</t>
  </si>
  <si>
    <t xml:space="preserve">Date
Rectified</t>
  </si>
  <si>
    <t xml:space="preserve">Days
Open</t>
  </si>
  <si>
    <t xml:space="preserve">Verified By</t>
  </si>
  <si>
    <t xml:space="preserve">Status</t>
  </si>
  <si>
    <t xml:space="preserve">SUMMARY</t>
  </si>
  <si>
    <t xml:space="preserve">Total Snags:</t>
  </si>
  <si>
    <t xml:space="preserve">Priority A (Critical):</t>
  </si>
  <si>
    <t xml:space="preserve">Priority B (Functional):</t>
  </si>
  <si>
    <t xml:space="preserve">Priority C (Cosmetic):</t>
  </si>
  <si>
    <t xml:space="preserve">Open:</t>
  </si>
  <si>
    <t xml:space="preserve">Closed:</t>
  </si>
  <si>
    <t xml:space="preserve">% Closed:</t>
  </si>
  <si>
    <t xml:space="preserve">INSTRUCTIONS — Snagging and Defects Register</t>
  </si>
  <si>
    <t xml:space="preserve">How to Use This Template</t>
  </si>
  <si>
    <t xml:space="preserve">1. Record every snag and defect identified during inspections or handover walks.</t>
  </si>
  <si>
    <t xml:space="preserve">2. Assign a unique snag reference and record building, floor, room location.</t>
  </si>
  <si>
    <t xml:space="preserve">3. Describe the defect and assign a priority:</t>
  </si>
  <si>
    <t xml:space="preserve">   A = Safety / Critical — must be rectified before occupation</t>
  </si>
  <si>
    <t xml:space="preserve">   B = Functional — affects use, rectify within agreed period</t>
  </si>
  <si>
    <t xml:space="preserve">   C = Cosmetic — minor visual issues, rectify at convenience</t>
  </si>
  <si>
    <t xml:space="preserve">4. Assign the responsible contractor and target date.</t>
  </si>
  <si>
    <t xml:space="preserve">5. Days Open auto-calculates. Track from Open through to Closed.</t>
  </si>
  <si>
    <t xml:space="preserve">6. Verification must be carried out before closing a snag item.</t>
  </si>
  <si>
    <t xml:space="preserve">7. 50 rows provided — this register is suited for snagging walks.</t>
  </si>
  <si>
    <t xml:space="preserve">References:</t>
  </si>
  <si>
    <t xml:space="preserve">  JCT/NEC Contract Conditions — Defects Provisions</t>
  </si>
  <si>
    <t xml:space="preserve">  NHBC Standards (for residential)</t>
  </si>
  <si>
    <t xml:space="preserve">  Project handover and completion procedures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</si>
</sst>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80008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6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4" t="s">
        <v>5</v>
      </c>
      <c r="I4" s="5"/>
      <c r="J4" s="5"/>
      <c r="K4" s="5"/>
      <c r="L4" s="4" t="s">
        <v>6</v>
      </c>
      <c r="M4" s="5"/>
    </row>
    <row r="6" customFormat="false" ht="48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  <c r="O6" s="6" t="s">
        <v>21</v>
      </c>
      <c r="P6" s="6" t="s">
        <v>22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8"/>
      <c r="F7" s="5"/>
      <c r="G7" s="8"/>
      <c r="H7" s="5"/>
      <c r="I7" s="8"/>
      <c r="J7" s="5"/>
      <c r="K7" s="8"/>
      <c r="L7" s="8"/>
      <c r="M7" s="8"/>
      <c r="N7" s="9" t="str">
        <f aca="true">IF(C7="","",IF(M7&lt;&gt;"",M7-C7,TODAY()-C7))</f>
        <v/>
      </c>
      <c r="O7" s="8"/>
      <c r="P7" s="8"/>
    </row>
    <row r="8" customFormat="false" ht="24" hidden="false" customHeight="true" outlineLevel="0" collapsed="false">
      <c r="A8" s="10" t="n">
        <v>2</v>
      </c>
      <c r="B8" s="8"/>
      <c r="C8" s="8"/>
      <c r="D8" s="8"/>
      <c r="E8" s="8"/>
      <c r="F8" s="5"/>
      <c r="G8" s="8"/>
      <c r="H8" s="5"/>
      <c r="I8" s="8"/>
      <c r="J8" s="5"/>
      <c r="K8" s="8"/>
      <c r="L8" s="8"/>
      <c r="M8" s="8"/>
      <c r="N8" s="11" t="str">
        <f aca="true">IF(C8="","",IF(M8&lt;&gt;"",M8-C8,TODAY()-C8))</f>
        <v/>
      </c>
      <c r="O8" s="8"/>
      <c r="P8" s="8"/>
    </row>
    <row r="9" customFormat="false" ht="24" hidden="false" customHeight="true" outlineLevel="0" collapsed="false">
      <c r="A9" s="7" t="n">
        <v>3</v>
      </c>
      <c r="B9" s="8"/>
      <c r="C9" s="8"/>
      <c r="D9" s="8"/>
      <c r="E9" s="8"/>
      <c r="F9" s="5"/>
      <c r="G9" s="8"/>
      <c r="H9" s="5"/>
      <c r="I9" s="8"/>
      <c r="J9" s="5"/>
      <c r="K9" s="8"/>
      <c r="L9" s="8"/>
      <c r="M9" s="8"/>
      <c r="N9" s="9" t="str">
        <f aca="true">IF(C9="","",IF(M9&lt;&gt;"",M9-C9,TODAY()-C9))</f>
        <v/>
      </c>
      <c r="O9" s="8"/>
      <c r="P9" s="8"/>
    </row>
    <row r="10" customFormat="false" ht="24" hidden="false" customHeight="true" outlineLevel="0" collapsed="false">
      <c r="A10" s="10" t="n">
        <v>4</v>
      </c>
      <c r="B10" s="8"/>
      <c r="C10" s="8"/>
      <c r="D10" s="8"/>
      <c r="E10" s="8"/>
      <c r="F10" s="5"/>
      <c r="G10" s="8"/>
      <c r="H10" s="5"/>
      <c r="I10" s="8"/>
      <c r="J10" s="5"/>
      <c r="K10" s="8"/>
      <c r="L10" s="8"/>
      <c r="M10" s="8"/>
      <c r="N10" s="11" t="str">
        <f aca="true">IF(C10="","",IF(M10&lt;&gt;"",M10-C10,TODAY()-C10))</f>
        <v/>
      </c>
      <c r="O10" s="8"/>
      <c r="P10" s="8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8"/>
      <c r="F11" s="5"/>
      <c r="G11" s="8"/>
      <c r="H11" s="5"/>
      <c r="I11" s="8"/>
      <c r="J11" s="5"/>
      <c r="K11" s="8"/>
      <c r="L11" s="8"/>
      <c r="M11" s="8"/>
      <c r="N11" s="9" t="str">
        <f aca="true">IF(C11="","",IF(M11&lt;&gt;"",M11-C11,TODAY()-C11))</f>
        <v/>
      </c>
      <c r="O11" s="8"/>
      <c r="P11" s="8"/>
    </row>
    <row r="12" customFormat="false" ht="24" hidden="false" customHeight="true" outlineLevel="0" collapsed="false">
      <c r="A12" s="10" t="n">
        <v>6</v>
      </c>
      <c r="B12" s="8"/>
      <c r="C12" s="8"/>
      <c r="D12" s="8"/>
      <c r="E12" s="8"/>
      <c r="F12" s="5"/>
      <c r="G12" s="8"/>
      <c r="H12" s="5"/>
      <c r="I12" s="8"/>
      <c r="J12" s="5"/>
      <c r="K12" s="8"/>
      <c r="L12" s="8"/>
      <c r="M12" s="8"/>
      <c r="N12" s="11" t="str">
        <f aca="true">IF(C12="","",IF(M12&lt;&gt;"",M12-C12,TODAY()-C12))</f>
        <v/>
      </c>
      <c r="O12" s="8"/>
      <c r="P12" s="8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8"/>
      <c r="F13" s="5"/>
      <c r="G13" s="8"/>
      <c r="H13" s="5"/>
      <c r="I13" s="8"/>
      <c r="J13" s="5"/>
      <c r="K13" s="8"/>
      <c r="L13" s="8"/>
      <c r="M13" s="8"/>
      <c r="N13" s="9" t="str">
        <f aca="true">IF(C13="","",IF(M13&lt;&gt;"",M13-C13,TODAY()-C13))</f>
        <v/>
      </c>
      <c r="O13" s="8"/>
      <c r="P13" s="8"/>
    </row>
    <row r="14" customFormat="false" ht="24" hidden="false" customHeight="true" outlineLevel="0" collapsed="false">
      <c r="A14" s="10" t="n">
        <v>8</v>
      </c>
      <c r="B14" s="8"/>
      <c r="C14" s="8"/>
      <c r="D14" s="8"/>
      <c r="E14" s="8"/>
      <c r="F14" s="5"/>
      <c r="G14" s="8"/>
      <c r="H14" s="5"/>
      <c r="I14" s="8"/>
      <c r="J14" s="5"/>
      <c r="K14" s="8"/>
      <c r="L14" s="8"/>
      <c r="M14" s="8"/>
      <c r="N14" s="11" t="str">
        <f aca="true">IF(C14="","",IF(M14&lt;&gt;"",M14-C14,TODAY()-C14))</f>
        <v/>
      </c>
      <c r="O14" s="8"/>
      <c r="P14" s="8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8"/>
      <c r="F15" s="5"/>
      <c r="G15" s="8"/>
      <c r="H15" s="5"/>
      <c r="I15" s="8"/>
      <c r="J15" s="5"/>
      <c r="K15" s="8"/>
      <c r="L15" s="8"/>
      <c r="M15" s="8"/>
      <c r="N15" s="9" t="str">
        <f aca="true">IF(C15="","",IF(M15&lt;&gt;"",M15-C15,TODAY()-C15))</f>
        <v/>
      </c>
      <c r="O15" s="8"/>
      <c r="P15" s="8"/>
    </row>
    <row r="16" customFormat="false" ht="24" hidden="false" customHeight="true" outlineLevel="0" collapsed="false">
      <c r="A16" s="10" t="n">
        <v>10</v>
      </c>
      <c r="B16" s="8"/>
      <c r="C16" s="8"/>
      <c r="D16" s="8"/>
      <c r="E16" s="8"/>
      <c r="F16" s="5"/>
      <c r="G16" s="8"/>
      <c r="H16" s="5"/>
      <c r="I16" s="8"/>
      <c r="J16" s="5"/>
      <c r="K16" s="8"/>
      <c r="L16" s="8"/>
      <c r="M16" s="8"/>
      <c r="N16" s="11" t="str">
        <f aca="true">IF(C16="","",IF(M16&lt;&gt;"",M16-C16,TODAY()-C16))</f>
        <v/>
      </c>
      <c r="O16" s="8"/>
      <c r="P16" s="8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8"/>
      <c r="F17" s="5"/>
      <c r="G17" s="8"/>
      <c r="H17" s="5"/>
      <c r="I17" s="8"/>
      <c r="J17" s="5"/>
      <c r="K17" s="8"/>
      <c r="L17" s="8"/>
      <c r="M17" s="8"/>
      <c r="N17" s="9" t="str">
        <f aca="true">IF(C17="","",IF(M17&lt;&gt;"",M17-C17,TODAY()-C17))</f>
        <v/>
      </c>
      <c r="O17" s="8"/>
      <c r="P17" s="8"/>
    </row>
    <row r="18" customFormat="false" ht="24" hidden="false" customHeight="true" outlineLevel="0" collapsed="false">
      <c r="A18" s="10" t="n">
        <v>12</v>
      </c>
      <c r="B18" s="8"/>
      <c r="C18" s="8"/>
      <c r="D18" s="8"/>
      <c r="E18" s="8"/>
      <c r="F18" s="5"/>
      <c r="G18" s="8"/>
      <c r="H18" s="5"/>
      <c r="I18" s="8"/>
      <c r="J18" s="5"/>
      <c r="K18" s="8"/>
      <c r="L18" s="8"/>
      <c r="M18" s="8"/>
      <c r="N18" s="11" t="str">
        <f aca="true">IF(C18="","",IF(M18&lt;&gt;"",M18-C18,TODAY()-C18))</f>
        <v/>
      </c>
      <c r="O18" s="8"/>
      <c r="P18" s="8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8"/>
      <c r="F19" s="5"/>
      <c r="G19" s="8"/>
      <c r="H19" s="5"/>
      <c r="I19" s="8"/>
      <c r="J19" s="5"/>
      <c r="K19" s="8"/>
      <c r="L19" s="8"/>
      <c r="M19" s="8"/>
      <c r="N19" s="9" t="str">
        <f aca="true">IF(C19="","",IF(M19&lt;&gt;"",M19-C19,TODAY()-C19))</f>
        <v/>
      </c>
      <c r="O19" s="8"/>
      <c r="P19" s="8"/>
    </row>
    <row r="20" customFormat="false" ht="24" hidden="false" customHeight="true" outlineLevel="0" collapsed="false">
      <c r="A20" s="10" t="n">
        <v>14</v>
      </c>
      <c r="B20" s="8"/>
      <c r="C20" s="8"/>
      <c r="D20" s="8"/>
      <c r="E20" s="8"/>
      <c r="F20" s="5"/>
      <c r="G20" s="8"/>
      <c r="H20" s="5"/>
      <c r="I20" s="8"/>
      <c r="J20" s="5"/>
      <c r="K20" s="8"/>
      <c r="L20" s="8"/>
      <c r="M20" s="8"/>
      <c r="N20" s="11" t="str">
        <f aca="true">IF(C20="","",IF(M20&lt;&gt;"",M20-C20,TODAY()-C20))</f>
        <v/>
      </c>
      <c r="O20" s="8"/>
      <c r="P20" s="8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8"/>
      <c r="F21" s="5"/>
      <c r="G21" s="8"/>
      <c r="H21" s="5"/>
      <c r="I21" s="8"/>
      <c r="J21" s="5"/>
      <c r="K21" s="8"/>
      <c r="L21" s="8"/>
      <c r="M21" s="8"/>
      <c r="N21" s="9" t="str">
        <f aca="true">IF(C21="","",IF(M21&lt;&gt;"",M21-C21,TODAY()-C21))</f>
        <v/>
      </c>
      <c r="O21" s="8"/>
      <c r="P21" s="8"/>
    </row>
    <row r="22" customFormat="false" ht="24" hidden="false" customHeight="true" outlineLevel="0" collapsed="false">
      <c r="A22" s="10" t="n">
        <v>16</v>
      </c>
      <c r="B22" s="8"/>
      <c r="C22" s="8"/>
      <c r="D22" s="8"/>
      <c r="E22" s="8"/>
      <c r="F22" s="5"/>
      <c r="G22" s="8"/>
      <c r="H22" s="5"/>
      <c r="I22" s="8"/>
      <c r="J22" s="5"/>
      <c r="K22" s="8"/>
      <c r="L22" s="8"/>
      <c r="M22" s="8"/>
      <c r="N22" s="11" t="str">
        <f aca="true">IF(C22="","",IF(M22&lt;&gt;"",M22-C22,TODAY()-C22))</f>
        <v/>
      </c>
      <c r="O22" s="8"/>
      <c r="P22" s="8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8"/>
      <c r="F23" s="5"/>
      <c r="G23" s="8"/>
      <c r="H23" s="5"/>
      <c r="I23" s="8"/>
      <c r="J23" s="5"/>
      <c r="K23" s="8"/>
      <c r="L23" s="8"/>
      <c r="M23" s="8"/>
      <c r="N23" s="9" t="str">
        <f aca="true">IF(C23="","",IF(M23&lt;&gt;"",M23-C23,TODAY()-C23))</f>
        <v/>
      </c>
      <c r="O23" s="8"/>
      <c r="P23" s="8"/>
    </row>
    <row r="24" customFormat="false" ht="24" hidden="false" customHeight="true" outlineLevel="0" collapsed="false">
      <c r="A24" s="10" t="n">
        <v>18</v>
      </c>
      <c r="B24" s="8"/>
      <c r="C24" s="8"/>
      <c r="D24" s="8"/>
      <c r="E24" s="8"/>
      <c r="F24" s="5"/>
      <c r="G24" s="8"/>
      <c r="H24" s="5"/>
      <c r="I24" s="8"/>
      <c r="J24" s="5"/>
      <c r="K24" s="8"/>
      <c r="L24" s="8"/>
      <c r="M24" s="8"/>
      <c r="N24" s="11" t="str">
        <f aca="true">IF(C24="","",IF(M24&lt;&gt;"",M24-C24,TODAY()-C24))</f>
        <v/>
      </c>
      <c r="O24" s="8"/>
      <c r="P24" s="8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8"/>
      <c r="F25" s="5"/>
      <c r="G25" s="8"/>
      <c r="H25" s="5"/>
      <c r="I25" s="8"/>
      <c r="J25" s="5"/>
      <c r="K25" s="8"/>
      <c r="L25" s="8"/>
      <c r="M25" s="8"/>
      <c r="N25" s="9" t="str">
        <f aca="true">IF(C25="","",IF(M25&lt;&gt;"",M25-C25,TODAY()-C25))</f>
        <v/>
      </c>
      <c r="O25" s="8"/>
      <c r="P25" s="8"/>
    </row>
    <row r="26" customFormat="false" ht="24" hidden="false" customHeight="true" outlineLevel="0" collapsed="false">
      <c r="A26" s="10" t="n">
        <v>20</v>
      </c>
      <c r="B26" s="8"/>
      <c r="C26" s="8"/>
      <c r="D26" s="8"/>
      <c r="E26" s="8"/>
      <c r="F26" s="5"/>
      <c r="G26" s="8"/>
      <c r="H26" s="5"/>
      <c r="I26" s="8"/>
      <c r="J26" s="5"/>
      <c r="K26" s="8"/>
      <c r="L26" s="8"/>
      <c r="M26" s="8"/>
      <c r="N26" s="11" t="str">
        <f aca="true">IF(C26="","",IF(M26&lt;&gt;"",M26-C26,TODAY()-C26))</f>
        <v/>
      </c>
      <c r="O26" s="8"/>
      <c r="P26" s="8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8"/>
      <c r="F27" s="5"/>
      <c r="G27" s="8"/>
      <c r="H27" s="5"/>
      <c r="I27" s="8"/>
      <c r="J27" s="5"/>
      <c r="K27" s="8"/>
      <c r="L27" s="8"/>
      <c r="M27" s="8"/>
      <c r="N27" s="9" t="str">
        <f aca="true">IF(C27="","",IF(M27&lt;&gt;"",M27-C27,TODAY()-C27))</f>
        <v/>
      </c>
      <c r="O27" s="8"/>
      <c r="P27" s="8"/>
    </row>
    <row r="28" customFormat="false" ht="24" hidden="false" customHeight="true" outlineLevel="0" collapsed="false">
      <c r="A28" s="10" t="n">
        <v>22</v>
      </c>
      <c r="B28" s="8"/>
      <c r="C28" s="8"/>
      <c r="D28" s="8"/>
      <c r="E28" s="8"/>
      <c r="F28" s="5"/>
      <c r="G28" s="8"/>
      <c r="H28" s="5"/>
      <c r="I28" s="8"/>
      <c r="J28" s="5"/>
      <c r="K28" s="8"/>
      <c r="L28" s="8"/>
      <c r="M28" s="8"/>
      <c r="N28" s="11" t="str">
        <f aca="true">IF(C28="","",IF(M28&lt;&gt;"",M28-C28,TODAY()-C28))</f>
        <v/>
      </c>
      <c r="O28" s="8"/>
      <c r="P28" s="8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8"/>
      <c r="F29" s="5"/>
      <c r="G29" s="8"/>
      <c r="H29" s="5"/>
      <c r="I29" s="8"/>
      <c r="J29" s="5"/>
      <c r="K29" s="8"/>
      <c r="L29" s="8"/>
      <c r="M29" s="8"/>
      <c r="N29" s="9" t="str">
        <f aca="true">IF(C29="","",IF(M29&lt;&gt;"",M29-C29,TODAY()-C29))</f>
        <v/>
      </c>
      <c r="O29" s="8"/>
      <c r="P29" s="8"/>
    </row>
    <row r="30" customFormat="false" ht="24" hidden="false" customHeight="true" outlineLevel="0" collapsed="false">
      <c r="A30" s="10" t="n">
        <v>24</v>
      </c>
      <c r="B30" s="8"/>
      <c r="C30" s="8"/>
      <c r="D30" s="8"/>
      <c r="E30" s="8"/>
      <c r="F30" s="5"/>
      <c r="G30" s="8"/>
      <c r="H30" s="5"/>
      <c r="I30" s="8"/>
      <c r="J30" s="5"/>
      <c r="K30" s="8"/>
      <c r="L30" s="8"/>
      <c r="M30" s="8"/>
      <c r="N30" s="11" t="str">
        <f aca="true">IF(C30="","",IF(M30&lt;&gt;"",M30-C30,TODAY()-C30))</f>
        <v/>
      </c>
      <c r="O30" s="8"/>
      <c r="P30" s="8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8"/>
      <c r="F31" s="5"/>
      <c r="G31" s="8"/>
      <c r="H31" s="5"/>
      <c r="I31" s="8"/>
      <c r="J31" s="5"/>
      <c r="K31" s="8"/>
      <c r="L31" s="8"/>
      <c r="M31" s="8"/>
      <c r="N31" s="9" t="str">
        <f aca="true">IF(C31="","",IF(M31&lt;&gt;"",M31-C31,TODAY()-C31))</f>
        <v/>
      </c>
      <c r="O31" s="8"/>
      <c r="P31" s="8"/>
    </row>
    <row r="32" customFormat="false" ht="24" hidden="false" customHeight="true" outlineLevel="0" collapsed="false">
      <c r="A32" s="10" t="n">
        <v>26</v>
      </c>
      <c r="B32" s="8"/>
      <c r="C32" s="8"/>
      <c r="D32" s="8"/>
      <c r="E32" s="8"/>
      <c r="F32" s="5"/>
      <c r="G32" s="8"/>
      <c r="H32" s="5"/>
      <c r="I32" s="8"/>
      <c r="J32" s="5"/>
      <c r="K32" s="8"/>
      <c r="L32" s="8"/>
      <c r="M32" s="8"/>
      <c r="N32" s="11" t="str">
        <f aca="true">IF(C32="","",IF(M32&lt;&gt;"",M32-C32,TODAY()-C32))</f>
        <v/>
      </c>
      <c r="O32" s="8"/>
      <c r="P32" s="8"/>
    </row>
    <row r="33" customFormat="false" ht="24" hidden="false" customHeight="true" outlineLevel="0" collapsed="false">
      <c r="A33" s="7" t="n">
        <v>27</v>
      </c>
      <c r="B33" s="8"/>
      <c r="C33" s="8"/>
      <c r="D33" s="8"/>
      <c r="E33" s="8"/>
      <c r="F33" s="5"/>
      <c r="G33" s="8"/>
      <c r="H33" s="5"/>
      <c r="I33" s="8"/>
      <c r="J33" s="5"/>
      <c r="K33" s="8"/>
      <c r="L33" s="8"/>
      <c r="M33" s="8"/>
      <c r="N33" s="9" t="str">
        <f aca="true">IF(C33="","",IF(M33&lt;&gt;"",M33-C33,TODAY()-C33))</f>
        <v/>
      </c>
      <c r="O33" s="8"/>
      <c r="P33" s="8"/>
    </row>
    <row r="34" customFormat="false" ht="24" hidden="false" customHeight="true" outlineLevel="0" collapsed="false">
      <c r="A34" s="10" t="n">
        <v>28</v>
      </c>
      <c r="B34" s="8"/>
      <c r="C34" s="8"/>
      <c r="D34" s="8"/>
      <c r="E34" s="8"/>
      <c r="F34" s="5"/>
      <c r="G34" s="8"/>
      <c r="H34" s="5"/>
      <c r="I34" s="8"/>
      <c r="J34" s="5"/>
      <c r="K34" s="8"/>
      <c r="L34" s="8"/>
      <c r="M34" s="8"/>
      <c r="N34" s="11" t="str">
        <f aca="true">IF(C34="","",IF(M34&lt;&gt;"",M34-C34,TODAY()-C34))</f>
        <v/>
      </c>
      <c r="O34" s="8"/>
      <c r="P34" s="8"/>
    </row>
    <row r="35" customFormat="false" ht="24" hidden="false" customHeight="true" outlineLevel="0" collapsed="false">
      <c r="A35" s="7" t="n">
        <v>29</v>
      </c>
      <c r="B35" s="8"/>
      <c r="C35" s="8"/>
      <c r="D35" s="8"/>
      <c r="E35" s="8"/>
      <c r="F35" s="5"/>
      <c r="G35" s="8"/>
      <c r="H35" s="5"/>
      <c r="I35" s="8"/>
      <c r="J35" s="5"/>
      <c r="K35" s="8"/>
      <c r="L35" s="8"/>
      <c r="M35" s="8"/>
      <c r="N35" s="9" t="str">
        <f aca="true">IF(C35="","",IF(M35&lt;&gt;"",M35-C35,TODAY()-C35))</f>
        <v/>
      </c>
      <c r="O35" s="8"/>
      <c r="P35" s="8"/>
    </row>
    <row r="36" customFormat="false" ht="24" hidden="false" customHeight="true" outlineLevel="0" collapsed="false">
      <c r="A36" s="10" t="n">
        <v>30</v>
      </c>
      <c r="B36" s="8"/>
      <c r="C36" s="8"/>
      <c r="D36" s="8"/>
      <c r="E36" s="8"/>
      <c r="F36" s="5"/>
      <c r="G36" s="8"/>
      <c r="H36" s="5"/>
      <c r="I36" s="8"/>
      <c r="J36" s="5"/>
      <c r="K36" s="8"/>
      <c r="L36" s="8"/>
      <c r="M36" s="8"/>
      <c r="N36" s="11" t="str">
        <f aca="true">IF(C36="","",IF(M36&lt;&gt;"",M36-C36,TODAY()-C36))</f>
        <v/>
      </c>
      <c r="O36" s="8"/>
      <c r="P36" s="8"/>
    </row>
    <row r="37" customFormat="false" ht="24" hidden="false" customHeight="true" outlineLevel="0" collapsed="false">
      <c r="A37" s="7" t="n">
        <v>31</v>
      </c>
      <c r="B37" s="8"/>
      <c r="C37" s="8"/>
      <c r="D37" s="8"/>
      <c r="E37" s="8"/>
      <c r="F37" s="5"/>
      <c r="G37" s="8"/>
      <c r="H37" s="5"/>
      <c r="I37" s="8"/>
      <c r="J37" s="5"/>
      <c r="K37" s="8"/>
      <c r="L37" s="8"/>
      <c r="M37" s="8"/>
      <c r="N37" s="9" t="str">
        <f aca="true">IF(C37="","",IF(M37&lt;&gt;"",M37-C37,TODAY()-C37))</f>
        <v/>
      </c>
      <c r="O37" s="8"/>
      <c r="P37" s="8"/>
    </row>
    <row r="38" customFormat="false" ht="24" hidden="false" customHeight="true" outlineLevel="0" collapsed="false">
      <c r="A38" s="10" t="n">
        <v>32</v>
      </c>
      <c r="B38" s="8"/>
      <c r="C38" s="8"/>
      <c r="D38" s="8"/>
      <c r="E38" s="8"/>
      <c r="F38" s="5"/>
      <c r="G38" s="8"/>
      <c r="H38" s="5"/>
      <c r="I38" s="8"/>
      <c r="J38" s="5"/>
      <c r="K38" s="8"/>
      <c r="L38" s="8"/>
      <c r="M38" s="8"/>
      <c r="N38" s="11" t="str">
        <f aca="true">IF(C38="","",IF(M38&lt;&gt;"",M38-C38,TODAY()-C38))</f>
        <v/>
      </c>
      <c r="O38" s="8"/>
      <c r="P38" s="8"/>
    </row>
    <row r="39" customFormat="false" ht="24" hidden="false" customHeight="true" outlineLevel="0" collapsed="false">
      <c r="A39" s="7" t="n">
        <v>33</v>
      </c>
      <c r="B39" s="8"/>
      <c r="C39" s="8"/>
      <c r="D39" s="8"/>
      <c r="E39" s="8"/>
      <c r="F39" s="5"/>
      <c r="G39" s="8"/>
      <c r="H39" s="5"/>
      <c r="I39" s="8"/>
      <c r="J39" s="5"/>
      <c r="K39" s="8"/>
      <c r="L39" s="8"/>
      <c r="M39" s="8"/>
      <c r="N39" s="9" t="str">
        <f aca="true">IF(C39="","",IF(M39&lt;&gt;"",M39-C39,TODAY()-C39))</f>
        <v/>
      </c>
      <c r="O39" s="8"/>
      <c r="P39" s="8"/>
    </row>
    <row r="40" customFormat="false" ht="24" hidden="false" customHeight="true" outlineLevel="0" collapsed="false">
      <c r="A40" s="10" t="n">
        <v>34</v>
      </c>
      <c r="B40" s="8"/>
      <c r="C40" s="8"/>
      <c r="D40" s="8"/>
      <c r="E40" s="8"/>
      <c r="F40" s="5"/>
      <c r="G40" s="8"/>
      <c r="H40" s="5"/>
      <c r="I40" s="8"/>
      <c r="J40" s="5"/>
      <c r="K40" s="8"/>
      <c r="L40" s="8"/>
      <c r="M40" s="8"/>
      <c r="N40" s="11" t="str">
        <f aca="true">IF(C40="","",IF(M40&lt;&gt;"",M40-C40,TODAY()-C40))</f>
        <v/>
      </c>
      <c r="O40" s="8"/>
      <c r="P40" s="8"/>
    </row>
    <row r="41" customFormat="false" ht="24" hidden="false" customHeight="true" outlineLevel="0" collapsed="false">
      <c r="A41" s="7" t="n">
        <v>35</v>
      </c>
      <c r="B41" s="8"/>
      <c r="C41" s="8"/>
      <c r="D41" s="8"/>
      <c r="E41" s="8"/>
      <c r="F41" s="5"/>
      <c r="G41" s="8"/>
      <c r="H41" s="5"/>
      <c r="I41" s="8"/>
      <c r="J41" s="5"/>
      <c r="K41" s="8"/>
      <c r="L41" s="8"/>
      <c r="M41" s="8"/>
      <c r="N41" s="9" t="str">
        <f aca="true">IF(C41="","",IF(M41&lt;&gt;"",M41-C41,TODAY()-C41))</f>
        <v/>
      </c>
      <c r="O41" s="8"/>
      <c r="P41" s="8"/>
    </row>
    <row r="42" customFormat="false" ht="24" hidden="false" customHeight="true" outlineLevel="0" collapsed="false">
      <c r="A42" s="10" t="n">
        <v>36</v>
      </c>
      <c r="B42" s="8"/>
      <c r="C42" s="8"/>
      <c r="D42" s="8"/>
      <c r="E42" s="8"/>
      <c r="F42" s="5"/>
      <c r="G42" s="8"/>
      <c r="H42" s="5"/>
      <c r="I42" s="8"/>
      <c r="J42" s="5"/>
      <c r="K42" s="8"/>
      <c r="L42" s="8"/>
      <c r="M42" s="8"/>
      <c r="N42" s="11" t="str">
        <f aca="true">IF(C42="","",IF(M42&lt;&gt;"",M42-C42,TODAY()-C42))</f>
        <v/>
      </c>
      <c r="O42" s="8"/>
      <c r="P42" s="8"/>
    </row>
    <row r="43" customFormat="false" ht="24" hidden="false" customHeight="true" outlineLevel="0" collapsed="false">
      <c r="A43" s="7" t="n">
        <v>37</v>
      </c>
      <c r="B43" s="8"/>
      <c r="C43" s="8"/>
      <c r="D43" s="8"/>
      <c r="E43" s="8"/>
      <c r="F43" s="5"/>
      <c r="G43" s="8"/>
      <c r="H43" s="5"/>
      <c r="I43" s="8"/>
      <c r="J43" s="5"/>
      <c r="K43" s="8"/>
      <c r="L43" s="8"/>
      <c r="M43" s="8"/>
      <c r="N43" s="9" t="str">
        <f aca="true">IF(C43="","",IF(M43&lt;&gt;"",M43-C43,TODAY()-C43))</f>
        <v/>
      </c>
      <c r="O43" s="8"/>
      <c r="P43" s="8"/>
    </row>
    <row r="44" customFormat="false" ht="24" hidden="false" customHeight="true" outlineLevel="0" collapsed="false">
      <c r="A44" s="10" t="n">
        <v>38</v>
      </c>
      <c r="B44" s="8"/>
      <c r="C44" s="8"/>
      <c r="D44" s="8"/>
      <c r="E44" s="8"/>
      <c r="F44" s="5"/>
      <c r="G44" s="8"/>
      <c r="H44" s="5"/>
      <c r="I44" s="8"/>
      <c r="J44" s="5"/>
      <c r="K44" s="8"/>
      <c r="L44" s="8"/>
      <c r="M44" s="8"/>
      <c r="N44" s="11" t="str">
        <f aca="true">IF(C44="","",IF(M44&lt;&gt;"",M44-C44,TODAY()-C44))</f>
        <v/>
      </c>
      <c r="O44" s="8"/>
      <c r="P44" s="8"/>
    </row>
    <row r="45" customFormat="false" ht="24" hidden="false" customHeight="true" outlineLevel="0" collapsed="false">
      <c r="A45" s="7" t="n">
        <v>39</v>
      </c>
      <c r="B45" s="8"/>
      <c r="C45" s="8"/>
      <c r="D45" s="8"/>
      <c r="E45" s="8"/>
      <c r="F45" s="5"/>
      <c r="G45" s="8"/>
      <c r="H45" s="5"/>
      <c r="I45" s="8"/>
      <c r="J45" s="5"/>
      <c r="K45" s="8"/>
      <c r="L45" s="8"/>
      <c r="M45" s="8"/>
      <c r="N45" s="9" t="str">
        <f aca="true">IF(C45="","",IF(M45&lt;&gt;"",M45-C45,TODAY()-C45))</f>
        <v/>
      </c>
      <c r="O45" s="8"/>
      <c r="P45" s="8"/>
    </row>
    <row r="46" customFormat="false" ht="24" hidden="false" customHeight="true" outlineLevel="0" collapsed="false">
      <c r="A46" s="10" t="n">
        <v>40</v>
      </c>
      <c r="B46" s="8"/>
      <c r="C46" s="8"/>
      <c r="D46" s="8"/>
      <c r="E46" s="8"/>
      <c r="F46" s="5"/>
      <c r="G46" s="8"/>
      <c r="H46" s="5"/>
      <c r="I46" s="8"/>
      <c r="J46" s="5"/>
      <c r="K46" s="8"/>
      <c r="L46" s="8"/>
      <c r="M46" s="8"/>
      <c r="N46" s="11" t="str">
        <f aca="true">IF(C46="","",IF(M46&lt;&gt;"",M46-C46,TODAY()-C46))</f>
        <v/>
      </c>
      <c r="O46" s="8"/>
      <c r="P46" s="8"/>
    </row>
    <row r="47" customFormat="false" ht="24" hidden="false" customHeight="true" outlineLevel="0" collapsed="false">
      <c r="A47" s="7" t="n">
        <v>41</v>
      </c>
      <c r="B47" s="8"/>
      <c r="C47" s="8"/>
      <c r="D47" s="8"/>
      <c r="E47" s="8"/>
      <c r="F47" s="5"/>
      <c r="G47" s="8"/>
      <c r="H47" s="5"/>
      <c r="I47" s="8"/>
      <c r="J47" s="5"/>
      <c r="K47" s="8"/>
      <c r="L47" s="8"/>
      <c r="M47" s="8"/>
      <c r="N47" s="9" t="str">
        <f aca="true">IF(C47="","",IF(M47&lt;&gt;"",M47-C47,TODAY()-C47))</f>
        <v/>
      </c>
      <c r="O47" s="8"/>
      <c r="P47" s="8"/>
    </row>
    <row r="48" customFormat="false" ht="24" hidden="false" customHeight="true" outlineLevel="0" collapsed="false">
      <c r="A48" s="10" t="n">
        <v>42</v>
      </c>
      <c r="B48" s="8"/>
      <c r="C48" s="8"/>
      <c r="D48" s="8"/>
      <c r="E48" s="8"/>
      <c r="F48" s="5"/>
      <c r="G48" s="8"/>
      <c r="H48" s="5"/>
      <c r="I48" s="8"/>
      <c r="J48" s="5"/>
      <c r="K48" s="8"/>
      <c r="L48" s="8"/>
      <c r="M48" s="8"/>
      <c r="N48" s="11" t="str">
        <f aca="true">IF(C48="","",IF(M48&lt;&gt;"",M48-C48,TODAY()-C48))</f>
        <v/>
      </c>
      <c r="O48" s="8"/>
      <c r="P48" s="8"/>
    </row>
    <row r="49" customFormat="false" ht="24" hidden="false" customHeight="true" outlineLevel="0" collapsed="false">
      <c r="A49" s="7" t="n">
        <v>43</v>
      </c>
      <c r="B49" s="8"/>
      <c r="C49" s="8"/>
      <c r="D49" s="8"/>
      <c r="E49" s="8"/>
      <c r="F49" s="5"/>
      <c r="G49" s="8"/>
      <c r="H49" s="5"/>
      <c r="I49" s="8"/>
      <c r="J49" s="5"/>
      <c r="K49" s="8"/>
      <c r="L49" s="8"/>
      <c r="M49" s="8"/>
      <c r="N49" s="9" t="str">
        <f aca="true">IF(C49="","",IF(M49&lt;&gt;"",M49-C49,TODAY()-C49))</f>
        <v/>
      </c>
      <c r="O49" s="8"/>
      <c r="P49" s="8"/>
    </row>
    <row r="50" customFormat="false" ht="24" hidden="false" customHeight="true" outlineLevel="0" collapsed="false">
      <c r="A50" s="10" t="n">
        <v>44</v>
      </c>
      <c r="B50" s="8"/>
      <c r="C50" s="8"/>
      <c r="D50" s="8"/>
      <c r="E50" s="8"/>
      <c r="F50" s="5"/>
      <c r="G50" s="8"/>
      <c r="H50" s="5"/>
      <c r="I50" s="8"/>
      <c r="J50" s="5"/>
      <c r="K50" s="8"/>
      <c r="L50" s="8"/>
      <c r="M50" s="8"/>
      <c r="N50" s="11" t="str">
        <f aca="true">IF(C50="","",IF(M50&lt;&gt;"",M50-C50,TODAY()-C50))</f>
        <v/>
      </c>
      <c r="O50" s="8"/>
      <c r="P50" s="8"/>
    </row>
    <row r="51" customFormat="false" ht="24" hidden="false" customHeight="true" outlineLevel="0" collapsed="false">
      <c r="A51" s="7" t="n">
        <v>45</v>
      </c>
      <c r="B51" s="8"/>
      <c r="C51" s="8"/>
      <c r="D51" s="8"/>
      <c r="E51" s="8"/>
      <c r="F51" s="5"/>
      <c r="G51" s="8"/>
      <c r="H51" s="5"/>
      <c r="I51" s="8"/>
      <c r="J51" s="5"/>
      <c r="K51" s="8"/>
      <c r="L51" s="8"/>
      <c r="M51" s="8"/>
      <c r="N51" s="9" t="str">
        <f aca="true">IF(C51="","",IF(M51&lt;&gt;"",M51-C51,TODAY()-C51))</f>
        <v/>
      </c>
      <c r="O51" s="8"/>
      <c r="P51" s="8"/>
    </row>
    <row r="52" customFormat="false" ht="24" hidden="false" customHeight="true" outlineLevel="0" collapsed="false">
      <c r="A52" s="10" t="n">
        <v>46</v>
      </c>
      <c r="B52" s="8"/>
      <c r="C52" s="8"/>
      <c r="D52" s="8"/>
      <c r="E52" s="8"/>
      <c r="F52" s="5"/>
      <c r="G52" s="8"/>
      <c r="H52" s="5"/>
      <c r="I52" s="8"/>
      <c r="J52" s="5"/>
      <c r="K52" s="8"/>
      <c r="L52" s="8"/>
      <c r="M52" s="8"/>
      <c r="N52" s="11" t="str">
        <f aca="true">IF(C52="","",IF(M52&lt;&gt;"",M52-C52,TODAY()-C52))</f>
        <v/>
      </c>
      <c r="O52" s="8"/>
      <c r="P52" s="8"/>
    </row>
    <row r="53" customFormat="false" ht="24" hidden="false" customHeight="true" outlineLevel="0" collapsed="false">
      <c r="A53" s="7" t="n">
        <v>47</v>
      </c>
      <c r="B53" s="8"/>
      <c r="C53" s="8"/>
      <c r="D53" s="8"/>
      <c r="E53" s="8"/>
      <c r="F53" s="5"/>
      <c r="G53" s="8"/>
      <c r="H53" s="5"/>
      <c r="I53" s="8"/>
      <c r="J53" s="5"/>
      <c r="K53" s="8"/>
      <c r="L53" s="8"/>
      <c r="M53" s="8"/>
      <c r="N53" s="9" t="str">
        <f aca="true">IF(C53="","",IF(M53&lt;&gt;"",M53-C53,TODAY()-C53))</f>
        <v/>
      </c>
      <c r="O53" s="8"/>
      <c r="P53" s="8"/>
    </row>
    <row r="54" customFormat="false" ht="24" hidden="false" customHeight="true" outlineLevel="0" collapsed="false">
      <c r="A54" s="10" t="n">
        <v>48</v>
      </c>
      <c r="B54" s="8"/>
      <c r="C54" s="8"/>
      <c r="D54" s="8"/>
      <c r="E54" s="8"/>
      <c r="F54" s="5"/>
      <c r="G54" s="8"/>
      <c r="H54" s="5"/>
      <c r="I54" s="8"/>
      <c r="J54" s="5"/>
      <c r="K54" s="8"/>
      <c r="L54" s="8"/>
      <c r="M54" s="8"/>
      <c r="N54" s="11" t="str">
        <f aca="true">IF(C54="","",IF(M54&lt;&gt;"",M54-C54,TODAY()-C54))</f>
        <v/>
      </c>
      <c r="O54" s="8"/>
      <c r="P54" s="8"/>
    </row>
    <row r="55" customFormat="false" ht="24" hidden="false" customHeight="true" outlineLevel="0" collapsed="false">
      <c r="A55" s="7" t="n">
        <v>49</v>
      </c>
      <c r="B55" s="8"/>
      <c r="C55" s="8"/>
      <c r="D55" s="8"/>
      <c r="E55" s="8"/>
      <c r="F55" s="5"/>
      <c r="G55" s="8"/>
      <c r="H55" s="5"/>
      <c r="I55" s="8"/>
      <c r="J55" s="5"/>
      <c r="K55" s="8"/>
      <c r="L55" s="8"/>
      <c r="M55" s="8"/>
      <c r="N55" s="9" t="str">
        <f aca="true">IF(C55="","",IF(M55&lt;&gt;"",M55-C55,TODAY()-C55))</f>
        <v/>
      </c>
      <c r="O55" s="8"/>
      <c r="P55" s="8"/>
    </row>
    <row r="56" customFormat="false" ht="24" hidden="false" customHeight="true" outlineLevel="0" collapsed="false">
      <c r="A56" s="10" t="n">
        <v>50</v>
      </c>
      <c r="B56" s="8"/>
      <c r="C56" s="8"/>
      <c r="D56" s="8"/>
      <c r="E56" s="8"/>
      <c r="F56" s="5"/>
      <c r="G56" s="8"/>
      <c r="H56" s="5"/>
      <c r="I56" s="8"/>
      <c r="J56" s="5"/>
      <c r="K56" s="8"/>
      <c r="L56" s="8"/>
      <c r="M56" s="8"/>
      <c r="N56" s="11" t="str">
        <f aca="true">IF(C56="","",IF(M56&lt;&gt;"",M56-C56,TODAY()-C56))</f>
        <v/>
      </c>
      <c r="O56" s="8"/>
      <c r="P56" s="8"/>
    </row>
    <row r="58" customFormat="false" ht="15" hidden="false" customHeight="true" outlineLevel="0" collapsed="false">
      <c r="A58" s="12" t="s">
        <v>23</v>
      </c>
      <c r="B58" s="12"/>
      <c r="C58" s="12"/>
    </row>
    <row r="59" customFormat="false" ht="15" hidden="false" customHeight="true" outlineLevel="0" collapsed="false">
      <c r="A59" s="4" t="s">
        <v>24</v>
      </c>
      <c r="B59" s="4"/>
      <c r="C59" s="13" t="n">
        <f aca="false">COUNTA(B7:B56)</f>
        <v>0</v>
      </c>
    </row>
    <row r="60" customFormat="false" ht="23.85" hidden="false" customHeight="true" outlineLevel="0" collapsed="false">
      <c r="A60" s="4" t="s">
        <v>25</v>
      </c>
      <c r="B60" s="4"/>
      <c r="C60" s="13" t="n">
        <f aca="false">COUNTIF(I7:I56,"A*")</f>
        <v>0</v>
      </c>
    </row>
    <row r="61" customFormat="false" ht="23.85" hidden="false" customHeight="true" outlineLevel="0" collapsed="false">
      <c r="A61" s="4" t="s">
        <v>26</v>
      </c>
      <c r="B61" s="4"/>
      <c r="C61" s="13" t="n">
        <f aca="false">COUNTIF(I7:I56,"B*")</f>
        <v>0</v>
      </c>
    </row>
    <row r="62" customFormat="false" ht="23.85" hidden="false" customHeight="true" outlineLevel="0" collapsed="false">
      <c r="A62" s="4" t="s">
        <v>27</v>
      </c>
      <c r="B62" s="4"/>
      <c r="C62" s="13" t="n">
        <f aca="false">COUNTIF(I7:I56,"C*")</f>
        <v>0</v>
      </c>
    </row>
    <row r="63" customFormat="false" ht="15" hidden="false" customHeight="true" outlineLevel="0" collapsed="false">
      <c r="A63" s="4" t="s">
        <v>28</v>
      </c>
      <c r="B63" s="4"/>
      <c r="C63" s="13" t="n">
        <f aca="false">COUNTIF(P7:P56,"Open")+COUNTIF(P7:P56,"In Progress")</f>
        <v>0</v>
      </c>
    </row>
    <row r="64" customFormat="false" ht="15" hidden="false" customHeight="true" outlineLevel="0" collapsed="false">
      <c r="A64" s="4" t="s">
        <v>29</v>
      </c>
      <c r="B64" s="4"/>
      <c r="C64" s="13" t="n">
        <f aca="false">COUNTIF(P7:P56,"Closed")</f>
        <v>0</v>
      </c>
    </row>
    <row r="65" customFormat="false" ht="15" hidden="false" customHeight="true" outlineLevel="0" collapsed="false">
      <c r="A65" s="4" t="s">
        <v>30</v>
      </c>
      <c r="B65" s="4"/>
      <c r="C65" s="14" t="str">
        <f aca="false">IF(COUNTA(B7:B56)=0,"",COUNTIF(P7:P56,"Closed")/COUNTA(B7:B56))</f>
        <v/>
      </c>
    </row>
  </sheetData>
  <autoFilter ref="A6:P56"/>
  <mergeCells count="14">
    <mergeCell ref="A1:P1"/>
    <mergeCell ref="A2:P2"/>
    <mergeCell ref="A3:P3"/>
    <mergeCell ref="B4:D4"/>
    <mergeCell ref="F4:G4"/>
    <mergeCell ref="I4:K4"/>
    <mergeCell ref="A58:C58"/>
    <mergeCell ref="A59:B59"/>
    <mergeCell ref="A60:B60"/>
    <mergeCell ref="A61:B61"/>
    <mergeCell ref="A62:B62"/>
    <mergeCell ref="A63:B63"/>
    <mergeCell ref="A64:B64"/>
    <mergeCell ref="A65:B65"/>
  </mergeCells>
  <conditionalFormatting sqref="P7:P56">
    <cfRule type="cellIs" priority="2" operator="equal" aboveAverage="0" equalAverage="0" bottom="0" percent="0" rank="0" text="" dxfId="6">
      <formula>"Open"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"Closed"</formula>
    </cfRule>
    <cfRule type="cellIs" priority="5" operator="equal" aboveAverage="0" equalAverage="0" bottom="0" percent="0" rank="0" text="" dxfId="9">
      <formula>"Disputed"</formula>
    </cfRule>
  </conditionalFormatting>
  <conditionalFormatting sqref="I7:I56">
    <cfRule type="cellIs" priority="6" operator="equal" aboveAverage="0" equalAverage="0" bottom="0" percent="0" rank="0" text="" dxfId="6">
      <formula>"A - Safety / Critical"</formula>
    </cfRule>
  </conditionalFormatting>
  <dataValidations count="3">
    <dataValidation allowBlank="true" errorStyle="stop" operator="between" showDropDown="false" showErrorMessage="false" showInputMessage="false" sqref="I7:I56" type="list">
      <formula1>"A - Safety / Critical,B - Functional,C - Cosmetic"</formula1>
      <formula2>0</formula2>
    </dataValidation>
    <dataValidation allowBlank="true" errorStyle="stop" operator="between" showDropDown="false" showErrorMessage="false" showInputMessage="false" sqref="G7:G56" type="list">
      <formula1>"Mechanical,Electrical,Plumbing,Plastering,Painting,Joinery,Tiling,Flooring,Roofing,Glazing,Brickwork,M&amp;E,Fire Protection,Landscaping,Civils,Other"</formula1>
      <formula2>0</formula2>
    </dataValidation>
    <dataValidation allowBlank="true" errorStyle="stop" operator="between" showDropDown="false" showErrorMessage="false" showInputMessage="false" sqref="P7:P56" type="list">
      <formula1>"Open,In Progress,Rectified - Awaiting Verification,Closed,Disputed"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31</v>
      </c>
      <c r="B2" s="2"/>
    </row>
    <row r="4" customFormat="false" ht="15" hidden="false" customHeight="false" outlineLevel="0" collapsed="false">
      <c r="B4" s="12" t="s">
        <v>32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33</v>
      </c>
    </row>
    <row r="7" customFormat="false" ht="15" hidden="false" customHeight="false" outlineLevel="0" collapsed="false">
      <c r="B7" s="15" t="s">
        <v>34</v>
      </c>
    </row>
    <row r="8" customFormat="false" ht="15" hidden="false" customHeight="false" outlineLevel="0" collapsed="false">
      <c r="B8" s="15" t="s">
        <v>35</v>
      </c>
    </row>
    <row r="9" customFormat="false" ht="15" hidden="false" customHeight="false" outlineLevel="0" collapsed="false">
      <c r="B9" s="15" t="s">
        <v>36</v>
      </c>
    </row>
    <row r="10" customFormat="false" ht="15" hidden="false" customHeight="false" outlineLevel="0" collapsed="false">
      <c r="B10" s="15" t="s">
        <v>37</v>
      </c>
    </row>
    <row r="11" customFormat="false" ht="15" hidden="false" customHeight="false" outlineLevel="0" collapsed="false">
      <c r="B11" s="15" t="s">
        <v>38</v>
      </c>
    </row>
    <row r="12" customFormat="false" ht="15" hidden="false" customHeight="false" outlineLevel="0" collapsed="false">
      <c r="B12" s="15" t="s">
        <v>39</v>
      </c>
    </row>
    <row r="13" customFormat="false" ht="15" hidden="false" customHeight="false" outlineLevel="0" collapsed="false">
      <c r="B13" s="15" t="s">
        <v>40</v>
      </c>
    </row>
    <row r="14" customFormat="false" ht="15" hidden="false" customHeight="false" outlineLevel="0" collapsed="false">
      <c r="B14" s="15" t="s">
        <v>41</v>
      </c>
    </row>
    <row r="15" customFormat="false" ht="15" hidden="false" customHeight="false" outlineLevel="0" collapsed="false">
      <c r="B15" s="15" t="s">
        <v>42</v>
      </c>
    </row>
    <row r="16" customFormat="false" ht="15" hidden="false" customHeight="false" outlineLevel="0" collapsed="false">
      <c r="B16" s="15"/>
    </row>
    <row r="17" customFormat="false" ht="15" hidden="false" customHeight="false" outlineLevel="0" collapsed="false">
      <c r="B17" s="12" t="s">
        <v>43</v>
      </c>
    </row>
    <row r="18" customFormat="false" ht="15" hidden="false" customHeight="false" outlineLevel="0" collapsed="false">
      <c r="B18" s="3" t="s">
        <v>44</v>
      </c>
    </row>
    <row r="19" customFormat="false" ht="15" hidden="false" customHeight="false" outlineLevel="0" collapsed="false">
      <c r="B19" s="3" t="s">
        <v>45</v>
      </c>
    </row>
    <row r="20" customFormat="false" ht="15" hidden="false" customHeight="false" outlineLevel="0" collapsed="false">
      <c r="B20" s="3" t="s">
        <v>46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2026-03-27T16:49:00Z</dcterms:created>
  <dc:creator>openpyxl</dc:creator>
  <dc:description/>
  <dc:language>en-US</dc:language>
  <cp:lastModifiedBy/>
  <dcterms:modified xsi:type="dcterms:W3CDTF">2026-03-27T16:49:00Z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