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Tree Protection Record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'Tree Protection Record'!$A$1:$K$77</definedName>
    <definedName function="false" hidden="true" localSheetId="2" name="_xlnm._FilterDatabase" vbProcedure="false">'Tree Protection Record'!$A$27:$K$526</definedName>
    <definedName function="false" hidden="false" name="TreeRegister" vbProcedure="false">'Tree Protection Record'!$A$2:$J$22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<sst xmlns="http://schemas.openxmlformats.org/spreadsheetml/2006/main" count="181" uniqueCount="117">
  <si>
    <t xml:space="preserve">EBRORA</t>
  </si>
  <si>
    <t xml:space="preserve">ebrora.com</t>
  </si>
  <si>
    <t xml:space="preserve">Tree Protection Inspection Record</t>
  </si>
  <si>
    <t xml:space="preserve">Record tree protection measures and track inspection results per BS 5837:2012.</t>
  </si>
  <si>
    <t xml:space="preserve">Register retained trees and log recurring protection inspections with condition scoring.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</si>
  <si>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</si>
  <si>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</si>
  <si>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</si>
  <si>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</si>
  <si>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</si>
  <si>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'Tree Protection Record' sheet. It has two sections: a Tree Register (top) listing all retained trees, and an Inspection Log (below).</t>
  </si>
  <si>
    <t xml:space="preserve">2.</t>
  </si>
  <si>
    <t xml:space="preserve">Complete the Tree Register first. Enter each retained tree or group with its species, category (A/B/C per BS 5837), TPZ radius, and protection measures installed.</t>
  </si>
  <si>
    <t xml:space="preserve">3.</t>
  </si>
  <si>
    <t xml:space="preserve">In the Inspection Log below, record each site inspection. Select the tree ID, date, and score each protection aspect: Fencing, Ground Protection, Signage, and Root Zone.</t>
  </si>
  <si>
    <t xml:space="preserve">4.</t>
  </si>
  <si>
    <t xml:space="preserve">Score each aspect as Good, Fair, or Poor. The overall condition auto-calculates. Poor scores turn red for immediate attention.</t>
  </si>
  <si>
    <t xml:space="preserve">5.</t>
  </si>
  <si>
    <t xml:space="preserve">Record any damage observed and the corrective action taken in the notes columns.</t>
  </si>
  <si>
    <t xml:space="preserve">6.</t>
  </si>
  <si>
    <t xml:space="preserve">The summary dashboard counts inspections by condition and calculates your overall tree protection compliance rate.</t>
  </si>
  <si>
    <t xml:space="preserve">7.</t>
  </si>
  <si>
    <t xml:space="preserve">Share the inspection log with your arboriculturist at monthly site meetings.</t>
  </si>
  <si>
    <t xml:space="preserve">Colour Key</t>
  </si>
  <si>
    <t xml:space="preserve">Light teal — user input / editable</t>
  </si>
  <si>
    <t xml:space="preserve">  </t>
  </si>
  <si>
    <t xml:space="preserve">Dark navy — headers, do not edit</t>
  </si>
  <si>
    <t xml:space="preserve">Green — Good condition / compliant</t>
  </si>
  <si>
    <t xml:space="preserve">Amber — Fair (minor issues, monitor)</t>
  </si>
  <si>
    <t xml:space="preserve">Red — Poor (immediate corrective action required)</t>
  </si>
  <si>
    <t xml:space="preserve">Tips</t>
  </si>
  <si>
    <t xml:space="preserve">•</t>
  </si>
  <si>
    <t xml:space="preserve">Inspect tree protection weekly and after any plant movements near retained trees.</t>
  </si>
  <si>
    <t xml:space="preserve">Never store materials, park plant, or route services through a Tree Protection Zone without arboricultural approval.</t>
  </si>
  <si>
    <t xml:space="preserve">Any damage to a protected tree could be a criminal offence under a Tree Preservation Order — report immediately.</t>
  </si>
  <si>
    <t xml:space="preserve">RETAINED TREE REGISTER</t>
  </si>
  <si>
    <t xml:space="preserve">Tree ID</t>
  </si>
  <si>
    <t xml:space="preserve">Species</t>
  </si>
  <si>
    <t xml:space="preserve">Category</t>
  </si>
  <si>
    <t xml:space="preserve">TPZ (m)</t>
  </si>
  <si>
    <t xml:space="preserve">RPA (m²)</t>
  </si>
  <si>
    <t xml:space="preserve">Protection Installed</t>
  </si>
  <si>
    <t xml:space="preserve">TPO?</t>
  </si>
  <si>
    <t xml:space="preserve">Location</t>
  </si>
  <si>
    <t xml:space="preserve">Condition at Start</t>
  </si>
  <si>
    <t xml:space="preserve">Arborist Notes</t>
  </si>
  <si>
    <t xml:space="preserve">T-01</t>
  </si>
  <si>
    <t xml:space="preserve">English Oak (Quercus robur)</t>
  </si>
  <si>
    <t xml:space="preserve">A</t>
  </si>
  <si>
    <t xml:space="preserve">Heras fencing at TPZ + ground protection boards</t>
  </si>
  <si>
    <t xml:space="preserve">Yes</t>
  </si>
  <si>
    <t xml:space="preserve">NW boundary — Plot 1</t>
  </si>
  <si>
    <t xml:space="preserve">Good</t>
  </si>
  <si>
    <t xml:space="preserve">Mature specimen, excellent form. Crown spread 12m.</t>
  </si>
  <si>
    <t xml:space="preserve">T-02</t>
  </si>
  <si>
    <t xml:space="preserve">Silver Birch (Betula pendula)</t>
  </si>
  <si>
    <t xml:space="preserve">B</t>
  </si>
  <si>
    <t xml:space="preserve">Heras fencing at TPZ</t>
  </si>
  <si>
    <t xml:space="preserve">No</t>
  </si>
  <si>
    <t xml:space="preserve">Eastern boundary — Plot 5</t>
  </si>
  <si>
    <t xml:space="preserve">Multi-stem, some deadwood in crown — retain.</t>
  </si>
  <si>
    <t xml:space="preserve">T-03</t>
  </si>
  <si>
    <t xml:space="preserve">Beech (Fagus sylvatica)</t>
  </si>
  <si>
    <t xml:space="preserve">Heras fencing + root protection cellular system</t>
  </si>
  <si>
    <t xml:space="preserve">Central avenue — retained feature</t>
  </si>
  <si>
    <t xml:space="preserve">TPO protected. No-dig zone for all services.</t>
  </si>
  <si>
    <t xml:space="preserve">T-04</t>
  </si>
  <si>
    <t xml:space="preserve">Scots Pine (Pinus sylvestris)</t>
  </si>
  <si>
    <t xml:space="preserve">Southern boundary — near compound</t>
  </si>
  <si>
    <t xml:space="preserve">Fair</t>
  </si>
  <si>
    <t xml:space="preserve">Some lower limb damage from previous works.</t>
  </si>
  <si>
    <t xml:space="preserve">T-05</t>
  </si>
  <si>
    <t xml:space="preserve">Field Maple (Acer campestre)</t>
  </si>
  <si>
    <t xml:space="preserve">C</t>
  </si>
  <si>
    <t xml:space="preserve">Haul road verge — ch. 0+080</t>
  </si>
  <si>
    <t xml:space="preserve">Small specimen. Fencing minimum distance.</t>
  </si>
  <si>
    <t xml:space="preserve">G-01</t>
  </si>
  <si>
    <t xml:space="preserve">Mixed hedgerow (group)</t>
  </si>
  <si>
    <t xml:space="preserve">Heras fencing full length + root barrier</t>
  </si>
  <si>
    <t xml:space="preserve">Eastern boundary hedge — 85m length</t>
  </si>
  <si>
    <t xml:space="preserve">Important Hedgerow. 5m buffer maintained.</t>
  </si>
  <si>
    <t xml:space="preserve">TREE PROTECTION INSPECTION LOG</t>
  </si>
  <si>
    <t xml:space="preserve">Inspection Summary</t>
  </si>
  <si>
    <t xml:space="preserve">Total:</t>
  </si>
  <si>
    <t xml:space="preserve">Good:</t>
  </si>
  <si>
    <t xml:space="preserve">Fair:</t>
  </si>
  <si>
    <t xml:space="preserve">Poor:</t>
  </si>
  <si>
    <t xml:space="preserve">Date</t>
  </si>
  <si>
    <t xml:space="preserve">Inspector</t>
  </si>
  <si>
    <t xml:space="preserve">Fencing</t>
  </si>
  <si>
    <t xml:space="preserve">Ground Prot.</t>
  </si>
  <si>
    <t xml:space="preserve">Signage</t>
  </si>
  <si>
    <t xml:space="preserve">Root Zone</t>
  </si>
  <si>
    <t xml:space="preserve">Overall</t>
  </si>
  <si>
    <t xml:space="preserve">Damage Observed</t>
  </si>
  <si>
    <t xml:space="preserve">Action Taken</t>
  </si>
  <si>
    <t xml:space="preserve">Next Review</t>
  </si>
  <si>
    <t xml:space="preserve">M. Okafor</t>
  </si>
  <si>
    <t xml:space="preserve">None</t>
  </si>
  <si>
    <t xml:space="preserve">N/A</t>
  </si>
  <si>
    <t xml:space="preserve">Fence panel leaning — post loose</t>
  </si>
  <si>
    <t xml:space="preserve">Post re-driven and braced</t>
  </si>
  <si>
    <t xml:space="preserve">J. Barton</t>
  </si>
  <si>
    <t xml:space="preserve">Warning sign missing from east side</t>
  </si>
  <si>
    <t xml:space="preserve">Replacement sign ordered and installed 10/03</t>
  </si>
  <si>
    <t xml:space="preserve">Poor</t>
  </si>
  <si>
    <t xml:space="preserve">Excavator tracked through edge of TPZ</t>
  </si>
  <si>
    <t xml:space="preserve">Area hand-dug to check roots. No damage. Additional barrier installed.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</si>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</sst>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b val="true"/>
      <sz val="10"/>
      <color rgb="FF9C0006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E8F6F7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7" topLeftCell="C28" activePane="bottomRight" state="frozen"/>
      <selection pane="topLeft" activeCell="A1" activeCellId="0" sqref="A1"/>
      <selection pane="topRight" activeCell="C1" activeCellId="0" sqref="C1"/>
      <selection pane="bottomLeft" activeCell="A28" activeCellId="0" sqref="A2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15" hidden="false" customHeight="false" outlineLevel="0" collapsed="false">
      <c r="A2" s="22" t="s">
        <v>36</v>
      </c>
      <c r="B2" s="22" t="s">
        <v>37</v>
      </c>
      <c r="C2" s="22" t="s">
        <v>38</v>
      </c>
      <c r="D2" s="22" t="s">
        <v>39</v>
      </c>
      <c r="E2" s="22" t="s">
        <v>40</v>
      </c>
      <c r="F2" s="22" t="s">
        <v>41</v>
      </c>
      <c r="G2" s="22" t="s">
        <v>42</v>
      </c>
      <c r="H2" s="22" t="s">
        <v>43</v>
      </c>
      <c r="I2" s="22" t="s">
        <v>44</v>
      </c>
      <c r="J2" s="22" t="s">
        <v>45</v>
      </c>
    </row>
    <row r="3" customFormat="false" ht="34.5" hidden="false" customHeight="true" outlineLevel="0" collapsed="false">
      <c r="A3" s="23" t="s">
        <v>46</v>
      </c>
      <c r="B3" s="24" t="s">
        <v>47</v>
      </c>
      <c r="C3" s="23" t="s">
        <v>48</v>
      </c>
      <c r="D3" s="23" t="n">
        <v>7.2</v>
      </c>
      <c r="E3" s="23" t="n">
        <v>163</v>
      </c>
      <c r="F3" s="24" t="s">
        <v>49</v>
      </c>
      <c r="G3" s="23" t="s">
        <v>50</v>
      </c>
      <c r="H3" s="24" t="s">
        <v>51</v>
      </c>
      <c r="I3" s="23" t="s">
        <v>52</v>
      </c>
      <c r="J3" s="24" t="s">
        <v>53</v>
      </c>
    </row>
    <row r="4" customFormat="false" ht="34.5" hidden="false" customHeight="true" outlineLevel="0" collapsed="false">
      <c r="A4" s="25" t="s">
        <v>54</v>
      </c>
      <c r="B4" s="26" t="s">
        <v>55</v>
      </c>
      <c r="C4" s="25" t="s">
        <v>56</v>
      </c>
      <c r="D4" s="25" t="n">
        <v>4.8</v>
      </c>
      <c r="E4" s="25" t="n">
        <v>72</v>
      </c>
      <c r="F4" s="26" t="s">
        <v>57</v>
      </c>
      <c r="G4" s="25" t="s">
        <v>58</v>
      </c>
      <c r="H4" s="26" t="s">
        <v>59</v>
      </c>
      <c r="I4" s="25" t="s">
        <v>52</v>
      </c>
      <c r="J4" s="26" t="s">
        <v>60</v>
      </c>
    </row>
    <row r="5" customFormat="false" ht="34.5" hidden="false" customHeight="true" outlineLevel="0" collapsed="false">
      <c r="A5" s="23" t="s">
        <v>61</v>
      </c>
      <c r="B5" s="24" t="s">
        <v>62</v>
      </c>
      <c r="C5" s="23" t="s">
        <v>48</v>
      </c>
      <c r="D5" s="23" t="n">
        <v>8.5</v>
      </c>
      <c r="E5" s="23" t="n">
        <v>227</v>
      </c>
      <c r="F5" s="24" t="s">
        <v>63</v>
      </c>
      <c r="G5" s="23" t="s">
        <v>50</v>
      </c>
      <c r="H5" s="24" t="s">
        <v>64</v>
      </c>
      <c r="I5" s="23" t="s">
        <v>52</v>
      </c>
      <c r="J5" s="24" t="s">
        <v>65</v>
      </c>
    </row>
    <row r="6" customFormat="false" ht="34.5" hidden="false" customHeight="true" outlineLevel="0" collapsed="false">
      <c r="A6" s="25" t="s">
        <v>66</v>
      </c>
      <c r="B6" s="26" t="s">
        <v>67</v>
      </c>
      <c r="C6" s="25" t="s">
        <v>56</v>
      </c>
      <c r="D6" s="25" t="n">
        <v>5.2</v>
      </c>
      <c r="E6" s="25" t="n">
        <v>85</v>
      </c>
      <c r="F6" s="26" t="s">
        <v>57</v>
      </c>
      <c r="G6" s="25" t="s">
        <v>58</v>
      </c>
      <c r="H6" s="26" t="s">
        <v>68</v>
      </c>
      <c r="I6" s="25" t="s">
        <v>69</v>
      </c>
      <c r="J6" s="26" t="s">
        <v>70</v>
      </c>
    </row>
    <row r="7" customFormat="false" ht="34.5" hidden="false" customHeight="true" outlineLevel="0" collapsed="false">
      <c r="A7" s="23" t="s">
        <v>71</v>
      </c>
      <c r="B7" s="24" t="s">
        <v>72</v>
      </c>
      <c r="C7" s="23" t="s">
        <v>73</v>
      </c>
      <c r="D7" s="23" t="n">
        <v>3</v>
      </c>
      <c r="E7" s="23" t="n">
        <v>28</v>
      </c>
      <c r="F7" s="24" t="s">
        <v>57</v>
      </c>
      <c r="G7" s="23" t="s">
        <v>58</v>
      </c>
      <c r="H7" s="24" t="s">
        <v>74</v>
      </c>
      <c r="I7" s="23" t="s">
        <v>69</v>
      </c>
      <c r="J7" s="24" t="s">
        <v>75</v>
      </c>
    </row>
    <row r="8" customFormat="false" ht="34.5" hidden="false" customHeight="true" outlineLevel="0" collapsed="false">
      <c r="A8" s="25" t="s">
        <v>76</v>
      </c>
      <c r="B8" s="26" t="s">
        <v>77</v>
      </c>
      <c r="C8" s="25" t="s">
        <v>56</v>
      </c>
      <c r="D8" s="25" t="n">
        <v>3</v>
      </c>
      <c r="E8" s="25"/>
      <c r="F8" s="26" t="s">
        <v>78</v>
      </c>
      <c r="G8" s="25" t="s">
        <v>58</v>
      </c>
      <c r="H8" s="26" t="s">
        <v>79</v>
      </c>
      <c r="I8" s="25" t="s">
        <v>52</v>
      </c>
      <c r="J8" s="26" t="s">
        <v>80</v>
      </c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customFormat="false" ht="6" hidden="false" customHeight="true" outlineLevel="0" collapsed="false"/>
    <row r="24" customFormat="false" ht="25.5" hidden="false" customHeight="true" outlineLevel="0" collapsed="false">
      <c r="A24" s="29" t="s">
        <v>81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customFormat="false" ht="15" hidden="false" customHeight="true" outlineLevel="0" collapsed="false">
      <c r="A25" s="30" t="s">
        <v>82</v>
      </c>
      <c r="B25" s="30"/>
      <c r="C25" s="30"/>
      <c r="D25" s="20" t="s">
        <v>83</v>
      </c>
      <c r="E25" s="31" t="n">
        <f aca="false">COUNTA(A28:A527)</f>
        <v>8</v>
      </c>
      <c r="F25" s="20" t="s">
        <v>84</v>
      </c>
      <c r="G25" s="32" t="n">
        <f aca="false">COUNTIF(H28:H527,"Good")</f>
        <v>5</v>
      </c>
      <c r="H25" s="20" t="s">
        <v>85</v>
      </c>
      <c r="I25" s="33" t="n">
        <f aca="false">COUNTIF(H28:H527,"Fair")</f>
        <v>2</v>
      </c>
      <c r="J25" s="20" t="s">
        <v>86</v>
      </c>
      <c r="K25" s="34" t="n">
        <f aca="false">COUNTIF(H28:H527,"Poor")</f>
        <v>1</v>
      </c>
    </row>
    <row r="27" customFormat="false" ht="28.35" hidden="false" customHeight="false" outlineLevel="0" collapsed="false">
      <c r="A27" s="22" t="s">
        <v>36</v>
      </c>
      <c r="B27" s="22" t="s">
        <v>87</v>
      </c>
      <c r="C27" s="22" t="s">
        <v>88</v>
      </c>
      <c r="D27" s="22" t="s">
        <v>89</v>
      </c>
      <c r="E27" s="22" t="s">
        <v>90</v>
      </c>
      <c r="F27" s="22" t="s">
        <v>91</v>
      </c>
      <c r="G27" s="22" t="s">
        <v>92</v>
      </c>
      <c r="H27" s="22" t="s">
        <v>93</v>
      </c>
      <c r="I27" s="22" t="s">
        <v>94</v>
      </c>
      <c r="J27" s="22" t="s">
        <v>95</v>
      </c>
      <c r="K27" s="22" t="s">
        <v>96</v>
      </c>
    </row>
    <row r="28" customFormat="false" ht="34.5" hidden="false" customHeight="true" outlineLevel="0" collapsed="false">
      <c r="A28" s="23" t="s">
        <v>46</v>
      </c>
      <c r="B28" s="35" t="n">
        <v>46083</v>
      </c>
      <c r="C28" s="23" t="s">
        <v>97</v>
      </c>
      <c r="D28" s="23" t="s">
        <v>52</v>
      </c>
      <c r="E28" s="23" t="s">
        <v>52</v>
      </c>
      <c r="F28" s="23" t="s">
        <v>52</v>
      </c>
      <c r="G28" s="23" t="s">
        <v>52</v>
      </c>
      <c r="H28" s="23" t="str">
        <f aca="false">IF(OR(D28="",E28="",F28="",G28=""),"",IF(OR(D28="Poor",E28="Poor",F28="Poor",G28="Poor"),"Poor",IF(OR(D28="Fair",E28="Fair",F28="Fair",G28="Fair"),"Fair","Good")))</f>
        <v>Good</v>
      </c>
      <c r="I28" s="24" t="s">
        <v>98</v>
      </c>
      <c r="J28" s="24"/>
      <c r="K28" s="35" t="n">
        <v>46090</v>
      </c>
    </row>
    <row r="29" customFormat="false" ht="34.5" hidden="false" customHeight="true" outlineLevel="0" collapsed="false">
      <c r="A29" s="25" t="s">
        <v>54</v>
      </c>
      <c r="B29" s="36" t="n">
        <v>46083</v>
      </c>
      <c r="C29" s="25" t="s">
        <v>97</v>
      </c>
      <c r="D29" s="25" t="s">
        <v>52</v>
      </c>
      <c r="E29" s="25" t="s">
        <v>99</v>
      </c>
      <c r="F29" s="25" t="s">
        <v>52</v>
      </c>
      <c r="G29" s="25" t="s">
        <v>52</v>
      </c>
      <c r="H29" s="25" t="str">
        <f aca="false">IF(OR(D29="",E29="",F29="",G29=""),"",IF(OR(D29="Poor",E29="Poor",F29="Poor",G29="Poor"),"Poor",IF(OR(D29="Fair",E29="Fair",F29="Fair",G29="Fair"),"Fair","Good")))</f>
        <v>Good</v>
      </c>
      <c r="I29" s="26" t="s">
        <v>98</v>
      </c>
      <c r="J29" s="26"/>
      <c r="K29" s="36" t="n">
        <v>46090</v>
      </c>
    </row>
    <row r="30" customFormat="false" ht="34.5" hidden="false" customHeight="true" outlineLevel="0" collapsed="false">
      <c r="A30" s="23" t="s">
        <v>61</v>
      </c>
      <c r="B30" s="35" t="n">
        <v>46083</v>
      </c>
      <c r="C30" s="23" t="s">
        <v>97</v>
      </c>
      <c r="D30" s="23" t="s">
        <v>52</v>
      </c>
      <c r="E30" s="23" t="s">
        <v>52</v>
      </c>
      <c r="F30" s="23" t="s">
        <v>52</v>
      </c>
      <c r="G30" s="23" t="s">
        <v>52</v>
      </c>
      <c r="H30" s="23" t="str">
        <f aca="false">IF(OR(D30="",E30="",F30="",G30=""),"",IF(OR(D30="Poor",E30="Poor",F30="Poor",G30="Poor"),"Poor",IF(OR(D30="Fair",E30="Fair",F30="Fair",G30="Fair"),"Fair","Good")))</f>
        <v>Good</v>
      </c>
      <c r="I30" s="24" t="s">
        <v>98</v>
      </c>
      <c r="J30" s="24"/>
      <c r="K30" s="35" t="n">
        <v>46090</v>
      </c>
    </row>
    <row r="31" customFormat="false" ht="34.5" hidden="false" customHeight="true" outlineLevel="0" collapsed="false">
      <c r="A31" s="25" t="s">
        <v>66</v>
      </c>
      <c r="B31" s="36" t="n">
        <v>46083</v>
      </c>
      <c r="C31" s="25" t="s">
        <v>97</v>
      </c>
      <c r="D31" s="25" t="s">
        <v>69</v>
      </c>
      <c r="E31" s="25" t="s">
        <v>99</v>
      </c>
      <c r="F31" s="25" t="s">
        <v>52</v>
      </c>
      <c r="G31" s="25" t="s">
        <v>69</v>
      </c>
      <c r="H31" s="25" t="str">
        <f aca="false">IF(OR(D31="",E31="",F31="",G31=""),"",IF(OR(D31="Poor",E31="Poor",F31="Poor",G31="Poor"),"Poor",IF(OR(D31="Fair",E31="Fair",F31="Fair",G31="Fair"),"Fair","Good")))</f>
        <v>Fair</v>
      </c>
      <c r="I31" s="26" t="s">
        <v>100</v>
      </c>
      <c r="J31" s="26" t="s">
        <v>101</v>
      </c>
      <c r="K31" s="36" t="n">
        <v>46090</v>
      </c>
    </row>
    <row r="32" customFormat="false" ht="34.5" hidden="false" customHeight="true" outlineLevel="0" collapsed="false">
      <c r="A32" s="23" t="s">
        <v>46</v>
      </c>
      <c r="B32" s="35" t="n">
        <v>46090</v>
      </c>
      <c r="C32" s="23" t="s">
        <v>102</v>
      </c>
      <c r="D32" s="23" t="s">
        <v>52</v>
      </c>
      <c r="E32" s="23" t="s">
        <v>52</v>
      </c>
      <c r="F32" s="23" t="s">
        <v>52</v>
      </c>
      <c r="G32" s="23" t="s">
        <v>52</v>
      </c>
      <c r="H32" s="23" t="str">
        <f aca="false">IF(OR(D32="",E32="",F32="",G32=""),"",IF(OR(D32="Poor",E32="Poor",F32="Poor",G32="Poor"),"Poor",IF(OR(D32="Fair",E32="Fair",F32="Fair",G32="Fair"),"Fair","Good")))</f>
        <v>Good</v>
      </c>
      <c r="I32" s="24" t="s">
        <v>98</v>
      </c>
      <c r="J32" s="24"/>
      <c r="K32" s="35" t="n">
        <v>46097</v>
      </c>
    </row>
    <row r="33" customFormat="false" ht="34.5" hidden="false" customHeight="true" outlineLevel="0" collapsed="false">
      <c r="A33" s="25" t="s">
        <v>61</v>
      </c>
      <c r="B33" s="36" t="n">
        <v>46090</v>
      </c>
      <c r="C33" s="25" t="s">
        <v>102</v>
      </c>
      <c r="D33" s="25" t="s">
        <v>52</v>
      </c>
      <c r="E33" s="25" t="s">
        <v>52</v>
      </c>
      <c r="F33" s="25" t="s">
        <v>69</v>
      </c>
      <c r="G33" s="25" t="s">
        <v>52</v>
      </c>
      <c r="H33" s="25" t="str">
        <f aca="false">IF(OR(D33="",E33="",F33="",G33=""),"",IF(OR(D33="Poor",E33="Poor",F33="Poor",G33="Poor"),"Poor",IF(OR(D33="Fair",E33="Fair",F33="Fair",G33="Fair"),"Fair","Good")))</f>
        <v>Fair</v>
      </c>
      <c r="I33" s="26" t="s">
        <v>103</v>
      </c>
      <c r="J33" s="26" t="s">
        <v>104</v>
      </c>
      <c r="K33" s="36" t="n">
        <v>46097</v>
      </c>
    </row>
    <row r="34" customFormat="false" ht="34.5" hidden="false" customHeight="true" outlineLevel="0" collapsed="false">
      <c r="A34" s="23" t="s">
        <v>66</v>
      </c>
      <c r="B34" s="35" t="n">
        <v>46090</v>
      </c>
      <c r="C34" s="23" t="s">
        <v>102</v>
      </c>
      <c r="D34" s="23" t="s">
        <v>52</v>
      </c>
      <c r="E34" s="23" t="s">
        <v>99</v>
      </c>
      <c r="F34" s="23" t="s">
        <v>52</v>
      </c>
      <c r="G34" s="23" t="s">
        <v>105</v>
      </c>
      <c r="H34" s="23" t="str">
        <f aca="false">IF(OR(D34="",E34="",F34="",G34=""),"",IF(OR(D34="Poor",E34="Poor",F34="Poor",G34="Poor"),"Poor",IF(OR(D34="Fair",E34="Fair",F34="Fair",G34="Fair"),"Fair","Good")))</f>
        <v>Poor</v>
      </c>
      <c r="I34" s="24" t="s">
        <v>106</v>
      </c>
      <c r="J34" s="24" t="s">
        <v>107</v>
      </c>
      <c r="K34" s="35" t="n">
        <v>46097</v>
      </c>
    </row>
    <row r="35" customFormat="false" ht="34.5" hidden="false" customHeight="true" outlineLevel="0" collapsed="false">
      <c r="A35" s="25" t="s">
        <v>76</v>
      </c>
      <c r="B35" s="36" t="n">
        <v>46090</v>
      </c>
      <c r="C35" s="25" t="s">
        <v>102</v>
      </c>
      <c r="D35" s="25" t="s">
        <v>52</v>
      </c>
      <c r="E35" s="25" t="s">
        <v>99</v>
      </c>
      <c r="F35" s="25" t="s">
        <v>52</v>
      </c>
      <c r="G35" s="25" t="s">
        <v>52</v>
      </c>
      <c r="H35" s="25" t="str">
        <f aca="false">IF(OR(D35="",E35="",F35="",G35=""),"",IF(OR(D35="Poor",E35="Poor",F35="Poor",G35="Poor"),"Poor",IF(OR(D35="Fair",E35="Fair",F35="Fair",G35="Fair"),"Fair","Good")))</f>
        <v>Good</v>
      </c>
      <c r="I35" s="26" t="s">
        <v>98</v>
      </c>
      <c r="J35" s="26"/>
      <c r="K35" s="36" t="n">
        <v>46097</v>
      </c>
    </row>
    <row r="36" customFormat="false" ht="15" hidden="false" customHeight="false" outlineLevel="0" collapsed="false">
      <c r="A36" s="23"/>
      <c r="B36" s="35"/>
      <c r="C36" s="23"/>
      <c r="D36" s="23"/>
      <c r="E36" s="23"/>
      <c r="F36" s="23"/>
      <c r="G36" s="23"/>
      <c r="H36" s="23" t="str">
        <f aca="false">IF(OR(D36="",E36="",F36="",G36=""),"",IF(OR(D36="Poor",E36="Poor",F36="Poor",G36="Poor"),"Poor",IF(OR(D36="Fair",E36="Fair",F36="Fair",G36="Fair"),"Fair","Good")))</f>
        <v/>
      </c>
      <c r="I36" s="24"/>
      <c r="J36" s="24"/>
      <c r="K36" s="35"/>
    </row>
    <row r="37" customFormat="false" ht="15" hidden="false" customHeight="false" outlineLevel="0" collapsed="false">
      <c r="A37" s="25"/>
      <c r="B37" s="36"/>
      <c r="C37" s="25"/>
      <c r="D37" s="25"/>
      <c r="E37" s="25"/>
      <c r="F37" s="25"/>
      <c r="G37" s="25"/>
      <c r="H37" s="25" t="str">
        <f aca="false">IF(OR(D37="",E37="",F37="",G37=""),"",IF(OR(D37="Poor",E37="Poor",F37="Poor",G37="Poor"),"Poor",IF(OR(D37="Fair",E37="Fair",F37="Fair",G37="Fair"),"Fair","Good")))</f>
        <v/>
      </c>
      <c r="I37" s="26"/>
      <c r="J37" s="26"/>
      <c r="K37" s="36"/>
    </row>
    <row r="38" customFormat="false" ht="15" hidden="false" customHeight="false" outlineLevel="0" collapsed="false">
      <c r="A38" s="23"/>
      <c r="B38" s="35"/>
      <c r="C38" s="23"/>
      <c r="D38" s="23"/>
      <c r="E38" s="23"/>
      <c r="F38" s="23"/>
      <c r="G38" s="23"/>
      <c r="H38" s="23" t="str">
        <f aca="false">IF(OR(D38="",E38="",F38="",G38=""),"",IF(OR(D38="Poor",E38="Poor",F38="Poor",G38="Poor"),"Poor",IF(OR(D38="Fair",E38="Fair",F38="Fair",G38="Fair"),"Fair","Good")))</f>
        <v/>
      </c>
      <c r="I38" s="24"/>
      <c r="J38" s="24"/>
      <c r="K38" s="35"/>
    </row>
    <row r="39" customFormat="false" ht="15" hidden="false" customHeight="false" outlineLevel="0" collapsed="false">
      <c r="A39" s="25"/>
      <c r="B39" s="36"/>
      <c r="C39" s="25"/>
      <c r="D39" s="25"/>
      <c r="E39" s="25"/>
      <c r="F39" s="25"/>
      <c r="G39" s="25"/>
      <c r="H39" s="25" t="str">
        <f aca="false">IF(OR(D39="",E39="",F39="",G39=""),"",IF(OR(D39="Poor",E39="Poor",F39="Poor",G39="Poor"),"Poor",IF(OR(D39="Fair",E39="Fair",F39="Fair",G39="Fair"),"Fair","Good")))</f>
        <v/>
      </c>
      <c r="I39" s="26"/>
      <c r="J39" s="26"/>
      <c r="K39" s="36"/>
    </row>
    <row r="40" customFormat="false" ht="15" hidden="false" customHeight="false" outlineLevel="0" collapsed="false">
      <c r="A40" s="23"/>
      <c r="B40" s="35"/>
      <c r="C40" s="23"/>
      <c r="D40" s="23"/>
      <c r="E40" s="23"/>
      <c r="F40" s="23"/>
      <c r="G40" s="23"/>
      <c r="H40" s="23" t="str">
        <f aca="false">IF(OR(D40="",E40="",F40="",G40=""),"",IF(OR(D40="Poor",E40="Poor",F40="Poor",G40="Poor"),"Poor",IF(OR(D40="Fair",E40="Fair",F40="Fair",G40="Fair"),"Fair","Good")))</f>
        <v/>
      </c>
      <c r="I40" s="24"/>
      <c r="J40" s="24"/>
      <c r="K40" s="35"/>
    </row>
    <row r="41" customFormat="false" ht="15" hidden="false" customHeight="false" outlineLevel="0" collapsed="false">
      <c r="A41" s="25"/>
      <c r="B41" s="36"/>
      <c r="C41" s="25"/>
      <c r="D41" s="25"/>
      <c r="E41" s="25"/>
      <c r="F41" s="25"/>
      <c r="G41" s="25"/>
      <c r="H41" s="25" t="str">
        <f aca="false">IF(OR(D41="",E41="",F41="",G41=""),"",IF(OR(D41="Poor",E41="Poor",F41="Poor",G41="Poor"),"Poor",IF(OR(D41="Fair",E41="Fair",F41="Fair",G41="Fair"),"Fair","Good")))</f>
        <v/>
      </c>
      <c r="I41" s="26"/>
      <c r="J41" s="26"/>
      <c r="K41" s="36"/>
    </row>
    <row r="42" customFormat="false" ht="15" hidden="false" customHeight="false" outlineLevel="0" collapsed="false">
      <c r="A42" s="23"/>
      <c r="B42" s="35"/>
      <c r="C42" s="23"/>
      <c r="D42" s="23"/>
      <c r="E42" s="23"/>
      <c r="F42" s="23"/>
      <c r="G42" s="23"/>
      <c r="H42" s="23" t="str">
        <f aca="false">IF(OR(D42="",E42="",F42="",G42=""),"",IF(OR(D42="Poor",E42="Poor",F42="Poor",G42="Poor"),"Poor",IF(OR(D42="Fair",E42="Fair",F42="Fair",G42="Fair"),"Fair","Good")))</f>
        <v/>
      </c>
      <c r="I42" s="24"/>
      <c r="J42" s="24"/>
      <c r="K42" s="35"/>
    </row>
    <row r="43" customFormat="false" ht="15" hidden="false" customHeight="false" outlineLevel="0" collapsed="false">
      <c r="A43" s="25"/>
      <c r="B43" s="36"/>
      <c r="C43" s="25"/>
      <c r="D43" s="25"/>
      <c r="E43" s="25"/>
      <c r="F43" s="25"/>
      <c r="G43" s="25"/>
      <c r="H43" s="25" t="str">
        <f aca="false">IF(OR(D43="",E43="",F43="",G43=""),"",IF(OR(D43="Poor",E43="Poor",F43="Poor",G43="Poor"),"Poor",IF(OR(D43="Fair",E43="Fair",F43="Fair",G43="Fair"),"Fair","Good")))</f>
        <v/>
      </c>
      <c r="I43" s="26"/>
      <c r="J43" s="26"/>
      <c r="K43" s="36"/>
    </row>
    <row r="44" customFormat="false" ht="15" hidden="false" customHeight="false" outlineLevel="0" collapsed="false">
      <c r="A44" s="23"/>
      <c r="B44" s="35"/>
      <c r="C44" s="23"/>
      <c r="D44" s="23"/>
      <c r="E44" s="23"/>
      <c r="F44" s="23"/>
      <c r="G44" s="23"/>
      <c r="H44" s="23" t="str">
        <f aca="false">IF(OR(D44="",E44="",F44="",G44=""),"",IF(OR(D44="Poor",E44="Poor",F44="Poor",G44="Poor"),"Poor",IF(OR(D44="Fair",E44="Fair",F44="Fair",G44="Fair"),"Fair","Good")))</f>
        <v/>
      </c>
      <c r="I44" s="24"/>
      <c r="J44" s="24"/>
      <c r="K44" s="35"/>
    </row>
    <row r="45" customFormat="false" ht="15" hidden="false" customHeight="false" outlineLevel="0" collapsed="false">
      <c r="A45" s="25"/>
      <c r="B45" s="36"/>
      <c r="C45" s="25"/>
      <c r="D45" s="25"/>
      <c r="E45" s="25"/>
      <c r="F45" s="25"/>
      <c r="G45" s="25"/>
      <c r="H45" s="25" t="str">
        <f aca="false">IF(OR(D45="",E45="",F45="",G45=""),"",IF(OR(D45="Poor",E45="Poor",F45="Poor",G45="Poor"),"Poor",IF(OR(D45="Fair",E45="Fair",F45="Fair",G45="Fair"),"Fair","Good")))</f>
        <v/>
      </c>
      <c r="I45" s="26"/>
      <c r="J45" s="26"/>
      <c r="K45" s="36"/>
    </row>
    <row r="46" customFormat="false" ht="15" hidden="false" customHeight="false" outlineLevel="0" collapsed="false">
      <c r="A46" s="23"/>
      <c r="B46" s="35"/>
      <c r="C46" s="23"/>
      <c r="D46" s="23"/>
      <c r="E46" s="23"/>
      <c r="F46" s="23"/>
      <c r="G46" s="23"/>
      <c r="H46" s="23" t="str">
        <f aca="false">IF(OR(D46="",E46="",F46="",G46=""),"",IF(OR(D46="Poor",E46="Poor",F46="Poor",G46="Poor"),"Poor",IF(OR(D46="Fair",E46="Fair",F46="Fair",G46="Fair"),"Fair","Good")))</f>
        <v/>
      </c>
      <c r="I46" s="24"/>
      <c r="J46" s="24"/>
      <c r="K46" s="35"/>
    </row>
    <row r="47" customFormat="false" ht="15" hidden="false" customHeight="false" outlineLevel="0" collapsed="false">
      <c r="A47" s="25"/>
      <c r="B47" s="36"/>
      <c r="C47" s="25"/>
      <c r="D47" s="25"/>
      <c r="E47" s="25"/>
      <c r="F47" s="25"/>
      <c r="G47" s="25"/>
      <c r="H47" s="25" t="str">
        <f aca="false">IF(OR(D47="",E47="",F47="",G47=""),"",IF(OR(D47="Poor",E47="Poor",F47="Poor",G47="Poor"),"Poor",IF(OR(D47="Fair",E47="Fair",F47="Fair",G47="Fair"),"Fair","Good")))</f>
        <v/>
      </c>
      <c r="I47" s="26"/>
      <c r="J47" s="26"/>
      <c r="K47" s="36"/>
    </row>
    <row r="48" customFormat="false" ht="15" hidden="false" customHeight="false" outlineLevel="0" collapsed="false">
      <c r="A48" s="23"/>
      <c r="B48" s="35"/>
      <c r="C48" s="23"/>
      <c r="D48" s="23"/>
      <c r="E48" s="23"/>
      <c r="F48" s="23"/>
      <c r="G48" s="23"/>
      <c r="H48" s="23" t="str">
        <f aca="false">IF(OR(D48="",E48="",F48="",G48=""),"",IF(OR(D48="Poor",E48="Poor",F48="Poor",G48="Poor"),"Poor",IF(OR(D48="Fair",E48="Fair",F48="Fair",G48="Fair"),"Fair","Good")))</f>
        <v/>
      </c>
      <c r="I48" s="24"/>
      <c r="J48" s="24"/>
      <c r="K48" s="35"/>
    </row>
    <row r="49" customFormat="false" ht="15" hidden="false" customHeight="false" outlineLevel="0" collapsed="false">
      <c r="A49" s="25"/>
      <c r="B49" s="36"/>
      <c r="C49" s="25"/>
      <c r="D49" s="25"/>
      <c r="E49" s="25"/>
      <c r="F49" s="25"/>
      <c r="G49" s="25"/>
      <c r="H49" s="25" t="str">
        <f aca="false">IF(OR(D49="",E49="",F49="",G49=""),"",IF(OR(D49="Poor",E49="Poor",F49="Poor",G49="Poor"),"Poor",IF(OR(D49="Fair",E49="Fair",F49="Fair",G49="Fair"),"Fair","Good")))</f>
        <v/>
      </c>
      <c r="I49" s="26"/>
      <c r="J49" s="26"/>
      <c r="K49" s="36"/>
    </row>
    <row r="50" customFormat="false" ht="15" hidden="false" customHeight="false" outlineLevel="0" collapsed="false">
      <c r="A50" s="23"/>
      <c r="B50" s="35"/>
      <c r="C50" s="23"/>
      <c r="D50" s="23"/>
      <c r="E50" s="23"/>
      <c r="F50" s="23"/>
      <c r="G50" s="23"/>
      <c r="H50" s="23" t="str">
        <f aca="false">IF(OR(D50="",E50="",F50="",G50=""),"",IF(OR(D50="Poor",E50="Poor",F50="Poor",G50="Poor"),"Poor",IF(OR(D50="Fair",E50="Fair",F50="Fair",G50="Fair"),"Fair","Good")))</f>
        <v/>
      </c>
      <c r="I50" s="24"/>
      <c r="J50" s="24"/>
      <c r="K50" s="35"/>
    </row>
    <row r="51" customFormat="false" ht="15" hidden="false" customHeight="false" outlineLevel="0" collapsed="false">
      <c r="A51" s="25"/>
      <c r="B51" s="36"/>
      <c r="C51" s="25"/>
      <c r="D51" s="25"/>
      <c r="E51" s="25"/>
      <c r="F51" s="25"/>
      <c r="G51" s="25"/>
      <c r="H51" s="25" t="str">
        <f aca="false">IF(OR(D51="",E51="",F51="",G51=""),"",IF(OR(D51="Poor",E51="Poor",F51="Poor",G51="Poor"),"Poor",IF(OR(D51="Fair",E51="Fair",F51="Fair",G51="Fair"),"Fair","Good")))</f>
        <v/>
      </c>
      <c r="I51" s="26"/>
      <c r="J51" s="26"/>
      <c r="K51" s="36"/>
    </row>
    <row r="52" customFormat="false" ht="15" hidden="false" customHeight="false" outlineLevel="0" collapsed="false">
      <c r="A52" s="23"/>
      <c r="B52" s="35"/>
      <c r="C52" s="23"/>
      <c r="D52" s="23"/>
      <c r="E52" s="23"/>
      <c r="F52" s="23"/>
      <c r="G52" s="23"/>
      <c r="H52" s="23" t="str">
        <f aca="false">IF(OR(D52="",E52="",F52="",G52=""),"",IF(OR(D52="Poor",E52="Poor",F52="Poor",G52="Poor"),"Poor",IF(OR(D52="Fair",E52="Fair",F52="Fair",G52="Fair"),"Fair","Good")))</f>
        <v/>
      </c>
      <c r="I52" s="24"/>
      <c r="J52" s="24"/>
      <c r="K52" s="35"/>
    </row>
    <row r="53" customFormat="false" ht="15" hidden="false" customHeight="false" outlineLevel="0" collapsed="false">
      <c r="A53" s="25"/>
      <c r="B53" s="36"/>
      <c r="C53" s="25"/>
      <c r="D53" s="25"/>
      <c r="E53" s="25"/>
      <c r="F53" s="25"/>
      <c r="G53" s="25"/>
      <c r="H53" s="25" t="str">
        <f aca="false">IF(OR(D53="",E53="",F53="",G53=""),"",IF(OR(D53="Poor",E53="Poor",F53="Poor",G53="Poor"),"Poor",IF(OR(D53="Fair",E53="Fair",F53="Fair",G53="Fair"),"Fair","Good")))</f>
        <v/>
      </c>
      <c r="I53" s="26"/>
      <c r="J53" s="26"/>
      <c r="K53" s="36"/>
    </row>
    <row r="54" customFormat="false" ht="15" hidden="false" customHeight="false" outlineLevel="0" collapsed="false">
      <c r="A54" s="23"/>
      <c r="B54" s="35"/>
      <c r="C54" s="23"/>
      <c r="D54" s="23"/>
      <c r="E54" s="23"/>
      <c r="F54" s="23"/>
      <c r="G54" s="23"/>
      <c r="H54" s="23" t="str">
        <f aca="false">IF(OR(D54="",E54="",F54="",G54=""),"",IF(OR(D54="Poor",E54="Poor",F54="Poor",G54="Poor"),"Poor",IF(OR(D54="Fair",E54="Fair",F54="Fair",G54="Fair"),"Fair","Good")))</f>
        <v/>
      </c>
      <c r="I54" s="24"/>
      <c r="J54" s="24"/>
      <c r="K54" s="35"/>
    </row>
    <row r="55" customFormat="false" ht="15" hidden="false" customHeight="false" outlineLevel="0" collapsed="false">
      <c r="A55" s="25"/>
      <c r="B55" s="36"/>
      <c r="C55" s="25"/>
      <c r="D55" s="25"/>
      <c r="E55" s="25"/>
      <c r="F55" s="25"/>
      <c r="G55" s="25"/>
      <c r="H55" s="25" t="str">
        <f aca="false">IF(OR(D55="",E55="",F55="",G55=""),"",IF(OR(D55="Poor",E55="Poor",F55="Poor",G55="Poor"),"Poor",IF(OR(D55="Fair",E55="Fair",F55="Fair",G55="Fair"),"Fair","Good")))</f>
        <v/>
      </c>
      <c r="I55" s="26"/>
      <c r="J55" s="26"/>
      <c r="K55" s="36"/>
    </row>
    <row r="56" customFormat="false" ht="15" hidden="false" customHeight="false" outlineLevel="0" collapsed="false">
      <c r="A56" s="23"/>
      <c r="B56" s="35"/>
      <c r="C56" s="23"/>
      <c r="D56" s="23"/>
      <c r="E56" s="23"/>
      <c r="F56" s="23"/>
      <c r="G56" s="23"/>
      <c r="H56" s="23" t="str">
        <f aca="false">IF(OR(D56="",E56="",F56="",G56=""),"",IF(OR(D56="Poor",E56="Poor",F56="Poor",G56="Poor"),"Poor",IF(OR(D56="Fair",E56="Fair",F56="Fair",G56="Fair"),"Fair","Good")))</f>
        <v/>
      </c>
      <c r="I56" s="24"/>
      <c r="J56" s="24"/>
      <c r="K56" s="35"/>
    </row>
    <row r="57" customFormat="false" ht="15" hidden="false" customHeight="false" outlineLevel="0" collapsed="false">
      <c r="A57" s="25"/>
      <c r="B57" s="36"/>
      <c r="C57" s="25"/>
      <c r="D57" s="25"/>
      <c r="E57" s="25"/>
      <c r="F57" s="25"/>
      <c r="G57" s="25"/>
      <c r="H57" s="25" t="str">
        <f aca="false">IF(OR(D57="",E57="",F57="",G57=""),"",IF(OR(D57="Poor",E57="Poor",F57="Poor",G57="Poor"),"Poor",IF(OR(D57="Fair",E57="Fair",F57="Fair",G57="Fair"),"Fair","Good")))</f>
        <v/>
      </c>
      <c r="I57" s="26"/>
      <c r="J57" s="26"/>
      <c r="K57" s="36"/>
    </row>
    <row r="58" customFormat="false" ht="15" hidden="false" customHeight="false" outlineLevel="0" collapsed="false">
      <c r="A58" s="23"/>
      <c r="B58" s="35"/>
      <c r="C58" s="23"/>
      <c r="D58" s="23"/>
      <c r="E58" s="23"/>
      <c r="F58" s="23"/>
      <c r="G58" s="23"/>
      <c r="H58" s="23" t="str">
        <f aca="false">IF(OR(D58="",E58="",F58="",G58=""),"",IF(OR(D58="Poor",E58="Poor",F58="Poor",G58="Poor"),"Poor",IF(OR(D58="Fair",E58="Fair",F58="Fair",G58="Fair"),"Fair","Good")))</f>
        <v/>
      </c>
      <c r="I58" s="24"/>
      <c r="J58" s="24"/>
      <c r="K58" s="35"/>
    </row>
    <row r="59" customFormat="false" ht="15" hidden="false" customHeight="false" outlineLevel="0" collapsed="false">
      <c r="A59" s="25"/>
      <c r="B59" s="36"/>
      <c r="C59" s="25"/>
      <c r="D59" s="25"/>
      <c r="E59" s="25"/>
      <c r="F59" s="25"/>
      <c r="G59" s="25"/>
      <c r="H59" s="25" t="str">
        <f aca="false">IF(OR(D59="",E59="",F59="",G59=""),"",IF(OR(D59="Poor",E59="Poor",F59="Poor",G59="Poor"),"Poor",IF(OR(D59="Fair",E59="Fair",F59="Fair",G59="Fair"),"Fair","Good")))</f>
        <v/>
      </c>
      <c r="I59" s="26"/>
      <c r="J59" s="26"/>
      <c r="K59" s="36"/>
    </row>
    <row r="60" customFormat="false" ht="15" hidden="false" customHeight="false" outlineLevel="0" collapsed="false">
      <c r="A60" s="23"/>
      <c r="B60" s="35"/>
      <c r="C60" s="23"/>
      <c r="D60" s="23"/>
      <c r="E60" s="23"/>
      <c r="F60" s="23"/>
      <c r="G60" s="23"/>
      <c r="H60" s="23" t="str">
        <f aca="false">IF(OR(D60="",E60="",F60="",G60=""),"",IF(OR(D60="Poor",E60="Poor",F60="Poor",G60="Poor"),"Poor",IF(OR(D60="Fair",E60="Fair",F60="Fair",G60="Fair"),"Fair","Good")))</f>
        <v/>
      </c>
      <c r="I60" s="24"/>
      <c r="J60" s="24"/>
      <c r="K60" s="35"/>
    </row>
    <row r="61" customFormat="false" ht="15" hidden="false" customHeight="false" outlineLevel="0" collapsed="false">
      <c r="A61" s="25"/>
      <c r="B61" s="36"/>
      <c r="C61" s="25"/>
      <c r="D61" s="25"/>
      <c r="E61" s="25"/>
      <c r="F61" s="25"/>
      <c r="G61" s="25"/>
      <c r="H61" s="25" t="str">
        <f aca="false">IF(OR(D61="",E61="",F61="",G61=""),"",IF(OR(D61="Poor",E61="Poor",F61="Poor",G61="Poor"),"Poor",IF(OR(D61="Fair",E61="Fair",F61="Fair",G61="Fair"),"Fair","Good")))</f>
        <v/>
      </c>
      <c r="I61" s="26"/>
      <c r="J61" s="26"/>
      <c r="K61" s="36"/>
    </row>
    <row r="62" customFormat="false" ht="15" hidden="false" customHeight="false" outlineLevel="0" collapsed="false">
      <c r="A62" s="23"/>
      <c r="B62" s="35"/>
      <c r="C62" s="23"/>
      <c r="D62" s="23"/>
      <c r="E62" s="23"/>
      <c r="F62" s="23"/>
      <c r="G62" s="23"/>
      <c r="H62" s="23" t="str">
        <f aca="false">IF(OR(D62="",E62="",F62="",G62=""),"",IF(OR(D62="Poor",E62="Poor",F62="Poor",G62="Poor"),"Poor",IF(OR(D62="Fair",E62="Fair",F62="Fair",G62="Fair"),"Fair","Good")))</f>
        <v/>
      </c>
      <c r="I62" s="24"/>
      <c r="J62" s="24"/>
      <c r="K62" s="35"/>
    </row>
    <row r="63" customFormat="false" ht="15" hidden="false" customHeight="false" outlineLevel="0" collapsed="false">
      <c r="A63" s="25"/>
      <c r="B63" s="36"/>
      <c r="C63" s="25"/>
      <c r="D63" s="25"/>
      <c r="E63" s="25"/>
      <c r="F63" s="25"/>
      <c r="G63" s="25"/>
      <c r="H63" s="25" t="str">
        <f aca="false">IF(OR(D63="",E63="",F63="",G63=""),"",IF(OR(D63="Poor",E63="Poor",F63="Poor",G63="Poor"),"Poor",IF(OR(D63="Fair",E63="Fair",F63="Fair",G63="Fair"),"Fair","Good")))</f>
        <v/>
      </c>
      <c r="I63" s="26"/>
      <c r="J63" s="26"/>
      <c r="K63" s="36"/>
    </row>
    <row r="64" customFormat="false" ht="15" hidden="false" customHeight="false" outlineLevel="0" collapsed="false">
      <c r="A64" s="23"/>
      <c r="B64" s="35"/>
      <c r="C64" s="23"/>
      <c r="D64" s="23"/>
      <c r="E64" s="23"/>
      <c r="F64" s="23"/>
      <c r="G64" s="23"/>
      <c r="H64" s="23" t="str">
        <f aca="false">IF(OR(D64="",E64="",F64="",G64=""),"",IF(OR(D64="Poor",E64="Poor",F64="Poor",G64="Poor"),"Poor",IF(OR(D64="Fair",E64="Fair",F64="Fair",G64="Fair"),"Fair","Good")))</f>
        <v/>
      </c>
      <c r="I64" s="24"/>
      <c r="J64" s="24"/>
      <c r="K64" s="35"/>
    </row>
    <row r="65" customFormat="false" ht="15" hidden="false" customHeight="false" outlineLevel="0" collapsed="false">
      <c r="A65" s="25"/>
      <c r="B65" s="36"/>
      <c r="C65" s="25"/>
      <c r="D65" s="25"/>
      <c r="E65" s="25"/>
      <c r="F65" s="25"/>
      <c r="G65" s="25"/>
      <c r="H65" s="25" t="str">
        <f aca="false">IF(OR(D65="",E65="",F65="",G65=""),"",IF(OR(D65="Poor",E65="Poor",F65="Poor",G65="Poor"),"Poor",IF(OR(D65="Fair",E65="Fair",F65="Fair",G65="Fair"),"Fair","Good")))</f>
        <v/>
      </c>
      <c r="I65" s="26"/>
      <c r="J65" s="26"/>
      <c r="K65" s="36"/>
    </row>
    <row r="66" customFormat="false" ht="15" hidden="false" customHeight="false" outlineLevel="0" collapsed="false">
      <c r="A66" s="23"/>
      <c r="B66" s="35"/>
      <c r="C66" s="23"/>
      <c r="D66" s="23"/>
      <c r="E66" s="23"/>
      <c r="F66" s="23"/>
      <c r="G66" s="23"/>
      <c r="H66" s="23" t="str">
        <f aca="false">IF(OR(D66="",E66="",F66="",G66=""),"",IF(OR(D66="Poor",E66="Poor",F66="Poor",G66="Poor"),"Poor",IF(OR(D66="Fair",E66="Fair",F66="Fair",G66="Fair"),"Fair","Good")))</f>
        <v/>
      </c>
      <c r="I66" s="24"/>
      <c r="J66" s="24"/>
      <c r="K66" s="35"/>
    </row>
    <row r="67" customFormat="false" ht="15" hidden="false" customHeight="false" outlineLevel="0" collapsed="false">
      <c r="A67" s="25"/>
      <c r="B67" s="36"/>
      <c r="C67" s="25"/>
      <c r="D67" s="25"/>
      <c r="E67" s="25"/>
      <c r="F67" s="25"/>
      <c r="G67" s="25"/>
      <c r="H67" s="25" t="str">
        <f aca="false">IF(OR(D67="",E67="",F67="",G67=""),"",IF(OR(D67="Poor",E67="Poor",F67="Poor",G67="Poor"),"Poor",IF(OR(D67="Fair",E67="Fair",F67="Fair",G67="Fair"),"Fair","Good")))</f>
        <v/>
      </c>
      <c r="I67" s="26"/>
      <c r="J67" s="26"/>
      <c r="K67" s="36"/>
    </row>
    <row r="68" customFormat="false" ht="15" hidden="false" customHeight="false" outlineLevel="0" collapsed="false">
      <c r="A68" s="23"/>
      <c r="B68" s="35"/>
      <c r="C68" s="23"/>
      <c r="D68" s="23"/>
      <c r="E68" s="23"/>
      <c r="F68" s="23"/>
      <c r="G68" s="23"/>
      <c r="H68" s="23" t="str">
        <f aca="false">IF(OR(D68="",E68="",F68="",G68=""),"",IF(OR(D68="Poor",E68="Poor",F68="Poor",G68="Poor"),"Poor",IF(OR(D68="Fair",E68="Fair",F68="Fair",G68="Fair"),"Fair","Good")))</f>
        <v/>
      </c>
      <c r="I68" s="24"/>
      <c r="J68" s="24"/>
      <c r="K68" s="35"/>
    </row>
    <row r="69" customFormat="false" ht="15" hidden="false" customHeight="false" outlineLevel="0" collapsed="false">
      <c r="A69" s="25"/>
      <c r="B69" s="36"/>
      <c r="C69" s="25"/>
      <c r="D69" s="25"/>
      <c r="E69" s="25"/>
      <c r="F69" s="25"/>
      <c r="G69" s="25"/>
      <c r="H69" s="25" t="str">
        <f aca="false">IF(OR(D69="",E69="",F69="",G69=""),"",IF(OR(D69="Poor",E69="Poor",F69="Poor",G69="Poor"),"Poor",IF(OR(D69="Fair",E69="Fair",F69="Fair",G69="Fair"),"Fair","Good")))</f>
        <v/>
      </c>
      <c r="I69" s="26"/>
      <c r="J69" s="26"/>
      <c r="K69" s="36"/>
    </row>
    <row r="70" customFormat="false" ht="15" hidden="false" customHeight="false" outlineLevel="0" collapsed="false">
      <c r="A70" s="23"/>
      <c r="B70" s="35"/>
      <c r="C70" s="23"/>
      <c r="D70" s="23"/>
      <c r="E70" s="23"/>
      <c r="F70" s="23"/>
      <c r="G70" s="23"/>
      <c r="H70" s="23" t="str">
        <f aca="false">IF(OR(D70="",E70="",F70="",G70=""),"",IF(OR(D70="Poor",E70="Poor",F70="Poor",G70="Poor"),"Poor",IF(OR(D70="Fair",E70="Fair",F70="Fair",G70="Fair"),"Fair","Good")))</f>
        <v/>
      </c>
      <c r="I70" s="24"/>
      <c r="J70" s="24"/>
      <c r="K70" s="35"/>
    </row>
    <row r="71" customFormat="false" ht="15" hidden="false" customHeight="false" outlineLevel="0" collapsed="false">
      <c r="A71" s="25"/>
      <c r="B71" s="36"/>
      <c r="C71" s="25"/>
      <c r="D71" s="25"/>
      <c r="E71" s="25"/>
      <c r="F71" s="25"/>
      <c r="G71" s="25"/>
      <c r="H71" s="25" t="str">
        <f aca="false">IF(OR(D71="",E71="",F71="",G71=""),"",IF(OR(D71="Poor",E71="Poor",F71="Poor",G71="Poor"),"Poor",IF(OR(D71="Fair",E71="Fair",F71="Fair",G71="Fair"),"Fair","Good")))</f>
        <v/>
      </c>
      <c r="I71" s="26"/>
      <c r="J71" s="26"/>
      <c r="K71" s="36"/>
    </row>
    <row r="72" customFormat="false" ht="15" hidden="false" customHeight="false" outlineLevel="0" collapsed="false">
      <c r="A72" s="23"/>
      <c r="B72" s="35"/>
      <c r="C72" s="23"/>
      <c r="D72" s="23"/>
      <c r="E72" s="23"/>
      <c r="F72" s="23"/>
      <c r="G72" s="23"/>
      <c r="H72" s="23" t="str">
        <f aca="false">IF(OR(D72="",E72="",F72="",G72=""),"",IF(OR(D72="Poor",E72="Poor",F72="Poor",G72="Poor"),"Poor",IF(OR(D72="Fair",E72="Fair",F72="Fair",G72="Fair"),"Fair","Good")))</f>
        <v/>
      </c>
      <c r="I72" s="24"/>
      <c r="J72" s="24"/>
      <c r="K72" s="35"/>
    </row>
    <row r="73" customFormat="false" ht="15" hidden="false" customHeight="false" outlineLevel="0" collapsed="false">
      <c r="A73" s="25"/>
      <c r="B73" s="36"/>
      <c r="C73" s="25"/>
      <c r="D73" s="25"/>
      <c r="E73" s="25"/>
      <c r="F73" s="25"/>
      <c r="G73" s="25"/>
      <c r="H73" s="25" t="str">
        <f aca="false">IF(OR(D73="",E73="",F73="",G73=""),"",IF(OR(D73="Poor",E73="Poor",F73="Poor",G73="Poor"),"Poor",IF(OR(D73="Fair",E73="Fair",F73="Fair",G73="Fair"),"Fair","Good")))</f>
        <v/>
      </c>
      <c r="I73" s="26"/>
      <c r="J73" s="26"/>
      <c r="K73" s="36"/>
    </row>
    <row r="74" customFormat="false" ht="15" hidden="false" customHeight="false" outlineLevel="0" collapsed="false">
      <c r="A74" s="23"/>
      <c r="B74" s="35"/>
      <c r="C74" s="23"/>
      <c r="D74" s="23"/>
      <c r="E74" s="23"/>
      <c r="F74" s="23"/>
      <c r="G74" s="23"/>
      <c r="H74" s="23" t="str">
        <f aca="false">IF(OR(D74="",E74="",F74="",G74=""),"",IF(OR(D74="Poor",E74="Poor",F74="Poor",G74="Poor"),"Poor",IF(OR(D74="Fair",E74="Fair",F74="Fair",G74="Fair"),"Fair","Good")))</f>
        <v/>
      </c>
      <c r="I74" s="24"/>
      <c r="J74" s="24"/>
      <c r="K74" s="35"/>
    </row>
    <row r="75" customFormat="false" ht="15" hidden="false" customHeight="false" outlineLevel="0" collapsed="false">
      <c r="A75" s="25"/>
      <c r="B75" s="36"/>
      <c r="C75" s="25"/>
      <c r="D75" s="25"/>
      <c r="E75" s="25"/>
      <c r="F75" s="25"/>
      <c r="G75" s="25"/>
      <c r="H75" s="25" t="str">
        <f aca="false">IF(OR(D75="",E75="",F75="",G75=""),"",IF(OR(D75="Poor",E75="Poor",F75="Poor",G75="Poor"),"Poor",IF(OR(D75="Fair",E75="Fair",F75="Fair",G75="Fair"),"Fair","Good")))</f>
        <v/>
      </c>
      <c r="I75" s="26"/>
      <c r="J75" s="26"/>
      <c r="K75" s="36"/>
    </row>
    <row r="76" customFormat="false" ht="15" hidden="false" customHeight="false" outlineLevel="0" collapsed="false">
      <c r="A76" s="23"/>
      <c r="B76" s="35"/>
      <c r="C76" s="23"/>
      <c r="D76" s="23"/>
      <c r="E76" s="23"/>
      <c r="F76" s="23"/>
      <c r="G76" s="23"/>
      <c r="H76" s="23" t="str">
        <f aca="false">IF(OR(D76="",E76="",F76="",G76=""),"",IF(OR(D76="Poor",E76="Poor",F76="Poor",G76="Poor"),"Poor",IF(OR(D76="Fair",E76="Fair",F76="Fair",G76="Fair"),"Fair","Good")))</f>
        <v/>
      </c>
      <c r="I76" s="24"/>
      <c r="J76" s="24"/>
      <c r="K76" s="35"/>
    </row>
    <row r="77" customFormat="false" ht="15" hidden="false" customHeight="false" outlineLevel="0" collapsed="false">
      <c r="A77" s="25"/>
      <c r="B77" s="36"/>
      <c r="C77" s="25"/>
      <c r="D77" s="25"/>
      <c r="E77" s="25"/>
      <c r="F77" s="25"/>
      <c r="G77" s="25"/>
      <c r="H77" s="25" t="str">
        <f aca="false">IF(OR(D77="",E77="",F77="",G77=""),"",IF(OR(D77="Poor",E77="Poor",F77="Poor",G77="Poor"),"Poor",IF(OR(D77="Fair",E77="Fair",F77="Fair",G77="Fair"),"Fair","Good")))</f>
        <v/>
      </c>
      <c r="I77" s="26"/>
      <c r="J77" s="26"/>
      <c r="K77" s="36"/>
    </row>
  </sheetData>
  <autoFilter ref="A27:K526"/>
  <mergeCells count="3">
    <mergeCell ref="A1:K1"/>
    <mergeCell ref="A24:K24"/>
    <mergeCell ref="A25:C25"/>
  </mergeCells>
  <conditionalFormatting sqref="D28:G527">
    <cfRule type="cellIs" priority="2" operator="equal" aboveAverage="0" equalAverage="0" bottom="0" percent="0" rank="0" text="" dxfId="9">
      <formula>"Good"</formula>
    </cfRule>
    <cfRule type="cellIs" priority="3" operator="equal" aboveAverage="0" equalAverage="0" bottom="0" percent="0" rank="0" text="" dxfId="10">
      <formula>"Fair"</formula>
    </cfRule>
    <cfRule type="cellIs" priority="4" operator="equal" aboveAverage="0" equalAverage="0" bottom="0" percent="0" rank="0" text="" dxfId="11">
      <formula>"Poor"</formula>
    </cfRule>
  </conditionalFormatting>
  <conditionalFormatting sqref="H28:H527">
    <cfRule type="cellIs" priority="5" operator="equal" aboveAverage="0" equalAverage="0" bottom="0" percent="0" rank="0" text="" dxfId="9">
      <formula>"Good"</formula>
    </cfRule>
    <cfRule type="cellIs" priority="6" operator="equal" aboveAverage="0" equalAverage="0" bottom="0" percent="0" rank="0" text="" dxfId="10">
      <formula>"Fair"</formula>
    </cfRule>
    <cfRule type="cellIs" priority="7" operator="equal" aboveAverage="0" equalAverage="0" bottom="0" percent="0" rank="0" text="" dxfId="11">
      <formula>"Poor"</formula>
    </cfRule>
  </conditionalFormatting>
  <dataValidations count="4">
    <dataValidation allowBlank="true" errorStyle="stop" operator="between" showDropDown="false" showErrorMessage="false" showInputMessage="false" sqref="C3:C22" type="list">
      <formula1>"A,B,C,U"</formula1>
      <formula2>0</formula2>
    </dataValidation>
    <dataValidation allowBlank="true" errorStyle="stop" operator="between" showDropDown="false" showErrorMessage="false" showInputMessage="false" sqref="G3:G22" type="list">
      <formula1>"Yes,No"</formula1>
      <formula2>0</formula2>
    </dataValidation>
    <dataValidation allowBlank="true" errorStyle="stop" operator="between" showDropDown="false" showErrorMessage="false" showInputMessage="false" sqref="I3:I22" type="list">
      <formula1>"Good,Fair,Poor,Dead"</formula1>
      <formula2>0</formula2>
    </dataValidation>
    <dataValidation allowBlank="true" errorStyle="stop" operator="between" showDropDown="false" showErrorMessage="false" showInputMessage="false" sqref="D28:G527" type="list">
      <formula1>"Good,Fair,Poor,N/A"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&amp;CTree Protection Inspection Record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108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109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110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111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112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113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114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115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2026-03-23T07:01:00Z</dcterms:created>
  <dc:creator>Ebrora Ltd</dc:creator>
  <dc:description>Record tree protection measures and track inspection results per BS 5837:2012 for retained trees on UK construction sites.
Free professional construction management template from Ebrora Ltd. Visit ebrora.com for our full range of tools and templates.</dc:description>
  <cp:keywords>Ebrora construction tree protection BS 5837 TPZ RPA arboriculture inspection environmental</cp:keywords>
  <dc:language>en-US</dc:language>
  <cp:lastModifiedBy>Ebrora Ltd</cp:lastModifiedBy>
  <dcterms:modified xsi:type="dcterms:W3CDTF">2026-03-23T07:01:00Z</dcterms:modified>
  <cp:revision>0</cp:revision>
  <dc:subject>Record tree protection measures and track inspection results per BS 5837:2012 for retained trees on construction sites.</dc:subject>
  <dc:title>Tree Protection Inspection Record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