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Toolbox Talk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'Toolbox Talk Register'!$A$1:$L$60</definedName>
    <definedName function="false" hidden="true" localSheetId="2" name="_xlnm._FilterDatabase" vbProcedure="false">'Toolbox Talk Register'!$A$10:$L$510</definedName>
    <definedName function="false" hidden="false" name="TBTRegister" vbProcedure="false">'Toolbox Talk Register'!$A$10:$L$510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<sst xmlns="http://schemas.openxmlformats.org/spreadsheetml/2006/main" count="103" uniqueCount="95">
  <si>
    <t xml:space="preserve">EBRORA</t>
  </si>
  <si>
    <t xml:space="preserve">ebrora.com</t>
  </si>
  <si>
    <t xml:space="preserve">Toolbox Talk Attendance Register</t>
  </si>
  <si>
    <t xml:space="preserve">Record toolbox talk topics, presenters, and attendee sign-off in a running log.</t>
  </si>
  <si>
    <t xml:space="preserve">Track attendance rates and identify personnel who have missed mandatory briefings.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</si>
  <si>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</si>
  <si>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</si>
  <si>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</si>
  <si>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</si>
  <si>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</si>
  <si>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'Toolbox Talk Register' sheet. The top dashboard shows total talks delivered and attendance statistics.</t>
  </si>
  <si>
    <t xml:space="preserve">2.</t>
  </si>
  <si>
    <t xml:space="preserve">Log each toolbox talk as a new row. Enter the talk reference, date, topic, category (H&amp;S, Environmental, Quality, etc.), and presenter.</t>
  </si>
  <si>
    <t xml:space="preserve">3.</t>
  </si>
  <si>
    <t xml:space="preserve">Record the number of attendees and total site headcount at the time. The attendance rate auto-calculates.</t>
  </si>
  <si>
    <t xml:space="preserve">4.</t>
  </si>
  <si>
    <t xml:space="preserve">Expand the optional columns to list individual attendees, record key discussion points, and note any actions arising.</t>
  </si>
  <si>
    <t xml:space="preserve">5.</t>
  </si>
  <si>
    <t xml:space="preserve">Attendance rates below 80% turn amber. Below 60% turns red — consider re-running the talk for those who missed it.</t>
  </si>
  <si>
    <t xml:space="preserve">6.</t>
  </si>
  <si>
    <t xml:space="preserve">The dashboard counts talks by category and calculates average attendance rate across all talks.</t>
  </si>
  <si>
    <t xml:space="preserve">7.</t>
  </si>
  <si>
    <t xml:space="preserve">File completed registers in the site H&amp;S file. CDM Regulations require evidence of workforce engagement.</t>
  </si>
  <si>
    <t xml:space="preserve">Colour Key</t>
  </si>
  <si>
    <t xml:space="preserve">Light teal — user input / editable</t>
  </si>
  <si>
    <t xml:space="preserve">  </t>
  </si>
  <si>
    <t xml:space="preserve">Dark navy — headers</t>
  </si>
  <si>
    <t xml:space="preserve">Green — attendance ≥80%</t>
  </si>
  <si>
    <t xml:space="preserve">Amber — attendance 60-80%</t>
  </si>
  <si>
    <t xml:space="preserve">Red — attendance &lt;60%</t>
  </si>
  <si>
    <t xml:space="preserve">Tips</t>
  </si>
  <si>
    <t xml:space="preserve">•</t>
  </si>
  <si>
    <t xml:space="preserve">Deliver toolbox talks at shift start when attendance is highest. Avoid end-of-day — people are already leaving.</t>
  </si>
  <si>
    <t xml:space="preserve">Keep talks to 10-15 minutes. Use visual aids (photos of hazards, near misses) for maximum impact.</t>
  </si>
  <si>
    <t xml:space="preserve">Vary your topics monthly. Cover seasonal risks: heat stress in summer, slips/trips in winter, wind in autumn.</t>
  </si>
  <si>
    <t xml:space="preserve">TOOLBOX TALK ATTENDANCE REGISTER</t>
  </si>
  <si>
    <t xml:space="preserve">Talks by Category</t>
  </si>
  <si>
    <t xml:space="preserve">Attendance Metrics</t>
  </si>
  <si>
    <t xml:space="preserve">Health &amp; Safety</t>
  </si>
  <si>
    <t xml:space="preserve">Avg Attendance Rate:</t>
  </si>
  <si>
    <t xml:space="preserve">Environmental</t>
  </si>
  <si>
    <t xml:space="preserve">Total Attendances:</t>
  </si>
  <si>
    <t xml:space="preserve">Quality</t>
  </si>
  <si>
    <t xml:space="preserve">Welfare / Wellbeing</t>
  </si>
  <si>
    <t xml:space="preserve">TOTAL TALKS</t>
  </si>
  <si>
    <t xml:space="preserve">TALK LOG</t>
  </si>
  <si>
    <t xml:space="preserve">Ref</t>
  </si>
  <si>
    <t xml:space="preserve">Date</t>
  </si>
  <si>
    <t xml:space="preserve">Topic</t>
  </si>
  <si>
    <t xml:space="preserve">Duration (min)</t>
  </si>
  <si>
    <t xml:space="preserve">Category</t>
  </si>
  <si>
    <t xml:space="preserve">Attendees</t>
  </si>
  <si>
    <t xml:space="preserve">Site Headcount</t>
  </si>
  <si>
    <t xml:space="preserve">Attendance %</t>
  </si>
  <si>
    <t xml:space="preserve">Presenter</t>
  </si>
  <si>
    <t xml:space="preserve">Key Points</t>
  </si>
  <si>
    <t xml:space="preserve">Actions Arising</t>
  </si>
  <si>
    <t xml:space="preserve">Attendee List</t>
  </si>
  <si>
    <t xml:space="preserve">TBT-001</t>
  </si>
  <si>
    <t xml:space="preserve">Working at Height — ladder safety and 3-point contact</t>
  </si>
  <si>
    <t xml:space="preserve">J. Williams</t>
  </si>
  <si>
    <t xml:space="preserve">Demo of correct ladder use. Common faults discussed.</t>
  </si>
  <si>
    <t xml:space="preserve">Check all ladders on site for condition — report defects to stores.</t>
  </si>
  <si>
    <t xml:space="preserve">Williams, Khan, Davies, Osei, Murphy + 13 others</t>
  </si>
  <si>
    <t xml:space="preserve">TBT-002</t>
  </si>
  <si>
    <t xml:space="preserve">Dust suppression and air quality during dry weather</t>
  </si>
  <si>
    <t xml:space="preserve">M. Okafor</t>
  </si>
  <si>
    <t xml:space="preserve">Water bowser schedule, face masks for cutting. PPG6 requirements.</t>
  </si>
  <si>
    <t xml:space="preserve">Deploy additional water bowser to Phase 2.</t>
  </si>
  <si>
    <t xml:space="preserve">Full attendance list on file</t>
  </si>
  <si>
    <t xml:space="preserve">TBT-003</t>
  </si>
  <si>
    <t xml:space="preserve">Manual handling refresher — back injury prevention</t>
  </si>
  <si>
    <t xml:space="preserve">Correct lifting technique demo. Use of mechanical aids.</t>
  </si>
  <si>
    <t xml:space="preserve">Order 2x additional sack barrows for stores.</t>
  </si>
  <si>
    <t xml:space="preserve">16 attendees — 8 absent (night shift)</t>
  </si>
  <si>
    <t xml:space="preserve">TBT-004</t>
  </si>
  <si>
    <t xml:space="preserve">Excavation safety — trench support and edge protection</t>
  </si>
  <si>
    <t xml:space="preserve">T. Henderson</t>
  </si>
  <si>
    <t xml:space="preserve">Trench box demo. Spoil management. Banksman requirements.</t>
  </si>
  <si>
    <t xml:space="preserve">Near full attendance</t>
  </si>
  <si>
    <t xml:space="preserve">TBT-005</t>
  </si>
  <si>
    <t xml:space="preserve">Mental health awareness — site wellbeing</t>
  </si>
  <si>
    <t xml:space="preserve">K. Singh</t>
  </si>
  <si>
    <t xml:space="preserve">Mates in Mind resources. Signposting to support services.</t>
  </si>
  <si>
    <t xml:space="preserve">Pin wellbeing poster in welfare cabin.</t>
  </si>
  <si>
    <t xml:space="preserve">14 attendees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</si>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</sst>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6"/>
      <color rgb="FF2AABB3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2AABB3"/>
      </top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AABB3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true" outlineLevel="1" max="12" min="10" style="0" width="30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15" hidden="false" customHeight="true" outlineLevel="0" collapsed="false">
      <c r="A2" s="22" t="s">
        <v>36</v>
      </c>
      <c r="B2" s="22"/>
      <c r="C2" s="22"/>
      <c r="D2" s="22"/>
      <c r="F2" s="22" t="s">
        <v>37</v>
      </c>
      <c r="G2" s="22"/>
      <c r="H2" s="22"/>
    </row>
    <row r="3" customFormat="false" ht="20.85" hidden="false" customHeight="false" outlineLevel="0" collapsed="false">
      <c r="A3" s="23" t="s">
        <v>38</v>
      </c>
      <c r="B3" s="23"/>
      <c r="C3" s="23"/>
      <c r="D3" s="24" t="n">
        <f aca="false">COUNTIF(E11:E510,A3)</f>
        <v>3</v>
      </c>
      <c r="F3" s="15" t="s">
        <v>39</v>
      </c>
      <c r="G3" s="15"/>
      <c r="H3" s="25" t="n">
        <f aca="false">IF(COUNTA(H11:H510)&gt;0,AVERAGE(H11:H510),0)</f>
        <v>0.789393939393939</v>
      </c>
    </row>
    <row r="4" customFormat="false" ht="15" hidden="false" customHeight="false" outlineLevel="0" collapsed="false">
      <c r="A4" s="23" t="s">
        <v>40</v>
      </c>
      <c r="B4" s="23"/>
      <c r="C4" s="23"/>
      <c r="D4" s="24" t="n">
        <f aca="false">COUNTIF(E11:E510,A4)</f>
        <v>1</v>
      </c>
      <c r="F4" s="15" t="s">
        <v>41</v>
      </c>
      <c r="G4" s="15"/>
      <c r="H4" s="26" t="n">
        <f aca="false">SUM(F11:F510)</f>
        <v>90</v>
      </c>
    </row>
    <row r="5" customFormat="false" ht="15" hidden="false" customHeight="false" outlineLevel="0" collapsed="false">
      <c r="A5" s="23" t="s">
        <v>42</v>
      </c>
      <c r="B5" s="23"/>
      <c r="C5" s="23"/>
      <c r="D5" s="24" t="n">
        <f aca="false">COUNTIF(E11:E510,A5)</f>
        <v>0</v>
      </c>
    </row>
    <row r="6" customFormat="false" ht="15" hidden="false" customHeight="false" outlineLevel="0" collapsed="false">
      <c r="A6" s="23" t="s">
        <v>43</v>
      </c>
      <c r="B6" s="23"/>
      <c r="C6" s="23"/>
      <c r="D6" s="24" t="n">
        <f aca="false">COUNTIF(E11:E510,A6)</f>
        <v>1</v>
      </c>
    </row>
    <row r="7" customFormat="false" ht="15" hidden="false" customHeight="false" outlineLevel="0" collapsed="false">
      <c r="A7" s="27" t="s">
        <v>44</v>
      </c>
      <c r="B7" s="27"/>
      <c r="C7" s="27"/>
      <c r="D7" s="28" t="n">
        <f aca="false">COUNTA(A11:A510)</f>
        <v>5</v>
      </c>
    </row>
    <row r="8" customFormat="false" ht="6" hidden="false" customHeight="true" outlineLevel="0" collapsed="false"/>
    <row r="9" customFormat="false" ht="25.5" hidden="false" customHeight="true" outlineLevel="0" collapsed="false">
      <c r="A9" s="29" t="s">
        <v>45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customFormat="false" ht="41.75" hidden="false" customHeight="false" outlineLevel="0" collapsed="false">
      <c r="A10" s="30" t="s">
        <v>46</v>
      </c>
      <c r="B10" s="30" t="s">
        <v>47</v>
      </c>
      <c r="C10" s="30" t="s">
        <v>48</v>
      </c>
      <c r="D10" s="30" t="s">
        <v>49</v>
      </c>
      <c r="E10" s="30" t="s">
        <v>50</v>
      </c>
      <c r="F10" s="30" t="s">
        <v>51</v>
      </c>
      <c r="G10" s="30" t="s">
        <v>52</v>
      </c>
      <c r="H10" s="30" t="s">
        <v>53</v>
      </c>
      <c r="I10" s="30" t="s">
        <v>54</v>
      </c>
      <c r="J10" s="30" t="s">
        <v>55</v>
      </c>
      <c r="K10" s="30" t="s">
        <v>56</v>
      </c>
      <c r="L10" s="30" t="s">
        <v>57</v>
      </c>
    </row>
    <row r="11" customFormat="false" ht="39.75" hidden="false" customHeight="true" outlineLevel="0" collapsed="false">
      <c r="A11" s="31" t="s">
        <v>58</v>
      </c>
      <c r="B11" s="32" t="n">
        <v>46083</v>
      </c>
      <c r="C11" s="33" t="s">
        <v>59</v>
      </c>
      <c r="D11" s="31" t="n">
        <v>15</v>
      </c>
      <c r="E11" s="31" t="s">
        <v>38</v>
      </c>
      <c r="F11" s="31" t="n">
        <v>18</v>
      </c>
      <c r="G11" s="31" t="n">
        <v>22</v>
      </c>
      <c r="H11" s="34" t="n">
        <f aca="false">IF(AND(F11&lt;&gt;"",G11&lt;&gt;"",G11&gt;0),F11/G11,"")</f>
        <v>0.818181818181818</v>
      </c>
      <c r="I11" s="31" t="s">
        <v>60</v>
      </c>
      <c r="J11" s="33" t="s">
        <v>61</v>
      </c>
      <c r="K11" s="33" t="s">
        <v>62</v>
      </c>
      <c r="L11" s="33" t="s">
        <v>63</v>
      </c>
    </row>
    <row r="12" customFormat="false" ht="39.75" hidden="false" customHeight="true" outlineLevel="0" collapsed="false">
      <c r="A12" s="35" t="s">
        <v>64</v>
      </c>
      <c r="B12" s="36" t="n">
        <v>46086</v>
      </c>
      <c r="C12" s="37" t="s">
        <v>65</v>
      </c>
      <c r="D12" s="35" t="n">
        <v>10</v>
      </c>
      <c r="E12" s="35" t="s">
        <v>40</v>
      </c>
      <c r="F12" s="35" t="n">
        <v>20</v>
      </c>
      <c r="G12" s="35" t="n">
        <v>22</v>
      </c>
      <c r="H12" s="34" t="n">
        <f aca="false">IF(AND(F12&lt;&gt;"",G12&lt;&gt;"",G12&gt;0),F12/G12,"")</f>
        <v>0.909090909090909</v>
      </c>
      <c r="I12" s="35" t="s">
        <v>66</v>
      </c>
      <c r="J12" s="37" t="s">
        <v>67</v>
      </c>
      <c r="K12" s="37" t="s">
        <v>68</v>
      </c>
      <c r="L12" s="37" t="s">
        <v>69</v>
      </c>
    </row>
    <row r="13" customFormat="false" ht="39.75" hidden="false" customHeight="true" outlineLevel="0" collapsed="false">
      <c r="A13" s="31" t="s">
        <v>70</v>
      </c>
      <c r="B13" s="32" t="n">
        <v>46090</v>
      </c>
      <c r="C13" s="33" t="s">
        <v>71</v>
      </c>
      <c r="D13" s="31" t="n">
        <v>15</v>
      </c>
      <c r="E13" s="31" t="s">
        <v>38</v>
      </c>
      <c r="F13" s="31" t="n">
        <v>16</v>
      </c>
      <c r="G13" s="31" t="n">
        <v>24</v>
      </c>
      <c r="H13" s="34" t="n">
        <f aca="false">IF(AND(F13&lt;&gt;"",G13&lt;&gt;"",G13&gt;0),F13/G13,"")</f>
        <v>0.666666666666667</v>
      </c>
      <c r="I13" s="31" t="s">
        <v>60</v>
      </c>
      <c r="J13" s="33" t="s">
        <v>72</v>
      </c>
      <c r="K13" s="33" t="s">
        <v>73</v>
      </c>
      <c r="L13" s="33" t="s">
        <v>74</v>
      </c>
    </row>
    <row r="14" customFormat="false" ht="39.75" hidden="false" customHeight="true" outlineLevel="0" collapsed="false">
      <c r="A14" s="35" t="s">
        <v>75</v>
      </c>
      <c r="B14" s="36" t="n">
        <v>46093</v>
      </c>
      <c r="C14" s="37" t="s">
        <v>76</v>
      </c>
      <c r="D14" s="35" t="n">
        <v>15</v>
      </c>
      <c r="E14" s="35" t="s">
        <v>38</v>
      </c>
      <c r="F14" s="35" t="n">
        <v>22</v>
      </c>
      <c r="G14" s="35" t="n">
        <v>24</v>
      </c>
      <c r="H14" s="34" t="n">
        <f aca="false">IF(AND(F14&lt;&gt;"",G14&lt;&gt;"",G14&gt;0),F14/G14,"")</f>
        <v>0.916666666666667</v>
      </c>
      <c r="I14" s="35" t="s">
        <v>77</v>
      </c>
      <c r="J14" s="37" t="s">
        <v>78</v>
      </c>
      <c r="K14" s="37"/>
      <c r="L14" s="37" t="s">
        <v>79</v>
      </c>
    </row>
    <row r="15" customFormat="false" ht="39.75" hidden="false" customHeight="true" outlineLevel="0" collapsed="false">
      <c r="A15" s="31" t="s">
        <v>80</v>
      </c>
      <c r="B15" s="32" t="n">
        <v>46097</v>
      </c>
      <c r="C15" s="33" t="s">
        <v>81</v>
      </c>
      <c r="D15" s="31" t="n">
        <v>10</v>
      </c>
      <c r="E15" s="31" t="s">
        <v>43</v>
      </c>
      <c r="F15" s="31" t="n">
        <v>14</v>
      </c>
      <c r="G15" s="31" t="n">
        <v>22</v>
      </c>
      <c r="H15" s="34" t="n">
        <f aca="false">IF(AND(F15&lt;&gt;"",G15&lt;&gt;"",G15&gt;0),F15/G15,"")</f>
        <v>0.636363636363636</v>
      </c>
      <c r="I15" s="31" t="s">
        <v>82</v>
      </c>
      <c r="J15" s="33" t="s">
        <v>83</v>
      </c>
      <c r="K15" s="33" t="s">
        <v>84</v>
      </c>
      <c r="L15" s="33" t="s">
        <v>85</v>
      </c>
    </row>
    <row r="16" customFormat="false" ht="15" hidden="false" customHeight="false" outlineLevel="0" collapsed="false">
      <c r="A16" s="35"/>
      <c r="B16" s="36"/>
      <c r="C16" s="37"/>
      <c r="D16" s="35"/>
      <c r="E16" s="35"/>
      <c r="F16" s="35"/>
      <c r="G16" s="35"/>
      <c r="H16" s="34" t="str">
        <f aca="false">IF(AND(F16&lt;&gt;"",G16&lt;&gt;"",G16&gt;0),F16/G16,"")</f>
        <v/>
      </c>
      <c r="I16" s="35"/>
      <c r="J16" s="37"/>
      <c r="K16" s="37"/>
      <c r="L16" s="37"/>
    </row>
    <row r="17" customFormat="false" ht="15" hidden="false" customHeight="false" outlineLevel="0" collapsed="false">
      <c r="A17" s="31"/>
      <c r="B17" s="32"/>
      <c r="C17" s="33"/>
      <c r="D17" s="31"/>
      <c r="E17" s="31"/>
      <c r="F17" s="31"/>
      <c r="G17" s="31"/>
      <c r="H17" s="34" t="str">
        <f aca="false">IF(AND(F17&lt;&gt;"",G17&lt;&gt;"",G17&gt;0),F17/G17,"")</f>
        <v/>
      </c>
      <c r="I17" s="31"/>
      <c r="J17" s="33"/>
      <c r="K17" s="33"/>
      <c r="L17" s="33"/>
    </row>
    <row r="18" customFormat="false" ht="15" hidden="false" customHeight="false" outlineLevel="0" collapsed="false">
      <c r="A18" s="35"/>
      <c r="B18" s="36"/>
      <c r="C18" s="37"/>
      <c r="D18" s="35"/>
      <c r="E18" s="35"/>
      <c r="F18" s="35"/>
      <c r="G18" s="35"/>
      <c r="H18" s="34" t="str">
        <f aca="false">IF(AND(F18&lt;&gt;"",G18&lt;&gt;"",G18&gt;0),F18/G18,"")</f>
        <v/>
      </c>
      <c r="I18" s="35"/>
      <c r="J18" s="37"/>
      <c r="K18" s="37"/>
      <c r="L18" s="37"/>
    </row>
    <row r="19" customFormat="false" ht="15" hidden="false" customHeight="false" outlineLevel="0" collapsed="false">
      <c r="A19" s="31"/>
      <c r="B19" s="32"/>
      <c r="C19" s="33"/>
      <c r="D19" s="31"/>
      <c r="E19" s="31"/>
      <c r="F19" s="31"/>
      <c r="G19" s="31"/>
      <c r="H19" s="34" t="str">
        <f aca="false">IF(AND(F19&lt;&gt;"",G19&lt;&gt;"",G19&gt;0),F19/G19,"")</f>
        <v/>
      </c>
      <c r="I19" s="31"/>
      <c r="J19" s="33"/>
      <c r="K19" s="33"/>
      <c r="L19" s="33"/>
    </row>
    <row r="20" customFormat="false" ht="15" hidden="false" customHeight="false" outlineLevel="0" collapsed="false">
      <c r="A20" s="35"/>
      <c r="B20" s="36"/>
      <c r="C20" s="37"/>
      <c r="D20" s="35"/>
      <c r="E20" s="35"/>
      <c r="F20" s="35"/>
      <c r="G20" s="35"/>
      <c r="H20" s="34" t="str">
        <f aca="false">IF(AND(F20&lt;&gt;"",G20&lt;&gt;"",G20&gt;0),F20/G20,"")</f>
        <v/>
      </c>
      <c r="I20" s="35"/>
      <c r="J20" s="37"/>
      <c r="K20" s="37"/>
      <c r="L20" s="37"/>
    </row>
    <row r="21" customFormat="false" ht="15" hidden="false" customHeight="false" outlineLevel="0" collapsed="false">
      <c r="A21" s="31"/>
      <c r="B21" s="32"/>
      <c r="C21" s="33"/>
      <c r="D21" s="31"/>
      <c r="E21" s="31"/>
      <c r="F21" s="31"/>
      <c r="G21" s="31"/>
      <c r="H21" s="34" t="str">
        <f aca="false">IF(AND(F21&lt;&gt;"",G21&lt;&gt;"",G21&gt;0),F21/G21,"")</f>
        <v/>
      </c>
      <c r="I21" s="31"/>
      <c r="J21" s="33"/>
      <c r="K21" s="33"/>
      <c r="L21" s="33"/>
    </row>
    <row r="22" customFormat="false" ht="15" hidden="false" customHeight="false" outlineLevel="0" collapsed="false">
      <c r="A22" s="35"/>
      <c r="B22" s="36"/>
      <c r="C22" s="37"/>
      <c r="D22" s="35"/>
      <c r="E22" s="35"/>
      <c r="F22" s="35"/>
      <c r="G22" s="35"/>
      <c r="H22" s="34" t="str">
        <f aca="false">IF(AND(F22&lt;&gt;"",G22&lt;&gt;"",G22&gt;0),F22/G22,"")</f>
        <v/>
      </c>
      <c r="I22" s="35"/>
      <c r="J22" s="37"/>
      <c r="K22" s="37"/>
      <c r="L22" s="37"/>
    </row>
    <row r="23" customFormat="false" ht="15" hidden="false" customHeight="false" outlineLevel="0" collapsed="false">
      <c r="A23" s="31"/>
      <c r="B23" s="32"/>
      <c r="C23" s="33"/>
      <c r="D23" s="31"/>
      <c r="E23" s="31"/>
      <c r="F23" s="31"/>
      <c r="G23" s="31"/>
      <c r="H23" s="34" t="str">
        <f aca="false">IF(AND(F23&lt;&gt;"",G23&lt;&gt;"",G23&gt;0),F23/G23,"")</f>
        <v/>
      </c>
      <c r="I23" s="31"/>
      <c r="J23" s="33"/>
      <c r="K23" s="33"/>
      <c r="L23" s="33"/>
    </row>
    <row r="24" customFormat="false" ht="15" hidden="false" customHeight="false" outlineLevel="0" collapsed="false">
      <c r="A24" s="35"/>
      <c r="B24" s="36"/>
      <c r="C24" s="37"/>
      <c r="D24" s="35"/>
      <c r="E24" s="35"/>
      <c r="F24" s="35"/>
      <c r="G24" s="35"/>
      <c r="H24" s="34" t="str">
        <f aca="false">IF(AND(F24&lt;&gt;"",G24&lt;&gt;"",G24&gt;0),F24/G24,"")</f>
        <v/>
      </c>
      <c r="I24" s="35"/>
      <c r="J24" s="37"/>
      <c r="K24" s="37"/>
      <c r="L24" s="37"/>
    </row>
    <row r="25" customFormat="false" ht="15" hidden="false" customHeight="false" outlineLevel="0" collapsed="false">
      <c r="A25" s="31"/>
      <c r="B25" s="32"/>
      <c r="C25" s="33"/>
      <c r="D25" s="31"/>
      <c r="E25" s="31"/>
      <c r="F25" s="31"/>
      <c r="G25" s="31"/>
      <c r="H25" s="34" t="str">
        <f aca="false">IF(AND(F25&lt;&gt;"",G25&lt;&gt;"",G25&gt;0),F25/G25,"")</f>
        <v/>
      </c>
      <c r="I25" s="31"/>
      <c r="J25" s="33"/>
      <c r="K25" s="33"/>
      <c r="L25" s="33"/>
    </row>
    <row r="26" customFormat="false" ht="15" hidden="false" customHeight="false" outlineLevel="0" collapsed="false">
      <c r="A26" s="35"/>
      <c r="B26" s="36"/>
      <c r="C26" s="37"/>
      <c r="D26" s="35"/>
      <c r="E26" s="35"/>
      <c r="F26" s="35"/>
      <c r="G26" s="35"/>
      <c r="H26" s="34" t="str">
        <f aca="false">IF(AND(F26&lt;&gt;"",G26&lt;&gt;"",G26&gt;0),F26/G26,"")</f>
        <v/>
      </c>
      <c r="I26" s="35"/>
      <c r="J26" s="37"/>
      <c r="K26" s="37"/>
      <c r="L26" s="37"/>
    </row>
    <row r="27" customFormat="false" ht="15" hidden="false" customHeight="false" outlineLevel="0" collapsed="false">
      <c r="A27" s="31"/>
      <c r="B27" s="32"/>
      <c r="C27" s="33"/>
      <c r="D27" s="31"/>
      <c r="E27" s="31"/>
      <c r="F27" s="31"/>
      <c r="G27" s="31"/>
      <c r="H27" s="34" t="str">
        <f aca="false">IF(AND(F27&lt;&gt;"",G27&lt;&gt;"",G27&gt;0),F27/G27,"")</f>
        <v/>
      </c>
      <c r="I27" s="31"/>
      <c r="J27" s="33"/>
      <c r="K27" s="33"/>
      <c r="L27" s="33"/>
    </row>
    <row r="28" customFormat="false" ht="15" hidden="false" customHeight="false" outlineLevel="0" collapsed="false">
      <c r="A28" s="35"/>
      <c r="B28" s="36"/>
      <c r="C28" s="37"/>
      <c r="D28" s="35"/>
      <c r="E28" s="35"/>
      <c r="F28" s="35"/>
      <c r="G28" s="35"/>
      <c r="H28" s="34" t="str">
        <f aca="false">IF(AND(F28&lt;&gt;"",G28&lt;&gt;"",G28&gt;0),F28/G28,"")</f>
        <v/>
      </c>
      <c r="I28" s="35"/>
      <c r="J28" s="37"/>
      <c r="K28" s="37"/>
      <c r="L28" s="37"/>
    </row>
    <row r="29" customFormat="false" ht="15" hidden="false" customHeight="false" outlineLevel="0" collapsed="false">
      <c r="A29" s="31"/>
      <c r="B29" s="32"/>
      <c r="C29" s="33"/>
      <c r="D29" s="31"/>
      <c r="E29" s="31"/>
      <c r="F29" s="31"/>
      <c r="G29" s="31"/>
      <c r="H29" s="34" t="str">
        <f aca="false">IF(AND(F29&lt;&gt;"",G29&lt;&gt;"",G29&gt;0),F29/G29,"")</f>
        <v/>
      </c>
      <c r="I29" s="31"/>
      <c r="J29" s="33"/>
      <c r="K29" s="33"/>
      <c r="L29" s="33"/>
    </row>
    <row r="30" customFormat="false" ht="15" hidden="false" customHeight="false" outlineLevel="0" collapsed="false">
      <c r="A30" s="35"/>
      <c r="B30" s="36"/>
      <c r="C30" s="37"/>
      <c r="D30" s="35"/>
      <c r="E30" s="35"/>
      <c r="F30" s="35"/>
      <c r="G30" s="35"/>
      <c r="H30" s="34" t="str">
        <f aca="false">IF(AND(F30&lt;&gt;"",G30&lt;&gt;"",G30&gt;0),F30/G30,"")</f>
        <v/>
      </c>
      <c r="I30" s="35"/>
      <c r="J30" s="37"/>
      <c r="K30" s="37"/>
      <c r="L30" s="37"/>
    </row>
    <row r="31" customFormat="false" ht="15" hidden="false" customHeight="false" outlineLevel="0" collapsed="false">
      <c r="A31" s="31"/>
      <c r="B31" s="32"/>
      <c r="C31" s="33"/>
      <c r="D31" s="31"/>
      <c r="E31" s="31"/>
      <c r="F31" s="31"/>
      <c r="G31" s="31"/>
      <c r="H31" s="34" t="str">
        <f aca="false">IF(AND(F31&lt;&gt;"",G31&lt;&gt;"",G31&gt;0),F31/G31,"")</f>
        <v/>
      </c>
      <c r="I31" s="31"/>
      <c r="J31" s="33"/>
      <c r="K31" s="33"/>
      <c r="L31" s="33"/>
    </row>
    <row r="32" customFormat="false" ht="15" hidden="false" customHeight="false" outlineLevel="0" collapsed="false">
      <c r="A32" s="35"/>
      <c r="B32" s="36"/>
      <c r="C32" s="37"/>
      <c r="D32" s="35"/>
      <c r="E32" s="35"/>
      <c r="F32" s="35"/>
      <c r="G32" s="35"/>
      <c r="H32" s="34" t="str">
        <f aca="false">IF(AND(F32&lt;&gt;"",G32&lt;&gt;"",G32&gt;0),F32/G32,"")</f>
        <v/>
      </c>
      <c r="I32" s="35"/>
      <c r="J32" s="37"/>
      <c r="K32" s="37"/>
      <c r="L32" s="37"/>
    </row>
    <row r="33" customFormat="false" ht="15" hidden="false" customHeight="false" outlineLevel="0" collapsed="false">
      <c r="A33" s="31"/>
      <c r="B33" s="32"/>
      <c r="C33" s="33"/>
      <c r="D33" s="31"/>
      <c r="E33" s="31"/>
      <c r="F33" s="31"/>
      <c r="G33" s="31"/>
      <c r="H33" s="34" t="str">
        <f aca="false">IF(AND(F33&lt;&gt;"",G33&lt;&gt;"",G33&gt;0),F33/G33,"")</f>
        <v/>
      </c>
      <c r="I33" s="31"/>
      <c r="J33" s="33"/>
      <c r="K33" s="33"/>
      <c r="L33" s="33"/>
    </row>
    <row r="34" customFormat="false" ht="15" hidden="false" customHeight="false" outlineLevel="0" collapsed="false">
      <c r="A34" s="35"/>
      <c r="B34" s="36"/>
      <c r="C34" s="37"/>
      <c r="D34" s="35"/>
      <c r="E34" s="35"/>
      <c r="F34" s="35"/>
      <c r="G34" s="35"/>
      <c r="H34" s="34" t="str">
        <f aca="false">IF(AND(F34&lt;&gt;"",G34&lt;&gt;"",G34&gt;0),F34/G34,"")</f>
        <v/>
      </c>
      <c r="I34" s="35"/>
      <c r="J34" s="37"/>
      <c r="K34" s="37"/>
      <c r="L34" s="37"/>
    </row>
    <row r="35" customFormat="false" ht="15" hidden="false" customHeight="false" outlineLevel="0" collapsed="false">
      <c r="A35" s="31"/>
      <c r="B35" s="32"/>
      <c r="C35" s="33"/>
      <c r="D35" s="31"/>
      <c r="E35" s="31"/>
      <c r="F35" s="31"/>
      <c r="G35" s="31"/>
      <c r="H35" s="34" t="str">
        <f aca="false">IF(AND(F35&lt;&gt;"",G35&lt;&gt;"",G35&gt;0),F35/G35,"")</f>
        <v/>
      </c>
      <c r="I35" s="31"/>
      <c r="J35" s="33"/>
      <c r="K35" s="33"/>
      <c r="L35" s="33"/>
    </row>
    <row r="36" customFormat="false" ht="15" hidden="false" customHeight="false" outlineLevel="0" collapsed="false">
      <c r="A36" s="35"/>
      <c r="B36" s="36"/>
      <c r="C36" s="37"/>
      <c r="D36" s="35"/>
      <c r="E36" s="35"/>
      <c r="F36" s="35"/>
      <c r="G36" s="35"/>
      <c r="H36" s="34" t="str">
        <f aca="false">IF(AND(F36&lt;&gt;"",G36&lt;&gt;"",G36&gt;0),F36/G36,"")</f>
        <v/>
      </c>
      <c r="I36" s="35"/>
      <c r="J36" s="37"/>
      <c r="K36" s="37"/>
      <c r="L36" s="37"/>
    </row>
    <row r="37" customFormat="false" ht="15" hidden="false" customHeight="false" outlineLevel="0" collapsed="false">
      <c r="A37" s="31"/>
      <c r="B37" s="32"/>
      <c r="C37" s="33"/>
      <c r="D37" s="31"/>
      <c r="E37" s="31"/>
      <c r="F37" s="31"/>
      <c r="G37" s="31"/>
      <c r="H37" s="34" t="str">
        <f aca="false">IF(AND(F37&lt;&gt;"",G37&lt;&gt;"",G37&gt;0),F37/G37,"")</f>
        <v/>
      </c>
      <c r="I37" s="31"/>
      <c r="J37" s="33"/>
      <c r="K37" s="33"/>
      <c r="L37" s="33"/>
    </row>
    <row r="38" customFormat="false" ht="15" hidden="false" customHeight="false" outlineLevel="0" collapsed="false">
      <c r="A38" s="35"/>
      <c r="B38" s="36"/>
      <c r="C38" s="37"/>
      <c r="D38" s="35"/>
      <c r="E38" s="35"/>
      <c r="F38" s="35"/>
      <c r="G38" s="35"/>
      <c r="H38" s="34" t="str">
        <f aca="false">IF(AND(F38&lt;&gt;"",G38&lt;&gt;"",G38&gt;0),F38/G38,"")</f>
        <v/>
      </c>
      <c r="I38" s="35"/>
      <c r="J38" s="37"/>
      <c r="K38" s="37"/>
      <c r="L38" s="37"/>
    </row>
    <row r="39" customFormat="false" ht="15" hidden="false" customHeight="false" outlineLevel="0" collapsed="false">
      <c r="A39" s="31"/>
      <c r="B39" s="32"/>
      <c r="C39" s="33"/>
      <c r="D39" s="31"/>
      <c r="E39" s="31"/>
      <c r="F39" s="31"/>
      <c r="G39" s="31"/>
      <c r="H39" s="34" t="str">
        <f aca="false">IF(AND(F39&lt;&gt;"",G39&lt;&gt;"",G39&gt;0),F39/G39,"")</f>
        <v/>
      </c>
      <c r="I39" s="31"/>
      <c r="J39" s="33"/>
      <c r="K39" s="33"/>
      <c r="L39" s="33"/>
    </row>
    <row r="40" customFormat="false" ht="15" hidden="false" customHeight="false" outlineLevel="0" collapsed="false">
      <c r="A40" s="35"/>
      <c r="B40" s="36"/>
      <c r="C40" s="37"/>
      <c r="D40" s="35"/>
      <c r="E40" s="35"/>
      <c r="F40" s="35"/>
      <c r="G40" s="35"/>
      <c r="H40" s="34" t="str">
        <f aca="false">IF(AND(F40&lt;&gt;"",G40&lt;&gt;"",G40&gt;0),F40/G40,"")</f>
        <v/>
      </c>
      <c r="I40" s="35"/>
      <c r="J40" s="37"/>
      <c r="K40" s="37"/>
      <c r="L40" s="37"/>
    </row>
    <row r="41" customFormat="false" ht="15" hidden="false" customHeight="false" outlineLevel="0" collapsed="false">
      <c r="A41" s="31"/>
      <c r="B41" s="32"/>
      <c r="C41" s="33"/>
      <c r="D41" s="31"/>
      <c r="E41" s="31"/>
      <c r="F41" s="31"/>
      <c r="G41" s="31"/>
      <c r="H41" s="34" t="str">
        <f aca="false">IF(AND(F41&lt;&gt;"",G41&lt;&gt;"",G41&gt;0),F41/G41,"")</f>
        <v/>
      </c>
      <c r="I41" s="31"/>
      <c r="J41" s="33"/>
      <c r="K41" s="33"/>
      <c r="L41" s="33"/>
    </row>
    <row r="42" customFormat="false" ht="15" hidden="false" customHeight="false" outlineLevel="0" collapsed="false">
      <c r="A42" s="35"/>
      <c r="B42" s="36"/>
      <c r="C42" s="37"/>
      <c r="D42" s="35"/>
      <c r="E42" s="35"/>
      <c r="F42" s="35"/>
      <c r="G42" s="35"/>
      <c r="H42" s="34" t="str">
        <f aca="false">IF(AND(F42&lt;&gt;"",G42&lt;&gt;"",G42&gt;0),F42/G42,"")</f>
        <v/>
      </c>
      <c r="I42" s="35"/>
      <c r="J42" s="37"/>
      <c r="K42" s="37"/>
      <c r="L42" s="37"/>
    </row>
    <row r="43" customFormat="false" ht="15" hidden="false" customHeight="false" outlineLevel="0" collapsed="false">
      <c r="A43" s="31"/>
      <c r="B43" s="32"/>
      <c r="C43" s="33"/>
      <c r="D43" s="31"/>
      <c r="E43" s="31"/>
      <c r="F43" s="31"/>
      <c r="G43" s="31"/>
      <c r="H43" s="34" t="str">
        <f aca="false">IF(AND(F43&lt;&gt;"",G43&lt;&gt;"",G43&gt;0),F43/G43,"")</f>
        <v/>
      </c>
      <c r="I43" s="31"/>
      <c r="J43" s="33"/>
      <c r="K43" s="33"/>
      <c r="L43" s="33"/>
    </row>
    <row r="44" customFormat="false" ht="15" hidden="false" customHeight="false" outlineLevel="0" collapsed="false">
      <c r="A44" s="35"/>
      <c r="B44" s="36"/>
      <c r="C44" s="37"/>
      <c r="D44" s="35"/>
      <c r="E44" s="35"/>
      <c r="F44" s="35"/>
      <c r="G44" s="35"/>
      <c r="H44" s="34" t="str">
        <f aca="false">IF(AND(F44&lt;&gt;"",G44&lt;&gt;"",G44&gt;0),F44/G44,"")</f>
        <v/>
      </c>
      <c r="I44" s="35"/>
      <c r="J44" s="37"/>
      <c r="K44" s="37"/>
      <c r="L44" s="37"/>
    </row>
    <row r="45" customFormat="false" ht="15" hidden="false" customHeight="false" outlineLevel="0" collapsed="false">
      <c r="A45" s="31"/>
      <c r="B45" s="32"/>
      <c r="C45" s="33"/>
      <c r="D45" s="31"/>
      <c r="E45" s="31"/>
      <c r="F45" s="31"/>
      <c r="G45" s="31"/>
      <c r="H45" s="34" t="str">
        <f aca="false">IF(AND(F45&lt;&gt;"",G45&lt;&gt;"",G45&gt;0),F45/G45,"")</f>
        <v/>
      </c>
      <c r="I45" s="31"/>
      <c r="J45" s="33"/>
      <c r="K45" s="33"/>
      <c r="L45" s="33"/>
    </row>
    <row r="46" customFormat="false" ht="15" hidden="false" customHeight="false" outlineLevel="0" collapsed="false">
      <c r="A46" s="35"/>
      <c r="B46" s="36"/>
      <c r="C46" s="37"/>
      <c r="D46" s="35"/>
      <c r="E46" s="35"/>
      <c r="F46" s="35"/>
      <c r="G46" s="35"/>
      <c r="H46" s="34" t="str">
        <f aca="false">IF(AND(F46&lt;&gt;"",G46&lt;&gt;"",G46&gt;0),F46/G46,"")</f>
        <v/>
      </c>
      <c r="I46" s="35"/>
      <c r="J46" s="37"/>
      <c r="K46" s="37"/>
      <c r="L46" s="37"/>
    </row>
    <row r="47" customFormat="false" ht="15" hidden="false" customHeight="false" outlineLevel="0" collapsed="false">
      <c r="A47" s="31"/>
      <c r="B47" s="32"/>
      <c r="C47" s="33"/>
      <c r="D47" s="31"/>
      <c r="E47" s="31"/>
      <c r="F47" s="31"/>
      <c r="G47" s="31"/>
      <c r="H47" s="34" t="str">
        <f aca="false">IF(AND(F47&lt;&gt;"",G47&lt;&gt;"",G47&gt;0),F47/G47,"")</f>
        <v/>
      </c>
      <c r="I47" s="31"/>
      <c r="J47" s="33"/>
      <c r="K47" s="33"/>
      <c r="L47" s="33"/>
    </row>
    <row r="48" customFormat="false" ht="15" hidden="false" customHeight="false" outlineLevel="0" collapsed="false">
      <c r="A48" s="35"/>
      <c r="B48" s="36"/>
      <c r="C48" s="37"/>
      <c r="D48" s="35"/>
      <c r="E48" s="35"/>
      <c r="F48" s="35"/>
      <c r="G48" s="35"/>
      <c r="H48" s="34" t="str">
        <f aca="false">IF(AND(F48&lt;&gt;"",G48&lt;&gt;"",G48&gt;0),F48/G48,"")</f>
        <v/>
      </c>
      <c r="I48" s="35"/>
      <c r="J48" s="37"/>
      <c r="K48" s="37"/>
      <c r="L48" s="37"/>
    </row>
    <row r="49" customFormat="false" ht="15" hidden="false" customHeight="false" outlineLevel="0" collapsed="false">
      <c r="A49" s="31"/>
      <c r="B49" s="32"/>
      <c r="C49" s="33"/>
      <c r="D49" s="31"/>
      <c r="E49" s="31"/>
      <c r="F49" s="31"/>
      <c r="G49" s="31"/>
      <c r="H49" s="34" t="str">
        <f aca="false">IF(AND(F49&lt;&gt;"",G49&lt;&gt;"",G49&gt;0),F49/G49,"")</f>
        <v/>
      </c>
      <c r="I49" s="31"/>
      <c r="J49" s="33"/>
      <c r="K49" s="33"/>
      <c r="L49" s="33"/>
    </row>
    <row r="50" customFormat="false" ht="15" hidden="false" customHeight="false" outlineLevel="0" collapsed="false">
      <c r="A50" s="35"/>
      <c r="B50" s="36"/>
      <c r="C50" s="37"/>
      <c r="D50" s="35"/>
      <c r="E50" s="35"/>
      <c r="F50" s="35"/>
      <c r="G50" s="35"/>
      <c r="H50" s="34" t="str">
        <f aca="false">IF(AND(F50&lt;&gt;"",G50&lt;&gt;"",G50&gt;0),F50/G50,"")</f>
        <v/>
      </c>
      <c r="I50" s="35"/>
      <c r="J50" s="37"/>
      <c r="K50" s="37"/>
      <c r="L50" s="37"/>
    </row>
    <row r="51" customFormat="false" ht="15" hidden="false" customHeight="false" outlineLevel="0" collapsed="false">
      <c r="A51" s="31"/>
      <c r="B51" s="32"/>
      <c r="C51" s="33"/>
      <c r="D51" s="31"/>
      <c r="E51" s="31"/>
      <c r="F51" s="31"/>
      <c r="G51" s="31"/>
      <c r="H51" s="34" t="str">
        <f aca="false">IF(AND(F51&lt;&gt;"",G51&lt;&gt;"",G51&gt;0),F51/G51,"")</f>
        <v/>
      </c>
      <c r="I51" s="31"/>
      <c r="J51" s="33"/>
      <c r="K51" s="33"/>
      <c r="L51" s="33"/>
    </row>
    <row r="52" customFormat="false" ht="15" hidden="false" customHeight="false" outlineLevel="0" collapsed="false">
      <c r="A52" s="35"/>
      <c r="B52" s="36"/>
      <c r="C52" s="37"/>
      <c r="D52" s="35"/>
      <c r="E52" s="35"/>
      <c r="F52" s="35"/>
      <c r="G52" s="35"/>
      <c r="H52" s="34" t="str">
        <f aca="false">IF(AND(F52&lt;&gt;"",G52&lt;&gt;"",G52&gt;0),F52/G52,"")</f>
        <v/>
      </c>
      <c r="I52" s="35"/>
      <c r="J52" s="37"/>
      <c r="K52" s="37"/>
      <c r="L52" s="37"/>
    </row>
    <row r="53" customFormat="false" ht="15" hidden="false" customHeight="false" outlineLevel="0" collapsed="false">
      <c r="A53" s="31"/>
      <c r="B53" s="32"/>
      <c r="C53" s="33"/>
      <c r="D53" s="31"/>
      <c r="E53" s="31"/>
      <c r="F53" s="31"/>
      <c r="G53" s="31"/>
      <c r="H53" s="34" t="str">
        <f aca="false">IF(AND(F53&lt;&gt;"",G53&lt;&gt;"",G53&gt;0),F53/G53,"")</f>
        <v/>
      </c>
      <c r="I53" s="31"/>
      <c r="J53" s="33"/>
      <c r="K53" s="33"/>
      <c r="L53" s="33"/>
    </row>
    <row r="54" customFormat="false" ht="15" hidden="false" customHeight="false" outlineLevel="0" collapsed="false">
      <c r="A54" s="35"/>
      <c r="B54" s="36"/>
      <c r="C54" s="37"/>
      <c r="D54" s="35"/>
      <c r="E54" s="35"/>
      <c r="F54" s="35"/>
      <c r="G54" s="35"/>
      <c r="H54" s="34" t="str">
        <f aca="false">IF(AND(F54&lt;&gt;"",G54&lt;&gt;"",G54&gt;0),F54/G54,"")</f>
        <v/>
      </c>
      <c r="I54" s="35"/>
      <c r="J54" s="37"/>
      <c r="K54" s="37"/>
      <c r="L54" s="37"/>
    </row>
    <row r="55" customFormat="false" ht="15" hidden="false" customHeight="false" outlineLevel="0" collapsed="false">
      <c r="A55" s="31"/>
      <c r="B55" s="32"/>
      <c r="C55" s="33"/>
      <c r="D55" s="31"/>
      <c r="E55" s="31"/>
      <c r="F55" s="31"/>
      <c r="G55" s="31"/>
      <c r="H55" s="34" t="str">
        <f aca="false">IF(AND(F55&lt;&gt;"",G55&lt;&gt;"",G55&gt;0),F55/G55,"")</f>
        <v/>
      </c>
      <c r="I55" s="31"/>
      <c r="J55" s="33"/>
      <c r="K55" s="33"/>
      <c r="L55" s="33"/>
    </row>
    <row r="56" customFormat="false" ht="15" hidden="false" customHeight="false" outlineLevel="0" collapsed="false">
      <c r="A56" s="35"/>
      <c r="B56" s="36"/>
      <c r="C56" s="37"/>
      <c r="D56" s="35"/>
      <c r="E56" s="35"/>
      <c r="F56" s="35"/>
      <c r="G56" s="35"/>
      <c r="H56" s="34" t="str">
        <f aca="false">IF(AND(F56&lt;&gt;"",G56&lt;&gt;"",G56&gt;0),F56/G56,"")</f>
        <v/>
      </c>
      <c r="I56" s="35"/>
      <c r="J56" s="37"/>
      <c r="K56" s="37"/>
      <c r="L56" s="37"/>
    </row>
    <row r="57" customFormat="false" ht="15" hidden="false" customHeight="false" outlineLevel="0" collapsed="false">
      <c r="A57" s="31"/>
      <c r="B57" s="32"/>
      <c r="C57" s="33"/>
      <c r="D57" s="31"/>
      <c r="E57" s="31"/>
      <c r="F57" s="31"/>
      <c r="G57" s="31"/>
      <c r="H57" s="34" t="str">
        <f aca="false">IF(AND(F57&lt;&gt;"",G57&lt;&gt;"",G57&gt;0),F57/G57,"")</f>
        <v/>
      </c>
      <c r="I57" s="31"/>
      <c r="J57" s="33"/>
      <c r="K57" s="33"/>
      <c r="L57" s="33"/>
    </row>
    <row r="58" customFormat="false" ht="15" hidden="false" customHeight="false" outlineLevel="0" collapsed="false">
      <c r="A58" s="35"/>
      <c r="B58" s="36"/>
      <c r="C58" s="37"/>
      <c r="D58" s="35"/>
      <c r="E58" s="35"/>
      <c r="F58" s="35"/>
      <c r="G58" s="35"/>
      <c r="H58" s="34" t="str">
        <f aca="false">IF(AND(F58&lt;&gt;"",G58&lt;&gt;"",G58&gt;0),F58/G58,"")</f>
        <v/>
      </c>
      <c r="I58" s="35"/>
      <c r="J58" s="37"/>
      <c r="K58" s="37"/>
      <c r="L58" s="37"/>
    </row>
    <row r="59" customFormat="false" ht="15" hidden="false" customHeight="false" outlineLevel="0" collapsed="false">
      <c r="A59" s="31"/>
      <c r="B59" s="32"/>
      <c r="C59" s="33"/>
      <c r="D59" s="31"/>
      <c r="E59" s="31"/>
      <c r="F59" s="31"/>
      <c r="G59" s="31"/>
      <c r="H59" s="34" t="str">
        <f aca="false">IF(AND(F59&lt;&gt;"",G59&lt;&gt;"",G59&gt;0),F59/G59,"")</f>
        <v/>
      </c>
      <c r="I59" s="31"/>
      <c r="J59" s="33"/>
      <c r="K59" s="33"/>
      <c r="L59" s="33"/>
    </row>
    <row r="60" customFormat="false" ht="15" hidden="false" customHeight="false" outlineLevel="0" collapsed="false">
      <c r="A60" s="35"/>
      <c r="B60" s="36"/>
      <c r="C60" s="37"/>
      <c r="D60" s="35"/>
      <c r="E60" s="35"/>
      <c r="F60" s="35"/>
      <c r="G60" s="35"/>
      <c r="H60" s="34" t="str">
        <f aca="false">IF(AND(F60&lt;&gt;"",G60&lt;&gt;"",G60&gt;0),F60/G60,"")</f>
        <v/>
      </c>
      <c r="I60" s="35"/>
      <c r="J60" s="37"/>
      <c r="K60" s="37"/>
      <c r="L60" s="37"/>
    </row>
  </sheetData>
  <autoFilter ref="A10:L510"/>
  <mergeCells count="11">
    <mergeCell ref="A1:L1"/>
    <mergeCell ref="A2:D2"/>
    <mergeCell ref="F2:H2"/>
    <mergeCell ref="A3:C3"/>
    <mergeCell ref="F3:G3"/>
    <mergeCell ref="A4:C4"/>
    <mergeCell ref="F4:G4"/>
    <mergeCell ref="A5:C5"/>
    <mergeCell ref="A6:C6"/>
    <mergeCell ref="A7:C7"/>
    <mergeCell ref="A9:L9"/>
  </mergeCells>
  <conditionalFormatting sqref="H11:H510">
    <cfRule type="cellIs" priority="2" operator="greaterThanOrEqual" aboveAverage="0" equalAverage="0" bottom="0" percent="0" rank="0" text="" dxfId="9">
      <formula>0.8</formula>
    </cfRule>
    <cfRule type="expression" priority="3" aboveAverage="0" equalAverage="0" bottom="0" percent="0" rank="0" text="" dxfId="10">
      <formula>AND(H11&lt;&gt;"",H11&gt;=0.6,H11&lt;0.8)</formula>
    </cfRule>
    <cfRule type="expression" priority="4" aboveAverage="0" equalAverage="0" bottom="0" percent="0" rank="0" text="" dxfId="11">
      <formula>AND(H11&lt;&gt;"",H11&lt;0.6)</formula>
    </cfRule>
  </conditionalFormatting>
  <dataValidations count="1">
    <dataValidation allowBlank="true" errorStyle="stop" operator="between" showDropDown="false" showErrorMessage="false" showInputMessage="false" sqref="E11:E510" type="list">
      <formula1>"Health &amp; Safety,Environmental,Quality,Welfare / Wellbeing,Project Specific,Client Brief"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&amp;CToolbox Talk Attendance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86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87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88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89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90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91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92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93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2026-03-23T07:18:46Z</dcterms:created>
  <dc:creator>Ebrora Ltd</dc:creator>
  <dc:description>Record toolbox talk topics, presenters, and attendee sign-off with automatic attendance rate tracking for UK construction sites.
Free professional construction management template from Ebrora Ltd. Visit ebrora.com for our full range of tools and templates.</dc:description>
  <cp:keywords>Ebrora construction toolbox talk attendance H&amp;S briefing CDM HR people</cp:keywords>
  <dc:language>en-US</dc:language>
  <cp:lastModifiedBy>Ebrora Ltd</cp:lastModifiedBy>
  <dcterms:modified xsi:type="dcterms:W3CDTF">2026-03-23T07:18:46Z</dcterms:modified>
  <cp:revision>0</cp:revision>
  <dc:subject>Record toolbox talk topics, presenters, and attendee sign-off with automatic attendance rate tracking.</dc:subject>
  <dc:title>Toolbox Talk Attendance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