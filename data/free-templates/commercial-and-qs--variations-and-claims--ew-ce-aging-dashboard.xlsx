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ashboard" sheetId="3" state="visible" r:id="rId5"/>
    <sheet name="EW &amp; CE Log" sheetId="4" state="visible" r:id="rId6"/>
    <sheet name="Terms of Use" sheetId="5" state="hidden" r:id="rId7"/>
  </sheets>
  <definedNames>
    <definedName function="false" hidden="false" localSheetId="0" name="_xlnm.Print_Area" vbProcedure="false">Cover!$A$1:$H$20</definedName>
    <definedName function="false" hidden="false" localSheetId="2" name="_xlnm.Print_Area" vbProcedure="false">Dashboard!$A$1:$J$18</definedName>
    <definedName function="false" hidden="false" localSheetId="3" name="_xlnm.Print_Area" vbProcedure="false">'EW &amp; CE Log'!$A$1:$O$50</definedName>
    <definedName function="false" hidden="false" localSheetId="3" name="_xlnm.Print_Titles" vbProcedure="false">'EW &amp; CE Log'!$1:$1</definedName>
    <definedName function="false" hidden="true" localSheetId="3" name="_xlnm._FilterDatabase" vbProcedure="false">'EW &amp; CE Log'!$A$1:$O$1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<sst xmlns="http://schemas.openxmlformats.org/spreadsheetml/2006/main" count="167" uniqueCount="126">
  <si>
    <t xml:space="preserve">EBRORA</t>
  </si>
  <si>
    <t xml:space="preserve">ebrora.com</t>
  </si>
  <si>
    <t xml:space="preserve">Early Warning / CE</t>
  </si>
  <si>
    <t xml:space="preserve">Aging Dashboard</t>
  </si>
  <si>
    <t xml:space="preserve">Monitor NEC early warnings and compensation events with response SLAs,</t>
  </si>
  <si>
    <t xml:space="preserve">aging buckets, overdue alerts, and status breakdown.</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</si>
  <si>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</si>
  <si>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</si>
  <si>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</si>
  <si>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</si>
  <si>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</si>
  <si>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</si>
  <si>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This template has two working sheets: 'Dashboard' (KPIs and aging analysis) and 'EW &amp; CE Log' (detailed register).</t>
  </si>
  <si>
    <t xml:space="preserve">2.</t>
  </si>
  <si>
    <t xml:space="preserve">Start with the 'EW &amp; CE Log' sheet. Each row is one Early Warning or Compensation Event.</t>
  </si>
  <si>
    <t xml:space="preserve">3.</t>
  </si>
  <si>
    <t xml:space="preserve">Enter the Ref, Type, Date Raised, Description, NEC Clause, Raised By, and Response Due Date.</t>
  </si>
  <si>
    <t xml:space="preserve">4.</t>
  </si>
  <si>
    <t xml:space="preserve">The 'Age (Days)' column auto-calculates from Date Raised to today (or to Response Date if responded).</t>
  </si>
  <si>
    <t xml:space="preserve">5.</t>
  </si>
  <si>
    <t xml:space="preserve">The 'Overdue' column flags Yes/No based on whether the age exceeds the SLA (14 days for EW, 28 days for CE).</t>
  </si>
  <si>
    <t xml:space="preserve">6.</t>
  </si>
  <si>
    <t xml:space="preserve">Update the Status as items progress: Open, Responded, Under Assessment, Agreed, Rejected, Withdrawn.</t>
  </si>
  <si>
    <t xml:space="preserve">7.</t>
  </si>
  <si>
    <t xml:space="preserve">The Dashboard auto-updates with KPI tiles, aging bucket counts, and status breakdowns pulling from the log.</t>
  </si>
  <si>
    <t xml:space="preserve">Colour Key</t>
  </si>
  <si>
    <t xml:space="preserve">Light teal cells (#E8F6F7) = User input / editable fields</t>
  </si>
  <si>
    <t xml:space="preserve">Dark navy headers (#1B2A4A) = Do not edit</t>
  </si>
  <si>
    <t xml:space="preserve">Green = Agreed/Withdrawn/Responded or within SLA</t>
  </si>
  <si>
    <t xml:space="preserve">Amber = Under Assessment or approaching SLA</t>
  </si>
  <si>
    <t xml:space="preserve">Red = Overdue (past SLA), Open with no response, or Rejected</t>
  </si>
  <si>
    <t xml:space="preserve">Tips</t>
  </si>
  <si>
    <t xml:space="preserve">Tip 1:</t>
  </si>
  <si>
    <t xml:space="preserve">Review the aging buckets weekly. Anything in the 29+ day bucket without a response is a contract compliance failure.</t>
  </si>
  <si>
    <t xml:space="preserve">Tip 2:</t>
  </si>
  <si>
    <t xml:space="preserve">The SLA for EW response is typically 2 weeks under NEC4. CEs have 4 weeks. Adjust in your log if your contract differs.</t>
  </si>
  <si>
    <t xml:space="preserve">Tip 3:</t>
  </si>
  <si>
    <t xml:space="preserve">Use the Dashboard at commercial meetings — the aging chart instantly shows whether the PM is keeping pace with notifications.</t>
  </si>
  <si>
    <t xml:space="preserve">Early Warning / CE — Aging Dashboard</t>
  </si>
  <si>
    <t xml:space="preserve">Total Early Warnings</t>
  </si>
  <si>
    <t xml:space="preserve">Total Comp. Events</t>
  </si>
  <si>
    <t xml:space="preserve">Overdue Items</t>
  </si>
  <si>
    <t xml:space="preserve">Avg Age (Days)</t>
  </si>
  <si>
    <t xml:space="preserve">Aging Analysis — Early Warnings</t>
  </si>
  <si>
    <t xml:space="preserve">Status Breakdown — All Items</t>
  </si>
  <si>
    <t xml:space="preserve">Aging Bucket</t>
  </si>
  <si>
    <t xml:space="preserve">Open</t>
  </si>
  <si>
    <t xml:space="preserve">Responded</t>
  </si>
  <si>
    <t xml:space="preserve">Total</t>
  </si>
  <si>
    <t xml:space="preserve">% of EWs</t>
  </si>
  <si>
    <t xml:space="preserve">Status</t>
  </si>
  <si>
    <t xml:space="preserve">EWs</t>
  </si>
  <si>
    <t xml:space="preserve">CEs</t>
  </si>
  <si>
    <t xml:space="preserve">0–7 days</t>
  </si>
  <si>
    <t xml:space="preserve">8–14 days</t>
  </si>
  <si>
    <t xml:space="preserve">15–28 days</t>
  </si>
  <si>
    <t xml:space="preserve">Under Assessment</t>
  </si>
  <si>
    <t xml:space="preserve">29+ days</t>
  </si>
  <si>
    <t xml:space="preserve">Agreed</t>
  </si>
  <si>
    <t xml:space="preserve">Rejected</t>
  </si>
  <si>
    <t xml:space="preserve">Aging Analysis — Compensation Events</t>
  </si>
  <si>
    <t xml:space="preserve">Withdrawn</t>
  </si>
  <si>
    <t xml:space="preserve">% of CEs</t>
  </si>
  <si>
    <t xml:space="preserve">0–14 days</t>
  </si>
  <si>
    <t xml:space="preserve">29–42 days</t>
  </si>
  <si>
    <t xml:space="preserve">43+ days</t>
  </si>
  <si>
    <t xml:space="preserve">Ref</t>
  </si>
  <si>
    <t xml:space="preserve">Type</t>
  </si>
  <si>
    <t xml:space="preserve">Date Raised</t>
  </si>
  <si>
    <t xml:space="preserve">Description</t>
  </si>
  <si>
    <t xml:space="preserve">NEC Clause</t>
  </si>
  <si>
    <t xml:space="preserve">Raised By</t>
  </si>
  <si>
    <t xml:space="preserve">Response Due</t>
  </si>
  <si>
    <t xml:space="preserve">Response Date</t>
  </si>
  <si>
    <t xml:space="preserve">Age (Days)</t>
  </si>
  <si>
    <t xml:space="preserve">SLA (Days)</t>
  </si>
  <si>
    <t xml:space="preserve">Overdue</t>
  </si>
  <si>
    <t xml:space="preserve">Cost Impact (£)</t>
  </si>
  <si>
    <t xml:space="preserve">Time Impact (wks)</t>
  </si>
  <si>
    <t xml:space="preserve">Notes</t>
  </si>
  <si>
    <t xml:space="preserve">EW-001</t>
  </si>
  <si>
    <t xml:space="preserve">Early Warning</t>
  </si>
  <si>
    <t xml:space="preserve">Ground conditions worse than GI report at storm tanks</t>
  </si>
  <si>
    <t xml:space="preserve">Cl 16.1</t>
  </si>
  <si>
    <t xml:space="preserve">Contractor</t>
  </si>
  <si>
    <t xml:space="preserve">Discussed at RRM</t>
  </si>
  <si>
    <t xml:space="preserve">EW-002</t>
  </si>
  <si>
    <t xml:space="preserve">UV system supplier delay — 6 week potential</t>
  </si>
  <si>
    <t xml:space="preserve">PM</t>
  </si>
  <si>
    <t xml:space="preserve">Alternative sourcing underway</t>
  </si>
  <si>
    <t xml:space="preserve">EW-003</t>
  </si>
  <si>
    <t xml:space="preserve">Asbestos found in existing building</t>
  </si>
  <si>
    <t xml:space="preserve">Survey commissioned</t>
  </si>
  <si>
    <t xml:space="preserve">EW-004</t>
  </si>
  <si>
    <t xml:space="preserve">Utility diversion works may clash with highway closure restrictions</t>
  </si>
  <si>
    <t xml:space="preserve">EW-005</t>
  </si>
  <si>
    <t xml:space="preserve">Concrete supply shortage reported by supplier</t>
  </si>
  <si>
    <t xml:space="preserve">Resolved — alternative supplier</t>
  </si>
  <si>
    <t xml:space="preserve">CE-001</t>
  </si>
  <si>
    <t xml:space="preserve">Compensation Event</t>
  </si>
  <si>
    <t xml:space="preserve">Instructed change: inlet screens 6mm to 3mm</t>
  </si>
  <si>
    <t xml:space="preserve">Cl 60.1(1)</t>
  </si>
  <si>
    <t xml:space="preserve">Quotation submitted</t>
  </si>
  <si>
    <t xml:space="preserve">CE-002</t>
  </si>
  <si>
    <t xml:space="preserve">Omission of Phase 1 landscaping — credit</t>
  </si>
  <si>
    <t xml:space="preserve">Negative CE</t>
  </si>
  <si>
    <t xml:space="preserve">CE-003</t>
  </si>
  <si>
    <t xml:space="preserve">Additional excavation quantity — rock at storm tanks</t>
  </si>
  <si>
    <t xml:space="preserve">Cl 60.4</t>
  </si>
  <si>
    <t xml:space="preserve">Rates per BOQ</t>
  </si>
  <si>
    <t xml:space="preserve">CE-004</t>
  </si>
  <si>
    <t xml:space="preserve">Prolongation claim — 3 weeks delay ground conditions</t>
  </si>
  <si>
    <t xml:space="preserve">Cl 60.1(12)</t>
  </si>
  <si>
    <t xml:space="preserve">Under review by PM</t>
  </si>
  <si>
    <t xml:space="preserve">CE-005</t>
  </si>
  <si>
    <t xml:space="preserve">Working restrictions adj. live process — productivity loss</t>
  </si>
  <si>
    <t xml:space="preserve">PM states contractor risk</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</si>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</sst>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6"/>
      <color rgb="FFFFFFFF"/>
      <name val="Calibri"/>
      <family val="0"/>
      <charset val="1"/>
    </font>
    <font>
      <sz val="10"/>
      <color rgb="FF8C8C8C"/>
      <name val="Calibri"/>
      <family val="0"/>
      <charset val="1"/>
    </font>
    <font>
      <b val="true"/>
      <sz val="22"/>
      <color rgb="FF1B2A4A"/>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5" fontId="16" fillId="0" borderId="2" xfId="0" applyFont="true" applyBorder="true" applyAlignment="true" applyProtection="false">
      <alignment horizontal="center" vertical="center" textRotation="0" wrapText="tru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center" vertical="center" textRotation="0" wrapText="true" indent="0" shrinkToFit="false"/>
      <protection locked="true" hidden="false"/>
    </xf>
    <xf numFmtId="165" fontId="13" fillId="0" borderId="2" xfId="0" applyFont="tru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7" fontId="11"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5" fontId="11" fillId="3" borderId="2"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8" fontId="11" fillId="4" borderId="2"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C7CE"/>
        </patternFill>
      </fill>
    </dxf>
    <dxf>
      <fill>
        <patternFill>
          <bgColor rgb="FFFFEB9C"/>
        </patternFill>
      </fill>
    </dxf>
    <dxf>
      <fill>
        <patternFill patternType="solid">
          <fgColor rgb="FF1B2A4A"/>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2"/>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15" hidden="false" customHeight="false" outlineLevel="0" collapsed="false">
      <c r="A7" s="11" t="s">
        <v>15</v>
      </c>
      <c r="B7" s="12" t="s">
        <v>16</v>
      </c>
    </row>
    <row r="8" customFormat="false" ht="15" hidden="false" customHeight="false" outlineLevel="0" collapsed="false">
      <c r="A8" s="11" t="s">
        <v>17</v>
      </c>
      <c r="B8" s="12" t="s">
        <v>18</v>
      </c>
    </row>
    <row r="9" customFormat="false" ht="15" hidden="false" customHeight="false" outlineLevel="0" collapsed="false">
      <c r="A9" s="11" t="s">
        <v>19</v>
      </c>
      <c r="B9" s="12" t="s">
        <v>20</v>
      </c>
    </row>
    <row r="10" customFormat="false" ht="15" hidden="false" customHeight="false" outlineLevel="0" collapsed="false">
      <c r="A10" s="11" t="s">
        <v>21</v>
      </c>
      <c r="B10" s="12" t="s">
        <v>22</v>
      </c>
    </row>
    <row r="11" customFormat="false" ht="15" hidden="false" customHeight="false" outlineLevel="0" collapsed="false">
      <c r="A11" s="11" t="s">
        <v>23</v>
      </c>
      <c r="B11" s="12" t="s">
        <v>24</v>
      </c>
    </row>
    <row r="12" customFormat="false" ht="15" hidden="false" customHeight="false" outlineLevel="0" collapsed="false">
      <c r="A12" s="11"/>
      <c r="B12" s="12"/>
    </row>
    <row r="13" customFormat="false" ht="15" hidden="false" customHeight="false" outlineLevel="0" collapsed="false">
      <c r="A13" s="13" t="s">
        <v>25</v>
      </c>
      <c r="B13" s="12"/>
    </row>
    <row r="14" customFormat="false" ht="15" hidden="false" customHeight="false" outlineLevel="0" collapsed="false">
      <c r="A14" s="11"/>
      <c r="B14" s="12" t="s">
        <v>26</v>
      </c>
    </row>
    <row r="15" customFormat="false" ht="15" hidden="false" customHeight="false" outlineLevel="0" collapsed="false">
      <c r="A15" s="11"/>
      <c r="B15" s="12" t="s">
        <v>27</v>
      </c>
    </row>
    <row r="16" customFormat="false" ht="15" hidden="false" customHeight="false" outlineLevel="0" collapsed="false">
      <c r="A16" s="11"/>
      <c r="B16" s="12" t="s">
        <v>28</v>
      </c>
    </row>
    <row r="17" customFormat="false" ht="15" hidden="false" customHeight="false" outlineLevel="0" collapsed="false">
      <c r="A17" s="11"/>
      <c r="B17" s="12" t="s">
        <v>29</v>
      </c>
    </row>
    <row r="18" customFormat="false" ht="15" hidden="false" customHeight="false" outlineLevel="0" collapsed="false">
      <c r="A18" s="11"/>
      <c r="B18" s="12" t="s">
        <v>30</v>
      </c>
    </row>
    <row r="19" customFormat="false" ht="15" hidden="false" customHeight="false" outlineLevel="0" collapsed="false">
      <c r="A19" s="11"/>
      <c r="B19" s="12"/>
    </row>
    <row r="20" customFormat="false" ht="15" hidden="false" customHeight="false" outlineLevel="0" collapsed="false">
      <c r="A20" s="13" t="s">
        <v>31</v>
      </c>
      <c r="B20" s="12"/>
    </row>
    <row r="21" customFormat="false" ht="15" hidden="false" customHeight="false" outlineLevel="0" collapsed="false">
      <c r="A21" s="14" t="s">
        <v>32</v>
      </c>
      <c r="B21" s="12" t="s">
        <v>33</v>
      </c>
    </row>
    <row r="22" customFormat="false" ht="15" hidden="false" customHeight="false" outlineLevel="0" collapsed="false">
      <c r="A22" s="14" t="s">
        <v>34</v>
      </c>
      <c r="B22" s="12" t="s">
        <v>35</v>
      </c>
    </row>
    <row r="23" customFormat="false" ht="23.85" hidden="false" customHeight="false" outlineLevel="0" collapsed="false">
      <c r="A23" s="14" t="s">
        <v>36</v>
      </c>
      <c r="B23" s="12" t="s">
        <v>37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6"/>
  </cols>
  <sheetData>
    <row r="1" customFormat="false" ht="20.85" hidden="false" customHeight="true" outlineLevel="0" collapsed="false">
      <c r="A1" s="15" t="s">
        <v>38</v>
      </c>
      <c r="B1" s="15"/>
      <c r="C1" s="15"/>
      <c r="D1" s="15"/>
      <c r="E1" s="15"/>
      <c r="F1" s="15"/>
      <c r="G1" s="15"/>
      <c r="H1" s="15"/>
      <c r="I1" s="15"/>
      <c r="J1" s="15"/>
    </row>
    <row r="3" customFormat="false" ht="15" hidden="false" customHeight="true" outlineLevel="0" collapsed="false">
      <c r="A3" s="16" t="s">
        <v>39</v>
      </c>
      <c r="B3" s="16"/>
      <c r="C3" s="16" t="s">
        <v>40</v>
      </c>
      <c r="D3" s="16"/>
      <c r="E3" s="16" t="s">
        <v>41</v>
      </c>
      <c r="F3" s="16"/>
      <c r="G3" s="16" t="s">
        <v>42</v>
      </c>
      <c r="H3" s="16"/>
    </row>
    <row r="4" customFormat="false" ht="28.35" hidden="false" customHeight="false" outlineLevel="0" collapsed="false">
      <c r="A4" s="17" t="n">
        <f aca="false">COUNTIF('EW &amp; CE Log'!B2:B300,"Early Warning")</f>
        <v>5</v>
      </c>
      <c r="B4" s="17"/>
      <c r="C4" s="17" t="n">
        <f aca="false">COUNTIF('EW &amp; CE Log'!B2:B300,"Compensation Event")</f>
        <v>5</v>
      </c>
      <c r="D4" s="17"/>
      <c r="E4" s="17" t="n">
        <f aca="false">COUNTIF('EW &amp; CE Log'!K2:K300,"Yes")</f>
        <v>0</v>
      </c>
      <c r="F4" s="17"/>
      <c r="G4" s="17" t="n">
        <f aca="false">IF(COUNTA('EW &amp; CE Log'!A2:A300)=0,"—",AVERAGE('EW &amp; CE Log'!I2:I300))</f>
        <v>12.3</v>
      </c>
      <c r="H4" s="17"/>
    </row>
    <row r="6" customFormat="false" ht="15" hidden="false" customHeight="false" outlineLevel="0" collapsed="false">
      <c r="A6" s="18" t="s">
        <v>43</v>
      </c>
      <c r="B6" s="18"/>
      <c r="C6" s="18"/>
      <c r="D6" s="18"/>
      <c r="E6" s="18"/>
      <c r="G6" s="18" t="s">
        <v>44</v>
      </c>
      <c r="H6" s="18"/>
      <c r="I6" s="18"/>
      <c r="J6" s="18"/>
    </row>
    <row r="7" customFormat="false" ht="15" hidden="false" customHeight="false" outlineLevel="0" collapsed="false">
      <c r="A7" s="19" t="s">
        <v>45</v>
      </c>
      <c r="B7" s="19" t="s">
        <v>46</v>
      </c>
      <c r="C7" s="19" t="s">
        <v>47</v>
      </c>
      <c r="D7" s="19" t="s">
        <v>48</v>
      </c>
      <c r="E7" s="19" t="s">
        <v>49</v>
      </c>
      <c r="G7" s="19" t="s">
        <v>50</v>
      </c>
      <c r="H7" s="19" t="s">
        <v>51</v>
      </c>
      <c r="I7" s="19" t="s">
        <v>52</v>
      </c>
      <c r="J7" s="19" t="s">
        <v>48</v>
      </c>
    </row>
    <row r="8" customFormat="false" ht="15" hidden="false" customHeight="false" outlineLevel="0" collapsed="false">
      <c r="A8" s="20" t="s">
        <v>53</v>
      </c>
      <c r="B8" s="21" t="n">
        <f aca="false">COUNTIFS('EW &amp; CE Log'!B2:B300,"Early Warning",'EW &amp; CE Log'!I2:I300,"&gt;=0",'EW &amp; CE Log'!I2:I300,"&lt;=7",'EW &amp; CE Log'!L2:L300,"Open")</f>
        <v>1</v>
      </c>
      <c r="C8" s="21" t="n">
        <f aca="false">COUNTIFS('EW &amp; CE Log'!B2:B300,"Early Warning",'EW &amp; CE Log'!I2:I300,"&gt;=0",'EW &amp; CE Log'!I2:I300,"&lt;=7",'EW &amp; CE Log'!L2:L300,"&lt;&gt;Open")</f>
        <v>2</v>
      </c>
      <c r="D8" s="22" t="n">
        <f aca="false">B8+C8</f>
        <v>3</v>
      </c>
      <c r="E8" s="23" t="str">
        <f aca="false">IF($B$4=0,"—",D8/$B$4)</f>
        <v>—</v>
      </c>
      <c r="G8" s="20" t="s">
        <v>46</v>
      </c>
      <c r="H8" s="21" t="n">
        <f aca="false">COUNTIFS('EW &amp; CE Log'!B2:B300,"Early Warning",'EW &amp; CE Log'!L2:L300,"Open")</f>
        <v>2</v>
      </c>
      <c r="I8" s="21" t="n">
        <f aca="false">COUNTIFS('EW &amp; CE Log'!B2:B300,"Compensation Event",'EW &amp; CE Log'!L2:L300,"Open")</f>
        <v>1</v>
      </c>
      <c r="J8" s="22" t="n">
        <f aca="false">H8+I8</f>
        <v>3</v>
      </c>
    </row>
    <row r="9" customFormat="false" ht="15" hidden="false" customHeight="false" outlineLevel="0" collapsed="false">
      <c r="A9" s="20" t="s">
        <v>54</v>
      </c>
      <c r="B9" s="21" t="n">
        <f aca="false">COUNTIFS('EW &amp; CE Log'!B2:B300,"Early Warning",'EW &amp; CE Log'!I2:I300,"&gt;=8",'EW &amp; CE Log'!I2:I300,"&lt;=14",'EW &amp; CE Log'!L2:L300,"Open")</f>
        <v>1</v>
      </c>
      <c r="C9" s="21" t="n">
        <f aca="false">COUNTIFS('EW &amp; CE Log'!B2:B300,"Early Warning",'EW &amp; CE Log'!I2:I300,"&gt;=8",'EW &amp; CE Log'!I2:I300,"&lt;=14",'EW &amp; CE Log'!L2:L300,"&lt;&gt;Open")</f>
        <v>1</v>
      </c>
      <c r="D9" s="22" t="n">
        <f aca="false">B9+C9</f>
        <v>2</v>
      </c>
      <c r="E9" s="23" t="str">
        <f aca="false">IF($B$4=0,"—",D9/$B$4)</f>
        <v>—</v>
      </c>
      <c r="G9" s="20" t="s">
        <v>47</v>
      </c>
      <c r="H9" s="21" t="n">
        <f aca="false">COUNTIFS('EW &amp; CE Log'!B2:B300,"Early Warning",'EW &amp; CE Log'!L2:L300,"Responded")</f>
        <v>2</v>
      </c>
      <c r="I9" s="21" t="n">
        <f aca="false">COUNTIFS('EW &amp; CE Log'!B2:B300,"Compensation Event",'EW &amp; CE Log'!L2:L300,"Responded")</f>
        <v>0</v>
      </c>
      <c r="J9" s="22" t="n">
        <f aca="false">H9+I9</f>
        <v>2</v>
      </c>
    </row>
    <row r="10" customFormat="false" ht="15" hidden="false" customHeight="false" outlineLevel="0" collapsed="false">
      <c r="A10" s="20" t="s">
        <v>55</v>
      </c>
      <c r="B10" s="21" t="n">
        <f aca="false">COUNTIFS('EW &amp; CE Log'!B2:B300,"Early Warning",'EW &amp; CE Log'!I2:I300,"&gt;=15",'EW &amp; CE Log'!I2:I300,"&lt;=28",'EW &amp; CE Log'!L2:L300,"Open")</f>
        <v>0</v>
      </c>
      <c r="C10" s="21" t="n">
        <f aca="false">COUNTIFS('EW &amp; CE Log'!B2:B300,"Early Warning",'EW &amp; CE Log'!I2:I300,"&gt;=15",'EW &amp; CE Log'!I2:I300,"&lt;=28",'EW &amp; CE Log'!L2:L300,"&lt;&gt;Open")</f>
        <v>0</v>
      </c>
      <c r="D10" s="22" t="n">
        <f aca="false">B10+C10</f>
        <v>0</v>
      </c>
      <c r="E10" s="23" t="str">
        <f aca="false">IF($B$4=0,"—",D10/$B$4)</f>
        <v>—</v>
      </c>
      <c r="G10" s="20" t="s">
        <v>56</v>
      </c>
      <c r="H10" s="21" t="n">
        <f aca="false">COUNTIFS('EW &amp; CE Log'!B2:B300,"Early Warning",'EW &amp; CE Log'!L2:L300,"Under Assessment")</f>
        <v>0</v>
      </c>
      <c r="I10" s="21" t="n">
        <f aca="false">COUNTIFS('EW &amp; CE Log'!B2:B300,"Compensation Event",'EW &amp; CE Log'!L2:L300,"Under Assessment")</f>
        <v>1</v>
      </c>
      <c r="J10" s="22" t="n">
        <f aca="false">H10+I10</f>
        <v>1</v>
      </c>
    </row>
    <row r="11" customFormat="false" ht="15" hidden="false" customHeight="false" outlineLevel="0" collapsed="false">
      <c r="A11" s="20" t="s">
        <v>57</v>
      </c>
      <c r="B11" s="21" t="n">
        <f aca="false">COUNTIFS('EW &amp; CE Log'!B2:B300,"Early Warning",'EW &amp; CE Log'!I2:I300,"&gt;=29",'EW &amp; CE Log'!L2:L300,"Open")</f>
        <v>0</v>
      </c>
      <c r="C11" s="21" t="n">
        <f aca="false">COUNTIFS('EW &amp; CE Log'!B2:B300,"Early Warning",'EW &amp; CE Log'!I2:I300,"&gt;=29",'EW &amp; CE Log'!L2:L300,"&lt;&gt;Open")</f>
        <v>0</v>
      </c>
      <c r="D11" s="22" t="n">
        <f aca="false">B11+C11</f>
        <v>0</v>
      </c>
      <c r="E11" s="23" t="str">
        <f aca="false">IF($B$4=0,"—",D11/$B$4)</f>
        <v>—</v>
      </c>
      <c r="G11" s="20" t="s">
        <v>58</v>
      </c>
      <c r="H11" s="21" t="n">
        <f aca="false">COUNTIFS('EW &amp; CE Log'!B2:B300,"Early Warning",'EW &amp; CE Log'!L2:L300,"Agreed")</f>
        <v>1</v>
      </c>
      <c r="I11" s="21" t="n">
        <f aca="false">COUNTIFS('EW &amp; CE Log'!B2:B300,"Compensation Event",'EW &amp; CE Log'!L2:L300,"Agreed")</f>
        <v>2</v>
      </c>
      <c r="J11" s="22" t="n">
        <f aca="false">H11+I11</f>
        <v>3</v>
      </c>
    </row>
    <row r="12" customFormat="false" ht="15" hidden="false" customHeight="false" outlineLevel="0" collapsed="false">
      <c r="G12" s="20" t="s">
        <v>59</v>
      </c>
      <c r="H12" s="21" t="n">
        <f aca="false">COUNTIFS('EW &amp; CE Log'!B2:B300,"Early Warning",'EW &amp; CE Log'!L2:L300,"Rejected")</f>
        <v>0</v>
      </c>
      <c r="I12" s="21" t="n">
        <f aca="false">COUNTIFS('EW &amp; CE Log'!B2:B300,"Compensation Event",'EW &amp; CE Log'!L2:L300,"Rejected")</f>
        <v>1</v>
      </c>
      <c r="J12" s="22" t="n">
        <f aca="false">H12+I12</f>
        <v>1</v>
      </c>
    </row>
    <row r="13" customFormat="false" ht="15" hidden="false" customHeight="false" outlineLevel="0" collapsed="false">
      <c r="A13" s="18" t="s">
        <v>60</v>
      </c>
      <c r="B13" s="18"/>
      <c r="C13" s="18"/>
      <c r="D13" s="18"/>
      <c r="E13" s="18"/>
      <c r="G13" s="20" t="s">
        <v>61</v>
      </c>
      <c r="H13" s="21" t="n">
        <f aca="false">COUNTIFS('EW &amp; CE Log'!B2:B300,"Early Warning",'EW &amp; CE Log'!L2:L300,"Withdrawn")</f>
        <v>0</v>
      </c>
      <c r="I13" s="21" t="n">
        <f aca="false">COUNTIFS('EW &amp; CE Log'!B2:B300,"Compensation Event",'EW &amp; CE Log'!L2:L300,"Withdrawn")</f>
        <v>0</v>
      </c>
      <c r="J13" s="22" t="n">
        <f aca="false">H13+I13</f>
        <v>0</v>
      </c>
    </row>
    <row r="14" customFormat="false" ht="15" hidden="false" customHeight="false" outlineLevel="0" collapsed="false">
      <c r="A14" s="19" t="s">
        <v>45</v>
      </c>
      <c r="B14" s="19" t="s">
        <v>46</v>
      </c>
      <c r="C14" s="19" t="s">
        <v>47</v>
      </c>
      <c r="D14" s="19" t="s">
        <v>48</v>
      </c>
      <c r="E14" s="19" t="s">
        <v>62</v>
      </c>
    </row>
    <row r="15" customFormat="false" ht="15" hidden="false" customHeight="false" outlineLevel="0" collapsed="false">
      <c r="A15" s="20" t="s">
        <v>63</v>
      </c>
      <c r="B15" s="21" t="n">
        <f aca="false">COUNTIFS('EW &amp; CE Log'!B2:B300,"Compensation Event",'EW &amp; CE Log'!I2:I300,"&gt;=0",'EW &amp; CE Log'!I2:I300,"&lt;=14",'EW &amp; CE Log'!L2:L300,"Open")</f>
        <v>0</v>
      </c>
      <c r="C15" s="21" t="n">
        <f aca="false">COUNTIFS('EW &amp; CE Log'!B2:B300,"Compensation Event",'EW &amp; CE Log'!I2:I300,"&gt;=0",'EW &amp; CE Log'!I2:I300,"&lt;=14",'EW &amp; CE Log'!L2:L300,"&lt;&gt;Open")</f>
        <v>3</v>
      </c>
      <c r="D15" s="22" t="n">
        <f aca="false">B15+C15</f>
        <v>3</v>
      </c>
      <c r="E15" s="23" t="str">
        <f aca="false">IF($D$4=0,"—",D15/$D$4)</f>
        <v>—</v>
      </c>
    </row>
    <row r="16" customFormat="false" ht="15" hidden="false" customHeight="false" outlineLevel="0" collapsed="false">
      <c r="A16" s="20" t="s">
        <v>55</v>
      </c>
      <c r="B16" s="21" t="n">
        <f aca="false">COUNTIFS('EW &amp; CE Log'!B2:B300,"Compensation Event",'EW &amp; CE Log'!I2:I300,"&gt;=15",'EW &amp; CE Log'!I2:I300,"&lt;=28",'EW &amp; CE Log'!L2:L300,"Open")</f>
        <v>1</v>
      </c>
      <c r="C16" s="21" t="n">
        <f aca="false">COUNTIFS('EW &amp; CE Log'!B2:B300,"Compensation Event",'EW &amp; CE Log'!I2:I300,"&gt;=15",'EW &amp; CE Log'!I2:I300,"&lt;=28",'EW &amp; CE Log'!L2:L300,"&lt;&gt;Open")</f>
        <v>0</v>
      </c>
      <c r="D16" s="22" t="n">
        <f aca="false">B16+C16</f>
        <v>1</v>
      </c>
      <c r="E16" s="23" t="str">
        <f aca="false">IF($D$4=0,"—",D16/$D$4)</f>
        <v>—</v>
      </c>
    </row>
    <row r="17" customFormat="false" ht="15" hidden="false" customHeight="false" outlineLevel="0" collapsed="false">
      <c r="A17" s="20" t="s">
        <v>64</v>
      </c>
      <c r="B17" s="21" t="n">
        <f aca="false">COUNTIFS('EW &amp; CE Log'!B2:B300,"Compensation Event",'EW &amp; CE Log'!I2:I300,"&gt;=29",'EW &amp; CE Log'!I2:I300,"&lt;=42",'EW &amp; CE Log'!L2:L300,"Open")</f>
        <v>0</v>
      </c>
      <c r="C17" s="21" t="n">
        <f aca="false">COUNTIFS('EW &amp; CE Log'!B2:B300,"Compensation Event",'EW &amp; CE Log'!I2:I300,"&gt;=29",'EW &amp; CE Log'!I2:I300,"&lt;=42",'EW &amp; CE Log'!L2:L300,"&lt;&gt;Open")</f>
        <v>0</v>
      </c>
      <c r="D17" s="22" t="n">
        <f aca="false">B17+C17</f>
        <v>0</v>
      </c>
      <c r="E17" s="23" t="str">
        <f aca="false">IF($D$4=0,"—",D17/$D$4)</f>
        <v>—</v>
      </c>
    </row>
    <row r="18" customFormat="false" ht="15" hidden="false" customHeight="false" outlineLevel="0" collapsed="false">
      <c r="A18" s="20" t="s">
        <v>65</v>
      </c>
      <c r="B18" s="21" t="n">
        <f aca="false">COUNTIFS('EW &amp; CE Log'!B2:B300,"Compensation Event",'EW &amp; CE Log'!I2:I300,"&gt;=43",'EW &amp; CE Log'!L2:L300,"Open")</f>
        <v>0</v>
      </c>
      <c r="C18" s="21" t="n">
        <f aca="false">COUNTIFS('EW &amp; CE Log'!B2:B300,"Compensation Event",'EW &amp; CE Log'!I2:I300,"&gt;=43",'EW &amp; CE Log'!L2:L300,"&lt;&gt;Open")</f>
        <v>1</v>
      </c>
      <c r="D18" s="22" t="n">
        <f aca="false">B18+C18</f>
        <v>1</v>
      </c>
      <c r="E18" s="23" t="str">
        <f aca="false">IF($D$4=0,"—",D18/$D$4)</f>
        <v>—</v>
      </c>
    </row>
  </sheetData>
  <mergeCells count="12">
    <mergeCell ref="A1:J1"/>
    <mergeCell ref="A3:B3"/>
    <mergeCell ref="C3:D3"/>
    <mergeCell ref="E3:F3"/>
    <mergeCell ref="G3:H3"/>
    <mergeCell ref="A4:B4"/>
    <mergeCell ref="C4:D4"/>
    <mergeCell ref="E4:F4"/>
    <mergeCell ref="G4:H4"/>
    <mergeCell ref="A6:E6"/>
    <mergeCell ref="G6:J6"/>
    <mergeCell ref="A13:E13"/>
  </mergeCells>
  <conditionalFormatting sqref="E4:F4">
    <cfRule type="cellIs" priority="2" operator="equal" aboveAverage="0" equalAverage="0" bottom="0" percent="0" rank="0" text="" dxfId="0">
      <formula>0</formula>
    </cfRule>
    <cfRule type="cellIs" priority="3" operator="greaterThan" aboveAverage="0" equalAverage="0" bottom="0" percent="0" rank="0" text="" dxfId="1">
      <formula>0</formula>
    </cfRule>
  </conditionalFormatting>
  <conditionalFormatting sqref="B10:B11">
    <cfRule type="cellIs" priority="4" operator="greaterThan" aboveAverage="0" equalAverage="0" bottom="0" percent="0" rank="0" text="" dxfId="1">
      <formula>0</formula>
    </cfRule>
  </conditionalFormatting>
  <conditionalFormatting sqref="B17:B18">
    <cfRule type="cellIs" priority="5" operator="greaterThan" aboveAverage="0" equalAverage="0" bottom="0" percent="0" rank="0" text="" dxfId="1">
      <formula>0</formula>
    </cfRule>
  </conditionalFormatting>
  <conditionalFormatting sqref="G8">
    <cfRule type="cellIs" priority="6" operator="equal" aboveAverage="0" equalAverage="0" bottom="0" percent="0" rank="0" text="" dxfId="1">
      <formula>"Open"</formula>
    </cfRule>
    <cfRule type="cellIs" priority="7" operator="equal" aboveAverage="0" equalAverage="0" bottom="0" percent="0" rank="0" text="" dxfId="0">
      <formula>"Agreed"</formula>
    </cfRule>
    <cfRule type="cellIs" priority="8" operator="equal" aboveAverage="0" equalAverage="0" bottom="0" percent="0" rank="0" text="" dxfId="0">
      <formula>"Withdrawn"</formula>
    </cfRule>
    <cfRule type="cellIs" priority="9" operator="equal" aboveAverage="0" equalAverage="0" bottom="0" percent="0" rank="0" text="" dxfId="1">
      <formula>"Rejected"</formula>
    </cfRule>
    <cfRule type="cellIs" priority="10" operator="equal" aboveAverage="0" equalAverage="0" bottom="0" percent="0" rank="0" text="" dxfId="2">
      <formula>"Under Assessment"</formula>
    </cfRule>
  </conditionalFormatting>
  <conditionalFormatting sqref="G9">
    <cfRule type="cellIs" priority="11" operator="equal" aboveAverage="0" equalAverage="0" bottom="0" percent="0" rank="0" text="" dxfId="1">
      <formula>"Open"</formula>
    </cfRule>
    <cfRule type="cellIs" priority="12" operator="equal" aboveAverage="0" equalAverage="0" bottom="0" percent="0" rank="0" text="" dxfId="0">
      <formula>"Agreed"</formula>
    </cfRule>
    <cfRule type="cellIs" priority="13" operator="equal" aboveAverage="0" equalAverage="0" bottom="0" percent="0" rank="0" text="" dxfId="0">
      <formula>"Withdrawn"</formula>
    </cfRule>
    <cfRule type="cellIs" priority="14" operator="equal" aboveAverage="0" equalAverage="0" bottom="0" percent="0" rank="0" text="" dxfId="1">
      <formula>"Rejected"</formula>
    </cfRule>
    <cfRule type="cellIs" priority="15" operator="equal" aboveAverage="0" equalAverage="0" bottom="0" percent="0" rank="0" text="" dxfId="2">
      <formula>"Under Assessment"</formula>
    </cfRule>
  </conditionalFormatting>
  <conditionalFormatting sqref="G10">
    <cfRule type="cellIs" priority="16" operator="equal" aboveAverage="0" equalAverage="0" bottom="0" percent="0" rank="0" text="" dxfId="1">
      <formula>"Open"</formula>
    </cfRule>
    <cfRule type="cellIs" priority="17" operator="equal" aboveAverage="0" equalAverage="0" bottom="0" percent="0" rank="0" text="" dxfId="0">
      <formula>"Agreed"</formula>
    </cfRule>
    <cfRule type="cellIs" priority="18" operator="equal" aboveAverage="0" equalAverage="0" bottom="0" percent="0" rank="0" text="" dxfId="0">
      <formula>"Withdrawn"</formula>
    </cfRule>
    <cfRule type="cellIs" priority="19" operator="equal" aboveAverage="0" equalAverage="0" bottom="0" percent="0" rank="0" text="" dxfId="1">
      <formula>"Rejected"</formula>
    </cfRule>
    <cfRule type="cellIs" priority="20" operator="equal" aboveAverage="0" equalAverage="0" bottom="0" percent="0" rank="0" text="" dxfId="2">
      <formula>"Under Assessment"</formula>
    </cfRule>
  </conditionalFormatting>
  <conditionalFormatting sqref="G11">
    <cfRule type="cellIs" priority="21" operator="equal" aboveAverage="0" equalAverage="0" bottom="0" percent="0" rank="0" text="" dxfId="1">
      <formula>"Open"</formula>
    </cfRule>
    <cfRule type="cellIs" priority="22" operator="equal" aboveAverage="0" equalAverage="0" bottom="0" percent="0" rank="0" text="" dxfId="0">
      <formula>"Agreed"</formula>
    </cfRule>
    <cfRule type="cellIs" priority="23" operator="equal" aboveAverage="0" equalAverage="0" bottom="0" percent="0" rank="0" text="" dxfId="0">
      <formula>"Withdrawn"</formula>
    </cfRule>
    <cfRule type="cellIs" priority="24" operator="equal" aboveAverage="0" equalAverage="0" bottom="0" percent="0" rank="0" text="" dxfId="1">
      <formula>"Rejected"</formula>
    </cfRule>
    <cfRule type="cellIs" priority="25" operator="equal" aboveAverage="0" equalAverage="0" bottom="0" percent="0" rank="0" text="" dxfId="2">
      <formula>"Under Assessment"</formula>
    </cfRule>
  </conditionalFormatting>
  <conditionalFormatting sqref="G12">
    <cfRule type="cellIs" priority="26" operator="equal" aboveAverage="0" equalAverage="0" bottom="0" percent="0" rank="0" text="" dxfId="1">
      <formula>"Open"</formula>
    </cfRule>
    <cfRule type="cellIs" priority="27" operator="equal" aboveAverage="0" equalAverage="0" bottom="0" percent="0" rank="0" text="" dxfId="0">
      <formula>"Agreed"</formula>
    </cfRule>
    <cfRule type="cellIs" priority="28" operator="equal" aboveAverage="0" equalAverage="0" bottom="0" percent="0" rank="0" text="" dxfId="0">
      <formula>"Withdrawn"</formula>
    </cfRule>
    <cfRule type="cellIs" priority="29" operator="equal" aboveAverage="0" equalAverage="0" bottom="0" percent="0" rank="0" text="" dxfId="1">
      <formula>"Rejected"</formula>
    </cfRule>
    <cfRule type="cellIs" priority="30" operator="equal" aboveAverage="0" equalAverage="0" bottom="0" percent="0" rank="0" text="" dxfId="2">
      <formula>"Under Assessment"</formula>
    </cfRule>
  </conditionalFormatting>
  <conditionalFormatting sqref="G13">
    <cfRule type="cellIs" priority="31" operator="equal" aboveAverage="0" equalAverage="0" bottom="0" percent="0" rank="0" text="" dxfId="1">
      <formula>"Open"</formula>
    </cfRule>
    <cfRule type="cellIs" priority="32" operator="equal" aboveAverage="0" equalAverage="0" bottom="0" percent="0" rank="0" text="" dxfId="0">
      <formula>"Agreed"</formula>
    </cfRule>
    <cfRule type="cellIs" priority="33" operator="equal" aboveAverage="0" equalAverage="0" bottom="0" percent="0" rank="0" text="" dxfId="0">
      <formula>"Withdrawn"</formula>
    </cfRule>
    <cfRule type="cellIs" priority="34" operator="equal" aboveAverage="0" equalAverage="0" bottom="0" percent="0" rank="0" text="" dxfId="1">
      <formula>"Rejected"</formula>
    </cfRule>
    <cfRule type="cellIs" priority="35" operator="equal" aboveAverage="0" equalAverage="0" bottom="0" percent="0" rank="0" text="" dxfId="2">
      <formula>"Under Assessment"</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&amp;CEW / CE Aging Dashboard</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4" min="4" style="0" width="40"/>
    <col collapsed="false" customWidth="true" hidden="false" outlineLevel="0" max="5" min="5" style="0" width="12"/>
    <col collapsed="false" customWidth="true" hidden="false" outlineLevel="0" max="6" min="6" style="0" width="16"/>
    <col collapsed="false" customWidth="true" hidden="false" outlineLevel="0" max="8" min="7" style="0" width="14"/>
    <col collapsed="false" customWidth="true" hidden="false" outlineLevel="0" max="11" min="9" style="0" width="10"/>
    <col collapsed="false" customWidth="true" hidden="false" outlineLevel="0" max="13" min="12" style="0" width="16"/>
    <col collapsed="false" customWidth="true" hidden="false" outlineLevel="0" max="14" min="14" style="0" width="14"/>
    <col collapsed="false" customWidth="true" hidden="false" outlineLevel="0" max="15" min="15" style="0" width="30"/>
  </cols>
  <sheetData>
    <row r="1" customFormat="false" ht="41.75" hidden="false" customHeight="false" outlineLevel="0" collapsed="false">
      <c r="A1" s="19" t="s">
        <v>66</v>
      </c>
      <c r="B1" s="19" t="s">
        <v>67</v>
      </c>
      <c r="C1" s="19" t="s">
        <v>68</v>
      </c>
      <c r="D1" s="19" t="s">
        <v>69</v>
      </c>
      <c r="E1" s="19" t="s">
        <v>70</v>
      </c>
      <c r="F1" s="19" t="s">
        <v>71</v>
      </c>
      <c r="G1" s="19" t="s">
        <v>72</v>
      </c>
      <c r="H1" s="19" t="s">
        <v>73</v>
      </c>
      <c r="I1" s="19" t="s">
        <v>74</v>
      </c>
      <c r="J1" s="19" t="s">
        <v>75</v>
      </c>
      <c r="K1" s="19" t="s">
        <v>76</v>
      </c>
      <c r="L1" s="19" t="s">
        <v>50</v>
      </c>
      <c r="M1" s="19" t="s">
        <v>77</v>
      </c>
      <c r="N1" s="19" t="s">
        <v>78</v>
      </c>
      <c r="O1" s="19" t="s">
        <v>79</v>
      </c>
    </row>
    <row r="2" customFormat="false" ht="23.85" hidden="false" customHeight="false" outlineLevel="0" collapsed="false">
      <c r="A2" s="24" t="s">
        <v>80</v>
      </c>
      <c r="B2" s="24" t="s">
        <v>81</v>
      </c>
      <c r="C2" s="25" t="n">
        <v>46045</v>
      </c>
      <c r="D2" s="26" t="s">
        <v>82</v>
      </c>
      <c r="E2" s="24" t="s">
        <v>83</v>
      </c>
      <c r="F2" s="24" t="s">
        <v>84</v>
      </c>
      <c r="G2" s="25" t="n">
        <v>46059</v>
      </c>
      <c r="H2" s="25" t="n">
        <v>46050</v>
      </c>
      <c r="I2" s="27" t="n">
        <f aca="true">IF(C2="","",IF(H2&lt;&gt;"",H2-C2,TODAY()-C2))</f>
        <v>5</v>
      </c>
      <c r="J2" s="27" t="n">
        <f aca="false">IF(B2="Early Warning",14,IF(B2="Compensation Event",28,""))</f>
        <v>14</v>
      </c>
      <c r="K2" s="28" t="str">
        <f aca="false">IF(OR(C2="",J2=""),"",IF(AND(I2&gt;J2,OR(L2="Open",L2="")),"Yes","No"))</f>
        <v>No</v>
      </c>
      <c r="L2" s="24" t="s">
        <v>47</v>
      </c>
      <c r="M2" s="29" t="n">
        <v>45000</v>
      </c>
      <c r="N2" s="24" t="n">
        <v>2</v>
      </c>
      <c r="O2" s="26" t="s">
        <v>85</v>
      </c>
    </row>
    <row r="3" customFormat="false" ht="15" hidden="false" customHeight="false" outlineLevel="0" collapsed="false">
      <c r="A3" s="24" t="s">
        <v>86</v>
      </c>
      <c r="B3" s="24" t="s">
        <v>81</v>
      </c>
      <c r="C3" s="25" t="n">
        <v>46060</v>
      </c>
      <c r="D3" s="26" t="s">
        <v>87</v>
      </c>
      <c r="E3" s="24" t="s">
        <v>83</v>
      </c>
      <c r="F3" s="24" t="s">
        <v>88</v>
      </c>
      <c r="G3" s="25" t="n">
        <v>46074</v>
      </c>
      <c r="H3" s="25" t="n">
        <v>46063</v>
      </c>
      <c r="I3" s="27" t="n">
        <f aca="true">IF(C3="","",IF(H3&lt;&gt;"",H3-C3,TODAY()-C3))</f>
        <v>3</v>
      </c>
      <c r="J3" s="27" t="n">
        <f aca="false">IF(B3="Early Warning",14,IF(B3="Compensation Event",28,""))</f>
        <v>14</v>
      </c>
      <c r="K3" s="28" t="str">
        <f aca="false">IF(OR(C3="",J3=""),"",IF(AND(I3&gt;J3,OR(L3="Open",L3="")),"Yes","No"))</f>
        <v>No</v>
      </c>
      <c r="L3" s="24" t="s">
        <v>47</v>
      </c>
      <c r="M3" s="29" t="n">
        <v>0</v>
      </c>
      <c r="N3" s="24" t="n">
        <v>0</v>
      </c>
      <c r="O3" s="26" t="s">
        <v>89</v>
      </c>
    </row>
    <row r="4" customFormat="false" ht="15" hidden="false" customHeight="false" outlineLevel="0" collapsed="false">
      <c r="A4" s="24" t="s">
        <v>90</v>
      </c>
      <c r="B4" s="24" t="s">
        <v>81</v>
      </c>
      <c r="C4" s="25" t="n">
        <v>46095</v>
      </c>
      <c r="D4" s="26" t="s">
        <v>91</v>
      </c>
      <c r="E4" s="24" t="s">
        <v>83</v>
      </c>
      <c r="F4" s="24" t="s">
        <v>84</v>
      </c>
      <c r="G4" s="25" t="n">
        <v>46109</v>
      </c>
      <c r="H4" s="25"/>
      <c r="I4" s="27" t="n">
        <f aca="true">IF(C4="","",IF(H4&lt;&gt;"",H4-C4,TODAY()-C4))</f>
        <v>10</v>
      </c>
      <c r="J4" s="27" t="n">
        <f aca="false">IF(B4="Early Warning",14,IF(B4="Compensation Event",28,""))</f>
        <v>14</v>
      </c>
      <c r="K4" s="28" t="str">
        <f aca="false">IF(OR(C4="",J4=""),"",IF(AND(I4&gt;J4,OR(L4="Open",L4="")),"Yes","No"))</f>
        <v>No</v>
      </c>
      <c r="L4" s="24" t="s">
        <v>46</v>
      </c>
      <c r="M4" s="29" t="n">
        <v>0</v>
      </c>
      <c r="N4" s="24" t="n">
        <v>0</v>
      </c>
      <c r="O4" s="26" t="s">
        <v>92</v>
      </c>
    </row>
    <row r="5" customFormat="false" ht="23.85" hidden="false" customHeight="false" outlineLevel="0" collapsed="false">
      <c r="A5" s="24" t="s">
        <v>93</v>
      </c>
      <c r="B5" s="24" t="s">
        <v>81</v>
      </c>
      <c r="C5" s="25" t="n">
        <v>46100</v>
      </c>
      <c r="D5" s="26" t="s">
        <v>94</v>
      </c>
      <c r="E5" s="24" t="s">
        <v>83</v>
      </c>
      <c r="F5" s="24" t="s">
        <v>84</v>
      </c>
      <c r="G5" s="25" t="n">
        <v>46114</v>
      </c>
      <c r="H5" s="25"/>
      <c r="I5" s="27" t="n">
        <f aca="true">IF(C5="","",IF(H5&lt;&gt;"",H5-C5,TODAY()-C5))</f>
        <v>5</v>
      </c>
      <c r="J5" s="27" t="n">
        <f aca="false">IF(B5="Early Warning",14,IF(B5="Compensation Event",28,""))</f>
        <v>14</v>
      </c>
      <c r="K5" s="28" t="str">
        <f aca="false">IF(OR(C5="",J5=""),"",IF(AND(I5&gt;J5,OR(L5="Open",L5="")),"Yes","No"))</f>
        <v>No</v>
      </c>
      <c r="L5" s="24" t="s">
        <v>46</v>
      </c>
      <c r="M5" s="29" t="n">
        <v>0</v>
      </c>
      <c r="N5" s="24" t="n">
        <v>0</v>
      </c>
      <c r="O5" s="26"/>
    </row>
    <row r="6" customFormat="false" ht="15" hidden="false" customHeight="false" outlineLevel="0" collapsed="false">
      <c r="A6" s="24" t="s">
        <v>95</v>
      </c>
      <c r="B6" s="24" t="s">
        <v>81</v>
      </c>
      <c r="C6" s="25" t="n">
        <v>46075</v>
      </c>
      <c r="D6" s="26" t="s">
        <v>96</v>
      </c>
      <c r="E6" s="24" t="s">
        <v>83</v>
      </c>
      <c r="F6" s="24" t="s">
        <v>84</v>
      </c>
      <c r="G6" s="25" t="n">
        <v>46089</v>
      </c>
      <c r="H6" s="25" t="n">
        <v>46083</v>
      </c>
      <c r="I6" s="27" t="n">
        <f aca="true">IF(C6="","",IF(H6&lt;&gt;"",H6-C6,TODAY()-C6))</f>
        <v>8</v>
      </c>
      <c r="J6" s="27" t="n">
        <f aca="false">IF(B6="Early Warning",14,IF(B6="Compensation Event",28,""))</f>
        <v>14</v>
      </c>
      <c r="K6" s="28" t="str">
        <f aca="false">IF(OR(C6="",J6=""),"",IF(AND(I6&gt;J6,OR(L6="Open",L6="")),"Yes","No"))</f>
        <v>No</v>
      </c>
      <c r="L6" s="24" t="s">
        <v>58</v>
      </c>
      <c r="M6" s="29" t="n">
        <v>0</v>
      </c>
      <c r="N6" s="24" t="n">
        <v>0</v>
      </c>
      <c r="O6" s="26" t="s">
        <v>97</v>
      </c>
    </row>
    <row r="7" customFormat="false" ht="15" hidden="false" customHeight="false" outlineLevel="0" collapsed="false">
      <c r="A7" s="24" t="s">
        <v>98</v>
      </c>
      <c r="B7" s="24" t="s">
        <v>99</v>
      </c>
      <c r="C7" s="25" t="n">
        <v>46065</v>
      </c>
      <c r="D7" s="26" t="s">
        <v>100</v>
      </c>
      <c r="E7" s="24" t="s">
        <v>101</v>
      </c>
      <c r="F7" s="24" t="s">
        <v>88</v>
      </c>
      <c r="G7" s="25" t="n">
        <v>46093</v>
      </c>
      <c r="H7" s="25" t="n">
        <v>46070</v>
      </c>
      <c r="I7" s="27" t="n">
        <f aca="true">IF(C7="","",IF(H7&lt;&gt;"",H7-C7,TODAY()-C7))</f>
        <v>5</v>
      </c>
      <c r="J7" s="27" t="n">
        <f aca="false">IF(B7="Early Warning",14,IF(B7="Compensation Event",28,""))</f>
        <v>28</v>
      </c>
      <c r="K7" s="28" t="str">
        <f aca="false">IF(OR(C7="",J7=""),"",IF(AND(I7&gt;J7,OR(L7="Open",L7="")),"Yes","No"))</f>
        <v>No</v>
      </c>
      <c r="L7" s="24" t="s">
        <v>56</v>
      </c>
      <c r="M7" s="29" t="n">
        <v>82000</v>
      </c>
      <c r="N7" s="24" t="n">
        <v>3</v>
      </c>
      <c r="O7" s="26" t="s">
        <v>102</v>
      </c>
    </row>
    <row r="8" customFormat="false" ht="15" hidden="false" customHeight="false" outlineLevel="0" collapsed="false">
      <c r="A8" s="24" t="s">
        <v>103</v>
      </c>
      <c r="B8" s="24" t="s">
        <v>99</v>
      </c>
      <c r="C8" s="25" t="n">
        <v>46045</v>
      </c>
      <c r="D8" s="26" t="s">
        <v>104</v>
      </c>
      <c r="E8" s="24" t="s">
        <v>101</v>
      </c>
      <c r="F8" s="24" t="s">
        <v>88</v>
      </c>
      <c r="G8" s="25" t="n">
        <v>46073</v>
      </c>
      <c r="H8" s="25" t="n">
        <v>46047</v>
      </c>
      <c r="I8" s="27" t="n">
        <f aca="true">IF(C8="","",IF(H8&lt;&gt;"",H8-C8,TODAY()-C8))</f>
        <v>2</v>
      </c>
      <c r="J8" s="27" t="n">
        <f aca="false">IF(B8="Early Warning",14,IF(B8="Compensation Event",28,""))</f>
        <v>28</v>
      </c>
      <c r="K8" s="28" t="str">
        <f aca="false">IF(OR(C8="",J8=""),"",IF(AND(I8&gt;J8,OR(L8="Open",L8="")),"Yes","No"))</f>
        <v>No</v>
      </c>
      <c r="L8" s="24" t="s">
        <v>58</v>
      </c>
      <c r="M8" s="29" t="n">
        <v>-35000</v>
      </c>
      <c r="N8" s="24" t="n">
        <v>-1</v>
      </c>
      <c r="O8" s="26" t="s">
        <v>105</v>
      </c>
    </row>
    <row r="9" customFormat="false" ht="15" hidden="false" customHeight="false" outlineLevel="0" collapsed="false">
      <c r="A9" s="24" t="s">
        <v>106</v>
      </c>
      <c r="B9" s="24" t="s">
        <v>99</v>
      </c>
      <c r="C9" s="25" t="n">
        <v>46075</v>
      </c>
      <c r="D9" s="26" t="s">
        <v>107</v>
      </c>
      <c r="E9" s="24" t="s">
        <v>108</v>
      </c>
      <c r="F9" s="24" t="s">
        <v>84</v>
      </c>
      <c r="G9" s="25" t="n">
        <v>46103</v>
      </c>
      <c r="H9" s="25" t="n">
        <v>46085</v>
      </c>
      <c r="I9" s="27" t="n">
        <f aca="true">IF(C9="","",IF(H9&lt;&gt;"",H9-C9,TODAY()-C9))</f>
        <v>10</v>
      </c>
      <c r="J9" s="27" t="n">
        <f aca="false">IF(B9="Early Warning",14,IF(B9="Compensation Event",28,""))</f>
        <v>28</v>
      </c>
      <c r="K9" s="28" t="str">
        <f aca="false">IF(OR(C9="",J9=""),"",IF(AND(I9&gt;J9,OR(L9="Open",L9="")),"Yes","No"))</f>
        <v>No</v>
      </c>
      <c r="L9" s="24" t="s">
        <v>58</v>
      </c>
      <c r="M9" s="29" t="n">
        <v>48150</v>
      </c>
      <c r="N9" s="24" t="n">
        <v>0</v>
      </c>
      <c r="O9" s="26" t="s">
        <v>109</v>
      </c>
    </row>
    <row r="10" customFormat="false" ht="23.85" hidden="false" customHeight="false" outlineLevel="0" collapsed="false">
      <c r="A10" s="24" t="s">
        <v>110</v>
      </c>
      <c r="B10" s="24" t="s">
        <v>99</v>
      </c>
      <c r="C10" s="25" t="n">
        <v>46080</v>
      </c>
      <c r="D10" s="26" t="s">
        <v>111</v>
      </c>
      <c r="E10" s="24" t="s">
        <v>112</v>
      </c>
      <c r="F10" s="24" t="s">
        <v>84</v>
      </c>
      <c r="G10" s="25" t="n">
        <v>46108</v>
      </c>
      <c r="H10" s="25"/>
      <c r="I10" s="27" t="n">
        <f aca="true">IF(C10="","",IF(H10&lt;&gt;"",H10-C10,TODAY()-C10))</f>
        <v>25</v>
      </c>
      <c r="J10" s="27" t="n">
        <f aca="false">IF(B10="Early Warning",14,IF(B10="Compensation Event",28,""))</f>
        <v>28</v>
      </c>
      <c r="K10" s="28" t="str">
        <f aca="false">IF(OR(C10="",J10=""),"",IF(AND(I10&gt;J10,OR(L10="Open",L10="")),"Yes","No"))</f>
        <v>No</v>
      </c>
      <c r="L10" s="24" t="s">
        <v>46</v>
      </c>
      <c r="M10" s="29" t="n">
        <v>126000</v>
      </c>
      <c r="N10" s="24" t="n">
        <v>3</v>
      </c>
      <c r="O10" s="26" t="s">
        <v>113</v>
      </c>
    </row>
    <row r="11" customFormat="false" ht="23.85" hidden="false" customHeight="false" outlineLevel="0" collapsed="false">
      <c r="A11" s="24" t="s">
        <v>114</v>
      </c>
      <c r="B11" s="24" t="s">
        <v>99</v>
      </c>
      <c r="C11" s="25" t="n">
        <v>46055</v>
      </c>
      <c r="D11" s="26" t="s">
        <v>115</v>
      </c>
      <c r="E11" s="24" t="s">
        <v>112</v>
      </c>
      <c r="F11" s="24" t="s">
        <v>84</v>
      </c>
      <c r="G11" s="25" t="n">
        <v>46083</v>
      </c>
      <c r="H11" s="25"/>
      <c r="I11" s="27" t="n">
        <f aca="true">IF(C11="","",IF(H11&lt;&gt;"",H11-C11,TODAY()-C11))</f>
        <v>50</v>
      </c>
      <c r="J11" s="27" t="n">
        <f aca="false">IF(B11="Early Warning",14,IF(B11="Compensation Event",28,""))</f>
        <v>28</v>
      </c>
      <c r="K11" s="28" t="str">
        <f aca="false">IF(OR(C11="",J11=""),"",IF(AND(I11&gt;J11,OR(L11="Open",L11="")),"Yes","No"))</f>
        <v>No</v>
      </c>
      <c r="L11" s="24" t="s">
        <v>59</v>
      </c>
      <c r="M11" s="29" t="n">
        <v>64000</v>
      </c>
      <c r="N11" s="24" t="n">
        <v>0</v>
      </c>
      <c r="O11" s="26" t="s">
        <v>116</v>
      </c>
    </row>
    <row r="12" customFormat="false" ht="15" hidden="false" customHeight="false" outlineLevel="0" collapsed="false">
      <c r="A12" s="24"/>
      <c r="B12" s="24"/>
      <c r="C12" s="25"/>
      <c r="D12" s="26"/>
      <c r="E12" s="24"/>
      <c r="F12" s="24"/>
      <c r="G12" s="25"/>
      <c r="H12" s="25"/>
      <c r="I12" s="27" t="str">
        <f aca="true">IF(C12="","",IF(H12&lt;&gt;"",H12-C12,TODAY()-C12))</f>
        <v/>
      </c>
      <c r="J12" s="27" t="str">
        <f aca="false">IF(B12="Early Warning",14,IF(B12="Compensation Event",28,""))</f>
        <v/>
      </c>
      <c r="K12" s="28" t="str">
        <f aca="false">IF(OR(C12="",J12=""),"",IF(AND(I12&gt;J12,OR(L12="Open",L12="")),"Yes","No"))</f>
        <v/>
      </c>
      <c r="L12" s="24"/>
      <c r="M12" s="29"/>
      <c r="N12" s="24"/>
      <c r="O12" s="26"/>
    </row>
    <row r="13" customFormat="false" ht="15" hidden="false" customHeight="false" outlineLevel="0" collapsed="false">
      <c r="A13" s="24"/>
      <c r="B13" s="24"/>
      <c r="C13" s="25"/>
      <c r="D13" s="26"/>
      <c r="E13" s="24"/>
      <c r="F13" s="24"/>
      <c r="G13" s="25"/>
      <c r="H13" s="25"/>
      <c r="I13" s="27" t="str">
        <f aca="true">IF(C13="","",IF(H13&lt;&gt;"",H13-C13,TODAY()-C13))</f>
        <v/>
      </c>
      <c r="J13" s="27" t="str">
        <f aca="false">IF(B13="Early Warning",14,IF(B13="Compensation Event",28,""))</f>
        <v/>
      </c>
      <c r="K13" s="28" t="str">
        <f aca="false">IF(OR(C13="",J13=""),"",IF(AND(I13&gt;J13,OR(L13="Open",L13="")),"Yes","No"))</f>
        <v/>
      </c>
      <c r="L13" s="24"/>
      <c r="M13" s="29"/>
      <c r="N13" s="24"/>
      <c r="O13" s="26"/>
    </row>
    <row r="14" customFormat="false" ht="15" hidden="false" customHeight="false" outlineLevel="0" collapsed="false">
      <c r="A14" s="24"/>
      <c r="B14" s="24"/>
      <c r="C14" s="25"/>
      <c r="D14" s="26"/>
      <c r="E14" s="24"/>
      <c r="F14" s="24"/>
      <c r="G14" s="25"/>
      <c r="H14" s="25"/>
      <c r="I14" s="27" t="str">
        <f aca="true">IF(C14="","",IF(H14&lt;&gt;"",H14-C14,TODAY()-C14))</f>
        <v/>
      </c>
      <c r="J14" s="27" t="str">
        <f aca="false">IF(B14="Early Warning",14,IF(B14="Compensation Event",28,""))</f>
        <v/>
      </c>
      <c r="K14" s="28" t="str">
        <f aca="false">IF(OR(C14="",J14=""),"",IF(AND(I14&gt;J14,OR(L14="Open",L14="")),"Yes","No"))</f>
        <v/>
      </c>
      <c r="L14" s="24"/>
      <c r="M14" s="29"/>
      <c r="N14" s="24"/>
      <c r="O14" s="26"/>
    </row>
    <row r="15" customFormat="false" ht="15" hidden="false" customHeight="false" outlineLevel="0" collapsed="false">
      <c r="A15" s="24"/>
      <c r="B15" s="24"/>
      <c r="C15" s="25"/>
      <c r="D15" s="26"/>
      <c r="E15" s="24"/>
      <c r="F15" s="24"/>
      <c r="G15" s="25"/>
      <c r="H15" s="25"/>
      <c r="I15" s="27" t="str">
        <f aca="true">IF(C15="","",IF(H15&lt;&gt;"",H15-C15,TODAY()-C15))</f>
        <v/>
      </c>
      <c r="J15" s="27" t="str">
        <f aca="false">IF(B15="Early Warning",14,IF(B15="Compensation Event",28,""))</f>
        <v/>
      </c>
      <c r="K15" s="28" t="str">
        <f aca="false">IF(OR(C15="",J15=""),"",IF(AND(I15&gt;J15,OR(L15="Open",L15="")),"Yes","No"))</f>
        <v/>
      </c>
      <c r="L15" s="24"/>
      <c r="M15" s="29"/>
      <c r="N15" s="24"/>
      <c r="O15" s="26"/>
    </row>
    <row r="16" customFormat="false" ht="15" hidden="false" customHeight="false" outlineLevel="0" collapsed="false">
      <c r="A16" s="24"/>
      <c r="B16" s="24"/>
      <c r="C16" s="25"/>
      <c r="D16" s="26"/>
      <c r="E16" s="24"/>
      <c r="F16" s="24"/>
      <c r="G16" s="25"/>
      <c r="H16" s="25"/>
      <c r="I16" s="27" t="str">
        <f aca="true">IF(C16="","",IF(H16&lt;&gt;"",H16-C16,TODAY()-C16))</f>
        <v/>
      </c>
      <c r="J16" s="27" t="str">
        <f aca="false">IF(B16="Early Warning",14,IF(B16="Compensation Event",28,""))</f>
        <v/>
      </c>
      <c r="K16" s="28" t="str">
        <f aca="false">IF(OR(C16="",J16=""),"",IF(AND(I16&gt;J16,OR(L16="Open",L16="")),"Yes","No"))</f>
        <v/>
      </c>
      <c r="L16" s="24"/>
      <c r="M16" s="29"/>
      <c r="N16" s="24"/>
      <c r="O16" s="26"/>
    </row>
    <row r="17" customFormat="false" ht="15" hidden="false" customHeight="false" outlineLevel="0" collapsed="false">
      <c r="A17" s="24"/>
      <c r="B17" s="24"/>
      <c r="C17" s="25"/>
      <c r="D17" s="26"/>
      <c r="E17" s="24"/>
      <c r="F17" s="24"/>
      <c r="G17" s="25"/>
      <c r="H17" s="25"/>
      <c r="I17" s="27" t="str">
        <f aca="true">IF(C17="","",IF(H17&lt;&gt;"",H17-C17,TODAY()-C17))</f>
        <v/>
      </c>
      <c r="J17" s="27" t="str">
        <f aca="false">IF(B17="Early Warning",14,IF(B17="Compensation Event",28,""))</f>
        <v/>
      </c>
      <c r="K17" s="28" t="str">
        <f aca="false">IF(OR(C17="",J17=""),"",IF(AND(I17&gt;J17,OR(L17="Open",L17="")),"Yes","No"))</f>
        <v/>
      </c>
      <c r="L17" s="24"/>
      <c r="M17" s="29"/>
      <c r="N17" s="24"/>
      <c r="O17" s="26"/>
    </row>
    <row r="18" customFormat="false" ht="15" hidden="false" customHeight="false" outlineLevel="0" collapsed="false">
      <c r="A18" s="24"/>
      <c r="B18" s="24"/>
      <c r="C18" s="25"/>
      <c r="D18" s="26"/>
      <c r="E18" s="24"/>
      <c r="F18" s="24"/>
      <c r="G18" s="25"/>
      <c r="H18" s="25"/>
      <c r="I18" s="27" t="str">
        <f aca="true">IF(C18="","",IF(H18&lt;&gt;"",H18-C18,TODAY()-C18))</f>
        <v/>
      </c>
      <c r="J18" s="27" t="str">
        <f aca="false">IF(B18="Early Warning",14,IF(B18="Compensation Event",28,""))</f>
        <v/>
      </c>
      <c r="K18" s="28" t="str">
        <f aca="false">IF(OR(C18="",J18=""),"",IF(AND(I18&gt;J18,OR(L18="Open",L18="")),"Yes","No"))</f>
        <v/>
      </c>
      <c r="L18" s="24"/>
      <c r="M18" s="29"/>
      <c r="N18" s="24"/>
      <c r="O18" s="26"/>
    </row>
    <row r="19" customFormat="false" ht="15" hidden="false" customHeight="false" outlineLevel="0" collapsed="false">
      <c r="A19" s="24"/>
      <c r="B19" s="24"/>
      <c r="C19" s="25"/>
      <c r="D19" s="26"/>
      <c r="E19" s="24"/>
      <c r="F19" s="24"/>
      <c r="G19" s="25"/>
      <c r="H19" s="25"/>
      <c r="I19" s="27" t="str">
        <f aca="true">IF(C19="","",IF(H19&lt;&gt;"",H19-C19,TODAY()-C19))</f>
        <v/>
      </c>
      <c r="J19" s="27" t="str">
        <f aca="false">IF(B19="Early Warning",14,IF(B19="Compensation Event",28,""))</f>
        <v/>
      </c>
      <c r="K19" s="28" t="str">
        <f aca="false">IF(OR(C19="",J19=""),"",IF(AND(I19&gt;J19,OR(L19="Open",L19="")),"Yes","No"))</f>
        <v/>
      </c>
      <c r="L19" s="24"/>
      <c r="M19" s="29"/>
      <c r="N19" s="24"/>
      <c r="O19" s="26"/>
    </row>
    <row r="20" customFormat="false" ht="15" hidden="false" customHeight="false" outlineLevel="0" collapsed="false">
      <c r="A20" s="24"/>
      <c r="B20" s="24"/>
      <c r="C20" s="25"/>
      <c r="D20" s="26"/>
      <c r="E20" s="24"/>
      <c r="F20" s="24"/>
      <c r="G20" s="25"/>
      <c r="H20" s="25"/>
      <c r="I20" s="27" t="str">
        <f aca="true">IF(C20="","",IF(H20&lt;&gt;"",H20-C20,TODAY()-C20))</f>
        <v/>
      </c>
      <c r="J20" s="27" t="str">
        <f aca="false">IF(B20="Early Warning",14,IF(B20="Compensation Event",28,""))</f>
        <v/>
      </c>
      <c r="K20" s="28" t="str">
        <f aca="false">IF(OR(C20="",J20=""),"",IF(AND(I20&gt;J20,OR(L20="Open",L20="")),"Yes","No"))</f>
        <v/>
      </c>
      <c r="L20" s="24"/>
      <c r="M20" s="29"/>
      <c r="N20" s="24"/>
      <c r="O20" s="26"/>
    </row>
    <row r="21" customFormat="false" ht="15" hidden="false" customHeight="false" outlineLevel="0" collapsed="false">
      <c r="A21" s="24"/>
      <c r="B21" s="24"/>
      <c r="C21" s="25"/>
      <c r="D21" s="26"/>
      <c r="E21" s="24"/>
      <c r="F21" s="24"/>
      <c r="G21" s="25"/>
      <c r="H21" s="25"/>
      <c r="I21" s="27" t="str">
        <f aca="true">IF(C21="","",IF(H21&lt;&gt;"",H21-C21,TODAY()-C21))</f>
        <v/>
      </c>
      <c r="J21" s="27" t="str">
        <f aca="false">IF(B21="Early Warning",14,IF(B21="Compensation Event",28,""))</f>
        <v/>
      </c>
      <c r="K21" s="28" t="str">
        <f aca="false">IF(OR(C21="",J21=""),"",IF(AND(I21&gt;J21,OR(L21="Open",L21="")),"Yes","No"))</f>
        <v/>
      </c>
      <c r="L21" s="24"/>
      <c r="M21" s="29"/>
      <c r="N21" s="24"/>
      <c r="O21" s="26"/>
    </row>
    <row r="22" customFormat="false" ht="15" hidden="false" customHeight="false" outlineLevel="0" collapsed="false">
      <c r="A22" s="24"/>
      <c r="B22" s="24"/>
      <c r="C22" s="25"/>
      <c r="D22" s="26"/>
      <c r="E22" s="24"/>
      <c r="F22" s="24"/>
      <c r="G22" s="25"/>
      <c r="H22" s="25"/>
      <c r="I22" s="27" t="str">
        <f aca="true">IF(C22="","",IF(H22&lt;&gt;"",H22-C22,TODAY()-C22))</f>
        <v/>
      </c>
      <c r="J22" s="27" t="str">
        <f aca="false">IF(B22="Early Warning",14,IF(B22="Compensation Event",28,""))</f>
        <v/>
      </c>
      <c r="K22" s="28" t="str">
        <f aca="false">IF(OR(C22="",J22=""),"",IF(AND(I22&gt;J22,OR(L22="Open",L22="")),"Yes","No"))</f>
        <v/>
      </c>
      <c r="L22" s="24"/>
      <c r="M22" s="29"/>
      <c r="N22" s="24"/>
      <c r="O22" s="26"/>
    </row>
    <row r="23" customFormat="false" ht="15" hidden="false" customHeight="false" outlineLevel="0" collapsed="false">
      <c r="A23" s="24"/>
      <c r="B23" s="24"/>
      <c r="C23" s="25"/>
      <c r="D23" s="26"/>
      <c r="E23" s="24"/>
      <c r="F23" s="24"/>
      <c r="G23" s="25"/>
      <c r="H23" s="25"/>
      <c r="I23" s="27" t="str">
        <f aca="true">IF(C23="","",IF(H23&lt;&gt;"",H23-C23,TODAY()-C23))</f>
        <v/>
      </c>
      <c r="J23" s="27" t="str">
        <f aca="false">IF(B23="Early Warning",14,IF(B23="Compensation Event",28,""))</f>
        <v/>
      </c>
      <c r="K23" s="28" t="str">
        <f aca="false">IF(OR(C23="",J23=""),"",IF(AND(I23&gt;J23,OR(L23="Open",L23="")),"Yes","No"))</f>
        <v/>
      </c>
      <c r="L23" s="24"/>
      <c r="M23" s="29"/>
      <c r="N23" s="24"/>
      <c r="O23" s="26"/>
    </row>
    <row r="24" customFormat="false" ht="15" hidden="false" customHeight="false" outlineLevel="0" collapsed="false">
      <c r="A24" s="24"/>
      <c r="B24" s="24"/>
      <c r="C24" s="25"/>
      <c r="D24" s="26"/>
      <c r="E24" s="24"/>
      <c r="F24" s="24"/>
      <c r="G24" s="25"/>
      <c r="H24" s="25"/>
      <c r="I24" s="27" t="str">
        <f aca="true">IF(C24="","",IF(H24&lt;&gt;"",H24-C24,TODAY()-C24))</f>
        <v/>
      </c>
      <c r="J24" s="27" t="str">
        <f aca="false">IF(B24="Early Warning",14,IF(B24="Compensation Event",28,""))</f>
        <v/>
      </c>
      <c r="K24" s="28" t="str">
        <f aca="false">IF(OR(C24="",J24=""),"",IF(AND(I24&gt;J24,OR(L24="Open",L24="")),"Yes","No"))</f>
        <v/>
      </c>
      <c r="L24" s="24"/>
      <c r="M24" s="29"/>
      <c r="N24" s="24"/>
      <c r="O24" s="26"/>
    </row>
    <row r="25" customFormat="false" ht="15" hidden="false" customHeight="false" outlineLevel="0" collapsed="false">
      <c r="A25" s="24"/>
      <c r="B25" s="24"/>
      <c r="C25" s="25"/>
      <c r="D25" s="26"/>
      <c r="E25" s="24"/>
      <c r="F25" s="24"/>
      <c r="G25" s="25"/>
      <c r="H25" s="25"/>
      <c r="I25" s="27" t="str">
        <f aca="true">IF(C25="","",IF(H25&lt;&gt;"",H25-C25,TODAY()-C25))</f>
        <v/>
      </c>
      <c r="J25" s="27" t="str">
        <f aca="false">IF(B25="Early Warning",14,IF(B25="Compensation Event",28,""))</f>
        <v/>
      </c>
      <c r="K25" s="28" t="str">
        <f aca="false">IF(OR(C25="",J25=""),"",IF(AND(I25&gt;J25,OR(L25="Open",L25="")),"Yes","No"))</f>
        <v/>
      </c>
      <c r="L25" s="24"/>
      <c r="M25" s="29"/>
      <c r="N25" s="24"/>
      <c r="O25" s="26"/>
    </row>
    <row r="26" customFormat="false" ht="15" hidden="false" customHeight="false" outlineLevel="0" collapsed="false">
      <c r="A26" s="24"/>
      <c r="B26" s="24"/>
      <c r="C26" s="25"/>
      <c r="D26" s="26"/>
      <c r="E26" s="24"/>
      <c r="F26" s="24"/>
      <c r="G26" s="25"/>
      <c r="H26" s="25"/>
      <c r="I26" s="27" t="str">
        <f aca="true">IF(C26="","",IF(H26&lt;&gt;"",H26-C26,TODAY()-C26))</f>
        <v/>
      </c>
      <c r="J26" s="27" t="str">
        <f aca="false">IF(B26="Early Warning",14,IF(B26="Compensation Event",28,""))</f>
        <v/>
      </c>
      <c r="K26" s="28" t="str">
        <f aca="false">IF(OR(C26="",J26=""),"",IF(AND(I26&gt;J26,OR(L26="Open",L26="")),"Yes","No"))</f>
        <v/>
      </c>
      <c r="L26" s="24"/>
      <c r="M26" s="29"/>
      <c r="N26" s="24"/>
      <c r="O26" s="26"/>
    </row>
    <row r="27" customFormat="false" ht="15" hidden="false" customHeight="false" outlineLevel="0" collapsed="false">
      <c r="A27" s="24"/>
      <c r="B27" s="24"/>
      <c r="C27" s="25"/>
      <c r="D27" s="26"/>
      <c r="E27" s="24"/>
      <c r="F27" s="24"/>
      <c r="G27" s="25"/>
      <c r="H27" s="25"/>
      <c r="I27" s="27" t="str">
        <f aca="true">IF(C27="","",IF(H27&lt;&gt;"",H27-C27,TODAY()-C27))</f>
        <v/>
      </c>
      <c r="J27" s="27" t="str">
        <f aca="false">IF(B27="Early Warning",14,IF(B27="Compensation Event",28,""))</f>
        <v/>
      </c>
      <c r="K27" s="28" t="str">
        <f aca="false">IF(OR(C27="",J27=""),"",IF(AND(I27&gt;J27,OR(L27="Open",L27="")),"Yes","No"))</f>
        <v/>
      </c>
      <c r="L27" s="24"/>
      <c r="M27" s="29"/>
      <c r="N27" s="24"/>
      <c r="O27" s="26"/>
    </row>
    <row r="28" customFormat="false" ht="15" hidden="false" customHeight="false" outlineLevel="0" collapsed="false">
      <c r="A28" s="24"/>
      <c r="B28" s="24"/>
      <c r="C28" s="25"/>
      <c r="D28" s="26"/>
      <c r="E28" s="24"/>
      <c r="F28" s="24"/>
      <c r="G28" s="25"/>
      <c r="H28" s="25"/>
      <c r="I28" s="27" t="str">
        <f aca="true">IF(C28="","",IF(H28&lt;&gt;"",H28-C28,TODAY()-C28))</f>
        <v/>
      </c>
      <c r="J28" s="27" t="str">
        <f aca="false">IF(B28="Early Warning",14,IF(B28="Compensation Event",28,""))</f>
        <v/>
      </c>
      <c r="K28" s="28" t="str">
        <f aca="false">IF(OR(C28="",J28=""),"",IF(AND(I28&gt;J28,OR(L28="Open",L28="")),"Yes","No"))</f>
        <v/>
      </c>
      <c r="L28" s="24"/>
      <c r="M28" s="29"/>
      <c r="N28" s="24"/>
      <c r="O28" s="26"/>
    </row>
    <row r="29" customFormat="false" ht="15" hidden="false" customHeight="false" outlineLevel="0" collapsed="false">
      <c r="A29" s="24"/>
      <c r="B29" s="24"/>
      <c r="C29" s="25"/>
      <c r="D29" s="26"/>
      <c r="E29" s="24"/>
      <c r="F29" s="24"/>
      <c r="G29" s="25"/>
      <c r="H29" s="25"/>
      <c r="I29" s="27" t="str">
        <f aca="true">IF(C29="","",IF(H29&lt;&gt;"",H29-C29,TODAY()-C29))</f>
        <v/>
      </c>
      <c r="J29" s="27" t="str">
        <f aca="false">IF(B29="Early Warning",14,IF(B29="Compensation Event",28,""))</f>
        <v/>
      </c>
      <c r="K29" s="28" t="str">
        <f aca="false">IF(OR(C29="",J29=""),"",IF(AND(I29&gt;J29,OR(L29="Open",L29="")),"Yes","No"))</f>
        <v/>
      </c>
      <c r="L29" s="24"/>
      <c r="M29" s="29"/>
      <c r="N29" s="24"/>
      <c r="O29" s="26"/>
    </row>
    <row r="30" customFormat="false" ht="15" hidden="false" customHeight="false" outlineLevel="0" collapsed="false">
      <c r="A30" s="24"/>
      <c r="B30" s="24"/>
      <c r="C30" s="25"/>
      <c r="D30" s="26"/>
      <c r="E30" s="24"/>
      <c r="F30" s="24"/>
      <c r="G30" s="25"/>
      <c r="H30" s="25"/>
      <c r="I30" s="27" t="str">
        <f aca="true">IF(C30="","",IF(H30&lt;&gt;"",H30-C30,TODAY()-C30))</f>
        <v/>
      </c>
      <c r="J30" s="27" t="str">
        <f aca="false">IF(B30="Early Warning",14,IF(B30="Compensation Event",28,""))</f>
        <v/>
      </c>
      <c r="K30" s="28" t="str">
        <f aca="false">IF(OR(C30="",J30=""),"",IF(AND(I30&gt;J30,OR(L30="Open",L30="")),"Yes","No"))</f>
        <v/>
      </c>
      <c r="L30" s="24"/>
      <c r="M30" s="29"/>
      <c r="N30" s="24"/>
      <c r="O30" s="26"/>
    </row>
    <row r="31" customFormat="false" ht="15" hidden="false" customHeight="false" outlineLevel="0" collapsed="false">
      <c r="A31" s="24"/>
      <c r="B31" s="24"/>
      <c r="C31" s="25"/>
      <c r="D31" s="26"/>
      <c r="E31" s="24"/>
      <c r="F31" s="24"/>
      <c r="G31" s="25"/>
      <c r="H31" s="25"/>
      <c r="I31" s="27" t="str">
        <f aca="true">IF(C31="","",IF(H31&lt;&gt;"",H31-C31,TODAY()-C31))</f>
        <v/>
      </c>
      <c r="J31" s="27" t="str">
        <f aca="false">IF(B31="Early Warning",14,IF(B31="Compensation Event",28,""))</f>
        <v/>
      </c>
      <c r="K31" s="28" t="str">
        <f aca="false">IF(OR(C31="",J31=""),"",IF(AND(I31&gt;J31,OR(L31="Open",L31="")),"Yes","No"))</f>
        <v/>
      </c>
      <c r="L31" s="24"/>
      <c r="M31" s="29"/>
      <c r="N31" s="24"/>
      <c r="O31" s="26"/>
    </row>
    <row r="32" customFormat="false" ht="15" hidden="false" customHeight="false" outlineLevel="0" collapsed="false">
      <c r="A32" s="24"/>
      <c r="B32" s="24"/>
      <c r="C32" s="25"/>
      <c r="D32" s="26"/>
      <c r="E32" s="24"/>
      <c r="F32" s="24"/>
      <c r="G32" s="25"/>
      <c r="H32" s="25"/>
      <c r="I32" s="27" t="str">
        <f aca="true">IF(C32="","",IF(H32&lt;&gt;"",H32-C32,TODAY()-C32))</f>
        <v/>
      </c>
      <c r="J32" s="27" t="str">
        <f aca="false">IF(B32="Early Warning",14,IF(B32="Compensation Event",28,""))</f>
        <v/>
      </c>
      <c r="K32" s="28" t="str">
        <f aca="false">IF(OR(C32="",J32=""),"",IF(AND(I32&gt;J32,OR(L32="Open",L32="")),"Yes","No"))</f>
        <v/>
      </c>
      <c r="L32" s="24"/>
      <c r="M32" s="29"/>
      <c r="N32" s="24"/>
      <c r="O32" s="26"/>
    </row>
    <row r="33" customFormat="false" ht="15" hidden="false" customHeight="false" outlineLevel="0" collapsed="false">
      <c r="A33" s="24"/>
      <c r="B33" s="24"/>
      <c r="C33" s="25"/>
      <c r="D33" s="26"/>
      <c r="E33" s="24"/>
      <c r="F33" s="24"/>
      <c r="G33" s="25"/>
      <c r="H33" s="25"/>
      <c r="I33" s="27" t="str">
        <f aca="true">IF(C33="","",IF(H33&lt;&gt;"",H33-C33,TODAY()-C33))</f>
        <v/>
      </c>
      <c r="J33" s="27" t="str">
        <f aca="false">IF(B33="Early Warning",14,IF(B33="Compensation Event",28,""))</f>
        <v/>
      </c>
      <c r="K33" s="28" t="str">
        <f aca="false">IF(OR(C33="",J33=""),"",IF(AND(I33&gt;J33,OR(L33="Open",L33="")),"Yes","No"))</f>
        <v/>
      </c>
      <c r="L33" s="24"/>
      <c r="M33" s="29"/>
      <c r="N33" s="24"/>
      <c r="O33" s="26"/>
    </row>
    <row r="34" customFormat="false" ht="15" hidden="false" customHeight="false" outlineLevel="0" collapsed="false">
      <c r="A34" s="24"/>
      <c r="B34" s="24"/>
      <c r="C34" s="25"/>
      <c r="D34" s="26"/>
      <c r="E34" s="24"/>
      <c r="F34" s="24"/>
      <c r="G34" s="25"/>
      <c r="H34" s="25"/>
      <c r="I34" s="27" t="str">
        <f aca="true">IF(C34="","",IF(H34&lt;&gt;"",H34-C34,TODAY()-C34))</f>
        <v/>
      </c>
      <c r="J34" s="27" t="str">
        <f aca="false">IF(B34="Early Warning",14,IF(B34="Compensation Event",28,""))</f>
        <v/>
      </c>
      <c r="K34" s="28" t="str">
        <f aca="false">IF(OR(C34="",J34=""),"",IF(AND(I34&gt;J34,OR(L34="Open",L34="")),"Yes","No"))</f>
        <v/>
      </c>
      <c r="L34" s="24"/>
      <c r="M34" s="29"/>
      <c r="N34" s="24"/>
      <c r="O34" s="26"/>
    </row>
    <row r="35" customFormat="false" ht="15" hidden="false" customHeight="false" outlineLevel="0" collapsed="false">
      <c r="A35" s="24"/>
      <c r="B35" s="24"/>
      <c r="C35" s="25"/>
      <c r="D35" s="26"/>
      <c r="E35" s="24"/>
      <c r="F35" s="24"/>
      <c r="G35" s="25"/>
      <c r="H35" s="25"/>
      <c r="I35" s="27" t="str">
        <f aca="true">IF(C35="","",IF(H35&lt;&gt;"",H35-C35,TODAY()-C35))</f>
        <v/>
      </c>
      <c r="J35" s="27" t="str">
        <f aca="false">IF(B35="Early Warning",14,IF(B35="Compensation Event",28,""))</f>
        <v/>
      </c>
      <c r="K35" s="28" t="str">
        <f aca="false">IF(OR(C35="",J35=""),"",IF(AND(I35&gt;J35,OR(L35="Open",L35="")),"Yes","No"))</f>
        <v/>
      </c>
      <c r="L35" s="24"/>
      <c r="M35" s="29"/>
      <c r="N35" s="24"/>
      <c r="O35" s="26"/>
    </row>
    <row r="36" customFormat="false" ht="15" hidden="false" customHeight="false" outlineLevel="0" collapsed="false">
      <c r="A36" s="24"/>
      <c r="B36" s="24"/>
      <c r="C36" s="25"/>
      <c r="D36" s="26"/>
      <c r="E36" s="24"/>
      <c r="F36" s="24"/>
      <c r="G36" s="25"/>
      <c r="H36" s="25"/>
      <c r="I36" s="27" t="str">
        <f aca="true">IF(C36="","",IF(H36&lt;&gt;"",H36-C36,TODAY()-C36))</f>
        <v/>
      </c>
      <c r="J36" s="27" t="str">
        <f aca="false">IF(B36="Early Warning",14,IF(B36="Compensation Event",28,""))</f>
        <v/>
      </c>
      <c r="K36" s="28" t="str">
        <f aca="false">IF(OR(C36="",J36=""),"",IF(AND(I36&gt;J36,OR(L36="Open",L36="")),"Yes","No"))</f>
        <v/>
      </c>
      <c r="L36" s="24"/>
      <c r="M36" s="29"/>
      <c r="N36" s="24"/>
      <c r="O36" s="26"/>
    </row>
    <row r="37" customFormat="false" ht="15" hidden="false" customHeight="false" outlineLevel="0" collapsed="false">
      <c r="A37" s="24"/>
      <c r="B37" s="24"/>
      <c r="C37" s="25"/>
      <c r="D37" s="26"/>
      <c r="E37" s="24"/>
      <c r="F37" s="24"/>
      <c r="G37" s="25"/>
      <c r="H37" s="25"/>
      <c r="I37" s="27" t="str">
        <f aca="true">IF(C37="","",IF(H37&lt;&gt;"",H37-C37,TODAY()-C37))</f>
        <v/>
      </c>
      <c r="J37" s="27" t="str">
        <f aca="false">IF(B37="Early Warning",14,IF(B37="Compensation Event",28,""))</f>
        <v/>
      </c>
      <c r="K37" s="28" t="str">
        <f aca="false">IF(OR(C37="",J37=""),"",IF(AND(I37&gt;J37,OR(L37="Open",L37="")),"Yes","No"))</f>
        <v/>
      </c>
      <c r="L37" s="24"/>
      <c r="M37" s="29"/>
      <c r="N37" s="24"/>
      <c r="O37" s="26"/>
    </row>
    <row r="38" customFormat="false" ht="15" hidden="false" customHeight="false" outlineLevel="0" collapsed="false">
      <c r="A38" s="24"/>
      <c r="B38" s="24"/>
      <c r="C38" s="25"/>
      <c r="D38" s="26"/>
      <c r="E38" s="24"/>
      <c r="F38" s="24"/>
      <c r="G38" s="25"/>
      <c r="H38" s="25"/>
      <c r="I38" s="27" t="str">
        <f aca="true">IF(C38="","",IF(H38&lt;&gt;"",H38-C38,TODAY()-C38))</f>
        <v/>
      </c>
      <c r="J38" s="27" t="str">
        <f aca="false">IF(B38="Early Warning",14,IF(B38="Compensation Event",28,""))</f>
        <v/>
      </c>
      <c r="K38" s="28" t="str">
        <f aca="false">IF(OR(C38="",J38=""),"",IF(AND(I38&gt;J38,OR(L38="Open",L38="")),"Yes","No"))</f>
        <v/>
      </c>
      <c r="L38" s="24"/>
      <c r="M38" s="29"/>
      <c r="N38" s="24"/>
      <c r="O38" s="26"/>
    </row>
    <row r="39" customFormat="false" ht="15" hidden="false" customHeight="false" outlineLevel="0" collapsed="false">
      <c r="A39" s="24"/>
      <c r="B39" s="24"/>
      <c r="C39" s="25"/>
      <c r="D39" s="26"/>
      <c r="E39" s="24"/>
      <c r="F39" s="24"/>
      <c r="G39" s="25"/>
      <c r="H39" s="25"/>
      <c r="I39" s="27" t="str">
        <f aca="true">IF(C39="","",IF(H39&lt;&gt;"",H39-C39,TODAY()-C39))</f>
        <v/>
      </c>
      <c r="J39" s="27" t="str">
        <f aca="false">IF(B39="Early Warning",14,IF(B39="Compensation Event",28,""))</f>
        <v/>
      </c>
      <c r="K39" s="28" t="str">
        <f aca="false">IF(OR(C39="",J39=""),"",IF(AND(I39&gt;J39,OR(L39="Open",L39="")),"Yes","No"))</f>
        <v/>
      </c>
      <c r="L39" s="24"/>
      <c r="M39" s="29"/>
      <c r="N39" s="24"/>
      <c r="O39" s="26"/>
    </row>
    <row r="40" customFormat="false" ht="15" hidden="false" customHeight="false" outlineLevel="0" collapsed="false">
      <c r="A40" s="24"/>
      <c r="B40" s="24"/>
      <c r="C40" s="25"/>
      <c r="D40" s="26"/>
      <c r="E40" s="24"/>
      <c r="F40" s="24"/>
      <c r="G40" s="25"/>
      <c r="H40" s="25"/>
      <c r="I40" s="27" t="str">
        <f aca="true">IF(C40="","",IF(H40&lt;&gt;"",H40-C40,TODAY()-C40))</f>
        <v/>
      </c>
      <c r="J40" s="27" t="str">
        <f aca="false">IF(B40="Early Warning",14,IF(B40="Compensation Event",28,""))</f>
        <v/>
      </c>
      <c r="K40" s="28" t="str">
        <f aca="false">IF(OR(C40="",J40=""),"",IF(AND(I40&gt;J40,OR(L40="Open",L40="")),"Yes","No"))</f>
        <v/>
      </c>
      <c r="L40" s="24"/>
      <c r="M40" s="29"/>
      <c r="N40" s="24"/>
      <c r="O40" s="26"/>
    </row>
    <row r="41" customFormat="false" ht="15" hidden="false" customHeight="false" outlineLevel="0" collapsed="false">
      <c r="A41" s="24"/>
      <c r="B41" s="24"/>
      <c r="C41" s="25"/>
      <c r="D41" s="26"/>
      <c r="E41" s="24"/>
      <c r="F41" s="24"/>
      <c r="G41" s="25"/>
      <c r="H41" s="25"/>
      <c r="I41" s="27" t="str">
        <f aca="true">IF(C41="","",IF(H41&lt;&gt;"",H41-C41,TODAY()-C41))</f>
        <v/>
      </c>
      <c r="J41" s="27" t="str">
        <f aca="false">IF(B41="Early Warning",14,IF(B41="Compensation Event",28,""))</f>
        <v/>
      </c>
      <c r="K41" s="28" t="str">
        <f aca="false">IF(OR(C41="",J41=""),"",IF(AND(I41&gt;J41,OR(L41="Open",L41="")),"Yes","No"))</f>
        <v/>
      </c>
      <c r="L41" s="24"/>
      <c r="M41" s="29"/>
      <c r="N41" s="24"/>
      <c r="O41" s="26"/>
    </row>
    <row r="42" customFormat="false" ht="15" hidden="false" customHeight="false" outlineLevel="0" collapsed="false">
      <c r="A42" s="24"/>
      <c r="B42" s="24"/>
      <c r="C42" s="25"/>
      <c r="D42" s="26"/>
      <c r="E42" s="24"/>
      <c r="F42" s="24"/>
      <c r="G42" s="25"/>
      <c r="H42" s="25"/>
      <c r="I42" s="27" t="str">
        <f aca="true">IF(C42="","",IF(H42&lt;&gt;"",H42-C42,TODAY()-C42))</f>
        <v/>
      </c>
      <c r="J42" s="27" t="str">
        <f aca="false">IF(B42="Early Warning",14,IF(B42="Compensation Event",28,""))</f>
        <v/>
      </c>
      <c r="K42" s="28" t="str">
        <f aca="false">IF(OR(C42="",J42=""),"",IF(AND(I42&gt;J42,OR(L42="Open",L42="")),"Yes","No"))</f>
        <v/>
      </c>
      <c r="L42" s="24"/>
      <c r="M42" s="29"/>
      <c r="N42" s="24"/>
      <c r="O42" s="26"/>
    </row>
    <row r="43" customFormat="false" ht="15" hidden="false" customHeight="false" outlineLevel="0" collapsed="false">
      <c r="A43" s="24"/>
      <c r="B43" s="24"/>
      <c r="C43" s="25"/>
      <c r="D43" s="26"/>
      <c r="E43" s="24"/>
      <c r="F43" s="24"/>
      <c r="G43" s="25"/>
      <c r="H43" s="25"/>
      <c r="I43" s="27" t="str">
        <f aca="true">IF(C43="","",IF(H43&lt;&gt;"",H43-C43,TODAY()-C43))</f>
        <v/>
      </c>
      <c r="J43" s="27" t="str">
        <f aca="false">IF(B43="Early Warning",14,IF(B43="Compensation Event",28,""))</f>
        <v/>
      </c>
      <c r="K43" s="28" t="str">
        <f aca="false">IF(OR(C43="",J43=""),"",IF(AND(I43&gt;J43,OR(L43="Open",L43="")),"Yes","No"))</f>
        <v/>
      </c>
      <c r="L43" s="24"/>
      <c r="M43" s="29"/>
      <c r="N43" s="24"/>
      <c r="O43" s="26"/>
    </row>
    <row r="44" customFormat="false" ht="15" hidden="false" customHeight="false" outlineLevel="0" collapsed="false">
      <c r="A44" s="24"/>
      <c r="B44" s="24"/>
      <c r="C44" s="25"/>
      <c r="D44" s="26"/>
      <c r="E44" s="24"/>
      <c r="F44" s="24"/>
      <c r="G44" s="25"/>
      <c r="H44" s="25"/>
      <c r="I44" s="27" t="str">
        <f aca="true">IF(C44="","",IF(H44&lt;&gt;"",H44-C44,TODAY()-C44))</f>
        <v/>
      </c>
      <c r="J44" s="27" t="str">
        <f aca="false">IF(B44="Early Warning",14,IF(B44="Compensation Event",28,""))</f>
        <v/>
      </c>
      <c r="K44" s="28" t="str">
        <f aca="false">IF(OR(C44="",J44=""),"",IF(AND(I44&gt;J44,OR(L44="Open",L44="")),"Yes","No"))</f>
        <v/>
      </c>
      <c r="L44" s="24"/>
      <c r="M44" s="29"/>
      <c r="N44" s="24"/>
      <c r="O44" s="26"/>
    </row>
    <row r="45" customFormat="false" ht="15" hidden="false" customHeight="false" outlineLevel="0" collapsed="false">
      <c r="A45" s="24"/>
      <c r="B45" s="24"/>
      <c r="C45" s="25"/>
      <c r="D45" s="26"/>
      <c r="E45" s="24"/>
      <c r="F45" s="24"/>
      <c r="G45" s="25"/>
      <c r="H45" s="25"/>
      <c r="I45" s="27" t="str">
        <f aca="true">IF(C45="","",IF(H45&lt;&gt;"",H45-C45,TODAY()-C45))</f>
        <v/>
      </c>
      <c r="J45" s="27" t="str">
        <f aca="false">IF(B45="Early Warning",14,IF(B45="Compensation Event",28,""))</f>
        <v/>
      </c>
      <c r="K45" s="28" t="str">
        <f aca="false">IF(OR(C45="",J45=""),"",IF(AND(I45&gt;J45,OR(L45="Open",L45="")),"Yes","No"))</f>
        <v/>
      </c>
      <c r="L45" s="24"/>
      <c r="M45" s="29"/>
      <c r="N45" s="24"/>
      <c r="O45" s="26"/>
    </row>
    <row r="46" customFormat="false" ht="15" hidden="false" customHeight="false" outlineLevel="0" collapsed="false">
      <c r="A46" s="24"/>
      <c r="B46" s="24"/>
      <c r="C46" s="25"/>
      <c r="D46" s="26"/>
      <c r="E46" s="24"/>
      <c r="F46" s="24"/>
      <c r="G46" s="25"/>
      <c r="H46" s="25"/>
      <c r="I46" s="27" t="str">
        <f aca="true">IF(C46="","",IF(H46&lt;&gt;"",H46-C46,TODAY()-C46))</f>
        <v/>
      </c>
      <c r="J46" s="27" t="str">
        <f aca="false">IF(B46="Early Warning",14,IF(B46="Compensation Event",28,""))</f>
        <v/>
      </c>
      <c r="K46" s="28" t="str">
        <f aca="false">IF(OR(C46="",J46=""),"",IF(AND(I46&gt;J46,OR(L46="Open",L46="")),"Yes","No"))</f>
        <v/>
      </c>
      <c r="L46" s="24"/>
      <c r="M46" s="29"/>
      <c r="N46" s="24"/>
      <c r="O46" s="26"/>
    </row>
    <row r="47" customFormat="false" ht="15" hidden="false" customHeight="false" outlineLevel="0" collapsed="false">
      <c r="A47" s="24"/>
      <c r="B47" s="24"/>
      <c r="C47" s="25"/>
      <c r="D47" s="26"/>
      <c r="E47" s="24"/>
      <c r="F47" s="24"/>
      <c r="G47" s="25"/>
      <c r="H47" s="25"/>
      <c r="I47" s="27" t="str">
        <f aca="true">IF(C47="","",IF(H47&lt;&gt;"",H47-C47,TODAY()-C47))</f>
        <v/>
      </c>
      <c r="J47" s="27" t="str">
        <f aca="false">IF(B47="Early Warning",14,IF(B47="Compensation Event",28,""))</f>
        <v/>
      </c>
      <c r="K47" s="28" t="str">
        <f aca="false">IF(OR(C47="",J47=""),"",IF(AND(I47&gt;J47,OR(L47="Open",L47="")),"Yes","No"))</f>
        <v/>
      </c>
      <c r="L47" s="24"/>
      <c r="M47" s="29"/>
      <c r="N47" s="24"/>
      <c r="O47" s="26"/>
    </row>
    <row r="48" customFormat="false" ht="15" hidden="false" customHeight="false" outlineLevel="0" collapsed="false">
      <c r="A48" s="24"/>
      <c r="B48" s="24"/>
      <c r="C48" s="25"/>
      <c r="D48" s="26"/>
      <c r="E48" s="24"/>
      <c r="F48" s="24"/>
      <c r="G48" s="25"/>
      <c r="H48" s="25"/>
      <c r="I48" s="27" t="str">
        <f aca="true">IF(C48="","",IF(H48&lt;&gt;"",H48-C48,TODAY()-C48))</f>
        <v/>
      </c>
      <c r="J48" s="27" t="str">
        <f aca="false">IF(B48="Early Warning",14,IF(B48="Compensation Event",28,""))</f>
        <v/>
      </c>
      <c r="K48" s="28" t="str">
        <f aca="false">IF(OR(C48="",J48=""),"",IF(AND(I48&gt;J48,OR(L48="Open",L48="")),"Yes","No"))</f>
        <v/>
      </c>
      <c r="L48" s="24"/>
      <c r="M48" s="29"/>
      <c r="N48" s="24"/>
      <c r="O48" s="26"/>
    </row>
    <row r="49" customFormat="false" ht="15" hidden="false" customHeight="false" outlineLevel="0" collapsed="false">
      <c r="A49" s="24"/>
      <c r="B49" s="24"/>
      <c r="C49" s="25"/>
      <c r="D49" s="26"/>
      <c r="E49" s="24"/>
      <c r="F49" s="24"/>
      <c r="G49" s="25"/>
      <c r="H49" s="25"/>
      <c r="I49" s="27" t="str">
        <f aca="true">IF(C49="","",IF(H49&lt;&gt;"",H49-C49,TODAY()-C49))</f>
        <v/>
      </c>
      <c r="J49" s="27" t="str">
        <f aca="false">IF(B49="Early Warning",14,IF(B49="Compensation Event",28,""))</f>
        <v/>
      </c>
      <c r="K49" s="28" t="str">
        <f aca="false">IF(OR(C49="",J49=""),"",IF(AND(I49&gt;J49,OR(L49="Open",L49="")),"Yes","No"))</f>
        <v/>
      </c>
      <c r="L49" s="24"/>
      <c r="M49" s="29"/>
      <c r="N49" s="24"/>
      <c r="O49" s="26"/>
    </row>
    <row r="50" customFormat="false" ht="15" hidden="false" customHeight="false" outlineLevel="0" collapsed="false">
      <c r="A50" s="24"/>
      <c r="B50" s="24"/>
      <c r="C50" s="25"/>
      <c r="D50" s="26"/>
      <c r="E50" s="24"/>
      <c r="F50" s="24"/>
      <c r="G50" s="25"/>
      <c r="H50" s="25"/>
      <c r="I50" s="27" t="str">
        <f aca="true">IF(C50="","",IF(H50&lt;&gt;"",H50-C50,TODAY()-C50))</f>
        <v/>
      </c>
      <c r="J50" s="27" t="str">
        <f aca="false">IF(B50="Early Warning",14,IF(B50="Compensation Event",28,""))</f>
        <v/>
      </c>
      <c r="K50" s="28" t="str">
        <f aca="false">IF(OR(C50="",J50=""),"",IF(AND(I50&gt;J50,OR(L50="Open",L50="")),"Yes","No"))</f>
        <v/>
      </c>
      <c r="L50" s="24"/>
      <c r="M50" s="29"/>
      <c r="N50" s="24"/>
      <c r="O50" s="26"/>
    </row>
    <row r="51" customFormat="false" ht="15" hidden="false" customHeight="false" outlineLevel="0" collapsed="false">
      <c r="A51" s="24"/>
      <c r="B51" s="24"/>
      <c r="C51" s="25"/>
      <c r="D51" s="26"/>
      <c r="E51" s="24"/>
      <c r="F51" s="24"/>
      <c r="G51" s="25"/>
      <c r="H51" s="25"/>
      <c r="I51" s="27" t="str">
        <f aca="true">IF(C51="","",IF(H51&lt;&gt;"",H51-C51,TODAY()-C51))</f>
        <v/>
      </c>
      <c r="J51" s="27" t="str">
        <f aca="false">IF(B51="Early Warning",14,IF(B51="Compensation Event",28,""))</f>
        <v/>
      </c>
      <c r="K51" s="28" t="str">
        <f aca="false">IF(OR(C51="",J51=""),"",IF(AND(I51&gt;J51,OR(L51="Open",L51="")),"Yes","No"))</f>
        <v/>
      </c>
      <c r="L51" s="24"/>
      <c r="M51" s="29"/>
      <c r="N51" s="24"/>
      <c r="O51" s="26"/>
    </row>
    <row r="52" customFormat="false" ht="15" hidden="false" customHeight="false" outlineLevel="0" collapsed="false">
      <c r="A52" s="24"/>
      <c r="B52" s="24"/>
      <c r="C52" s="25"/>
      <c r="D52" s="26"/>
      <c r="E52" s="24"/>
      <c r="F52" s="24"/>
      <c r="G52" s="25"/>
      <c r="H52" s="25"/>
      <c r="I52" s="27" t="str">
        <f aca="true">IF(C52="","",IF(H52&lt;&gt;"",H52-C52,TODAY()-C52))</f>
        <v/>
      </c>
      <c r="J52" s="27" t="str">
        <f aca="false">IF(B52="Early Warning",14,IF(B52="Compensation Event",28,""))</f>
        <v/>
      </c>
      <c r="K52" s="28" t="str">
        <f aca="false">IF(OR(C52="",J52=""),"",IF(AND(I52&gt;J52,OR(L52="Open",L52="")),"Yes","No"))</f>
        <v/>
      </c>
      <c r="L52" s="24"/>
      <c r="M52" s="29"/>
      <c r="N52" s="24"/>
      <c r="O52" s="26"/>
    </row>
    <row r="53" customFormat="false" ht="15" hidden="false" customHeight="false" outlineLevel="0" collapsed="false">
      <c r="A53" s="24"/>
      <c r="B53" s="24"/>
      <c r="C53" s="25"/>
      <c r="D53" s="26"/>
      <c r="E53" s="24"/>
      <c r="F53" s="24"/>
      <c r="G53" s="25"/>
      <c r="H53" s="25"/>
      <c r="I53" s="27" t="str">
        <f aca="true">IF(C53="","",IF(H53&lt;&gt;"",H53-C53,TODAY()-C53))</f>
        <v/>
      </c>
      <c r="J53" s="27" t="str">
        <f aca="false">IF(B53="Early Warning",14,IF(B53="Compensation Event",28,""))</f>
        <v/>
      </c>
      <c r="K53" s="28" t="str">
        <f aca="false">IF(OR(C53="",J53=""),"",IF(AND(I53&gt;J53,OR(L53="Open",L53="")),"Yes","No"))</f>
        <v/>
      </c>
      <c r="L53" s="24"/>
      <c r="M53" s="29"/>
      <c r="N53" s="24"/>
      <c r="O53" s="26"/>
    </row>
    <row r="54" customFormat="false" ht="15" hidden="false" customHeight="false" outlineLevel="0" collapsed="false">
      <c r="A54" s="24"/>
      <c r="B54" s="24"/>
      <c r="C54" s="25"/>
      <c r="D54" s="26"/>
      <c r="E54" s="24"/>
      <c r="F54" s="24"/>
      <c r="G54" s="25"/>
      <c r="H54" s="25"/>
      <c r="I54" s="27" t="str">
        <f aca="true">IF(C54="","",IF(H54&lt;&gt;"",H54-C54,TODAY()-C54))</f>
        <v/>
      </c>
      <c r="J54" s="27" t="str">
        <f aca="false">IF(B54="Early Warning",14,IF(B54="Compensation Event",28,""))</f>
        <v/>
      </c>
      <c r="K54" s="28" t="str">
        <f aca="false">IF(OR(C54="",J54=""),"",IF(AND(I54&gt;J54,OR(L54="Open",L54="")),"Yes","No"))</f>
        <v/>
      </c>
      <c r="L54" s="24"/>
      <c r="M54" s="29"/>
      <c r="N54" s="24"/>
      <c r="O54" s="26"/>
    </row>
    <row r="55" customFormat="false" ht="15" hidden="false" customHeight="false" outlineLevel="0" collapsed="false">
      <c r="A55" s="24"/>
      <c r="B55" s="24"/>
      <c r="C55" s="25"/>
      <c r="D55" s="26"/>
      <c r="E55" s="24"/>
      <c r="F55" s="24"/>
      <c r="G55" s="25"/>
      <c r="H55" s="25"/>
      <c r="I55" s="27" t="str">
        <f aca="true">IF(C55="","",IF(H55&lt;&gt;"",H55-C55,TODAY()-C55))</f>
        <v/>
      </c>
      <c r="J55" s="27" t="str">
        <f aca="false">IF(B55="Early Warning",14,IF(B55="Compensation Event",28,""))</f>
        <v/>
      </c>
      <c r="K55" s="28" t="str">
        <f aca="false">IF(OR(C55="",J55=""),"",IF(AND(I55&gt;J55,OR(L55="Open",L55="")),"Yes","No"))</f>
        <v/>
      </c>
      <c r="L55" s="24"/>
      <c r="M55" s="29"/>
      <c r="N55" s="24"/>
      <c r="O55" s="26"/>
    </row>
    <row r="56" customFormat="false" ht="15" hidden="false" customHeight="false" outlineLevel="0" collapsed="false">
      <c r="A56" s="24"/>
      <c r="B56" s="24"/>
      <c r="C56" s="25"/>
      <c r="D56" s="26"/>
      <c r="E56" s="24"/>
      <c r="F56" s="24"/>
      <c r="G56" s="25"/>
      <c r="H56" s="25"/>
      <c r="I56" s="27" t="str">
        <f aca="true">IF(C56="","",IF(H56&lt;&gt;"",H56-C56,TODAY()-C56))</f>
        <v/>
      </c>
      <c r="J56" s="27" t="str">
        <f aca="false">IF(B56="Early Warning",14,IF(B56="Compensation Event",28,""))</f>
        <v/>
      </c>
      <c r="K56" s="28" t="str">
        <f aca="false">IF(OR(C56="",J56=""),"",IF(AND(I56&gt;J56,OR(L56="Open",L56="")),"Yes","No"))</f>
        <v/>
      </c>
      <c r="L56" s="24"/>
      <c r="M56" s="29"/>
      <c r="N56" s="24"/>
      <c r="O56" s="26"/>
    </row>
    <row r="57" customFormat="false" ht="15" hidden="false" customHeight="false" outlineLevel="0" collapsed="false">
      <c r="A57" s="24"/>
      <c r="B57" s="24"/>
      <c r="C57" s="25"/>
      <c r="D57" s="26"/>
      <c r="E57" s="24"/>
      <c r="F57" s="24"/>
      <c r="G57" s="25"/>
      <c r="H57" s="25"/>
      <c r="I57" s="27" t="str">
        <f aca="true">IF(C57="","",IF(H57&lt;&gt;"",H57-C57,TODAY()-C57))</f>
        <v/>
      </c>
      <c r="J57" s="27" t="str">
        <f aca="false">IF(B57="Early Warning",14,IF(B57="Compensation Event",28,""))</f>
        <v/>
      </c>
      <c r="K57" s="28" t="str">
        <f aca="false">IF(OR(C57="",J57=""),"",IF(AND(I57&gt;J57,OR(L57="Open",L57="")),"Yes","No"))</f>
        <v/>
      </c>
      <c r="L57" s="24"/>
      <c r="M57" s="29"/>
      <c r="N57" s="24"/>
      <c r="O57" s="26"/>
    </row>
    <row r="58" customFormat="false" ht="15" hidden="false" customHeight="false" outlineLevel="0" collapsed="false">
      <c r="A58" s="24"/>
      <c r="B58" s="24"/>
      <c r="C58" s="25"/>
      <c r="D58" s="26"/>
      <c r="E58" s="24"/>
      <c r="F58" s="24"/>
      <c r="G58" s="25"/>
      <c r="H58" s="25"/>
      <c r="I58" s="27" t="str">
        <f aca="true">IF(C58="","",IF(H58&lt;&gt;"",H58-C58,TODAY()-C58))</f>
        <v/>
      </c>
      <c r="J58" s="27" t="str">
        <f aca="false">IF(B58="Early Warning",14,IF(B58="Compensation Event",28,""))</f>
        <v/>
      </c>
      <c r="K58" s="28" t="str">
        <f aca="false">IF(OR(C58="",J58=""),"",IF(AND(I58&gt;J58,OR(L58="Open",L58="")),"Yes","No"))</f>
        <v/>
      </c>
      <c r="L58" s="24"/>
      <c r="M58" s="29"/>
      <c r="N58" s="24"/>
      <c r="O58" s="26"/>
    </row>
    <row r="59" customFormat="false" ht="15" hidden="false" customHeight="false" outlineLevel="0" collapsed="false">
      <c r="A59" s="24"/>
      <c r="B59" s="24"/>
      <c r="C59" s="25"/>
      <c r="D59" s="26"/>
      <c r="E59" s="24"/>
      <c r="F59" s="24"/>
      <c r="G59" s="25"/>
      <c r="H59" s="25"/>
      <c r="I59" s="27" t="str">
        <f aca="true">IF(C59="","",IF(H59&lt;&gt;"",H59-C59,TODAY()-C59))</f>
        <v/>
      </c>
      <c r="J59" s="27" t="str">
        <f aca="false">IF(B59="Early Warning",14,IF(B59="Compensation Event",28,""))</f>
        <v/>
      </c>
      <c r="K59" s="28" t="str">
        <f aca="false">IF(OR(C59="",J59=""),"",IF(AND(I59&gt;J59,OR(L59="Open",L59="")),"Yes","No"))</f>
        <v/>
      </c>
      <c r="L59" s="24"/>
      <c r="M59" s="29"/>
      <c r="N59" s="24"/>
      <c r="O59" s="26"/>
    </row>
    <row r="60" customFormat="false" ht="15" hidden="false" customHeight="false" outlineLevel="0" collapsed="false">
      <c r="A60" s="24"/>
      <c r="B60" s="24"/>
      <c r="C60" s="25"/>
      <c r="D60" s="26"/>
      <c r="E60" s="24"/>
      <c r="F60" s="24"/>
      <c r="G60" s="25"/>
      <c r="H60" s="25"/>
      <c r="I60" s="27" t="str">
        <f aca="true">IF(C60="","",IF(H60&lt;&gt;"",H60-C60,TODAY()-C60))</f>
        <v/>
      </c>
      <c r="J60" s="27" t="str">
        <f aca="false">IF(B60="Early Warning",14,IF(B60="Compensation Event",28,""))</f>
        <v/>
      </c>
      <c r="K60" s="28" t="str">
        <f aca="false">IF(OR(C60="",J60=""),"",IF(AND(I60&gt;J60,OR(L60="Open",L60="")),"Yes","No"))</f>
        <v/>
      </c>
      <c r="L60" s="24"/>
      <c r="M60" s="29"/>
      <c r="N60" s="24"/>
      <c r="O60" s="26"/>
    </row>
    <row r="61" customFormat="false" ht="15" hidden="false" customHeight="false" outlineLevel="0" collapsed="false">
      <c r="A61" s="24"/>
      <c r="B61" s="24"/>
      <c r="C61" s="25"/>
      <c r="D61" s="26"/>
      <c r="E61" s="24"/>
      <c r="F61" s="24"/>
      <c r="G61" s="25"/>
      <c r="H61" s="25"/>
      <c r="I61" s="27" t="str">
        <f aca="true">IF(C61="","",IF(H61&lt;&gt;"",H61-C61,TODAY()-C61))</f>
        <v/>
      </c>
      <c r="J61" s="27" t="str">
        <f aca="false">IF(B61="Early Warning",14,IF(B61="Compensation Event",28,""))</f>
        <v/>
      </c>
      <c r="K61" s="28" t="str">
        <f aca="false">IF(OR(C61="",J61=""),"",IF(AND(I61&gt;J61,OR(L61="Open",L61="")),"Yes","No"))</f>
        <v/>
      </c>
      <c r="L61" s="24"/>
      <c r="M61" s="29"/>
      <c r="N61" s="24"/>
      <c r="O61" s="26"/>
    </row>
    <row r="62" customFormat="false" ht="15" hidden="false" customHeight="false" outlineLevel="0" collapsed="false">
      <c r="A62" s="24"/>
      <c r="B62" s="24"/>
      <c r="C62" s="25"/>
      <c r="D62" s="26"/>
      <c r="E62" s="24"/>
      <c r="F62" s="24"/>
      <c r="G62" s="25"/>
      <c r="H62" s="25"/>
      <c r="I62" s="27" t="str">
        <f aca="true">IF(C62="","",IF(H62&lt;&gt;"",H62-C62,TODAY()-C62))</f>
        <v/>
      </c>
      <c r="J62" s="27" t="str">
        <f aca="false">IF(B62="Early Warning",14,IF(B62="Compensation Event",28,""))</f>
        <v/>
      </c>
      <c r="K62" s="28" t="str">
        <f aca="false">IF(OR(C62="",J62=""),"",IF(AND(I62&gt;J62,OR(L62="Open",L62="")),"Yes","No"))</f>
        <v/>
      </c>
      <c r="L62" s="24"/>
      <c r="M62" s="29"/>
      <c r="N62" s="24"/>
      <c r="O62" s="26"/>
    </row>
    <row r="63" customFormat="false" ht="15" hidden="false" customHeight="false" outlineLevel="0" collapsed="false">
      <c r="A63" s="24"/>
      <c r="B63" s="24"/>
      <c r="C63" s="25"/>
      <c r="D63" s="26"/>
      <c r="E63" s="24"/>
      <c r="F63" s="24"/>
      <c r="G63" s="25"/>
      <c r="H63" s="25"/>
      <c r="I63" s="27" t="str">
        <f aca="true">IF(C63="","",IF(H63&lt;&gt;"",H63-C63,TODAY()-C63))</f>
        <v/>
      </c>
      <c r="J63" s="27" t="str">
        <f aca="false">IF(B63="Early Warning",14,IF(B63="Compensation Event",28,""))</f>
        <v/>
      </c>
      <c r="K63" s="28" t="str">
        <f aca="false">IF(OR(C63="",J63=""),"",IF(AND(I63&gt;J63,OR(L63="Open",L63="")),"Yes","No"))</f>
        <v/>
      </c>
      <c r="L63" s="24"/>
      <c r="M63" s="29"/>
      <c r="N63" s="24"/>
      <c r="O63" s="26"/>
    </row>
    <row r="64" customFormat="false" ht="15" hidden="false" customHeight="false" outlineLevel="0" collapsed="false">
      <c r="A64" s="24"/>
      <c r="B64" s="24"/>
      <c r="C64" s="25"/>
      <c r="D64" s="26"/>
      <c r="E64" s="24"/>
      <c r="F64" s="24"/>
      <c r="G64" s="25"/>
      <c r="H64" s="25"/>
      <c r="I64" s="27" t="str">
        <f aca="true">IF(C64="","",IF(H64&lt;&gt;"",H64-C64,TODAY()-C64))</f>
        <v/>
      </c>
      <c r="J64" s="27" t="str">
        <f aca="false">IF(B64="Early Warning",14,IF(B64="Compensation Event",28,""))</f>
        <v/>
      </c>
      <c r="K64" s="28" t="str">
        <f aca="false">IF(OR(C64="",J64=""),"",IF(AND(I64&gt;J64,OR(L64="Open",L64="")),"Yes","No"))</f>
        <v/>
      </c>
      <c r="L64" s="24"/>
      <c r="M64" s="29"/>
      <c r="N64" s="24"/>
      <c r="O64" s="26"/>
    </row>
    <row r="65" customFormat="false" ht="15" hidden="false" customHeight="false" outlineLevel="0" collapsed="false">
      <c r="A65" s="24"/>
      <c r="B65" s="24"/>
      <c r="C65" s="25"/>
      <c r="D65" s="26"/>
      <c r="E65" s="24"/>
      <c r="F65" s="24"/>
      <c r="G65" s="25"/>
      <c r="H65" s="25"/>
      <c r="I65" s="27" t="str">
        <f aca="true">IF(C65="","",IF(H65&lt;&gt;"",H65-C65,TODAY()-C65))</f>
        <v/>
      </c>
      <c r="J65" s="27" t="str">
        <f aca="false">IF(B65="Early Warning",14,IF(B65="Compensation Event",28,""))</f>
        <v/>
      </c>
      <c r="K65" s="28" t="str">
        <f aca="false">IF(OR(C65="",J65=""),"",IF(AND(I65&gt;J65,OR(L65="Open",L65="")),"Yes","No"))</f>
        <v/>
      </c>
      <c r="L65" s="24"/>
      <c r="M65" s="29"/>
      <c r="N65" s="24"/>
      <c r="O65" s="26"/>
    </row>
    <row r="66" customFormat="false" ht="15" hidden="false" customHeight="false" outlineLevel="0" collapsed="false">
      <c r="A66" s="24"/>
      <c r="B66" s="24"/>
      <c r="C66" s="25"/>
      <c r="D66" s="26"/>
      <c r="E66" s="24"/>
      <c r="F66" s="24"/>
      <c r="G66" s="25"/>
      <c r="H66" s="25"/>
      <c r="I66" s="27" t="str">
        <f aca="true">IF(C66="","",IF(H66&lt;&gt;"",H66-C66,TODAY()-C66))</f>
        <v/>
      </c>
      <c r="J66" s="27" t="str">
        <f aca="false">IF(B66="Early Warning",14,IF(B66="Compensation Event",28,""))</f>
        <v/>
      </c>
      <c r="K66" s="28" t="str">
        <f aca="false">IF(OR(C66="",J66=""),"",IF(AND(I66&gt;J66,OR(L66="Open",L66="")),"Yes","No"))</f>
        <v/>
      </c>
      <c r="L66" s="24"/>
      <c r="M66" s="29"/>
      <c r="N66" s="24"/>
      <c r="O66" s="26"/>
    </row>
    <row r="67" customFormat="false" ht="15" hidden="false" customHeight="false" outlineLevel="0" collapsed="false">
      <c r="A67" s="24"/>
      <c r="B67" s="24"/>
      <c r="C67" s="25"/>
      <c r="D67" s="26"/>
      <c r="E67" s="24"/>
      <c r="F67" s="24"/>
      <c r="G67" s="25"/>
      <c r="H67" s="25"/>
      <c r="I67" s="27" t="str">
        <f aca="true">IF(C67="","",IF(H67&lt;&gt;"",H67-C67,TODAY()-C67))</f>
        <v/>
      </c>
      <c r="J67" s="27" t="str">
        <f aca="false">IF(B67="Early Warning",14,IF(B67="Compensation Event",28,""))</f>
        <v/>
      </c>
      <c r="K67" s="28" t="str">
        <f aca="false">IF(OR(C67="",J67=""),"",IF(AND(I67&gt;J67,OR(L67="Open",L67="")),"Yes","No"))</f>
        <v/>
      </c>
      <c r="L67" s="24"/>
      <c r="M67" s="29"/>
      <c r="N67" s="24"/>
      <c r="O67" s="26"/>
    </row>
    <row r="68" customFormat="false" ht="15" hidden="false" customHeight="false" outlineLevel="0" collapsed="false">
      <c r="A68" s="24"/>
      <c r="B68" s="24"/>
      <c r="C68" s="25"/>
      <c r="D68" s="26"/>
      <c r="E68" s="24"/>
      <c r="F68" s="24"/>
      <c r="G68" s="25"/>
      <c r="H68" s="25"/>
      <c r="I68" s="27" t="str">
        <f aca="true">IF(C68="","",IF(H68&lt;&gt;"",H68-C68,TODAY()-C68))</f>
        <v/>
      </c>
      <c r="J68" s="27" t="str">
        <f aca="false">IF(B68="Early Warning",14,IF(B68="Compensation Event",28,""))</f>
        <v/>
      </c>
      <c r="K68" s="28" t="str">
        <f aca="false">IF(OR(C68="",J68=""),"",IF(AND(I68&gt;J68,OR(L68="Open",L68="")),"Yes","No"))</f>
        <v/>
      </c>
      <c r="L68" s="24"/>
      <c r="M68" s="29"/>
      <c r="N68" s="24"/>
      <c r="O68" s="26"/>
    </row>
    <row r="69" customFormat="false" ht="15" hidden="false" customHeight="false" outlineLevel="0" collapsed="false">
      <c r="A69" s="24"/>
      <c r="B69" s="24"/>
      <c r="C69" s="25"/>
      <c r="D69" s="26"/>
      <c r="E69" s="24"/>
      <c r="F69" s="24"/>
      <c r="G69" s="25"/>
      <c r="H69" s="25"/>
      <c r="I69" s="27" t="str">
        <f aca="true">IF(C69="","",IF(H69&lt;&gt;"",H69-C69,TODAY()-C69))</f>
        <v/>
      </c>
      <c r="J69" s="27" t="str">
        <f aca="false">IF(B69="Early Warning",14,IF(B69="Compensation Event",28,""))</f>
        <v/>
      </c>
      <c r="K69" s="28" t="str">
        <f aca="false">IF(OR(C69="",J69=""),"",IF(AND(I69&gt;J69,OR(L69="Open",L69="")),"Yes","No"))</f>
        <v/>
      </c>
      <c r="L69" s="24"/>
      <c r="M69" s="29"/>
      <c r="N69" s="24"/>
      <c r="O69" s="26"/>
    </row>
    <row r="70" customFormat="false" ht="15" hidden="false" customHeight="false" outlineLevel="0" collapsed="false">
      <c r="A70" s="24"/>
      <c r="B70" s="24"/>
      <c r="C70" s="25"/>
      <c r="D70" s="26"/>
      <c r="E70" s="24"/>
      <c r="F70" s="24"/>
      <c r="G70" s="25"/>
      <c r="H70" s="25"/>
      <c r="I70" s="27" t="str">
        <f aca="true">IF(C70="","",IF(H70&lt;&gt;"",H70-C70,TODAY()-C70))</f>
        <v/>
      </c>
      <c r="J70" s="27" t="str">
        <f aca="false">IF(B70="Early Warning",14,IF(B70="Compensation Event",28,""))</f>
        <v/>
      </c>
      <c r="K70" s="28" t="str">
        <f aca="false">IF(OR(C70="",J70=""),"",IF(AND(I70&gt;J70,OR(L70="Open",L70="")),"Yes","No"))</f>
        <v/>
      </c>
      <c r="L70" s="24"/>
      <c r="M70" s="29"/>
      <c r="N70" s="24"/>
      <c r="O70" s="26"/>
    </row>
    <row r="71" customFormat="false" ht="15" hidden="false" customHeight="false" outlineLevel="0" collapsed="false">
      <c r="A71" s="24"/>
      <c r="B71" s="24"/>
      <c r="C71" s="25"/>
      <c r="D71" s="26"/>
      <c r="E71" s="24"/>
      <c r="F71" s="24"/>
      <c r="G71" s="25"/>
      <c r="H71" s="25"/>
      <c r="I71" s="27" t="str">
        <f aca="true">IF(C71="","",IF(H71&lt;&gt;"",H71-C71,TODAY()-C71))</f>
        <v/>
      </c>
      <c r="J71" s="27" t="str">
        <f aca="false">IF(B71="Early Warning",14,IF(B71="Compensation Event",28,""))</f>
        <v/>
      </c>
      <c r="K71" s="28" t="str">
        <f aca="false">IF(OR(C71="",J71=""),"",IF(AND(I71&gt;J71,OR(L71="Open",L71="")),"Yes","No"))</f>
        <v/>
      </c>
      <c r="L71" s="24"/>
      <c r="M71" s="29"/>
      <c r="N71" s="24"/>
      <c r="O71" s="26"/>
    </row>
    <row r="72" customFormat="false" ht="15" hidden="false" customHeight="false" outlineLevel="0" collapsed="false">
      <c r="A72" s="24"/>
      <c r="B72" s="24"/>
      <c r="C72" s="25"/>
      <c r="D72" s="26"/>
      <c r="E72" s="24"/>
      <c r="F72" s="24"/>
      <c r="G72" s="25"/>
      <c r="H72" s="25"/>
      <c r="I72" s="27" t="str">
        <f aca="true">IF(C72="","",IF(H72&lt;&gt;"",H72-C72,TODAY()-C72))</f>
        <v/>
      </c>
      <c r="J72" s="27" t="str">
        <f aca="false">IF(B72="Early Warning",14,IF(B72="Compensation Event",28,""))</f>
        <v/>
      </c>
      <c r="K72" s="28" t="str">
        <f aca="false">IF(OR(C72="",J72=""),"",IF(AND(I72&gt;J72,OR(L72="Open",L72="")),"Yes","No"))</f>
        <v/>
      </c>
      <c r="L72" s="24"/>
      <c r="M72" s="29"/>
      <c r="N72" s="24"/>
      <c r="O72" s="26"/>
    </row>
    <row r="73" customFormat="false" ht="15" hidden="false" customHeight="false" outlineLevel="0" collapsed="false">
      <c r="A73" s="24"/>
      <c r="B73" s="24"/>
      <c r="C73" s="25"/>
      <c r="D73" s="26"/>
      <c r="E73" s="24"/>
      <c r="F73" s="24"/>
      <c r="G73" s="25"/>
      <c r="H73" s="25"/>
      <c r="I73" s="27" t="str">
        <f aca="true">IF(C73="","",IF(H73&lt;&gt;"",H73-C73,TODAY()-C73))</f>
        <v/>
      </c>
      <c r="J73" s="27" t="str">
        <f aca="false">IF(B73="Early Warning",14,IF(B73="Compensation Event",28,""))</f>
        <v/>
      </c>
      <c r="K73" s="28" t="str">
        <f aca="false">IF(OR(C73="",J73=""),"",IF(AND(I73&gt;J73,OR(L73="Open",L73="")),"Yes","No"))</f>
        <v/>
      </c>
      <c r="L73" s="24"/>
      <c r="M73" s="29"/>
      <c r="N73" s="24"/>
      <c r="O73" s="26"/>
    </row>
    <row r="74" customFormat="false" ht="15" hidden="false" customHeight="false" outlineLevel="0" collapsed="false">
      <c r="A74" s="24"/>
      <c r="B74" s="24"/>
      <c r="C74" s="25"/>
      <c r="D74" s="26"/>
      <c r="E74" s="24"/>
      <c r="F74" s="24"/>
      <c r="G74" s="25"/>
      <c r="H74" s="25"/>
      <c r="I74" s="27" t="str">
        <f aca="true">IF(C74="","",IF(H74&lt;&gt;"",H74-C74,TODAY()-C74))</f>
        <v/>
      </c>
      <c r="J74" s="27" t="str">
        <f aca="false">IF(B74="Early Warning",14,IF(B74="Compensation Event",28,""))</f>
        <v/>
      </c>
      <c r="K74" s="28" t="str">
        <f aca="false">IF(OR(C74="",J74=""),"",IF(AND(I74&gt;J74,OR(L74="Open",L74="")),"Yes","No"))</f>
        <v/>
      </c>
      <c r="L74" s="24"/>
      <c r="M74" s="29"/>
      <c r="N74" s="24"/>
      <c r="O74" s="26"/>
    </row>
    <row r="75" customFormat="false" ht="15" hidden="false" customHeight="false" outlineLevel="0" collapsed="false">
      <c r="A75" s="24"/>
      <c r="B75" s="24"/>
      <c r="C75" s="25"/>
      <c r="D75" s="26"/>
      <c r="E75" s="24"/>
      <c r="F75" s="24"/>
      <c r="G75" s="25"/>
      <c r="H75" s="25"/>
      <c r="I75" s="27" t="str">
        <f aca="true">IF(C75="","",IF(H75&lt;&gt;"",H75-C75,TODAY()-C75))</f>
        <v/>
      </c>
      <c r="J75" s="27" t="str">
        <f aca="false">IF(B75="Early Warning",14,IF(B75="Compensation Event",28,""))</f>
        <v/>
      </c>
      <c r="K75" s="28" t="str">
        <f aca="false">IF(OR(C75="",J75=""),"",IF(AND(I75&gt;J75,OR(L75="Open",L75="")),"Yes","No"))</f>
        <v/>
      </c>
      <c r="L75" s="24"/>
      <c r="M75" s="29"/>
      <c r="N75" s="24"/>
      <c r="O75" s="26"/>
    </row>
    <row r="76" customFormat="false" ht="15" hidden="false" customHeight="false" outlineLevel="0" collapsed="false">
      <c r="A76" s="24"/>
      <c r="B76" s="24"/>
      <c r="C76" s="25"/>
      <c r="D76" s="26"/>
      <c r="E76" s="24"/>
      <c r="F76" s="24"/>
      <c r="G76" s="25"/>
      <c r="H76" s="25"/>
      <c r="I76" s="27" t="str">
        <f aca="true">IF(C76="","",IF(H76&lt;&gt;"",H76-C76,TODAY()-C76))</f>
        <v/>
      </c>
      <c r="J76" s="27" t="str">
        <f aca="false">IF(B76="Early Warning",14,IF(B76="Compensation Event",28,""))</f>
        <v/>
      </c>
      <c r="K76" s="28" t="str">
        <f aca="false">IF(OR(C76="",J76=""),"",IF(AND(I76&gt;J76,OR(L76="Open",L76="")),"Yes","No"))</f>
        <v/>
      </c>
      <c r="L76" s="24"/>
      <c r="M76" s="29"/>
      <c r="N76" s="24"/>
      <c r="O76" s="26"/>
    </row>
    <row r="77" customFormat="false" ht="15" hidden="false" customHeight="false" outlineLevel="0" collapsed="false">
      <c r="A77" s="24"/>
      <c r="B77" s="24"/>
      <c r="C77" s="25"/>
      <c r="D77" s="26"/>
      <c r="E77" s="24"/>
      <c r="F77" s="24"/>
      <c r="G77" s="25"/>
      <c r="H77" s="25"/>
      <c r="I77" s="27" t="str">
        <f aca="true">IF(C77="","",IF(H77&lt;&gt;"",H77-C77,TODAY()-C77))</f>
        <v/>
      </c>
      <c r="J77" s="27" t="str">
        <f aca="false">IF(B77="Early Warning",14,IF(B77="Compensation Event",28,""))</f>
        <v/>
      </c>
      <c r="K77" s="28" t="str">
        <f aca="false">IF(OR(C77="",J77=""),"",IF(AND(I77&gt;J77,OR(L77="Open",L77="")),"Yes","No"))</f>
        <v/>
      </c>
      <c r="L77" s="24"/>
      <c r="M77" s="29"/>
      <c r="N77" s="24"/>
      <c r="O77" s="26"/>
    </row>
    <row r="78" customFormat="false" ht="15" hidden="false" customHeight="false" outlineLevel="0" collapsed="false">
      <c r="A78" s="24"/>
      <c r="B78" s="24"/>
      <c r="C78" s="25"/>
      <c r="D78" s="26"/>
      <c r="E78" s="24"/>
      <c r="F78" s="24"/>
      <c r="G78" s="25"/>
      <c r="H78" s="25"/>
      <c r="I78" s="27" t="str">
        <f aca="true">IF(C78="","",IF(H78&lt;&gt;"",H78-C78,TODAY()-C78))</f>
        <v/>
      </c>
      <c r="J78" s="27" t="str">
        <f aca="false">IF(B78="Early Warning",14,IF(B78="Compensation Event",28,""))</f>
        <v/>
      </c>
      <c r="K78" s="28" t="str">
        <f aca="false">IF(OR(C78="",J78=""),"",IF(AND(I78&gt;J78,OR(L78="Open",L78="")),"Yes","No"))</f>
        <v/>
      </c>
      <c r="L78" s="24"/>
      <c r="M78" s="29"/>
      <c r="N78" s="24"/>
      <c r="O78" s="26"/>
    </row>
    <row r="79" customFormat="false" ht="15" hidden="false" customHeight="false" outlineLevel="0" collapsed="false">
      <c r="A79" s="24"/>
      <c r="B79" s="24"/>
      <c r="C79" s="25"/>
      <c r="D79" s="26"/>
      <c r="E79" s="24"/>
      <c r="F79" s="24"/>
      <c r="G79" s="25"/>
      <c r="H79" s="25"/>
      <c r="I79" s="27" t="str">
        <f aca="true">IF(C79="","",IF(H79&lt;&gt;"",H79-C79,TODAY()-C79))</f>
        <v/>
      </c>
      <c r="J79" s="27" t="str">
        <f aca="false">IF(B79="Early Warning",14,IF(B79="Compensation Event",28,""))</f>
        <v/>
      </c>
      <c r="K79" s="28" t="str">
        <f aca="false">IF(OR(C79="",J79=""),"",IF(AND(I79&gt;J79,OR(L79="Open",L79="")),"Yes","No"))</f>
        <v/>
      </c>
      <c r="L79" s="24"/>
      <c r="M79" s="29"/>
      <c r="N79" s="24"/>
      <c r="O79" s="26"/>
    </row>
    <row r="80" customFormat="false" ht="15" hidden="false" customHeight="false" outlineLevel="0" collapsed="false">
      <c r="A80" s="24"/>
      <c r="B80" s="24"/>
      <c r="C80" s="25"/>
      <c r="D80" s="26"/>
      <c r="E80" s="24"/>
      <c r="F80" s="24"/>
      <c r="G80" s="25"/>
      <c r="H80" s="25"/>
      <c r="I80" s="27" t="str">
        <f aca="true">IF(C80="","",IF(H80&lt;&gt;"",H80-C80,TODAY()-C80))</f>
        <v/>
      </c>
      <c r="J80" s="27" t="str">
        <f aca="false">IF(B80="Early Warning",14,IF(B80="Compensation Event",28,""))</f>
        <v/>
      </c>
      <c r="K80" s="28" t="str">
        <f aca="false">IF(OR(C80="",J80=""),"",IF(AND(I80&gt;J80,OR(L80="Open",L80="")),"Yes","No"))</f>
        <v/>
      </c>
      <c r="L80" s="24"/>
      <c r="M80" s="29"/>
      <c r="N80" s="24"/>
      <c r="O80" s="26"/>
    </row>
    <row r="81" customFormat="false" ht="15" hidden="false" customHeight="false" outlineLevel="0" collapsed="false">
      <c r="A81" s="24"/>
      <c r="B81" s="24"/>
      <c r="C81" s="25"/>
      <c r="D81" s="26"/>
      <c r="E81" s="24"/>
      <c r="F81" s="24"/>
      <c r="G81" s="25"/>
      <c r="H81" s="25"/>
      <c r="I81" s="27" t="str">
        <f aca="true">IF(C81="","",IF(H81&lt;&gt;"",H81-C81,TODAY()-C81))</f>
        <v/>
      </c>
      <c r="J81" s="27" t="str">
        <f aca="false">IF(B81="Early Warning",14,IF(B81="Compensation Event",28,""))</f>
        <v/>
      </c>
      <c r="K81" s="28" t="str">
        <f aca="false">IF(OR(C81="",J81=""),"",IF(AND(I81&gt;J81,OR(L81="Open",L81="")),"Yes","No"))</f>
        <v/>
      </c>
      <c r="L81" s="24"/>
      <c r="M81" s="29"/>
      <c r="N81" s="24"/>
      <c r="O81" s="26"/>
    </row>
    <row r="82" customFormat="false" ht="15" hidden="false" customHeight="false" outlineLevel="0" collapsed="false">
      <c r="A82" s="24"/>
      <c r="B82" s="24"/>
      <c r="C82" s="25"/>
      <c r="D82" s="26"/>
      <c r="E82" s="24"/>
      <c r="F82" s="24"/>
      <c r="G82" s="25"/>
      <c r="H82" s="25"/>
      <c r="I82" s="27" t="str">
        <f aca="true">IF(C82="","",IF(H82&lt;&gt;"",H82-C82,TODAY()-C82))</f>
        <v/>
      </c>
      <c r="J82" s="27" t="str">
        <f aca="false">IF(B82="Early Warning",14,IF(B82="Compensation Event",28,""))</f>
        <v/>
      </c>
      <c r="K82" s="28" t="str">
        <f aca="false">IF(OR(C82="",J82=""),"",IF(AND(I82&gt;J82,OR(L82="Open",L82="")),"Yes","No"))</f>
        <v/>
      </c>
      <c r="L82" s="24"/>
      <c r="M82" s="29"/>
      <c r="N82" s="24"/>
      <c r="O82" s="26"/>
    </row>
    <row r="83" customFormat="false" ht="15" hidden="false" customHeight="false" outlineLevel="0" collapsed="false">
      <c r="A83" s="24"/>
      <c r="B83" s="24"/>
      <c r="C83" s="25"/>
      <c r="D83" s="26"/>
      <c r="E83" s="24"/>
      <c r="F83" s="24"/>
      <c r="G83" s="25"/>
      <c r="H83" s="25"/>
      <c r="I83" s="27" t="str">
        <f aca="true">IF(C83="","",IF(H83&lt;&gt;"",H83-C83,TODAY()-C83))</f>
        <v/>
      </c>
      <c r="J83" s="27" t="str">
        <f aca="false">IF(B83="Early Warning",14,IF(B83="Compensation Event",28,""))</f>
        <v/>
      </c>
      <c r="K83" s="28" t="str">
        <f aca="false">IF(OR(C83="",J83=""),"",IF(AND(I83&gt;J83,OR(L83="Open",L83="")),"Yes","No"))</f>
        <v/>
      </c>
      <c r="L83" s="24"/>
      <c r="M83" s="29"/>
      <c r="N83" s="24"/>
      <c r="O83" s="26"/>
    </row>
    <row r="84" customFormat="false" ht="15" hidden="false" customHeight="false" outlineLevel="0" collapsed="false">
      <c r="A84" s="24"/>
      <c r="B84" s="24"/>
      <c r="C84" s="25"/>
      <c r="D84" s="26"/>
      <c r="E84" s="24"/>
      <c r="F84" s="24"/>
      <c r="G84" s="25"/>
      <c r="H84" s="25"/>
      <c r="I84" s="27" t="str">
        <f aca="true">IF(C84="","",IF(H84&lt;&gt;"",H84-C84,TODAY()-C84))</f>
        <v/>
      </c>
      <c r="J84" s="27" t="str">
        <f aca="false">IF(B84="Early Warning",14,IF(B84="Compensation Event",28,""))</f>
        <v/>
      </c>
      <c r="K84" s="28" t="str">
        <f aca="false">IF(OR(C84="",J84=""),"",IF(AND(I84&gt;J84,OR(L84="Open",L84="")),"Yes","No"))</f>
        <v/>
      </c>
      <c r="L84" s="24"/>
      <c r="M84" s="29"/>
      <c r="N84" s="24"/>
      <c r="O84" s="26"/>
    </row>
    <row r="85" customFormat="false" ht="15" hidden="false" customHeight="false" outlineLevel="0" collapsed="false">
      <c r="A85" s="24"/>
      <c r="B85" s="24"/>
      <c r="C85" s="25"/>
      <c r="D85" s="26"/>
      <c r="E85" s="24"/>
      <c r="F85" s="24"/>
      <c r="G85" s="25"/>
      <c r="H85" s="25"/>
      <c r="I85" s="27" t="str">
        <f aca="true">IF(C85="","",IF(H85&lt;&gt;"",H85-C85,TODAY()-C85))</f>
        <v/>
      </c>
      <c r="J85" s="27" t="str">
        <f aca="false">IF(B85="Early Warning",14,IF(B85="Compensation Event",28,""))</f>
        <v/>
      </c>
      <c r="K85" s="28" t="str">
        <f aca="false">IF(OR(C85="",J85=""),"",IF(AND(I85&gt;J85,OR(L85="Open",L85="")),"Yes","No"))</f>
        <v/>
      </c>
      <c r="L85" s="24"/>
      <c r="M85" s="29"/>
      <c r="N85" s="24"/>
      <c r="O85" s="26"/>
    </row>
    <row r="86" customFormat="false" ht="15" hidden="false" customHeight="false" outlineLevel="0" collapsed="false">
      <c r="A86" s="24"/>
      <c r="B86" s="24"/>
      <c r="C86" s="25"/>
      <c r="D86" s="26"/>
      <c r="E86" s="24"/>
      <c r="F86" s="24"/>
      <c r="G86" s="25"/>
      <c r="H86" s="25"/>
      <c r="I86" s="27" t="str">
        <f aca="true">IF(C86="","",IF(H86&lt;&gt;"",H86-C86,TODAY()-C86))</f>
        <v/>
      </c>
      <c r="J86" s="27" t="str">
        <f aca="false">IF(B86="Early Warning",14,IF(B86="Compensation Event",28,""))</f>
        <v/>
      </c>
      <c r="K86" s="28" t="str">
        <f aca="false">IF(OR(C86="",J86=""),"",IF(AND(I86&gt;J86,OR(L86="Open",L86="")),"Yes","No"))</f>
        <v/>
      </c>
      <c r="L86" s="24"/>
      <c r="M86" s="29"/>
      <c r="N86" s="24"/>
      <c r="O86" s="26"/>
    </row>
    <row r="87" customFormat="false" ht="15" hidden="false" customHeight="false" outlineLevel="0" collapsed="false">
      <c r="A87" s="24"/>
      <c r="B87" s="24"/>
      <c r="C87" s="25"/>
      <c r="D87" s="26"/>
      <c r="E87" s="24"/>
      <c r="F87" s="24"/>
      <c r="G87" s="25"/>
      <c r="H87" s="25"/>
      <c r="I87" s="27" t="str">
        <f aca="true">IF(C87="","",IF(H87&lt;&gt;"",H87-C87,TODAY()-C87))</f>
        <v/>
      </c>
      <c r="J87" s="27" t="str">
        <f aca="false">IF(B87="Early Warning",14,IF(B87="Compensation Event",28,""))</f>
        <v/>
      </c>
      <c r="K87" s="28" t="str">
        <f aca="false">IF(OR(C87="",J87=""),"",IF(AND(I87&gt;J87,OR(L87="Open",L87="")),"Yes","No"))</f>
        <v/>
      </c>
      <c r="L87" s="24"/>
      <c r="M87" s="29"/>
      <c r="N87" s="24"/>
      <c r="O87" s="26"/>
    </row>
    <row r="88" customFormat="false" ht="15" hidden="false" customHeight="false" outlineLevel="0" collapsed="false">
      <c r="A88" s="24"/>
      <c r="B88" s="24"/>
      <c r="C88" s="25"/>
      <c r="D88" s="26"/>
      <c r="E88" s="24"/>
      <c r="F88" s="24"/>
      <c r="G88" s="25"/>
      <c r="H88" s="25"/>
      <c r="I88" s="27" t="str">
        <f aca="true">IF(C88="","",IF(H88&lt;&gt;"",H88-C88,TODAY()-C88))</f>
        <v/>
      </c>
      <c r="J88" s="27" t="str">
        <f aca="false">IF(B88="Early Warning",14,IF(B88="Compensation Event",28,""))</f>
        <v/>
      </c>
      <c r="K88" s="28" t="str">
        <f aca="false">IF(OR(C88="",J88=""),"",IF(AND(I88&gt;J88,OR(L88="Open",L88="")),"Yes","No"))</f>
        <v/>
      </c>
      <c r="L88" s="24"/>
      <c r="M88" s="29"/>
      <c r="N88" s="24"/>
      <c r="O88" s="26"/>
    </row>
    <row r="89" customFormat="false" ht="15" hidden="false" customHeight="false" outlineLevel="0" collapsed="false">
      <c r="A89" s="24"/>
      <c r="B89" s="24"/>
      <c r="C89" s="25"/>
      <c r="D89" s="26"/>
      <c r="E89" s="24"/>
      <c r="F89" s="24"/>
      <c r="G89" s="25"/>
      <c r="H89" s="25"/>
      <c r="I89" s="27" t="str">
        <f aca="true">IF(C89="","",IF(H89&lt;&gt;"",H89-C89,TODAY()-C89))</f>
        <v/>
      </c>
      <c r="J89" s="27" t="str">
        <f aca="false">IF(B89="Early Warning",14,IF(B89="Compensation Event",28,""))</f>
        <v/>
      </c>
      <c r="K89" s="28" t="str">
        <f aca="false">IF(OR(C89="",J89=""),"",IF(AND(I89&gt;J89,OR(L89="Open",L89="")),"Yes","No"))</f>
        <v/>
      </c>
      <c r="L89" s="24"/>
      <c r="M89" s="29"/>
      <c r="N89" s="24"/>
      <c r="O89" s="26"/>
    </row>
    <row r="90" customFormat="false" ht="15" hidden="false" customHeight="false" outlineLevel="0" collapsed="false">
      <c r="A90" s="24"/>
      <c r="B90" s="24"/>
      <c r="C90" s="25"/>
      <c r="D90" s="26"/>
      <c r="E90" s="24"/>
      <c r="F90" s="24"/>
      <c r="G90" s="25"/>
      <c r="H90" s="25"/>
      <c r="I90" s="27" t="str">
        <f aca="true">IF(C90="","",IF(H90&lt;&gt;"",H90-C90,TODAY()-C90))</f>
        <v/>
      </c>
      <c r="J90" s="27" t="str">
        <f aca="false">IF(B90="Early Warning",14,IF(B90="Compensation Event",28,""))</f>
        <v/>
      </c>
      <c r="K90" s="28" t="str">
        <f aca="false">IF(OR(C90="",J90=""),"",IF(AND(I90&gt;J90,OR(L90="Open",L90="")),"Yes","No"))</f>
        <v/>
      </c>
      <c r="L90" s="24"/>
      <c r="M90" s="29"/>
      <c r="N90" s="24"/>
      <c r="O90" s="26"/>
    </row>
    <row r="91" customFormat="false" ht="15" hidden="false" customHeight="false" outlineLevel="0" collapsed="false">
      <c r="A91" s="24"/>
      <c r="B91" s="24"/>
      <c r="C91" s="25"/>
      <c r="D91" s="26"/>
      <c r="E91" s="24"/>
      <c r="F91" s="24"/>
      <c r="G91" s="25"/>
      <c r="H91" s="25"/>
      <c r="I91" s="27" t="str">
        <f aca="true">IF(C91="","",IF(H91&lt;&gt;"",H91-C91,TODAY()-C91))</f>
        <v/>
      </c>
      <c r="J91" s="27" t="str">
        <f aca="false">IF(B91="Early Warning",14,IF(B91="Compensation Event",28,""))</f>
        <v/>
      </c>
      <c r="K91" s="28" t="str">
        <f aca="false">IF(OR(C91="",J91=""),"",IF(AND(I91&gt;J91,OR(L91="Open",L91="")),"Yes","No"))</f>
        <v/>
      </c>
      <c r="L91" s="24"/>
      <c r="M91" s="29"/>
      <c r="N91" s="24"/>
      <c r="O91" s="26"/>
    </row>
    <row r="92" customFormat="false" ht="15" hidden="false" customHeight="false" outlineLevel="0" collapsed="false">
      <c r="A92" s="24"/>
      <c r="B92" s="24"/>
      <c r="C92" s="25"/>
      <c r="D92" s="26"/>
      <c r="E92" s="24"/>
      <c r="F92" s="24"/>
      <c r="G92" s="25"/>
      <c r="H92" s="25"/>
      <c r="I92" s="27" t="str">
        <f aca="true">IF(C92="","",IF(H92&lt;&gt;"",H92-C92,TODAY()-C92))</f>
        <v/>
      </c>
      <c r="J92" s="27" t="str">
        <f aca="false">IF(B92="Early Warning",14,IF(B92="Compensation Event",28,""))</f>
        <v/>
      </c>
      <c r="K92" s="28" t="str">
        <f aca="false">IF(OR(C92="",J92=""),"",IF(AND(I92&gt;J92,OR(L92="Open",L92="")),"Yes","No"))</f>
        <v/>
      </c>
      <c r="L92" s="24"/>
      <c r="M92" s="29"/>
      <c r="N92" s="24"/>
      <c r="O92" s="26"/>
    </row>
    <row r="93" customFormat="false" ht="15" hidden="false" customHeight="false" outlineLevel="0" collapsed="false">
      <c r="A93" s="24"/>
      <c r="B93" s="24"/>
      <c r="C93" s="25"/>
      <c r="D93" s="26"/>
      <c r="E93" s="24"/>
      <c r="F93" s="24"/>
      <c r="G93" s="25"/>
      <c r="H93" s="25"/>
      <c r="I93" s="27" t="str">
        <f aca="true">IF(C93="","",IF(H93&lt;&gt;"",H93-C93,TODAY()-C93))</f>
        <v/>
      </c>
      <c r="J93" s="27" t="str">
        <f aca="false">IF(B93="Early Warning",14,IF(B93="Compensation Event",28,""))</f>
        <v/>
      </c>
      <c r="K93" s="28" t="str">
        <f aca="false">IF(OR(C93="",J93=""),"",IF(AND(I93&gt;J93,OR(L93="Open",L93="")),"Yes","No"))</f>
        <v/>
      </c>
      <c r="L93" s="24"/>
      <c r="M93" s="29"/>
      <c r="N93" s="24"/>
      <c r="O93" s="26"/>
    </row>
    <row r="94" customFormat="false" ht="15" hidden="false" customHeight="false" outlineLevel="0" collapsed="false">
      <c r="A94" s="24"/>
      <c r="B94" s="24"/>
      <c r="C94" s="25"/>
      <c r="D94" s="26"/>
      <c r="E94" s="24"/>
      <c r="F94" s="24"/>
      <c r="G94" s="25"/>
      <c r="H94" s="25"/>
      <c r="I94" s="27" t="str">
        <f aca="true">IF(C94="","",IF(H94&lt;&gt;"",H94-C94,TODAY()-C94))</f>
        <v/>
      </c>
      <c r="J94" s="27" t="str">
        <f aca="false">IF(B94="Early Warning",14,IF(B94="Compensation Event",28,""))</f>
        <v/>
      </c>
      <c r="K94" s="28" t="str">
        <f aca="false">IF(OR(C94="",J94=""),"",IF(AND(I94&gt;J94,OR(L94="Open",L94="")),"Yes","No"))</f>
        <v/>
      </c>
      <c r="L94" s="24"/>
      <c r="M94" s="29"/>
      <c r="N94" s="24"/>
      <c r="O94" s="26"/>
    </row>
    <row r="95" customFormat="false" ht="15" hidden="false" customHeight="false" outlineLevel="0" collapsed="false">
      <c r="A95" s="24"/>
      <c r="B95" s="24"/>
      <c r="C95" s="25"/>
      <c r="D95" s="26"/>
      <c r="E95" s="24"/>
      <c r="F95" s="24"/>
      <c r="G95" s="25"/>
      <c r="H95" s="25"/>
      <c r="I95" s="27" t="str">
        <f aca="true">IF(C95="","",IF(H95&lt;&gt;"",H95-C95,TODAY()-C95))</f>
        <v/>
      </c>
      <c r="J95" s="27" t="str">
        <f aca="false">IF(B95="Early Warning",14,IF(B95="Compensation Event",28,""))</f>
        <v/>
      </c>
      <c r="K95" s="28" t="str">
        <f aca="false">IF(OR(C95="",J95=""),"",IF(AND(I95&gt;J95,OR(L95="Open",L95="")),"Yes","No"))</f>
        <v/>
      </c>
      <c r="L95" s="24"/>
      <c r="M95" s="29"/>
      <c r="N95" s="24"/>
      <c r="O95" s="26"/>
    </row>
    <row r="96" customFormat="false" ht="15" hidden="false" customHeight="false" outlineLevel="0" collapsed="false">
      <c r="A96" s="24"/>
      <c r="B96" s="24"/>
      <c r="C96" s="25"/>
      <c r="D96" s="26"/>
      <c r="E96" s="24"/>
      <c r="F96" s="24"/>
      <c r="G96" s="25"/>
      <c r="H96" s="25"/>
      <c r="I96" s="27" t="str">
        <f aca="true">IF(C96="","",IF(H96&lt;&gt;"",H96-C96,TODAY()-C96))</f>
        <v/>
      </c>
      <c r="J96" s="27" t="str">
        <f aca="false">IF(B96="Early Warning",14,IF(B96="Compensation Event",28,""))</f>
        <v/>
      </c>
      <c r="K96" s="28" t="str">
        <f aca="false">IF(OR(C96="",J96=""),"",IF(AND(I96&gt;J96,OR(L96="Open",L96="")),"Yes","No"))</f>
        <v/>
      </c>
      <c r="L96" s="24"/>
      <c r="M96" s="29"/>
      <c r="N96" s="24"/>
      <c r="O96" s="26"/>
    </row>
    <row r="97" customFormat="false" ht="15" hidden="false" customHeight="false" outlineLevel="0" collapsed="false">
      <c r="A97" s="24"/>
      <c r="B97" s="24"/>
      <c r="C97" s="25"/>
      <c r="D97" s="26"/>
      <c r="E97" s="24"/>
      <c r="F97" s="24"/>
      <c r="G97" s="25"/>
      <c r="H97" s="25"/>
      <c r="I97" s="27" t="str">
        <f aca="true">IF(C97="","",IF(H97&lt;&gt;"",H97-C97,TODAY()-C97))</f>
        <v/>
      </c>
      <c r="J97" s="27" t="str">
        <f aca="false">IF(B97="Early Warning",14,IF(B97="Compensation Event",28,""))</f>
        <v/>
      </c>
      <c r="K97" s="28" t="str">
        <f aca="false">IF(OR(C97="",J97=""),"",IF(AND(I97&gt;J97,OR(L97="Open",L97="")),"Yes","No"))</f>
        <v/>
      </c>
      <c r="L97" s="24"/>
      <c r="M97" s="29"/>
      <c r="N97" s="24"/>
      <c r="O97" s="26"/>
    </row>
    <row r="98" customFormat="false" ht="15" hidden="false" customHeight="false" outlineLevel="0" collapsed="false">
      <c r="A98" s="24"/>
      <c r="B98" s="24"/>
      <c r="C98" s="25"/>
      <c r="D98" s="26"/>
      <c r="E98" s="24"/>
      <c r="F98" s="24"/>
      <c r="G98" s="25"/>
      <c r="H98" s="25"/>
      <c r="I98" s="27" t="str">
        <f aca="true">IF(C98="","",IF(H98&lt;&gt;"",H98-C98,TODAY()-C98))</f>
        <v/>
      </c>
      <c r="J98" s="27" t="str">
        <f aca="false">IF(B98="Early Warning",14,IF(B98="Compensation Event",28,""))</f>
        <v/>
      </c>
      <c r="K98" s="28" t="str">
        <f aca="false">IF(OR(C98="",J98=""),"",IF(AND(I98&gt;J98,OR(L98="Open",L98="")),"Yes","No"))</f>
        <v/>
      </c>
      <c r="L98" s="24"/>
      <c r="M98" s="29"/>
      <c r="N98" s="24"/>
      <c r="O98" s="26"/>
    </row>
    <row r="99" customFormat="false" ht="15" hidden="false" customHeight="false" outlineLevel="0" collapsed="false">
      <c r="A99" s="24"/>
      <c r="B99" s="24"/>
      <c r="C99" s="25"/>
      <c r="D99" s="26"/>
      <c r="E99" s="24"/>
      <c r="F99" s="24"/>
      <c r="G99" s="25"/>
      <c r="H99" s="25"/>
      <c r="I99" s="27" t="str">
        <f aca="true">IF(C99="","",IF(H99&lt;&gt;"",H99-C99,TODAY()-C99))</f>
        <v/>
      </c>
      <c r="J99" s="27" t="str">
        <f aca="false">IF(B99="Early Warning",14,IF(B99="Compensation Event",28,""))</f>
        <v/>
      </c>
      <c r="K99" s="28" t="str">
        <f aca="false">IF(OR(C99="",J99=""),"",IF(AND(I99&gt;J99,OR(L99="Open",L99="")),"Yes","No"))</f>
        <v/>
      </c>
      <c r="L99" s="24"/>
      <c r="M99" s="29"/>
      <c r="N99" s="24"/>
      <c r="O99" s="26"/>
    </row>
    <row r="100" customFormat="false" ht="15" hidden="false" customHeight="false" outlineLevel="0" collapsed="false">
      <c r="A100" s="24"/>
      <c r="B100" s="24"/>
      <c r="C100" s="25"/>
      <c r="D100" s="26"/>
      <c r="E100" s="24"/>
      <c r="F100" s="24"/>
      <c r="G100" s="25"/>
      <c r="H100" s="25"/>
      <c r="I100" s="27" t="str">
        <f aca="true">IF(C100="","",IF(H100&lt;&gt;"",H100-C100,TODAY()-C100))</f>
        <v/>
      </c>
      <c r="J100" s="27" t="str">
        <f aca="false">IF(B100="Early Warning",14,IF(B100="Compensation Event",28,""))</f>
        <v/>
      </c>
      <c r="K100" s="28" t="str">
        <f aca="false">IF(OR(C100="",J100=""),"",IF(AND(I100&gt;J100,OR(L100="Open",L100="")),"Yes","No"))</f>
        <v/>
      </c>
      <c r="L100" s="24"/>
      <c r="M100" s="29"/>
      <c r="N100" s="24"/>
      <c r="O100" s="26"/>
    </row>
    <row r="101" customFormat="false" ht="15" hidden="false" customHeight="false" outlineLevel="0" collapsed="false">
      <c r="A101" s="24"/>
      <c r="B101" s="24"/>
      <c r="C101" s="25"/>
      <c r="D101" s="26"/>
      <c r="E101" s="24"/>
      <c r="F101" s="24"/>
      <c r="G101" s="25"/>
      <c r="H101" s="25"/>
      <c r="I101" s="27" t="str">
        <f aca="true">IF(C101="","",IF(H101&lt;&gt;"",H101-C101,TODAY()-C101))</f>
        <v/>
      </c>
      <c r="J101" s="27" t="str">
        <f aca="false">IF(B101="Early Warning",14,IF(B101="Compensation Event",28,""))</f>
        <v/>
      </c>
      <c r="K101" s="28" t="str">
        <f aca="false">IF(OR(C101="",J101=""),"",IF(AND(I101&gt;J101,OR(L101="Open",L101="")),"Yes","No"))</f>
        <v/>
      </c>
      <c r="L101" s="24"/>
      <c r="M101" s="29"/>
      <c r="N101" s="24"/>
      <c r="O101" s="26"/>
    </row>
    <row r="102" customFormat="false" ht="15" hidden="false" customHeight="false" outlineLevel="0" collapsed="false">
      <c r="A102" s="24"/>
      <c r="B102" s="24"/>
      <c r="C102" s="25"/>
      <c r="D102" s="26"/>
      <c r="E102" s="24"/>
      <c r="F102" s="24"/>
      <c r="G102" s="25"/>
      <c r="H102" s="25"/>
      <c r="I102" s="27" t="str">
        <f aca="true">IF(C102="","",IF(H102&lt;&gt;"",H102-C102,TODAY()-C102))</f>
        <v/>
      </c>
      <c r="J102" s="27" t="str">
        <f aca="false">IF(B102="Early Warning",14,IF(B102="Compensation Event",28,""))</f>
        <v/>
      </c>
      <c r="K102" s="28" t="str">
        <f aca="false">IF(OR(C102="",J102=""),"",IF(AND(I102&gt;J102,OR(L102="Open",L102="")),"Yes","No"))</f>
        <v/>
      </c>
      <c r="L102" s="24"/>
      <c r="M102" s="29"/>
      <c r="N102" s="24"/>
      <c r="O102" s="26"/>
    </row>
    <row r="103" customFormat="false" ht="15" hidden="false" customHeight="false" outlineLevel="0" collapsed="false">
      <c r="A103" s="24"/>
      <c r="B103" s="24"/>
      <c r="C103" s="25"/>
      <c r="D103" s="26"/>
      <c r="E103" s="24"/>
      <c r="F103" s="24"/>
      <c r="G103" s="25"/>
      <c r="H103" s="25"/>
      <c r="I103" s="27" t="str">
        <f aca="true">IF(C103="","",IF(H103&lt;&gt;"",H103-C103,TODAY()-C103))</f>
        <v/>
      </c>
      <c r="J103" s="27" t="str">
        <f aca="false">IF(B103="Early Warning",14,IF(B103="Compensation Event",28,""))</f>
        <v/>
      </c>
      <c r="K103" s="28" t="str">
        <f aca="false">IF(OR(C103="",J103=""),"",IF(AND(I103&gt;J103,OR(L103="Open",L103="")),"Yes","No"))</f>
        <v/>
      </c>
      <c r="L103" s="24"/>
      <c r="M103" s="29"/>
      <c r="N103" s="24"/>
      <c r="O103" s="26"/>
    </row>
    <row r="104" customFormat="false" ht="15" hidden="false" customHeight="false" outlineLevel="0" collapsed="false">
      <c r="A104" s="24"/>
      <c r="B104" s="24"/>
      <c r="C104" s="25"/>
      <c r="D104" s="26"/>
      <c r="E104" s="24"/>
      <c r="F104" s="24"/>
      <c r="G104" s="25"/>
      <c r="H104" s="25"/>
      <c r="I104" s="27" t="str">
        <f aca="true">IF(C104="","",IF(H104&lt;&gt;"",H104-C104,TODAY()-C104))</f>
        <v/>
      </c>
      <c r="J104" s="27" t="str">
        <f aca="false">IF(B104="Early Warning",14,IF(B104="Compensation Event",28,""))</f>
        <v/>
      </c>
      <c r="K104" s="28" t="str">
        <f aca="false">IF(OR(C104="",J104=""),"",IF(AND(I104&gt;J104,OR(L104="Open",L104="")),"Yes","No"))</f>
        <v/>
      </c>
      <c r="L104" s="24"/>
      <c r="M104" s="29"/>
      <c r="N104" s="24"/>
      <c r="O104" s="26"/>
    </row>
    <row r="105" customFormat="false" ht="15" hidden="false" customHeight="false" outlineLevel="0" collapsed="false">
      <c r="A105" s="24"/>
      <c r="B105" s="24"/>
      <c r="C105" s="25"/>
      <c r="D105" s="26"/>
      <c r="E105" s="24"/>
      <c r="F105" s="24"/>
      <c r="G105" s="25"/>
      <c r="H105" s="25"/>
      <c r="I105" s="27" t="str">
        <f aca="true">IF(C105="","",IF(H105&lt;&gt;"",H105-C105,TODAY()-C105))</f>
        <v/>
      </c>
      <c r="J105" s="27" t="str">
        <f aca="false">IF(B105="Early Warning",14,IF(B105="Compensation Event",28,""))</f>
        <v/>
      </c>
      <c r="K105" s="28" t="str">
        <f aca="false">IF(OR(C105="",J105=""),"",IF(AND(I105&gt;J105,OR(L105="Open",L105="")),"Yes","No"))</f>
        <v/>
      </c>
      <c r="L105" s="24"/>
      <c r="M105" s="29"/>
      <c r="N105" s="24"/>
      <c r="O105" s="26"/>
    </row>
    <row r="106" customFormat="false" ht="15" hidden="false" customHeight="false" outlineLevel="0" collapsed="false">
      <c r="A106" s="24"/>
      <c r="B106" s="24"/>
      <c r="C106" s="25"/>
      <c r="D106" s="26"/>
      <c r="E106" s="24"/>
      <c r="F106" s="24"/>
      <c r="G106" s="25"/>
      <c r="H106" s="25"/>
      <c r="I106" s="27" t="str">
        <f aca="true">IF(C106="","",IF(H106&lt;&gt;"",H106-C106,TODAY()-C106))</f>
        <v/>
      </c>
      <c r="J106" s="27" t="str">
        <f aca="false">IF(B106="Early Warning",14,IF(B106="Compensation Event",28,""))</f>
        <v/>
      </c>
      <c r="K106" s="28" t="str">
        <f aca="false">IF(OR(C106="",J106=""),"",IF(AND(I106&gt;J106,OR(L106="Open",L106="")),"Yes","No"))</f>
        <v/>
      </c>
      <c r="L106" s="24"/>
      <c r="M106" s="29"/>
      <c r="N106" s="24"/>
      <c r="O106" s="26"/>
    </row>
    <row r="107" customFormat="false" ht="15" hidden="false" customHeight="false" outlineLevel="0" collapsed="false">
      <c r="A107" s="24"/>
      <c r="B107" s="24"/>
      <c r="C107" s="25"/>
      <c r="D107" s="26"/>
      <c r="E107" s="24"/>
      <c r="F107" s="24"/>
      <c r="G107" s="25"/>
      <c r="H107" s="25"/>
      <c r="I107" s="27" t="str">
        <f aca="true">IF(C107="","",IF(H107&lt;&gt;"",H107-C107,TODAY()-C107))</f>
        <v/>
      </c>
      <c r="J107" s="27" t="str">
        <f aca="false">IF(B107="Early Warning",14,IF(B107="Compensation Event",28,""))</f>
        <v/>
      </c>
      <c r="K107" s="28" t="str">
        <f aca="false">IF(OR(C107="",J107=""),"",IF(AND(I107&gt;J107,OR(L107="Open",L107="")),"Yes","No"))</f>
        <v/>
      </c>
      <c r="L107" s="24"/>
      <c r="M107" s="29"/>
      <c r="N107" s="24"/>
      <c r="O107" s="26"/>
    </row>
    <row r="108" customFormat="false" ht="15" hidden="false" customHeight="false" outlineLevel="0" collapsed="false">
      <c r="A108" s="24"/>
      <c r="B108" s="24"/>
      <c r="C108" s="25"/>
      <c r="D108" s="26"/>
      <c r="E108" s="24"/>
      <c r="F108" s="24"/>
      <c r="G108" s="25"/>
      <c r="H108" s="25"/>
      <c r="I108" s="27" t="str">
        <f aca="true">IF(C108="","",IF(H108&lt;&gt;"",H108-C108,TODAY()-C108))</f>
        <v/>
      </c>
      <c r="J108" s="27" t="str">
        <f aca="false">IF(B108="Early Warning",14,IF(B108="Compensation Event",28,""))</f>
        <v/>
      </c>
      <c r="K108" s="28" t="str">
        <f aca="false">IF(OR(C108="",J108=""),"",IF(AND(I108&gt;J108,OR(L108="Open",L108="")),"Yes","No"))</f>
        <v/>
      </c>
      <c r="L108" s="24"/>
      <c r="M108" s="29"/>
      <c r="N108" s="24"/>
      <c r="O108" s="26"/>
    </row>
    <row r="109" customFormat="false" ht="15" hidden="false" customHeight="false" outlineLevel="0" collapsed="false">
      <c r="A109" s="24"/>
      <c r="B109" s="24"/>
      <c r="C109" s="25"/>
      <c r="D109" s="26"/>
      <c r="E109" s="24"/>
      <c r="F109" s="24"/>
      <c r="G109" s="25"/>
      <c r="H109" s="25"/>
      <c r="I109" s="27" t="str">
        <f aca="true">IF(C109="","",IF(H109&lt;&gt;"",H109-C109,TODAY()-C109))</f>
        <v/>
      </c>
      <c r="J109" s="27" t="str">
        <f aca="false">IF(B109="Early Warning",14,IF(B109="Compensation Event",28,""))</f>
        <v/>
      </c>
      <c r="K109" s="28" t="str">
        <f aca="false">IF(OR(C109="",J109=""),"",IF(AND(I109&gt;J109,OR(L109="Open",L109="")),"Yes","No"))</f>
        <v/>
      </c>
      <c r="L109" s="24"/>
      <c r="M109" s="29"/>
      <c r="N109" s="24"/>
      <c r="O109" s="26"/>
    </row>
    <row r="110" customFormat="false" ht="15" hidden="false" customHeight="false" outlineLevel="0" collapsed="false">
      <c r="A110" s="24"/>
      <c r="B110" s="24"/>
      <c r="C110" s="25"/>
      <c r="D110" s="26"/>
      <c r="E110" s="24"/>
      <c r="F110" s="24"/>
      <c r="G110" s="25"/>
      <c r="H110" s="25"/>
      <c r="I110" s="27" t="str">
        <f aca="true">IF(C110="","",IF(H110&lt;&gt;"",H110-C110,TODAY()-C110))</f>
        <v/>
      </c>
      <c r="J110" s="27" t="str">
        <f aca="false">IF(B110="Early Warning",14,IF(B110="Compensation Event",28,""))</f>
        <v/>
      </c>
      <c r="K110" s="28" t="str">
        <f aca="false">IF(OR(C110="",J110=""),"",IF(AND(I110&gt;J110,OR(L110="Open",L110="")),"Yes","No"))</f>
        <v/>
      </c>
      <c r="L110" s="24"/>
      <c r="M110" s="29"/>
      <c r="N110" s="24"/>
      <c r="O110" s="26"/>
    </row>
    <row r="111" customFormat="false" ht="15" hidden="false" customHeight="false" outlineLevel="0" collapsed="false">
      <c r="A111" s="24"/>
      <c r="B111" s="24"/>
      <c r="C111" s="25"/>
      <c r="D111" s="26"/>
      <c r="E111" s="24"/>
      <c r="F111" s="24"/>
      <c r="G111" s="25"/>
      <c r="H111" s="25"/>
      <c r="I111" s="27" t="str">
        <f aca="true">IF(C111="","",IF(H111&lt;&gt;"",H111-C111,TODAY()-C111))</f>
        <v/>
      </c>
      <c r="J111" s="27" t="str">
        <f aca="false">IF(B111="Early Warning",14,IF(B111="Compensation Event",28,""))</f>
        <v/>
      </c>
      <c r="K111" s="28" t="str">
        <f aca="false">IF(OR(C111="",J111=""),"",IF(AND(I111&gt;J111,OR(L111="Open",L111="")),"Yes","No"))</f>
        <v/>
      </c>
      <c r="L111" s="24"/>
      <c r="M111" s="29"/>
      <c r="N111" s="24"/>
      <c r="O111" s="26"/>
    </row>
    <row r="112" customFormat="false" ht="15" hidden="false" customHeight="false" outlineLevel="0" collapsed="false">
      <c r="A112" s="24"/>
      <c r="B112" s="24"/>
      <c r="C112" s="25"/>
      <c r="D112" s="26"/>
      <c r="E112" s="24"/>
      <c r="F112" s="24"/>
      <c r="G112" s="25"/>
      <c r="H112" s="25"/>
      <c r="I112" s="27" t="str">
        <f aca="true">IF(C112="","",IF(H112&lt;&gt;"",H112-C112,TODAY()-C112))</f>
        <v/>
      </c>
      <c r="J112" s="27" t="str">
        <f aca="false">IF(B112="Early Warning",14,IF(B112="Compensation Event",28,""))</f>
        <v/>
      </c>
      <c r="K112" s="28" t="str">
        <f aca="false">IF(OR(C112="",J112=""),"",IF(AND(I112&gt;J112,OR(L112="Open",L112="")),"Yes","No"))</f>
        <v/>
      </c>
      <c r="L112" s="24"/>
      <c r="M112" s="29"/>
      <c r="N112" s="24"/>
      <c r="O112" s="26"/>
    </row>
    <row r="113" customFormat="false" ht="15" hidden="false" customHeight="false" outlineLevel="0" collapsed="false">
      <c r="A113" s="24"/>
      <c r="B113" s="24"/>
      <c r="C113" s="25"/>
      <c r="D113" s="26"/>
      <c r="E113" s="24"/>
      <c r="F113" s="24"/>
      <c r="G113" s="25"/>
      <c r="H113" s="25"/>
      <c r="I113" s="27" t="str">
        <f aca="true">IF(C113="","",IF(H113&lt;&gt;"",H113-C113,TODAY()-C113))</f>
        <v/>
      </c>
      <c r="J113" s="27" t="str">
        <f aca="false">IF(B113="Early Warning",14,IF(B113="Compensation Event",28,""))</f>
        <v/>
      </c>
      <c r="K113" s="28" t="str">
        <f aca="false">IF(OR(C113="",J113=""),"",IF(AND(I113&gt;J113,OR(L113="Open",L113="")),"Yes","No"))</f>
        <v/>
      </c>
      <c r="L113" s="24"/>
      <c r="M113" s="29"/>
      <c r="N113" s="24"/>
      <c r="O113" s="26"/>
    </row>
    <row r="114" customFormat="false" ht="15" hidden="false" customHeight="false" outlineLevel="0" collapsed="false">
      <c r="A114" s="24"/>
      <c r="B114" s="24"/>
      <c r="C114" s="25"/>
      <c r="D114" s="26"/>
      <c r="E114" s="24"/>
      <c r="F114" s="24"/>
      <c r="G114" s="25"/>
      <c r="H114" s="25"/>
      <c r="I114" s="27" t="str">
        <f aca="true">IF(C114="","",IF(H114&lt;&gt;"",H114-C114,TODAY()-C114))</f>
        <v/>
      </c>
      <c r="J114" s="27" t="str">
        <f aca="false">IF(B114="Early Warning",14,IF(B114="Compensation Event",28,""))</f>
        <v/>
      </c>
      <c r="K114" s="28" t="str">
        <f aca="false">IF(OR(C114="",J114=""),"",IF(AND(I114&gt;J114,OR(L114="Open",L114="")),"Yes","No"))</f>
        <v/>
      </c>
      <c r="L114" s="24"/>
      <c r="M114" s="29"/>
      <c r="N114" s="24"/>
      <c r="O114" s="26"/>
    </row>
    <row r="115" customFormat="false" ht="15" hidden="false" customHeight="false" outlineLevel="0" collapsed="false">
      <c r="A115" s="24"/>
      <c r="B115" s="24"/>
      <c r="C115" s="25"/>
      <c r="D115" s="26"/>
      <c r="E115" s="24"/>
      <c r="F115" s="24"/>
      <c r="G115" s="25"/>
      <c r="H115" s="25"/>
      <c r="I115" s="27" t="str">
        <f aca="true">IF(C115="","",IF(H115&lt;&gt;"",H115-C115,TODAY()-C115))</f>
        <v/>
      </c>
      <c r="J115" s="27" t="str">
        <f aca="false">IF(B115="Early Warning",14,IF(B115="Compensation Event",28,""))</f>
        <v/>
      </c>
      <c r="K115" s="28" t="str">
        <f aca="false">IF(OR(C115="",J115=""),"",IF(AND(I115&gt;J115,OR(L115="Open",L115="")),"Yes","No"))</f>
        <v/>
      </c>
      <c r="L115" s="24"/>
      <c r="M115" s="29"/>
      <c r="N115" s="24"/>
      <c r="O115" s="26"/>
    </row>
    <row r="116" customFormat="false" ht="15" hidden="false" customHeight="false" outlineLevel="0" collapsed="false">
      <c r="A116" s="24"/>
      <c r="B116" s="24"/>
      <c r="C116" s="25"/>
      <c r="D116" s="26"/>
      <c r="E116" s="24"/>
      <c r="F116" s="24"/>
      <c r="G116" s="25"/>
      <c r="H116" s="25"/>
      <c r="I116" s="27" t="str">
        <f aca="true">IF(C116="","",IF(H116&lt;&gt;"",H116-C116,TODAY()-C116))</f>
        <v/>
      </c>
      <c r="J116" s="27" t="str">
        <f aca="false">IF(B116="Early Warning",14,IF(B116="Compensation Event",28,""))</f>
        <v/>
      </c>
      <c r="K116" s="28" t="str">
        <f aca="false">IF(OR(C116="",J116=""),"",IF(AND(I116&gt;J116,OR(L116="Open",L116="")),"Yes","No"))</f>
        <v/>
      </c>
      <c r="L116" s="24"/>
      <c r="M116" s="29"/>
      <c r="N116" s="24"/>
      <c r="O116" s="26"/>
    </row>
    <row r="117" customFormat="false" ht="15" hidden="false" customHeight="false" outlineLevel="0" collapsed="false">
      <c r="A117" s="24"/>
      <c r="B117" s="24"/>
      <c r="C117" s="25"/>
      <c r="D117" s="26"/>
      <c r="E117" s="24"/>
      <c r="F117" s="24"/>
      <c r="G117" s="25"/>
      <c r="H117" s="25"/>
      <c r="I117" s="27" t="str">
        <f aca="true">IF(C117="","",IF(H117&lt;&gt;"",H117-C117,TODAY()-C117))</f>
        <v/>
      </c>
      <c r="J117" s="27" t="str">
        <f aca="false">IF(B117="Early Warning",14,IF(B117="Compensation Event",28,""))</f>
        <v/>
      </c>
      <c r="K117" s="28" t="str">
        <f aca="false">IF(OR(C117="",J117=""),"",IF(AND(I117&gt;J117,OR(L117="Open",L117="")),"Yes","No"))</f>
        <v/>
      </c>
      <c r="L117" s="24"/>
      <c r="M117" s="29"/>
      <c r="N117" s="24"/>
      <c r="O117" s="26"/>
    </row>
    <row r="118" customFormat="false" ht="15" hidden="false" customHeight="false" outlineLevel="0" collapsed="false">
      <c r="A118" s="24"/>
      <c r="B118" s="24"/>
      <c r="C118" s="25"/>
      <c r="D118" s="26"/>
      <c r="E118" s="24"/>
      <c r="F118" s="24"/>
      <c r="G118" s="25"/>
      <c r="H118" s="25"/>
      <c r="I118" s="27" t="str">
        <f aca="true">IF(C118="","",IF(H118&lt;&gt;"",H118-C118,TODAY()-C118))</f>
        <v/>
      </c>
      <c r="J118" s="27" t="str">
        <f aca="false">IF(B118="Early Warning",14,IF(B118="Compensation Event",28,""))</f>
        <v/>
      </c>
      <c r="K118" s="28" t="str">
        <f aca="false">IF(OR(C118="",J118=""),"",IF(AND(I118&gt;J118,OR(L118="Open",L118="")),"Yes","No"))</f>
        <v/>
      </c>
      <c r="L118" s="24"/>
      <c r="M118" s="29"/>
      <c r="N118" s="24"/>
      <c r="O118" s="26"/>
    </row>
    <row r="119" customFormat="false" ht="15" hidden="false" customHeight="false" outlineLevel="0" collapsed="false">
      <c r="A119" s="24"/>
      <c r="B119" s="24"/>
      <c r="C119" s="25"/>
      <c r="D119" s="26"/>
      <c r="E119" s="24"/>
      <c r="F119" s="24"/>
      <c r="G119" s="25"/>
      <c r="H119" s="25"/>
      <c r="I119" s="27" t="str">
        <f aca="true">IF(C119="","",IF(H119&lt;&gt;"",H119-C119,TODAY()-C119))</f>
        <v/>
      </c>
      <c r="J119" s="27" t="str">
        <f aca="false">IF(B119="Early Warning",14,IF(B119="Compensation Event",28,""))</f>
        <v/>
      </c>
      <c r="K119" s="28" t="str">
        <f aca="false">IF(OR(C119="",J119=""),"",IF(AND(I119&gt;J119,OR(L119="Open",L119="")),"Yes","No"))</f>
        <v/>
      </c>
      <c r="L119" s="24"/>
      <c r="M119" s="29"/>
      <c r="N119" s="24"/>
      <c r="O119" s="26"/>
    </row>
    <row r="120" customFormat="false" ht="15" hidden="false" customHeight="false" outlineLevel="0" collapsed="false">
      <c r="A120" s="24"/>
      <c r="B120" s="24"/>
      <c r="C120" s="25"/>
      <c r="D120" s="26"/>
      <c r="E120" s="24"/>
      <c r="F120" s="24"/>
      <c r="G120" s="25"/>
      <c r="H120" s="25"/>
      <c r="I120" s="27" t="str">
        <f aca="true">IF(C120="","",IF(H120&lt;&gt;"",H120-C120,TODAY()-C120))</f>
        <v/>
      </c>
      <c r="J120" s="27" t="str">
        <f aca="false">IF(B120="Early Warning",14,IF(B120="Compensation Event",28,""))</f>
        <v/>
      </c>
      <c r="K120" s="28" t="str">
        <f aca="false">IF(OR(C120="",J120=""),"",IF(AND(I120&gt;J120,OR(L120="Open",L120="")),"Yes","No"))</f>
        <v/>
      </c>
      <c r="L120" s="24"/>
      <c r="M120" s="29"/>
      <c r="N120" s="24"/>
      <c r="O120" s="26"/>
    </row>
    <row r="121" customFormat="false" ht="15" hidden="false" customHeight="false" outlineLevel="0" collapsed="false">
      <c r="A121" s="24"/>
      <c r="B121" s="24"/>
      <c r="C121" s="25"/>
      <c r="D121" s="26"/>
      <c r="E121" s="24"/>
      <c r="F121" s="24"/>
      <c r="G121" s="25"/>
      <c r="H121" s="25"/>
      <c r="I121" s="27" t="str">
        <f aca="true">IF(C121="","",IF(H121&lt;&gt;"",H121-C121,TODAY()-C121))</f>
        <v/>
      </c>
      <c r="J121" s="27" t="str">
        <f aca="false">IF(B121="Early Warning",14,IF(B121="Compensation Event",28,""))</f>
        <v/>
      </c>
      <c r="K121" s="28" t="str">
        <f aca="false">IF(OR(C121="",J121=""),"",IF(AND(I121&gt;J121,OR(L121="Open",L121="")),"Yes","No"))</f>
        <v/>
      </c>
      <c r="L121" s="24"/>
      <c r="M121" s="29"/>
      <c r="N121" s="24"/>
      <c r="O121" s="26"/>
    </row>
    <row r="122" customFormat="false" ht="15" hidden="false" customHeight="false" outlineLevel="0" collapsed="false">
      <c r="A122" s="24"/>
      <c r="B122" s="24"/>
      <c r="C122" s="25"/>
      <c r="D122" s="26"/>
      <c r="E122" s="24"/>
      <c r="F122" s="24"/>
      <c r="G122" s="25"/>
      <c r="H122" s="25"/>
      <c r="I122" s="27" t="str">
        <f aca="true">IF(C122="","",IF(H122&lt;&gt;"",H122-C122,TODAY()-C122))</f>
        <v/>
      </c>
      <c r="J122" s="27" t="str">
        <f aca="false">IF(B122="Early Warning",14,IF(B122="Compensation Event",28,""))</f>
        <v/>
      </c>
      <c r="K122" s="28" t="str">
        <f aca="false">IF(OR(C122="",J122=""),"",IF(AND(I122&gt;J122,OR(L122="Open",L122="")),"Yes","No"))</f>
        <v/>
      </c>
      <c r="L122" s="24"/>
      <c r="M122" s="29"/>
      <c r="N122" s="24"/>
      <c r="O122" s="26"/>
    </row>
    <row r="123" customFormat="false" ht="15" hidden="false" customHeight="false" outlineLevel="0" collapsed="false">
      <c r="A123" s="24"/>
      <c r="B123" s="24"/>
      <c r="C123" s="25"/>
      <c r="D123" s="26"/>
      <c r="E123" s="24"/>
      <c r="F123" s="24"/>
      <c r="G123" s="25"/>
      <c r="H123" s="25"/>
      <c r="I123" s="27" t="str">
        <f aca="true">IF(C123="","",IF(H123&lt;&gt;"",H123-C123,TODAY()-C123))</f>
        <v/>
      </c>
      <c r="J123" s="27" t="str">
        <f aca="false">IF(B123="Early Warning",14,IF(B123="Compensation Event",28,""))</f>
        <v/>
      </c>
      <c r="K123" s="28" t="str">
        <f aca="false">IF(OR(C123="",J123=""),"",IF(AND(I123&gt;J123,OR(L123="Open",L123="")),"Yes","No"))</f>
        <v/>
      </c>
      <c r="L123" s="24"/>
      <c r="M123" s="29"/>
      <c r="N123" s="24"/>
      <c r="O123" s="26"/>
    </row>
    <row r="124" customFormat="false" ht="15" hidden="false" customHeight="false" outlineLevel="0" collapsed="false">
      <c r="A124" s="24"/>
      <c r="B124" s="24"/>
      <c r="C124" s="25"/>
      <c r="D124" s="26"/>
      <c r="E124" s="24"/>
      <c r="F124" s="24"/>
      <c r="G124" s="25"/>
      <c r="H124" s="25"/>
      <c r="I124" s="27" t="str">
        <f aca="true">IF(C124="","",IF(H124&lt;&gt;"",H124-C124,TODAY()-C124))</f>
        <v/>
      </c>
      <c r="J124" s="27" t="str">
        <f aca="false">IF(B124="Early Warning",14,IF(B124="Compensation Event",28,""))</f>
        <v/>
      </c>
      <c r="K124" s="28" t="str">
        <f aca="false">IF(OR(C124="",J124=""),"",IF(AND(I124&gt;J124,OR(L124="Open",L124="")),"Yes","No"))</f>
        <v/>
      </c>
      <c r="L124" s="24"/>
      <c r="M124" s="29"/>
      <c r="N124" s="24"/>
      <c r="O124" s="26"/>
    </row>
    <row r="125" customFormat="false" ht="15" hidden="false" customHeight="false" outlineLevel="0" collapsed="false">
      <c r="A125" s="24"/>
      <c r="B125" s="24"/>
      <c r="C125" s="25"/>
      <c r="D125" s="26"/>
      <c r="E125" s="24"/>
      <c r="F125" s="24"/>
      <c r="G125" s="25"/>
      <c r="H125" s="25"/>
      <c r="I125" s="27" t="str">
        <f aca="true">IF(C125="","",IF(H125&lt;&gt;"",H125-C125,TODAY()-C125))</f>
        <v/>
      </c>
      <c r="J125" s="27" t="str">
        <f aca="false">IF(B125="Early Warning",14,IF(B125="Compensation Event",28,""))</f>
        <v/>
      </c>
      <c r="K125" s="28" t="str">
        <f aca="false">IF(OR(C125="",J125=""),"",IF(AND(I125&gt;J125,OR(L125="Open",L125="")),"Yes","No"))</f>
        <v/>
      </c>
      <c r="L125" s="24"/>
      <c r="M125" s="29"/>
      <c r="N125" s="24"/>
      <c r="O125" s="26"/>
    </row>
    <row r="126" customFormat="false" ht="15" hidden="false" customHeight="false" outlineLevel="0" collapsed="false">
      <c r="A126" s="24"/>
      <c r="B126" s="24"/>
      <c r="C126" s="25"/>
      <c r="D126" s="26"/>
      <c r="E126" s="24"/>
      <c r="F126" s="24"/>
      <c r="G126" s="25"/>
      <c r="H126" s="25"/>
      <c r="I126" s="27" t="str">
        <f aca="true">IF(C126="","",IF(H126&lt;&gt;"",H126-C126,TODAY()-C126))</f>
        <v/>
      </c>
      <c r="J126" s="27" t="str">
        <f aca="false">IF(B126="Early Warning",14,IF(B126="Compensation Event",28,""))</f>
        <v/>
      </c>
      <c r="K126" s="28" t="str">
        <f aca="false">IF(OR(C126="",J126=""),"",IF(AND(I126&gt;J126,OR(L126="Open",L126="")),"Yes","No"))</f>
        <v/>
      </c>
      <c r="L126" s="24"/>
      <c r="M126" s="29"/>
      <c r="N126" s="24"/>
      <c r="O126" s="26"/>
    </row>
    <row r="127" customFormat="false" ht="15" hidden="false" customHeight="false" outlineLevel="0" collapsed="false">
      <c r="A127" s="24"/>
      <c r="B127" s="24"/>
      <c r="C127" s="25"/>
      <c r="D127" s="26"/>
      <c r="E127" s="24"/>
      <c r="F127" s="24"/>
      <c r="G127" s="25"/>
      <c r="H127" s="25"/>
      <c r="I127" s="27" t="str">
        <f aca="true">IF(C127="","",IF(H127&lt;&gt;"",H127-C127,TODAY()-C127))</f>
        <v/>
      </c>
      <c r="J127" s="27" t="str">
        <f aca="false">IF(B127="Early Warning",14,IF(B127="Compensation Event",28,""))</f>
        <v/>
      </c>
      <c r="K127" s="28" t="str">
        <f aca="false">IF(OR(C127="",J127=""),"",IF(AND(I127&gt;J127,OR(L127="Open",L127="")),"Yes","No"))</f>
        <v/>
      </c>
      <c r="L127" s="24"/>
      <c r="M127" s="29"/>
      <c r="N127" s="24"/>
      <c r="O127" s="26"/>
    </row>
    <row r="128" customFormat="false" ht="15" hidden="false" customHeight="false" outlineLevel="0" collapsed="false">
      <c r="A128" s="24"/>
      <c r="B128" s="24"/>
      <c r="C128" s="25"/>
      <c r="D128" s="26"/>
      <c r="E128" s="24"/>
      <c r="F128" s="24"/>
      <c r="G128" s="25"/>
      <c r="H128" s="25"/>
      <c r="I128" s="27" t="str">
        <f aca="true">IF(C128="","",IF(H128&lt;&gt;"",H128-C128,TODAY()-C128))</f>
        <v/>
      </c>
      <c r="J128" s="27" t="str">
        <f aca="false">IF(B128="Early Warning",14,IF(B128="Compensation Event",28,""))</f>
        <v/>
      </c>
      <c r="K128" s="28" t="str">
        <f aca="false">IF(OR(C128="",J128=""),"",IF(AND(I128&gt;J128,OR(L128="Open",L128="")),"Yes","No"))</f>
        <v/>
      </c>
      <c r="L128" s="24"/>
      <c r="M128" s="29"/>
      <c r="N128" s="24"/>
      <c r="O128" s="26"/>
    </row>
    <row r="129" customFormat="false" ht="15" hidden="false" customHeight="false" outlineLevel="0" collapsed="false">
      <c r="A129" s="24"/>
      <c r="B129" s="24"/>
      <c r="C129" s="25"/>
      <c r="D129" s="26"/>
      <c r="E129" s="24"/>
      <c r="F129" s="24"/>
      <c r="G129" s="25"/>
      <c r="H129" s="25"/>
      <c r="I129" s="27" t="str">
        <f aca="true">IF(C129="","",IF(H129&lt;&gt;"",H129-C129,TODAY()-C129))</f>
        <v/>
      </c>
      <c r="J129" s="27" t="str">
        <f aca="false">IF(B129="Early Warning",14,IF(B129="Compensation Event",28,""))</f>
        <v/>
      </c>
      <c r="K129" s="28" t="str">
        <f aca="false">IF(OR(C129="",J129=""),"",IF(AND(I129&gt;J129,OR(L129="Open",L129="")),"Yes","No"))</f>
        <v/>
      </c>
      <c r="L129" s="24"/>
      <c r="M129" s="29"/>
      <c r="N129" s="24"/>
      <c r="O129" s="26"/>
    </row>
    <row r="130" customFormat="false" ht="15" hidden="false" customHeight="false" outlineLevel="0" collapsed="false">
      <c r="A130" s="24"/>
      <c r="B130" s="24"/>
      <c r="C130" s="25"/>
      <c r="D130" s="26"/>
      <c r="E130" s="24"/>
      <c r="F130" s="24"/>
      <c r="G130" s="25"/>
      <c r="H130" s="25"/>
      <c r="I130" s="27" t="str">
        <f aca="true">IF(C130="","",IF(H130&lt;&gt;"",H130-C130,TODAY()-C130))</f>
        <v/>
      </c>
      <c r="J130" s="27" t="str">
        <f aca="false">IF(B130="Early Warning",14,IF(B130="Compensation Event",28,""))</f>
        <v/>
      </c>
      <c r="K130" s="28" t="str">
        <f aca="false">IF(OR(C130="",J130=""),"",IF(AND(I130&gt;J130,OR(L130="Open",L130="")),"Yes","No"))</f>
        <v/>
      </c>
      <c r="L130" s="24"/>
      <c r="M130" s="29"/>
      <c r="N130" s="24"/>
      <c r="O130" s="26"/>
    </row>
    <row r="131" customFormat="false" ht="15" hidden="false" customHeight="false" outlineLevel="0" collapsed="false">
      <c r="A131" s="24"/>
      <c r="B131" s="24"/>
      <c r="C131" s="25"/>
      <c r="D131" s="26"/>
      <c r="E131" s="24"/>
      <c r="F131" s="24"/>
      <c r="G131" s="25"/>
      <c r="H131" s="25"/>
      <c r="I131" s="27" t="str">
        <f aca="true">IF(C131="","",IF(H131&lt;&gt;"",H131-C131,TODAY()-C131))</f>
        <v/>
      </c>
      <c r="J131" s="27" t="str">
        <f aca="false">IF(B131="Early Warning",14,IF(B131="Compensation Event",28,""))</f>
        <v/>
      </c>
      <c r="K131" s="28" t="str">
        <f aca="false">IF(OR(C131="",J131=""),"",IF(AND(I131&gt;J131,OR(L131="Open",L131="")),"Yes","No"))</f>
        <v/>
      </c>
      <c r="L131" s="24"/>
      <c r="M131" s="29"/>
      <c r="N131" s="24"/>
      <c r="O131" s="26"/>
    </row>
    <row r="132" customFormat="false" ht="15" hidden="false" customHeight="false" outlineLevel="0" collapsed="false">
      <c r="A132" s="24"/>
      <c r="B132" s="24"/>
      <c r="C132" s="25"/>
      <c r="D132" s="26"/>
      <c r="E132" s="24"/>
      <c r="F132" s="24"/>
      <c r="G132" s="25"/>
      <c r="H132" s="25"/>
      <c r="I132" s="27" t="str">
        <f aca="true">IF(C132="","",IF(H132&lt;&gt;"",H132-C132,TODAY()-C132))</f>
        <v/>
      </c>
      <c r="J132" s="27" t="str">
        <f aca="false">IF(B132="Early Warning",14,IF(B132="Compensation Event",28,""))</f>
        <v/>
      </c>
      <c r="K132" s="28" t="str">
        <f aca="false">IF(OR(C132="",J132=""),"",IF(AND(I132&gt;J132,OR(L132="Open",L132="")),"Yes","No"))</f>
        <v/>
      </c>
      <c r="L132" s="24"/>
      <c r="M132" s="29"/>
      <c r="N132" s="24"/>
      <c r="O132" s="26"/>
    </row>
    <row r="133" customFormat="false" ht="15" hidden="false" customHeight="false" outlineLevel="0" collapsed="false">
      <c r="A133" s="24"/>
      <c r="B133" s="24"/>
      <c r="C133" s="25"/>
      <c r="D133" s="26"/>
      <c r="E133" s="24"/>
      <c r="F133" s="24"/>
      <c r="G133" s="25"/>
      <c r="H133" s="25"/>
      <c r="I133" s="27" t="str">
        <f aca="true">IF(C133="","",IF(H133&lt;&gt;"",H133-C133,TODAY()-C133))</f>
        <v/>
      </c>
      <c r="J133" s="27" t="str">
        <f aca="false">IF(B133="Early Warning",14,IF(B133="Compensation Event",28,""))</f>
        <v/>
      </c>
      <c r="K133" s="28" t="str">
        <f aca="false">IF(OR(C133="",J133=""),"",IF(AND(I133&gt;J133,OR(L133="Open",L133="")),"Yes","No"))</f>
        <v/>
      </c>
      <c r="L133" s="24"/>
      <c r="M133" s="29"/>
      <c r="N133" s="24"/>
      <c r="O133" s="26"/>
    </row>
    <row r="134" customFormat="false" ht="15" hidden="false" customHeight="false" outlineLevel="0" collapsed="false">
      <c r="A134" s="24"/>
      <c r="B134" s="24"/>
      <c r="C134" s="25"/>
      <c r="D134" s="26"/>
      <c r="E134" s="24"/>
      <c r="F134" s="24"/>
      <c r="G134" s="25"/>
      <c r="H134" s="25"/>
      <c r="I134" s="27" t="str">
        <f aca="true">IF(C134="","",IF(H134&lt;&gt;"",H134-C134,TODAY()-C134))</f>
        <v/>
      </c>
      <c r="J134" s="27" t="str">
        <f aca="false">IF(B134="Early Warning",14,IF(B134="Compensation Event",28,""))</f>
        <v/>
      </c>
      <c r="K134" s="28" t="str">
        <f aca="false">IF(OR(C134="",J134=""),"",IF(AND(I134&gt;J134,OR(L134="Open",L134="")),"Yes","No"))</f>
        <v/>
      </c>
      <c r="L134" s="24"/>
      <c r="M134" s="29"/>
      <c r="N134" s="24"/>
      <c r="O134" s="26"/>
    </row>
    <row r="135" customFormat="false" ht="15" hidden="false" customHeight="false" outlineLevel="0" collapsed="false">
      <c r="A135" s="24"/>
      <c r="B135" s="24"/>
      <c r="C135" s="25"/>
      <c r="D135" s="26"/>
      <c r="E135" s="24"/>
      <c r="F135" s="24"/>
      <c r="G135" s="25"/>
      <c r="H135" s="25"/>
      <c r="I135" s="27" t="str">
        <f aca="true">IF(C135="","",IF(H135&lt;&gt;"",H135-C135,TODAY()-C135))</f>
        <v/>
      </c>
      <c r="J135" s="27" t="str">
        <f aca="false">IF(B135="Early Warning",14,IF(B135="Compensation Event",28,""))</f>
        <v/>
      </c>
      <c r="K135" s="28" t="str">
        <f aca="false">IF(OR(C135="",J135=""),"",IF(AND(I135&gt;J135,OR(L135="Open",L135="")),"Yes","No"))</f>
        <v/>
      </c>
      <c r="L135" s="24"/>
      <c r="M135" s="29"/>
      <c r="N135" s="24"/>
      <c r="O135" s="26"/>
    </row>
    <row r="136" customFormat="false" ht="15" hidden="false" customHeight="false" outlineLevel="0" collapsed="false">
      <c r="A136" s="24"/>
      <c r="B136" s="24"/>
      <c r="C136" s="25"/>
      <c r="D136" s="26"/>
      <c r="E136" s="24"/>
      <c r="F136" s="24"/>
      <c r="G136" s="25"/>
      <c r="H136" s="25"/>
      <c r="I136" s="27" t="str">
        <f aca="true">IF(C136="","",IF(H136&lt;&gt;"",H136-C136,TODAY()-C136))</f>
        <v/>
      </c>
      <c r="J136" s="27" t="str">
        <f aca="false">IF(B136="Early Warning",14,IF(B136="Compensation Event",28,""))</f>
        <v/>
      </c>
      <c r="K136" s="28" t="str">
        <f aca="false">IF(OR(C136="",J136=""),"",IF(AND(I136&gt;J136,OR(L136="Open",L136="")),"Yes","No"))</f>
        <v/>
      </c>
      <c r="L136" s="24"/>
      <c r="M136" s="29"/>
      <c r="N136" s="24"/>
      <c r="O136" s="26"/>
    </row>
    <row r="137" customFormat="false" ht="15" hidden="false" customHeight="false" outlineLevel="0" collapsed="false">
      <c r="A137" s="24"/>
      <c r="B137" s="24"/>
      <c r="C137" s="25"/>
      <c r="D137" s="26"/>
      <c r="E137" s="24"/>
      <c r="F137" s="24"/>
      <c r="G137" s="25"/>
      <c r="H137" s="25"/>
      <c r="I137" s="27" t="str">
        <f aca="true">IF(C137="","",IF(H137&lt;&gt;"",H137-C137,TODAY()-C137))</f>
        <v/>
      </c>
      <c r="J137" s="27" t="str">
        <f aca="false">IF(B137="Early Warning",14,IF(B137="Compensation Event",28,""))</f>
        <v/>
      </c>
      <c r="K137" s="28" t="str">
        <f aca="false">IF(OR(C137="",J137=""),"",IF(AND(I137&gt;J137,OR(L137="Open",L137="")),"Yes","No"))</f>
        <v/>
      </c>
      <c r="L137" s="24"/>
      <c r="M137" s="29"/>
      <c r="N137" s="24"/>
      <c r="O137" s="26"/>
    </row>
    <row r="138" customFormat="false" ht="15" hidden="false" customHeight="false" outlineLevel="0" collapsed="false">
      <c r="A138" s="24"/>
      <c r="B138" s="24"/>
      <c r="C138" s="25"/>
      <c r="D138" s="26"/>
      <c r="E138" s="24"/>
      <c r="F138" s="24"/>
      <c r="G138" s="25"/>
      <c r="H138" s="25"/>
      <c r="I138" s="27" t="str">
        <f aca="true">IF(C138="","",IF(H138&lt;&gt;"",H138-C138,TODAY()-C138))</f>
        <v/>
      </c>
      <c r="J138" s="27" t="str">
        <f aca="false">IF(B138="Early Warning",14,IF(B138="Compensation Event",28,""))</f>
        <v/>
      </c>
      <c r="K138" s="28" t="str">
        <f aca="false">IF(OR(C138="",J138=""),"",IF(AND(I138&gt;J138,OR(L138="Open",L138="")),"Yes","No"))</f>
        <v/>
      </c>
      <c r="L138" s="24"/>
      <c r="M138" s="29"/>
      <c r="N138" s="24"/>
      <c r="O138" s="26"/>
    </row>
    <row r="139" customFormat="false" ht="15" hidden="false" customHeight="false" outlineLevel="0" collapsed="false">
      <c r="A139" s="24"/>
      <c r="B139" s="24"/>
      <c r="C139" s="25"/>
      <c r="D139" s="26"/>
      <c r="E139" s="24"/>
      <c r="F139" s="24"/>
      <c r="G139" s="25"/>
      <c r="H139" s="25"/>
      <c r="I139" s="27" t="str">
        <f aca="true">IF(C139="","",IF(H139&lt;&gt;"",H139-C139,TODAY()-C139))</f>
        <v/>
      </c>
      <c r="J139" s="27" t="str">
        <f aca="false">IF(B139="Early Warning",14,IF(B139="Compensation Event",28,""))</f>
        <v/>
      </c>
      <c r="K139" s="28" t="str">
        <f aca="false">IF(OR(C139="",J139=""),"",IF(AND(I139&gt;J139,OR(L139="Open",L139="")),"Yes","No"))</f>
        <v/>
      </c>
      <c r="L139" s="24"/>
      <c r="M139" s="29"/>
      <c r="N139" s="24"/>
      <c r="O139" s="26"/>
    </row>
    <row r="140" customFormat="false" ht="15" hidden="false" customHeight="false" outlineLevel="0" collapsed="false">
      <c r="A140" s="24"/>
      <c r="B140" s="24"/>
      <c r="C140" s="25"/>
      <c r="D140" s="26"/>
      <c r="E140" s="24"/>
      <c r="F140" s="24"/>
      <c r="G140" s="25"/>
      <c r="H140" s="25"/>
      <c r="I140" s="27" t="str">
        <f aca="true">IF(C140="","",IF(H140&lt;&gt;"",H140-C140,TODAY()-C140))</f>
        <v/>
      </c>
      <c r="J140" s="27" t="str">
        <f aca="false">IF(B140="Early Warning",14,IF(B140="Compensation Event",28,""))</f>
        <v/>
      </c>
      <c r="K140" s="28" t="str">
        <f aca="false">IF(OR(C140="",J140=""),"",IF(AND(I140&gt;J140,OR(L140="Open",L140="")),"Yes","No"))</f>
        <v/>
      </c>
      <c r="L140" s="24"/>
      <c r="M140" s="29"/>
      <c r="N140" s="24"/>
      <c r="O140" s="26"/>
    </row>
    <row r="141" customFormat="false" ht="15" hidden="false" customHeight="false" outlineLevel="0" collapsed="false">
      <c r="A141" s="24"/>
      <c r="B141" s="24"/>
      <c r="C141" s="25"/>
      <c r="D141" s="26"/>
      <c r="E141" s="24"/>
      <c r="F141" s="24"/>
      <c r="G141" s="25"/>
      <c r="H141" s="25"/>
      <c r="I141" s="27" t="str">
        <f aca="true">IF(C141="","",IF(H141&lt;&gt;"",H141-C141,TODAY()-C141))</f>
        <v/>
      </c>
      <c r="J141" s="27" t="str">
        <f aca="false">IF(B141="Early Warning",14,IF(B141="Compensation Event",28,""))</f>
        <v/>
      </c>
      <c r="K141" s="28" t="str">
        <f aca="false">IF(OR(C141="",J141=""),"",IF(AND(I141&gt;J141,OR(L141="Open",L141="")),"Yes","No"))</f>
        <v/>
      </c>
      <c r="L141" s="24"/>
      <c r="M141" s="29"/>
      <c r="N141" s="24"/>
      <c r="O141" s="26"/>
    </row>
    <row r="142" customFormat="false" ht="15" hidden="false" customHeight="false" outlineLevel="0" collapsed="false">
      <c r="A142" s="24"/>
      <c r="B142" s="24"/>
      <c r="C142" s="25"/>
      <c r="D142" s="26"/>
      <c r="E142" s="24"/>
      <c r="F142" s="24"/>
      <c r="G142" s="25"/>
      <c r="H142" s="25"/>
      <c r="I142" s="27" t="str">
        <f aca="true">IF(C142="","",IF(H142&lt;&gt;"",H142-C142,TODAY()-C142))</f>
        <v/>
      </c>
      <c r="J142" s="27" t="str">
        <f aca="false">IF(B142="Early Warning",14,IF(B142="Compensation Event",28,""))</f>
        <v/>
      </c>
      <c r="K142" s="28" t="str">
        <f aca="false">IF(OR(C142="",J142=""),"",IF(AND(I142&gt;J142,OR(L142="Open",L142="")),"Yes","No"))</f>
        <v/>
      </c>
      <c r="L142" s="24"/>
      <c r="M142" s="29"/>
      <c r="N142" s="24"/>
      <c r="O142" s="26"/>
    </row>
    <row r="143" customFormat="false" ht="15" hidden="false" customHeight="false" outlineLevel="0" collapsed="false">
      <c r="A143" s="24"/>
      <c r="B143" s="24"/>
      <c r="C143" s="25"/>
      <c r="D143" s="26"/>
      <c r="E143" s="24"/>
      <c r="F143" s="24"/>
      <c r="G143" s="25"/>
      <c r="H143" s="25"/>
      <c r="I143" s="27" t="str">
        <f aca="true">IF(C143="","",IF(H143&lt;&gt;"",H143-C143,TODAY()-C143))</f>
        <v/>
      </c>
      <c r="J143" s="27" t="str">
        <f aca="false">IF(B143="Early Warning",14,IF(B143="Compensation Event",28,""))</f>
        <v/>
      </c>
      <c r="K143" s="28" t="str">
        <f aca="false">IF(OR(C143="",J143=""),"",IF(AND(I143&gt;J143,OR(L143="Open",L143="")),"Yes","No"))</f>
        <v/>
      </c>
      <c r="L143" s="24"/>
      <c r="M143" s="29"/>
      <c r="N143" s="24"/>
      <c r="O143" s="26"/>
    </row>
    <row r="144" customFormat="false" ht="15" hidden="false" customHeight="false" outlineLevel="0" collapsed="false">
      <c r="A144" s="24"/>
      <c r="B144" s="24"/>
      <c r="C144" s="25"/>
      <c r="D144" s="26"/>
      <c r="E144" s="24"/>
      <c r="F144" s="24"/>
      <c r="G144" s="25"/>
      <c r="H144" s="25"/>
      <c r="I144" s="27" t="str">
        <f aca="true">IF(C144="","",IF(H144&lt;&gt;"",H144-C144,TODAY()-C144))</f>
        <v/>
      </c>
      <c r="J144" s="27" t="str">
        <f aca="false">IF(B144="Early Warning",14,IF(B144="Compensation Event",28,""))</f>
        <v/>
      </c>
      <c r="K144" s="28" t="str">
        <f aca="false">IF(OR(C144="",J144=""),"",IF(AND(I144&gt;J144,OR(L144="Open",L144="")),"Yes","No"))</f>
        <v/>
      </c>
      <c r="L144" s="24"/>
      <c r="M144" s="29"/>
      <c r="N144" s="24"/>
      <c r="O144" s="26"/>
    </row>
    <row r="145" customFormat="false" ht="15" hidden="false" customHeight="false" outlineLevel="0" collapsed="false">
      <c r="A145" s="24"/>
      <c r="B145" s="24"/>
      <c r="C145" s="25"/>
      <c r="D145" s="26"/>
      <c r="E145" s="24"/>
      <c r="F145" s="24"/>
      <c r="G145" s="25"/>
      <c r="H145" s="25"/>
      <c r="I145" s="27" t="str">
        <f aca="true">IF(C145="","",IF(H145&lt;&gt;"",H145-C145,TODAY()-C145))</f>
        <v/>
      </c>
      <c r="J145" s="27" t="str">
        <f aca="false">IF(B145="Early Warning",14,IF(B145="Compensation Event",28,""))</f>
        <v/>
      </c>
      <c r="K145" s="28" t="str">
        <f aca="false">IF(OR(C145="",J145=""),"",IF(AND(I145&gt;J145,OR(L145="Open",L145="")),"Yes","No"))</f>
        <v/>
      </c>
      <c r="L145" s="24"/>
      <c r="M145" s="29"/>
      <c r="N145" s="24"/>
      <c r="O145" s="26"/>
    </row>
    <row r="146" customFormat="false" ht="15" hidden="false" customHeight="false" outlineLevel="0" collapsed="false">
      <c r="A146" s="24"/>
      <c r="B146" s="24"/>
      <c r="C146" s="25"/>
      <c r="D146" s="26"/>
      <c r="E146" s="24"/>
      <c r="F146" s="24"/>
      <c r="G146" s="25"/>
      <c r="H146" s="25"/>
      <c r="I146" s="27" t="str">
        <f aca="true">IF(C146="","",IF(H146&lt;&gt;"",H146-C146,TODAY()-C146))</f>
        <v/>
      </c>
      <c r="J146" s="27" t="str">
        <f aca="false">IF(B146="Early Warning",14,IF(B146="Compensation Event",28,""))</f>
        <v/>
      </c>
      <c r="K146" s="28" t="str">
        <f aca="false">IF(OR(C146="",J146=""),"",IF(AND(I146&gt;J146,OR(L146="Open",L146="")),"Yes","No"))</f>
        <v/>
      </c>
      <c r="L146" s="24"/>
      <c r="M146" s="29"/>
      <c r="N146" s="24"/>
      <c r="O146" s="26"/>
    </row>
    <row r="147" customFormat="false" ht="15" hidden="false" customHeight="false" outlineLevel="0" collapsed="false">
      <c r="A147" s="24"/>
      <c r="B147" s="24"/>
      <c r="C147" s="25"/>
      <c r="D147" s="26"/>
      <c r="E147" s="24"/>
      <c r="F147" s="24"/>
      <c r="G147" s="25"/>
      <c r="H147" s="25"/>
      <c r="I147" s="27" t="str">
        <f aca="true">IF(C147="","",IF(H147&lt;&gt;"",H147-C147,TODAY()-C147))</f>
        <v/>
      </c>
      <c r="J147" s="27" t="str">
        <f aca="false">IF(B147="Early Warning",14,IF(B147="Compensation Event",28,""))</f>
        <v/>
      </c>
      <c r="K147" s="28" t="str">
        <f aca="false">IF(OR(C147="",J147=""),"",IF(AND(I147&gt;J147,OR(L147="Open",L147="")),"Yes","No"))</f>
        <v/>
      </c>
      <c r="L147" s="24"/>
      <c r="M147" s="29"/>
      <c r="N147" s="24"/>
      <c r="O147" s="26"/>
    </row>
    <row r="148" customFormat="false" ht="15" hidden="false" customHeight="false" outlineLevel="0" collapsed="false">
      <c r="A148" s="24"/>
      <c r="B148" s="24"/>
      <c r="C148" s="25"/>
      <c r="D148" s="26"/>
      <c r="E148" s="24"/>
      <c r="F148" s="24"/>
      <c r="G148" s="25"/>
      <c r="H148" s="25"/>
      <c r="I148" s="27" t="str">
        <f aca="true">IF(C148="","",IF(H148&lt;&gt;"",H148-C148,TODAY()-C148))</f>
        <v/>
      </c>
      <c r="J148" s="27" t="str">
        <f aca="false">IF(B148="Early Warning",14,IF(B148="Compensation Event",28,""))</f>
        <v/>
      </c>
      <c r="K148" s="28" t="str">
        <f aca="false">IF(OR(C148="",J148=""),"",IF(AND(I148&gt;J148,OR(L148="Open",L148="")),"Yes","No"))</f>
        <v/>
      </c>
      <c r="L148" s="24"/>
      <c r="M148" s="29"/>
      <c r="N148" s="24"/>
      <c r="O148" s="26"/>
    </row>
    <row r="149" customFormat="false" ht="15" hidden="false" customHeight="false" outlineLevel="0" collapsed="false">
      <c r="A149" s="24"/>
      <c r="B149" s="24"/>
      <c r="C149" s="25"/>
      <c r="D149" s="26"/>
      <c r="E149" s="24"/>
      <c r="F149" s="24"/>
      <c r="G149" s="25"/>
      <c r="H149" s="25"/>
      <c r="I149" s="27" t="str">
        <f aca="true">IF(C149="","",IF(H149&lt;&gt;"",H149-C149,TODAY()-C149))</f>
        <v/>
      </c>
      <c r="J149" s="27" t="str">
        <f aca="false">IF(B149="Early Warning",14,IF(B149="Compensation Event",28,""))</f>
        <v/>
      </c>
      <c r="K149" s="28" t="str">
        <f aca="false">IF(OR(C149="",J149=""),"",IF(AND(I149&gt;J149,OR(L149="Open",L149="")),"Yes","No"))</f>
        <v/>
      </c>
      <c r="L149" s="24"/>
      <c r="M149" s="29"/>
      <c r="N149" s="24"/>
      <c r="O149" s="26"/>
    </row>
    <row r="150" customFormat="false" ht="15" hidden="false" customHeight="false" outlineLevel="0" collapsed="false">
      <c r="A150" s="24"/>
      <c r="B150" s="24"/>
      <c r="C150" s="25"/>
      <c r="D150" s="26"/>
      <c r="E150" s="24"/>
      <c r="F150" s="24"/>
      <c r="G150" s="25"/>
      <c r="H150" s="25"/>
      <c r="I150" s="27" t="str">
        <f aca="true">IF(C150="","",IF(H150&lt;&gt;"",H150-C150,TODAY()-C150))</f>
        <v/>
      </c>
      <c r="J150" s="27" t="str">
        <f aca="false">IF(B150="Early Warning",14,IF(B150="Compensation Event",28,""))</f>
        <v/>
      </c>
      <c r="K150" s="28" t="str">
        <f aca="false">IF(OR(C150="",J150=""),"",IF(AND(I150&gt;J150,OR(L150="Open",L150="")),"Yes","No"))</f>
        <v/>
      </c>
      <c r="L150" s="24"/>
      <c r="M150" s="29"/>
      <c r="N150" s="24"/>
      <c r="O150" s="26"/>
    </row>
    <row r="151" customFormat="false" ht="15" hidden="false" customHeight="false" outlineLevel="0" collapsed="false">
      <c r="A151" s="24"/>
      <c r="B151" s="24"/>
      <c r="C151" s="25"/>
      <c r="D151" s="26"/>
      <c r="E151" s="24"/>
      <c r="F151" s="24"/>
      <c r="G151" s="25"/>
      <c r="H151" s="25"/>
      <c r="I151" s="27" t="str">
        <f aca="true">IF(C151="","",IF(H151&lt;&gt;"",H151-C151,TODAY()-C151))</f>
        <v/>
      </c>
      <c r="J151" s="27" t="str">
        <f aca="false">IF(B151="Early Warning",14,IF(B151="Compensation Event",28,""))</f>
        <v/>
      </c>
      <c r="K151" s="28" t="str">
        <f aca="false">IF(OR(C151="",J151=""),"",IF(AND(I151&gt;J151,OR(L151="Open",L151="")),"Yes","No"))</f>
        <v/>
      </c>
      <c r="L151" s="24"/>
      <c r="M151" s="29"/>
      <c r="N151" s="24"/>
      <c r="O151" s="26"/>
    </row>
    <row r="152" customFormat="false" ht="15" hidden="false" customHeight="false" outlineLevel="0" collapsed="false">
      <c r="A152" s="24"/>
      <c r="B152" s="24"/>
      <c r="C152" s="25"/>
      <c r="D152" s="26"/>
      <c r="E152" s="24"/>
      <c r="F152" s="24"/>
      <c r="G152" s="25"/>
      <c r="H152" s="25"/>
      <c r="I152" s="27" t="str">
        <f aca="true">IF(C152="","",IF(H152&lt;&gt;"",H152-C152,TODAY()-C152))</f>
        <v/>
      </c>
      <c r="J152" s="27" t="str">
        <f aca="false">IF(B152="Early Warning",14,IF(B152="Compensation Event",28,""))</f>
        <v/>
      </c>
      <c r="K152" s="28" t="str">
        <f aca="false">IF(OR(C152="",J152=""),"",IF(AND(I152&gt;J152,OR(L152="Open",L152="")),"Yes","No"))</f>
        <v/>
      </c>
      <c r="L152" s="24"/>
      <c r="M152" s="29"/>
      <c r="N152" s="24"/>
      <c r="O152" s="26"/>
    </row>
    <row r="153" customFormat="false" ht="15" hidden="false" customHeight="false" outlineLevel="0" collapsed="false">
      <c r="A153" s="24"/>
      <c r="B153" s="24"/>
      <c r="C153" s="25"/>
      <c r="D153" s="26"/>
      <c r="E153" s="24"/>
      <c r="F153" s="24"/>
      <c r="G153" s="25"/>
      <c r="H153" s="25"/>
      <c r="I153" s="27" t="str">
        <f aca="true">IF(C153="","",IF(H153&lt;&gt;"",H153-C153,TODAY()-C153))</f>
        <v/>
      </c>
      <c r="J153" s="27" t="str">
        <f aca="false">IF(B153="Early Warning",14,IF(B153="Compensation Event",28,""))</f>
        <v/>
      </c>
      <c r="K153" s="28" t="str">
        <f aca="false">IF(OR(C153="",J153=""),"",IF(AND(I153&gt;J153,OR(L153="Open",L153="")),"Yes","No"))</f>
        <v/>
      </c>
      <c r="L153" s="24"/>
      <c r="M153" s="29"/>
      <c r="N153" s="24"/>
      <c r="O153" s="26"/>
    </row>
    <row r="154" customFormat="false" ht="15" hidden="false" customHeight="false" outlineLevel="0" collapsed="false">
      <c r="A154" s="24"/>
      <c r="B154" s="24"/>
      <c r="C154" s="25"/>
      <c r="D154" s="26"/>
      <c r="E154" s="24"/>
      <c r="F154" s="24"/>
      <c r="G154" s="25"/>
      <c r="H154" s="25"/>
      <c r="I154" s="27" t="str">
        <f aca="true">IF(C154="","",IF(H154&lt;&gt;"",H154-C154,TODAY()-C154))</f>
        <v/>
      </c>
      <c r="J154" s="27" t="str">
        <f aca="false">IF(B154="Early Warning",14,IF(B154="Compensation Event",28,""))</f>
        <v/>
      </c>
      <c r="K154" s="28" t="str">
        <f aca="false">IF(OR(C154="",J154=""),"",IF(AND(I154&gt;J154,OR(L154="Open",L154="")),"Yes","No"))</f>
        <v/>
      </c>
      <c r="L154" s="24"/>
      <c r="M154" s="29"/>
      <c r="N154" s="24"/>
      <c r="O154" s="26"/>
    </row>
    <row r="155" customFormat="false" ht="15" hidden="false" customHeight="false" outlineLevel="0" collapsed="false">
      <c r="A155" s="24"/>
      <c r="B155" s="24"/>
      <c r="C155" s="25"/>
      <c r="D155" s="26"/>
      <c r="E155" s="24"/>
      <c r="F155" s="24"/>
      <c r="G155" s="25"/>
      <c r="H155" s="25"/>
      <c r="I155" s="27" t="str">
        <f aca="true">IF(C155="","",IF(H155&lt;&gt;"",H155-C155,TODAY()-C155))</f>
        <v/>
      </c>
      <c r="J155" s="27" t="str">
        <f aca="false">IF(B155="Early Warning",14,IF(B155="Compensation Event",28,""))</f>
        <v/>
      </c>
      <c r="K155" s="28" t="str">
        <f aca="false">IF(OR(C155="",J155=""),"",IF(AND(I155&gt;J155,OR(L155="Open",L155="")),"Yes","No"))</f>
        <v/>
      </c>
      <c r="L155" s="24"/>
      <c r="M155" s="29"/>
      <c r="N155" s="24"/>
      <c r="O155" s="26"/>
    </row>
    <row r="156" customFormat="false" ht="15" hidden="false" customHeight="false" outlineLevel="0" collapsed="false">
      <c r="A156" s="24"/>
      <c r="B156" s="24"/>
      <c r="C156" s="25"/>
      <c r="D156" s="26"/>
      <c r="E156" s="24"/>
      <c r="F156" s="24"/>
      <c r="G156" s="25"/>
      <c r="H156" s="25"/>
      <c r="I156" s="27" t="str">
        <f aca="true">IF(C156="","",IF(H156&lt;&gt;"",H156-C156,TODAY()-C156))</f>
        <v/>
      </c>
      <c r="J156" s="27" t="str">
        <f aca="false">IF(B156="Early Warning",14,IF(B156="Compensation Event",28,""))</f>
        <v/>
      </c>
      <c r="K156" s="28" t="str">
        <f aca="false">IF(OR(C156="",J156=""),"",IF(AND(I156&gt;J156,OR(L156="Open",L156="")),"Yes","No"))</f>
        <v/>
      </c>
      <c r="L156" s="24"/>
      <c r="M156" s="29"/>
      <c r="N156" s="24"/>
      <c r="O156" s="26"/>
    </row>
    <row r="157" customFormat="false" ht="15" hidden="false" customHeight="false" outlineLevel="0" collapsed="false">
      <c r="A157" s="24"/>
      <c r="B157" s="24"/>
      <c r="C157" s="25"/>
      <c r="D157" s="26"/>
      <c r="E157" s="24"/>
      <c r="F157" s="24"/>
      <c r="G157" s="25"/>
      <c r="H157" s="25"/>
      <c r="I157" s="27" t="str">
        <f aca="true">IF(C157="","",IF(H157&lt;&gt;"",H157-C157,TODAY()-C157))</f>
        <v/>
      </c>
      <c r="J157" s="27" t="str">
        <f aca="false">IF(B157="Early Warning",14,IF(B157="Compensation Event",28,""))</f>
        <v/>
      </c>
      <c r="K157" s="28" t="str">
        <f aca="false">IF(OR(C157="",J157=""),"",IF(AND(I157&gt;J157,OR(L157="Open",L157="")),"Yes","No"))</f>
        <v/>
      </c>
      <c r="L157" s="24"/>
      <c r="M157" s="29"/>
      <c r="N157" s="24"/>
      <c r="O157" s="26"/>
    </row>
    <row r="158" customFormat="false" ht="15" hidden="false" customHeight="false" outlineLevel="0" collapsed="false">
      <c r="A158" s="24"/>
      <c r="B158" s="24"/>
      <c r="C158" s="25"/>
      <c r="D158" s="26"/>
      <c r="E158" s="24"/>
      <c r="F158" s="24"/>
      <c r="G158" s="25"/>
      <c r="H158" s="25"/>
      <c r="I158" s="27" t="str">
        <f aca="true">IF(C158="","",IF(H158&lt;&gt;"",H158-C158,TODAY()-C158))</f>
        <v/>
      </c>
      <c r="J158" s="27" t="str">
        <f aca="false">IF(B158="Early Warning",14,IF(B158="Compensation Event",28,""))</f>
        <v/>
      </c>
      <c r="K158" s="28" t="str">
        <f aca="false">IF(OR(C158="",J158=""),"",IF(AND(I158&gt;J158,OR(L158="Open",L158="")),"Yes","No"))</f>
        <v/>
      </c>
      <c r="L158" s="24"/>
      <c r="M158" s="29"/>
      <c r="N158" s="24"/>
      <c r="O158" s="26"/>
    </row>
    <row r="159" customFormat="false" ht="15" hidden="false" customHeight="false" outlineLevel="0" collapsed="false">
      <c r="A159" s="24"/>
      <c r="B159" s="24"/>
      <c r="C159" s="25"/>
      <c r="D159" s="26"/>
      <c r="E159" s="24"/>
      <c r="F159" s="24"/>
      <c r="G159" s="25"/>
      <c r="H159" s="25"/>
      <c r="I159" s="27" t="str">
        <f aca="true">IF(C159="","",IF(H159&lt;&gt;"",H159-C159,TODAY()-C159))</f>
        <v/>
      </c>
      <c r="J159" s="27" t="str">
        <f aca="false">IF(B159="Early Warning",14,IF(B159="Compensation Event",28,""))</f>
        <v/>
      </c>
      <c r="K159" s="28" t="str">
        <f aca="false">IF(OR(C159="",J159=""),"",IF(AND(I159&gt;J159,OR(L159="Open",L159="")),"Yes","No"))</f>
        <v/>
      </c>
      <c r="L159" s="24"/>
      <c r="M159" s="29"/>
      <c r="N159" s="24"/>
      <c r="O159" s="26"/>
    </row>
    <row r="160" customFormat="false" ht="15" hidden="false" customHeight="false" outlineLevel="0" collapsed="false">
      <c r="A160" s="24"/>
      <c r="B160" s="24"/>
      <c r="C160" s="25"/>
      <c r="D160" s="26"/>
      <c r="E160" s="24"/>
      <c r="F160" s="24"/>
      <c r="G160" s="25"/>
      <c r="H160" s="25"/>
      <c r="I160" s="27" t="str">
        <f aca="true">IF(C160="","",IF(H160&lt;&gt;"",H160-C160,TODAY()-C160))</f>
        <v/>
      </c>
      <c r="J160" s="27" t="str">
        <f aca="false">IF(B160="Early Warning",14,IF(B160="Compensation Event",28,""))</f>
        <v/>
      </c>
      <c r="K160" s="28" t="str">
        <f aca="false">IF(OR(C160="",J160=""),"",IF(AND(I160&gt;J160,OR(L160="Open",L160="")),"Yes","No"))</f>
        <v/>
      </c>
      <c r="L160" s="24"/>
      <c r="M160" s="29"/>
      <c r="N160" s="24"/>
      <c r="O160" s="26"/>
    </row>
    <row r="161" customFormat="false" ht="15" hidden="false" customHeight="false" outlineLevel="0" collapsed="false">
      <c r="A161" s="24"/>
      <c r="B161" s="24"/>
      <c r="C161" s="25"/>
      <c r="D161" s="26"/>
      <c r="E161" s="24"/>
      <c r="F161" s="24"/>
      <c r="G161" s="25"/>
      <c r="H161" s="25"/>
      <c r="I161" s="27" t="str">
        <f aca="true">IF(C161="","",IF(H161&lt;&gt;"",H161-C161,TODAY()-C161))</f>
        <v/>
      </c>
      <c r="J161" s="27" t="str">
        <f aca="false">IF(B161="Early Warning",14,IF(B161="Compensation Event",28,""))</f>
        <v/>
      </c>
      <c r="K161" s="28" t="str">
        <f aca="false">IF(OR(C161="",J161=""),"",IF(AND(I161&gt;J161,OR(L161="Open",L161="")),"Yes","No"))</f>
        <v/>
      </c>
      <c r="L161" s="24"/>
      <c r="M161" s="29"/>
      <c r="N161" s="24"/>
      <c r="O161" s="26"/>
    </row>
    <row r="162" customFormat="false" ht="15" hidden="false" customHeight="false" outlineLevel="0" collapsed="false">
      <c r="A162" s="24"/>
      <c r="B162" s="24"/>
      <c r="C162" s="25"/>
      <c r="D162" s="26"/>
      <c r="E162" s="24"/>
      <c r="F162" s="24"/>
      <c r="G162" s="25"/>
      <c r="H162" s="25"/>
      <c r="I162" s="27" t="str">
        <f aca="true">IF(C162="","",IF(H162&lt;&gt;"",H162-C162,TODAY()-C162))</f>
        <v/>
      </c>
      <c r="J162" s="27" t="str">
        <f aca="false">IF(B162="Early Warning",14,IF(B162="Compensation Event",28,""))</f>
        <v/>
      </c>
      <c r="K162" s="28" t="str">
        <f aca="false">IF(OR(C162="",J162=""),"",IF(AND(I162&gt;J162,OR(L162="Open",L162="")),"Yes","No"))</f>
        <v/>
      </c>
      <c r="L162" s="24"/>
      <c r="M162" s="29"/>
      <c r="N162" s="24"/>
      <c r="O162" s="26"/>
    </row>
    <row r="163" customFormat="false" ht="15" hidden="false" customHeight="false" outlineLevel="0" collapsed="false">
      <c r="A163" s="24"/>
      <c r="B163" s="24"/>
      <c r="C163" s="25"/>
      <c r="D163" s="26"/>
      <c r="E163" s="24"/>
      <c r="F163" s="24"/>
      <c r="G163" s="25"/>
      <c r="H163" s="25"/>
      <c r="I163" s="27" t="str">
        <f aca="true">IF(C163="","",IF(H163&lt;&gt;"",H163-C163,TODAY()-C163))</f>
        <v/>
      </c>
      <c r="J163" s="27" t="str">
        <f aca="false">IF(B163="Early Warning",14,IF(B163="Compensation Event",28,""))</f>
        <v/>
      </c>
      <c r="K163" s="28" t="str">
        <f aca="false">IF(OR(C163="",J163=""),"",IF(AND(I163&gt;J163,OR(L163="Open",L163="")),"Yes","No"))</f>
        <v/>
      </c>
      <c r="L163" s="24"/>
      <c r="M163" s="29"/>
      <c r="N163" s="24"/>
      <c r="O163" s="26"/>
    </row>
    <row r="164" customFormat="false" ht="15" hidden="false" customHeight="false" outlineLevel="0" collapsed="false">
      <c r="A164" s="24"/>
      <c r="B164" s="24"/>
      <c r="C164" s="25"/>
      <c r="D164" s="26"/>
      <c r="E164" s="24"/>
      <c r="F164" s="24"/>
      <c r="G164" s="25"/>
      <c r="H164" s="25"/>
      <c r="I164" s="27" t="str">
        <f aca="true">IF(C164="","",IF(H164&lt;&gt;"",H164-C164,TODAY()-C164))</f>
        <v/>
      </c>
      <c r="J164" s="27" t="str">
        <f aca="false">IF(B164="Early Warning",14,IF(B164="Compensation Event",28,""))</f>
        <v/>
      </c>
      <c r="K164" s="28" t="str">
        <f aca="false">IF(OR(C164="",J164=""),"",IF(AND(I164&gt;J164,OR(L164="Open",L164="")),"Yes","No"))</f>
        <v/>
      </c>
      <c r="L164" s="24"/>
      <c r="M164" s="29"/>
      <c r="N164" s="24"/>
      <c r="O164" s="26"/>
    </row>
    <row r="165" customFormat="false" ht="15" hidden="false" customHeight="false" outlineLevel="0" collapsed="false">
      <c r="A165" s="24"/>
      <c r="B165" s="24"/>
      <c r="C165" s="25"/>
      <c r="D165" s="26"/>
      <c r="E165" s="24"/>
      <c r="F165" s="24"/>
      <c r="G165" s="25"/>
      <c r="H165" s="25"/>
      <c r="I165" s="27" t="str">
        <f aca="true">IF(C165="","",IF(H165&lt;&gt;"",H165-C165,TODAY()-C165))</f>
        <v/>
      </c>
      <c r="J165" s="27" t="str">
        <f aca="false">IF(B165="Early Warning",14,IF(B165="Compensation Event",28,""))</f>
        <v/>
      </c>
      <c r="K165" s="28" t="str">
        <f aca="false">IF(OR(C165="",J165=""),"",IF(AND(I165&gt;J165,OR(L165="Open",L165="")),"Yes","No"))</f>
        <v/>
      </c>
      <c r="L165" s="24"/>
      <c r="M165" s="29"/>
      <c r="N165" s="24"/>
      <c r="O165" s="26"/>
    </row>
    <row r="166" customFormat="false" ht="15" hidden="false" customHeight="false" outlineLevel="0" collapsed="false">
      <c r="A166" s="24"/>
      <c r="B166" s="24"/>
      <c r="C166" s="25"/>
      <c r="D166" s="26"/>
      <c r="E166" s="24"/>
      <c r="F166" s="24"/>
      <c r="G166" s="25"/>
      <c r="H166" s="25"/>
      <c r="I166" s="27" t="str">
        <f aca="true">IF(C166="","",IF(H166&lt;&gt;"",H166-C166,TODAY()-C166))</f>
        <v/>
      </c>
      <c r="J166" s="27" t="str">
        <f aca="false">IF(B166="Early Warning",14,IF(B166="Compensation Event",28,""))</f>
        <v/>
      </c>
      <c r="K166" s="28" t="str">
        <f aca="false">IF(OR(C166="",J166=""),"",IF(AND(I166&gt;J166,OR(L166="Open",L166="")),"Yes","No"))</f>
        <v/>
      </c>
      <c r="L166" s="24"/>
      <c r="M166" s="29"/>
      <c r="N166" s="24"/>
      <c r="O166" s="26"/>
    </row>
    <row r="167" customFormat="false" ht="15" hidden="false" customHeight="false" outlineLevel="0" collapsed="false">
      <c r="A167" s="24"/>
      <c r="B167" s="24"/>
      <c r="C167" s="25"/>
      <c r="D167" s="26"/>
      <c r="E167" s="24"/>
      <c r="F167" s="24"/>
      <c r="G167" s="25"/>
      <c r="H167" s="25"/>
      <c r="I167" s="27" t="str">
        <f aca="true">IF(C167="","",IF(H167&lt;&gt;"",H167-C167,TODAY()-C167))</f>
        <v/>
      </c>
      <c r="J167" s="27" t="str">
        <f aca="false">IF(B167="Early Warning",14,IF(B167="Compensation Event",28,""))</f>
        <v/>
      </c>
      <c r="K167" s="28" t="str">
        <f aca="false">IF(OR(C167="",J167=""),"",IF(AND(I167&gt;J167,OR(L167="Open",L167="")),"Yes","No"))</f>
        <v/>
      </c>
      <c r="L167" s="24"/>
      <c r="M167" s="29"/>
      <c r="N167" s="24"/>
      <c r="O167" s="26"/>
    </row>
    <row r="168" customFormat="false" ht="15" hidden="false" customHeight="false" outlineLevel="0" collapsed="false">
      <c r="A168" s="24"/>
      <c r="B168" s="24"/>
      <c r="C168" s="25"/>
      <c r="D168" s="26"/>
      <c r="E168" s="24"/>
      <c r="F168" s="24"/>
      <c r="G168" s="25"/>
      <c r="H168" s="25"/>
      <c r="I168" s="27" t="str">
        <f aca="true">IF(C168="","",IF(H168&lt;&gt;"",H168-C168,TODAY()-C168))</f>
        <v/>
      </c>
      <c r="J168" s="27" t="str">
        <f aca="false">IF(B168="Early Warning",14,IF(B168="Compensation Event",28,""))</f>
        <v/>
      </c>
      <c r="K168" s="28" t="str">
        <f aca="false">IF(OR(C168="",J168=""),"",IF(AND(I168&gt;J168,OR(L168="Open",L168="")),"Yes","No"))</f>
        <v/>
      </c>
      <c r="L168" s="24"/>
      <c r="M168" s="29"/>
      <c r="N168" s="24"/>
      <c r="O168" s="26"/>
    </row>
    <row r="169" customFormat="false" ht="15" hidden="false" customHeight="false" outlineLevel="0" collapsed="false">
      <c r="A169" s="24"/>
      <c r="B169" s="24"/>
      <c r="C169" s="25"/>
      <c r="D169" s="26"/>
      <c r="E169" s="24"/>
      <c r="F169" s="24"/>
      <c r="G169" s="25"/>
      <c r="H169" s="25"/>
      <c r="I169" s="27" t="str">
        <f aca="true">IF(C169="","",IF(H169&lt;&gt;"",H169-C169,TODAY()-C169))</f>
        <v/>
      </c>
      <c r="J169" s="27" t="str">
        <f aca="false">IF(B169="Early Warning",14,IF(B169="Compensation Event",28,""))</f>
        <v/>
      </c>
      <c r="K169" s="28" t="str">
        <f aca="false">IF(OR(C169="",J169=""),"",IF(AND(I169&gt;J169,OR(L169="Open",L169="")),"Yes","No"))</f>
        <v/>
      </c>
      <c r="L169" s="24"/>
      <c r="M169" s="29"/>
      <c r="N169" s="24"/>
      <c r="O169" s="26"/>
    </row>
    <row r="170" customFormat="false" ht="15" hidden="false" customHeight="false" outlineLevel="0" collapsed="false">
      <c r="A170" s="24"/>
      <c r="B170" s="24"/>
      <c r="C170" s="25"/>
      <c r="D170" s="26"/>
      <c r="E170" s="24"/>
      <c r="F170" s="24"/>
      <c r="G170" s="25"/>
      <c r="H170" s="25"/>
      <c r="I170" s="27" t="str">
        <f aca="true">IF(C170="","",IF(H170&lt;&gt;"",H170-C170,TODAY()-C170))</f>
        <v/>
      </c>
      <c r="J170" s="27" t="str">
        <f aca="false">IF(B170="Early Warning",14,IF(B170="Compensation Event",28,""))</f>
        <v/>
      </c>
      <c r="K170" s="28" t="str">
        <f aca="false">IF(OR(C170="",J170=""),"",IF(AND(I170&gt;J170,OR(L170="Open",L170="")),"Yes","No"))</f>
        <v/>
      </c>
      <c r="L170" s="24"/>
      <c r="M170" s="29"/>
      <c r="N170" s="24"/>
      <c r="O170" s="26"/>
    </row>
    <row r="171" customFormat="false" ht="15" hidden="false" customHeight="false" outlineLevel="0" collapsed="false">
      <c r="A171" s="24"/>
      <c r="B171" s="24"/>
      <c r="C171" s="25"/>
      <c r="D171" s="26"/>
      <c r="E171" s="24"/>
      <c r="F171" s="24"/>
      <c r="G171" s="25"/>
      <c r="H171" s="25"/>
      <c r="I171" s="27" t="str">
        <f aca="true">IF(C171="","",IF(H171&lt;&gt;"",H171-C171,TODAY()-C171))</f>
        <v/>
      </c>
      <c r="J171" s="27" t="str">
        <f aca="false">IF(B171="Early Warning",14,IF(B171="Compensation Event",28,""))</f>
        <v/>
      </c>
      <c r="K171" s="28" t="str">
        <f aca="false">IF(OR(C171="",J171=""),"",IF(AND(I171&gt;J171,OR(L171="Open",L171="")),"Yes","No"))</f>
        <v/>
      </c>
      <c r="L171" s="24"/>
      <c r="M171" s="29"/>
      <c r="N171" s="24"/>
      <c r="O171" s="26"/>
    </row>
    <row r="172" customFormat="false" ht="15" hidden="false" customHeight="false" outlineLevel="0" collapsed="false">
      <c r="A172" s="24"/>
      <c r="B172" s="24"/>
      <c r="C172" s="25"/>
      <c r="D172" s="26"/>
      <c r="E172" s="24"/>
      <c r="F172" s="24"/>
      <c r="G172" s="25"/>
      <c r="H172" s="25"/>
      <c r="I172" s="27" t="str">
        <f aca="true">IF(C172="","",IF(H172&lt;&gt;"",H172-C172,TODAY()-C172))</f>
        <v/>
      </c>
      <c r="J172" s="27" t="str">
        <f aca="false">IF(B172="Early Warning",14,IF(B172="Compensation Event",28,""))</f>
        <v/>
      </c>
      <c r="K172" s="28" t="str">
        <f aca="false">IF(OR(C172="",J172=""),"",IF(AND(I172&gt;J172,OR(L172="Open",L172="")),"Yes","No"))</f>
        <v/>
      </c>
      <c r="L172" s="24"/>
      <c r="M172" s="29"/>
      <c r="N172" s="24"/>
      <c r="O172" s="26"/>
    </row>
    <row r="173" customFormat="false" ht="15" hidden="false" customHeight="false" outlineLevel="0" collapsed="false">
      <c r="A173" s="24"/>
      <c r="B173" s="24"/>
      <c r="C173" s="25"/>
      <c r="D173" s="26"/>
      <c r="E173" s="24"/>
      <c r="F173" s="24"/>
      <c r="G173" s="25"/>
      <c r="H173" s="25"/>
      <c r="I173" s="27" t="str">
        <f aca="true">IF(C173="","",IF(H173&lt;&gt;"",H173-C173,TODAY()-C173))</f>
        <v/>
      </c>
      <c r="J173" s="27" t="str">
        <f aca="false">IF(B173="Early Warning",14,IF(B173="Compensation Event",28,""))</f>
        <v/>
      </c>
      <c r="K173" s="28" t="str">
        <f aca="false">IF(OR(C173="",J173=""),"",IF(AND(I173&gt;J173,OR(L173="Open",L173="")),"Yes","No"))</f>
        <v/>
      </c>
      <c r="L173" s="24"/>
      <c r="M173" s="29"/>
      <c r="N173" s="24"/>
      <c r="O173" s="26"/>
    </row>
    <row r="174" customFormat="false" ht="15" hidden="false" customHeight="false" outlineLevel="0" collapsed="false">
      <c r="A174" s="24"/>
      <c r="B174" s="24"/>
      <c r="C174" s="25"/>
      <c r="D174" s="26"/>
      <c r="E174" s="24"/>
      <c r="F174" s="24"/>
      <c r="G174" s="25"/>
      <c r="H174" s="25"/>
      <c r="I174" s="27" t="str">
        <f aca="true">IF(C174="","",IF(H174&lt;&gt;"",H174-C174,TODAY()-C174))</f>
        <v/>
      </c>
      <c r="J174" s="27" t="str">
        <f aca="false">IF(B174="Early Warning",14,IF(B174="Compensation Event",28,""))</f>
        <v/>
      </c>
      <c r="K174" s="28" t="str">
        <f aca="false">IF(OR(C174="",J174=""),"",IF(AND(I174&gt;J174,OR(L174="Open",L174="")),"Yes","No"))</f>
        <v/>
      </c>
      <c r="L174" s="24"/>
      <c r="M174" s="29"/>
      <c r="N174" s="24"/>
      <c r="O174" s="26"/>
    </row>
    <row r="175" customFormat="false" ht="15" hidden="false" customHeight="false" outlineLevel="0" collapsed="false">
      <c r="A175" s="24"/>
      <c r="B175" s="24"/>
      <c r="C175" s="25"/>
      <c r="D175" s="26"/>
      <c r="E175" s="24"/>
      <c r="F175" s="24"/>
      <c r="G175" s="25"/>
      <c r="H175" s="25"/>
      <c r="I175" s="27" t="str">
        <f aca="true">IF(C175="","",IF(H175&lt;&gt;"",H175-C175,TODAY()-C175))</f>
        <v/>
      </c>
      <c r="J175" s="27" t="str">
        <f aca="false">IF(B175="Early Warning",14,IF(B175="Compensation Event",28,""))</f>
        <v/>
      </c>
      <c r="K175" s="28" t="str">
        <f aca="false">IF(OR(C175="",J175=""),"",IF(AND(I175&gt;J175,OR(L175="Open",L175="")),"Yes","No"))</f>
        <v/>
      </c>
      <c r="L175" s="24"/>
      <c r="M175" s="29"/>
      <c r="N175" s="24"/>
      <c r="O175" s="26"/>
    </row>
    <row r="176" customFormat="false" ht="15" hidden="false" customHeight="false" outlineLevel="0" collapsed="false">
      <c r="A176" s="24"/>
      <c r="B176" s="24"/>
      <c r="C176" s="25"/>
      <c r="D176" s="26"/>
      <c r="E176" s="24"/>
      <c r="F176" s="24"/>
      <c r="G176" s="25"/>
      <c r="H176" s="25"/>
      <c r="I176" s="27" t="str">
        <f aca="true">IF(C176="","",IF(H176&lt;&gt;"",H176-C176,TODAY()-C176))</f>
        <v/>
      </c>
      <c r="J176" s="27" t="str">
        <f aca="false">IF(B176="Early Warning",14,IF(B176="Compensation Event",28,""))</f>
        <v/>
      </c>
      <c r="K176" s="28" t="str">
        <f aca="false">IF(OR(C176="",J176=""),"",IF(AND(I176&gt;J176,OR(L176="Open",L176="")),"Yes","No"))</f>
        <v/>
      </c>
      <c r="L176" s="24"/>
      <c r="M176" s="29"/>
      <c r="N176" s="24"/>
      <c r="O176" s="26"/>
    </row>
    <row r="177" customFormat="false" ht="15" hidden="false" customHeight="false" outlineLevel="0" collapsed="false">
      <c r="A177" s="24"/>
      <c r="B177" s="24"/>
      <c r="C177" s="25"/>
      <c r="D177" s="26"/>
      <c r="E177" s="24"/>
      <c r="F177" s="24"/>
      <c r="G177" s="25"/>
      <c r="H177" s="25"/>
      <c r="I177" s="27" t="str">
        <f aca="true">IF(C177="","",IF(H177&lt;&gt;"",H177-C177,TODAY()-C177))</f>
        <v/>
      </c>
      <c r="J177" s="27" t="str">
        <f aca="false">IF(B177="Early Warning",14,IF(B177="Compensation Event",28,""))</f>
        <v/>
      </c>
      <c r="K177" s="28" t="str">
        <f aca="false">IF(OR(C177="",J177=""),"",IF(AND(I177&gt;J177,OR(L177="Open",L177="")),"Yes","No"))</f>
        <v/>
      </c>
      <c r="L177" s="24"/>
      <c r="M177" s="29"/>
      <c r="N177" s="24"/>
      <c r="O177" s="26"/>
    </row>
    <row r="178" customFormat="false" ht="15" hidden="false" customHeight="false" outlineLevel="0" collapsed="false">
      <c r="A178" s="24"/>
      <c r="B178" s="24"/>
      <c r="C178" s="25"/>
      <c r="D178" s="26"/>
      <c r="E178" s="24"/>
      <c r="F178" s="24"/>
      <c r="G178" s="25"/>
      <c r="H178" s="25"/>
      <c r="I178" s="27" t="str">
        <f aca="true">IF(C178="","",IF(H178&lt;&gt;"",H178-C178,TODAY()-C178))</f>
        <v/>
      </c>
      <c r="J178" s="27" t="str">
        <f aca="false">IF(B178="Early Warning",14,IF(B178="Compensation Event",28,""))</f>
        <v/>
      </c>
      <c r="K178" s="28" t="str">
        <f aca="false">IF(OR(C178="",J178=""),"",IF(AND(I178&gt;J178,OR(L178="Open",L178="")),"Yes","No"))</f>
        <v/>
      </c>
      <c r="L178" s="24"/>
      <c r="M178" s="29"/>
      <c r="N178" s="24"/>
      <c r="O178" s="26"/>
    </row>
    <row r="179" customFormat="false" ht="15" hidden="false" customHeight="false" outlineLevel="0" collapsed="false">
      <c r="A179" s="24"/>
      <c r="B179" s="24"/>
      <c r="C179" s="25"/>
      <c r="D179" s="26"/>
      <c r="E179" s="24"/>
      <c r="F179" s="24"/>
      <c r="G179" s="25"/>
      <c r="H179" s="25"/>
      <c r="I179" s="27" t="str">
        <f aca="true">IF(C179="","",IF(H179&lt;&gt;"",H179-C179,TODAY()-C179))</f>
        <v/>
      </c>
      <c r="J179" s="27" t="str">
        <f aca="false">IF(B179="Early Warning",14,IF(B179="Compensation Event",28,""))</f>
        <v/>
      </c>
      <c r="K179" s="28" t="str">
        <f aca="false">IF(OR(C179="",J179=""),"",IF(AND(I179&gt;J179,OR(L179="Open",L179="")),"Yes","No"))</f>
        <v/>
      </c>
      <c r="L179" s="24"/>
      <c r="M179" s="29"/>
      <c r="N179" s="24"/>
      <c r="O179" s="26"/>
    </row>
    <row r="180" customFormat="false" ht="15" hidden="false" customHeight="false" outlineLevel="0" collapsed="false">
      <c r="A180" s="24"/>
      <c r="B180" s="24"/>
      <c r="C180" s="25"/>
      <c r="D180" s="26"/>
      <c r="E180" s="24"/>
      <c r="F180" s="24"/>
      <c r="G180" s="25"/>
      <c r="H180" s="25"/>
      <c r="I180" s="27" t="str">
        <f aca="true">IF(C180="","",IF(H180&lt;&gt;"",H180-C180,TODAY()-C180))</f>
        <v/>
      </c>
      <c r="J180" s="27" t="str">
        <f aca="false">IF(B180="Early Warning",14,IF(B180="Compensation Event",28,""))</f>
        <v/>
      </c>
      <c r="K180" s="28" t="str">
        <f aca="false">IF(OR(C180="",J180=""),"",IF(AND(I180&gt;J180,OR(L180="Open",L180="")),"Yes","No"))</f>
        <v/>
      </c>
      <c r="L180" s="24"/>
      <c r="M180" s="29"/>
      <c r="N180" s="24"/>
      <c r="O180" s="26"/>
    </row>
    <row r="181" customFormat="false" ht="15" hidden="false" customHeight="false" outlineLevel="0" collapsed="false">
      <c r="A181" s="24"/>
      <c r="B181" s="24"/>
      <c r="C181" s="25"/>
      <c r="D181" s="26"/>
      <c r="E181" s="24"/>
      <c r="F181" s="24"/>
      <c r="G181" s="25"/>
      <c r="H181" s="25"/>
      <c r="I181" s="27" t="str">
        <f aca="true">IF(C181="","",IF(H181&lt;&gt;"",H181-C181,TODAY()-C181))</f>
        <v/>
      </c>
      <c r="J181" s="27" t="str">
        <f aca="false">IF(B181="Early Warning",14,IF(B181="Compensation Event",28,""))</f>
        <v/>
      </c>
      <c r="K181" s="28" t="str">
        <f aca="false">IF(OR(C181="",J181=""),"",IF(AND(I181&gt;J181,OR(L181="Open",L181="")),"Yes","No"))</f>
        <v/>
      </c>
      <c r="L181" s="24"/>
      <c r="M181" s="29"/>
      <c r="N181" s="24"/>
      <c r="O181" s="26"/>
    </row>
    <row r="182" customFormat="false" ht="15" hidden="false" customHeight="false" outlineLevel="0" collapsed="false">
      <c r="A182" s="24"/>
      <c r="B182" s="24"/>
      <c r="C182" s="25"/>
      <c r="D182" s="26"/>
      <c r="E182" s="24"/>
      <c r="F182" s="24"/>
      <c r="G182" s="25"/>
      <c r="H182" s="25"/>
      <c r="I182" s="27" t="str">
        <f aca="true">IF(C182="","",IF(H182&lt;&gt;"",H182-C182,TODAY()-C182))</f>
        <v/>
      </c>
      <c r="J182" s="27" t="str">
        <f aca="false">IF(B182="Early Warning",14,IF(B182="Compensation Event",28,""))</f>
        <v/>
      </c>
      <c r="K182" s="28" t="str">
        <f aca="false">IF(OR(C182="",J182=""),"",IF(AND(I182&gt;J182,OR(L182="Open",L182="")),"Yes","No"))</f>
        <v/>
      </c>
      <c r="L182" s="24"/>
      <c r="M182" s="29"/>
      <c r="N182" s="24"/>
      <c r="O182" s="26"/>
    </row>
    <row r="183" customFormat="false" ht="15" hidden="false" customHeight="false" outlineLevel="0" collapsed="false">
      <c r="A183" s="24"/>
      <c r="B183" s="24"/>
      <c r="C183" s="25"/>
      <c r="D183" s="26"/>
      <c r="E183" s="24"/>
      <c r="F183" s="24"/>
      <c r="G183" s="25"/>
      <c r="H183" s="25"/>
      <c r="I183" s="27" t="str">
        <f aca="true">IF(C183="","",IF(H183&lt;&gt;"",H183-C183,TODAY()-C183))</f>
        <v/>
      </c>
      <c r="J183" s="27" t="str">
        <f aca="false">IF(B183="Early Warning",14,IF(B183="Compensation Event",28,""))</f>
        <v/>
      </c>
      <c r="K183" s="28" t="str">
        <f aca="false">IF(OR(C183="",J183=""),"",IF(AND(I183&gt;J183,OR(L183="Open",L183="")),"Yes","No"))</f>
        <v/>
      </c>
      <c r="L183" s="24"/>
      <c r="M183" s="29"/>
      <c r="N183" s="24"/>
      <c r="O183" s="26"/>
    </row>
    <row r="184" customFormat="false" ht="15" hidden="false" customHeight="false" outlineLevel="0" collapsed="false">
      <c r="A184" s="24"/>
      <c r="B184" s="24"/>
      <c r="C184" s="25"/>
      <c r="D184" s="26"/>
      <c r="E184" s="24"/>
      <c r="F184" s="24"/>
      <c r="G184" s="25"/>
      <c r="H184" s="25"/>
      <c r="I184" s="27" t="str">
        <f aca="true">IF(C184="","",IF(H184&lt;&gt;"",H184-C184,TODAY()-C184))</f>
        <v/>
      </c>
      <c r="J184" s="27" t="str">
        <f aca="false">IF(B184="Early Warning",14,IF(B184="Compensation Event",28,""))</f>
        <v/>
      </c>
      <c r="K184" s="28" t="str">
        <f aca="false">IF(OR(C184="",J184=""),"",IF(AND(I184&gt;J184,OR(L184="Open",L184="")),"Yes","No"))</f>
        <v/>
      </c>
      <c r="L184" s="24"/>
      <c r="M184" s="29"/>
      <c r="N184" s="24"/>
      <c r="O184" s="26"/>
    </row>
    <row r="185" customFormat="false" ht="15" hidden="false" customHeight="false" outlineLevel="0" collapsed="false">
      <c r="A185" s="24"/>
      <c r="B185" s="24"/>
      <c r="C185" s="25"/>
      <c r="D185" s="26"/>
      <c r="E185" s="24"/>
      <c r="F185" s="24"/>
      <c r="G185" s="25"/>
      <c r="H185" s="25"/>
      <c r="I185" s="27" t="str">
        <f aca="true">IF(C185="","",IF(H185&lt;&gt;"",H185-C185,TODAY()-C185))</f>
        <v/>
      </c>
      <c r="J185" s="27" t="str">
        <f aca="false">IF(B185="Early Warning",14,IF(B185="Compensation Event",28,""))</f>
        <v/>
      </c>
      <c r="K185" s="28" t="str">
        <f aca="false">IF(OR(C185="",J185=""),"",IF(AND(I185&gt;J185,OR(L185="Open",L185="")),"Yes","No"))</f>
        <v/>
      </c>
      <c r="L185" s="24"/>
      <c r="M185" s="29"/>
      <c r="N185" s="24"/>
      <c r="O185" s="26"/>
    </row>
    <row r="186" customFormat="false" ht="15" hidden="false" customHeight="false" outlineLevel="0" collapsed="false">
      <c r="A186" s="24"/>
      <c r="B186" s="24"/>
      <c r="C186" s="25"/>
      <c r="D186" s="26"/>
      <c r="E186" s="24"/>
      <c r="F186" s="24"/>
      <c r="G186" s="25"/>
      <c r="H186" s="25"/>
      <c r="I186" s="27" t="str">
        <f aca="true">IF(C186="","",IF(H186&lt;&gt;"",H186-C186,TODAY()-C186))</f>
        <v/>
      </c>
      <c r="J186" s="27" t="str">
        <f aca="false">IF(B186="Early Warning",14,IF(B186="Compensation Event",28,""))</f>
        <v/>
      </c>
      <c r="K186" s="28" t="str">
        <f aca="false">IF(OR(C186="",J186=""),"",IF(AND(I186&gt;J186,OR(L186="Open",L186="")),"Yes","No"))</f>
        <v/>
      </c>
      <c r="L186" s="24"/>
      <c r="M186" s="29"/>
      <c r="N186" s="24"/>
      <c r="O186" s="26"/>
    </row>
    <row r="187" customFormat="false" ht="15" hidden="false" customHeight="false" outlineLevel="0" collapsed="false">
      <c r="A187" s="24"/>
      <c r="B187" s="24"/>
      <c r="C187" s="25"/>
      <c r="D187" s="26"/>
      <c r="E187" s="24"/>
      <c r="F187" s="24"/>
      <c r="G187" s="25"/>
      <c r="H187" s="25"/>
      <c r="I187" s="27" t="str">
        <f aca="true">IF(C187="","",IF(H187&lt;&gt;"",H187-C187,TODAY()-C187))</f>
        <v/>
      </c>
      <c r="J187" s="27" t="str">
        <f aca="false">IF(B187="Early Warning",14,IF(B187="Compensation Event",28,""))</f>
        <v/>
      </c>
      <c r="K187" s="28" t="str">
        <f aca="false">IF(OR(C187="",J187=""),"",IF(AND(I187&gt;J187,OR(L187="Open",L187="")),"Yes","No"))</f>
        <v/>
      </c>
      <c r="L187" s="24"/>
      <c r="M187" s="29"/>
      <c r="N187" s="24"/>
      <c r="O187" s="26"/>
    </row>
    <row r="188" customFormat="false" ht="15" hidden="false" customHeight="false" outlineLevel="0" collapsed="false">
      <c r="A188" s="24"/>
      <c r="B188" s="24"/>
      <c r="C188" s="25"/>
      <c r="D188" s="26"/>
      <c r="E188" s="24"/>
      <c r="F188" s="24"/>
      <c r="G188" s="25"/>
      <c r="H188" s="25"/>
      <c r="I188" s="27" t="str">
        <f aca="true">IF(C188="","",IF(H188&lt;&gt;"",H188-C188,TODAY()-C188))</f>
        <v/>
      </c>
      <c r="J188" s="27" t="str">
        <f aca="false">IF(B188="Early Warning",14,IF(B188="Compensation Event",28,""))</f>
        <v/>
      </c>
      <c r="K188" s="28" t="str">
        <f aca="false">IF(OR(C188="",J188=""),"",IF(AND(I188&gt;J188,OR(L188="Open",L188="")),"Yes","No"))</f>
        <v/>
      </c>
      <c r="L188" s="24"/>
      <c r="M188" s="29"/>
      <c r="N188" s="24"/>
      <c r="O188" s="26"/>
    </row>
    <row r="189" customFormat="false" ht="15" hidden="false" customHeight="false" outlineLevel="0" collapsed="false">
      <c r="A189" s="24"/>
      <c r="B189" s="24"/>
      <c r="C189" s="25"/>
      <c r="D189" s="26"/>
      <c r="E189" s="24"/>
      <c r="F189" s="24"/>
      <c r="G189" s="25"/>
      <c r="H189" s="25"/>
      <c r="I189" s="27" t="str">
        <f aca="true">IF(C189="","",IF(H189&lt;&gt;"",H189-C189,TODAY()-C189))</f>
        <v/>
      </c>
      <c r="J189" s="27" t="str">
        <f aca="false">IF(B189="Early Warning",14,IF(B189="Compensation Event",28,""))</f>
        <v/>
      </c>
      <c r="K189" s="28" t="str">
        <f aca="false">IF(OR(C189="",J189=""),"",IF(AND(I189&gt;J189,OR(L189="Open",L189="")),"Yes","No"))</f>
        <v/>
      </c>
      <c r="L189" s="24"/>
      <c r="M189" s="29"/>
      <c r="N189" s="24"/>
      <c r="O189" s="26"/>
    </row>
    <row r="190" customFormat="false" ht="15" hidden="false" customHeight="false" outlineLevel="0" collapsed="false">
      <c r="A190" s="24"/>
      <c r="B190" s="24"/>
      <c r="C190" s="25"/>
      <c r="D190" s="26"/>
      <c r="E190" s="24"/>
      <c r="F190" s="24"/>
      <c r="G190" s="25"/>
      <c r="H190" s="25"/>
      <c r="I190" s="27" t="str">
        <f aca="true">IF(C190="","",IF(H190&lt;&gt;"",H190-C190,TODAY()-C190))</f>
        <v/>
      </c>
      <c r="J190" s="27" t="str">
        <f aca="false">IF(B190="Early Warning",14,IF(B190="Compensation Event",28,""))</f>
        <v/>
      </c>
      <c r="K190" s="28" t="str">
        <f aca="false">IF(OR(C190="",J190=""),"",IF(AND(I190&gt;J190,OR(L190="Open",L190="")),"Yes","No"))</f>
        <v/>
      </c>
      <c r="L190" s="24"/>
      <c r="M190" s="29"/>
      <c r="N190" s="24"/>
      <c r="O190" s="26"/>
    </row>
    <row r="191" customFormat="false" ht="15" hidden="false" customHeight="false" outlineLevel="0" collapsed="false">
      <c r="A191" s="24"/>
      <c r="B191" s="24"/>
      <c r="C191" s="25"/>
      <c r="D191" s="26"/>
      <c r="E191" s="24"/>
      <c r="F191" s="24"/>
      <c r="G191" s="25"/>
      <c r="H191" s="25"/>
      <c r="I191" s="27" t="str">
        <f aca="true">IF(C191="","",IF(H191&lt;&gt;"",H191-C191,TODAY()-C191))</f>
        <v/>
      </c>
      <c r="J191" s="27" t="str">
        <f aca="false">IF(B191="Early Warning",14,IF(B191="Compensation Event",28,""))</f>
        <v/>
      </c>
      <c r="K191" s="28" t="str">
        <f aca="false">IF(OR(C191="",J191=""),"",IF(AND(I191&gt;J191,OR(L191="Open",L191="")),"Yes","No"))</f>
        <v/>
      </c>
      <c r="L191" s="24"/>
      <c r="M191" s="29"/>
      <c r="N191" s="24"/>
      <c r="O191" s="26"/>
    </row>
    <row r="192" customFormat="false" ht="15" hidden="false" customHeight="false" outlineLevel="0" collapsed="false">
      <c r="A192" s="24"/>
      <c r="B192" s="24"/>
      <c r="C192" s="25"/>
      <c r="D192" s="26"/>
      <c r="E192" s="24"/>
      <c r="F192" s="24"/>
      <c r="G192" s="25"/>
      <c r="H192" s="25"/>
      <c r="I192" s="27" t="str">
        <f aca="true">IF(C192="","",IF(H192&lt;&gt;"",H192-C192,TODAY()-C192))</f>
        <v/>
      </c>
      <c r="J192" s="27" t="str">
        <f aca="false">IF(B192="Early Warning",14,IF(B192="Compensation Event",28,""))</f>
        <v/>
      </c>
      <c r="K192" s="28" t="str">
        <f aca="false">IF(OR(C192="",J192=""),"",IF(AND(I192&gt;J192,OR(L192="Open",L192="")),"Yes","No"))</f>
        <v/>
      </c>
      <c r="L192" s="24"/>
      <c r="M192" s="29"/>
      <c r="N192" s="24"/>
      <c r="O192" s="26"/>
    </row>
    <row r="193" customFormat="false" ht="15" hidden="false" customHeight="false" outlineLevel="0" collapsed="false">
      <c r="A193" s="24"/>
      <c r="B193" s="24"/>
      <c r="C193" s="25"/>
      <c r="D193" s="26"/>
      <c r="E193" s="24"/>
      <c r="F193" s="24"/>
      <c r="G193" s="25"/>
      <c r="H193" s="25"/>
      <c r="I193" s="27" t="str">
        <f aca="true">IF(C193="","",IF(H193&lt;&gt;"",H193-C193,TODAY()-C193))</f>
        <v/>
      </c>
      <c r="J193" s="27" t="str">
        <f aca="false">IF(B193="Early Warning",14,IF(B193="Compensation Event",28,""))</f>
        <v/>
      </c>
      <c r="K193" s="28" t="str">
        <f aca="false">IF(OR(C193="",J193=""),"",IF(AND(I193&gt;J193,OR(L193="Open",L193="")),"Yes","No"))</f>
        <v/>
      </c>
      <c r="L193" s="24"/>
      <c r="M193" s="29"/>
      <c r="N193" s="24"/>
      <c r="O193" s="26"/>
    </row>
    <row r="194" customFormat="false" ht="15" hidden="false" customHeight="false" outlineLevel="0" collapsed="false">
      <c r="A194" s="24"/>
      <c r="B194" s="24"/>
      <c r="C194" s="25"/>
      <c r="D194" s="26"/>
      <c r="E194" s="24"/>
      <c r="F194" s="24"/>
      <c r="G194" s="25"/>
      <c r="H194" s="25"/>
      <c r="I194" s="27" t="str">
        <f aca="true">IF(C194="","",IF(H194&lt;&gt;"",H194-C194,TODAY()-C194))</f>
        <v/>
      </c>
      <c r="J194" s="27" t="str">
        <f aca="false">IF(B194="Early Warning",14,IF(B194="Compensation Event",28,""))</f>
        <v/>
      </c>
      <c r="K194" s="28" t="str">
        <f aca="false">IF(OR(C194="",J194=""),"",IF(AND(I194&gt;J194,OR(L194="Open",L194="")),"Yes","No"))</f>
        <v/>
      </c>
      <c r="L194" s="24"/>
      <c r="M194" s="29"/>
      <c r="N194" s="24"/>
      <c r="O194" s="26"/>
    </row>
    <row r="195" customFormat="false" ht="15" hidden="false" customHeight="false" outlineLevel="0" collapsed="false">
      <c r="A195" s="24"/>
      <c r="B195" s="24"/>
      <c r="C195" s="25"/>
      <c r="D195" s="26"/>
      <c r="E195" s="24"/>
      <c r="F195" s="24"/>
      <c r="G195" s="25"/>
      <c r="H195" s="25"/>
      <c r="I195" s="27" t="str">
        <f aca="true">IF(C195="","",IF(H195&lt;&gt;"",H195-C195,TODAY()-C195))</f>
        <v/>
      </c>
      <c r="J195" s="27" t="str">
        <f aca="false">IF(B195="Early Warning",14,IF(B195="Compensation Event",28,""))</f>
        <v/>
      </c>
      <c r="K195" s="28" t="str">
        <f aca="false">IF(OR(C195="",J195=""),"",IF(AND(I195&gt;J195,OR(L195="Open",L195="")),"Yes","No"))</f>
        <v/>
      </c>
      <c r="L195" s="24"/>
      <c r="M195" s="29"/>
      <c r="N195" s="24"/>
      <c r="O195" s="26"/>
    </row>
    <row r="196" customFormat="false" ht="15" hidden="false" customHeight="false" outlineLevel="0" collapsed="false">
      <c r="A196" s="24"/>
      <c r="B196" s="24"/>
      <c r="C196" s="25"/>
      <c r="D196" s="26"/>
      <c r="E196" s="24"/>
      <c r="F196" s="24"/>
      <c r="G196" s="25"/>
      <c r="H196" s="25"/>
      <c r="I196" s="27" t="str">
        <f aca="true">IF(C196="","",IF(H196&lt;&gt;"",H196-C196,TODAY()-C196))</f>
        <v/>
      </c>
      <c r="J196" s="27" t="str">
        <f aca="false">IF(B196="Early Warning",14,IF(B196="Compensation Event",28,""))</f>
        <v/>
      </c>
      <c r="K196" s="28" t="str">
        <f aca="false">IF(OR(C196="",J196=""),"",IF(AND(I196&gt;J196,OR(L196="Open",L196="")),"Yes","No"))</f>
        <v/>
      </c>
      <c r="L196" s="24"/>
      <c r="M196" s="29"/>
      <c r="N196" s="24"/>
      <c r="O196" s="26"/>
    </row>
    <row r="197" customFormat="false" ht="15" hidden="false" customHeight="false" outlineLevel="0" collapsed="false">
      <c r="A197" s="24"/>
      <c r="B197" s="24"/>
      <c r="C197" s="25"/>
      <c r="D197" s="26"/>
      <c r="E197" s="24"/>
      <c r="F197" s="24"/>
      <c r="G197" s="25"/>
      <c r="H197" s="25"/>
      <c r="I197" s="27" t="str">
        <f aca="true">IF(C197="","",IF(H197&lt;&gt;"",H197-C197,TODAY()-C197))</f>
        <v/>
      </c>
      <c r="J197" s="27" t="str">
        <f aca="false">IF(B197="Early Warning",14,IF(B197="Compensation Event",28,""))</f>
        <v/>
      </c>
      <c r="K197" s="28" t="str">
        <f aca="false">IF(OR(C197="",J197=""),"",IF(AND(I197&gt;J197,OR(L197="Open",L197="")),"Yes","No"))</f>
        <v/>
      </c>
      <c r="L197" s="24"/>
      <c r="M197" s="29"/>
      <c r="N197" s="24"/>
      <c r="O197" s="26"/>
    </row>
    <row r="198" customFormat="false" ht="15" hidden="false" customHeight="false" outlineLevel="0" collapsed="false">
      <c r="A198" s="24"/>
      <c r="B198" s="24"/>
      <c r="C198" s="25"/>
      <c r="D198" s="26"/>
      <c r="E198" s="24"/>
      <c r="F198" s="24"/>
      <c r="G198" s="25"/>
      <c r="H198" s="25"/>
      <c r="I198" s="27" t="str">
        <f aca="true">IF(C198="","",IF(H198&lt;&gt;"",H198-C198,TODAY()-C198))</f>
        <v/>
      </c>
      <c r="J198" s="27" t="str">
        <f aca="false">IF(B198="Early Warning",14,IF(B198="Compensation Event",28,""))</f>
        <v/>
      </c>
      <c r="K198" s="28" t="str">
        <f aca="false">IF(OR(C198="",J198=""),"",IF(AND(I198&gt;J198,OR(L198="Open",L198="")),"Yes","No"))</f>
        <v/>
      </c>
      <c r="L198" s="24"/>
      <c r="M198" s="29"/>
      <c r="N198" s="24"/>
      <c r="O198" s="26"/>
    </row>
    <row r="199" customFormat="false" ht="15" hidden="false" customHeight="false" outlineLevel="0" collapsed="false">
      <c r="A199" s="24"/>
      <c r="B199" s="24"/>
      <c r="C199" s="25"/>
      <c r="D199" s="26"/>
      <c r="E199" s="24"/>
      <c r="F199" s="24"/>
      <c r="G199" s="25"/>
      <c r="H199" s="25"/>
      <c r="I199" s="27" t="str">
        <f aca="true">IF(C199="","",IF(H199&lt;&gt;"",H199-C199,TODAY()-C199))</f>
        <v/>
      </c>
      <c r="J199" s="27" t="str">
        <f aca="false">IF(B199="Early Warning",14,IF(B199="Compensation Event",28,""))</f>
        <v/>
      </c>
      <c r="K199" s="28" t="str">
        <f aca="false">IF(OR(C199="",J199=""),"",IF(AND(I199&gt;J199,OR(L199="Open",L199="")),"Yes","No"))</f>
        <v/>
      </c>
      <c r="L199" s="24"/>
      <c r="M199" s="29"/>
      <c r="N199" s="24"/>
      <c r="O199" s="26"/>
    </row>
    <row r="200" customFormat="false" ht="15" hidden="false" customHeight="false" outlineLevel="0" collapsed="false">
      <c r="A200" s="24"/>
      <c r="B200" s="24"/>
      <c r="C200" s="25"/>
      <c r="D200" s="26"/>
      <c r="E200" s="24"/>
      <c r="F200" s="24"/>
      <c r="G200" s="25"/>
      <c r="H200" s="25"/>
      <c r="I200" s="27" t="str">
        <f aca="true">IF(C200="","",IF(H200&lt;&gt;"",H200-C200,TODAY()-C200))</f>
        <v/>
      </c>
      <c r="J200" s="27" t="str">
        <f aca="false">IF(B200="Early Warning",14,IF(B200="Compensation Event",28,""))</f>
        <v/>
      </c>
      <c r="K200" s="28" t="str">
        <f aca="false">IF(OR(C200="",J200=""),"",IF(AND(I200&gt;J200,OR(L200="Open",L200="")),"Yes","No"))</f>
        <v/>
      </c>
      <c r="L200" s="24"/>
      <c r="M200" s="29"/>
      <c r="N200" s="24"/>
      <c r="O200" s="26"/>
    </row>
    <row r="201" customFormat="false" ht="15" hidden="false" customHeight="false" outlineLevel="0" collapsed="false">
      <c r="A201" s="24"/>
      <c r="B201" s="24"/>
      <c r="C201" s="25"/>
      <c r="D201" s="26"/>
      <c r="E201" s="24"/>
      <c r="F201" s="24"/>
      <c r="G201" s="25"/>
      <c r="H201" s="25"/>
      <c r="I201" s="27" t="str">
        <f aca="true">IF(C201="","",IF(H201&lt;&gt;"",H201-C201,TODAY()-C201))</f>
        <v/>
      </c>
      <c r="J201" s="27" t="str">
        <f aca="false">IF(B201="Early Warning",14,IF(B201="Compensation Event",28,""))</f>
        <v/>
      </c>
      <c r="K201" s="28" t="str">
        <f aca="false">IF(OR(C201="",J201=""),"",IF(AND(I201&gt;J201,OR(L201="Open",L201="")),"Yes","No"))</f>
        <v/>
      </c>
      <c r="L201" s="24"/>
      <c r="M201" s="29"/>
      <c r="N201" s="24"/>
      <c r="O201" s="26"/>
    </row>
    <row r="202" customFormat="false" ht="15" hidden="false" customHeight="false" outlineLevel="0" collapsed="false">
      <c r="A202" s="24"/>
      <c r="B202" s="24"/>
      <c r="C202" s="25"/>
      <c r="D202" s="26"/>
      <c r="E202" s="24"/>
      <c r="F202" s="24"/>
      <c r="G202" s="25"/>
      <c r="H202" s="25"/>
      <c r="I202" s="27" t="str">
        <f aca="true">IF(C202="","",IF(H202&lt;&gt;"",H202-C202,TODAY()-C202))</f>
        <v/>
      </c>
      <c r="J202" s="27" t="str">
        <f aca="false">IF(B202="Early Warning",14,IF(B202="Compensation Event",28,""))</f>
        <v/>
      </c>
      <c r="K202" s="28" t="str">
        <f aca="false">IF(OR(C202="",J202=""),"",IF(AND(I202&gt;J202,OR(L202="Open",L202="")),"Yes","No"))</f>
        <v/>
      </c>
      <c r="L202" s="24"/>
      <c r="M202" s="29"/>
      <c r="N202" s="24"/>
      <c r="O202" s="26"/>
    </row>
    <row r="203" customFormat="false" ht="15" hidden="false" customHeight="false" outlineLevel="0" collapsed="false">
      <c r="A203" s="24"/>
      <c r="B203" s="24"/>
      <c r="C203" s="25"/>
      <c r="D203" s="26"/>
      <c r="E203" s="24"/>
      <c r="F203" s="24"/>
      <c r="G203" s="25"/>
      <c r="H203" s="25"/>
      <c r="I203" s="27" t="str">
        <f aca="true">IF(C203="","",IF(H203&lt;&gt;"",H203-C203,TODAY()-C203))</f>
        <v/>
      </c>
      <c r="J203" s="27" t="str">
        <f aca="false">IF(B203="Early Warning",14,IF(B203="Compensation Event",28,""))</f>
        <v/>
      </c>
      <c r="K203" s="28" t="str">
        <f aca="false">IF(OR(C203="",J203=""),"",IF(AND(I203&gt;J203,OR(L203="Open",L203="")),"Yes","No"))</f>
        <v/>
      </c>
      <c r="L203" s="24"/>
      <c r="M203" s="29"/>
      <c r="N203" s="24"/>
      <c r="O203" s="26"/>
    </row>
    <row r="204" customFormat="false" ht="15" hidden="false" customHeight="false" outlineLevel="0" collapsed="false">
      <c r="A204" s="24"/>
      <c r="B204" s="24"/>
      <c r="C204" s="25"/>
      <c r="D204" s="26"/>
      <c r="E204" s="24"/>
      <c r="F204" s="24"/>
      <c r="G204" s="25"/>
      <c r="H204" s="25"/>
      <c r="I204" s="27" t="str">
        <f aca="true">IF(C204="","",IF(H204&lt;&gt;"",H204-C204,TODAY()-C204))</f>
        <v/>
      </c>
      <c r="J204" s="27" t="str">
        <f aca="false">IF(B204="Early Warning",14,IF(B204="Compensation Event",28,""))</f>
        <v/>
      </c>
      <c r="K204" s="28" t="str">
        <f aca="false">IF(OR(C204="",J204=""),"",IF(AND(I204&gt;J204,OR(L204="Open",L204="")),"Yes","No"))</f>
        <v/>
      </c>
      <c r="L204" s="24"/>
      <c r="M204" s="29"/>
      <c r="N204" s="24"/>
      <c r="O204" s="26"/>
    </row>
    <row r="205" customFormat="false" ht="15" hidden="false" customHeight="false" outlineLevel="0" collapsed="false">
      <c r="A205" s="24"/>
      <c r="B205" s="24"/>
      <c r="C205" s="25"/>
      <c r="D205" s="26"/>
      <c r="E205" s="24"/>
      <c r="F205" s="24"/>
      <c r="G205" s="25"/>
      <c r="H205" s="25"/>
      <c r="I205" s="27" t="str">
        <f aca="true">IF(C205="","",IF(H205&lt;&gt;"",H205-C205,TODAY()-C205))</f>
        <v/>
      </c>
      <c r="J205" s="27" t="str">
        <f aca="false">IF(B205="Early Warning",14,IF(B205="Compensation Event",28,""))</f>
        <v/>
      </c>
      <c r="K205" s="28" t="str">
        <f aca="false">IF(OR(C205="",J205=""),"",IF(AND(I205&gt;J205,OR(L205="Open",L205="")),"Yes","No"))</f>
        <v/>
      </c>
      <c r="L205" s="24"/>
      <c r="M205" s="29"/>
      <c r="N205" s="24"/>
      <c r="O205" s="26"/>
    </row>
    <row r="206" customFormat="false" ht="15" hidden="false" customHeight="false" outlineLevel="0" collapsed="false">
      <c r="A206" s="24"/>
      <c r="B206" s="24"/>
      <c r="C206" s="25"/>
      <c r="D206" s="26"/>
      <c r="E206" s="24"/>
      <c r="F206" s="24"/>
      <c r="G206" s="25"/>
      <c r="H206" s="25"/>
      <c r="I206" s="27" t="str">
        <f aca="true">IF(C206="","",IF(H206&lt;&gt;"",H206-C206,TODAY()-C206))</f>
        <v/>
      </c>
      <c r="J206" s="27" t="str">
        <f aca="false">IF(B206="Early Warning",14,IF(B206="Compensation Event",28,""))</f>
        <v/>
      </c>
      <c r="K206" s="28" t="str">
        <f aca="false">IF(OR(C206="",J206=""),"",IF(AND(I206&gt;J206,OR(L206="Open",L206="")),"Yes","No"))</f>
        <v/>
      </c>
      <c r="L206" s="24"/>
      <c r="M206" s="29"/>
      <c r="N206" s="24"/>
      <c r="O206" s="26"/>
    </row>
    <row r="207" customFormat="false" ht="15" hidden="false" customHeight="false" outlineLevel="0" collapsed="false">
      <c r="A207" s="24"/>
      <c r="B207" s="24"/>
      <c r="C207" s="25"/>
      <c r="D207" s="26"/>
      <c r="E207" s="24"/>
      <c r="F207" s="24"/>
      <c r="G207" s="25"/>
      <c r="H207" s="25"/>
      <c r="I207" s="27" t="str">
        <f aca="true">IF(C207="","",IF(H207&lt;&gt;"",H207-C207,TODAY()-C207))</f>
        <v/>
      </c>
      <c r="J207" s="27" t="str">
        <f aca="false">IF(B207="Early Warning",14,IF(B207="Compensation Event",28,""))</f>
        <v/>
      </c>
      <c r="K207" s="28" t="str">
        <f aca="false">IF(OR(C207="",J207=""),"",IF(AND(I207&gt;J207,OR(L207="Open",L207="")),"Yes","No"))</f>
        <v/>
      </c>
      <c r="L207" s="24"/>
      <c r="M207" s="29"/>
      <c r="N207" s="24"/>
      <c r="O207" s="26"/>
    </row>
    <row r="208" customFormat="false" ht="15" hidden="false" customHeight="false" outlineLevel="0" collapsed="false">
      <c r="A208" s="24"/>
      <c r="B208" s="24"/>
      <c r="C208" s="25"/>
      <c r="D208" s="26"/>
      <c r="E208" s="24"/>
      <c r="F208" s="24"/>
      <c r="G208" s="25"/>
      <c r="H208" s="25"/>
      <c r="I208" s="27" t="str">
        <f aca="true">IF(C208="","",IF(H208&lt;&gt;"",H208-C208,TODAY()-C208))</f>
        <v/>
      </c>
      <c r="J208" s="27" t="str">
        <f aca="false">IF(B208="Early Warning",14,IF(B208="Compensation Event",28,""))</f>
        <v/>
      </c>
      <c r="K208" s="28" t="str">
        <f aca="false">IF(OR(C208="",J208=""),"",IF(AND(I208&gt;J208,OR(L208="Open",L208="")),"Yes","No"))</f>
        <v/>
      </c>
      <c r="L208" s="24"/>
      <c r="M208" s="29"/>
      <c r="N208" s="24"/>
      <c r="O208" s="26"/>
    </row>
    <row r="209" customFormat="false" ht="15" hidden="false" customHeight="false" outlineLevel="0" collapsed="false">
      <c r="A209" s="24"/>
      <c r="B209" s="24"/>
      <c r="C209" s="25"/>
      <c r="D209" s="26"/>
      <c r="E209" s="24"/>
      <c r="F209" s="24"/>
      <c r="G209" s="25"/>
      <c r="H209" s="25"/>
      <c r="I209" s="27" t="str">
        <f aca="true">IF(C209="","",IF(H209&lt;&gt;"",H209-C209,TODAY()-C209))</f>
        <v/>
      </c>
      <c r="J209" s="27" t="str">
        <f aca="false">IF(B209="Early Warning",14,IF(B209="Compensation Event",28,""))</f>
        <v/>
      </c>
      <c r="K209" s="28" t="str">
        <f aca="false">IF(OR(C209="",J209=""),"",IF(AND(I209&gt;J209,OR(L209="Open",L209="")),"Yes","No"))</f>
        <v/>
      </c>
      <c r="L209" s="24"/>
      <c r="M209" s="29"/>
      <c r="N209" s="24"/>
      <c r="O209" s="26"/>
    </row>
    <row r="210" customFormat="false" ht="15" hidden="false" customHeight="false" outlineLevel="0" collapsed="false">
      <c r="A210" s="24"/>
      <c r="B210" s="24"/>
      <c r="C210" s="25"/>
      <c r="D210" s="26"/>
      <c r="E210" s="24"/>
      <c r="F210" s="24"/>
      <c r="G210" s="25"/>
      <c r="H210" s="25"/>
      <c r="I210" s="27" t="str">
        <f aca="true">IF(C210="","",IF(H210&lt;&gt;"",H210-C210,TODAY()-C210))</f>
        <v/>
      </c>
      <c r="J210" s="27" t="str">
        <f aca="false">IF(B210="Early Warning",14,IF(B210="Compensation Event",28,""))</f>
        <v/>
      </c>
      <c r="K210" s="28" t="str">
        <f aca="false">IF(OR(C210="",J210=""),"",IF(AND(I210&gt;J210,OR(L210="Open",L210="")),"Yes","No"))</f>
        <v/>
      </c>
      <c r="L210" s="24"/>
      <c r="M210" s="29"/>
      <c r="N210" s="24"/>
      <c r="O210" s="26"/>
    </row>
    <row r="211" customFormat="false" ht="15" hidden="false" customHeight="false" outlineLevel="0" collapsed="false">
      <c r="A211" s="24"/>
      <c r="B211" s="24"/>
      <c r="C211" s="25"/>
      <c r="D211" s="26"/>
      <c r="E211" s="24"/>
      <c r="F211" s="24"/>
      <c r="G211" s="25"/>
      <c r="H211" s="25"/>
      <c r="I211" s="27" t="str">
        <f aca="true">IF(C211="","",IF(H211&lt;&gt;"",H211-C211,TODAY()-C211))</f>
        <v/>
      </c>
      <c r="J211" s="27" t="str">
        <f aca="false">IF(B211="Early Warning",14,IF(B211="Compensation Event",28,""))</f>
        <v/>
      </c>
      <c r="K211" s="28" t="str">
        <f aca="false">IF(OR(C211="",J211=""),"",IF(AND(I211&gt;J211,OR(L211="Open",L211="")),"Yes","No"))</f>
        <v/>
      </c>
      <c r="L211" s="24"/>
      <c r="M211" s="29"/>
      <c r="N211" s="24"/>
      <c r="O211" s="26"/>
    </row>
    <row r="212" customFormat="false" ht="15" hidden="false" customHeight="false" outlineLevel="0" collapsed="false">
      <c r="A212" s="24"/>
      <c r="B212" s="24"/>
      <c r="C212" s="25"/>
      <c r="D212" s="26"/>
      <c r="E212" s="24"/>
      <c r="F212" s="24"/>
      <c r="G212" s="25"/>
      <c r="H212" s="25"/>
      <c r="I212" s="27" t="str">
        <f aca="true">IF(C212="","",IF(H212&lt;&gt;"",H212-C212,TODAY()-C212))</f>
        <v/>
      </c>
      <c r="J212" s="27" t="str">
        <f aca="false">IF(B212="Early Warning",14,IF(B212="Compensation Event",28,""))</f>
        <v/>
      </c>
      <c r="K212" s="28" t="str">
        <f aca="false">IF(OR(C212="",J212=""),"",IF(AND(I212&gt;J212,OR(L212="Open",L212="")),"Yes","No"))</f>
        <v/>
      </c>
      <c r="L212" s="24"/>
      <c r="M212" s="29"/>
      <c r="N212" s="24"/>
      <c r="O212" s="26"/>
    </row>
    <row r="213" customFormat="false" ht="15" hidden="false" customHeight="false" outlineLevel="0" collapsed="false">
      <c r="A213" s="24"/>
      <c r="B213" s="24"/>
      <c r="C213" s="25"/>
      <c r="D213" s="26"/>
      <c r="E213" s="24"/>
      <c r="F213" s="24"/>
      <c r="G213" s="25"/>
      <c r="H213" s="25"/>
      <c r="I213" s="27" t="str">
        <f aca="true">IF(C213="","",IF(H213&lt;&gt;"",H213-C213,TODAY()-C213))</f>
        <v/>
      </c>
      <c r="J213" s="27" t="str">
        <f aca="false">IF(B213="Early Warning",14,IF(B213="Compensation Event",28,""))</f>
        <v/>
      </c>
      <c r="K213" s="28" t="str">
        <f aca="false">IF(OR(C213="",J213=""),"",IF(AND(I213&gt;J213,OR(L213="Open",L213="")),"Yes","No"))</f>
        <v/>
      </c>
      <c r="L213" s="24"/>
      <c r="M213" s="29"/>
      <c r="N213" s="24"/>
      <c r="O213" s="26"/>
    </row>
    <row r="214" customFormat="false" ht="15" hidden="false" customHeight="false" outlineLevel="0" collapsed="false">
      <c r="A214" s="24"/>
      <c r="B214" s="24"/>
      <c r="C214" s="25"/>
      <c r="D214" s="26"/>
      <c r="E214" s="24"/>
      <c r="F214" s="24"/>
      <c r="G214" s="25"/>
      <c r="H214" s="25"/>
      <c r="I214" s="27" t="str">
        <f aca="true">IF(C214="","",IF(H214&lt;&gt;"",H214-C214,TODAY()-C214))</f>
        <v/>
      </c>
      <c r="J214" s="27" t="str">
        <f aca="false">IF(B214="Early Warning",14,IF(B214="Compensation Event",28,""))</f>
        <v/>
      </c>
      <c r="K214" s="28" t="str">
        <f aca="false">IF(OR(C214="",J214=""),"",IF(AND(I214&gt;J214,OR(L214="Open",L214="")),"Yes","No"))</f>
        <v/>
      </c>
      <c r="L214" s="24"/>
      <c r="M214" s="29"/>
      <c r="N214" s="24"/>
      <c r="O214" s="26"/>
    </row>
    <row r="215" customFormat="false" ht="15" hidden="false" customHeight="false" outlineLevel="0" collapsed="false">
      <c r="A215" s="24"/>
      <c r="B215" s="24"/>
      <c r="C215" s="25"/>
      <c r="D215" s="26"/>
      <c r="E215" s="24"/>
      <c r="F215" s="24"/>
      <c r="G215" s="25"/>
      <c r="H215" s="25"/>
      <c r="I215" s="27" t="str">
        <f aca="true">IF(C215="","",IF(H215&lt;&gt;"",H215-C215,TODAY()-C215))</f>
        <v/>
      </c>
      <c r="J215" s="27" t="str">
        <f aca="false">IF(B215="Early Warning",14,IF(B215="Compensation Event",28,""))</f>
        <v/>
      </c>
      <c r="K215" s="28" t="str">
        <f aca="false">IF(OR(C215="",J215=""),"",IF(AND(I215&gt;J215,OR(L215="Open",L215="")),"Yes","No"))</f>
        <v/>
      </c>
      <c r="L215" s="24"/>
      <c r="M215" s="29"/>
      <c r="N215" s="24"/>
      <c r="O215" s="26"/>
    </row>
    <row r="216" customFormat="false" ht="15" hidden="false" customHeight="false" outlineLevel="0" collapsed="false">
      <c r="A216" s="24"/>
      <c r="B216" s="24"/>
      <c r="C216" s="25"/>
      <c r="D216" s="26"/>
      <c r="E216" s="24"/>
      <c r="F216" s="24"/>
      <c r="G216" s="25"/>
      <c r="H216" s="25"/>
      <c r="I216" s="27" t="str">
        <f aca="true">IF(C216="","",IF(H216&lt;&gt;"",H216-C216,TODAY()-C216))</f>
        <v/>
      </c>
      <c r="J216" s="27" t="str">
        <f aca="false">IF(B216="Early Warning",14,IF(B216="Compensation Event",28,""))</f>
        <v/>
      </c>
      <c r="K216" s="28" t="str">
        <f aca="false">IF(OR(C216="",J216=""),"",IF(AND(I216&gt;J216,OR(L216="Open",L216="")),"Yes","No"))</f>
        <v/>
      </c>
      <c r="L216" s="24"/>
      <c r="M216" s="29"/>
      <c r="N216" s="24"/>
      <c r="O216" s="26"/>
    </row>
    <row r="217" customFormat="false" ht="15" hidden="false" customHeight="false" outlineLevel="0" collapsed="false">
      <c r="A217" s="24"/>
      <c r="B217" s="24"/>
      <c r="C217" s="25"/>
      <c r="D217" s="26"/>
      <c r="E217" s="24"/>
      <c r="F217" s="24"/>
      <c r="G217" s="25"/>
      <c r="H217" s="25"/>
      <c r="I217" s="27" t="str">
        <f aca="true">IF(C217="","",IF(H217&lt;&gt;"",H217-C217,TODAY()-C217))</f>
        <v/>
      </c>
      <c r="J217" s="27" t="str">
        <f aca="false">IF(B217="Early Warning",14,IF(B217="Compensation Event",28,""))</f>
        <v/>
      </c>
      <c r="K217" s="28" t="str">
        <f aca="false">IF(OR(C217="",J217=""),"",IF(AND(I217&gt;J217,OR(L217="Open",L217="")),"Yes","No"))</f>
        <v/>
      </c>
      <c r="L217" s="24"/>
      <c r="M217" s="29"/>
      <c r="N217" s="24"/>
      <c r="O217" s="26"/>
    </row>
    <row r="218" customFormat="false" ht="15" hidden="false" customHeight="false" outlineLevel="0" collapsed="false">
      <c r="A218" s="24"/>
      <c r="B218" s="24"/>
      <c r="C218" s="25"/>
      <c r="D218" s="26"/>
      <c r="E218" s="24"/>
      <c r="F218" s="24"/>
      <c r="G218" s="25"/>
      <c r="H218" s="25"/>
      <c r="I218" s="27" t="str">
        <f aca="true">IF(C218="","",IF(H218&lt;&gt;"",H218-C218,TODAY()-C218))</f>
        <v/>
      </c>
      <c r="J218" s="27" t="str">
        <f aca="false">IF(B218="Early Warning",14,IF(B218="Compensation Event",28,""))</f>
        <v/>
      </c>
      <c r="K218" s="28" t="str">
        <f aca="false">IF(OR(C218="",J218=""),"",IF(AND(I218&gt;J218,OR(L218="Open",L218="")),"Yes","No"))</f>
        <v/>
      </c>
      <c r="L218" s="24"/>
      <c r="M218" s="29"/>
      <c r="N218" s="24"/>
      <c r="O218" s="26"/>
    </row>
    <row r="219" customFormat="false" ht="15" hidden="false" customHeight="false" outlineLevel="0" collapsed="false">
      <c r="A219" s="24"/>
      <c r="B219" s="24"/>
      <c r="C219" s="25"/>
      <c r="D219" s="26"/>
      <c r="E219" s="24"/>
      <c r="F219" s="24"/>
      <c r="G219" s="25"/>
      <c r="H219" s="25"/>
      <c r="I219" s="27" t="str">
        <f aca="true">IF(C219="","",IF(H219&lt;&gt;"",H219-C219,TODAY()-C219))</f>
        <v/>
      </c>
      <c r="J219" s="27" t="str">
        <f aca="false">IF(B219="Early Warning",14,IF(B219="Compensation Event",28,""))</f>
        <v/>
      </c>
      <c r="K219" s="28" t="str">
        <f aca="false">IF(OR(C219="",J219=""),"",IF(AND(I219&gt;J219,OR(L219="Open",L219="")),"Yes","No"))</f>
        <v/>
      </c>
      <c r="L219" s="24"/>
      <c r="M219" s="29"/>
      <c r="N219" s="24"/>
      <c r="O219" s="26"/>
    </row>
    <row r="220" customFormat="false" ht="15" hidden="false" customHeight="false" outlineLevel="0" collapsed="false">
      <c r="A220" s="24"/>
      <c r="B220" s="24"/>
      <c r="C220" s="25"/>
      <c r="D220" s="26"/>
      <c r="E220" s="24"/>
      <c r="F220" s="24"/>
      <c r="G220" s="25"/>
      <c r="H220" s="25"/>
      <c r="I220" s="27" t="str">
        <f aca="true">IF(C220="","",IF(H220&lt;&gt;"",H220-C220,TODAY()-C220))</f>
        <v/>
      </c>
      <c r="J220" s="27" t="str">
        <f aca="false">IF(B220="Early Warning",14,IF(B220="Compensation Event",28,""))</f>
        <v/>
      </c>
      <c r="K220" s="28" t="str">
        <f aca="false">IF(OR(C220="",J220=""),"",IF(AND(I220&gt;J220,OR(L220="Open",L220="")),"Yes","No"))</f>
        <v/>
      </c>
      <c r="L220" s="24"/>
      <c r="M220" s="29"/>
      <c r="N220" s="24"/>
      <c r="O220" s="26"/>
    </row>
    <row r="221" customFormat="false" ht="15" hidden="false" customHeight="false" outlineLevel="0" collapsed="false">
      <c r="A221" s="24"/>
      <c r="B221" s="24"/>
      <c r="C221" s="25"/>
      <c r="D221" s="26"/>
      <c r="E221" s="24"/>
      <c r="F221" s="24"/>
      <c r="G221" s="25"/>
      <c r="H221" s="25"/>
      <c r="I221" s="27" t="str">
        <f aca="true">IF(C221="","",IF(H221&lt;&gt;"",H221-C221,TODAY()-C221))</f>
        <v/>
      </c>
      <c r="J221" s="27" t="str">
        <f aca="false">IF(B221="Early Warning",14,IF(B221="Compensation Event",28,""))</f>
        <v/>
      </c>
      <c r="K221" s="28" t="str">
        <f aca="false">IF(OR(C221="",J221=""),"",IF(AND(I221&gt;J221,OR(L221="Open",L221="")),"Yes","No"))</f>
        <v/>
      </c>
      <c r="L221" s="24"/>
      <c r="M221" s="29"/>
      <c r="N221" s="24"/>
      <c r="O221" s="26"/>
    </row>
    <row r="222" customFormat="false" ht="15" hidden="false" customHeight="false" outlineLevel="0" collapsed="false">
      <c r="A222" s="24"/>
      <c r="B222" s="24"/>
      <c r="C222" s="25"/>
      <c r="D222" s="26"/>
      <c r="E222" s="24"/>
      <c r="F222" s="24"/>
      <c r="G222" s="25"/>
      <c r="H222" s="25"/>
      <c r="I222" s="27" t="str">
        <f aca="true">IF(C222="","",IF(H222&lt;&gt;"",H222-C222,TODAY()-C222))</f>
        <v/>
      </c>
      <c r="J222" s="27" t="str">
        <f aca="false">IF(B222="Early Warning",14,IF(B222="Compensation Event",28,""))</f>
        <v/>
      </c>
      <c r="K222" s="28" t="str">
        <f aca="false">IF(OR(C222="",J222=""),"",IF(AND(I222&gt;J222,OR(L222="Open",L222="")),"Yes","No"))</f>
        <v/>
      </c>
      <c r="L222" s="24"/>
      <c r="M222" s="29"/>
      <c r="N222" s="24"/>
      <c r="O222" s="26"/>
    </row>
    <row r="223" customFormat="false" ht="15" hidden="false" customHeight="false" outlineLevel="0" collapsed="false">
      <c r="A223" s="24"/>
      <c r="B223" s="24"/>
      <c r="C223" s="25"/>
      <c r="D223" s="26"/>
      <c r="E223" s="24"/>
      <c r="F223" s="24"/>
      <c r="G223" s="25"/>
      <c r="H223" s="25"/>
      <c r="I223" s="27" t="str">
        <f aca="true">IF(C223="","",IF(H223&lt;&gt;"",H223-C223,TODAY()-C223))</f>
        <v/>
      </c>
      <c r="J223" s="27" t="str">
        <f aca="false">IF(B223="Early Warning",14,IF(B223="Compensation Event",28,""))</f>
        <v/>
      </c>
      <c r="K223" s="28" t="str">
        <f aca="false">IF(OR(C223="",J223=""),"",IF(AND(I223&gt;J223,OR(L223="Open",L223="")),"Yes","No"))</f>
        <v/>
      </c>
      <c r="L223" s="24"/>
      <c r="M223" s="29"/>
      <c r="N223" s="24"/>
      <c r="O223" s="26"/>
    </row>
    <row r="224" customFormat="false" ht="15" hidden="false" customHeight="false" outlineLevel="0" collapsed="false">
      <c r="A224" s="24"/>
      <c r="B224" s="24"/>
      <c r="C224" s="25"/>
      <c r="D224" s="26"/>
      <c r="E224" s="24"/>
      <c r="F224" s="24"/>
      <c r="G224" s="25"/>
      <c r="H224" s="25"/>
      <c r="I224" s="27" t="str">
        <f aca="true">IF(C224="","",IF(H224&lt;&gt;"",H224-C224,TODAY()-C224))</f>
        <v/>
      </c>
      <c r="J224" s="27" t="str">
        <f aca="false">IF(B224="Early Warning",14,IF(B224="Compensation Event",28,""))</f>
        <v/>
      </c>
      <c r="K224" s="28" t="str">
        <f aca="false">IF(OR(C224="",J224=""),"",IF(AND(I224&gt;J224,OR(L224="Open",L224="")),"Yes","No"))</f>
        <v/>
      </c>
      <c r="L224" s="24"/>
      <c r="M224" s="29"/>
      <c r="N224" s="24"/>
      <c r="O224" s="26"/>
    </row>
    <row r="225" customFormat="false" ht="15" hidden="false" customHeight="false" outlineLevel="0" collapsed="false">
      <c r="A225" s="24"/>
      <c r="B225" s="24"/>
      <c r="C225" s="25"/>
      <c r="D225" s="26"/>
      <c r="E225" s="24"/>
      <c r="F225" s="24"/>
      <c r="G225" s="25"/>
      <c r="H225" s="25"/>
      <c r="I225" s="27" t="str">
        <f aca="true">IF(C225="","",IF(H225&lt;&gt;"",H225-C225,TODAY()-C225))</f>
        <v/>
      </c>
      <c r="J225" s="27" t="str">
        <f aca="false">IF(B225="Early Warning",14,IF(B225="Compensation Event",28,""))</f>
        <v/>
      </c>
      <c r="K225" s="28" t="str">
        <f aca="false">IF(OR(C225="",J225=""),"",IF(AND(I225&gt;J225,OR(L225="Open",L225="")),"Yes","No"))</f>
        <v/>
      </c>
      <c r="L225" s="24"/>
      <c r="M225" s="29"/>
      <c r="N225" s="24"/>
      <c r="O225" s="26"/>
    </row>
    <row r="226" customFormat="false" ht="15" hidden="false" customHeight="false" outlineLevel="0" collapsed="false">
      <c r="A226" s="24"/>
      <c r="B226" s="24"/>
      <c r="C226" s="25"/>
      <c r="D226" s="26"/>
      <c r="E226" s="24"/>
      <c r="F226" s="24"/>
      <c r="G226" s="25"/>
      <c r="H226" s="25"/>
      <c r="I226" s="27" t="str">
        <f aca="true">IF(C226="","",IF(H226&lt;&gt;"",H226-C226,TODAY()-C226))</f>
        <v/>
      </c>
      <c r="J226" s="27" t="str">
        <f aca="false">IF(B226="Early Warning",14,IF(B226="Compensation Event",28,""))</f>
        <v/>
      </c>
      <c r="K226" s="28" t="str">
        <f aca="false">IF(OR(C226="",J226=""),"",IF(AND(I226&gt;J226,OR(L226="Open",L226="")),"Yes","No"))</f>
        <v/>
      </c>
      <c r="L226" s="24"/>
      <c r="M226" s="29"/>
      <c r="N226" s="24"/>
      <c r="O226" s="26"/>
    </row>
    <row r="227" customFormat="false" ht="15" hidden="false" customHeight="false" outlineLevel="0" collapsed="false">
      <c r="A227" s="24"/>
      <c r="B227" s="24"/>
      <c r="C227" s="25"/>
      <c r="D227" s="26"/>
      <c r="E227" s="24"/>
      <c r="F227" s="24"/>
      <c r="G227" s="25"/>
      <c r="H227" s="25"/>
      <c r="I227" s="27" t="str">
        <f aca="true">IF(C227="","",IF(H227&lt;&gt;"",H227-C227,TODAY()-C227))</f>
        <v/>
      </c>
      <c r="J227" s="27" t="str">
        <f aca="false">IF(B227="Early Warning",14,IF(B227="Compensation Event",28,""))</f>
        <v/>
      </c>
      <c r="K227" s="28" t="str">
        <f aca="false">IF(OR(C227="",J227=""),"",IF(AND(I227&gt;J227,OR(L227="Open",L227="")),"Yes","No"))</f>
        <v/>
      </c>
      <c r="L227" s="24"/>
      <c r="M227" s="29"/>
      <c r="N227" s="24"/>
      <c r="O227" s="26"/>
    </row>
    <row r="228" customFormat="false" ht="15" hidden="false" customHeight="false" outlineLevel="0" collapsed="false">
      <c r="A228" s="24"/>
      <c r="B228" s="24"/>
      <c r="C228" s="25"/>
      <c r="D228" s="26"/>
      <c r="E228" s="24"/>
      <c r="F228" s="24"/>
      <c r="G228" s="25"/>
      <c r="H228" s="25"/>
      <c r="I228" s="27" t="str">
        <f aca="true">IF(C228="","",IF(H228&lt;&gt;"",H228-C228,TODAY()-C228))</f>
        <v/>
      </c>
      <c r="J228" s="27" t="str">
        <f aca="false">IF(B228="Early Warning",14,IF(B228="Compensation Event",28,""))</f>
        <v/>
      </c>
      <c r="K228" s="28" t="str">
        <f aca="false">IF(OR(C228="",J228=""),"",IF(AND(I228&gt;J228,OR(L228="Open",L228="")),"Yes","No"))</f>
        <v/>
      </c>
      <c r="L228" s="24"/>
      <c r="M228" s="29"/>
      <c r="N228" s="24"/>
      <c r="O228" s="26"/>
    </row>
    <row r="229" customFormat="false" ht="15" hidden="false" customHeight="false" outlineLevel="0" collapsed="false">
      <c r="A229" s="24"/>
      <c r="B229" s="24"/>
      <c r="C229" s="25"/>
      <c r="D229" s="26"/>
      <c r="E229" s="24"/>
      <c r="F229" s="24"/>
      <c r="G229" s="25"/>
      <c r="H229" s="25"/>
      <c r="I229" s="27" t="str">
        <f aca="true">IF(C229="","",IF(H229&lt;&gt;"",H229-C229,TODAY()-C229))</f>
        <v/>
      </c>
      <c r="J229" s="27" t="str">
        <f aca="false">IF(B229="Early Warning",14,IF(B229="Compensation Event",28,""))</f>
        <v/>
      </c>
      <c r="K229" s="28" t="str">
        <f aca="false">IF(OR(C229="",J229=""),"",IF(AND(I229&gt;J229,OR(L229="Open",L229="")),"Yes","No"))</f>
        <v/>
      </c>
      <c r="L229" s="24"/>
      <c r="M229" s="29"/>
      <c r="N229" s="24"/>
      <c r="O229" s="26"/>
    </row>
    <row r="230" customFormat="false" ht="15" hidden="false" customHeight="false" outlineLevel="0" collapsed="false">
      <c r="A230" s="24"/>
      <c r="B230" s="24"/>
      <c r="C230" s="25"/>
      <c r="D230" s="26"/>
      <c r="E230" s="24"/>
      <c r="F230" s="24"/>
      <c r="G230" s="25"/>
      <c r="H230" s="25"/>
      <c r="I230" s="27" t="str">
        <f aca="true">IF(C230="","",IF(H230&lt;&gt;"",H230-C230,TODAY()-C230))</f>
        <v/>
      </c>
      <c r="J230" s="27" t="str">
        <f aca="false">IF(B230="Early Warning",14,IF(B230="Compensation Event",28,""))</f>
        <v/>
      </c>
      <c r="K230" s="28" t="str">
        <f aca="false">IF(OR(C230="",J230=""),"",IF(AND(I230&gt;J230,OR(L230="Open",L230="")),"Yes","No"))</f>
        <v/>
      </c>
      <c r="L230" s="24"/>
      <c r="M230" s="29"/>
      <c r="N230" s="24"/>
      <c r="O230" s="26"/>
    </row>
    <row r="231" customFormat="false" ht="15" hidden="false" customHeight="false" outlineLevel="0" collapsed="false">
      <c r="A231" s="24"/>
      <c r="B231" s="24"/>
      <c r="C231" s="25"/>
      <c r="D231" s="26"/>
      <c r="E231" s="24"/>
      <c r="F231" s="24"/>
      <c r="G231" s="25"/>
      <c r="H231" s="25"/>
      <c r="I231" s="27" t="str">
        <f aca="true">IF(C231="","",IF(H231&lt;&gt;"",H231-C231,TODAY()-C231))</f>
        <v/>
      </c>
      <c r="J231" s="27" t="str">
        <f aca="false">IF(B231="Early Warning",14,IF(B231="Compensation Event",28,""))</f>
        <v/>
      </c>
      <c r="K231" s="28" t="str">
        <f aca="false">IF(OR(C231="",J231=""),"",IF(AND(I231&gt;J231,OR(L231="Open",L231="")),"Yes","No"))</f>
        <v/>
      </c>
      <c r="L231" s="24"/>
      <c r="M231" s="29"/>
      <c r="N231" s="24"/>
      <c r="O231" s="26"/>
    </row>
    <row r="232" customFormat="false" ht="15" hidden="false" customHeight="false" outlineLevel="0" collapsed="false">
      <c r="A232" s="24"/>
      <c r="B232" s="24"/>
      <c r="C232" s="25"/>
      <c r="D232" s="26"/>
      <c r="E232" s="24"/>
      <c r="F232" s="24"/>
      <c r="G232" s="25"/>
      <c r="H232" s="25"/>
      <c r="I232" s="27" t="str">
        <f aca="true">IF(C232="","",IF(H232&lt;&gt;"",H232-C232,TODAY()-C232))</f>
        <v/>
      </c>
      <c r="J232" s="27" t="str">
        <f aca="false">IF(B232="Early Warning",14,IF(B232="Compensation Event",28,""))</f>
        <v/>
      </c>
      <c r="K232" s="28" t="str">
        <f aca="false">IF(OR(C232="",J232=""),"",IF(AND(I232&gt;J232,OR(L232="Open",L232="")),"Yes","No"))</f>
        <v/>
      </c>
      <c r="L232" s="24"/>
      <c r="M232" s="29"/>
      <c r="N232" s="24"/>
      <c r="O232" s="26"/>
    </row>
    <row r="233" customFormat="false" ht="15" hidden="false" customHeight="false" outlineLevel="0" collapsed="false">
      <c r="A233" s="24"/>
      <c r="B233" s="24"/>
      <c r="C233" s="25"/>
      <c r="D233" s="26"/>
      <c r="E233" s="24"/>
      <c r="F233" s="24"/>
      <c r="G233" s="25"/>
      <c r="H233" s="25"/>
      <c r="I233" s="27" t="str">
        <f aca="true">IF(C233="","",IF(H233&lt;&gt;"",H233-C233,TODAY()-C233))</f>
        <v/>
      </c>
      <c r="J233" s="27" t="str">
        <f aca="false">IF(B233="Early Warning",14,IF(B233="Compensation Event",28,""))</f>
        <v/>
      </c>
      <c r="K233" s="28" t="str">
        <f aca="false">IF(OR(C233="",J233=""),"",IF(AND(I233&gt;J233,OR(L233="Open",L233="")),"Yes","No"))</f>
        <v/>
      </c>
      <c r="L233" s="24"/>
      <c r="M233" s="29"/>
      <c r="N233" s="24"/>
      <c r="O233" s="26"/>
    </row>
    <row r="234" customFormat="false" ht="15" hidden="false" customHeight="false" outlineLevel="0" collapsed="false">
      <c r="A234" s="24"/>
      <c r="B234" s="24"/>
      <c r="C234" s="25"/>
      <c r="D234" s="26"/>
      <c r="E234" s="24"/>
      <c r="F234" s="24"/>
      <c r="G234" s="25"/>
      <c r="H234" s="25"/>
      <c r="I234" s="27" t="str">
        <f aca="true">IF(C234="","",IF(H234&lt;&gt;"",H234-C234,TODAY()-C234))</f>
        <v/>
      </c>
      <c r="J234" s="27" t="str">
        <f aca="false">IF(B234="Early Warning",14,IF(B234="Compensation Event",28,""))</f>
        <v/>
      </c>
      <c r="K234" s="28" t="str">
        <f aca="false">IF(OR(C234="",J234=""),"",IF(AND(I234&gt;J234,OR(L234="Open",L234="")),"Yes","No"))</f>
        <v/>
      </c>
      <c r="L234" s="24"/>
      <c r="M234" s="29"/>
      <c r="N234" s="24"/>
      <c r="O234" s="26"/>
    </row>
    <row r="235" customFormat="false" ht="15" hidden="false" customHeight="false" outlineLevel="0" collapsed="false">
      <c r="A235" s="24"/>
      <c r="B235" s="24"/>
      <c r="C235" s="25"/>
      <c r="D235" s="26"/>
      <c r="E235" s="24"/>
      <c r="F235" s="24"/>
      <c r="G235" s="25"/>
      <c r="H235" s="25"/>
      <c r="I235" s="27" t="str">
        <f aca="true">IF(C235="","",IF(H235&lt;&gt;"",H235-C235,TODAY()-C235))</f>
        <v/>
      </c>
      <c r="J235" s="27" t="str">
        <f aca="false">IF(B235="Early Warning",14,IF(B235="Compensation Event",28,""))</f>
        <v/>
      </c>
      <c r="K235" s="28" t="str">
        <f aca="false">IF(OR(C235="",J235=""),"",IF(AND(I235&gt;J235,OR(L235="Open",L235="")),"Yes","No"))</f>
        <v/>
      </c>
      <c r="L235" s="24"/>
      <c r="M235" s="29"/>
      <c r="N235" s="24"/>
      <c r="O235" s="26"/>
    </row>
    <row r="236" customFormat="false" ht="15" hidden="false" customHeight="false" outlineLevel="0" collapsed="false">
      <c r="A236" s="24"/>
      <c r="B236" s="24"/>
      <c r="C236" s="25"/>
      <c r="D236" s="26"/>
      <c r="E236" s="24"/>
      <c r="F236" s="24"/>
      <c r="G236" s="25"/>
      <c r="H236" s="25"/>
      <c r="I236" s="27" t="str">
        <f aca="true">IF(C236="","",IF(H236&lt;&gt;"",H236-C236,TODAY()-C236))</f>
        <v/>
      </c>
      <c r="J236" s="27" t="str">
        <f aca="false">IF(B236="Early Warning",14,IF(B236="Compensation Event",28,""))</f>
        <v/>
      </c>
      <c r="K236" s="28" t="str">
        <f aca="false">IF(OR(C236="",J236=""),"",IF(AND(I236&gt;J236,OR(L236="Open",L236="")),"Yes","No"))</f>
        <v/>
      </c>
      <c r="L236" s="24"/>
      <c r="M236" s="29"/>
      <c r="N236" s="24"/>
      <c r="O236" s="26"/>
    </row>
    <row r="237" customFormat="false" ht="15" hidden="false" customHeight="false" outlineLevel="0" collapsed="false">
      <c r="A237" s="24"/>
      <c r="B237" s="24"/>
      <c r="C237" s="25"/>
      <c r="D237" s="26"/>
      <c r="E237" s="24"/>
      <c r="F237" s="24"/>
      <c r="G237" s="25"/>
      <c r="H237" s="25"/>
      <c r="I237" s="27" t="str">
        <f aca="true">IF(C237="","",IF(H237&lt;&gt;"",H237-C237,TODAY()-C237))</f>
        <v/>
      </c>
      <c r="J237" s="27" t="str">
        <f aca="false">IF(B237="Early Warning",14,IF(B237="Compensation Event",28,""))</f>
        <v/>
      </c>
      <c r="K237" s="28" t="str">
        <f aca="false">IF(OR(C237="",J237=""),"",IF(AND(I237&gt;J237,OR(L237="Open",L237="")),"Yes","No"))</f>
        <v/>
      </c>
      <c r="L237" s="24"/>
      <c r="M237" s="29"/>
      <c r="N237" s="24"/>
      <c r="O237" s="26"/>
    </row>
    <row r="238" customFormat="false" ht="15" hidden="false" customHeight="false" outlineLevel="0" collapsed="false">
      <c r="A238" s="24"/>
      <c r="B238" s="24"/>
      <c r="C238" s="25"/>
      <c r="D238" s="26"/>
      <c r="E238" s="24"/>
      <c r="F238" s="24"/>
      <c r="G238" s="25"/>
      <c r="H238" s="25"/>
      <c r="I238" s="27" t="str">
        <f aca="true">IF(C238="","",IF(H238&lt;&gt;"",H238-C238,TODAY()-C238))</f>
        <v/>
      </c>
      <c r="J238" s="27" t="str">
        <f aca="false">IF(B238="Early Warning",14,IF(B238="Compensation Event",28,""))</f>
        <v/>
      </c>
      <c r="K238" s="28" t="str">
        <f aca="false">IF(OR(C238="",J238=""),"",IF(AND(I238&gt;J238,OR(L238="Open",L238="")),"Yes","No"))</f>
        <v/>
      </c>
      <c r="L238" s="24"/>
      <c r="M238" s="29"/>
      <c r="N238" s="24"/>
      <c r="O238" s="26"/>
    </row>
    <row r="239" customFormat="false" ht="15" hidden="false" customHeight="false" outlineLevel="0" collapsed="false">
      <c r="A239" s="24"/>
      <c r="B239" s="24"/>
      <c r="C239" s="25"/>
      <c r="D239" s="26"/>
      <c r="E239" s="24"/>
      <c r="F239" s="24"/>
      <c r="G239" s="25"/>
      <c r="H239" s="25"/>
      <c r="I239" s="27" t="str">
        <f aca="true">IF(C239="","",IF(H239&lt;&gt;"",H239-C239,TODAY()-C239))</f>
        <v/>
      </c>
      <c r="J239" s="27" t="str">
        <f aca="false">IF(B239="Early Warning",14,IF(B239="Compensation Event",28,""))</f>
        <v/>
      </c>
      <c r="K239" s="28" t="str">
        <f aca="false">IF(OR(C239="",J239=""),"",IF(AND(I239&gt;J239,OR(L239="Open",L239="")),"Yes","No"))</f>
        <v/>
      </c>
      <c r="L239" s="24"/>
      <c r="M239" s="29"/>
      <c r="N239" s="24"/>
      <c r="O239" s="26"/>
    </row>
    <row r="240" customFormat="false" ht="15" hidden="false" customHeight="false" outlineLevel="0" collapsed="false">
      <c r="A240" s="24"/>
      <c r="B240" s="24"/>
      <c r="C240" s="25"/>
      <c r="D240" s="26"/>
      <c r="E240" s="24"/>
      <c r="F240" s="24"/>
      <c r="G240" s="25"/>
      <c r="H240" s="25"/>
      <c r="I240" s="27" t="str">
        <f aca="true">IF(C240="","",IF(H240&lt;&gt;"",H240-C240,TODAY()-C240))</f>
        <v/>
      </c>
      <c r="J240" s="27" t="str">
        <f aca="false">IF(B240="Early Warning",14,IF(B240="Compensation Event",28,""))</f>
        <v/>
      </c>
      <c r="K240" s="28" t="str">
        <f aca="false">IF(OR(C240="",J240=""),"",IF(AND(I240&gt;J240,OR(L240="Open",L240="")),"Yes","No"))</f>
        <v/>
      </c>
      <c r="L240" s="24"/>
      <c r="M240" s="29"/>
      <c r="N240" s="24"/>
      <c r="O240" s="26"/>
    </row>
    <row r="241" customFormat="false" ht="15" hidden="false" customHeight="false" outlineLevel="0" collapsed="false">
      <c r="A241" s="24"/>
      <c r="B241" s="24"/>
      <c r="C241" s="25"/>
      <c r="D241" s="26"/>
      <c r="E241" s="24"/>
      <c r="F241" s="24"/>
      <c r="G241" s="25"/>
      <c r="H241" s="25"/>
      <c r="I241" s="27" t="str">
        <f aca="true">IF(C241="","",IF(H241&lt;&gt;"",H241-C241,TODAY()-C241))</f>
        <v/>
      </c>
      <c r="J241" s="27" t="str">
        <f aca="false">IF(B241="Early Warning",14,IF(B241="Compensation Event",28,""))</f>
        <v/>
      </c>
      <c r="K241" s="28" t="str">
        <f aca="false">IF(OR(C241="",J241=""),"",IF(AND(I241&gt;J241,OR(L241="Open",L241="")),"Yes","No"))</f>
        <v/>
      </c>
      <c r="L241" s="24"/>
      <c r="M241" s="29"/>
      <c r="N241" s="24"/>
      <c r="O241" s="26"/>
    </row>
    <row r="242" customFormat="false" ht="15" hidden="false" customHeight="false" outlineLevel="0" collapsed="false">
      <c r="A242" s="24"/>
      <c r="B242" s="24"/>
      <c r="C242" s="25"/>
      <c r="D242" s="26"/>
      <c r="E242" s="24"/>
      <c r="F242" s="24"/>
      <c r="G242" s="25"/>
      <c r="H242" s="25"/>
      <c r="I242" s="27" t="str">
        <f aca="true">IF(C242="","",IF(H242&lt;&gt;"",H242-C242,TODAY()-C242))</f>
        <v/>
      </c>
      <c r="J242" s="27" t="str">
        <f aca="false">IF(B242="Early Warning",14,IF(B242="Compensation Event",28,""))</f>
        <v/>
      </c>
      <c r="K242" s="28" t="str">
        <f aca="false">IF(OR(C242="",J242=""),"",IF(AND(I242&gt;J242,OR(L242="Open",L242="")),"Yes","No"))</f>
        <v/>
      </c>
      <c r="L242" s="24"/>
      <c r="M242" s="29"/>
      <c r="N242" s="24"/>
      <c r="O242" s="26"/>
    </row>
    <row r="243" customFormat="false" ht="15" hidden="false" customHeight="false" outlineLevel="0" collapsed="false">
      <c r="A243" s="24"/>
      <c r="B243" s="24"/>
      <c r="C243" s="25"/>
      <c r="D243" s="26"/>
      <c r="E243" s="24"/>
      <c r="F243" s="24"/>
      <c r="G243" s="25"/>
      <c r="H243" s="25"/>
      <c r="I243" s="27" t="str">
        <f aca="true">IF(C243="","",IF(H243&lt;&gt;"",H243-C243,TODAY()-C243))</f>
        <v/>
      </c>
      <c r="J243" s="27" t="str">
        <f aca="false">IF(B243="Early Warning",14,IF(B243="Compensation Event",28,""))</f>
        <v/>
      </c>
      <c r="K243" s="28" t="str">
        <f aca="false">IF(OR(C243="",J243=""),"",IF(AND(I243&gt;J243,OR(L243="Open",L243="")),"Yes","No"))</f>
        <v/>
      </c>
      <c r="L243" s="24"/>
      <c r="M243" s="29"/>
      <c r="N243" s="24"/>
      <c r="O243" s="26"/>
    </row>
    <row r="244" customFormat="false" ht="15" hidden="false" customHeight="false" outlineLevel="0" collapsed="false">
      <c r="A244" s="24"/>
      <c r="B244" s="24"/>
      <c r="C244" s="25"/>
      <c r="D244" s="26"/>
      <c r="E244" s="24"/>
      <c r="F244" s="24"/>
      <c r="G244" s="25"/>
      <c r="H244" s="25"/>
      <c r="I244" s="27" t="str">
        <f aca="true">IF(C244="","",IF(H244&lt;&gt;"",H244-C244,TODAY()-C244))</f>
        <v/>
      </c>
      <c r="J244" s="27" t="str">
        <f aca="false">IF(B244="Early Warning",14,IF(B244="Compensation Event",28,""))</f>
        <v/>
      </c>
      <c r="K244" s="28" t="str">
        <f aca="false">IF(OR(C244="",J244=""),"",IF(AND(I244&gt;J244,OR(L244="Open",L244="")),"Yes","No"))</f>
        <v/>
      </c>
      <c r="L244" s="24"/>
      <c r="M244" s="29"/>
      <c r="N244" s="24"/>
      <c r="O244" s="26"/>
    </row>
    <row r="245" customFormat="false" ht="15" hidden="false" customHeight="false" outlineLevel="0" collapsed="false">
      <c r="A245" s="24"/>
      <c r="B245" s="24"/>
      <c r="C245" s="25"/>
      <c r="D245" s="26"/>
      <c r="E245" s="24"/>
      <c r="F245" s="24"/>
      <c r="G245" s="25"/>
      <c r="H245" s="25"/>
      <c r="I245" s="27" t="str">
        <f aca="true">IF(C245="","",IF(H245&lt;&gt;"",H245-C245,TODAY()-C245))</f>
        <v/>
      </c>
      <c r="J245" s="27" t="str">
        <f aca="false">IF(B245="Early Warning",14,IF(B245="Compensation Event",28,""))</f>
        <v/>
      </c>
      <c r="K245" s="28" t="str">
        <f aca="false">IF(OR(C245="",J245=""),"",IF(AND(I245&gt;J245,OR(L245="Open",L245="")),"Yes","No"))</f>
        <v/>
      </c>
      <c r="L245" s="24"/>
      <c r="M245" s="29"/>
      <c r="N245" s="24"/>
      <c r="O245" s="26"/>
    </row>
    <row r="246" customFormat="false" ht="15" hidden="false" customHeight="false" outlineLevel="0" collapsed="false">
      <c r="A246" s="24"/>
      <c r="B246" s="24"/>
      <c r="C246" s="25"/>
      <c r="D246" s="26"/>
      <c r="E246" s="24"/>
      <c r="F246" s="24"/>
      <c r="G246" s="25"/>
      <c r="H246" s="25"/>
      <c r="I246" s="27" t="str">
        <f aca="true">IF(C246="","",IF(H246&lt;&gt;"",H246-C246,TODAY()-C246))</f>
        <v/>
      </c>
      <c r="J246" s="27" t="str">
        <f aca="false">IF(B246="Early Warning",14,IF(B246="Compensation Event",28,""))</f>
        <v/>
      </c>
      <c r="K246" s="28" t="str">
        <f aca="false">IF(OR(C246="",J246=""),"",IF(AND(I246&gt;J246,OR(L246="Open",L246="")),"Yes","No"))</f>
        <v/>
      </c>
      <c r="L246" s="24"/>
      <c r="M246" s="29"/>
      <c r="N246" s="24"/>
      <c r="O246" s="26"/>
    </row>
    <row r="247" customFormat="false" ht="15" hidden="false" customHeight="false" outlineLevel="0" collapsed="false">
      <c r="A247" s="24"/>
      <c r="B247" s="24"/>
      <c r="C247" s="25"/>
      <c r="D247" s="26"/>
      <c r="E247" s="24"/>
      <c r="F247" s="24"/>
      <c r="G247" s="25"/>
      <c r="H247" s="25"/>
      <c r="I247" s="27" t="str">
        <f aca="true">IF(C247="","",IF(H247&lt;&gt;"",H247-C247,TODAY()-C247))</f>
        <v/>
      </c>
      <c r="J247" s="27" t="str">
        <f aca="false">IF(B247="Early Warning",14,IF(B247="Compensation Event",28,""))</f>
        <v/>
      </c>
      <c r="K247" s="28" t="str">
        <f aca="false">IF(OR(C247="",J247=""),"",IF(AND(I247&gt;J247,OR(L247="Open",L247="")),"Yes","No"))</f>
        <v/>
      </c>
      <c r="L247" s="24"/>
      <c r="M247" s="29"/>
      <c r="N247" s="24"/>
      <c r="O247" s="26"/>
    </row>
    <row r="248" customFormat="false" ht="15" hidden="false" customHeight="false" outlineLevel="0" collapsed="false">
      <c r="A248" s="24"/>
      <c r="B248" s="24"/>
      <c r="C248" s="25"/>
      <c r="D248" s="26"/>
      <c r="E248" s="24"/>
      <c r="F248" s="24"/>
      <c r="G248" s="25"/>
      <c r="H248" s="25"/>
      <c r="I248" s="27" t="str">
        <f aca="true">IF(C248="","",IF(H248&lt;&gt;"",H248-C248,TODAY()-C248))</f>
        <v/>
      </c>
      <c r="J248" s="27" t="str">
        <f aca="false">IF(B248="Early Warning",14,IF(B248="Compensation Event",28,""))</f>
        <v/>
      </c>
      <c r="K248" s="28" t="str">
        <f aca="false">IF(OR(C248="",J248=""),"",IF(AND(I248&gt;J248,OR(L248="Open",L248="")),"Yes","No"))</f>
        <v/>
      </c>
      <c r="L248" s="24"/>
      <c r="M248" s="29"/>
      <c r="N248" s="24"/>
      <c r="O248" s="26"/>
    </row>
    <row r="249" customFormat="false" ht="15" hidden="false" customHeight="false" outlineLevel="0" collapsed="false">
      <c r="A249" s="24"/>
      <c r="B249" s="24"/>
      <c r="C249" s="25"/>
      <c r="D249" s="26"/>
      <c r="E249" s="24"/>
      <c r="F249" s="24"/>
      <c r="G249" s="25"/>
      <c r="H249" s="25"/>
      <c r="I249" s="27" t="str">
        <f aca="true">IF(C249="","",IF(H249&lt;&gt;"",H249-C249,TODAY()-C249))</f>
        <v/>
      </c>
      <c r="J249" s="27" t="str">
        <f aca="false">IF(B249="Early Warning",14,IF(B249="Compensation Event",28,""))</f>
        <v/>
      </c>
      <c r="K249" s="28" t="str">
        <f aca="false">IF(OR(C249="",J249=""),"",IF(AND(I249&gt;J249,OR(L249="Open",L249="")),"Yes","No"))</f>
        <v/>
      </c>
      <c r="L249" s="24"/>
      <c r="M249" s="29"/>
      <c r="N249" s="24"/>
      <c r="O249" s="26"/>
    </row>
    <row r="250" customFormat="false" ht="15" hidden="false" customHeight="false" outlineLevel="0" collapsed="false">
      <c r="A250" s="24"/>
      <c r="B250" s="24"/>
      <c r="C250" s="25"/>
      <c r="D250" s="26"/>
      <c r="E250" s="24"/>
      <c r="F250" s="24"/>
      <c r="G250" s="25"/>
      <c r="H250" s="25"/>
      <c r="I250" s="27" t="str">
        <f aca="true">IF(C250="","",IF(H250&lt;&gt;"",H250-C250,TODAY()-C250))</f>
        <v/>
      </c>
      <c r="J250" s="27" t="str">
        <f aca="false">IF(B250="Early Warning",14,IF(B250="Compensation Event",28,""))</f>
        <v/>
      </c>
      <c r="K250" s="28" t="str">
        <f aca="false">IF(OR(C250="",J250=""),"",IF(AND(I250&gt;J250,OR(L250="Open",L250="")),"Yes","No"))</f>
        <v/>
      </c>
      <c r="L250" s="24"/>
      <c r="M250" s="29"/>
      <c r="N250" s="24"/>
      <c r="O250" s="26"/>
    </row>
    <row r="251" customFormat="false" ht="15" hidden="false" customHeight="false" outlineLevel="0" collapsed="false">
      <c r="A251" s="24"/>
      <c r="B251" s="24"/>
      <c r="C251" s="25"/>
      <c r="D251" s="26"/>
      <c r="E251" s="24"/>
      <c r="F251" s="24"/>
      <c r="G251" s="25"/>
      <c r="H251" s="25"/>
      <c r="I251" s="27" t="str">
        <f aca="true">IF(C251="","",IF(H251&lt;&gt;"",H251-C251,TODAY()-C251))</f>
        <v/>
      </c>
      <c r="J251" s="27" t="str">
        <f aca="false">IF(B251="Early Warning",14,IF(B251="Compensation Event",28,""))</f>
        <v/>
      </c>
      <c r="K251" s="28" t="str">
        <f aca="false">IF(OR(C251="",J251=""),"",IF(AND(I251&gt;J251,OR(L251="Open",L251="")),"Yes","No"))</f>
        <v/>
      </c>
      <c r="L251" s="24"/>
      <c r="M251" s="29"/>
      <c r="N251" s="24"/>
      <c r="O251" s="26"/>
    </row>
    <row r="252" customFormat="false" ht="15" hidden="false" customHeight="false" outlineLevel="0" collapsed="false">
      <c r="A252" s="24"/>
      <c r="B252" s="24"/>
      <c r="C252" s="25"/>
      <c r="D252" s="26"/>
      <c r="E252" s="24"/>
      <c r="F252" s="24"/>
      <c r="G252" s="25"/>
      <c r="H252" s="25"/>
      <c r="I252" s="27" t="str">
        <f aca="true">IF(C252="","",IF(H252&lt;&gt;"",H252-C252,TODAY()-C252))</f>
        <v/>
      </c>
      <c r="J252" s="27" t="str">
        <f aca="false">IF(B252="Early Warning",14,IF(B252="Compensation Event",28,""))</f>
        <v/>
      </c>
      <c r="K252" s="28" t="str">
        <f aca="false">IF(OR(C252="",J252=""),"",IF(AND(I252&gt;J252,OR(L252="Open",L252="")),"Yes","No"))</f>
        <v/>
      </c>
      <c r="L252" s="24"/>
      <c r="M252" s="29"/>
      <c r="N252" s="24"/>
      <c r="O252" s="26"/>
    </row>
    <row r="253" customFormat="false" ht="15" hidden="false" customHeight="false" outlineLevel="0" collapsed="false">
      <c r="A253" s="24"/>
      <c r="B253" s="24"/>
      <c r="C253" s="25"/>
      <c r="D253" s="26"/>
      <c r="E253" s="24"/>
      <c r="F253" s="24"/>
      <c r="G253" s="25"/>
      <c r="H253" s="25"/>
      <c r="I253" s="27" t="str">
        <f aca="true">IF(C253="","",IF(H253&lt;&gt;"",H253-C253,TODAY()-C253))</f>
        <v/>
      </c>
      <c r="J253" s="27" t="str">
        <f aca="false">IF(B253="Early Warning",14,IF(B253="Compensation Event",28,""))</f>
        <v/>
      </c>
      <c r="K253" s="28" t="str">
        <f aca="false">IF(OR(C253="",J253=""),"",IF(AND(I253&gt;J253,OR(L253="Open",L253="")),"Yes","No"))</f>
        <v/>
      </c>
      <c r="L253" s="24"/>
      <c r="M253" s="29"/>
      <c r="N253" s="24"/>
      <c r="O253" s="26"/>
    </row>
    <row r="254" customFormat="false" ht="15" hidden="false" customHeight="false" outlineLevel="0" collapsed="false">
      <c r="A254" s="24"/>
      <c r="B254" s="24"/>
      <c r="C254" s="25"/>
      <c r="D254" s="26"/>
      <c r="E254" s="24"/>
      <c r="F254" s="24"/>
      <c r="G254" s="25"/>
      <c r="H254" s="25"/>
      <c r="I254" s="27" t="str">
        <f aca="true">IF(C254="","",IF(H254&lt;&gt;"",H254-C254,TODAY()-C254))</f>
        <v/>
      </c>
      <c r="J254" s="27" t="str">
        <f aca="false">IF(B254="Early Warning",14,IF(B254="Compensation Event",28,""))</f>
        <v/>
      </c>
      <c r="K254" s="28" t="str">
        <f aca="false">IF(OR(C254="",J254=""),"",IF(AND(I254&gt;J254,OR(L254="Open",L254="")),"Yes","No"))</f>
        <v/>
      </c>
      <c r="L254" s="24"/>
      <c r="M254" s="29"/>
      <c r="N254" s="24"/>
      <c r="O254" s="26"/>
    </row>
    <row r="255" customFormat="false" ht="15" hidden="false" customHeight="false" outlineLevel="0" collapsed="false">
      <c r="A255" s="24"/>
      <c r="B255" s="24"/>
      <c r="C255" s="25"/>
      <c r="D255" s="26"/>
      <c r="E255" s="24"/>
      <c r="F255" s="24"/>
      <c r="G255" s="25"/>
      <c r="H255" s="25"/>
      <c r="I255" s="27" t="str">
        <f aca="true">IF(C255="","",IF(H255&lt;&gt;"",H255-C255,TODAY()-C255))</f>
        <v/>
      </c>
      <c r="J255" s="27" t="str">
        <f aca="false">IF(B255="Early Warning",14,IF(B255="Compensation Event",28,""))</f>
        <v/>
      </c>
      <c r="K255" s="28" t="str">
        <f aca="false">IF(OR(C255="",J255=""),"",IF(AND(I255&gt;J255,OR(L255="Open",L255="")),"Yes","No"))</f>
        <v/>
      </c>
      <c r="L255" s="24"/>
      <c r="M255" s="29"/>
      <c r="N255" s="24"/>
      <c r="O255" s="26"/>
    </row>
    <row r="256" customFormat="false" ht="15" hidden="false" customHeight="false" outlineLevel="0" collapsed="false">
      <c r="A256" s="24"/>
      <c r="B256" s="24"/>
      <c r="C256" s="25"/>
      <c r="D256" s="26"/>
      <c r="E256" s="24"/>
      <c r="F256" s="24"/>
      <c r="G256" s="25"/>
      <c r="H256" s="25"/>
      <c r="I256" s="27" t="str">
        <f aca="true">IF(C256="","",IF(H256&lt;&gt;"",H256-C256,TODAY()-C256))</f>
        <v/>
      </c>
      <c r="J256" s="27" t="str">
        <f aca="false">IF(B256="Early Warning",14,IF(B256="Compensation Event",28,""))</f>
        <v/>
      </c>
      <c r="K256" s="28" t="str">
        <f aca="false">IF(OR(C256="",J256=""),"",IF(AND(I256&gt;J256,OR(L256="Open",L256="")),"Yes","No"))</f>
        <v/>
      </c>
      <c r="L256" s="24"/>
      <c r="M256" s="29"/>
      <c r="N256" s="24"/>
      <c r="O256" s="26"/>
    </row>
    <row r="257" customFormat="false" ht="15" hidden="false" customHeight="false" outlineLevel="0" collapsed="false">
      <c r="A257" s="24"/>
      <c r="B257" s="24"/>
      <c r="C257" s="25"/>
      <c r="D257" s="26"/>
      <c r="E257" s="24"/>
      <c r="F257" s="24"/>
      <c r="G257" s="25"/>
      <c r="H257" s="25"/>
      <c r="I257" s="27" t="str">
        <f aca="true">IF(C257="","",IF(H257&lt;&gt;"",H257-C257,TODAY()-C257))</f>
        <v/>
      </c>
      <c r="J257" s="27" t="str">
        <f aca="false">IF(B257="Early Warning",14,IF(B257="Compensation Event",28,""))</f>
        <v/>
      </c>
      <c r="K257" s="28" t="str">
        <f aca="false">IF(OR(C257="",J257=""),"",IF(AND(I257&gt;J257,OR(L257="Open",L257="")),"Yes","No"))</f>
        <v/>
      </c>
      <c r="L257" s="24"/>
      <c r="M257" s="29"/>
      <c r="N257" s="24"/>
      <c r="O257" s="26"/>
    </row>
    <row r="258" customFormat="false" ht="15" hidden="false" customHeight="false" outlineLevel="0" collapsed="false">
      <c r="A258" s="24"/>
      <c r="B258" s="24"/>
      <c r="C258" s="25"/>
      <c r="D258" s="26"/>
      <c r="E258" s="24"/>
      <c r="F258" s="24"/>
      <c r="G258" s="25"/>
      <c r="H258" s="25"/>
      <c r="I258" s="27" t="str">
        <f aca="true">IF(C258="","",IF(H258&lt;&gt;"",H258-C258,TODAY()-C258))</f>
        <v/>
      </c>
      <c r="J258" s="27" t="str">
        <f aca="false">IF(B258="Early Warning",14,IF(B258="Compensation Event",28,""))</f>
        <v/>
      </c>
      <c r="K258" s="28" t="str">
        <f aca="false">IF(OR(C258="",J258=""),"",IF(AND(I258&gt;J258,OR(L258="Open",L258="")),"Yes","No"))</f>
        <v/>
      </c>
      <c r="L258" s="24"/>
      <c r="M258" s="29"/>
      <c r="N258" s="24"/>
      <c r="O258" s="26"/>
    </row>
    <row r="259" customFormat="false" ht="15" hidden="false" customHeight="false" outlineLevel="0" collapsed="false">
      <c r="A259" s="24"/>
      <c r="B259" s="24"/>
      <c r="C259" s="25"/>
      <c r="D259" s="26"/>
      <c r="E259" s="24"/>
      <c r="F259" s="24"/>
      <c r="G259" s="25"/>
      <c r="H259" s="25"/>
      <c r="I259" s="27" t="str">
        <f aca="true">IF(C259="","",IF(H259&lt;&gt;"",H259-C259,TODAY()-C259))</f>
        <v/>
      </c>
      <c r="J259" s="27" t="str">
        <f aca="false">IF(B259="Early Warning",14,IF(B259="Compensation Event",28,""))</f>
        <v/>
      </c>
      <c r="K259" s="28" t="str">
        <f aca="false">IF(OR(C259="",J259=""),"",IF(AND(I259&gt;J259,OR(L259="Open",L259="")),"Yes","No"))</f>
        <v/>
      </c>
      <c r="L259" s="24"/>
      <c r="M259" s="29"/>
      <c r="N259" s="24"/>
      <c r="O259" s="26"/>
    </row>
    <row r="260" customFormat="false" ht="15" hidden="false" customHeight="false" outlineLevel="0" collapsed="false">
      <c r="A260" s="24"/>
      <c r="B260" s="24"/>
      <c r="C260" s="25"/>
      <c r="D260" s="26"/>
      <c r="E260" s="24"/>
      <c r="F260" s="24"/>
      <c r="G260" s="25"/>
      <c r="H260" s="25"/>
      <c r="I260" s="27" t="str">
        <f aca="true">IF(C260="","",IF(H260&lt;&gt;"",H260-C260,TODAY()-C260))</f>
        <v/>
      </c>
      <c r="J260" s="27" t="str">
        <f aca="false">IF(B260="Early Warning",14,IF(B260="Compensation Event",28,""))</f>
        <v/>
      </c>
      <c r="K260" s="28" t="str">
        <f aca="false">IF(OR(C260="",J260=""),"",IF(AND(I260&gt;J260,OR(L260="Open",L260="")),"Yes","No"))</f>
        <v/>
      </c>
      <c r="L260" s="24"/>
      <c r="M260" s="29"/>
      <c r="N260" s="24"/>
      <c r="O260" s="26"/>
    </row>
    <row r="261" customFormat="false" ht="15" hidden="false" customHeight="false" outlineLevel="0" collapsed="false">
      <c r="A261" s="24"/>
      <c r="B261" s="24"/>
      <c r="C261" s="25"/>
      <c r="D261" s="26"/>
      <c r="E261" s="24"/>
      <c r="F261" s="24"/>
      <c r="G261" s="25"/>
      <c r="H261" s="25"/>
      <c r="I261" s="27" t="str">
        <f aca="true">IF(C261="","",IF(H261&lt;&gt;"",H261-C261,TODAY()-C261))</f>
        <v/>
      </c>
      <c r="J261" s="27" t="str">
        <f aca="false">IF(B261="Early Warning",14,IF(B261="Compensation Event",28,""))</f>
        <v/>
      </c>
      <c r="K261" s="28" t="str">
        <f aca="false">IF(OR(C261="",J261=""),"",IF(AND(I261&gt;J261,OR(L261="Open",L261="")),"Yes","No"))</f>
        <v/>
      </c>
      <c r="L261" s="24"/>
      <c r="M261" s="29"/>
      <c r="N261" s="24"/>
      <c r="O261" s="26"/>
    </row>
    <row r="262" customFormat="false" ht="15" hidden="false" customHeight="false" outlineLevel="0" collapsed="false">
      <c r="A262" s="24"/>
      <c r="B262" s="24"/>
      <c r="C262" s="25"/>
      <c r="D262" s="26"/>
      <c r="E262" s="24"/>
      <c r="F262" s="24"/>
      <c r="G262" s="25"/>
      <c r="H262" s="25"/>
      <c r="I262" s="27" t="str">
        <f aca="true">IF(C262="","",IF(H262&lt;&gt;"",H262-C262,TODAY()-C262))</f>
        <v/>
      </c>
      <c r="J262" s="27" t="str">
        <f aca="false">IF(B262="Early Warning",14,IF(B262="Compensation Event",28,""))</f>
        <v/>
      </c>
      <c r="K262" s="28" t="str">
        <f aca="false">IF(OR(C262="",J262=""),"",IF(AND(I262&gt;J262,OR(L262="Open",L262="")),"Yes","No"))</f>
        <v/>
      </c>
      <c r="L262" s="24"/>
      <c r="M262" s="29"/>
      <c r="N262" s="24"/>
      <c r="O262" s="26"/>
    </row>
    <row r="263" customFormat="false" ht="15" hidden="false" customHeight="false" outlineLevel="0" collapsed="false">
      <c r="A263" s="24"/>
      <c r="B263" s="24"/>
      <c r="C263" s="25"/>
      <c r="D263" s="26"/>
      <c r="E263" s="24"/>
      <c r="F263" s="24"/>
      <c r="G263" s="25"/>
      <c r="H263" s="25"/>
      <c r="I263" s="27" t="str">
        <f aca="true">IF(C263="","",IF(H263&lt;&gt;"",H263-C263,TODAY()-C263))</f>
        <v/>
      </c>
      <c r="J263" s="27" t="str">
        <f aca="false">IF(B263="Early Warning",14,IF(B263="Compensation Event",28,""))</f>
        <v/>
      </c>
      <c r="K263" s="28" t="str">
        <f aca="false">IF(OR(C263="",J263=""),"",IF(AND(I263&gt;J263,OR(L263="Open",L263="")),"Yes","No"))</f>
        <v/>
      </c>
      <c r="L263" s="24"/>
      <c r="M263" s="29"/>
      <c r="N263" s="24"/>
      <c r="O263" s="26"/>
    </row>
    <row r="264" customFormat="false" ht="15" hidden="false" customHeight="false" outlineLevel="0" collapsed="false">
      <c r="A264" s="24"/>
      <c r="B264" s="24"/>
      <c r="C264" s="25"/>
      <c r="D264" s="26"/>
      <c r="E264" s="24"/>
      <c r="F264" s="24"/>
      <c r="G264" s="25"/>
      <c r="H264" s="25"/>
      <c r="I264" s="27" t="str">
        <f aca="true">IF(C264="","",IF(H264&lt;&gt;"",H264-C264,TODAY()-C264))</f>
        <v/>
      </c>
      <c r="J264" s="27" t="str">
        <f aca="false">IF(B264="Early Warning",14,IF(B264="Compensation Event",28,""))</f>
        <v/>
      </c>
      <c r="K264" s="28" t="str">
        <f aca="false">IF(OR(C264="",J264=""),"",IF(AND(I264&gt;J264,OR(L264="Open",L264="")),"Yes","No"))</f>
        <v/>
      </c>
      <c r="L264" s="24"/>
      <c r="M264" s="29"/>
      <c r="N264" s="24"/>
      <c r="O264" s="26"/>
    </row>
    <row r="265" customFormat="false" ht="15" hidden="false" customHeight="false" outlineLevel="0" collapsed="false">
      <c r="A265" s="24"/>
      <c r="B265" s="24"/>
      <c r="C265" s="25"/>
      <c r="D265" s="26"/>
      <c r="E265" s="24"/>
      <c r="F265" s="24"/>
      <c r="G265" s="25"/>
      <c r="H265" s="25"/>
      <c r="I265" s="27" t="str">
        <f aca="true">IF(C265="","",IF(H265&lt;&gt;"",H265-C265,TODAY()-C265))</f>
        <v/>
      </c>
      <c r="J265" s="27" t="str">
        <f aca="false">IF(B265="Early Warning",14,IF(B265="Compensation Event",28,""))</f>
        <v/>
      </c>
      <c r="K265" s="28" t="str">
        <f aca="false">IF(OR(C265="",J265=""),"",IF(AND(I265&gt;J265,OR(L265="Open",L265="")),"Yes","No"))</f>
        <v/>
      </c>
      <c r="L265" s="24"/>
      <c r="M265" s="29"/>
      <c r="N265" s="24"/>
      <c r="O265" s="26"/>
    </row>
    <row r="266" customFormat="false" ht="15" hidden="false" customHeight="false" outlineLevel="0" collapsed="false">
      <c r="A266" s="24"/>
      <c r="B266" s="24"/>
      <c r="C266" s="25"/>
      <c r="D266" s="26"/>
      <c r="E266" s="24"/>
      <c r="F266" s="24"/>
      <c r="G266" s="25"/>
      <c r="H266" s="25"/>
      <c r="I266" s="27" t="str">
        <f aca="true">IF(C266="","",IF(H266&lt;&gt;"",H266-C266,TODAY()-C266))</f>
        <v/>
      </c>
      <c r="J266" s="27" t="str">
        <f aca="false">IF(B266="Early Warning",14,IF(B266="Compensation Event",28,""))</f>
        <v/>
      </c>
      <c r="K266" s="28" t="str">
        <f aca="false">IF(OR(C266="",J266=""),"",IF(AND(I266&gt;J266,OR(L266="Open",L266="")),"Yes","No"))</f>
        <v/>
      </c>
      <c r="L266" s="24"/>
      <c r="M266" s="29"/>
      <c r="N266" s="24"/>
      <c r="O266" s="26"/>
    </row>
    <row r="267" customFormat="false" ht="15" hidden="false" customHeight="false" outlineLevel="0" collapsed="false">
      <c r="A267" s="24"/>
      <c r="B267" s="24"/>
      <c r="C267" s="25"/>
      <c r="D267" s="26"/>
      <c r="E267" s="24"/>
      <c r="F267" s="24"/>
      <c r="G267" s="25"/>
      <c r="H267" s="25"/>
      <c r="I267" s="27" t="str">
        <f aca="true">IF(C267="","",IF(H267&lt;&gt;"",H267-C267,TODAY()-C267))</f>
        <v/>
      </c>
      <c r="J267" s="27" t="str">
        <f aca="false">IF(B267="Early Warning",14,IF(B267="Compensation Event",28,""))</f>
        <v/>
      </c>
      <c r="K267" s="28" t="str">
        <f aca="false">IF(OR(C267="",J267=""),"",IF(AND(I267&gt;J267,OR(L267="Open",L267="")),"Yes","No"))</f>
        <v/>
      </c>
      <c r="L267" s="24"/>
      <c r="M267" s="29"/>
      <c r="N267" s="24"/>
      <c r="O267" s="26"/>
    </row>
    <row r="268" customFormat="false" ht="15" hidden="false" customHeight="false" outlineLevel="0" collapsed="false">
      <c r="A268" s="24"/>
      <c r="B268" s="24"/>
      <c r="C268" s="25"/>
      <c r="D268" s="26"/>
      <c r="E268" s="24"/>
      <c r="F268" s="24"/>
      <c r="G268" s="25"/>
      <c r="H268" s="25"/>
      <c r="I268" s="27" t="str">
        <f aca="true">IF(C268="","",IF(H268&lt;&gt;"",H268-C268,TODAY()-C268))</f>
        <v/>
      </c>
      <c r="J268" s="27" t="str">
        <f aca="false">IF(B268="Early Warning",14,IF(B268="Compensation Event",28,""))</f>
        <v/>
      </c>
      <c r="K268" s="28" t="str">
        <f aca="false">IF(OR(C268="",J268=""),"",IF(AND(I268&gt;J268,OR(L268="Open",L268="")),"Yes","No"))</f>
        <v/>
      </c>
      <c r="L268" s="24"/>
      <c r="M268" s="29"/>
      <c r="N268" s="24"/>
      <c r="O268" s="26"/>
    </row>
    <row r="269" customFormat="false" ht="15" hidden="false" customHeight="false" outlineLevel="0" collapsed="false">
      <c r="A269" s="24"/>
      <c r="B269" s="24"/>
      <c r="C269" s="25"/>
      <c r="D269" s="26"/>
      <c r="E269" s="24"/>
      <c r="F269" s="24"/>
      <c r="G269" s="25"/>
      <c r="H269" s="25"/>
      <c r="I269" s="27" t="str">
        <f aca="true">IF(C269="","",IF(H269&lt;&gt;"",H269-C269,TODAY()-C269))</f>
        <v/>
      </c>
      <c r="J269" s="27" t="str">
        <f aca="false">IF(B269="Early Warning",14,IF(B269="Compensation Event",28,""))</f>
        <v/>
      </c>
      <c r="K269" s="28" t="str">
        <f aca="false">IF(OR(C269="",J269=""),"",IF(AND(I269&gt;J269,OR(L269="Open",L269="")),"Yes","No"))</f>
        <v/>
      </c>
      <c r="L269" s="24"/>
      <c r="M269" s="29"/>
      <c r="N269" s="24"/>
      <c r="O269" s="26"/>
    </row>
    <row r="270" customFormat="false" ht="15" hidden="false" customHeight="false" outlineLevel="0" collapsed="false">
      <c r="A270" s="24"/>
      <c r="B270" s="24"/>
      <c r="C270" s="25"/>
      <c r="D270" s="26"/>
      <c r="E270" s="24"/>
      <c r="F270" s="24"/>
      <c r="G270" s="25"/>
      <c r="H270" s="25"/>
      <c r="I270" s="27" t="str">
        <f aca="true">IF(C270="","",IF(H270&lt;&gt;"",H270-C270,TODAY()-C270))</f>
        <v/>
      </c>
      <c r="J270" s="27" t="str">
        <f aca="false">IF(B270="Early Warning",14,IF(B270="Compensation Event",28,""))</f>
        <v/>
      </c>
      <c r="K270" s="28" t="str">
        <f aca="false">IF(OR(C270="",J270=""),"",IF(AND(I270&gt;J270,OR(L270="Open",L270="")),"Yes","No"))</f>
        <v/>
      </c>
      <c r="L270" s="24"/>
      <c r="M270" s="29"/>
      <c r="N270" s="24"/>
      <c r="O270" s="26"/>
    </row>
    <row r="271" customFormat="false" ht="15" hidden="false" customHeight="false" outlineLevel="0" collapsed="false">
      <c r="A271" s="24"/>
      <c r="B271" s="24"/>
      <c r="C271" s="25"/>
      <c r="D271" s="26"/>
      <c r="E271" s="24"/>
      <c r="F271" s="24"/>
      <c r="G271" s="25"/>
      <c r="H271" s="25"/>
      <c r="I271" s="27" t="str">
        <f aca="true">IF(C271="","",IF(H271&lt;&gt;"",H271-C271,TODAY()-C271))</f>
        <v/>
      </c>
      <c r="J271" s="27" t="str">
        <f aca="false">IF(B271="Early Warning",14,IF(B271="Compensation Event",28,""))</f>
        <v/>
      </c>
      <c r="K271" s="28" t="str">
        <f aca="false">IF(OR(C271="",J271=""),"",IF(AND(I271&gt;J271,OR(L271="Open",L271="")),"Yes","No"))</f>
        <v/>
      </c>
      <c r="L271" s="24"/>
      <c r="M271" s="29"/>
      <c r="N271" s="24"/>
      <c r="O271" s="26"/>
    </row>
    <row r="272" customFormat="false" ht="15" hidden="false" customHeight="false" outlineLevel="0" collapsed="false">
      <c r="A272" s="24"/>
      <c r="B272" s="24"/>
      <c r="C272" s="25"/>
      <c r="D272" s="26"/>
      <c r="E272" s="24"/>
      <c r="F272" s="24"/>
      <c r="G272" s="25"/>
      <c r="H272" s="25"/>
      <c r="I272" s="27" t="str">
        <f aca="true">IF(C272="","",IF(H272&lt;&gt;"",H272-C272,TODAY()-C272))</f>
        <v/>
      </c>
      <c r="J272" s="27" t="str">
        <f aca="false">IF(B272="Early Warning",14,IF(B272="Compensation Event",28,""))</f>
        <v/>
      </c>
      <c r="K272" s="28" t="str">
        <f aca="false">IF(OR(C272="",J272=""),"",IF(AND(I272&gt;J272,OR(L272="Open",L272="")),"Yes","No"))</f>
        <v/>
      </c>
      <c r="L272" s="24"/>
      <c r="M272" s="29"/>
      <c r="N272" s="24"/>
      <c r="O272" s="26"/>
    </row>
    <row r="273" customFormat="false" ht="15" hidden="false" customHeight="false" outlineLevel="0" collapsed="false">
      <c r="A273" s="24"/>
      <c r="B273" s="24"/>
      <c r="C273" s="25"/>
      <c r="D273" s="26"/>
      <c r="E273" s="24"/>
      <c r="F273" s="24"/>
      <c r="G273" s="25"/>
      <c r="H273" s="25"/>
      <c r="I273" s="27" t="str">
        <f aca="true">IF(C273="","",IF(H273&lt;&gt;"",H273-C273,TODAY()-C273))</f>
        <v/>
      </c>
      <c r="J273" s="27" t="str">
        <f aca="false">IF(B273="Early Warning",14,IF(B273="Compensation Event",28,""))</f>
        <v/>
      </c>
      <c r="K273" s="28" t="str">
        <f aca="false">IF(OR(C273="",J273=""),"",IF(AND(I273&gt;J273,OR(L273="Open",L273="")),"Yes","No"))</f>
        <v/>
      </c>
      <c r="L273" s="24"/>
      <c r="M273" s="29"/>
      <c r="N273" s="24"/>
      <c r="O273" s="26"/>
    </row>
    <row r="274" customFormat="false" ht="15" hidden="false" customHeight="false" outlineLevel="0" collapsed="false">
      <c r="A274" s="24"/>
      <c r="B274" s="24"/>
      <c r="C274" s="25"/>
      <c r="D274" s="26"/>
      <c r="E274" s="24"/>
      <c r="F274" s="24"/>
      <c r="G274" s="25"/>
      <c r="H274" s="25"/>
      <c r="I274" s="27" t="str">
        <f aca="true">IF(C274="","",IF(H274&lt;&gt;"",H274-C274,TODAY()-C274))</f>
        <v/>
      </c>
      <c r="J274" s="27" t="str">
        <f aca="false">IF(B274="Early Warning",14,IF(B274="Compensation Event",28,""))</f>
        <v/>
      </c>
      <c r="K274" s="28" t="str">
        <f aca="false">IF(OR(C274="",J274=""),"",IF(AND(I274&gt;J274,OR(L274="Open",L274="")),"Yes","No"))</f>
        <v/>
      </c>
      <c r="L274" s="24"/>
      <c r="M274" s="29"/>
      <c r="N274" s="24"/>
      <c r="O274" s="26"/>
    </row>
    <row r="275" customFormat="false" ht="15" hidden="false" customHeight="false" outlineLevel="0" collapsed="false">
      <c r="A275" s="24"/>
      <c r="B275" s="24"/>
      <c r="C275" s="25"/>
      <c r="D275" s="26"/>
      <c r="E275" s="24"/>
      <c r="F275" s="24"/>
      <c r="G275" s="25"/>
      <c r="H275" s="25"/>
      <c r="I275" s="27" t="str">
        <f aca="true">IF(C275="","",IF(H275&lt;&gt;"",H275-C275,TODAY()-C275))</f>
        <v/>
      </c>
      <c r="J275" s="27" t="str">
        <f aca="false">IF(B275="Early Warning",14,IF(B275="Compensation Event",28,""))</f>
        <v/>
      </c>
      <c r="K275" s="28" t="str">
        <f aca="false">IF(OR(C275="",J275=""),"",IF(AND(I275&gt;J275,OR(L275="Open",L275="")),"Yes","No"))</f>
        <v/>
      </c>
      <c r="L275" s="24"/>
      <c r="M275" s="29"/>
      <c r="N275" s="24"/>
      <c r="O275" s="26"/>
    </row>
    <row r="276" customFormat="false" ht="15" hidden="false" customHeight="false" outlineLevel="0" collapsed="false">
      <c r="A276" s="24"/>
      <c r="B276" s="24"/>
      <c r="C276" s="25"/>
      <c r="D276" s="26"/>
      <c r="E276" s="24"/>
      <c r="F276" s="24"/>
      <c r="G276" s="25"/>
      <c r="H276" s="25"/>
      <c r="I276" s="27" t="str">
        <f aca="true">IF(C276="","",IF(H276&lt;&gt;"",H276-C276,TODAY()-C276))</f>
        <v/>
      </c>
      <c r="J276" s="27" t="str">
        <f aca="false">IF(B276="Early Warning",14,IF(B276="Compensation Event",28,""))</f>
        <v/>
      </c>
      <c r="K276" s="28" t="str">
        <f aca="false">IF(OR(C276="",J276=""),"",IF(AND(I276&gt;J276,OR(L276="Open",L276="")),"Yes","No"))</f>
        <v/>
      </c>
      <c r="L276" s="24"/>
      <c r="M276" s="29"/>
      <c r="N276" s="24"/>
      <c r="O276" s="26"/>
    </row>
    <row r="277" customFormat="false" ht="15" hidden="false" customHeight="false" outlineLevel="0" collapsed="false">
      <c r="A277" s="24"/>
      <c r="B277" s="24"/>
      <c r="C277" s="25"/>
      <c r="D277" s="26"/>
      <c r="E277" s="24"/>
      <c r="F277" s="24"/>
      <c r="G277" s="25"/>
      <c r="H277" s="25"/>
      <c r="I277" s="27" t="str">
        <f aca="true">IF(C277="","",IF(H277&lt;&gt;"",H277-C277,TODAY()-C277))</f>
        <v/>
      </c>
      <c r="J277" s="27" t="str">
        <f aca="false">IF(B277="Early Warning",14,IF(B277="Compensation Event",28,""))</f>
        <v/>
      </c>
      <c r="K277" s="28" t="str">
        <f aca="false">IF(OR(C277="",J277=""),"",IF(AND(I277&gt;J277,OR(L277="Open",L277="")),"Yes","No"))</f>
        <v/>
      </c>
      <c r="L277" s="24"/>
      <c r="M277" s="29"/>
      <c r="N277" s="24"/>
      <c r="O277" s="26"/>
    </row>
    <row r="278" customFormat="false" ht="15" hidden="false" customHeight="false" outlineLevel="0" collapsed="false">
      <c r="A278" s="24"/>
      <c r="B278" s="24"/>
      <c r="C278" s="25"/>
      <c r="D278" s="26"/>
      <c r="E278" s="24"/>
      <c r="F278" s="24"/>
      <c r="G278" s="25"/>
      <c r="H278" s="25"/>
      <c r="I278" s="27" t="str">
        <f aca="true">IF(C278="","",IF(H278&lt;&gt;"",H278-C278,TODAY()-C278))</f>
        <v/>
      </c>
      <c r="J278" s="27" t="str">
        <f aca="false">IF(B278="Early Warning",14,IF(B278="Compensation Event",28,""))</f>
        <v/>
      </c>
      <c r="K278" s="28" t="str">
        <f aca="false">IF(OR(C278="",J278=""),"",IF(AND(I278&gt;J278,OR(L278="Open",L278="")),"Yes","No"))</f>
        <v/>
      </c>
      <c r="L278" s="24"/>
      <c r="M278" s="29"/>
      <c r="N278" s="24"/>
      <c r="O278" s="26"/>
    </row>
    <row r="279" customFormat="false" ht="15" hidden="false" customHeight="false" outlineLevel="0" collapsed="false">
      <c r="A279" s="24"/>
      <c r="B279" s="24"/>
      <c r="C279" s="25"/>
      <c r="D279" s="26"/>
      <c r="E279" s="24"/>
      <c r="F279" s="24"/>
      <c r="G279" s="25"/>
      <c r="H279" s="25"/>
      <c r="I279" s="27" t="str">
        <f aca="true">IF(C279="","",IF(H279&lt;&gt;"",H279-C279,TODAY()-C279))</f>
        <v/>
      </c>
      <c r="J279" s="27" t="str">
        <f aca="false">IF(B279="Early Warning",14,IF(B279="Compensation Event",28,""))</f>
        <v/>
      </c>
      <c r="K279" s="28" t="str">
        <f aca="false">IF(OR(C279="",J279=""),"",IF(AND(I279&gt;J279,OR(L279="Open",L279="")),"Yes","No"))</f>
        <v/>
      </c>
      <c r="L279" s="24"/>
      <c r="M279" s="29"/>
      <c r="N279" s="24"/>
      <c r="O279" s="26"/>
    </row>
    <row r="280" customFormat="false" ht="15" hidden="false" customHeight="false" outlineLevel="0" collapsed="false">
      <c r="A280" s="24"/>
      <c r="B280" s="24"/>
      <c r="C280" s="25"/>
      <c r="D280" s="26"/>
      <c r="E280" s="24"/>
      <c r="F280" s="24"/>
      <c r="G280" s="25"/>
      <c r="H280" s="25"/>
      <c r="I280" s="27" t="str">
        <f aca="true">IF(C280="","",IF(H280&lt;&gt;"",H280-C280,TODAY()-C280))</f>
        <v/>
      </c>
      <c r="J280" s="27" t="str">
        <f aca="false">IF(B280="Early Warning",14,IF(B280="Compensation Event",28,""))</f>
        <v/>
      </c>
      <c r="K280" s="28" t="str">
        <f aca="false">IF(OR(C280="",J280=""),"",IF(AND(I280&gt;J280,OR(L280="Open",L280="")),"Yes","No"))</f>
        <v/>
      </c>
      <c r="L280" s="24"/>
      <c r="M280" s="29"/>
      <c r="N280" s="24"/>
      <c r="O280" s="26"/>
    </row>
    <row r="281" customFormat="false" ht="15" hidden="false" customHeight="false" outlineLevel="0" collapsed="false">
      <c r="A281" s="24"/>
      <c r="B281" s="24"/>
      <c r="C281" s="25"/>
      <c r="D281" s="26"/>
      <c r="E281" s="24"/>
      <c r="F281" s="24"/>
      <c r="G281" s="25"/>
      <c r="H281" s="25"/>
      <c r="I281" s="27" t="str">
        <f aca="true">IF(C281="","",IF(H281&lt;&gt;"",H281-C281,TODAY()-C281))</f>
        <v/>
      </c>
      <c r="J281" s="27" t="str">
        <f aca="false">IF(B281="Early Warning",14,IF(B281="Compensation Event",28,""))</f>
        <v/>
      </c>
      <c r="K281" s="28" t="str">
        <f aca="false">IF(OR(C281="",J281=""),"",IF(AND(I281&gt;J281,OR(L281="Open",L281="")),"Yes","No"))</f>
        <v/>
      </c>
      <c r="L281" s="24"/>
      <c r="M281" s="29"/>
      <c r="N281" s="24"/>
      <c r="O281" s="26"/>
    </row>
    <row r="282" customFormat="false" ht="15" hidden="false" customHeight="false" outlineLevel="0" collapsed="false">
      <c r="A282" s="24"/>
      <c r="B282" s="24"/>
      <c r="C282" s="25"/>
      <c r="D282" s="26"/>
      <c r="E282" s="24"/>
      <c r="F282" s="24"/>
      <c r="G282" s="25"/>
      <c r="H282" s="25"/>
      <c r="I282" s="27" t="str">
        <f aca="true">IF(C282="","",IF(H282&lt;&gt;"",H282-C282,TODAY()-C282))</f>
        <v/>
      </c>
      <c r="J282" s="27" t="str">
        <f aca="false">IF(B282="Early Warning",14,IF(B282="Compensation Event",28,""))</f>
        <v/>
      </c>
      <c r="K282" s="28" t="str">
        <f aca="false">IF(OR(C282="",J282=""),"",IF(AND(I282&gt;J282,OR(L282="Open",L282="")),"Yes","No"))</f>
        <v/>
      </c>
      <c r="L282" s="24"/>
      <c r="M282" s="29"/>
      <c r="N282" s="24"/>
      <c r="O282" s="26"/>
    </row>
    <row r="283" customFormat="false" ht="15" hidden="false" customHeight="false" outlineLevel="0" collapsed="false">
      <c r="A283" s="24"/>
      <c r="B283" s="24"/>
      <c r="C283" s="25"/>
      <c r="D283" s="26"/>
      <c r="E283" s="24"/>
      <c r="F283" s="24"/>
      <c r="G283" s="25"/>
      <c r="H283" s="25"/>
      <c r="I283" s="27" t="str">
        <f aca="true">IF(C283="","",IF(H283&lt;&gt;"",H283-C283,TODAY()-C283))</f>
        <v/>
      </c>
      <c r="J283" s="27" t="str">
        <f aca="false">IF(B283="Early Warning",14,IF(B283="Compensation Event",28,""))</f>
        <v/>
      </c>
      <c r="K283" s="28" t="str">
        <f aca="false">IF(OR(C283="",J283=""),"",IF(AND(I283&gt;J283,OR(L283="Open",L283="")),"Yes","No"))</f>
        <v/>
      </c>
      <c r="L283" s="24"/>
      <c r="M283" s="29"/>
      <c r="N283" s="24"/>
      <c r="O283" s="26"/>
    </row>
    <row r="284" customFormat="false" ht="15" hidden="false" customHeight="false" outlineLevel="0" collapsed="false">
      <c r="A284" s="24"/>
      <c r="B284" s="24"/>
      <c r="C284" s="25"/>
      <c r="D284" s="26"/>
      <c r="E284" s="24"/>
      <c r="F284" s="24"/>
      <c r="G284" s="25"/>
      <c r="H284" s="25"/>
      <c r="I284" s="27" t="str">
        <f aca="true">IF(C284="","",IF(H284&lt;&gt;"",H284-C284,TODAY()-C284))</f>
        <v/>
      </c>
      <c r="J284" s="27" t="str">
        <f aca="false">IF(B284="Early Warning",14,IF(B284="Compensation Event",28,""))</f>
        <v/>
      </c>
      <c r="K284" s="28" t="str">
        <f aca="false">IF(OR(C284="",J284=""),"",IF(AND(I284&gt;J284,OR(L284="Open",L284="")),"Yes","No"))</f>
        <v/>
      </c>
      <c r="L284" s="24"/>
      <c r="M284" s="29"/>
      <c r="N284" s="24"/>
      <c r="O284" s="26"/>
    </row>
    <row r="285" customFormat="false" ht="15" hidden="false" customHeight="false" outlineLevel="0" collapsed="false">
      <c r="A285" s="24"/>
      <c r="B285" s="24"/>
      <c r="C285" s="25"/>
      <c r="D285" s="26"/>
      <c r="E285" s="24"/>
      <c r="F285" s="24"/>
      <c r="G285" s="25"/>
      <c r="H285" s="25"/>
      <c r="I285" s="27" t="str">
        <f aca="true">IF(C285="","",IF(H285&lt;&gt;"",H285-C285,TODAY()-C285))</f>
        <v/>
      </c>
      <c r="J285" s="27" t="str">
        <f aca="false">IF(B285="Early Warning",14,IF(B285="Compensation Event",28,""))</f>
        <v/>
      </c>
      <c r="K285" s="28" t="str">
        <f aca="false">IF(OR(C285="",J285=""),"",IF(AND(I285&gt;J285,OR(L285="Open",L285="")),"Yes","No"))</f>
        <v/>
      </c>
      <c r="L285" s="24"/>
      <c r="M285" s="29"/>
      <c r="N285" s="24"/>
      <c r="O285" s="26"/>
    </row>
    <row r="286" customFormat="false" ht="15" hidden="false" customHeight="false" outlineLevel="0" collapsed="false">
      <c r="A286" s="24"/>
      <c r="B286" s="24"/>
      <c r="C286" s="25"/>
      <c r="D286" s="26"/>
      <c r="E286" s="24"/>
      <c r="F286" s="24"/>
      <c r="G286" s="25"/>
      <c r="H286" s="25"/>
      <c r="I286" s="27" t="str">
        <f aca="true">IF(C286="","",IF(H286&lt;&gt;"",H286-C286,TODAY()-C286))</f>
        <v/>
      </c>
      <c r="J286" s="27" t="str">
        <f aca="false">IF(B286="Early Warning",14,IF(B286="Compensation Event",28,""))</f>
        <v/>
      </c>
      <c r="K286" s="28" t="str">
        <f aca="false">IF(OR(C286="",J286=""),"",IF(AND(I286&gt;J286,OR(L286="Open",L286="")),"Yes","No"))</f>
        <v/>
      </c>
      <c r="L286" s="24"/>
      <c r="M286" s="29"/>
      <c r="N286" s="24"/>
      <c r="O286" s="26"/>
    </row>
    <row r="287" customFormat="false" ht="15" hidden="false" customHeight="false" outlineLevel="0" collapsed="false">
      <c r="A287" s="24"/>
      <c r="B287" s="24"/>
      <c r="C287" s="25"/>
      <c r="D287" s="26"/>
      <c r="E287" s="24"/>
      <c r="F287" s="24"/>
      <c r="G287" s="25"/>
      <c r="H287" s="25"/>
      <c r="I287" s="27" t="str">
        <f aca="true">IF(C287="","",IF(H287&lt;&gt;"",H287-C287,TODAY()-C287))</f>
        <v/>
      </c>
      <c r="J287" s="27" t="str">
        <f aca="false">IF(B287="Early Warning",14,IF(B287="Compensation Event",28,""))</f>
        <v/>
      </c>
      <c r="K287" s="28" t="str">
        <f aca="false">IF(OR(C287="",J287=""),"",IF(AND(I287&gt;J287,OR(L287="Open",L287="")),"Yes","No"))</f>
        <v/>
      </c>
      <c r="L287" s="24"/>
      <c r="M287" s="29"/>
      <c r="N287" s="24"/>
      <c r="O287" s="26"/>
    </row>
    <row r="288" customFormat="false" ht="15" hidden="false" customHeight="false" outlineLevel="0" collapsed="false">
      <c r="A288" s="24"/>
      <c r="B288" s="24"/>
      <c r="C288" s="25"/>
      <c r="D288" s="26"/>
      <c r="E288" s="24"/>
      <c r="F288" s="24"/>
      <c r="G288" s="25"/>
      <c r="H288" s="25"/>
      <c r="I288" s="27" t="str">
        <f aca="true">IF(C288="","",IF(H288&lt;&gt;"",H288-C288,TODAY()-C288))</f>
        <v/>
      </c>
      <c r="J288" s="27" t="str">
        <f aca="false">IF(B288="Early Warning",14,IF(B288="Compensation Event",28,""))</f>
        <v/>
      </c>
      <c r="K288" s="28" t="str">
        <f aca="false">IF(OR(C288="",J288=""),"",IF(AND(I288&gt;J288,OR(L288="Open",L288="")),"Yes","No"))</f>
        <v/>
      </c>
      <c r="L288" s="24"/>
      <c r="M288" s="29"/>
      <c r="N288" s="24"/>
      <c r="O288" s="26"/>
    </row>
    <row r="289" customFormat="false" ht="15" hidden="false" customHeight="false" outlineLevel="0" collapsed="false">
      <c r="A289" s="24"/>
      <c r="B289" s="24"/>
      <c r="C289" s="25"/>
      <c r="D289" s="26"/>
      <c r="E289" s="24"/>
      <c r="F289" s="24"/>
      <c r="G289" s="25"/>
      <c r="H289" s="25"/>
      <c r="I289" s="27" t="str">
        <f aca="true">IF(C289="","",IF(H289&lt;&gt;"",H289-C289,TODAY()-C289))</f>
        <v/>
      </c>
      <c r="J289" s="27" t="str">
        <f aca="false">IF(B289="Early Warning",14,IF(B289="Compensation Event",28,""))</f>
        <v/>
      </c>
      <c r="K289" s="28" t="str">
        <f aca="false">IF(OR(C289="",J289=""),"",IF(AND(I289&gt;J289,OR(L289="Open",L289="")),"Yes","No"))</f>
        <v/>
      </c>
      <c r="L289" s="24"/>
      <c r="M289" s="29"/>
      <c r="N289" s="24"/>
      <c r="O289" s="26"/>
    </row>
    <row r="290" customFormat="false" ht="15" hidden="false" customHeight="false" outlineLevel="0" collapsed="false">
      <c r="A290" s="24"/>
      <c r="B290" s="24"/>
      <c r="C290" s="25"/>
      <c r="D290" s="26"/>
      <c r="E290" s="24"/>
      <c r="F290" s="24"/>
      <c r="G290" s="25"/>
      <c r="H290" s="25"/>
      <c r="I290" s="27" t="str">
        <f aca="true">IF(C290="","",IF(H290&lt;&gt;"",H290-C290,TODAY()-C290))</f>
        <v/>
      </c>
      <c r="J290" s="27" t="str">
        <f aca="false">IF(B290="Early Warning",14,IF(B290="Compensation Event",28,""))</f>
        <v/>
      </c>
      <c r="K290" s="28" t="str">
        <f aca="false">IF(OR(C290="",J290=""),"",IF(AND(I290&gt;J290,OR(L290="Open",L290="")),"Yes","No"))</f>
        <v/>
      </c>
      <c r="L290" s="24"/>
      <c r="M290" s="29"/>
      <c r="N290" s="24"/>
      <c r="O290" s="26"/>
    </row>
    <row r="291" customFormat="false" ht="15" hidden="false" customHeight="false" outlineLevel="0" collapsed="false">
      <c r="A291" s="24"/>
      <c r="B291" s="24"/>
      <c r="C291" s="25"/>
      <c r="D291" s="26"/>
      <c r="E291" s="24"/>
      <c r="F291" s="24"/>
      <c r="G291" s="25"/>
      <c r="H291" s="25"/>
      <c r="I291" s="27" t="str">
        <f aca="true">IF(C291="","",IF(H291&lt;&gt;"",H291-C291,TODAY()-C291))</f>
        <v/>
      </c>
      <c r="J291" s="27" t="str">
        <f aca="false">IF(B291="Early Warning",14,IF(B291="Compensation Event",28,""))</f>
        <v/>
      </c>
      <c r="K291" s="28" t="str">
        <f aca="false">IF(OR(C291="",J291=""),"",IF(AND(I291&gt;J291,OR(L291="Open",L291="")),"Yes","No"))</f>
        <v/>
      </c>
      <c r="L291" s="24"/>
      <c r="M291" s="29"/>
      <c r="N291" s="24"/>
      <c r="O291" s="26"/>
    </row>
    <row r="292" customFormat="false" ht="15" hidden="false" customHeight="false" outlineLevel="0" collapsed="false">
      <c r="A292" s="24"/>
      <c r="B292" s="24"/>
      <c r="C292" s="25"/>
      <c r="D292" s="26"/>
      <c r="E292" s="24"/>
      <c r="F292" s="24"/>
      <c r="G292" s="25"/>
      <c r="H292" s="25"/>
      <c r="I292" s="27" t="str">
        <f aca="true">IF(C292="","",IF(H292&lt;&gt;"",H292-C292,TODAY()-C292))</f>
        <v/>
      </c>
      <c r="J292" s="27" t="str">
        <f aca="false">IF(B292="Early Warning",14,IF(B292="Compensation Event",28,""))</f>
        <v/>
      </c>
      <c r="K292" s="28" t="str">
        <f aca="false">IF(OR(C292="",J292=""),"",IF(AND(I292&gt;J292,OR(L292="Open",L292="")),"Yes","No"))</f>
        <v/>
      </c>
      <c r="L292" s="24"/>
      <c r="M292" s="29"/>
      <c r="N292" s="24"/>
      <c r="O292" s="26"/>
    </row>
    <row r="293" customFormat="false" ht="15" hidden="false" customHeight="false" outlineLevel="0" collapsed="false">
      <c r="A293" s="24"/>
      <c r="B293" s="24"/>
      <c r="C293" s="25"/>
      <c r="D293" s="26"/>
      <c r="E293" s="24"/>
      <c r="F293" s="24"/>
      <c r="G293" s="25"/>
      <c r="H293" s="25"/>
      <c r="I293" s="27" t="str">
        <f aca="true">IF(C293="","",IF(H293&lt;&gt;"",H293-C293,TODAY()-C293))</f>
        <v/>
      </c>
      <c r="J293" s="27" t="str">
        <f aca="false">IF(B293="Early Warning",14,IF(B293="Compensation Event",28,""))</f>
        <v/>
      </c>
      <c r="K293" s="28" t="str">
        <f aca="false">IF(OR(C293="",J293=""),"",IF(AND(I293&gt;J293,OR(L293="Open",L293="")),"Yes","No"))</f>
        <v/>
      </c>
      <c r="L293" s="24"/>
      <c r="M293" s="29"/>
      <c r="N293" s="24"/>
      <c r="O293" s="26"/>
    </row>
    <row r="294" customFormat="false" ht="15" hidden="false" customHeight="false" outlineLevel="0" collapsed="false">
      <c r="A294" s="24"/>
      <c r="B294" s="24"/>
      <c r="C294" s="25"/>
      <c r="D294" s="26"/>
      <c r="E294" s="24"/>
      <c r="F294" s="24"/>
      <c r="G294" s="25"/>
      <c r="H294" s="25"/>
      <c r="I294" s="27" t="str">
        <f aca="true">IF(C294="","",IF(H294&lt;&gt;"",H294-C294,TODAY()-C294))</f>
        <v/>
      </c>
      <c r="J294" s="27" t="str">
        <f aca="false">IF(B294="Early Warning",14,IF(B294="Compensation Event",28,""))</f>
        <v/>
      </c>
      <c r="K294" s="28" t="str">
        <f aca="false">IF(OR(C294="",J294=""),"",IF(AND(I294&gt;J294,OR(L294="Open",L294="")),"Yes","No"))</f>
        <v/>
      </c>
      <c r="L294" s="24"/>
      <c r="M294" s="29"/>
      <c r="N294" s="24"/>
      <c r="O294" s="26"/>
    </row>
    <row r="295" customFormat="false" ht="15" hidden="false" customHeight="false" outlineLevel="0" collapsed="false">
      <c r="A295" s="24"/>
      <c r="B295" s="24"/>
      <c r="C295" s="25"/>
      <c r="D295" s="26"/>
      <c r="E295" s="24"/>
      <c r="F295" s="24"/>
      <c r="G295" s="25"/>
      <c r="H295" s="25"/>
      <c r="I295" s="27" t="str">
        <f aca="true">IF(C295="","",IF(H295&lt;&gt;"",H295-C295,TODAY()-C295))</f>
        <v/>
      </c>
      <c r="J295" s="27" t="str">
        <f aca="false">IF(B295="Early Warning",14,IF(B295="Compensation Event",28,""))</f>
        <v/>
      </c>
      <c r="K295" s="28" t="str">
        <f aca="false">IF(OR(C295="",J295=""),"",IF(AND(I295&gt;J295,OR(L295="Open",L295="")),"Yes","No"))</f>
        <v/>
      </c>
      <c r="L295" s="24"/>
      <c r="M295" s="29"/>
      <c r="N295" s="24"/>
      <c r="O295" s="26"/>
    </row>
    <row r="296" customFormat="false" ht="15" hidden="false" customHeight="false" outlineLevel="0" collapsed="false">
      <c r="A296" s="24"/>
      <c r="B296" s="24"/>
      <c r="C296" s="25"/>
      <c r="D296" s="26"/>
      <c r="E296" s="24"/>
      <c r="F296" s="24"/>
      <c r="G296" s="25"/>
      <c r="H296" s="25"/>
      <c r="I296" s="27" t="str">
        <f aca="true">IF(C296="","",IF(H296&lt;&gt;"",H296-C296,TODAY()-C296))</f>
        <v/>
      </c>
      <c r="J296" s="27" t="str">
        <f aca="false">IF(B296="Early Warning",14,IF(B296="Compensation Event",28,""))</f>
        <v/>
      </c>
      <c r="K296" s="28" t="str">
        <f aca="false">IF(OR(C296="",J296=""),"",IF(AND(I296&gt;J296,OR(L296="Open",L296="")),"Yes","No"))</f>
        <v/>
      </c>
      <c r="L296" s="24"/>
      <c r="M296" s="29"/>
      <c r="N296" s="24"/>
      <c r="O296" s="26"/>
    </row>
    <row r="297" customFormat="false" ht="15" hidden="false" customHeight="false" outlineLevel="0" collapsed="false">
      <c r="A297" s="24"/>
      <c r="B297" s="24"/>
      <c r="C297" s="25"/>
      <c r="D297" s="26"/>
      <c r="E297" s="24"/>
      <c r="F297" s="24"/>
      <c r="G297" s="25"/>
      <c r="H297" s="25"/>
      <c r="I297" s="27" t="str">
        <f aca="true">IF(C297="","",IF(H297&lt;&gt;"",H297-C297,TODAY()-C297))</f>
        <v/>
      </c>
      <c r="J297" s="27" t="str">
        <f aca="false">IF(B297="Early Warning",14,IF(B297="Compensation Event",28,""))</f>
        <v/>
      </c>
      <c r="K297" s="28" t="str">
        <f aca="false">IF(OR(C297="",J297=""),"",IF(AND(I297&gt;J297,OR(L297="Open",L297="")),"Yes","No"))</f>
        <v/>
      </c>
      <c r="L297" s="24"/>
      <c r="M297" s="29"/>
      <c r="N297" s="24"/>
      <c r="O297" s="26"/>
    </row>
    <row r="298" customFormat="false" ht="15" hidden="false" customHeight="false" outlineLevel="0" collapsed="false">
      <c r="A298" s="24"/>
      <c r="B298" s="24"/>
      <c r="C298" s="25"/>
      <c r="D298" s="26"/>
      <c r="E298" s="24"/>
      <c r="F298" s="24"/>
      <c r="G298" s="25"/>
      <c r="H298" s="25"/>
      <c r="I298" s="27" t="str">
        <f aca="true">IF(C298="","",IF(H298&lt;&gt;"",H298-C298,TODAY()-C298))</f>
        <v/>
      </c>
      <c r="J298" s="27" t="str">
        <f aca="false">IF(B298="Early Warning",14,IF(B298="Compensation Event",28,""))</f>
        <v/>
      </c>
      <c r="K298" s="28" t="str">
        <f aca="false">IF(OR(C298="",J298=""),"",IF(AND(I298&gt;J298,OR(L298="Open",L298="")),"Yes","No"))</f>
        <v/>
      </c>
      <c r="L298" s="24"/>
      <c r="M298" s="29"/>
      <c r="N298" s="24"/>
      <c r="O298" s="26"/>
    </row>
    <row r="299" customFormat="false" ht="15" hidden="false" customHeight="false" outlineLevel="0" collapsed="false">
      <c r="A299" s="24"/>
      <c r="B299" s="24"/>
      <c r="C299" s="25"/>
      <c r="D299" s="26"/>
      <c r="E299" s="24"/>
      <c r="F299" s="24"/>
      <c r="G299" s="25"/>
      <c r="H299" s="25"/>
      <c r="I299" s="27" t="str">
        <f aca="true">IF(C299="","",IF(H299&lt;&gt;"",H299-C299,TODAY()-C299))</f>
        <v/>
      </c>
      <c r="J299" s="27" t="str">
        <f aca="false">IF(B299="Early Warning",14,IF(B299="Compensation Event",28,""))</f>
        <v/>
      </c>
      <c r="K299" s="28" t="str">
        <f aca="false">IF(OR(C299="",J299=""),"",IF(AND(I299&gt;J299,OR(L299="Open",L299="")),"Yes","No"))</f>
        <v/>
      </c>
      <c r="L299" s="24"/>
      <c r="M299" s="29"/>
      <c r="N299" s="24"/>
      <c r="O299" s="26"/>
    </row>
    <row r="300" customFormat="false" ht="15" hidden="false" customHeight="false" outlineLevel="0" collapsed="false">
      <c r="A300" s="24"/>
      <c r="B300" s="24"/>
      <c r="C300" s="25"/>
      <c r="D300" s="26"/>
      <c r="E300" s="24"/>
      <c r="F300" s="24"/>
      <c r="G300" s="25"/>
      <c r="H300" s="25"/>
      <c r="I300" s="27" t="str">
        <f aca="true">IF(C300="","",IF(H300&lt;&gt;"",H300-C300,TODAY()-C300))</f>
        <v/>
      </c>
      <c r="J300" s="27" t="str">
        <f aca="false">IF(B300="Early Warning",14,IF(B300="Compensation Event",28,""))</f>
        <v/>
      </c>
      <c r="K300" s="28" t="str">
        <f aca="false">IF(OR(C300="",J300=""),"",IF(AND(I300&gt;J300,OR(L300="Open",L300="")),"Yes","No"))</f>
        <v/>
      </c>
      <c r="L300" s="24"/>
      <c r="M300" s="29"/>
      <c r="N300" s="24"/>
      <c r="O300" s="26"/>
    </row>
  </sheetData>
  <autoFilter ref="A1:O1"/>
  <conditionalFormatting sqref="K2:K300">
    <cfRule type="cellIs" priority="2" operator="equal" aboveAverage="0" equalAverage="0" bottom="0" percent="0" rank="0" text="" dxfId="1">
      <formula>"Yes"</formula>
    </cfRule>
    <cfRule type="cellIs" priority="3" operator="equal" aboveAverage="0" equalAverage="0" bottom="0" percent="0" rank="0" text="" dxfId="0">
      <formula>"No"</formula>
    </cfRule>
  </conditionalFormatting>
  <conditionalFormatting sqref="L2:L300">
    <cfRule type="cellIs" priority="4" operator="equal" aboveAverage="0" equalAverage="0" bottom="0" percent="0" rank="0" text="" dxfId="0">
      <formula>"Agreed"</formula>
    </cfRule>
    <cfRule type="cellIs" priority="5" operator="equal" aboveAverage="0" equalAverage="0" bottom="0" percent="0" rank="0" text="" dxfId="0">
      <formula>"Withdrawn"</formula>
    </cfRule>
    <cfRule type="cellIs" priority="6" operator="equal" aboveAverage="0" equalAverage="0" bottom="0" percent="0" rank="0" text="" dxfId="0">
      <formula>"Responded"</formula>
    </cfRule>
    <cfRule type="cellIs" priority="7" operator="equal" aboveAverage="0" equalAverage="0" bottom="0" percent="0" rank="0" text="" dxfId="2">
      <formula>"Under Assessment"</formula>
    </cfRule>
    <cfRule type="cellIs" priority="8" operator="equal" aboveAverage="0" equalAverage="0" bottom="0" percent="0" rank="0" text="" dxfId="1">
      <formula>"Open"</formula>
    </cfRule>
    <cfRule type="cellIs" priority="9" operator="equal" aboveAverage="0" equalAverage="0" bottom="0" percent="0" rank="0" text="" dxfId="1">
      <formula>"Rejected"</formula>
    </cfRule>
  </conditionalFormatting>
  <conditionalFormatting sqref="B2:B300">
    <cfRule type="cellIs" priority="10" operator="equal" aboveAverage="0" equalAverage="0" bottom="0" percent="0" rank="0" text="" dxfId="2">
      <formula>"Early Warning"</formula>
    </cfRule>
    <cfRule type="cellIs" priority="11" operator="equal" aboveAverage="0" equalAverage="0" bottom="0" percent="0" rank="0" text="" dxfId="1">
      <formula>"Compensation Event"</formula>
    </cfRule>
  </conditionalFormatting>
  <dataValidations count="3">
    <dataValidation allowBlank="true" errorStyle="stop" operator="between" showDropDown="false" showErrorMessage="false" showInputMessage="false" sqref="B2:B300" type="list">
      <formula1>"Early Warning,Compensation Event"</formula1>
      <formula2>0</formula2>
    </dataValidation>
    <dataValidation allowBlank="true" errorStyle="stop" operator="between" showDropDown="false" showErrorMessage="false" showInputMessage="false" sqref="L2:L300" type="list">
      <formula1>"Open,Responded,Under Assessment,Agreed,Rejected,Withdrawn"</formula1>
      <formula2>0</formula2>
    </dataValidation>
    <dataValidation allowBlank="true" errorStyle="stop" operator="between" showDropDown="false" showErrorMessage="false" showInputMessage="false" sqref="C2:C300 G2:H30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&amp;CEW CE Log</oddHeader>
    <oddFooter>&amp;Rebrora.com</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30" t="s">
        <v>117</v>
      </c>
    </row>
    <row r="2" customFormat="false" ht="15" hidden="false" customHeight="false" outlineLevel="0" collapsed="false">
      <c r="A2" s="31"/>
    </row>
    <row r="3" customFormat="false" ht="15" hidden="false" customHeight="false" outlineLevel="0" collapsed="false">
      <c r="A3" s="31" t="s">
        <v>118</v>
      </c>
    </row>
    <row r="4" customFormat="false" ht="15" hidden="false" customHeight="false" outlineLevel="0" collapsed="false">
      <c r="A4" s="31"/>
    </row>
    <row r="5" customFormat="false" ht="15" hidden="false" customHeight="false" outlineLevel="0" collapsed="false">
      <c r="A5" s="32" t="s">
        <v>119</v>
      </c>
    </row>
    <row r="6" customFormat="false" ht="23.85" hidden="false" customHeight="false" outlineLevel="0" collapsed="false">
      <c r="A6" s="32" t="s">
        <v>120</v>
      </c>
    </row>
    <row r="7" customFormat="false" ht="15" hidden="false" customHeight="false" outlineLevel="0" collapsed="false">
      <c r="A7" s="32" t="s">
        <v>121</v>
      </c>
    </row>
    <row r="8" customFormat="false" ht="15" hidden="false" customHeight="false" outlineLevel="0" collapsed="false">
      <c r="A8" s="32" t="s">
        <v>122</v>
      </c>
    </row>
    <row r="9" customFormat="false" ht="23.85" hidden="false" customHeight="false" outlineLevel="0" collapsed="false">
      <c r="A9" s="32" t="s">
        <v>123</v>
      </c>
    </row>
    <row r="10" customFormat="false" ht="15" hidden="false" customHeight="false" outlineLevel="0" collapsed="false">
      <c r="A10" s="32" t="s">
        <v>124</v>
      </c>
    </row>
    <row r="11" customFormat="false" ht="15" hidden="false" customHeight="false" outlineLevel="0" collapsed="false">
      <c r="A11" s="31"/>
    </row>
    <row r="12" customFormat="false" ht="15" hidden="false" customHeight="false" outlineLevel="0" collapsed="false">
      <c r="A12" s="31"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NEC</cp:category>
  <dcterms:created xsi:type="dcterms:W3CDTF">2026-03-24T16:38:10Z</dcterms:created>
  <dc:creator>Ebrora Ltd</dc:creator>
  <dc:description>Monitor NEC early warnings and compensation events with KPI tiles, aging bucket analysis, response SLA tracking, overdue alerts, and status breakdown dashboard.
Free professional construction management template from Ebrora Ltd. Visit ebrora.com for our full range of tools and templates.</dc:description>
  <cp:keywords>Ebrora construction NEC early warning compensation event aging SLA commercial dashboard</cp:keywords>
  <dc:language>en-US</dc:language>
  <cp:lastModifiedBy>Ebrora Ltd</cp:lastModifiedBy>
  <dcterms:modified xsi:type="dcterms:W3CDTF">2026-03-24T16:38:10Z</dcterms:modified>
  <cp:revision>0</cp:revision>
  <dc:subject>Monitor NEC early warnings and compensation events with response SLAs, aging buckets, overdue alerts, and status breakdown.</dc:subject>
  <dc:title>Early Warning / CE Aging Dashboard</dc:title>
</cp:coreProperties>
</file>

<file path=docProps/custom.xml><?xml version="1.0" encoding="utf-8"?>
<Properties xmlns="http://schemas.openxmlformats.org/officeDocument/2006/custom-properties" xmlns:vt="http://schemas.openxmlformats.org/officeDocument/2006/docPropsVTypes"/>
</file>