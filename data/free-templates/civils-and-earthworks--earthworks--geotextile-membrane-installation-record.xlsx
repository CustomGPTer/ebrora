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Installation Record"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'Installation Record'!$A$1:$O$48</definedName>
    <definedName function="false" hidden="true" localSheetId="2" name="_xlnm._FilterDatabase" vbProcedure="false">'Installation Record'!$A$7:$S$48</definedName>
    <definedName function="false" hidden="false" name="DataTable" vbProcedure="false">'Installation Record'!$A$7:$S$48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<sst xmlns="http://schemas.openxmlformats.org/spreadsheetml/2006/main" count="116" uniqueCount="100">
  <si>
    <t xml:space="preserve">EBRORA</t>
  </si>
  <si>
    <t xml:space="preserve">ebrora.com</t>
  </si>
  <si>
    <t xml:space="preserve">Geotextile / Membrane
Installation Record</t>
  </si>
  <si>
    <t xml:space="preserve">Record geotextile and membrane installations with panel tracking, overlap verification, seam testing, and coverage calculations.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</si>
  <si>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</si>
  <si>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</si>
  <si>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</si>
  <si>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</si>
  <si>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'Installation Record' sheet. The summary shows total coverage area and pass/fail rates.</t>
  </si>
  <si>
    <t xml:space="preserve">2. Enter each panel/roll with its reference, date installed, membrane type, and location/zone.</t>
  </si>
  <si>
    <t xml:space="preserve">3. Record the panel dimensions (length × width) — the area auto-calculates in m².</t>
  </si>
  <si>
    <t xml:space="preserve">4. Check and record overlap widths. The template flags overlaps below the minimum specified (typically 150mm).</t>
  </si>
  <si>
    <t xml:space="preserve">5. For welded membranes, record the seam test result (Pass/Fail) and test method (air lance, vacuum box, etc.).</t>
  </si>
  <si>
    <t xml:space="preserve">6. Overall Result auto-calculates: PASS (overlap OK + seam OK), FAIL (either fails), or N/A (no seam test needed).</t>
  </si>
  <si>
    <t xml:space="preserve">7. Expand optional columns [+] for roll/batch number, MTC reference, weather conditions, and installer details.</t>
  </si>
  <si>
    <t xml:space="preserve">8. Running Total Area tracks cumulative m² installed across all panels.</t>
  </si>
  <si>
    <t xml:space="preserve">Colour Key</t>
  </si>
  <si>
    <t xml:space="preserve">Light teal</t>
  </si>
  <si>
    <t xml:space="preserve">Editable cells</t>
  </si>
  <si>
    <t xml:space="preserve">Dark navy</t>
  </si>
  <si>
    <t xml:space="preserve">Headers</t>
  </si>
  <si>
    <t xml:space="preserve">Green</t>
  </si>
  <si>
    <t xml:space="preserve">PASS — overlap and seam satisfactory</t>
  </si>
  <si>
    <t xml:space="preserve">Amber</t>
  </si>
  <si>
    <t xml:space="preserve">Overlap marginal (100–149mm)</t>
  </si>
  <si>
    <t xml:space="preserve">Red</t>
  </si>
  <si>
    <t xml:space="preserve">FAIL — overlap below minimum or seam failed</t>
  </si>
  <si>
    <t xml:space="preserve">Tips</t>
  </si>
  <si>
    <t xml:space="preserve">• Never install geomembranes in wet or windy conditions — moisture prevents proper welding and wind lifts loose panels.</t>
  </si>
  <si>
    <t xml:space="preserve">• Minimum overlap for separation geotextiles is typically 300mm; for HDPE liners it's 150mm welded — always check your spec.</t>
  </si>
  <si>
    <t xml:space="preserve">• Photograph each panel layout before covering — this provides evidence of overlap and seam positions for the QA file.</t>
  </si>
  <si>
    <t xml:space="preserve">GEOTEXTILE / MEMBRANE INSTALLATION RECORD</t>
  </si>
  <si>
    <t xml:space="preserve">Total Area (m²)</t>
  </si>
  <si>
    <t xml:space="preserve">Panels Installed</t>
  </si>
  <si>
    <t xml:space="preserve">Pass</t>
  </si>
  <si>
    <t xml:space="preserve">Fail</t>
  </si>
  <si>
    <t xml:space="preserve">Pass Rate</t>
  </si>
  <si>
    <t xml:space="preserve">Seams Tested</t>
  </si>
  <si>
    <t xml:space="preserve">▸ Optional Fields — Click [+] to expand</t>
  </si>
  <si>
    <t xml:space="preserve">Panel
Ref</t>
  </si>
  <si>
    <t xml:space="preserve">Date</t>
  </si>
  <si>
    <t xml:space="preserve">Membrane Type</t>
  </si>
  <si>
    <t xml:space="preserve">Location / Zone</t>
  </si>
  <si>
    <t xml:space="preserve">Length
(m)</t>
  </si>
  <si>
    <t xml:space="preserve">Width
(m)</t>
  </si>
  <si>
    <t xml:space="preserve">Area
(m²)</t>
  </si>
  <si>
    <t xml:space="preserve">Min Overlap
Spec (mm)</t>
  </si>
  <si>
    <t xml:space="preserve">Actual
Overlap (mm)</t>
  </si>
  <si>
    <t xml:space="preserve">Overlap
OK?</t>
  </si>
  <si>
    <t xml:space="preserve">Seam Test
Method</t>
  </si>
  <si>
    <t xml:space="preserve">Seam
Result</t>
  </si>
  <si>
    <t xml:space="preserve">Overall
Result</t>
  </si>
  <si>
    <t xml:space="preserve">Running
Total (m²)</t>
  </si>
  <si>
    <t xml:space="preserve">Notes</t>
  </si>
  <si>
    <t xml:space="preserve">Roll /
Batch No</t>
  </si>
  <si>
    <t xml:space="preserve">MTC
Ref</t>
  </si>
  <si>
    <t xml:space="preserve">Weather</t>
  </si>
  <si>
    <t xml:space="preserve">Installer</t>
  </si>
  <si>
    <t xml:space="preserve">GT-001</t>
  </si>
  <si>
    <t xml:space="preserve">Separation Geotextile</t>
  </si>
  <si>
    <t xml:space="preserve">Attenuation Basin — Base</t>
  </si>
  <si>
    <t xml:space="preserve">N/A</t>
  </si>
  <si>
    <t xml:space="preserve">Terram 1000 — separation only</t>
  </si>
  <si>
    <t xml:space="preserve">R-4421</t>
  </si>
  <si>
    <t xml:space="preserve">MTC-GT-01</t>
  </si>
  <si>
    <t xml:space="preserve">Dry, calm</t>
  </si>
  <si>
    <t xml:space="preserve">ABC Civils</t>
  </si>
  <si>
    <t xml:space="preserve">GT-002</t>
  </si>
  <si>
    <t xml:space="preserve">HDPE Liner</t>
  </si>
  <si>
    <t xml:space="preserve">Attenuation Basin — Base Panel 1</t>
  </si>
  <si>
    <t xml:space="preserve">Air Lance</t>
  </si>
  <si>
    <t xml:space="preserve">1.5mm HDPE — factory welded seam tested</t>
  </si>
  <si>
    <t xml:space="preserve">R-4422</t>
  </si>
  <si>
    <t xml:space="preserve">MTC-HD-01</t>
  </si>
  <si>
    <t xml:space="preserve">Specialist Linings Ltd</t>
  </si>
  <si>
    <t xml:space="preserve">GT-003</t>
  </si>
  <si>
    <t xml:space="preserve">Attenuation Basin — Base Panel 2</t>
  </si>
  <si>
    <t xml:space="preserve">R-4423</t>
  </si>
  <si>
    <t xml:space="preserve">GT-004</t>
  </si>
  <si>
    <t xml:space="preserve">Attenuation Basin — Side Panel 1</t>
  </si>
  <si>
    <t xml:space="preserve">Vacuum Box</t>
  </si>
  <si>
    <t xml:space="preserve">Side slope — anchored at crest</t>
  </si>
  <si>
    <t xml:space="preserve">R-4424</t>
  </si>
  <si>
    <t xml:space="preserve">Light breeze</t>
  </si>
  <si>
    <t xml:space="preserve">GT-005</t>
  </si>
  <si>
    <t xml:space="preserve">Filter Geotextile</t>
  </si>
  <si>
    <t xml:space="preserve">French Drain — Zone B</t>
  </si>
  <si>
    <t xml:space="preserve">Overlap below spec — re-lay required</t>
  </si>
  <si>
    <t xml:space="preserve">R-4425</t>
  </si>
  <si>
    <t xml:space="preserve">MTC-GT-02</t>
  </si>
  <si>
    <t xml:space="preserve">Dry</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</si>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</sst>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0"/>
    <numFmt numFmtId="166" formatCode="General"/>
    <numFmt numFmtId="167" formatCode="0%"/>
    <numFmt numFmtId="168" formatCode="dd/mm/yyyy"/>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006100"/>
      <name val="Calibri"/>
      <family val="0"/>
      <charset val="1"/>
    </font>
    <font>
      <b val="true"/>
      <sz val="16"/>
      <color rgb="FF9C0006"/>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6" fontId="17" fillId="0" borderId="0" xfId="0" applyFont="true" applyBorder="false" applyAlignment="true" applyProtection="false">
      <alignment horizontal="center" vertical="center" textRotation="0" wrapText="true" indent="0" shrinkToFit="false"/>
      <protection locked="true" hidden="false"/>
    </xf>
    <xf numFmtId="166" fontId="18" fillId="0" borderId="0" xfId="0" applyFont="true" applyBorder="false" applyAlignment="true" applyProtection="false">
      <alignment horizontal="center" vertical="center" textRotation="0" wrapText="true" indent="0" shrinkToFit="false"/>
      <protection locked="true" hidden="false"/>
    </xf>
    <xf numFmtId="167" fontId="16" fillId="0" borderId="0" xfId="0" applyFont="true" applyBorder="fals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5" fontId="12"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6500"/>
          <bgColor rgb="FF000000"/>
        </patternFill>
      </fill>
    </dxf>
    <dxf>
      <font>
        <name val="Calibri"/>
        <charset val="1"/>
        <family val="0"/>
        <b val="1"/>
        <color rgb="FF006100"/>
      </font>
      <fill>
        <patternFill>
          <bgColor rgb="FFC6EFCE"/>
        </patternFill>
      </fill>
    </dxf>
    <dxf>
      <font>
        <name val="Calibri"/>
        <charset val="1"/>
        <family val="0"/>
        <b val="1"/>
        <color rgb="FF9C0006"/>
      </font>
      <fill>
        <patternFill>
          <bgColor rgb="FFFFC7CE"/>
        </patternFill>
      </fill>
    </dxf>
    <dxf>
      <font>
        <name val="Calibri"/>
        <charset val="1"/>
        <family val="0"/>
        <b val="1"/>
        <color rgb="FF9C6500"/>
      </font>
      <fill>
        <patternFill>
          <bgColor rgb="FFFFEB9C"/>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2"/>
    <col collapsed="false" customWidth="true" hidden="false" outlineLevel="0" max="3" min="3" style="0" width="20"/>
    <col collapsed="false" customWidth="true" hidden="false" outlineLevel="0" max="4" min="4" style="0" width="22"/>
    <col collapsed="false" customWidth="true" hidden="false" outlineLevel="0" max="7" min="5" style="0" width="10"/>
    <col collapsed="false" customWidth="true" hidden="false" outlineLevel="0" max="9" min="8" style="0" width="13"/>
    <col collapsed="false" customWidth="true" hidden="false" outlineLevel="0" max="10" min="10" style="0" width="11"/>
    <col collapsed="false" customWidth="true" hidden="false" outlineLevel="0" max="11" min="11" style="0" width="14"/>
    <col collapsed="false" customWidth="true" hidden="false" outlineLevel="0" max="12" min="12" style="0" width="11"/>
    <col collapsed="false" customWidth="true" hidden="false" outlineLevel="0" max="14" min="13" style="0" width="12"/>
    <col collapsed="false" customWidth="true" hidden="false" outlineLevel="0" max="15" min="15" style="0" width="28"/>
    <col collapsed="false" customWidth="true" hidden="true" outlineLevel="1" max="19" min="16" style="0" width="14"/>
  </cols>
  <sheetData>
    <row r="1" customFormat="false" ht="18.65" hidden="false" customHeight="true" outlineLevel="0" collapsed="false">
      <c r="A1" s="18" t="s">
        <v>31</v>
      </c>
      <c r="B1" s="18"/>
      <c r="C1" s="18"/>
      <c r="D1" s="18"/>
      <c r="E1" s="18"/>
      <c r="F1" s="18"/>
      <c r="G1" s="18"/>
      <c r="H1" s="18"/>
      <c r="I1" s="18"/>
      <c r="J1" s="18"/>
      <c r="K1" s="18"/>
      <c r="L1" s="18"/>
      <c r="M1" s="18"/>
      <c r="N1" s="18"/>
      <c r="O1" s="18"/>
      <c r="P1" s="19"/>
      <c r="Q1" s="19"/>
      <c r="R1" s="19"/>
      <c r="S1" s="19"/>
    </row>
    <row r="2" customFormat="false" ht="6" hidden="false" customHeight="true" outlineLevel="0" collapsed="false"/>
    <row r="3" customFormat="false" ht="23.8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SUM(G8:G48)</f>
        <v>447.5</v>
      </c>
      <c r="C4" s="22" t="n">
        <f aca="false">COUNTA(A8:A48)</f>
        <v>5</v>
      </c>
      <c r="E4" s="23" t="n">
        <f aca="false">COUNTIF(M8:M48,"PASS")</f>
        <v>4</v>
      </c>
      <c r="G4" s="24" t="n">
        <f aca="false">COUNTIF(M8:M48,"FAIL")</f>
        <v>0</v>
      </c>
      <c r="I4" s="25" t="n">
        <f aca="false">IFERROR(E4/(E4+G4),0)</f>
        <v>1</v>
      </c>
      <c r="K4" s="22" t="n">
        <f aca="false">COUNTA(L8:L48)</f>
        <v>5</v>
      </c>
    </row>
    <row r="5" customFormat="false" ht="15" hidden="false" customHeight="false" outlineLevel="0" collapsed="false">
      <c r="A5" s="26"/>
      <c r="B5" s="26"/>
      <c r="C5" s="26"/>
      <c r="D5" s="26"/>
      <c r="E5" s="26"/>
      <c r="F5" s="26"/>
      <c r="G5" s="26"/>
      <c r="H5" s="26"/>
      <c r="I5" s="26"/>
      <c r="J5" s="26"/>
      <c r="K5" s="26"/>
      <c r="L5" s="26"/>
      <c r="M5" s="26"/>
      <c r="N5" s="26"/>
      <c r="O5" s="26"/>
      <c r="P5" s="26"/>
      <c r="Q5" s="26"/>
      <c r="R5" s="26"/>
      <c r="S5" s="26"/>
    </row>
    <row r="6" customFormat="false" ht="3.75" hidden="false" customHeight="true" outlineLevel="0" collapsed="false">
      <c r="P6" s="27" t="s">
        <v>38</v>
      </c>
      <c r="Q6" s="27"/>
      <c r="R6" s="27"/>
      <c r="S6" s="27"/>
    </row>
    <row r="7" customFormat="false" ht="37.5" hidden="false" customHeight="true" outlineLevel="0" collapsed="false">
      <c r="A7" s="28" t="s">
        <v>39</v>
      </c>
      <c r="B7" s="28" t="s">
        <v>40</v>
      </c>
      <c r="C7" s="28" t="s">
        <v>41</v>
      </c>
      <c r="D7" s="28" t="s">
        <v>42</v>
      </c>
      <c r="E7" s="28" t="s">
        <v>43</v>
      </c>
      <c r="F7" s="28" t="s">
        <v>44</v>
      </c>
      <c r="G7" s="28" t="s">
        <v>45</v>
      </c>
      <c r="H7" s="28" t="s">
        <v>46</v>
      </c>
      <c r="I7" s="28" t="s">
        <v>47</v>
      </c>
      <c r="J7" s="28" t="s">
        <v>48</v>
      </c>
      <c r="K7" s="28" t="s">
        <v>49</v>
      </c>
      <c r="L7" s="28" t="s">
        <v>50</v>
      </c>
      <c r="M7" s="28" t="s">
        <v>51</v>
      </c>
      <c r="N7" s="28" t="s">
        <v>52</v>
      </c>
      <c r="O7" s="28" t="s">
        <v>53</v>
      </c>
      <c r="P7" s="28" t="s">
        <v>54</v>
      </c>
      <c r="Q7" s="28" t="s">
        <v>55</v>
      </c>
      <c r="R7" s="28" t="s">
        <v>56</v>
      </c>
      <c r="S7" s="28" t="s">
        <v>57</v>
      </c>
    </row>
    <row r="8" customFormat="false" ht="15" hidden="false" customHeight="false" outlineLevel="0" collapsed="false">
      <c r="A8" s="29" t="s">
        <v>58</v>
      </c>
      <c r="B8" s="30" t="n">
        <v>46063</v>
      </c>
      <c r="C8" s="31" t="s">
        <v>59</v>
      </c>
      <c r="D8" s="31" t="s">
        <v>60</v>
      </c>
      <c r="E8" s="29" t="n">
        <v>25</v>
      </c>
      <c r="F8" s="29" t="n">
        <v>4.5</v>
      </c>
      <c r="G8" s="32" t="n">
        <f aca="false">IFERROR(E8*F8,"")</f>
        <v>112.5</v>
      </c>
      <c r="H8" s="29" t="n">
        <v>300</v>
      </c>
      <c r="I8" s="29" t="n">
        <v>350</v>
      </c>
      <c r="J8" s="33" t="str">
        <f aca="false">IF(OR(H8="",I8=""),"",IF(I8&gt;=H8,"OK",IF(I8&gt;=H8*0.67,"MARGINAL","FAIL")))</f>
        <v>OK</v>
      </c>
      <c r="K8" s="29" t="s">
        <v>61</v>
      </c>
      <c r="L8" s="29" t="s">
        <v>61</v>
      </c>
      <c r="M8" s="33" t="str">
        <f aca="false">IF(A8="","",IF(OR(J8="FAIL",L8="Fail"),"FAIL",IF(AND(J8="OK",OR(L8="Pass",L8="N/A",L8="")),"PASS","PENDING")))</f>
        <v>PASS</v>
      </c>
      <c r="N8" s="32" t="n">
        <f aca="false">IFERROR(G8,"")</f>
        <v>112.5</v>
      </c>
      <c r="O8" s="31" t="s">
        <v>62</v>
      </c>
      <c r="P8" s="29" t="s">
        <v>63</v>
      </c>
      <c r="Q8" s="29" t="s">
        <v>64</v>
      </c>
      <c r="R8" s="29" t="s">
        <v>65</v>
      </c>
      <c r="S8" s="29" t="s">
        <v>66</v>
      </c>
    </row>
    <row r="9" customFormat="false" ht="23.85" hidden="false" customHeight="false" outlineLevel="0" collapsed="false">
      <c r="A9" s="29" t="s">
        <v>67</v>
      </c>
      <c r="B9" s="30" t="n">
        <v>46063</v>
      </c>
      <c r="C9" s="31" t="s">
        <v>68</v>
      </c>
      <c r="D9" s="31" t="s">
        <v>69</v>
      </c>
      <c r="E9" s="29" t="n">
        <v>20</v>
      </c>
      <c r="F9" s="29" t="n">
        <v>5</v>
      </c>
      <c r="G9" s="32" t="n">
        <f aca="false">IFERROR(E9*F9,"")</f>
        <v>100</v>
      </c>
      <c r="H9" s="29" t="n">
        <v>150</v>
      </c>
      <c r="I9" s="29" t="n">
        <v>160</v>
      </c>
      <c r="J9" s="33" t="str">
        <f aca="false">IF(OR(H9="",I9=""),"",IF(I9&gt;=H9,"OK",IF(I9&gt;=H9*0.67,"MARGINAL","FAIL")))</f>
        <v>OK</v>
      </c>
      <c r="K9" s="29" t="s">
        <v>70</v>
      </c>
      <c r="L9" s="29" t="s">
        <v>34</v>
      </c>
      <c r="M9" s="33" t="str">
        <f aca="false">IF(A9="","",IF(OR(J9="FAIL",L9="Fail"),"FAIL",IF(AND(J9="OK",OR(L9="Pass",L9="N/A",L9="")),"PASS","PENDING")))</f>
        <v>PASS</v>
      </c>
      <c r="N9" s="32" t="n">
        <f aca="false">IFERROR(IF(A9="","",N8+G9),"")</f>
        <v>212.5</v>
      </c>
      <c r="O9" s="31" t="s">
        <v>71</v>
      </c>
      <c r="P9" s="29" t="s">
        <v>72</v>
      </c>
      <c r="Q9" s="29" t="s">
        <v>73</v>
      </c>
      <c r="R9" s="29" t="s">
        <v>65</v>
      </c>
      <c r="S9" s="29" t="s">
        <v>74</v>
      </c>
    </row>
    <row r="10" customFormat="false" ht="23.85" hidden="false" customHeight="false" outlineLevel="0" collapsed="false">
      <c r="A10" s="29" t="s">
        <v>75</v>
      </c>
      <c r="B10" s="30" t="n">
        <v>46064</v>
      </c>
      <c r="C10" s="31" t="s">
        <v>68</v>
      </c>
      <c r="D10" s="31" t="s">
        <v>76</v>
      </c>
      <c r="E10" s="29" t="n">
        <v>20</v>
      </c>
      <c r="F10" s="29" t="n">
        <v>5</v>
      </c>
      <c r="G10" s="32" t="n">
        <f aca="false">IFERROR(E10*F10,"")</f>
        <v>100</v>
      </c>
      <c r="H10" s="29" t="n">
        <v>150</v>
      </c>
      <c r="I10" s="29" t="n">
        <v>155</v>
      </c>
      <c r="J10" s="33" t="str">
        <f aca="false">IF(OR(H10="",I10=""),"",IF(I10&gt;=H10,"OK",IF(I10&gt;=H10*0.67,"MARGINAL","FAIL")))</f>
        <v>OK</v>
      </c>
      <c r="K10" s="29" t="s">
        <v>70</v>
      </c>
      <c r="L10" s="29" t="s">
        <v>34</v>
      </c>
      <c r="M10" s="33" t="str">
        <f aca="false">IF(A10="","",IF(OR(J10="FAIL",L10="Fail"),"FAIL",IF(AND(J10="OK",OR(L10="Pass",L10="N/A",L10="")),"PASS","PENDING")))</f>
        <v>PASS</v>
      </c>
      <c r="N10" s="32" t="n">
        <f aca="false">IFERROR(IF(A10="","",N9+G10),"")</f>
        <v>312.5</v>
      </c>
      <c r="O10" s="31"/>
      <c r="P10" s="29" t="s">
        <v>77</v>
      </c>
      <c r="Q10" s="29" t="s">
        <v>73</v>
      </c>
      <c r="R10" s="29" t="s">
        <v>65</v>
      </c>
      <c r="S10" s="29" t="s">
        <v>74</v>
      </c>
    </row>
    <row r="11" customFormat="false" ht="23.85" hidden="false" customHeight="false" outlineLevel="0" collapsed="false">
      <c r="A11" s="29" t="s">
        <v>78</v>
      </c>
      <c r="B11" s="30" t="n">
        <v>46064</v>
      </c>
      <c r="C11" s="31" t="s">
        <v>68</v>
      </c>
      <c r="D11" s="31" t="s">
        <v>79</v>
      </c>
      <c r="E11" s="29" t="n">
        <v>15</v>
      </c>
      <c r="F11" s="29" t="n">
        <v>5</v>
      </c>
      <c r="G11" s="32" t="n">
        <f aca="false">IFERROR(E11*F11,"")</f>
        <v>75</v>
      </c>
      <c r="H11" s="29" t="n">
        <v>150</v>
      </c>
      <c r="I11" s="29" t="n">
        <v>180</v>
      </c>
      <c r="J11" s="33" t="str">
        <f aca="false">IF(OR(H11="",I11=""),"",IF(I11&gt;=H11,"OK",IF(I11&gt;=H11*0.67,"MARGINAL","FAIL")))</f>
        <v>OK</v>
      </c>
      <c r="K11" s="29" t="s">
        <v>80</v>
      </c>
      <c r="L11" s="29" t="s">
        <v>34</v>
      </c>
      <c r="M11" s="33" t="str">
        <f aca="false">IF(A11="","",IF(OR(J11="FAIL",L11="Fail"),"FAIL",IF(AND(J11="OK",OR(L11="Pass",L11="N/A",L11="")),"PASS","PENDING")))</f>
        <v>PASS</v>
      </c>
      <c r="N11" s="32" t="n">
        <f aca="false">IFERROR(IF(A11="","",N10+G11),"")</f>
        <v>387.5</v>
      </c>
      <c r="O11" s="31" t="s">
        <v>81</v>
      </c>
      <c r="P11" s="29" t="s">
        <v>82</v>
      </c>
      <c r="Q11" s="29" t="s">
        <v>73</v>
      </c>
      <c r="R11" s="29" t="s">
        <v>83</v>
      </c>
      <c r="S11" s="29" t="s">
        <v>74</v>
      </c>
    </row>
    <row r="12" customFormat="false" ht="23.85" hidden="false" customHeight="false" outlineLevel="0" collapsed="false">
      <c r="A12" s="29" t="s">
        <v>84</v>
      </c>
      <c r="B12" s="30" t="n">
        <v>46065</v>
      </c>
      <c r="C12" s="31" t="s">
        <v>85</v>
      </c>
      <c r="D12" s="31" t="s">
        <v>86</v>
      </c>
      <c r="E12" s="29" t="n">
        <v>30</v>
      </c>
      <c r="F12" s="29" t="n">
        <v>2</v>
      </c>
      <c r="G12" s="32" t="n">
        <f aca="false">IFERROR(E12*F12,"")</f>
        <v>60</v>
      </c>
      <c r="H12" s="29" t="n">
        <v>300</v>
      </c>
      <c r="I12" s="29" t="n">
        <v>250</v>
      </c>
      <c r="J12" s="33" t="str">
        <f aca="false">IF(OR(H12="",I12=""),"",IF(I12&gt;=H12,"OK",IF(I12&gt;=H12*0.67,"MARGINAL","FAIL")))</f>
        <v>MARGINAL</v>
      </c>
      <c r="K12" s="29" t="s">
        <v>61</v>
      </c>
      <c r="L12" s="29" t="s">
        <v>61</v>
      </c>
      <c r="M12" s="33" t="str">
        <f aca="false">IF(A12="","",IF(OR(J12="FAIL",L12="Fail"),"FAIL",IF(AND(J12="OK",OR(L12="Pass",L12="N/A",L12="")),"PASS","PENDING")))</f>
        <v>PENDING</v>
      </c>
      <c r="N12" s="32" t="n">
        <f aca="false">IFERROR(IF(A12="","",N11+G12),"")</f>
        <v>447.5</v>
      </c>
      <c r="O12" s="31" t="s">
        <v>87</v>
      </c>
      <c r="P12" s="29" t="s">
        <v>88</v>
      </c>
      <c r="Q12" s="29" t="s">
        <v>89</v>
      </c>
      <c r="R12" s="29" t="s">
        <v>90</v>
      </c>
      <c r="S12" s="29" t="s">
        <v>66</v>
      </c>
    </row>
    <row r="13" customFormat="false" ht="15" hidden="false" customHeight="false" outlineLevel="0" collapsed="false">
      <c r="A13" s="29"/>
      <c r="B13" s="30"/>
      <c r="C13" s="31"/>
      <c r="D13" s="31"/>
      <c r="E13" s="29"/>
      <c r="F13" s="29"/>
      <c r="G13" s="32" t="n">
        <f aca="false">IFERROR(E13*F13,"")</f>
        <v>0</v>
      </c>
      <c r="H13" s="29"/>
      <c r="I13" s="29"/>
      <c r="J13" s="33" t="str">
        <f aca="false">IF(OR(H13="",I13=""),"",IF(I13&gt;=H13,"OK",IF(I13&gt;=H13*0.67,"MARGINAL","FAIL")))</f>
        <v/>
      </c>
      <c r="K13" s="29"/>
      <c r="L13" s="29"/>
      <c r="M13" s="33" t="str">
        <f aca="false">IF(A13="","",IF(OR(J13="FAIL",L13="Fail"),"FAIL",IF(AND(J13="OK",OR(L13="Pass",L13="N/A",L13="")),"PASS","PENDING")))</f>
        <v/>
      </c>
      <c r="N13" s="32" t="str">
        <f aca="false">IFERROR(IF(A13="","",N12+G13),"")</f>
        <v/>
      </c>
      <c r="O13" s="31"/>
      <c r="P13" s="29"/>
      <c r="Q13" s="29"/>
      <c r="R13" s="29"/>
      <c r="S13" s="29"/>
    </row>
    <row r="14" customFormat="false" ht="15" hidden="false" customHeight="false" outlineLevel="0" collapsed="false">
      <c r="A14" s="29"/>
      <c r="B14" s="30"/>
      <c r="C14" s="31"/>
      <c r="D14" s="31"/>
      <c r="E14" s="29"/>
      <c r="F14" s="29"/>
      <c r="G14" s="32" t="n">
        <f aca="false">IFERROR(E14*F14,"")</f>
        <v>0</v>
      </c>
      <c r="H14" s="29"/>
      <c r="I14" s="29"/>
      <c r="J14" s="33" t="str">
        <f aca="false">IF(OR(H14="",I14=""),"",IF(I14&gt;=H14,"OK",IF(I14&gt;=H14*0.67,"MARGINAL","FAIL")))</f>
        <v/>
      </c>
      <c r="K14" s="29"/>
      <c r="L14" s="29"/>
      <c r="M14" s="33" t="str">
        <f aca="false">IF(A14="","",IF(OR(J14="FAIL",L14="Fail"),"FAIL",IF(AND(J14="OK",OR(L14="Pass",L14="N/A",L14="")),"PASS","PENDING")))</f>
        <v/>
      </c>
      <c r="N14" s="32" t="str">
        <f aca="false">IFERROR(IF(A14="","",N13+G14),"")</f>
        <v/>
      </c>
      <c r="O14" s="31"/>
      <c r="P14" s="29"/>
      <c r="Q14" s="29"/>
      <c r="R14" s="29"/>
      <c r="S14" s="29"/>
    </row>
    <row r="15" customFormat="false" ht="15" hidden="false" customHeight="false" outlineLevel="0" collapsed="false">
      <c r="A15" s="29"/>
      <c r="B15" s="30"/>
      <c r="C15" s="31"/>
      <c r="D15" s="31"/>
      <c r="E15" s="29"/>
      <c r="F15" s="29"/>
      <c r="G15" s="32" t="n">
        <f aca="false">IFERROR(E15*F15,"")</f>
        <v>0</v>
      </c>
      <c r="H15" s="29"/>
      <c r="I15" s="29"/>
      <c r="J15" s="33" t="str">
        <f aca="false">IF(OR(H15="",I15=""),"",IF(I15&gt;=H15,"OK",IF(I15&gt;=H15*0.67,"MARGINAL","FAIL")))</f>
        <v/>
      </c>
      <c r="K15" s="29"/>
      <c r="L15" s="29"/>
      <c r="M15" s="33" t="str">
        <f aca="false">IF(A15="","",IF(OR(J15="FAIL",L15="Fail"),"FAIL",IF(AND(J15="OK",OR(L15="Pass",L15="N/A",L15="")),"PASS","PENDING")))</f>
        <v/>
      </c>
      <c r="N15" s="32" t="str">
        <f aca="false">IFERROR(IF(A15="","",N14+G15),"")</f>
        <v/>
      </c>
      <c r="O15" s="31"/>
      <c r="P15" s="29"/>
      <c r="Q15" s="29"/>
      <c r="R15" s="29"/>
      <c r="S15" s="29"/>
    </row>
    <row r="16" customFormat="false" ht="15" hidden="false" customHeight="false" outlineLevel="0" collapsed="false">
      <c r="A16" s="29"/>
      <c r="B16" s="30"/>
      <c r="C16" s="31"/>
      <c r="D16" s="31"/>
      <c r="E16" s="29"/>
      <c r="F16" s="29"/>
      <c r="G16" s="32" t="n">
        <f aca="false">IFERROR(E16*F16,"")</f>
        <v>0</v>
      </c>
      <c r="H16" s="29"/>
      <c r="I16" s="29"/>
      <c r="J16" s="33" t="str">
        <f aca="false">IF(OR(H16="",I16=""),"",IF(I16&gt;=H16,"OK",IF(I16&gt;=H16*0.67,"MARGINAL","FAIL")))</f>
        <v/>
      </c>
      <c r="K16" s="29"/>
      <c r="L16" s="29"/>
      <c r="M16" s="33" t="str">
        <f aca="false">IF(A16="","",IF(OR(J16="FAIL",L16="Fail"),"FAIL",IF(AND(J16="OK",OR(L16="Pass",L16="N/A",L16="")),"PASS","PENDING")))</f>
        <v/>
      </c>
      <c r="N16" s="32" t="str">
        <f aca="false">IFERROR(IF(A16="","",N15+G16),"")</f>
        <v/>
      </c>
      <c r="O16" s="31"/>
      <c r="P16" s="29"/>
      <c r="Q16" s="29"/>
      <c r="R16" s="29"/>
      <c r="S16" s="29"/>
    </row>
    <row r="17" customFormat="false" ht="15" hidden="false" customHeight="false" outlineLevel="0" collapsed="false">
      <c r="A17" s="29"/>
      <c r="B17" s="30"/>
      <c r="C17" s="31"/>
      <c r="D17" s="31"/>
      <c r="E17" s="29"/>
      <c r="F17" s="29"/>
      <c r="G17" s="32" t="n">
        <f aca="false">IFERROR(E17*F17,"")</f>
        <v>0</v>
      </c>
      <c r="H17" s="29"/>
      <c r="I17" s="29"/>
      <c r="J17" s="33" t="str">
        <f aca="false">IF(OR(H17="",I17=""),"",IF(I17&gt;=H17,"OK",IF(I17&gt;=H17*0.67,"MARGINAL","FAIL")))</f>
        <v/>
      </c>
      <c r="K17" s="29"/>
      <c r="L17" s="29"/>
      <c r="M17" s="33" t="str">
        <f aca="false">IF(A17="","",IF(OR(J17="FAIL",L17="Fail"),"FAIL",IF(AND(J17="OK",OR(L17="Pass",L17="N/A",L17="")),"PASS","PENDING")))</f>
        <v/>
      </c>
      <c r="N17" s="32" t="str">
        <f aca="false">IFERROR(IF(A17="","",N16+G17),"")</f>
        <v/>
      </c>
      <c r="O17" s="31"/>
      <c r="P17" s="29"/>
      <c r="Q17" s="29"/>
      <c r="R17" s="29"/>
      <c r="S17" s="29"/>
    </row>
    <row r="18" customFormat="false" ht="15" hidden="false" customHeight="false" outlineLevel="0" collapsed="false">
      <c r="A18" s="29"/>
      <c r="B18" s="30"/>
      <c r="C18" s="31"/>
      <c r="D18" s="31"/>
      <c r="E18" s="29"/>
      <c r="F18" s="29"/>
      <c r="G18" s="32" t="n">
        <f aca="false">IFERROR(E18*F18,"")</f>
        <v>0</v>
      </c>
      <c r="H18" s="29"/>
      <c r="I18" s="29"/>
      <c r="J18" s="33" t="str">
        <f aca="false">IF(OR(H18="",I18=""),"",IF(I18&gt;=H18,"OK",IF(I18&gt;=H18*0.67,"MARGINAL","FAIL")))</f>
        <v/>
      </c>
      <c r="K18" s="29"/>
      <c r="L18" s="29"/>
      <c r="M18" s="33" t="str">
        <f aca="false">IF(A18="","",IF(OR(J18="FAIL",L18="Fail"),"FAIL",IF(AND(J18="OK",OR(L18="Pass",L18="N/A",L18="")),"PASS","PENDING")))</f>
        <v/>
      </c>
      <c r="N18" s="32" t="str">
        <f aca="false">IFERROR(IF(A18="","",N17+G18),"")</f>
        <v/>
      </c>
      <c r="O18" s="31"/>
      <c r="P18" s="29"/>
      <c r="Q18" s="29"/>
      <c r="R18" s="29"/>
      <c r="S18" s="29"/>
    </row>
    <row r="19" customFormat="false" ht="15" hidden="false" customHeight="false" outlineLevel="0" collapsed="false">
      <c r="A19" s="29"/>
      <c r="B19" s="30"/>
      <c r="C19" s="31"/>
      <c r="D19" s="31"/>
      <c r="E19" s="29"/>
      <c r="F19" s="29"/>
      <c r="G19" s="32" t="n">
        <f aca="false">IFERROR(E19*F19,"")</f>
        <v>0</v>
      </c>
      <c r="H19" s="29"/>
      <c r="I19" s="29"/>
      <c r="J19" s="33" t="str">
        <f aca="false">IF(OR(H19="",I19=""),"",IF(I19&gt;=H19,"OK",IF(I19&gt;=H19*0.67,"MARGINAL","FAIL")))</f>
        <v/>
      </c>
      <c r="K19" s="29"/>
      <c r="L19" s="29"/>
      <c r="M19" s="33" t="str">
        <f aca="false">IF(A19="","",IF(OR(J19="FAIL",L19="Fail"),"FAIL",IF(AND(J19="OK",OR(L19="Pass",L19="N/A",L19="")),"PASS","PENDING")))</f>
        <v/>
      </c>
      <c r="N19" s="32" t="str">
        <f aca="false">IFERROR(IF(A19="","",N18+G19),"")</f>
        <v/>
      </c>
      <c r="O19" s="31"/>
      <c r="P19" s="29"/>
      <c r="Q19" s="29"/>
      <c r="R19" s="29"/>
      <c r="S19" s="29"/>
    </row>
    <row r="20" customFormat="false" ht="15" hidden="false" customHeight="false" outlineLevel="0" collapsed="false">
      <c r="A20" s="29"/>
      <c r="B20" s="30"/>
      <c r="C20" s="31"/>
      <c r="D20" s="31"/>
      <c r="E20" s="29"/>
      <c r="F20" s="29"/>
      <c r="G20" s="32" t="n">
        <f aca="false">IFERROR(E20*F20,"")</f>
        <v>0</v>
      </c>
      <c r="H20" s="29"/>
      <c r="I20" s="29"/>
      <c r="J20" s="33" t="str">
        <f aca="false">IF(OR(H20="",I20=""),"",IF(I20&gt;=H20,"OK",IF(I20&gt;=H20*0.67,"MARGINAL","FAIL")))</f>
        <v/>
      </c>
      <c r="K20" s="29"/>
      <c r="L20" s="29"/>
      <c r="M20" s="33" t="str">
        <f aca="false">IF(A20="","",IF(OR(J20="FAIL",L20="Fail"),"FAIL",IF(AND(J20="OK",OR(L20="Pass",L20="N/A",L20="")),"PASS","PENDING")))</f>
        <v/>
      </c>
      <c r="N20" s="32" t="str">
        <f aca="false">IFERROR(IF(A20="","",N19+G20),"")</f>
        <v/>
      </c>
      <c r="O20" s="31"/>
      <c r="P20" s="29"/>
      <c r="Q20" s="29"/>
      <c r="R20" s="29"/>
      <c r="S20" s="29"/>
    </row>
    <row r="21" customFormat="false" ht="15" hidden="false" customHeight="false" outlineLevel="0" collapsed="false">
      <c r="A21" s="29"/>
      <c r="B21" s="30"/>
      <c r="C21" s="31"/>
      <c r="D21" s="31"/>
      <c r="E21" s="29"/>
      <c r="F21" s="29"/>
      <c r="G21" s="32" t="n">
        <f aca="false">IFERROR(E21*F21,"")</f>
        <v>0</v>
      </c>
      <c r="H21" s="29"/>
      <c r="I21" s="29"/>
      <c r="J21" s="33" t="str">
        <f aca="false">IF(OR(H21="",I21=""),"",IF(I21&gt;=H21,"OK",IF(I21&gt;=H21*0.67,"MARGINAL","FAIL")))</f>
        <v/>
      </c>
      <c r="K21" s="29"/>
      <c r="L21" s="29"/>
      <c r="M21" s="33" t="str">
        <f aca="false">IF(A21="","",IF(OR(J21="FAIL",L21="Fail"),"FAIL",IF(AND(J21="OK",OR(L21="Pass",L21="N/A",L21="")),"PASS","PENDING")))</f>
        <v/>
      </c>
      <c r="N21" s="32" t="str">
        <f aca="false">IFERROR(IF(A21="","",N20+G21),"")</f>
        <v/>
      </c>
      <c r="O21" s="31"/>
      <c r="P21" s="29"/>
      <c r="Q21" s="29"/>
      <c r="R21" s="29"/>
      <c r="S21" s="29"/>
    </row>
    <row r="22" customFormat="false" ht="15" hidden="false" customHeight="false" outlineLevel="0" collapsed="false">
      <c r="A22" s="29"/>
      <c r="B22" s="30"/>
      <c r="C22" s="31"/>
      <c r="D22" s="31"/>
      <c r="E22" s="29"/>
      <c r="F22" s="29"/>
      <c r="G22" s="32" t="n">
        <f aca="false">IFERROR(E22*F22,"")</f>
        <v>0</v>
      </c>
      <c r="H22" s="29"/>
      <c r="I22" s="29"/>
      <c r="J22" s="33" t="str">
        <f aca="false">IF(OR(H22="",I22=""),"",IF(I22&gt;=H22,"OK",IF(I22&gt;=H22*0.67,"MARGINAL","FAIL")))</f>
        <v/>
      </c>
      <c r="K22" s="29"/>
      <c r="L22" s="29"/>
      <c r="M22" s="33" t="str">
        <f aca="false">IF(A22="","",IF(OR(J22="FAIL",L22="Fail"),"FAIL",IF(AND(J22="OK",OR(L22="Pass",L22="N/A",L22="")),"PASS","PENDING")))</f>
        <v/>
      </c>
      <c r="N22" s="32" t="str">
        <f aca="false">IFERROR(IF(A22="","",N21+G22),"")</f>
        <v/>
      </c>
      <c r="O22" s="31"/>
      <c r="P22" s="29"/>
      <c r="Q22" s="29"/>
      <c r="R22" s="29"/>
      <c r="S22" s="29"/>
    </row>
    <row r="23" customFormat="false" ht="15" hidden="false" customHeight="false" outlineLevel="0" collapsed="false">
      <c r="A23" s="29"/>
      <c r="B23" s="30"/>
      <c r="C23" s="31"/>
      <c r="D23" s="31"/>
      <c r="E23" s="29"/>
      <c r="F23" s="29"/>
      <c r="G23" s="32" t="n">
        <f aca="false">IFERROR(E23*F23,"")</f>
        <v>0</v>
      </c>
      <c r="H23" s="29"/>
      <c r="I23" s="29"/>
      <c r="J23" s="33" t="str">
        <f aca="false">IF(OR(H23="",I23=""),"",IF(I23&gt;=H23,"OK",IF(I23&gt;=H23*0.67,"MARGINAL","FAIL")))</f>
        <v/>
      </c>
      <c r="K23" s="29"/>
      <c r="L23" s="29"/>
      <c r="M23" s="33" t="str">
        <f aca="false">IF(A23="","",IF(OR(J23="FAIL",L23="Fail"),"FAIL",IF(AND(J23="OK",OR(L23="Pass",L23="N/A",L23="")),"PASS","PENDING")))</f>
        <v/>
      </c>
      <c r="N23" s="32" t="str">
        <f aca="false">IFERROR(IF(A23="","",N22+G23),"")</f>
        <v/>
      </c>
      <c r="O23" s="31"/>
      <c r="P23" s="29"/>
      <c r="Q23" s="29"/>
      <c r="R23" s="29"/>
      <c r="S23" s="29"/>
    </row>
    <row r="24" customFormat="false" ht="15" hidden="false" customHeight="false" outlineLevel="0" collapsed="false">
      <c r="A24" s="29"/>
      <c r="B24" s="30"/>
      <c r="C24" s="31"/>
      <c r="D24" s="31"/>
      <c r="E24" s="29"/>
      <c r="F24" s="29"/>
      <c r="G24" s="32" t="n">
        <f aca="false">IFERROR(E24*F24,"")</f>
        <v>0</v>
      </c>
      <c r="H24" s="29"/>
      <c r="I24" s="29"/>
      <c r="J24" s="33" t="str">
        <f aca="false">IF(OR(H24="",I24=""),"",IF(I24&gt;=H24,"OK",IF(I24&gt;=H24*0.67,"MARGINAL","FAIL")))</f>
        <v/>
      </c>
      <c r="K24" s="29"/>
      <c r="L24" s="29"/>
      <c r="M24" s="33" t="str">
        <f aca="false">IF(A24="","",IF(OR(J24="FAIL",L24="Fail"),"FAIL",IF(AND(J24="OK",OR(L24="Pass",L24="N/A",L24="")),"PASS","PENDING")))</f>
        <v/>
      </c>
      <c r="N24" s="32" t="str">
        <f aca="false">IFERROR(IF(A24="","",N23+G24),"")</f>
        <v/>
      </c>
      <c r="O24" s="31"/>
      <c r="P24" s="29"/>
      <c r="Q24" s="29"/>
      <c r="R24" s="29"/>
      <c r="S24" s="29"/>
    </row>
    <row r="25" customFormat="false" ht="15" hidden="false" customHeight="false" outlineLevel="0" collapsed="false">
      <c r="A25" s="29"/>
      <c r="B25" s="30"/>
      <c r="C25" s="31"/>
      <c r="D25" s="31"/>
      <c r="E25" s="29"/>
      <c r="F25" s="29"/>
      <c r="G25" s="32" t="n">
        <f aca="false">IFERROR(E25*F25,"")</f>
        <v>0</v>
      </c>
      <c r="H25" s="29"/>
      <c r="I25" s="29"/>
      <c r="J25" s="33" t="str">
        <f aca="false">IF(OR(H25="",I25=""),"",IF(I25&gt;=H25,"OK",IF(I25&gt;=H25*0.67,"MARGINAL","FAIL")))</f>
        <v/>
      </c>
      <c r="K25" s="29"/>
      <c r="L25" s="29"/>
      <c r="M25" s="33" t="str">
        <f aca="false">IF(A25="","",IF(OR(J25="FAIL",L25="Fail"),"FAIL",IF(AND(J25="OK",OR(L25="Pass",L25="N/A",L25="")),"PASS","PENDING")))</f>
        <v/>
      </c>
      <c r="N25" s="32" t="str">
        <f aca="false">IFERROR(IF(A25="","",N24+G25),"")</f>
        <v/>
      </c>
      <c r="O25" s="31"/>
      <c r="P25" s="29"/>
      <c r="Q25" s="29"/>
      <c r="R25" s="29"/>
      <c r="S25" s="29"/>
    </row>
    <row r="26" customFormat="false" ht="15" hidden="false" customHeight="false" outlineLevel="0" collapsed="false">
      <c r="A26" s="29"/>
      <c r="B26" s="30"/>
      <c r="C26" s="31"/>
      <c r="D26" s="31"/>
      <c r="E26" s="29"/>
      <c r="F26" s="29"/>
      <c r="G26" s="32" t="n">
        <f aca="false">IFERROR(E26*F26,"")</f>
        <v>0</v>
      </c>
      <c r="H26" s="29"/>
      <c r="I26" s="29"/>
      <c r="J26" s="33" t="str">
        <f aca="false">IF(OR(H26="",I26=""),"",IF(I26&gt;=H26,"OK",IF(I26&gt;=H26*0.67,"MARGINAL","FAIL")))</f>
        <v/>
      </c>
      <c r="K26" s="29"/>
      <c r="L26" s="29"/>
      <c r="M26" s="33" t="str">
        <f aca="false">IF(A26="","",IF(OR(J26="FAIL",L26="Fail"),"FAIL",IF(AND(J26="OK",OR(L26="Pass",L26="N/A",L26="")),"PASS","PENDING")))</f>
        <v/>
      </c>
      <c r="N26" s="32" t="str">
        <f aca="false">IFERROR(IF(A26="","",N25+G26),"")</f>
        <v/>
      </c>
      <c r="O26" s="31"/>
      <c r="P26" s="29"/>
      <c r="Q26" s="29"/>
      <c r="R26" s="29"/>
      <c r="S26" s="29"/>
    </row>
    <row r="27" customFormat="false" ht="15" hidden="false" customHeight="false" outlineLevel="0" collapsed="false">
      <c r="A27" s="29"/>
      <c r="B27" s="30"/>
      <c r="C27" s="31"/>
      <c r="D27" s="31"/>
      <c r="E27" s="29"/>
      <c r="F27" s="29"/>
      <c r="G27" s="32" t="n">
        <f aca="false">IFERROR(E27*F27,"")</f>
        <v>0</v>
      </c>
      <c r="H27" s="29"/>
      <c r="I27" s="29"/>
      <c r="J27" s="33" t="str">
        <f aca="false">IF(OR(H27="",I27=""),"",IF(I27&gt;=H27,"OK",IF(I27&gt;=H27*0.67,"MARGINAL","FAIL")))</f>
        <v/>
      </c>
      <c r="K27" s="29"/>
      <c r="L27" s="29"/>
      <c r="M27" s="33" t="str">
        <f aca="false">IF(A27="","",IF(OR(J27="FAIL",L27="Fail"),"FAIL",IF(AND(J27="OK",OR(L27="Pass",L27="N/A",L27="")),"PASS","PENDING")))</f>
        <v/>
      </c>
      <c r="N27" s="32" t="str">
        <f aca="false">IFERROR(IF(A27="","",N26+G27),"")</f>
        <v/>
      </c>
      <c r="O27" s="31"/>
      <c r="P27" s="29"/>
      <c r="Q27" s="29"/>
      <c r="R27" s="29"/>
      <c r="S27" s="29"/>
    </row>
    <row r="28" customFormat="false" ht="15" hidden="false" customHeight="false" outlineLevel="0" collapsed="false">
      <c r="A28" s="29"/>
      <c r="B28" s="30"/>
      <c r="C28" s="31"/>
      <c r="D28" s="31"/>
      <c r="E28" s="29"/>
      <c r="F28" s="29"/>
      <c r="G28" s="32" t="n">
        <f aca="false">IFERROR(E28*F28,"")</f>
        <v>0</v>
      </c>
      <c r="H28" s="29"/>
      <c r="I28" s="29"/>
      <c r="J28" s="33" t="str">
        <f aca="false">IF(OR(H28="",I28=""),"",IF(I28&gt;=H28,"OK",IF(I28&gt;=H28*0.67,"MARGINAL","FAIL")))</f>
        <v/>
      </c>
      <c r="K28" s="29"/>
      <c r="L28" s="29"/>
      <c r="M28" s="33" t="str">
        <f aca="false">IF(A28="","",IF(OR(J28="FAIL",L28="Fail"),"FAIL",IF(AND(J28="OK",OR(L28="Pass",L28="N/A",L28="")),"PASS","PENDING")))</f>
        <v/>
      </c>
      <c r="N28" s="32" t="str">
        <f aca="false">IFERROR(IF(A28="","",N27+G28),"")</f>
        <v/>
      </c>
      <c r="O28" s="31"/>
      <c r="P28" s="29"/>
      <c r="Q28" s="29"/>
      <c r="R28" s="29"/>
      <c r="S28" s="29"/>
    </row>
    <row r="29" customFormat="false" ht="15" hidden="false" customHeight="false" outlineLevel="0" collapsed="false">
      <c r="A29" s="29"/>
      <c r="B29" s="30"/>
      <c r="C29" s="31"/>
      <c r="D29" s="31"/>
      <c r="E29" s="29"/>
      <c r="F29" s="29"/>
      <c r="G29" s="32" t="n">
        <f aca="false">IFERROR(E29*F29,"")</f>
        <v>0</v>
      </c>
      <c r="H29" s="29"/>
      <c r="I29" s="29"/>
      <c r="J29" s="33" t="str">
        <f aca="false">IF(OR(H29="",I29=""),"",IF(I29&gt;=H29,"OK",IF(I29&gt;=H29*0.67,"MARGINAL","FAIL")))</f>
        <v/>
      </c>
      <c r="K29" s="29"/>
      <c r="L29" s="29"/>
      <c r="M29" s="33" t="str">
        <f aca="false">IF(A29="","",IF(OR(J29="FAIL",L29="Fail"),"FAIL",IF(AND(J29="OK",OR(L29="Pass",L29="N/A",L29="")),"PASS","PENDING")))</f>
        <v/>
      </c>
      <c r="N29" s="32" t="str">
        <f aca="false">IFERROR(IF(A29="","",N28+G29),"")</f>
        <v/>
      </c>
      <c r="O29" s="31"/>
      <c r="P29" s="29"/>
      <c r="Q29" s="29"/>
      <c r="R29" s="29"/>
      <c r="S29" s="29"/>
    </row>
    <row r="30" customFormat="false" ht="15" hidden="false" customHeight="false" outlineLevel="0" collapsed="false">
      <c r="A30" s="29"/>
      <c r="B30" s="30"/>
      <c r="C30" s="31"/>
      <c r="D30" s="31"/>
      <c r="E30" s="29"/>
      <c r="F30" s="29"/>
      <c r="G30" s="32" t="n">
        <f aca="false">IFERROR(E30*F30,"")</f>
        <v>0</v>
      </c>
      <c r="H30" s="29"/>
      <c r="I30" s="29"/>
      <c r="J30" s="33" t="str">
        <f aca="false">IF(OR(H30="",I30=""),"",IF(I30&gt;=H30,"OK",IF(I30&gt;=H30*0.67,"MARGINAL","FAIL")))</f>
        <v/>
      </c>
      <c r="K30" s="29"/>
      <c r="L30" s="29"/>
      <c r="M30" s="33" t="str">
        <f aca="false">IF(A30="","",IF(OR(J30="FAIL",L30="Fail"),"FAIL",IF(AND(J30="OK",OR(L30="Pass",L30="N/A",L30="")),"PASS","PENDING")))</f>
        <v/>
      </c>
      <c r="N30" s="32" t="str">
        <f aca="false">IFERROR(IF(A30="","",N29+G30),"")</f>
        <v/>
      </c>
      <c r="O30" s="31"/>
      <c r="P30" s="29"/>
      <c r="Q30" s="29"/>
      <c r="R30" s="29"/>
      <c r="S30" s="29"/>
    </row>
    <row r="31" customFormat="false" ht="15" hidden="false" customHeight="false" outlineLevel="0" collapsed="false">
      <c r="A31" s="29"/>
      <c r="B31" s="30"/>
      <c r="C31" s="31"/>
      <c r="D31" s="31"/>
      <c r="E31" s="29"/>
      <c r="F31" s="29"/>
      <c r="G31" s="32" t="n">
        <f aca="false">IFERROR(E31*F31,"")</f>
        <v>0</v>
      </c>
      <c r="H31" s="29"/>
      <c r="I31" s="29"/>
      <c r="J31" s="33" t="str">
        <f aca="false">IF(OR(H31="",I31=""),"",IF(I31&gt;=H31,"OK",IF(I31&gt;=H31*0.67,"MARGINAL","FAIL")))</f>
        <v/>
      </c>
      <c r="K31" s="29"/>
      <c r="L31" s="29"/>
      <c r="M31" s="33" t="str">
        <f aca="false">IF(A31="","",IF(OR(J31="FAIL",L31="Fail"),"FAIL",IF(AND(J31="OK",OR(L31="Pass",L31="N/A",L31="")),"PASS","PENDING")))</f>
        <v/>
      </c>
      <c r="N31" s="32" t="str">
        <f aca="false">IFERROR(IF(A31="","",N30+G31),"")</f>
        <v/>
      </c>
      <c r="O31" s="31"/>
      <c r="P31" s="29"/>
      <c r="Q31" s="29"/>
      <c r="R31" s="29"/>
      <c r="S31" s="29"/>
    </row>
    <row r="32" customFormat="false" ht="15" hidden="false" customHeight="false" outlineLevel="0" collapsed="false">
      <c r="A32" s="29"/>
      <c r="B32" s="30"/>
      <c r="C32" s="31"/>
      <c r="D32" s="31"/>
      <c r="E32" s="29"/>
      <c r="F32" s="29"/>
      <c r="G32" s="32" t="n">
        <f aca="false">IFERROR(E32*F32,"")</f>
        <v>0</v>
      </c>
      <c r="H32" s="29"/>
      <c r="I32" s="29"/>
      <c r="J32" s="33" t="str">
        <f aca="false">IF(OR(H32="",I32=""),"",IF(I32&gt;=H32,"OK",IF(I32&gt;=H32*0.67,"MARGINAL","FAIL")))</f>
        <v/>
      </c>
      <c r="K32" s="29"/>
      <c r="L32" s="29"/>
      <c r="M32" s="33" t="str">
        <f aca="false">IF(A32="","",IF(OR(J32="FAIL",L32="Fail"),"FAIL",IF(AND(J32="OK",OR(L32="Pass",L32="N/A",L32="")),"PASS","PENDING")))</f>
        <v/>
      </c>
      <c r="N32" s="32" t="str">
        <f aca="false">IFERROR(IF(A32="","",N31+G32),"")</f>
        <v/>
      </c>
      <c r="O32" s="31"/>
      <c r="P32" s="29"/>
      <c r="Q32" s="29"/>
      <c r="R32" s="29"/>
      <c r="S32" s="29"/>
    </row>
    <row r="33" customFormat="false" ht="15" hidden="false" customHeight="false" outlineLevel="0" collapsed="false">
      <c r="A33" s="29"/>
      <c r="B33" s="30"/>
      <c r="C33" s="31"/>
      <c r="D33" s="31"/>
      <c r="E33" s="29"/>
      <c r="F33" s="29"/>
      <c r="G33" s="32" t="n">
        <f aca="false">IFERROR(E33*F33,"")</f>
        <v>0</v>
      </c>
      <c r="H33" s="29"/>
      <c r="I33" s="29"/>
      <c r="J33" s="33" t="str">
        <f aca="false">IF(OR(H33="",I33=""),"",IF(I33&gt;=H33,"OK",IF(I33&gt;=H33*0.67,"MARGINAL","FAIL")))</f>
        <v/>
      </c>
      <c r="K33" s="29"/>
      <c r="L33" s="29"/>
      <c r="M33" s="33" t="str">
        <f aca="false">IF(A33="","",IF(OR(J33="FAIL",L33="Fail"),"FAIL",IF(AND(J33="OK",OR(L33="Pass",L33="N/A",L33="")),"PASS","PENDING")))</f>
        <v/>
      </c>
      <c r="N33" s="32" t="str">
        <f aca="false">IFERROR(IF(A33="","",N32+G33),"")</f>
        <v/>
      </c>
      <c r="O33" s="31"/>
      <c r="P33" s="29"/>
      <c r="Q33" s="29"/>
      <c r="R33" s="29"/>
      <c r="S33" s="29"/>
    </row>
    <row r="34" customFormat="false" ht="15" hidden="false" customHeight="false" outlineLevel="0" collapsed="false">
      <c r="A34" s="29"/>
      <c r="B34" s="30"/>
      <c r="C34" s="31"/>
      <c r="D34" s="31"/>
      <c r="E34" s="29"/>
      <c r="F34" s="29"/>
      <c r="G34" s="32" t="n">
        <f aca="false">IFERROR(E34*F34,"")</f>
        <v>0</v>
      </c>
      <c r="H34" s="29"/>
      <c r="I34" s="29"/>
      <c r="J34" s="33" t="str">
        <f aca="false">IF(OR(H34="",I34=""),"",IF(I34&gt;=H34,"OK",IF(I34&gt;=H34*0.67,"MARGINAL","FAIL")))</f>
        <v/>
      </c>
      <c r="K34" s="29"/>
      <c r="L34" s="29"/>
      <c r="M34" s="33" t="str">
        <f aca="false">IF(A34="","",IF(OR(J34="FAIL",L34="Fail"),"FAIL",IF(AND(J34="OK",OR(L34="Pass",L34="N/A",L34="")),"PASS","PENDING")))</f>
        <v/>
      </c>
      <c r="N34" s="32" t="str">
        <f aca="false">IFERROR(IF(A34="","",N33+G34),"")</f>
        <v/>
      </c>
      <c r="O34" s="31"/>
      <c r="P34" s="29"/>
      <c r="Q34" s="29"/>
      <c r="R34" s="29"/>
      <c r="S34" s="29"/>
    </row>
    <row r="35" customFormat="false" ht="15" hidden="false" customHeight="false" outlineLevel="0" collapsed="false">
      <c r="A35" s="29"/>
      <c r="B35" s="30"/>
      <c r="C35" s="31"/>
      <c r="D35" s="31"/>
      <c r="E35" s="29"/>
      <c r="F35" s="29"/>
      <c r="G35" s="32" t="n">
        <f aca="false">IFERROR(E35*F35,"")</f>
        <v>0</v>
      </c>
      <c r="H35" s="29"/>
      <c r="I35" s="29"/>
      <c r="J35" s="33" t="str">
        <f aca="false">IF(OR(H35="",I35=""),"",IF(I35&gt;=H35,"OK",IF(I35&gt;=H35*0.67,"MARGINAL","FAIL")))</f>
        <v/>
      </c>
      <c r="K35" s="29"/>
      <c r="L35" s="29"/>
      <c r="M35" s="33" t="str">
        <f aca="false">IF(A35="","",IF(OR(J35="FAIL",L35="Fail"),"FAIL",IF(AND(J35="OK",OR(L35="Pass",L35="N/A",L35="")),"PASS","PENDING")))</f>
        <v/>
      </c>
      <c r="N35" s="32" t="str">
        <f aca="false">IFERROR(IF(A35="","",N34+G35),"")</f>
        <v/>
      </c>
      <c r="O35" s="31"/>
      <c r="P35" s="29"/>
      <c r="Q35" s="29"/>
      <c r="R35" s="29"/>
      <c r="S35" s="29"/>
    </row>
    <row r="36" customFormat="false" ht="15" hidden="false" customHeight="false" outlineLevel="0" collapsed="false">
      <c r="A36" s="29"/>
      <c r="B36" s="30"/>
      <c r="C36" s="31"/>
      <c r="D36" s="31"/>
      <c r="E36" s="29"/>
      <c r="F36" s="29"/>
      <c r="G36" s="32" t="n">
        <f aca="false">IFERROR(E36*F36,"")</f>
        <v>0</v>
      </c>
      <c r="H36" s="29"/>
      <c r="I36" s="29"/>
      <c r="J36" s="33" t="str">
        <f aca="false">IF(OR(H36="",I36=""),"",IF(I36&gt;=H36,"OK",IF(I36&gt;=H36*0.67,"MARGINAL","FAIL")))</f>
        <v/>
      </c>
      <c r="K36" s="29"/>
      <c r="L36" s="29"/>
      <c r="M36" s="33" t="str">
        <f aca="false">IF(A36="","",IF(OR(J36="FAIL",L36="Fail"),"FAIL",IF(AND(J36="OK",OR(L36="Pass",L36="N/A",L36="")),"PASS","PENDING")))</f>
        <v/>
      </c>
      <c r="N36" s="32" t="str">
        <f aca="false">IFERROR(IF(A36="","",N35+G36),"")</f>
        <v/>
      </c>
      <c r="O36" s="31"/>
      <c r="P36" s="29"/>
      <c r="Q36" s="29"/>
      <c r="R36" s="29"/>
      <c r="S36" s="29"/>
    </row>
    <row r="37" customFormat="false" ht="15" hidden="false" customHeight="false" outlineLevel="0" collapsed="false">
      <c r="A37" s="29"/>
      <c r="B37" s="30"/>
      <c r="C37" s="31"/>
      <c r="D37" s="31"/>
      <c r="E37" s="29"/>
      <c r="F37" s="29"/>
      <c r="G37" s="32" t="n">
        <f aca="false">IFERROR(E37*F37,"")</f>
        <v>0</v>
      </c>
      <c r="H37" s="29"/>
      <c r="I37" s="29"/>
      <c r="J37" s="33" t="str">
        <f aca="false">IF(OR(H37="",I37=""),"",IF(I37&gt;=H37,"OK",IF(I37&gt;=H37*0.67,"MARGINAL","FAIL")))</f>
        <v/>
      </c>
      <c r="K37" s="29"/>
      <c r="L37" s="29"/>
      <c r="M37" s="33" t="str">
        <f aca="false">IF(A37="","",IF(OR(J37="FAIL",L37="Fail"),"FAIL",IF(AND(J37="OK",OR(L37="Pass",L37="N/A",L37="")),"PASS","PENDING")))</f>
        <v/>
      </c>
      <c r="N37" s="32" t="str">
        <f aca="false">IFERROR(IF(A37="","",N36+G37),"")</f>
        <v/>
      </c>
      <c r="O37" s="31"/>
      <c r="P37" s="29"/>
      <c r="Q37" s="29"/>
      <c r="R37" s="29"/>
      <c r="S37" s="29"/>
    </row>
    <row r="38" customFormat="false" ht="15" hidden="false" customHeight="false" outlineLevel="0" collapsed="false">
      <c r="A38" s="29"/>
      <c r="B38" s="30"/>
      <c r="C38" s="31"/>
      <c r="D38" s="31"/>
      <c r="E38" s="29"/>
      <c r="F38" s="29"/>
      <c r="G38" s="32" t="n">
        <f aca="false">IFERROR(E38*F38,"")</f>
        <v>0</v>
      </c>
      <c r="H38" s="29"/>
      <c r="I38" s="29"/>
      <c r="J38" s="33" t="str">
        <f aca="false">IF(OR(H38="",I38=""),"",IF(I38&gt;=H38,"OK",IF(I38&gt;=H38*0.67,"MARGINAL","FAIL")))</f>
        <v/>
      </c>
      <c r="K38" s="29"/>
      <c r="L38" s="29"/>
      <c r="M38" s="33" t="str">
        <f aca="false">IF(A38="","",IF(OR(J38="FAIL",L38="Fail"),"FAIL",IF(AND(J38="OK",OR(L38="Pass",L38="N/A",L38="")),"PASS","PENDING")))</f>
        <v/>
      </c>
      <c r="N38" s="32" t="str">
        <f aca="false">IFERROR(IF(A38="","",N37+G38),"")</f>
        <v/>
      </c>
      <c r="O38" s="31"/>
      <c r="P38" s="29"/>
      <c r="Q38" s="29"/>
      <c r="R38" s="29"/>
      <c r="S38" s="29"/>
    </row>
    <row r="39" customFormat="false" ht="15" hidden="false" customHeight="false" outlineLevel="0" collapsed="false">
      <c r="A39" s="29"/>
      <c r="B39" s="30"/>
      <c r="C39" s="31"/>
      <c r="D39" s="31"/>
      <c r="E39" s="29"/>
      <c r="F39" s="29"/>
      <c r="G39" s="32" t="n">
        <f aca="false">IFERROR(E39*F39,"")</f>
        <v>0</v>
      </c>
      <c r="H39" s="29"/>
      <c r="I39" s="29"/>
      <c r="J39" s="33" t="str">
        <f aca="false">IF(OR(H39="",I39=""),"",IF(I39&gt;=H39,"OK",IF(I39&gt;=H39*0.67,"MARGINAL","FAIL")))</f>
        <v/>
      </c>
      <c r="K39" s="29"/>
      <c r="L39" s="29"/>
      <c r="M39" s="33" t="str">
        <f aca="false">IF(A39="","",IF(OR(J39="FAIL",L39="Fail"),"FAIL",IF(AND(J39="OK",OR(L39="Pass",L39="N/A",L39="")),"PASS","PENDING")))</f>
        <v/>
      </c>
      <c r="N39" s="32" t="str">
        <f aca="false">IFERROR(IF(A39="","",N38+G39),"")</f>
        <v/>
      </c>
      <c r="O39" s="31"/>
      <c r="P39" s="29"/>
      <c r="Q39" s="29"/>
      <c r="R39" s="29"/>
      <c r="S39" s="29"/>
    </row>
    <row r="40" customFormat="false" ht="15" hidden="false" customHeight="false" outlineLevel="0" collapsed="false">
      <c r="A40" s="29"/>
      <c r="B40" s="30"/>
      <c r="C40" s="31"/>
      <c r="D40" s="31"/>
      <c r="E40" s="29"/>
      <c r="F40" s="29"/>
      <c r="G40" s="32" t="n">
        <f aca="false">IFERROR(E40*F40,"")</f>
        <v>0</v>
      </c>
      <c r="H40" s="29"/>
      <c r="I40" s="29"/>
      <c r="J40" s="33" t="str">
        <f aca="false">IF(OR(H40="",I40=""),"",IF(I40&gt;=H40,"OK",IF(I40&gt;=H40*0.67,"MARGINAL","FAIL")))</f>
        <v/>
      </c>
      <c r="K40" s="29"/>
      <c r="L40" s="29"/>
      <c r="M40" s="33" t="str">
        <f aca="false">IF(A40="","",IF(OR(J40="FAIL",L40="Fail"),"FAIL",IF(AND(J40="OK",OR(L40="Pass",L40="N/A",L40="")),"PASS","PENDING")))</f>
        <v/>
      </c>
      <c r="N40" s="32" t="str">
        <f aca="false">IFERROR(IF(A40="","",N39+G40),"")</f>
        <v/>
      </c>
      <c r="O40" s="31"/>
      <c r="P40" s="29"/>
      <c r="Q40" s="29"/>
      <c r="R40" s="29"/>
      <c r="S40" s="29"/>
    </row>
    <row r="41" customFormat="false" ht="15" hidden="false" customHeight="false" outlineLevel="0" collapsed="false">
      <c r="A41" s="29"/>
      <c r="B41" s="30"/>
      <c r="C41" s="31"/>
      <c r="D41" s="31"/>
      <c r="E41" s="29"/>
      <c r="F41" s="29"/>
      <c r="G41" s="32" t="n">
        <f aca="false">IFERROR(E41*F41,"")</f>
        <v>0</v>
      </c>
      <c r="H41" s="29"/>
      <c r="I41" s="29"/>
      <c r="J41" s="33" t="str">
        <f aca="false">IF(OR(H41="",I41=""),"",IF(I41&gt;=H41,"OK",IF(I41&gt;=H41*0.67,"MARGINAL","FAIL")))</f>
        <v/>
      </c>
      <c r="K41" s="29"/>
      <c r="L41" s="29"/>
      <c r="M41" s="33" t="str">
        <f aca="false">IF(A41="","",IF(OR(J41="FAIL",L41="Fail"),"FAIL",IF(AND(J41="OK",OR(L41="Pass",L41="N/A",L41="")),"PASS","PENDING")))</f>
        <v/>
      </c>
      <c r="N41" s="32" t="str">
        <f aca="false">IFERROR(IF(A41="","",N40+G41),"")</f>
        <v/>
      </c>
      <c r="O41" s="31"/>
      <c r="P41" s="29"/>
      <c r="Q41" s="29"/>
      <c r="R41" s="29"/>
      <c r="S41" s="29"/>
    </row>
    <row r="42" customFormat="false" ht="15" hidden="false" customHeight="false" outlineLevel="0" collapsed="false">
      <c r="A42" s="29"/>
      <c r="B42" s="30"/>
      <c r="C42" s="31"/>
      <c r="D42" s="31"/>
      <c r="E42" s="29"/>
      <c r="F42" s="29"/>
      <c r="G42" s="32" t="n">
        <f aca="false">IFERROR(E42*F42,"")</f>
        <v>0</v>
      </c>
      <c r="H42" s="29"/>
      <c r="I42" s="29"/>
      <c r="J42" s="33" t="str">
        <f aca="false">IF(OR(H42="",I42=""),"",IF(I42&gt;=H42,"OK",IF(I42&gt;=H42*0.67,"MARGINAL","FAIL")))</f>
        <v/>
      </c>
      <c r="K42" s="29"/>
      <c r="L42" s="29"/>
      <c r="M42" s="33" t="str">
        <f aca="false">IF(A42="","",IF(OR(J42="FAIL",L42="Fail"),"FAIL",IF(AND(J42="OK",OR(L42="Pass",L42="N/A",L42="")),"PASS","PENDING")))</f>
        <v/>
      </c>
      <c r="N42" s="32" t="str">
        <f aca="false">IFERROR(IF(A42="","",N41+G42),"")</f>
        <v/>
      </c>
      <c r="O42" s="31"/>
      <c r="P42" s="29"/>
      <c r="Q42" s="29"/>
      <c r="R42" s="29"/>
      <c r="S42" s="29"/>
    </row>
    <row r="43" customFormat="false" ht="15" hidden="false" customHeight="false" outlineLevel="0" collapsed="false">
      <c r="A43" s="29"/>
      <c r="B43" s="30"/>
      <c r="C43" s="31"/>
      <c r="D43" s="31"/>
      <c r="E43" s="29"/>
      <c r="F43" s="29"/>
      <c r="G43" s="32" t="n">
        <f aca="false">IFERROR(E43*F43,"")</f>
        <v>0</v>
      </c>
      <c r="H43" s="29"/>
      <c r="I43" s="29"/>
      <c r="J43" s="33" t="str">
        <f aca="false">IF(OR(H43="",I43=""),"",IF(I43&gt;=H43,"OK",IF(I43&gt;=H43*0.67,"MARGINAL","FAIL")))</f>
        <v/>
      </c>
      <c r="K43" s="29"/>
      <c r="L43" s="29"/>
      <c r="M43" s="33" t="str">
        <f aca="false">IF(A43="","",IF(OR(J43="FAIL",L43="Fail"),"FAIL",IF(AND(J43="OK",OR(L43="Pass",L43="N/A",L43="")),"PASS","PENDING")))</f>
        <v/>
      </c>
      <c r="N43" s="32" t="str">
        <f aca="false">IFERROR(IF(A43="","",N42+G43),"")</f>
        <v/>
      </c>
      <c r="O43" s="31"/>
      <c r="P43" s="29"/>
      <c r="Q43" s="29"/>
      <c r="R43" s="29"/>
      <c r="S43" s="29"/>
    </row>
    <row r="44" customFormat="false" ht="15" hidden="false" customHeight="false" outlineLevel="0" collapsed="false">
      <c r="A44" s="29"/>
      <c r="B44" s="30"/>
      <c r="C44" s="31"/>
      <c r="D44" s="31"/>
      <c r="E44" s="29"/>
      <c r="F44" s="29"/>
      <c r="G44" s="32" t="n">
        <f aca="false">IFERROR(E44*F44,"")</f>
        <v>0</v>
      </c>
      <c r="H44" s="29"/>
      <c r="I44" s="29"/>
      <c r="J44" s="33" t="str">
        <f aca="false">IF(OR(H44="",I44=""),"",IF(I44&gt;=H44,"OK",IF(I44&gt;=H44*0.67,"MARGINAL","FAIL")))</f>
        <v/>
      </c>
      <c r="K44" s="29"/>
      <c r="L44" s="29"/>
      <c r="M44" s="33" t="str">
        <f aca="false">IF(A44="","",IF(OR(J44="FAIL",L44="Fail"),"FAIL",IF(AND(J44="OK",OR(L44="Pass",L44="N/A",L44="")),"PASS","PENDING")))</f>
        <v/>
      </c>
      <c r="N44" s="32" t="str">
        <f aca="false">IFERROR(IF(A44="","",N43+G44),"")</f>
        <v/>
      </c>
      <c r="O44" s="31"/>
      <c r="P44" s="29"/>
      <c r="Q44" s="29"/>
      <c r="R44" s="29"/>
      <c r="S44" s="29"/>
    </row>
    <row r="45" customFormat="false" ht="15" hidden="false" customHeight="false" outlineLevel="0" collapsed="false">
      <c r="A45" s="29"/>
      <c r="B45" s="30"/>
      <c r="C45" s="31"/>
      <c r="D45" s="31"/>
      <c r="E45" s="29"/>
      <c r="F45" s="29"/>
      <c r="G45" s="32" t="n">
        <f aca="false">IFERROR(E45*F45,"")</f>
        <v>0</v>
      </c>
      <c r="H45" s="29"/>
      <c r="I45" s="29"/>
      <c r="J45" s="33" t="str">
        <f aca="false">IF(OR(H45="",I45=""),"",IF(I45&gt;=H45,"OK",IF(I45&gt;=H45*0.67,"MARGINAL","FAIL")))</f>
        <v/>
      </c>
      <c r="K45" s="29"/>
      <c r="L45" s="29"/>
      <c r="M45" s="33" t="str">
        <f aca="false">IF(A45="","",IF(OR(J45="FAIL",L45="Fail"),"FAIL",IF(AND(J45="OK",OR(L45="Pass",L45="N/A",L45="")),"PASS","PENDING")))</f>
        <v/>
      </c>
      <c r="N45" s="32" t="str">
        <f aca="false">IFERROR(IF(A45="","",N44+G45),"")</f>
        <v/>
      </c>
      <c r="O45" s="31"/>
      <c r="P45" s="29"/>
      <c r="Q45" s="29"/>
      <c r="R45" s="29"/>
      <c r="S45" s="29"/>
    </row>
    <row r="46" customFormat="false" ht="15" hidden="false" customHeight="false" outlineLevel="0" collapsed="false">
      <c r="A46" s="29"/>
      <c r="B46" s="30"/>
      <c r="C46" s="31"/>
      <c r="D46" s="31"/>
      <c r="E46" s="29"/>
      <c r="F46" s="29"/>
      <c r="G46" s="32" t="n">
        <f aca="false">IFERROR(E46*F46,"")</f>
        <v>0</v>
      </c>
      <c r="H46" s="29"/>
      <c r="I46" s="29"/>
      <c r="J46" s="33" t="str">
        <f aca="false">IF(OR(H46="",I46=""),"",IF(I46&gt;=H46,"OK",IF(I46&gt;=H46*0.67,"MARGINAL","FAIL")))</f>
        <v/>
      </c>
      <c r="K46" s="29"/>
      <c r="L46" s="29"/>
      <c r="M46" s="33" t="str">
        <f aca="false">IF(A46="","",IF(OR(J46="FAIL",L46="Fail"),"FAIL",IF(AND(J46="OK",OR(L46="Pass",L46="N/A",L46="")),"PASS","PENDING")))</f>
        <v/>
      </c>
      <c r="N46" s="32" t="str">
        <f aca="false">IFERROR(IF(A46="","",N45+G46),"")</f>
        <v/>
      </c>
      <c r="O46" s="31"/>
      <c r="P46" s="29"/>
      <c r="Q46" s="29"/>
      <c r="R46" s="29"/>
      <c r="S46" s="29"/>
    </row>
    <row r="47" customFormat="false" ht="15" hidden="false" customHeight="false" outlineLevel="0" collapsed="false">
      <c r="A47" s="29"/>
      <c r="B47" s="30"/>
      <c r="C47" s="31"/>
      <c r="D47" s="31"/>
      <c r="E47" s="29"/>
      <c r="F47" s="29"/>
      <c r="G47" s="32" t="n">
        <f aca="false">IFERROR(E47*F47,"")</f>
        <v>0</v>
      </c>
      <c r="H47" s="29"/>
      <c r="I47" s="29"/>
      <c r="J47" s="33" t="str">
        <f aca="false">IF(OR(H47="",I47=""),"",IF(I47&gt;=H47,"OK",IF(I47&gt;=H47*0.67,"MARGINAL","FAIL")))</f>
        <v/>
      </c>
      <c r="K47" s="29"/>
      <c r="L47" s="29"/>
      <c r="M47" s="33" t="str">
        <f aca="false">IF(A47="","",IF(OR(J47="FAIL",L47="Fail"),"FAIL",IF(AND(J47="OK",OR(L47="Pass",L47="N/A",L47="")),"PASS","PENDING")))</f>
        <v/>
      </c>
      <c r="N47" s="32" t="str">
        <f aca="false">IFERROR(IF(A47="","",N46+G47),"")</f>
        <v/>
      </c>
      <c r="O47" s="31"/>
      <c r="P47" s="29"/>
      <c r="Q47" s="29"/>
      <c r="R47" s="29"/>
      <c r="S47" s="29"/>
    </row>
    <row r="48" customFormat="false" ht="15" hidden="false" customHeight="false" outlineLevel="0" collapsed="false">
      <c r="A48" s="29"/>
      <c r="B48" s="30"/>
      <c r="C48" s="31"/>
      <c r="D48" s="31"/>
      <c r="E48" s="29"/>
      <c r="F48" s="29"/>
      <c r="G48" s="32" t="n">
        <f aca="false">IFERROR(E48*F48,"")</f>
        <v>0</v>
      </c>
      <c r="H48" s="29"/>
      <c r="I48" s="29"/>
      <c r="J48" s="33" t="str">
        <f aca="false">IF(OR(H48="",I48=""),"",IF(I48&gt;=H48,"OK",IF(I48&gt;=H48*0.67,"MARGINAL","FAIL")))</f>
        <v/>
      </c>
      <c r="K48" s="29"/>
      <c r="L48" s="29"/>
      <c r="M48" s="33" t="str">
        <f aca="false">IF(A48="","",IF(OR(J48="FAIL",L48="Fail"),"FAIL",IF(AND(J48="OK",OR(L48="Pass",L48="N/A",L48="")),"PASS","PENDING")))</f>
        <v/>
      </c>
      <c r="N48" s="32" t="str">
        <f aca="false">IFERROR(IF(A48="","",N47+G48),"")</f>
        <v/>
      </c>
      <c r="O48" s="31"/>
      <c r="P48" s="29"/>
      <c r="Q48" s="29"/>
      <c r="R48" s="29"/>
      <c r="S48" s="29"/>
    </row>
  </sheetData>
  <autoFilter ref="A7:S48"/>
  <mergeCells count="2">
    <mergeCell ref="A1:O1"/>
    <mergeCell ref="P6:S6"/>
  </mergeCells>
  <conditionalFormatting sqref="M8:M48">
    <cfRule type="cellIs" priority="2" operator="equal" aboveAverage="0" equalAverage="0" bottom="0" percent="0" rank="0" text="" dxfId="7">
      <formula>"PASS"</formula>
    </cfRule>
    <cfRule type="cellIs" priority="3" operator="equal" aboveAverage="0" equalAverage="0" bottom="0" percent="0" rank="0" text="" dxfId="8">
      <formula>"FAIL"</formula>
    </cfRule>
    <cfRule type="cellIs" priority="4" operator="equal" aboveAverage="0" equalAverage="0" bottom="0" percent="0" rank="0" text="" dxfId="9">
      <formula>"PENDING"</formula>
    </cfRule>
  </conditionalFormatting>
  <conditionalFormatting sqref="J8:J48">
    <cfRule type="cellIs" priority="5" operator="equal" aboveAverage="0" equalAverage="0" bottom="0" percent="0" rank="0" text="" dxfId="10">
      <formula>"OK"</formula>
    </cfRule>
    <cfRule type="cellIs" priority="6" operator="equal" aboveAverage="0" equalAverage="0" bottom="0" percent="0" rank="0" text="" dxfId="11">
      <formula>"MARGINAL"</formula>
    </cfRule>
    <cfRule type="cellIs" priority="7" operator="equal" aboveAverage="0" equalAverage="0" bottom="0" percent="0" rank="0" text="" dxfId="12">
      <formula>"FAIL"</formula>
    </cfRule>
  </conditionalFormatting>
  <conditionalFormatting sqref="L8:L48">
    <cfRule type="cellIs" priority="8" operator="equal" aboveAverage="0" equalAverage="0" bottom="0" percent="0" rank="0" text="" dxfId="10">
      <formula>"Pass"</formula>
    </cfRule>
    <cfRule type="cellIs" priority="9" operator="equal" aboveAverage="0" equalAverage="0" bottom="0" percent="0" rank="0" text="" dxfId="12">
      <formula>"Fail"</formula>
    </cfRule>
  </conditionalFormatting>
  <dataValidations count="3">
    <dataValidation allowBlank="true" errorStyle="stop" operator="between" showDropDown="false" showErrorMessage="false" showInputMessage="false" sqref="C8:C48" type="list">
      <formula1>"Separation Geotextile,Filter Geotextile,HDPE Liner,LLDPE Liner,Bentonite Mat (GCL),Root Barrier,DPM,Other"</formula1>
      <formula2>0</formula2>
    </dataValidation>
    <dataValidation allowBlank="true" errorStyle="stop" operator="between" showDropDown="false" showErrorMessage="false" showInputMessage="false" sqref="K8:K48" type="list">
      <formula1>"Air Lance,Vacuum Box,Peel Test,Shear Test,N/A"</formula1>
      <formula2>0</formula2>
    </dataValidation>
    <dataValidation allowBlank="true" errorStyle="stop" operator="between" showDropDown="false" showErrorMessage="false" showInputMessage="false" sqref="L8:L48" type="list">
      <formula1>"Pass,Fail,N/A"</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&amp;CGeotextile / Membrane Installation Record</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4" t="s">
        <v>91</v>
      </c>
    </row>
    <row r="2" customFormat="false" ht="15" hidden="false" customHeight="false" outlineLevel="0" collapsed="false">
      <c r="A2" s="34"/>
    </row>
    <row r="3" customFormat="false" ht="15" hidden="false" customHeight="false" outlineLevel="0" collapsed="false">
      <c r="A3" s="34" t="s">
        <v>92</v>
      </c>
    </row>
    <row r="4" customFormat="false" ht="15" hidden="false" customHeight="false" outlineLevel="0" collapsed="false">
      <c r="A4" s="34"/>
    </row>
    <row r="5" customFormat="false" ht="15" hidden="false" customHeight="false" outlineLevel="0" collapsed="false">
      <c r="A5" s="34" t="s">
        <v>93</v>
      </c>
    </row>
    <row r="6" customFormat="false" ht="15" hidden="false" customHeight="false" outlineLevel="0" collapsed="false">
      <c r="A6" s="34"/>
    </row>
    <row r="7" customFormat="false" ht="15" hidden="false" customHeight="false" outlineLevel="0" collapsed="false">
      <c r="A7" s="34" t="s">
        <v>94</v>
      </c>
    </row>
    <row r="8" customFormat="false" ht="15" hidden="false" customHeight="false" outlineLevel="0" collapsed="false">
      <c r="A8" s="34"/>
    </row>
    <row r="9" customFormat="false" ht="15" hidden="false" customHeight="false" outlineLevel="0" collapsed="false">
      <c r="A9" s="34" t="s">
        <v>95</v>
      </c>
    </row>
    <row r="10" customFormat="false" ht="15" hidden="false" customHeight="false" outlineLevel="0" collapsed="false">
      <c r="A10" s="34"/>
    </row>
    <row r="11" customFormat="false" ht="15" hidden="false" customHeight="false" outlineLevel="0" collapsed="false">
      <c r="A11" s="34" t="s">
        <v>96</v>
      </c>
    </row>
    <row r="12" customFormat="false" ht="15" hidden="false" customHeight="false" outlineLevel="0" collapsed="false">
      <c r="A12" s="34"/>
    </row>
    <row r="13" customFormat="false" ht="15" hidden="false" customHeight="false" outlineLevel="0" collapsed="false">
      <c r="A13" s="34" t="s">
        <v>97</v>
      </c>
    </row>
    <row r="14" customFormat="false" ht="15" hidden="false" customHeight="false" outlineLevel="0" collapsed="false">
      <c r="A14" s="34"/>
    </row>
    <row r="15" customFormat="false" ht="15" hidden="false" customHeight="false" outlineLevel="0" collapsed="false">
      <c r="A15" s="34" t="s">
        <v>98</v>
      </c>
    </row>
    <row r="16" customFormat="false" ht="15" hidden="false" customHeight="false" outlineLevel="0" collapsed="false">
      <c r="A16" s="34"/>
    </row>
    <row r="17" customFormat="false" ht="15" hidden="false" customHeight="false" outlineLevel="0" collapsed="false">
      <c r="A17" s="34" t="s">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Civils &amp; Groundworks</cp:category>
  <dcterms:created xsi:type="dcterms:W3CDTF">2026-03-23T13:49:24Z</dcterms:created>
  <dc:creator>Ebrora Ltd</dc:creator>
  <dc:description>Record geotextile and membrane installations with panel tracking, overlap verification, seam testing, and coverage calculations.
Free professional construction management template from Ebrora Ltd. Visit ebrora.com for our full range of tools and templates.</dc:description>
  <cp:keywords>Ebrora construction civils geotextile membrane HDPE liner installation groundworks</cp:keywords>
  <dc:language>en-US</dc:language>
  <cp:lastModifiedBy>Ebrora Ltd</cp:lastModifiedBy>
  <dcterms:modified xsi:type="dcterms:W3CDTF">2026-03-23T13:49:24Z</dcterms:modified>
  <cp:revision>0</cp:revision>
  <dc:subject>Record geotextile and membrane installations with panel tracking, overlap verification, and seam testing.</dc:subject>
  <dc:title>Geotextile / Membrane Installation Record</dc:title>
</cp:coreProperties>
</file>

<file path=docProps/custom.xml><?xml version="1.0" encoding="utf-8"?>
<Properties xmlns="http://schemas.openxmlformats.org/officeDocument/2006/custom-properties" xmlns:vt="http://schemas.openxmlformats.org/officeDocument/2006/docPropsVTypes"/>
</file>