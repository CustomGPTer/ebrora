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eekly Safety Checklis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1" name="_xlnm.Print_Area" vbProcedure="false">Instructions!$A$1:$F$29</definedName>
    <definedName function="false" hidden="false" localSheetId="2" name="_xlnm.Print_Area" vbProcedure="false">'Weekly Safety Checklist'!$A$1:$J$61</definedName>
    <definedName function="false" hidden="true" localSheetId="2" name="_xlnm._FilterDatabase" vbProcedure="false">'Weekly Safety Checklist'!$A$8:$P$8</definedName>
    <definedName function="false" hidden="false" name="DataTable" vbProcedure="false">'Weekly Safety Checklist'!$A$8:$P$508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<sst xmlns="http://schemas.openxmlformats.org/spreadsheetml/2006/main" count="213" uniqueCount="141">
  <si>
    <t xml:space="preserve">EBRORA</t>
  </si>
  <si>
    <t xml:space="preserve">ebrora.com</t>
  </si>
  <si>
    <t xml:space="preserve">Weekly Safety Inspection Checklist</t>
  </si>
  <si>
    <t xml:space="preserve">A structured weekly walkround checklist covering housekeeping, access, scaffolding, excavations, welfare, fire safety, PPE, plant, and environmental compliance.</t>
  </si>
  <si>
    <t xml:space="preserve">This is a free template from Ebrora.
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</si>
  <si>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</si>
  <si>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</si>
  <si>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</si>
  <si>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</si>
  <si>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Go to the “Weekly Safety Checklist” tab. The checklist is pre-populated with 20 standard inspection items grouped by category.</t>
  </si>
  <si>
    <t xml:space="preserve">2.</t>
  </si>
  <si>
    <t xml:space="preserve">Carry out your weekly walkround and work through each check item. Select “Yes” (compliant), “No” (non-compliant), or “N/A” (not applicable this week) in the Compliant column.</t>
  </si>
  <si>
    <t xml:space="preserve">3.</t>
  </si>
  <si>
    <t xml:space="preserve">For any non-compliant item, set the Priority (Low, Medium, High, or Critical) and describe the Action Required.</t>
  </si>
  <si>
    <t xml:space="preserve">4.</t>
  </si>
  <si>
    <t xml:space="preserve">Assign the action to a named person in “Assigned To” and set a Due Date for resolution.</t>
  </si>
  <si>
    <t xml:space="preserve">5.</t>
  </si>
  <si>
    <t xml:space="preserve">Set the Status to “Open” for new actions. Update to “Closed” once the action is complete.</t>
  </si>
  <si>
    <t xml:space="preserve">6.</t>
  </si>
  <si>
    <t xml:space="preserve">Enter the inspector’s name in “Inspected By” (usually the site manager or HSE advisor carrying out the walkround).</t>
  </si>
  <si>
    <t xml:space="preserve">7.</t>
  </si>
  <si>
    <t xml:space="preserve">For additional detail, expand the optional columns: Location/Area, Photo Ref, Date Closed, Root Cause, Follow-Up Required, and Notes.</t>
  </si>
  <si>
    <t xml:space="preserve">8.</t>
  </si>
  <si>
    <t xml:space="preserve">You can add extra check items below the pre-populated ones, or delete items not relevant to your site.</t>
  </si>
  <si>
    <t xml:space="preserve">9.</t>
  </si>
  <si>
    <t xml:space="preserve">The summary dashboard at the top auto-calculates compliance rate, non-compliant items, open and overdue actions, and a priority breakdown.</t>
  </si>
  <si>
    <t xml:space="preserve">10.</t>
  </si>
  <si>
    <t xml:space="preserve">Duplicate this sheet each week (right-click tab → Move or Copy → tick “Create a copy”) to build a running record of weekly inspections.</t>
  </si>
  <si>
    <t xml:space="preserve">Colour Key</t>
  </si>
  <si>
    <t xml:space="preserve">•</t>
  </si>
  <si>
    <t xml:space="preserve">Light teal cells (#E8F6F7) = User input / editable fields.</t>
  </si>
  <si>
    <t xml:space="preserve">Dark navy headers (#1B2A4A) = Column headers. Do not edit.</t>
  </si>
  <si>
    <t xml:space="preserve">Teal-filled rows = Category header rows (Housekeeping, Access/Egress, etc.).</t>
  </si>
  <si>
    <t xml:space="preserve">Compliant column: Green = Yes, Red = No.</t>
  </si>
  <si>
    <t xml:space="preserve">Priority row colours: Green = Low, Amber = Medium, Red = High/Critical.</t>
  </si>
  <si>
    <t xml:space="preserve">Status: Red = Open, Green = Closed.</t>
  </si>
  <si>
    <t xml:space="preserve">Red cell in Due Date = Action is overdue (past today, status still Open).</t>
  </si>
  <si>
    <t xml:space="preserve">Tips</t>
  </si>
  <si>
    <t xml:space="preserve">Conduct your weekly safety inspection on the same day each week (e.g. every Monday morning) so it becomes routine. Consistency drives compliance.</t>
  </si>
  <si>
    <t xml:space="preserve">Walk the entire site during the inspection — don’t just check the areas where work is active. Idle areas accumulate hazards.</t>
  </si>
  <si>
    <t xml:space="preserve">Close out actions promptly. Review all Open items at your weekly safety meeting and escalate anything overdue.</t>
  </si>
  <si>
    <t xml:space="preserve">WEEKLY SAFETY INSPECTION CHECKLIST</t>
  </si>
  <si>
    <t xml:space="preserve">Inspection Date:</t>
  </si>
  <si>
    <t xml:space="preserve">Inspector Name:</t>
  </si>
  <si>
    <t xml:space="preserve">M. Davies (Site Manager)</t>
  </si>
  <si>
    <t xml:space="preserve">Weather:</t>
  </si>
  <si>
    <t xml:space="preserve">Overcast, dry, light wind</t>
  </si>
  <si>
    <t xml:space="preserve">Total Items:</t>
  </si>
  <si>
    <t xml:space="preserve">Compliance Rate:</t>
  </si>
  <si>
    <t xml:space="preserve">Non-Compliant:</t>
  </si>
  <si>
    <t xml:space="preserve">Open Actions:</t>
  </si>
  <si>
    <t xml:space="preserve">Overdue Actions:</t>
  </si>
  <si>
    <t xml:space="preserve">Closed Actions:</t>
  </si>
  <si>
    <t xml:space="preserve">Low:</t>
  </si>
  <si>
    <t xml:space="preserve">Medium:</t>
  </si>
  <si>
    <t xml:space="preserve">High:</t>
  </si>
  <si>
    <t xml:space="preserve">Critical:</t>
  </si>
  <si>
    <t xml:space="preserve">▸ Optional Fields — Click [+] to expand</t>
  </si>
  <si>
    <t xml:space="preserve">Item No.</t>
  </si>
  <si>
    <t xml:space="preserve">Inspection Category</t>
  </si>
  <si>
    <t xml:space="preserve">Check Item</t>
  </si>
  <si>
    <t xml:space="preserve">Compliant</t>
  </si>
  <si>
    <t xml:space="preserve">Priority</t>
  </si>
  <si>
    <t xml:space="preserve">Action Required</t>
  </si>
  <si>
    <t xml:space="preserve">Assigned To</t>
  </si>
  <si>
    <t xml:space="preserve">Due Date</t>
  </si>
  <si>
    <t xml:space="preserve">Status</t>
  </si>
  <si>
    <t xml:space="preserve">Inspected By</t>
  </si>
  <si>
    <t xml:space="preserve">Location / Area</t>
  </si>
  <si>
    <t xml:space="preserve">Photo Ref</t>
  </si>
  <si>
    <t xml:space="preserve">Date Closed</t>
  </si>
  <si>
    <t xml:space="preserve">Root Cause</t>
  </si>
  <si>
    <t xml:space="preserve">Follow-Up Req (Y/N)</t>
  </si>
  <si>
    <t xml:space="preserve">Notes</t>
  </si>
  <si>
    <t xml:space="preserve">HOUSEKEEPING</t>
  </si>
  <si>
    <t xml:space="preserve">Housekeeping</t>
  </si>
  <si>
    <t xml:space="preserve">Site areas clean and tidy, free from unnecessary materials and waste</t>
  </si>
  <si>
    <t xml:space="preserve">Yes</t>
  </si>
  <si>
    <t xml:space="preserve">M. Davies</t>
  </si>
  <si>
    <t xml:space="preserve">Walkways and access routes clear of obstructions and trip hazards</t>
  </si>
  <si>
    <t xml:space="preserve">No</t>
  </si>
  <si>
    <t xml:space="preserve">Medium</t>
  </si>
  <si>
    <t xml:space="preserve">Remove stacked formwork from main walkway. Install barrier.</t>
  </si>
  <si>
    <t xml:space="preserve">D. Evans</t>
  </si>
  <si>
    <t xml:space="preserve">Open</t>
  </si>
  <si>
    <t xml:space="preserve">Waste segregated correctly (general, timber, metal, hazardous)</t>
  </si>
  <si>
    <t xml:space="preserve">ACCESS / EGRESS</t>
  </si>
  <si>
    <t xml:space="preserve">Access / Egress</t>
  </si>
  <si>
    <t xml:space="preserve">Site entrance and exit points clearly signed and unobstructed</t>
  </si>
  <si>
    <t xml:space="preserve">Pedestrian and vehicle routes clearly segregated with barriers/signage</t>
  </si>
  <si>
    <t xml:space="preserve">Emergency escape routes clear and signed</t>
  </si>
  <si>
    <t xml:space="preserve">SCAFFOLDING</t>
  </si>
  <si>
    <t xml:space="preserve">Scaffolding</t>
  </si>
  <si>
    <t xml:space="preserve">All scaffolds have current inspection tags (within 7 days)</t>
  </si>
  <si>
    <t xml:space="preserve">Toe boards, guard rails, and brick guards in place on all working platforms</t>
  </si>
  <si>
    <t xml:space="preserve">High</t>
  </si>
  <si>
    <t xml:space="preserve">Missing toe boards on SC-07 level 2 landing. Scaffold tagged DO NOT USE.</t>
  </si>
  <si>
    <t xml:space="preserve">K. Price</t>
  </si>
  <si>
    <t xml:space="preserve">Scaffold access ladders secured and in good condition</t>
  </si>
  <si>
    <t xml:space="preserve">EXCAVATIONS</t>
  </si>
  <si>
    <t xml:space="preserve">Excavations</t>
  </si>
  <si>
    <t xml:space="preserve">All excavations fenced/barriered with edge protection</t>
  </si>
  <si>
    <t xml:space="preserve">Excavation support (shoring/battering) in place and adequate</t>
  </si>
  <si>
    <t xml:space="preserve">N/A</t>
  </si>
  <si>
    <t xml:space="preserve">WELFARE</t>
  </si>
  <si>
    <t xml:space="preserve">Welfare</t>
  </si>
  <si>
    <t xml:space="preserve">Toilet and washing facilities clean, stocked, and operational</t>
  </si>
  <si>
    <t xml:space="preserve">Drying room / changing facilities available and adequate</t>
  </si>
  <si>
    <t xml:space="preserve">Drinking water available and clearly labelled</t>
  </si>
  <si>
    <t xml:space="preserve">FIRE SAFETY</t>
  </si>
  <si>
    <t xml:space="preserve">Fire Safety</t>
  </si>
  <si>
    <t xml:space="preserve">Fire extinguishers in place, accessible, and within inspection date</t>
  </si>
  <si>
    <t xml:space="preserve">Fire assembly point clearly signed and accessible</t>
  </si>
  <si>
    <t xml:space="preserve">PPE COMPLIANCE</t>
  </si>
  <si>
    <t xml:space="preserve">PPE Compliance</t>
  </si>
  <si>
    <t xml:space="preserve">All operatives wearing correct PPE for their activity</t>
  </si>
  <si>
    <t xml:space="preserve">Low</t>
  </si>
  <si>
    <t xml:space="preserve">2 operatives in compound area without hi-vis. Verbal warning given.</t>
  </si>
  <si>
    <t xml:space="preserve">R. Thomas</t>
  </si>
  <si>
    <t xml:space="preserve">RPE / hearing protection being used where required</t>
  </si>
  <si>
    <t xml:space="preserve">PLANT &amp; EQUIPMENT</t>
  </si>
  <si>
    <t xml:space="preserve">Plant &amp; Equipment</t>
  </si>
  <si>
    <t xml:space="preserve">All plant has current inspection/test certificates displayed</t>
  </si>
  <si>
    <t xml:space="preserve">Pre-use checks being completed and recorded by operators</t>
  </si>
  <si>
    <t xml:space="preserve">Exclusion zones around plant operations maintained</t>
  </si>
  <si>
    <t xml:space="preserve">ENVIRONMENTAL</t>
  </si>
  <si>
    <t xml:space="preserve">Environmental</t>
  </si>
  <si>
    <t xml:space="preserve">Dust suppression measures in place and operational</t>
  </si>
  <si>
    <t xml:space="preserve">Spill kits available and stocked near fuel/chemical storage</t>
  </si>
  <si>
    <t xml:space="preserve">Site boundary hoarding intact and secure</t>
  </si>
  <si>
    <t xml:space="preserve">Section of hoarding panel loose at south boundary. Needs re-fixing.</t>
  </si>
  <si>
    <t xml:space="preserve">S. Hall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</si>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</sst>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2AABB3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2"/>
      <c r="J2" s="2"/>
    </row>
    <row r="3" customFormat="false" ht="30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2"/>
      <c r="J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  <c r="I4" s="2"/>
      <c r="J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24.7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  <c r="I6" s="2"/>
      <c r="J6" s="2"/>
    </row>
    <row r="7" customFormat="false" ht="24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2"/>
      <c r="J7" s="2"/>
    </row>
    <row r="8" customFormat="false" ht="24.7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2"/>
      <c r="J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  <c r="I10" s="2"/>
      <c r="J10" s="2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2"/>
      <c r="J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  <c r="I14" s="2"/>
      <c r="J14" s="2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2"/>
      <c r="J15" s="2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2"/>
      <c r="J16" s="2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2"/>
      <c r="J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  <c r="I19" s="2"/>
      <c r="J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  <c r="G1" s="2"/>
      <c r="H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9" t="s">
        <v>7</v>
      </c>
      <c r="B4" s="2"/>
      <c r="C4" s="2"/>
      <c r="D4" s="2"/>
      <c r="E4" s="2"/>
      <c r="F4" s="2"/>
      <c r="G4" s="2"/>
      <c r="H4" s="2"/>
    </row>
    <row r="5" customFormat="false" ht="15" hidden="false" customHeight="true" outlineLevel="0" collapsed="false">
      <c r="A5" s="10" t="s">
        <v>8</v>
      </c>
      <c r="B5" s="11" t="s">
        <v>9</v>
      </c>
      <c r="C5" s="11"/>
      <c r="D5" s="11"/>
      <c r="E5" s="11"/>
      <c r="F5" s="11"/>
      <c r="G5" s="2"/>
      <c r="H5" s="2"/>
    </row>
    <row r="6" customFormat="false" ht="23.85" hidden="false" customHeight="true" outlineLevel="0" collapsed="false">
      <c r="A6" s="10" t="s">
        <v>10</v>
      </c>
      <c r="B6" s="11" t="s">
        <v>11</v>
      </c>
      <c r="C6" s="11"/>
      <c r="D6" s="11"/>
      <c r="E6" s="11"/>
      <c r="F6" s="11"/>
      <c r="G6" s="2"/>
      <c r="H6" s="2"/>
    </row>
    <row r="7" customFormat="false" ht="15" hidden="false" customHeight="true" outlineLevel="0" collapsed="false">
      <c r="A7" s="10" t="s">
        <v>12</v>
      </c>
      <c r="B7" s="11" t="s">
        <v>13</v>
      </c>
      <c r="C7" s="11"/>
      <c r="D7" s="11"/>
      <c r="E7" s="11"/>
      <c r="F7" s="11"/>
      <c r="G7" s="2"/>
      <c r="H7" s="2"/>
    </row>
    <row r="8" customFormat="false" ht="15" hidden="false" customHeight="true" outlineLevel="0" collapsed="false">
      <c r="A8" s="10" t="s">
        <v>14</v>
      </c>
      <c r="B8" s="11" t="s">
        <v>15</v>
      </c>
      <c r="C8" s="11"/>
      <c r="D8" s="11"/>
      <c r="E8" s="11"/>
      <c r="F8" s="11"/>
      <c r="G8" s="2"/>
      <c r="H8" s="2"/>
    </row>
    <row r="9" customFormat="false" ht="15" hidden="false" customHeight="true" outlineLevel="0" collapsed="false">
      <c r="A9" s="10" t="s">
        <v>16</v>
      </c>
      <c r="B9" s="11" t="s">
        <v>17</v>
      </c>
      <c r="C9" s="11"/>
      <c r="D9" s="11"/>
      <c r="E9" s="11"/>
      <c r="F9" s="11"/>
      <c r="G9" s="2"/>
      <c r="H9" s="2"/>
    </row>
    <row r="10" customFormat="false" ht="15" hidden="false" customHeight="true" outlineLevel="0" collapsed="false">
      <c r="A10" s="10" t="s">
        <v>18</v>
      </c>
      <c r="B10" s="11" t="s">
        <v>19</v>
      </c>
      <c r="C10" s="11"/>
      <c r="D10" s="11"/>
      <c r="E10" s="11"/>
      <c r="F10" s="11"/>
      <c r="G10" s="2"/>
      <c r="H10" s="2"/>
    </row>
    <row r="11" customFormat="false" ht="15" hidden="false" customHeight="true" outlineLevel="0" collapsed="false">
      <c r="A11" s="10" t="s">
        <v>20</v>
      </c>
      <c r="B11" s="11" t="s">
        <v>21</v>
      </c>
      <c r="C11" s="11"/>
      <c r="D11" s="11"/>
      <c r="E11" s="11"/>
      <c r="F11" s="11"/>
      <c r="G11" s="2"/>
      <c r="H11" s="2"/>
    </row>
    <row r="12" customFormat="false" ht="15" hidden="false" customHeight="true" outlineLevel="0" collapsed="false">
      <c r="A12" s="10" t="s">
        <v>22</v>
      </c>
      <c r="B12" s="11" t="s">
        <v>23</v>
      </c>
      <c r="C12" s="11"/>
      <c r="D12" s="11"/>
      <c r="E12" s="11"/>
      <c r="F12" s="11"/>
      <c r="G12" s="2"/>
      <c r="H12" s="2"/>
    </row>
    <row r="13" customFormat="false" ht="15" hidden="false" customHeight="true" outlineLevel="0" collapsed="false">
      <c r="A13" s="10" t="s">
        <v>24</v>
      </c>
      <c r="B13" s="11" t="s">
        <v>25</v>
      </c>
      <c r="C13" s="11"/>
      <c r="D13" s="11"/>
      <c r="E13" s="11"/>
      <c r="F13" s="11"/>
      <c r="G13" s="2"/>
      <c r="H13" s="2"/>
    </row>
    <row r="14" customFormat="false" ht="15" hidden="false" customHeight="true" outlineLevel="0" collapsed="false">
      <c r="A14" s="10" t="s">
        <v>26</v>
      </c>
      <c r="B14" s="11" t="s">
        <v>27</v>
      </c>
      <c r="C14" s="11"/>
      <c r="D14" s="11"/>
      <c r="E14" s="11"/>
      <c r="F14" s="11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9" t="s">
        <v>28</v>
      </c>
      <c r="B16" s="2"/>
      <c r="C16" s="2"/>
      <c r="D16" s="2"/>
      <c r="E16" s="2"/>
      <c r="F16" s="2"/>
      <c r="G16" s="2"/>
      <c r="H16" s="2"/>
    </row>
    <row r="17" customFormat="false" ht="15" hidden="false" customHeight="true" outlineLevel="0" collapsed="false">
      <c r="A17" s="10" t="s">
        <v>29</v>
      </c>
      <c r="B17" s="11" t="s">
        <v>30</v>
      </c>
      <c r="C17" s="11"/>
      <c r="D17" s="11"/>
      <c r="E17" s="11"/>
      <c r="F17" s="11"/>
      <c r="G17" s="2"/>
      <c r="H17" s="2"/>
    </row>
    <row r="18" customFormat="false" ht="15" hidden="false" customHeight="true" outlineLevel="0" collapsed="false">
      <c r="A18" s="10" t="s">
        <v>29</v>
      </c>
      <c r="B18" s="11" t="s">
        <v>31</v>
      </c>
      <c r="C18" s="11"/>
      <c r="D18" s="11"/>
      <c r="E18" s="11"/>
      <c r="F18" s="11"/>
      <c r="G18" s="2"/>
      <c r="H18" s="2"/>
    </row>
    <row r="19" customFormat="false" ht="15" hidden="false" customHeight="true" outlineLevel="0" collapsed="false">
      <c r="A19" s="10" t="s">
        <v>29</v>
      </c>
      <c r="B19" s="11" t="s">
        <v>32</v>
      </c>
      <c r="C19" s="11"/>
      <c r="D19" s="11"/>
      <c r="E19" s="11"/>
      <c r="F19" s="11"/>
      <c r="G19" s="2"/>
      <c r="H19" s="2"/>
    </row>
    <row r="20" customFormat="false" ht="15" hidden="false" customHeight="true" outlineLevel="0" collapsed="false">
      <c r="A20" s="10" t="s">
        <v>29</v>
      </c>
      <c r="B20" s="11" t="s">
        <v>33</v>
      </c>
      <c r="C20" s="11"/>
      <c r="D20" s="11"/>
      <c r="E20" s="11"/>
      <c r="F20" s="11"/>
      <c r="G20" s="2"/>
      <c r="H20" s="2"/>
    </row>
    <row r="21" customFormat="false" ht="15" hidden="false" customHeight="true" outlineLevel="0" collapsed="false">
      <c r="A21" s="10" t="s">
        <v>29</v>
      </c>
      <c r="B21" s="11" t="s">
        <v>34</v>
      </c>
      <c r="C21" s="11"/>
      <c r="D21" s="11"/>
      <c r="E21" s="11"/>
      <c r="F21" s="11"/>
      <c r="G21" s="2"/>
      <c r="H21" s="2"/>
    </row>
    <row r="22" customFormat="false" ht="15" hidden="false" customHeight="true" outlineLevel="0" collapsed="false">
      <c r="A22" s="10" t="s">
        <v>29</v>
      </c>
      <c r="B22" s="11" t="s">
        <v>35</v>
      </c>
      <c r="C22" s="11"/>
      <c r="D22" s="11"/>
      <c r="E22" s="11"/>
      <c r="F22" s="11"/>
      <c r="G22" s="2"/>
      <c r="H22" s="2"/>
    </row>
    <row r="23" customFormat="false" ht="15" hidden="false" customHeight="true" outlineLevel="0" collapsed="false">
      <c r="A23" s="10" t="s">
        <v>29</v>
      </c>
      <c r="B23" s="11" t="s">
        <v>36</v>
      </c>
      <c r="C23" s="11"/>
      <c r="D23" s="11"/>
      <c r="E23" s="11"/>
      <c r="F23" s="11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9" t="s">
        <v>37</v>
      </c>
      <c r="B25" s="2"/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A26" s="10" t="s">
        <v>29</v>
      </c>
      <c r="B26" s="11" t="s">
        <v>38</v>
      </c>
      <c r="C26" s="11"/>
      <c r="D26" s="11"/>
      <c r="E26" s="11"/>
      <c r="F26" s="11"/>
      <c r="G26" s="2"/>
      <c r="H26" s="2"/>
    </row>
    <row r="27" customFormat="false" ht="15" hidden="false" customHeight="true" outlineLevel="0" collapsed="false">
      <c r="A27" s="10" t="s">
        <v>29</v>
      </c>
      <c r="B27" s="11" t="s">
        <v>39</v>
      </c>
      <c r="C27" s="11"/>
      <c r="D27" s="11"/>
      <c r="E27" s="11"/>
      <c r="F27" s="11"/>
      <c r="G27" s="2"/>
      <c r="H27" s="2"/>
    </row>
    <row r="28" customFormat="false" ht="15" hidden="false" customHeight="true" outlineLevel="0" collapsed="false">
      <c r="A28" s="10" t="s">
        <v>29</v>
      </c>
      <c r="B28" s="11" t="s">
        <v>40</v>
      </c>
      <c r="C28" s="11"/>
      <c r="D28" s="11"/>
      <c r="E28" s="11"/>
      <c r="F28" s="11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</sheetData>
  <mergeCells count="21">
    <mergeCell ref="A1:F1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7:F17"/>
    <mergeCell ref="B18:F18"/>
    <mergeCell ref="B19:F19"/>
    <mergeCell ref="B20:F20"/>
    <mergeCell ref="B21:F21"/>
    <mergeCell ref="B22:F22"/>
    <mergeCell ref="B23:F23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35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true" outlineLevel="1" max="16" min="11" style="0" width="20"/>
  </cols>
  <sheetData>
    <row r="1" customFormat="false" ht="17.35" hidden="false" customHeight="false" outlineLevel="0" collapsed="false">
      <c r="A1" s="12" t="s">
        <v>41</v>
      </c>
      <c r="B1" s="12"/>
      <c r="C1" s="12"/>
    </row>
    <row r="2" customFormat="false" ht="15" hidden="false" customHeight="false" outlineLevel="0" collapsed="false">
      <c r="A2" s="13" t="s">
        <v>42</v>
      </c>
      <c r="B2" s="14" t="n">
        <v>46101</v>
      </c>
      <c r="C2" s="13" t="s">
        <v>43</v>
      </c>
      <c r="D2" s="15" t="s">
        <v>44</v>
      </c>
      <c r="E2" s="15"/>
      <c r="F2" s="13" t="s">
        <v>45</v>
      </c>
      <c r="G2" s="15" t="s">
        <v>46</v>
      </c>
    </row>
    <row r="3" customFormat="false" ht="15" hidden="false" customHeight="false" outlineLevel="0" collapsed="false">
      <c r="A3" s="13" t="s">
        <v>47</v>
      </c>
      <c r="B3" s="16" t="n">
        <f aca="false">COUNTA(D9:D508)-COUNTIF(D9:D508,"N/A")</f>
        <v>23</v>
      </c>
      <c r="D3" s="13" t="s">
        <v>48</v>
      </c>
      <c r="E3" s="17" t="n">
        <f aca="false">IFERROR(COUNTIF(D9:D508,"Yes")/(COUNTA(D9:D508)-COUNTIF(D9:D508,"N/A")),"")</f>
        <v>0.826086956521739</v>
      </c>
      <c r="G3" s="13" t="s">
        <v>49</v>
      </c>
      <c r="H3" s="18" t="n">
        <f aca="false">COUNTIF(D9:D508,"No")</f>
        <v>4</v>
      </c>
    </row>
    <row r="4" customFormat="false" ht="15" hidden="false" customHeight="false" outlineLevel="0" collapsed="false">
      <c r="A4" s="13" t="s">
        <v>50</v>
      </c>
      <c r="B4" s="18" t="n">
        <f aca="false">COUNTIF(I9:I508,"Open")</f>
        <v>4</v>
      </c>
      <c r="D4" s="13" t="s">
        <v>51</v>
      </c>
      <c r="E4" s="18" t="n">
        <f aca="true">COUNTIFS(H9:H508,"&lt;"&amp;TODAY(),I9:I508,"Open",H9:H508,"&lt;&gt;")</f>
        <v>0</v>
      </c>
      <c r="G4" s="13" t="s">
        <v>52</v>
      </c>
      <c r="H4" s="16" t="n">
        <f aca="false">COUNTIF(I9:I508,"Closed")</f>
        <v>0</v>
      </c>
    </row>
    <row r="5" customFormat="false" ht="15" hidden="false" customHeight="false" outlineLevel="0" collapsed="false">
      <c r="A5" s="19" t="s">
        <v>53</v>
      </c>
      <c r="B5" s="16" t="n">
        <f aca="false">COUNTIF(E9:E508,"Low")</f>
        <v>1</v>
      </c>
      <c r="C5" s="20" t="s">
        <v>54</v>
      </c>
      <c r="D5" s="16" t="n">
        <f aca="false">COUNTIF(E9:E508,"Medium")</f>
        <v>2</v>
      </c>
      <c r="E5" s="21" t="s">
        <v>55</v>
      </c>
      <c r="F5" s="16" t="n">
        <f aca="false">COUNTIF(E9:E508,"High")</f>
        <v>1</v>
      </c>
      <c r="G5" s="21" t="s">
        <v>56</v>
      </c>
      <c r="H5" s="18" t="n">
        <f aca="false">COUNTIF(E9:E508,"Critical")</f>
        <v>0</v>
      </c>
    </row>
    <row r="7" customFormat="false" ht="22.35" hidden="false" customHeight="true" outlineLevel="0" collapsed="false">
      <c r="K7" s="22" t="s">
        <v>57</v>
      </c>
      <c r="L7" s="22"/>
      <c r="M7" s="22"/>
      <c r="N7" s="22"/>
      <c r="O7" s="22"/>
      <c r="P7" s="22"/>
    </row>
    <row r="8" customFormat="false" ht="28.35" hidden="false" customHeight="false" outlineLevel="0" collapsed="false">
      <c r="A8" s="23" t="s">
        <v>58</v>
      </c>
      <c r="B8" s="23" t="s">
        <v>59</v>
      </c>
      <c r="C8" s="23" t="s">
        <v>60</v>
      </c>
      <c r="D8" s="23" t="s">
        <v>61</v>
      </c>
      <c r="E8" s="23" t="s">
        <v>62</v>
      </c>
      <c r="F8" s="23" t="s">
        <v>63</v>
      </c>
      <c r="G8" s="23" t="s">
        <v>64</v>
      </c>
      <c r="H8" s="23" t="s">
        <v>65</v>
      </c>
      <c r="I8" s="23" t="s">
        <v>66</v>
      </c>
      <c r="J8" s="23" t="s">
        <v>67</v>
      </c>
      <c r="K8" s="23" t="s">
        <v>68</v>
      </c>
      <c r="L8" s="23" t="s">
        <v>69</v>
      </c>
      <c r="M8" s="23" t="s">
        <v>70</v>
      </c>
      <c r="N8" s="23" t="s">
        <v>71</v>
      </c>
      <c r="O8" s="23" t="s">
        <v>72</v>
      </c>
      <c r="P8" s="23" t="s">
        <v>73</v>
      </c>
    </row>
    <row r="9" customFormat="false" ht="21.75" hidden="false" customHeight="true" outlineLevel="0" collapsed="false">
      <c r="A9" s="24" t="s">
        <v>74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customFormat="false" ht="27.75" hidden="false" customHeight="true" outlineLevel="0" collapsed="false">
      <c r="A10" s="25" t="n">
        <v>1</v>
      </c>
      <c r="B10" s="26" t="s">
        <v>75</v>
      </c>
      <c r="C10" s="26" t="s">
        <v>76</v>
      </c>
      <c r="D10" s="27" t="s">
        <v>77</v>
      </c>
      <c r="E10" s="27"/>
      <c r="F10" s="26"/>
      <c r="G10" s="26"/>
      <c r="H10" s="28"/>
      <c r="I10" s="27"/>
      <c r="J10" s="26" t="s">
        <v>78</v>
      </c>
      <c r="K10" s="26"/>
      <c r="L10" s="26"/>
      <c r="M10" s="28"/>
      <c r="N10" s="26"/>
      <c r="O10" s="27"/>
      <c r="P10" s="26"/>
    </row>
    <row r="11" customFormat="false" ht="27.75" hidden="false" customHeight="true" outlineLevel="0" collapsed="false">
      <c r="A11" s="25" t="n">
        <v>2</v>
      </c>
      <c r="B11" s="26" t="s">
        <v>75</v>
      </c>
      <c r="C11" s="26" t="s">
        <v>79</v>
      </c>
      <c r="D11" s="27" t="s">
        <v>80</v>
      </c>
      <c r="E11" s="27" t="s">
        <v>81</v>
      </c>
      <c r="F11" s="26" t="s">
        <v>82</v>
      </c>
      <c r="G11" s="26" t="s">
        <v>83</v>
      </c>
      <c r="H11" s="28" t="n">
        <v>46105</v>
      </c>
      <c r="I11" s="27" t="s">
        <v>84</v>
      </c>
      <c r="J11" s="26" t="s">
        <v>78</v>
      </c>
      <c r="K11" s="26"/>
      <c r="L11" s="26"/>
      <c r="M11" s="28"/>
      <c r="N11" s="26"/>
      <c r="O11" s="27"/>
      <c r="P11" s="26"/>
    </row>
    <row r="12" customFormat="false" ht="27.75" hidden="false" customHeight="true" outlineLevel="0" collapsed="false">
      <c r="A12" s="25" t="n">
        <v>3</v>
      </c>
      <c r="B12" s="26" t="s">
        <v>75</v>
      </c>
      <c r="C12" s="26" t="s">
        <v>85</v>
      </c>
      <c r="D12" s="27" t="s">
        <v>77</v>
      </c>
      <c r="E12" s="27"/>
      <c r="F12" s="26"/>
      <c r="G12" s="26"/>
      <c r="H12" s="28"/>
      <c r="I12" s="27"/>
      <c r="J12" s="26" t="s">
        <v>78</v>
      </c>
      <c r="K12" s="26"/>
      <c r="L12" s="26"/>
      <c r="M12" s="28"/>
      <c r="N12" s="26"/>
      <c r="O12" s="27"/>
      <c r="P12" s="26"/>
    </row>
    <row r="13" customFormat="false" ht="21.75" hidden="false" customHeight="true" outlineLevel="0" collapsed="false">
      <c r="A13" s="24" t="s">
        <v>86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customFormat="false" ht="27.75" hidden="false" customHeight="true" outlineLevel="0" collapsed="false">
      <c r="A14" s="25" t="n">
        <v>4</v>
      </c>
      <c r="B14" s="26" t="s">
        <v>87</v>
      </c>
      <c r="C14" s="26" t="s">
        <v>88</v>
      </c>
      <c r="D14" s="27" t="s">
        <v>77</v>
      </c>
      <c r="E14" s="27"/>
      <c r="F14" s="26"/>
      <c r="G14" s="26"/>
      <c r="H14" s="28"/>
      <c r="I14" s="27"/>
      <c r="J14" s="26" t="s">
        <v>78</v>
      </c>
      <c r="K14" s="26"/>
      <c r="L14" s="26"/>
      <c r="M14" s="28"/>
      <c r="N14" s="26"/>
      <c r="O14" s="27"/>
      <c r="P14" s="26"/>
    </row>
    <row r="15" customFormat="false" ht="27.75" hidden="false" customHeight="true" outlineLevel="0" collapsed="false">
      <c r="A15" s="25" t="n">
        <v>5</v>
      </c>
      <c r="B15" s="26" t="s">
        <v>87</v>
      </c>
      <c r="C15" s="26" t="s">
        <v>89</v>
      </c>
      <c r="D15" s="27" t="s">
        <v>77</v>
      </c>
      <c r="E15" s="27"/>
      <c r="F15" s="26"/>
      <c r="G15" s="26"/>
      <c r="H15" s="28"/>
      <c r="I15" s="27"/>
      <c r="J15" s="26" t="s">
        <v>78</v>
      </c>
      <c r="K15" s="26"/>
      <c r="L15" s="26"/>
      <c r="M15" s="28"/>
      <c r="N15" s="26"/>
      <c r="O15" s="27"/>
      <c r="P15" s="26"/>
    </row>
    <row r="16" customFormat="false" ht="27.75" hidden="false" customHeight="true" outlineLevel="0" collapsed="false">
      <c r="A16" s="25" t="n">
        <v>6</v>
      </c>
      <c r="B16" s="26" t="s">
        <v>87</v>
      </c>
      <c r="C16" s="26" t="s">
        <v>90</v>
      </c>
      <c r="D16" s="27" t="s">
        <v>77</v>
      </c>
      <c r="E16" s="27"/>
      <c r="F16" s="26"/>
      <c r="G16" s="26"/>
      <c r="H16" s="28"/>
      <c r="I16" s="27"/>
      <c r="J16" s="26" t="s">
        <v>78</v>
      </c>
      <c r="K16" s="26"/>
      <c r="L16" s="26"/>
      <c r="M16" s="28"/>
      <c r="N16" s="26"/>
      <c r="O16" s="27"/>
      <c r="P16" s="26"/>
    </row>
    <row r="17" customFormat="false" ht="21.75" hidden="false" customHeight="true" outlineLevel="0" collapsed="false">
      <c r="A17" s="24" t="s">
        <v>91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customFormat="false" ht="27.75" hidden="false" customHeight="true" outlineLevel="0" collapsed="false">
      <c r="A18" s="25" t="n">
        <v>7</v>
      </c>
      <c r="B18" s="26" t="s">
        <v>92</v>
      </c>
      <c r="C18" s="26" t="s">
        <v>93</v>
      </c>
      <c r="D18" s="27" t="s">
        <v>77</v>
      </c>
      <c r="E18" s="27"/>
      <c r="F18" s="26"/>
      <c r="G18" s="26"/>
      <c r="H18" s="28"/>
      <c r="I18" s="27"/>
      <c r="J18" s="26" t="s">
        <v>78</v>
      </c>
      <c r="K18" s="26"/>
      <c r="L18" s="26"/>
      <c r="M18" s="28"/>
      <c r="N18" s="26"/>
      <c r="O18" s="27"/>
      <c r="P18" s="26"/>
    </row>
    <row r="19" customFormat="false" ht="27.75" hidden="false" customHeight="true" outlineLevel="0" collapsed="false">
      <c r="A19" s="25" t="n">
        <v>8</v>
      </c>
      <c r="B19" s="26" t="s">
        <v>92</v>
      </c>
      <c r="C19" s="26" t="s">
        <v>94</v>
      </c>
      <c r="D19" s="27" t="s">
        <v>80</v>
      </c>
      <c r="E19" s="27" t="s">
        <v>95</v>
      </c>
      <c r="F19" s="26" t="s">
        <v>96</v>
      </c>
      <c r="G19" s="26" t="s">
        <v>97</v>
      </c>
      <c r="H19" s="28" t="n">
        <v>46103</v>
      </c>
      <c r="I19" s="27" t="s">
        <v>84</v>
      </c>
      <c r="J19" s="26" t="s">
        <v>78</v>
      </c>
      <c r="K19" s="26"/>
      <c r="L19" s="26"/>
      <c r="M19" s="28"/>
      <c r="N19" s="26"/>
      <c r="O19" s="27"/>
      <c r="P19" s="26"/>
    </row>
    <row r="20" customFormat="false" ht="27.75" hidden="false" customHeight="true" outlineLevel="0" collapsed="false">
      <c r="A20" s="25" t="n">
        <v>9</v>
      </c>
      <c r="B20" s="26" t="s">
        <v>92</v>
      </c>
      <c r="C20" s="26" t="s">
        <v>98</v>
      </c>
      <c r="D20" s="27" t="s">
        <v>77</v>
      </c>
      <c r="E20" s="27"/>
      <c r="F20" s="26"/>
      <c r="G20" s="26"/>
      <c r="H20" s="28"/>
      <c r="I20" s="27"/>
      <c r="J20" s="26" t="s">
        <v>78</v>
      </c>
      <c r="K20" s="26"/>
      <c r="L20" s="26"/>
      <c r="M20" s="28"/>
      <c r="N20" s="26"/>
      <c r="O20" s="27"/>
      <c r="P20" s="26"/>
    </row>
    <row r="21" customFormat="false" ht="21.75" hidden="false" customHeight="true" outlineLevel="0" collapsed="false">
      <c r="A21" s="24" t="s">
        <v>99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customFormat="false" ht="27.75" hidden="false" customHeight="true" outlineLevel="0" collapsed="false">
      <c r="A22" s="25" t="n">
        <v>10</v>
      </c>
      <c r="B22" s="26" t="s">
        <v>100</v>
      </c>
      <c r="C22" s="26" t="s">
        <v>101</v>
      </c>
      <c r="D22" s="27" t="s">
        <v>77</v>
      </c>
      <c r="E22" s="27"/>
      <c r="F22" s="26"/>
      <c r="G22" s="26"/>
      <c r="H22" s="28"/>
      <c r="I22" s="27"/>
      <c r="J22" s="26" t="s">
        <v>78</v>
      </c>
      <c r="K22" s="26"/>
      <c r="L22" s="26"/>
      <c r="M22" s="28"/>
      <c r="N22" s="26"/>
      <c r="O22" s="27"/>
      <c r="P22" s="26"/>
    </row>
    <row r="23" customFormat="false" ht="27.75" hidden="false" customHeight="true" outlineLevel="0" collapsed="false">
      <c r="A23" s="25" t="n">
        <v>11</v>
      </c>
      <c r="B23" s="26" t="s">
        <v>100</v>
      </c>
      <c r="C23" s="26" t="s">
        <v>102</v>
      </c>
      <c r="D23" s="27" t="s">
        <v>103</v>
      </c>
      <c r="E23" s="27"/>
      <c r="F23" s="26"/>
      <c r="G23" s="26"/>
      <c r="H23" s="28"/>
      <c r="I23" s="27"/>
      <c r="J23" s="26" t="s">
        <v>78</v>
      </c>
      <c r="K23" s="26"/>
      <c r="L23" s="26"/>
      <c r="M23" s="28"/>
      <c r="N23" s="26"/>
      <c r="O23" s="27"/>
      <c r="P23" s="26"/>
    </row>
    <row r="24" customFormat="false" ht="21.75" hidden="false" customHeight="true" outlineLevel="0" collapsed="false">
      <c r="A24" s="24" t="s">
        <v>104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</row>
    <row r="25" customFormat="false" ht="27.75" hidden="false" customHeight="true" outlineLevel="0" collapsed="false">
      <c r="A25" s="25" t="n">
        <v>12</v>
      </c>
      <c r="B25" s="26" t="s">
        <v>105</v>
      </c>
      <c r="C25" s="26" t="s">
        <v>106</v>
      </c>
      <c r="D25" s="27" t="s">
        <v>77</v>
      </c>
      <c r="E25" s="27"/>
      <c r="F25" s="26"/>
      <c r="G25" s="26"/>
      <c r="H25" s="28"/>
      <c r="I25" s="27"/>
      <c r="J25" s="26" t="s">
        <v>78</v>
      </c>
      <c r="K25" s="26"/>
      <c r="L25" s="26"/>
      <c r="M25" s="28"/>
      <c r="N25" s="26"/>
      <c r="O25" s="27"/>
      <c r="P25" s="26"/>
    </row>
    <row r="26" customFormat="false" ht="27.75" hidden="false" customHeight="true" outlineLevel="0" collapsed="false">
      <c r="A26" s="25" t="n">
        <v>13</v>
      </c>
      <c r="B26" s="26" t="s">
        <v>105</v>
      </c>
      <c r="C26" s="26" t="s">
        <v>107</v>
      </c>
      <c r="D26" s="27" t="s">
        <v>77</v>
      </c>
      <c r="E26" s="27"/>
      <c r="F26" s="26"/>
      <c r="G26" s="26"/>
      <c r="H26" s="28"/>
      <c r="I26" s="27"/>
      <c r="J26" s="26" t="s">
        <v>78</v>
      </c>
      <c r="K26" s="26"/>
      <c r="L26" s="26"/>
      <c r="M26" s="28"/>
      <c r="N26" s="26"/>
      <c r="O26" s="27"/>
      <c r="P26" s="26"/>
    </row>
    <row r="27" customFormat="false" ht="27.75" hidden="false" customHeight="true" outlineLevel="0" collapsed="false">
      <c r="A27" s="25" t="n">
        <v>14</v>
      </c>
      <c r="B27" s="26" t="s">
        <v>105</v>
      </c>
      <c r="C27" s="26" t="s">
        <v>108</v>
      </c>
      <c r="D27" s="27" t="s">
        <v>77</v>
      </c>
      <c r="E27" s="27"/>
      <c r="F27" s="26"/>
      <c r="G27" s="26"/>
      <c r="H27" s="28"/>
      <c r="I27" s="27"/>
      <c r="J27" s="26" t="s">
        <v>78</v>
      </c>
      <c r="K27" s="26"/>
      <c r="L27" s="26"/>
      <c r="M27" s="28"/>
      <c r="N27" s="26"/>
      <c r="O27" s="27"/>
      <c r="P27" s="26"/>
    </row>
    <row r="28" customFormat="false" ht="21.75" hidden="false" customHeight="true" outlineLevel="0" collapsed="false">
      <c r="A28" s="24" t="s">
        <v>109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</row>
    <row r="29" customFormat="false" ht="27.75" hidden="false" customHeight="true" outlineLevel="0" collapsed="false">
      <c r="A29" s="25" t="n">
        <v>15</v>
      </c>
      <c r="B29" s="26" t="s">
        <v>110</v>
      </c>
      <c r="C29" s="26" t="s">
        <v>111</v>
      </c>
      <c r="D29" s="27" t="s">
        <v>77</v>
      </c>
      <c r="E29" s="27"/>
      <c r="F29" s="26"/>
      <c r="G29" s="26"/>
      <c r="H29" s="28"/>
      <c r="I29" s="27"/>
      <c r="J29" s="26" t="s">
        <v>78</v>
      </c>
      <c r="K29" s="26"/>
      <c r="L29" s="26"/>
      <c r="M29" s="28"/>
      <c r="N29" s="26"/>
      <c r="O29" s="27"/>
      <c r="P29" s="26"/>
    </row>
    <row r="30" customFormat="false" ht="27.75" hidden="false" customHeight="true" outlineLevel="0" collapsed="false">
      <c r="A30" s="25" t="n">
        <v>16</v>
      </c>
      <c r="B30" s="26" t="s">
        <v>110</v>
      </c>
      <c r="C30" s="26" t="s">
        <v>112</v>
      </c>
      <c r="D30" s="27" t="s">
        <v>77</v>
      </c>
      <c r="E30" s="27"/>
      <c r="F30" s="26"/>
      <c r="G30" s="26"/>
      <c r="H30" s="28"/>
      <c r="I30" s="27"/>
      <c r="J30" s="26" t="s">
        <v>78</v>
      </c>
      <c r="K30" s="26"/>
      <c r="L30" s="26"/>
      <c r="M30" s="28"/>
      <c r="N30" s="26"/>
      <c r="O30" s="27"/>
      <c r="P30" s="26"/>
    </row>
    <row r="31" customFormat="false" ht="21.75" hidden="false" customHeight="true" outlineLevel="0" collapsed="false">
      <c r="A31" s="24" t="s">
        <v>113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</row>
    <row r="32" customFormat="false" ht="27.75" hidden="false" customHeight="true" outlineLevel="0" collapsed="false">
      <c r="A32" s="25" t="n">
        <v>17</v>
      </c>
      <c r="B32" s="26" t="s">
        <v>114</v>
      </c>
      <c r="C32" s="26" t="s">
        <v>115</v>
      </c>
      <c r="D32" s="27" t="s">
        <v>80</v>
      </c>
      <c r="E32" s="27" t="s">
        <v>116</v>
      </c>
      <c r="F32" s="26" t="s">
        <v>117</v>
      </c>
      <c r="G32" s="26" t="s">
        <v>118</v>
      </c>
      <c r="H32" s="28" t="n">
        <v>46104</v>
      </c>
      <c r="I32" s="27" t="s">
        <v>84</v>
      </c>
      <c r="J32" s="26" t="s">
        <v>78</v>
      </c>
      <c r="K32" s="26"/>
      <c r="L32" s="26"/>
      <c r="M32" s="28"/>
      <c r="N32" s="26"/>
      <c r="O32" s="27"/>
      <c r="P32" s="26"/>
    </row>
    <row r="33" customFormat="false" ht="27.75" hidden="false" customHeight="true" outlineLevel="0" collapsed="false">
      <c r="A33" s="25" t="n">
        <v>18</v>
      </c>
      <c r="B33" s="26" t="s">
        <v>114</v>
      </c>
      <c r="C33" s="26" t="s">
        <v>119</v>
      </c>
      <c r="D33" s="27" t="s">
        <v>77</v>
      </c>
      <c r="E33" s="27"/>
      <c r="F33" s="26"/>
      <c r="G33" s="26"/>
      <c r="H33" s="28"/>
      <c r="I33" s="27"/>
      <c r="J33" s="26" t="s">
        <v>78</v>
      </c>
      <c r="K33" s="26"/>
      <c r="L33" s="26"/>
      <c r="M33" s="28"/>
      <c r="N33" s="26"/>
      <c r="O33" s="27"/>
      <c r="P33" s="26"/>
    </row>
    <row r="34" customFormat="false" ht="21.75" hidden="false" customHeight="true" outlineLevel="0" collapsed="false">
      <c r="A34" s="24" t="s">
        <v>120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</row>
    <row r="35" customFormat="false" ht="27.75" hidden="false" customHeight="true" outlineLevel="0" collapsed="false">
      <c r="A35" s="25" t="n">
        <v>19</v>
      </c>
      <c r="B35" s="26" t="s">
        <v>121</v>
      </c>
      <c r="C35" s="26" t="s">
        <v>122</v>
      </c>
      <c r="D35" s="27" t="s">
        <v>77</v>
      </c>
      <c r="E35" s="27"/>
      <c r="F35" s="26"/>
      <c r="G35" s="26"/>
      <c r="H35" s="28"/>
      <c r="I35" s="27"/>
      <c r="J35" s="26" t="s">
        <v>78</v>
      </c>
      <c r="K35" s="26"/>
      <c r="L35" s="26"/>
      <c r="M35" s="28"/>
      <c r="N35" s="26"/>
      <c r="O35" s="27"/>
      <c r="P35" s="26"/>
    </row>
    <row r="36" customFormat="false" ht="27.75" hidden="false" customHeight="true" outlineLevel="0" collapsed="false">
      <c r="A36" s="25" t="n">
        <v>20</v>
      </c>
      <c r="B36" s="26" t="s">
        <v>121</v>
      </c>
      <c r="C36" s="26" t="s">
        <v>123</v>
      </c>
      <c r="D36" s="27" t="s">
        <v>77</v>
      </c>
      <c r="E36" s="27"/>
      <c r="F36" s="26"/>
      <c r="G36" s="26"/>
      <c r="H36" s="28"/>
      <c r="I36" s="27"/>
      <c r="J36" s="26" t="s">
        <v>78</v>
      </c>
      <c r="K36" s="26"/>
      <c r="L36" s="26"/>
      <c r="M36" s="28"/>
      <c r="N36" s="26"/>
      <c r="O36" s="27"/>
      <c r="P36" s="26"/>
    </row>
    <row r="37" customFormat="false" ht="27.75" hidden="false" customHeight="true" outlineLevel="0" collapsed="false">
      <c r="A37" s="25" t="n">
        <v>21</v>
      </c>
      <c r="B37" s="26" t="s">
        <v>121</v>
      </c>
      <c r="C37" s="26" t="s">
        <v>124</v>
      </c>
      <c r="D37" s="27" t="s">
        <v>77</v>
      </c>
      <c r="E37" s="27"/>
      <c r="F37" s="26"/>
      <c r="G37" s="26"/>
      <c r="H37" s="28"/>
      <c r="I37" s="27"/>
      <c r="J37" s="26" t="s">
        <v>78</v>
      </c>
      <c r="K37" s="26"/>
      <c r="L37" s="26"/>
      <c r="M37" s="28"/>
      <c r="N37" s="26"/>
      <c r="O37" s="27"/>
      <c r="P37" s="26"/>
    </row>
    <row r="38" customFormat="false" ht="21.75" hidden="false" customHeight="true" outlineLevel="0" collapsed="false">
      <c r="A38" s="24" t="s">
        <v>125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customFormat="false" ht="27.75" hidden="false" customHeight="true" outlineLevel="0" collapsed="false">
      <c r="A39" s="25" t="n">
        <v>22</v>
      </c>
      <c r="B39" s="26" t="s">
        <v>126</v>
      </c>
      <c r="C39" s="26" t="s">
        <v>127</v>
      </c>
      <c r="D39" s="27" t="s">
        <v>77</v>
      </c>
      <c r="E39" s="27"/>
      <c r="F39" s="26"/>
      <c r="G39" s="26"/>
      <c r="H39" s="28"/>
      <c r="I39" s="27"/>
      <c r="J39" s="26" t="s">
        <v>78</v>
      </c>
      <c r="K39" s="26"/>
      <c r="L39" s="26"/>
      <c r="M39" s="28"/>
      <c r="N39" s="26"/>
      <c r="O39" s="27"/>
      <c r="P39" s="26"/>
    </row>
    <row r="40" customFormat="false" ht="27.75" hidden="false" customHeight="true" outlineLevel="0" collapsed="false">
      <c r="A40" s="25" t="n">
        <v>23</v>
      </c>
      <c r="B40" s="26" t="s">
        <v>126</v>
      </c>
      <c r="C40" s="26" t="s">
        <v>128</v>
      </c>
      <c r="D40" s="27" t="s">
        <v>77</v>
      </c>
      <c r="E40" s="27"/>
      <c r="F40" s="26"/>
      <c r="G40" s="26"/>
      <c r="H40" s="28"/>
      <c r="I40" s="27"/>
      <c r="J40" s="26" t="s">
        <v>78</v>
      </c>
      <c r="K40" s="26"/>
      <c r="L40" s="26"/>
      <c r="M40" s="28"/>
      <c r="N40" s="26"/>
      <c r="O40" s="27"/>
      <c r="P40" s="26"/>
    </row>
    <row r="41" customFormat="false" ht="27.75" hidden="false" customHeight="true" outlineLevel="0" collapsed="false">
      <c r="A41" s="25" t="n">
        <v>24</v>
      </c>
      <c r="B41" s="26" t="s">
        <v>126</v>
      </c>
      <c r="C41" s="26" t="s">
        <v>129</v>
      </c>
      <c r="D41" s="27" t="s">
        <v>80</v>
      </c>
      <c r="E41" s="27" t="s">
        <v>81</v>
      </c>
      <c r="F41" s="26" t="s">
        <v>130</v>
      </c>
      <c r="G41" s="26" t="s">
        <v>131</v>
      </c>
      <c r="H41" s="28" t="n">
        <v>46105</v>
      </c>
      <c r="I41" s="27" t="s">
        <v>84</v>
      </c>
      <c r="J41" s="26" t="s">
        <v>78</v>
      </c>
      <c r="K41" s="26"/>
      <c r="L41" s="26"/>
      <c r="M41" s="28"/>
      <c r="N41" s="26"/>
      <c r="O41" s="27"/>
      <c r="P41" s="26"/>
    </row>
    <row r="42" customFormat="false" ht="27.75" hidden="false" customHeight="true" outlineLevel="0" collapsed="false">
      <c r="A42" s="27"/>
      <c r="B42" s="26"/>
      <c r="C42" s="26"/>
      <c r="D42" s="27"/>
      <c r="E42" s="27"/>
      <c r="F42" s="26"/>
      <c r="G42" s="26"/>
      <c r="H42" s="28"/>
      <c r="I42" s="27"/>
      <c r="J42" s="26"/>
      <c r="K42" s="26"/>
      <c r="L42" s="26"/>
      <c r="M42" s="28"/>
      <c r="N42" s="26"/>
      <c r="O42" s="27"/>
      <c r="P42" s="26"/>
    </row>
    <row r="43" customFormat="false" ht="27.75" hidden="false" customHeight="true" outlineLevel="0" collapsed="false">
      <c r="A43" s="27"/>
      <c r="B43" s="26"/>
      <c r="C43" s="26"/>
      <c r="D43" s="27"/>
      <c r="E43" s="27"/>
      <c r="F43" s="26"/>
      <c r="G43" s="26"/>
      <c r="H43" s="28"/>
      <c r="I43" s="27"/>
      <c r="J43" s="26"/>
      <c r="K43" s="26"/>
      <c r="L43" s="26"/>
      <c r="M43" s="28"/>
      <c r="N43" s="26"/>
      <c r="O43" s="27"/>
      <c r="P43" s="26"/>
    </row>
    <row r="44" customFormat="false" ht="27.75" hidden="false" customHeight="true" outlineLevel="0" collapsed="false">
      <c r="A44" s="27"/>
      <c r="B44" s="26"/>
      <c r="C44" s="26"/>
      <c r="D44" s="27"/>
      <c r="E44" s="27"/>
      <c r="F44" s="26"/>
      <c r="G44" s="26"/>
      <c r="H44" s="28"/>
      <c r="I44" s="27"/>
      <c r="J44" s="26"/>
      <c r="K44" s="26"/>
      <c r="L44" s="26"/>
      <c r="M44" s="28"/>
      <c r="N44" s="26"/>
      <c r="O44" s="27"/>
      <c r="P44" s="26"/>
    </row>
    <row r="45" customFormat="false" ht="27.75" hidden="false" customHeight="true" outlineLevel="0" collapsed="false">
      <c r="A45" s="27"/>
      <c r="B45" s="26"/>
      <c r="C45" s="26"/>
      <c r="D45" s="27"/>
      <c r="E45" s="27"/>
      <c r="F45" s="26"/>
      <c r="G45" s="26"/>
      <c r="H45" s="28"/>
      <c r="I45" s="27"/>
      <c r="J45" s="26"/>
      <c r="K45" s="26"/>
      <c r="L45" s="26"/>
      <c r="M45" s="28"/>
      <c r="N45" s="26"/>
      <c r="O45" s="27"/>
      <c r="P45" s="26"/>
    </row>
    <row r="46" customFormat="false" ht="27.75" hidden="false" customHeight="true" outlineLevel="0" collapsed="false">
      <c r="A46" s="27"/>
      <c r="B46" s="26"/>
      <c r="C46" s="26"/>
      <c r="D46" s="27"/>
      <c r="E46" s="27"/>
      <c r="F46" s="26"/>
      <c r="G46" s="26"/>
      <c r="H46" s="28"/>
      <c r="I46" s="27"/>
      <c r="J46" s="26"/>
      <c r="K46" s="26"/>
      <c r="L46" s="26"/>
      <c r="M46" s="28"/>
      <c r="N46" s="26"/>
      <c r="O46" s="27"/>
      <c r="P46" s="26"/>
    </row>
    <row r="47" customFormat="false" ht="27.75" hidden="false" customHeight="true" outlineLevel="0" collapsed="false">
      <c r="A47" s="27"/>
      <c r="B47" s="26"/>
      <c r="C47" s="26"/>
      <c r="D47" s="27"/>
      <c r="E47" s="27"/>
      <c r="F47" s="26"/>
      <c r="G47" s="26"/>
      <c r="H47" s="28"/>
      <c r="I47" s="27"/>
      <c r="J47" s="26"/>
      <c r="K47" s="26"/>
      <c r="L47" s="26"/>
      <c r="M47" s="28"/>
      <c r="N47" s="26"/>
      <c r="O47" s="27"/>
      <c r="P47" s="26"/>
    </row>
    <row r="48" customFormat="false" ht="27.75" hidden="false" customHeight="true" outlineLevel="0" collapsed="false">
      <c r="A48" s="27"/>
      <c r="B48" s="26"/>
      <c r="C48" s="26"/>
      <c r="D48" s="27"/>
      <c r="E48" s="27"/>
      <c r="F48" s="26"/>
      <c r="G48" s="26"/>
      <c r="H48" s="28"/>
      <c r="I48" s="27"/>
      <c r="J48" s="26"/>
      <c r="K48" s="26"/>
      <c r="L48" s="26"/>
      <c r="M48" s="28"/>
      <c r="N48" s="26"/>
      <c r="O48" s="27"/>
      <c r="P48" s="26"/>
    </row>
    <row r="49" customFormat="false" ht="27.75" hidden="false" customHeight="true" outlineLevel="0" collapsed="false">
      <c r="A49" s="27"/>
      <c r="B49" s="26"/>
      <c r="C49" s="26"/>
      <c r="D49" s="27"/>
      <c r="E49" s="27"/>
      <c r="F49" s="26"/>
      <c r="G49" s="26"/>
      <c r="H49" s="28"/>
      <c r="I49" s="27"/>
      <c r="J49" s="26"/>
      <c r="K49" s="26"/>
      <c r="L49" s="26"/>
      <c r="M49" s="28"/>
      <c r="N49" s="26"/>
      <c r="O49" s="27"/>
      <c r="P49" s="26"/>
    </row>
    <row r="50" customFormat="false" ht="27.75" hidden="false" customHeight="true" outlineLevel="0" collapsed="false">
      <c r="A50" s="27"/>
      <c r="B50" s="26"/>
      <c r="C50" s="26"/>
      <c r="D50" s="27"/>
      <c r="E50" s="27"/>
      <c r="F50" s="26"/>
      <c r="G50" s="26"/>
      <c r="H50" s="28"/>
      <c r="I50" s="27"/>
      <c r="J50" s="26"/>
      <c r="K50" s="26"/>
      <c r="L50" s="26"/>
      <c r="M50" s="28"/>
      <c r="N50" s="26"/>
      <c r="O50" s="27"/>
      <c r="P50" s="26"/>
    </row>
    <row r="51" customFormat="false" ht="27.75" hidden="false" customHeight="true" outlineLevel="0" collapsed="false">
      <c r="A51" s="27"/>
      <c r="B51" s="26"/>
      <c r="C51" s="26"/>
      <c r="D51" s="27"/>
      <c r="E51" s="27"/>
      <c r="F51" s="26"/>
      <c r="G51" s="26"/>
      <c r="H51" s="28"/>
      <c r="I51" s="27"/>
      <c r="J51" s="26"/>
      <c r="K51" s="26"/>
      <c r="L51" s="26"/>
      <c r="M51" s="28"/>
      <c r="N51" s="26"/>
      <c r="O51" s="27"/>
      <c r="P51" s="26"/>
    </row>
    <row r="52" customFormat="false" ht="27.75" hidden="false" customHeight="true" outlineLevel="0" collapsed="false">
      <c r="A52" s="27"/>
      <c r="B52" s="26"/>
      <c r="C52" s="26"/>
      <c r="D52" s="27"/>
      <c r="E52" s="27"/>
      <c r="F52" s="26"/>
      <c r="G52" s="26"/>
      <c r="H52" s="28"/>
      <c r="I52" s="27"/>
      <c r="J52" s="26"/>
      <c r="K52" s="26"/>
      <c r="L52" s="26"/>
      <c r="M52" s="28"/>
      <c r="N52" s="26"/>
      <c r="O52" s="27"/>
      <c r="P52" s="26"/>
    </row>
    <row r="53" customFormat="false" ht="27.75" hidden="false" customHeight="true" outlineLevel="0" collapsed="false">
      <c r="A53" s="27"/>
      <c r="B53" s="26"/>
      <c r="C53" s="26"/>
      <c r="D53" s="27"/>
      <c r="E53" s="27"/>
      <c r="F53" s="26"/>
      <c r="G53" s="26"/>
      <c r="H53" s="28"/>
      <c r="I53" s="27"/>
      <c r="J53" s="26"/>
      <c r="K53" s="26"/>
      <c r="L53" s="26"/>
      <c r="M53" s="28"/>
      <c r="N53" s="26"/>
      <c r="O53" s="27"/>
      <c r="P53" s="26"/>
    </row>
    <row r="54" customFormat="false" ht="27.75" hidden="false" customHeight="true" outlineLevel="0" collapsed="false">
      <c r="A54" s="27"/>
      <c r="B54" s="26"/>
      <c r="C54" s="26"/>
      <c r="D54" s="27"/>
      <c r="E54" s="27"/>
      <c r="F54" s="26"/>
      <c r="G54" s="26"/>
      <c r="H54" s="28"/>
      <c r="I54" s="27"/>
      <c r="J54" s="26"/>
      <c r="K54" s="26"/>
      <c r="L54" s="26"/>
      <c r="M54" s="28"/>
      <c r="N54" s="26"/>
      <c r="O54" s="27"/>
      <c r="P54" s="26"/>
    </row>
    <row r="55" customFormat="false" ht="27.75" hidden="false" customHeight="true" outlineLevel="0" collapsed="false">
      <c r="A55" s="27"/>
      <c r="B55" s="26"/>
      <c r="C55" s="26"/>
      <c r="D55" s="27"/>
      <c r="E55" s="27"/>
      <c r="F55" s="26"/>
      <c r="G55" s="26"/>
      <c r="H55" s="28"/>
      <c r="I55" s="27"/>
      <c r="J55" s="26"/>
      <c r="K55" s="26"/>
      <c r="L55" s="26"/>
      <c r="M55" s="28"/>
      <c r="N55" s="26"/>
      <c r="O55" s="27"/>
      <c r="P55" s="26"/>
    </row>
    <row r="56" customFormat="false" ht="27.75" hidden="false" customHeight="true" outlineLevel="0" collapsed="false">
      <c r="A56" s="27"/>
      <c r="B56" s="26"/>
      <c r="C56" s="26"/>
      <c r="D56" s="27"/>
      <c r="E56" s="27"/>
      <c r="F56" s="26"/>
      <c r="G56" s="26"/>
      <c r="H56" s="28"/>
      <c r="I56" s="27"/>
      <c r="J56" s="26"/>
      <c r="K56" s="26"/>
      <c r="L56" s="26"/>
      <c r="M56" s="28"/>
      <c r="N56" s="26"/>
      <c r="O56" s="27"/>
      <c r="P56" s="26"/>
    </row>
    <row r="57" customFormat="false" ht="27.75" hidden="false" customHeight="true" outlineLevel="0" collapsed="false">
      <c r="A57" s="27"/>
      <c r="B57" s="26"/>
      <c r="C57" s="26"/>
      <c r="D57" s="27"/>
      <c r="E57" s="27"/>
      <c r="F57" s="26"/>
      <c r="G57" s="26"/>
      <c r="H57" s="28"/>
      <c r="I57" s="27"/>
      <c r="J57" s="26"/>
      <c r="K57" s="26"/>
      <c r="L57" s="26"/>
      <c r="M57" s="28"/>
      <c r="N57" s="26"/>
      <c r="O57" s="27"/>
      <c r="P57" s="26"/>
    </row>
    <row r="58" customFormat="false" ht="27.75" hidden="false" customHeight="true" outlineLevel="0" collapsed="false">
      <c r="A58" s="27"/>
      <c r="B58" s="26"/>
      <c r="C58" s="26"/>
      <c r="D58" s="27"/>
      <c r="E58" s="27"/>
      <c r="F58" s="26"/>
      <c r="G58" s="26"/>
      <c r="H58" s="28"/>
      <c r="I58" s="27"/>
      <c r="J58" s="26"/>
      <c r="K58" s="26"/>
      <c r="L58" s="26"/>
      <c r="M58" s="28"/>
      <c r="N58" s="26"/>
      <c r="O58" s="27"/>
      <c r="P58" s="26"/>
    </row>
    <row r="59" customFormat="false" ht="27.75" hidden="false" customHeight="true" outlineLevel="0" collapsed="false">
      <c r="A59" s="27"/>
      <c r="B59" s="26"/>
      <c r="C59" s="26"/>
      <c r="D59" s="27"/>
      <c r="E59" s="27"/>
      <c r="F59" s="26"/>
      <c r="G59" s="26"/>
      <c r="H59" s="28"/>
      <c r="I59" s="27"/>
      <c r="J59" s="26"/>
      <c r="K59" s="26"/>
      <c r="L59" s="26"/>
      <c r="M59" s="28"/>
      <c r="N59" s="26"/>
      <c r="O59" s="27"/>
      <c r="P59" s="26"/>
    </row>
    <row r="60" customFormat="false" ht="27.75" hidden="false" customHeight="true" outlineLevel="0" collapsed="false">
      <c r="A60" s="27"/>
      <c r="B60" s="26"/>
      <c r="C60" s="26"/>
      <c r="D60" s="27"/>
      <c r="E60" s="27"/>
      <c r="F60" s="26"/>
      <c r="G60" s="26"/>
      <c r="H60" s="28"/>
      <c r="I60" s="27"/>
      <c r="J60" s="26"/>
      <c r="K60" s="26"/>
      <c r="L60" s="26"/>
      <c r="M60" s="28"/>
      <c r="N60" s="26"/>
      <c r="O60" s="27"/>
      <c r="P60" s="26"/>
    </row>
    <row r="61" customFormat="false" ht="27.75" hidden="false" customHeight="true" outlineLevel="0" collapsed="false">
      <c r="A61" s="27"/>
      <c r="B61" s="26"/>
      <c r="C61" s="26"/>
      <c r="D61" s="27"/>
      <c r="E61" s="27"/>
      <c r="F61" s="26"/>
      <c r="G61" s="26"/>
      <c r="H61" s="28"/>
      <c r="I61" s="27"/>
      <c r="J61" s="26"/>
      <c r="K61" s="26"/>
      <c r="L61" s="26"/>
      <c r="M61" s="28"/>
      <c r="N61" s="26"/>
      <c r="O61" s="27"/>
      <c r="P61" s="26"/>
    </row>
  </sheetData>
  <autoFilter ref="A8:P8"/>
  <mergeCells count="12">
    <mergeCell ref="A1:C1"/>
    <mergeCell ref="D2:E2"/>
    <mergeCell ref="K7:P7"/>
    <mergeCell ref="A9:P9"/>
    <mergeCell ref="A13:P13"/>
    <mergeCell ref="A17:P17"/>
    <mergeCell ref="A21:P21"/>
    <mergeCell ref="A24:P24"/>
    <mergeCell ref="A28:P28"/>
    <mergeCell ref="A31:P31"/>
    <mergeCell ref="A34:P34"/>
    <mergeCell ref="A38:P38"/>
  </mergeCells>
  <conditionalFormatting sqref="D9:D508">
    <cfRule type="expression" priority="2" aboveAverage="0" equalAverage="0" bottom="0" percent="0" rank="0" text="" dxfId="2">
      <formula>$D9="Yes"</formula>
    </cfRule>
    <cfRule type="expression" priority="3" aboveAverage="0" equalAverage="0" bottom="0" percent="0" rank="0" text="" dxfId="3">
      <formula>$D9="No"</formula>
    </cfRule>
  </conditionalFormatting>
  <conditionalFormatting sqref="E9:I508">
    <cfRule type="expression" priority="4" aboveAverage="0" equalAverage="0" bottom="0" percent="0" rank="0" text="" dxfId="3">
      <formula>$E9="Critical"</formula>
    </cfRule>
    <cfRule type="expression" priority="5" aboveAverage="0" equalAverage="0" bottom="0" percent="0" rank="0" text="" dxfId="3">
      <formula>$E9="High"</formula>
    </cfRule>
    <cfRule type="expression" priority="6" aboveAverage="0" equalAverage="0" bottom="0" percent="0" rank="0" text="" dxfId="4">
      <formula>$E9="Medium"</formula>
    </cfRule>
    <cfRule type="expression" priority="7" aboveAverage="0" equalAverage="0" bottom="0" percent="0" rank="0" text="" dxfId="2">
      <formula>$E9="Low"</formula>
    </cfRule>
  </conditionalFormatting>
  <conditionalFormatting sqref="I9:I508">
    <cfRule type="expression" priority="8" aboveAverage="0" equalAverage="0" bottom="0" percent="0" rank="0" text="" dxfId="3">
      <formula>$I9="Open"</formula>
    </cfRule>
    <cfRule type="expression" priority="9" aboveAverage="0" equalAverage="0" bottom="0" percent="0" rank="0" text="" dxfId="2">
      <formula>$I9="Closed"</formula>
    </cfRule>
  </conditionalFormatting>
  <conditionalFormatting sqref="H9:H508">
    <cfRule type="expression" priority="10" aboveAverage="0" equalAverage="0" bottom="0" percent="0" rank="0" text="" dxfId="3">
      <formula>AND($H9&lt;&gt;"",$H9&lt;TODAY(),$I9="Open")</formula>
    </cfRule>
  </conditionalFormatting>
  <dataValidations count="5">
    <dataValidation allowBlank="true" errorStyle="stop" operator="between" prompt="Compliant?" showDropDown="false" showErrorMessage="false" showInputMessage="false" sqref="D9:D508" type="list">
      <formula1>"Yes,No,N/A"</formula1>
      <formula2>0</formula2>
    </dataValidation>
    <dataValidation allowBlank="true" errorStyle="stop" operator="between" prompt="Select priority" showDropDown="false" showErrorMessage="false" showInputMessage="false" sqref="E9:E508" type="list">
      <formula1>"Low,Medium,High,Critical"</formula1>
      <formula2>0</formula2>
    </dataValidation>
    <dataValidation allowBlank="true" errorStyle="stop" operator="between" prompt="Select status" showDropDown="false" showErrorMessage="false" showInputMessage="false" sqref="I9:I508" type="list">
      <formula1>"Open,Closed"</formula1>
      <formula2>0</formula2>
    </dataValidation>
    <dataValidation allowBlank="true" errorStyle="stop" operator="between" showDropDown="false" showErrorMessage="false" showInputMessage="false" sqref="O9:O508" type="list">
      <formula1>"Yes,No"</formula1>
      <formula2>0</formula2>
    </dataValidation>
    <dataValidation allowBlank="true" errorStyle="stop" operator="between" showDropDown="false" showErrorMessage="false" showInputMessage="false" sqref="H9:H508 M9:M508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&amp;CWeekly Safety Inspection Checklist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29" t="s">
        <v>132</v>
      </c>
    </row>
    <row r="2" customFormat="false" ht="15" hidden="false" customHeight="false" outlineLevel="0" collapsed="false">
      <c r="A2" s="29"/>
    </row>
    <row r="3" customFormat="false" ht="15" hidden="false" customHeight="false" outlineLevel="0" collapsed="false">
      <c r="A3" s="29" t="s">
        <v>133</v>
      </c>
    </row>
    <row r="4" customFormat="false" ht="15" hidden="false" customHeight="false" outlineLevel="0" collapsed="false">
      <c r="A4" s="29"/>
    </row>
    <row r="5" customFormat="false" ht="15" hidden="false" customHeight="false" outlineLevel="0" collapsed="false">
      <c r="A5" s="29" t="s">
        <v>134</v>
      </c>
    </row>
    <row r="6" customFormat="false" ht="15" hidden="false" customHeight="false" outlineLevel="0" collapsed="false">
      <c r="A6" s="29"/>
    </row>
    <row r="7" customFormat="false" ht="15" hidden="false" customHeight="false" outlineLevel="0" collapsed="false">
      <c r="A7" s="29" t="s">
        <v>135</v>
      </c>
    </row>
    <row r="8" customFormat="false" ht="15" hidden="false" customHeight="false" outlineLevel="0" collapsed="false">
      <c r="A8" s="29"/>
    </row>
    <row r="9" customFormat="false" ht="15" hidden="false" customHeight="false" outlineLevel="0" collapsed="false">
      <c r="A9" s="29" t="s">
        <v>136</v>
      </c>
    </row>
    <row r="10" customFormat="false" ht="15" hidden="false" customHeight="false" outlineLevel="0" collapsed="false">
      <c r="A10" s="29"/>
    </row>
    <row r="11" customFormat="false" ht="15" hidden="false" customHeight="false" outlineLevel="0" collapsed="false">
      <c r="A11" s="29" t="s">
        <v>137</v>
      </c>
    </row>
    <row r="12" customFormat="false" ht="15" hidden="false" customHeight="false" outlineLevel="0" collapsed="false">
      <c r="A12" s="29"/>
    </row>
    <row r="13" customFormat="false" ht="15" hidden="false" customHeight="false" outlineLevel="0" collapsed="false">
      <c r="A13" s="29" t="s">
        <v>138</v>
      </c>
    </row>
    <row r="14" customFormat="false" ht="15" hidden="false" customHeight="false" outlineLevel="0" collapsed="false">
      <c r="A14" s="29"/>
    </row>
    <row r="15" customFormat="false" ht="15" hidden="false" customHeight="false" outlineLevel="0" collapsed="false">
      <c r="A15" s="29" t="s">
        <v>139</v>
      </c>
    </row>
    <row r="16" customFormat="false" ht="15" hidden="false" customHeight="false" outlineLevel="0" collapsed="false">
      <c r="A16" s="29"/>
    </row>
    <row r="17" customFormat="false" ht="15" hidden="false" customHeight="false" outlineLevel="0" collapsed="false">
      <c r="A17" s="2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Health &amp; Safety</cp:category>
  <dcterms:created xsi:type="dcterms:W3CDTF">2026-03-22T17:00:51Z</dcterms:created>
  <dc:creator>Ebrora Ltd</dc:creator>
  <dc:description>A pre-populated weekly safety inspection checklist with 20 standard check items across 9 categories, compliance tracking, action management, priority-based colour coding, and a summary dashboard. Designed for UK construction site managers and HSE advisors.
Free professional construction management template from Ebrora Ltd. Visit ebrora.com for our full range of tools and templates.</dc:description>
  <cp:keywords>Ebrora construction weekly inspection safety checklist site inspection health and safety walkround CDM site management</cp:keywords>
  <dc:language>en-US</dc:language>
  <cp:lastModifiedBy>Ebrora Ltd</cp:lastModifiedBy>
  <dcterms:modified xsi:type="dcterms:W3CDTF">2026-03-22T17:00:51Z</dcterms:modified>
  <cp:revision>0</cp:revision>
  <dc:subject>Structured weekly site safety walkround checklist covering housekeeping, access, scaffolding, excavations, welfare, fire safety, PPE, plant, and environmental compliance.</dc:subject>
  <dc:title>Weekly Safety Inspection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