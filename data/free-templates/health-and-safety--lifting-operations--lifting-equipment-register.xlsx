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fting Register" sheetId="1" state="visible" r:id="rId3"/>
    <sheet name="Instructions" sheetId="2" state="visible" r:id="rId4"/>
  </sheets>
  <definedNames>
    <definedName function="false" hidden="false" localSheetId="0" name="_xlnm.Print_Area" vbProcedure="false">'Lifting Register'!$A$1:$P$39</definedName>
    <definedName function="false" hidden="false" localSheetId="0" name="_xlnm.Print_Titles" vbProcedure="false">'Lifting Register'!$1:$6</definedName>
    <definedName function="false" hidden="true" localSheetId="0" name="_xlnm._FilterDatabase" vbProcedure="false">'Lifting Register'!$A$6:$P$31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<sst xmlns="http://schemas.openxmlformats.org/spreadsheetml/2006/main" count="49" uniqueCount="48">
  <si>
    <t xml:space="preserve">ebrora.com</t>
  </si>
  <si>
    <t xml:space="preserve">LIFTING EQUIPMENT REGISTER</t>
  </si>
  <si>
    <t xml:space="preserve">Ref: LOLER 1998; PUWER 1998; BS 7121 (Cranes); HSE INDG290</t>
  </si>
  <si>
    <t xml:space="preserve">Project:</t>
  </si>
  <si>
    <t xml:space="preserve">Appointed Person:</t>
  </si>
  <si>
    <t xml:space="preserve">Rev:</t>
  </si>
  <si>
    <t xml:space="preserve">No.</t>
  </si>
  <si>
    <t xml:space="preserve">Equipment ID /
Serial No.</t>
  </si>
  <si>
    <t xml:space="preserve">Equipment
Description</t>
  </si>
  <si>
    <t xml:space="preserve">Type /
Category</t>
  </si>
  <si>
    <t xml:space="preserve">Manufacturer</t>
  </si>
  <si>
    <t xml:space="preserve">SWL / WLL
(Tonnes)</t>
  </si>
  <si>
    <t xml:space="preserve">Date of
Manufacture</t>
  </si>
  <si>
    <t xml:space="preserve">Thorough
Examination
Cert No.</t>
  </si>
  <si>
    <t xml:space="preserve">Last Thorough
Examination
Date</t>
  </si>
  <si>
    <t xml:space="preserve">Next Thorough
Examination
Due</t>
  </si>
  <si>
    <t xml:space="preserve">Days
Until Due</t>
  </si>
  <si>
    <t xml:space="preserve">Examination
Status</t>
  </si>
  <si>
    <t xml:space="preserve">Current
Location</t>
  </si>
  <si>
    <t xml:space="preserve">Condition
(Good/Fair/Poor)</t>
  </si>
  <si>
    <t xml:space="preserve">Defects /
Actions</t>
  </si>
  <si>
    <t xml:space="preserve">On-Site Status
(In Use/Stored/
Off-Hired)</t>
  </si>
  <si>
    <t xml:space="preserve">SUMMARY</t>
  </si>
  <si>
    <t xml:space="preserve">Total Items:</t>
  </si>
  <si>
    <t xml:space="preserve">Current Examination:</t>
  </si>
  <si>
    <t xml:space="preserve">Due:</t>
  </si>
  <si>
    <t xml:space="preserve">Overdue:</t>
  </si>
  <si>
    <t xml:space="preserve">Defective:</t>
  </si>
  <si>
    <t xml:space="preserve">In Use:</t>
  </si>
  <si>
    <t xml:space="preserve">INSTRUCTIONS — Lifting Equipment Register</t>
  </si>
  <si>
    <t xml:space="preserve">How to Use This Template</t>
  </si>
  <si>
    <t xml:space="preserve">1. Record all lifting equipment and lifting accessories on site.</t>
  </si>
  <si>
    <t xml:space="preserve">2. Enter the unique ID, description, type, manufacturer, and SWL/WLL.</t>
  </si>
  <si>
    <t xml:space="preserve">3. Record thorough examination certificate details and dates.</t>
  </si>
  <si>
    <t xml:space="preserve">4. The 'Days Until Due' column auto-calculates from the next examination date.</t>
  </si>
  <si>
    <t xml:space="preserve">5. Track examination status — overdue items are flagged red.</t>
  </si>
  <si>
    <t xml:space="preserve">6. Record condition and any defects. Defective items must be quarantined immediately.</t>
  </si>
  <si>
    <t xml:space="preserve">7. LOLER requires thorough examination every 6 months for lifting accessories and every 12 months for lifting equipment (or 6 months if used to lift persons).</t>
  </si>
  <si>
    <t xml:space="preserve">LOLER Thorough Examination Periods:</t>
  </si>
  <si>
    <t xml:space="preserve">  Lifting equipment — every 12 months (6 months if lifting persons)</t>
  </si>
  <si>
    <t xml:space="preserve">  Lifting accessories (slings, shackles) — every 6 months</t>
  </si>
  <si>
    <t xml:space="preserve">  After installation or reassembly at a new location</t>
  </si>
  <si>
    <t xml:space="preserve">  After any event likely to affect safety (e.g. overload, collision)</t>
  </si>
  <si>
    <t xml:space="preserve">References:</t>
  </si>
  <si>
    <t xml:space="preserve">  Lifting Operations and Lifting Equipment Regulations 1998 (LOLER)</t>
  </si>
  <si>
    <t xml:space="preserve">  Provision and Use of Work Equipment Regulations 1998 (PUWER)</t>
  </si>
  <si>
    <t xml:space="preserve">  BS 7121 — Safe Use of Cranes</t>
  </si>
  <si>
    <t xml:space="preserve">  HSE INDG290 — Simple Guide to LOLER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</si>
</sst>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8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10" min="8" style="0" width="12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8"/>
    <col collapsed="false" customWidth="true" hidden="false" outlineLevel="0" max="16" min="16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true" outlineLevel="0" collapsed="false">
      <c r="A4" s="4" t="s">
        <v>3</v>
      </c>
      <c r="B4" s="5"/>
      <c r="C4" s="5"/>
      <c r="D4" s="5"/>
      <c r="E4" s="4" t="s">
        <v>4</v>
      </c>
      <c r="F4" s="4"/>
      <c r="G4" s="5"/>
      <c r="H4" s="5"/>
      <c r="I4" s="5"/>
      <c r="J4" s="4" t="s">
        <v>5</v>
      </c>
      <c r="K4" s="5"/>
    </row>
    <row r="6" customFormat="false" ht="51.75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4" hidden="false" customHeight="true" outlineLevel="0" collapsed="false">
      <c r="A7" s="7" t="n">
        <v>1</v>
      </c>
      <c r="B7" s="8"/>
      <c r="C7" s="5"/>
      <c r="D7" s="8"/>
      <c r="E7" s="5"/>
      <c r="F7" s="8"/>
      <c r="G7" s="8"/>
      <c r="H7" s="8"/>
      <c r="I7" s="8"/>
      <c r="J7" s="8"/>
      <c r="K7" s="9" t="str">
        <f aca="true">IF(J7="","",J7-TODAY())</f>
        <v/>
      </c>
      <c r="L7" s="8"/>
      <c r="M7" s="5"/>
      <c r="N7" s="8"/>
      <c r="O7" s="5"/>
      <c r="P7" s="8"/>
    </row>
    <row r="8" customFormat="false" ht="24" hidden="false" customHeight="true" outlineLevel="0" collapsed="false">
      <c r="A8" s="10" t="n">
        <v>2</v>
      </c>
      <c r="B8" s="8"/>
      <c r="C8" s="5"/>
      <c r="D8" s="8"/>
      <c r="E8" s="5"/>
      <c r="F8" s="8"/>
      <c r="G8" s="8"/>
      <c r="H8" s="8"/>
      <c r="I8" s="8"/>
      <c r="J8" s="8"/>
      <c r="K8" s="11" t="str">
        <f aca="true">IF(J8="","",J8-TODAY())</f>
        <v/>
      </c>
      <c r="L8" s="8"/>
      <c r="M8" s="5"/>
      <c r="N8" s="8"/>
      <c r="O8" s="5"/>
      <c r="P8" s="8"/>
    </row>
    <row r="9" customFormat="false" ht="24" hidden="false" customHeight="true" outlineLevel="0" collapsed="false">
      <c r="A9" s="7" t="n">
        <v>3</v>
      </c>
      <c r="B9" s="8"/>
      <c r="C9" s="5"/>
      <c r="D9" s="8"/>
      <c r="E9" s="5"/>
      <c r="F9" s="8"/>
      <c r="G9" s="8"/>
      <c r="H9" s="8"/>
      <c r="I9" s="8"/>
      <c r="J9" s="8"/>
      <c r="K9" s="9" t="str">
        <f aca="true">IF(J9="","",J9-TODAY())</f>
        <v/>
      </c>
      <c r="L9" s="8"/>
      <c r="M9" s="5"/>
      <c r="N9" s="8"/>
      <c r="O9" s="5"/>
      <c r="P9" s="8"/>
    </row>
    <row r="10" customFormat="false" ht="24" hidden="false" customHeight="true" outlineLevel="0" collapsed="false">
      <c r="A10" s="10" t="n">
        <v>4</v>
      </c>
      <c r="B10" s="8"/>
      <c r="C10" s="5"/>
      <c r="D10" s="8"/>
      <c r="E10" s="5"/>
      <c r="F10" s="8"/>
      <c r="G10" s="8"/>
      <c r="H10" s="8"/>
      <c r="I10" s="8"/>
      <c r="J10" s="8"/>
      <c r="K10" s="11" t="str">
        <f aca="true">IF(J10="","",J10-TODAY())</f>
        <v/>
      </c>
      <c r="L10" s="8"/>
      <c r="M10" s="5"/>
      <c r="N10" s="8"/>
      <c r="O10" s="5"/>
      <c r="P10" s="8"/>
    </row>
    <row r="11" customFormat="false" ht="24" hidden="false" customHeight="true" outlineLevel="0" collapsed="false">
      <c r="A11" s="7" t="n">
        <v>5</v>
      </c>
      <c r="B11" s="8"/>
      <c r="C11" s="5"/>
      <c r="D11" s="8"/>
      <c r="E11" s="5"/>
      <c r="F11" s="8"/>
      <c r="G11" s="8"/>
      <c r="H11" s="8"/>
      <c r="I11" s="8"/>
      <c r="J11" s="8"/>
      <c r="K11" s="9" t="str">
        <f aca="true">IF(J11="","",J11-TODAY())</f>
        <v/>
      </c>
      <c r="L11" s="8"/>
      <c r="M11" s="5"/>
      <c r="N11" s="8"/>
      <c r="O11" s="5"/>
      <c r="P11" s="8"/>
    </row>
    <row r="12" customFormat="false" ht="24" hidden="false" customHeight="true" outlineLevel="0" collapsed="false">
      <c r="A12" s="10" t="n">
        <v>6</v>
      </c>
      <c r="B12" s="8"/>
      <c r="C12" s="5"/>
      <c r="D12" s="8"/>
      <c r="E12" s="5"/>
      <c r="F12" s="8"/>
      <c r="G12" s="8"/>
      <c r="H12" s="8"/>
      <c r="I12" s="8"/>
      <c r="J12" s="8"/>
      <c r="K12" s="11" t="str">
        <f aca="true">IF(J12="","",J12-TODAY())</f>
        <v/>
      </c>
      <c r="L12" s="8"/>
      <c r="M12" s="5"/>
      <c r="N12" s="8"/>
      <c r="O12" s="5"/>
      <c r="P12" s="8"/>
    </row>
    <row r="13" customFormat="false" ht="24" hidden="false" customHeight="true" outlineLevel="0" collapsed="false">
      <c r="A13" s="7" t="n">
        <v>7</v>
      </c>
      <c r="B13" s="8"/>
      <c r="C13" s="5"/>
      <c r="D13" s="8"/>
      <c r="E13" s="5"/>
      <c r="F13" s="8"/>
      <c r="G13" s="8"/>
      <c r="H13" s="8"/>
      <c r="I13" s="8"/>
      <c r="J13" s="8"/>
      <c r="K13" s="9" t="str">
        <f aca="true">IF(J13="","",J13-TODAY())</f>
        <v/>
      </c>
      <c r="L13" s="8"/>
      <c r="M13" s="5"/>
      <c r="N13" s="8"/>
      <c r="O13" s="5"/>
      <c r="P13" s="8"/>
    </row>
    <row r="14" customFormat="false" ht="24" hidden="false" customHeight="true" outlineLevel="0" collapsed="false">
      <c r="A14" s="10" t="n">
        <v>8</v>
      </c>
      <c r="B14" s="8"/>
      <c r="C14" s="5"/>
      <c r="D14" s="8"/>
      <c r="E14" s="5"/>
      <c r="F14" s="8"/>
      <c r="G14" s="8"/>
      <c r="H14" s="8"/>
      <c r="I14" s="8"/>
      <c r="J14" s="8"/>
      <c r="K14" s="11" t="str">
        <f aca="true">IF(J14="","",J14-TODAY())</f>
        <v/>
      </c>
      <c r="L14" s="8"/>
      <c r="M14" s="5"/>
      <c r="N14" s="8"/>
      <c r="O14" s="5"/>
      <c r="P14" s="8"/>
    </row>
    <row r="15" customFormat="false" ht="24" hidden="false" customHeight="true" outlineLevel="0" collapsed="false">
      <c r="A15" s="7" t="n">
        <v>9</v>
      </c>
      <c r="B15" s="8"/>
      <c r="C15" s="5"/>
      <c r="D15" s="8"/>
      <c r="E15" s="5"/>
      <c r="F15" s="8"/>
      <c r="G15" s="8"/>
      <c r="H15" s="8"/>
      <c r="I15" s="8"/>
      <c r="J15" s="8"/>
      <c r="K15" s="9" t="str">
        <f aca="true">IF(J15="","",J15-TODAY())</f>
        <v/>
      </c>
      <c r="L15" s="8"/>
      <c r="M15" s="5"/>
      <c r="N15" s="8"/>
      <c r="O15" s="5"/>
      <c r="P15" s="8"/>
    </row>
    <row r="16" customFormat="false" ht="24" hidden="false" customHeight="true" outlineLevel="0" collapsed="false">
      <c r="A16" s="10" t="n">
        <v>10</v>
      </c>
      <c r="B16" s="8"/>
      <c r="C16" s="5"/>
      <c r="D16" s="8"/>
      <c r="E16" s="5"/>
      <c r="F16" s="8"/>
      <c r="G16" s="8"/>
      <c r="H16" s="8"/>
      <c r="I16" s="8"/>
      <c r="J16" s="8"/>
      <c r="K16" s="11" t="str">
        <f aca="true">IF(J16="","",J16-TODAY())</f>
        <v/>
      </c>
      <c r="L16" s="8"/>
      <c r="M16" s="5"/>
      <c r="N16" s="8"/>
      <c r="O16" s="5"/>
      <c r="P16" s="8"/>
    </row>
    <row r="17" customFormat="false" ht="24" hidden="false" customHeight="true" outlineLevel="0" collapsed="false">
      <c r="A17" s="7" t="n">
        <v>11</v>
      </c>
      <c r="B17" s="8"/>
      <c r="C17" s="5"/>
      <c r="D17" s="8"/>
      <c r="E17" s="5"/>
      <c r="F17" s="8"/>
      <c r="G17" s="8"/>
      <c r="H17" s="8"/>
      <c r="I17" s="8"/>
      <c r="J17" s="8"/>
      <c r="K17" s="9" t="str">
        <f aca="true">IF(J17="","",J17-TODAY())</f>
        <v/>
      </c>
      <c r="L17" s="8"/>
      <c r="M17" s="5"/>
      <c r="N17" s="8"/>
      <c r="O17" s="5"/>
      <c r="P17" s="8"/>
    </row>
    <row r="18" customFormat="false" ht="24" hidden="false" customHeight="true" outlineLevel="0" collapsed="false">
      <c r="A18" s="10" t="n">
        <v>12</v>
      </c>
      <c r="B18" s="8"/>
      <c r="C18" s="5"/>
      <c r="D18" s="8"/>
      <c r="E18" s="5"/>
      <c r="F18" s="8"/>
      <c r="G18" s="8"/>
      <c r="H18" s="8"/>
      <c r="I18" s="8"/>
      <c r="J18" s="8"/>
      <c r="K18" s="11" t="str">
        <f aca="true">IF(J18="","",J18-TODAY())</f>
        <v/>
      </c>
      <c r="L18" s="8"/>
      <c r="M18" s="5"/>
      <c r="N18" s="8"/>
      <c r="O18" s="5"/>
      <c r="P18" s="8"/>
    </row>
    <row r="19" customFormat="false" ht="24" hidden="false" customHeight="true" outlineLevel="0" collapsed="false">
      <c r="A19" s="7" t="n">
        <v>13</v>
      </c>
      <c r="B19" s="8"/>
      <c r="C19" s="5"/>
      <c r="D19" s="8"/>
      <c r="E19" s="5"/>
      <c r="F19" s="8"/>
      <c r="G19" s="8"/>
      <c r="H19" s="8"/>
      <c r="I19" s="8"/>
      <c r="J19" s="8"/>
      <c r="K19" s="9" t="str">
        <f aca="true">IF(J19="","",J19-TODAY())</f>
        <v/>
      </c>
      <c r="L19" s="8"/>
      <c r="M19" s="5"/>
      <c r="N19" s="8"/>
      <c r="O19" s="5"/>
      <c r="P19" s="8"/>
    </row>
    <row r="20" customFormat="false" ht="24" hidden="false" customHeight="true" outlineLevel="0" collapsed="false">
      <c r="A20" s="10" t="n">
        <v>14</v>
      </c>
      <c r="B20" s="8"/>
      <c r="C20" s="5"/>
      <c r="D20" s="8"/>
      <c r="E20" s="5"/>
      <c r="F20" s="8"/>
      <c r="G20" s="8"/>
      <c r="H20" s="8"/>
      <c r="I20" s="8"/>
      <c r="J20" s="8"/>
      <c r="K20" s="11" t="str">
        <f aca="true">IF(J20="","",J20-TODAY())</f>
        <v/>
      </c>
      <c r="L20" s="8"/>
      <c r="M20" s="5"/>
      <c r="N20" s="8"/>
      <c r="O20" s="5"/>
      <c r="P20" s="8"/>
    </row>
    <row r="21" customFormat="false" ht="24" hidden="false" customHeight="true" outlineLevel="0" collapsed="false">
      <c r="A21" s="7" t="n">
        <v>15</v>
      </c>
      <c r="B21" s="8"/>
      <c r="C21" s="5"/>
      <c r="D21" s="8"/>
      <c r="E21" s="5"/>
      <c r="F21" s="8"/>
      <c r="G21" s="8"/>
      <c r="H21" s="8"/>
      <c r="I21" s="8"/>
      <c r="J21" s="8"/>
      <c r="K21" s="9" t="str">
        <f aca="true">IF(J21="","",J21-TODAY())</f>
        <v/>
      </c>
      <c r="L21" s="8"/>
      <c r="M21" s="5"/>
      <c r="N21" s="8"/>
      <c r="O21" s="5"/>
      <c r="P21" s="8"/>
    </row>
    <row r="22" customFormat="false" ht="24" hidden="false" customHeight="true" outlineLevel="0" collapsed="false">
      <c r="A22" s="10" t="n">
        <v>16</v>
      </c>
      <c r="B22" s="8"/>
      <c r="C22" s="5"/>
      <c r="D22" s="8"/>
      <c r="E22" s="5"/>
      <c r="F22" s="8"/>
      <c r="G22" s="8"/>
      <c r="H22" s="8"/>
      <c r="I22" s="8"/>
      <c r="J22" s="8"/>
      <c r="K22" s="11" t="str">
        <f aca="true">IF(J22="","",J22-TODAY())</f>
        <v/>
      </c>
      <c r="L22" s="8"/>
      <c r="M22" s="5"/>
      <c r="N22" s="8"/>
      <c r="O22" s="5"/>
      <c r="P22" s="8"/>
    </row>
    <row r="23" customFormat="false" ht="24" hidden="false" customHeight="true" outlineLevel="0" collapsed="false">
      <c r="A23" s="7" t="n">
        <v>17</v>
      </c>
      <c r="B23" s="8"/>
      <c r="C23" s="5"/>
      <c r="D23" s="8"/>
      <c r="E23" s="5"/>
      <c r="F23" s="8"/>
      <c r="G23" s="8"/>
      <c r="H23" s="8"/>
      <c r="I23" s="8"/>
      <c r="J23" s="8"/>
      <c r="K23" s="9" t="str">
        <f aca="true">IF(J23="","",J23-TODAY())</f>
        <v/>
      </c>
      <c r="L23" s="8"/>
      <c r="M23" s="5"/>
      <c r="N23" s="8"/>
      <c r="O23" s="5"/>
      <c r="P23" s="8"/>
    </row>
    <row r="24" customFormat="false" ht="24" hidden="false" customHeight="true" outlineLevel="0" collapsed="false">
      <c r="A24" s="10" t="n">
        <v>18</v>
      </c>
      <c r="B24" s="8"/>
      <c r="C24" s="5"/>
      <c r="D24" s="8"/>
      <c r="E24" s="5"/>
      <c r="F24" s="8"/>
      <c r="G24" s="8"/>
      <c r="H24" s="8"/>
      <c r="I24" s="8"/>
      <c r="J24" s="8"/>
      <c r="K24" s="11" t="str">
        <f aca="true">IF(J24="","",J24-TODAY())</f>
        <v/>
      </c>
      <c r="L24" s="8"/>
      <c r="M24" s="5"/>
      <c r="N24" s="8"/>
      <c r="O24" s="5"/>
      <c r="P24" s="8"/>
    </row>
    <row r="25" customFormat="false" ht="24" hidden="false" customHeight="true" outlineLevel="0" collapsed="false">
      <c r="A25" s="7" t="n">
        <v>19</v>
      </c>
      <c r="B25" s="8"/>
      <c r="C25" s="5"/>
      <c r="D25" s="8"/>
      <c r="E25" s="5"/>
      <c r="F25" s="8"/>
      <c r="G25" s="8"/>
      <c r="H25" s="8"/>
      <c r="I25" s="8"/>
      <c r="J25" s="8"/>
      <c r="K25" s="9" t="str">
        <f aca="true">IF(J25="","",J25-TODAY())</f>
        <v/>
      </c>
      <c r="L25" s="8"/>
      <c r="M25" s="5"/>
      <c r="N25" s="8"/>
      <c r="O25" s="5"/>
      <c r="P25" s="8"/>
    </row>
    <row r="26" customFormat="false" ht="24" hidden="false" customHeight="true" outlineLevel="0" collapsed="false">
      <c r="A26" s="10" t="n">
        <v>20</v>
      </c>
      <c r="B26" s="8"/>
      <c r="C26" s="5"/>
      <c r="D26" s="8"/>
      <c r="E26" s="5"/>
      <c r="F26" s="8"/>
      <c r="G26" s="8"/>
      <c r="H26" s="8"/>
      <c r="I26" s="8"/>
      <c r="J26" s="8"/>
      <c r="K26" s="11" t="str">
        <f aca="true">IF(J26="","",J26-TODAY())</f>
        <v/>
      </c>
      <c r="L26" s="8"/>
      <c r="M26" s="5"/>
      <c r="N26" s="8"/>
      <c r="O26" s="5"/>
      <c r="P26" s="8"/>
    </row>
    <row r="27" customFormat="false" ht="24" hidden="false" customHeight="true" outlineLevel="0" collapsed="false">
      <c r="A27" s="7" t="n">
        <v>21</v>
      </c>
      <c r="B27" s="8"/>
      <c r="C27" s="5"/>
      <c r="D27" s="8"/>
      <c r="E27" s="5"/>
      <c r="F27" s="8"/>
      <c r="G27" s="8"/>
      <c r="H27" s="8"/>
      <c r="I27" s="8"/>
      <c r="J27" s="8"/>
      <c r="K27" s="9" t="str">
        <f aca="true">IF(J27="","",J27-TODAY())</f>
        <v/>
      </c>
      <c r="L27" s="8"/>
      <c r="M27" s="5"/>
      <c r="N27" s="8"/>
      <c r="O27" s="5"/>
      <c r="P27" s="8"/>
    </row>
    <row r="28" customFormat="false" ht="24" hidden="false" customHeight="true" outlineLevel="0" collapsed="false">
      <c r="A28" s="10" t="n">
        <v>22</v>
      </c>
      <c r="B28" s="8"/>
      <c r="C28" s="5"/>
      <c r="D28" s="8"/>
      <c r="E28" s="5"/>
      <c r="F28" s="8"/>
      <c r="G28" s="8"/>
      <c r="H28" s="8"/>
      <c r="I28" s="8"/>
      <c r="J28" s="8"/>
      <c r="K28" s="11" t="str">
        <f aca="true">IF(J28="","",J28-TODAY())</f>
        <v/>
      </c>
      <c r="L28" s="8"/>
      <c r="M28" s="5"/>
      <c r="N28" s="8"/>
      <c r="O28" s="5"/>
      <c r="P28" s="8"/>
    </row>
    <row r="29" customFormat="false" ht="24" hidden="false" customHeight="true" outlineLevel="0" collapsed="false">
      <c r="A29" s="7" t="n">
        <v>23</v>
      </c>
      <c r="B29" s="8"/>
      <c r="C29" s="5"/>
      <c r="D29" s="8"/>
      <c r="E29" s="5"/>
      <c r="F29" s="8"/>
      <c r="G29" s="8"/>
      <c r="H29" s="8"/>
      <c r="I29" s="8"/>
      <c r="J29" s="8"/>
      <c r="K29" s="9" t="str">
        <f aca="true">IF(J29="","",J29-TODAY())</f>
        <v/>
      </c>
      <c r="L29" s="8"/>
      <c r="M29" s="5"/>
      <c r="N29" s="8"/>
      <c r="O29" s="5"/>
      <c r="P29" s="8"/>
    </row>
    <row r="30" customFormat="false" ht="24" hidden="false" customHeight="true" outlineLevel="0" collapsed="false">
      <c r="A30" s="10" t="n">
        <v>24</v>
      </c>
      <c r="B30" s="8"/>
      <c r="C30" s="5"/>
      <c r="D30" s="8"/>
      <c r="E30" s="5"/>
      <c r="F30" s="8"/>
      <c r="G30" s="8"/>
      <c r="H30" s="8"/>
      <c r="I30" s="8"/>
      <c r="J30" s="8"/>
      <c r="K30" s="11" t="str">
        <f aca="true">IF(J30="","",J30-TODAY())</f>
        <v/>
      </c>
      <c r="L30" s="8"/>
      <c r="M30" s="5"/>
      <c r="N30" s="8"/>
      <c r="O30" s="5"/>
      <c r="P30" s="8"/>
    </row>
    <row r="31" customFormat="false" ht="24" hidden="false" customHeight="true" outlineLevel="0" collapsed="false">
      <c r="A31" s="7" t="n">
        <v>25</v>
      </c>
      <c r="B31" s="8"/>
      <c r="C31" s="5"/>
      <c r="D31" s="8"/>
      <c r="E31" s="5"/>
      <c r="F31" s="8"/>
      <c r="G31" s="8"/>
      <c r="H31" s="8"/>
      <c r="I31" s="8"/>
      <c r="J31" s="8"/>
      <c r="K31" s="9" t="str">
        <f aca="true">IF(J31="","",J31-TODAY())</f>
        <v/>
      </c>
      <c r="L31" s="8"/>
      <c r="M31" s="5"/>
      <c r="N31" s="8"/>
      <c r="O31" s="5"/>
      <c r="P31" s="8"/>
    </row>
    <row r="33" customFormat="false" ht="15" hidden="false" customHeight="true" outlineLevel="0" collapsed="false">
      <c r="A33" s="12" t="s">
        <v>22</v>
      </c>
      <c r="B33" s="12"/>
      <c r="C33" s="12"/>
    </row>
    <row r="34" customFormat="false" ht="15" hidden="false" customHeight="true" outlineLevel="0" collapsed="false">
      <c r="A34" s="4" t="s">
        <v>23</v>
      </c>
      <c r="B34" s="4"/>
      <c r="C34" s="13" t="n">
        <f aca="false">COUNTA(B7:B31)</f>
        <v>0</v>
      </c>
    </row>
    <row r="35" customFormat="false" ht="23.85" hidden="false" customHeight="true" outlineLevel="0" collapsed="false">
      <c r="A35" s="4" t="s">
        <v>24</v>
      </c>
      <c r="B35" s="4"/>
      <c r="C35" s="13" t="n">
        <f aca="false">COUNTIF(L7:L31,"Current")</f>
        <v>0</v>
      </c>
    </row>
    <row r="36" customFormat="false" ht="15" hidden="false" customHeight="true" outlineLevel="0" collapsed="false">
      <c r="A36" s="4" t="s">
        <v>25</v>
      </c>
      <c r="B36" s="4"/>
      <c r="C36" s="13" t="n">
        <f aca="false">COUNTIF(L7:L31,"Due")</f>
        <v>0</v>
      </c>
    </row>
    <row r="37" customFormat="false" ht="15" hidden="false" customHeight="true" outlineLevel="0" collapsed="false">
      <c r="A37" s="4" t="s">
        <v>26</v>
      </c>
      <c r="B37" s="4"/>
      <c r="C37" s="13" t="n">
        <f aca="false">COUNTIF(L7:L31,"Overdue")</f>
        <v>0</v>
      </c>
    </row>
    <row r="38" customFormat="false" ht="15" hidden="false" customHeight="true" outlineLevel="0" collapsed="false">
      <c r="A38" s="4" t="s">
        <v>27</v>
      </c>
      <c r="B38" s="4"/>
      <c r="C38" s="13" t="n">
        <f aca="false">COUNTIF(N7:N31,"Defective")</f>
        <v>0</v>
      </c>
    </row>
    <row r="39" customFormat="false" ht="15" hidden="false" customHeight="true" outlineLevel="0" collapsed="false">
      <c r="A39" s="4" t="s">
        <v>28</v>
      </c>
      <c r="B39" s="4"/>
      <c r="C39" s="13" t="n">
        <f aca="false">COUNTIF(P7:P31,"In Use")</f>
        <v>0</v>
      </c>
    </row>
  </sheetData>
  <autoFilter ref="A6:P31"/>
  <mergeCells count="13">
    <mergeCell ref="A1:P1"/>
    <mergeCell ref="A2:P2"/>
    <mergeCell ref="A3:P3"/>
    <mergeCell ref="B4:D4"/>
    <mergeCell ref="E4:F4"/>
    <mergeCell ref="G4:I4"/>
    <mergeCell ref="A33:C33"/>
    <mergeCell ref="A34:B34"/>
    <mergeCell ref="A35:B35"/>
    <mergeCell ref="A36:B36"/>
    <mergeCell ref="A37:B37"/>
    <mergeCell ref="A38:B38"/>
    <mergeCell ref="A39:B39"/>
  </mergeCells>
  <conditionalFormatting sqref="L7:L31">
    <cfRule type="cellIs" priority="2" operator="equal" aboveAverage="0" equalAverage="0" bottom="0" percent="0" rank="0" text="" dxfId="6">
      <formula>"Current"</formula>
    </cfRule>
    <cfRule type="cellIs" priority="3" operator="equal" aboveAverage="0" equalAverage="0" bottom="0" percent="0" rank="0" text="" dxfId="7">
      <formula>"Due"</formula>
    </cfRule>
    <cfRule type="cellIs" priority="4" operator="equal" aboveAverage="0" equalAverage="0" bottom="0" percent="0" rank="0" text="" dxfId="8">
      <formula>"Overdue"</formula>
    </cfRule>
  </conditionalFormatting>
  <conditionalFormatting sqref="N7:N31">
    <cfRule type="cellIs" priority="5" operator="equal" aboveAverage="0" equalAverage="0" bottom="0" percent="0" rank="0" text="" dxfId="9">
      <formula>"Poor"</formula>
    </cfRule>
    <cfRule type="cellIs" priority="6" operator="equal" aboveAverage="0" equalAverage="0" bottom="0" percent="0" rank="0" text="" dxfId="8">
      <formula>"Defective"</formula>
    </cfRule>
  </conditionalFormatting>
  <conditionalFormatting sqref="K7:K31">
    <cfRule type="expression" priority="7" aboveAverage="0" equalAverage="0" bottom="0" percent="0" rank="0" text="" dxfId="8">
      <formula>AND(K7&lt;&gt;"",K7&lt;0)</formula>
    </cfRule>
    <cfRule type="expression" priority="8" aboveAverage="0" equalAverage="0" bottom="0" percent="0" rank="0" text="" dxfId="7">
      <formula>AND(K7&lt;&gt;"",K7&gt;=0,K7&lt;=30)</formula>
    </cfRule>
  </conditionalFormatting>
  <dataValidations count="4">
    <dataValidation allowBlank="true" errorStyle="stop" operator="between" showDropDown="false" showErrorMessage="false" showInputMessage="false" sqref="D7:D31" type="list">
      <formula1>"Mobile Crane,Tower Crane,Crawler Crane,Hoist,MEWP,Forklift,Telehandler,Overhead Crane,Chain Sling,Wire Rope Sling,Webbing Sling,Shackle,Beam Clamp,Lifting Eye,Other"</formula1>
      <formula2>0</formula2>
    </dataValidation>
    <dataValidation allowBlank="true" errorStyle="stop" operator="between" showDropDown="false" showErrorMessage="false" showInputMessage="false" sqref="N7:N31" type="list">
      <formula1>"Good,Fair,Poor,Defective"</formula1>
      <formula2>0</formula2>
    </dataValidation>
    <dataValidation allowBlank="true" errorStyle="stop" operator="between" showDropDown="false" showErrorMessage="false" showInputMessage="false" sqref="P7:P31" type="list">
      <formula1>"In Use,Stored,Off-Hired,Quarantined,Disposed"</formula1>
      <formula2>0</formula2>
    </dataValidation>
    <dataValidation allowBlank="true" errorStyle="stop" operator="between" showDropDown="false" showErrorMessage="false" showInputMessage="false" sqref="L7:L31" type="list">
      <formula1>"Current,Due,Overdue,Not Examined"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29</v>
      </c>
      <c r="B2" s="2"/>
    </row>
    <row r="4" customFormat="false" ht="15" hidden="false" customHeight="false" outlineLevel="0" collapsed="false">
      <c r="B4" s="12" t="s">
        <v>30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31</v>
      </c>
    </row>
    <row r="7" customFormat="false" ht="15" hidden="false" customHeight="false" outlineLevel="0" collapsed="false">
      <c r="B7" s="14" t="s">
        <v>32</v>
      </c>
    </row>
    <row r="8" customFormat="false" ht="15" hidden="false" customHeight="false" outlineLevel="0" collapsed="false">
      <c r="B8" s="14" t="s">
        <v>33</v>
      </c>
    </row>
    <row r="9" customFormat="false" ht="15" hidden="false" customHeight="false" outlineLevel="0" collapsed="false">
      <c r="B9" s="14" t="s">
        <v>34</v>
      </c>
    </row>
    <row r="10" customFormat="false" ht="15" hidden="false" customHeight="false" outlineLevel="0" collapsed="false">
      <c r="B10" s="14" t="s">
        <v>35</v>
      </c>
    </row>
    <row r="11" customFormat="false" ht="15" hidden="false" customHeight="false" outlineLevel="0" collapsed="false">
      <c r="B11" s="14" t="s">
        <v>36</v>
      </c>
    </row>
    <row r="12" customFormat="false" ht="23.85" hidden="false" customHeight="false" outlineLevel="0" collapsed="false">
      <c r="B12" s="14" t="s">
        <v>37</v>
      </c>
    </row>
    <row r="13" customFormat="false" ht="15" hidden="false" customHeight="false" outlineLevel="0" collapsed="false">
      <c r="B13" s="14"/>
    </row>
    <row r="14" customFormat="false" ht="15" hidden="false" customHeight="false" outlineLevel="0" collapsed="false">
      <c r="B14" s="12" t="s">
        <v>38</v>
      </c>
    </row>
    <row r="15" customFormat="false" ht="15" hidden="false" customHeight="false" outlineLevel="0" collapsed="false">
      <c r="B15" s="14" t="s">
        <v>39</v>
      </c>
    </row>
    <row r="16" customFormat="false" ht="15" hidden="false" customHeight="false" outlineLevel="0" collapsed="false">
      <c r="B16" s="14" t="s">
        <v>40</v>
      </c>
    </row>
    <row r="17" customFormat="false" ht="15" hidden="false" customHeight="false" outlineLevel="0" collapsed="false">
      <c r="B17" s="14" t="s">
        <v>41</v>
      </c>
    </row>
    <row r="18" customFormat="false" ht="15" hidden="false" customHeight="false" outlineLevel="0" collapsed="false">
      <c r="B18" s="14" t="s">
        <v>42</v>
      </c>
    </row>
    <row r="19" customFormat="false" ht="15" hidden="false" customHeight="false" outlineLevel="0" collapsed="false">
      <c r="B19" s="14"/>
    </row>
    <row r="20" customFormat="false" ht="15" hidden="false" customHeight="false" outlineLevel="0" collapsed="false">
      <c r="B20" s="12" t="s">
        <v>43</v>
      </c>
    </row>
    <row r="21" customFormat="false" ht="15" hidden="false" customHeight="false" outlineLevel="0" collapsed="false">
      <c r="B21" s="3" t="s">
        <v>44</v>
      </c>
    </row>
    <row r="22" customFormat="false" ht="15" hidden="false" customHeight="false" outlineLevel="0" collapsed="false">
      <c r="B22" s="3" t="s">
        <v>45</v>
      </c>
    </row>
    <row r="23" customFormat="false" ht="15" hidden="false" customHeight="false" outlineLevel="0" collapsed="false">
      <c r="B23" s="3" t="s">
        <v>46</v>
      </c>
    </row>
    <row r="24" customFormat="false" ht="15" hidden="false" customHeight="false" outlineLevel="0" collapsed="false">
      <c r="B24" s="3" t="s">
        <v>47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2026-03-27T16:37:20Z</dcterms:created>
  <dc:creator>openpyxl</dc:creator>
  <dc:description/>
  <dc:language>en-US</dc:language>
  <cp:lastModifiedBy/>
  <dcterms:modified xsi:type="dcterms:W3CDTF">2026-03-27T16:37:20Z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