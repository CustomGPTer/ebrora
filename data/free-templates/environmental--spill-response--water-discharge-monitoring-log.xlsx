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ischarge Monitorin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'Discharge Monitoring'!$A$1:$L$56</definedName>
    <definedName function="false" hidden="true" localSheetId="2" name="_xlnm._FilterDatabase" vbProcedure="false">'Discharge Monitoring'!$A$6:$L$506</definedName>
    <definedName function="false" hidden="false" name="DischargeLog" vbProcedure="false">'Discharge Monitoring'!$A$6:$L$506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<sst xmlns="http://schemas.openxmlformats.org/spreadsheetml/2006/main" count="100" uniqueCount="88">
  <si>
    <t xml:space="preserve">EBRORA</t>
  </si>
  <si>
    <t xml:space="preserve">ebrora.com</t>
  </si>
  <si>
    <t xml:space="preserve">Water Discharge Monitoring Log</t>
  </si>
  <si>
    <t xml:space="preserve">Monitor water discharge quality against permit limits with automatic compliance checks.</t>
  </si>
  <si>
    <t xml:space="preserve">Designed for EA/NRW discharge consent compliance on UK construction sites.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</si>
  <si>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</si>
  <si>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</si>
  <si>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</si>
  <si>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</si>
  <si>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</si>
  <si>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'Discharge Monitoring' sheet. The top section shows your permit limits and a compliance summary.</t>
  </si>
  <si>
    <t xml:space="preserve">2.</t>
  </si>
  <si>
    <t xml:space="preserve">Set your discharge permit limits in the Permit Limits table (row 4). These are the maximum allowable concentrations for each parameter.</t>
  </si>
  <si>
    <t xml:space="preserve">3.</t>
  </si>
  <si>
    <t xml:space="preserve">Log each sampling event in the monitoring table below. Enter the date, sampling point, and measured values for pH, TSS, oil/grease, and turbidity.</t>
  </si>
  <si>
    <t xml:space="preserve">4.</t>
  </si>
  <si>
    <t xml:space="preserve">The Compliance column auto-calculates: PASS if all parameters are within limits, FAIL if any exceed. Failed readings turn red automatically.</t>
  </si>
  <si>
    <t xml:space="preserve">5.</t>
  </si>
  <si>
    <t xml:space="preserve">Expand the optional columns to record the sampler name, lab reference, weather conditions, and follow-up actions.</t>
  </si>
  <si>
    <t xml:space="preserve">6.</t>
  </si>
  <si>
    <t xml:space="preserve">The summary dashboard counts total samples, passes, fails, and calculates your compliance rate as a percentage.</t>
  </si>
  <si>
    <t xml:space="preserve">7.</t>
  </si>
  <si>
    <t xml:space="preserve">Export or print the log for inclusion in your environmental file or for submission to the Environment Agency.</t>
  </si>
  <si>
    <t xml:space="preserve">Colour Key</t>
  </si>
  <si>
    <t xml:space="preserve">Light teal — user input / editable</t>
  </si>
  <si>
    <t xml:space="preserve">  </t>
  </si>
  <si>
    <t xml:space="preserve">Dark navy — headers, do not edit</t>
  </si>
  <si>
    <t xml:space="preserve">Green — PASS (within permit limits)</t>
  </si>
  <si>
    <t xml:space="preserve">Red — FAIL (permit limit exceeded)</t>
  </si>
  <si>
    <t xml:space="preserve">Amber — approaching limit (≥80% of threshold)</t>
  </si>
  <si>
    <t xml:space="preserve">Tips</t>
  </si>
  <si>
    <t xml:space="preserve">•</t>
  </si>
  <si>
    <t xml:space="preserve">Sample at the same time of day for consistency — ideally during peak discharge.</t>
  </si>
  <si>
    <t xml:space="preserve">Always take a background/upstream sample alongside your discharge sample for comparison.</t>
  </si>
  <si>
    <t xml:space="preserve">If a FAIL is recorded, notify the site environmental manager immediately and implement corrective measures.</t>
  </si>
  <si>
    <t xml:space="preserve">WATER DISCHARGE MONITORING LOG</t>
  </si>
  <si>
    <t xml:space="preserve">PERMIT LIMITS</t>
  </si>
  <si>
    <t xml:space="preserve">pH (min)</t>
  </si>
  <si>
    <t xml:space="preserve">pH (max)</t>
  </si>
  <si>
    <t xml:space="preserve">TSS (mg/L)</t>
  </si>
  <si>
    <t xml:space="preserve">Oil (mg/L)</t>
  </si>
  <si>
    <t xml:space="preserve">Turbidity (NTU)</t>
  </si>
  <si>
    <t xml:space="preserve">Compliance Summary</t>
  </si>
  <si>
    <t xml:space="preserve">Limits →</t>
  </si>
  <si>
    <t xml:space="preserve">Total Samples:</t>
  </si>
  <si>
    <t xml:space="preserve">Compliance Rate:</t>
  </si>
  <si>
    <t xml:space="preserve">Pass:</t>
  </si>
  <si>
    <t xml:space="preserve">Fail:</t>
  </si>
  <si>
    <t xml:space="preserve">Ref</t>
  </si>
  <si>
    <t xml:space="preserve">Date</t>
  </si>
  <si>
    <t xml:space="preserve">Sampling Point</t>
  </si>
  <si>
    <t xml:space="preserve">pH</t>
  </si>
  <si>
    <t xml:space="preserve">Compliance</t>
  </si>
  <si>
    <t xml:space="preserve">Sampled By</t>
  </si>
  <si>
    <t xml:space="preserve">Weather</t>
  </si>
  <si>
    <t xml:space="preserve">Lab Ref</t>
  </si>
  <si>
    <t xml:space="preserve">Action / Notes</t>
  </si>
  <si>
    <t xml:space="preserve">WD-001</t>
  </si>
  <si>
    <t xml:space="preserve">Outfall 1</t>
  </si>
  <si>
    <t xml:space="preserve">M. Khan</t>
  </si>
  <si>
    <t xml:space="preserve">Dry</t>
  </si>
  <si>
    <t xml:space="preserve">LAB-2026-041</t>
  </si>
  <si>
    <t xml:space="preserve">WD-002</t>
  </si>
  <si>
    <t xml:space="preserve">Upstream Background</t>
  </si>
  <si>
    <t xml:space="preserve">LAB-2026-042</t>
  </si>
  <si>
    <t xml:space="preserve">Background reference sample</t>
  </si>
  <si>
    <t xml:space="preserve">WD-003</t>
  </si>
  <si>
    <t xml:space="preserve">J. Williams</t>
  </si>
  <si>
    <t xml:space="preserve">Heavy Rain</t>
  </si>
  <si>
    <t xml:space="preserve">LAB-2026-055</t>
  </si>
  <si>
    <t xml:space="preserve">Exceedance during storm — settlement pond overtopped</t>
  </si>
  <si>
    <t xml:space="preserve">WD-004</t>
  </si>
  <si>
    <t xml:space="preserve">Settlement Pond</t>
  </si>
  <si>
    <t xml:space="preserve">LAB-2026-056</t>
  </si>
  <si>
    <t xml:space="preserve">Post-storm reading from pond outlet</t>
  </si>
  <si>
    <t xml:space="preserve">WD-005</t>
  </si>
  <si>
    <t xml:space="preserve">Overcast</t>
  </si>
  <si>
    <t xml:space="preserve">LAB-2026-068</t>
  </si>
  <si>
    <t xml:space="preserve">Normal operations, within limits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</si>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</sst>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General"/>
    <numFmt numFmtId="168" formatCode="0.0%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4"/>
      <color rgb="FF2AABB3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true" outlineLevel="1" max="12" min="9" style="0" width="16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8.35" hidden="false" customHeight="true" outlineLevel="0" collapsed="false">
      <c r="A2" s="22" t="s">
        <v>36</v>
      </c>
      <c r="B2" s="22"/>
      <c r="C2" s="23" t="s">
        <v>37</v>
      </c>
      <c r="D2" s="23" t="s">
        <v>38</v>
      </c>
      <c r="E2" s="23" t="s">
        <v>39</v>
      </c>
      <c r="F2" s="23" t="s">
        <v>40</v>
      </c>
      <c r="G2" s="23" t="s">
        <v>41</v>
      </c>
      <c r="I2" s="22" t="s">
        <v>42</v>
      </c>
      <c r="J2" s="22"/>
      <c r="K2" s="24"/>
      <c r="L2" s="24"/>
    </row>
    <row r="3" customFormat="false" ht="18.65" hidden="false" customHeight="false" outlineLevel="0" collapsed="false">
      <c r="A3" s="25" t="s">
        <v>43</v>
      </c>
      <c r="B3" s="25"/>
      <c r="C3" s="26" t="n">
        <v>6</v>
      </c>
      <c r="D3" s="26" t="n">
        <v>9</v>
      </c>
      <c r="E3" s="27" t="n">
        <v>30</v>
      </c>
      <c r="F3" s="27" t="n">
        <v>5</v>
      </c>
      <c r="G3" s="27" t="n">
        <v>50</v>
      </c>
      <c r="I3" s="20" t="s">
        <v>44</v>
      </c>
      <c r="J3" s="28" t="n">
        <f aca="false">COUNTA(A7:A506)</f>
        <v>5</v>
      </c>
      <c r="K3" s="20" t="s">
        <v>45</v>
      </c>
      <c r="L3" s="29" t="n">
        <f aca="false">IF(J3&gt;0,COUNTIF(H7:H506,"PASS")/J3,0)</f>
        <v>0.8</v>
      </c>
    </row>
    <row r="4" customFormat="false" ht="15" hidden="false" customHeight="false" outlineLevel="0" collapsed="false">
      <c r="I4" s="20" t="s">
        <v>46</v>
      </c>
      <c r="J4" s="30" t="n">
        <f aca="false">COUNTIF(H7:H506,"PASS")</f>
        <v>4</v>
      </c>
      <c r="K4" s="20" t="s">
        <v>47</v>
      </c>
      <c r="L4" s="31" t="n">
        <f aca="false">COUNTIF(H7:H506,"FAIL")</f>
        <v>1</v>
      </c>
    </row>
    <row r="5" customFormat="false" ht="6" hidden="false" customHeight="true" outlineLevel="0" collapsed="false"/>
    <row r="6" customFormat="false" ht="28.35" hidden="false" customHeight="false" outlineLevel="0" collapsed="false">
      <c r="A6" s="32" t="s">
        <v>48</v>
      </c>
      <c r="B6" s="32" t="s">
        <v>49</v>
      </c>
      <c r="C6" s="32" t="s">
        <v>50</v>
      </c>
      <c r="D6" s="32" t="s">
        <v>51</v>
      </c>
      <c r="E6" s="32" t="s">
        <v>39</v>
      </c>
      <c r="F6" s="32" t="s">
        <v>40</v>
      </c>
      <c r="G6" s="32" t="s">
        <v>41</v>
      </c>
      <c r="H6" s="32" t="s">
        <v>52</v>
      </c>
      <c r="I6" s="32" t="s">
        <v>53</v>
      </c>
      <c r="J6" s="32" t="s">
        <v>54</v>
      </c>
      <c r="K6" s="32" t="s">
        <v>55</v>
      </c>
      <c r="L6" s="32" t="s">
        <v>56</v>
      </c>
    </row>
    <row r="7" customFormat="false" ht="30" hidden="false" customHeight="true" outlineLevel="0" collapsed="false">
      <c r="A7" s="33" t="s">
        <v>57</v>
      </c>
      <c r="B7" s="34" t="n">
        <v>46083</v>
      </c>
      <c r="C7" s="33" t="s">
        <v>58</v>
      </c>
      <c r="D7" s="35" t="n">
        <v>7.2</v>
      </c>
      <c r="E7" s="36" t="n">
        <v>18</v>
      </c>
      <c r="F7" s="35" t="n">
        <v>2.1</v>
      </c>
      <c r="G7" s="36" t="n">
        <v>35</v>
      </c>
      <c r="H7" s="33" t="str">
        <f aca="false">IF(OR(D7="",E7="",F7="",G7=""),"",IF(AND(D7&gt;=$C$3,D7&lt;=$D$3,E7&lt;=$E$3,F7&lt;=$F$3,G7&lt;=$G$3),"PASS","FAIL"))</f>
        <v>PASS</v>
      </c>
      <c r="I7" s="33" t="s">
        <v>59</v>
      </c>
      <c r="J7" s="33" t="s">
        <v>60</v>
      </c>
      <c r="K7" s="33" t="s">
        <v>61</v>
      </c>
      <c r="L7" s="37"/>
    </row>
    <row r="8" customFormat="false" ht="30" hidden="false" customHeight="true" outlineLevel="0" collapsed="false">
      <c r="A8" s="38" t="s">
        <v>62</v>
      </c>
      <c r="B8" s="39" t="n">
        <v>46083</v>
      </c>
      <c r="C8" s="38" t="s">
        <v>63</v>
      </c>
      <c r="D8" s="40" t="n">
        <v>7.4</v>
      </c>
      <c r="E8" s="41" t="n">
        <v>8</v>
      </c>
      <c r="F8" s="40" t="n">
        <v>0.5</v>
      </c>
      <c r="G8" s="41" t="n">
        <v>12</v>
      </c>
      <c r="H8" s="38" t="str">
        <f aca="false">IF(OR(D8="",E8="",F8="",G8=""),"",IF(AND(D8&gt;=$C$3,D8&lt;=$D$3,E8&lt;=$E$3,F8&lt;=$F$3,G8&lt;=$G$3),"PASS","FAIL"))</f>
        <v>PASS</v>
      </c>
      <c r="I8" s="38" t="s">
        <v>59</v>
      </c>
      <c r="J8" s="38" t="s">
        <v>60</v>
      </c>
      <c r="K8" s="38" t="s">
        <v>64</v>
      </c>
      <c r="L8" s="42" t="s">
        <v>65</v>
      </c>
    </row>
    <row r="9" customFormat="false" ht="30" hidden="false" customHeight="true" outlineLevel="0" collapsed="false">
      <c r="A9" s="33" t="s">
        <v>66</v>
      </c>
      <c r="B9" s="34" t="n">
        <v>46090</v>
      </c>
      <c r="C9" s="33" t="s">
        <v>58</v>
      </c>
      <c r="D9" s="35" t="n">
        <v>7</v>
      </c>
      <c r="E9" s="36" t="n">
        <v>42</v>
      </c>
      <c r="F9" s="35" t="n">
        <v>3.8</v>
      </c>
      <c r="G9" s="36" t="n">
        <v>65</v>
      </c>
      <c r="H9" s="33" t="str">
        <f aca="false">IF(OR(D9="",E9="",F9="",G9=""),"",IF(AND(D9&gt;=$C$3,D9&lt;=$D$3,E9&lt;=$E$3,F9&lt;=$F$3,G9&lt;=$G$3),"PASS","FAIL"))</f>
        <v>FAIL</v>
      </c>
      <c r="I9" s="33" t="s">
        <v>67</v>
      </c>
      <c r="J9" s="33" t="s">
        <v>68</v>
      </c>
      <c r="K9" s="33" t="s">
        <v>69</v>
      </c>
      <c r="L9" s="37" t="s">
        <v>70</v>
      </c>
    </row>
    <row r="10" customFormat="false" ht="30" hidden="false" customHeight="true" outlineLevel="0" collapsed="false">
      <c r="A10" s="38" t="s">
        <v>71</v>
      </c>
      <c r="B10" s="39" t="n">
        <v>46090</v>
      </c>
      <c r="C10" s="38" t="s">
        <v>72</v>
      </c>
      <c r="D10" s="40" t="n">
        <v>6.8</v>
      </c>
      <c r="E10" s="41" t="n">
        <v>28</v>
      </c>
      <c r="F10" s="40" t="n">
        <v>2.5</v>
      </c>
      <c r="G10" s="41" t="n">
        <v>45</v>
      </c>
      <c r="H10" s="38" t="str">
        <f aca="false">IF(OR(D10="",E10="",F10="",G10=""),"",IF(AND(D10&gt;=$C$3,D10&lt;=$D$3,E10&lt;=$E$3,F10&lt;=$F$3,G10&lt;=$G$3),"PASS","FAIL"))</f>
        <v>PASS</v>
      </c>
      <c r="I10" s="38" t="s">
        <v>67</v>
      </c>
      <c r="J10" s="38" t="s">
        <v>68</v>
      </c>
      <c r="K10" s="38" t="s">
        <v>73</v>
      </c>
      <c r="L10" s="42" t="s">
        <v>74</v>
      </c>
    </row>
    <row r="11" customFormat="false" ht="30" hidden="false" customHeight="true" outlineLevel="0" collapsed="false">
      <c r="A11" s="33" t="s">
        <v>75</v>
      </c>
      <c r="B11" s="34" t="n">
        <v>46097</v>
      </c>
      <c r="C11" s="33" t="s">
        <v>58</v>
      </c>
      <c r="D11" s="35" t="n">
        <v>7.3</v>
      </c>
      <c r="E11" s="36" t="n">
        <v>15</v>
      </c>
      <c r="F11" s="35" t="n">
        <v>1.8</v>
      </c>
      <c r="G11" s="36" t="n">
        <v>30</v>
      </c>
      <c r="H11" s="33" t="str">
        <f aca="false">IF(OR(D11="",E11="",F11="",G11=""),"",IF(AND(D11&gt;=$C$3,D11&lt;=$D$3,E11&lt;=$E$3,F11&lt;=$F$3,G11&lt;=$G$3),"PASS","FAIL"))</f>
        <v>PASS</v>
      </c>
      <c r="I11" s="33" t="s">
        <v>59</v>
      </c>
      <c r="J11" s="33" t="s">
        <v>76</v>
      </c>
      <c r="K11" s="33" t="s">
        <v>77</v>
      </c>
      <c r="L11" s="37" t="s">
        <v>78</v>
      </c>
    </row>
    <row r="12" customFormat="false" ht="15" hidden="false" customHeight="false" outlineLevel="0" collapsed="false">
      <c r="A12" s="38"/>
      <c r="B12" s="39"/>
      <c r="C12" s="38"/>
      <c r="D12" s="40"/>
      <c r="E12" s="41"/>
      <c r="F12" s="40"/>
      <c r="G12" s="41"/>
      <c r="H12" s="38" t="str">
        <f aca="false">IF(OR(D12="",E12="",F12="",G12=""),"",IF(AND(D12&gt;=$C$3,D12&lt;=$D$3,E12&lt;=$E$3,F12&lt;=$F$3,G12&lt;=$G$3),"PASS","FAIL"))</f>
        <v/>
      </c>
      <c r="I12" s="38"/>
      <c r="J12" s="38"/>
      <c r="K12" s="38"/>
      <c r="L12" s="42"/>
    </row>
    <row r="13" customFormat="false" ht="15" hidden="false" customHeight="false" outlineLevel="0" collapsed="false">
      <c r="A13" s="33"/>
      <c r="B13" s="34"/>
      <c r="C13" s="33"/>
      <c r="D13" s="35"/>
      <c r="E13" s="36"/>
      <c r="F13" s="35"/>
      <c r="G13" s="36"/>
      <c r="H13" s="33" t="str">
        <f aca="false">IF(OR(D13="",E13="",F13="",G13=""),"",IF(AND(D13&gt;=$C$3,D13&lt;=$D$3,E13&lt;=$E$3,F13&lt;=$F$3,G13&lt;=$G$3),"PASS","FAIL"))</f>
        <v/>
      </c>
      <c r="I13" s="33"/>
      <c r="J13" s="33"/>
      <c r="K13" s="33"/>
      <c r="L13" s="37"/>
    </row>
    <row r="14" customFormat="false" ht="15" hidden="false" customHeight="false" outlineLevel="0" collapsed="false">
      <c r="A14" s="38"/>
      <c r="B14" s="39"/>
      <c r="C14" s="38"/>
      <c r="D14" s="40"/>
      <c r="E14" s="41"/>
      <c r="F14" s="40"/>
      <c r="G14" s="41"/>
      <c r="H14" s="38" t="str">
        <f aca="false">IF(OR(D14="",E14="",F14="",G14=""),"",IF(AND(D14&gt;=$C$3,D14&lt;=$D$3,E14&lt;=$E$3,F14&lt;=$F$3,G14&lt;=$G$3),"PASS","FAIL"))</f>
        <v/>
      </c>
      <c r="I14" s="38"/>
      <c r="J14" s="38"/>
      <c r="K14" s="38"/>
      <c r="L14" s="42"/>
    </row>
    <row r="15" customFormat="false" ht="15" hidden="false" customHeight="false" outlineLevel="0" collapsed="false">
      <c r="A15" s="33"/>
      <c r="B15" s="34"/>
      <c r="C15" s="33"/>
      <c r="D15" s="35"/>
      <c r="E15" s="36"/>
      <c r="F15" s="35"/>
      <c r="G15" s="36"/>
      <c r="H15" s="33" t="str">
        <f aca="false">IF(OR(D15="",E15="",F15="",G15=""),"",IF(AND(D15&gt;=$C$3,D15&lt;=$D$3,E15&lt;=$E$3,F15&lt;=$F$3,G15&lt;=$G$3),"PASS","FAIL"))</f>
        <v/>
      </c>
      <c r="I15" s="33"/>
      <c r="J15" s="33"/>
      <c r="K15" s="33"/>
      <c r="L15" s="37"/>
    </row>
    <row r="16" customFormat="false" ht="15" hidden="false" customHeight="false" outlineLevel="0" collapsed="false">
      <c r="A16" s="38"/>
      <c r="B16" s="39"/>
      <c r="C16" s="38"/>
      <c r="D16" s="40"/>
      <c r="E16" s="41"/>
      <c r="F16" s="40"/>
      <c r="G16" s="41"/>
      <c r="H16" s="38" t="str">
        <f aca="false">IF(OR(D16="",E16="",F16="",G16=""),"",IF(AND(D16&gt;=$C$3,D16&lt;=$D$3,E16&lt;=$E$3,F16&lt;=$F$3,G16&lt;=$G$3),"PASS","FAIL"))</f>
        <v/>
      </c>
      <c r="I16" s="38"/>
      <c r="J16" s="38"/>
      <c r="K16" s="38"/>
      <c r="L16" s="42"/>
    </row>
    <row r="17" customFormat="false" ht="15" hidden="false" customHeight="false" outlineLevel="0" collapsed="false">
      <c r="A17" s="33"/>
      <c r="B17" s="34"/>
      <c r="C17" s="33"/>
      <c r="D17" s="35"/>
      <c r="E17" s="36"/>
      <c r="F17" s="35"/>
      <c r="G17" s="36"/>
      <c r="H17" s="33" t="str">
        <f aca="false">IF(OR(D17="",E17="",F17="",G17=""),"",IF(AND(D17&gt;=$C$3,D17&lt;=$D$3,E17&lt;=$E$3,F17&lt;=$F$3,G17&lt;=$G$3),"PASS","FAIL"))</f>
        <v/>
      </c>
      <c r="I17" s="33"/>
      <c r="J17" s="33"/>
      <c r="K17" s="33"/>
      <c r="L17" s="37"/>
    </row>
    <row r="18" customFormat="false" ht="15" hidden="false" customHeight="false" outlineLevel="0" collapsed="false">
      <c r="A18" s="38"/>
      <c r="B18" s="39"/>
      <c r="C18" s="38"/>
      <c r="D18" s="40"/>
      <c r="E18" s="41"/>
      <c r="F18" s="40"/>
      <c r="G18" s="41"/>
      <c r="H18" s="38" t="str">
        <f aca="false">IF(OR(D18="",E18="",F18="",G18=""),"",IF(AND(D18&gt;=$C$3,D18&lt;=$D$3,E18&lt;=$E$3,F18&lt;=$F$3,G18&lt;=$G$3),"PASS","FAIL"))</f>
        <v/>
      </c>
      <c r="I18" s="38"/>
      <c r="J18" s="38"/>
      <c r="K18" s="38"/>
      <c r="L18" s="42"/>
    </row>
    <row r="19" customFormat="false" ht="15" hidden="false" customHeight="false" outlineLevel="0" collapsed="false">
      <c r="A19" s="33"/>
      <c r="B19" s="34"/>
      <c r="C19" s="33"/>
      <c r="D19" s="35"/>
      <c r="E19" s="36"/>
      <c r="F19" s="35"/>
      <c r="G19" s="36"/>
      <c r="H19" s="33" t="str">
        <f aca="false">IF(OR(D19="",E19="",F19="",G19=""),"",IF(AND(D19&gt;=$C$3,D19&lt;=$D$3,E19&lt;=$E$3,F19&lt;=$F$3,G19&lt;=$G$3),"PASS","FAIL"))</f>
        <v/>
      </c>
      <c r="I19" s="33"/>
      <c r="J19" s="33"/>
      <c r="K19" s="33"/>
      <c r="L19" s="37"/>
    </row>
    <row r="20" customFormat="false" ht="15" hidden="false" customHeight="false" outlineLevel="0" collapsed="false">
      <c r="A20" s="38"/>
      <c r="B20" s="39"/>
      <c r="C20" s="38"/>
      <c r="D20" s="40"/>
      <c r="E20" s="41"/>
      <c r="F20" s="40"/>
      <c r="G20" s="41"/>
      <c r="H20" s="38" t="str">
        <f aca="false">IF(OR(D20="",E20="",F20="",G20=""),"",IF(AND(D20&gt;=$C$3,D20&lt;=$D$3,E20&lt;=$E$3,F20&lt;=$F$3,G20&lt;=$G$3),"PASS","FAIL"))</f>
        <v/>
      </c>
      <c r="I20" s="38"/>
      <c r="J20" s="38"/>
      <c r="K20" s="38"/>
      <c r="L20" s="42"/>
    </row>
    <row r="21" customFormat="false" ht="15" hidden="false" customHeight="false" outlineLevel="0" collapsed="false">
      <c r="A21" s="33"/>
      <c r="B21" s="34"/>
      <c r="C21" s="33"/>
      <c r="D21" s="35"/>
      <c r="E21" s="36"/>
      <c r="F21" s="35"/>
      <c r="G21" s="36"/>
      <c r="H21" s="33" t="str">
        <f aca="false">IF(OR(D21="",E21="",F21="",G21=""),"",IF(AND(D21&gt;=$C$3,D21&lt;=$D$3,E21&lt;=$E$3,F21&lt;=$F$3,G21&lt;=$G$3),"PASS","FAIL"))</f>
        <v/>
      </c>
      <c r="I21" s="33"/>
      <c r="J21" s="33"/>
      <c r="K21" s="33"/>
      <c r="L21" s="37"/>
    </row>
    <row r="22" customFormat="false" ht="15" hidden="false" customHeight="false" outlineLevel="0" collapsed="false">
      <c r="A22" s="38"/>
      <c r="B22" s="39"/>
      <c r="C22" s="38"/>
      <c r="D22" s="40"/>
      <c r="E22" s="41"/>
      <c r="F22" s="40"/>
      <c r="G22" s="41"/>
      <c r="H22" s="38" t="str">
        <f aca="false">IF(OR(D22="",E22="",F22="",G22=""),"",IF(AND(D22&gt;=$C$3,D22&lt;=$D$3,E22&lt;=$E$3,F22&lt;=$F$3,G22&lt;=$G$3),"PASS","FAIL"))</f>
        <v/>
      </c>
      <c r="I22" s="38"/>
      <c r="J22" s="38"/>
      <c r="K22" s="38"/>
      <c r="L22" s="42"/>
    </row>
    <row r="23" customFormat="false" ht="15" hidden="false" customHeight="false" outlineLevel="0" collapsed="false">
      <c r="A23" s="33"/>
      <c r="B23" s="34"/>
      <c r="C23" s="33"/>
      <c r="D23" s="35"/>
      <c r="E23" s="36"/>
      <c r="F23" s="35"/>
      <c r="G23" s="36"/>
      <c r="H23" s="33" t="str">
        <f aca="false">IF(OR(D23="",E23="",F23="",G23=""),"",IF(AND(D23&gt;=$C$3,D23&lt;=$D$3,E23&lt;=$E$3,F23&lt;=$F$3,G23&lt;=$G$3),"PASS","FAIL"))</f>
        <v/>
      </c>
      <c r="I23" s="33"/>
      <c r="J23" s="33"/>
      <c r="K23" s="33"/>
      <c r="L23" s="37"/>
    </row>
    <row r="24" customFormat="false" ht="15" hidden="false" customHeight="false" outlineLevel="0" collapsed="false">
      <c r="A24" s="38"/>
      <c r="B24" s="39"/>
      <c r="C24" s="38"/>
      <c r="D24" s="40"/>
      <c r="E24" s="41"/>
      <c r="F24" s="40"/>
      <c r="G24" s="41"/>
      <c r="H24" s="38" t="str">
        <f aca="false">IF(OR(D24="",E24="",F24="",G24=""),"",IF(AND(D24&gt;=$C$3,D24&lt;=$D$3,E24&lt;=$E$3,F24&lt;=$F$3,G24&lt;=$G$3),"PASS","FAIL"))</f>
        <v/>
      </c>
      <c r="I24" s="38"/>
      <c r="J24" s="38"/>
      <c r="K24" s="38"/>
      <c r="L24" s="42"/>
    </row>
    <row r="25" customFormat="false" ht="15" hidden="false" customHeight="false" outlineLevel="0" collapsed="false">
      <c r="A25" s="33"/>
      <c r="B25" s="34"/>
      <c r="C25" s="33"/>
      <c r="D25" s="35"/>
      <c r="E25" s="36"/>
      <c r="F25" s="35"/>
      <c r="G25" s="36"/>
      <c r="H25" s="33" t="str">
        <f aca="false">IF(OR(D25="",E25="",F25="",G25=""),"",IF(AND(D25&gt;=$C$3,D25&lt;=$D$3,E25&lt;=$E$3,F25&lt;=$F$3,G25&lt;=$G$3),"PASS","FAIL"))</f>
        <v/>
      </c>
      <c r="I25" s="33"/>
      <c r="J25" s="33"/>
      <c r="K25" s="33"/>
      <c r="L25" s="37"/>
    </row>
    <row r="26" customFormat="false" ht="15" hidden="false" customHeight="false" outlineLevel="0" collapsed="false">
      <c r="A26" s="38"/>
      <c r="B26" s="39"/>
      <c r="C26" s="38"/>
      <c r="D26" s="40"/>
      <c r="E26" s="41"/>
      <c r="F26" s="40"/>
      <c r="G26" s="41"/>
      <c r="H26" s="38" t="str">
        <f aca="false">IF(OR(D26="",E26="",F26="",G26=""),"",IF(AND(D26&gt;=$C$3,D26&lt;=$D$3,E26&lt;=$E$3,F26&lt;=$F$3,G26&lt;=$G$3),"PASS","FAIL"))</f>
        <v/>
      </c>
      <c r="I26" s="38"/>
      <c r="J26" s="38"/>
      <c r="K26" s="38"/>
      <c r="L26" s="42"/>
    </row>
    <row r="27" customFormat="false" ht="15" hidden="false" customHeight="false" outlineLevel="0" collapsed="false">
      <c r="A27" s="33"/>
      <c r="B27" s="34"/>
      <c r="C27" s="33"/>
      <c r="D27" s="35"/>
      <c r="E27" s="36"/>
      <c r="F27" s="35"/>
      <c r="G27" s="36"/>
      <c r="H27" s="33" t="str">
        <f aca="false">IF(OR(D27="",E27="",F27="",G27=""),"",IF(AND(D27&gt;=$C$3,D27&lt;=$D$3,E27&lt;=$E$3,F27&lt;=$F$3,G27&lt;=$G$3),"PASS","FAIL"))</f>
        <v/>
      </c>
      <c r="I27" s="33"/>
      <c r="J27" s="33"/>
      <c r="K27" s="33"/>
      <c r="L27" s="37"/>
    </row>
    <row r="28" customFormat="false" ht="15" hidden="false" customHeight="false" outlineLevel="0" collapsed="false">
      <c r="A28" s="38"/>
      <c r="B28" s="39"/>
      <c r="C28" s="38"/>
      <c r="D28" s="40"/>
      <c r="E28" s="41"/>
      <c r="F28" s="40"/>
      <c r="G28" s="41"/>
      <c r="H28" s="38" t="str">
        <f aca="false">IF(OR(D28="",E28="",F28="",G28=""),"",IF(AND(D28&gt;=$C$3,D28&lt;=$D$3,E28&lt;=$E$3,F28&lt;=$F$3,G28&lt;=$G$3),"PASS","FAIL"))</f>
        <v/>
      </c>
      <c r="I28" s="38"/>
      <c r="J28" s="38"/>
      <c r="K28" s="38"/>
      <c r="L28" s="42"/>
    </row>
    <row r="29" customFormat="false" ht="15" hidden="false" customHeight="false" outlineLevel="0" collapsed="false">
      <c r="A29" s="33"/>
      <c r="B29" s="34"/>
      <c r="C29" s="33"/>
      <c r="D29" s="35"/>
      <c r="E29" s="36"/>
      <c r="F29" s="35"/>
      <c r="G29" s="36"/>
      <c r="H29" s="33" t="str">
        <f aca="false">IF(OR(D29="",E29="",F29="",G29=""),"",IF(AND(D29&gt;=$C$3,D29&lt;=$D$3,E29&lt;=$E$3,F29&lt;=$F$3,G29&lt;=$G$3),"PASS","FAIL"))</f>
        <v/>
      </c>
      <c r="I29" s="33"/>
      <c r="J29" s="33"/>
      <c r="K29" s="33"/>
      <c r="L29" s="37"/>
    </row>
    <row r="30" customFormat="false" ht="15" hidden="false" customHeight="false" outlineLevel="0" collapsed="false">
      <c r="A30" s="38"/>
      <c r="B30" s="39"/>
      <c r="C30" s="38"/>
      <c r="D30" s="40"/>
      <c r="E30" s="41"/>
      <c r="F30" s="40"/>
      <c r="G30" s="41"/>
      <c r="H30" s="38" t="str">
        <f aca="false">IF(OR(D30="",E30="",F30="",G30=""),"",IF(AND(D30&gt;=$C$3,D30&lt;=$D$3,E30&lt;=$E$3,F30&lt;=$F$3,G30&lt;=$G$3),"PASS","FAIL"))</f>
        <v/>
      </c>
      <c r="I30" s="38"/>
      <c r="J30" s="38"/>
      <c r="K30" s="38"/>
      <c r="L30" s="42"/>
    </row>
    <row r="31" customFormat="false" ht="15" hidden="false" customHeight="false" outlineLevel="0" collapsed="false">
      <c r="A31" s="33"/>
      <c r="B31" s="34"/>
      <c r="C31" s="33"/>
      <c r="D31" s="35"/>
      <c r="E31" s="36"/>
      <c r="F31" s="35"/>
      <c r="G31" s="36"/>
      <c r="H31" s="33" t="str">
        <f aca="false">IF(OR(D31="",E31="",F31="",G31=""),"",IF(AND(D31&gt;=$C$3,D31&lt;=$D$3,E31&lt;=$E$3,F31&lt;=$F$3,G31&lt;=$G$3),"PASS","FAIL"))</f>
        <v/>
      </c>
      <c r="I31" s="33"/>
      <c r="J31" s="33"/>
      <c r="K31" s="33"/>
      <c r="L31" s="37"/>
    </row>
    <row r="32" customFormat="false" ht="15" hidden="false" customHeight="false" outlineLevel="0" collapsed="false">
      <c r="A32" s="38"/>
      <c r="B32" s="39"/>
      <c r="C32" s="38"/>
      <c r="D32" s="40"/>
      <c r="E32" s="41"/>
      <c r="F32" s="40"/>
      <c r="G32" s="41"/>
      <c r="H32" s="38" t="str">
        <f aca="false">IF(OR(D32="",E32="",F32="",G32=""),"",IF(AND(D32&gt;=$C$3,D32&lt;=$D$3,E32&lt;=$E$3,F32&lt;=$F$3,G32&lt;=$G$3),"PASS","FAIL"))</f>
        <v/>
      </c>
      <c r="I32" s="38"/>
      <c r="J32" s="38"/>
      <c r="K32" s="38"/>
      <c r="L32" s="42"/>
    </row>
    <row r="33" customFormat="false" ht="15" hidden="false" customHeight="false" outlineLevel="0" collapsed="false">
      <c r="A33" s="33"/>
      <c r="B33" s="34"/>
      <c r="C33" s="33"/>
      <c r="D33" s="35"/>
      <c r="E33" s="36"/>
      <c r="F33" s="35"/>
      <c r="G33" s="36"/>
      <c r="H33" s="33" t="str">
        <f aca="false">IF(OR(D33="",E33="",F33="",G33=""),"",IF(AND(D33&gt;=$C$3,D33&lt;=$D$3,E33&lt;=$E$3,F33&lt;=$F$3,G33&lt;=$G$3),"PASS","FAIL"))</f>
        <v/>
      </c>
      <c r="I33" s="33"/>
      <c r="J33" s="33"/>
      <c r="K33" s="33"/>
      <c r="L33" s="37"/>
    </row>
    <row r="34" customFormat="false" ht="15" hidden="false" customHeight="false" outlineLevel="0" collapsed="false">
      <c r="A34" s="38"/>
      <c r="B34" s="39"/>
      <c r="C34" s="38"/>
      <c r="D34" s="40"/>
      <c r="E34" s="41"/>
      <c r="F34" s="40"/>
      <c r="G34" s="41"/>
      <c r="H34" s="38" t="str">
        <f aca="false">IF(OR(D34="",E34="",F34="",G34=""),"",IF(AND(D34&gt;=$C$3,D34&lt;=$D$3,E34&lt;=$E$3,F34&lt;=$F$3,G34&lt;=$G$3),"PASS","FAIL"))</f>
        <v/>
      </c>
      <c r="I34" s="38"/>
      <c r="J34" s="38"/>
      <c r="K34" s="38"/>
      <c r="L34" s="42"/>
    </row>
    <row r="35" customFormat="false" ht="15" hidden="false" customHeight="false" outlineLevel="0" collapsed="false">
      <c r="A35" s="33"/>
      <c r="B35" s="34"/>
      <c r="C35" s="33"/>
      <c r="D35" s="35"/>
      <c r="E35" s="36"/>
      <c r="F35" s="35"/>
      <c r="G35" s="36"/>
      <c r="H35" s="33" t="str">
        <f aca="false">IF(OR(D35="",E35="",F35="",G35=""),"",IF(AND(D35&gt;=$C$3,D35&lt;=$D$3,E35&lt;=$E$3,F35&lt;=$F$3,G35&lt;=$G$3),"PASS","FAIL"))</f>
        <v/>
      </c>
      <c r="I35" s="33"/>
      <c r="J35" s="33"/>
      <c r="K35" s="33"/>
      <c r="L35" s="37"/>
    </row>
    <row r="36" customFormat="false" ht="15" hidden="false" customHeight="false" outlineLevel="0" collapsed="false">
      <c r="A36" s="38"/>
      <c r="B36" s="39"/>
      <c r="C36" s="38"/>
      <c r="D36" s="40"/>
      <c r="E36" s="41"/>
      <c r="F36" s="40"/>
      <c r="G36" s="41"/>
      <c r="H36" s="38" t="str">
        <f aca="false">IF(OR(D36="",E36="",F36="",G36=""),"",IF(AND(D36&gt;=$C$3,D36&lt;=$D$3,E36&lt;=$E$3,F36&lt;=$F$3,G36&lt;=$G$3),"PASS","FAIL"))</f>
        <v/>
      </c>
      <c r="I36" s="38"/>
      <c r="J36" s="38"/>
      <c r="K36" s="38"/>
      <c r="L36" s="42"/>
    </row>
    <row r="37" customFormat="false" ht="15" hidden="false" customHeight="false" outlineLevel="0" collapsed="false">
      <c r="A37" s="33"/>
      <c r="B37" s="34"/>
      <c r="C37" s="33"/>
      <c r="D37" s="35"/>
      <c r="E37" s="36"/>
      <c r="F37" s="35"/>
      <c r="G37" s="36"/>
      <c r="H37" s="33" t="str">
        <f aca="false">IF(OR(D37="",E37="",F37="",G37=""),"",IF(AND(D37&gt;=$C$3,D37&lt;=$D$3,E37&lt;=$E$3,F37&lt;=$F$3,G37&lt;=$G$3),"PASS","FAIL"))</f>
        <v/>
      </c>
      <c r="I37" s="33"/>
      <c r="J37" s="33"/>
      <c r="K37" s="33"/>
      <c r="L37" s="37"/>
    </row>
    <row r="38" customFormat="false" ht="15" hidden="false" customHeight="false" outlineLevel="0" collapsed="false">
      <c r="A38" s="38"/>
      <c r="B38" s="39"/>
      <c r="C38" s="38"/>
      <c r="D38" s="40"/>
      <c r="E38" s="41"/>
      <c r="F38" s="40"/>
      <c r="G38" s="41"/>
      <c r="H38" s="38" t="str">
        <f aca="false">IF(OR(D38="",E38="",F38="",G38=""),"",IF(AND(D38&gt;=$C$3,D38&lt;=$D$3,E38&lt;=$E$3,F38&lt;=$F$3,G38&lt;=$G$3),"PASS","FAIL"))</f>
        <v/>
      </c>
      <c r="I38" s="38"/>
      <c r="J38" s="38"/>
      <c r="K38" s="38"/>
      <c r="L38" s="42"/>
    </row>
    <row r="39" customFormat="false" ht="15" hidden="false" customHeight="false" outlineLevel="0" collapsed="false">
      <c r="A39" s="33"/>
      <c r="B39" s="34"/>
      <c r="C39" s="33"/>
      <c r="D39" s="35"/>
      <c r="E39" s="36"/>
      <c r="F39" s="35"/>
      <c r="G39" s="36"/>
      <c r="H39" s="33" t="str">
        <f aca="false">IF(OR(D39="",E39="",F39="",G39=""),"",IF(AND(D39&gt;=$C$3,D39&lt;=$D$3,E39&lt;=$E$3,F39&lt;=$F$3,G39&lt;=$G$3),"PASS","FAIL"))</f>
        <v/>
      </c>
      <c r="I39" s="33"/>
      <c r="J39" s="33"/>
      <c r="K39" s="33"/>
      <c r="L39" s="37"/>
    </row>
    <row r="40" customFormat="false" ht="15" hidden="false" customHeight="false" outlineLevel="0" collapsed="false">
      <c r="A40" s="38"/>
      <c r="B40" s="39"/>
      <c r="C40" s="38"/>
      <c r="D40" s="40"/>
      <c r="E40" s="41"/>
      <c r="F40" s="40"/>
      <c r="G40" s="41"/>
      <c r="H40" s="38" t="str">
        <f aca="false">IF(OR(D40="",E40="",F40="",G40=""),"",IF(AND(D40&gt;=$C$3,D40&lt;=$D$3,E40&lt;=$E$3,F40&lt;=$F$3,G40&lt;=$G$3),"PASS","FAIL"))</f>
        <v/>
      </c>
      <c r="I40" s="38"/>
      <c r="J40" s="38"/>
      <c r="K40" s="38"/>
      <c r="L40" s="42"/>
    </row>
    <row r="41" customFormat="false" ht="15" hidden="false" customHeight="false" outlineLevel="0" collapsed="false">
      <c r="A41" s="33"/>
      <c r="B41" s="34"/>
      <c r="C41" s="33"/>
      <c r="D41" s="35"/>
      <c r="E41" s="36"/>
      <c r="F41" s="35"/>
      <c r="G41" s="36"/>
      <c r="H41" s="33" t="str">
        <f aca="false">IF(OR(D41="",E41="",F41="",G41=""),"",IF(AND(D41&gt;=$C$3,D41&lt;=$D$3,E41&lt;=$E$3,F41&lt;=$F$3,G41&lt;=$G$3),"PASS","FAIL"))</f>
        <v/>
      </c>
      <c r="I41" s="33"/>
      <c r="J41" s="33"/>
      <c r="K41" s="33"/>
      <c r="L41" s="37"/>
    </row>
    <row r="42" customFormat="false" ht="15" hidden="false" customHeight="false" outlineLevel="0" collapsed="false">
      <c r="A42" s="38"/>
      <c r="B42" s="39"/>
      <c r="C42" s="38"/>
      <c r="D42" s="40"/>
      <c r="E42" s="41"/>
      <c r="F42" s="40"/>
      <c r="G42" s="41"/>
      <c r="H42" s="38" t="str">
        <f aca="false">IF(OR(D42="",E42="",F42="",G42=""),"",IF(AND(D42&gt;=$C$3,D42&lt;=$D$3,E42&lt;=$E$3,F42&lt;=$F$3,G42&lt;=$G$3),"PASS","FAIL"))</f>
        <v/>
      </c>
      <c r="I42" s="38"/>
      <c r="J42" s="38"/>
      <c r="K42" s="38"/>
      <c r="L42" s="42"/>
    </row>
    <row r="43" customFormat="false" ht="15" hidden="false" customHeight="false" outlineLevel="0" collapsed="false">
      <c r="A43" s="33"/>
      <c r="B43" s="34"/>
      <c r="C43" s="33"/>
      <c r="D43" s="35"/>
      <c r="E43" s="36"/>
      <c r="F43" s="35"/>
      <c r="G43" s="36"/>
      <c r="H43" s="33" t="str">
        <f aca="false">IF(OR(D43="",E43="",F43="",G43=""),"",IF(AND(D43&gt;=$C$3,D43&lt;=$D$3,E43&lt;=$E$3,F43&lt;=$F$3,G43&lt;=$G$3),"PASS","FAIL"))</f>
        <v/>
      </c>
      <c r="I43" s="33"/>
      <c r="J43" s="33"/>
      <c r="K43" s="33"/>
      <c r="L43" s="37"/>
    </row>
    <row r="44" customFormat="false" ht="15" hidden="false" customHeight="false" outlineLevel="0" collapsed="false">
      <c r="A44" s="38"/>
      <c r="B44" s="39"/>
      <c r="C44" s="38"/>
      <c r="D44" s="40"/>
      <c r="E44" s="41"/>
      <c r="F44" s="40"/>
      <c r="G44" s="41"/>
      <c r="H44" s="38" t="str">
        <f aca="false">IF(OR(D44="",E44="",F44="",G44=""),"",IF(AND(D44&gt;=$C$3,D44&lt;=$D$3,E44&lt;=$E$3,F44&lt;=$F$3,G44&lt;=$G$3),"PASS","FAIL"))</f>
        <v/>
      </c>
      <c r="I44" s="38"/>
      <c r="J44" s="38"/>
      <c r="K44" s="38"/>
      <c r="L44" s="42"/>
    </row>
    <row r="45" customFormat="false" ht="15" hidden="false" customHeight="false" outlineLevel="0" collapsed="false">
      <c r="A45" s="33"/>
      <c r="B45" s="34"/>
      <c r="C45" s="33"/>
      <c r="D45" s="35"/>
      <c r="E45" s="36"/>
      <c r="F45" s="35"/>
      <c r="G45" s="36"/>
      <c r="H45" s="33" t="str">
        <f aca="false">IF(OR(D45="",E45="",F45="",G45=""),"",IF(AND(D45&gt;=$C$3,D45&lt;=$D$3,E45&lt;=$E$3,F45&lt;=$F$3,G45&lt;=$G$3),"PASS","FAIL"))</f>
        <v/>
      </c>
      <c r="I45" s="33"/>
      <c r="J45" s="33"/>
      <c r="K45" s="33"/>
      <c r="L45" s="37"/>
    </row>
    <row r="46" customFormat="false" ht="15" hidden="false" customHeight="false" outlineLevel="0" collapsed="false">
      <c r="A46" s="38"/>
      <c r="B46" s="39"/>
      <c r="C46" s="38"/>
      <c r="D46" s="40"/>
      <c r="E46" s="41"/>
      <c r="F46" s="40"/>
      <c r="G46" s="41"/>
      <c r="H46" s="38" t="str">
        <f aca="false">IF(OR(D46="",E46="",F46="",G46=""),"",IF(AND(D46&gt;=$C$3,D46&lt;=$D$3,E46&lt;=$E$3,F46&lt;=$F$3,G46&lt;=$G$3),"PASS","FAIL"))</f>
        <v/>
      </c>
      <c r="I46" s="38"/>
      <c r="J46" s="38"/>
      <c r="K46" s="38"/>
      <c r="L46" s="42"/>
    </row>
    <row r="47" customFormat="false" ht="15" hidden="false" customHeight="false" outlineLevel="0" collapsed="false">
      <c r="A47" s="33"/>
      <c r="B47" s="34"/>
      <c r="C47" s="33"/>
      <c r="D47" s="35"/>
      <c r="E47" s="36"/>
      <c r="F47" s="35"/>
      <c r="G47" s="36"/>
      <c r="H47" s="33" t="str">
        <f aca="false">IF(OR(D47="",E47="",F47="",G47=""),"",IF(AND(D47&gt;=$C$3,D47&lt;=$D$3,E47&lt;=$E$3,F47&lt;=$F$3,G47&lt;=$G$3),"PASS","FAIL"))</f>
        <v/>
      </c>
      <c r="I47" s="33"/>
      <c r="J47" s="33"/>
      <c r="K47" s="33"/>
      <c r="L47" s="37"/>
    </row>
    <row r="48" customFormat="false" ht="15" hidden="false" customHeight="false" outlineLevel="0" collapsed="false">
      <c r="A48" s="38"/>
      <c r="B48" s="39"/>
      <c r="C48" s="38"/>
      <c r="D48" s="40"/>
      <c r="E48" s="41"/>
      <c r="F48" s="40"/>
      <c r="G48" s="41"/>
      <c r="H48" s="38" t="str">
        <f aca="false">IF(OR(D48="",E48="",F48="",G48=""),"",IF(AND(D48&gt;=$C$3,D48&lt;=$D$3,E48&lt;=$E$3,F48&lt;=$F$3,G48&lt;=$G$3),"PASS","FAIL"))</f>
        <v/>
      </c>
      <c r="I48" s="38"/>
      <c r="J48" s="38"/>
      <c r="K48" s="38"/>
      <c r="L48" s="42"/>
    </row>
    <row r="49" customFormat="false" ht="15" hidden="false" customHeight="false" outlineLevel="0" collapsed="false">
      <c r="A49" s="33"/>
      <c r="B49" s="34"/>
      <c r="C49" s="33"/>
      <c r="D49" s="35"/>
      <c r="E49" s="36"/>
      <c r="F49" s="35"/>
      <c r="G49" s="36"/>
      <c r="H49" s="33" t="str">
        <f aca="false">IF(OR(D49="",E49="",F49="",G49=""),"",IF(AND(D49&gt;=$C$3,D49&lt;=$D$3,E49&lt;=$E$3,F49&lt;=$F$3,G49&lt;=$G$3),"PASS","FAIL"))</f>
        <v/>
      </c>
      <c r="I49" s="33"/>
      <c r="J49" s="33"/>
      <c r="K49" s="33"/>
      <c r="L49" s="37"/>
    </row>
    <row r="50" customFormat="false" ht="15" hidden="false" customHeight="false" outlineLevel="0" collapsed="false">
      <c r="A50" s="38"/>
      <c r="B50" s="39"/>
      <c r="C50" s="38"/>
      <c r="D50" s="40"/>
      <c r="E50" s="41"/>
      <c r="F50" s="40"/>
      <c r="G50" s="41"/>
      <c r="H50" s="38" t="str">
        <f aca="false">IF(OR(D50="",E50="",F50="",G50=""),"",IF(AND(D50&gt;=$C$3,D50&lt;=$D$3,E50&lt;=$E$3,F50&lt;=$F$3,G50&lt;=$G$3),"PASS","FAIL"))</f>
        <v/>
      </c>
      <c r="I50" s="38"/>
      <c r="J50" s="38"/>
      <c r="K50" s="38"/>
      <c r="L50" s="42"/>
    </row>
    <row r="51" customFormat="false" ht="15" hidden="false" customHeight="false" outlineLevel="0" collapsed="false">
      <c r="A51" s="33"/>
      <c r="B51" s="34"/>
      <c r="C51" s="33"/>
      <c r="D51" s="35"/>
      <c r="E51" s="36"/>
      <c r="F51" s="35"/>
      <c r="G51" s="36"/>
      <c r="H51" s="33" t="str">
        <f aca="false">IF(OR(D51="",E51="",F51="",G51=""),"",IF(AND(D51&gt;=$C$3,D51&lt;=$D$3,E51&lt;=$E$3,F51&lt;=$F$3,G51&lt;=$G$3),"PASS","FAIL"))</f>
        <v/>
      </c>
      <c r="I51" s="33"/>
      <c r="J51" s="33"/>
      <c r="K51" s="33"/>
      <c r="L51" s="37"/>
    </row>
    <row r="52" customFormat="false" ht="15" hidden="false" customHeight="false" outlineLevel="0" collapsed="false">
      <c r="A52" s="38"/>
      <c r="B52" s="39"/>
      <c r="C52" s="38"/>
      <c r="D52" s="40"/>
      <c r="E52" s="41"/>
      <c r="F52" s="40"/>
      <c r="G52" s="41"/>
      <c r="H52" s="38" t="str">
        <f aca="false">IF(OR(D52="",E52="",F52="",G52=""),"",IF(AND(D52&gt;=$C$3,D52&lt;=$D$3,E52&lt;=$E$3,F52&lt;=$F$3,G52&lt;=$G$3),"PASS","FAIL"))</f>
        <v/>
      </c>
      <c r="I52" s="38"/>
      <c r="J52" s="38"/>
      <c r="K52" s="38"/>
      <c r="L52" s="42"/>
    </row>
    <row r="53" customFormat="false" ht="15" hidden="false" customHeight="false" outlineLevel="0" collapsed="false">
      <c r="A53" s="33"/>
      <c r="B53" s="34"/>
      <c r="C53" s="33"/>
      <c r="D53" s="35"/>
      <c r="E53" s="36"/>
      <c r="F53" s="35"/>
      <c r="G53" s="36"/>
      <c r="H53" s="33" t="str">
        <f aca="false">IF(OR(D53="",E53="",F53="",G53=""),"",IF(AND(D53&gt;=$C$3,D53&lt;=$D$3,E53&lt;=$E$3,F53&lt;=$F$3,G53&lt;=$G$3),"PASS","FAIL"))</f>
        <v/>
      </c>
      <c r="I53" s="33"/>
      <c r="J53" s="33"/>
      <c r="K53" s="33"/>
      <c r="L53" s="37"/>
    </row>
    <row r="54" customFormat="false" ht="15" hidden="false" customHeight="false" outlineLevel="0" collapsed="false">
      <c r="A54" s="38"/>
      <c r="B54" s="39"/>
      <c r="C54" s="38"/>
      <c r="D54" s="40"/>
      <c r="E54" s="41"/>
      <c r="F54" s="40"/>
      <c r="G54" s="41"/>
      <c r="H54" s="38" t="str">
        <f aca="false">IF(OR(D54="",E54="",F54="",G54=""),"",IF(AND(D54&gt;=$C$3,D54&lt;=$D$3,E54&lt;=$E$3,F54&lt;=$F$3,G54&lt;=$G$3),"PASS","FAIL"))</f>
        <v/>
      </c>
      <c r="I54" s="38"/>
      <c r="J54" s="38"/>
      <c r="K54" s="38"/>
      <c r="L54" s="42"/>
    </row>
    <row r="55" customFormat="false" ht="15" hidden="false" customHeight="false" outlineLevel="0" collapsed="false">
      <c r="A55" s="33"/>
      <c r="B55" s="34"/>
      <c r="C55" s="33"/>
      <c r="D55" s="35"/>
      <c r="E55" s="36"/>
      <c r="F55" s="35"/>
      <c r="G55" s="36"/>
      <c r="H55" s="33" t="str">
        <f aca="false">IF(OR(D55="",E55="",F55="",G55=""),"",IF(AND(D55&gt;=$C$3,D55&lt;=$D$3,E55&lt;=$E$3,F55&lt;=$F$3,G55&lt;=$G$3),"PASS","FAIL"))</f>
        <v/>
      </c>
      <c r="I55" s="33"/>
      <c r="J55" s="33"/>
      <c r="K55" s="33"/>
      <c r="L55" s="37"/>
    </row>
    <row r="56" customFormat="false" ht="15" hidden="false" customHeight="false" outlineLevel="0" collapsed="false">
      <c r="A56" s="38"/>
      <c r="B56" s="39"/>
      <c r="C56" s="38"/>
      <c r="D56" s="40"/>
      <c r="E56" s="41"/>
      <c r="F56" s="40"/>
      <c r="G56" s="41"/>
      <c r="H56" s="38" t="str">
        <f aca="false">IF(OR(D56="",E56="",F56="",G56=""),"",IF(AND(D56&gt;=$C$3,D56&lt;=$D$3,E56&lt;=$E$3,F56&lt;=$F$3,G56&lt;=$G$3),"PASS","FAIL"))</f>
        <v/>
      </c>
      <c r="I56" s="38"/>
      <c r="J56" s="38"/>
      <c r="K56" s="38"/>
      <c r="L56" s="42"/>
    </row>
  </sheetData>
  <autoFilter ref="A6:L506"/>
  <mergeCells count="4">
    <mergeCell ref="A1:L1"/>
    <mergeCell ref="A2:B2"/>
    <mergeCell ref="I2:J2"/>
    <mergeCell ref="A3:B3"/>
  </mergeCells>
  <conditionalFormatting sqref="H7:H506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10">
      <formula>"FAIL"</formula>
    </cfRule>
  </conditionalFormatting>
  <conditionalFormatting sqref="E7:E506">
    <cfRule type="expression" priority="4" aboveAverage="0" equalAverage="0" bottom="0" percent="0" rank="0" text="" dxfId="10">
      <formula>E7&gt;$E$3</formula>
    </cfRule>
    <cfRule type="expression" priority="5" aboveAverage="0" equalAverage="0" bottom="0" percent="0" rank="0" text="" dxfId="11">
      <formula>AND(E7&gt;=$E$3*0.8,E7&lt;=$E$3)</formula>
    </cfRule>
  </conditionalFormatting>
  <conditionalFormatting sqref="F7:F506">
    <cfRule type="expression" priority="6" aboveAverage="0" equalAverage="0" bottom="0" percent="0" rank="0" text="" dxfId="10">
      <formula>F7&gt;$F$3</formula>
    </cfRule>
  </conditionalFormatting>
  <conditionalFormatting sqref="G7:G506">
    <cfRule type="expression" priority="7" aboveAverage="0" equalAverage="0" bottom="0" percent="0" rank="0" text="" dxfId="10">
      <formula>G7&gt;$G$3</formula>
    </cfRule>
    <cfRule type="expression" priority="8" aboveAverage="0" equalAverage="0" bottom="0" percent="0" rank="0" text="" dxfId="11">
      <formula>AND(G7&gt;=$G$3*0.8,G7&lt;=$G$3)</formula>
    </cfRule>
  </conditionalFormatting>
  <conditionalFormatting sqref="D7:D506">
    <cfRule type="expression" priority="9" aboveAverage="0" equalAverage="0" bottom="0" percent="0" rank="0" text="" dxfId="10">
      <formula>OR(D7&lt;$C$3,D7&gt;$D$3)</formula>
    </cfRule>
  </conditionalFormatting>
  <dataValidations count="2">
    <dataValidation allowBlank="true" errorStyle="stop" operator="between" showDropDown="false" showErrorMessage="false" showInputMessage="false" sqref="C7:C506" type="list">
      <formula1>"Outfall 1,Outfall 2,Outfall 3,Settlement Pond,Upstream Background"</formula1>
      <formula2>0</formula2>
    </dataValidation>
    <dataValidation allowBlank="true" errorStyle="stop" operator="between" showDropDown="false" showErrorMessage="false" showInputMessage="false" sqref="J7:J506" type="list">
      <formula1>"Dry,Light Rain,Heavy Rain,Snow,Overcast"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&amp;CWater Discharge Monitoring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79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80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81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82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83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84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85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86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2026-03-23T06:14:30Z</dcterms:created>
  <dc:creator>Ebrora Ltd</dc:creator>
  <dc:description>Monitor water discharge quality against permit limits with automatic pass/fail compliance checks for pH, TSS, oil and turbidity.
Free professional construction management template from Ebrora Ltd. Visit ebrora.com for our full range of tools and templates.</dc:description>
  <cp:keywords>Ebrora construction water discharge monitoring permit TSS pH Environment Agency compliance</cp:keywords>
  <dc:language>en-US</dc:language>
  <cp:lastModifiedBy>Ebrora Ltd</cp:lastModifiedBy>
  <dcterms:modified xsi:type="dcterms:W3CDTF">2026-03-23T06:14:30Z</dcterms:modified>
  <cp:revision>0</cp:revision>
  <dc:subject>Monitor water discharge quality against permit limits with automatic compliance checks for UK construction sites.</dc:subject>
  <dc:title>Water Discharge Monitoring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