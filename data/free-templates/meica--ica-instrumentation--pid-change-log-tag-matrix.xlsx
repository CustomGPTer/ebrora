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Tag Consistency Matrix" sheetId="3" state="visible" r:id="rId5"/>
    <sheet name="P&amp;ID Change Log" sheetId="4" state="visible" r:id="rId6"/>
    <sheet name="Terms of Use" sheetId="5" state="hidden" r:id="rId7"/>
  </sheets>
  <definedNames>
    <definedName function="false" hidden="false" localSheetId="0" name="_xlnm.Print_Area" vbProcedure="false">Cover!$A$1:$H$20</definedName>
    <definedName function="false" hidden="false" localSheetId="3" name="_xlnm.Print_Area" vbProcedure="false">'P&amp;ID Change Log'!$A$1:$K$50</definedName>
    <definedName function="false" hidden="false" localSheetId="3" name="_xlnm.Print_Titles" vbProcedure="false">'P&amp;ID Change Log'!$1:$1</definedName>
    <definedName function="false" hidden="true" localSheetId="3" name="_xlnm._FilterDatabase" vbProcedure="false">'P&amp;ID Change Log'!$A$1:$K$1</definedName>
    <definedName function="false" hidden="false" localSheetId="2" name="_xlnm.Print_Area" vbProcedure="false">'Tag Consistency Matrix'!$A$1:$I$50</definedName>
    <definedName function="false" hidden="false" localSheetId="2" name="_xlnm.Print_Titles" vbProcedure="false">'Tag Consistency Matrix'!$1:$1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<sst xmlns="http://schemas.openxmlformats.org/spreadsheetml/2006/main" count="171" uniqueCount="124">
  <si>
    <t xml:space="preserve">EBRORA</t>
  </si>
  <si>
    <t xml:space="preserve">ebrora.com</t>
  </si>
  <si>
    <t xml:space="preserve">P&amp;ID Change Log &amp;</t>
  </si>
  <si>
    <t xml:space="preserve">Tag Consistency Matrix</t>
  </si>
  <si>
    <t xml:space="preserve">Track P&amp;ID revisions and verify tag-to-asset consistency</t>
  </si>
  <si>
    <t xml:space="preserve">across drawings, SCADA, and the physical asset register.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</si>
  <si>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</si>
  <si>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</si>
  <si>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</si>
  <si>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</si>
  <si>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</si>
  <si>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</si>
  <si>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This template has two working sheets: the 'Tag Consistency Matrix' and the 'P&amp;ID Change Log'.</t>
  </si>
  <si>
    <t xml:space="preserve">2.</t>
  </si>
  <si>
    <t xml:space="preserve">TAG CONSISTENCY MATRIX: Use this to verify that instrument/equipment tags are consistent across P&amp;ID drawings, SCADA, the asset register, and site labels.</t>
  </si>
  <si>
    <t xml:space="preserve">3.</t>
  </si>
  <si>
    <t xml:space="preserve">Rows = individual tags (e.g., PMP-INL-001). Columns D onwards = sources to check against (P&amp;ID Drawing, SCADA Tag List, Asset Register, Site Label, O&amp;M Manual).</t>
  </si>
  <si>
    <t xml:space="preserve">4.</t>
  </si>
  <si>
    <t xml:space="preserve">In each intersection cell, select the status: Matched (tag is identical), Mismatch (tag exists but differs), Missing (tag not found in this source), or N/A.</t>
  </si>
  <si>
    <t xml:space="preserve">5.</t>
  </si>
  <si>
    <t xml:space="preserve">Column C shows the expected/master tag. The matrix helps you spot where naming has drifted between documents.</t>
  </si>
  <si>
    <t xml:space="preserve">6.</t>
  </si>
  <si>
    <t xml:space="preserve">The last column calculates a consistency score — the percentage of sources where the tag is 'Matched'.</t>
  </si>
  <si>
    <t xml:space="preserve">7.</t>
  </si>
  <si>
    <t xml:space="preserve">P&amp;ID CHANGE LOG: Use this to track every revision or change to P&amp;ID drawings, with the tag affected, change description, and approval.</t>
  </si>
  <si>
    <t xml:space="preserve">8.</t>
  </si>
  <si>
    <t xml:space="preserve">Each row is one change. Link it back to the Tag Consistency Matrix to verify the change has been reflected everywhere.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</si>
  <si>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</si>
  <si>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</si>
  <si>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</si>
  <si>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Green = Matched (tag consistent) or 100% consistency score</t>
  </si>
  <si>
    <t xml:space="preserve">Amber = Mismatch (tag differs between sources) or partial consistency</t>
  </si>
  <si>
    <t xml:space="preserve">Red = Missing (tag not found) or low consistency score</t>
  </si>
  <si>
    <t xml:space="preserve">Tips</t>
  </si>
  <si>
    <t xml:space="preserve">Tip 1:</t>
  </si>
  <si>
    <t xml:space="preserve">Complete the matrix BEFORE handover sign-off. Tag inconsistencies between P&amp;IDs, SCADA, and O&amp;M manuals cause months of confusion for operators.</t>
  </si>
  <si>
    <t xml:space="preserve">Tip 2:</t>
  </si>
  <si>
    <t xml:space="preserve">Use the P&amp;ID Change Log to record every cloud/revision. When someone asks 'why does this valve have two different tag numbers', you'll have the answer.</t>
  </si>
  <si>
    <t xml:space="preserve">Tip 3:</t>
  </si>
  <si>
    <t xml:space="preserve">Filter the matrix by 'Mismatch' or 'Missing' to generate a punch list of tag corrections needed before as-built submission.</t>
  </si>
  <si>
    <t xml:space="preserve">Item No</t>
  </si>
  <si>
    <t xml:space="preserve">System / Process Area</t>
  </si>
  <si>
    <t xml:space="preserve">Master Tag</t>
  </si>
  <si>
    <t xml:space="preserve">P&amp;ID Drawing</t>
  </si>
  <si>
    <t xml:space="preserve">SCADA Tag List</t>
  </si>
  <si>
    <t xml:space="preserve">Asset Register</t>
  </si>
  <si>
    <t xml:space="preserve">Site Label</t>
  </si>
  <si>
    <t xml:space="preserve">O&amp;M Manual</t>
  </si>
  <si>
    <t xml:space="preserve">Consistency %</t>
  </si>
  <si>
    <t xml:space="preserve">Inlet Works</t>
  </si>
  <si>
    <t xml:space="preserve">PMP-INL-001</t>
  </si>
  <si>
    <t xml:space="preserve">Matched</t>
  </si>
  <si>
    <t xml:space="preserve">PMP-INL-002</t>
  </si>
  <si>
    <t xml:space="preserve">Mismatch</t>
  </si>
  <si>
    <t xml:space="preserve">Storm Water</t>
  </si>
  <si>
    <t xml:space="preserve">VLV-SPS-014</t>
  </si>
  <si>
    <t xml:space="preserve">Missing</t>
  </si>
  <si>
    <t xml:space="preserve">Secondary Treatment</t>
  </si>
  <si>
    <t xml:space="preserve">INS-FST-007</t>
  </si>
  <si>
    <t xml:space="preserve">PMP-RAS-002</t>
  </si>
  <si>
    <t xml:space="preserve">Sludge Treatment</t>
  </si>
  <si>
    <t xml:space="preserve">PMP-SLG-003</t>
  </si>
  <si>
    <t xml:space="preserve">N/A</t>
  </si>
  <si>
    <t xml:space="preserve">SCR-INL-001</t>
  </si>
  <si>
    <t xml:space="preserve">PEN-SPS-003</t>
  </si>
  <si>
    <t xml:space="preserve">SUMMARY</t>
  </si>
  <si>
    <t xml:space="preserve">Total Tags:</t>
  </si>
  <si>
    <t xml:space="preserve">100% Consistent:</t>
  </si>
  <si>
    <t xml:space="preserve">Mismatches Found:</t>
  </si>
  <si>
    <t xml:space="preserve">Missing Tags:</t>
  </si>
  <si>
    <t xml:space="preserve">Change Ref</t>
  </si>
  <si>
    <t xml:space="preserve">Date</t>
  </si>
  <si>
    <t xml:space="preserve">P&amp;ID Drawing No</t>
  </si>
  <si>
    <t xml:space="preserve">Revision</t>
  </si>
  <si>
    <t xml:space="preserve">Tag(s) Affected</t>
  </si>
  <si>
    <t xml:space="preserve">Change Description</t>
  </si>
  <si>
    <t xml:space="preserve">Change Type</t>
  </si>
  <si>
    <t xml:space="preserve">Raised By</t>
  </si>
  <si>
    <t xml:space="preserve">Approved By</t>
  </si>
  <si>
    <t xml:space="preserve">Status</t>
  </si>
  <si>
    <t xml:space="preserve">Notes</t>
  </si>
  <si>
    <t xml:space="preserve">PID-001</t>
  </si>
  <si>
    <t xml:space="preserve">P&amp;ID-1001</t>
  </si>
  <si>
    <t xml:space="preserve">C</t>
  </si>
  <si>
    <t xml:space="preserve">PMP-INL-001, PMP-INL-002</t>
  </si>
  <si>
    <t xml:space="preserve">Revised pump tag numbering from P-101/P-102 to PMP-INL-001/002 to align with site asset register convention.</t>
  </si>
  <si>
    <t xml:space="preserve">Tag Change</t>
  </si>
  <si>
    <t xml:space="preserve">A. Khan</t>
  </si>
  <si>
    <t xml:space="preserve">S. Patel</t>
  </si>
  <si>
    <t xml:space="preserve">Implemented</t>
  </si>
  <si>
    <t xml:space="preserve">All sources updated — see matrix</t>
  </si>
  <si>
    <t xml:space="preserve">PID-002</t>
  </si>
  <si>
    <t xml:space="preserve">P&amp;ID-3005</t>
  </si>
  <si>
    <t xml:space="preserve">B</t>
  </si>
  <si>
    <t xml:space="preserve">Added new storm tank penstock valve VLV-SPS-014 on storm return line to FST. DN600 rising spindle.</t>
  </si>
  <si>
    <t xml:space="preserve">Equipment Addition</t>
  </si>
  <si>
    <t xml:space="preserve">J. Davies</t>
  </si>
  <si>
    <t xml:space="preserve">M. Thompson</t>
  </si>
  <si>
    <t xml:space="preserve">Approved</t>
  </si>
  <si>
    <t xml:space="preserve">Linked to design change DC-018</t>
  </si>
  <si>
    <t xml:space="preserve">PID-003</t>
  </si>
  <si>
    <t xml:space="preserve">INS-DO-003</t>
  </si>
  <si>
    <t xml:space="preserve">Added dissolved oxygen probe INS-DO-003 on storm return liquor line upstream of FST inlet.</t>
  </si>
  <si>
    <t xml:space="preserve">Instrument Addition</t>
  </si>
  <si>
    <t xml:space="preserve">Under Review</t>
  </si>
  <si>
    <t xml:space="preserve">Dependent on PID-002 approval</t>
  </si>
  <si>
    <t xml:space="preserve">PID-004</t>
  </si>
  <si>
    <t xml:space="preserve">P&amp;ID-5002</t>
  </si>
  <si>
    <t xml:space="preserve">A</t>
  </si>
  <si>
    <t xml:space="preserve">Changed sludge transfer pump tag from P-501 to PMP-SLG-003. Existing P&amp;ID still shows old tag.</t>
  </si>
  <si>
    <t xml:space="preserve">R. Evans</t>
  </si>
  <si>
    <t xml:space="preserve">Draft</t>
  </si>
  <si>
    <t xml:space="preserve">SCADA and asset register not yet updated</t>
  </si>
  <si>
    <t xml:space="preserve">Total Changes:</t>
  </si>
  <si>
    <t xml:space="preserve">Pending: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</si>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</sst>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23.85" hidden="false" customHeight="false" outlineLevel="0" collapsed="false">
      <c r="A6" s="11" t="s">
        <v>13</v>
      </c>
      <c r="B6" s="12" t="s">
        <v>14</v>
      </c>
    </row>
    <row r="7" customFormat="false" ht="23.85" hidden="false" customHeight="false" outlineLevel="0" collapsed="false">
      <c r="A7" s="11" t="s">
        <v>15</v>
      </c>
      <c r="B7" s="12" t="s">
        <v>16</v>
      </c>
    </row>
    <row r="8" customFormat="false" ht="23.8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23.85" hidden="false" customHeight="false" outlineLevel="0" collapsed="false">
      <c r="A11" s="11" t="s">
        <v>23</v>
      </c>
      <c r="B11" s="12" t="s">
        <v>24</v>
      </c>
    </row>
    <row r="12" customFormat="false" ht="15" hidden="false" customHeight="false" outlineLevel="0" collapsed="false">
      <c r="A12" s="11" t="s">
        <v>25</v>
      </c>
      <c r="B12" s="12" t="s">
        <v>26</v>
      </c>
    </row>
    <row r="13" customFormat="false" ht="15" hidden="false" customHeight="false" outlineLevel="0" collapsed="false">
      <c r="A13" s="11"/>
      <c r="B13" s="12"/>
    </row>
    <row r="14" customFormat="false" ht="15" hidden="false" customHeight="false" outlineLevel="0" collapsed="false">
      <c r="A14" s="13" t="s">
        <v>27</v>
      </c>
      <c r="B14" s="12"/>
    </row>
    <row r="15" customFormat="false" ht="15" hidden="false" customHeight="false" outlineLevel="0" collapsed="false">
      <c r="A15" s="11"/>
      <c r="B15" s="12" t="s">
        <v>28</v>
      </c>
    </row>
    <row r="16" customFormat="false" ht="15" hidden="false" customHeight="false" outlineLevel="0" collapsed="false">
      <c r="A16" s="11"/>
      <c r="B16" s="12" t="s">
        <v>29</v>
      </c>
    </row>
    <row r="17" customFormat="false" ht="15" hidden="false" customHeight="false" outlineLevel="0" collapsed="false">
      <c r="A17" s="11"/>
      <c r="B17" s="12" t="s">
        <v>30</v>
      </c>
    </row>
    <row r="18" customFormat="false" ht="15" hidden="false" customHeight="false" outlineLevel="0" collapsed="false">
      <c r="A18" s="11"/>
      <c r="B18" s="12" t="s">
        <v>31</v>
      </c>
    </row>
    <row r="19" customFormat="false" ht="15" hidden="false" customHeight="false" outlineLevel="0" collapsed="false">
      <c r="A19" s="11"/>
      <c r="B19" s="12" t="s">
        <v>32</v>
      </c>
    </row>
    <row r="20" customFormat="false" ht="15" hidden="false" customHeight="false" outlineLevel="0" collapsed="false">
      <c r="A20" s="11"/>
      <c r="B20" s="12"/>
    </row>
    <row r="21" customFormat="false" ht="15" hidden="false" customHeight="false" outlineLevel="0" collapsed="false">
      <c r="A21" s="13" t="s">
        <v>33</v>
      </c>
      <c r="B21" s="12"/>
    </row>
    <row r="22" customFormat="false" ht="23.85" hidden="false" customHeight="false" outlineLevel="0" collapsed="false">
      <c r="A22" s="14" t="s">
        <v>34</v>
      </c>
      <c r="B22" s="12" t="s">
        <v>35</v>
      </c>
    </row>
    <row r="23" customFormat="false" ht="23.85" hidden="false" customHeight="false" outlineLevel="0" collapsed="false">
      <c r="A23" s="14" t="s">
        <v>36</v>
      </c>
      <c r="B23" s="12" t="s">
        <v>37</v>
      </c>
    </row>
    <row r="24" customFormat="false" ht="15" hidden="false" customHeight="false" outlineLevel="0" collapsed="false">
      <c r="A24" s="14" t="s">
        <v>38</v>
      </c>
      <c r="B24" s="12" t="s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9" min="4" style="0" width="16"/>
  </cols>
  <sheetData>
    <row r="1" customFormat="false" ht="15" hidden="false" customHeight="false" outlineLevel="0" collapsed="false">
      <c r="A1" s="15" t="s">
        <v>40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</row>
    <row r="2" customFormat="false" ht="15" hidden="false" customHeight="false" outlineLevel="0" collapsed="false">
      <c r="A2" s="16" t="n">
        <v>1</v>
      </c>
      <c r="B2" s="16" t="s">
        <v>49</v>
      </c>
      <c r="C2" s="16" t="s">
        <v>50</v>
      </c>
      <c r="D2" s="17" t="s">
        <v>51</v>
      </c>
      <c r="E2" s="17" t="s">
        <v>51</v>
      </c>
      <c r="F2" s="17" t="s">
        <v>51</v>
      </c>
      <c r="G2" s="17" t="s">
        <v>51</v>
      </c>
      <c r="H2" s="17" t="s">
        <v>51</v>
      </c>
      <c r="I2" s="18" t="n">
        <f aca="false">IF(COUNTA(D2:H2)=0,"",COUNTIF(D2:H2,"Matched")/(COUNTA(D2:H2)-COUNTIF(D2:H2,"N/A")))</f>
        <v>1</v>
      </c>
    </row>
    <row r="3" customFormat="false" ht="15" hidden="false" customHeight="false" outlineLevel="0" collapsed="false">
      <c r="A3" s="16" t="n">
        <v>2</v>
      </c>
      <c r="B3" s="16" t="s">
        <v>49</v>
      </c>
      <c r="C3" s="16" t="s">
        <v>52</v>
      </c>
      <c r="D3" s="17" t="s">
        <v>51</v>
      </c>
      <c r="E3" s="17" t="s">
        <v>51</v>
      </c>
      <c r="F3" s="17" t="s">
        <v>53</v>
      </c>
      <c r="G3" s="17" t="s">
        <v>51</v>
      </c>
      <c r="H3" s="17" t="s">
        <v>53</v>
      </c>
      <c r="I3" s="18" t="n">
        <f aca="false">IF(COUNTA(D3:H3)=0,"",COUNTIF(D3:H3,"Matched")/(COUNTA(D3:H3)-COUNTIF(D3:H3,"N/A")))</f>
        <v>0.6</v>
      </c>
    </row>
    <row r="4" customFormat="false" ht="15" hidden="false" customHeight="false" outlineLevel="0" collapsed="false">
      <c r="A4" s="16" t="n">
        <v>3</v>
      </c>
      <c r="B4" s="16" t="s">
        <v>54</v>
      </c>
      <c r="C4" s="16" t="s">
        <v>55</v>
      </c>
      <c r="D4" s="17" t="s">
        <v>51</v>
      </c>
      <c r="E4" s="17" t="s">
        <v>56</v>
      </c>
      <c r="F4" s="17" t="s">
        <v>51</v>
      </c>
      <c r="G4" s="17" t="s">
        <v>51</v>
      </c>
      <c r="H4" s="17" t="s">
        <v>56</v>
      </c>
      <c r="I4" s="18" t="n">
        <f aca="false">IF(COUNTA(D4:H4)=0,"",COUNTIF(D4:H4,"Matched")/(COUNTA(D4:H4)-COUNTIF(D4:H4,"N/A")))</f>
        <v>0.6</v>
      </c>
    </row>
    <row r="5" customFormat="false" ht="15" hidden="false" customHeight="false" outlineLevel="0" collapsed="false">
      <c r="A5" s="16" t="n">
        <v>4</v>
      </c>
      <c r="B5" s="16" t="s">
        <v>57</v>
      </c>
      <c r="C5" s="16" t="s">
        <v>58</v>
      </c>
      <c r="D5" s="17" t="s">
        <v>51</v>
      </c>
      <c r="E5" s="17" t="s">
        <v>51</v>
      </c>
      <c r="F5" s="17" t="s">
        <v>51</v>
      </c>
      <c r="G5" s="17" t="s">
        <v>56</v>
      </c>
      <c r="H5" s="17" t="s">
        <v>51</v>
      </c>
      <c r="I5" s="18" t="n">
        <f aca="false">IF(COUNTA(D5:H5)=0,"",COUNTIF(D5:H5,"Matched")/(COUNTA(D5:H5)-COUNTIF(D5:H5,"N/A")))</f>
        <v>0.8</v>
      </c>
    </row>
    <row r="6" customFormat="false" ht="15" hidden="false" customHeight="false" outlineLevel="0" collapsed="false">
      <c r="A6" s="16" t="n">
        <v>5</v>
      </c>
      <c r="B6" s="16" t="s">
        <v>57</v>
      </c>
      <c r="C6" s="16" t="s">
        <v>59</v>
      </c>
      <c r="D6" s="17" t="s">
        <v>51</v>
      </c>
      <c r="E6" s="17" t="s">
        <v>53</v>
      </c>
      <c r="F6" s="17" t="s">
        <v>51</v>
      </c>
      <c r="G6" s="17" t="s">
        <v>51</v>
      </c>
      <c r="H6" s="17" t="s">
        <v>51</v>
      </c>
      <c r="I6" s="18" t="n">
        <f aca="false">IF(COUNTA(D6:H6)=0,"",COUNTIF(D6:H6,"Matched")/(COUNTA(D6:H6)-COUNTIF(D6:H6,"N/A")))</f>
        <v>0.8</v>
      </c>
    </row>
    <row r="7" customFormat="false" ht="15" hidden="false" customHeight="false" outlineLevel="0" collapsed="false">
      <c r="A7" s="16" t="n">
        <v>6</v>
      </c>
      <c r="B7" s="16" t="s">
        <v>60</v>
      </c>
      <c r="C7" s="16" t="s">
        <v>61</v>
      </c>
      <c r="D7" s="17" t="s">
        <v>53</v>
      </c>
      <c r="E7" s="17" t="s">
        <v>53</v>
      </c>
      <c r="F7" s="17" t="s">
        <v>56</v>
      </c>
      <c r="G7" s="17" t="s">
        <v>56</v>
      </c>
      <c r="H7" s="17" t="s">
        <v>62</v>
      </c>
      <c r="I7" s="18" t="n">
        <f aca="false">IF(COUNTA(D7:H7)=0,"",COUNTIF(D7:H7,"Matched")/(COUNTA(D7:H7)-COUNTIF(D7:H7,"N/A")))</f>
        <v>0</v>
      </c>
    </row>
    <row r="8" customFormat="false" ht="15" hidden="false" customHeight="false" outlineLevel="0" collapsed="false">
      <c r="A8" s="16" t="n">
        <v>7</v>
      </c>
      <c r="B8" s="16" t="s">
        <v>49</v>
      </c>
      <c r="C8" s="16" t="s">
        <v>63</v>
      </c>
      <c r="D8" s="17" t="s">
        <v>51</v>
      </c>
      <c r="E8" s="17" t="s">
        <v>51</v>
      </c>
      <c r="F8" s="17" t="s">
        <v>51</v>
      </c>
      <c r="G8" s="17" t="s">
        <v>51</v>
      </c>
      <c r="H8" s="17" t="s">
        <v>51</v>
      </c>
      <c r="I8" s="18" t="n">
        <f aca="false">IF(COUNTA(D8:H8)=0,"",COUNTIF(D8:H8,"Matched")/(COUNTA(D8:H8)-COUNTIF(D8:H8,"N/A")))</f>
        <v>1</v>
      </c>
    </row>
    <row r="9" customFormat="false" ht="15" hidden="false" customHeight="false" outlineLevel="0" collapsed="false">
      <c r="A9" s="16" t="n">
        <v>8</v>
      </c>
      <c r="B9" s="16" t="s">
        <v>54</v>
      </c>
      <c r="C9" s="16" t="s">
        <v>64</v>
      </c>
      <c r="D9" s="17" t="s">
        <v>51</v>
      </c>
      <c r="E9" s="17" t="s">
        <v>51</v>
      </c>
      <c r="F9" s="17" t="s">
        <v>51</v>
      </c>
      <c r="G9" s="17" t="s">
        <v>53</v>
      </c>
      <c r="H9" s="17" t="s">
        <v>51</v>
      </c>
      <c r="I9" s="18" t="n">
        <f aca="false">IF(COUNTA(D9:H9)=0,"",COUNTIF(D9:H9,"Matched")/(COUNTA(D9:H9)-COUNTIF(D9:H9,"N/A")))</f>
        <v>0.8</v>
      </c>
    </row>
    <row r="10" customFormat="false" ht="15" hidden="false" customHeight="false" outlineLevel="0" collapsed="false">
      <c r="A10" s="16"/>
      <c r="B10" s="16"/>
      <c r="C10" s="16"/>
      <c r="D10" s="17"/>
      <c r="E10" s="17"/>
      <c r="F10" s="17"/>
      <c r="G10" s="17"/>
      <c r="H10" s="17"/>
      <c r="I10" s="18" t="str">
        <f aca="false">IF(COUNTA(D10:H10)=0,"",COUNTIF(D10:H10,"Matched")/(COUNTA(D10:H10)-COUNTIF(D10:H10,"N/A")))</f>
        <v/>
      </c>
    </row>
    <row r="11" customFormat="false" ht="15" hidden="false" customHeight="false" outlineLevel="0" collapsed="false">
      <c r="A11" s="16"/>
      <c r="B11" s="16"/>
      <c r="C11" s="16"/>
      <c r="D11" s="17"/>
      <c r="E11" s="17"/>
      <c r="F11" s="17"/>
      <c r="G11" s="17"/>
      <c r="H11" s="17"/>
      <c r="I11" s="18" t="str">
        <f aca="false">IF(COUNTA(D11:H11)=0,"",COUNTIF(D11:H11,"Matched")/(COUNTA(D11:H11)-COUNTIF(D11:H11,"N/A")))</f>
        <v/>
      </c>
    </row>
    <row r="12" customFormat="false" ht="15" hidden="false" customHeight="false" outlineLevel="0" collapsed="false">
      <c r="A12" s="16"/>
      <c r="B12" s="16"/>
      <c r="C12" s="16"/>
      <c r="D12" s="17"/>
      <c r="E12" s="17"/>
      <c r="F12" s="17"/>
      <c r="G12" s="17"/>
      <c r="H12" s="17"/>
      <c r="I12" s="18" t="str">
        <f aca="false">IF(COUNTA(D12:H12)=0,"",COUNTIF(D12:H12,"Matched")/(COUNTA(D12:H12)-COUNTIF(D12:H12,"N/A")))</f>
        <v/>
      </c>
    </row>
    <row r="13" customFormat="false" ht="15" hidden="false" customHeight="false" outlineLevel="0" collapsed="false">
      <c r="A13" s="16"/>
      <c r="B13" s="16"/>
      <c r="C13" s="16"/>
      <c r="D13" s="17"/>
      <c r="E13" s="17"/>
      <c r="F13" s="17"/>
      <c r="G13" s="17"/>
      <c r="H13" s="17"/>
      <c r="I13" s="18" t="str">
        <f aca="false">IF(COUNTA(D13:H13)=0,"",COUNTIF(D13:H13,"Matched")/(COUNTA(D13:H13)-COUNTIF(D13:H13,"N/A")))</f>
        <v/>
      </c>
    </row>
    <row r="14" customFormat="false" ht="15" hidden="false" customHeight="false" outlineLevel="0" collapsed="false">
      <c r="A14" s="16"/>
      <c r="B14" s="16"/>
      <c r="C14" s="16"/>
      <c r="D14" s="17"/>
      <c r="E14" s="17"/>
      <c r="F14" s="17"/>
      <c r="G14" s="17"/>
      <c r="H14" s="17"/>
      <c r="I14" s="18" t="str">
        <f aca="false">IF(COUNTA(D14:H14)=0,"",COUNTIF(D14:H14,"Matched")/(COUNTA(D14:H14)-COUNTIF(D14:H14,"N/A")))</f>
        <v/>
      </c>
    </row>
    <row r="15" customFormat="false" ht="15" hidden="false" customHeight="false" outlineLevel="0" collapsed="false">
      <c r="A15" s="16"/>
      <c r="B15" s="16"/>
      <c r="C15" s="16"/>
      <c r="D15" s="17"/>
      <c r="E15" s="17"/>
      <c r="F15" s="17"/>
      <c r="G15" s="17"/>
      <c r="H15" s="17"/>
      <c r="I15" s="18" t="str">
        <f aca="false">IF(COUNTA(D15:H15)=0,"",COUNTIF(D15:H15,"Matched")/(COUNTA(D15:H15)-COUNTIF(D15:H15,"N/A")))</f>
        <v/>
      </c>
    </row>
    <row r="16" customFormat="false" ht="15" hidden="false" customHeight="false" outlineLevel="0" collapsed="false">
      <c r="A16" s="16"/>
      <c r="B16" s="16"/>
      <c r="C16" s="16"/>
      <c r="D16" s="17"/>
      <c r="E16" s="17"/>
      <c r="F16" s="17"/>
      <c r="G16" s="17"/>
      <c r="H16" s="17"/>
      <c r="I16" s="18" t="str">
        <f aca="false">IF(COUNTA(D16:H16)=0,"",COUNTIF(D16:H16,"Matched")/(COUNTA(D16:H16)-COUNTIF(D16:H16,"N/A")))</f>
        <v/>
      </c>
    </row>
    <row r="17" customFormat="false" ht="15" hidden="false" customHeight="false" outlineLevel="0" collapsed="false">
      <c r="A17" s="16"/>
      <c r="B17" s="16"/>
      <c r="C17" s="16"/>
      <c r="D17" s="17"/>
      <c r="E17" s="17"/>
      <c r="F17" s="17"/>
      <c r="G17" s="17"/>
      <c r="H17" s="17"/>
      <c r="I17" s="18" t="str">
        <f aca="false">IF(COUNTA(D17:H17)=0,"",COUNTIF(D17:H17,"Matched")/(COUNTA(D17:H17)-COUNTIF(D17:H17,"N/A")))</f>
        <v/>
      </c>
    </row>
    <row r="18" customFormat="false" ht="15" hidden="false" customHeight="false" outlineLevel="0" collapsed="false">
      <c r="A18" s="16"/>
      <c r="B18" s="16"/>
      <c r="C18" s="16"/>
      <c r="D18" s="17"/>
      <c r="E18" s="17"/>
      <c r="F18" s="17"/>
      <c r="G18" s="17"/>
      <c r="H18" s="17"/>
      <c r="I18" s="18" t="str">
        <f aca="false">IF(COUNTA(D18:H18)=0,"",COUNTIF(D18:H18,"Matched")/(COUNTA(D18:H18)-COUNTIF(D18:H18,"N/A")))</f>
        <v/>
      </c>
    </row>
    <row r="19" customFormat="false" ht="15" hidden="false" customHeight="false" outlineLevel="0" collapsed="false">
      <c r="A19" s="16"/>
      <c r="B19" s="16"/>
      <c r="C19" s="16"/>
      <c r="D19" s="17"/>
      <c r="E19" s="17"/>
      <c r="F19" s="17"/>
      <c r="G19" s="17"/>
      <c r="H19" s="17"/>
      <c r="I19" s="18" t="str">
        <f aca="false">IF(COUNTA(D19:H19)=0,"",COUNTIF(D19:H19,"Matched")/(COUNTA(D19:H19)-COUNTIF(D19:H19,"N/A")))</f>
        <v/>
      </c>
    </row>
    <row r="20" customFormat="false" ht="15" hidden="false" customHeight="false" outlineLevel="0" collapsed="false">
      <c r="A20" s="16"/>
      <c r="B20" s="16"/>
      <c r="C20" s="16"/>
      <c r="D20" s="17"/>
      <c r="E20" s="17"/>
      <c r="F20" s="17"/>
      <c r="G20" s="17"/>
      <c r="H20" s="17"/>
      <c r="I20" s="18" t="str">
        <f aca="false">IF(COUNTA(D20:H20)=0,"",COUNTIF(D20:H20,"Matched")/(COUNTA(D20:H20)-COUNTIF(D20:H20,"N/A")))</f>
        <v/>
      </c>
    </row>
    <row r="21" customFormat="false" ht="15" hidden="false" customHeight="false" outlineLevel="0" collapsed="false">
      <c r="A21" s="16"/>
      <c r="B21" s="16"/>
      <c r="C21" s="16"/>
      <c r="D21" s="17"/>
      <c r="E21" s="17"/>
      <c r="F21" s="17"/>
      <c r="G21" s="17"/>
      <c r="H21" s="17"/>
      <c r="I21" s="18" t="str">
        <f aca="false">IF(COUNTA(D21:H21)=0,"",COUNTIF(D21:H21,"Matched")/(COUNTA(D21:H21)-COUNTIF(D21:H21,"N/A")))</f>
        <v/>
      </c>
    </row>
    <row r="22" customFormat="false" ht="15" hidden="false" customHeight="false" outlineLevel="0" collapsed="false">
      <c r="A22" s="16"/>
      <c r="B22" s="16"/>
      <c r="C22" s="16"/>
      <c r="D22" s="17"/>
      <c r="E22" s="17"/>
      <c r="F22" s="17"/>
      <c r="G22" s="17"/>
      <c r="H22" s="17"/>
      <c r="I22" s="18" t="str">
        <f aca="false">IF(COUNTA(D22:H22)=0,"",COUNTIF(D22:H22,"Matched")/(COUNTA(D22:H22)-COUNTIF(D22:H22,"N/A")))</f>
        <v/>
      </c>
    </row>
    <row r="23" customFormat="false" ht="15" hidden="false" customHeight="false" outlineLevel="0" collapsed="false">
      <c r="A23" s="16"/>
      <c r="B23" s="16"/>
      <c r="C23" s="16"/>
      <c r="D23" s="17"/>
      <c r="E23" s="17"/>
      <c r="F23" s="17"/>
      <c r="G23" s="17"/>
      <c r="H23" s="17"/>
      <c r="I23" s="18" t="str">
        <f aca="false">IF(COUNTA(D23:H23)=0,"",COUNTIF(D23:H23,"Matched")/(COUNTA(D23:H23)-COUNTIF(D23:H23,"N/A")))</f>
        <v/>
      </c>
    </row>
    <row r="24" customFormat="false" ht="15" hidden="false" customHeight="false" outlineLevel="0" collapsed="false">
      <c r="A24" s="16"/>
      <c r="B24" s="16"/>
      <c r="C24" s="16"/>
      <c r="D24" s="17"/>
      <c r="E24" s="17"/>
      <c r="F24" s="17"/>
      <c r="G24" s="17"/>
      <c r="H24" s="17"/>
      <c r="I24" s="18" t="str">
        <f aca="false">IF(COUNTA(D24:H24)=0,"",COUNTIF(D24:H24,"Matched")/(COUNTA(D24:H24)-COUNTIF(D24:H24,"N/A")))</f>
        <v/>
      </c>
    </row>
    <row r="25" customFormat="false" ht="15" hidden="false" customHeight="false" outlineLevel="0" collapsed="false">
      <c r="A25" s="16"/>
      <c r="B25" s="16"/>
      <c r="C25" s="16"/>
      <c r="D25" s="17"/>
      <c r="E25" s="17"/>
      <c r="F25" s="17"/>
      <c r="G25" s="17"/>
      <c r="H25" s="17"/>
      <c r="I25" s="18" t="str">
        <f aca="false">IF(COUNTA(D25:H25)=0,"",COUNTIF(D25:H25,"Matched")/(COUNTA(D25:H25)-COUNTIF(D25:H25,"N/A")))</f>
        <v/>
      </c>
    </row>
    <row r="26" customFormat="false" ht="15" hidden="false" customHeight="false" outlineLevel="0" collapsed="false">
      <c r="A26" s="16"/>
      <c r="B26" s="16"/>
      <c r="C26" s="16"/>
      <c r="D26" s="17"/>
      <c r="E26" s="17"/>
      <c r="F26" s="17"/>
      <c r="G26" s="17"/>
      <c r="H26" s="17"/>
      <c r="I26" s="18" t="str">
        <f aca="false">IF(COUNTA(D26:H26)=0,"",COUNTIF(D26:H26,"Matched")/(COUNTA(D26:H26)-COUNTIF(D26:H26,"N/A")))</f>
        <v/>
      </c>
    </row>
    <row r="27" customFormat="false" ht="15" hidden="false" customHeight="false" outlineLevel="0" collapsed="false">
      <c r="A27" s="16"/>
      <c r="B27" s="16"/>
      <c r="C27" s="16"/>
      <c r="D27" s="17"/>
      <c r="E27" s="17"/>
      <c r="F27" s="17"/>
      <c r="G27" s="17"/>
      <c r="H27" s="17"/>
      <c r="I27" s="18" t="str">
        <f aca="false">IF(COUNTA(D27:H27)=0,"",COUNTIF(D27:H27,"Matched")/(COUNTA(D27:H27)-COUNTIF(D27:H27,"N/A")))</f>
        <v/>
      </c>
    </row>
    <row r="28" customFormat="false" ht="15" hidden="false" customHeight="false" outlineLevel="0" collapsed="false">
      <c r="A28" s="16"/>
      <c r="B28" s="16"/>
      <c r="C28" s="16"/>
      <c r="D28" s="17"/>
      <c r="E28" s="17"/>
      <c r="F28" s="17"/>
      <c r="G28" s="17"/>
      <c r="H28" s="17"/>
      <c r="I28" s="18" t="str">
        <f aca="false">IF(COUNTA(D28:H28)=0,"",COUNTIF(D28:H28,"Matched")/(COUNTA(D28:H28)-COUNTIF(D28:H28,"N/A")))</f>
        <v/>
      </c>
    </row>
    <row r="29" customFormat="false" ht="15" hidden="false" customHeight="false" outlineLevel="0" collapsed="false">
      <c r="A29" s="16"/>
      <c r="B29" s="16"/>
      <c r="C29" s="16"/>
      <c r="D29" s="17"/>
      <c r="E29" s="17"/>
      <c r="F29" s="17"/>
      <c r="G29" s="17"/>
      <c r="H29" s="17"/>
      <c r="I29" s="18" t="str">
        <f aca="false">IF(COUNTA(D29:H29)=0,"",COUNTIF(D29:H29,"Matched")/(COUNTA(D29:H29)-COUNTIF(D29:H29,"N/A")))</f>
        <v/>
      </c>
    </row>
    <row r="30" customFormat="false" ht="15" hidden="false" customHeight="false" outlineLevel="0" collapsed="false">
      <c r="A30" s="16"/>
      <c r="B30" s="16"/>
      <c r="C30" s="16"/>
      <c r="D30" s="17"/>
      <c r="E30" s="17"/>
      <c r="F30" s="17"/>
      <c r="G30" s="17"/>
      <c r="H30" s="17"/>
      <c r="I30" s="18" t="str">
        <f aca="false">IF(COUNTA(D30:H30)=0,"",COUNTIF(D30:H30,"Matched")/(COUNTA(D30:H30)-COUNTIF(D30:H30,"N/A")))</f>
        <v/>
      </c>
    </row>
    <row r="31" customFormat="false" ht="15" hidden="false" customHeight="false" outlineLevel="0" collapsed="false">
      <c r="A31" s="16"/>
      <c r="B31" s="16"/>
      <c r="C31" s="16"/>
      <c r="D31" s="17"/>
      <c r="E31" s="17"/>
      <c r="F31" s="17"/>
      <c r="G31" s="17"/>
      <c r="H31" s="17"/>
      <c r="I31" s="18" t="str">
        <f aca="false">IF(COUNTA(D31:H31)=0,"",COUNTIF(D31:H31,"Matched")/(COUNTA(D31:H31)-COUNTIF(D31:H31,"N/A")))</f>
        <v/>
      </c>
    </row>
    <row r="32" customFormat="false" ht="15" hidden="false" customHeight="false" outlineLevel="0" collapsed="false">
      <c r="A32" s="16"/>
      <c r="B32" s="16"/>
      <c r="C32" s="16"/>
      <c r="D32" s="17"/>
      <c r="E32" s="17"/>
      <c r="F32" s="17"/>
      <c r="G32" s="17"/>
      <c r="H32" s="17"/>
      <c r="I32" s="18" t="str">
        <f aca="false">IF(COUNTA(D32:H32)=0,"",COUNTIF(D32:H32,"Matched")/(COUNTA(D32:H32)-COUNTIF(D32:H32,"N/A")))</f>
        <v/>
      </c>
    </row>
    <row r="33" customFormat="false" ht="15" hidden="false" customHeight="false" outlineLevel="0" collapsed="false">
      <c r="A33" s="16"/>
      <c r="B33" s="16"/>
      <c r="C33" s="16"/>
      <c r="D33" s="17"/>
      <c r="E33" s="17"/>
      <c r="F33" s="17"/>
      <c r="G33" s="17"/>
      <c r="H33" s="17"/>
      <c r="I33" s="18" t="str">
        <f aca="false">IF(COUNTA(D33:H33)=0,"",COUNTIF(D33:H33,"Matched")/(COUNTA(D33:H33)-COUNTIF(D33:H33,"N/A")))</f>
        <v/>
      </c>
    </row>
    <row r="34" customFormat="false" ht="15" hidden="false" customHeight="false" outlineLevel="0" collapsed="false">
      <c r="A34" s="16"/>
      <c r="B34" s="16"/>
      <c r="C34" s="16"/>
      <c r="D34" s="17"/>
      <c r="E34" s="17"/>
      <c r="F34" s="17"/>
      <c r="G34" s="17"/>
      <c r="H34" s="17"/>
      <c r="I34" s="18" t="str">
        <f aca="false">IF(COUNTA(D34:H34)=0,"",COUNTIF(D34:H34,"Matched")/(COUNTA(D34:H34)-COUNTIF(D34:H34,"N/A")))</f>
        <v/>
      </c>
    </row>
    <row r="35" customFormat="false" ht="15" hidden="false" customHeight="false" outlineLevel="0" collapsed="false">
      <c r="A35" s="16"/>
      <c r="B35" s="16"/>
      <c r="C35" s="16"/>
      <c r="D35" s="17"/>
      <c r="E35" s="17"/>
      <c r="F35" s="17"/>
      <c r="G35" s="17"/>
      <c r="H35" s="17"/>
      <c r="I35" s="18" t="str">
        <f aca="false">IF(COUNTA(D35:H35)=0,"",COUNTIF(D35:H35,"Matched")/(COUNTA(D35:H35)-COUNTIF(D35:H35,"N/A")))</f>
        <v/>
      </c>
    </row>
    <row r="36" customFormat="false" ht="15" hidden="false" customHeight="false" outlineLevel="0" collapsed="false">
      <c r="A36" s="16"/>
      <c r="B36" s="16"/>
      <c r="C36" s="16"/>
      <c r="D36" s="17"/>
      <c r="E36" s="17"/>
      <c r="F36" s="17"/>
      <c r="G36" s="17"/>
      <c r="H36" s="17"/>
      <c r="I36" s="18" t="str">
        <f aca="false">IF(COUNTA(D36:H36)=0,"",COUNTIF(D36:H36,"Matched")/(COUNTA(D36:H36)-COUNTIF(D36:H36,"N/A")))</f>
        <v/>
      </c>
    </row>
    <row r="37" customFormat="false" ht="15" hidden="false" customHeight="false" outlineLevel="0" collapsed="false">
      <c r="A37" s="16"/>
      <c r="B37" s="16"/>
      <c r="C37" s="16"/>
      <c r="D37" s="17"/>
      <c r="E37" s="17"/>
      <c r="F37" s="17"/>
      <c r="G37" s="17"/>
      <c r="H37" s="17"/>
      <c r="I37" s="18" t="str">
        <f aca="false">IF(COUNTA(D37:H37)=0,"",COUNTIF(D37:H37,"Matched")/(COUNTA(D37:H37)-COUNTIF(D37:H37,"N/A")))</f>
        <v/>
      </c>
    </row>
    <row r="38" customFormat="false" ht="15" hidden="false" customHeight="false" outlineLevel="0" collapsed="false">
      <c r="A38" s="16"/>
      <c r="B38" s="16"/>
      <c r="C38" s="16"/>
      <c r="D38" s="17"/>
      <c r="E38" s="17"/>
      <c r="F38" s="17"/>
      <c r="G38" s="17"/>
      <c r="H38" s="17"/>
      <c r="I38" s="18" t="str">
        <f aca="false">IF(COUNTA(D38:H38)=0,"",COUNTIF(D38:H38,"Matched")/(COUNTA(D38:H38)-COUNTIF(D38:H38,"N/A")))</f>
        <v/>
      </c>
    </row>
    <row r="39" customFormat="false" ht="15" hidden="false" customHeight="false" outlineLevel="0" collapsed="false">
      <c r="A39" s="16"/>
      <c r="B39" s="16"/>
      <c r="C39" s="16"/>
      <c r="D39" s="17"/>
      <c r="E39" s="17"/>
      <c r="F39" s="17"/>
      <c r="G39" s="17"/>
      <c r="H39" s="17"/>
      <c r="I39" s="18" t="str">
        <f aca="false">IF(COUNTA(D39:H39)=0,"",COUNTIF(D39:H39,"Matched")/(COUNTA(D39:H39)-COUNTIF(D39:H39,"N/A")))</f>
        <v/>
      </c>
    </row>
    <row r="40" customFormat="false" ht="15" hidden="false" customHeight="false" outlineLevel="0" collapsed="false">
      <c r="A40" s="16"/>
      <c r="B40" s="16"/>
      <c r="C40" s="16"/>
      <c r="D40" s="17"/>
      <c r="E40" s="17"/>
      <c r="F40" s="17"/>
      <c r="G40" s="17"/>
      <c r="H40" s="17"/>
      <c r="I40" s="18" t="str">
        <f aca="false">IF(COUNTA(D40:H40)=0,"",COUNTIF(D40:H40,"Matched")/(COUNTA(D40:H40)-COUNTIF(D40:H40,"N/A")))</f>
        <v/>
      </c>
    </row>
    <row r="41" customFormat="false" ht="15" hidden="false" customHeight="false" outlineLevel="0" collapsed="false">
      <c r="A41" s="16"/>
      <c r="B41" s="16"/>
      <c r="C41" s="16"/>
      <c r="D41" s="17"/>
      <c r="E41" s="17"/>
      <c r="F41" s="17"/>
      <c r="G41" s="17"/>
      <c r="H41" s="17"/>
      <c r="I41" s="18" t="str">
        <f aca="false">IF(COUNTA(D41:H41)=0,"",COUNTIF(D41:H41,"Matched")/(COUNTA(D41:H41)-COUNTIF(D41:H41,"N/A")))</f>
        <v/>
      </c>
    </row>
    <row r="42" customFormat="false" ht="15" hidden="false" customHeight="false" outlineLevel="0" collapsed="false">
      <c r="A42" s="16"/>
      <c r="B42" s="16"/>
      <c r="C42" s="16"/>
      <c r="D42" s="17"/>
      <c r="E42" s="17"/>
      <c r="F42" s="17"/>
      <c r="G42" s="17"/>
      <c r="H42" s="17"/>
      <c r="I42" s="18" t="str">
        <f aca="false">IF(COUNTA(D42:H42)=0,"",COUNTIF(D42:H42,"Matched")/(COUNTA(D42:H42)-COUNTIF(D42:H42,"N/A")))</f>
        <v/>
      </c>
    </row>
    <row r="43" customFormat="false" ht="15" hidden="false" customHeight="false" outlineLevel="0" collapsed="false">
      <c r="A43" s="16"/>
      <c r="B43" s="16"/>
      <c r="C43" s="16"/>
      <c r="D43" s="17"/>
      <c r="E43" s="17"/>
      <c r="F43" s="17"/>
      <c r="G43" s="17"/>
      <c r="H43" s="17"/>
      <c r="I43" s="18" t="str">
        <f aca="false">IF(COUNTA(D43:H43)=0,"",COUNTIF(D43:H43,"Matched")/(COUNTA(D43:H43)-COUNTIF(D43:H43,"N/A")))</f>
        <v/>
      </c>
    </row>
    <row r="44" customFormat="false" ht="15" hidden="false" customHeight="false" outlineLevel="0" collapsed="false">
      <c r="A44" s="16"/>
      <c r="B44" s="16"/>
      <c r="C44" s="16"/>
      <c r="D44" s="17"/>
      <c r="E44" s="17"/>
      <c r="F44" s="17"/>
      <c r="G44" s="17"/>
      <c r="H44" s="17"/>
      <c r="I44" s="18" t="str">
        <f aca="false">IF(COUNTA(D44:H44)=0,"",COUNTIF(D44:H44,"Matched")/(COUNTA(D44:H44)-COUNTIF(D44:H44,"N/A")))</f>
        <v/>
      </c>
    </row>
    <row r="45" customFormat="false" ht="15" hidden="false" customHeight="false" outlineLevel="0" collapsed="false">
      <c r="A45" s="16"/>
      <c r="B45" s="16"/>
      <c r="C45" s="16"/>
      <c r="D45" s="17"/>
      <c r="E45" s="17"/>
      <c r="F45" s="17"/>
      <c r="G45" s="17"/>
      <c r="H45" s="17"/>
      <c r="I45" s="18" t="str">
        <f aca="false">IF(COUNTA(D45:H45)=0,"",COUNTIF(D45:H45,"Matched")/(COUNTA(D45:H45)-COUNTIF(D45:H45,"N/A")))</f>
        <v/>
      </c>
    </row>
    <row r="46" customFormat="false" ht="15" hidden="false" customHeight="false" outlineLevel="0" collapsed="false">
      <c r="A46" s="16"/>
      <c r="B46" s="16"/>
      <c r="C46" s="16"/>
      <c r="D46" s="17"/>
      <c r="E46" s="17"/>
      <c r="F46" s="17"/>
      <c r="G46" s="17"/>
      <c r="H46" s="17"/>
      <c r="I46" s="18" t="str">
        <f aca="false">IF(COUNTA(D46:H46)=0,"",COUNTIF(D46:H46,"Matched")/(COUNTA(D46:H46)-COUNTIF(D46:H46,"N/A")))</f>
        <v/>
      </c>
    </row>
    <row r="47" customFormat="false" ht="15" hidden="false" customHeight="false" outlineLevel="0" collapsed="false">
      <c r="A47" s="16"/>
      <c r="B47" s="16"/>
      <c r="C47" s="16"/>
      <c r="D47" s="17"/>
      <c r="E47" s="17"/>
      <c r="F47" s="17"/>
      <c r="G47" s="17"/>
      <c r="H47" s="17"/>
      <c r="I47" s="18" t="str">
        <f aca="false">IF(COUNTA(D47:H47)=0,"",COUNTIF(D47:H47,"Matched")/(COUNTA(D47:H47)-COUNTIF(D47:H47,"N/A")))</f>
        <v/>
      </c>
    </row>
    <row r="48" customFormat="false" ht="15" hidden="false" customHeight="false" outlineLevel="0" collapsed="false">
      <c r="A48" s="16"/>
      <c r="B48" s="16"/>
      <c r="C48" s="16"/>
      <c r="D48" s="17"/>
      <c r="E48" s="17"/>
      <c r="F48" s="17"/>
      <c r="G48" s="17"/>
      <c r="H48" s="17"/>
      <c r="I48" s="18" t="str">
        <f aca="false">IF(COUNTA(D48:H48)=0,"",COUNTIF(D48:H48,"Matched")/(COUNTA(D48:H48)-COUNTIF(D48:H48,"N/A")))</f>
        <v/>
      </c>
    </row>
    <row r="49" customFormat="false" ht="15" hidden="false" customHeight="false" outlineLevel="0" collapsed="false">
      <c r="A49" s="16"/>
      <c r="B49" s="16"/>
      <c r="C49" s="16"/>
      <c r="D49" s="17"/>
      <c r="E49" s="17"/>
      <c r="F49" s="17"/>
      <c r="G49" s="17"/>
      <c r="H49" s="17"/>
      <c r="I49" s="18" t="str">
        <f aca="false">IF(COUNTA(D49:H49)=0,"",COUNTIF(D49:H49,"Matched")/(COUNTA(D49:H49)-COUNTIF(D49:H49,"N/A")))</f>
        <v/>
      </c>
    </row>
    <row r="50" customFormat="false" ht="15" hidden="false" customHeight="false" outlineLevel="0" collapsed="false">
      <c r="A50" s="16"/>
      <c r="B50" s="16"/>
      <c r="C50" s="16"/>
      <c r="D50" s="17"/>
      <c r="E50" s="17"/>
      <c r="F50" s="17"/>
      <c r="G50" s="17"/>
      <c r="H50" s="17"/>
      <c r="I50" s="18" t="str">
        <f aca="false">IF(COUNTA(D50:H50)=0,"",COUNTIF(D50:H50,"Matched")/(COUNTA(D50:H50)-COUNTIF(D50:H50,"N/A")))</f>
        <v/>
      </c>
    </row>
    <row r="52" customFormat="false" ht="15" hidden="false" customHeight="false" outlineLevel="0" collapsed="false">
      <c r="A52" s="19" t="s">
        <v>65</v>
      </c>
      <c r="B52" s="14" t="s">
        <v>66</v>
      </c>
      <c r="C52" s="14" t="n">
        <f aca="false">COUNTA(C2:C50)</f>
        <v>8</v>
      </c>
      <c r="D52" s="14" t="s">
        <v>67</v>
      </c>
      <c r="E52" s="14" t="n">
        <f aca="false">COUNTIF(I2:I50,1)</f>
        <v>2</v>
      </c>
      <c r="F52" s="14" t="s">
        <v>68</v>
      </c>
      <c r="G52" s="14" t="n">
        <f aca="false">COUNTIF(D2:H50,"Mismatch")</f>
        <v>6</v>
      </c>
      <c r="H52" s="14" t="s">
        <v>69</v>
      </c>
      <c r="I52" s="14" t="n">
        <f aca="false">COUNTIF(D2:H50,"Missing")</f>
        <v>5</v>
      </c>
    </row>
  </sheetData>
  <conditionalFormatting sqref="D2:D50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1">
      <formula>"Mismatch"</formula>
    </cfRule>
    <cfRule type="cellIs" priority="4" operator="equal" aboveAverage="0" equalAverage="0" bottom="0" percent="0" rank="0" text="" dxfId="2">
      <formula>"Missing"</formula>
    </cfRule>
  </conditionalFormatting>
  <conditionalFormatting sqref="E2:E50">
    <cfRule type="cellIs" priority="5" operator="equal" aboveAverage="0" equalAverage="0" bottom="0" percent="0" rank="0" text="" dxfId="0">
      <formula>"Matched"</formula>
    </cfRule>
    <cfRule type="cellIs" priority="6" operator="equal" aboveAverage="0" equalAverage="0" bottom="0" percent="0" rank="0" text="" dxfId="1">
      <formula>"Mismatch"</formula>
    </cfRule>
    <cfRule type="cellIs" priority="7" operator="equal" aboveAverage="0" equalAverage="0" bottom="0" percent="0" rank="0" text="" dxfId="2">
      <formula>"Missing"</formula>
    </cfRule>
  </conditionalFormatting>
  <conditionalFormatting sqref="F2:F50">
    <cfRule type="cellIs" priority="8" operator="equal" aboveAverage="0" equalAverage="0" bottom="0" percent="0" rank="0" text="" dxfId="0">
      <formula>"Matched"</formula>
    </cfRule>
    <cfRule type="cellIs" priority="9" operator="equal" aboveAverage="0" equalAverage="0" bottom="0" percent="0" rank="0" text="" dxfId="1">
      <formula>"Mismatch"</formula>
    </cfRule>
    <cfRule type="cellIs" priority="10" operator="equal" aboveAverage="0" equalAverage="0" bottom="0" percent="0" rank="0" text="" dxfId="2">
      <formula>"Missing"</formula>
    </cfRule>
  </conditionalFormatting>
  <conditionalFormatting sqref="G2:G50">
    <cfRule type="cellIs" priority="11" operator="equal" aboveAverage="0" equalAverage="0" bottom="0" percent="0" rank="0" text="" dxfId="0">
      <formula>"Matched"</formula>
    </cfRule>
    <cfRule type="cellIs" priority="12" operator="equal" aboveAverage="0" equalAverage="0" bottom="0" percent="0" rank="0" text="" dxfId="1">
      <formula>"Mismatch"</formula>
    </cfRule>
    <cfRule type="cellIs" priority="13" operator="equal" aboveAverage="0" equalAverage="0" bottom="0" percent="0" rank="0" text="" dxfId="2">
      <formula>"Missing"</formula>
    </cfRule>
  </conditionalFormatting>
  <conditionalFormatting sqref="H2:H50">
    <cfRule type="cellIs" priority="14" operator="equal" aboveAverage="0" equalAverage="0" bottom="0" percent="0" rank="0" text="" dxfId="0">
      <formula>"Matched"</formula>
    </cfRule>
    <cfRule type="cellIs" priority="15" operator="equal" aboveAverage="0" equalAverage="0" bottom="0" percent="0" rank="0" text="" dxfId="1">
      <formula>"Mismatch"</formula>
    </cfRule>
    <cfRule type="cellIs" priority="16" operator="equal" aboveAverage="0" equalAverage="0" bottom="0" percent="0" rank="0" text="" dxfId="2">
      <formula>"Missing"</formula>
    </cfRule>
  </conditionalFormatting>
  <conditionalFormatting sqref="I2:I50">
    <cfRule type="cellIs" priority="17" operator="equal" aboveAverage="0" equalAverage="0" bottom="0" percent="0" rank="0" text="" dxfId="0">
      <formula>1</formula>
    </cfRule>
    <cfRule type="cellIs" priority="18" operator="lessThan" aboveAverage="0" equalAverage="0" bottom="0" percent="0" rank="0" text="" dxfId="1">
      <formula>1</formula>
    </cfRule>
    <cfRule type="cellIs" priority="19" operator="lessThan" aboveAverage="0" equalAverage="0" bottom="0" percent="0" rank="0" text="" dxfId="2">
      <formula>0.5</formula>
    </cfRule>
  </conditionalFormatting>
  <dataValidations count="1">
    <dataValidation allowBlank="true" error="Select: Matched, Mismatch, Missing, or N/A" errorStyle="stop" operator="between" showDropDown="false" showErrorMessage="false" showInputMessage="false" sqref="D2:H50" type="list">
      <formula1>"Matched,Mismatch,Missing,N/A"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&amp;CP&amp;"Calibri,Italic"D Tag Consistency Matrix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5" t="s">
        <v>70</v>
      </c>
      <c r="B1" s="15" t="s">
        <v>71</v>
      </c>
      <c r="C1" s="15" t="s">
        <v>72</v>
      </c>
      <c r="D1" s="15" t="s">
        <v>73</v>
      </c>
      <c r="E1" s="15" t="s">
        <v>74</v>
      </c>
      <c r="F1" s="15" t="s">
        <v>75</v>
      </c>
      <c r="G1" s="15" t="s">
        <v>76</v>
      </c>
      <c r="H1" s="15" t="s">
        <v>77</v>
      </c>
      <c r="I1" s="15" t="s">
        <v>78</v>
      </c>
      <c r="J1" s="15" t="s">
        <v>79</v>
      </c>
      <c r="K1" s="15" t="s">
        <v>80</v>
      </c>
    </row>
    <row r="2" customFormat="false" ht="35.05" hidden="false" customHeight="false" outlineLevel="0" collapsed="false">
      <c r="A2" s="16" t="s">
        <v>81</v>
      </c>
      <c r="B2" s="20" t="n">
        <v>46060</v>
      </c>
      <c r="C2" s="16" t="s">
        <v>82</v>
      </c>
      <c r="D2" s="16" t="s">
        <v>83</v>
      </c>
      <c r="E2" s="16" t="s">
        <v>84</v>
      </c>
      <c r="F2" s="16" t="s">
        <v>85</v>
      </c>
      <c r="G2" s="16" t="s">
        <v>86</v>
      </c>
      <c r="H2" s="16" t="s">
        <v>87</v>
      </c>
      <c r="I2" s="16" t="s">
        <v>88</v>
      </c>
      <c r="J2" s="16" t="s">
        <v>89</v>
      </c>
      <c r="K2" s="16" t="s">
        <v>90</v>
      </c>
    </row>
    <row r="3" customFormat="false" ht="23.85" hidden="false" customHeight="false" outlineLevel="0" collapsed="false">
      <c r="A3" s="16" t="s">
        <v>91</v>
      </c>
      <c r="B3" s="20" t="n">
        <v>46075</v>
      </c>
      <c r="C3" s="16" t="s">
        <v>92</v>
      </c>
      <c r="D3" s="16" t="s">
        <v>93</v>
      </c>
      <c r="E3" s="16" t="s">
        <v>55</v>
      </c>
      <c r="F3" s="16" t="s">
        <v>94</v>
      </c>
      <c r="G3" s="16" t="s">
        <v>95</v>
      </c>
      <c r="H3" s="16" t="s">
        <v>96</v>
      </c>
      <c r="I3" s="16" t="s">
        <v>97</v>
      </c>
      <c r="J3" s="16" t="s">
        <v>98</v>
      </c>
      <c r="K3" s="16" t="s">
        <v>99</v>
      </c>
    </row>
    <row r="4" customFormat="false" ht="23.85" hidden="false" customHeight="false" outlineLevel="0" collapsed="false">
      <c r="A4" s="16" t="s">
        <v>100</v>
      </c>
      <c r="B4" s="20" t="n">
        <v>46087</v>
      </c>
      <c r="C4" s="16" t="s">
        <v>92</v>
      </c>
      <c r="D4" s="16" t="s">
        <v>93</v>
      </c>
      <c r="E4" s="16" t="s">
        <v>101</v>
      </c>
      <c r="F4" s="16" t="s">
        <v>102</v>
      </c>
      <c r="G4" s="16" t="s">
        <v>103</v>
      </c>
      <c r="H4" s="16" t="s">
        <v>96</v>
      </c>
      <c r="I4" s="16"/>
      <c r="J4" s="16" t="s">
        <v>104</v>
      </c>
      <c r="K4" s="16" t="s">
        <v>105</v>
      </c>
    </row>
    <row r="5" customFormat="false" ht="23.85" hidden="false" customHeight="false" outlineLevel="0" collapsed="false">
      <c r="A5" s="16" t="s">
        <v>106</v>
      </c>
      <c r="B5" s="20" t="n">
        <v>46095</v>
      </c>
      <c r="C5" s="16" t="s">
        <v>107</v>
      </c>
      <c r="D5" s="16" t="s">
        <v>108</v>
      </c>
      <c r="E5" s="16" t="s">
        <v>61</v>
      </c>
      <c r="F5" s="16" t="s">
        <v>109</v>
      </c>
      <c r="G5" s="16" t="s">
        <v>86</v>
      </c>
      <c r="H5" s="16" t="s">
        <v>110</v>
      </c>
      <c r="I5" s="16"/>
      <c r="J5" s="16" t="s">
        <v>111</v>
      </c>
      <c r="K5" s="16" t="s">
        <v>112</v>
      </c>
    </row>
    <row r="6" customFormat="false" ht="15" hidden="false" customHeight="false" outlineLevel="0" collapsed="false">
      <c r="A6" s="16"/>
      <c r="B6" s="20"/>
      <c r="C6" s="16"/>
      <c r="D6" s="16"/>
      <c r="E6" s="16"/>
      <c r="F6" s="16"/>
      <c r="G6" s="16"/>
      <c r="H6" s="16"/>
      <c r="I6" s="16"/>
      <c r="J6" s="16"/>
      <c r="K6" s="16"/>
    </row>
    <row r="7" customFormat="false" ht="15" hidden="false" customHeight="false" outlineLevel="0" collapsed="false">
      <c r="A7" s="16"/>
      <c r="B7" s="20"/>
      <c r="C7" s="16"/>
      <c r="D7" s="16"/>
      <c r="E7" s="16"/>
      <c r="F7" s="16"/>
      <c r="G7" s="16"/>
      <c r="H7" s="16"/>
      <c r="I7" s="16"/>
      <c r="J7" s="16"/>
      <c r="K7" s="16"/>
    </row>
    <row r="8" customFormat="false" ht="15" hidden="false" customHeight="false" outlineLevel="0" collapsed="false">
      <c r="A8" s="16"/>
      <c r="B8" s="20"/>
      <c r="C8" s="16"/>
      <c r="D8" s="16"/>
      <c r="E8" s="16"/>
      <c r="F8" s="16"/>
      <c r="G8" s="16"/>
      <c r="H8" s="16"/>
      <c r="I8" s="16"/>
      <c r="J8" s="16"/>
      <c r="K8" s="16"/>
    </row>
    <row r="9" customFormat="false" ht="15" hidden="false" customHeight="false" outlineLevel="0" collapsed="false">
      <c r="A9" s="16"/>
      <c r="B9" s="20"/>
      <c r="C9" s="16"/>
      <c r="D9" s="16"/>
      <c r="E9" s="16"/>
      <c r="F9" s="16"/>
      <c r="G9" s="16"/>
      <c r="H9" s="16"/>
      <c r="I9" s="16"/>
      <c r="J9" s="16"/>
      <c r="K9" s="16"/>
    </row>
    <row r="10" customFormat="false" ht="15" hidden="false" customHeight="false" outlineLevel="0" collapsed="false">
      <c r="A10" s="16"/>
      <c r="B10" s="20"/>
      <c r="C10" s="16"/>
      <c r="D10" s="16"/>
      <c r="E10" s="16"/>
      <c r="F10" s="16"/>
      <c r="G10" s="16"/>
      <c r="H10" s="16"/>
      <c r="I10" s="16"/>
      <c r="J10" s="16"/>
      <c r="K10" s="16"/>
    </row>
    <row r="11" customFormat="false" ht="15" hidden="false" customHeight="false" outlineLevel="0" collapsed="false">
      <c r="A11" s="16"/>
      <c r="B11" s="20"/>
      <c r="C11" s="16"/>
      <c r="D11" s="16"/>
      <c r="E11" s="16"/>
      <c r="F11" s="16"/>
      <c r="G11" s="16"/>
      <c r="H11" s="16"/>
      <c r="I11" s="16"/>
      <c r="J11" s="16"/>
      <c r="K11" s="16"/>
    </row>
    <row r="12" customFormat="false" ht="15" hidden="false" customHeight="false" outlineLevel="0" collapsed="false">
      <c r="A12" s="16"/>
      <c r="B12" s="20"/>
      <c r="C12" s="16"/>
      <c r="D12" s="16"/>
      <c r="E12" s="16"/>
      <c r="F12" s="16"/>
      <c r="G12" s="16"/>
      <c r="H12" s="16"/>
      <c r="I12" s="16"/>
      <c r="J12" s="16"/>
      <c r="K12" s="16"/>
    </row>
    <row r="13" customFormat="false" ht="15" hidden="false" customHeight="false" outlineLevel="0" collapsed="false">
      <c r="A13" s="16"/>
      <c r="B13" s="20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5" hidden="false" customHeight="false" outlineLevel="0" collapsed="false">
      <c r="A14" s="16"/>
      <c r="B14" s="20"/>
      <c r="C14" s="16"/>
      <c r="D14" s="16"/>
      <c r="E14" s="16"/>
      <c r="F14" s="16"/>
      <c r="G14" s="16"/>
      <c r="H14" s="16"/>
      <c r="I14" s="16"/>
      <c r="J14" s="16"/>
      <c r="K14" s="16"/>
    </row>
    <row r="15" customFormat="false" ht="15" hidden="false" customHeight="false" outlineLevel="0" collapsed="false">
      <c r="A15" s="16"/>
      <c r="B15" s="20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15" hidden="false" customHeight="false" outlineLevel="0" collapsed="false">
      <c r="A16" s="16"/>
      <c r="B16" s="20"/>
      <c r="C16" s="16"/>
      <c r="D16" s="16"/>
      <c r="E16" s="16"/>
      <c r="F16" s="16"/>
      <c r="G16" s="16"/>
      <c r="H16" s="16"/>
      <c r="I16" s="16"/>
      <c r="J16" s="16"/>
      <c r="K16" s="16"/>
    </row>
    <row r="17" customFormat="false" ht="15" hidden="false" customHeight="false" outlineLevel="0" collapsed="false">
      <c r="A17" s="16"/>
      <c r="B17" s="20"/>
      <c r="C17" s="16"/>
      <c r="D17" s="16"/>
      <c r="E17" s="16"/>
      <c r="F17" s="16"/>
      <c r="G17" s="16"/>
      <c r="H17" s="16"/>
      <c r="I17" s="16"/>
      <c r="J17" s="16"/>
      <c r="K17" s="16"/>
    </row>
    <row r="18" customFormat="false" ht="15" hidden="false" customHeight="false" outlineLevel="0" collapsed="false">
      <c r="A18" s="16"/>
      <c r="B18" s="20"/>
      <c r="C18" s="16"/>
      <c r="D18" s="16"/>
      <c r="E18" s="16"/>
      <c r="F18" s="16"/>
      <c r="G18" s="16"/>
      <c r="H18" s="16"/>
      <c r="I18" s="16"/>
      <c r="J18" s="16"/>
      <c r="K18" s="16"/>
    </row>
    <row r="19" customFormat="false" ht="15" hidden="false" customHeight="false" outlineLevel="0" collapsed="false">
      <c r="A19" s="16"/>
      <c r="B19" s="20"/>
      <c r="C19" s="16"/>
      <c r="D19" s="16"/>
      <c r="E19" s="16"/>
      <c r="F19" s="16"/>
      <c r="G19" s="16"/>
      <c r="H19" s="16"/>
      <c r="I19" s="16"/>
      <c r="J19" s="16"/>
      <c r="K19" s="16"/>
    </row>
    <row r="20" customFormat="false" ht="15" hidden="false" customHeight="false" outlineLevel="0" collapsed="false">
      <c r="A20" s="16"/>
      <c r="B20" s="20"/>
      <c r="C20" s="16"/>
      <c r="D20" s="16"/>
      <c r="E20" s="16"/>
      <c r="F20" s="16"/>
      <c r="G20" s="16"/>
      <c r="H20" s="16"/>
      <c r="I20" s="16"/>
      <c r="J20" s="16"/>
      <c r="K20" s="16"/>
    </row>
    <row r="21" customFormat="false" ht="15" hidden="false" customHeight="false" outlineLevel="0" collapsed="false">
      <c r="A21" s="16"/>
      <c r="B21" s="20"/>
      <c r="C21" s="16"/>
      <c r="D21" s="16"/>
      <c r="E21" s="16"/>
      <c r="F21" s="16"/>
      <c r="G21" s="16"/>
      <c r="H21" s="16"/>
      <c r="I21" s="16"/>
      <c r="J21" s="16"/>
      <c r="K21" s="16"/>
    </row>
    <row r="22" customFormat="false" ht="15" hidden="false" customHeight="false" outlineLevel="0" collapsed="false">
      <c r="A22" s="16"/>
      <c r="B22" s="20"/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15" hidden="false" customHeight="false" outlineLevel="0" collapsed="false">
      <c r="A23" s="16"/>
      <c r="B23" s="20"/>
      <c r="C23" s="16"/>
      <c r="D23" s="16"/>
      <c r="E23" s="16"/>
      <c r="F23" s="16"/>
      <c r="G23" s="16"/>
      <c r="H23" s="16"/>
      <c r="I23" s="16"/>
      <c r="J23" s="16"/>
      <c r="K23" s="16"/>
    </row>
    <row r="24" customFormat="false" ht="15" hidden="false" customHeight="false" outlineLevel="0" collapsed="false">
      <c r="A24" s="16"/>
      <c r="B24" s="20"/>
      <c r="C24" s="16"/>
      <c r="D24" s="16"/>
      <c r="E24" s="16"/>
      <c r="F24" s="16"/>
      <c r="G24" s="16"/>
      <c r="H24" s="16"/>
      <c r="I24" s="16"/>
      <c r="J24" s="16"/>
      <c r="K24" s="16"/>
    </row>
    <row r="25" customFormat="false" ht="15" hidden="false" customHeight="false" outlineLevel="0" collapsed="false">
      <c r="A25" s="16"/>
      <c r="B25" s="20"/>
      <c r="C25" s="16"/>
      <c r="D25" s="16"/>
      <c r="E25" s="16"/>
      <c r="F25" s="16"/>
      <c r="G25" s="16"/>
      <c r="H25" s="16"/>
      <c r="I25" s="16"/>
      <c r="J25" s="16"/>
      <c r="K25" s="16"/>
    </row>
    <row r="26" customFormat="false" ht="15" hidden="false" customHeight="false" outlineLevel="0" collapsed="false">
      <c r="A26" s="16"/>
      <c r="B26" s="20"/>
      <c r="C26" s="16"/>
      <c r="D26" s="16"/>
      <c r="E26" s="16"/>
      <c r="F26" s="16"/>
      <c r="G26" s="16"/>
      <c r="H26" s="16"/>
      <c r="I26" s="16"/>
      <c r="J26" s="16"/>
      <c r="K26" s="16"/>
    </row>
    <row r="27" customFormat="false" ht="15" hidden="false" customHeight="false" outlineLevel="0" collapsed="false">
      <c r="A27" s="16"/>
      <c r="B27" s="20"/>
      <c r="C27" s="16"/>
      <c r="D27" s="16"/>
      <c r="E27" s="16"/>
      <c r="F27" s="16"/>
      <c r="G27" s="16"/>
      <c r="H27" s="16"/>
      <c r="I27" s="16"/>
      <c r="J27" s="16"/>
      <c r="K27" s="16"/>
    </row>
    <row r="28" customFormat="false" ht="15" hidden="false" customHeight="false" outlineLevel="0" collapsed="false">
      <c r="A28" s="16"/>
      <c r="B28" s="20"/>
      <c r="C28" s="16"/>
      <c r="D28" s="16"/>
      <c r="E28" s="16"/>
      <c r="F28" s="16"/>
      <c r="G28" s="16"/>
      <c r="H28" s="16"/>
      <c r="I28" s="16"/>
      <c r="J28" s="16"/>
      <c r="K28" s="16"/>
    </row>
    <row r="29" customFormat="false" ht="15" hidden="false" customHeight="false" outlineLevel="0" collapsed="false">
      <c r="A29" s="16"/>
      <c r="B29" s="20"/>
      <c r="C29" s="16"/>
      <c r="D29" s="16"/>
      <c r="E29" s="16"/>
      <c r="F29" s="16"/>
      <c r="G29" s="16"/>
      <c r="H29" s="16"/>
      <c r="I29" s="16"/>
      <c r="J29" s="16"/>
      <c r="K29" s="16"/>
    </row>
    <row r="30" customFormat="false" ht="15" hidden="false" customHeight="false" outlineLevel="0" collapsed="false">
      <c r="A30" s="16"/>
      <c r="B30" s="20"/>
      <c r="C30" s="16"/>
      <c r="D30" s="16"/>
      <c r="E30" s="16"/>
      <c r="F30" s="16"/>
      <c r="G30" s="16"/>
      <c r="H30" s="16"/>
      <c r="I30" s="16"/>
      <c r="J30" s="16"/>
      <c r="K30" s="16"/>
    </row>
    <row r="31" customFormat="false" ht="15" hidden="false" customHeight="false" outlineLevel="0" collapsed="false">
      <c r="A31" s="16"/>
      <c r="B31" s="20"/>
      <c r="C31" s="16"/>
      <c r="D31" s="16"/>
      <c r="E31" s="16"/>
      <c r="F31" s="16"/>
      <c r="G31" s="16"/>
      <c r="H31" s="16"/>
      <c r="I31" s="16"/>
      <c r="J31" s="16"/>
      <c r="K31" s="16"/>
    </row>
    <row r="32" customFormat="false" ht="15" hidden="false" customHeight="false" outlineLevel="0" collapsed="false">
      <c r="A32" s="16"/>
      <c r="B32" s="20"/>
      <c r="C32" s="16"/>
      <c r="D32" s="16"/>
      <c r="E32" s="16"/>
      <c r="F32" s="16"/>
      <c r="G32" s="16"/>
      <c r="H32" s="16"/>
      <c r="I32" s="16"/>
      <c r="J32" s="16"/>
      <c r="K32" s="16"/>
    </row>
    <row r="33" customFormat="false" ht="15" hidden="false" customHeight="false" outlineLevel="0" collapsed="false">
      <c r="A33" s="16"/>
      <c r="B33" s="20"/>
      <c r="C33" s="16"/>
      <c r="D33" s="16"/>
      <c r="E33" s="16"/>
      <c r="F33" s="16"/>
      <c r="G33" s="16"/>
      <c r="H33" s="16"/>
      <c r="I33" s="16"/>
      <c r="J33" s="16"/>
      <c r="K33" s="16"/>
    </row>
    <row r="34" customFormat="false" ht="15" hidden="false" customHeight="false" outlineLevel="0" collapsed="false">
      <c r="A34" s="16"/>
      <c r="B34" s="20"/>
      <c r="C34" s="16"/>
      <c r="D34" s="16"/>
      <c r="E34" s="16"/>
      <c r="F34" s="16"/>
      <c r="G34" s="16"/>
      <c r="H34" s="16"/>
      <c r="I34" s="16"/>
      <c r="J34" s="16"/>
      <c r="K34" s="16"/>
    </row>
    <row r="35" customFormat="false" ht="15" hidden="false" customHeight="false" outlineLevel="0" collapsed="false">
      <c r="A35" s="16"/>
      <c r="B35" s="20"/>
      <c r="C35" s="16"/>
      <c r="D35" s="16"/>
      <c r="E35" s="16"/>
      <c r="F35" s="16"/>
      <c r="G35" s="16"/>
      <c r="H35" s="16"/>
      <c r="I35" s="16"/>
      <c r="J35" s="16"/>
      <c r="K35" s="16"/>
    </row>
    <row r="36" customFormat="false" ht="15" hidden="false" customHeight="false" outlineLevel="0" collapsed="false">
      <c r="A36" s="16"/>
      <c r="B36" s="20"/>
      <c r="C36" s="16"/>
      <c r="D36" s="16"/>
      <c r="E36" s="16"/>
      <c r="F36" s="16"/>
      <c r="G36" s="16"/>
      <c r="H36" s="16"/>
      <c r="I36" s="16"/>
      <c r="J36" s="16"/>
      <c r="K36" s="16"/>
    </row>
    <row r="37" customFormat="false" ht="15" hidden="false" customHeight="false" outlineLevel="0" collapsed="false">
      <c r="A37" s="16"/>
      <c r="B37" s="20"/>
      <c r="C37" s="16"/>
      <c r="D37" s="16"/>
      <c r="E37" s="16"/>
      <c r="F37" s="16"/>
      <c r="G37" s="16"/>
      <c r="H37" s="16"/>
      <c r="I37" s="16"/>
      <c r="J37" s="16"/>
      <c r="K37" s="16"/>
    </row>
    <row r="38" customFormat="false" ht="15" hidden="false" customHeight="false" outlineLevel="0" collapsed="false">
      <c r="A38" s="16"/>
      <c r="B38" s="20"/>
      <c r="C38" s="16"/>
      <c r="D38" s="16"/>
      <c r="E38" s="16"/>
      <c r="F38" s="16"/>
      <c r="G38" s="16"/>
      <c r="H38" s="16"/>
      <c r="I38" s="16"/>
      <c r="J38" s="16"/>
      <c r="K38" s="16"/>
    </row>
    <row r="39" customFormat="false" ht="15" hidden="false" customHeight="false" outlineLevel="0" collapsed="false">
      <c r="A39" s="16"/>
      <c r="B39" s="20"/>
      <c r="C39" s="16"/>
      <c r="D39" s="16"/>
      <c r="E39" s="16"/>
      <c r="F39" s="16"/>
      <c r="G39" s="16"/>
      <c r="H39" s="16"/>
      <c r="I39" s="16"/>
      <c r="J39" s="16"/>
      <c r="K39" s="16"/>
    </row>
    <row r="40" customFormat="false" ht="15" hidden="false" customHeight="false" outlineLevel="0" collapsed="false">
      <c r="A40" s="16"/>
      <c r="B40" s="20"/>
      <c r="C40" s="16"/>
      <c r="D40" s="16"/>
      <c r="E40" s="16"/>
      <c r="F40" s="16"/>
      <c r="G40" s="16"/>
      <c r="H40" s="16"/>
      <c r="I40" s="16"/>
      <c r="J40" s="16"/>
      <c r="K40" s="16"/>
    </row>
    <row r="41" customFormat="false" ht="15" hidden="false" customHeight="false" outlineLevel="0" collapsed="false">
      <c r="A41" s="16"/>
      <c r="B41" s="20"/>
      <c r="C41" s="16"/>
      <c r="D41" s="16"/>
      <c r="E41" s="16"/>
      <c r="F41" s="16"/>
      <c r="G41" s="16"/>
      <c r="H41" s="16"/>
      <c r="I41" s="16"/>
      <c r="J41" s="16"/>
      <c r="K41" s="16"/>
    </row>
    <row r="42" customFormat="false" ht="15" hidden="false" customHeight="false" outlineLevel="0" collapsed="false">
      <c r="A42" s="16"/>
      <c r="B42" s="20"/>
      <c r="C42" s="16"/>
      <c r="D42" s="16"/>
      <c r="E42" s="16"/>
      <c r="F42" s="16"/>
      <c r="G42" s="16"/>
      <c r="H42" s="16"/>
      <c r="I42" s="16"/>
      <c r="J42" s="16"/>
      <c r="K42" s="16"/>
    </row>
    <row r="43" customFormat="false" ht="15" hidden="false" customHeight="false" outlineLevel="0" collapsed="false">
      <c r="A43" s="16"/>
      <c r="B43" s="20"/>
      <c r="C43" s="16"/>
      <c r="D43" s="16"/>
      <c r="E43" s="16"/>
      <c r="F43" s="16"/>
      <c r="G43" s="16"/>
      <c r="H43" s="16"/>
      <c r="I43" s="16"/>
      <c r="J43" s="16"/>
      <c r="K43" s="16"/>
    </row>
    <row r="44" customFormat="false" ht="15" hidden="false" customHeight="false" outlineLevel="0" collapsed="false">
      <c r="A44" s="16"/>
      <c r="B44" s="20"/>
      <c r="C44" s="16"/>
      <c r="D44" s="16"/>
      <c r="E44" s="16"/>
      <c r="F44" s="16"/>
      <c r="G44" s="16"/>
      <c r="H44" s="16"/>
      <c r="I44" s="16"/>
      <c r="J44" s="16"/>
      <c r="K44" s="16"/>
    </row>
    <row r="45" customFormat="false" ht="15" hidden="false" customHeight="false" outlineLevel="0" collapsed="false">
      <c r="A45" s="16"/>
      <c r="B45" s="20"/>
      <c r="C45" s="16"/>
      <c r="D45" s="16"/>
      <c r="E45" s="16"/>
      <c r="F45" s="16"/>
      <c r="G45" s="16"/>
      <c r="H45" s="16"/>
      <c r="I45" s="16"/>
      <c r="J45" s="16"/>
      <c r="K45" s="16"/>
    </row>
    <row r="46" customFormat="false" ht="15" hidden="false" customHeight="false" outlineLevel="0" collapsed="false">
      <c r="A46" s="16"/>
      <c r="B46" s="20"/>
      <c r="C46" s="16"/>
      <c r="D46" s="16"/>
      <c r="E46" s="16"/>
      <c r="F46" s="16"/>
      <c r="G46" s="16"/>
      <c r="H46" s="16"/>
      <c r="I46" s="16"/>
      <c r="J46" s="16"/>
      <c r="K46" s="16"/>
    </row>
    <row r="47" customFormat="false" ht="15" hidden="false" customHeight="false" outlineLevel="0" collapsed="false">
      <c r="A47" s="16"/>
      <c r="B47" s="20"/>
      <c r="C47" s="16"/>
      <c r="D47" s="16"/>
      <c r="E47" s="16"/>
      <c r="F47" s="16"/>
      <c r="G47" s="16"/>
      <c r="H47" s="16"/>
      <c r="I47" s="16"/>
      <c r="J47" s="16"/>
      <c r="K47" s="16"/>
    </row>
    <row r="48" customFormat="false" ht="15" hidden="false" customHeight="false" outlineLevel="0" collapsed="false">
      <c r="A48" s="16"/>
      <c r="B48" s="20"/>
      <c r="C48" s="16"/>
      <c r="D48" s="16"/>
      <c r="E48" s="16"/>
      <c r="F48" s="16"/>
      <c r="G48" s="16"/>
      <c r="H48" s="16"/>
      <c r="I48" s="16"/>
      <c r="J48" s="16"/>
      <c r="K48" s="16"/>
    </row>
    <row r="49" customFormat="false" ht="15" hidden="false" customHeight="false" outlineLevel="0" collapsed="false">
      <c r="A49" s="16"/>
      <c r="B49" s="20"/>
      <c r="C49" s="16"/>
      <c r="D49" s="16"/>
      <c r="E49" s="16"/>
      <c r="F49" s="16"/>
      <c r="G49" s="16"/>
      <c r="H49" s="16"/>
      <c r="I49" s="16"/>
      <c r="J49" s="16"/>
      <c r="K49" s="16"/>
    </row>
    <row r="50" customFormat="false" ht="15" hidden="false" customHeight="false" outlineLevel="0" collapsed="false">
      <c r="A50" s="16"/>
      <c r="B50" s="20"/>
      <c r="C50" s="16"/>
      <c r="D50" s="16"/>
      <c r="E50" s="16"/>
      <c r="F50" s="16"/>
      <c r="G50" s="16"/>
      <c r="H50" s="16"/>
      <c r="I50" s="16"/>
      <c r="J50" s="16"/>
      <c r="K50" s="16"/>
    </row>
    <row r="51" customFormat="false" ht="15" hidden="false" customHeight="false" outlineLevel="0" collapsed="false">
      <c r="A51" s="16"/>
      <c r="B51" s="20"/>
      <c r="C51" s="16"/>
      <c r="D51" s="16"/>
      <c r="E51" s="16"/>
      <c r="F51" s="16"/>
      <c r="G51" s="16"/>
      <c r="H51" s="16"/>
      <c r="I51" s="16"/>
      <c r="J51" s="16"/>
      <c r="K51" s="16"/>
    </row>
    <row r="52" customFormat="false" ht="15" hidden="false" customHeight="false" outlineLevel="0" collapsed="false">
      <c r="A52" s="16"/>
      <c r="B52" s="20"/>
      <c r="C52" s="16"/>
      <c r="D52" s="16"/>
      <c r="E52" s="16"/>
      <c r="F52" s="16"/>
      <c r="G52" s="16"/>
      <c r="H52" s="16"/>
      <c r="I52" s="16"/>
      <c r="J52" s="16"/>
      <c r="K52" s="16"/>
    </row>
    <row r="53" customFormat="false" ht="15" hidden="false" customHeight="false" outlineLevel="0" collapsed="false">
      <c r="A53" s="16"/>
      <c r="B53" s="20"/>
      <c r="C53" s="16"/>
      <c r="D53" s="16"/>
      <c r="E53" s="16"/>
      <c r="F53" s="16"/>
      <c r="G53" s="16"/>
      <c r="H53" s="16"/>
      <c r="I53" s="16"/>
      <c r="J53" s="16"/>
      <c r="K53" s="16"/>
    </row>
    <row r="54" customFormat="false" ht="15" hidden="false" customHeight="false" outlineLevel="0" collapsed="false">
      <c r="A54" s="16"/>
      <c r="B54" s="20"/>
      <c r="C54" s="16"/>
      <c r="D54" s="16"/>
      <c r="E54" s="16"/>
      <c r="F54" s="16"/>
      <c r="G54" s="16"/>
      <c r="H54" s="16"/>
      <c r="I54" s="16"/>
      <c r="J54" s="16"/>
      <c r="K54" s="16"/>
    </row>
    <row r="55" customFormat="false" ht="15" hidden="false" customHeight="false" outlineLevel="0" collapsed="false">
      <c r="A55" s="16"/>
      <c r="B55" s="20"/>
      <c r="C55" s="16"/>
      <c r="D55" s="16"/>
      <c r="E55" s="16"/>
      <c r="F55" s="16"/>
      <c r="G55" s="16"/>
      <c r="H55" s="16"/>
      <c r="I55" s="16"/>
      <c r="J55" s="16"/>
      <c r="K55" s="16"/>
    </row>
    <row r="56" customFormat="false" ht="15" hidden="false" customHeight="false" outlineLevel="0" collapsed="false">
      <c r="A56" s="16"/>
      <c r="B56" s="20"/>
      <c r="C56" s="16"/>
      <c r="D56" s="16"/>
      <c r="E56" s="16"/>
      <c r="F56" s="16"/>
      <c r="G56" s="16"/>
      <c r="H56" s="16"/>
      <c r="I56" s="16"/>
      <c r="J56" s="16"/>
      <c r="K56" s="16"/>
    </row>
    <row r="57" customFormat="false" ht="15" hidden="false" customHeight="false" outlineLevel="0" collapsed="false">
      <c r="A57" s="16"/>
      <c r="B57" s="20"/>
      <c r="C57" s="16"/>
      <c r="D57" s="16"/>
      <c r="E57" s="16"/>
      <c r="F57" s="16"/>
      <c r="G57" s="16"/>
      <c r="H57" s="16"/>
      <c r="I57" s="16"/>
      <c r="J57" s="16"/>
      <c r="K57" s="16"/>
    </row>
    <row r="58" customFormat="false" ht="15" hidden="false" customHeight="false" outlineLevel="0" collapsed="false">
      <c r="A58" s="16"/>
      <c r="B58" s="20"/>
      <c r="C58" s="16"/>
      <c r="D58" s="16"/>
      <c r="E58" s="16"/>
      <c r="F58" s="16"/>
      <c r="G58" s="16"/>
      <c r="H58" s="16"/>
      <c r="I58" s="16"/>
      <c r="J58" s="16"/>
      <c r="K58" s="16"/>
    </row>
    <row r="59" customFormat="false" ht="15" hidden="false" customHeight="false" outlineLevel="0" collapsed="false">
      <c r="A59" s="16"/>
      <c r="B59" s="20"/>
      <c r="C59" s="16"/>
      <c r="D59" s="16"/>
      <c r="E59" s="16"/>
      <c r="F59" s="16"/>
      <c r="G59" s="16"/>
      <c r="H59" s="16"/>
      <c r="I59" s="16"/>
      <c r="J59" s="16"/>
      <c r="K59" s="16"/>
    </row>
    <row r="60" customFormat="false" ht="15" hidden="false" customHeight="false" outlineLevel="0" collapsed="false">
      <c r="A60" s="16"/>
      <c r="B60" s="20"/>
      <c r="C60" s="16"/>
      <c r="D60" s="16"/>
      <c r="E60" s="16"/>
      <c r="F60" s="16"/>
      <c r="G60" s="16"/>
      <c r="H60" s="16"/>
      <c r="I60" s="16"/>
      <c r="J60" s="16"/>
      <c r="K60" s="16"/>
    </row>
    <row r="61" customFormat="false" ht="15" hidden="false" customHeight="false" outlineLevel="0" collapsed="false">
      <c r="A61" s="16"/>
      <c r="B61" s="20"/>
      <c r="C61" s="16"/>
      <c r="D61" s="16"/>
      <c r="E61" s="16"/>
      <c r="F61" s="16"/>
      <c r="G61" s="16"/>
      <c r="H61" s="16"/>
      <c r="I61" s="16"/>
      <c r="J61" s="16"/>
      <c r="K61" s="16"/>
    </row>
    <row r="62" customFormat="false" ht="15" hidden="false" customHeight="false" outlineLevel="0" collapsed="false">
      <c r="A62" s="16"/>
      <c r="B62" s="20"/>
      <c r="C62" s="16"/>
      <c r="D62" s="16"/>
      <c r="E62" s="16"/>
      <c r="F62" s="16"/>
      <c r="G62" s="16"/>
      <c r="H62" s="16"/>
      <c r="I62" s="16"/>
      <c r="J62" s="16"/>
      <c r="K62" s="16"/>
    </row>
    <row r="63" customFormat="false" ht="15" hidden="false" customHeight="false" outlineLevel="0" collapsed="false">
      <c r="A63" s="16"/>
      <c r="B63" s="20"/>
      <c r="C63" s="16"/>
      <c r="D63" s="16"/>
      <c r="E63" s="16"/>
      <c r="F63" s="16"/>
      <c r="G63" s="16"/>
      <c r="H63" s="16"/>
      <c r="I63" s="16"/>
      <c r="J63" s="16"/>
      <c r="K63" s="16"/>
    </row>
    <row r="64" customFormat="false" ht="15" hidden="false" customHeight="false" outlineLevel="0" collapsed="false">
      <c r="A64" s="16"/>
      <c r="B64" s="20"/>
      <c r="C64" s="16"/>
      <c r="D64" s="16"/>
      <c r="E64" s="16"/>
      <c r="F64" s="16"/>
      <c r="G64" s="16"/>
      <c r="H64" s="16"/>
      <c r="I64" s="16"/>
      <c r="J64" s="16"/>
      <c r="K64" s="16"/>
    </row>
    <row r="65" customFormat="false" ht="15" hidden="false" customHeight="false" outlineLevel="0" collapsed="false">
      <c r="A65" s="16"/>
      <c r="B65" s="20"/>
      <c r="C65" s="16"/>
      <c r="D65" s="16"/>
      <c r="E65" s="16"/>
      <c r="F65" s="16"/>
      <c r="G65" s="16"/>
      <c r="H65" s="16"/>
      <c r="I65" s="16"/>
      <c r="J65" s="16"/>
      <c r="K65" s="16"/>
    </row>
    <row r="66" customFormat="false" ht="15" hidden="false" customHeight="false" outlineLevel="0" collapsed="false">
      <c r="A66" s="16"/>
      <c r="B66" s="20"/>
      <c r="C66" s="16"/>
      <c r="D66" s="16"/>
      <c r="E66" s="16"/>
      <c r="F66" s="16"/>
      <c r="G66" s="16"/>
      <c r="H66" s="16"/>
      <c r="I66" s="16"/>
      <c r="J66" s="16"/>
      <c r="K66" s="16"/>
    </row>
    <row r="67" customFormat="false" ht="15" hidden="false" customHeight="false" outlineLevel="0" collapsed="false">
      <c r="A67" s="16"/>
      <c r="B67" s="20"/>
      <c r="C67" s="16"/>
      <c r="D67" s="16"/>
      <c r="E67" s="16"/>
      <c r="F67" s="16"/>
      <c r="G67" s="16"/>
      <c r="H67" s="16"/>
      <c r="I67" s="16"/>
      <c r="J67" s="16"/>
      <c r="K67" s="16"/>
    </row>
    <row r="68" customFormat="false" ht="15" hidden="false" customHeight="false" outlineLevel="0" collapsed="false">
      <c r="A68" s="16"/>
      <c r="B68" s="20"/>
      <c r="C68" s="16"/>
      <c r="D68" s="16"/>
      <c r="E68" s="16"/>
      <c r="F68" s="16"/>
      <c r="G68" s="16"/>
      <c r="H68" s="16"/>
      <c r="I68" s="16"/>
      <c r="J68" s="16"/>
      <c r="K68" s="16"/>
    </row>
    <row r="69" customFormat="false" ht="15" hidden="false" customHeight="false" outlineLevel="0" collapsed="false">
      <c r="A69" s="16"/>
      <c r="B69" s="20"/>
      <c r="C69" s="16"/>
      <c r="D69" s="16"/>
      <c r="E69" s="16"/>
      <c r="F69" s="16"/>
      <c r="G69" s="16"/>
      <c r="H69" s="16"/>
      <c r="I69" s="16"/>
      <c r="J69" s="16"/>
      <c r="K69" s="16"/>
    </row>
    <row r="70" customFormat="false" ht="15" hidden="false" customHeight="false" outlineLevel="0" collapsed="false">
      <c r="A70" s="16"/>
      <c r="B70" s="20"/>
      <c r="C70" s="16"/>
      <c r="D70" s="16"/>
      <c r="E70" s="16"/>
      <c r="F70" s="16"/>
      <c r="G70" s="16"/>
      <c r="H70" s="16"/>
      <c r="I70" s="16"/>
      <c r="J70" s="16"/>
      <c r="K70" s="16"/>
    </row>
    <row r="71" customFormat="false" ht="15" hidden="false" customHeight="false" outlineLevel="0" collapsed="false">
      <c r="A71" s="16"/>
      <c r="B71" s="20"/>
      <c r="C71" s="16"/>
      <c r="D71" s="16"/>
      <c r="E71" s="16"/>
      <c r="F71" s="16"/>
      <c r="G71" s="16"/>
      <c r="H71" s="16"/>
      <c r="I71" s="16"/>
      <c r="J71" s="16"/>
      <c r="K71" s="16"/>
    </row>
    <row r="72" customFormat="false" ht="15" hidden="false" customHeight="false" outlineLevel="0" collapsed="false">
      <c r="A72" s="16"/>
      <c r="B72" s="20"/>
      <c r="C72" s="16"/>
      <c r="D72" s="16"/>
      <c r="E72" s="16"/>
      <c r="F72" s="16"/>
      <c r="G72" s="16"/>
      <c r="H72" s="16"/>
      <c r="I72" s="16"/>
      <c r="J72" s="16"/>
      <c r="K72" s="16"/>
    </row>
    <row r="73" customFormat="false" ht="15" hidden="false" customHeight="false" outlineLevel="0" collapsed="false">
      <c r="A73" s="16"/>
      <c r="B73" s="20"/>
      <c r="C73" s="16"/>
      <c r="D73" s="16"/>
      <c r="E73" s="16"/>
      <c r="F73" s="16"/>
      <c r="G73" s="16"/>
      <c r="H73" s="16"/>
      <c r="I73" s="16"/>
      <c r="J73" s="16"/>
      <c r="K73" s="16"/>
    </row>
    <row r="74" customFormat="false" ht="15" hidden="false" customHeight="false" outlineLevel="0" collapsed="false">
      <c r="A74" s="16"/>
      <c r="B74" s="20"/>
      <c r="C74" s="16"/>
      <c r="D74" s="16"/>
      <c r="E74" s="16"/>
      <c r="F74" s="16"/>
      <c r="G74" s="16"/>
      <c r="H74" s="16"/>
      <c r="I74" s="16"/>
      <c r="J74" s="16"/>
      <c r="K74" s="16"/>
    </row>
    <row r="75" customFormat="false" ht="15" hidden="false" customHeight="false" outlineLevel="0" collapsed="false">
      <c r="A75" s="16"/>
      <c r="B75" s="20"/>
      <c r="C75" s="16"/>
      <c r="D75" s="16"/>
      <c r="E75" s="16"/>
      <c r="F75" s="16"/>
      <c r="G75" s="16"/>
      <c r="H75" s="16"/>
      <c r="I75" s="16"/>
      <c r="J75" s="16"/>
      <c r="K75" s="16"/>
    </row>
    <row r="76" customFormat="false" ht="15" hidden="false" customHeight="false" outlineLevel="0" collapsed="false">
      <c r="A76" s="16"/>
      <c r="B76" s="20"/>
      <c r="C76" s="16"/>
      <c r="D76" s="16"/>
      <c r="E76" s="16"/>
      <c r="F76" s="16"/>
      <c r="G76" s="16"/>
      <c r="H76" s="16"/>
      <c r="I76" s="16"/>
      <c r="J76" s="16"/>
      <c r="K76" s="16"/>
    </row>
    <row r="77" customFormat="false" ht="15" hidden="false" customHeight="false" outlineLevel="0" collapsed="false">
      <c r="A77" s="16"/>
      <c r="B77" s="20"/>
      <c r="C77" s="16"/>
      <c r="D77" s="16"/>
      <c r="E77" s="16"/>
      <c r="F77" s="16"/>
      <c r="G77" s="16"/>
      <c r="H77" s="16"/>
      <c r="I77" s="16"/>
      <c r="J77" s="16"/>
      <c r="K77" s="16"/>
    </row>
    <row r="78" customFormat="false" ht="15" hidden="false" customHeight="false" outlineLevel="0" collapsed="false">
      <c r="A78" s="16"/>
      <c r="B78" s="20"/>
      <c r="C78" s="16"/>
      <c r="D78" s="16"/>
      <c r="E78" s="16"/>
      <c r="F78" s="16"/>
      <c r="G78" s="16"/>
      <c r="H78" s="16"/>
      <c r="I78" s="16"/>
      <c r="J78" s="16"/>
      <c r="K78" s="16"/>
    </row>
    <row r="79" customFormat="false" ht="15" hidden="false" customHeight="false" outlineLevel="0" collapsed="false">
      <c r="A79" s="16"/>
      <c r="B79" s="20"/>
      <c r="C79" s="16"/>
      <c r="D79" s="16"/>
      <c r="E79" s="16"/>
      <c r="F79" s="16"/>
      <c r="G79" s="16"/>
      <c r="H79" s="16"/>
      <c r="I79" s="16"/>
      <c r="J79" s="16"/>
      <c r="K79" s="16"/>
    </row>
    <row r="80" customFormat="false" ht="15" hidden="false" customHeight="false" outlineLevel="0" collapsed="false">
      <c r="A80" s="16"/>
      <c r="B80" s="20"/>
      <c r="C80" s="16"/>
      <c r="D80" s="16"/>
      <c r="E80" s="16"/>
      <c r="F80" s="16"/>
      <c r="G80" s="16"/>
      <c r="H80" s="16"/>
      <c r="I80" s="16"/>
      <c r="J80" s="16"/>
      <c r="K80" s="16"/>
    </row>
    <row r="81" customFormat="false" ht="15" hidden="false" customHeight="false" outlineLevel="0" collapsed="false">
      <c r="A81" s="16"/>
      <c r="B81" s="20"/>
      <c r="C81" s="16"/>
      <c r="D81" s="16"/>
      <c r="E81" s="16"/>
      <c r="F81" s="16"/>
      <c r="G81" s="16"/>
      <c r="H81" s="16"/>
      <c r="I81" s="16"/>
      <c r="J81" s="16"/>
      <c r="K81" s="16"/>
    </row>
    <row r="82" customFormat="false" ht="15" hidden="false" customHeight="false" outlineLevel="0" collapsed="false">
      <c r="A82" s="16"/>
      <c r="B82" s="20"/>
      <c r="C82" s="16"/>
      <c r="D82" s="16"/>
      <c r="E82" s="16"/>
      <c r="F82" s="16"/>
      <c r="G82" s="16"/>
      <c r="H82" s="16"/>
      <c r="I82" s="16"/>
      <c r="J82" s="16"/>
      <c r="K82" s="16"/>
    </row>
    <row r="83" customFormat="false" ht="15" hidden="false" customHeight="false" outlineLevel="0" collapsed="false">
      <c r="A83" s="16"/>
      <c r="B83" s="20"/>
      <c r="C83" s="16"/>
      <c r="D83" s="16"/>
      <c r="E83" s="16"/>
      <c r="F83" s="16"/>
      <c r="G83" s="16"/>
      <c r="H83" s="16"/>
      <c r="I83" s="16"/>
      <c r="J83" s="16"/>
      <c r="K83" s="16"/>
    </row>
    <row r="84" customFormat="false" ht="15" hidden="false" customHeight="false" outlineLevel="0" collapsed="false">
      <c r="A84" s="16"/>
      <c r="B84" s="20"/>
      <c r="C84" s="16"/>
      <c r="D84" s="16"/>
      <c r="E84" s="16"/>
      <c r="F84" s="16"/>
      <c r="G84" s="16"/>
      <c r="H84" s="16"/>
      <c r="I84" s="16"/>
      <c r="J84" s="16"/>
      <c r="K84" s="16"/>
    </row>
    <row r="85" customFormat="false" ht="15" hidden="false" customHeight="false" outlineLevel="0" collapsed="false">
      <c r="A85" s="16"/>
      <c r="B85" s="20"/>
      <c r="C85" s="16"/>
      <c r="D85" s="16"/>
      <c r="E85" s="16"/>
      <c r="F85" s="16"/>
      <c r="G85" s="16"/>
      <c r="H85" s="16"/>
      <c r="I85" s="16"/>
      <c r="J85" s="16"/>
      <c r="K85" s="16"/>
    </row>
    <row r="86" customFormat="false" ht="15" hidden="false" customHeight="false" outlineLevel="0" collapsed="false">
      <c r="A86" s="16"/>
      <c r="B86" s="20"/>
      <c r="C86" s="16"/>
      <c r="D86" s="16"/>
      <c r="E86" s="16"/>
      <c r="F86" s="16"/>
      <c r="G86" s="16"/>
      <c r="H86" s="16"/>
      <c r="I86" s="16"/>
      <c r="J86" s="16"/>
      <c r="K86" s="16"/>
    </row>
    <row r="87" customFormat="false" ht="15" hidden="false" customHeight="false" outlineLevel="0" collapsed="false">
      <c r="A87" s="16"/>
      <c r="B87" s="20"/>
      <c r="C87" s="16"/>
      <c r="D87" s="16"/>
      <c r="E87" s="16"/>
      <c r="F87" s="16"/>
      <c r="G87" s="16"/>
      <c r="H87" s="16"/>
      <c r="I87" s="16"/>
      <c r="J87" s="16"/>
      <c r="K87" s="16"/>
    </row>
    <row r="88" customFormat="false" ht="15" hidden="false" customHeight="false" outlineLevel="0" collapsed="false">
      <c r="A88" s="16"/>
      <c r="B88" s="20"/>
      <c r="C88" s="16"/>
      <c r="D88" s="16"/>
      <c r="E88" s="16"/>
      <c r="F88" s="16"/>
      <c r="G88" s="16"/>
      <c r="H88" s="16"/>
      <c r="I88" s="16"/>
      <c r="J88" s="16"/>
      <c r="K88" s="16"/>
    </row>
    <row r="89" customFormat="false" ht="15" hidden="false" customHeight="false" outlineLevel="0" collapsed="false">
      <c r="A89" s="16"/>
      <c r="B89" s="20"/>
      <c r="C89" s="16"/>
      <c r="D89" s="16"/>
      <c r="E89" s="16"/>
      <c r="F89" s="16"/>
      <c r="G89" s="16"/>
      <c r="H89" s="16"/>
      <c r="I89" s="16"/>
      <c r="J89" s="16"/>
      <c r="K89" s="16"/>
    </row>
    <row r="90" customFormat="false" ht="15" hidden="false" customHeight="false" outlineLevel="0" collapsed="false">
      <c r="A90" s="16"/>
      <c r="B90" s="20"/>
      <c r="C90" s="16"/>
      <c r="D90" s="16"/>
      <c r="E90" s="16"/>
      <c r="F90" s="16"/>
      <c r="G90" s="16"/>
      <c r="H90" s="16"/>
      <c r="I90" s="16"/>
      <c r="J90" s="16"/>
      <c r="K90" s="16"/>
    </row>
    <row r="91" customFormat="false" ht="15" hidden="false" customHeight="false" outlineLevel="0" collapsed="false">
      <c r="A91" s="16"/>
      <c r="B91" s="20"/>
      <c r="C91" s="16"/>
      <c r="D91" s="16"/>
      <c r="E91" s="16"/>
      <c r="F91" s="16"/>
      <c r="G91" s="16"/>
      <c r="H91" s="16"/>
      <c r="I91" s="16"/>
      <c r="J91" s="16"/>
      <c r="K91" s="16"/>
    </row>
    <row r="92" customFormat="false" ht="15" hidden="false" customHeight="false" outlineLevel="0" collapsed="false">
      <c r="A92" s="16"/>
      <c r="B92" s="20"/>
      <c r="C92" s="16"/>
      <c r="D92" s="16"/>
      <c r="E92" s="16"/>
      <c r="F92" s="16"/>
      <c r="G92" s="16"/>
      <c r="H92" s="16"/>
      <c r="I92" s="16"/>
      <c r="J92" s="16"/>
      <c r="K92" s="16"/>
    </row>
    <row r="93" customFormat="false" ht="15" hidden="false" customHeight="false" outlineLevel="0" collapsed="false">
      <c r="A93" s="16"/>
      <c r="B93" s="20"/>
      <c r="C93" s="16"/>
      <c r="D93" s="16"/>
      <c r="E93" s="16"/>
      <c r="F93" s="16"/>
      <c r="G93" s="16"/>
      <c r="H93" s="16"/>
      <c r="I93" s="16"/>
      <c r="J93" s="16"/>
      <c r="K93" s="16"/>
    </row>
    <row r="94" customFormat="false" ht="15" hidden="false" customHeight="false" outlineLevel="0" collapsed="false">
      <c r="A94" s="16"/>
      <c r="B94" s="20"/>
      <c r="C94" s="16"/>
      <c r="D94" s="16"/>
      <c r="E94" s="16"/>
      <c r="F94" s="16"/>
      <c r="G94" s="16"/>
      <c r="H94" s="16"/>
      <c r="I94" s="16"/>
      <c r="J94" s="16"/>
      <c r="K94" s="16"/>
    </row>
    <row r="95" customFormat="false" ht="15" hidden="false" customHeight="false" outlineLevel="0" collapsed="false">
      <c r="A95" s="16"/>
      <c r="B95" s="20"/>
      <c r="C95" s="16"/>
      <c r="D95" s="16"/>
      <c r="E95" s="16"/>
      <c r="F95" s="16"/>
      <c r="G95" s="16"/>
      <c r="H95" s="16"/>
      <c r="I95" s="16"/>
      <c r="J95" s="16"/>
      <c r="K95" s="16"/>
    </row>
    <row r="96" customFormat="false" ht="15" hidden="false" customHeight="false" outlineLevel="0" collapsed="false">
      <c r="A96" s="16"/>
      <c r="B96" s="20"/>
      <c r="C96" s="16"/>
      <c r="D96" s="16"/>
      <c r="E96" s="16"/>
      <c r="F96" s="16"/>
      <c r="G96" s="16"/>
      <c r="H96" s="16"/>
      <c r="I96" s="16"/>
      <c r="J96" s="16"/>
      <c r="K96" s="16"/>
    </row>
    <row r="97" customFormat="false" ht="15" hidden="false" customHeight="false" outlineLevel="0" collapsed="false">
      <c r="A97" s="16"/>
      <c r="B97" s="20"/>
      <c r="C97" s="16"/>
      <c r="D97" s="16"/>
      <c r="E97" s="16"/>
      <c r="F97" s="16"/>
      <c r="G97" s="16"/>
      <c r="H97" s="16"/>
      <c r="I97" s="16"/>
      <c r="J97" s="16"/>
      <c r="K97" s="16"/>
    </row>
    <row r="98" customFormat="false" ht="15" hidden="false" customHeight="false" outlineLevel="0" collapsed="false">
      <c r="A98" s="16"/>
      <c r="B98" s="20"/>
      <c r="C98" s="16"/>
      <c r="D98" s="16"/>
      <c r="E98" s="16"/>
      <c r="F98" s="16"/>
      <c r="G98" s="16"/>
      <c r="H98" s="16"/>
      <c r="I98" s="16"/>
      <c r="J98" s="16"/>
      <c r="K98" s="16"/>
    </row>
    <row r="99" customFormat="false" ht="15" hidden="false" customHeight="false" outlineLevel="0" collapsed="false">
      <c r="A99" s="16"/>
      <c r="B99" s="20"/>
      <c r="C99" s="16"/>
      <c r="D99" s="16"/>
      <c r="E99" s="16"/>
      <c r="F99" s="16"/>
      <c r="G99" s="16"/>
      <c r="H99" s="16"/>
      <c r="I99" s="16"/>
      <c r="J99" s="16"/>
      <c r="K99" s="16"/>
    </row>
    <row r="100" customFormat="false" ht="15" hidden="false" customHeight="false" outlineLevel="0" collapsed="false">
      <c r="A100" s="16"/>
      <c r="B100" s="20"/>
      <c r="C100" s="16"/>
      <c r="D100" s="16"/>
      <c r="E100" s="16"/>
      <c r="F100" s="16"/>
      <c r="G100" s="16"/>
      <c r="H100" s="16"/>
      <c r="I100" s="16"/>
      <c r="J100" s="16"/>
      <c r="K100" s="16"/>
    </row>
    <row r="102" customFormat="false" ht="15" hidden="false" customHeight="false" outlineLevel="0" collapsed="false">
      <c r="A102" s="19" t="s">
        <v>65</v>
      </c>
      <c r="B102" s="14" t="s">
        <v>113</v>
      </c>
      <c r="C102" s="14" t="n">
        <f aca="false">COUNTA(A2:A100)</f>
        <v>4</v>
      </c>
      <c r="D102" s="14" t="s">
        <v>114</v>
      </c>
      <c r="E102" s="14" t="n">
        <f aca="false">COUNTIF(J2:J100,"Draft")+COUNTIF(J2:J100,"Under Review")</f>
        <v>2</v>
      </c>
    </row>
  </sheetData>
  <autoFilter ref="A1:K1"/>
  <conditionalFormatting sqref="J2:J100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0">
      <formula>"Implemented"</formula>
    </cfRule>
    <cfRule type="cellIs" priority="4" operator="equal" aboveAverage="0" equalAverage="0" bottom="0" percent="0" rank="0" text="" dxfId="1">
      <formula>"Under Review"</formula>
    </cfRule>
    <cfRule type="cellIs" priority="5" operator="equal" aboveAverage="0" equalAverage="0" bottom="0" percent="0" rank="0" text="" dxfId="1">
      <formula>"Draft"</formula>
    </cfRule>
    <cfRule type="cellIs" priority="6" operator="equal" aboveAverage="0" equalAverage="0" bottom="0" percent="0" rank="0" text="" dxfId="2">
      <formula>"Rejected"</formula>
    </cfRule>
  </conditionalFormatting>
  <dataValidations count="3">
    <dataValidation allowBlank="true" errorStyle="stop" operator="between" showDropDown="false" showErrorMessage="false" showInputMessage="false" sqref="G2:G100" type="list">
      <formula1>"Tag Change,Equipment Addition,Equipment Removal,Line Re-routing,Instrument Addition,Setpoint Change,Other"</formula1>
      <formula2>0</formula2>
    </dataValidation>
    <dataValidation allowBlank="true" errorStyle="stop" operator="between" showDropDown="false" showErrorMessage="false" showInputMessage="false" sqref="J2:J100" type="list">
      <formula1>"Draft,Under Review,Approved,Implemented,Rejected"</formula1>
      <formula2>0</formula2>
    </dataValidation>
    <dataValidation allowBlank="true" errorStyle="stop" operator="between" showDropDown="false" showErrorMessage="false" showInputMessage="false" sqref="B2:B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&amp;CP&amp;"Calibri,Italic"D Change Log</oddHeader>
    <oddFooter>&amp;Rebrora.com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1" t="s">
        <v>115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116</v>
      </c>
    </row>
    <row r="4" customFormat="false" ht="15" hidden="false" customHeight="false" outlineLevel="0" collapsed="false">
      <c r="A4" s="22"/>
    </row>
    <row r="5" customFormat="false" ht="15" hidden="false" customHeight="false" outlineLevel="0" collapsed="false">
      <c r="A5" s="23" t="s">
        <v>117</v>
      </c>
    </row>
    <row r="6" customFormat="false" ht="23.85" hidden="false" customHeight="false" outlineLevel="0" collapsed="false">
      <c r="A6" s="23" t="s">
        <v>118</v>
      </c>
    </row>
    <row r="7" customFormat="false" ht="15" hidden="false" customHeight="false" outlineLevel="0" collapsed="false">
      <c r="A7" s="23" t="s">
        <v>119</v>
      </c>
    </row>
    <row r="8" customFormat="false" ht="15" hidden="false" customHeight="false" outlineLevel="0" collapsed="false">
      <c r="A8" s="23" t="s">
        <v>120</v>
      </c>
    </row>
    <row r="9" customFormat="false" ht="23.85" hidden="false" customHeight="false" outlineLevel="0" collapsed="false">
      <c r="A9" s="23" t="s">
        <v>121</v>
      </c>
    </row>
    <row r="10" customFormat="false" ht="15" hidden="false" customHeight="false" outlineLevel="0" collapsed="false">
      <c r="A10" s="23" t="s">
        <v>122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&amp; Commissioning</cp:category>
  <dcterms:created xsi:type="dcterms:W3CDTF">2026-03-24T14:01:00Z</dcterms:created>
  <dc:creator>Ebrora Ltd</dc:creator>
  <dc:description>Track all P&amp;ID revisions with full change history and verify tag naming consistency across P&amp;ID drawings, SCADA tag lists, asset registers, site labels, and O&amp;M manuals.
Free professional construction management template from Ebrora Ltd. Visit ebrora.com for our full range of tools and templates.</dc:description>
  <cp:keywords>Ebrora construction P&amp;ID tag consistency change log SCADA asset register commissioning</cp:keywords>
  <dc:language>en-US</dc:language>
  <cp:lastModifiedBy>Ebrora Ltd</cp:lastModifiedBy>
  <dcterms:modified xsi:type="dcterms:W3CDTF">2026-03-24T14:01:00Z</dcterms:modified>
  <cp:revision>0</cp:revision>
  <dc:subject>Track P&amp;ID drawing revisions and verify tag naming consistency across drawings, SCADA, asset registers, and O&amp;M manuals.</dc:subject>
  <dc:title>P&amp;ID Change Log &amp; Tag Consistency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