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Directory"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Directory!$A$1:$H$55</definedName>
    <definedName function="false" hidden="true" localSheetId="2" name="_xlnm._FilterDatabase" vbProcedure="false">Directory!$A$5:$N$55</definedName>
    <definedName function="false" hidden="false" name="DataTable" vbProcedure="false">Directory!$A$5:$N$55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<sst xmlns="http://schemas.openxmlformats.org/spreadsheetml/2006/main" count="132" uniqueCount="125">
  <si>
    <t xml:space="preserve">EBRORA</t>
  </si>
  <si>
    <t xml:space="preserve">ebrora.com</t>
  </si>
  <si>
    <t xml:space="preserve">Subcontractor Contact Directory</t>
  </si>
  <si>
    <t xml:space="preserve">A single source of truth for all subcontractor contact details, trade packages, and key compliance information on your project.</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</si>
  <si>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</si>
  <si>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</si>
  <si>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</si>
  <si>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</si>
  <si>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</si>
  <si>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'Directory' sheet. The summary bar shows a live count of subcontractors by status and flags any with expired insurance.</t>
  </si>
  <si>
    <t xml:space="preserve">2.</t>
  </si>
  <si>
    <t xml:space="preserve">Each row represents one subcontractor. Fill in the light teal cells with their details.</t>
  </si>
  <si>
    <t xml:space="preserve">3.</t>
  </si>
  <si>
    <t xml:space="preserve">Enter the Company Name, select their Trade/Package from the dropdown, and add the Primary Contact name, mobile, and email.</t>
  </si>
  <si>
    <t xml:space="preserve">4.</t>
  </si>
  <si>
    <t xml:space="preserve">Set the Status: Active (currently on site), Not Started (appointed but not yet mobilised), On Hold, or Completed (works finished).</t>
  </si>
  <si>
    <t xml:space="preserve">5.</t>
  </si>
  <si>
    <t xml:space="preserve">Use the AutoFilter on any column header to quickly find a subcontractor by trade, status, or name.</t>
  </si>
  <si>
    <t xml:space="preserve">6.</t>
  </si>
  <si>
    <t xml:space="preserve">Expand the optional columns (click [+]) for registered address, insurance expiry, account number, payment terms, and emergency contact details.</t>
  </si>
  <si>
    <t xml:space="preserve">7.</t>
  </si>
  <si>
    <t xml:space="preserve">The Insurance Expiry column highlights red if the date has passed and amber if it's within 30 days — chase renewals before they lapse.</t>
  </si>
  <si>
    <t xml:space="preserve">Colour Key</t>
  </si>
  <si>
    <t xml:space="preserve">Light teal cells — Editable input cells.</t>
  </si>
  <si>
    <t xml:space="preserve">Dark navy headers — Do not edit.</t>
  </si>
  <si>
    <t xml:space="preserve">Green — Status is 'Active'.</t>
  </si>
  <si>
    <t xml:space="preserve">Amber — Status is 'Not Started' or insurance expiring within 30 days.</t>
  </si>
  <si>
    <t xml:space="preserve">Red — Status is 'On Hold' or insurance expired.</t>
  </si>
  <si>
    <t xml:space="preserve">Grey — Status is 'Completed'.</t>
  </si>
  <si>
    <t xml:space="preserve">Tips</t>
  </si>
  <si>
    <t xml:space="preserve">Tip 1:</t>
  </si>
  <si>
    <t xml:space="preserve">Print a filtered version (Status = Active) for your weekly coordination meeting. It gives everyone a quick reference for who to call about what.</t>
  </si>
  <si>
    <t xml:space="preserve">Tip 2:</t>
  </si>
  <si>
    <t xml:space="preserve">Set a calendar reminder to review the Insurance Expiry column monthly. Under CDM 2015, the principal contractor must ensure subcontractors maintain adequate insurance.</t>
  </si>
  <si>
    <t xml:space="preserve">Tip 3:</t>
  </si>
  <si>
    <t xml:space="preserve">Keep this directory synced with your subcontract register. When a new subcontract is awarded, add them here immediately — don't wait until they mobilise.</t>
  </si>
  <si>
    <t xml:space="preserve">SUBCONTRACTOR CONTACT DIRECTORY</t>
  </si>
  <si>
    <t xml:space="preserve">Total</t>
  </si>
  <si>
    <t xml:space="preserve">Active</t>
  </si>
  <si>
    <t xml:space="preserve">Not Started</t>
  </si>
  <si>
    <t xml:space="preserve">On Hold</t>
  </si>
  <si>
    <t xml:space="preserve">Completed</t>
  </si>
  <si>
    <t xml:space="preserve">Insurance Expired</t>
  </si>
  <si>
    <t xml:space="preserve">▸ Optional Fields — Click [+] to expand</t>
  </si>
  <si>
    <t xml:space="preserve">Ref</t>
  </si>
  <si>
    <t xml:space="preserve">Company Name</t>
  </si>
  <si>
    <t xml:space="preserve">Trade / Package</t>
  </si>
  <si>
    <t xml:space="preserve">Primary Contact</t>
  </si>
  <si>
    <t xml:space="preserve">Mobile</t>
  </si>
  <si>
    <t xml:space="preserve">Email</t>
  </si>
  <si>
    <t xml:space="preserve">Office Tel</t>
  </si>
  <si>
    <t xml:space="preserve">Status</t>
  </si>
  <si>
    <t xml:space="preserve">Registered Address</t>
  </si>
  <si>
    <t xml:space="preserve">Insurance Expiry</t>
  </si>
  <si>
    <t xml:space="preserve">Account No.</t>
  </si>
  <si>
    <t xml:space="preserve">Payment Terms</t>
  </si>
  <si>
    <t xml:space="preserve">Emergency Contact</t>
  </si>
  <si>
    <t xml:space="preserve">Emergency Mobile</t>
  </si>
  <si>
    <t xml:space="preserve">SC-001</t>
  </si>
  <si>
    <t xml:space="preserve">SteelFix Metalwork Ltd</t>
  </si>
  <si>
    <t xml:space="preserve">Steelwork</t>
  </si>
  <si>
    <t xml:space="preserve">Ryan Okonkwo</t>
  </si>
  <si>
    <t xml:space="preserve">07700 900111</t>
  </si>
  <si>
    <t xml:space="preserve">r.okonkwo@steelfix.co.uk</t>
  </si>
  <si>
    <t xml:space="preserve">0161 234 5678</t>
  </si>
  <si>
    <t xml:space="preserve">Unit 4, Trafford Park, M17 1HH</t>
  </si>
  <si>
    <t xml:space="preserve">SF-40012</t>
  </si>
  <si>
    <t xml:space="preserve">30 days</t>
  </si>
  <si>
    <t xml:space="preserve">Grace Okonkwo</t>
  </si>
  <si>
    <t xml:space="preserve">07700 900112</t>
  </si>
  <si>
    <t xml:space="preserve">SC-002</t>
  </si>
  <si>
    <t xml:space="preserve">Apex Tiling &amp; Finishes</t>
  </si>
  <si>
    <t xml:space="preserve">Tiling</t>
  </si>
  <si>
    <t xml:space="preserve">Jordan Wilson</t>
  </si>
  <si>
    <t xml:space="preserve">07700 900222</t>
  </si>
  <si>
    <t xml:space="preserve">j.wilson@apextiling.com</t>
  </si>
  <si>
    <t xml:space="preserve">0161 345 6789</t>
  </si>
  <si>
    <t xml:space="preserve">12 Oldham Road, Manchester, M4 5FG</t>
  </si>
  <si>
    <t xml:space="preserve">AT-20045</t>
  </si>
  <si>
    <t xml:space="preserve">Sam Wilson</t>
  </si>
  <si>
    <t xml:space="preserve">07700 900223</t>
  </si>
  <si>
    <t xml:space="preserve">SC-003</t>
  </si>
  <si>
    <t xml:space="preserve">PolBuild Construction Ltd</t>
  </si>
  <si>
    <t xml:space="preserve">Groundworks</t>
  </si>
  <si>
    <t xml:space="preserve">Marek Nowak</t>
  </si>
  <si>
    <t xml:space="preserve">07700 900333</t>
  </si>
  <si>
    <t xml:space="preserve">m.nowak@polbuild.co.uk</t>
  </si>
  <si>
    <t xml:space="preserve">0161 456 7890</t>
  </si>
  <si>
    <t xml:space="preserve">8 Chapel Street, Salford, M3 6AF</t>
  </si>
  <si>
    <t xml:space="preserve">PB-10078</t>
  </si>
  <si>
    <t xml:space="preserve">45 days</t>
  </si>
  <si>
    <t xml:space="preserve">Anna Nowak</t>
  </si>
  <si>
    <t xml:space="preserve">07700 900334</t>
  </si>
  <si>
    <t xml:space="preserve">SC-004</t>
  </si>
  <si>
    <t xml:space="preserve">Northern M&amp;E Services</t>
  </si>
  <si>
    <t xml:space="preserve">M&amp;E</t>
  </si>
  <si>
    <t xml:space="preserve">Claire Brennan</t>
  </si>
  <si>
    <t xml:space="preserve">07700 900444</t>
  </si>
  <si>
    <t xml:space="preserve">c.brennan@northernme.co.uk</t>
  </si>
  <si>
    <t xml:space="preserve">0161 567 8901</t>
  </si>
  <si>
    <t xml:space="preserve">Bay 7, Agecroft Commerce Park, M27 8UQ</t>
  </si>
  <si>
    <t xml:space="preserve">NM-30098</t>
  </si>
  <si>
    <t xml:space="preserve">Tom Brennan</t>
  </si>
  <si>
    <t xml:space="preserve">07700 900445</t>
  </si>
  <si>
    <t xml:space="preserve">SC-005</t>
  </si>
  <si>
    <t xml:space="preserve">Briggs Groundworks &amp; Civils</t>
  </si>
  <si>
    <t xml:space="preserve">Roads &amp; Drainage</t>
  </si>
  <si>
    <t xml:space="preserve">Mike Briggs</t>
  </si>
  <si>
    <t xml:space="preserve">07700 900555</t>
  </si>
  <si>
    <t xml:space="preserve">mike@briggsground.co.uk</t>
  </si>
  <si>
    <t xml:space="preserve">01onal 678 9012</t>
  </si>
  <si>
    <t xml:space="preserve">Briggs Yard, Eccles, M30 0QA</t>
  </si>
  <si>
    <t xml:space="preserve">BG-50023</t>
  </si>
  <si>
    <t xml:space="preserve">Payment on completion</t>
  </si>
  <si>
    <t xml:space="preserve">Linda Briggs</t>
  </si>
  <si>
    <t xml:space="preserve">07700 900556</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</si>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</sst>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General"/>
    <numFmt numFmtId="166" formatCode="dd/mm/yyyy"/>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0"/>
      <color rgb="FF1B2A4A"/>
      <name val="Calibri"/>
      <family val="0"/>
      <charset val="1"/>
    </font>
    <font>
      <b val="true"/>
      <sz val="14"/>
      <color rgb="FFFFFFFF"/>
      <name val="Calibri"/>
      <family val="0"/>
      <charset val="1"/>
    </font>
    <font>
      <b val="true"/>
      <sz val="9"/>
      <color rgb="FF8C8C8C"/>
      <name val="Calibri"/>
      <family val="0"/>
      <charset val="1"/>
    </font>
    <font>
      <b val="true"/>
      <sz val="14"/>
      <color rgb="FFCC8800"/>
      <name val="Calibri"/>
      <family val="0"/>
      <charset val="1"/>
    </font>
    <font>
      <b val="true"/>
      <sz val="14"/>
      <color rgb="FFCC0000"/>
      <name val="Calibri"/>
      <family val="0"/>
      <charset val="1"/>
    </font>
    <font>
      <i val="true"/>
      <sz val="9"/>
      <color rgb="FF2AABB3"/>
      <name val="Calibri"/>
      <family val="0"/>
      <charset val="1"/>
    </font>
    <font>
      <b val="true"/>
      <sz val="11"/>
      <color rgb="FFFFFFFF"/>
      <name val="Calibri"/>
      <family val="0"/>
      <charset val="1"/>
    </font>
  </fonts>
  <fills count="6">
    <fill>
      <patternFill patternType="none"/>
    </fill>
    <fill>
      <patternFill patternType="gray125"/>
    </fill>
    <fill>
      <patternFill patternType="solid">
        <fgColor rgb="FF1B2A4A"/>
        <bgColor rgb="FF003366"/>
      </patternFill>
    </fill>
    <fill>
      <patternFill patternType="solid">
        <fgColor rgb="FFFFFFFF"/>
        <bgColor rgb="FFFFF0F0"/>
      </patternFill>
    </fill>
    <fill>
      <patternFill patternType="solid">
        <fgColor rgb="FFE8F6F7"/>
        <bgColor rgb="FFF2F2F2"/>
      </patternFill>
    </fill>
    <fill>
      <patternFill patternType="solid">
        <fgColor rgb="FFF2F2F2"/>
        <bgColor rgb="FFE8F6F7"/>
      </patternFill>
    </fill>
  </fills>
  <borders count="5">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right/>
      <top/>
      <bottom style="thick">
        <color rgb="FF1B2A4A"/>
      </bottom>
      <diagonal/>
    </border>
    <border diagonalUp="false" diagonalDown="false">
      <left style="thin">
        <color rgb="FF2AABB3"/>
      </left>
      <right style="thin">
        <color rgb="FF2AABB3"/>
      </right>
      <top style="thin">
        <color rgb="FF2AABB3"/>
      </top>
      <bottom style="thin">
        <color rgb="FF2AABB3"/>
      </bottom>
      <diagonal/>
    </border>
    <border diagonalUp="false" diagonalDown="false">
      <left/>
      <right style="hair">
        <color rgb="FF8C8C8C"/>
      </right>
      <top/>
      <bottom style="hair">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0" fillId="0" borderId="0" xfId="0" applyFont="true" applyBorder="true" applyAlignment="true" applyProtection="false">
      <alignment horizontal="center" vertical="center" textRotation="0" wrapText="true" indent="0" shrinkToFit="false"/>
      <protection locked="true" hidden="false"/>
    </xf>
    <xf numFmtId="165" fontId="10"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center" vertical="center" textRotation="0" wrapText="true" indent="0" shrinkToFit="false"/>
      <protection locked="true" hidden="false"/>
    </xf>
    <xf numFmtId="164" fontId="19" fillId="2" borderId="3" xfId="0" applyFont="true" applyBorder="true" applyAlignment="true" applyProtection="false">
      <alignment horizontal="center" vertical="center" textRotation="0" wrapText="true" indent="0" shrinkToFit="false"/>
      <protection locked="true" hidden="false"/>
    </xf>
    <xf numFmtId="164" fontId="11" fillId="5" borderId="4" xfId="0" applyFont="true" applyBorder="true" applyAlignment="true" applyProtection="false">
      <alignment horizontal="left" vertical="center" textRotation="0" wrapText="true" indent="0" shrinkToFit="false"/>
      <protection locked="true" hidden="false"/>
    </xf>
    <xf numFmtId="164" fontId="11" fillId="4" borderId="4" xfId="0" applyFont="true" applyBorder="true" applyAlignment="true" applyProtection="false">
      <alignment horizontal="left" vertical="center" textRotation="0" wrapText="true" indent="0" shrinkToFit="false"/>
      <protection locked="true" hidden="false"/>
    </xf>
    <xf numFmtId="166" fontId="11" fillId="4" borderId="4"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E8F6F7"/>
          <bgColor rgb="FF000000"/>
        </patternFill>
      </fill>
    </dxf>
    <dxf>
      <fill>
        <patternFill patternType="solid">
          <fgColor rgb="FFF2F2F2"/>
          <bgColor rgb="FF000000"/>
        </patternFill>
      </fill>
    </dxf>
    <dxf>
      <fill>
        <patternFill patternType="solid">
          <fgColor rgb="FFFFF0F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FFC7CE"/>
        </patternFill>
      </fill>
    </dxf>
    <dxf>
      <fill>
        <patternFill>
          <bgColor rgb="FFF2F2F2"/>
        </patternFill>
      </fill>
    </dxf>
    <dxf>
      <fill>
        <patternFill>
          <bgColor rgb="FFFFF0F0"/>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0F0"/>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3366FF"/>
      <rgbColor rgb="FF2AABB3"/>
      <rgbColor rgb="FF99CC00"/>
      <rgbColor rgb="FFFFCC00"/>
      <rgbColor rgb="FFCC88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16"/>
  </cols>
  <sheetData>
    <row r="1" customFormat="false" ht="18.65" hidden="false" customHeight="true" outlineLevel="0" collapsed="false">
      <c r="A1" s="8" t="s">
        <v>6</v>
      </c>
      <c r="B1" s="8"/>
      <c r="C1" s="8"/>
      <c r="D1" s="8"/>
      <c r="E1" s="8"/>
      <c r="F1" s="8"/>
    </row>
    <row r="3" customFormat="false" ht="15" hidden="false" customHeight="false" outlineLevel="0" collapsed="false">
      <c r="A3" s="9"/>
      <c r="B3" s="10"/>
      <c r="C3" s="10"/>
      <c r="D3" s="10"/>
      <c r="E3" s="10"/>
      <c r="F3" s="10"/>
    </row>
    <row r="4" customFormat="false" ht="15" hidden="false" customHeight="true" outlineLevel="0" collapsed="false">
      <c r="A4" s="11" t="s">
        <v>7</v>
      </c>
      <c r="B4" s="11"/>
      <c r="C4" s="11"/>
      <c r="D4" s="11"/>
      <c r="E4" s="11"/>
      <c r="F4" s="11"/>
    </row>
    <row r="5" customFormat="false" ht="23.85" hidden="false" customHeight="true" outlineLevel="0" collapsed="false">
      <c r="A5" s="9" t="s">
        <v>8</v>
      </c>
      <c r="B5" s="10" t="s">
        <v>9</v>
      </c>
      <c r="C5" s="10"/>
      <c r="D5" s="10"/>
      <c r="E5" s="10"/>
      <c r="F5" s="10"/>
    </row>
    <row r="6" customFormat="false" ht="15" hidden="false" customHeight="true" outlineLevel="0" collapsed="false">
      <c r="A6" s="9" t="s">
        <v>10</v>
      </c>
      <c r="B6" s="10" t="s">
        <v>11</v>
      </c>
      <c r="C6" s="10"/>
      <c r="D6" s="10"/>
      <c r="E6" s="10"/>
      <c r="F6" s="10"/>
    </row>
    <row r="7" customFormat="false" ht="23.85" hidden="false" customHeight="true" outlineLevel="0" collapsed="false">
      <c r="A7" s="9" t="s">
        <v>12</v>
      </c>
      <c r="B7" s="10" t="s">
        <v>13</v>
      </c>
      <c r="C7" s="10"/>
      <c r="D7" s="10"/>
      <c r="E7" s="10"/>
      <c r="F7" s="10"/>
    </row>
    <row r="8" customFormat="false" ht="23.85" hidden="false" customHeight="true" outlineLevel="0" collapsed="false">
      <c r="A8" s="9" t="s">
        <v>14</v>
      </c>
      <c r="B8" s="10" t="s">
        <v>15</v>
      </c>
      <c r="C8" s="10"/>
      <c r="D8" s="10"/>
      <c r="E8" s="10"/>
      <c r="F8" s="10"/>
    </row>
    <row r="9" customFormat="false" ht="15" hidden="false" customHeight="true" outlineLevel="0" collapsed="false">
      <c r="A9" s="9" t="s">
        <v>16</v>
      </c>
      <c r="B9" s="10" t="s">
        <v>17</v>
      </c>
      <c r="C9" s="10"/>
      <c r="D9" s="10"/>
      <c r="E9" s="10"/>
      <c r="F9" s="10"/>
    </row>
    <row r="10" customFormat="false" ht="23.85" hidden="false" customHeight="true" outlineLevel="0" collapsed="false">
      <c r="A10" s="9" t="s">
        <v>18</v>
      </c>
      <c r="B10" s="10" t="s">
        <v>19</v>
      </c>
      <c r="C10" s="10"/>
      <c r="D10" s="10"/>
      <c r="E10" s="10"/>
      <c r="F10" s="10"/>
    </row>
    <row r="11" customFormat="false" ht="23.85" hidden="false" customHeight="true" outlineLevel="0" collapsed="false">
      <c r="A11" s="9" t="s">
        <v>20</v>
      </c>
      <c r="B11" s="10" t="s">
        <v>21</v>
      </c>
      <c r="C11" s="10"/>
      <c r="D11" s="10"/>
      <c r="E11" s="10"/>
      <c r="F11" s="10"/>
    </row>
    <row r="12" customFormat="false" ht="15" hidden="false" customHeight="false" outlineLevel="0" collapsed="false">
      <c r="A12" s="9"/>
      <c r="B12" s="10"/>
      <c r="C12" s="10"/>
      <c r="D12" s="10"/>
      <c r="E12" s="10"/>
      <c r="F12" s="10"/>
    </row>
    <row r="13" customFormat="false" ht="15" hidden="false" customHeight="true" outlineLevel="0" collapsed="false">
      <c r="A13" s="11" t="s">
        <v>22</v>
      </c>
      <c r="B13" s="11"/>
      <c r="C13" s="11"/>
      <c r="D13" s="11"/>
      <c r="E13" s="11"/>
      <c r="F13" s="11"/>
    </row>
    <row r="14" customFormat="false" ht="15" hidden="false" customHeight="true" outlineLevel="0" collapsed="false">
      <c r="A14" s="9"/>
      <c r="B14" s="10" t="s">
        <v>23</v>
      </c>
      <c r="C14" s="10"/>
      <c r="D14" s="10"/>
      <c r="E14" s="10"/>
      <c r="F14" s="10"/>
    </row>
    <row r="15" customFormat="false" ht="15" hidden="false" customHeight="true" outlineLevel="0" collapsed="false">
      <c r="A15" s="9"/>
      <c r="B15" s="10" t="s">
        <v>24</v>
      </c>
      <c r="C15" s="10"/>
      <c r="D15" s="10"/>
      <c r="E15" s="10"/>
      <c r="F15" s="10"/>
    </row>
    <row r="16" customFormat="false" ht="15" hidden="false" customHeight="true" outlineLevel="0" collapsed="false">
      <c r="A16" s="9"/>
      <c r="B16" s="10" t="s">
        <v>25</v>
      </c>
      <c r="C16" s="10"/>
      <c r="D16" s="10"/>
      <c r="E16" s="10"/>
      <c r="F16" s="10"/>
    </row>
    <row r="17" customFormat="false" ht="15" hidden="false" customHeight="true" outlineLevel="0" collapsed="false">
      <c r="A17" s="9"/>
      <c r="B17" s="10" t="s">
        <v>26</v>
      </c>
      <c r="C17" s="10"/>
      <c r="D17" s="10"/>
      <c r="E17" s="10"/>
      <c r="F17" s="10"/>
    </row>
    <row r="18" customFormat="false" ht="15" hidden="false" customHeight="true" outlineLevel="0" collapsed="false">
      <c r="A18" s="9"/>
      <c r="B18" s="10" t="s">
        <v>27</v>
      </c>
      <c r="C18" s="10"/>
      <c r="D18" s="10"/>
      <c r="E18" s="10"/>
      <c r="F18" s="10"/>
    </row>
    <row r="19" customFormat="false" ht="15" hidden="false" customHeight="true" outlineLevel="0" collapsed="false">
      <c r="A19" s="9"/>
      <c r="B19" s="10" t="s">
        <v>28</v>
      </c>
      <c r="C19" s="10"/>
      <c r="D19" s="10"/>
      <c r="E19" s="10"/>
      <c r="F19" s="10"/>
    </row>
    <row r="20" customFormat="false" ht="15" hidden="false" customHeight="false" outlineLevel="0" collapsed="false">
      <c r="A20" s="9"/>
      <c r="B20" s="10"/>
      <c r="C20" s="10"/>
      <c r="D20" s="10"/>
      <c r="E20" s="10"/>
      <c r="F20" s="10"/>
    </row>
    <row r="21" customFormat="false" ht="15" hidden="false" customHeight="true" outlineLevel="0" collapsed="false">
      <c r="A21" s="11" t="s">
        <v>29</v>
      </c>
      <c r="B21" s="11"/>
      <c r="C21" s="11"/>
      <c r="D21" s="11"/>
      <c r="E21" s="11"/>
      <c r="F21" s="11"/>
    </row>
    <row r="22" customFormat="false" ht="23.85" hidden="false" customHeight="true" outlineLevel="0" collapsed="false">
      <c r="A22" s="12" t="s">
        <v>30</v>
      </c>
      <c r="B22" s="10" t="s">
        <v>31</v>
      </c>
      <c r="C22" s="10"/>
      <c r="D22" s="10"/>
      <c r="E22" s="10"/>
      <c r="F22" s="10"/>
    </row>
    <row r="23" customFormat="false" ht="23.85" hidden="false" customHeight="true" outlineLevel="0" collapsed="false">
      <c r="A23" s="12" t="s">
        <v>32</v>
      </c>
      <c r="B23" s="10" t="s">
        <v>33</v>
      </c>
      <c r="C23" s="10"/>
      <c r="D23" s="10"/>
      <c r="E23" s="10"/>
      <c r="F23" s="10"/>
    </row>
    <row r="24" customFormat="false" ht="23.85" hidden="false" customHeight="true" outlineLevel="0" collapsed="false">
      <c r="A24" s="12" t="s">
        <v>34</v>
      </c>
      <c r="B24" s="10" t="s">
        <v>35</v>
      </c>
      <c r="C24" s="10"/>
      <c r="D24" s="10"/>
      <c r="E24" s="10"/>
      <c r="F24" s="10"/>
    </row>
  </sheetData>
  <mergeCells count="23">
    <mergeCell ref="A1:F1"/>
    <mergeCell ref="B3:F3"/>
    <mergeCell ref="A4:F4"/>
    <mergeCell ref="B5:F5"/>
    <mergeCell ref="B6:F6"/>
    <mergeCell ref="B7:F7"/>
    <mergeCell ref="B8:F8"/>
    <mergeCell ref="B9:F9"/>
    <mergeCell ref="B10:F10"/>
    <mergeCell ref="B11:F11"/>
    <mergeCell ref="B12:F12"/>
    <mergeCell ref="A13:F13"/>
    <mergeCell ref="B14:F14"/>
    <mergeCell ref="B15:F15"/>
    <mergeCell ref="B16:F16"/>
    <mergeCell ref="B17:F17"/>
    <mergeCell ref="B18:F18"/>
    <mergeCell ref="B19:F19"/>
    <mergeCell ref="B20:F20"/>
    <mergeCell ref="A21:F21"/>
    <mergeCell ref="B22:F22"/>
    <mergeCell ref="B23:F23"/>
    <mergeCell ref="B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1"/>
  <cols>
    <col collapsed="false" customWidth="true" hidden="false" outlineLevel="0" max="1" min="1" style="0" width="8"/>
    <col collapsed="false" customWidth="true" hidden="false" outlineLevel="0" max="2" min="2" style="0" width="28"/>
    <col collapsed="false" customWidth="true" hidden="false" outlineLevel="0" max="3" min="3" style="0" width="22"/>
    <col collapsed="false" customWidth="true" hidden="false" outlineLevel="0" max="4" min="4" style="0" width="20"/>
    <col collapsed="false" customWidth="true" hidden="false" outlineLevel="0" max="5" min="5" style="0" width="15"/>
    <col collapsed="false" customWidth="true" hidden="false" outlineLevel="0" max="6" min="6" style="0" width="28"/>
    <col collapsed="false" customWidth="true" hidden="false" outlineLevel="0" max="7" min="7" style="0" width="15"/>
    <col collapsed="false" customWidth="true" hidden="false" outlineLevel="0" max="8" min="8" style="0" width="14"/>
    <col collapsed="false" customWidth="true" hidden="true" outlineLevel="1" max="14" min="9" style="0" width="30"/>
  </cols>
  <sheetData>
    <row r="1" customFormat="false" ht="18.65" hidden="false" customHeight="true" outlineLevel="0" collapsed="false">
      <c r="A1" s="13" t="s">
        <v>36</v>
      </c>
      <c r="B1" s="13"/>
      <c r="C1" s="13"/>
      <c r="D1" s="13"/>
      <c r="E1" s="13"/>
      <c r="F1" s="13"/>
      <c r="G1" s="13"/>
      <c r="H1" s="13"/>
      <c r="I1" s="14"/>
      <c r="J1" s="14"/>
      <c r="K1" s="14"/>
      <c r="L1" s="14"/>
      <c r="M1" s="14"/>
      <c r="N1" s="14"/>
    </row>
    <row r="2" customFormat="false" ht="15" hidden="false" customHeight="true" outlineLevel="0" collapsed="false">
      <c r="A2" s="15" t="s">
        <v>37</v>
      </c>
      <c r="B2" s="15"/>
      <c r="C2" s="16" t="s">
        <v>38</v>
      </c>
      <c r="D2" s="16" t="s">
        <v>39</v>
      </c>
      <c r="E2" s="16" t="s">
        <v>40</v>
      </c>
      <c r="F2" s="16" t="s">
        <v>41</v>
      </c>
      <c r="G2" s="15" t="s">
        <v>42</v>
      </c>
      <c r="H2" s="15"/>
    </row>
    <row r="3" customFormat="false" ht="18.65" hidden="false" customHeight="false" outlineLevel="0" collapsed="false">
      <c r="A3" s="17" t="n">
        <f aca="false">COUNTA(B6:B55)</f>
        <v>5</v>
      </c>
      <c r="B3" s="17"/>
      <c r="C3" s="18" t="n">
        <f aca="false">COUNTIF(H6:H55,"Active")</f>
        <v>2</v>
      </c>
      <c r="D3" s="19" t="n">
        <f aca="false">COUNTIF(H6:H55,"Not Started")</f>
        <v>1</v>
      </c>
      <c r="E3" s="20" t="n">
        <f aca="false">COUNTIF(H6:H55,"On Hold")</f>
        <v>1</v>
      </c>
      <c r="F3" s="18" t="n">
        <f aca="false">COUNTIF(H6:H55,"Completed")</f>
        <v>1</v>
      </c>
      <c r="G3" s="21" t="n">
        <f aca="true">COUNTIF(J6:J55,"&lt;"&amp;TODAY())</f>
        <v>1</v>
      </c>
      <c r="H3" s="21"/>
    </row>
    <row r="4" customFormat="false" ht="15" hidden="false" customHeight="true" outlineLevel="0" collapsed="false">
      <c r="A4" s="22"/>
      <c r="B4" s="22"/>
      <c r="C4" s="22"/>
      <c r="D4" s="22"/>
      <c r="E4" s="22"/>
      <c r="F4" s="22"/>
      <c r="G4" s="22"/>
      <c r="H4" s="22"/>
      <c r="I4" s="23" t="s">
        <v>43</v>
      </c>
      <c r="J4" s="23"/>
      <c r="K4" s="23"/>
      <c r="L4" s="23"/>
      <c r="M4" s="23"/>
      <c r="N4" s="23"/>
    </row>
    <row r="5" customFormat="false" ht="15" hidden="false" customHeight="false" outlineLevel="0" collapsed="false">
      <c r="A5" s="24" t="s">
        <v>44</v>
      </c>
      <c r="B5" s="24" t="s">
        <v>45</v>
      </c>
      <c r="C5" s="24" t="s">
        <v>46</v>
      </c>
      <c r="D5" s="24" t="s">
        <v>47</v>
      </c>
      <c r="E5" s="24" t="s">
        <v>48</v>
      </c>
      <c r="F5" s="24" t="s">
        <v>49</v>
      </c>
      <c r="G5" s="24" t="s">
        <v>50</v>
      </c>
      <c r="H5" s="24" t="s">
        <v>51</v>
      </c>
      <c r="I5" s="24" t="s">
        <v>52</v>
      </c>
      <c r="J5" s="24" t="s">
        <v>53</v>
      </c>
      <c r="K5" s="24" t="s">
        <v>54</v>
      </c>
      <c r="L5" s="24" t="s">
        <v>55</v>
      </c>
      <c r="M5" s="24" t="s">
        <v>56</v>
      </c>
      <c r="N5" s="24" t="s">
        <v>57</v>
      </c>
    </row>
    <row r="6" customFormat="false" ht="15" hidden="false" customHeight="false" outlineLevel="0" collapsed="false">
      <c r="A6" s="25" t="s">
        <v>58</v>
      </c>
      <c r="B6" s="25" t="s">
        <v>59</v>
      </c>
      <c r="C6" s="25" t="s">
        <v>60</v>
      </c>
      <c r="D6" s="25" t="s">
        <v>61</v>
      </c>
      <c r="E6" s="25" t="s">
        <v>62</v>
      </c>
      <c r="F6" s="25" t="s">
        <v>63</v>
      </c>
      <c r="G6" s="25" t="s">
        <v>64</v>
      </c>
      <c r="H6" s="25" t="s">
        <v>38</v>
      </c>
      <c r="I6" s="26" t="s">
        <v>65</v>
      </c>
      <c r="J6" s="27" t="n">
        <v>46295</v>
      </c>
      <c r="K6" s="26" t="s">
        <v>66</v>
      </c>
      <c r="L6" s="26" t="s">
        <v>67</v>
      </c>
      <c r="M6" s="26" t="s">
        <v>68</v>
      </c>
      <c r="N6" s="26" t="s">
        <v>69</v>
      </c>
    </row>
    <row r="7" customFormat="false" ht="15" hidden="false" customHeight="false" outlineLevel="0" collapsed="false">
      <c r="A7" s="26" t="s">
        <v>70</v>
      </c>
      <c r="B7" s="26" t="s">
        <v>71</v>
      </c>
      <c r="C7" s="26" t="s">
        <v>72</v>
      </c>
      <c r="D7" s="26" t="s">
        <v>73</v>
      </c>
      <c r="E7" s="26" t="s">
        <v>74</v>
      </c>
      <c r="F7" s="26" t="s">
        <v>75</v>
      </c>
      <c r="G7" s="26" t="s">
        <v>76</v>
      </c>
      <c r="H7" s="26" t="s">
        <v>38</v>
      </c>
      <c r="I7" s="26" t="s">
        <v>77</v>
      </c>
      <c r="J7" s="27" t="n">
        <v>46341</v>
      </c>
      <c r="K7" s="26" t="s">
        <v>78</v>
      </c>
      <c r="L7" s="26" t="s">
        <v>67</v>
      </c>
      <c r="M7" s="26" t="s">
        <v>79</v>
      </c>
      <c r="N7" s="26" t="s">
        <v>80</v>
      </c>
    </row>
    <row r="8" customFormat="false" ht="15" hidden="false" customHeight="false" outlineLevel="0" collapsed="false">
      <c r="A8" s="25" t="s">
        <v>81</v>
      </c>
      <c r="B8" s="25" t="s">
        <v>82</v>
      </c>
      <c r="C8" s="25" t="s">
        <v>83</v>
      </c>
      <c r="D8" s="25" t="s">
        <v>84</v>
      </c>
      <c r="E8" s="25" t="s">
        <v>85</v>
      </c>
      <c r="F8" s="25" t="s">
        <v>86</v>
      </c>
      <c r="G8" s="25" t="s">
        <v>87</v>
      </c>
      <c r="H8" s="25" t="s">
        <v>39</v>
      </c>
      <c r="I8" s="26" t="s">
        <v>88</v>
      </c>
      <c r="J8" s="27" t="n">
        <v>46447</v>
      </c>
      <c r="K8" s="26" t="s">
        <v>89</v>
      </c>
      <c r="L8" s="26" t="s">
        <v>90</v>
      </c>
      <c r="M8" s="26" t="s">
        <v>91</v>
      </c>
      <c r="N8" s="26" t="s">
        <v>92</v>
      </c>
    </row>
    <row r="9" customFormat="false" ht="23.85" hidden="false" customHeight="false" outlineLevel="0" collapsed="false">
      <c r="A9" s="26" t="s">
        <v>93</v>
      </c>
      <c r="B9" s="26" t="s">
        <v>94</v>
      </c>
      <c r="C9" s="26" t="s">
        <v>95</v>
      </c>
      <c r="D9" s="26" t="s">
        <v>96</v>
      </c>
      <c r="E9" s="26" t="s">
        <v>97</v>
      </c>
      <c r="F9" s="26" t="s">
        <v>98</v>
      </c>
      <c r="G9" s="26" t="s">
        <v>99</v>
      </c>
      <c r="H9" s="26" t="s">
        <v>40</v>
      </c>
      <c r="I9" s="26" t="s">
        <v>100</v>
      </c>
      <c r="J9" s="27" t="n">
        <v>45900</v>
      </c>
      <c r="K9" s="26" t="s">
        <v>101</v>
      </c>
      <c r="L9" s="26" t="s">
        <v>67</v>
      </c>
      <c r="M9" s="26" t="s">
        <v>102</v>
      </c>
      <c r="N9" s="26" t="s">
        <v>103</v>
      </c>
    </row>
    <row r="10" customFormat="false" ht="15" hidden="false" customHeight="false" outlineLevel="0" collapsed="false">
      <c r="A10" s="25" t="s">
        <v>104</v>
      </c>
      <c r="B10" s="25" t="s">
        <v>105</v>
      </c>
      <c r="C10" s="25" t="s">
        <v>106</v>
      </c>
      <c r="D10" s="25" t="s">
        <v>107</v>
      </c>
      <c r="E10" s="25" t="s">
        <v>108</v>
      </c>
      <c r="F10" s="25" t="s">
        <v>109</v>
      </c>
      <c r="G10" s="25" t="s">
        <v>110</v>
      </c>
      <c r="H10" s="25" t="s">
        <v>41</v>
      </c>
      <c r="I10" s="26" t="s">
        <v>111</v>
      </c>
      <c r="J10" s="27" t="n">
        <v>46174</v>
      </c>
      <c r="K10" s="26" t="s">
        <v>112</v>
      </c>
      <c r="L10" s="26" t="s">
        <v>113</v>
      </c>
      <c r="M10" s="26" t="s">
        <v>114</v>
      </c>
      <c r="N10" s="26" t="s">
        <v>115</v>
      </c>
    </row>
    <row r="11" customFormat="false" ht="15" hidden="false" customHeight="false" outlineLevel="0" collapsed="false">
      <c r="A11" s="26"/>
      <c r="B11" s="26"/>
      <c r="C11" s="26"/>
      <c r="D11" s="26"/>
      <c r="E11" s="26"/>
      <c r="F11" s="26"/>
      <c r="G11" s="26"/>
      <c r="H11" s="26"/>
      <c r="I11" s="26"/>
      <c r="J11" s="27"/>
      <c r="K11" s="26"/>
      <c r="L11" s="26"/>
      <c r="M11" s="26"/>
      <c r="N11" s="26"/>
    </row>
    <row r="12" customFormat="false" ht="15" hidden="false" customHeight="false" outlineLevel="0" collapsed="false">
      <c r="A12" s="25"/>
      <c r="B12" s="25"/>
      <c r="C12" s="25"/>
      <c r="D12" s="25"/>
      <c r="E12" s="25"/>
      <c r="F12" s="25"/>
      <c r="G12" s="25"/>
      <c r="H12" s="25"/>
      <c r="I12" s="26"/>
      <c r="J12" s="27"/>
      <c r="K12" s="26"/>
      <c r="L12" s="26"/>
      <c r="M12" s="26"/>
      <c r="N12" s="26"/>
    </row>
    <row r="13" customFormat="false" ht="15" hidden="false" customHeight="false" outlineLevel="0" collapsed="false">
      <c r="A13" s="26"/>
      <c r="B13" s="26"/>
      <c r="C13" s="26"/>
      <c r="D13" s="26"/>
      <c r="E13" s="26"/>
      <c r="F13" s="26"/>
      <c r="G13" s="26"/>
      <c r="H13" s="26"/>
      <c r="I13" s="26"/>
      <c r="J13" s="27"/>
      <c r="K13" s="26"/>
      <c r="L13" s="26"/>
      <c r="M13" s="26"/>
      <c r="N13" s="26"/>
    </row>
    <row r="14" customFormat="false" ht="15" hidden="false" customHeight="false" outlineLevel="0" collapsed="false">
      <c r="A14" s="25"/>
      <c r="B14" s="25"/>
      <c r="C14" s="25"/>
      <c r="D14" s="25"/>
      <c r="E14" s="25"/>
      <c r="F14" s="25"/>
      <c r="G14" s="25"/>
      <c r="H14" s="25"/>
      <c r="I14" s="26"/>
      <c r="J14" s="27"/>
      <c r="K14" s="26"/>
      <c r="L14" s="26"/>
      <c r="M14" s="26"/>
      <c r="N14" s="26"/>
    </row>
    <row r="15" customFormat="false" ht="15" hidden="false" customHeight="false" outlineLevel="0" collapsed="false">
      <c r="A15" s="26"/>
      <c r="B15" s="26"/>
      <c r="C15" s="26"/>
      <c r="D15" s="26"/>
      <c r="E15" s="26"/>
      <c r="F15" s="26"/>
      <c r="G15" s="26"/>
      <c r="H15" s="26"/>
      <c r="I15" s="26"/>
      <c r="J15" s="27"/>
      <c r="K15" s="26"/>
      <c r="L15" s="26"/>
      <c r="M15" s="26"/>
      <c r="N15" s="26"/>
    </row>
    <row r="16" customFormat="false" ht="15" hidden="false" customHeight="false" outlineLevel="0" collapsed="false">
      <c r="A16" s="25"/>
      <c r="B16" s="25"/>
      <c r="C16" s="25"/>
      <c r="D16" s="25"/>
      <c r="E16" s="25"/>
      <c r="F16" s="25"/>
      <c r="G16" s="25"/>
      <c r="H16" s="25"/>
      <c r="I16" s="26"/>
      <c r="J16" s="27"/>
      <c r="K16" s="26"/>
      <c r="L16" s="26"/>
      <c r="M16" s="26"/>
      <c r="N16" s="26"/>
    </row>
    <row r="17" customFormat="false" ht="15" hidden="false" customHeight="false" outlineLevel="0" collapsed="false">
      <c r="A17" s="26"/>
      <c r="B17" s="26"/>
      <c r="C17" s="26"/>
      <c r="D17" s="26"/>
      <c r="E17" s="26"/>
      <c r="F17" s="26"/>
      <c r="G17" s="26"/>
      <c r="H17" s="26"/>
      <c r="I17" s="26"/>
      <c r="J17" s="27"/>
      <c r="K17" s="26"/>
      <c r="L17" s="26"/>
      <c r="M17" s="26"/>
      <c r="N17" s="26"/>
    </row>
    <row r="18" customFormat="false" ht="15" hidden="false" customHeight="false" outlineLevel="0" collapsed="false">
      <c r="A18" s="25"/>
      <c r="B18" s="25"/>
      <c r="C18" s="25"/>
      <c r="D18" s="25"/>
      <c r="E18" s="25"/>
      <c r="F18" s="25"/>
      <c r="G18" s="25"/>
      <c r="H18" s="25"/>
      <c r="I18" s="26"/>
      <c r="J18" s="27"/>
      <c r="K18" s="26"/>
      <c r="L18" s="26"/>
      <c r="M18" s="26"/>
      <c r="N18" s="26"/>
    </row>
    <row r="19" customFormat="false" ht="15" hidden="false" customHeight="false" outlineLevel="0" collapsed="false">
      <c r="A19" s="26"/>
      <c r="B19" s="26"/>
      <c r="C19" s="26"/>
      <c r="D19" s="26"/>
      <c r="E19" s="26"/>
      <c r="F19" s="26"/>
      <c r="G19" s="26"/>
      <c r="H19" s="26"/>
      <c r="I19" s="26"/>
      <c r="J19" s="27"/>
      <c r="K19" s="26"/>
      <c r="L19" s="26"/>
      <c r="M19" s="26"/>
      <c r="N19" s="26"/>
    </row>
    <row r="20" customFormat="false" ht="15" hidden="false" customHeight="false" outlineLevel="0" collapsed="false">
      <c r="A20" s="25"/>
      <c r="B20" s="25"/>
      <c r="C20" s="25"/>
      <c r="D20" s="25"/>
      <c r="E20" s="25"/>
      <c r="F20" s="25"/>
      <c r="G20" s="25"/>
      <c r="H20" s="25"/>
      <c r="I20" s="26"/>
      <c r="J20" s="27"/>
      <c r="K20" s="26"/>
      <c r="L20" s="26"/>
      <c r="M20" s="26"/>
      <c r="N20" s="26"/>
    </row>
    <row r="21" customFormat="false" ht="15" hidden="false" customHeight="false" outlineLevel="0" collapsed="false">
      <c r="A21" s="26"/>
      <c r="B21" s="26"/>
      <c r="C21" s="26"/>
      <c r="D21" s="26"/>
      <c r="E21" s="26"/>
      <c r="F21" s="26"/>
      <c r="G21" s="26"/>
      <c r="H21" s="26"/>
      <c r="I21" s="26"/>
      <c r="J21" s="27"/>
      <c r="K21" s="26"/>
      <c r="L21" s="26"/>
      <c r="M21" s="26"/>
      <c r="N21" s="26"/>
    </row>
    <row r="22" customFormat="false" ht="15" hidden="false" customHeight="false" outlineLevel="0" collapsed="false">
      <c r="A22" s="25"/>
      <c r="B22" s="25"/>
      <c r="C22" s="25"/>
      <c r="D22" s="25"/>
      <c r="E22" s="25"/>
      <c r="F22" s="25"/>
      <c r="G22" s="25"/>
      <c r="H22" s="25"/>
      <c r="I22" s="26"/>
      <c r="J22" s="27"/>
      <c r="K22" s="26"/>
      <c r="L22" s="26"/>
      <c r="M22" s="26"/>
      <c r="N22" s="26"/>
    </row>
    <row r="23" customFormat="false" ht="15" hidden="false" customHeight="false" outlineLevel="0" collapsed="false">
      <c r="A23" s="26"/>
      <c r="B23" s="26"/>
      <c r="C23" s="26"/>
      <c r="D23" s="26"/>
      <c r="E23" s="26"/>
      <c r="F23" s="26"/>
      <c r="G23" s="26"/>
      <c r="H23" s="26"/>
      <c r="I23" s="26"/>
      <c r="J23" s="27"/>
      <c r="K23" s="26"/>
      <c r="L23" s="26"/>
      <c r="M23" s="26"/>
      <c r="N23" s="26"/>
    </row>
    <row r="24" customFormat="false" ht="15" hidden="false" customHeight="false" outlineLevel="0" collapsed="false">
      <c r="A24" s="25"/>
      <c r="B24" s="25"/>
      <c r="C24" s="25"/>
      <c r="D24" s="25"/>
      <c r="E24" s="25"/>
      <c r="F24" s="25"/>
      <c r="G24" s="25"/>
      <c r="H24" s="25"/>
      <c r="I24" s="26"/>
      <c r="J24" s="27"/>
      <c r="K24" s="26"/>
      <c r="L24" s="26"/>
      <c r="M24" s="26"/>
      <c r="N24" s="26"/>
    </row>
    <row r="25" customFormat="false" ht="15" hidden="false" customHeight="false" outlineLevel="0" collapsed="false">
      <c r="A25" s="26"/>
      <c r="B25" s="26"/>
      <c r="C25" s="26"/>
      <c r="D25" s="26"/>
      <c r="E25" s="26"/>
      <c r="F25" s="26"/>
      <c r="G25" s="26"/>
      <c r="H25" s="26"/>
      <c r="I25" s="26"/>
      <c r="J25" s="27"/>
      <c r="K25" s="26"/>
      <c r="L25" s="26"/>
      <c r="M25" s="26"/>
      <c r="N25" s="26"/>
    </row>
    <row r="26" customFormat="false" ht="15" hidden="false" customHeight="false" outlineLevel="0" collapsed="false">
      <c r="A26" s="25"/>
      <c r="B26" s="25"/>
      <c r="C26" s="25"/>
      <c r="D26" s="25"/>
      <c r="E26" s="25"/>
      <c r="F26" s="25"/>
      <c r="G26" s="25"/>
      <c r="H26" s="25"/>
      <c r="I26" s="26"/>
      <c r="J26" s="27"/>
      <c r="K26" s="26"/>
      <c r="L26" s="26"/>
      <c r="M26" s="26"/>
      <c r="N26" s="26"/>
    </row>
    <row r="27" customFormat="false" ht="15" hidden="false" customHeight="false" outlineLevel="0" collapsed="false">
      <c r="A27" s="26"/>
      <c r="B27" s="26"/>
      <c r="C27" s="26"/>
      <c r="D27" s="26"/>
      <c r="E27" s="26"/>
      <c r="F27" s="26"/>
      <c r="G27" s="26"/>
      <c r="H27" s="26"/>
      <c r="I27" s="26"/>
      <c r="J27" s="27"/>
      <c r="K27" s="26"/>
      <c r="L27" s="26"/>
      <c r="M27" s="26"/>
      <c r="N27" s="26"/>
    </row>
    <row r="28" customFormat="false" ht="15" hidden="false" customHeight="false" outlineLevel="0" collapsed="false">
      <c r="A28" s="25"/>
      <c r="B28" s="25"/>
      <c r="C28" s="25"/>
      <c r="D28" s="25"/>
      <c r="E28" s="25"/>
      <c r="F28" s="25"/>
      <c r="G28" s="25"/>
      <c r="H28" s="25"/>
      <c r="I28" s="26"/>
      <c r="J28" s="27"/>
      <c r="K28" s="26"/>
      <c r="L28" s="26"/>
      <c r="M28" s="26"/>
      <c r="N28" s="26"/>
    </row>
    <row r="29" customFormat="false" ht="15" hidden="false" customHeight="false" outlineLevel="0" collapsed="false">
      <c r="A29" s="26"/>
      <c r="B29" s="26"/>
      <c r="C29" s="26"/>
      <c r="D29" s="26"/>
      <c r="E29" s="26"/>
      <c r="F29" s="26"/>
      <c r="G29" s="26"/>
      <c r="H29" s="26"/>
      <c r="I29" s="26"/>
      <c r="J29" s="27"/>
      <c r="K29" s="26"/>
      <c r="L29" s="26"/>
      <c r="M29" s="26"/>
      <c r="N29" s="26"/>
    </row>
    <row r="30" customFormat="false" ht="15" hidden="false" customHeight="false" outlineLevel="0" collapsed="false">
      <c r="A30" s="25"/>
      <c r="B30" s="25"/>
      <c r="C30" s="25"/>
      <c r="D30" s="25"/>
      <c r="E30" s="25"/>
      <c r="F30" s="25"/>
      <c r="G30" s="25"/>
      <c r="H30" s="25"/>
      <c r="I30" s="26"/>
      <c r="J30" s="27"/>
      <c r="K30" s="26"/>
      <c r="L30" s="26"/>
      <c r="M30" s="26"/>
      <c r="N30" s="26"/>
    </row>
    <row r="31" customFormat="false" ht="15" hidden="false" customHeight="false" outlineLevel="0" collapsed="false">
      <c r="A31" s="26"/>
      <c r="B31" s="26"/>
      <c r="C31" s="26"/>
      <c r="D31" s="26"/>
      <c r="E31" s="26"/>
      <c r="F31" s="26"/>
      <c r="G31" s="26"/>
      <c r="H31" s="26"/>
      <c r="I31" s="26"/>
      <c r="J31" s="27"/>
      <c r="K31" s="26"/>
      <c r="L31" s="26"/>
      <c r="M31" s="26"/>
      <c r="N31" s="26"/>
    </row>
    <row r="32" customFormat="false" ht="15" hidden="false" customHeight="false" outlineLevel="0" collapsed="false">
      <c r="A32" s="25"/>
      <c r="B32" s="25"/>
      <c r="C32" s="25"/>
      <c r="D32" s="25"/>
      <c r="E32" s="25"/>
      <c r="F32" s="25"/>
      <c r="G32" s="25"/>
      <c r="H32" s="25"/>
      <c r="I32" s="26"/>
      <c r="J32" s="27"/>
      <c r="K32" s="26"/>
      <c r="L32" s="26"/>
      <c r="M32" s="26"/>
      <c r="N32" s="26"/>
    </row>
    <row r="33" customFormat="false" ht="15" hidden="false" customHeight="false" outlineLevel="0" collapsed="false">
      <c r="A33" s="26"/>
      <c r="B33" s="26"/>
      <c r="C33" s="26"/>
      <c r="D33" s="26"/>
      <c r="E33" s="26"/>
      <c r="F33" s="26"/>
      <c r="G33" s="26"/>
      <c r="H33" s="26"/>
      <c r="I33" s="26"/>
      <c r="J33" s="27"/>
      <c r="K33" s="26"/>
      <c r="L33" s="26"/>
      <c r="M33" s="26"/>
      <c r="N33" s="26"/>
    </row>
    <row r="34" customFormat="false" ht="15" hidden="false" customHeight="false" outlineLevel="0" collapsed="false">
      <c r="A34" s="25"/>
      <c r="B34" s="25"/>
      <c r="C34" s="25"/>
      <c r="D34" s="25"/>
      <c r="E34" s="25"/>
      <c r="F34" s="25"/>
      <c r="G34" s="25"/>
      <c r="H34" s="25"/>
      <c r="I34" s="26"/>
      <c r="J34" s="27"/>
      <c r="K34" s="26"/>
      <c r="L34" s="26"/>
      <c r="M34" s="26"/>
      <c r="N34" s="26"/>
    </row>
    <row r="35" customFormat="false" ht="15" hidden="false" customHeight="false" outlineLevel="0" collapsed="false">
      <c r="A35" s="26"/>
      <c r="B35" s="26"/>
      <c r="C35" s="26"/>
      <c r="D35" s="26"/>
      <c r="E35" s="26"/>
      <c r="F35" s="26"/>
      <c r="G35" s="26"/>
      <c r="H35" s="26"/>
      <c r="I35" s="26"/>
      <c r="J35" s="27"/>
      <c r="K35" s="26"/>
      <c r="L35" s="26"/>
      <c r="M35" s="26"/>
      <c r="N35" s="26"/>
    </row>
    <row r="36" customFormat="false" ht="15" hidden="false" customHeight="false" outlineLevel="0" collapsed="false">
      <c r="A36" s="25"/>
      <c r="B36" s="25"/>
      <c r="C36" s="25"/>
      <c r="D36" s="25"/>
      <c r="E36" s="25"/>
      <c r="F36" s="25"/>
      <c r="G36" s="25"/>
      <c r="H36" s="25"/>
      <c r="I36" s="26"/>
      <c r="J36" s="27"/>
      <c r="K36" s="26"/>
      <c r="L36" s="26"/>
      <c r="M36" s="26"/>
      <c r="N36" s="26"/>
    </row>
    <row r="37" customFormat="false" ht="15" hidden="false" customHeight="false" outlineLevel="0" collapsed="false">
      <c r="A37" s="26"/>
      <c r="B37" s="26"/>
      <c r="C37" s="26"/>
      <c r="D37" s="26"/>
      <c r="E37" s="26"/>
      <c r="F37" s="26"/>
      <c r="G37" s="26"/>
      <c r="H37" s="26"/>
      <c r="I37" s="26"/>
      <c r="J37" s="27"/>
      <c r="K37" s="26"/>
      <c r="L37" s="26"/>
      <c r="M37" s="26"/>
      <c r="N37" s="26"/>
    </row>
    <row r="38" customFormat="false" ht="15" hidden="false" customHeight="false" outlineLevel="0" collapsed="false">
      <c r="A38" s="25"/>
      <c r="B38" s="25"/>
      <c r="C38" s="25"/>
      <c r="D38" s="25"/>
      <c r="E38" s="25"/>
      <c r="F38" s="25"/>
      <c r="G38" s="25"/>
      <c r="H38" s="25"/>
      <c r="I38" s="26"/>
      <c r="J38" s="27"/>
      <c r="K38" s="26"/>
      <c r="L38" s="26"/>
      <c r="M38" s="26"/>
      <c r="N38" s="26"/>
    </row>
    <row r="39" customFormat="false" ht="15" hidden="false" customHeight="false" outlineLevel="0" collapsed="false">
      <c r="A39" s="26"/>
      <c r="B39" s="26"/>
      <c r="C39" s="26"/>
      <c r="D39" s="26"/>
      <c r="E39" s="26"/>
      <c r="F39" s="26"/>
      <c r="G39" s="26"/>
      <c r="H39" s="26"/>
      <c r="I39" s="26"/>
      <c r="J39" s="27"/>
      <c r="K39" s="26"/>
      <c r="L39" s="26"/>
      <c r="M39" s="26"/>
      <c r="N39" s="26"/>
    </row>
    <row r="40" customFormat="false" ht="15" hidden="false" customHeight="false" outlineLevel="0" collapsed="false">
      <c r="A40" s="25"/>
      <c r="B40" s="25"/>
      <c r="C40" s="25"/>
      <c r="D40" s="25"/>
      <c r="E40" s="25"/>
      <c r="F40" s="25"/>
      <c r="G40" s="25"/>
      <c r="H40" s="25"/>
      <c r="I40" s="26"/>
      <c r="J40" s="27"/>
      <c r="K40" s="26"/>
      <c r="L40" s="26"/>
      <c r="M40" s="26"/>
      <c r="N40" s="26"/>
    </row>
    <row r="41" customFormat="false" ht="15" hidden="false" customHeight="false" outlineLevel="0" collapsed="false">
      <c r="A41" s="26"/>
      <c r="B41" s="26"/>
      <c r="C41" s="26"/>
      <c r="D41" s="26"/>
      <c r="E41" s="26"/>
      <c r="F41" s="26"/>
      <c r="G41" s="26"/>
      <c r="H41" s="26"/>
      <c r="I41" s="26"/>
      <c r="J41" s="27"/>
      <c r="K41" s="26"/>
      <c r="L41" s="26"/>
      <c r="M41" s="26"/>
      <c r="N41" s="26"/>
    </row>
    <row r="42" customFormat="false" ht="15" hidden="false" customHeight="false" outlineLevel="0" collapsed="false">
      <c r="A42" s="25"/>
      <c r="B42" s="25"/>
      <c r="C42" s="25"/>
      <c r="D42" s="25"/>
      <c r="E42" s="25"/>
      <c r="F42" s="25"/>
      <c r="G42" s="25"/>
      <c r="H42" s="25"/>
      <c r="I42" s="26"/>
      <c r="J42" s="27"/>
      <c r="K42" s="26"/>
      <c r="L42" s="26"/>
      <c r="M42" s="26"/>
      <c r="N42" s="26"/>
    </row>
    <row r="43" customFormat="false" ht="15" hidden="false" customHeight="false" outlineLevel="0" collapsed="false">
      <c r="A43" s="26"/>
      <c r="B43" s="26"/>
      <c r="C43" s="26"/>
      <c r="D43" s="26"/>
      <c r="E43" s="26"/>
      <c r="F43" s="26"/>
      <c r="G43" s="26"/>
      <c r="H43" s="26"/>
      <c r="I43" s="26"/>
      <c r="J43" s="27"/>
      <c r="K43" s="26"/>
      <c r="L43" s="26"/>
      <c r="M43" s="26"/>
      <c r="N43" s="26"/>
    </row>
    <row r="44" customFormat="false" ht="15" hidden="false" customHeight="false" outlineLevel="0" collapsed="false">
      <c r="A44" s="25"/>
      <c r="B44" s="25"/>
      <c r="C44" s="25"/>
      <c r="D44" s="25"/>
      <c r="E44" s="25"/>
      <c r="F44" s="25"/>
      <c r="G44" s="25"/>
      <c r="H44" s="25"/>
      <c r="I44" s="26"/>
      <c r="J44" s="27"/>
      <c r="K44" s="26"/>
      <c r="L44" s="26"/>
      <c r="M44" s="26"/>
      <c r="N44" s="26"/>
    </row>
    <row r="45" customFormat="false" ht="15" hidden="false" customHeight="false" outlineLevel="0" collapsed="false">
      <c r="A45" s="26"/>
      <c r="B45" s="26"/>
      <c r="C45" s="26"/>
      <c r="D45" s="26"/>
      <c r="E45" s="26"/>
      <c r="F45" s="26"/>
      <c r="G45" s="26"/>
      <c r="H45" s="26"/>
      <c r="I45" s="26"/>
      <c r="J45" s="27"/>
      <c r="K45" s="26"/>
      <c r="L45" s="26"/>
      <c r="M45" s="26"/>
      <c r="N45" s="26"/>
    </row>
    <row r="46" customFormat="false" ht="15" hidden="false" customHeight="false" outlineLevel="0" collapsed="false">
      <c r="A46" s="25"/>
      <c r="B46" s="25"/>
      <c r="C46" s="25"/>
      <c r="D46" s="25"/>
      <c r="E46" s="25"/>
      <c r="F46" s="25"/>
      <c r="G46" s="25"/>
      <c r="H46" s="25"/>
      <c r="I46" s="26"/>
      <c r="J46" s="27"/>
      <c r="K46" s="26"/>
      <c r="L46" s="26"/>
      <c r="M46" s="26"/>
      <c r="N46" s="26"/>
    </row>
    <row r="47" customFormat="false" ht="15" hidden="false" customHeight="false" outlineLevel="0" collapsed="false">
      <c r="A47" s="26"/>
      <c r="B47" s="26"/>
      <c r="C47" s="26"/>
      <c r="D47" s="26"/>
      <c r="E47" s="26"/>
      <c r="F47" s="26"/>
      <c r="G47" s="26"/>
      <c r="H47" s="26"/>
      <c r="I47" s="26"/>
      <c r="J47" s="27"/>
      <c r="K47" s="26"/>
      <c r="L47" s="26"/>
      <c r="M47" s="26"/>
      <c r="N47" s="26"/>
    </row>
    <row r="48" customFormat="false" ht="15" hidden="false" customHeight="false" outlineLevel="0" collapsed="false">
      <c r="A48" s="25"/>
      <c r="B48" s="25"/>
      <c r="C48" s="25"/>
      <c r="D48" s="25"/>
      <c r="E48" s="25"/>
      <c r="F48" s="25"/>
      <c r="G48" s="25"/>
      <c r="H48" s="25"/>
      <c r="I48" s="26"/>
      <c r="J48" s="27"/>
      <c r="K48" s="26"/>
      <c r="L48" s="26"/>
      <c r="M48" s="26"/>
      <c r="N48" s="26"/>
    </row>
    <row r="49" customFormat="false" ht="15" hidden="false" customHeight="false" outlineLevel="0" collapsed="false">
      <c r="A49" s="26"/>
      <c r="B49" s="26"/>
      <c r="C49" s="26"/>
      <c r="D49" s="26"/>
      <c r="E49" s="26"/>
      <c r="F49" s="26"/>
      <c r="G49" s="26"/>
      <c r="H49" s="26"/>
      <c r="I49" s="26"/>
      <c r="J49" s="27"/>
      <c r="K49" s="26"/>
      <c r="L49" s="26"/>
      <c r="M49" s="26"/>
      <c r="N49" s="26"/>
    </row>
    <row r="50" customFormat="false" ht="15" hidden="false" customHeight="false" outlineLevel="0" collapsed="false">
      <c r="A50" s="25"/>
      <c r="B50" s="25"/>
      <c r="C50" s="25"/>
      <c r="D50" s="25"/>
      <c r="E50" s="25"/>
      <c r="F50" s="25"/>
      <c r="G50" s="25"/>
      <c r="H50" s="25"/>
      <c r="I50" s="26"/>
      <c r="J50" s="27"/>
      <c r="K50" s="26"/>
      <c r="L50" s="26"/>
      <c r="M50" s="26"/>
      <c r="N50" s="26"/>
    </row>
    <row r="51" customFormat="false" ht="15" hidden="false" customHeight="false" outlineLevel="0" collapsed="false">
      <c r="A51" s="26"/>
      <c r="B51" s="26"/>
      <c r="C51" s="26"/>
      <c r="D51" s="26"/>
      <c r="E51" s="26"/>
      <c r="F51" s="26"/>
      <c r="G51" s="26"/>
      <c r="H51" s="26"/>
      <c r="I51" s="26"/>
      <c r="J51" s="27"/>
      <c r="K51" s="26"/>
      <c r="L51" s="26"/>
      <c r="M51" s="26"/>
      <c r="N51" s="26"/>
    </row>
    <row r="52" customFormat="false" ht="15" hidden="false" customHeight="false" outlineLevel="0" collapsed="false">
      <c r="A52" s="25"/>
      <c r="B52" s="25"/>
      <c r="C52" s="25"/>
      <c r="D52" s="25"/>
      <c r="E52" s="25"/>
      <c r="F52" s="25"/>
      <c r="G52" s="25"/>
      <c r="H52" s="25"/>
      <c r="I52" s="26"/>
      <c r="J52" s="27"/>
      <c r="K52" s="26"/>
      <c r="L52" s="26"/>
      <c r="M52" s="26"/>
      <c r="N52" s="26"/>
    </row>
    <row r="53" customFormat="false" ht="15" hidden="false" customHeight="false" outlineLevel="0" collapsed="false">
      <c r="A53" s="26"/>
      <c r="B53" s="26"/>
      <c r="C53" s="26"/>
      <c r="D53" s="26"/>
      <c r="E53" s="26"/>
      <c r="F53" s="26"/>
      <c r="G53" s="26"/>
      <c r="H53" s="26"/>
      <c r="I53" s="26"/>
      <c r="J53" s="27"/>
      <c r="K53" s="26"/>
      <c r="L53" s="26"/>
      <c r="M53" s="26"/>
      <c r="N53" s="26"/>
    </row>
    <row r="54" customFormat="false" ht="15" hidden="false" customHeight="false" outlineLevel="0" collapsed="false">
      <c r="A54" s="25"/>
      <c r="B54" s="25"/>
      <c r="C54" s="25"/>
      <c r="D54" s="25"/>
      <c r="E54" s="25"/>
      <c r="F54" s="25"/>
      <c r="G54" s="25"/>
      <c r="H54" s="25"/>
      <c r="I54" s="26"/>
      <c r="J54" s="27"/>
      <c r="K54" s="26"/>
      <c r="L54" s="26"/>
      <c r="M54" s="26"/>
      <c r="N54" s="26"/>
    </row>
    <row r="55" customFormat="false" ht="15" hidden="false" customHeight="false" outlineLevel="0" collapsed="false">
      <c r="A55" s="26"/>
      <c r="B55" s="26"/>
      <c r="C55" s="26"/>
      <c r="D55" s="26"/>
      <c r="E55" s="26"/>
      <c r="F55" s="26"/>
      <c r="G55" s="26"/>
      <c r="H55" s="26"/>
      <c r="I55" s="26"/>
      <c r="J55" s="27"/>
      <c r="K55" s="26"/>
      <c r="L55" s="26"/>
      <c r="M55" s="26"/>
      <c r="N55" s="26"/>
    </row>
  </sheetData>
  <autoFilter ref="A5:N55"/>
  <mergeCells count="6">
    <mergeCell ref="A1:H1"/>
    <mergeCell ref="A2:B2"/>
    <mergeCell ref="G2:H2"/>
    <mergeCell ref="A3:B3"/>
    <mergeCell ref="G3:H3"/>
    <mergeCell ref="I4:N4"/>
  </mergeCells>
  <conditionalFormatting sqref="H6:H55">
    <cfRule type="cellIs" priority="2" operator="equal" aboveAverage="0" equalAverage="0" bottom="0" percent="0" rank="0" text="" dxfId="8">
      <formula>"Active"</formula>
    </cfRule>
    <cfRule type="cellIs" priority="3" operator="equal" aboveAverage="0" equalAverage="0" bottom="0" percent="0" rank="0" text="" dxfId="9">
      <formula>"Not Started"</formula>
    </cfRule>
    <cfRule type="cellIs" priority="4" operator="equal" aboveAverage="0" equalAverage="0" bottom="0" percent="0" rank="0" text="" dxfId="10">
      <formula>"On Hold"</formula>
    </cfRule>
    <cfRule type="cellIs" priority="5" operator="equal" aboveAverage="0" equalAverage="0" bottom="0" percent="0" rank="0" text="" dxfId="11">
      <formula>"Completed"</formula>
    </cfRule>
  </conditionalFormatting>
  <conditionalFormatting sqref="J6:J55">
    <cfRule type="expression" priority="6" aboveAverage="0" equalAverage="0" bottom="0" percent="0" rank="0" text="" dxfId="10">
      <formula>AND(J6&lt;&gt;"",J6&lt;TODAY())</formula>
    </cfRule>
    <cfRule type="expression" priority="7" aboveAverage="0" equalAverage="0" bottom="0" percent="0" rank="0" text="" dxfId="9">
      <formula>AND(J6&lt;&gt;"",J6&gt;=TODAY(),J6&lt;TODAY()+30)</formula>
    </cfRule>
    <cfRule type="expression" priority="8" aboveAverage="0" equalAverage="0" bottom="0" percent="0" rank="0" text="" dxfId="8">
      <formula>AND(J6&lt;&gt;"",J6&gt;=TODAY()+30)</formula>
    </cfRule>
  </conditionalFormatting>
  <conditionalFormatting sqref="A6:H55">
    <cfRule type="expression" priority="9" aboveAverage="0" equalAverage="0" bottom="0" percent="0" rank="0" text="" dxfId="12">
      <formula>$H6="On Hold"</formula>
    </cfRule>
  </conditionalFormatting>
  <dataValidations count="4">
    <dataValidation allowBlank="true" errorStyle="stop" operator="between" prompt="Select trade/package" showDropDown="false" showErrorMessage="false" showInputMessage="false" sqref="C6:C55" type="list">
      <formula1>"Groundworks,Piling,Concrete Frame,Steelwork,Roofing,Cladding,Brickwork,Joinery,Drylining,Plastering,Painting,Flooring,Tiling,M&amp;E,Electrical,Plumbing,HVAC,Fire Protection,Scaffolding,Demolition,Landscaping,Fencing,Roads &amp; Drainage,Lift Installation,Commiss"</formula1>
      <formula2>0</formula2>
    </dataValidation>
    <dataValidation allowBlank="true" errorStyle="stop" operator="between" showDropDown="false" showErrorMessage="false" showInputMessage="false" sqref="H6:H55" type="list">
      <formula1>"Active,Not Started,On Hold,Completed"</formula1>
      <formula2>0</formula2>
    </dataValidation>
    <dataValidation allowBlank="true" errorStyle="stop" operator="between" showDropDown="false" showErrorMessage="false" showInputMessage="false" sqref="L6:L55" type="list">
      <formula1>"30 days,45 days,60 days,14 days,Payment on completion,Milestone,Other"</formula1>
      <formula2>0</formula2>
    </dataValidation>
    <dataValidation allowBlank="true" errorStyle="stop" operator="between" showDropDown="false" showErrorMessage="false" showInputMessage="false" sqref="J6:J55"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&amp;CSubcontractor Contact Directory</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18.65" hidden="false" customHeight="false" outlineLevel="0" collapsed="false">
      <c r="A1" s="28" t="s">
        <v>116</v>
      </c>
    </row>
    <row r="2" customFormat="false" ht="15" hidden="false" customHeight="false" outlineLevel="0" collapsed="false">
      <c r="A2" s="9"/>
    </row>
    <row r="3" customFormat="false" ht="15" hidden="false" customHeight="false" outlineLevel="0" collapsed="false">
      <c r="A3" s="9" t="s">
        <v>117</v>
      </c>
    </row>
    <row r="4" customFormat="false" ht="15" hidden="false" customHeight="false" outlineLevel="0" collapsed="false">
      <c r="A4" s="9"/>
    </row>
    <row r="5" customFormat="false" ht="23.85" hidden="false" customHeight="false" outlineLevel="0" collapsed="false">
      <c r="A5" s="9" t="s">
        <v>118</v>
      </c>
    </row>
    <row r="6" customFormat="false" ht="15" hidden="false" customHeight="false" outlineLevel="0" collapsed="false">
      <c r="A6" s="9"/>
    </row>
    <row r="7" customFormat="false" ht="23.85" hidden="false" customHeight="false" outlineLevel="0" collapsed="false">
      <c r="A7" s="9" t="s">
        <v>119</v>
      </c>
    </row>
    <row r="8" customFormat="false" ht="15" hidden="false" customHeight="false" outlineLevel="0" collapsed="false">
      <c r="A8" s="9"/>
    </row>
    <row r="9" customFormat="false" ht="15" hidden="false" customHeight="false" outlineLevel="0" collapsed="false">
      <c r="A9" s="9" t="s">
        <v>120</v>
      </c>
    </row>
    <row r="10" customFormat="false" ht="15" hidden="false" customHeight="false" outlineLevel="0" collapsed="false">
      <c r="A10" s="9"/>
    </row>
    <row r="11" customFormat="false" ht="15" hidden="false" customHeight="false" outlineLevel="0" collapsed="false">
      <c r="A11" s="9" t="s">
        <v>121</v>
      </c>
    </row>
    <row r="12" customFormat="false" ht="15" hidden="false" customHeight="false" outlineLevel="0" collapsed="false">
      <c r="A12" s="9"/>
    </row>
    <row r="13" customFormat="false" ht="23.85" hidden="false" customHeight="false" outlineLevel="0" collapsed="false">
      <c r="A13" s="9" t="s">
        <v>122</v>
      </c>
    </row>
    <row r="14" customFormat="false" ht="15" hidden="false" customHeight="false" outlineLevel="0" collapsed="false">
      <c r="A14" s="9"/>
    </row>
    <row r="15" customFormat="false" ht="15" hidden="false" customHeight="false" outlineLevel="0" collapsed="false">
      <c r="A15" s="9" t="s">
        <v>123</v>
      </c>
    </row>
    <row r="16" customFormat="false" ht="15" hidden="false" customHeight="false" outlineLevel="0" collapsed="false">
      <c r="A16" s="9"/>
    </row>
    <row r="17" customFormat="false" ht="15" hidden="false" customHeight="false" outlineLevel="0" collapsed="false">
      <c r="A17" s="9" t="s">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Site Management &amp; Planning</cp:category>
  <dcterms:created xsi:type="dcterms:W3CDTF">2026-03-22T18:58:19Z</dcterms:created>
  <dc:creator>Ebrora Ltd</dc:creator>
  <dc:description>A single source of truth for all subcontractor contacts, trade packages, and compliance details — with insurance expiry alerts and status tracking. Designed for UK construction project teams.
Free professional construction management template from Ebrora Ltd. Visit ebrora.com for our full range of tools and templates.</dc:description>
  <cp:keywords>Ebrora construction subcontractor contact directory supply chain insurance site management</cp:keywords>
  <dc:language>en-US</dc:language>
  <cp:lastModifiedBy>Ebrora Ltd</cp:lastModifiedBy>
  <dcterms:modified xsi:type="dcterms:W3CDTF">2026-03-22T18:58:19Z</dcterms:modified>
  <cp:revision>0</cp:revision>
  <dc:subject>Centralised directory of all subcontractor contact details, trade packages, status, and insurance compliance for construction projects.</dc:subject>
  <dc:title>Subcontractor Contact Directory</dc:title>
</cp:coreProperties>
</file>

<file path=docProps/custom.xml><?xml version="1.0" encoding="utf-8"?>
<Properties xmlns="http://schemas.openxmlformats.org/officeDocument/2006/custom-properties" xmlns:vt="http://schemas.openxmlformats.org/officeDocument/2006/docPropsVTypes"/>
</file>