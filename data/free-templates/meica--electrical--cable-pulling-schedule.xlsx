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Cable Pulling Schedule" sheetId="3" state="visible" r:id="rId5"/>
    <sheet name="Terms of Use" sheetId="4" state="hidden" r:id="rId6"/>
  </sheets>
  <definedNames>
    <definedName function="false" hidden="false" localSheetId="2" name="_xlnm.Print_Area" vbProcedure="false">'Cable Pulling Schedule'!$A$1:$N$57</definedName>
    <definedName function="false" hidden="true" localSheetId="2" name="_xlnm._FilterDatabase" vbProcedure="false">'Cable Pulling Schedule'!$A$7:$N$7</definedName>
    <definedName function="false" hidden="false" localSheetId="0" name="_xlnm.Print_Area" vbProcedure="false">Cover!$A$1:$H$20</definedName>
    <definedName function="false" hidden="false" name="DataTable" vbProcedure="false">'Cable Pulling Schedule'!$A$7:$N$57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<sst xmlns="http://schemas.openxmlformats.org/spreadsheetml/2006/main" count="121" uniqueCount="117">
  <si>
    <t xml:space="preserve">EBRORA</t>
  </si>
  <si>
    <t xml:space="preserve">ebrora.com</t>
  </si>
  <si>
    <t xml:space="preserve">Cable Pulling Schedule</t>
  </si>
  <si>
    <t xml:space="preserve">Track and manage cable pulling activities across your project — from scheduling through to installation, testing, and sign-off.</t>
  </si>
  <si>
    <t xml:space="preserve">This is a free template from Ebrora. For our full range of professional-grade construction management tools, visit ebrora.com</t>
  </si>
  <si>
    <t xml:space="preserve">© Ebrora 2026 — All rights reserved</t>
  </si>
  <si>
    <t xml:space="preserve">How to Use This Template</t>
  </si>
  <si>
    <t xml:space="preserve">Getting Started</t>
  </si>
  <si>
    <t xml:space="preserve">1.</t>
  </si>
  <si>
    <t xml:space="preserve">Go to the 'Cable Pulling Schedule' sheet. Each row represents one cable to be pulled.</t>
  </si>
  <si>
    <t xml:space="preserve">2.</t>
  </si>
  <si>
    <t xml:space="preserve">Enter your cable tag/ID in column A. Use your project's cable numbering convention (e.g., CB-001, PW-101).</t>
  </si>
  <si>
    <t xml:space="preserve">3.</t>
  </si>
  <si>
    <t xml:space="preserve">Fill in the 'From' and 'To' locations — these are the origin and destination of each cable (e.g., MCC-01 to Motor M-101).</t>
  </si>
  <si>
    <t xml:space="preserve">4.</t>
  </si>
  <si>
    <t xml:space="preserve">Select the cable type and size from the dropdown, or type a custom value if yours isn't listed.</t>
  </si>
  <si>
    <t xml:space="preserve">5.</t>
  </si>
  <si>
    <t xml:space="preserve">Enter the planned pull date. The schedule will automatically flag overdue cables in red.</t>
  </si>
  <si>
    <t xml:space="preserve">6.</t>
  </si>
  <si>
    <t xml:space="preserve">Update the 'Pull Status' dropdown as work progresses: Not Started → In Progress → Complete → On Hold.</t>
  </si>
  <si>
    <t xml:space="preserve">7.</t>
  </si>
  <si>
    <t xml:space="preserve">Once a cable is pulled, enter the actual pull date. The sheet calculates days variance automatically.</t>
  </si>
  <si>
    <t xml:space="preserve">Optional Fields</t>
  </si>
  <si>
    <t xml:space="preserve">8.</t>
  </si>
  <si>
    <t xml:space="preserve">Click the [+] button above the grouped columns on the right to expand optional fields: Drum No., Route/Tray, Megger Result, and Sign-Off.</t>
  </si>
  <si>
    <t xml:space="preserve">9.</t>
  </si>
  <si>
    <t xml:space="preserve">Use these for more detailed tracking — particularly useful during commissioning and handover phases.</t>
  </si>
  <si>
    <t xml:space="preserve">Summary Dashboard</t>
  </si>
  <si>
    <t xml:space="preserve">10.</t>
  </si>
  <si>
    <t xml:space="preserve">The summary block at the top of the data sheet shows total cables, completion %, and a status breakdown. These update automatically as you fill in data.</t>
  </si>
  <si>
    <t xml:space="preserve">Colour Key</t>
  </si>
  <si>
    <t xml:space="preserve">Light Teal cells</t>
  </si>
  <si>
    <t xml:space="preserve">Editable — enter your data here</t>
  </si>
  <si>
    <t xml:space="preserve">Dark Navy headers</t>
  </si>
  <si>
    <t xml:space="preserve">Do not edit — column headings and structure</t>
  </si>
  <si>
    <t xml:space="preserve">Green</t>
  </si>
  <si>
    <t xml:space="preserve">Cable pull complete</t>
  </si>
  <si>
    <t xml:space="preserve">Amber</t>
  </si>
  <si>
    <t xml:space="preserve">Cable pull in progress or on hold</t>
  </si>
  <si>
    <t xml:space="preserve">Red</t>
  </si>
  <si>
    <t xml:space="preserve">Overdue or not started past planned date</t>
  </si>
  <si>
    <t xml:space="preserve">Tips</t>
  </si>
  <si>
    <t xml:space="preserve">•</t>
  </si>
  <si>
    <t xml:space="preserve">Sort by 'Planned Pull Date' to create a weekly look-ahead for the pulling crew.</t>
  </si>
  <si>
    <t xml:space="preserve">Use the AutoFilter on the header row to filter by status, area, or cable type — great for progress meetings.</t>
  </si>
  <si>
    <t xml:space="preserve">Print the schedule landscape on A4 for site use. The print area is pre-set to fit one page wide.</t>
  </si>
  <si>
    <t xml:space="preserve">CABLE PULLING SCHEDULE — PROJECT DASHBOARD</t>
  </si>
  <si>
    <t xml:space="preserve">Total Cables:</t>
  </si>
  <si>
    <t xml:space="preserve">Complete:</t>
  </si>
  <si>
    <t xml:space="preserve">In Progress:</t>
  </si>
  <si>
    <t xml:space="preserve">Not Started:</t>
  </si>
  <si>
    <t xml:space="preserve">On Hold:</t>
  </si>
  <si>
    <t xml:space="preserve">% Complete:</t>
  </si>
  <si>
    <t xml:space="preserve">▸ Optional Fields — Click [+] to expand</t>
  </si>
  <si>
    <t xml:space="preserve">Cable Tag</t>
  </si>
  <si>
    <t xml:space="preserve">From Location</t>
  </si>
  <si>
    <t xml:space="preserve">To Location</t>
  </si>
  <si>
    <t xml:space="preserve">Cable Type / Size</t>
  </si>
  <si>
    <t xml:space="preserve">Length (m)</t>
  </si>
  <si>
    <t xml:space="preserve">Planned Pull Date</t>
  </si>
  <si>
    <t xml:space="preserve">Actual Pull Date</t>
  </si>
  <si>
    <t xml:space="preserve">Pull Status</t>
  </si>
  <si>
    <t xml:space="preserve">Days Variance</t>
  </si>
  <si>
    <t xml:space="preserve">Notes</t>
  </si>
  <si>
    <t xml:space="preserve">Drum No.</t>
  </si>
  <si>
    <t xml:space="preserve">Route / Tray Ref</t>
  </si>
  <si>
    <t xml:space="preserve">Megger Result (MΩ)</t>
  </si>
  <si>
    <t xml:space="preserve">Signed Off By</t>
  </si>
  <si>
    <t xml:space="preserve">CB-001</t>
  </si>
  <si>
    <t xml:space="preserve">MCC-01</t>
  </si>
  <si>
    <t xml:space="preserve">Motor M-101 (Pump P1)</t>
  </si>
  <si>
    <t xml:space="preserve">SWA 4c 10mm²</t>
  </si>
  <si>
    <t xml:space="preserve">Complete</t>
  </si>
  <si>
    <t xml:space="preserve">Pulled successfully, no issues</t>
  </si>
  <si>
    <t xml:space="preserve">DR-2201</t>
  </si>
  <si>
    <t xml:space="preserve">Tray T-01/R-03</t>
  </si>
  <si>
    <t xml:space="preserve">500+</t>
  </si>
  <si>
    <t xml:space="preserve">J. Williams</t>
  </si>
  <si>
    <t xml:space="preserve">CB-002</t>
  </si>
  <si>
    <t xml:space="preserve">DB-03A</t>
  </si>
  <si>
    <t xml:space="preserve">FCU-201 (AHU Plant Room)</t>
  </si>
  <si>
    <t xml:space="preserve">SWA 3c 4mm²</t>
  </si>
  <si>
    <t xml:space="preserve">DR-2202</t>
  </si>
  <si>
    <t xml:space="preserve">Tray T-02/R-01</t>
  </si>
  <si>
    <t xml:space="preserve">250</t>
  </si>
  <si>
    <t xml:space="preserve">CB-003</t>
  </si>
  <si>
    <t xml:space="preserve">LV Panel LP-02</t>
  </si>
  <si>
    <t xml:space="preserve">DOL Starter DS-305</t>
  </si>
  <si>
    <t xml:space="preserve">SWA 4c 6mm²</t>
  </si>
  <si>
    <t xml:space="preserve">In Progress</t>
  </si>
  <si>
    <t xml:space="preserve">Awaiting access to riser</t>
  </si>
  <si>
    <t xml:space="preserve">DR-2203</t>
  </si>
  <si>
    <t xml:space="preserve">Ladder L-05</t>
  </si>
  <si>
    <t xml:space="preserve">CB-004</t>
  </si>
  <si>
    <t xml:space="preserve">JB-12</t>
  </si>
  <si>
    <t xml:space="preserve">Instrument IS-401 (Level)</t>
  </si>
  <si>
    <t xml:space="preserve">Inst Cable 2pr</t>
  </si>
  <si>
    <t xml:space="preserve">Not Started</t>
  </si>
  <si>
    <t xml:space="preserve">DR-2204</t>
  </si>
  <si>
    <t xml:space="preserve">Tray T-03/R-02</t>
  </si>
  <si>
    <t xml:space="preserve">CB-005</t>
  </si>
  <si>
    <t xml:space="preserve">MCC-02</t>
  </si>
  <si>
    <t xml:space="preserve">VSD-501 (Blower B1)</t>
  </si>
  <si>
    <t xml:space="preserve">XLPE 1c 95mm²</t>
  </si>
  <si>
    <t xml:space="preserve">On Hold</t>
  </si>
  <si>
    <t xml:space="preserve">On hold — cable on back-order</t>
  </si>
  <si>
    <t xml:space="preserve">DR-2205</t>
  </si>
  <si>
    <t xml:space="preserve">Duct D-01</t>
  </si>
  <si>
    <t xml:space="preserve">EBRORA — TERMS OF USE</t>
  </si>
  <si>
    <t xml:space="preserve">This template is provided free of charge by Ebrora (ebrora.com) for personal and professional use.</t>
  </si>
  <si>
    <t xml:space="preserve">1. LICENCE: You may use this template for your own projects. You may not resell, redistribute, or claim authorship of this template.</t>
  </si>
  <si>
    <t xml:space="preserve">2. NO WARRANTY: This template is provided "as is" without warranty of any kind. Ebrora accepts no liability for errors, omissions, or losses arising from use of this template.</t>
  </si>
  <si>
    <t xml:space="preserve">3. INTELLECTUAL PROPERTY: All design, layout, branding, and content remain the intellectual property of Ebrora.</t>
  </si>
  <si>
    <t xml:space="preserve">4. MODIFICATIONS: You may modify this template for your own use. Modified versions may not be distributed or sold.</t>
  </si>
  <si>
    <t xml:space="preserve">5. ATTRIBUTION: If you share outputs generated using this template, attribution to Ebrora (ebrora.com) is appreciated but not required.</t>
  </si>
  <si>
    <t xml:space="preserve">6. SUPPORT: For queries, feedback, or to report errors, contact support@ebrora.com.</t>
  </si>
  <si>
    <t xml:space="preserve">For our full range of professional construction management tools, visit ebrora.com.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</si>
</sst>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dd/mm/yyyy"/>
    <numFmt numFmtId="168" formatCode="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6"/>
      <color rgb="FFFFFFFF"/>
      <name val="Calibri"/>
      <family val="0"/>
      <charset val="1"/>
    </font>
    <font>
      <sz val="12"/>
      <color rgb="FF2AABB3"/>
      <name val="Calibri"/>
      <family val="0"/>
      <charset val="1"/>
    </font>
    <font>
      <sz val="10"/>
      <color rgb="FF1B2A4A"/>
      <name val="Calibri"/>
      <family val="0"/>
      <charset val="1"/>
    </font>
    <font>
      <b val="true"/>
      <sz val="28"/>
      <color rgb="FFFFFFFF"/>
      <name val="Calibri"/>
      <family val="0"/>
      <charset val="1"/>
    </font>
    <font>
      <sz val="12"/>
      <color rgb="FFFFFFFF"/>
      <name val="Calibri"/>
      <family val="0"/>
      <charset val="1"/>
    </font>
    <font>
      <sz val="11"/>
      <color rgb="FF1B2A4A"/>
      <name val="Calibri"/>
      <family val="0"/>
      <charset val="1"/>
    </font>
    <font>
      <i val="true"/>
      <sz val="9"/>
      <color rgb="FF8C8C8C"/>
      <name val="Calibri"/>
      <family val="0"/>
      <charset val="1"/>
    </font>
    <font>
      <b val="true"/>
      <sz val="14"/>
      <color rgb="FF1B2A4A"/>
      <name val="Calibri"/>
      <family val="0"/>
      <charset val="1"/>
    </font>
    <font>
      <b val="true"/>
      <sz val="11"/>
      <color rgb="FF2AABB3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b val="true"/>
      <sz val="12"/>
      <color rgb="FF006100"/>
      <name val="Calibri"/>
      <family val="0"/>
      <charset val="1"/>
    </font>
    <font>
      <b val="true"/>
      <sz val="12"/>
      <color rgb="FF9C6500"/>
      <name val="Calibri"/>
      <family val="0"/>
      <charset val="1"/>
    </font>
    <font>
      <b val="true"/>
      <sz val="12"/>
      <color rgb="FF9C0006"/>
      <name val="Calibri"/>
      <family val="0"/>
      <charset val="1"/>
    </font>
    <font>
      <b val="true"/>
      <sz val="12"/>
      <color rgb="FF8C8C8C"/>
      <name val="Calibri"/>
      <family val="0"/>
      <charset val="1"/>
    </font>
    <font>
      <b val="true"/>
      <i val="true"/>
      <sz val="9"/>
      <color rgb="FF2AABB3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E8F6F7"/>
        <bgColor rgb="FFF2F2F2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2F2F2"/>
      </patternFill>
    </fill>
    <fill>
      <patternFill patternType="solid">
        <fgColor rgb="FFFFC7CE"/>
        <bgColor rgb="FFFFEB9C"/>
      </patternFill>
    </fill>
    <fill>
      <patternFill patternType="solid">
        <fgColor rgb="FFF2F2F2"/>
        <bgColor rgb="FFE8F6F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2AABB3"/>
      </left>
      <right style="medium">
        <color rgb="FF2AABB3"/>
      </right>
      <top style="medium">
        <color rgb="FF2AABB3"/>
      </top>
      <bottom style="medium">
        <color rgb="FF2AABB3"/>
      </bottom>
      <diagonal/>
    </border>
    <border diagonalUp="false" diagonalDown="false">
      <left/>
      <right/>
      <top/>
      <bottom style="medium">
        <color rgb="FF2AABB3"/>
      </bottom>
      <diagonal/>
    </border>
    <border diagonalUp="false" diagonalDown="false"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 diagonalUp="false" diagonalDown="false">
      <left style="thin">
        <color rgb="FF2AABB3"/>
      </left>
      <right style="thin">
        <color rgb="FF2AABB3"/>
      </right>
      <top style="thin">
        <color rgb="FF2AABB3"/>
      </top>
      <bottom style="thin">
        <color rgb="FF2AABB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name val="Calibri"/>
        <charset val="1"/>
        <family val="0"/>
        <color rgb="FF9C0006"/>
        <sz val="10"/>
      </font>
      <fill>
        <patternFill>
          <bgColor rgb="FFFFC7CE"/>
        </patternFill>
      </fill>
    </dxf>
    <dxf>
      <font>
        <name val="Calibri"/>
        <charset val="1"/>
        <family val="0"/>
        <color rgb="FF006100"/>
        <sz val="1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2F2F2"/>
      <rgbColor rgb="FFE8F6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2AABB3"/>
      <rgbColor rgb="FF99CC00"/>
      <rgbColor rgb="FFFFCC00"/>
      <rgbColor rgb="FFFF9900"/>
      <rgbColor rgb="FFFF6600"/>
      <rgbColor rgb="FF666699"/>
      <rgbColor rgb="FF8C8C8C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4" t="s">
        <v>2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8" customFormat="false" ht="15" hidden="false" customHeight="false" outlineLevel="0" collapsed="false">
      <c r="A8" s="4"/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</row>
    <row r="10" customFormat="false" ht="15" hidden="false" customHeight="true" outlineLevel="0" collapsed="false">
      <c r="A10" s="5" t="s">
        <v>3</v>
      </c>
      <c r="B10" s="5"/>
      <c r="C10" s="5"/>
      <c r="D10" s="5"/>
      <c r="E10" s="5"/>
      <c r="F10" s="5"/>
      <c r="G10" s="5"/>
      <c r="H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5"/>
      <c r="H11" s="5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</row>
    <row r="14" customFormat="false" ht="15" hidden="false" customHeight="true" outlineLevel="0" collapsed="false">
      <c r="A14" s="6" t="s">
        <v>4</v>
      </c>
      <c r="B14" s="6"/>
      <c r="C14" s="6"/>
      <c r="D14" s="6"/>
      <c r="E14" s="6"/>
      <c r="F14" s="6"/>
      <c r="G14" s="6"/>
      <c r="H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</row>
    <row r="19" customFormat="false" ht="15" hidden="false" customHeight="false" outlineLevel="0" collapsed="false">
      <c r="A19" s="7" t="s">
        <v>5</v>
      </c>
      <c r="B19" s="7"/>
      <c r="C19" s="7"/>
      <c r="D19" s="7"/>
      <c r="E19" s="7"/>
      <c r="F19" s="7"/>
      <c r="G19" s="7"/>
      <c r="H19" s="7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</sheetData>
  <mergeCells count="6">
    <mergeCell ref="A1:H3"/>
    <mergeCell ref="A4:H4"/>
    <mergeCell ref="A6:H8"/>
    <mergeCell ref="A10:H11"/>
    <mergeCell ref="A14:H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ABB3"/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  <col collapsed="false" customWidth="true" hidden="false" outlineLevel="0" max="6" min="3" style="0" width="18"/>
  </cols>
  <sheetData>
    <row r="1" customFormat="false" ht="18.65" hidden="false" customHeight="true" outlineLevel="0" collapsed="false">
      <c r="A1" s="8" t="s">
        <v>6</v>
      </c>
      <c r="B1" s="8"/>
      <c r="C1" s="8"/>
      <c r="D1" s="8"/>
      <c r="E1" s="8"/>
      <c r="F1" s="8"/>
    </row>
    <row r="3" customFormat="false" ht="15" hidden="false" customHeight="true" outlineLevel="0" collapsed="false">
      <c r="A3" s="9" t="s">
        <v>7</v>
      </c>
      <c r="B3" s="9"/>
      <c r="C3" s="9"/>
      <c r="D3" s="9"/>
      <c r="E3" s="9"/>
      <c r="F3" s="9"/>
    </row>
    <row r="4" customFormat="false" ht="15" hidden="false" customHeight="true" outlineLevel="0" collapsed="false">
      <c r="A4" s="10" t="s">
        <v>8</v>
      </c>
      <c r="B4" s="11" t="s">
        <v>9</v>
      </c>
      <c r="C4" s="11"/>
      <c r="D4" s="11"/>
      <c r="E4" s="11"/>
      <c r="F4" s="11"/>
    </row>
    <row r="5" customFormat="false" ht="15" hidden="false" customHeight="true" outlineLevel="0" collapsed="false">
      <c r="A5" s="10" t="s">
        <v>10</v>
      </c>
      <c r="B5" s="11" t="s">
        <v>11</v>
      </c>
      <c r="C5" s="11"/>
      <c r="D5" s="11"/>
      <c r="E5" s="11"/>
      <c r="F5" s="11"/>
    </row>
    <row r="6" customFormat="false" ht="15" hidden="false" customHeight="true" outlineLevel="0" collapsed="false">
      <c r="A6" s="10" t="s">
        <v>12</v>
      </c>
      <c r="B6" s="11" t="s">
        <v>13</v>
      </c>
      <c r="C6" s="11"/>
      <c r="D6" s="11"/>
      <c r="E6" s="11"/>
      <c r="F6" s="11"/>
    </row>
    <row r="7" customFormat="false" ht="15" hidden="false" customHeight="true" outlineLevel="0" collapsed="false">
      <c r="A7" s="10" t="s">
        <v>14</v>
      </c>
      <c r="B7" s="11" t="s">
        <v>15</v>
      </c>
      <c r="C7" s="11"/>
      <c r="D7" s="11"/>
      <c r="E7" s="11"/>
      <c r="F7" s="11"/>
    </row>
    <row r="8" customFormat="false" ht="15" hidden="false" customHeight="true" outlineLevel="0" collapsed="false">
      <c r="A8" s="10" t="s">
        <v>16</v>
      </c>
      <c r="B8" s="11" t="s">
        <v>17</v>
      </c>
      <c r="C8" s="11"/>
      <c r="D8" s="11"/>
      <c r="E8" s="11"/>
      <c r="F8" s="11"/>
    </row>
    <row r="9" customFormat="false" ht="15" hidden="false" customHeight="true" outlineLevel="0" collapsed="false">
      <c r="A9" s="10" t="s">
        <v>18</v>
      </c>
      <c r="B9" s="11" t="s">
        <v>19</v>
      </c>
      <c r="C9" s="11"/>
      <c r="D9" s="11"/>
      <c r="E9" s="11"/>
      <c r="F9" s="11"/>
    </row>
    <row r="10" customFormat="false" ht="15" hidden="false" customHeight="true" outlineLevel="0" collapsed="false">
      <c r="A10" s="10" t="s">
        <v>20</v>
      </c>
      <c r="B10" s="11" t="s">
        <v>21</v>
      </c>
      <c r="C10" s="11"/>
      <c r="D10" s="11"/>
      <c r="E10" s="11"/>
      <c r="F10" s="11"/>
    </row>
    <row r="12" customFormat="false" ht="15" hidden="false" customHeight="true" outlineLevel="0" collapsed="false">
      <c r="A12" s="9" t="s">
        <v>22</v>
      </c>
      <c r="B12" s="9"/>
      <c r="C12" s="9"/>
      <c r="D12" s="9"/>
      <c r="E12" s="9"/>
      <c r="F12" s="9"/>
    </row>
    <row r="13" customFormat="false" ht="15" hidden="false" customHeight="true" outlineLevel="0" collapsed="false">
      <c r="A13" s="10" t="s">
        <v>23</v>
      </c>
      <c r="B13" s="11" t="s">
        <v>24</v>
      </c>
      <c r="C13" s="11"/>
      <c r="D13" s="11"/>
      <c r="E13" s="11"/>
      <c r="F13" s="11"/>
    </row>
    <row r="14" customFormat="false" ht="15" hidden="false" customHeight="true" outlineLevel="0" collapsed="false">
      <c r="A14" s="10" t="s">
        <v>25</v>
      </c>
      <c r="B14" s="11" t="s">
        <v>26</v>
      </c>
      <c r="C14" s="11"/>
      <c r="D14" s="11"/>
      <c r="E14" s="11"/>
      <c r="F14" s="11"/>
    </row>
    <row r="16" customFormat="false" ht="15" hidden="false" customHeight="true" outlineLevel="0" collapsed="false">
      <c r="A16" s="9" t="s">
        <v>27</v>
      </c>
      <c r="B16" s="9"/>
      <c r="C16" s="9"/>
      <c r="D16" s="9"/>
      <c r="E16" s="9"/>
      <c r="F16" s="9"/>
    </row>
    <row r="17" customFormat="false" ht="15" hidden="false" customHeight="true" outlineLevel="0" collapsed="false">
      <c r="A17" s="10" t="s">
        <v>28</v>
      </c>
      <c r="B17" s="11" t="s">
        <v>29</v>
      </c>
      <c r="C17" s="11"/>
      <c r="D17" s="11"/>
      <c r="E17" s="11"/>
      <c r="F17" s="11"/>
    </row>
    <row r="19" customFormat="false" ht="18.65" hidden="false" customHeight="true" outlineLevel="0" collapsed="false">
      <c r="A19" s="8" t="s">
        <v>30</v>
      </c>
      <c r="B19" s="8"/>
      <c r="C19" s="8"/>
      <c r="D19" s="8"/>
      <c r="E19" s="8"/>
      <c r="F19" s="8"/>
    </row>
    <row r="21" customFormat="false" ht="15" hidden="false" customHeight="false" outlineLevel="0" collapsed="false">
      <c r="A21" s="12"/>
      <c r="B21" s="13" t="s">
        <v>31</v>
      </c>
      <c r="C21" s="13"/>
      <c r="D21" s="14" t="s">
        <v>32</v>
      </c>
      <c r="E21" s="14"/>
      <c r="F21" s="14"/>
    </row>
    <row r="22" customFormat="false" ht="15" hidden="false" customHeight="false" outlineLevel="0" collapsed="false">
      <c r="A22" s="15"/>
      <c r="B22" s="13" t="s">
        <v>33</v>
      </c>
      <c r="C22" s="13"/>
      <c r="D22" s="14" t="s">
        <v>34</v>
      </c>
      <c r="E22" s="14"/>
      <c r="F22" s="14"/>
    </row>
    <row r="23" customFormat="false" ht="15" hidden="false" customHeight="false" outlineLevel="0" collapsed="false">
      <c r="A23" s="16"/>
      <c r="B23" s="13" t="s">
        <v>35</v>
      </c>
      <c r="C23" s="13"/>
      <c r="D23" s="14" t="s">
        <v>36</v>
      </c>
      <c r="E23" s="14"/>
      <c r="F23" s="14"/>
    </row>
    <row r="24" customFormat="false" ht="15" hidden="false" customHeight="false" outlineLevel="0" collapsed="false">
      <c r="A24" s="17"/>
      <c r="B24" s="13" t="s">
        <v>37</v>
      </c>
      <c r="C24" s="13"/>
      <c r="D24" s="14" t="s">
        <v>38</v>
      </c>
      <c r="E24" s="14"/>
      <c r="F24" s="14"/>
    </row>
    <row r="25" customFormat="false" ht="15" hidden="false" customHeight="false" outlineLevel="0" collapsed="false">
      <c r="A25" s="18"/>
      <c r="B25" s="13" t="s">
        <v>39</v>
      </c>
      <c r="C25" s="13"/>
      <c r="D25" s="14" t="s">
        <v>40</v>
      </c>
      <c r="E25" s="14"/>
      <c r="F25" s="14"/>
    </row>
    <row r="27" customFormat="false" ht="18.65" hidden="false" customHeight="true" outlineLevel="0" collapsed="false">
      <c r="A27" s="8" t="s">
        <v>41</v>
      </c>
      <c r="B27" s="8"/>
      <c r="C27" s="8"/>
      <c r="D27" s="8"/>
      <c r="E27" s="8"/>
      <c r="F27" s="8"/>
    </row>
    <row r="29" customFormat="false" ht="15" hidden="false" customHeight="true" outlineLevel="0" collapsed="false">
      <c r="A29" s="10" t="s">
        <v>42</v>
      </c>
      <c r="B29" s="11" t="s">
        <v>43</v>
      </c>
      <c r="C29" s="11"/>
      <c r="D29" s="11"/>
      <c r="E29" s="11"/>
      <c r="F29" s="11"/>
    </row>
    <row r="30" customFormat="false" ht="15" hidden="false" customHeight="true" outlineLevel="0" collapsed="false">
      <c r="A30" s="10" t="s">
        <v>42</v>
      </c>
      <c r="B30" s="11" t="s">
        <v>44</v>
      </c>
      <c r="C30" s="11"/>
      <c r="D30" s="11"/>
      <c r="E30" s="11"/>
      <c r="F30" s="11"/>
    </row>
    <row r="31" customFormat="false" ht="15" hidden="false" customHeight="true" outlineLevel="0" collapsed="false">
      <c r="A31" s="10" t="s">
        <v>42</v>
      </c>
      <c r="B31" s="11" t="s">
        <v>45</v>
      </c>
      <c r="C31" s="11"/>
      <c r="D31" s="11"/>
      <c r="E31" s="11"/>
      <c r="F31" s="11"/>
    </row>
  </sheetData>
  <mergeCells count="29">
    <mergeCell ref="A1:F1"/>
    <mergeCell ref="A3:F3"/>
    <mergeCell ref="B4:F4"/>
    <mergeCell ref="B5:F5"/>
    <mergeCell ref="B6:F6"/>
    <mergeCell ref="B7:F7"/>
    <mergeCell ref="B8:F8"/>
    <mergeCell ref="B9:F9"/>
    <mergeCell ref="B10:F10"/>
    <mergeCell ref="A12:F12"/>
    <mergeCell ref="B13:F13"/>
    <mergeCell ref="B14:F14"/>
    <mergeCell ref="A16:F16"/>
    <mergeCell ref="B17:F17"/>
    <mergeCell ref="A19:F19"/>
    <mergeCell ref="B21:C21"/>
    <mergeCell ref="D21:F21"/>
    <mergeCell ref="B22:C22"/>
    <mergeCell ref="D22:F22"/>
    <mergeCell ref="B23:C23"/>
    <mergeCell ref="D23:F23"/>
    <mergeCell ref="B24:C24"/>
    <mergeCell ref="D24:F24"/>
    <mergeCell ref="B25:C25"/>
    <mergeCell ref="D25:F25"/>
    <mergeCell ref="A27:F27"/>
    <mergeCell ref="B29:F29"/>
    <mergeCell ref="B30:F30"/>
    <mergeCell ref="B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14"/>
    <col collapsed="false" customWidth="true" hidden="false" outlineLevel="0" max="4" min="2" style="0" width="20"/>
    <col collapsed="false" customWidth="true" hidden="false" outlineLevel="0" max="5" min="5" style="0" width="12"/>
    <col collapsed="false" customWidth="true" hidden="false" outlineLevel="0" max="8" min="6" style="0" width="16"/>
    <col collapsed="false" customWidth="true" hidden="false" outlineLevel="0" max="9" min="9" style="0" width="14"/>
    <col collapsed="false" customWidth="true" hidden="false" outlineLevel="0" max="10" min="10" style="0" width="35"/>
    <col collapsed="false" customWidth="true" hidden="true" outlineLevel="1" max="14" min="11" style="0" width="14"/>
  </cols>
  <sheetData>
    <row r="1" customFormat="false" ht="18.65" hidden="false" customHeight="true" outlineLevel="0" collapsed="false">
      <c r="A1" s="19" t="s">
        <v>46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customFormat="false" ht="15" hidden="false" customHeight="false" outlineLevel="0" collapsed="false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customFormat="false" ht="15" hidden="false" customHeight="false" outlineLevel="0" collapsed="false">
      <c r="A3" s="21" t="s">
        <v>47</v>
      </c>
      <c r="B3" s="22" t="n">
        <f aca="false">COUNTA(A8:A507)-COUNTBLANK(A8:A507)</f>
        <v>-490</v>
      </c>
      <c r="C3" s="21" t="s">
        <v>48</v>
      </c>
      <c r="D3" s="23" t="n">
        <f aca="false">COUNTIF(H8:H507,"Complete")</f>
        <v>2</v>
      </c>
      <c r="E3" s="21" t="s">
        <v>49</v>
      </c>
      <c r="F3" s="24" t="n">
        <f aca="false">COUNTIF(H8:H507,"In Progress")</f>
        <v>1</v>
      </c>
      <c r="G3" s="21" t="s">
        <v>50</v>
      </c>
      <c r="H3" s="25" t="n">
        <f aca="false">COUNTIF(H8:H507,"Not Started")</f>
        <v>1</v>
      </c>
      <c r="I3" s="21" t="s">
        <v>51</v>
      </c>
      <c r="J3" s="26" t="n">
        <f aca="false">COUNTIF(H8:H507,"On Hold")</f>
        <v>1</v>
      </c>
      <c r="K3" s="21" t="s">
        <v>52</v>
      </c>
      <c r="L3" s="27" t="n">
        <f aca="false">IF(B3&gt;0,D3/B3,0)</f>
        <v>0</v>
      </c>
      <c r="M3" s="28"/>
      <c r="N3" s="28"/>
    </row>
    <row r="4" customFormat="false" ht="15" hidden="false" customHeight="false" outlineLevel="0" collapsed="false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6" customFormat="false" ht="15" hidden="false" customHeight="false" outlineLevel="0" collapsed="false">
      <c r="K6" s="30" t="s">
        <v>53</v>
      </c>
      <c r="L6" s="30"/>
      <c r="M6" s="30"/>
      <c r="N6" s="30"/>
    </row>
    <row r="7" customFormat="false" ht="28.35" hidden="false" customHeight="false" outlineLevel="0" collapsed="false">
      <c r="A7" s="31" t="s">
        <v>54</v>
      </c>
      <c r="B7" s="31" t="s">
        <v>55</v>
      </c>
      <c r="C7" s="31" t="s">
        <v>56</v>
      </c>
      <c r="D7" s="31" t="s">
        <v>57</v>
      </c>
      <c r="E7" s="31" t="s">
        <v>58</v>
      </c>
      <c r="F7" s="31" t="s">
        <v>59</v>
      </c>
      <c r="G7" s="31" t="s">
        <v>60</v>
      </c>
      <c r="H7" s="31" t="s">
        <v>61</v>
      </c>
      <c r="I7" s="31" t="s">
        <v>62</v>
      </c>
      <c r="J7" s="31" t="s">
        <v>63</v>
      </c>
      <c r="K7" s="31" t="s">
        <v>64</v>
      </c>
      <c r="L7" s="31" t="s">
        <v>65</v>
      </c>
      <c r="M7" s="31" t="s">
        <v>66</v>
      </c>
      <c r="N7" s="31" t="s">
        <v>67</v>
      </c>
    </row>
    <row r="8" customFormat="false" ht="15" hidden="false" customHeight="false" outlineLevel="0" collapsed="false">
      <c r="A8" s="32" t="s">
        <v>68</v>
      </c>
      <c r="B8" s="33" t="s">
        <v>69</v>
      </c>
      <c r="C8" s="33" t="s">
        <v>70</v>
      </c>
      <c r="D8" s="33" t="s">
        <v>71</v>
      </c>
      <c r="E8" s="32" t="n">
        <v>85</v>
      </c>
      <c r="F8" s="34" t="n">
        <v>46093</v>
      </c>
      <c r="G8" s="34" t="n">
        <v>46095</v>
      </c>
      <c r="H8" s="32" t="s">
        <v>72</v>
      </c>
      <c r="I8" s="35" t="n">
        <f aca="true">IF(AND(F8&lt;&gt;"",G8&lt;&gt;""),G8-F8,IF(AND(F8&lt;&gt;"",H8&lt;&gt;"Complete"),TODAY()-F8,""))</f>
        <v>2</v>
      </c>
      <c r="J8" s="33" t="s">
        <v>73</v>
      </c>
      <c r="K8" s="32" t="s">
        <v>74</v>
      </c>
      <c r="L8" s="33" t="s">
        <v>75</v>
      </c>
      <c r="M8" s="32" t="s">
        <v>76</v>
      </c>
      <c r="N8" s="32" t="s">
        <v>77</v>
      </c>
    </row>
    <row r="9" customFormat="false" ht="23.85" hidden="false" customHeight="false" outlineLevel="0" collapsed="false">
      <c r="A9" s="32" t="s">
        <v>78</v>
      </c>
      <c r="B9" s="33" t="s">
        <v>79</v>
      </c>
      <c r="C9" s="33" t="s">
        <v>80</v>
      </c>
      <c r="D9" s="33" t="s">
        <v>81</v>
      </c>
      <c r="E9" s="32" t="n">
        <v>42</v>
      </c>
      <c r="F9" s="34" t="n">
        <v>46098</v>
      </c>
      <c r="G9" s="34" t="n">
        <v>46099</v>
      </c>
      <c r="H9" s="32" t="s">
        <v>72</v>
      </c>
      <c r="I9" s="35" t="n">
        <f aca="true">IF(AND(F9&lt;&gt;"",G9&lt;&gt;""),G9-F9,IF(AND(F9&lt;&gt;"",H9&lt;&gt;"Complete"),TODAY()-F9,""))</f>
        <v>1</v>
      </c>
      <c r="J9" s="33"/>
      <c r="K9" s="32" t="s">
        <v>82</v>
      </c>
      <c r="L9" s="33" t="s">
        <v>83</v>
      </c>
      <c r="M9" s="32" t="s">
        <v>84</v>
      </c>
      <c r="N9" s="32" t="s">
        <v>77</v>
      </c>
    </row>
    <row r="10" customFormat="false" ht="15" hidden="false" customHeight="false" outlineLevel="0" collapsed="false">
      <c r="A10" s="32" t="s">
        <v>85</v>
      </c>
      <c r="B10" s="33" t="s">
        <v>86</v>
      </c>
      <c r="C10" s="33" t="s">
        <v>87</v>
      </c>
      <c r="D10" s="33" t="s">
        <v>88</v>
      </c>
      <c r="E10" s="32" t="n">
        <v>120</v>
      </c>
      <c r="F10" s="34" t="n">
        <v>46100</v>
      </c>
      <c r="G10" s="34"/>
      <c r="H10" s="32" t="s">
        <v>89</v>
      </c>
      <c r="I10" s="35" t="n">
        <f aca="true">IF(AND(F10&lt;&gt;"",G10&lt;&gt;""),G10-F10,IF(AND(F10&lt;&gt;"",H10&lt;&gt;"Complete"),TODAY()-F10,""))</f>
        <v>3</v>
      </c>
      <c r="J10" s="33" t="s">
        <v>90</v>
      </c>
      <c r="K10" s="32" t="s">
        <v>91</v>
      </c>
      <c r="L10" s="33" t="s">
        <v>92</v>
      </c>
      <c r="M10" s="32"/>
      <c r="N10" s="32"/>
    </row>
    <row r="11" customFormat="false" ht="15" hidden="false" customHeight="false" outlineLevel="0" collapsed="false">
      <c r="A11" s="32" t="s">
        <v>93</v>
      </c>
      <c r="B11" s="33" t="s">
        <v>94</v>
      </c>
      <c r="C11" s="33" t="s">
        <v>95</v>
      </c>
      <c r="D11" s="33" t="s">
        <v>96</v>
      </c>
      <c r="E11" s="32" t="n">
        <v>65</v>
      </c>
      <c r="F11" s="34" t="n">
        <v>46105</v>
      </c>
      <c r="G11" s="34"/>
      <c r="H11" s="32" t="s">
        <v>97</v>
      </c>
      <c r="I11" s="35" t="n">
        <f aca="true">IF(AND(F11&lt;&gt;"",G11&lt;&gt;""),G11-F11,IF(AND(F11&lt;&gt;"",H11&lt;&gt;"Complete"),TODAY()-F11,""))</f>
        <v>-2</v>
      </c>
      <c r="J11" s="33"/>
      <c r="K11" s="32" t="s">
        <v>98</v>
      </c>
      <c r="L11" s="33" t="s">
        <v>99</v>
      </c>
      <c r="M11" s="32"/>
      <c r="N11" s="32"/>
    </row>
    <row r="12" customFormat="false" ht="15" hidden="false" customHeight="false" outlineLevel="0" collapsed="false">
      <c r="A12" s="32" t="s">
        <v>100</v>
      </c>
      <c r="B12" s="33" t="s">
        <v>101</v>
      </c>
      <c r="C12" s="33" t="s">
        <v>102</v>
      </c>
      <c r="D12" s="33" t="s">
        <v>103</v>
      </c>
      <c r="E12" s="32" t="n">
        <v>210</v>
      </c>
      <c r="F12" s="34" t="n">
        <v>46096</v>
      </c>
      <c r="G12" s="34"/>
      <c r="H12" s="32" t="s">
        <v>104</v>
      </c>
      <c r="I12" s="35" t="n">
        <f aca="true">IF(AND(F12&lt;&gt;"",G12&lt;&gt;""),G12-F12,IF(AND(F12&lt;&gt;"",H12&lt;&gt;"Complete"),TODAY()-F12,""))</f>
        <v>7</v>
      </c>
      <c r="J12" s="33" t="s">
        <v>105</v>
      </c>
      <c r="K12" s="32" t="s">
        <v>106</v>
      </c>
      <c r="L12" s="33" t="s">
        <v>107</v>
      </c>
      <c r="M12" s="32"/>
      <c r="N12" s="32"/>
    </row>
    <row r="13" customFormat="false" ht="15" hidden="false" customHeight="false" outlineLevel="0" collapsed="false">
      <c r="A13" s="32"/>
      <c r="B13" s="33"/>
      <c r="C13" s="33"/>
      <c r="D13" s="33"/>
      <c r="E13" s="32"/>
      <c r="F13" s="34"/>
      <c r="G13" s="34"/>
      <c r="H13" s="32"/>
      <c r="I13" s="35" t="str">
        <f aca="true">IF(AND(F13&lt;&gt;"",G13&lt;&gt;""),G13-F13,IF(AND(F13&lt;&gt;"",H13&lt;&gt;"Complete"),TODAY()-F13,""))</f>
        <v/>
      </c>
      <c r="J13" s="33"/>
      <c r="K13" s="32"/>
      <c r="L13" s="33"/>
      <c r="M13" s="32"/>
      <c r="N13" s="32"/>
    </row>
    <row r="14" customFormat="false" ht="15" hidden="false" customHeight="false" outlineLevel="0" collapsed="false">
      <c r="A14" s="32"/>
      <c r="B14" s="33"/>
      <c r="C14" s="33"/>
      <c r="D14" s="33"/>
      <c r="E14" s="32"/>
      <c r="F14" s="34"/>
      <c r="G14" s="34"/>
      <c r="H14" s="32"/>
      <c r="I14" s="35" t="str">
        <f aca="true">IF(AND(F14&lt;&gt;"",G14&lt;&gt;""),G14-F14,IF(AND(F14&lt;&gt;"",H14&lt;&gt;"Complete"),TODAY()-F14,""))</f>
        <v/>
      </c>
      <c r="J14" s="33"/>
      <c r="K14" s="32"/>
      <c r="L14" s="33"/>
      <c r="M14" s="32"/>
      <c r="N14" s="32"/>
    </row>
    <row r="15" customFormat="false" ht="15" hidden="false" customHeight="false" outlineLevel="0" collapsed="false">
      <c r="A15" s="32"/>
      <c r="B15" s="33"/>
      <c r="C15" s="33"/>
      <c r="D15" s="33"/>
      <c r="E15" s="32"/>
      <c r="F15" s="34"/>
      <c r="G15" s="34"/>
      <c r="H15" s="32"/>
      <c r="I15" s="35" t="str">
        <f aca="true">IF(AND(F15&lt;&gt;"",G15&lt;&gt;""),G15-F15,IF(AND(F15&lt;&gt;"",H15&lt;&gt;"Complete"),TODAY()-F15,""))</f>
        <v/>
      </c>
      <c r="J15" s="33"/>
      <c r="K15" s="32"/>
      <c r="L15" s="33"/>
      <c r="M15" s="32"/>
      <c r="N15" s="32"/>
    </row>
    <row r="16" customFormat="false" ht="15" hidden="false" customHeight="false" outlineLevel="0" collapsed="false">
      <c r="A16" s="32"/>
      <c r="B16" s="33"/>
      <c r="C16" s="33"/>
      <c r="D16" s="33"/>
      <c r="E16" s="32"/>
      <c r="F16" s="34"/>
      <c r="G16" s="34"/>
      <c r="H16" s="32"/>
      <c r="I16" s="35" t="str">
        <f aca="true">IF(AND(F16&lt;&gt;"",G16&lt;&gt;""),G16-F16,IF(AND(F16&lt;&gt;"",H16&lt;&gt;"Complete"),TODAY()-F16,""))</f>
        <v/>
      </c>
      <c r="J16" s="33"/>
      <c r="K16" s="32"/>
      <c r="L16" s="33"/>
      <c r="M16" s="32"/>
      <c r="N16" s="32"/>
    </row>
    <row r="17" customFormat="false" ht="15" hidden="false" customHeight="false" outlineLevel="0" collapsed="false">
      <c r="A17" s="32"/>
      <c r="B17" s="33"/>
      <c r="C17" s="33"/>
      <c r="D17" s="33"/>
      <c r="E17" s="32"/>
      <c r="F17" s="34"/>
      <c r="G17" s="34"/>
      <c r="H17" s="32"/>
      <c r="I17" s="35" t="str">
        <f aca="true">IF(AND(F17&lt;&gt;"",G17&lt;&gt;""),G17-F17,IF(AND(F17&lt;&gt;"",H17&lt;&gt;"Complete"),TODAY()-F17,""))</f>
        <v/>
      </c>
      <c r="J17" s="33"/>
      <c r="K17" s="32"/>
      <c r="L17" s="33"/>
      <c r="M17" s="32"/>
      <c r="N17" s="32"/>
    </row>
    <row r="18" customFormat="false" ht="15" hidden="false" customHeight="false" outlineLevel="0" collapsed="false">
      <c r="A18" s="32"/>
      <c r="B18" s="33"/>
      <c r="C18" s="33"/>
      <c r="D18" s="33"/>
      <c r="E18" s="32"/>
      <c r="F18" s="34"/>
      <c r="G18" s="34"/>
      <c r="H18" s="32"/>
      <c r="I18" s="35" t="str">
        <f aca="true">IF(AND(F18&lt;&gt;"",G18&lt;&gt;""),G18-F18,IF(AND(F18&lt;&gt;"",H18&lt;&gt;"Complete"),TODAY()-F18,""))</f>
        <v/>
      </c>
      <c r="J18" s="33"/>
      <c r="K18" s="32"/>
      <c r="L18" s="33"/>
      <c r="M18" s="32"/>
      <c r="N18" s="32"/>
    </row>
    <row r="19" customFormat="false" ht="15" hidden="false" customHeight="false" outlineLevel="0" collapsed="false">
      <c r="A19" s="32"/>
      <c r="B19" s="33"/>
      <c r="C19" s="33"/>
      <c r="D19" s="33"/>
      <c r="E19" s="32"/>
      <c r="F19" s="34"/>
      <c r="G19" s="34"/>
      <c r="H19" s="32"/>
      <c r="I19" s="35" t="str">
        <f aca="true">IF(AND(F19&lt;&gt;"",G19&lt;&gt;""),G19-F19,IF(AND(F19&lt;&gt;"",H19&lt;&gt;"Complete"),TODAY()-F19,""))</f>
        <v/>
      </c>
      <c r="J19" s="33"/>
      <c r="K19" s="32"/>
      <c r="L19" s="33"/>
      <c r="M19" s="32"/>
      <c r="N19" s="32"/>
    </row>
    <row r="20" customFormat="false" ht="15" hidden="false" customHeight="false" outlineLevel="0" collapsed="false">
      <c r="A20" s="32"/>
      <c r="B20" s="33"/>
      <c r="C20" s="33"/>
      <c r="D20" s="33"/>
      <c r="E20" s="32"/>
      <c r="F20" s="34"/>
      <c r="G20" s="34"/>
      <c r="H20" s="32"/>
      <c r="I20" s="35" t="str">
        <f aca="true">IF(AND(F20&lt;&gt;"",G20&lt;&gt;""),G20-F20,IF(AND(F20&lt;&gt;"",H20&lt;&gt;"Complete"),TODAY()-F20,""))</f>
        <v/>
      </c>
      <c r="J20" s="33"/>
      <c r="K20" s="32"/>
      <c r="L20" s="33"/>
      <c r="M20" s="32"/>
      <c r="N20" s="32"/>
    </row>
    <row r="21" customFormat="false" ht="15" hidden="false" customHeight="false" outlineLevel="0" collapsed="false">
      <c r="A21" s="32"/>
      <c r="B21" s="33"/>
      <c r="C21" s="33"/>
      <c r="D21" s="33"/>
      <c r="E21" s="32"/>
      <c r="F21" s="34"/>
      <c r="G21" s="34"/>
      <c r="H21" s="32"/>
      <c r="I21" s="35" t="str">
        <f aca="true">IF(AND(F21&lt;&gt;"",G21&lt;&gt;""),G21-F21,IF(AND(F21&lt;&gt;"",H21&lt;&gt;"Complete"),TODAY()-F21,""))</f>
        <v/>
      </c>
      <c r="J21" s="33"/>
      <c r="K21" s="32"/>
      <c r="L21" s="33"/>
      <c r="M21" s="32"/>
      <c r="N21" s="32"/>
    </row>
    <row r="22" customFormat="false" ht="15" hidden="false" customHeight="false" outlineLevel="0" collapsed="false">
      <c r="A22" s="32"/>
      <c r="B22" s="33"/>
      <c r="C22" s="33"/>
      <c r="D22" s="33"/>
      <c r="E22" s="32"/>
      <c r="F22" s="34"/>
      <c r="G22" s="34"/>
      <c r="H22" s="32"/>
      <c r="I22" s="35" t="str">
        <f aca="true">IF(AND(F22&lt;&gt;"",G22&lt;&gt;""),G22-F22,IF(AND(F22&lt;&gt;"",H22&lt;&gt;"Complete"),TODAY()-F22,""))</f>
        <v/>
      </c>
      <c r="J22" s="33"/>
      <c r="K22" s="32"/>
      <c r="L22" s="33"/>
      <c r="M22" s="32"/>
      <c r="N22" s="32"/>
    </row>
    <row r="23" customFormat="false" ht="15" hidden="false" customHeight="false" outlineLevel="0" collapsed="false">
      <c r="A23" s="32"/>
      <c r="B23" s="33"/>
      <c r="C23" s="33"/>
      <c r="D23" s="33"/>
      <c r="E23" s="32"/>
      <c r="F23" s="34"/>
      <c r="G23" s="34"/>
      <c r="H23" s="32"/>
      <c r="I23" s="35" t="str">
        <f aca="true">IF(AND(F23&lt;&gt;"",G23&lt;&gt;""),G23-F23,IF(AND(F23&lt;&gt;"",H23&lt;&gt;"Complete"),TODAY()-F23,""))</f>
        <v/>
      </c>
      <c r="J23" s="33"/>
      <c r="K23" s="32"/>
      <c r="L23" s="33"/>
      <c r="M23" s="32"/>
      <c r="N23" s="32"/>
    </row>
    <row r="24" customFormat="false" ht="15" hidden="false" customHeight="false" outlineLevel="0" collapsed="false">
      <c r="A24" s="32"/>
      <c r="B24" s="33"/>
      <c r="C24" s="33"/>
      <c r="D24" s="33"/>
      <c r="E24" s="32"/>
      <c r="F24" s="34"/>
      <c r="G24" s="34"/>
      <c r="H24" s="32"/>
      <c r="I24" s="35" t="str">
        <f aca="true">IF(AND(F24&lt;&gt;"",G24&lt;&gt;""),G24-F24,IF(AND(F24&lt;&gt;"",H24&lt;&gt;"Complete"),TODAY()-F24,""))</f>
        <v/>
      </c>
      <c r="J24" s="33"/>
      <c r="K24" s="32"/>
      <c r="L24" s="33"/>
      <c r="M24" s="32"/>
      <c r="N24" s="32"/>
    </row>
    <row r="25" customFormat="false" ht="15" hidden="false" customHeight="false" outlineLevel="0" collapsed="false">
      <c r="A25" s="32"/>
      <c r="B25" s="33"/>
      <c r="C25" s="33"/>
      <c r="D25" s="33"/>
      <c r="E25" s="32"/>
      <c r="F25" s="34"/>
      <c r="G25" s="34"/>
      <c r="H25" s="32"/>
      <c r="I25" s="35" t="str">
        <f aca="true">IF(AND(F25&lt;&gt;"",G25&lt;&gt;""),G25-F25,IF(AND(F25&lt;&gt;"",H25&lt;&gt;"Complete"),TODAY()-F25,""))</f>
        <v/>
      </c>
      <c r="J25" s="33"/>
      <c r="K25" s="32"/>
      <c r="L25" s="33"/>
      <c r="M25" s="32"/>
      <c r="N25" s="32"/>
    </row>
    <row r="26" customFormat="false" ht="15" hidden="false" customHeight="false" outlineLevel="0" collapsed="false">
      <c r="A26" s="32"/>
      <c r="B26" s="33"/>
      <c r="C26" s="33"/>
      <c r="D26" s="33"/>
      <c r="E26" s="32"/>
      <c r="F26" s="34"/>
      <c r="G26" s="34"/>
      <c r="H26" s="32"/>
      <c r="I26" s="35" t="str">
        <f aca="true">IF(AND(F26&lt;&gt;"",G26&lt;&gt;""),G26-F26,IF(AND(F26&lt;&gt;"",H26&lt;&gt;"Complete"),TODAY()-F26,""))</f>
        <v/>
      </c>
      <c r="J26" s="33"/>
      <c r="K26" s="32"/>
      <c r="L26" s="33"/>
      <c r="M26" s="32"/>
      <c r="N26" s="32"/>
    </row>
    <row r="27" customFormat="false" ht="15" hidden="false" customHeight="false" outlineLevel="0" collapsed="false">
      <c r="A27" s="32"/>
      <c r="B27" s="33"/>
      <c r="C27" s="33"/>
      <c r="D27" s="33"/>
      <c r="E27" s="32"/>
      <c r="F27" s="34"/>
      <c r="G27" s="34"/>
      <c r="H27" s="32"/>
      <c r="I27" s="35" t="str">
        <f aca="true">IF(AND(F27&lt;&gt;"",G27&lt;&gt;""),G27-F27,IF(AND(F27&lt;&gt;"",H27&lt;&gt;"Complete"),TODAY()-F27,""))</f>
        <v/>
      </c>
      <c r="J27" s="33"/>
      <c r="K27" s="32"/>
      <c r="L27" s="33"/>
      <c r="M27" s="32"/>
      <c r="N27" s="32"/>
    </row>
    <row r="28" customFormat="false" ht="15" hidden="false" customHeight="false" outlineLevel="0" collapsed="false">
      <c r="A28" s="32"/>
      <c r="B28" s="33"/>
      <c r="C28" s="33"/>
      <c r="D28" s="33"/>
      <c r="E28" s="32"/>
      <c r="F28" s="34"/>
      <c r="G28" s="34"/>
      <c r="H28" s="32"/>
      <c r="I28" s="35" t="str">
        <f aca="true">IF(AND(F28&lt;&gt;"",G28&lt;&gt;""),G28-F28,IF(AND(F28&lt;&gt;"",H28&lt;&gt;"Complete"),TODAY()-F28,""))</f>
        <v/>
      </c>
      <c r="J28" s="33"/>
      <c r="K28" s="32"/>
      <c r="L28" s="33"/>
      <c r="M28" s="32"/>
      <c r="N28" s="32"/>
    </row>
    <row r="29" customFormat="false" ht="15" hidden="false" customHeight="false" outlineLevel="0" collapsed="false">
      <c r="A29" s="32"/>
      <c r="B29" s="33"/>
      <c r="C29" s="33"/>
      <c r="D29" s="33"/>
      <c r="E29" s="32"/>
      <c r="F29" s="34"/>
      <c r="G29" s="34"/>
      <c r="H29" s="32"/>
      <c r="I29" s="35" t="str">
        <f aca="true">IF(AND(F29&lt;&gt;"",G29&lt;&gt;""),G29-F29,IF(AND(F29&lt;&gt;"",H29&lt;&gt;"Complete"),TODAY()-F29,""))</f>
        <v/>
      </c>
      <c r="J29" s="33"/>
      <c r="K29" s="32"/>
      <c r="L29" s="33"/>
      <c r="M29" s="32"/>
      <c r="N29" s="32"/>
    </row>
    <row r="30" customFormat="false" ht="15" hidden="false" customHeight="false" outlineLevel="0" collapsed="false">
      <c r="A30" s="32"/>
      <c r="B30" s="33"/>
      <c r="C30" s="33"/>
      <c r="D30" s="33"/>
      <c r="E30" s="32"/>
      <c r="F30" s="34"/>
      <c r="G30" s="34"/>
      <c r="H30" s="32"/>
      <c r="I30" s="35" t="str">
        <f aca="true">IF(AND(F30&lt;&gt;"",G30&lt;&gt;""),G30-F30,IF(AND(F30&lt;&gt;"",H30&lt;&gt;"Complete"),TODAY()-F30,""))</f>
        <v/>
      </c>
      <c r="J30" s="33"/>
      <c r="K30" s="32"/>
      <c r="L30" s="33"/>
      <c r="M30" s="32"/>
      <c r="N30" s="32"/>
    </row>
    <row r="31" customFormat="false" ht="15" hidden="false" customHeight="false" outlineLevel="0" collapsed="false">
      <c r="A31" s="32"/>
      <c r="B31" s="33"/>
      <c r="C31" s="33"/>
      <c r="D31" s="33"/>
      <c r="E31" s="32"/>
      <c r="F31" s="34"/>
      <c r="G31" s="34"/>
      <c r="H31" s="32"/>
      <c r="I31" s="35" t="str">
        <f aca="true">IF(AND(F31&lt;&gt;"",G31&lt;&gt;""),G31-F31,IF(AND(F31&lt;&gt;"",H31&lt;&gt;"Complete"),TODAY()-F31,""))</f>
        <v/>
      </c>
      <c r="J31" s="33"/>
      <c r="K31" s="32"/>
      <c r="L31" s="33"/>
      <c r="M31" s="32"/>
      <c r="N31" s="32"/>
    </row>
    <row r="32" customFormat="false" ht="15" hidden="false" customHeight="false" outlineLevel="0" collapsed="false">
      <c r="A32" s="32"/>
      <c r="B32" s="33"/>
      <c r="C32" s="33"/>
      <c r="D32" s="33"/>
      <c r="E32" s="32"/>
      <c r="F32" s="34"/>
      <c r="G32" s="34"/>
      <c r="H32" s="32"/>
      <c r="I32" s="35" t="str">
        <f aca="true">IF(AND(F32&lt;&gt;"",G32&lt;&gt;""),G32-F32,IF(AND(F32&lt;&gt;"",H32&lt;&gt;"Complete"),TODAY()-F32,""))</f>
        <v/>
      </c>
      <c r="J32" s="33"/>
      <c r="K32" s="32"/>
      <c r="L32" s="33"/>
      <c r="M32" s="32"/>
      <c r="N32" s="32"/>
    </row>
    <row r="33" customFormat="false" ht="15" hidden="false" customHeight="false" outlineLevel="0" collapsed="false">
      <c r="A33" s="32"/>
      <c r="B33" s="33"/>
      <c r="C33" s="33"/>
      <c r="D33" s="33"/>
      <c r="E33" s="32"/>
      <c r="F33" s="34"/>
      <c r="G33" s="34"/>
      <c r="H33" s="32"/>
      <c r="I33" s="35" t="str">
        <f aca="true">IF(AND(F33&lt;&gt;"",G33&lt;&gt;""),G33-F33,IF(AND(F33&lt;&gt;"",H33&lt;&gt;"Complete"),TODAY()-F33,""))</f>
        <v/>
      </c>
      <c r="J33" s="33"/>
      <c r="K33" s="32"/>
      <c r="L33" s="33"/>
      <c r="M33" s="32"/>
      <c r="N33" s="32"/>
    </row>
    <row r="34" customFormat="false" ht="15" hidden="false" customHeight="false" outlineLevel="0" collapsed="false">
      <c r="A34" s="32"/>
      <c r="B34" s="33"/>
      <c r="C34" s="33"/>
      <c r="D34" s="33"/>
      <c r="E34" s="32"/>
      <c r="F34" s="34"/>
      <c r="G34" s="34"/>
      <c r="H34" s="32"/>
      <c r="I34" s="35" t="str">
        <f aca="true">IF(AND(F34&lt;&gt;"",G34&lt;&gt;""),G34-F34,IF(AND(F34&lt;&gt;"",H34&lt;&gt;"Complete"),TODAY()-F34,""))</f>
        <v/>
      </c>
      <c r="J34" s="33"/>
      <c r="K34" s="32"/>
      <c r="L34" s="33"/>
      <c r="M34" s="32"/>
      <c r="N34" s="32"/>
    </row>
    <row r="35" customFormat="false" ht="15" hidden="false" customHeight="false" outlineLevel="0" collapsed="false">
      <c r="A35" s="32"/>
      <c r="B35" s="33"/>
      <c r="C35" s="33"/>
      <c r="D35" s="33"/>
      <c r="E35" s="32"/>
      <c r="F35" s="34"/>
      <c r="G35" s="34"/>
      <c r="H35" s="32"/>
      <c r="I35" s="35" t="str">
        <f aca="true">IF(AND(F35&lt;&gt;"",G35&lt;&gt;""),G35-F35,IF(AND(F35&lt;&gt;"",H35&lt;&gt;"Complete"),TODAY()-F35,""))</f>
        <v/>
      </c>
      <c r="J35" s="33"/>
      <c r="K35" s="32"/>
      <c r="L35" s="33"/>
      <c r="M35" s="32"/>
      <c r="N35" s="32"/>
    </row>
    <row r="36" customFormat="false" ht="15" hidden="false" customHeight="false" outlineLevel="0" collapsed="false">
      <c r="A36" s="32"/>
      <c r="B36" s="33"/>
      <c r="C36" s="33"/>
      <c r="D36" s="33"/>
      <c r="E36" s="32"/>
      <c r="F36" s="34"/>
      <c r="G36" s="34"/>
      <c r="H36" s="32"/>
      <c r="I36" s="35" t="str">
        <f aca="true">IF(AND(F36&lt;&gt;"",G36&lt;&gt;""),G36-F36,IF(AND(F36&lt;&gt;"",H36&lt;&gt;"Complete"),TODAY()-F36,""))</f>
        <v/>
      </c>
      <c r="J36" s="33"/>
      <c r="K36" s="32"/>
      <c r="L36" s="33"/>
      <c r="M36" s="32"/>
      <c r="N36" s="32"/>
    </row>
    <row r="37" customFormat="false" ht="15" hidden="false" customHeight="false" outlineLevel="0" collapsed="false">
      <c r="A37" s="32"/>
      <c r="B37" s="33"/>
      <c r="C37" s="33"/>
      <c r="D37" s="33"/>
      <c r="E37" s="32"/>
      <c r="F37" s="34"/>
      <c r="G37" s="34"/>
      <c r="H37" s="32"/>
      <c r="I37" s="35" t="str">
        <f aca="true">IF(AND(F37&lt;&gt;"",G37&lt;&gt;""),G37-F37,IF(AND(F37&lt;&gt;"",H37&lt;&gt;"Complete"),TODAY()-F37,""))</f>
        <v/>
      </c>
      <c r="J37" s="33"/>
      <c r="K37" s="32"/>
      <c r="L37" s="33"/>
      <c r="M37" s="32"/>
      <c r="N37" s="32"/>
    </row>
    <row r="38" customFormat="false" ht="15" hidden="false" customHeight="false" outlineLevel="0" collapsed="false">
      <c r="A38" s="32"/>
      <c r="B38" s="33"/>
      <c r="C38" s="33"/>
      <c r="D38" s="33"/>
      <c r="E38" s="32"/>
      <c r="F38" s="34"/>
      <c r="G38" s="34"/>
      <c r="H38" s="32"/>
      <c r="I38" s="35" t="str">
        <f aca="true">IF(AND(F38&lt;&gt;"",G38&lt;&gt;""),G38-F38,IF(AND(F38&lt;&gt;"",H38&lt;&gt;"Complete"),TODAY()-F38,""))</f>
        <v/>
      </c>
      <c r="J38" s="33"/>
      <c r="K38" s="32"/>
      <c r="L38" s="33"/>
      <c r="M38" s="32"/>
      <c r="N38" s="32"/>
    </row>
    <row r="39" customFormat="false" ht="15" hidden="false" customHeight="false" outlineLevel="0" collapsed="false">
      <c r="A39" s="32"/>
      <c r="B39" s="33"/>
      <c r="C39" s="33"/>
      <c r="D39" s="33"/>
      <c r="E39" s="32"/>
      <c r="F39" s="34"/>
      <c r="G39" s="34"/>
      <c r="H39" s="32"/>
      <c r="I39" s="35" t="str">
        <f aca="true">IF(AND(F39&lt;&gt;"",G39&lt;&gt;""),G39-F39,IF(AND(F39&lt;&gt;"",H39&lt;&gt;"Complete"),TODAY()-F39,""))</f>
        <v/>
      </c>
      <c r="J39" s="33"/>
      <c r="K39" s="32"/>
      <c r="L39" s="33"/>
      <c r="M39" s="32"/>
      <c r="N39" s="32"/>
    </row>
    <row r="40" customFormat="false" ht="15" hidden="false" customHeight="false" outlineLevel="0" collapsed="false">
      <c r="A40" s="32"/>
      <c r="B40" s="33"/>
      <c r="C40" s="33"/>
      <c r="D40" s="33"/>
      <c r="E40" s="32"/>
      <c r="F40" s="34"/>
      <c r="G40" s="34"/>
      <c r="H40" s="32"/>
      <c r="I40" s="35" t="str">
        <f aca="true">IF(AND(F40&lt;&gt;"",G40&lt;&gt;""),G40-F40,IF(AND(F40&lt;&gt;"",H40&lt;&gt;"Complete"),TODAY()-F40,""))</f>
        <v/>
      </c>
      <c r="J40" s="33"/>
      <c r="K40" s="32"/>
      <c r="L40" s="33"/>
      <c r="M40" s="32"/>
      <c r="N40" s="32"/>
    </row>
    <row r="41" customFormat="false" ht="15" hidden="false" customHeight="false" outlineLevel="0" collapsed="false">
      <c r="A41" s="32"/>
      <c r="B41" s="33"/>
      <c r="C41" s="33"/>
      <c r="D41" s="33"/>
      <c r="E41" s="32"/>
      <c r="F41" s="34"/>
      <c r="G41" s="34"/>
      <c r="H41" s="32"/>
      <c r="I41" s="35" t="str">
        <f aca="true">IF(AND(F41&lt;&gt;"",G41&lt;&gt;""),G41-F41,IF(AND(F41&lt;&gt;"",H41&lt;&gt;"Complete"),TODAY()-F41,""))</f>
        <v/>
      </c>
      <c r="J41" s="33"/>
      <c r="K41" s="32"/>
      <c r="L41" s="33"/>
      <c r="M41" s="32"/>
      <c r="N41" s="32"/>
    </row>
    <row r="42" customFormat="false" ht="15" hidden="false" customHeight="false" outlineLevel="0" collapsed="false">
      <c r="A42" s="32"/>
      <c r="B42" s="33"/>
      <c r="C42" s="33"/>
      <c r="D42" s="33"/>
      <c r="E42" s="32"/>
      <c r="F42" s="34"/>
      <c r="G42" s="34"/>
      <c r="H42" s="32"/>
      <c r="I42" s="35" t="str">
        <f aca="true">IF(AND(F42&lt;&gt;"",G42&lt;&gt;""),G42-F42,IF(AND(F42&lt;&gt;"",H42&lt;&gt;"Complete"),TODAY()-F42,""))</f>
        <v/>
      </c>
      <c r="J42" s="33"/>
      <c r="K42" s="32"/>
      <c r="L42" s="33"/>
      <c r="M42" s="32"/>
      <c r="N42" s="32"/>
    </row>
    <row r="43" customFormat="false" ht="15" hidden="false" customHeight="false" outlineLevel="0" collapsed="false">
      <c r="A43" s="32"/>
      <c r="B43" s="33"/>
      <c r="C43" s="33"/>
      <c r="D43" s="33"/>
      <c r="E43" s="32"/>
      <c r="F43" s="34"/>
      <c r="G43" s="34"/>
      <c r="H43" s="32"/>
      <c r="I43" s="35" t="str">
        <f aca="true">IF(AND(F43&lt;&gt;"",G43&lt;&gt;""),G43-F43,IF(AND(F43&lt;&gt;"",H43&lt;&gt;"Complete"),TODAY()-F43,""))</f>
        <v/>
      </c>
      <c r="J43" s="33"/>
      <c r="K43" s="32"/>
      <c r="L43" s="33"/>
      <c r="M43" s="32"/>
      <c r="N43" s="32"/>
    </row>
    <row r="44" customFormat="false" ht="15" hidden="false" customHeight="false" outlineLevel="0" collapsed="false">
      <c r="A44" s="32"/>
      <c r="B44" s="33"/>
      <c r="C44" s="33"/>
      <c r="D44" s="33"/>
      <c r="E44" s="32"/>
      <c r="F44" s="34"/>
      <c r="G44" s="34"/>
      <c r="H44" s="32"/>
      <c r="I44" s="35" t="str">
        <f aca="true">IF(AND(F44&lt;&gt;"",G44&lt;&gt;""),G44-F44,IF(AND(F44&lt;&gt;"",H44&lt;&gt;"Complete"),TODAY()-F44,""))</f>
        <v/>
      </c>
      <c r="J44" s="33"/>
      <c r="K44" s="32"/>
      <c r="L44" s="33"/>
      <c r="M44" s="32"/>
      <c r="N44" s="32"/>
    </row>
    <row r="45" customFormat="false" ht="15" hidden="false" customHeight="false" outlineLevel="0" collapsed="false">
      <c r="A45" s="32"/>
      <c r="B45" s="33"/>
      <c r="C45" s="33"/>
      <c r="D45" s="33"/>
      <c r="E45" s="32"/>
      <c r="F45" s="34"/>
      <c r="G45" s="34"/>
      <c r="H45" s="32"/>
      <c r="I45" s="35" t="str">
        <f aca="true">IF(AND(F45&lt;&gt;"",G45&lt;&gt;""),G45-F45,IF(AND(F45&lt;&gt;"",H45&lt;&gt;"Complete"),TODAY()-F45,""))</f>
        <v/>
      </c>
      <c r="J45" s="33"/>
      <c r="K45" s="32"/>
      <c r="L45" s="33"/>
      <c r="M45" s="32"/>
      <c r="N45" s="32"/>
    </row>
    <row r="46" customFormat="false" ht="15" hidden="false" customHeight="false" outlineLevel="0" collapsed="false">
      <c r="A46" s="32"/>
      <c r="B46" s="33"/>
      <c r="C46" s="33"/>
      <c r="D46" s="33"/>
      <c r="E46" s="32"/>
      <c r="F46" s="34"/>
      <c r="G46" s="34"/>
      <c r="H46" s="32"/>
      <c r="I46" s="35" t="str">
        <f aca="true">IF(AND(F46&lt;&gt;"",G46&lt;&gt;""),G46-F46,IF(AND(F46&lt;&gt;"",H46&lt;&gt;"Complete"),TODAY()-F46,""))</f>
        <v/>
      </c>
      <c r="J46" s="33"/>
      <c r="K46" s="32"/>
      <c r="L46" s="33"/>
      <c r="M46" s="32"/>
      <c r="N46" s="32"/>
    </row>
    <row r="47" customFormat="false" ht="15" hidden="false" customHeight="false" outlineLevel="0" collapsed="false">
      <c r="A47" s="32"/>
      <c r="B47" s="33"/>
      <c r="C47" s="33"/>
      <c r="D47" s="33"/>
      <c r="E47" s="32"/>
      <c r="F47" s="34"/>
      <c r="G47" s="34"/>
      <c r="H47" s="32"/>
      <c r="I47" s="35" t="str">
        <f aca="true">IF(AND(F47&lt;&gt;"",G47&lt;&gt;""),G47-F47,IF(AND(F47&lt;&gt;"",H47&lt;&gt;"Complete"),TODAY()-F47,""))</f>
        <v/>
      </c>
      <c r="J47" s="33"/>
      <c r="K47" s="32"/>
      <c r="L47" s="33"/>
      <c r="M47" s="32"/>
      <c r="N47" s="32"/>
    </row>
    <row r="48" customFormat="false" ht="15" hidden="false" customHeight="false" outlineLevel="0" collapsed="false">
      <c r="A48" s="32"/>
      <c r="B48" s="33"/>
      <c r="C48" s="33"/>
      <c r="D48" s="33"/>
      <c r="E48" s="32"/>
      <c r="F48" s="34"/>
      <c r="G48" s="34"/>
      <c r="H48" s="32"/>
      <c r="I48" s="35" t="str">
        <f aca="true">IF(AND(F48&lt;&gt;"",G48&lt;&gt;""),G48-F48,IF(AND(F48&lt;&gt;"",H48&lt;&gt;"Complete"),TODAY()-F48,""))</f>
        <v/>
      </c>
      <c r="J48" s="33"/>
      <c r="K48" s="32"/>
      <c r="L48" s="33"/>
      <c r="M48" s="32"/>
      <c r="N48" s="32"/>
    </row>
    <row r="49" customFormat="false" ht="15" hidden="false" customHeight="false" outlineLevel="0" collapsed="false">
      <c r="A49" s="32"/>
      <c r="B49" s="33"/>
      <c r="C49" s="33"/>
      <c r="D49" s="33"/>
      <c r="E49" s="32"/>
      <c r="F49" s="34"/>
      <c r="G49" s="34"/>
      <c r="H49" s="32"/>
      <c r="I49" s="35" t="str">
        <f aca="true">IF(AND(F49&lt;&gt;"",G49&lt;&gt;""),G49-F49,IF(AND(F49&lt;&gt;"",H49&lt;&gt;"Complete"),TODAY()-F49,""))</f>
        <v/>
      </c>
      <c r="J49" s="33"/>
      <c r="K49" s="32"/>
      <c r="L49" s="33"/>
      <c r="M49" s="32"/>
      <c r="N49" s="32"/>
    </row>
    <row r="50" customFormat="false" ht="15" hidden="false" customHeight="false" outlineLevel="0" collapsed="false">
      <c r="A50" s="32"/>
      <c r="B50" s="33"/>
      <c r="C50" s="33"/>
      <c r="D50" s="33"/>
      <c r="E50" s="32"/>
      <c r="F50" s="34"/>
      <c r="G50" s="34"/>
      <c r="H50" s="32"/>
      <c r="I50" s="35" t="str">
        <f aca="true">IF(AND(F50&lt;&gt;"",G50&lt;&gt;""),G50-F50,IF(AND(F50&lt;&gt;"",H50&lt;&gt;"Complete"),TODAY()-F50,""))</f>
        <v/>
      </c>
      <c r="J50" s="33"/>
      <c r="K50" s="32"/>
      <c r="L50" s="33"/>
      <c r="M50" s="32"/>
      <c r="N50" s="32"/>
    </row>
    <row r="51" customFormat="false" ht="15" hidden="false" customHeight="false" outlineLevel="0" collapsed="false">
      <c r="A51" s="32"/>
      <c r="B51" s="33"/>
      <c r="C51" s="33"/>
      <c r="D51" s="33"/>
      <c r="E51" s="32"/>
      <c r="F51" s="34"/>
      <c r="G51" s="34"/>
      <c r="H51" s="32"/>
      <c r="I51" s="35" t="str">
        <f aca="true">IF(AND(F51&lt;&gt;"",G51&lt;&gt;""),G51-F51,IF(AND(F51&lt;&gt;"",H51&lt;&gt;"Complete"),TODAY()-F51,""))</f>
        <v/>
      </c>
      <c r="J51" s="33"/>
      <c r="K51" s="32"/>
      <c r="L51" s="33"/>
      <c r="M51" s="32"/>
      <c r="N51" s="32"/>
    </row>
    <row r="52" customFormat="false" ht="15" hidden="false" customHeight="false" outlineLevel="0" collapsed="false">
      <c r="A52" s="32"/>
      <c r="B52" s="33"/>
      <c r="C52" s="33"/>
      <c r="D52" s="33"/>
      <c r="E52" s="32"/>
      <c r="F52" s="34"/>
      <c r="G52" s="34"/>
      <c r="H52" s="32"/>
      <c r="I52" s="35" t="str">
        <f aca="true">IF(AND(F52&lt;&gt;"",G52&lt;&gt;""),G52-F52,IF(AND(F52&lt;&gt;"",H52&lt;&gt;"Complete"),TODAY()-F52,""))</f>
        <v/>
      </c>
      <c r="J52" s="33"/>
      <c r="K52" s="32"/>
      <c r="L52" s="33"/>
      <c r="M52" s="32"/>
      <c r="N52" s="32"/>
    </row>
    <row r="53" customFormat="false" ht="15" hidden="false" customHeight="false" outlineLevel="0" collapsed="false">
      <c r="A53" s="32"/>
      <c r="B53" s="33"/>
      <c r="C53" s="33"/>
      <c r="D53" s="33"/>
      <c r="E53" s="32"/>
      <c r="F53" s="34"/>
      <c r="G53" s="34"/>
      <c r="H53" s="32"/>
      <c r="I53" s="35" t="str">
        <f aca="true">IF(AND(F53&lt;&gt;"",G53&lt;&gt;""),G53-F53,IF(AND(F53&lt;&gt;"",H53&lt;&gt;"Complete"),TODAY()-F53,""))</f>
        <v/>
      </c>
      <c r="J53" s="33"/>
      <c r="K53" s="32"/>
      <c r="L53" s="33"/>
      <c r="M53" s="32"/>
      <c r="N53" s="32"/>
    </row>
    <row r="54" customFormat="false" ht="15" hidden="false" customHeight="false" outlineLevel="0" collapsed="false">
      <c r="A54" s="32"/>
      <c r="B54" s="33"/>
      <c r="C54" s="33"/>
      <c r="D54" s="33"/>
      <c r="E54" s="32"/>
      <c r="F54" s="34"/>
      <c r="G54" s="34"/>
      <c r="H54" s="32"/>
      <c r="I54" s="35" t="str">
        <f aca="true">IF(AND(F54&lt;&gt;"",G54&lt;&gt;""),G54-F54,IF(AND(F54&lt;&gt;"",H54&lt;&gt;"Complete"),TODAY()-F54,""))</f>
        <v/>
      </c>
      <c r="J54" s="33"/>
      <c r="K54" s="32"/>
      <c r="L54" s="33"/>
      <c r="M54" s="32"/>
      <c r="N54" s="32"/>
    </row>
    <row r="55" customFormat="false" ht="15" hidden="false" customHeight="false" outlineLevel="0" collapsed="false">
      <c r="A55" s="32"/>
      <c r="B55" s="33"/>
      <c r="C55" s="33"/>
      <c r="D55" s="33"/>
      <c r="E55" s="32"/>
      <c r="F55" s="34"/>
      <c r="G55" s="34"/>
      <c r="H55" s="32"/>
      <c r="I55" s="35" t="str">
        <f aca="true">IF(AND(F55&lt;&gt;"",G55&lt;&gt;""),G55-F55,IF(AND(F55&lt;&gt;"",H55&lt;&gt;"Complete"),TODAY()-F55,""))</f>
        <v/>
      </c>
      <c r="J55" s="33"/>
      <c r="K55" s="32"/>
      <c r="L55" s="33"/>
      <c r="M55" s="32"/>
      <c r="N55" s="32"/>
    </row>
    <row r="56" customFormat="false" ht="15" hidden="false" customHeight="false" outlineLevel="0" collapsed="false">
      <c r="A56" s="32"/>
      <c r="B56" s="33"/>
      <c r="C56" s="33"/>
      <c r="D56" s="33"/>
      <c r="E56" s="32"/>
      <c r="F56" s="34"/>
      <c r="G56" s="34"/>
      <c r="H56" s="32"/>
      <c r="I56" s="35" t="str">
        <f aca="true">IF(AND(F56&lt;&gt;"",G56&lt;&gt;""),G56-F56,IF(AND(F56&lt;&gt;"",H56&lt;&gt;"Complete"),TODAY()-F56,""))</f>
        <v/>
      </c>
      <c r="J56" s="33"/>
      <c r="K56" s="32"/>
      <c r="L56" s="33"/>
      <c r="M56" s="32"/>
      <c r="N56" s="32"/>
    </row>
    <row r="57" customFormat="false" ht="15" hidden="false" customHeight="false" outlineLevel="0" collapsed="false">
      <c r="A57" s="32"/>
      <c r="B57" s="33"/>
      <c r="C57" s="33"/>
      <c r="D57" s="33"/>
      <c r="E57" s="32"/>
      <c r="F57" s="34"/>
      <c r="G57" s="34"/>
      <c r="H57" s="32"/>
      <c r="I57" s="35" t="str">
        <f aca="true">IF(AND(F57&lt;&gt;"",G57&lt;&gt;""),G57-F57,IF(AND(F57&lt;&gt;"",H57&lt;&gt;"Complete"),TODAY()-F57,""))</f>
        <v/>
      </c>
      <c r="J57" s="33"/>
      <c r="K57" s="32"/>
      <c r="L57" s="33"/>
      <c r="M57" s="32"/>
      <c r="N57" s="32"/>
    </row>
  </sheetData>
  <autoFilter ref="A7:N7"/>
  <mergeCells count="2">
    <mergeCell ref="A1:N1"/>
    <mergeCell ref="K6:N6"/>
  </mergeCells>
  <conditionalFormatting sqref="H8:H507">
    <cfRule type="cellIs" priority="2" operator="equal" aboveAverage="0" equalAverage="0" bottom="0" percent="0" rank="0" text="" dxfId="3">
      <formula>"Complete"</formula>
    </cfRule>
    <cfRule type="cellIs" priority="3" operator="equal" aboveAverage="0" equalAverage="0" bottom="0" percent="0" rank="0" text="" dxfId="4">
      <formula>"In Progress"</formula>
    </cfRule>
    <cfRule type="cellIs" priority="4" operator="equal" aboveAverage="0" equalAverage="0" bottom="0" percent="0" rank="0" text="" dxfId="5">
      <formula>"Not Started"</formula>
    </cfRule>
    <cfRule type="cellIs" priority="5" operator="equal" aboveAverage="0" equalAverage="0" bottom="0" percent="0" rank="0" text="" dxfId="6">
      <formula>"On Hold"</formula>
    </cfRule>
  </conditionalFormatting>
  <conditionalFormatting sqref="F8:F507">
    <cfRule type="expression" priority="6" aboveAverage="0" equalAverage="0" bottom="0" percent="0" rank="0" text="" dxfId="5">
      <formula>AND(F8&lt;&gt;"",F8&lt;TODAY(),H8&lt;&gt;"Complete")</formula>
    </cfRule>
  </conditionalFormatting>
  <conditionalFormatting sqref="I8:I507">
    <cfRule type="expression" priority="7" aboveAverage="0" equalAverage="0" bottom="0" percent="0" rank="0" text="" dxfId="7">
      <formula>AND(I8&lt;&gt;"",I8&gt;0)</formula>
    </cfRule>
    <cfRule type="expression" priority="8" aboveAverage="0" equalAverage="0" bottom="0" percent="0" rank="0" text="" dxfId="8">
      <formula>AND(I8&lt;&gt;"",I8&lt;=0)</formula>
    </cfRule>
  </conditionalFormatting>
  <dataValidations count="4">
    <dataValidation allowBlank="true" error="Please select a valid status" errorStyle="stop" errorTitle="Invalid Status" operator="between" showDropDown="false" showErrorMessage="false" showInputMessage="false" sqref="H8:H507" type="list">
      <formula1>"Not Started,In Progress,Complete,On Hold"</formula1>
      <formula2>0</formula2>
    </dataValidation>
    <dataValidation allowBlank="true" error="Select a cable type or enter custom" errorStyle="stop" operator="between" showDropDown="false" showErrorMessage="false" showInputMessage="false" sqref="D8:D507" type="list">
      <formula1>"SWA 3c 2.5mm²,SWA 3c 4mm²,SWA 3c 6mm²,SWA 4c 6mm²,SWA 4c 10mm²,SWA 4c 16mm²,SWA 4c 25mm²,XLPE 1c 50mm²,XLPE 1c 95mm²,XLPE 1c 185mm²,SY 4c 1.5mm²,SY 7c 1.5mm²,Cat6 UTP,Fibre Optic MM,Inst Cable 1pr,Inst Cable 2pr,Inst Cable 4pr"</formula1>
      <formula2>0</formula2>
    </dataValidation>
    <dataValidation allowBlank="true" error="Please enter a valid date" errorStyle="stop" operator="between" showDropDown="false" showErrorMessage="false" showInputMessage="false" sqref="F8:G507" type="date">
      <formula1>0</formula1>
      <formula2>0</formula2>
    </dataValidation>
    <dataValidation allowBlank="true" error="Enter a positive number" errorStyle="stop" operator="greaterThan" showDropDown="false" showErrorMessage="false" showInputMessage="false" sqref="E8:E507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&amp;CCable Pulling Schedule</oddHeader>
    <oddFooter>&amp;Rebrora.com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65" hidden="false" customHeight="false" outlineLevel="0" collapsed="false">
      <c r="A1" s="36" t="s">
        <v>108</v>
      </c>
    </row>
    <row r="2" customFormat="false" ht="15" hidden="false" customHeight="false" outlineLevel="0" collapsed="false">
      <c r="A2" s="37"/>
    </row>
    <row r="3" customFormat="false" ht="15" hidden="false" customHeight="false" outlineLevel="0" collapsed="false">
      <c r="A3" s="37" t="s">
        <v>109</v>
      </c>
    </row>
    <row r="4" customFormat="false" ht="15" hidden="false" customHeight="false" outlineLevel="0" collapsed="false">
      <c r="A4" s="37"/>
    </row>
    <row r="5" customFormat="false" ht="15" hidden="false" customHeight="false" outlineLevel="0" collapsed="false">
      <c r="A5" s="37" t="s">
        <v>110</v>
      </c>
    </row>
    <row r="6" customFormat="false" ht="15" hidden="false" customHeight="false" outlineLevel="0" collapsed="false">
      <c r="A6" s="37"/>
    </row>
    <row r="7" customFormat="false" ht="23.85" hidden="false" customHeight="false" outlineLevel="0" collapsed="false">
      <c r="A7" s="37" t="s">
        <v>111</v>
      </c>
    </row>
    <row r="8" customFormat="false" ht="15" hidden="false" customHeight="false" outlineLevel="0" collapsed="false">
      <c r="A8" s="37"/>
    </row>
    <row r="9" customFormat="false" ht="15" hidden="false" customHeight="false" outlineLevel="0" collapsed="false">
      <c r="A9" s="37" t="s">
        <v>112</v>
      </c>
    </row>
    <row r="10" customFormat="false" ht="15" hidden="false" customHeight="false" outlineLevel="0" collapsed="false">
      <c r="A10" s="37"/>
    </row>
    <row r="11" customFormat="false" ht="15" hidden="false" customHeight="false" outlineLevel="0" collapsed="false">
      <c r="A11" s="37" t="s">
        <v>113</v>
      </c>
    </row>
    <row r="12" customFormat="false" ht="15" hidden="false" customHeight="false" outlineLevel="0" collapsed="false">
      <c r="A12" s="37"/>
    </row>
    <row r="13" customFormat="false" ht="23.85" hidden="false" customHeight="false" outlineLevel="0" collapsed="false">
      <c r="A13" s="37" t="s">
        <v>114</v>
      </c>
    </row>
    <row r="14" customFormat="false" ht="15" hidden="false" customHeight="false" outlineLevel="0" collapsed="false">
      <c r="A14" s="37"/>
    </row>
    <row r="15" customFormat="false" ht="15" hidden="false" customHeight="false" outlineLevel="0" collapsed="false">
      <c r="A15" s="37" t="s">
        <v>115</v>
      </c>
    </row>
    <row r="16" customFormat="false" ht="15" hidden="false" customHeight="false" outlineLevel="0" collapsed="false">
      <c r="A16" s="37"/>
    </row>
    <row r="17" customFormat="false" ht="15" hidden="false" customHeight="false" outlineLevel="0" collapsed="false">
      <c r="A17" s="37" t="s">
        <v>116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MEICA / Commissioning</cp:category>
  <dcterms:created xsi:type="dcterms:W3CDTF">2026-03-22T19:57:12Z</dcterms:created>
  <dc:creator>Ebrora Ltd</dc:creator>
  <dc:description>Schedule and track cable pulling activities from planning through installation, testing, and sign-off — designed for MEICA engineers and electrical supervisors on UK construction projects.
Free professional construction management template from Ebrora Ltd. Visit ebrora.com for our full range of tools and templates.</dc:description>
  <cp:keywords>Ebrora construction MEICA commissioning cable pulling cable schedule electrical site management</cp:keywords>
  <dc:language>en-US</dc:language>
  <cp:lastModifiedBy>Ebrora Ltd</cp:lastModifiedBy>
  <dcterms:modified xsi:type="dcterms:W3CDTF">2026-03-22T19:57:12Z</dcterms:modified>
  <cp:revision>0</cp:revision>
  <dc:subject>Schedule and track cable pulling activities including status, dates, and testing across a construction or MEICA project.</dc:subject>
  <dc:title>Cable Pulling Schedule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