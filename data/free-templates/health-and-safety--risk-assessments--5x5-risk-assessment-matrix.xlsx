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Matrix" sheetId="1" state="visible" r:id="rId3"/>
    <sheet name="Risk Register" sheetId="2" state="visible" r:id="rId4"/>
    <sheet name="Instructions" sheetId="3" state="visible" r:id="rId5"/>
  </sheets>
  <definedNames>
    <definedName function="false" hidden="false" localSheetId="0" name="_xlnm.Print_Area" vbProcedure="false">'Risk Matrix'!$A$1:$G$36</definedName>
    <definedName function="false" hidden="false" localSheetId="0" name="_xlnm.Print_Titles" vbProcedure="false">'Risk Matrix'!$1:$2</definedName>
    <definedName function="false" hidden="false" localSheetId="1" name="_xlnm.Print_Area" vbProcedure="false">'Risk Register'!$A$1:$O$38</definedName>
    <definedName function="false" hidden="false" localSheetId="1" name="_xlnm.Print_Titles" vbProcedure="false">'Risk Register'!$1:$5</definedName>
    <definedName function="false" hidden="true" localSheetId="1" name="_xlnm._FilterDatabase" vbProcedure="false">'Risk Register'!$A$5:$O$30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<sst xmlns="http://schemas.openxmlformats.org/spreadsheetml/2006/main" count="113" uniqueCount="106">
  <si>
    <t xml:space="preserve">ebrora.com</t>
  </si>
  <si>
    <t xml:space="preserve">5×5 RISK ASSESSMENT MATRIX</t>
  </si>
  <si>
    <t xml:space="preserve">Project Name:</t>
  </si>
  <si>
    <t xml:space="preserve">Contract No.:</t>
  </si>
  <si>
    <t xml:space="preserve">Prepared By:</t>
  </si>
  <si>
    <t xml:space="preserve">Date:</t>
  </si>
  <si>
    <t xml:space="preserve">Rev:</t>
  </si>
  <si>
    <t xml:space="preserve">5×5 RISK MATRIX — LIKELIHOOD vs SEVERITY</t>
  </si>
  <si>
    <t xml:space="preserve">SEVERITY →
LIKELIHOOD ↓</t>
  </si>
  <si>
    <t xml:space="preserve">Insignificant
(1)</t>
  </si>
  <si>
    <t xml:space="preserve">Minor
(2)</t>
  </si>
  <si>
    <t xml:space="preserve">Moderate
(3)</t>
  </si>
  <si>
    <t xml:space="preserve">Major
(4)</t>
  </si>
  <si>
    <t xml:space="preserve">Catastrophic
(5)</t>
  </si>
  <si>
    <t xml:space="preserve">Almost Certain (5)</t>
  </si>
  <si>
    <t xml:space="preserve">Likely (4)</t>
  </si>
  <si>
    <t xml:space="preserve">Possible (3)</t>
  </si>
  <si>
    <t xml:space="preserve">Unlikely (2)</t>
  </si>
  <si>
    <t xml:space="preserve">Rare (1)</t>
  </si>
  <si>
    <t xml:space="preserve">RISK RATING KEY</t>
  </si>
  <si>
    <t xml:space="preserve">1–4</t>
  </si>
  <si>
    <t xml:space="preserve">Low Risk</t>
  </si>
  <si>
    <t xml:space="preserve">Manage by routine procedures</t>
  </si>
  <si>
    <t xml:space="preserve">5–9</t>
  </si>
  <si>
    <t xml:space="preserve">Moderate Risk</t>
  </si>
  <si>
    <t xml:space="preserve">Requires monitoring and review</t>
  </si>
  <si>
    <t xml:space="preserve">10–12</t>
  </si>
  <si>
    <t xml:space="preserve">High Risk</t>
  </si>
  <si>
    <t xml:space="preserve">Requires senior management attention</t>
  </si>
  <si>
    <t xml:space="preserve">13–16</t>
  </si>
  <si>
    <t xml:space="preserve">Very High Risk</t>
  </si>
  <si>
    <t xml:space="preserve">Immediate action required</t>
  </si>
  <si>
    <t xml:space="preserve">17–25</t>
  </si>
  <si>
    <t xml:space="preserve">Extreme Risk</t>
  </si>
  <si>
    <t xml:space="preserve">Stop work — do not proceed</t>
  </si>
  <si>
    <t xml:space="preserve">SEVERITY DEFINITIONS</t>
  </si>
  <si>
    <t xml:space="preserve">Rating</t>
  </si>
  <si>
    <t xml:space="preserve">Descriptor</t>
  </si>
  <si>
    <t xml:space="preserve">Definition</t>
  </si>
  <si>
    <t xml:space="preserve">Insignificant</t>
  </si>
  <si>
    <t xml:space="preserve">No injury / negligible impact / no disruption</t>
  </si>
  <si>
    <t xml:space="preserve">Minor</t>
  </si>
  <si>
    <t xml:space="preserve">First aid injury / minor environmental impact / slight delay</t>
  </si>
  <si>
    <t xml:space="preserve">Moderate</t>
  </si>
  <si>
    <t xml:space="preserve">Lost time injury / localised environmental damage / moderate delay</t>
  </si>
  <si>
    <t xml:space="preserve">Major</t>
  </si>
  <si>
    <t xml:space="preserve">Serious injury / significant pollution / major programme impact</t>
  </si>
  <si>
    <t xml:space="preserve">Catastrophic</t>
  </si>
  <si>
    <t xml:space="preserve">Fatality or permanent disability / major environmental disaster / project failure</t>
  </si>
  <si>
    <t xml:space="preserve">LIKELIHOOD DEFINITIONS</t>
  </si>
  <si>
    <t xml:space="preserve">Rare</t>
  </si>
  <si>
    <t xml:space="preserve">Very unlikely to occur; no known history</t>
  </si>
  <si>
    <t xml:space="preserve">Unlikely</t>
  </si>
  <si>
    <t xml:space="preserve">Could occur in exceptional circumstances</t>
  </si>
  <si>
    <t xml:space="preserve">Possible</t>
  </si>
  <si>
    <t xml:space="preserve">Could occur at some time; has occurred elsewhere</t>
  </si>
  <si>
    <t xml:space="preserve">Likely</t>
  </si>
  <si>
    <t xml:space="preserve">Will probably occur; has occurred previously on similar projects</t>
  </si>
  <si>
    <t xml:space="preserve">Almost Certain</t>
  </si>
  <si>
    <t xml:space="preserve">Expected to occur; occurs regularly</t>
  </si>
  <si>
    <t xml:space="preserve">RISK ASSESSMENT REGISTER</t>
  </si>
  <si>
    <t xml:space="preserve">Project:</t>
  </si>
  <si>
    <t xml:space="preserve">No.</t>
  </si>
  <si>
    <t xml:space="preserve">Hazard / Activity</t>
  </si>
  <si>
    <t xml:space="preserve">Persons at Risk</t>
  </si>
  <si>
    <t xml:space="preserve">Existing Controls</t>
  </si>
  <si>
    <t xml:space="preserve">Severity
(1–5)</t>
  </si>
  <si>
    <t xml:space="preserve">Likelihood
(1–5)</t>
  </si>
  <si>
    <t xml:space="preserve">Risk Score
(S×L)</t>
  </si>
  <si>
    <t xml:space="preserve">Risk Level</t>
  </si>
  <si>
    <t xml:space="preserve">Additional Controls Required</t>
  </si>
  <si>
    <t xml:space="preserve">Residual
Severity</t>
  </si>
  <si>
    <t xml:space="preserve">Residual
Likelihood</t>
  </si>
  <si>
    <t xml:space="preserve">Residual
Risk Score</t>
  </si>
  <si>
    <t xml:space="preserve">Residual
Risk Level</t>
  </si>
  <si>
    <t xml:space="preserve">Responsible
Person</t>
  </si>
  <si>
    <t xml:space="preserve">Review
Date</t>
  </si>
  <si>
    <t xml:space="preserve">SUMMARY</t>
  </si>
  <si>
    <t xml:space="preserve">Total Risks:</t>
  </si>
  <si>
    <t xml:space="preserve">Extreme:</t>
  </si>
  <si>
    <t xml:space="preserve">Very High:</t>
  </si>
  <si>
    <t xml:space="preserve">High:</t>
  </si>
  <si>
    <t xml:space="preserve">Moderate:</t>
  </si>
  <si>
    <t xml:space="preserve">Low:</t>
  </si>
  <si>
    <t xml:space="preserve">INSTRUCTIONS — 5×5 Risk Assessment Matrix</t>
  </si>
  <si>
    <t xml:space="preserve">How to Use This Template</t>
  </si>
  <si>
    <t xml:space="preserve">1. Complete the project details at the top of each sheet.</t>
  </si>
  <si>
    <t xml:space="preserve">2. Refer to the 'Risk Matrix' sheet for the 5×5 matrix, severity and likelihood definitions.</t>
  </si>
  <si>
    <t xml:space="preserve">3. Use the 'Risk Register' sheet to record each identified hazard.</t>
  </si>
  <si>
    <t xml:space="preserve">4. For each hazard, enter a Severity score (1–5) and Likelihood score (1–5).</t>
  </si>
  <si>
    <t xml:space="preserve">5. The Risk Score (Severity × Likelihood) and Risk Level calculate automatically.</t>
  </si>
  <si>
    <t xml:space="preserve">6. Record additional control measures required to reduce the risk.</t>
  </si>
  <si>
    <t xml:space="preserve">7. Enter Residual Severity and Residual Likelihood after controls are applied.</t>
  </si>
  <si>
    <t xml:space="preserve">8. The Residual Risk Score and Level will calculate automatically.</t>
  </si>
  <si>
    <t xml:space="preserve">9. Assign a responsible person and review date for each risk.</t>
  </si>
  <si>
    <t xml:space="preserve">Risk Level Thresholds:</t>
  </si>
  <si>
    <t xml:space="preserve">  1–4 = Low (manage by routine procedures)</t>
  </si>
  <si>
    <t xml:space="preserve">  5–9 = Moderate (requires monitoring and review)</t>
  </si>
  <si>
    <t xml:space="preserve">  10–12 = High (requires senior management attention)</t>
  </si>
  <si>
    <t xml:space="preserve">  13–16 = Very High (immediate action required)</t>
  </si>
  <si>
    <t xml:space="preserve">  17–25 = Extreme (stop work — do not proceed)</t>
  </si>
  <si>
    <t xml:space="preserve">References:</t>
  </si>
  <si>
    <t xml:space="preserve">  Management of Health and Safety at Work Regulations 1999</t>
  </si>
  <si>
    <t xml:space="preserve">  HSE guidance HSG65 — Managing for Health and Safety</t>
  </si>
  <si>
    <t xml:space="preserve">  CDM Regulations 2015</t>
  </si>
  <si>
    <t xml:space="preserve">  PAS 1192-6 Health and Safety Information Management using BIM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</si>
</sst>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333333"/>
      </patternFill>
    </fill>
    <fill>
      <patternFill patternType="solid">
        <fgColor rgb="FF92D050"/>
        <bgColor rgb="FFC0C0C0"/>
      </patternFill>
    </fill>
    <fill>
      <patternFill patternType="solid">
        <fgColor rgb="FFFFC000"/>
        <bgColor rgb="FFFF8C00"/>
      </patternFill>
    </fill>
    <fill>
      <patternFill patternType="solid">
        <fgColor rgb="FFFF8C00"/>
        <bgColor rgb="FFFF6600"/>
      </patternFill>
    </fill>
    <fill>
      <patternFill patternType="solid">
        <fgColor rgb="FFFF0000"/>
        <bgColor rgb="FF993300"/>
      </patternFill>
    </fill>
    <fill>
      <patternFill patternType="solid">
        <fgColor rgb="FF00B050"/>
        <bgColor rgb="FF008080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8C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2D050"/>
      <rgbColor rgb="FFFFC000"/>
      <rgbColor rgb="FFFF8C00"/>
      <rgbColor rgb="FFFF6600"/>
      <rgbColor rgb="FF666699"/>
      <rgbColor rgb="FF969696"/>
      <rgbColor rgb="FF1B2A4A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7" min="3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B3" s="3" t="s">
        <v>2</v>
      </c>
      <c r="D3" s="4"/>
      <c r="E3" s="4"/>
      <c r="F3" s="4"/>
      <c r="G3" s="4"/>
    </row>
    <row r="4" customFormat="false" ht="15" hidden="false" customHeight="false" outlineLevel="0" collapsed="false">
      <c r="B4" s="3" t="s">
        <v>3</v>
      </c>
      <c r="D4" s="4"/>
      <c r="E4" s="4"/>
      <c r="F4" s="4"/>
      <c r="G4" s="4"/>
    </row>
    <row r="5" customFormat="false" ht="15" hidden="false" customHeight="false" outlineLevel="0" collapsed="false">
      <c r="B5" s="3" t="s">
        <v>4</v>
      </c>
      <c r="C5" s="4"/>
      <c r="D5" s="4"/>
      <c r="E5" s="3" t="s">
        <v>5</v>
      </c>
      <c r="F5" s="4"/>
      <c r="G5" s="3" t="s">
        <v>6</v>
      </c>
    </row>
    <row r="7" customFormat="false" ht="15" hidden="false" customHeight="true" outlineLevel="0" collapsed="false">
      <c r="A7" s="5" t="s">
        <v>7</v>
      </c>
      <c r="B7" s="5"/>
      <c r="C7" s="5"/>
      <c r="D7" s="5"/>
      <c r="E7" s="5"/>
      <c r="F7" s="5"/>
      <c r="G7" s="5"/>
    </row>
    <row r="8" customFormat="false" ht="36" hidden="false" customHeight="true" outlineLevel="0" collapsed="false">
      <c r="A8" s="6"/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</row>
    <row r="9" customFormat="false" ht="27.75" hidden="false" customHeight="true" outlineLevel="0" collapsed="false">
      <c r="A9" s="7"/>
      <c r="B9" s="8" t="s">
        <v>14</v>
      </c>
      <c r="C9" s="9" t="n">
        <v>5</v>
      </c>
      <c r="D9" s="10" t="n">
        <v>10</v>
      </c>
      <c r="E9" s="11" t="n">
        <v>15</v>
      </c>
      <c r="F9" s="12" t="n">
        <v>20</v>
      </c>
      <c r="G9" s="12" t="n">
        <v>25</v>
      </c>
    </row>
    <row r="10" customFormat="false" ht="27.75" hidden="false" customHeight="true" outlineLevel="0" collapsed="false">
      <c r="A10" s="7"/>
      <c r="B10" s="8" t="s">
        <v>15</v>
      </c>
      <c r="C10" s="13" t="n">
        <v>4</v>
      </c>
      <c r="D10" s="9" t="n">
        <v>8</v>
      </c>
      <c r="E10" s="10" t="n">
        <v>12</v>
      </c>
      <c r="F10" s="11" t="n">
        <v>16</v>
      </c>
      <c r="G10" s="12" t="n">
        <v>20</v>
      </c>
    </row>
    <row r="11" customFormat="false" ht="27.75" hidden="false" customHeight="true" outlineLevel="0" collapsed="false">
      <c r="A11" s="7"/>
      <c r="B11" s="8" t="s">
        <v>16</v>
      </c>
      <c r="C11" s="13" t="n">
        <v>3</v>
      </c>
      <c r="D11" s="9" t="n">
        <v>6</v>
      </c>
      <c r="E11" s="9" t="n">
        <v>9</v>
      </c>
      <c r="F11" s="10" t="n">
        <v>12</v>
      </c>
      <c r="G11" s="11" t="n">
        <v>15</v>
      </c>
    </row>
    <row r="12" customFormat="false" ht="27.75" hidden="false" customHeight="true" outlineLevel="0" collapsed="false">
      <c r="A12" s="7"/>
      <c r="B12" s="8" t="s">
        <v>17</v>
      </c>
      <c r="C12" s="13" t="n">
        <v>2</v>
      </c>
      <c r="D12" s="13" t="n">
        <v>4</v>
      </c>
      <c r="E12" s="9" t="n">
        <v>6</v>
      </c>
      <c r="F12" s="9" t="n">
        <v>8</v>
      </c>
      <c r="G12" s="10" t="n">
        <v>10</v>
      </c>
    </row>
    <row r="13" customFormat="false" ht="27.75" hidden="false" customHeight="true" outlineLevel="0" collapsed="false">
      <c r="A13" s="7"/>
      <c r="B13" s="8" t="s">
        <v>18</v>
      </c>
      <c r="C13" s="13" t="n">
        <v>1</v>
      </c>
      <c r="D13" s="13" t="n">
        <v>2</v>
      </c>
      <c r="E13" s="13" t="n">
        <v>3</v>
      </c>
      <c r="F13" s="13" t="n">
        <v>4</v>
      </c>
      <c r="G13" s="9" t="n">
        <v>5</v>
      </c>
    </row>
    <row r="15" customFormat="false" ht="15" hidden="false" customHeight="true" outlineLevel="0" collapsed="false">
      <c r="A15" s="5" t="s">
        <v>19</v>
      </c>
      <c r="B15" s="5"/>
      <c r="C15" s="5"/>
      <c r="D15" s="5"/>
      <c r="E15" s="5"/>
      <c r="F15" s="5"/>
      <c r="G15" s="5"/>
    </row>
    <row r="16" customFormat="false" ht="15" hidden="false" customHeight="true" outlineLevel="0" collapsed="false">
      <c r="B16" s="14" t="s">
        <v>20</v>
      </c>
      <c r="C16" s="15" t="s">
        <v>21</v>
      </c>
      <c r="D16" s="15"/>
      <c r="E16" s="16" t="s">
        <v>22</v>
      </c>
      <c r="F16" s="16"/>
      <c r="G16" s="16"/>
    </row>
    <row r="17" customFormat="false" ht="15" hidden="false" customHeight="true" outlineLevel="0" collapsed="false">
      <c r="B17" s="17" t="s">
        <v>23</v>
      </c>
      <c r="C17" s="15" t="s">
        <v>24</v>
      </c>
      <c r="D17" s="15"/>
      <c r="E17" s="16" t="s">
        <v>25</v>
      </c>
      <c r="F17" s="16"/>
      <c r="G17" s="16"/>
    </row>
    <row r="18" customFormat="false" ht="15" hidden="false" customHeight="true" outlineLevel="0" collapsed="false">
      <c r="B18" s="18" t="s">
        <v>26</v>
      </c>
      <c r="C18" s="15" t="s">
        <v>27</v>
      </c>
      <c r="D18" s="15"/>
      <c r="E18" s="16" t="s">
        <v>28</v>
      </c>
      <c r="F18" s="16"/>
      <c r="G18" s="16"/>
    </row>
    <row r="19" customFormat="false" ht="15" hidden="false" customHeight="true" outlineLevel="0" collapsed="false">
      <c r="B19" s="19" t="s">
        <v>29</v>
      </c>
      <c r="C19" s="15" t="s">
        <v>30</v>
      </c>
      <c r="D19" s="15"/>
      <c r="E19" s="16" t="s">
        <v>31</v>
      </c>
      <c r="F19" s="16"/>
      <c r="G19" s="16"/>
    </row>
    <row r="20" customFormat="false" ht="15" hidden="false" customHeight="true" outlineLevel="0" collapsed="false">
      <c r="B20" s="20" t="s">
        <v>32</v>
      </c>
      <c r="C20" s="15" t="s">
        <v>33</v>
      </c>
      <c r="D20" s="15"/>
      <c r="E20" s="16" t="s">
        <v>34</v>
      </c>
      <c r="F20" s="16"/>
      <c r="G20" s="16"/>
    </row>
    <row r="22" customFormat="false" ht="15" hidden="false" customHeight="true" outlineLevel="0" collapsed="false">
      <c r="A22" s="5" t="s">
        <v>35</v>
      </c>
      <c r="B22" s="5"/>
      <c r="C22" s="5"/>
      <c r="D22" s="5"/>
      <c r="E22" s="5"/>
      <c r="F22" s="5"/>
      <c r="G22" s="5"/>
    </row>
    <row r="23" customFormat="false" ht="15" hidden="false" customHeight="true" outlineLevel="0" collapsed="false">
      <c r="B23" s="6" t="s">
        <v>36</v>
      </c>
      <c r="C23" s="6" t="s">
        <v>37</v>
      </c>
      <c r="D23" s="21" t="s">
        <v>38</v>
      </c>
      <c r="E23" s="21"/>
      <c r="F23" s="21"/>
      <c r="G23" s="21"/>
    </row>
    <row r="24" customFormat="false" ht="15" hidden="false" customHeight="true" outlineLevel="0" collapsed="false">
      <c r="B24" s="22" t="n">
        <v>1</v>
      </c>
      <c r="C24" s="23" t="s">
        <v>39</v>
      </c>
      <c r="D24" s="24" t="s">
        <v>40</v>
      </c>
      <c r="E24" s="24"/>
      <c r="F24" s="24"/>
      <c r="G24" s="24"/>
    </row>
    <row r="25" customFormat="false" ht="15" hidden="false" customHeight="true" outlineLevel="0" collapsed="false">
      <c r="B25" s="25" t="n">
        <v>2</v>
      </c>
      <c r="C25" s="3" t="s">
        <v>41</v>
      </c>
      <c r="D25" s="16" t="s">
        <v>42</v>
      </c>
      <c r="E25" s="16"/>
      <c r="F25" s="16"/>
      <c r="G25" s="16"/>
    </row>
    <row r="26" customFormat="false" ht="15" hidden="false" customHeight="true" outlineLevel="0" collapsed="false">
      <c r="B26" s="22" t="n">
        <v>3</v>
      </c>
      <c r="C26" s="23" t="s">
        <v>43</v>
      </c>
      <c r="D26" s="24" t="s">
        <v>44</v>
      </c>
      <c r="E26" s="24"/>
      <c r="F26" s="24"/>
      <c r="G26" s="24"/>
    </row>
    <row r="27" customFormat="false" ht="15" hidden="false" customHeight="true" outlineLevel="0" collapsed="false">
      <c r="B27" s="25" t="n">
        <v>4</v>
      </c>
      <c r="C27" s="3" t="s">
        <v>45</v>
      </c>
      <c r="D27" s="16" t="s">
        <v>46</v>
      </c>
      <c r="E27" s="16"/>
      <c r="F27" s="16"/>
      <c r="G27" s="16"/>
    </row>
    <row r="28" customFormat="false" ht="23.85" hidden="false" customHeight="true" outlineLevel="0" collapsed="false">
      <c r="B28" s="22" t="n">
        <v>5</v>
      </c>
      <c r="C28" s="23" t="s">
        <v>47</v>
      </c>
      <c r="D28" s="24" t="s">
        <v>48</v>
      </c>
      <c r="E28" s="24"/>
      <c r="F28" s="24"/>
      <c r="G28" s="24"/>
    </row>
    <row r="30" customFormat="false" ht="15" hidden="false" customHeight="true" outlineLevel="0" collapsed="false">
      <c r="A30" s="5" t="s">
        <v>49</v>
      </c>
      <c r="B30" s="5"/>
      <c r="C30" s="5"/>
      <c r="D30" s="5"/>
      <c r="E30" s="5"/>
      <c r="F30" s="5"/>
      <c r="G30" s="5"/>
    </row>
    <row r="31" customFormat="false" ht="15" hidden="false" customHeight="true" outlineLevel="0" collapsed="false">
      <c r="B31" s="6" t="s">
        <v>36</v>
      </c>
      <c r="C31" s="6" t="s">
        <v>37</v>
      </c>
      <c r="D31" s="21" t="s">
        <v>38</v>
      </c>
      <c r="E31" s="21"/>
      <c r="F31" s="21"/>
      <c r="G31" s="21"/>
    </row>
    <row r="32" customFormat="false" ht="15" hidden="false" customHeight="true" outlineLevel="0" collapsed="false">
      <c r="B32" s="22" t="n">
        <v>1</v>
      </c>
      <c r="C32" s="23" t="s">
        <v>50</v>
      </c>
      <c r="D32" s="24" t="s">
        <v>51</v>
      </c>
      <c r="E32" s="24"/>
      <c r="F32" s="24"/>
      <c r="G32" s="24"/>
    </row>
    <row r="33" customFormat="false" ht="15" hidden="false" customHeight="true" outlineLevel="0" collapsed="false">
      <c r="B33" s="25" t="n">
        <v>2</v>
      </c>
      <c r="C33" s="3" t="s">
        <v>52</v>
      </c>
      <c r="D33" s="16" t="s">
        <v>53</v>
      </c>
      <c r="E33" s="16"/>
      <c r="F33" s="16"/>
      <c r="G33" s="16"/>
    </row>
    <row r="34" customFormat="false" ht="15" hidden="false" customHeight="true" outlineLevel="0" collapsed="false">
      <c r="B34" s="22" t="n">
        <v>3</v>
      </c>
      <c r="C34" s="23" t="s">
        <v>54</v>
      </c>
      <c r="D34" s="24" t="s">
        <v>55</v>
      </c>
      <c r="E34" s="24"/>
      <c r="F34" s="24"/>
      <c r="G34" s="24"/>
    </row>
    <row r="35" customFormat="false" ht="15" hidden="false" customHeight="true" outlineLevel="0" collapsed="false">
      <c r="B35" s="25" t="n">
        <v>4</v>
      </c>
      <c r="C35" s="3" t="s">
        <v>56</v>
      </c>
      <c r="D35" s="16" t="s">
        <v>57</v>
      </c>
      <c r="E35" s="16"/>
      <c r="F35" s="16"/>
      <c r="G35" s="16"/>
    </row>
    <row r="36" customFormat="false" ht="15" hidden="false" customHeight="true" outlineLevel="0" collapsed="false">
      <c r="B36" s="22" t="n">
        <v>5</v>
      </c>
      <c r="C36" s="23" t="s">
        <v>58</v>
      </c>
      <c r="D36" s="24" t="s">
        <v>59</v>
      </c>
      <c r="E36" s="24"/>
      <c r="F36" s="24"/>
      <c r="G36" s="24"/>
    </row>
  </sheetData>
  <mergeCells count="30">
    <mergeCell ref="A1:G1"/>
    <mergeCell ref="A2:G2"/>
    <mergeCell ref="D3:G3"/>
    <mergeCell ref="D4:G4"/>
    <mergeCell ref="A7:G7"/>
    <mergeCell ref="A15:G15"/>
    <mergeCell ref="C16:D16"/>
    <mergeCell ref="E16:G16"/>
    <mergeCell ref="C17:D17"/>
    <mergeCell ref="E17:G17"/>
    <mergeCell ref="C18:D18"/>
    <mergeCell ref="E18:G18"/>
    <mergeCell ref="C19:D19"/>
    <mergeCell ref="E19:G19"/>
    <mergeCell ref="C20:D20"/>
    <mergeCell ref="E20:G20"/>
    <mergeCell ref="A22:G22"/>
    <mergeCell ref="D23:G23"/>
    <mergeCell ref="D24:G24"/>
    <mergeCell ref="D25:G25"/>
    <mergeCell ref="D26:G26"/>
    <mergeCell ref="D27:G27"/>
    <mergeCell ref="D28:G28"/>
    <mergeCell ref="A30:G30"/>
    <mergeCell ref="D31:G31"/>
    <mergeCell ref="D32:G32"/>
    <mergeCell ref="D33:G33"/>
    <mergeCell ref="D34:G34"/>
    <mergeCell ref="D35:G35"/>
    <mergeCell ref="D36:G36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6" min="5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4"/>
    <col collapsed="false" customWidth="true" hidden="false" outlineLevel="0" max="11" min="10" style="0" width="9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11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7.75" hidden="false" customHeight="true" outlineLevel="0" collapsed="false">
      <c r="A2" s="2" t="s">
        <v>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23.85" hidden="false" customHeight="false" outlineLevel="0" collapsed="false">
      <c r="A3" s="3" t="s">
        <v>61</v>
      </c>
      <c r="B3" s="4"/>
      <c r="C3" s="4"/>
      <c r="D3" s="4"/>
      <c r="E3" s="4"/>
      <c r="F3" s="3" t="s">
        <v>5</v>
      </c>
      <c r="G3" s="4"/>
      <c r="H3" s="3" t="s">
        <v>6</v>
      </c>
      <c r="I3" s="4"/>
    </row>
    <row r="5" customFormat="false" ht="36" hidden="false" customHeight="true" outlineLevel="0" collapsed="false">
      <c r="A5" s="6" t="s">
        <v>62</v>
      </c>
      <c r="B5" s="6" t="s">
        <v>63</v>
      </c>
      <c r="C5" s="6" t="s">
        <v>64</v>
      </c>
      <c r="D5" s="6" t="s">
        <v>65</v>
      </c>
      <c r="E5" s="6" t="s">
        <v>66</v>
      </c>
      <c r="F5" s="6" t="s">
        <v>67</v>
      </c>
      <c r="G5" s="6" t="s">
        <v>68</v>
      </c>
      <c r="H5" s="6" t="s">
        <v>69</v>
      </c>
      <c r="I5" s="6" t="s">
        <v>70</v>
      </c>
      <c r="J5" s="6" t="s">
        <v>71</v>
      </c>
      <c r="K5" s="6" t="s">
        <v>72</v>
      </c>
      <c r="L5" s="6" t="s">
        <v>73</v>
      </c>
      <c r="M5" s="6" t="s">
        <v>74</v>
      </c>
      <c r="N5" s="6" t="s">
        <v>75</v>
      </c>
      <c r="O5" s="6" t="s">
        <v>76</v>
      </c>
    </row>
    <row r="6" customFormat="false" ht="27.75" hidden="false" customHeight="true" outlineLevel="0" collapsed="false">
      <c r="A6" s="22" t="n">
        <v>1</v>
      </c>
      <c r="B6" s="4"/>
      <c r="C6" s="4"/>
      <c r="D6" s="4"/>
      <c r="E6" s="26"/>
      <c r="F6" s="26"/>
      <c r="G6" s="27" t="str">
        <f aca="false">IF(AND(E6&lt;&gt;"",F6&lt;&gt;""),E6*F6,"")</f>
        <v/>
      </c>
      <c r="H6" s="27" t="str">
        <f aca="false">IF(G6="","",IF(G6&lt;=4,"Low",IF(G6&lt;=9,"Moderate",IF(G6&lt;=12,"High",IF(G6&lt;=16,"Very High","Extreme")))))</f>
        <v/>
      </c>
      <c r="I6" s="4"/>
      <c r="J6" s="26"/>
      <c r="K6" s="26"/>
      <c r="L6" s="27" t="str">
        <f aca="false">IF(AND(J6&lt;&gt;"",K6&lt;&gt;""),J6*K6,"")</f>
        <v/>
      </c>
      <c r="M6" s="27" t="str">
        <f aca="false">IF(L6="","",IF(L6&lt;=4,"Low",IF(L6&lt;=9,"Moderate",IF(L6&lt;=12,"High",IF(L6&lt;=16,"Very High","Extreme")))))</f>
        <v/>
      </c>
      <c r="N6" s="26"/>
      <c r="O6" s="26"/>
    </row>
    <row r="7" customFormat="false" ht="27.75" hidden="false" customHeight="true" outlineLevel="0" collapsed="false">
      <c r="A7" s="25" t="n">
        <v>2</v>
      </c>
      <c r="B7" s="4"/>
      <c r="C7" s="4"/>
      <c r="D7" s="4"/>
      <c r="E7" s="26"/>
      <c r="F7" s="26"/>
      <c r="G7" s="28" t="str">
        <f aca="false">IF(AND(E7&lt;&gt;"",F7&lt;&gt;""),E7*F7,"")</f>
        <v/>
      </c>
      <c r="H7" s="28" t="str">
        <f aca="false">IF(G7="","",IF(G7&lt;=4,"Low",IF(G7&lt;=9,"Moderate",IF(G7&lt;=12,"High",IF(G7&lt;=16,"Very High","Extreme")))))</f>
        <v/>
      </c>
      <c r="I7" s="4"/>
      <c r="J7" s="26"/>
      <c r="K7" s="26"/>
      <c r="L7" s="28" t="str">
        <f aca="false">IF(AND(J7&lt;&gt;"",K7&lt;&gt;""),J7*K7,"")</f>
        <v/>
      </c>
      <c r="M7" s="28" t="str">
        <f aca="false">IF(L7="","",IF(L7&lt;=4,"Low",IF(L7&lt;=9,"Moderate",IF(L7&lt;=12,"High",IF(L7&lt;=16,"Very High","Extreme")))))</f>
        <v/>
      </c>
      <c r="N7" s="26"/>
      <c r="O7" s="26"/>
    </row>
    <row r="8" customFormat="false" ht="27.75" hidden="false" customHeight="true" outlineLevel="0" collapsed="false">
      <c r="A8" s="22" t="n">
        <v>3</v>
      </c>
      <c r="B8" s="4"/>
      <c r="C8" s="4"/>
      <c r="D8" s="4"/>
      <c r="E8" s="26"/>
      <c r="F8" s="26"/>
      <c r="G8" s="27" t="str">
        <f aca="false">IF(AND(E8&lt;&gt;"",F8&lt;&gt;""),E8*F8,"")</f>
        <v/>
      </c>
      <c r="H8" s="27" t="str">
        <f aca="false">IF(G8="","",IF(G8&lt;=4,"Low",IF(G8&lt;=9,"Moderate",IF(G8&lt;=12,"High",IF(G8&lt;=16,"Very High","Extreme")))))</f>
        <v/>
      </c>
      <c r="I8" s="4"/>
      <c r="J8" s="26"/>
      <c r="K8" s="26"/>
      <c r="L8" s="27" t="str">
        <f aca="false">IF(AND(J8&lt;&gt;"",K8&lt;&gt;""),J8*K8,"")</f>
        <v/>
      </c>
      <c r="M8" s="27" t="str">
        <f aca="false">IF(L8="","",IF(L8&lt;=4,"Low",IF(L8&lt;=9,"Moderate",IF(L8&lt;=12,"High",IF(L8&lt;=16,"Very High","Extreme")))))</f>
        <v/>
      </c>
      <c r="N8" s="26"/>
      <c r="O8" s="26"/>
    </row>
    <row r="9" customFormat="false" ht="27.75" hidden="false" customHeight="true" outlineLevel="0" collapsed="false">
      <c r="A9" s="25" t="n">
        <v>4</v>
      </c>
      <c r="B9" s="4"/>
      <c r="C9" s="4"/>
      <c r="D9" s="4"/>
      <c r="E9" s="26"/>
      <c r="F9" s="26"/>
      <c r="G9" s="28" t="str">
        <f aca="false">IF(AND(E9&lt;&gt;"",F9&lt;&gt;""),E9*F9,"")</f>
        <v/>
      </c>
      <c r="H9" s="28" t="str">
        <f aca="false">IF(G9="","",IF(G9&lt;=4,"Low",IF(G9&lt;=9,"Moderate",IF(G9&lt;=12,"High",IF(G9&lt;=16,"Very High","Extreme")))))</f>
        <v/>
      </c>
      <c r="I9" s="4"/>
      <c r="J9" s="26"/>
      <c r="K9" s="26"/>
      <c r="L9" s="28" t="str">
        <f aca="false">IF(AND(J9&lt;&gt;"",K9&lt;&gt;""),J9*K9,"")</f>
        <v/>
      </c>
      <c r="M9" s="28" t="str">
        <f aca="false">IF(L9="","",IF(L9&lt;=4,"Low",IF(L9&lt;=9,"Moderate",IF(L9&lt;=12,"High",IF(L9&lt;=16,"Very High","Extreme")))))</f>
        <v/>
      </c>
      <c r="N9" s="26"/>
      <c r="O9" s="26"/>
    </row>
    <row r="10" customFormat="false" ht="27.75" hidden="false" customHeight="true" outlineLevel="0" collapsed="false">
      <c r="A10" s="22" t="n">
        <v>5</v>
      </c>
      <c r="B10" s="4"/>
      <c r="C10" s="4"/>
      <c r="D10" s="4"/>
      <c r="E10" s="26"/>
      <c r="F10" s="26"/>
      <c r="G10" s="27" t="str">
        <f aca="false">IF(AND(E10&lt;&gt;"",F10&lt;&gt;""),E10*F10,"")</f>
        <v/>
      </c>
      <c r="H10" s="27" t="str">
        <f aca="false">IF(G10="","",IF(G10&lt;=4,"Low",IF(G10&lt;=9,"Moderate",IF(G10&lt;=12,"High",IF(G10&lt;=16,"Very High","Extreme")))))</f>
        <v/>
      </c>
      <c r="I10" s="4"/>
      <c r="J10" s="26"/>
      <c r="K10" s="26"/>
      <c r="L10" s="27" t="str">
        <f aca="false">IF(AND(J10&lt;&gt;"",K10&lt;&gt;""),J10*K10,"")</f>
        <v/>
      </c>
      <c r="M10" s="27" t="str">
        <f aca="false">IF(L10="","",IF(L10&lt;=4,"Low",IF(L10&lt;=9,"Moderate",IF(L10&lt;=12,"High",IF(L10&lt;=16,"Very High","Extreme")))))</f>
        <v/>
      </c>
      <c r="N10" s="26"/>
      <c r="O10" s="26"/>
    </row>
    <row r="11" customFormat="false" ht="27.75" hidden="false" customHeight="true" outlineLevel="0" collapsed="false">
      <c r="A11" s="25" t="n">
        <v>6</v>
      </c>
      <c r="B11" s="4"/>
      <c r="C11" s="4"/>
      <c r="D11" s="4"/>
      <c r="E11" s="26"/>
      <c r="F11" s="26"/>
      <c r="G11" s="28" t="str">
        <f aca="false">IF(AND(E11&lt;&gt;"",F11&lt;&gt;""),E11*F11,"")</f>
        <v/>
      </c>
      <c r="H11" s="28" t="str">
        <f aca="false">IF(G11="","",IF(G11&lt;=4,"Low",IF(G11&lt;=9,"Moderate",IF(G11&lt;=12,"High",IF(G11&lt;=16,"Very High","Extreme")))))</f>
        <v/>
      </c>
      <c r="I11" s="4"/>
      <c r="J11" s="26"/>
      <c r="K11" s="26"/>
      <c r="L11" s="28" t="str">
        <f aca="false">IF(AND(J11&lt;&gt;"",K11&lt;&gt;""),J11*K11,"")</f>
        <v/>
      </c>
      <c r="M11" s="28" t="str">
        <f aca="false">IF(L11="","",IF(L11&lt;=4,"Low",IF(L11&lt;=9,"Moderate",IF(L11&lt;=12,"High",IF(L11&lt;=16,"Very High","Extreme")))))</f>
        <v/>
      </c>
      <c r="N11" s="26"/>
      <c r="O11" s="26"/>
    </row>
    <row r="12" customFormat="false" ht="27.75" hidden="false" customHeight="true" outlineLevel="0" collapsed="false">
      <c r="A12" s="22" t="n">
        <v>7</v>
      </c>
      <c r="B12" s="4"/>
      <c r="C12" s="4"/>
      <c r="D12" s="4"/>
      <c r="E12" s="26"/>
      <c r="F12" s="26"/>
      <c r="G12" s="27" t="str">
        <f aca="false">IF(AND(E12&lt;&gt;"",F12&lt;&gt;""),E12*F12,"")</f>
        <v/>
      </c>
      <c r="H12" s="27" t="str">
        <f aca="false">IF(G12="","",IF(G12&lt;=4,"Low",IF(G12&lt;=9,"Moderate",IF(G12&lt;=12,"High",IF(G12&lt;=16,"Very High","Extreme")))))</f>
        <v/>
      </c>
      <c r="I12" s="4"/>
      <c r="J12" s="26"/>
      <c r="K12" s="26"/>
      <c r="L12" s="27" t="str">
        <f aca="false">IF(AND(J12&lt;&gt;"",K12&lt;&gt;""),J12*K12,"")</f>
        <v/>
      </c>
      <c r="M12" s="27" t="str">
        <f aca="false">IF(L12="","",IF(L12&lt;=4,"Low",IF(L12&lt;=9,"Moderate",IF(L12&lt;=12,"High",IF(L12&lt;=16,"Very High","Extreme")))))</f>
        <v/>
      </c>
      <c r="N12" s="26"/>
      <c r="O12" s="26"/>
    </row>
    <row r="13" customFormat="false" ht="27.75" hidden="false" customHeight="true" outlineLevel="0" collapsed="false">
      <c r="A13" s="25" t="n">
        <v>8</v>
      </c>
      <c r="B13" s="4"/>
      <c r="C13" s="4"/>
      <c r="D13" s="4"/>
      <c r="E13" s="26"/>
      <c r="F13" s="26"/>
      <c r="G13" s="28" t="str">
        <f aca="false">IF(AND(E13&lt;&gt;"",F13&lt;&gt;""),E13*F13,"")</f>
        <v/>
      </c>
      <c r="H13" s="28" t="str">
        <f aca="false">IF(G13="","",IF(G13&lt;=4,"Low",IF(G13&lt;=9,"Moderate",IF(G13&lt;=12,"High",IF(G13&lt;=16,"Very High","Extreme")))))</f>
        <v/>
      </c>
      <c r="I13" s="4"/>
      <c r="J13" s="26"/>
      <c r="K13" s="26"/>
      <c r="L13" s="28" t="str">
        <f aca="false">IF(AND(J13&lt;&gt;"",K13&lt;&gt;""),J13*K13,"")</f>
        <v/>
      </c>
      <c r="M13" s="28" t="str">
        <f aca="false">IF(L13="","",IF(L13&lt;=4,"Low",IF(L13&lt;=9,"Moderate",IF(L13&lt;=12,"High",IF(L13&lt;=16,"Very High","Extreme")))))</f>
        <v/>
      </c>
      <c r="N13" s="26"/>
      <c r="O13" s="26"/>
    </row>
    <row r="14" customFormat="false" ht="27.75" hidden="false" customHeight="true" outlineLevel="0" collapsed="false">
      <c r="A14" s="22" t="n">
        <v>9</v>
      </c>
      <c r="B14" s="4"/>
      <c r="C14" s="4"/>
      <c r="D14" s="4"/>
      <c r="E14" s="26"/>
      <c r="F14" s="26"/>
      <c r="G14" s="27" t="str">
        <f aca="false">IF(AND(E14&lt;&gt;"",F14&lt;&gt;""),E14*F14,"")</f>
        <v/>
      </c>
      <c r="H14" s="27" t="str">
        <f aca="false">IF(G14="","",IF(G14&lt;=4,"Low",IF(G14&lt;=9,"Moderate",IF(G14&lt;=12,"High",IF(G14&lt;=16,"Very High","Extreme")))))</f>
        <v/>
      </c>
      <c r="I14" s="4"/>
      <c r="J14" s="26"/>
      <c r="K14" s="26"/>
      <c r="L14" s="27" t="str">
        <f aca="false">IF(AND(J14&lt;&gt;"",K14&lt;&gt;""),J14*K14,"")</f>
        <v/>
      </c>
      <c r="M14" s="27" t="str">
        <f aca="false">IF(L14="","",IF(L14&lt;=4,"Low",IF(L14&lt;=9,"Moderate",IF(L14&lt;=12,"High",IF(L14&lt;=16,"Very High","Extreme")))))</f>
        <v/>
      </c>
      <c r="N14" s="26"/>
      <c r="O14" s="26"/>
    </row>
    <row r="15" customFormat="false" ht="27.75" hidden="false" customHeight="true" outlineLevel="0" collapsed="false">
      <c r="A15" s="25" t="n">
        <v>10</v>
      </c>
      <c r="B15" s="4"/>
      <c r="C15" s="4"/>
      <c r="D15" s="4"/>
      <c r="E15" s="26"/>
      <c r="F15" s="26"/>
      <c r="G15" s="28" t="str">
        <f aca="false">IF(AND(E15&lt;&gt;"",F15&lt;&gt;""),E15*F15,"")</f>
        <v/>
      </c>
      <c r="H15" s="28" t="str">
        <f aca="false">IF(G15="","",IF(G15&lt;=4,"Low",IF(G15&lt;=9,"Moderate",IF(G15&lt;=12,"High",IF(G15&lt;=16,"Very High","Extreme")))))</f>
        <v/>
      </c>
      <c r="I15" s="4"/>
      <c r="J15" s="26"/>
      <c r="K15" s="26"/>
      <c r="L15" s="28" t="str">
        <f aca="false">IF(AND(J15&lt;&gt;"",K15&lt;&gt;""),J15*K15,"")</f>
        <v/>
      </c>
      <c r="M15" s="28" t="str">
        <f aca="false">IF(L15="","",IF(L15&lt;=4,"Low",IF(L15&lt;=9,"Moderate",IF(L15&lt;=12,"High",IF(L15&lt;=16,"Very High","Extreme")))))</f>
        <v/>
      </c>
      <c r="N15" s="26"/>
      <c r="O15" s="26"/>
    </row>
    <row r="16" customFormat="false" ht="27.75" hidden="false" customHeight="true" outlineLevel="0" collapsed="false">
      <c r="A16" s="22" t="n">
        <v>11</v>
      </c>
      <c r="B16" s="4"/>
      <c r="C16" s="4"/>
      <c r="D16" s="4"/>
      <c r="E16" s="26"/>
      <c r="F16" s="26"/>
      <c r="G16" s="27" t="str">
        <f aca="false">IF(AND(E16&lt;&gt;"",F16&lt;&gt;""),E16*F16,"")</f>
        <v/>
      </c>
      <c r="H16" s="27" t="str">
        <f aca="false">IF(G16="","",IF(G16&lt;=4,"Low",IF(G16&lt;=9,"Moderate",IF(G16&lt;=12,"High",IF(G16&lt;=16,"Very High","Extreme")))))</f>
        <v/>
      </c>
      <c r="I16" s="4"/>
      <c r="J16" s="26"/>
      <c r="K16" s="26"/>
      <c r="L16" s="27" t="str">
        <f aca="false">IF(AND(J16&lt;&gt;"",K16&lt;&gt;""),J16*K16,"")</f>
        <v/>
      </c>
      <c r="M16" s="27" t="str">
        <f aca="false">IF(L16="","",IF(L16&lt;=4,"Low",IF(L16&lt;=9,"Moderate",IF(L16&lt;=12,"High",IF(L16&lt;=16,"Very High","Extreme")))))</f>
        <v/>
      </c>
      <c r="N16" s="26"/>
      <c r="O16" s="26"/>
    </row>
    <row r="17" customFormat="false" ht="27.75" hidden="false" customHeight="true" outlineLevel="0" collapsed="false">
      <c r="A17" s="25" t="n">
        <v>12</v>
      </c>
      <c r="B17" s="4"/>
      <c r="C17" s="4"/>
      <c r="D17" s="4"/>
      <c r="E17" s="26"/>
      <c r="F17" s="26"/>
      <c r="G17" s="28" t="str">
        <f aca="false">IF(AND(E17&lt;&gt;"",F17&lt;&gt;""),E17*F17,"")</f>
        <v/>
      </c>
      <c r="H17" s="28" t="str">
        <f aca="false">IF(G17="","",IF(G17&lt;=4,"Low",IF(G17&lt;=9,"Moderate",IF(G17&lt;=12,"High",IF(G17&lt;=16,"Very High","Extreme")))))</f>
        <v/>
      </c>
      <c r="I17" s="4"/>
      <c r="J17" s="26"/>
      <c r="K17" s="26"/>
      <c r="L17" s="28" t="str">
        <f aca="false">IF(AND(J17&lt;&gt;"",K17&lt;&gt;""),J17*K17,"")</f>
        <v/>
      </c>
      <c r="M17" s="28" t="str">
        <f aca="false">IF(L17="","",IF(L17&lt;=4,"Low",IF(L17&lt;=9,"Moderate",IF(L17&lt;=12,"High",IF(L17&lt;=16,"Very High","Extreme")))))</f>
        <v/>
      </c>
      <c r="N17" s="26"/>
      <c r="O17" s="26"/>
    </row>
    <row r="18" customFormat="false" ht="27.75" hidden="false" customHeight="true" outlineLevel="0" collapsed="false">
      <c r="A18" s="22" t="n">
        <v>13</v>
      </c>
      <c r="B18" s="4"/>
      <c r="C18" s="4"/>
      <c r="D18" s="4"/>
      <c r="E18" s="26"/>
      <c r="F18" s="26"/>
      <c r="G18" s="27" t="str">
        <f aca="false">IF(AND(E18&lt;&gt;"",F18&lt;&gt;""),E18*F18,"")</f>
        <v/>
      </c>
      <c r="H18" s="27" t="str">
        <f aca="false">IF(G18="","",IF(G18&lt;=4,"Low",IF(G18&lt;=9,"Moderate",IF(G18&lt;=12,"High",IF(G18&lt;=16,"Very High","Extreme")))))</f>
        <v/>
      </c>
      <c r="I18" s="4"/>
      <c r="J18" s="26"/>
      <c r="K18" s="26"/>
      <c r="L18" s="27" t="str">
        <f aca="false">IF(AND(J18&lt;&gt;"",K18&lt;&gt;""),J18*K18,"")</f>
        <v/>
      </c>
      <c r="M18" s="27" t="str">
        <f aca="false">IF(L18="","",IF(L18&lt;=4,"Low",IF(L18&lt;=9,"Moderate",IF(L18&lt;=12,"High",IF(L18&lt;=16,"Very High","Extreme")))))</f>
        <v/>
      </c>
      <c r="N18" s="26"/>
      <c r="O18" s="26"/>
    </row>
    <row r="19" customFormat="false" ht="27.75" hidden="false" customHeight="true" outlineLevel="0" collapsed="false">
      <c r="A19" s="25" t="n">
        <v>14</v>
      </c>
      <c r="B19" s="4"/>
      <c r="C19" s="4"/>
      <c r="D19" s="4"/>
      <c r="E19" s="26"/>
      <c r="F19" s="26"/>
      <c r="G19" s="28" t="str">
        <f aca="false">IF(AND(E19&lt;&gt;"",F19&lt;&gt;""),E19*F19,"")</f>
        <v/>
      </c>
      <c r="H19" s="28" t="str">
        <f aca="false">IF(G19="","",IF(G19&lt;=4,"Low",IF(G19&lt;=9,"Moderate",IF(G19&lt;=12,"High",IF(G19&lt;=16,"Very High","Extreme")))))</f>
        <v/>
      </c>
      <c r="I19" s="4"/>
      <c r="J19" s="26"/>
      <c r="K19" s="26"/>
      <c r="L19" s="28" t="str">
        <f aca="false">IF(AND(J19&lt;&gt;"",K19&lt;&gt;""),J19*K19,"")</f>
        <v/>
      </c>
      <c r="M19" s="28" t="str">
        <f aca="false">IF(L19="","",IF(L19&lt;=4,"Low",IF(L19&lt;=9,"Moderate",IF(L19&lt;=12,"High",IF(L19&lt;=16,"Very High","Extreme")))))</f>
        <v/>
      </c>
      <c r="N19" s="26"/>
      <c r="O19" s="26"/>
    </row>
    <row r="20" customFormat="false" ht="27.75" hidden="false" customHeight="true" outlineLevel="0" collapsed="false">
      <c r="A20" s="22" t="n">
        <v>15</v>
      </c>
      <c r="B20" s="4"/>
      <c r="C20" s="4"/>
      <c r="D20" s="4"/>
      <c r="E20" s="26"/>
      <c r="F20" s="26"/>
      <c r="G20" s="27" t="str">
        <f aca="false">IF(AND(E20&lt;&gt;"",F20&lt;&gt;""),E20*F20,"")</f>
        <v/>
      </c>
      <c r="H20" s="27" t="str">
        <f aca="false">IF(G20="","",IF(G20&lt;=4,"Low",IF(G20&lt;=9,"Moderate",IF(G20&lt;=12,"High",IF(G20&lt;=16,"Very High","Extreme")))))</f>
        <v/>
      </c>
      <c r="I20" s="4"/>
      <c r="J20" s="26"/>
      <c r="K20" s="26"/>
      <c r="L20" s="27" t="str">
        <f aca="false">IF(AND(J20&lt;&gt;"",K20&lt;&gt;""),J20*K20,"")</f>
        <v/>
      </c>
      <c r="M20" s="27" t="str">
        <f aca="false">IF(L20="","",IF(L20&lt;=4,"Low",IF(L20&lt;=9,"Moderate",IF(L20&lt;=12,"High",IF(L20&lt;=16,"Very High","Extreme")))))</f>
        <v/>
      </c>
      <c r="N20" s="26"/>
      <c r="O20" s="26"/>
    </row>
    <row r="21" customFormat="false" ht="27.75" hidden="false" customHeight="true" outlineLevel="0" collapsed="false">
      <c r="A21" s="25" t="n">
        <v>16</v>
      </c>
      <c r="B21" s="4"/>
      <c r="C21" s="4"/>
      <c r="D21" s="4"/>
      <c r="E21" s="26"/>
      <c r="F21" s="26"/>
      <c r="G21" s="28" t="str">
        <f aca="false">IF(AND(E21&lt;&gt;"",F21&lt;&gt;""),E21*F21,"")</f>
        <v/>
      </c>
      <c r="H21" s="28" t="str">
        <f aca="false">IF(G21="","",IF(G21&lt;=4,"Low",IF(G21&lt;=9,"Moderate",IF(G21&lt;=12,"High",IF(G21&lt;=16,"Very High","Extreme")))))</f>
        <v/>
      </c>
      <c r="I21" s="4"/>
      <c r="J21" s="26"/>
      <c r="K21" s="26"/>
      <c r="L21" s="28" t="str">
        <f aca="false">IF(AND(J21&lt;&gt;"",K21&lt;&gt;""),J21*K21,"")</f>
        <v/>
      </c>
      <c r="M21" s="28" t="str">
        <f aca="false">IF(L21="","",IF(L21&lt;=4,"Low",IF(L21&lt;=9,"Moderate",IF(L21&lt;=12,"High",IF(L21&lt;=16,"Very High","Extreme")))))</f>
        <v/>
      </c>
      <c r="N21" s="26"/>
      <c r="O21" s="26"/>
    </row>
    <row r="22" customFormat="false" ht="27.75" hidden="false" customHeight="true" outlineLevel="0" collapsed="false">
      <c r="A22" s="22" t="n">
        <v>17</v>
      </c>
      <c r="B22" s="4"/>
      <c r="C22" s="4"/>
      <c r="D22" s="4"/>
      <c r="E22" s="26"/>
      <c r="F22" s="26"/>
      <c r="G22" s="27" t="str">
        <f aca="false">IF(AND(E22&lt;&gt;"",F22&lt;&gt;""),E22*F22,"")</f>
        <v/>
      </c>
      <c r="H22" s="27" t="str">
        <f aca="false">IF(G22="","",IF(G22&lt;=4,"Low",IF(G22&lt;=9,"Moderate",IF(G22&lt;=12,"High",IF(G22&lt;=16,"Very High","Extreme")))))</f>
        <v/>
      </c>
      <c r="I22" s="4"/>
      <c r="J22" s="26"/>
      <c r="K22" s="26"/>
      <c r="L22" s="27" t="str">
        <f aca="false">IF(AND(J22&lt;&gt;"",K22&lt;&gt;""),J22*K22,"")</f>
        <v/>
      </c>
      <c r="M22" s="27" t="str">
        <f aca="false">IF(L22="","",IF(L22&lt;=4,"Low",IF(L22&lt;=9,"Moderate",IF(L22&lt;=12,"High",IF(L22&lt;=16,"Very High","Extreme")))))</f>
        <v/>
      </c>
      <c r="N22" s="26"/>
      <c r="O22" s="26"/>
    </row>
    <row r="23" customFormat="false" ht="27.75" hidden="false" customHeight="true" outlineLevel="0" collapsed="false">
      <c r="A23" s="25" t="n">
        <v>18</v>
      </c>
      <c r="B23" s="4"/>
      <c r="C23" s="4"/>
      <c r="D23" s="4"/>
      <c r="E23" s="26"/>
      <c r="F23" s="26"/>
      <c r="G23" s="28" t="str">
        <f aca="false">IF(AND(E23&lt;&gt;"",F23&lt;&gt;""),E23*F23,"")</f>
        <v/>
      </c>
      <c r="H23" s="28" t="str">
        <f aca="false">IF(G23="","",IF(G23&lt;=4,"Low",IF(G23&lt;=9,"Moderate",IF(G23&lt;=12,"High",IF(G23&lt;=16,"Very High","Extreme")))))</f>
        <v/>
      </c>
      <c r="I23" s="4"/>
      <c r="J23" s="26"/>
      <c r="K23" s="26"/>
      <c r="L23" s="28" t="str">
        <f aca="false">IF(AND(J23&lt;&gt;"",K23&lt;&gt;""),J23*K23,"")</f>
        <v/>
      </c>
      <c r="M23" s="28" t="str">
        <f aca="false">IF(L23="","",IF(L23&lt;=4,"Low",IF(L23&lt;=9,"Moderate",IF(L23&lt;=12,"High",IF(L23&lt;=16,"Very High","Extreme")))))</f>
        <v/>
      </c>
      <c r="N23" s="26"/>
      <c r="O23" s="26"/>
    </row>
    <row r="24" customFormat="false" ht="27.75" hidden="false" customHeight="true" outlineLevel="0" collapsed="false">
      <c r="A24" s="22" t="n">
        <v>19</v>
      </c>
      <c r="B24" s="4"/>
      <c r="C24" s="4"/>
      <c r="D24" s="4"/>
      <c r="E24" s="26"/>
      <c r="F24" s="26"/>
      <c r="G24" s="27" t="str">
        <f aca="false">IF(AND(E24&lt;&gt;"",F24&lt;&gt;""),E24*F24,"")</f>
        <v/>
      </c>
      <c r="H24" s="27" t="str">
        <f aca="false">IF(G24="","",IF(G24&lt;=4,"Low",IF(G24&lt;=9,"Moderate",IF(G24&lt;=12,"High",IF(G24&lt;=16,"Very High","Extreme")))))</f>
        <v/>
      </c>
      <c r="I24" s="4"/>
      <c r="J24" s="26"/>
      <c r="K24" s="26"/>
      <c r="L24" s="27" t="str">
        <f aca="false">IF(AND(J24&lt;&gt;"",K24&lt;&gt;""),J24*K24,"")</f>
        <v/>
      </c>
      <c r="M24" s="27" t="str">
        <f aca="false">IF(L24="","",IF(L24&lt;=4,"Low",IF(L24&lt;=9,"Moderate",IF(L24&lt;=12,"High",IF(L24&lt;=16,"Very High","Extreme")))))</f>
        <v/>
      </c>
      <c r="N24" s="26"/>
      <c r="O24" s="26"/>
    </row>
    <row r="25" customFormat="false" ht="27.75" hidden="false" customHeight="true" outlineLevel="0" collapsed="false">
      <c r="A25" s="25" t="n">
        <v>20</v>
      </c>
      <c r="B25" s="4"/>
      <c r="C25" s="4"/>
      <c r="D25" s="4"/>
      <c r="E25" s="26"/>
      <c r="F25" s="26"/>
      <c r="G25" s="28" t="str">
        <f aca="false">IF(AND(E25&lt;&gt;"",F25&lt;&gt;""),E25*F25,"")</f>
        <v/>
      </c>
      <c r="H25" s="28" t="str">
        <f aca="false">IF(G25="","",IF(G25&lt;=4,"Low",IF(G25&lt;=9,"Moderate",IF(G25&lt;=12,"High",IF(G25&lt;=16,"Very High","Extreme")))))</f>
        <v/>
      </c>
      <c r="I25" s="4"/>
      <c r="J25" s="26"/>
      <c r="K25" s="26"/>
      <c r="L25" s="28" t="str">
        <f aca="false">IF(AND(J25&lt;&gt;"",K25&lt;&gt;""),J25*K25,"")</f>
        <v/>
      </c>
      <c r="M25" s="28" t="str">
        <f aca="false">IF(L25="","",IF(L25&lt;=4,"Low",IF(L25&lt;=9,"Moderate",IF(L25&lt;=12,"High",IF(L25&lt;=16,"Very High","Extreme")))))</f>
        <v/>
      </c>
      <c r="N25" s="26"/>
      <c r="O25" s="26"/>
    </row>
    <row r="26" customFormat="false" ht="27.75" hidden="false" customHeight="true" outlineLevel="0" collapsed="false">
      <c r="A26" s="22" t="n">
        <v>21</v>
      </c>
      <c r="B26" s="4"/>
      <c r="C26" s="4"/>
      <c r="D26" s="4"/>
      <c r="E26" s="26"/>
      <c r="F26" s="26"/>
      <c r="G26" s="27" t="str">
        <f aca="false">IF(AND(E26&lt;&gt;"",F26&lt;&gt;""),E26*F26,"")</f>
        <v/>
      </c>
      <c r="H26" s="27" t="str">
        <f aca="false">IF(G26="","",IF(G26&lt;=4,"Low",IF(G26&lt;=9,"Moderate",IF(G26&lt;=12,"High",IF(G26&lt;=16,"Very High","Extreme")))))</f>
        <v/>
      </c>
      <c r="I26" s="4"/>
      <c r="J26" s="26"/>
      <c r="K26" s="26"/>
      <c r="L26" s="27" t="str">
        <f aca="false">IF(AND(J26&lt;&gt;"",K26&lt;&gt;""),J26*K26,"")</f>
        <v/>
      </c>
      <c r="M26" s="27" t="str">
        <f aca="false">IF(L26="","",IF(L26&lt;=4,"Low",IF(L26&lt;=9,"Moderate",IF(L26&lt;=12,"High",IF(L26&lt;=16,"Very High","Extreme")))))</f>
        <v/>
      </c>
      <c r="N26" s="26"/>
      <c r="O26" s="26"/>
    </row>
    <row r="27" customFormat="false" ht="27.75" hidden="false" customHeight="true" outlineLevel="0" collapsed="false">
      <c r="A27" s="25" t="n">
        <v>22</v>
      </c>
      <c r="B27" s="4"/>
      <c r="C27" s="4"/>
      <c r="D27" s="4"/>
      <c r="E27" s="26"/>
      <c r="F27" s="26"/>
      <c r="G27" s="28" t="str">
        <f aca="false">IF(AND(E27&lt;&gt;"",F27&lt;&gt;""),E27*F27,"")</f>
        <v/>
      </c>
      <c r="H27" s="28" t="str">
        <f aca="false">IF(G27="","",IF(G27&lt;=4,"Low",IF(G27&lt;=9,"Moderate",IF(G27&lt;=12,"High",IF(G27&lt;=16,"Very High","Extreme")))))</f>
        <v/>
      </c>
      <c r="I27" s="4"/>
      <c r="J27" s="26"/>
      <c r="K27" s="26"/>
      <c r="L27" s="28" t="str">
        <f aca="false">IF(AND(J27&lt;&gt;"",K27&lt;&gt;""),J27*K27,"")</f>
        <v/>
      </c>
      <c r="M27" s="28" t="str">
        <f aca="false">IF(L27="","",IF(L27&lt;=4,"Low",IF(L27&lt;=9,"Moderate",IF(L27&lt;=12,"High",IF(L27&lt;=16,"Very High","Extreme")))))</f>
        <v/>
      </c>
      <c r="N27" s="26"/>
      <c r="O27" s="26"/>
    </row>
    <row r="28" customFormat="false" ht="27.75" hidden="false" customHeight="true" outlineLevel="0" collapsed="false">
      <c r="A28" s="22" t="n">
        <v>23</v>
      </c>
      <c r="B28" s="4"/>
      <c r="C28" s="4"/>
      <c r="D28" s="4"/>
      <c r="E28" s="26"/>
      <c r="F28" s="26"/>
      <c r="G28" s="27" t="str">
        <f aca="false">IF(AND(E28&lt;&gt;"",F28&lt;&gt;""),E28*F28,"")</f>
        <v/>
      </c>
      <c r="H28" s="27" t="str">
        <f aca="false">IF(G28="","",IF(G28&lt;=4,"Low",IF(G28&lt;=9,"Moderate",IF(G28&lt;=12,"High",IF(G28&lt;=16,"Very High","Extreme")))))</f>
        <v/>
      </c>
      <c r="I28" s="4"/>
      <c r="J28" s="26"/>
      <c r="K28" s="26"/>
      <c r="L28" s="27" t="str">
        <f aca="false">IF(AND(J28&lt;&gt;"",K28&lt;&gt;""),J28*K28,"")</f>
        <v/>
      </c>
      <c r="M28" s="27" t="str">
        <f aca="false">IF(L28="","",IF(L28&lt;=4,"Low",IF(L28&lt;=9,"Moderate",IF(L28&lt;=12,"High",IF(L28&lt;=16,"Very High","Extreme")))))</f>
        <v/>
      </c>
      <c r="N28" s="26"/>
      <c r="O28" s="26"/>
    </row>
    <row r="29" customFormat="false" ht="27.75" hidden="false" customHeight="true" outlineLevel="0" collapsed="false">
      <c r="A29" s="25" t="n">
        <v>24</v>
      </c>
      <c r="B29" s="4"/>
      <c r="C29" s="4"/>
      <c r="D29" s="4"/>
      <c r="E29" s="26"/>
      <c r="F29" s="26"/>
      <c r="G29" s="28" t="str">
        <f aca="false">IF(AND(E29&lt;&gt;"",F29&lt;&gt;""),E29*F29,"")</f>
        <v/>
      </c>
      <c r="H29" s="28" t="str">
        <f aca="false">IF(G29="","",IF(G29&lt;=4,"Low",IF(G29&lt;=9,"Moderate",IF(G29&lt;=12,"High",IF(G29&lt;=16,"Very High","Extreme")))))</f>
        <v/>
      </c>
      <c r="I29" s="4"/>
      <c r="J29" s="26"/>
      <c r="K29" s="26"/>
      <c r="L29" s="28" t="str">
        <f aca="false">IF(AND(J29&lt;&gt;"",K29&lt;&gt;""),J29*K29,"")</f>
        <v/>
      </c>
      <c r="M29" s="28" t="str">
        <f aca="false">IF(L29="","",IF(L29&lt;=4,"Low",IF(L29&lt;=9,"Moderate",IF(L29&lt;=12,"High",IF(L29&lt;=16,"Very High","Extreme")))))</f>
        <v/>
      </c>
      <c r="N29" s="26"/>
      <c r="O29" s="26"/>
    </row>
    <row r="30" customFormat="false" ht="27.75" hidden="false" customHeight="true" outlineLevel="0" collapsed="false">
      <c r="A30" s="22" t="n">
        <v>25</v>
      </c>
      <c r="B30" s="4"/>
      <c r="C30" s="4"/>
      <c r="D30" s="4"/>
      <c r="E30" s="26"/>
      <c r="F30" s="26"/>
      <c r="G30" s="27" t="str">
        <f aca="false">IF(AND(E30&lt;&gt;"",F30&lt;&gt;""),E30*F30,"")</f>
        <v/>
      </c>
      <c r="H30" s="27" t="str">
        <f aca="false">IF(G30="","",IF(G30&lt;=4,"Low",IF(G30&lt;=9,"Moderate",IF(G30&lt;=12,"High",IF(G30&lt;=16,"Very High","Extreme")))))</f>
        <v/>
      </c>
      <c r="I30" s="4"/>
      <c r="J30" s="26"/>
      <c r="K30" s="26"/>
      <c r="L30" s="27" t="str">
        <f aca="false">IF(AND(J30&lt;&gt;"",K30&lt;&gt;""),J30*K30,"")</f>
        <v/>
      </c>
      <c r="M30" s="27" t="str">
        <f aca="false">IF(L30="","",IF(L30&lt;=4,"Low",IF(L30&lt;=9,"Moderate",IF(L30&lt;=12,"High",IF(L30&lt;=16,"Very High","Extreme")))))</f>
        <v/>
      </c>
      <c r="N30" s="26"/>
      <c r="O30" s="26"/>
    </row>
    <row r="32" customFormat="false" ht="15" hidden="false" customHeight="true" outlineLevel="0" collapsed="false">
      <c r="A32" s="5" t="s">
        <v>77</v>
      </c>
      <c r="B32" s="5"/>
    </row>
    <row r="33" customFormat="false" ht="15" hidden="false" customHeight="true" outlineLevel="0" collapsed="false">
      <c r="A33" s="3" t="s">
        <v>78</v>
      </c>
      <c r="B33" s="3"/>
      <c r="C33" s="29" t="n">
        <f aca="false">COUNTA(B6:B30)</f>
        <v>0</v>
      </c>
    </row>
    <row r="34" customFormat="false" ht="15" hidden="false" customHeight="true" outlineLevel="0" collapsed="false">
      <c r="A34" s="3" t="s">
        <v>79</v>
      </c>
      <c r="B34" s="3"/>
      <c r="C34" s="29" t="n">
        <f aca="false">COUNTIF(H6:H30,"Extreme")</f>
        <v>0</v>
      </c>
    </row>
    <row r="35" customFormat="false" ht="15" hidden="false" customHeight="true" outlineLevel="0" collapsed="false">
      <c r="A35" s="3" t="s">
        <v>80</v>
      </c>
      <c r="B35" s="3"/>
      <c r="C35" s="29" t="n">
        <f aca="false">COUNTIF(H6:H30,"Very High")</f>
        <v>0</v>
      </c>
    </row>
    <row r="36" customFormat="false" ht="15" hidden="false" customHeight="true" outlineLevel="0" collapsed="false">
      <c r="A36" s="3" t="s">
        <v>81</v>
      </c>
      <c r="B36" s="3"/>
      <c r="C36" s="29" t="n">
        <f aca="false">COUNTIF(H6:H30,"High")</f>
        <v>0</v>
      </c>
    </row>
    <row r="37" customFormat="false" ht="15" hidden="false" customHeight="true" outlineLevel="0" collapsed="false">
      <c r="A37" s="3" t="s">
        <v>82</v>
      </c>
      <c r="B37" s="3"/>
      <c r="C37" s="29" t="n">
        <f aca="false">COUNTIF(H6:H30,"Moderate")</f>
        <v>0</v>
      </c>
    </row>
    <row r="38" customFormat="false" ht="15" hidden="false" customHeight="true" outlineLevel="0" collapsed="false">
      <c r="A38" s="3" t="s">
        <v>83</v>
      </c>
      <c r="B38" s="3"/>
      <c r="C38" s="29" t="n">
        <f aca="false">COUNTIF(H6:H30,"Low")</f>
        <v>0</v>
      </c>
    </row>
  </sheetData>
  <autoFilter ref="A5:O30"/>
  <mergeCells count="10">
    <mergeCell ref="A1:O1"/>
    <mergeCell ref="A2:O2"/>
    <mergeCell ref="B3:E3"/>
    <mergeCell ref="A32:B32"/>
    <mergeCell ref="A33:B33"/>
    <mergeCell ref="A34:B34"/>
    <mergeCell ref="A35:B35"/>
    <mergeCell ref="A36:B36"/>
    <mergeCell ref="A37:B37"/>
    <mergeCell ref="A38:B38"/>
  </mergeCells>
  <conditionalFormatting sqref="H6:H30">
    <cfRule type="cellIs" priority="2" operator="equal" aboveAverage="0" equalAverage="0" bottom="0" percent="0" rank="0" text="" dxfId="6">
      <formula>"Low"</formula>
    </cfRule>
    <cfRule type="cellIs" priority="3" operator="equal" aboveAverage="0" equalAverage="0" bottom="0" percent="0" rank="0" text="" dxfId="7">
      <formula>"Moderate"</formula>
    </cfRule>
    <cfRule type="cellIs" priority="4" operator="equal" aboveAverage="0" equalAverage="0" bottom="0" percent="0" rank="0" text="" dxfId="8">
      <formula>"High"</formula>
    </cfRule>
    <cfRule type="cellIs" priority="5" operator="equal" aboveAverage="0" equalAverage="0" bottom="0" percent="0" rank="0" text="" dxfId="9">
      <formula>"Very High"</formula>
    </cfRule>
    <cfRule type="cellIs" priority="6" operator="equal" aboveAverage="0" equalAverage="0" bottom="0" percent="0" rank="0" text="" dxfId="10">
      <formula>"Extreme"</formula>
    </cfRule>
  </conditionalFormatting>
  <conditionalFormatting sqref="M6:M30">
    <cfRule type="cellIs" priority="7" operator="equal" aboveAverage="0" equalAverage="0" bottom="0" percent="0" rank="0" text="" dxfId="6">
      <formula>"Low"</formula>
    </cfRule>
    <cfRule type="cellIs" priority="8" operator="equal" aboveAverage="0" equalAverage="0" bottom="0" percent="0" rank="0" text="" dxfId="7">
      <formula>"Moderate"</formula>
    </cfRule>
    <cfRule type="cellIs" priority="9" operator="equal" aboveAverage="0" equalAverage="0" bottom="0" percent="0" rank="0" text="" dxfId="8">
      <formula>"High"</formula>
    </cfRule>
    <cfRule type="cellIs" priority="10" operator="equal" aboveAverage="0" equalAverage="0" bottom="0" percent="0" rank="0" text="" dxfId="9">
      <formula>"Very High"</formula>
    </cfRule>
    <cfRule type="cellIs" priority="11" operator="equal" aboveAverage="0" equalAverage="0" bottom="0" percent="0" rank="0" text="" dxfId="10">
      <formula>"Extreme"</formula>
    </cfRule>
  </conditionalFormatting>
  <dataValidations count="1">
    <dataValidation allowBlank="true" error="Enter 1-5" errorStyle="stop" errorTitle="Invalid" operator="between" showDropDown="false" showErrorMessage="false" showInputMessage="false" sqref="E6:F30 J6:K30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84</v>
      </c>
      <c r="B2" s="2"/>
    </row>
    <row r="4" customFormat="false" ht="15" hidden="false" customHeight="false" outlineLevel="0" collapsed="false">
      <c r="B4" s="5" t="s">
        <v>85</v>
      </c>
    </row>
    <row r="5" customFormat="false" ht="15" hidden="false" customHeight="false" outlineLevel="0" collapsed="false">
      <c r="B5" s="16"/>
    </row>
    <row r="6" customFormat="false" ht="15" hidden="false" customHeight="false" outlineLevel="0" collapsed="false">
      <c r="B6" s="16" t="s">
        <v>86</v>
      </c>
    </row>
    <row r="7" customFormat="false" ht="15" hidden="false" customHeight="false" outlineLevel="0" collapsed="false">
      <c r="B7" s="16" t="s">
        <v>87</v>
      </c>
    </row>
    <row r="8" customFormat="false" ht="15" hidden="false" customHeight="false" outlineLevel="0" collapsed="false">
      <c r="B8" s="16" t="s">
        <v>88</v>
      </c>
    </row>
    <row r="9" customFormat="false" ht="15" hidden="false" customHeight="false" outlineLevel="0" collapsed="false">
      <c r="B9" s="16" t="s">
        <v>89</v>
      </c>
    </row>
    <row r="10" customFormat="false" ht="15" hidden="false" customHeight="false" outlineLevel="0" collapsed="false">
      <c r="B10" s="16" t="s">
        <v>90</v>
      </c>
    </row>
    <row r="11" customFormat="false" ht="15" hidden="false" customHeight="false" outlineLevel="0" collapsed="false">
      <c r="B11" s="16" t="s">
        <v>91</v>
      </c>
    </row>
    <row r="12" customFormat="false" ht="15" hidden="false" customHeight="false" outlineLevel="0" collapsed="false">
      <c r="B12" s="16" t="s">
        <v>92</v>
      </c>
    </row>
    <row r="13" customFormat="false" ht="15" hidden="false" customHeight="false" outlineLevel="0" collapsed="false">
      <c r="B13" s="16" t="s">
        <v>93</v>
      </c>
    </row>
    <row r="14" customFormat="false" ht="15" hidden="false" customHeight="false" outlineLevel="0" collapsed="false">
      <c r="B14" s="16" t="s">
        <v>94</v>
      </c>
    </row>
    <row r="15" customFormat="false" ht="15" hidden="false" customHeight="false" outlineLevel="0" collapsed="false">
      <c r="B15" s="16"/>
    </row>
    <row r="16" customFormat="false" ht="15" hidden="false" customHeight="false" outlineLevel="0" collapsed="false">
      <c r="B16" s="5" t="s">
        <v>95</v>
      </c>
    </row>
    <row r="17" customFormat="false" ht="15" hidden="false" customHeight="false" outlineLevel="0" collapsed="false">
      <c r="B17" s="16" t="s">
        <v>96</v>
      </c>
    </row>
    <row r="18" customFormat="false" ht="15" hidden="false" customHeight="false" outlineLevel="0" collapsed="false">
      <c r="B18" s="16" t="s">
        <v>97</v>
      </c>
    </row>
    <row r="19" customFormat="false" ht="15" hidden="false" customHeight="false" outlineLevel="0" collapsed="false">
      <c r="B19" s="16" t="s">
        <v>98</v>
      </c>
    </row>
    <row r="20" customFormat="false" ht="15" hidden="false" customHeight="false" outlineLevel="0" collapsed="false">
      <c r="B20" s="16" t="s">
        <v>99</v>
      </c>
    </row>
    <row r="21" customFormat="false" ht="15" hidden="false" customHeight="false" outlineLevel="0" collapsed="false">
      <c r="B21" s="16" t="s">
        <v>100</v>
      </c>
    </row>
    <row r="22" customFormat="false" ht="15" hidden="false" customHeight="false" outlineLevel="0" collapsed="false">
      <c r="B22" s="16"/>
    </row>
    <row r="23" customFormat="false" ht="15" hidden="false" customHeight="false" outlineLevel="0" collapsed="false">
      <c r="B23" s="5" t="s">
        <v>101</v>
      </c>
    </row>
    <row r="24" customFormat="false" ht="15" hidden="false" customHeight="false" outlineLevel="0" collapsed="false">
      <c r="B24" s="30" t="s">
        <v>102</v>
      </c>
    </row>
    <row r="25" customFormat="false" ht="15" hidden="false" customHeight="false" outlineLevel="0" collapsed="false">
      <c r="B25" s="30" t="s">
        <v>103</v>
      </c>
    </row>
    <row r="26" customFormat="false" ht="15" hidden="false" customHeight="false" outlineLevel="0" collapsed="false">
      <c r="B26" s="30" t="s">
        <v>104</v>
      </c>
    </row>
    <row r="27" customFormat="false" ht="15" hidden="false" customHeight="false" outlineLevel="0" collapsed="false">
      <c r="B27" s="30" t="s">
        <v>105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2026-03-27T16:21:49Z</dcterms:created>
  <dc:creator>openpyxl</dc:creator>
  <dc:description/>
  <dc:language>en-US</dc:language>
  <cp:lastModifiedBy/>
  <dcterms:modified xsi:type="dcterms:W3CDTF">2026-03-27T16:21:49Z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