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Monitoring Record"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'Monitoring Record'!$A$1:$R$19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<sst xmlns="http://schemas.openxmlformats.org/spreadsheetml/2006/main" count="71" uniqueCount="67">
  <si>
    <t xml:space="preserve">EBRORA</t>
  </si>
  <si>
    <t xml:space="preserve">ebrora.com</t>
  </si>
  <si>
    <t xml:space="preserve">Dust / Noise Monitoring Record</t>
  </si>
  <si>
    <t xml:space="preserve">Record monitoring readings at fixed points with automatic threshold exceedance alerts.</t>
  </si>
  <si>
    <t xml:space="preserve">Designed for BS 5228 / Section 61 compliance on UK construction projects.</t>
  </si>
  <si>
    <t xml:space="preserve">This is a free template from Ebrora.</t>
  </si>
  <si>
    <t xml:space="preserve">For our full range of professional-grade construction management tools, visit ebrora.com</t>
  </si>
  <si>
    <t xml:space="preserve">© Ebrora 2026 — All rights reserved</t>
  </si>
  <si>
    <t xml:space="preserve">How to Use This Template</t>
  </si>
  <si>
    <t xml:space="preserve">1.</t>
  </si>
  <si>
    <t xml:space="preserve">Open the 'Monitoring Record' sheet. It has two main sections: Dust Monitoring (top) and Noise Monitoring (below).</t>
  </si>
  <si>
    <t xml:space="preserve">2.</t>
  </si>
  <si>
    <t xml:space="preserve">Each section has a header area where you define your monitoring points (MP-01, MP-02, etc.) and their trigger/action levels (thresholds).</t>
  </si>
  <si>
    <t xml:space="preserve">3.</t>
  </si>
  <si>
    <t xml:space="preserve">Enter daily readings in the monitoring grid. Each column is a date, each row is a monitoring point. Fill in the measured value.</t>
  </si>
  <si>
    <t xml:space="preserve">4.</t>
  </si>
  <si>
    <t xml:space="preserve">Readings that exceed the trigger level turn amber automatically. Readings that exceed the action level turn red.</t>
  </si>
  <si>
    <t xml:space="preserve">5.</t>
  </si>
  <si>
    <t xml:space="preserve">The summary column on the right shows the maximum reading, average, and number of exceedances for each monitoring point.</t>
  </si>
  <si>
    <t xml:space="preserve">6.</t>
  </si>
  <si>
    <t xml:space="preserve">Update the project name, site address, and monitoring period in the header fields at the top of the sheet.</t>
  </si>
  <si>
    <t xml:space="preserve">7.</t>
  </si>
  <si>
    <t xml:space="preserve">Print the sheet as a weekly or fortnightly monitoring summary for your Section 61 / environmental file.</t>
  </si>
  <si>
    <t xml:space="preserve">Colour Key</t>
  </si>
  <si>
    <t xml:space="preserve">Light teal — user input / editable</t>
  </si>
  <si>
    <t xml:space="preserve">  </t>
  </si>
  <si>
    <t xml:space="preserve">Dark navy — headers, do not edit</t>
  </si>
  <si>
    <t xml:space="preserve">Green — reading within acceptable limits</t>
  </si>
  <si>
    <t xml:space="preserve">Amber — trigger level exceeded (investigate)</t>
  </si>
  <si>
    <t xml:space="preserve">Red — action level exceeded (stop / mitigate immediately)</t>
  </si>
  <si>
    <t xml:space="preserve">Tips</t>
  </si>
  <si>
    <t xml:space="preserve">•</t>
  </si>
  <si>
    <t xml:space="preserve">Calibrate monitoring equipment before each monitoring session and record calibration details.</t>
  </si>
  <si>
    <t xml:space="preserve">Place dust monitors upwind and downwind of the works to establish a background reading.</t>
  </si>
  <si>
    <t xml:space="preserve">For noise, take readings at the nearest sensitive receptor (NSR) location, not at the site boundary.</t>
  </si>
  <si>
    <t xml:space="preserve">Project Name:</t>
  </si>
  <si>
    <t xml:space="preserve">Example Infrastructure Project</t>
  </si>
  <si>
    <t xml:space="preserve">Monitoring Period:</t>
  </si>
  <si>
    <t xml:space="preserve">March 2026</t>
  </si>
  <si>
    <t xml:space="preserve">Site Address:</t>
  </si>
  <si>
    <t xml:space="preserve">London Road, Swindon, SN1 2AA</t>
  </si>
  <si>
    <t xml:space="preserve">Monitored By:</t>
  </si>
  <si>
    <t xml:space="preserve">EcoMonitor Ltd</t>
  </si>
  <si>
    <t xml:space="preserve">DUST MONITORING — PM10 (µg/m³)</t>
  </si>
  <si>
    <t xml:space="preserve">Monitoring Point</t>
  </si>
  <si>
    <t xml:space="preserve">Trigger (µg/m³)</t>
  </si>
  <si>
    <t xml:space="preserve">Max</t>
  </si>
  <si>
    <t xml:space="preserve">MP-01</t>
  </si>
  <si>
    <t xml:space="preserve">MP-02</t>
  </si>
  <si>
    <t xml:space="preserve">MP-03</t>
  </si>
  <si>
    <t xml:space="preserve">MP-04</t>
  </si>
  <si>
    <t xml:space="preserve">MP-05</t>
  </si>
  <si>
    <t xml:space="preserve">NOISE MONITORING — LAeq,T (dB)</t>
  </si>
  <si>
    <t xml:space="preserve">Limit (dB)</t>
  </si>
  <si>
    <t xml:space="preserve">NMP-01</t>
  </si>
  <si>
    <t xml:space="preserve">NMP-02</t>
  </si>
  <si>
    <t xml:space="preserve">NMP-03</t>
  </si>
  <si>
    <t xml:space="preserve">NMP-04</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</si>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</sst>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4">
    <numFmt numFmtId="164" formatCode="General"/>
    <numFmt numFmtId="165" formatCode="dd/mm"/>
    <numFmt numFmtId="166" formatCode="0"/>
    <numFmt numFmtId="167" formatCode="General"/>
  </numFmts>
  <fonts count="16">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1B2A4A"/>
      <name val="Calibri"/>
      <family val="0"/>
      <charset val="1"/>
    </font>
    <font>
      <sz val="10"/>
      <color rgb="FF1B2A4A"/>
      <name val="Calibri"/>
      <family val="0"/>
      <charset val="1"/>
    </font>
    <font>
      <b val="true"/>
      <sz val="12"/>
      <color rgb="FFFFFFFF"/>
      <name val="Calibri"/>
      <family val="0"/>
      <charset val="1"/>
    </font>
    <font>
      <b val="true"/>
      <sz val="11"/>
      <color rgb="FFFFFFFF"/>
      <name val="Calibri"/>
      <family val="0"/>
      <charset val="1"/>
    </font>
    <font>
      <b val="true"/>
      <sz val="10"/>
      <color rgb="FF1B2A4A"/>
      <name val="Calibri"/>
      <family val="0"/>
      <charset val="1"/>
    </font>
  </fonts>
  <fills count="8">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
      <patternFill patternType="solid">
        <fgColor rgb="FFC6EFCE"/>
        <bgColor rgb="FFCCFFFF"/>
      </patternFill>
    </fill>
    <fill>
      <patternFill patternType="solid">
        <fgColor rgb="FFFFEB9C"/>
        <bgColor rgb="FFFFFFCC"/>
      </patternFill>
    </fill>
    <fill>
      <patternFill patternType="solid">
        <fgColor rgb="FFFFC7CE"/>
        <bgColor rgb="FFFFEB9C"/>
      </patternFill>
    </fill>
  </fills>
  <borders count="3">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1B2A4A"/>
      </left>
      <right style="thin">
        <color rgb="FF1B2A4A"/>
      </right>
      <top style="thin">
        <color rgb="FF1B2A4A"/>
      </top>
      <bottom style="thin">
        <color rgb="FF1B2A4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0" fillId="4" borderId="2"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2" borderId="2" xfId="0" applyFont="true" applyBorder="true" applyAlignment="false" applyProtection="false">
      <alignment horizontal="general" vertical="bottom" textRotation="0" wrapText="false" indent="0" shrinkToFit="false"/>
      <protection locked="true" hidden="false"/>
    </xf>
    <xf numFmtId="164" fontId="0" fillId="5" borderId="2" xfId="0" applyFont="false" applyBorder="true" applyAlignment="false" applyProtection="false">
      <alignment horizontal="general" vertical="bottom" textRotation="0" wrapText="false" indent="0" shrinkToFit="false"/>
      <protection locked="true" hidden="false"/>
    </xf>
    <xf numFmtId="164" fontId="0" fillId="6" borderId="2" xfId="0" applyFont="false" applyBorder="true" applyAlignment="false" applyProtection="false">
      <alignment horizontal="general" vertical="bottom" textRotation="0" wrapText="false" indent="0" shrinkToFit="false"/>
      <protection locked="true" hidden="false"/>
    </xf>
    <xf numFmtId="164" fontId="0" fillId="7" borderId="2"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left" vertical="center" textRotation="0" wrapText="true" indent="0" shrinkToFit="false"/>
      <protection locked="true" hidden="false"/>
    </xf>
    <xf numFmtId="164" fontId="12" fillId="4" borderId="0" xfId="0" applyFont="true" applyBorder="true" applyAlignment="true" applyProtection="false">
      <alignment horizontal="left" vertical="center" textRotation="0" wrapText="true" indent="0" shrinkToFit="false"/>
      <protection locked="true" hidden="false"/>
    </xf>
    <xf numFmtId="164" fontId="13" fillId="2" borderId="0" xfId="0" applyFont="true" applyBorder="true" applyAlignment="true" applyProtection="false">
      <alignment horizontal="center" vertical="center" textRotation="0" wrapText="tru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14" fillId="2" borderId="0" xfId="0" applyFont="true" applyBorder="false" applyAlignment="true" applyProtection="false">
      <alignment horizontal="center" vertical="center" textRotation="0" wrapText="true" indent="0" shrinkToFit="false"/>
      <protection locked="true" hidden="false"/>
    </xf>
    <xf numFmtId="165" fontId="14" fillId="2" borderId="0" xfId="0" applyFont="true" applyBorder="false" applyAlignment="true" applyProtection="false">
      <alignment horizontal="center" vertical="center" textRotation="0" wrapText="true" indent="0" shrinkToFit="false"/>
      <protection locked="true" hidden="false"/>
    </xf>
    <xf numFmtId="164" fontId="11" fillId="0" borderId="0" xfId="0" applyFont="true" applyBorder="true" applyAlignment="true" applyProtection="false">
      <alignment horizontal="center" vertical="center" textRotation="0" wrapText="true" indent="0" shrinkToFit="false"/>
      <protection locked="true" hidden="false"/>
    </xf>
    <xf numFmtId="164" fontId="12" fillId="6" borderId="0" xfId="0" applyFont="true" applyBorder="false" applyAlignment="true" applyProtection="false">
      <alignment horizontal="center" vertical="center" textRotation="0" wrapText="true" indent="0" shrinkToFit="false"/>
      <protection locked="true" hidden="false"/>
    </xf>
    <xf numFmtId="166" fontId="12" fillId="4" borderId="2" xfId="0" applyFont="true" applyBorder="true" applyAlignment="true" applyProtection="false">
      <alignment horizontal="center" vertical="center" textRotation="0" wrapText="true" indent="0" shrinkToFit="false"/>
      <protection locked="true" hidden="false"/>
    </xf>
    <xf numFmtId="167" fontId="15" fillId="0"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FC7CE"/>
        </patternFill>
      </fill>
    </dxf>
    <dxf>
      <fill>
        <patternFill>
          <bgColor rgb="FFFFEB9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false" outlineLevel="0" collapsed="false">
      <c r="A1" s="1"/>
      <c r="B1" s="1"/>
      <c r="C1" s="1"/>
      <c r="D1" s="1"/>
      <c r="E1" s="1"/>
      <c r="F1" s="1"/>
      <c r="G1" s="1"/>
      <c r="H1" s="1"/>
    </row>
    <row r="2" customFormat="false" ht="45.5" hidden="false" customHeight="true" outlineLevel="0" collapsed="false">
      <c r="A2" s="2" t="s">
        <v>0</v>
      </c>
      <c r="B2" s="2"/>
      <c r="C2" s="2"/>
      <c r="D2" s="2"/>
      <c r="E2" s="2"/>
      <c r="F2" s="2"/>
      <c r="G2" s="2"/>
      <c r="H2" s="2"/>
    </row>
    <row r="3" customFormat="false" ht="15" hidden="false" customHeight="false" outlineLevel="0" collapsed="false">
      <c r="A3" s="1"/>
      <c r="B3" s="1"/>
      <c r="C3" s="1"/>
      <c r="D3" s="1"/>
      <c r="E3" s="1"/>
      <c r="F3" s="1"/>
      <c r="G3" s="1"/>
      <c r="H3" s="1"/>
    </row>
    <row r="4" customFormat="false" ht="15" hidden="false" customHeight="true" outlineLevel="0" collapsed="false">
      <c r="A4" s="3" t="s">
        <v>1</v>
      </c>
      <c r="B4" s="3"/>
      <c r="C4" s="3"/>
      <c r="D4" s="3"/>
      <c r="E4" s="3"/>
      <c r="F4" s="3"/>
      <c r="G4" s="3"/>
      <c r="H4" s="3"/>
    </row>
    <row r="5" customFormat="false" ht="15" hidden="false" customHeight="false" outlineLevel="0" collapsed="false">
      <c r="A5" s="4"/>
      <c r="B5" s="4"/>
      <c r="C5" s="4"/>
      <c r="D5" s="4"/>
      <c r="E5" s="4"/>
      <c r="F5" s="4"/>
      <c r="G5" s="4"/>
      <c r="H5" s="4"/>
    </row>
    <row r="6" customFormat="false" ht="15" hidden="false" customHeight="false" outlineLevel="0" collapsed="false">
      <c r="A6" s="1"/>
      <c r="B6" s="1"/>
      <c r="C6" s="1"/>
      <c r="D6" s="1"/>
      <c r="E6" s="1"/>
      <c r="F6" s="1"/>
      <c r="G6" s="1"/>
      <c r="H6" s="1"/>
    </row>
    <row r="7" customFormat="false" ht="35.05" hidden="false" customHeight="true" outlineLevel="0" collapsed="false">
      <c r="A7" s="5" t="s">
        <v>2</v>
      </c>
      <c r="B7" s="5"/>
      <c r="C7" s="5"/>
      <c r="D7" s="5"/>
      <c r="E7" s="5"/>
      <c r="F7" s="5"/>
      <c r="G7" s="5"/>
      <c r="H7" s="5"/>
    </row>
    <row r="8" customFormat="false" ht="15" hidden="false" customHeight="false" outlineLevel="0" collapsed="false">
      <c r="A8" s="1"/>
      <c r="B8" s="1"/>
      <c r="C8" s="1"/>
      <c r="D8" s="1"/>
      <c r="E8" s="1"/>
      <c r="F8" s="1"/>
      <c r="G8" s="1"/>
      <c r="H8" s="1"/>
    </row>
    <row r="9" customFormat="false" ht="15" hidden="false" customHeight="false" outlineLevel="0" collapsed="false">
      <c r="A9" s="4"/>
      <c r="B9" s="4"/>
      <c r="C9" s="4"/>
      <c r="D9" s="4"/>
      <c r="E9" s="4"/>
      <c r="F9" s="4"/>
      <c r="G9" s="4"/>
      <c r="H9" s="4"/>
    </row>
    <row r="10" customFormat="false" ht="15" hidden="false" customHeight="true" outlineLevel="0" collapsed="false">
      <c r="A10" s="6" t="s">
        <v>3</v>
      </c>
      <c r="B10" s="6"/>
      <c r="C10" s="6"/>
      <c r="D10" s="6"/>
      <c r="E10" s="6"/>
      <c r="F10" s="6"/>
      <c r="G10" s="6"/>
      <c r="H10" s="6"/>
    </row>
    <row r="11" customFormat="false" ht="15" hidden="false" customHeight="true" outlineLevel="0" collapsed="false">
      <c r="A11" s="6" t="s">
        <v>4</v>
      </c>
      <c r="B11" s="6"/>
      <c r="C11" s="6"/>
      <c r="D11" s="6"/>
      <c r="E11" s="6"/>
      <c r="F11" s="6"/>
      <c r="G11" s="6"/>
      <c r="H11" s="6"/>
    </row>
    <row r="12" customFormat="false" ht="15" hidden="false" customHeight="false" outlineLevel="0" collapsed="false">
      <c r="A12" s="4"/>
      <c r="B12" s="4"/>
      <c r="C12" s="4"/>
      <c r="D12" s="4"/>
      <c r="E12" s="4"/>
      <c r="F12" s="4"/>
      <c r="G12" s="4"/>
      <c r="H12" s="4"/>
    </row>
    <row r="13" customFormat="false" ht="15" hidden="false" customHeight="false" outlineLevel="0" collapsed="false">
      <c r="A13" s="4"/>
      <c r="B13" s="4"/>
      <c r="C13" s="4"/>
      <c r="D13" s="4"/>
      <c r="E13" s="4"/>
      <c r="F13" s="4"/>
      <c r="G13" s="4"/>
      <c r="H13" s="4"/>
    </row>
    <row r="14" customFormat="false" ht="15" hidden="false" customHeight="false" outlineLevel="0" collapsed="false">
      <c r="A14" s="7"/>
      <c r="B14" s="7"/>
      <c r="C14" s="7"/>
      <c r="D14" s="7"/>
      <c r="E14" s="7"/>
      <c r="F14" s="7"/>
      <c r="G14" s="7"/>
      <c r="H14" s="7"/>
    </row>
    <row r="15" customFormat="false" ht="15" hidden="false" customHeight="true" outlineLevel="0" collapsed="false">
      <c r="A15" s="8" t="s">
        <v>5</v>
      </c>
      <c r="B15" s="8"/>
      <c r="C15" s="8"/>
      <c r="D15" s="8"/>
      <c r="E15" s="8"/>
      <c r="F15" s="8"/>
      <c r="G15" s="8"/>
      <c r="H15" s="8"/>
    </row>
    <row r="16" customFormat="false" ht="15" hidden="false" customHeight="true" outlineLevel="0" collapsed="false">
      <c r="A16" s="8" t="s">
        <v>6</v>
      </c>
      <c r="B16" s="8"/>
      <c r="C16" s="8"/>
      <c r="D16" s="8"/>
      <c r="E16" s="8"/>
      <c r="F16" s="8"/>
      <c r="G16" s="8"/>
      <c r="H16" s="8"/>
    </row>
    <row r="17" customFormat="false" ht="15" hidden="false" customHeight="false" outlineLevel="0" collapsed="false">
      <c r="A17" s="7"/>
      <c r="B17" s="7"/>
      <c r="C17" s="7"/>
      <c r="D17" s="7"/>
      <c r="E17" s="7"/>
      <c r="F17" s="7"/>
      <c r="G17" s="7"/>
      <c r="H17" s="7"/>
    </row>
    <row r="18" customFormat="false" ht="15" hidden="false" customHeight="false" outlineLevel="0" collapsed="false">
      <c r="A18" s="4"/>
      <c r="B18" s="4"/>
      <c r="C18" s="4"/>
      <c r="D18" s="4"/>
      <c r="E18" s="4"/>
      <c r="F18" s="4"/>
      <c r="G18" s="4"/>
      <c r="H18" s="4"/>
    </row>
    <row r="19" customFormat="false" ht="15" hidden="false" customHeight="true" outlineLevel="0" collapsed="false">
      <c r="A19" s="9" t="s">
        <v>7</v>
      </c>
      <c r="B19" s="9"/>
      <c r="C19" s="9"/>
      <c r="D19" s="9"/>
      <c r="E19" s="9"/>
      <c r="F19" s="9"/>
      <c r="G19" s="9"/>
      <c r="H19" s="9"/>
    </row>
    <row r="20" customFormat="false" ht="15" hidden="false" customHeight="false" outlineLevel="0" collapsed="false">
      <c r="A20" s="4"/>
      <c r="B20" s="4"/>
      <c r="C20" s="4"/>
      <c r="D20" s="4"/>
      <c r="E20" s="4"/>
      <c r="F20" s="4"/>
      <c r="G20" s="4"/>
      <c r="H20" s="4"/>
    </row>
    <row r="21" customFormat="false" ht="15" hidden="false" customHeight="false" outlineLevel="0" collapsed="false">
      <c r="A21" s="4"/>
      <c r="B21" s="4"/>
      <c r="C21" s="4"/>
      <c r="D21" s="4"/>
      <c r="E21" s="4"/>
      <c r="F21" s="4"/>
      <c r="G21" s="4"/>
      <c r="H21" s="4"/>
    </row>
    <row r="22" customFormat="false" ht="15" hidden="false" customHeight="false" outlineLevel="0" collapsed="false">
      <c r="A22" s="4"/>
      <c r="B22" s="4"/>
      <c r="C22" s="4"/>
      <c r="D22" s="4"/>
      <c r="E22" s="4"/>
      <c r="F22" s="4"/>
      <c r="G22" s="4"/>
      <c r="H22" s="4"/>
    </row>
    <row r="23" customFormat="false" ht="15" hidden="false" customHeight="false" outlineLevel="0" collapsed="false">
      <c r="A23" s="4"/>
      <c r="B23" s="4"/>
      <c r="C23" s="4"/>
      <c r="D23" s="4"/>
      <c r="E23" s="4"/>
      <c r="F23" s="4"/>
      <c r="G23" s="4"/>
      <c r="H23" s="4"/>
    </row>
    <row r="24" customFormat="false" ht="15" hidden="false" customHeight="false" outlineLevel="0" collapsed="false">
      <c r="A24" s="4"/>
      <c r="B24" s="4"/>
      <c r="C24" s="4"/>
      <c r="D24" s="4"/>
      <c r="E24" s="4"/>
      <c r="F24" s="4"/>
      <c r="G24" s="4"/>
      <c r="H24" s="4"/>
    </row>
    <row r="25" customFormat="false" ht="15" hidden="false" customHeight="false" outlineLevel="0" collapsed="false">
      <c r="A25" s="4"/>
      <c r="B25" s="4"/>
      <c r="C25" s="4"/>
      <c r="D25" s="4"/>
      <c r="E25" s="4"/>
      <c r="F25" s="4"/>
      <c r="G25" s="4"/>
      <c r="H25" s="4"/>
    </row>
  </sheetData>
  <mergeCells count="14">
    <mergeCell ref="A1:H1"/>
    <mergeCell ref="A2:H2"/>
    <mergeCell ref="A3:H3"/>
    <mergeCell ref="A4:H4"/>
    <mergeCell ref="A6:H6"/>
    <mergeCell ref="A7:H7"/>
    <mergeCell ref="A8:H8"/>
    <mergeCell ref="A10:H10"/>
    <mergeCell ref="A11:H11"/>
    <mergeCell ref="A14:H14"/>
    <mergeCell ref="A15:H15"/>
    <mergeCell ref="A16:H16"/>
    <mergeCell ref="A17: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6" min="2" style="0" width="22"/>
  </cols>
  <sheetData>
    <row r="1" customFormat="false" ht="17.35" hidden="false" customHeight="false" outlineLevel="0" collapsed="false">
      <c r="A1" s="10" t="s">
        <v>8</v>
      </c>
      <c r="B1" s="10"/>
      <c r="C1" s="10"/>
      <c r="D1" s="10"/>
      <c r="E1" s="10"/>
      <c r="F1" s="10"/>
    </row>
    <row r="3" customFormat="false" ht="36" hidden="false" customHeight="true" outlineLevel="0" collapsed="false">
      <c r="A3" s="11" t="s">
        <v>9</v>
      </c>
      <c r="B3" s="12" t="s">
        <v>10</v>
      </c>
      <c r="C3" s="12"/>
      <c r="D3" s="12"/>
      <c r="E3" s="12"/>
      <c r="F3" s="12"/>
    </row>
    <row r="4" customFormat="false" ht="36" hidden="false" customHeight="true" outlineLevel="0" collapsed="false">
      <c r="A4" s="11" t="s">
        <v>11</v>
      </c>
      <c r="B4" s="12" t="s">
        <v>12</v>
      </c>
      <c r="C4" s="12"/>
      <c r="D4" s="12"/>
      <c r="E4" s="12"/>
      <c r="F4" s="12"/>
    </row>
    <row r="5" customFormat="false" ht="36" hidden="false" customHeight="true" outlineLevel="0" collapsed="false">
      <c r="A5" s="11" t="s">
        <v>13</v>
      </c>
      <c r="B5" s="12" t="s">
        <v>14</v>
      </c>
      <c r="C5" s="12"/>
      <c r="D5" s="12"/>
      <c r="E5" s="12"/>
      <c r="F5" s="12"/>
    </row>
    <row r="6" customFormat="false" ht="36" hidden="false" customHeight="true" outlineLevel="0" collapsed="false">
      <c r="A6" s="11" t="s">
        <v>15</v>
      </c>
      <c r="B6" s="12" t="s">
        <v>16</v>
      </c>
      <c r="C6" s="12"/>
      <c r="D6" s="12"/>
      <c r="E6" s="12"/>
      <c r="F6" s="12"/>
    </row>
    <row r="7" customFormat="false" ht="36" hidden="false" customHeight="true" outlineLevel="0" collapsed="false">
      <c r="A7" s="11" t="s">
        <v>17</v>
      </c>
      <c r="B7" s="12" t="s">
        <v>18</v>
      </c>
      <c r="C7" s="12"/>
      <c r="D7" s="12"/>
      <c r="E7" s="12"/>
      <c r="F7" s="12"/>
    </row>
    <row r="8" customFormat="false" ht="36" hidden="false" customHeight="true" outlineLevel="0" collapsed="false">
      <c r="A8" s="11" t="s">
        <v>19</v>
      </c>
      <c r="B8" s="12" t="s">
        <v>20</v>
      </c>
      <c r="C8" s="12"/>
      <c r="D8" s="12"/>
      <c r="E8" s="12"/>
      <c r="F8" s="12"/>
    </row>
    <row r="9" customFormat="false" ht="36" hidden="false" customHeight="true" outlineLevel="0" collapsed="false">
      <c r="A9" s="11" t="s">
        <v>21</v>
      </c>
      <c r="B9" s="12" t="s">
        <v>22</v>
      </c>
      <c r="C9" s="12"/>
      <c r="D9" s="12"/>
      <c r="E9" s="12"/>
      <c r="F9" s="12"/>
    </row>
    <row r="11" customFormat="false" ht="15" hidden="false" customHeight="false" outlineLevel="0" collapsed="false">
      <c r="A11" s="13" t="s">
        <v>23</v>
      </c>
      <c r="B11" s="13"/>
      <c r="C11" s="13"/>
      <c r="D11" s="13"/>
      <c r="E11" s="13"/>
      <c r="F11" s="13"/>
    </row>
    <row r="12" customFormat="false" ht="15" hidden="false" customHeight="false" outlineLevel="0" collapsed="false">
      <c r="A12" s="14"/>
      <c r="B12" s="15" t="s">
        <v>24</v>
      </c>
      <c r="C12" s="15"/>
      <c r="D12" s="15"/>
      <c r="E12" s="15"/>
      <c r="F12" s="15"/>
    </row>
    <row r="13" customFormat="false" ht="15" hidden="false" customHeight="false" outlineLevel="0" collapsed="false">
      <c r="A13" s="16" t="s">
        <v>25</v>
      </c>
      <c r="B13" s="15" t="s">
        <v>26</v>
      </c>
      <c r="C13" s="15"/>
      <c r="D13" s="15"/>
      <c r="E13" s="15"/>
      <c r="F13" s="15"/>
    </row>
    <row r="14" customFormat="false" ht="15" hidden="false" customHeight="false" outlineLevel="0" collapsed="false">
      <c r="A14" s="17"/>
      <c r="B14" s="15" t="s">
        <v>27</v>
      </c>
      <c r="C14" s="15"/>
      <c r="D14" s="15"/>
      <c r="E14" s="15"/>
      <c r="F14" s="15"/>
    </row>
    <row r="15" customFormat="false" ht="15" hidden="false" customHeight="false" outlineLevel="0" collapsed="false">
      <c r="A15" s="18"/>
      <c r="B15" s="15" t="s">
        <v>28</v>
      </c>
      <c r="C15" s="15"/>
      <c r="D15" s="15"/>
      <c r="E15" s="15"/>
      <c r="F15" s="15"/>
    </row>
    <row r="16" customFormat="false" ht="15" hidden="false" customHeight="false" outlineLevel="0" collapsed="false">
      <c r="A16" s="19"/>
      <c r="B16" s="15" t="s">
        <v>29</v>
      </c>
      <c r="C16" s="15"/>
      <c r="D16" s="15"/>
      <c r="E16" s="15"/>
      <c r="F16" s="15"/>
    </row>
    <row r="18" customFormat="false" ht="15" hidden="false" customHeight="false" outlineLevel="0" collapsed="false">
      <c r="A18" s="13" t="s">
        <v>30</v>
      </c>
      <c r="B18" s="13"/>
      <c r="C18" s="13"/>
      <c r="D18" s="13"/>
      <c r="E18" s="13"/>
      <c r="F18" s="13"/>
    </row>
    <row r="19" customFormat="false" ht="30" hidden="false" customHeight="true" outlineLevel="0" collapsed="false">
      <c r="A19" s="20" t="s">
        <v>31</v>
      </c>
      <c r="B19" s="12" t="s">
        <v>32</v>
      </c>
      <c r="C19" s="12"/>
      <c r="D19" s="12"/>
      <c r="E19" s="12"/>
      <c r="F19" s="12"/>
    </row>
    <row r="20" customFormat="false" ht="30" hidden="false" customHeight="true" outlineLevel="0" collapsed="false">
      <c r="A20" s="20" t="s">
        <v>31</v>
      </c>
      <c r="B20" s="12" t="s">
        <v>33</v>
      </c>
      <c r="C20" s="12"/>
      <c r="D20" s="12"/>
      <c r="E20" s="12"/>
      <c r="F20" s="12"/>
    </row>
    <row r="21" customFormat="false" ht="30" hidden="false" customHeight="true" outlineLevel="0" collapsed="false">
      <c r="A21" s="20" t="s">
        <v>31</v>
      </c>
      <c r="B21" s="12" t="s">
        <v>34</v>
      </c>
      <c r="C21" s="12"/>
      <c r="D21" s="12"/>
      <c r="E21" s="12"/>
      <c r="F21" s="12"/>
    </row>
  </sheetData>
  <mergeCells count="18">
    <mergeCell ref="A1:F1"/>
    <mergeCell ref="B3:F3"/>
    <mergeCell ref="B4:F4"/>
    <mergeCell ref="B5:F5"/>
    <mergeCell ref="B6:F6"/>
    <mergeCell ref="B7:F7"/>
    <mergeCell ref="B8:F8"/>
    <mergeCell ref="B9:F9"/>
    <mergeCell ref="A11:F11"/>
    <mergeCell ref="B12:F12"/>
    <mergeCell ref="B13:F13"/>
    <mergeCell ref="B14:F14"/>
    <mergeCell ref="B15:F15"/>
    <mergeCell ref="B16:F16"/>
    <mergeCell ref="A18:F18"/>
    <mergeCell ref="B19:F19"/>
    <mergeCell ref="B20:F20"/>
    <mergeCell ref="B21: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R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14"/>
    <col collapsed="false" customWidth="true" hidden="false" outlineLevel="0" max="17" min="4" style="0" width="9"/>
    <col collapsed="false" customWidth="true" hidden="false" outlineLevel="0" max="18" min="18" style="0" width="10"/>
  </cols>
  <sheetData>
    <row r="1" customFormat="false" ht="15" hidden="false" customHeight="true" outlineLevel="0" collapsed="false">
      <c r="A1" s="21" t="s">
        <v>35</v>
      </c>
      <c r="B1" s="21"/>
      <c r="C1" s="22" t="s">
        <v>36</v>
      </c>
      <c r="D1" s="22"/>
      <c r="E1" s="22"/>
      <c r="F1" s="22"/>
      <c r="H1" s="13" t="s">
        <v>37</v>
      </c>
      <c r="I1" s="13"/>
      <c r="J1" s="22" t="s">
        <v>38</v>
      </c>
      <c r="K1" s="22"/>
      <c r="L1" s="22"/>
    </row>
    <row r="2" customFormat="false" ht="15" hidden="false" customHeight="true" outlineLevel="0" collapsed="false">
      <c r="A2" s="21" t="s">
        <v>39</v>
      </c>
      <c r="B2" s="21"/>
      <c r="C2" s="22" t="s">
        <v>40</v>
      </c>
      <c r="D2" s="22"/>
      <c r="E2" s="22"/>
      <c r="F2" s="22"/>
      <c r="H2" s="13" t="s">
        <v>41</v>
      </c>
      <c r="I2" s="13"/>
      <c r="J2" s="22" t="s">
        <v>42</v>
      </c>
      <c r="K2" s="22"/>
      <c r="L2" s="22"/>
    </row>
    <row r="3" customFormat="false" ht="6" hidden="false" customHeight="true" outlineLevel="0" collapsed="false"/>
    <row r="4" customFormat="false" ht="27.75" hidden="false" customHeight="true" outlineLevel="0" collapsed="false">
      <c r="A4" s="23" t="s">
        <v>43</v>
      </c>
      <c r="B4" s="23"/>
      <c r="C4" s="23"/>
      <c r="D4" s="23"/>
      <c r="E4" s="23"/>
      <c r="F4" s="23"/>
      <c r="G4" s="23"/>
      <c r="H4" s="23"/>
      <c r="I4" s="23"/>
      <c r="J4" s="23"/>
      <c r="K4" s="23"/>
      <c r="L4" s="23"/>
      <c r="M4" s="23"/>
      <c r="N4" s="23"/>
      <c r="O4" s="23"/>
      <c r="P4" s="23"/>
      <c r="Q4" s="23"/>
      <c r="R4" s="23"/>
    </row>
    <row r="5" customFormat="false" ht="15" hidden="false" customHeight="true" outlineLevel="0" collapsed="false">
      <c r="A5" s="24" t="s">
        <v>44</v>
      </c>
      <c r="B5" s="24"/>
      <c r="C5" s="25" t="s">
        <v>45</v>
      </c>
      <c r="D5" s="26" t="n">
        <v>46083</v>
      </c>
      <c r="E5" s="26" t="n">
        <v>46084</v>
      </c>
      <c r="F5" s="26" t="n">
        <v>46085</v>
      </c>
      <c r="G5" s="26" t="n">
        <v>46086</v>
      </c>
      <c r="H5" s="26" t="n">
        <v>46087</v>
      </c>
      <c r="I5" s="26" t="n">
        <v>46088</v>
      </c>
      <c r="J5" s="26" t="n">
        <v>46089</v>
      </c>
      <c r="K5" s="26" t="n">
        <v>46090</v>
      </c>
      <c r="L5" s="26" t="n">
        <v>46091</v>
      </c>
      <c r="M5" s="26" t="n">
        <v>46092</v>
      </c>
      <c r="N5" s="26" t="n">
        <v>46093</v>
      </c>
      <c r="O5" s="26" t="n">
        <v>46094</v>
      </c>
      <c r="P5" s="26" t="n">
        <v>46095</v>
      </c>
      <c r="Q5" s="26" t="n">
        <v>46096</v>
      </c>
      <c r="R5" s="25" t="s">
        <v>46</v>
      </c>
    </row>
    <row r="6" customFormat="false" ht="15" hidden="false" customHeight="true" outlineLevel="0" collapsed="false">
      <c r="A6" s="27" t="s">
        <v>47</v>
      </c>
      <c r="B6" s="27"/>
      <c r="C6" s="28" t="n">
        <v>190</v>
      </c>
      <c r="D6" s="29" t="n">
        <v>82</v>
      </c>
      <c r="E6" s="29" t="n">
        <v>95</v>
      </c>
      <c r="F6" s="29" t="n">
        <v>110</v>
      </c>
      <c r="G6" s="29" t="n">
        <v>88</v>
      </c>
      <c r="H6" s="29" t="n">
        <v>76</v>
      </c>
      <c r="I6" s="29" t="n">
        <v>145</v>
      </c>
      <c r="J6" s="29" t="n">
        <v>130</v>
      </c>
      <c r="K6" s="29" t="n">
        <v>92</v>
      </c>
      <c r="L6" s="29" t="n">
        <v>78</v>
      </c>
      <c r="M6" s="29" t="n">
        <v>85</v>
      </c>
      <c r="N6" s="29" t="n">
        <v>200</v>
      </c>
      <c r="O6" s="29" t="n">
        <v>170</v>
      </c>
      <c r="P6" s="29" t="n">
        <v>95</v>
      </c>
      <c r="Q6" s="29" t="n">
        <v>88</v>
      </c>
      <c r="R6" s="30" t="n">
        <f aca="false">IF(COUNT(D6:Q6)&gt;0,MAX(D6:Q6),"")</f>
        <v>200</v>
      </c>
    </row>
    <row r="7" customFormat="false" ht="15" hidden="false" customHeight="true" outlineLevel="0" collapsed="false">
      <c r="A7" s="27" t="s">
        <v>48</v>
      </c>
      <c r="B7" s="27"/>
      <c r="C7" s="28" t="n">
        <v>190</v>
      </c>
      <c r="D7" s="29" t="n">
        <v>65</v>
      </c>
      <c r="E7" s="29" t="n">
        <v>70</v>
      </c>
      <c r="F7" s="29" t="n">
        <v>80</v>
      </c>
      <c r="G7" s="29" t="n">
        <v>72</v>
      </c>
      <c r="H7" s="29" t="n">
        <v>68</v>
      </c>
      <c r="I7" s="29" t="n">
        <v>98</v>
      </c>
      <c r="J7" s="29" t="n">
        <v>105</v>
      </c>
      <c r="K7" s="29" t="n">
        <v>75</v>
      </c>
      <c r="L7" s="29" t="n">
        <v>62</v>
      </c>
      <c r="M7" s="29" t="n">
        <v>70</v>
      </c>
      <c r="N7" s="29" t="n">
        <v>155</v>
      </c>
      <c r="O7" s="29" t="n">
        <v>120</v>
      </c>
      <c r="P7" s="29" t="n">
        <v>78</v>
      </c>
      <c r="Q7" s="29" t="n">
        <v>65</v>
      </c>
      <c r="R7" s="30" t="n">
        <f aca="false">IF(COUNT(D7:Q7)&gt;0,MAX(D7:Q7),"")</f>
        <v>155</v>
      </c>
    </row>
    <row r="8" customFormat="false" ht="15" hidden="false" customHeight="true" outlineLevel="0" collapsed="false">
      <c r="A8" s="27" t="s">
        <v>49</v>
      </c>
      <c r="B8" s="27"/>
      <c r="C8" s="28" t="n">
        <v>190</v>
      </c>
      <c r="D8" s="29" t="n">
        <v>90</v>
      </c>
      <c r="E8" s="29" t="n">
        <v>105</v>
      </c>
      <c r="F8" s="29" t="n">
        <v>125</v>
      </c>
      <c r="G8" s="29" t="n">
        <v>98</v>
      </c>
      <c r="H8" s="29" t="n">
        <v>85</v>
      </c>
      <c r="I8" s="29" t="n">
        <v>160</v>
      </c>
      <c r="J8" s="29" t="n">
        <v>175</v>
      </c>
      <c r="K8" s="29" t="n">
        <v>110</v>
      </c>
      <c r="L8" s="29" t="n">
        <v>88</v>
      </c>
      <c r="M8" s="29" t="n">
        <v>95</v>
      </c>
      <c r="N8" s="29" t="n">
        <v>210</v>
      </c>
      <c r="O8" s="29" t="n">
        <v>195</v>
      </c>
      <c r="P8" s="29" t="n">
        <v>105</v>
      </c>
      <c r="Q8" s="29" t="n">
        <v>92</v>
      </c>
      <c r="R8" s="30" t="n">
        <f aca="false">IF(COUNT(D8:Q8)&gt;0,MAX(D8:Q8),"")</f>
        <v>210</v>
      </c>
    </row>
    <row r="9" customFormat="false" ht="15" hidden="false" customHeight="true" outlineLevel="0" collapsed="false">
      <c r="A9" s="27" t="s">
        <v>50</v>
      </c>
      <c r="B9" s="27"/>
      <c r="C9" s="28" t="n">
        <v>190</v>
      </c>
      <c r="D9" s="29" t="n">
        <v>55</v>
      </c>
      <c r="E9" s="29" t="n">
        <v>60</v>
      </c>
      <c r="F9" s="29" t="n">
        <v>68</v>
      </c>
      <c r="G9" s="29" t="n">
        <v>58</v>
      </c>
      <c r="H9" s="29" t="n">
        <v>52</v>
      </c>
      <c r="I9" s="29" t="n">
        <v>75</v>
      </c>
      <c r="J9" s="29" t="n">
        <v>82</v>
      </c>
      <c r="K9" s="29" t="n">
        <v>60</v>
      </c>
      <c r="L9" s="29" t="n">
        <v>50</v>
      </c>
      <c r="M9" s="29" t="n">
        <v>55</v>
      </c>
      <c r="N9" s="29" t="n">
        <v>95</v>
      </c>
      <c r="O9" s="29" t="n">
        <v>80</v>
      </c>
      <c r="P9" s="29" t="n">
        <v>62</v>
      </c>
      <c r="Q9" s="29" t="n">
        <v>55</v>
      </c>
      <c r="R9" s="30" t="n">
        <f aca="false">IF(COUNT(D9:Q9)&gt;0,MAX(D9:Q9),"")</f>
        <v>95</v>
      </c>
    </row>
    <row r="10" customFormat="false" ht="15" hidden="false" customHeight="true" outlineLevel="0" collapsed="false">
      <c r="A10" s="27" t="s">
        <v>51</v>
      </c>
      <c r="B10" s="27"/>
      <c r="C10" s="28" t="n">
        <v>190</v>
      </c>
      <c r="D10" s="29" t="n">
        <v>70</v>
      </c>
      <c r="E10" s="29" t="n">
        <v>78</v>
      </c>
      <c r="F10" s="29" t="n">
        <v>92</v>
      </c>
      <c r="G10" s="29" t="n">
        <v>82</v>
      </c>
      <c r="H10" s="29" t="n">
        <v>72</v>
      </c>
      <c r="I10" s="29" t="n">
        <v>115</v>
      </c>
      <c r="J10" s="29" t="n">
        <v>125</v>
      </c>
      <c r="K10" s="29" t="n">
        <v>85</v>
      </c>
      <c r="L10" s="29" t="n">
        <v>68</v>
      </c>
      <c r="M10" s="29" t="n">
        <v>75</v>
      </c>
      <c r="N10" s="29" t="n">
        <v>180</v>
      </c>
      <c r="O10" s="29" t="n">
        <v>150</v>
      </c>
      <c r="P10" s="29" t="n">
        <v>82</v>
      </c>
      <c r="Q10" s="29" t="n">
        <v>70</v>
      </c>
      <c r="R10" s="30" t="n">
        <f aca="false">IF(COUNT(D10:Q10)&gt;0,MAX(D10:Q10),"")</f>
        <v>180</v>
      </c>
    </row>
    <row r="12" customFormat="false" ht="6" hidden="false" customHeight="true" outlineLevel="0" collapsed="false"/>
    <row r="13" customFormat="false" ht="27.75" hidden="false" customHeight="true" outlineLevel="0" collapsed="false">
      <c r="A13" s="23" t="s">
        <v>52</v>
      </c>
      <c r="B13" s="23"/>
      <c r="C13" s="23"/>
      <c r="D13" s="23"/>
      <c r="E13" s="23"/>
      <c r="F13" s="23"/>
      <c r="G13" s="23"/>
      <c r="H13" s="23"/>
      <c r="I13" s="23"/>
      <c r="J13" s="23"/>
      <c r="K13" s="23"/>
      <c r="L13" s="23"/>
      <c r="M13" s="23"/>
      <c r="N13" s="23"/>
      <c r="O13" s="23"/>
      <c r="P13" s="23"/>
      <c r="Q13" s="23"/>
      <c r="R13" s="23"/>
    </row>
    <row r="14" customFormat="false" ht="15" hidden="false" customHeight="true" outlineLevel="0" collapsed="false">
      <c r="A14" s="24" t="s">
        <v>44</v>
      </c>
      <c r="B14" s="24"/>
      <c r="C14" s="25" t="s">
        <v>53</v>
      </c>
      <c r="D14" s="26" t="n">
        <v>46083</v>
      </c>
      <c r="E14" s="26" t="n">
        <v>46084</v>
      </c>
      <c r="F14" s="26" t="n">
        <v>46085</v>
      </c>
      <c r="G14" s="26" t="n">
        <v>46086</v>
      </c>
      <c r="H14" s="26" t="n">
        <v>46087</v>
      </c>
      <c r="I14" s="26" t="n">
        <v>46088</v>
      </c>
      <c r="J14" s="26" t="n">
        <v>46089</v>
      </c>
      <c r="K14" s="26" t="n">
        <v>46090</v>
      </c>
      <c r="L14" s="26" t="n">
        <v>46091</v>
      </c>
      <c r="M14" s="26" t="n">
        <v>46092</v>
      </c>
      <c r="N14" s="26" t="n">
        <v>46093</v>
      </c>
      <c r="O14" s="26" t="n">
        <v>46094</v>
      </c>
      <c r="P14" s="26" t="n">
        <v>46095</v>
      </c>
      <c r="Q14" s="26" t="n">
        <v>46096</v>
      </c>
      <c r="R14" s="25" t="s">
        <v>46</v>
      </c>
    </row>
    <row r="15" customFormat="false" ht="15" hidden="false" customHeight="true" outlineLevel="0" collapsed="false">
      <c r="A15" s="27" t="s">
        <v>54</v>
      </c>
      <c r="B15" s="27"/>
      <c r="C15" s="28" t="n">
        <v>75</v>
      </c>
      <c r="D15" s="29" t="n">
        <v>68</v>
      </c>
      <c r="E15" s="29" t="n">
        <v>72</v>
      </c>
      <c r="F15" s="29" t="n">
        <v>70</v>
      </c>
      <c r="G15" s="29" t="n">
        <v>69</v>
      </c>
      <c r="H15" s="29" t="n">
        <v>65</v>
      </c>
      <c r="I15" s="29" t="n">
        <v>74</v>
      </c>
      <c r="J15" s="29" t="n">
        <v>76</v>
      </c>
      <c r="K15" s="29" t="n">
        <v>71</v>
      </c>
      <c r="L15" s="29" t="n">
        <v>67</v>
      </c>
      <c r="M15" s="29" t="n">
        <v>70</v>
      </c>
      <c r="N15" s="29" t="n">
        <v>73</v>
      </c>
      <c r="O15" s="29" t="n">
        <v>72</v>
      </c>
      <c r="P15" s="29" t="n">
        <v>69</v>
      </c>
      <c r="Q15" s="29" t="n">
        <v>68</v>
      </c>
      <c r="R15" s="30" t="n">
        <f aca="false">IF(COUNT(D15:Q15)&gt;0,MAX(D15:Q15),"")</f>
        <v>76</v>
      </c>
    </row>
    <row r="16" customFormat="false" ht="15" hidden="false" customHeight="true" outlineLevel="0" collapsed="false">
      <c r="A16" s="27" t="s">
        <v>55</v>
      </c>
      <c r="B16" s="27"/>
      <c r="C16" s="28" t="n">
        <v>75</v>
      </c>
      <c r="D16" s="29" t="n">
        <v>62</v>
      </c>
      <c r="E16" s="29" t="n">
        <v>65</v>
      </c>
      <c r="F16" s="29" t="n">
        <v>63</v>
      </c>
      <c r="G16" s="29" t="n">
        <v>60</v>
      </c>
      <c r="H16" s="29" t="n">
        <v>58</v>
      </c>
      <c r="I16" s="29" t="n">
        <v>70</v>
      </c>
      <c r="J16" s="29" t="n">
        <v>72</v>
      </c>
      <c r="K16" s="29" t="n">
        <v>64</v>
      </c>
      <c r="L16" s="29" t="n">
        <v>60</v>
      </c>
      <c r="M16" s="29" t="n">
        <v>63</v>
      </c>
      <c r="N16" s="29" t="n">
        <v>68</v>
      </c>
      <c r="O16" s="29" t="n">
        <v>66</v>
      </c>
      <c r="P16" s="29" t="n">
        <v>62</v>
      </c>
      <c r="Q16" s="29" t="n">
        <v>60</v>
      </c>
      <c r="R16" s="30" t="n">
        <f aca="false">IF(COUNT(D16:Q16)&gt;0,MAX(D16:Q16),"")</f>
        <v>72</v>
      </c>
    </row>
    <row r="17" customFormat="false" ht="15" hidden="false" customHeight="true" outlineLevel="0" collapsed="false">
      <c r="A17" s="27" t="s">
        <v>56</v>
      </c>
      <c r="B17" s="27"/>
      <c r="C17" s="28" t="n">
        <v>70</v>
      </c>
      <c r="D17" s="29" t="n">
        <v>58</v>
      </c>
      <c r="E17" s="29" t="n">
        <v>62</v>
      </c>
      <c r="F17" s="29" t="n">
        <v>60</v>
      </c>
      <c r="G17" s="29" t="n">
        <v>57</v>
      </c>
      <c r="H17" s="29" t="n">
        <v>55</v>
      </c>
      <c r="I17" s="29" t="n">
        <v>68</v>
      </c>
      <c r="J17" s="29" t="n">
        <v>71</v>
      </c>
      <c r="K17" s="29" t="n">
        <v>63</v>
      </c>
      <c r="L17" s="29" t="n">
        <v>56</v>
      </c>
      <c r="M17" s="29" t="n">
        <v>60</v>
      </c>
      <c r="N17" s="29" t="n">
        <v>65</v>
      </c>
      <c r="O17" s="29" t="n">
        <v>64</v>
      </c>
      <c r="P17" s="29" t="n">
        <v>58</v>
      </c>
      <c r="Q17" s="29" t="n">
        <v>56</v>
      </c>
      <c r="R17" s="30" t="n">
        <f aca="false">IF(COUNT(D17:Q17)&gt;0,MAX(D17:Q17),"")</f>
        <v>71</v>
      </c>
    </row>
    <row r="18" customFormat="false" ht="15" hidden="false" customHeight="true" outlineLevel="0" collapsed="false">
      <c r="A18" s="27" t="s">
        <v>57</v>
      </c>
      <c r="B18" s="27"/>
      <c r="C18" s="28" t="n">
        <v>70</v>
      </c>
      <c r="D18" s="29" t="n">
        <v>55</v>
      </c>
      <c r="E18" s="29" t="n">
        <v>58</v>
      </c>
      <c r="F18" s="29" t="n">
        <v>56</v>
      </c>
      <c r="G18" s="29" t="n">
        <v>54</v>
      </c>
      <c r="H18" s="29" t="n">
        <v>52</v>
      </c>
      <c r="I18" s="29" t="n">
        <v>62</v>
      </c>
      <c r="J18" s="29" t="n">
        <v>65</v>
      </c>
      <c r="K18" s="29" t="n">
        <v>58</v>
      </c>
      <c r="L18" s="29" t="n">
        <v>53</v>
      </c>
      <c r="M18" s="29" t="n">
        <v>56</v>
      </c>
      <c r="N18" s="29" t="n">
        <v>60</v>
      </c>
      <c r="O18" s="29" t="n">
        <v>58</v>
      </c>
      <c r="P18" s="29" t="n">
        <v>55</v>
      </c>
      <c r="Q18" s="29" t="n">
        <v>53</v>
      </c>
      <c r="R18" s="30" t="n">
        <f aca="false">IF(COUNT(D18:Q18)&gt;0,MAX(D18:Q18),"")</f>
        <v>65</v>
      </c>
    </row>
  </sheetData>
  <mergeCells count="21">
    <mergeCell ref="A1:B1"/>
    <mergeCell ref="C1:F1"/>
    <mergeCell ref="H1:I1"/>
    <mergeCell ref="J1:L1"/>
    <mergeCell ref="A2:B2"/>
    <mergeCell ref="C2:F2"/>
    <mergeCell ref="H2:I2"/>
    <mergeCell ref="J2:L2"/>
    <mergeCell ref="A4:R4"/>
    <mergeCell ref="A5:B5"/>
    <mergeCell ref="A6:B6"/>
    <mergeCell ref="A7:B7"/>
    <mergeCell ref="A8:B8"/>
    <mergeCell ref="A9:B9"/>
    <mergeCell ref="A10:B10"/>
    <mergeCell ref="A13:R13"/>
    <mergeCell ref="A14:B14"/>
    <mergeCell ref="A15:B15"/>
    <mergeCell ref="A16:B16"/>
    <mergeCell ref="A17:B17"/>
    <mergeCell ref="A18:B18"/>
  </mergeCells>
  <conditionalFormatting sqref="D6:Q6">
    <cfRule type="expression" priority="2" aboveAverage="0" equalAverage="0" bottom="0" percent="0" rank="0" text="" dxfId="0">
      <formula>D6&gt;$C6</formula>
    </cfRule>
    <cfRule type="expression" priority="3" aboveAverage="0" equalAverage="0" bottom="0" percent="0" rank="0" text="" dxfId="1">
      <formula>AND(D6&gt;$C6*0.75,D6&lt;=$C6)</formula>
    </cfRule>
  </conditionalFormatting>
  <conditionalFormatting sqref="D7:Q7">
    <cfRule type="expression" priority="4" aboveAverage="0" equalAverage="0" bottom="0" percent="0" rank="0" text="" dxfId="0">
      <formula>D7&gt;$C7</formula>
    </cfRule>
    <cfRule type="expression" priority="5" aboveAverage="0" equalAverage="0" bottom="0" percent="0" rank="0" text="" dxfId="1">
      <formula>AND(D7&gt;$C7*0.75,D7&lt;=$C7)</formula>
    </cfRule>
  </conditionalFormatting>
  <conditionalFormatting sqref="D8:Q8">
    <cfRule type="expression" priority="6" aboveAverage="0" equalAverage="0" bottom="0" percent="0" rank="0" text="" dxfId="0">
      <formula>D8&gt;$C8</formula>
    </cfRule>
    <cfRule type="expression" priority="7" aboveAverage="0" equalAverage="0" bottom="0" percent="0" rank="0" text="" dxfId="1">
      <formula>AND(D8&gt;$C8*0.75,D8&lt;=$C8)</formula>
    </cfRule>
  </conditionalFormatting>
  <conditionalFormatting sqref="D9:Q9">
    <cfRule type="expression" priority="8" aboveAverage="0" equalAverage="0" bottom="0" percent="0" rank="0" text="" dxfId="0">
      <formula>D9&gt;$C9</formula>
    </cfRule>
    <cfRule type="expression" priority="9" aboveAverage="0" equalAverage="0" bottom="0" percent="0" rank="0" text="" dxfId="1">
      <formula>AND(D9&gt;$C9*0.75,D9&lt;=$C9)</formula>
    </cfRule>
  </conditionalFormatting>
  <conditionalFormatting sqref="D10:Q10">
    <cfRule type="expression" priority="10" aboveAverage="0" equalAverage="0" bottom="0" percent="0" rank="0" text="" dxfId="0">
      <formula>D10&gt;$C10</formula>
    </cfRule>
    <cfRule type="expression" priority="11" aboveAverage="0" equalAverage="0" bottom="0" percent="0" rank="0" text="" dxfId="1">
      <formula>AND(D10&gt;$C10*0.75,D10&lt;=$C10)</formula>
    </cfRule>
  </conditionalFormatting>
  <conditionalFormatting sqref="D15:Q15">
    <cfRule type="expression" priority="12" aboveAverage="0" equalAverage="0" bottom="0" percent="0" rank="0" text="" dxfId="0">
      <formula>D15&gt;$C15</formula>
    </cfRule>
    <cfRule type="expression" priority="13" aboveAverage="0" equalAverage="0" bottom="0" percent="0" rank="0" text="" dxfId="1">
      <formula>AND(D15&gt;$C15-5,D15&lt;=$C15)</formula>
    </cfRule>
  </conditionalFormatting>
  <conditionalFormatting sqref="D16:Q16">
    <cfRule type="expression" priority="14" aboveAverage="0" equalAverage="0" bottom="0" percent="0" rank="0" text="" dxfId="0">
      <formula>D16&gt;$C16</formula>
    </cfRule>
    <cfRule type="expression" priority="15" aboveAverage="0" equalAverage="0" bottom="0" percent="0" rank="0" text="" dxfId="1">
      <formula>AND(D16&gt;$C16-5,D16&lt;=$C16)</formula>
    </cfRule>
  </conditionalFormatting>
  <conditionalFormatting sqref="D17:Q17">
    <cfRule type="expression" priority="16" aboveAverage="0" equalAverage="0" bottom="0" percent="0" rank="0" text="" dxfId="0">
      <formula>D17&gt;$C17</formula>
    </cfRule>
    <cfRule type="expression" priority="17" aboveAverage="0" equalAverage="0" bottom="0" percent="0" rank="0" text="" dxfId="1">
      <formula>AND(D17&gt;$C17-5,D17&lt;=$C17)</formula>
    </cfRule>
  </conditionalFormatting>
  <conditionalFormatting sqref="D18:Q18">
    <cfRule type="expression" priority="18" aboveAverage="0" equalAverage="0" bottom="0" percent="0" rank="0" text="" dxfId="0">
      <formula>D18&gt;$C18</formula>
    </cfRule>
    <cfRule type="expression" priority="19" aboveAverage="0" equalAverage="0" bottom="0" percent="0" rank="0" text="" dxfId="1">
      <formula>AND(D18&gt;$C18-5,D18&lt;=$C18)</formula>
    </cfRule>
  </conditionalFormatting>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&amp;CDust / Noise Monitoring Record</oddHeader>
    <oddFooter>&amp;Rebrora.com</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0"/>
  </cols>
  <sheetData>
    <row r="1" customFormat="false" ht="15" hidden="false" customHeight="false" outlineLevel="0" collapsed="false">
      <c r="A1" s="20" t="s">
        <v>58</v>
      </c>
    </row>
    <row r="2" customFormat="false" ht="15" hidden="false" customHeight="false" outlineLevel="0" collapsed="false">
      <c r="A2" s="20"/>
    </row>
    <row r="3" customFormat="false" ht="15" hidden="false" customHeight="false" outlineLevel="0" collapsed="false">
      <c r="A3" s="20" t="s">
        <v>59</v>
      </c>
    </row>
    <row r="4" customFormat="false" ht="15" hidden="false" customHeight="false" outlineLevel="0" collapsed="false">
      <c r="A4" s="20"/>
    </row>
    <row r="5" customFormat="false" ht="15" hidden="false" customHeight="false" outlineLevel="0" collapsed="false">
      <c r="A5" s="20" t="s">
        <v>60</v>
      </c>
    </row>
    <row r="6" customFormat="false" ht="15" hidden="false" customHeight="false" outlineLevel="0" collapsed="false">
      <c r="A6" s="20"/>
    </row>
    <row r="7" customFormat="false" ht="15" hidden="false" customHeight="false" outlineLevel="0" collapsed="false">
      <c r="A7" s="20" t="s">
        <v>61</v>
      </c>
    </row>
    <row r="8" customFormat="false" ht="15" hidden="false" customHeight="false" outlineLevel="0" collapsed="false">
      <c r="A8" s="20"/>
    </row>
    <row r="9" customFormat="false" ht="15" hidden="false" customHeight="false" outlineLevel="0" collapsed="false">
      <c r="A9" s="20" t="s">
        <v>62</v>
      </c>
    </row>
    <row r="10" customFormat="false" ht="15" hidden="false" customHeight="false" outlineLevel="0" collapsed="false">
      <c r="A10" s="20"/>
    </row>
    <row r="11" customFormat="false" ht="15" hidden="false" customHeight="false" outlineLevel="0" collapsed="false">
      <c r="A11" s="20" t="s">
        <v>63</v>
      </c>
    </row>
    <row r="12" customFormat="false" ht="15" hidden="false" customHeight="false" outlineLevel="0" collapsed="false">
      <c r="A12" s="20"/>
    </row>
    <row r="13" customFormat="false" ht="15" hidden="false" customHeight="false" outlineLevel="0" collapsed="false">
      <c r="A13" s="20" t="s">
        <v>64</v>
      </c>
    </row>
    <row r="14" customFormat="false" ht="15" hidden="false" customHeight="false" outlineLevel="0" collapsed="false">
      <c r="A14" s="20"/>
    </row>
    <row r="15" customFormat="false" ht="15" hidden="false" customHeight="false" outlineLevel="0" collapsed="false">
      <c r="A15" s="20" t="s">
        <v>65</v>
      </c>
    </row>
    <row r="16" customFormat="false" ht="15" hidden="false" customHeight="false" outlineLevel="0" collapsed="false">
      <c r="A16" s="20"/>
    </row>
    <row r="17" customFormat="false" ht="15" hidden="false" customHeight="false" outlineLevel="0" collapsed="false">
      <c r="A17" s="20" t="s">
        <v>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Environmental</cp:category>
  <dcterms:created xsi:type="dcterms:W3CDTF">2026-03-23T06:10:36Z</dcterms:created>
  <dc:creator>Ebrora Ltd</dc:creator>
  <dc:description>Record dust and noise monitoring readings at fixed points with automatic threshold exceedance alerts for UK construction projects.
Free professional construction management template from Ebrora Ltd. Visit ebrora.com for our full range of tools and templates.</dc:description>
  <cp:keywords>Ebrora construction dust monitoring noise monitoring PM10 BS 5228 Section 61 environmental</cp:keywords>
  <dc:language>en-US</dc:language>
  <cp:lastModifiedBy>Ebrora Ltd</cp:lastModifiedBy>
  <dcterms:modified xsi:type="dcterms:W3CDTF">2026-03-23T06:10:36Z</dcterms:modified>
  <cp:revision>0</cp:revision>
  <dc:subject>Record dust (PM10) and noise (dB LAeq) monitoring readings with automatic threshold exceedance alerts.</dc:subject>
  <dc:title>Dust / Noise Monitoring Record</dc:title>
</cp:coreProperties>
</file>

<file path=docProps/custom.xml><?xml version="1.0" encoding="utf-8"?>
<Properties xmlns="http://schemas.openxmlformats.org/officeDocument/2006/custom-properties" xmlns:vt="http://schemas.openxmlformats.org/officeDocument/2006/docPropsVTypes"/>
</file>