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Noise Assessment Record"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Instructions!$A$1:$F$32</definedName>
    <definedName function="false" hidden="false" localSheetId="2" name="_xlnm.Print_Area" vbProcedure="false">'Noise Assessment Record'!$A$1:$J$58</definedName>
    <definedName function="false" hidden="true" localSheetId="2" name="_xlnm._FilterDatabase" vbProcedure="false">'Noise Assessment Record'!$A$8:$O$8</definedName>
    <definedName function="false" hidden="false" name="DataTable" vbProcedure="false">'Noise Assessment Record'!$A$8:$O$508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<sst xmlns="http://schemas.openxmlformats.org/spreadsheetml/2006/main" count="132" uniqueCount="108">
  <si>
    <t xml:space="preserve">EBRORA</t>
  </si>
  <si>
    <t xml:space="preserve">ebrora.com</t>
  </si>
  <si>
    <t xml:space="preserve">Noise Assessment Record</t>
  </si>
  <si>
    <t xml:space="preserve">Record and manage noise assessments across site — track exposure levels, action levels, control measures, and hearing protection requirements.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</si>
  <si>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</si>
  <si>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</si>
  <si>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</si>
  <si>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</si>
  <si>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</si>
  <si>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“Noise Assessment Record” tab. Each row records one noise assessment for a specific location, activity, or noise source.</t>
  </si>
  <si>
    <t xml:space="preserve">2.</t>
  </si>
  <si>
    <t xml:space="preserve">Enter the Date, Location/Activity (e.g. “Block A, Level 1 — concrete breaking”), and the Noise Source (e.g. “Hilti TE 70 breaker”).</t>
  </si>
  <si>
    <t xml:space="preserve">3.</t>
  </si>
  <si>
    <t xml:space="preserve">Record the Peak Level in dB(C) and the Daily Exposure level LEP,d in dB(A). These should be measured using a calibrated sound level meter or dosimeter.</t>
  </si>
  <si>
    <t xml:space="preserve">4.</t>
  </si>
  <si>
    <t xml:space="preserve">The Exposure Action Level is auto-calculated based on the LEP,d reading: Below 80 dB(A) = “Below Action Levels”, 80–84 dB(A) = “Lower Action Level”, 85+ dB(A) = “Upper Action Level”.</t>
  </si>
  <si>
    <t xml:space="preserve">5.</t>
  </si>
  <si>
    <t xml:space="preserve">Enter the Duration of Exposure in hours and describe the Control Measures in place (e.g. hearing protection zones, job rotation, quieter equipment, enclosures).</t>
  </si>
  <si>
    <t xml:space="preserve">6.</t>
  </si>
  <si>
    <t xml:space="preserve">Enter the assessor’s name in “Assessed By”.</t>
  </si>
  <si>
    <t xml:space="preserve">7.</t>
  </si>
  <si>
    <t xml:space="preserve">Expand optional columns for: Equipment Used (meter model), Operative(s) Exposed, RPE Required, RPE Type Issued, and Notes.</t>
  </si>
  <si>
    <t xml:space="preserve">8.</t>
  </si>
  <si>
    <t xml:space="preserve">The dashboard auto-calculates total assessments, counts at each action level, highest recorded level, average exposure, and RPE required count.</t>
  </si>
  <si>
    <t xml:space="preserve">Noise Action Levels (Control of Noise at Work Regulations 2005)</t>
  </si>
  <si>
    <t xml:space="preserve">•</t>
  </si>
  <si>
    <t xml:space="preserve">Lower Exposure Action Value: Daily exposure LEP,d = 80 dB(A) or peak = 135 dB(C). Employer must: assess risk, make hearing protection available, provide information and training.</t>
  </si>
  <si>
    <t xml:space="preserve">Upper Exposure Action Value: Daily exposure LEP,d = 85 dB(A) or peak = 137 dB(C). Employer must: reduce exposure, designate hearing protection zones, ensure hearing protection is worn, provide health surveillance.</t>
  </si>
  <si>
    <t xml:space="preserve">Exposure Limit Value: Daily exposure LEP,d = 87 dB(A) or peak = 140 dB(C). Must not be exceeded (taking hearing protection into account).</t>
  </si>
  <si>
    <t xml:space="preserve">Colour Key</t>
  </si>
  <si>
    <t xml:space="preserve">Light teal cells = User input / editable fields.</t>
  </si>
  <si>
    <t xml:space="preserve">Dark navy headers = Column headers. Do not edit.</t>
  </si>
  <si>
    <t xml:space="preserve">Green in Action Level = Below action levels (&lt;80 dB).</t>
  </si>
  <si>
    <t xml:space="preserve">Amber in Action Level = Lower Action Level (80–84 dB).</t>
  </si>
  <si>
    <t xml:space="preserve">Red in Action Level = Upper Action Level (85+ dB).</t>
  </si>
  <si>
    <t xml:space="preserve">Red in Peak Level = Peak exceeds 137 dB(C) (Upper Action Value for peak).</t>
  </si>
  <si>
    <t xml:space="preserve">Amber/Red row highlight matches the Action Level for quick visual scanning.</t>
  </si>
  <si>
    <t xml:space="preserve">Tips</t>
  </si>
  <si>
    <t xml:space="preserve">Common construction noise sources: concrete breakers (100–115 dB), angle grinders (95–105 dB), circular saws (90–100 dB), piling rigs (85–110 dB). Always measure — don’t guess.</t>
  </si>
  <si>
    <t xml:space="preserve">Where the Upper Action Level is reached, designate the area as a Hearing Protection Zone with signage. Hearing protection must be worn — it’s not optional above 85 dB(A).</t>
  </si>
  <si>
    <t xml:space="preserve">Review assessments whenever work methods, equipment, or exposure duration change. A one-off assessment is not sufficient for a dynamic construction site.</t>
  </si>
  <si>
    <t xml:space="preserve">NOISE ASSESSMENT RECORD</t>
  </si>
  <si>
    <t xml:space="preserve">Total Assessments:</t>
  </si>
  <si>
    <t xml:space="preserve">Highest LEP,d dB(A):</t>
  </si>
  <si>
    <t xml:space="preserve">Upper Action (≥85 dB):</t>
  </si>
  <si>
    <t xml:space="preserve">Lower Action (80–84 dB):</t>
  </si>
  <si>
    <t xml:space="preserve">Below Action (&lt;80 dB):</t>
  </si>
  <si>
    <t xml:space="preserve">Avg LEP,d dB(A):</t>
  </si>
  <si>
    <t xml:space="preserve">Peak &gt;137 dB(C):</t>
  </si>
  <si>
    <t xml:space="preserve">RPE Required:</t>
  </si>
  <si>
    <t xml:space="preserve">Avg Duration (hrs):</t>
  </si>
  <si>
    <t xml:space="preserve">▸ Optional Fields — Click [+] to expand</t>
  </si>
  <si>
    <t xml:space="preserve">Assessment No.</t>
  </si>
  <si>
    <t xml:space="preserve">Date</t>
  </si>
  <si>
    <t xml:space="preserve">Location / Activity</t>
  </si>
  <si>
    <t xml:space="preserve">Noise Source</t>
  </si>
  <si>
    <t xml:space="preserve">Peak dB(C)</t>
  </si>
  <si>
    <t xml:space="preserve">LEP,d dB(A)</t>
  </si>
  <si>
    <t xml:space="preserve">Exposure Action Level</t>
  </si>
  <si>
    <t xml:space="preserve">Duration (hrs)</t>
  </si>
  <si>
    <t xml:space="preserve">Control Measures</t>
  </si>
  <si>
    <t xml:space="preserve">Assessed By</t>
  </si>
  <si>
    <t xml:space="preserve">Equipment Used</t>
  </si>
  <si>
    <t xml:space="preserve">Operative(s) Exposed</t>
  </si>
  <si>
    <t xml:space="preserve">RPE Required</t>
  </si>
  <si>
    <t xml:space="preserve">RPE Type Issued</t>
  </si>
  <si>
    <t xml:space="preserve">Notes</t>
  </si>
  <si>
    <t xml:space="preserve">Block A, Ground Floor — Concrete breaking to existing slab</t>
  </si>
  <si>
    <t xml:space="preserve">Hilti TE 70-ATC Breaker</t>
  </si>
  <si>
    <t xml:space="preserve">Hearing protection zone established (10m radius). Mandatory ear defenders. Job rotation — max 2hr stints. Noise barriers erected.</t>
  </si>
  <si>
    <t xml:space="preserve">M. Davies</t>
  </si>
  <si>
    <t xml:space="preserve">Casella CEL-632 SLM</t>
  </si>
  <si>
    <t xml:space="preserve">2x demolition operatives, 3x adjacent trades</t>
  </si>
  <si>
    <t xml:space="preserve">Yes</t>
  </si>
  <si>
    <t xml:space="preserve">3M Peltor X5A ear defenders (SNR 37 dB)</t>
  </si>
  <si>
    <t xml:space="preserve">Assessed during peak breaking activity.</t>
  </si>
  <si>
    <t xml:space="preserve">Block B, Level 1 — M&amp;E containment installation</t>
  </si>
  <si>
    <t xml:space="preserve">Makita angle grinder (cutting steel tray)</t>
  </si>
  <si>
    <t xml:space="preserve">Hearing protection available. Cutting limited to designated area with screens. Damping mat under workpiece.</t>
  </si>
  <si>
    <t xml:space="preserve">1x M&amp;E fitter, 2x adjacent operatives</t>
  </si>
  <si>
    <t xml:space="preserve">Moldex M6 ear plugs (SNR 35 dB)</t>
  </si>
  <si>
    <t xml:space="preserve">Intermittent cutting — actual exposure lower than continuous equivalent.</t>
  </si>
  <si>
    <t xml:space="preserve">External — Piling mat, CFA piling operations</t>
  </si>
  <si>
    <t xml:space="preserve">Soilmec SR-40 CFA Piling Rig</t>
  </si>
  <si>
    <t xml:space="preserve">Hearing protection zone 15m radius signed. Ear defenders available at zone boundary. Banksman and site staff briefed.</t>
  </si>
  <si>
    <t xml:space="preserve">1x rig operator, 1x banksman, 2x ground workers</t>
  </si>
  <si>
    <t xml:space="preserve">3M Peltor Optime III (SNR 35 dB)</t>
  </si>
  <si>
    <t xml:space="preserve">Lower action level — hearing protection made available but not mandatory. Health surveillance offered.</t>
  </si>
  <si>
    <t xml:space="preserve">Block A, Level 2 — General fit-out works</t>
  </si>
  <si>
    <t xml:space="preserve">General background (multiple trades)</t>
  </si>
  <si>
    <t xml:space="preserve">No specific controls required. Background monitoring only. Noise levels below lower action value.</t>
  </si>
  <si>
    <t xml:space="preserve">General workforce</t>
  </si>
  <si>
    <t xml:space="preserve">No</t>
  </si>
  <si>
    <t xml:space="preserve">Routine monitoring to confirm levels remain below action values during fit-out phase.</t>
  </si>
  <si>
    <t xml:space="preserve">External — South boundary, concrete saw cutting kerbs</t>
  </si>
  <si>
    <t xml:space="preserve">Stihl TS 500i Cutquik Saw</t>
  </si>
  <si>
    <t xml:space="preserve">Hearing protection zone 10m radius. Mandatory ear defenders for operator and spotter. Wet cutting to reduce dust and dampen noise. Restricted to 2hr continuous use.</t>
  </si>
  <si>
    <t xml:space="preserve">1x operative, 1x spotter</t>
  </si>
  <si>
    <t xml:space="preserve">Peak of 138 dB(C) exceeds upper peak action value of 137 dB(C). Operator briefed on exposure limits.</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</si>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</sst>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dd/mm/yyyy"/>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FF0000"/>
      <name val="Calibri"/>
      <family val="0"/>
      <charset val="1"/>
    </font>
    <font>
      <b val="true"/>
      <sz val="10"/>
      <color rgb="FF9C0006"/>
      <name val="Calibri"/>
      <family val="0"/>
      <charset val="1"/>
    </font>
    <font>
      <b val="true"/>
      <sz val="10"/>
      <color rgb="FF9C6500"/>
      <name val="Calibri"/>
      <family val="0"/>
      <charset val="1"/>
    </font>
    <font>
      <b val="true"/>
      <sz val="10"/>
      <color rgb="FF006100"/>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8"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6" fontId="12" fillId="4" borderId="2" xfId="0" applyFont="true" applyBorder="true" applyAlignment="true" applyProtection="false">
      <alignment horizontal="center" vertical="center" textRotation="0" wrapText="true" indent="0" shrinkToFit="false"/>
      <protection locked="true" hidden="false"/>
    </xf>
    <xf numFmtId="164" fontId="12" fillId="3" borderId="2" xfId="0" applyFont="true" applyBorder="true" applyAlignment="true" applyProtection="false">
      <alignment horizontal="center" vertical="center" textRotation="0" wrapText="true" indent="0" shrinkToFit="false"/>
      <protection locked="true" hidden="false"/>
    </xf>
    <xf numFmtId="167" fontId="12" fillId="4"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23.85" hidden="false" customHeight="true" outlineLevel="0" collapsed="false">
      <c r="A8" s="10" t="s">
        <v>14</v>
      </c>
      <c r="B8" s="11" t="s">
        <v>15</v>
      </c>
      <c r="C8" s="11"/>
      <c r="D8" s="11"/>
      <c r="E8" s="11"/>
      <c r="F8" s="11"/>
      <c r="G8" s="2"/>
      <c r="H8" s="2"/>
    </row>
    <row r="9" customFormat="false" ht="15" hidden="false" customHeight="true" outlineLevel="0" collapsed="false">
      <c r="A9" s="10" t="s">
        <v>16</v>
      </c>
      <c r="B9" s="11" t="s">
        <v>17</v>
      </c>
      <c r="C9" s="11"/>
      <c r="D9" s="11"/>
      <c r="E9" s="11"/>
      <c r="F9" s="11"/>
      <c r="G9" s="2"/>
      <c r="H9" s="2"/>
    </row>
    <row r="10" customFormat="false" ht="15" hidden="false" customHeight="true" outlineLevel="0" collapsed="false">
      <c r="A10" s="10" t="s">
        <v>18</v>
      </c>
      <c r="B10" s="11" t="s">
        <v>19</v>
      </c>
      <c r="C10" s="11"/>
      <c r="D10" s="11"/>
      <c r="E10" s="11"/>
      <c r="F10" s="11"/>
      <c r="G10" s="2"/>
      <c r="H10" s="2"/>
    </row>
    <row r="11" customFormat="false" ht="15" hidden="false" customHeight="true" outlineLevel="0" collapsed="false">
      <c r="A11" s="10" t="s">
        <v>20</v>
      </c>
      <c r="B11" s="11" t="s">
        <v>21</v>
      </c>
      <c r="C11" s="11"/>
      <c r="D11" s="11"/>
      <c r="E11" s="11"/>
      <c r="F11" s="11"/>
      <c r="G11" s="2"/>
      <c r="H11" s="2"/>
    </row>
    <row r="12" customFormat="false" ht="15" hidden="false" customHeight="true" outlineLevel="0" collapsed="false">
      <c r="A12" s="10" t="s">
        <v>22</v>
      </c>
      <c r="B12" s="11" t="s">
        <v>23</v>
      </c>
      <c r="C12" s="11"/>
      <c r="D12" s="11"/>
      <c r="E12" s="11"/>
      <c r="F12" s="11"/>
      <c r="G12" s="2"/>
      <c r="H12" s="2"/>
    </row>
    <row r="13" customFormat="false" ht="15" hidden="false" customHeight="false" outlineLevel="0" collapsed="false">
      <c r="A13" s="2"/>
      <c r="B13" s="2"/>
      <c r="C13" s="2"/>
      <c r="D13" s="2"/>
      <c r="E13" s="2"/>
      <c r="F13" s="2"/>
      <c r="G13" s="2"/>
      <c r="H13" s="2"/>
    </row>
    <row r="14" customFormat="false" ht="15" hidden="false" customHeight="false" outlineLevel="0" collapsed="false">
      <c r="A14" s="9" t="s">
        <v>24</v>
      </c>
      <c r="B14" s="2"/>
      <c r="C14" s="2"/>
      <c r="D14" s="2"/>
      <c r="E14" s="2"/>
      <c r="F14" s="2"/>
      <c r="G14" s="2"/>
      <c r="H14" s="2"/>
    </row>
    <row r="15" customFormat="false" ht="23.85" hidden="false" customHeight="true" outlineLevel="0" collapsed="false">
      <c r="A15" s="10" t="s">
        <v>25</v>
      </c>
      <c r="B15" s="11" t="s">
        <v>26</v>
      </c>
      <c r="C15" s="11"/>
      <c r="D15" s="11"/>
      <c r="E15" s="11"/>
      <c r="F15" s="11"/>
      <c r="G15" s="2"/>
      <c r="H15" s="2"/>
    </row>
    <row r="16" customFormat="false" ht="23.85" hidden="false" customHeight="true" outlineLevel="0" collapsed="false">
      <c r="A16" s="10" t="s">
        <v>25</v>
      </c>
      <c r="B16" s="11" t="s">
        <v>27</v>
      </c>
      <c r="C16" s="11"/>
      <c r="D16" s="11"/>
      <c r="E16" s="11"/>
      <c r="F16" s="11"/>
      <c r="G16" s="2"/>
      <c r="H16" s="2"/>
    </row>
    <row r="17" customFormat="false" ht="15" hidden="false" customHeight="true" outlineLevel="0" collapsed="false">
      <c r="A17" s="10" t="s">
        <v>25</v>
      </c>
      <c r="B17" s="11" t="s">
        <v>28</v>
      </c>
      <c r="C17" s="11"/>
      <c r="D17" s="11"/>
      <c r="E17" s="11"/>
      <c r="F17" s="11"/>
      <c r="G17" s="2"/>
      <c r="H17" s="2"/>
    </row>
    <row r="18" customFormat="false" ht="15" hidden="false" customHeight="false" outlineLevel="0" collapsed="false">
      <c r="A18" s="2"/>
      <c r="B18" s="2"/>
      <c r="C18" s="2"/>
      <c r="D18" s="2"/>
      <c r="E18" s="2"/>
      <c r="F18" s="2"/>
      <c r="G18" s="2"/>
      <c r="H18" s="2"/>
    </row>
    <row r="19" customFormat="false" ht="15" hidden="false" customHeight="false" outlineLevel="0" collapsed="false">
      <c r="A19" s="9" t="s">
        <v>29</v>
      </c>
      <c r="B19" s="2"/>
      <c r="C19" s="2"/>
      <c r="D19" s="2"/>
      <c r="E19" s="2"/>
      <c r="F19" s="2"/>
      <c r="G19" s="2"/>
      <c r="H19" s="2"/>
    </row>
    <row r="20" customFormat="false" ht="15" hidden="false" customHeight="true" outlineLevel="0" collapsed="false">
      <c r="A20" s="10" t="s">
        <v>25</v>
      </c>
      <c r="B20" s="11" t="s">
        <v>30</v>
      </c>
      <c r="C20" s="11"/>
      <c r="D20" s="11"/>
      <c r="E20" s="11"/>
      <c r="F20" s="11"/>
      <c r="G20" s="2"/>
      <c r="H20" s="2"/>
    </row>
    <row r="21" customFormat="false" ht="15" hidden="false" customHeight="true" outlineLevel="0" collapsed="false">
      <c r="A21" s="10" t="s">
        <v>25</v>
      </c>
      <c r="B21" s="11" t="s">
        <v>31</v>
      </c>
      <c r="C21" s="11"/>
      <c r="D21" s="11"/>
      <c r="E21" s="11"/>
      <c r="F21" s="11"/>
      <c r="G21" s="2"/>
      <c r="H21" s="2"/>
    </row>
    <row r="22" customFormat="false" ht="15" hidden="false" customHeight="true" outlineLevel="0" collapsed="false">
      <c r="A22" s="10" t="s">
        <v>25</v>
      </c>
      <c r="B22" s="11" t="s">
        <v>32</v>
      </c>
      <c r="C22" s="11"/>
      <c r="D22" s="11"/>
      <c r="E22" s="11"/>
      <c r="F22" s="11"/>
      <c r="G22" s="2"/>
      <c r="H22" s="2"/>
    </row>
    <row r="23" customFormat="false" ht="15" hidden="false" customHeight="true" outlineLevel="0" collapsed="false">
      <c r="A23" s="10" t="s">
        <v>25</v>
      </c>
      <c r="B23" s="11" t="s">
        <v>33</v>
      </c>
      <c r="C23" s="11"/>
      <c r="D23" s="11"/>
      <c r="E23" s="11"/>
      <c r="F23" s="11"/>
      <c r="G23" s="2"/>
      <c r="H23" s="2"/>
    </row>
    <row r="24" customFormat="false" ht="15" hidden="false" customHeight="true" outlineLevel="0" collapsed="false">
      <c r="A24" s="10" t="s">
        <v>25</v>
      </c>
      <c r="B24" s="11" t="s">
        <v>34</v>
      </c>
      <c r="C24" s="11"/>
      <c r="D24" s="11"/>
      <c r="E24" s="11"/>
      <c r="F24" s="11"/>
      <c r="G24" s="2"/>
      <c r="H24" s="2"/>
    </row>
    <row r="25" customFormat="false" ht="15" hidden="false" customHeight="true" outlineLevel="0" collapsed="false">
      <c r="A25" s="10" t="s">
        <v>25</v>
      </c>
      <c r="B25" s="11" t="s">
        <v>35</v>
      </c>
      <c r="C25" s="11"/>
      <c r="D25" s="11"/>
      <c r="E25" s="11"/>
      <c r="F25" s="11"/>
      <c r="G25" s="2"/>
      <c r="H25" s="2"/>
    </row>
    <row r="26" customFormat="false" ht="15" hidden="false" customHeight="true" outlineLevel="0" collapsed="false">
      <c r="A26" s="10" t="s">
        <v>25</v>
      </c>
      <c r="B26" s="11" t="s">
        <v>36</v>
      </c>
      <c r="C26" s="11"/>
      <c r="D26" s="11"/>
      <c r="E26" s="11"/>
      <c r="F26" s="11"/>
      <c r="G26" s="2"/>
      <c r="H26" s="2"/>
    </row>
    <row r="27" customFormat="false" ht="15" hidden="false" customHeight="false" outlineLevel="0" collapsed="false">
      <c r="A27" s="2"/>
      <c r="B27" s="2"/>
      <c r="C27" s="2"/>
      <c r="D27" s="2"/>
      <c r="E27" s="2"/>
      <c r="F27" s="2"/>
      <c r="G27" s="2"/>
      <c r="H27" s="2"/>
    </row>
    <row r="28" customFormat="false" ht="15" hidden="false" customHeight="false" outlineLevel="0" collapsed="false">
      <c r="A28" s="9" t="s">
        <v>37</v>
      </c>
      <c r="B28" s="2"/>
      <c r="C28" s="2"/>
      <c r="D28" s="2"/>
      <c r="E28" s="2"/>
      <c r="F28" s="2"/>
      <c r="G28" s="2"/>
      <c r="H28" s="2"/>
    </row>
    <row r="29" customFormat="false" ht="23.85" hidden="false" customHeight="true" outlineLevel="0" collapsed="false">
      <c r="A29" s="10" t="s">
        <v>25</v>
      </c>
      <c r="B29" s="11" t="s">
        <v>38</v>
      </c>
      <c r="C29" s="11"/>
      <c r="D29" s="11"/>
      <c r="E29" s="11"/>
      <c r="F29" s="11"/>
      <c r="G29" s="2"/>
      <c r="H29" s="2"/>
    </row>
    <row r="30" customFormat="false" ht="15" hidden="false" customHeight="true" outlineLevel="0" collapsed="false">
      <c r="A30" s="10" t="s">
        <v>25</v>
      </c>
      <c r="B30" s="11" t="s">
        <v>39</v>
      </c>
      <c r="C30" s="11"/>
      <c r="D30" s="11"/>
      <c r="E30" s="11"/>
      <c r="F30" s="11"/>
      <c r="G30" s="2"/>
      <c r="H30" s="2"/>
    </row>
    <row r="31" customFormat="false" ht="15" hidden="false" customHeight="true" outlineLevel="0" collapsed="false">
      <c r="A31" s="10" t="s">
        <v>25</v>
      </c>
      <c r="B31" s="11" t="s">
        <v>40</v>
      </c>
      <c r="C31" s="11"/>
      <c r="D31" s="11"/>
      <c r="E31" s="11"/>
      <c r="F31" s="11"/>
      <c r="G31" s="2"/>
      <c r="H31" s="2"/>
    </row>
    <row r="32" customFormat="false" ht="15" hidden="false" customHeight="false" outlineLevel="0" collapsed="false">
      <c r="A32" s="2"/>
      <c r="B32" s="2"/>
      <c r="C32" s="2"/>
      <c r="D32" s="2"/>
      <c r="E32" s="2"/>
      <c r="F32" s="2"/>
      <c r="G32" s="2"/>
      <c r="H32" s="2"/>
    </row>
    <row r="33" customFormat="false" ht="15" hidden="false" customHeight="false" outlineLevel="0" collapsed="false">
      <c r="A33" s="2"/>
      <c r="B33" s="2"/>
      <c r="C33" s="2"/>
      <c r="D33" s="2"/>
      <c r="E33" s="2"/>
      <c r="F33" s="2"/>
      <c r="G33" s="2"/>
      <c r="H33" s="2"/>
    </row>
    <row r="34" customFormat="false" ht="15" hidden="false" customHeight="false" outlineLevel="0" collapsed="false">
      <c r="A34" s="2"/>
      <c r="B34" s="2"/>
      <c r="C34" s="2"/>
      <c r="D34" s="2"/>
      <c r="E34" s="2"/>
      <c r="F34" s="2"/>
      <c r="G34" s="2"/>
      <c r="H34" s="2"/>
    </row>
    <row r="35" customFormat="false" ht="15" hidden="false" customHeight="false" outlineLevel="0" collapsed="false">
      <c r="A35" s="2"/>
      <c r="B35" s="2"/>
      <c r="C35" s="2"/>
      <c r="D35" s="2"/>
      <c r="E35" s="2"/>
      <c r="F35" s="2"/>
      <c r="G35" s="2"/>
      <c r="H35" s="2"/>
    </row>
    <row r="36" customFormat="false" ht="15" hidden="false" customHeight="false" outlineLevel="0" collapsed="false">
      <c r="A36" s="2"/>
      <c r="B36" s="2"/>
      <c r="C36" s="2"/>
      <c r="D36" s="2"/>
      <c r="E36" s="2"/>
      <c r="F36" s="2"/>
      <c r="G36" s="2"/>
      <c r="H36" s="2"/>
    </row>
    <row r="37" customFormat="false" ht="15" hidden="false" customHeight="false" outlineLevel="0" collapsed="false">
      <c r="A37" s="2"/>
      <c r="B37" s="2"/>
      <c r="C37" s="2"/>
      <c r="D37" s="2"/>
      <c r="E37" s="2"/>
      <c r="F37" s="2"/>
      <c r="G37" s="2"/>
      <c r="H37" s="2"/>
    </row>
  </sheetData>
  <mergeCells count="22">
    <mergeCell ref="A1:F1"/>
    <mergeCell ref="B5:F5"/>
    <mergeCell ref="B6:F6"/>
    <mergeCell ref="B7:F7"/>
    <mergeCell ref="B8:F8"/>
    <mergeCell ref="B9:F9"/>
    <mergeCell ref="B10:F10"/>
    <mergeCell ref="B11:F11"/>
    <mergeCell ref="B12:F12"/>
    <mergeCell ref="B15:F15"/>
    <mergeCell ref="B16:F16"/>
    <mergeCell ref="B17:F17"/>
    <mergeCell ref="B20:F20"/>
    <mergeCell ref="B21:F21"/>
    <mergeCell ref="B22:F22"/>
    <mergeCell ref="B23:F23"/>
    <mergeCell ref="B24:F24"/>
    <mergeCell ref="B25:F25"/>
    <mergeCell ref="B26:F26"/>
    <mergeCell ref="B29:F29"/>
    <mergeCell ref="B30:F30"/>
    <mergeCell ref="B31: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24"/>
    <col collapsed="false" customWidth="true" hidden="false" outlineLevel="0" max="6" min="5" style="0" width="12"/>
    <col collapsed="false" customWidth="true" hidden="false" outlineLevel="0" max="7" min="7" style="0" width="20"/>
    <col collapsed="false" customWidth="true" hidden="false" outlineLevel="0" max="8" min="8" style="0" width="13"/>
    <col collapsed="false" customWidth="true" hidden="false" outlineLevel="0" max="9" min="9" style="0" width="38"/>
    <col collapsed="false" customWidth="true" hidden="false" outlineLevel="0" max="10" min="10" style="0" width="16"/>
    <col collapsed="false" customWidth="true" hidden="true" outlineLevel="1" max="15" min="11" style="0" width="20"/>
  </cols>
  <sheetData>
    <row r="1" customFormat="false" ht="17.35" hidden="false" customHeight="false" outlineLevel="0" collapsed="false">
      <c r="A1" s="12" t="s">
        <v>41</v>
      </c>
      <c r="B1" s="12"/>
      <c r="C1" s="12"/>
      <c r="E1" s="13" t="s">
        <v>42</v>
      </c>
      <c r="F1" s="14" t="n">
        <f aca="false">COUNTA(B9:B508)</f>
        <v>5</v>
      </c>
      <c r="H1" s="13" t="s">
        <v>43</v>
      </c>
      <c r="I1" s="15" t="n">
        <f aca="false">IFERROR(MAX(F9:F508),"")</f>
        <v>102</v>
      </c>
    </row>
    <row r="2" customFormat="false" ht="15" hidden="false" customHeight="false" outlineLevel="0" collapsed="false">
      <c r="E2" s="16" t="s">
        <v>44</v>
      </c>
      <c r="F2" s="17" t="n">
        <f aca="false">COUNTIF(G9:G508,"Upper Action Level")</f>
        <v>3</v>
      </c>
      <c r="H2" s="18" t="s">
        <v>45</v>
      </c>
      <c r="I2" s="14" t="n">
        <f aca="false">COUNTIF(G9:G508,"Lower Action Level")</f>
        <v>1</v>
      </c>
    </row>
    <row r="3" customFormat="false" ht="15" hidden="false" customHeight="false" outlineLevel="0" collapsed="false">
      <c r="E3" s="19" t="s">
        <v>46</v>
      </c>
      <c r="F3" s="14" t="n">
        <f aca="false">COUNTIF(G9:G508,"Below Action Levels")</f>
        <v>1</v>
      </c>
      <c r="H3" s="13" t="s">
        <v>47</v>
      </c>
      <c r="I3" s="20" t="n">
        <f aca="false">IFERROR(AVERAGE(F9:F508),"")</f>
        <v>90</v>
      </c>
    </row>
    <row r="4" customFormat="false" ht="15" hidden="false" customHeight="false" outlineLevel="0" collapsed="false">
      <c r="E4" s="13" t="s">
        <v>48</v>
      </c>
      <c r="F4" s="17" t="n">
        <f aca="false">COUNTIF(E9:E508,"&gt;"&amp;137)</f>
        <v>1</v>
      </c>
      <c r="H4" s="13" t="s">
        <v>49</v>
      </c>
      <c r="I4" s="14" t="n">
        <f aca="false">COUNTIF(M9:M508,"Yes")</f>
        <v>4</v>
      </c>
    </row>
    <row r="5" customFormat="false" ht="15" hidden="false" customHeight="false" outlineLevel="0" collapsed="false">
      <c r="E5" s="13" t="s">
        <v>50</v>
      </c>
      <c r="F5" s="20" t="n">
        <f aca="false">IFERROR(AVERAGE(H9:H508),"")</f>
        <v>5.8</v>
      </c>
    </row>
    <row r="7" customFormat="false" ht="22.35" hidden="false" customHeight="true" outlineLevel="0" collapsed="false">
      <c r="K7" s="21" t="s">
        <v>51</v>
      </c>
      <c r="L7" s="21"/>
      <c r="M7" s="21"/>
      <c r="N7" s="21"/>
      <c r="O7" s="21"/>
    </row>
    <row r="8" customFormat="false" ht="28.35" hidden="false" customHeight="false" outlineLevel="0" collapsed="false">
      <c r="A8" s="22" t="s">
        <v>52</v>
      </c>
      <c r="B8" s="22" t="s">
        <v>53</v>
      </c>
      <c r="C8" s="22" t="s">
        <v>54</v>
      </c>
      <c r="D8" s="22" t="s">
        <v>55</v>
      </c>
      <c r="E8" s="22" t="s">
        <v>56</v>
      </c>
      <c r="F8" s="22" t="s">
        <v>57</v>
      </c>
      <c r="G8" s="22" t="s">
        <v>58</v>
      </c>
      <c r="H8" s="22" t="s">
        <v>59</v>
      </c>
      <c r="I8" s="22" t="s">
        <v>60</v>
      </c>
      <c r="J8" s="22" t="s">
        <v>61</v>
      </c>
      <c r="K8" s="22" t="s">
        <v>62</v>
      </c>
      <c r="L8" s="22" t="s">
        <v>63</v>
      </c>
      <c r="M8" s="22" t="s">
        <v>64</v>
      </c>
      <c r="N8" s="22" t="s">
        <v>65</v>
      </c>
      <c r="O8" s="22" t="s">
        <v>66</v>
      </c>
    </row>
    <row r="9" customFormat="false" ht="31.5" hidden="false" customHeight="true" outlineLevel="0" collapsed="false">
      <c r="A9" s="23" t="n">
        <f aca="false">IF(B9="","",ROW()-8)</f>
        <v>1</v>
      </c>
      <c r="B9" s="24" t="n">
        <v>46097</v>
      </c>
      <c r="C9" s="25" t="s">
        <v>67</v>
      </c>
      <c r="D9" s="25" t="s">
        <v>68</v>
      </c>
      <c r="E9" s="26" t="n">
        <v>132</v>
      </c>
      <c r="F9" s="26" t="n">
        <v>102</v>
      </c>
      <c r="G9" s="27" t="str">
        <f aca="false">IF(F9="","",IF(F9&gt;=85,"Upper Action Level",IF(F9&gt;=80,"Lower Action Level","Below Action Levels")))</f>
        <v>Upper Action Level</v>
      </c>
      <c r="H9" s="28" t="n">
        <v>6</v>
      </c>
      <c r="I9" s="25" t="s">
        <v>69</v>
      </c>
      <c r="J9" s="25" t="s">
        <v>70</v>
      </c>
      <c r="K9" s="25" t="s">
        <v>71</v>
      </c>
      <c r="L9" s="25" t="s">
        <v>72</v>
      </c>
      <c r="M9" s="29" t="s">
        <v>73</v>
      </c>
      <c r="N9" s="25" t="s">
        <v>74</v>
      </c>
      <c r="O9" s="25" t="s">
        <v>75</v>
      </c>
    </row>
    <row r="10" customFormat="false" ht="31.5" hidden="false" customHeight="true" outlineLevel="0" collapsed="false">
      <c r="A10" s="23" t="n">
        <f aca="false">IF(B10="","",ROW()-8)</f>
        <v>2</v>
      </c>
      <c r="B10" s="24" t="n">
        <v>46097</v>
      </c>
      <c r="C10" s="25" t="s">
        <v>76</v>
      </c>
      <c r="D10" s="25" t="s">
        <v>77</v>
      </c>
      <c r="E10" s="26" t="n">
        <v>128</v>
      </c>
      <c r="F10" s="26" t="n">
        <v>94</v>
      </c>
      <c r="G10" s="27" t="str">
        <f aca="false">IF(F10="","",IF(F10&gt;=85,"Upper Action Level",IF(F10&gt;=80,"Lower Action Level","Below Action Levels")))</f>
        <v>Upper Action Level</v>
      </c>
      <c r="H10" s="28" t="n">
        <v>4</v>
      </c>
      <c r="I10" s="25" t="s">
        <v>78</v>
      </c>
      <c r="J10" s="25" t="s">
        <v>70</v>
      </c>
      <c r="K10" s="25" t="s">
        <v>71</v>
      </c>
      <c r="L10" s="25" t="s">
        <v>79</v>
      </c>
      <c r="M10" s="29" t="s">
        <v>73</v>
      </c>
      <c r="N10" s="25" t="s">
        <v>80</v>
      </c>
      <c r="O10" s="25" t="s">
        <v>81</v>
      </c>
    </row>
    <row r="11" customFormat="false" ht="31.5" hidden="false" customHeight="true" outlineLevel="0" collapsed="false">
      <c r="A11" s="23" t="n">
        <f aca="false">IF(B11="","",ROW()-8)</f>
        <v>3</v>
      </c>
      <c r="B11" s="24" t="n">
        <v>46098</v>
      </c>
      <c r="C11" s="25" t="s">
        <v>82</v>
      </c>
      <c r="D11" s="25" t="s">
        <v>83</v>
      </c>
      <c r="E11" s="26" t="n">
        <v>125</v>
      </c>
      <c r="F11" s="26" t="n">
        <v>82</v>
      </c>
      <c r="G11" s="27" t="str">
        <f aca="false">IF(F11="","",IF(F11&gt;=85,"Upper Action Level",IF(F11&gt;=80,"Lower Action Level","Below Action Levels")))</f>
        <v>Lower Action Level</v>
      </c>
      <c r="H11" s="28" t="n">
        <v>8</v>
      </c>
      <c r="I11" s="25" t="s">
        <v>84</v>
      </c>
      <c r="J11" s="25" t="s">
        <v>70</v>
      </c>
      <c r="K11" s="25" t="s">
        <v>71</v>
      </c>
      <c r="L11" s="25" t="s">
        <v>85</v>
      </c>
      <c r="M11" s="29" t="s">
        <v>73</v>
      </c>
      <c r="N11" s="25" t="s">
        <v>86</v>
      </c>
      <c r="O11" s="25" t="s">
        <v>87</v>
      </c>
    </row>
    <row r="12" customFormat="false" ht="31.5" hidden="false" customHeight="true" outlineLevel="0" collapsed="false">
      <c r="A12" s="23" t="n">
        <f aca="false">IF(B12="","",ROW()-8)</f>
        <v>4</v>
      </c>
      <c r="B12" s="24" t="n">
        <v>46099</v>
      </c>
      <c r="C12" s="25" t="s">
        <v>88</v>
      </c>
      <c r="D12" s="25" t="s">
        <v>89</v>
      </c>
      <c r="E12" s="26" t="n">
        <v>108</v>
      </c>
      <c r="F12" s="26" t="n">
        <v>74</v>
      </c>
      <c r="G12" s="27" t="str">
        <f aca="false">IF(F12="","",IF(F12&gt;=85,"Upper Action Level",IF(F12&gt;=80,"Lower Action Level","Below Action Levels")))</f>
        <v>Below Action Levels</v>
      </c>
      <c r="H12" s="28" t="n">
        <v>8</v>
      </c>
      <c r="I12" s="25" t="s">
        <v>90</v>
      </c>
      <c r="J12" s="25" t="s">
        <v>70</v>
      </c>
      <c r="K12" s="25" t="s">
        <v>71</v>
      </c>
      <c r="L12" s="25" t="s">
        <v>91</v>
      </c>
      <c r="M12" s="29" t="s">
        <v>92</v>
      </c>
      <c r="N12" s="25"/>
      <c r="O12" s="25" t="s">
        <v>93</v>
      </c>
    </row>
    <row r="13" customFormat="false" ht="31.5" hidden="false" customHeight="true" outlineLevel="0" collapsed="false">
      <c r="A13" s="23" t="n">
        <f aca="false">IF(B13="","",ROW()-8)</f>
        <v>5</v>
      </c>
      <c r="B13" s="24" t="n">
        <v>46100</v>
      </c>
      <c r="C13" s="25" t="s">
        <v>94</v>
      </c>
      <c r="D13" s="25" t="s">
        <v>95</v>
      </c>
      <c r="E13" s="26" t="n">
        <v>138</v>
      </c>
      <c r="F13" s="26" t="n">
        <v>98</v>
      </c>
      <c r="G13" s="27" t="str">
        <f aca="false">IF(F13="","",IF(F13&gt;=85,"Upper Action Level",IF(F13&gt;=80,"Lower Action Level","Below Action Levels")))</f>
        <v>Upper Action Level</v>
      </c>
      <c r="H13" s="28" t="n">
        <v>3</v>
      </c>
      <c r="I13" s="25" t="s">
        <v>96</v>
      </c>
      <c r="J13" s="25" t="s">
        <v>70</v>
      </c>
      <c r="K13" s="25" t="s">
        <v>71</v>
      </c>
      <c r="L13" s="25" t="s">
        <v>97</v>
      </c>
      <c r="M13" s="29" t="s">
        <v>73</v>
      </c>
      <c r="N13" s="25" t="s">
        <v>74</v>
      </c>
      <c r="O13" s="25" t="s">
        <v>98</v>
      </c>
    </row>
    <row r="14" customFormat="false" ht="31.5" hidden="false" customHeight="true" outlineLevel="0" collapsed="false">
      <c r="A14" s="23" t="str">
        <f aca="false">IF(B14="","",ROW()-8)</f>
        <v/>
      </c>
      <c r="B14" s="24"/>
      <c r="C14" s="25"/>
      <c r="D14" s="25"/>
      <c r="E14" s="26"/>
      <c r="F14" s="26"/>
      <c r="G14" s="27" t="str">
        <f aca="false">IF(F14="","",IF(F14&gt;=85,"Upper Action Level",IF(F14&gt;=80,"Lower Action Level","Below Action Levels")))</f>
        <v/>
      </c>
      <c r="H14" s="28"/>
      <c r="I14" s="25"/>
      <c r="J14" s="25"/>
      <c r="K14" s="25"/>
      <c r="L14" s="25"/>
      <c r="M14" s="29"/>
      <c r="N14" s="25"/>
      <c r="O14" s="25"/>
    </row>
    <row r="15" customFormat="false" ht="31.5" hidden="false" customHeight="true" outlineLevel="0" collapsed="false">
      <c r="A15" s="23" t="str">
        <f aca="false">IF(B15="","",ROW()-8)</f>
        <v/>
      </c>
      <c r="B15" s="24"/>
      <c r="C15" s="25"/>
      <c r="D15" s="25"/>
      <c r="E15" s="26"/>
      <c r="F15" s="26"/>
      <c r="G15" s="27" t="str">
        <f aca="false">IF(F15="","",IF(F15&gt;=85,"Upper Action Level",IF(F15&gt;=80,"Lower Action Level","Below Action Levels")))</f>
        <v/>
      </c>
      <c r="H15" s="28"/>
      <c r="I15" s="25"/>
      <c r="J15" s="25"/>
      <c r="K15" s="25"/>
      <c r="L15" s="25"/>
      <c r="M15" s="29"/>
      <c r="N15" s="25"/>
      <c r="O15" s="25"/>
    </row>
    <row r="16" customFormat="false" ht="31.5" hidden="false" customHeight="true" outlineLevel="0" collapsed="false">
      <c r="A16" s="23" t="str">
        <f aca="false">IF(B16="","",ROW()-8)</f>
        <v/>
      </c>
      <c r="B16" s="24"/>
      <c r="C16" s="25"/>
      <c r="D16" s="25"/>
      <c r="E16" s="26"/>
      <c r="F16" s="26"/>
      <c r="G16" s="27" t="str">
        <f aca="false">IF(F16="","",IF(F16&gt;=85,"Upper Action Level",IF(F16&gt;=80,"Lower Action Level","Below Action Levels")))</f>
        <v/>
      </c>
      <c r="H16" s="28"/>
      <c r="I16" s="25"/>
      <c r="J16" s="25"/>
      <c r="K16" s="25"/>
      <c r="L16" s="25"/>
      <c r="M16" s="29"/>
      <c r="N16" s="25"/>
      <c r="O16" s="25"/>
    </row>
    <row r="17" customFormat="false" ht="31.5" hidden="false" customHeight="true" outlineLevel="0" collapsed="false">
      <c r="A17" s="23" t="str">
        <f aca="false">IF(B17="","",ROW()-8)</f>
        <v/>
      </c>
      <c r="B17" s="24"/>
      <c r="C17" s="25"/>
      <c r="D17" s="25"/>
      <c r="E17" s="26"/>
      <c r="F17" s="26"/>
      <c r="G17" s="27" t="str">
        <f aca="false">IF(F17="","",IF(F17&gt;=85,"Upper Action Level",IF(F17&gt;=80,"Lower Action Level","Below Action Levels")))</f>
        <v/>
      </c>
      <c r="H17" s="28"/>
      <c r="I17" s="25"/>
      <c r="J17" s="25"/>
      <c r="K17" s="25"/>
      <c r="L17" s="25"/>
      <c r="M17" s="29"/>
      <c r="N17" s="25"/>
      <c r="O17" s="25"/>
    </row>
    <row r="18" customFormat="false" ht="31.5" hidden="false" customHeight="true" outlineLevel="0" collapsed="false">
      <c r="A18" s="23" t="str">
        <f aca="false">IF(B18="","",ROW()-8)</f>
        <v/>
      </c>
      <c r="B18" s="24"/>
      <c r="C18" s="25"/>
      <c r="D18" s="25"/>
      <c r="E18" s="26"/>
      <c r="F18" s="26"/>
      <c r="G18" s="27" t="str">
        <f aca="false">IF(F18="","",IF(F18&gt;=85,"Upper Action Level",IF(F18&gt;=80,"Lower Action Level","Below Action Levels")))</f>
        <v/>
      </c>
      <c r="H18" s="28"/>
      <c r="I18" s="25"/>
      <c r="J18" s="25"/>
      <c r="K18" s="25"/>
      <c r="L18" s="25"/>
      <c r="M18" s="29"/>
      <c r="N18" s="25"/>
      <c r="O18" s="25"/>
    </row>
    <row r="19" customFormat="false" ht="31.5" hidden="false" customHeight="true" outlineLevel="0" collapsed="false">
      <c r="A19" s="23" t="str">
        <f aca="false">IF(B19="","",ROW()-8)</f>
        <v/>
      </c>
      <c r="B19" s="24"/>
      <c r="C19" s="25"/>
      <c r="D19" s="25"/>
      <c r="E19" s="26"/>
      <c r="F19" s="26"/>
      <c r="G19" s="27" t="str">
        <f aca="false">IF(F19="","",IF(F19&gt;=85,"Upper Action Level",IF(F19&gt;=80,"Lower Action Level","Below Action Levels")))</f>
        <v/>
      </c>
      <c r="H19" s="28"/>
      <c r="I19" s="25"/>
      <c r="J19" s="25"/>
      <c r="K19" s="25"/>
      <c r="L19" s="25"/>
      <c r="M19" s="29"/>
      <c r="N19" s="25"/>
      <c r="O19" s="25"/>
    </row>
    <row r="20" customFormat="false" ht="31.5" hidden="false" customHeight="true" outlineLevel="0" collapsed="false">
      <c r="A20" s="23" t="str">
        <f aca="false">IF(B20="","",ROW()-8)</f>
        <v/>
      </c>
      <c r="B20" s="24"/>
      <c r="C20" s="25"/>
      <c r="D20" s="25"/>
      <c r="E20" s="26"/>
      <c r="F20" s="26"/>
      <c r="G20" s="27" t="str">
        <f aca="false">IF(F20="","",IF(F20&gt;=85,"Upper Action Level",IF(F20&gt;=80,"Lower Action Level","Below Action Levels")))</f>
        <v/>
      </c>
      <c r="H20" s="28"/>
      <c r="I20" s="25"/>
      <c r="J20" s="25"/>
      <c r="K20" s="25"/>
      <c r="L20" s="25"/>
      <c r="M20" s="29"/>
      <c r="N20" s="25"/>
      <c r="O20" s="25"/>
    </row>
    <row r="21" customFormat="false" ht="31.5" hidden="false" customHeight="true" outlineLevel="0" collapsed="false">
      <c r="A21" s="23" t="str">
        <f aca="false">IF(B21="","",ROW()-8)</f>
        <v/>
      </c>
      <c r="B21" s="24"/>
      <c r="C21" s="25"/>
      <c r="D21" s="25"/>
      <c r="E21" s="26"/>
      <c r="F21" s="26"/>
      <c r="G21" s="27" t="str">
        <f aca="false">IF(F21="","",IF(F21&gt;=85,"Upper Action Level",IF(F21&gt;=80,"Lower Action Level","Below Action Levels")))</f>
        <v/>
      </c>
      <c r="H21" s="28"/>
      <c r="I21" s="25"/>
      <c r="J21" s="25"/>
      <c r="K21" s="25"/>
      <c r="L21" s="25"/>
      <c r="M21" s="29"/>
      <c r="N21" s="25"/>
      <c r="O21" s="25"/>
    </row>
    <row r="22" customFormat="false" ht="31.5" hidden="false" customHeight="true" outlineLevel="0" collapsed="false">
      <c r="A22" s="23" t="str">
        <f aca="false">IF(B22="","",ROW()-8)</f>
        <v/>
      </c>
      <c r="B22" s="24"/>
      <c r="C22" s="25"/>
      <c r="D22" s="25"/>
      <c r="E22" s="26"/>
      <c r="F22" s="26"/>
      <c r="G22" s="27" t="str">
        <f aca="false">IF(F22="","",IF(F22&gt;=85,"Upper Action Level",IF(F22&gt;=80,"Lower Action Level","Below Action Levels")))</f>
        <v/>
      </c>
      <c r="H22" s="28"/>
      <c r="I22" s="25"/>
      <c r="J22" s="25"/>
      <c r="K22" s="25"/>
      <c r="L22" s="25"/>
      <c r="M22" s="29"/>
      <c r="N22" s="25"/>
      <c r="O22" s="25"/>
    </row>
    <row r="23" customFormat="false" ht="31.5" hidden="false" customHeight="true" outlineLevel="0" collapsed="false">
      <c r="A23" s="23" t="str">
        <f aca="false">IF(B23="","",ROW()-8)</f>
        <v/>
      </c>
      <c r="B23" s="24"/>
      <c r="C23" s="25"/>
      <c r="D23" s="25"/>
      <c r="E23" s="26"/>
      <c r="F23" s="26"/>
      <c r="G23" s="27" t="str">
        <f aca="false">IF(F23="","",IF(F23&gt;=85,"Upper Action Level",IF(F23&gt;=80,"Lower Action Level","Below Action Levels")))</f>
        <v/>
      </c>
      <c r="H23" s="28"/>
      <c r="I23" s="25"/>
      <c r="J23" s="25"/>
      <c r="K23" s="25"/>
      <c r="L23" s="25"/>
      <c r="M23" s="29"/>
      <c r="N23" s="25"/>
      <c r="O23" s="25"/>
    </row>
    <row r="24" customFormat="false" ht="31.5" hidden="false" customHeight="true" outlineLevel="0" collapsed="false">
      <c r="A24" s="23" t="str">
        <f aca="false">IF(B24="","",ROW()-8)</f>
        <v/>
      </c>
      <c r="B24" s="24"/>
      <c r="C24" s="25"/>
      <c r="D24" s="25"/>
      <c r="E24" s="26"/>
      <c r="F24" s="26"/>
      <c r="G24" s="27" t="str">
        <f aca="false">IF(F24="","",IF(F24&gt;=85,"Upper Action Level",IF(F24&gt;=80,"Lower Action Level","Below Action Levels")))</f>
        <v/>
      </c>
      <c r="H24" s="28"/>
      <c r="I24" s="25"/>
      <c r="J24" s="25"/>
      <c r="K24" s="25"/>
      <c r="L24" s="25"/>
      <c r="M24" s="29"/>
      <c r="N24" s="25"/>
      <c r="O24" s="25"/>
    </row>
    <row r="25" customFormat="false" ht="31.5" hidden="false" customHeight="true" outlineLevel="0" collapsed="false">
      <c r="A25" s="23" t="str">
        <f aca="false">IF(B25="","",ROW()-8)</f>
        <v/>
      </c>
      <c r="B25" s="24"/>
      <c r="C25" s="25"/>
      <c r="D25" s="25"/>
      <c r="E25" s="26"/>
      <c r="F25" s="26"/>
      <c r="G25" s="27" t="str">
        <f aca="false">IF(F25="","",IF(F25&gt;=85,"Upper Action Level",IF(F25&gt;=80,"Lower Action Level","Below Action Levels")))</f>
        <v/>
      </c>
      <c r="H25" s="28"/>
      <c r="I25" s="25"/>
      <c r="J25" s="25"/>
      <c r="K25" s="25"/>
      <c r="L25" s="25"/>
      <c r="M25" s="29"/>
      <c r="N25" s="25"/>
      <c r="O25" s="25"/>
    </row>
    <row r="26" customFormat="false" ht="31.5" hidden="false" customHeight="true" outlineLevel="0" collapsed="false">
      <c r="A26" s="23" t="str">
        <f aca="false">IF(B26="","",ROW()-8)</f>
        <v/>
      </c>
      <c r="B26" s="24"/>
      <c r="C26" s="25"/>
      <c r="D26" s="25"/>
      <c r="E26" s="26"/>
      <c r="F26" s="26"/>
      <c r="G26" s="27" t="str">
        <f aca="false">IF(F26="","",IF(F26&gt;=85,"Upper Action Level",IF(F26&gt;=80,"Lower Action Level","Below Action Levels")))</f>
        <v/>
      </c>
      <c r="H26" s="28"/>
      <c r="I26" s="25"/>
      <c r="J26" s="25"/>
      <c r="K26" s="25"/>
      <c r="L26" s="25"/>
      <c r="M26" s="29"/>
      <c r="N26" s="25"/>
      <c r="O26" s="25"/>
    </row>
    <row r="27" customFormat="false" ht="31.5" hidden="false" customHeight="true" outlineLevel="0" collapsed="false">
      <c r="A27" s="23" t="str">
        <f aca="false">IF(B27="","",ROW()-8)</f>
        <v/>
      </c>
      <c r="B27" s="24"/>
      <c r="C27" s="25"/>
      <c r="D27" s="25"/>
      <c r="E27" s="26"/>
      <c r="F27" s="26"/>
      <c r="G27" s="27" t="str">
        <f aca="false">IF(F27="","",IF(F27&gt;=85,"Upper Action Level",IF(F27&gt;=80,"Lower Action Level","Below Action Levels")))</f>
        <v/>
      </c>
      <c r="H27" s="28"/>
      <c r="I27" s="25"/>
      <c r="J27" s="25"/>
      <c r="K27" s="25"/>
      <c r="L27" s="25"/>
      <c r="M27" s="29"/>
      <c r="N27" s="25"/>
      <c r="O27" s="25"/>
    </row>
    <row r="28" customFormat="false" ht="31.5" hidden="false" customHeight="true" outlineLevel="0" collapsed="false">
      <c r="A28" s="23" t="str">
        <f aca="false">IF(B28="","",ROW()-8)</f>
        <v/>
      </c>
      <c r="B28" s="24"/>
      <c r="C28" s="25"/>
      <c r="D28" s="25"/>
      <c r="E28" s="26"/>
      <c r="F28" s="26"/>
      <c r="G28" s="27" t="str">
        <f aca="false">IF(F28="","",IF(F28&gt;=85,"Upper Action Level",IF(F28&gt;=80,"Lower Action Level","Below Action Levels")))</f>
        <v/>
      </c>
      <c r="H28" s="28"/>
      <c r="I28" s="25"/>
      <c r="J28" s="25"/>
      <c r="K28" s="25"/>
      <c r="L28" s="25"/>
      <c r="M28" s="29"/>
      <c r="N28" s="25"/>
      <c r="O28" s="25"/>
    </row>
    <row r="29" customFormat="false" ht="31.5" hidden="false" customHeight="true" outlineLevel="0" collapsed="false">
      <c r="A29" s="23" t="str">
        <f aca="false">IF(B29="","",ROW()-8)</f>
        <v/>
      </c>
      <c r="B29" s="24"/>
      <c r="C29" s="25"/>
      <c r="D29" s="25"/>
      <c r="E29" s="26"/>
      <c r="F29" s="26"/>
      <c r="G29" s="27" t="str">
        <f aca="false">IF(F29="","",IF(F29&gt;=85,"Upper Action Level",IF(F29&gt;=80,"Lower Action Level","Below Action Levels")))</f>
        <v/>
      </c>
      <c r="H29" s="28"/>
      <c r="I29" s="25"/>
      <c r="J29" s="25"/>
      <c r="K29" s="25"/>
      <c r="L29" s="25"/>
      <c r="M29" s="29"/>
      <c r="N29" s="25"/>
      <c r="O29" s="25"/>
    </row>
    <row r="30" customFormat="false" ht="31.5" hidden="false" customHeight="true" outlineLevel="0" collapsed="false">
      <c r="A30" s="23" t="str">
        <f aca="false">IF(B30="","",ROW()-8)</f>
        <v/>
      </c>
      <c r="B30" s="24"/>
      <c r="C30" s="25"/>
      <c r="D30" s="25"/>
      <c r="E30" s="26"/>
      <c r="F30" s="26"/>
      <c r="G30" s="27" t="str">
        <f aca="false">IF(F30="","",IF(F30&gt;=85,"Upper Action Level",IF(F30&gt;=80,"Lower Action Level","Below Action Levels")))</f>
        <v/>
      </c>
      <c r="H30" s="28"/>
      <c r="I30" s="25"/>
      <c r="J30" s="25"/>
      <c r="K30" s="25"/>
      <c r="L30" s="25"/>
      <c r="M30" s="29"/>
      <c r="N30" s="25"/>
      <c r="O30" s="25"/>
    </row>
    <row r="31" customFormat="false" ht="31.5" hidden="false" customHeight="true" outlineLevel="0" collapsed="false">
      <c r="A31" s="23" t="str">
        <f aca="false">IF(B31="","",ROW()-8)</f>
        <v/>
      </c>
      <c r="B31" s="24"/>
      <c r="C31" s="25"/>
      <c r="D31" s="25"/>
      <c r="E31" s="26"/>
      <c r="F31" s="26"/>
      <c r="G31" s="27" t="str">
        <f aca="false">IF(F31="","",IF(F31&gt;=85,"Upper Action Level",IF(F31&gt;=80,"Lower Action Level","Below Action Levels")))</f>
        <v/>
      </c>
      <c r="H31" s="28"/>
      <c r="I31" s="25"/>
      <c r="J31" s="25"/>
      <c r="K31" s="25"/>
      <c r="L31" s="25"/>
      <c r="M31" s="29"/>
      <c r="N31" s="25"/>
      <c r="O31" s="25"/>
    </row>
    <row r="32" customFormat="false" ht="31.5" hidden="false" customHeight="true" outlineLevel="0" collapsed="false">
      <c r="A32" s="23" t="str">
        <f aca="false">IF(B32="","",ROW()-8)</f>
        <v/>
      </c>
      <c r="B32" s="24"/>
      <c r="C32" s="25"/>
      <c r="D32" s="25"/>
      <c r="E32" s="26"/>
      <c r="F32" s="26"/>
      <c r="G32" s="27" t="str">
        <f aca="false">IF(F32="","",IF(F32&gt;=85,"Upper Action Level",IF(F32&gt;=80,"Lower Action Level","Below Action Levels")))</f>
        <v/>
      </c>
      <c r="H32" s="28"/>
      <c r="I32" s="25"/>
      <c r="J32" s="25"/>
      <c r="K32" s="25"/>
      <c r="L32" s="25"/>
      <c r="M32" s="29"/>
      <c r="N32" s="25"/>
      <c r="O32" s="25"/>
    </row>
    <row r="33" customFormat="false" ht="31.5" hidden="false" customHeight="true" outlineLevel="0" collapsed="false">
      <c r="A33" s="23" t="str">
        <f aca="false">IF(B33="","",ROW()-8)</f>
        <v/>
      </c>
      <c r="B33" s="24"/>
      <c r="C33" s="25"/>
      <c r="D33" s="25"/>
      <c r="E33" s="26"/>
      <c r="F33" s="26"/>
      <c r="G33" s="27" t="str">
        <f aca="false">IF(F33="","",IF(F33&gt;=85,"Upper Action Level",IF(F33&gt;=80,"Lower Action Level","Below Action Levels")))</f>
        <v/>
      </c>
      <c r="H33" s="28"/>
      <c r="I33" s="25"/>
      <c r="J33" s="25"/>
      <c r="K33" s="25"/>
      <c r="L33" s="25"/>
      <c r="M33" s="29"/>
      <c r="N33" s="25"/>
      <c r="O33" s="25"/>
    </row>
    <row r="34" customFormat="false" ht="31.5" hidden="false" customHeight="true" outlineLevel="0" collapsed="false">
      <c r="A34" s="23" t="str">
        <f aca="false">IF(B34="","",ROW()-8)</f>
        <v/>
      </c>
      <c r="B34" s="24"/>
      <c r="C34" s="25"/>
      <c r="D34" s="25"/>
      <c r="E34" s="26"/>
      <c r="F34" s="26"/>
      <c r="G34" s="27" t="str">
        <f aca="false">IF(F34="","",IF(F34&gt;=85,"Upper Action Level",IF(F34&gt;=80,"Lower Action Level","Below Action Levels")))</f>
        <v/>
      </c>
      <c r="H34" s="28"/>
      <c r="I34" s="25"/>
      <c r="J34" s="25"/>
      <c r="K34" s="25"/>
      <c r="L34" s="25"/>
      <c r="M34" s="29"/>
      <c r="N34" s="25"/>
      <c r="O34" s="25"/>
    </row>
    <row r="35" customFormat="false" ht="31.5" hidden="false" customHeight="true" outlineLevel="0" collapsed="false">
      <c r="A35" s="23" t="str">
        <f aca="false">IF(B35="","",ROW()-8)</f>
        <v/>
      </c>
      <c r="B35" s="24"/>
      <c r="C35" s="25"/>
      <c r="D35" s="25"/>
      <c r="E35" s="26"/>
      <c r="F35" s="26"/>
      <c r="G35" s="27" t="str">
        <f aca="false">IF(F35="","",IF(F35&gt;=85,"Upper Action Level",IF(F35&gt;=80,"Lower Action Level","Below Action Levels")))</f>
        <v/>
      </c>
      <c r="H35" s="28"/>
      <c r="I35" s="25"/>
      <c r="J35" s="25"/>
      <c r="K35" s="25"/>
      <c r="L35" s="25"/>
      <c r="M35" s="29"/>
      <c r="N35" s="25"/>
      <c r="O35" s="25"/>
    </row>
    <row r="36" customFormat="false" ht="31.5" hidden="false" customHeight="true" outlineLevel="0" collapsed="false">
      <c r="A36" s="23" t="str">
        <f aca="false">IF(B36="","",ROW()-8)</f>
        <v/>
      </c>
      <c r="B36" s="24"/>
      <c r="C36" s="25"/>
      <c r="D36" s="25"/>
      <c r="E36" s="26"/>
      <c r="F36" s="26"/>
      <c r="G36" s="27" t="str">
        <f aca="false">IF(F36="","",IF(F36&gt;=85,"Upper Action Level",IF(F36&gt;=80,"Lower Action Level","Below Action Levels")))</f>
        <v/>
      </c>
      <c r="H36" s="28"/>
      <c r="I36" s="25"/>
      <c r="J36" s="25"/>
      <c r="K36" s="25"/>
      <c r="L36" s="25"/>
      <c r="M36" s="29"/>
      <c r="N36" s="25"/>
      <c r="O36" s="25"/>
    </row>
    <row r="37" customFormat="false" ht="31.5" hidden="false" customHeight="true" outlineLevel="0" collapsed="false">
      <c r="A37" s="23" t="str">
        <f aca="false">IF(B37="","",ROW()-8)</f>
        <v/>
      </c>
      <c r="B37" s="24"/>
      <c r="C37" s="25"/>
      <c r="D37" s="25"/>
      <c r="E37" s="26"/>
      <c r="F37" s="26"/>
      <c r="G37" s="27" t="str">
        <f aca="false">IF(F37="","",IF(F37&gt;=85,"Upper Action Level",IF(F37&gt;=80,"Lower Action Level","Below Action Levels")))</f>
        <v/>
      </c>
      <c r="H37" s="28"/>
      <c r="I37" s="25"/>
      <c r="J37" s="25"/>
      <c r="K37" s="25"/>
      <c r="L37" s="25"/>
      <c r="M37" s="29"/>
      <c r="N37" s="25"/>
      <c r="O37" s="25"/>
    </row>
    <row r="38" customFormat="false" ht="31.5" hidden="false" customHeight="true" outlineLevel="0" collapsed="false">
      <c r="A38" s="23" t="str">
        <f aca="false">IF(B38="","",ROW()-8)</f>
        <v/>
      </c>
      <c r="B38" s="24"/>
      <c r="C38" s="25"/>
      <c r="D38" s="25"/>
      <c r="E38" s="26"/>
      <c r="F38" s="26"/>
      <c r="G38" s="27" t="str">
        <f aca="false">IF(F38="","",IF(F38&gt;=85,"Upper Action Level",IF(F38&gt;=80,"Lower Action Level","Below Action Levels")))</f>
        <v/>
      </c>
      <c r="H38" s="28"/>
      <c r="I38" s="25"/>
      <c r="J38" s="25"/>
      <c r="K38" s="25"/>
      <c r="L38" s="25"/>
      <c r="M38" s="29"/>
      <c r="N38" s="25"/>
      <c r="O38" s="25"/>
    </row>
    <row r="39" customFormat="false" ht="31.5" hidden="false" customHeight="true" outlineLevel="0" collapsed="false">
      <c r="A39" s="23" t="str">
        <f aca="false">IF(B39="","",ROW()-8)</f>
        <v/>
      </c>
      <c r="B39" s="24"/>
      <c r="C39" s="25"/>
      <c r="D39" s="25"/>
      <c r="E39" s="26"/>
      <c r="F39" s="26"/>
      <c r="G39" s="27" t="str">
        <f aca="false">IF(F39="","",IF(F39&gt;=85,"Upper Action Level",IF(F39&gt;=80,"Lower Action Level","Below Action Levels")))</f>
        <v/>
      </c>
      <c r="H39" s="28"/>
      <c r="I39" s="25"/>
      <c r="J39" s="25"/>
      <c r="K39" s="25"/>
      <c r="L39" s="25"/>
      <c r="M39" s="29"/>
      <c r="N39" s="25"/>
      <c r="O39" s="25"/>
    </row>
    <row r="40" customFormat="false" ht="31.5" hidden="false" customHeight="true" outlineLevel="0" collapsed="false">
      <c r="A40" s="23" t="str">
        <f aca="false">IF(B40="","",ROW()-8)</f>
        <v/>
      </c>
      <c r="B40" s="24"/>
      <c r="C40" s="25"/>
      <c r="D40" s="25"/>
      <c r="E40" s="26"/>
      <c r="F40" s="26"/>
      <c r="G40" s="27" t="str">
        <f aca="false">IF(F40="","",IF(F40&gt;=85,"Upper Action Level",IF(F40&gt;=80,"Lower Action Level","Below Action Levels")))</f>
        <v/>
      </c>
      <c r="H40" s="28"/>
      <c r="I40" s="25"/>
      <c r="J40" s="25"/>
      <c r="K40" s="25"/>
      <c r="L40" s="25"/>
      <c r="M40" s="29"/>
      <c r="N40" s="25"/>
      <c r="O40" s="25"/>
    </row>
    <row r="41" customFormat="false" ht="31.5" hidden="false" customHeight="true" outlineLevel="0" collapsed="false">
      <c r="A41" s="23" t="str">
        <f aca="false">IF(B41="","",ROW()-8)</f>
        <v/>
      </c>
      <c r="B41" s="24"/>
      <c r="C41" s="25"/>
      <c r="D41" s="25"/>
      <c r="E41" s="26"/>
      <c r="F41" s="26"/>
      <c r="G41" s="27" t="str">
        <f aca="false">IF(F41="","",IF(F41&gt;=85,"Upper Action Level",IF(F41&gt;=80,"Lower Action Level","Below Action Levels")))</f>
        <v/>
      </c>
      <c r="H41" s="28"/>
      <c r="I41" s="25"/>
      <c r="J41" s="25"/>
      <c r="K41" s="25"/>
      <c r="L41" s="25"/>
      <c r="M41" s="29"/>
      <c r="N41" s="25"/>
      <c r="O41" s="25"/>
    </row>
    <row r="42" customFormat="false" ht="31.5" hidden="false" customHeight="true" outlineLevel="0" collapsed="false">
      <c r="A42" s="23" t="str">
        <f aca="false">IF(B42="","",ROW()-8)</f>
        <v/>
      </c>
      <c r="B42" s="24"/>
      <c r="C42" s="25"/>
      <c r="D42" s="25"/>
      <c r="E42" s="26"/>
      <c r="F42" s="26"/>
      <c r="G42" s="27" t="str">
        <f aca="false">IF(F42="","",IF(F42&gt;=85,"Upper Action Level",IF(F42&gt;=80,"Lower Action Level","Below Action Levels")))</f>
        <v/>
      </c>
      <c r="H42" s="28"/>
      <c r="I42" s="25"/>
      <c r="J42" s="25"/>
      <c r="K42" s="25"/>
      <c r="L42" s="25"/>
      <c r="M42" s="29"/>
      <c r="N42" s="25"/>
      <c r="O42" s="25"/>
    </row>
    <row r="43" customFormat="false" ht="31.5" hidden="false" customHeight="true" outlineLevel="0" collapsed="false">
      <c r="A43" s="23" t="str">
        <f aca="false">IF(B43="","",ROW()-8)</f>
        <v/>
      </c>
      <c r="B43" s="24"/>
      <c r="C43" s="25"/>
      <c r="D43" s="25"/>
      <c r="E43" s="26"/>
      <c r="F43" s="26"/>
      <c r="G43" s="27" t="str">
        <f aca="false">IF(F43="","",IF(F43&gt;=85,"Upper Action Level",IF(F43&gt;=80,"Lower Action Level","Below Action Levels")))</f>
        <v/>
      </c>
      <c r="H43" s="28"/>
      <c r="I43" s="25"/>
      <c r="J43" s="25"/>
      <c r="K43" s="25"/>
      <c r="L43" s="25"/>
      <c r="M43" s="29"/>
      <c r="N43" s="25"/>
      <c r="O43" s="25"/>
    </row>
    <row r="44" customFormat="false" ht="31.5" hidden="false" customHeight="true" outlineLevel="0" collapsed="false">
      <c r="A44" s="23" t="str">
        <f aca="false">IF(B44="","",ROW()-8)</f>
        <v/>
      </c>
      <c r="B44" s="24"/>
      <c r="C44" s="25"/>
      <c r="D44" s="25"/>
      <c r="E44" s="26"/>
      <c r="F44" s="26"/>
      <c r="G44" s="27" t="str">
        <f aca="false">IF(F44="","",IF(F44&gt;=85,"Upper Action Level",IF(F44&gt;=80,"Lower Action Level","Below Action Levels")))</f>
        <v/>
      </c>
      <c r="H44" s="28"/>
      <c r="I44" s="25"/>
      <c r="J44" s="25"/>
      <c r="K44" s="25"/>
      <c r="L44" s="25"/>
      <c r="M44" s="29"/>
      <c r="N44" s="25"/>
      <c r="O44" s="25"/>
    </row>
    <row r="45" customFormat="false" ht="31.5" hidden="false" customHeight="true" outlineLevel="0" collapsed="false">
      <c r="A45" s="23" t="str">
        <f aca="false">IF(B45="","",ROW()-8)</f>
        <v/>
      </c>
      <c r="B45" s="24"/>
      <c r="C45" s="25"/>
      <c r="D45" s="25"/>
      <c r="E45" s="26"/>
      <c r="F45" s="26"/>
      <c r="G45" s="27" t="str">
        <f aca="false">IF(F45="","",IF(F45&gt;=85,"Upper Action Level",IF(F45&gt;=80,"Lower Action Level","Below Action Levels")))</f>
        <v/>
      </c>
      <c r="H45" s="28"/>
      <c r="I45" s="25"/>
      <c r="J45" s="25"/>
      <c r="K45" s="25"/>
      <c r="L45" s="25"/>
      <c r="M45" s="29"/>
      <c r="N45" s="25"/>
      <c r="O45" s="25"/>
    </row>
    <row r="46" customFormat="false" ht="31.5" hidden="false" customHeight="true" outlineLevel="0" collapsed="false">
      <c r="A46" s="23" t="str">
        <f aca="false">IF(B46="","",ROW()-8)</f>
        <v/>
      </c>
      <c r="B46" s="24"/>
      <c r="C46" s="25"/>
      <c r="D46" s="25"/>
      <c r="E46" s="26"/>
      <c r="F46" s="26"/>
      <c r="G46" s="27" t="str">
        <f aca="false">IF(F46="","",IF(F46&gt;=85,"Upper Action Level",IF(F46&gt;=80,"Lower Action Level","Below Action Levels")))</f>
        <v/>
      </c>
      <c r="H46" s="28"/>
      <c r="I46" s="25"/>
      <c r="J46" s="25"/>
      <c r="K46" s="25"/>
      <c r="L46" s="25"/>
      <c r="M46" s="29"/>
      <c r="N46" s="25"/>
      <c r="O46" s="25"/>
    </row>
    <row r="47" customFormat="false" ht="31.5" hidden="false" customHeight="true" outlineLevel="0" collapsed="false">
      <c r="A47" s="23" t="str">
        <f aca="false">IF(B47="","",ROW()-8)</f>
        <v/>
      </c>
      <c r="B47" s="24"/>
      <c r="C47" s="25"/>
      <c r="D47" s="25"/>
      <c r="E47" s="26"/>
      <c r="F47" s="26"/>
      <c r="G47" s="27" t="str">
        <f aca="false">IF(F47="","",IF(F47&gt;=85,"Upper Action Level",IF(F47&gt;=80,"Lower Action Level","Below Action Levels")))</f>
        <v/>
      </c>
      <c r="H47" s="28"/>
      <c r="I47" s="25"/>
      <c r="J47" s="25"/>
      <c r="K47" s="25"/>
      <c r="L47" s="25"/>
      <c r="M47" s="29"/>
      <c r="N47" s="25"/>
      <c r="O47" s="25"/>
    </row>
    <row r="48" customFormat="false" ht="31.5" hidden="false" customHeight="true" outlineLevel="0" collapsed="false">
      <c r="A48" s="23" t="str">
        <f aca="false">IF(B48="","",ROW()-8)</f>
        <v/>
      </c>
      <c r="B48" s="24"/>
      <c r="C48" s="25"/>
      <c r="D48" s="25"/>
      <c r="E48" s="26"/>
      <c r="F48" s="26"/>
      <c r="G48" s="27" t="str">
        <f aca="false">IF(F48="","",IF(F48&gt;=85,"Upper Action Level",IF(F48&gt;=80,"Lower Action Level","Below Action Levels")))</f>
        <v/>
      </c>
      <c r="H48" s="28"/>
      <c r="I48" s="25"/>
      <c r="J48" s="25"/>
      <c r="K48" s="25"/>
      <c r="L48" s="25"/>
      <c r="M48" s="29"/>
      <c r="N48" s="25"/>
      <c r="O48" s="25"/>
    </row>
    <row r="49" customFormat="false" ht="31.5" hidden="false" customHeight="true" outlineLevel="0" collapsed="false">
      <c r="A49" s="23" t="str">
        <f aca="false">IF(B49="","",ROW()-8)</f>
        <v/>
      </c>
      <c r="B49" s="24"/>
      <c r="C49" s="25"/>
      <c r="D49" s="25"/>
      <c r="E49" s="26"/>
      <c r="F49" s="26"/>
      <c r="G49" s="27" t="str">
        <f aca="false">IF(F49="","",IF(F49&gt;=85,"Upper Action Level",IF(F49&gt;=80,"Lower Action Level","Below Action Levels")))</f>
        <v/>
      </c>
      <c r="H49" s="28"/>
      <c r="I49" s="25"/>
      <c r="J49" s="25"/>
      <c r="K49" s="25"/>
      <c r="L49" s="25"/>
      <c r="M49" s="29"/>
      <c r="N49" s="25"/>
      <c r="O49" s="25"/>
    </row>
    <row r="50" customFormat="false" ht="31.5" hidden="false" customHeight="true" outlineLevel="0" collapsed="false">
      <c r="A50" s="23" t="str">
        <f aca="false">IF(B50="","",ROW()-8)</f>
        <v/>
      </c>
      <c r="B50" s="24"/>
      <c r="C50" s="25"/>
      <c r="D50" s="25"/>
      <c r="E50" s="26"/>
      <c r="F50" s="26"/>
      <c r="G50" s="27" t="str">
        <f aca="false">IF(F50="","",IF(F50&gt;=85,"Upper Action Level",IF(F50&gt;=80,"Lower Action Level","Below Action Levels")))</f>
        <v/>
      </c>
      <c r="H50" s="28"/>
      <c r="I50" s="25"/>
      <c r="J50" s="25"/>
      <c r="K50" s="25"/>
      <c r="L50" s="25"/>
      <c r="M50" s="29"/>
      <c r="N50" s="25"/>
      <c r="O50" s="25"/>
    </row>
    <row r="51" customFormat="false" ht="31.5" hidden="false" customHeight="true" outlineLevel="0" collapsed="false">
      <c r="A51" s="23" t="str">
        <f aca="false">IF(B51="","",ROW()-8)</f>
        <v/>
      </c>
      <c r="B51" s="24"/>
      <c r="C51" s="25"/>
      <c r="D51" s="25"/>
      <c r="E51" s="26"/>
      <c r="F51" s="26"/>
      <c r="G51" s="27" t="str">
        <f aca="false">IF(F51="","",IF(F51&gt;=85,"Upper Action Level",IF(F51&gt;=80,"Lower Action Level","Below Action Levels")))</f>
        <v/>
      </c>
      <c r="H51" s="28"/>
      <c r="I51" s="25"/>
      <c r="J51" s="25"/>
      <c r="K51" s="25"/>
      <c r="L51" s="25"/>
      <c r="M51" s="29"/>
      <c r="N51" s="25"/>
      <c r="O51" s="25"/>
    </row>
    <row r="52" customFormat="false" ht="31.5" hidden="false" customHeight="true" outlineLevel="0" collapsed="false">
      <c r="A52" s="23" t="str">
        <f aca="false">IF(B52="","",ROW()-8)</f>
        <v/>
      </c>
      <c r="B52" s="24"/>
      <c r="C52" s="25"/>
      <c r="D52" s="25"/>
      <c r="E52" s="26"/>
      <c r="F52" s="26"/>
      <c r="G52" s="27" t="str">
        <f aca="false">IF(F52="","",IF(F52&gt;=85,"Upper Action Level",IF(F52&gt;=80,"Lower Action Level","Below Action Levels")))</f>
        <v/>
      </c>
      <c r="H52" s="28"/>
      <c r="I52" s="25"/>
      <c r="J52" s="25"/>
      <c r="K52" s="25"/>
      <c r="L52" s="25"/>
      <c r="M52" s="29"/>
      <c r="N52" s="25"/>
      <c r="O52" s="25"/>
    </row>
    <row r="53" customFormat="false" ht="31.5" hidden="false" customHeight="true" outlineLevel="0" collapsed="false">
      <c r="A53" s="23" t="str">
        <f aca="false">IF(B53="","",ROW()-8)</f>
        <v/>
      </c>
      <c r="B53" s="24"/>
      <c r="C53" s="25"/>
      <c r="D53" s="25"/>
      <c r="E53" s="26"/>
      <c r="F53" s="26"/>
      <c r="G53" s="27" t="str">
        <f aca="false">IF(F53="","",IF(F53&gt;=85,"Upper Action Level",IF(F53&gt;=80,"Lower Action Level","Below Action Levels")))</f>
        <v/>
      </c>
      <c r="H53" s="28"/>
      <c r="I53" s="25"/>
      <c r="J53" s="25"/>
      <c r="K53" s="25"/>
      <c r="L53" s="25"/>
      <c r="M53" s="29"/>
      <c r="N53" s="25"/>
      <c r="O53" s="25"/>
    </row>
    <row r="54" customFormat="false" ht="31.5" hidden="false" customHeight="true" outlineLevel="0" collapsed="false">
      <c r="A54" s="23" t="str">
        <f aca="false">IF(B54="","",ROW()-8)</f>
        <v/>
      </c>
      <c r="B54" s="24"/>
      <c r="C54" s="25"/>
      <c r="D54" s="25"/>
      <c r="E54" s="26"/>
      <c r="F54" s="26"/>
      <c r="G54" s="27" t="str">
        <f aca="false">IF(F54="","",IF(F54&gt;=85,"Upper Action Level",IF(F54&gt;=80,"Lower Action Level","Below Action Levels")))</f>
        <v/>
      </c>
      <c r="H54" s="28"/>
      <c r="I54" s="25"/>
      <c r="J54" s="25"/>
      <c r="K54" s="25"/>
      <c r="L54" s="25"/>
      <c r="M54" s="29"/>
      <c r="N54" s="25"/>
      <c r="O54" s="25"/>
    </row>
    <row r="55" customFormat="false" ht="31.5" hidden="false" customHeight="true" outlineLevel="0" collapsed="false">
      <c r="A55" s="23" t="str">
        <f aca="false">IF(B55="","",ROW()-8)</f>
        <v/>
      </c>
      <c r="B55" s="24"/>
      <c r="C55" s="25"/>
      <c r="D55" s="25"/>
      <c r="E55" s="26"/>
      <c r="F55" s="26"/>
      <c r="G55" s="27" t="str">
        <f aca="false">IF(F55="","",IF(F55&gt;=85,"Upper Action Level",IF(F55&gt;=80,"Lower Action Level","Below Action Levels")))</f>
        <v/>
      </c>
      <c r="H55" s="28"/>
      <c r="I55" s="25"/>
      <c r="J55" s="25"/>
      <c r="K55" s="25"/>
      <c r="L55" s="25"/>
      <c r="M55" s="29"/>
      <c r="N55" s="25"/>
      <c r="O55" s="25"/>
    </row>
    <row r="56" customFormat="false" ht="31.5" hidden="false" customHeight="true" outlineLevel="0" collapsed="false">
      <c r="A56" s="23" t="str">
        <f aca="false">IF(B56="","",ROW()-8)</f>
        <v/>
      </c>
      <c r="B56" s="24"/>
      <c r="C56" s="25"/>
      <c r="D56" s="25"/>
      <c r="E56" s="26"/>
      <c r="F56" s="26"/>
      <c r="G56" s="27" t="str">
        <f aca="false">IF(F56="","",IF(F56&gt;=85,"Upper Action Level",IF(F56&gt;=80,"Lower Action Level","Below Action Levels")))</f>
        <v/>
      </c>
      <c r="H56" s="28"/>
      <c r="I56" s="25"/>
      <c r="J56" s="25"/>
      <c r="K56" s="25"/>
      <c r="L56" s="25"/>
      <c r="M56" s="29"/>
      <c r="N56" s="25"/>
      <c r="O56" s="25"/>
    </row>
    <row r="57" customFormat="false" ht="31.5" hidden="false" customHeight="true" outlineLevel="0" collapsed="false">
      <c r="A57" s="23" t="str">
        <f aca="false">IF(B57="","",ROW()-8)</f>
        <v/>
      </c>
      <c r="B57" s="24"/>
      <c r="C57" s="25"/>
      <c r="D57" s="25"/>
      <c r="E57" s="26"/>
      <c r="F57" s="26"/>
      <c r="G57" s="27" t="str">
        <f aca="false">IF(F57="","",IF(F57&gt;=85,"Upper Action Level",IF(F57&gt;=80,"Lower Action Level","Below Action Levels")))</f>
        <v/>
      </c>
      <c r="H57" s="28"/>
      <c r="I57" s="25"/>
      <c r="J57" s="25"/>
      <c r="K57" s="25"/>
      <c r="L57" s="25"/>
      <c r="M57" s="29"/>
      <c r="N57" s="25"/>
      <c r="O57" s="25"/>
    </row>
    <row r="58" customFormat="false" ht="31.5" hidden="false" customHeight="true" outlineLevel="0" collapsed="false">
      <c r="A58" s="23" t="str">
        <f aca="false">IF(B58="","",ROW()-8)</f>
        <v/>
      </c>
      <c r="B58" s="24"/>
      <c r="C58" s="25"/>
      <c r="D58" s="25"/>
      <c r="E58" s="26"/>
      <c r="F58" s="26"/>
      <c r="G58" s="27" t="str">
        <f aca="false">IF(F58="","",IF(F58&gt;=85,"Upper Action Level",IF(F58&gt;=80,"Lower Action Level","Below Action Levels")))</f>
        <v/>
      </c>
      <c r="H58" s="28"/>
      <c r="I58" s="25"/>
      <c r="J58" s="25"/>
      <c r="K58" s="25"/>
      <c r="L58" s="25"/>
      <c r="M58" s="29"/>
      <c r="N58" s="25"/>
      <c r="O58" s="25"/>
    </row>
  </sheetData>
  <autoFilter ref="A8:O8"/>
  <mergeCells count="2">
    <mergeCell ref="A1:C1"/>
    <mergeCell ref="K7:O7"/>
  </mergeCells>
  <conditionalFormatting sqref="G9:G508">
    <cfRule type="expression" priority="2" aboveAverage="0" equalAverage="0" bottom="0" percent="0" rank="0" text="" dxfId="3">
      <formula>$G9="Upper Action Level"</formula>
    </cfRule>
    <cfRule type="expression" priority="3" aboveAverage="0" equalAverage="0" bottom="0" percent="0" rank="0" text="" dxfId="4">
      <formula>$G9="Lower Action Level"</formula>
    </cfRule>
    <cfRule type="expression" priority="4" aboveAverage="0" equalAverage="0" bottom="0" percent="0" rank="0" text="" dxfId="5">
      <formula>$G9="Below Action Levels"</formula>
    </cfRule>
  </conditionalFormatting>
  <conditionalFormatting sqref="A9:F508">
    <cfRule type="expression" priority="5" aboveAverage="0" equalAverage="0" bottom="0" percent="0" rank="0" text="" dxfId="3">
      <formula>AND($F9&lt;&gt;"",$F9&gt;=85)</formula>
    </cfRule>
    <cfRule type="expression" priority="6" aboveAverage="0" equalAverage="0" bottom="0" percent="0" rank="0" text="" dxfId="4">
      <formula>AND($F9&lt;&gt;"",$F9&gt;=80,$F9&lt;85)</formula>
    </cfRule>
  </conditionalFormatting>
  <conditionalFormatting sqref="E9:E508">
    <cfRule type="expression" priority="7" aboveAverage="0" equalAverage="0" bottom="0" percent="0" rank="0" text="" dxfId="3">
      <formula>AND($E9&lt;&gt;"",$E9&gt;137)</formula>
    </cfRule>
  </conditionalFormatting>
  <conditionalFormatting sqref="F9:F508">
    <cfRule type="expression" priority="8" aboveAverage="0" equalAverage="0" bottom="0" percent="0" rank="0" text="" dxfId="3">
      <formula>AND($F9&lt;&gt;"",$F9&gt;=85)</formula>
    </cfRule>
    <cfRule type="expression" priority="9" aboveAverage="0" equalAverage="0" bottom="0" percent="0" rank="0" text="" dxfId="4">
      <formula>AND($F9&lt;&gt;"",$F9&gt;=80,$F9&lt;85)</formula>
    </cfRule>
    <cfRule type="expression" priority="10" aboveAverage="0" equalAverage="0" bottom="0" percent="0" rank="0" text="" dxfId="5">
      <formula>AND($F9&lt;&gt;"",$F9&lt;80)</formula>
    </cfRule>
  </conditionalFormatting>
  <dataValidations count="5">
    <dataValidation allowBlank="true" errorStyle="stop" operator="between" showDropDown="false" showErrorMessage="false" showInputMessage="false" sqref="M9:M508" type="list">
      <formula1>"Yes,No"</formula1>
      <formula2>0</formula2>
    </dataValidation>
    <dataValidation allowBlank="true" errorStyle="stop" operator="between" showDropDown="false" showErrorMessage="false" showInputMessage="false" sqref="B9:B508" type="date">
      <formula1>0</formula1>
      <formula2>0</formula2>
    </dataValidation>
    <dataValidation allowBlank="true" error="Enter peak level in dB(C) (0–200)" errorStyle="stop" operator="between" showDropDown="false" showErrorMessage="false" showInputMessage="false" sqref="E9:E508" type="decimal">
      <formula1>0</formula1>
      <formula2>200</formula2>
    </dataValidation>
    <dataValidation allowBlank="true" error="Enter daily exposure in dB(A) (0–200)" errorStyle="stop" operator="between" showDropDown="false" showErrorMessage="false" showInputMessage="false" sqref="F9:F508" type="decimal">
      <formula1>0</formula1>
      <formula2>200</formula2>
    </dataValidation>
    <dataValidation allowBlank="true" error="Enter duration in hours (0–24)" errorStyle="stop" operator="between" showDropDown="false" showErrorMessage="false" showInputMessage="false" sqref="H9:H508" type="decimal">
      <formula1>0</formula1>
      <formula2>24</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&amp;CNoise Assessment Record</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30" t="s">
        <v>99</v>
      </c>
    </row>
    <row r="2" customFormat="false" ht="15" hidden="false" customHeight="false" outlineLevel="0" collapsed="false">
      <c r="A2" s="30"/>
    </row>
    <row r="3" customFormat="false" ht="15" hidden="false" customHeight="false" outlineLevel="0" collapsed="false">
      <c r="A3" s="30" t="s">
        <v>100</v>
      </c>
    </row>
    <row r="4" customFormat="false" ht="15" hidden="false" customHeight="false" outlineLevel="0" collapsed="false">
      <c r="A4" s="30"/>
    </row>
    <row r="5" customFormat="false" ht="15" hidden="false" customHeight="false" outlineLevel="0" collapsed="false">
      <c r="A5" s="30" t="s">
        <v>101</v>
      </c>
    </row>
    <row r="6" customFormat="false" ht="15" hidden="false" customHeight="false" outlineLevel="0" collapsed="false">
      <c r="A6" s="30"/>
    </row>
    <row r="7" customFormat="false" ht="15" hidden="false" customHeight="false" outlineLevel="0" collapsed="false">
      <c r="A7" s="30" t="s">
        <v>102</v>
      </c>
    </row>
    <row r="8" customFormat="false" ht="15" hidden="false" customHeight="false" outlineLevel="0" collapsed="false">
      <c r="A8" s="30"/>
    </row>
    <row r="9" customFormat="false" ht="15" hidden="false" customHeight="false" outlineLevel="0" collapsed="false">
      <c r="A9" s="30" t="s">
        <v>103</v>
      </c>
    </row>
    <row r="10" customFormat="false" ht="15" hidden="false" customHeight="false" outlineLevel="0" collapsed="false">
      <c r="A10" s="30"/>
    </row>
    <row r="11" customFormat="false" ht="15" hidden="false" customHeight="false" outlineLevel="0" collapsed="false">
      <c r="A11" s="30" t="s">
        <v>104</v>
      </c>
    </row>
    <row r="12" customFormat="false" ht="15" hidden="false" customHeight="false" outlineLevel="0" collapsed="false">
      <c r="A12" s="30"/>
    </row>
    <row r="13" customFormat="false" ht="15" hidden="false" customHeight="false" outlineLevel="0" collapsed="false">
      <c r="A13" s="30" t="s">
        <v>105</v>
      </c>
    </row>
    <row r="14" customFormat="false" ht="15" hidden="false" customHeight="false" outlineLevel="0" collapsed="false">
      <c r="A14" s="30"/>
    </row>
    <row r="15" customFormat="false" ht="15" hidden="false" customHeight="false" outlineLevel="0" collapsed="false">
      <c r="A15" s="30" t="s">
        <v>106</v>
      </c>
    </row>
    <row r="16" customFormat="false" ht="15" hidden="false" customHeight="false" outlineLevel="0" collapsed="false">
      <c r="A16" s="30"/>
    </row>
    <row r="17" customFormat="false" ht="15" hidden="false" customHeight="false" outlineLevel="0" collapsed="false">
      <c r="A17" s="30"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2026-03-22T17:31:18Z</dcterms:created>
  <dc:creator>Ebrora Ltd</dc:creator>
  <dc:description>Record and manage noise assessments across site with auto-calculated exposure action levels, peak level monitoring, hearing protection tracking, and regulatory threshold alerts. Designed for UK construction site managers, HSE advisors, and noise assessors.
Free professional construction management template from Ebrora Ltd. Visit ebrora.com for our full range of tools and templates.</dc:description>
  <cp:keywords>Ebrora construction noise assessment noise at work dB hearing protection RPE health and safety site management LEP</cp:keywords>
  <dc:language>en-US</dc:language>
  <cp:lastModifiedBy>Ebrora Ltd</cp:lastModifiedBy>
  <dcterms:modified xsi:type="dcterms:W3CDTF">2026-03-22T17:31:18Z</dcterms:modified>
  <cp:revision>0</cp:revision>
  <dc:subject>Record of noise assessments on construction sites in compliance with the Control of Noise at Work Regulations 2005.</dc:subject>
  <dc:title>Noise Assessment Record</dc:title>
</cp:coreProperties>
</file>

<file path=docProps/custom.xml><?xml version="1.0" encoding="utf-8"?>
<Properties xmlns="http://schemas.openxmlformats.org/officeDocument/2006/custom-properties" xmlns:vt="http://schemas.openxmlformats.org/officeDocument/2006/docPropsVTypes"/>
</file>