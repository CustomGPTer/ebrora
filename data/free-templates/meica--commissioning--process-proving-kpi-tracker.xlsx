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ashboard" sheetId="3" state="visible" r:id="rId5"/>
    <sheet name="Sample Data" sheetId="4" state="visible" r:id="rId6"/>
    <sheet name="Terms of Use" sheetId="5" state="hidden" r:id="rId7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Dashboard!$A$1:$H$16</definedName>
    <definedName function="false" hidden="false" localSheetId="3" name="_xlnm.Print_Area" vbProcedure="false">'Sample Data'!$A$1:$K$50</definedName>
    <definedName function="false" hidden="false" localSheetId="3" name="_xlnm.Print_Titles" vbProcedure="false">'Sample Data'!$1:$1</definedName>
    <definedName function="false" hidden="true" localSheetId="3" name="_xlnm._FilterDatabase" vbProcedure="false">'Sample Data'!$A$1:$K$1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<sst xmlns="http://schemas.openxmlformats.org/spreadsheetml/2006/main" count="175" uniqueCount="120">
  <si>
    <t xml:space="preserve">EBRORA</t>
  </si>
  <si>
    <t xml:space="preserve">ebrora.com</t>
  </si>
  <si>
    <t xml:space="preserve">Process Proving</t>
  </si>
  <si>
    <t xml:space="preserve">KPI Tracker</t>
  </si>
  <si>
    <t xml:space="preserve">Track sample results against consent limits during process proving</t>
  </si>
  <si>
    <t xml:space="preserve">with automated pass/fail assessment and compliance KPIs.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</si>
  <si>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</si>
  <si>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</si>
  <si>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</si>
  <si>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</si>
  <si>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</si>
  <si>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</si>
  <si>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This template has two working sheets: the 'Dashboard' (summary KPIs) and the 'Sample Data' (detailed results log).</t>
  </si>
  <si>
    <t xml:space="preserve">2.</t>
  </si>
  <si>
    <t xml:space="preserve">Start with the 'Sample Data' sheet. Each row records one sample result for one parameter.</t>
  </si>
  <si>
    <t xml:space="preserve">3.</t>
  </si>
  <si>
    <t xml:space="preserve">Enter the Sample Ref, Date, Parameter (from dropdown), Consent Limit, Limit Type, and actual Result.</t>
  </si>
  <si>
    <t xml:space="preserve">4.</t>
  </si>
  <si>
    <t xml:space="preserve">The Pass/Fail column auto-calculates based on the Result vs Consent Limit. For 'Max' limits, Result must be ≤ Limit to pass.</t>
  </si>
  <si>
    <t xml:space="preserve">5.</t>
  </si>
  <si>
    <t xml:space="preserve">The 'Dashboard' sheet auto-updates with KPIs: total samples, pass rate, failures by parameter, and consent compliance.</t>
  </si>
  <si>
    <t xml:space="preserve">6.</t>
  </si>
  <si>
    <t xml:space="preserve">Parameters include: BOD, Suspended Solids, Ammonia, Total Phosphorus, pH (lower), pH (upper), Flow, and Total Nitrogen.</t>
  </si>
  <si>
    <t xml:space="preserve">7.</t>
  </si>
  <si>
    <t xml:space="preserve">All formulas reference the Sample Data sheet — do not manually edit the Dashboard KPI values.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</si>
  <si>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</si>
  <si>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</si>
  <si>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</si>
  <si>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Green = Pass (result within consent limit)</t>
  </si>
  <si>
    <t xml:space="preserve">Red = Fail (result exceeds consent limit)</t>
  </si>
  <si>
    <t xml:space="preserve">Amber = Approaching limit (result ≥ 80% of consent limit)</t>
  </si>
  <si>
    <t xml:space="preserve">Tips</t>
  </si>
  <si>
    <t xml:space="preserve">Tip 1:</t>
  </si>
  <si>
    <t xml:space="preserve">During process proving, sample daily and log results immediately. Gaps in the data record will be flagged by the EA/regulator.</t>
  </si>
  <si>
    <t xml:space="preserve">Tip 2:</t>
  </si>
  <si>
    <t xml:space="preserve">Use the Dashboard to present compliance evidence at progress meetings — it's far more effective than a spreadsheet of raw numbers.</t>
  </si>
  <si>
    <t xml:space="preserve">Tip 3:</t>
  </si>
  <si>
    <t xml:space="preserve">If a parameter fails, record the corrective action in the Notes column. This demonstrates proactive management to the regulator.</t>
  </si>
  <si>
    <t xml:space="preserve">Process Proving — Compliance Dashboard</t>
  </si>
  <si>
    <t xml:space="preserve">Total Samples</t>
  </si>
  <si>
    <t xml:space="preserve">Overall Pass Rate</t>
  </si>
  <si>
    <t xml:space="preserve">Total Failures</t>
  </si>
  <si>
    <t xml:space="preserve">Parameters Tracked</t>
  </si>
  <si>
    <t xml:space="preserve">Compliance by Parameter</t>
  </si>
  <si>
    <t xml:space="preserve">Parameter</t>
  </si>
  <si>
    <t xml:space="preserve">Samples</t>
  </si>
  <si>
    <t xml:space="preserve">Passes</t>
  </si>
  <si>
    <t xml:space="preserve">Fails</t>
  </si>
  <si>
    <t xml:space="preserve">Pass Rate</t>
  </si>
  <si>
    <t xml:space="preserve">Avg Result</t>
  </si>
  <si>
    <t xml:space="preserve">Consent Limit</t>
  </si>
  <si>
    <t xml:space="preserve">Status</t>
  </si>
  <si>
    <t xml:space="preserve">BOD</t>
  </si>
  <si>
    <t xml:space="preserve">Suspended Solids</t>
  </si>
  <si>
    <t xml:space="preserve">Ammonia</t>
  </si>
  <si>
    <t xml:space="preserve">Total Phosphorus</t>
  </si>
  <si>
    <t xml:space="preserve">pH (lower)</t>
  </si>
  <si>
    <t xml:space="preserve">pH (upper)</t>
  </si>
  <si>
    <t xml:space="preserve">Flow</t>
  </si>
  <si>
    <t xml:space="preserve">Total Nitrogen</t>
  </si>
  <si>
    <t xml:space="preserve">Sample Ref</t>
  </si>
  <si>
    <t xml:space="preserve">Date</t>
  </si>
  <si>
    <t xml:space="preserve">Limit Type</t>
  </si>
  <si>
    <t xml:space="preserve">Unit</t>
  </si>
  <si>
    <t xml:space="preserve">Result</t>
  </si>
  <si>
    <t xml:space="preserve">Pass / Fail</t>
  </si>
  <si>
    <t xml:space="preserve">Sampled By</t>
  </si>
  <si>
    <t xml:space="preserve">Lab Ref</t>
  </si>
  <si>
    <t xml:space="preserve">Notes</t>
  </si>
  <si>
    <t xml:space="preserve">PP-001</t>
  </si>
  <si>
    <t xml:space="preserve">Max</t>
  </si>
  <si>
    <t xml:space="preserve">mg/l</t>
  </si>
  <si>
    <t xml:space="preserve">A. Khan</t>
  </si>
  <si>
    <t xml:space="preserve">LAB-2026-0441</t>
  </si>
  <si>
    <t xml:space="preserve">PP-002</t>
  </si>
  <si>
    <t xml:space="preserve">LAB-2026-0442</t>
  </si>
  <si>
    <t xml:space="preserve">PP-003</t>
  </si>
  <si>
    <t xml:space="preserve">LAB-2026-0443</t>
  </si>
  <si>
    <t xml:space="preserve">PP-004</t>
  </si>
  <si>
    <t xml:space="preserve">LAB-2026-0444</t>
  </si>
  <si>
    <t xml:space="preserve">Approaching limit</t>
  </si>
  <si>
    <t xml:space="preserve">PP-005</t>
  </si>
  <si>
    <t xml:space="preserve">Min</t>
  </si>
  <si>
    <t xml:space="preserve">pH</t>
  </si>
  <si>
    <t xml:space="preserve">LAB-2026-0445</t>
  </si>
  <si>
    <t xml:space="preserve">PP-006</t>
  </si>
  <si>
    <t xml:space="preserve">J. Davies</t>
  </si>
  <si>
    <t xml:space="preserve">LAB-2026-0501</t>
  </si>
  <si>
    <t xml:space="preserve">PP-007</t>
  </si>
  <si>
    <t xml:space="preserve">LAB-2026-0502</t>
  </si>
  <si>
    <t xml:space="preserve">Failed — increased RAS rate</t>
  </si>
  <si>
    <t xml:space="preserve">PP-008</t>
  </si>
  <si>
    <t xml:space="preserve">LAB-2026-0503</t>
  </si>
  <si>
    <t xml:space="preserve">Close to limit</t>
  </si>
  <si>
    <t xml:space="preserve">PP-009</t>
  </si>
  <si>
    <t xml:space="preserve">LAB-2026-0504</t>
  </si>
  <si>
    <t xml:space="preserve">PP-010</t>
  </si>
  <si>
    <t xml:space="preserve">LAB-2026-0505</t>
  </si>
  <si>
    <t xml:space="preserve">PP-011</t>
  </si>
  <si>
    <t xml:space="preserve">LAB-2026-0561</t>
  </si>
  <si>
    <t xml:space="preserve">Failed — storm event, notified EA</t>
  </si>
  <si>
    <t xml:space="preserve">PP-012</t>
  </si>
  <si>
    <t xml:space="preserve">LAB-2026-0562</t>
  </si>
  <si>
    <t xml:space="preserve">PP-013</t>
  </si>
  <si>
    <t xml:space="preserve">LAB-2026-0563</t>
  </si>
  <si>
    <t xml:space="preserve">PP-014</t>
  </si>
  <si>
    <t xml:space="preserve">m³/d</t>
  </si>
  <si>
    <t xml:space="preserve">LAB-2026-0564</t>
  </si>
  <si>
    <t xml:space="preserve">DWF measurement</t>
  </si>
  <si>
    <t xml:space="preserve">PP-015</t>
  </si>
  <si>
    <t xml:space="preserve">LAB-2026-0565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</si>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</sst>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0"/>
    <numFmt numFmtId="168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8C8C8C"/>
      <name val="Calibri"/>
      <family val="0"/>
      <charset val="1"/>
    </font>
    <font>
      <b val="true"/>
      <sz val="22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1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15" hidden="false" customHeight="false" outlineLevel="0" collapsed="false">
      <c r="A7" s="11" t="s">
        <v>15</v>
      </c>
      <c r="B7" s="12" t="s">
        <v>16</v>
      </c>
    </row>
    <row r="8" customFormat="false" ht="23.8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23.8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 t="s">
        <v>23</v>
      </c>
      <c r="B11" s="12" t="s">
        <v>24</v>
      </c>
    </row>
    <row r="12" customFormat="false" ht="15" hidden="false" customHeight="false" outlineLevel="0" collapsed="false">
      <c r="A12" s="11"/>
      <c r="B12" s="12"/>
    </row>
    <row r="13" customFormat="false" ht="15" hidden="false" customHeight="false" outlineLevel="0" collapsed="false">
      <c r="A13" s="13" t="s">
        <v>25</v>
      </c>
      <c r="B13" s="12"/>
    </row>
    <row r="14" customFormat="false" ht="15" hidden="false" customHeight="false" outlineLevel="0" collapsed="false">
      <c r="A14" s="11"/>
      <c r="B14" s="12" t="s">
        <v>26</v>
      </c>
    </row>
    <row r="15" customFormat="false" ht="15" hidden="false" customHeight="false" outlineLevel="0" collapsed="false">
      <c r="A15" s="11"/>
      <c r="B15" s="12" t="s">
        <v>27</v>
      </c>
    </row>
    <row r="16" customFormat="false" ht="15" hidden="false" customHeight="false" outlineLevel="0" collapsed="false">
      <c r="A16" s="11"/>
      <c r="B16" s="12" t="s">
        <v>28</v>
      </c>
    </row>
    <row r="17" customFormat="false" ht="15" hidden="false" customHeight="false" outlineLevel="0" collapsed="false">
      <c r="A17" s="11"/>
      <c r="B17" s="12" t="s">
        <v>29</v>
      </c>
    </row>
    <row r="18" customFormat="false" ht="15" hidden="false" customHeight="false" outlineLevel="0" collapsed="false">
      <c r="A18" s="11"/>
      <c r="B18" s="12" t="s">
        <v>30</v>
      </c>
    </row>
    <row r="19" customFormat="false" ht="15" hidden="false" customHeight="false" outlineLevel="0" collapsed="false">
      <c r="A19" s="11"/>
      <c r="B19" s="12"/>
    </row>
    <row r="20" customFormat="false" ht="15" hidden="false" customHeight="false" outlineLevel="0" collapsed="false">
      <c r="A20" s="13" t="s">
        <v>31</v>
      </c>
      <c r="B20" s="12"/>
    </row>
    <row r="21" customFormat="false" ht="23.85" hidden="false" customHeight="false" outlineLevel="0" collapsed="false">
      <c r="A21" s="14" t="s">
        <v>32</v>
      </c>
      <c r="B21" s="12" t="s">
        <v>33</v>
      </c>
    </row>
    <row r="22" customFormat="false" ht="23.85" hidden="false" customHeight="false" outlineLevel="0" collapsed="false">
      <c r="A22" s="14" t="s">
        <v>34</v>
      </c>
      <c r="B22" s="12" t="s">
        <v>35</v>
      </c>
    </row>
    <row r="23" customFormat="false" ht="23.85" hidden="false" customHeight="false" outlineLevel="0" collapsed="false">
      <c r="A23" s="14" t="s">
        <v>36</v>
      </c>
      <c r="B23" s="12" t="s">
        <v>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20.85" hidden="false" customHeight="true" outlineLevel="0" collapsed="false">
      <c r="A1" s="15" t="s">
        <v>38</v>
      </c>
      <c r="B1" s="15"/>
      <c r="C1" s="15"/>
      <c r="D1" s="15"/>
      <c r="E1" s="15"/>
      <c r="F1" s="15"/>
      <c r="G1" s="15"/>
      <c r="H1" s="15"/>
      <c r="I1" s="15"/>
      <c r="J1" s="15"/>
    </row>
    <row r="3" customFormat="false" ht="15" hidden="false" customHeight="true" outlineLevel="0" collapsed="false">
      <c r="A3" s="16" t="s">
        <v>39</v>
      </c>
      <c r="B3" s="16"/>
      <c r="C3" s="16" t="s">
        <v>40</v>
      </c>
      <c r="D3" s="16"/>
      <c r="E3" s="16" t="s">
        <v>41</v>
      </c>
      <c r="F3" s="16"/>
      <c r="G3" s="16" t="s">
        <v>42</v>
      </c>
      <c r="H3" s="16"/>
    </row>
    <row r="4" customFormat="false" ht="28.35" hidden="false" customHeight="false" outlineLevel="0" collapsed="false">
      <c r="A4" s="17" t="n">
        <f aca="false">COUNTA('Sample Data'!A2:A500)</f>
        <v>15</v>
      </c>
      <c r="B4" s="17"/>
      <c r="C4" s="18" t="n">
        <f aca="false">IF(COUNTA('Sample Data'!A2:A500)=0,"—",COUNTIF('Sample Data'!H2:H500,"Pass")/COUNTA('Sample Data'!A2:A500))</f>
        <v>0.866666666666667</v>
      </c>
      <c r="D4" s="18"/>
      <c r="E4" s="17" t="n">
        <f aca="false">COUNTIF('Sample Data'!H2:H500,"Fail")</f>
        <v>2</v>
      </c>
      <c r="F4" s="17"/>
      <c r="G4" s="17" t="n">
        <f aca="false">SUMPRODUCT((LEN('Sample Data'!C2:C500)&gt;0)/COUNTIF('Sample Data'!C2:C500,'Sample Data'!C2:C500&amp;""))</f>
        <v>8</v>
      </c>
      <c r="H4" s="17"/>
    </row>
    <row r="6" customFormat="false" ht="15" hidden="false" customHeight="false" outlineLevel="0" collapsed="false">
      <c r="A6" s="19" t="s">
        <v>43</v>
      </c>
      <c r="B6" s="19"/>
      <c r="C6" s="19"/>
      <c r="D6" s="19"/>
      <c r="E6" s="19"/>
      <c r="F6" s="19"/>
      <c r="G6" s="19"/>
      <c r="H6" s="19"/>
    </row>
    <row r="7" customFormat="false" ht="15" hidden="false" customHeight="false" outlineLevel="0" collapsed="false">
      <c r="A7" s="20" t="s">
        <v>44</v>
      </c>
      <c r="B7" s="20" t="s">
        <v>45</v>
      </c>
      <c r="C7" s="20" t="s">
        <v>46</v>
      </c>
      <c r="D7" s="20" t="s">
        <v>47</v>
      </c>
      <c r="E7" s="20" t="s">
        <v>48</v>
      </c>
      <c r="F7" s="20" t="s">
        <v>49</v>
      </c>
      <c r="G7" s="20" t="s">
        <v>50</v>
      </c>
      <c r="H7" s="20" t="s">
        <v>51</v>
      </c>
    </row>
    <row r="8" customFormat="false" ht="15" hidden="false" customHeight="false" outlineLevel="0" collapsed="false">
      <c r="A8" s="21" t="s">
        <v>52</v>
      </c>
      <c r="B8" s="22" t="n">
        <f aca="false">COUNTIF('Sample Data'!C2:C500,"BOD")</f>
        <v>3</v>
      </c>
      <c r="C8" s="22" t="n">
        <f aca="false">COUNTIFS('Sample Data'!C2:C500,"BOD",'Sample Data'!H2:H500,"Pass")</f>
        <v>2</v>
      </c>
      <c r="D8" s="22" t="n">
        <f aca="false">COUNTIFS('Sample Data'!C2:C500,"BOD",'Sample Data'!H2:H500,"Fail")</f>
        <v>1</v>
      </c>
      <c r="E8" s="23" t="n">
        <f aca="false">IF(B8=0,"—",C8/B8)</f>
        <v>0.666666666666667</v>
      </c>
      <c r="F8" s="24" t="n">
        <f aca="false">IF(B8=0,"—",AVERAGEIF('Sample Data'!C2:C500,"BOD",'Sample Data'!G2:G500))</f>
        <v>16.7666666666667</v>
      </c>
      <c r="G8" s="24" t="n">
        <f aca="false">IF(B8=0,"—",INDEX('Sample Data'!D2:D500,MATCH("BOD",'Sample Data'!C2:C500,0)))</f>
        <v>20</v>
      </c>
      <c r="H8" s="25" t="str">
        <f aca="false">IF(B8=0,"—",IF(D8=0,"Compliant","Non-Compliant"))</f>
        <v>Non-Compliant</v>
      </c>
    </row>
    <row r="9" customFormat="false" ht="15" hidden="false" customHeight="false" outlineLevel="0" collapsed="false">
      <c r="A9" s="21" t="s">
        <v>53</v>
      </c>
      <c r="B9" s="22" t="n">
        <f aca="false">COUNTIF('Sample Data'!C2:C500,"Suspended Solids")</f>
        <v>3</v>
      </c>
      <c r="C9" s="22" t="n">
        <f aca="false">COUNTIFS('Sample Data'!C2:C500,"Suspended Solids",'Sample Data'!H2:H500,"Pass")</f>
        <v>2</v>
      </c>
      <c r="D9" s="22" t="n">
        <f aca="false">COUNTIFS('Sample Data'!C2:C500,"Suspended Solids",'Sample Data'!H2:H500,"Fail")</f>
        <v>1</v>
      </c>
      <c r="E9" s="23" t="n">
        <f aca="false">IF(B9=0,"—",C9/B9)</f>
        <v>0.666666666666667</v>
      </c>
      <c r="F9" s="24" t="n">
        <f aca="false">IF(B9=0,"—",AVERAGEIF('Sample Data'!C2:C500,"Suspended Solids",'Sample Data'!G2:G500))</f>
        <v>26</v>
      </c>
      <c r="G9" s="24" t="n">
        <f aca="false">IF(B9=0,"—",INDEX('Sample Data'!D2:D500,MATCH("Suspended Solids",'Sample Data'!C2:C500,0)))</f>
        <v>30</v>
      </c>
      <c r="H9" s="25" t="str">
        <f aca="false">IF(B9=0,"—",IF(D9=0,"Compliant","Non-Compliant"))</f>
        <v>Non-Compliant</v>
      </c>
    </row>
    <row r="10" customFormat="false" ht="15" hidden="false" customHeight="false" outlineLevel="0" collapsed="false">
      <c r="A10" s="21" t="s">
        <v>54</v>
      </c>
      <c r="B10" s="22" t="n">
        <f aca="false">COUNTIF('Sample Data'!C2:C500,"Ammonia")</f>
        <v>3</v>
      </c>
      <c r="C10" s="22" t="n">
        <f aca="false">COUNTIFS('Sample Data'!C2:C500,"Ammonia",'Sample Data'!H2:H500,"Pass")</f>
        <v>3</v>
      </c>
      <c r="D10" s="22" t="n">
        <f aca="false">COUNTIFS('Sample Data'!C2:C500,"Ammonia",'Sample Data'!H2:H500,"Fail")</f>
        <v>0</v>
      </c>
      <c r="E10" s="23" t="n">
        <f aca="false">IF(B10=0,"—",C10/B10)</f>
        <v>1</v>
      </c>
      <c r="F10" s="24" t="n">
        <f aca="false">IF(B10=0,"—",AVERAGEIF('Sample Data'!C2:C500,"Ammonia",'Sample Data'!G2:G500))</f>
        <v>3.36666666666667</v>
      </c>
      <c r="G10" s="24" t="n">
        <f aca="false">IF(B10=0,"—",INDEX('Sample Data'!D2:D500,MATCH("Ammonia",'Sample Data'!C2:C500,0)))</f>
        <v>5</v>
      </c>
      <c r="H10" s="25" t="str">
        <f aca="false">IF(B10=0,"—",IF(D10=0,"Compliant","Non-Compliant"))</f>
        <v>Compliant</v>
      </c>
    </row>
    <row r="11" customFormat="false" ht="15" hidden="false" customHeight="false" outlineLevel="0" collapsed="false">
      <c r="A11" s="21" t="s">
        <v>55</v>
      </c>
      <c r="B11" s="22" t="n">
        <f aca="false">COUNTIF('Sample Data'!C2:C500,"Total Phosphorus")</f>
        <v>2</v>
      </c>
      <c r="C11" s="22" t="n">
        <f aca="false">COUNTIFS('Sample Data'!C2:C500,"Total Phosphorus",'Sample Data'!H2:H500,"Pass")</f>
        <v>2</v>
      </c>
      <c r="D11" s="22" t="n">
        <f aca="false">COUNTIFS('Sample Data'!C2:C500,"Total Phosphorus",'Sample Data'!H2:H500,"Fail")</f>
        <v>0</v>
      </c>
      <c r="E11" s="23" t="n">
        <f aca="false">IF(B11=0,"—",C11/B11)</f>
        <v>1</v>
      </c>
      <c r="F11" s="24" t="n">
        <f aca="false">IF(B11=0,"—",AVERAGEIF('Sample Data'!C2:C500,"Total Phosphorus",'Sample Data'!G2:G500))</f>
        <v>0.735</v>
      </c>
      <c r="G11" s="24" t="n">
        <f aca="false">IF(B11=0,"—",INDEX('Sample Data'!D2:D500,MATCH("Total Phosphorus",'Sample Data'!C2:C500,0)))</f>
        <v>1</v>
      </c>
      <c r="H11" s="25" t="str">
        <f aca="false">IF(B11=0,"—",IF(D11=0,"Compliant","Non-Compliant"))</f>
        <v>Compliant</v>
      </c>
    </row>
    <row r="12" customFormat="false" ht="15" hidden="false" customHeight="false" outlineLevel="0" collapsed="false">
      <c r="A12" s="21" t="s">
        <v>56</v>
      </c>
      <c r="B12" s="22" t="n">
        <f aca="false">COUNTIF('Sample Data'!C2:C500,"pH (lower)")</f>
        <v>1</v>
      </c>
      <c r="C12" s="22" t="n">
        <f aca="false">COUNTIFS('Sample Data'!C2:C500,"pH (lower)",'Sample Data'!H2:H500,"Pass")</f>
        <v>1</v>
      </c>
      <c r="D12" s="22" t="n">
        <f aca="false">COUNTIFS('Sample Data'!C2:C500,"pH (lower)",'Sample Data'!H2:H500,"Fail")</f>
        <v>0</v>
      </c>
      <c r="E12" s="23" t="n">
        <f aca="false">IF(B12=0,"—",C12/B12)</f>
        <v>1</v>
      </c>
      <c r="F12" s="24" t="n">
        <f aca="false">IF(B12=0,"—",AVERAGEIF('Sample Data'!C2:C500,"pH (lower)",'Sample Data'!G2:G500))</f>
        <v>7.1</v>
      </c>
      <c r="G12" s="24" t="n">
        <f aca="false">IF(B12=0,"—",INDEX('Sample Data'!D2:D500,MATCH("pH (lower)",'Sample Data'!C2:C500,0)))</f>
        <v>6</v>
      </c>
      <c r="H12" s="25" t="str">
        <f aca="false">IF(B12=0,"—",IF(D12=0,"Compliant","Non-Compliant"))</f>
        <v>Compliant</v>
      </c>
    </row>
    <row r="13" customFormat="false" ht="15" hidden="false" customHeight="false" outlineLevel="0" collapsed="false">
      <c r="A13" s="21" t="s">
        <v>57</v>
      </c>
      <c r="B13" s="22" t="n">
        <f aca="false">COUNTIF('Sample Data'!C2:C500,"pH (upper)")</f>
        <v>1</v>
      </c>
      <c r="C13" s="22" t="n">
        <f aca="false">COUNTIFS('Sample Data'!C2:C500,"pH (upper)",'Sample Data'!H2:H500,"Pass")</f>
        <v>1</v>
      </c>
      <c r="D13" s="22" t="n">
        <f aca="false">COUNTIFS('Sample Data'!C2:C500,"pH (upper)",'Sample Data'!H2:H500,"Fail")</f>
        <v>0</v>
      </c>
      <c r="E13" s="23" t="n">
        <f aca="false">IF(B13=0,"—",C13/B13)</f>
        <v>1</v>
      </c>
      <c r="F13" s="24" t="n">
        <f aca="false">IF(B13=0,"—",AVERAGEIF('Sample Data'!C2:C500,"pH (upper)",'Sample Data'!G2:G500))</f>
        <v>7.8</v>
      </c>
      <c r="G13" s="24" t="n">
        <f aca="false">IF(B13=0,"—",INDEX('Sample Data'!D2:D500,MATCH("pH (upper)",'Sample Data'!C2:C500,0)))</f>
        <v>9</v>
      </c>
      <c r="H13" s="25" t="str">
        <f aca="false">IF(B13=0,"—",IF(D13=0,"Compliant","Non-Compliant"))</f>
        <v>Compliant</v>
      </c>
    </row>
    <row r="14" customFormat="false" ht="15" hidden="false" customHeight="false" outlineLevel="0" collapsed="false">
      <c r="A14" s="21" t="s">
        <v>58</v>
      </c>
      <c r="B14" s="22" t="n">
        <f aca="false">COUNTIF('Sample Data'!C2:C500,"Flow")</f>
        <v>1</v>
      </c>
      <c r="C14" s="22" t="n">
        <f aca="false">COUNTIFS('Sample Data'!C2:C500,"Flow",'Sample Data'!H2:H500,"Pass")</f>
        <v>1</v>
      </c>
      <c r="D14" s="22" t="n">
        <f aca="false">COUNTIFS('Sample Data'!C2:C500,"Flow",'Sample Data'!H2:H500,"Fail")</f>
        <v>0</v>
      </c>
      <c r="E14" s="23" t="n">
        <f aca="false">IF(B14=0,"—",C14/B14)</f>
        <v>1</v>
      </c>
      <c r="F14" s="24" t="n">
        <f aca="false">IF(B14=0,"—",AVERAGEIF('Sample Data'!C2:C500,"Flow",'Sample Data'!G2:G500))</f>
        <v>4200</v>
      </c>
      <c r="G14" s="24" t="n">
        <f aca="false">IF(B14=0,"—",INDEX('Sample Data'!D2:D500,MATCH("Flow",'Sample Data'!C2:C500,0)))</f>
        <v>5000</v>
      </c>
      <c r="H14" s="25" t="str">
        <f aca="false">IF(B14=0,"—",IF(D14=0,"Compliant","Non-Compliant"))</f>
        <v>Compliant</v>
      </c>
    </row>
    <row r="15" customFormat="false" ht="15" hidden="false" customHeight="false" outlineLevel="0" collapsed="false">
      <c r="A15" s="21" t="s">
        <v>59</v>
      </c>
      <c r="B15" s="22" t="n">
        <f aca="false">COUNTIF('Sample Data'!C2:C500,"Total Nitrogen")</f>
        <v>1</v>
      </c>
      <c r="C15" s="22" t="n">
        <f aca="false">COUNTIFS('Sample Data'!C2:C500,"Total Nitrogen",'Sample Data'!H2:H500,"Pass")</f>
        <v>1</v>
      </c>
      <c r="D15" s="22" t="n">
        <f aca="false">COUNTIFS('Sample Data'!C2:C500,"Total Nitrogen",'Sample Data'!H2:H500,"Fail")</f>
        <v>0</v>
      </c>
      <c r="E15" s="23" t="n">
        <f aca="false">IF(B15=0,"—",C15/B15)</f>
        <v>1</v>
      </c>
      <c r="F15" s="24" t="n">
        <f aca="false">IF(B15=0,"—",AVERAGEIF('Sample Data'!C2:C500,"Total Nitrogen",'Sample Data'!G2:G500))</f>
        <v>11.5</v>
      </c>
      <c r="G15" s="24" t="n">
        <f aca="false">IF(B15=0,"—",INDEX('Sample Data'!D2:D500,MATCH("Total Nitrogen",'Sample Data'!C2:C500,0)))</f>
        <v>15</v>
      </c>
      <c r="H15" s="25" t="str">
        <f aca="false">IF(B15=0,"—",IF(D15=0,"Compliant","Non-Compliant"))</f>
        <v>Compliant</v>
      </c>
    </row>
  </sheetData>
  <mergeCells count="10">
    <mergeCell ref="A1:J1"/>
    <mergeCell ref="A3:B3"/>
    <mergeCell ref="C3:D3"/>
    <mergeCell ref="E3:F3"/>
    <mergeCell ref="G3:H3"/>
    <mergeCell ref="A4:B4"/>
    <mergeCell ref="C4:D4"/>
    <mergeCell ref="E4:F4"/>
    <mergeCell ref="G4:H4"/>
    <mergeCell ref="A6:H6"/>
  </mergeCells>
  <conditionalFormatting sqref="C4:D4">
    <cfRule type="cellIs" priority="2" operator="greaterThanOrEqual" aboveAverage="0" equalAverage="0" bottom="0" percent="0" rank="0" text="" dxfId="0">
      <formula>0.95</formula>
    </cfRule>
    <cfRule type="cellIs" priority="3" operator="between" aboveAverage="0" equalAverage="0" bottom="0" percent="0" rank="0" text="" dxfId="1">
      <formula>0.8</formula>
      <formula>0.9499</formula>
    </cfRule>
    <cfRule type="cellIs" priority="4" operator="lessThan" aboveAverage="0" equalAverage="0" bottom="0" percent="0" rank="0" text="" dxfId="2">
      <formula>0.8</formula>
    </cfRule>
  </conditionalFormatting>
  <conditionalFormatting sqref="E4:F4">
    <cfRule type="cellIs" priority="5" operator="equal" aboveAverage="0" equalAverage="0" bottom="0" percent="0" rank="0" text="" dxfId="0">
      <formula>0</formula>
    </cfRule>
    <cfRule type="cellIs" priority="6" operator="greaterThan" aboveAverage="0" equalAverage="0" bottom="0" percent="0" rank="0" text="" dxfId="2">
      <formula>0</formula>
    </cfRule>
  </conditionalFormatting>
  <conditionalFormatting sqref="E8:E15">
    <cfRule type="cellIs" priority="7" operator="greaterThanOrEqual" aboveAverage="0" equalAverage="0" bottom="0" percent="0" rank="0" text="" dxfId="0">
      <formula>0.95</formula>
    </cfRule>
    <cfRule type="cellIs" priority="8" operator="between" aboveAverage="0" equalAverage="0" bottom="0" percent="0" rank="0" text="" dxfId="1">
      <formula>0.8</formula>
      <formula>0.9499</formula>
    </cfRule>
    <cfRule type="cellIs" priority="9" operator="lessThan" aboveAverage="0" equalAverage="0" bottom="0" percent="0" rank="0" text="" dxfId="2">
      <formula>0.8</formula>
    </cfRule>
  </conditionalFormatting>
  <conditionalFormatting sqref="H8:H15">
    <cfRule type="cellIs" priority="10" operator="equal" aboveAverage="0" equalAverage="0" bottom="0" percent="0" rank="0" text="" dxfId="0">
      <formula>"Compliant"</formula>
    </cfRule>
    <cfRule type="cellIs" priority="11" operator="equal" aboveAverage="0" equalAverage="0" bottom="0" percent="0" rank="0" text="" dxfId="2">
      <formula>"Non-Compliant"</formula>
    </cfRule>
  </conditionalFormatting>
  <conditionalFormatting sqref="D8:D15">
    <cfRule type="cellIs" priority="12" operator="equal" aboveAverage="0" equalAverage="0" bottom="0" percent="0" rank="0" text="" dxfId="0">
      <formula>0</formula>
    </cfRule>
    <cfRule type="cellIs" priority="13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&amp;CProcess Proving — Compliance Dashboard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20" t="s">
        <v>60</v>
      </c>
      <c r="B1" s="20" t="s">
        <v>61</v>
      </c>
      <c r="C1" s="20" t="s">
        <v>44</v>
      </c>
      <c r="D1" s="20" t="s">
        <v>50</v>
      </c>
      <c r="E1" s="20" t="s">
        <v>62</v>
      </c>
      <c r="F1" s="20" t="s">
        <v>63</v>
      </c>
      <c r="G1" s="20" t="s">
        <v>64</v>
      </c>
      <c r="H1" s="20" t="s">
        <v>65</v>
      </c>
      <c r="I1" s="20" t="s">
        <v>66</v>
      </c>
      <c r="J1" s="20" t="s">
        <v>67</v>
      </c>
      <c r="K1" s="20" t="s">
        <v>68</v>
      </c>
    </row>
    <row r="2" customFormat="false" ht="15" hidden="false" customHeight="false" outlineLevel="0" collapsed="false">
      <c r="A2" s="26" t="s">
        <v>69</v>
      </c>
      <c r="B2" s="27" t="n">
        <v>46091</v>
      </c>
      <c r="C2" s="26" t="s">
        <v>52</v>
      </c>
      <c r="D2" s="28" t="n">
        <v>20</v>
      </c>
      <c r="E2" s="28" t="s">
        <v>70</v>
      </c>
      <c r="F2" s="28" t="s">
        <v>71</v>
      </c>
      <c r="G2" s="28" t="n">
        <v>12.5</v>
      </c>
      <c r="H2" s="29" t="str">
        <f aca="false">IF(OR(G2="",D2=""),"",IF(E2="Min",IF(G2&gt;=D2,"Pass","Fail"),IF(G2&lt;=D2,"Pass","Fail")))</f>
        <v>Pass</v>
      </c>
      <c r="I2" s="26" t="s">
        <v>72</v>
      </c>
      <c r="J2" s="26" t="s">
        <v>73</v>
      </c>
      <c r="K2" s="26"/>
    </row>
    <row r="3" customFormat="false" ht="15" hidden="false" customHeight="false" outlineLevel="0" collapsed="false">
      <c r="A3" s="26" t="s">
        <v>74</v>
      </c>
      <c r="B3" s="27" t="n">
        <v>46091</v>
      </c>
      <c r="C3" s="26" t="s">
        <v>53</v>
      </c>
      <c r="D3" s="28" t="n">
        <v>30</v>
      </c>
      <c r="E3" s="28" t="s">
        <v>70</v>
      </c>
      <c r="F3" s="28" t="s">
        <v>71</v>
      </c>
      <c r="G3" s="28" t="n">
        <v>18</v>
      </c>
      <c r="H3" s="29" t="str">
        <f aca="false">IF(OR(G3="",D3=""),"",IF(E3="Min",IF(G3&gt;=D3,"Pass","Fail"),IF(G3&lt;=D3,"Pass","Fail")))</f>
        <v>Pass</v>
      </c>
      <c r="I3" s="26" t="s">
        <v>72</v>
      </c>
      <c r="J3" s="26" t="s">
        <v>75</v>
      </c>
      <c r="K3" s="26"/>
    </row>
    <row r="4" customFormat="false" ht="15" hidden="false" customHeight="false" outlineLevel="0" collapsed="false">
      <c r="A4" s="26" t="s">
        <v>76</v>
      </c>
      <c r="B4" s="27" t="n">
        <v>46091</v>
      </c>
      <c r="C4" s="26" t="s">
        <v>54</v>
      </c>
      <c r="D4" s="28" t="n">
        <v>5</v>
      </c>
      <c r="E4" s="28" t="s">
        <v>70</v>
      </c>
      <c r="F4" s="28" t="s">
        <v>71</v>
      </c>
      <c r="G4" s="28" t="n">
        <v>3.2</v>
      </c>
      <c r="H4" s="29" t="str">
        <f aca="false">IF(OR(G4="",D4=""),"",IF(E4="Min",IF(G4&gt;=D4,"Pass","Fail"),IF(G4&lt;=D4,"Pass","Fail")))</f>
        <v>Pass</v>
      </c>
      <c r="I4" s="26" t="s">
        <v>72</v>
      </c>
      <c r="J4" s="26" t="s">
        <v>77</v>
      </c>
      <c r="K4" s="26"/>
    </row>
    <row r="5" customFormat="false" ht="15" hidden="false" customHeight="false" outlineLevel="0" collapsed="false">
      <c r="A5" s="26" t="s">
        <v>78</v>
      </c>
      <c r="B5" s="27" t="n">
        <v>46091</v>
      </c>
      <c r="C5" s="26" t="s">
        <v>55</v>
      </c>
      <c r="D5" s="28" t="n">
        <v>1</v>
      </c>
      <c r="E5" s="28" t="s">
        <v>70</v>
      </c>
      <c r="F5" s="28" t="s">
        <v>71</v>
      </c>
      <c r="G5" s="28" t="n">
        <v>0.85</v>
      </c>
      <c r="H5" s="29" t="str">
        <f aca="false">IF(OR(G5="",D5=""),"",IF(E5="Min",IF(G5&gt;=D5,"Pass","Fail"),IF(G5&lt;=D5,"Pass","Fail")))</f>
        <v>Pass</v>
      </c>
      <c r="I5" s="26" t="s">
        <v>72</v>
      </c>
      <c r="J5" s="26" t="s">
        <v>79</v>
      </c>
      <c r="K5" s="26" t="s">
        <v>80</v>
      </c>
    </row>
    <row r="6" customFormat="false" ht="15" hidden="false" customHeight="false" outlineLevel="0" collapsed="false">
      <c r="A6" s="26" t="s">
        <v>81</v>
      </c>
      <c r="B6" s="27" t="n">
        <v>46091</v>
      </c>
      <c r="C6" s="26" t="s">
        <v>56</v>
      </c>
      <c r="D6" s="28" t="n">
        <v>6</v>
      </c>
      <c r="E6" s="28" t="s">
        <v>82</v>
      </c>
      <c r="F6" s="28" t="s">
        <v>83</v>
      </c>
      <c r="G6" s="28" t="n">
        <v>7.1</v>
      </c>
      <c r="H6" s="29" t="str">
        <f aca="false">IF(OR(G6="",D6=""),"",IF(E6="Min",IF(G6&gt;=D6,"Pass","Fail"),IF(G6&lt;=D6,"Pass","Fail")))</f>
        <v>Pass</v>
      </c>
      <c r="I6" s="26" t="s">
        <v>72</v>
      </c>
      <c r="J6" s="26" t="s">
        <v>84</v>
      </c>
      <c r="K6" s="26"/>
    </row>
    <row r="7" customFormat="false" ht="15" hidden="false" customHeight="false" outlineLevel="0" collapsed="false">
      <c r="A7" s="26" t="s">
        <v>85</v>
      </c>
      <c r="B7" s="27" t="n">
        <v>46098</v>
      </c>
      <c r="C7" s="26" t="s">
        <v>52</v>
      </c>
      <c r="D7" s="28" t="n">
        <v>20</v>
      </c>
      <c r="E7" s="28" t="s">
        <v>70</v>
      </c>
      <c r="F7" s="28" t="s">
        <v>71</v>
      </c>
      <c r="G7" s="28" t="n">
        <v>15.8</v>
      </c>
      <c r="H7" s="29" t="str">
        <f aca="false">IF(OR(G7="",D7=""),"",IF(E7="Min",IF(G7&gt;=D7,"Pass","Fail"),IF(G7&lt;=D7,"Pass","Fail")))</f>
        <v>Pass</v>
      </c>
      <c r="I7" s="26" t="s">
        <v>86</v>
      </c>
      <c r="J7" s="26" t="s">
        <v>87</v>
      </c>
      <c r="K7" s="26"/>
    </row>
    <row r="8" customFormat="false" ht="15" hidden="false" customHeight="false" outlineLevel="0" collapsed="false">
      <c r="A8" s="26" t="s">
        <v>88</v>
      </c>
      <c r="B8" s="27" t="n">
        <v>46098</v>
      </c>
      <c r="C8" s="26" t="s">
        <v>53</v>
      </c>
      <c r="D8" s="28" t="n">
        <v>30</v>
      </c>
      <c r="E8" s="28" t="s">
        <v>70</v>
      </c>
      <c r="F8" s="28" t="s">
        <v>71</v>
      </c>
      <c r="G8" s="28" t="n">
        <v>35</v>
      </c>
      <c r="H8" s="29" t="str">
        <f aca="false">IF(OR(G8="",D8=""),"",IF(E8="Min",IF(G8&gt;=D8,"Pass","Fail"),IF(G8&lt;=D8,"Pass","Fail")))</f>
        <v>Fail</v>
      </c>
      <c r="I8" s="26" t="s">
        <v>86</v>
      </c>
      <c r="J8" s="26" t="s">
        <v>89</v>
      </c>
      <c r="K8" s="26" t="s">
        <v>90</v>
      </c>
    </row>
    <row r="9" customFormat="false" ht="15" hidden="false" customHeight="false" outlineLevel="0" collapsed="false">
      <c r="A9" s="26" t="s">
        <v>91</v>
      </c>
      <c r="B9" s="27" t="n">
        <v>46098</v>
      </c>
      <c r="C9" s="26" t="s">
        <v>54</v>
      </c>
      <c r="D9" s="28" t="n">
        <v>5</v>
      </c>
      <c r="E9" s="28" t="s">
        <v>70</v>
      </c>
      <c r="F9" s="28" t="s">
        <v>71</v>
      </c>
      <c r="G9" s="28" t="n">
        <v>4.8</v>
      </c>
      <c r="H9" s="29" t="str">
        <f aca="false">IF(OR(G9="",D9=""),"",IF(E9="Min",IF(G9&gt;=D9,"Pass","Fail"),IF(G9&lt;=D9,"Pass","Fail")))</f>
        <v>Pass</v>
      </c>
      <c r="I9" s="26" t="s">
        <v>86</v>
      </c>
      <c r="J9" s="26" t="s">
        <v>92</v>
      </c>
      <c r="K9" s="26" t="s">
        <v>93</v>
      </c>
    </row>
    <row r="10" customFormat="false" ht="15" hidden="false" customHeight="false" outlineLevel="0" collapsed="false">
      <c r="A10" s="26" t="s">
        <v>94</v>
      </c>
      <c r="B10" s="27" t="n">
        <v>46098</v>
      </c>
      <c r="C10" s="26" t="s">
        <v>55</v>
      </c>
      <c r="D10" s="28" t="n">
        <v>1</v>
      </c>
      <c r="E10" s="28" t="s">
        <v>70</v>
      </c>
      <c r="F10" s="28" t="s">
        <v>71</v>
      </c>
      <c r="G10" s="28" t="n">
        <v>0.62</v>
      </c>
      <c r="H10" s="29" t="str">
        <f aca="false">IF(OR(G10="",D10=""),"",IF(E10="Min",IF(G10&gt;=D10,"Pass","Fail"),IF(G10&lt;=D10,"Pass","Fail")))</f>
        <v>Pass</v>
      </c>
      <c r="I10" s="26" t="s">
        <v>86</v>
      </c>
      <c r="J10" s="26" t="s">
        <v>95</v>
      </c>
      <c r="K10" s="26"/>
    </row>
    <row r="11" customFormat="false" ht="15" hidden="false" customHeight="false" outlineLevel="0" collapsed="false">
      <c r="A11" s="26" t="s">
        <v>96</v>
      </c>
      <c r="B11" s="27" t="n">
        <v>46098</v>
      </c>
      <c r="C11" s="26" t="s">
        <v>57</v>
      </c>
      <c r="D11" s="28" t="n">
        <v>9</v>
      </c>
      <c r="E11" s="28" t="s">
        <v>70</v>
      </c>
      <c r="F11" s="28" t="s">
        <v>83</v>
      </c>
      <c r="G11" s="28" t="n">
        <v>7.8</v>
      </c>
      <c r="H11" s="29" t="str">
        <f aca="false">IF(OR(G11="",D11=""),"",IF(E11="Min",IF(G11&gt;=D11,"Pass","Fail"),IF(G11&lt;=D11,"Pass","Fail")))</f>
        <v>Pass</v>
      </c>
      <c r="I11" s="26" t="s">
        <v>86</v>
      </c>
      <c r="J11" s="26" t="s">
        <v>97</v>
      </c>
      <c r="K11" s="26"/>
    </row>
    <row r="12" customFormat="false" ht="15" hidden="false" customHeight="false" outlineLevel="0" collapsed="false">
      <c r="A12" s="26" t="s">
        <v>98</v>
      </c>
      <c r="B12" s="27" t="n">
        <v>46102</v>
      </c>
      <c r="C12" s="26" t="s">
        <v>52</v>
      </c>
      <c r="D12" s="28" t="n">
        <v>20</v>
      </c>
      <c r="E12" s="28" t="s">
        <v>70</v>
      </c>
      <c r="F12" s="28" t="s">
        <v>71</v>
      </c>
      <c r="G12" s="28" t="n">
        <v>22</v>
      </c>
      <c r="H12" s="29" t="str">
        <f aca="false">IF(OR(G12="",D12=""),"",IF(E12="Min",IF(G12&gt;=D12,"Pass","Fail"),IF(G12&lt;=D12,"Pass","Fail")))</f>
        <v>Fail</v>
      </c>
      <c r="I12" s="26" t="s">
        <v>72</v>
      </c>
      <c r="J12" s="26" t="s">
        <v>99</v>
      </c>
      <c r="K12" s="26" t="s">
        <v>100</v>
      </c>
    </row>
    <row r="13" customFormat="false" ht="15" hidden="false" customHeight="false" outlineLevel="0" collapsed="false">
      <c r="A13" s="26" t="s">
        <v>101</v>
      </c>
      <c r="B13" s="27" t="n">
        <v>46102</v>
      </c>
      <c r="C13" s="26" t="s">
        <v>53</v>
      </c>
      <c r="D13" s="28" t="n">
        <v>30</v>
      </c>
      <c r="E13" s="28" t="s">
        <v>70</v>
      </c>
      <c r="F13" s="28" t="s">
        <v>71</v>
      </c>
      <c r="G13" s="28" t="n">
        <v>25</v>
      </c>
      <c r="H13" s="29" t="str">
        <f aca="false">IF(OR(G13="",D13=""),"",IF(E13="Min",IF(G13&gt;=D13,"Pass","Fail"),IF(G13&lt;=D13,"Pass","Fail")))</f>
        <v>Pass</v>
      </c>
      <c r="I13" s="26" t="s">
        <v>72</v>
      </c>
      <c r="J13" s="26" t="s">
        <v>102</v>
      </c>
      <c r="K13" s="26"/>
    </row>
    <row r="14" customFormat="false" ht="15" hidden="false" customHeight="false" outlineLevel="0" collapsed="false">
      <c r="A14" s="26" t="s">
        <v>103</v>
      </c>
      <c r="B14" s="27" t="n">
        <v>46102</v>
      </c>
      <c r="C14" s="26" t="s">
        <v>54</v>
      </c>
      <c r="D14" s="28" t="n">
        <v>5</v>
      </c>
      <c r="E14" s="28" t="s">
        <v>70</v>
      </c>
      <c r="F14" s="28" t="s">
        <v>71</v>
      </c>
      <c r="G14" s="28" t="n">
        <v>2.1</v>
      </c>
      <c r="H14" s="29" t="str">
        <f aca="false">IF(OR(G14="",D14=""),"",IF(E14="Min",IF(G14&gt;=D14,"Pass","Fail"),IF(G14&lt;=D14,"Pass","Fail")))</f>
        <v>Pass</v>
      </c>
      <c r="I14" s="26" t="s">
        <v>72</v>
      </c>
      <c r="J14" s="26" t="s">
        <v>104</v>
      </c>
      <c r="K14" s="26"/>
    </row>
    <row r="15" customFormat="false" ht="15" hidden="false" customHeight="false" outlineLevel="0" collapsed="false">
      <c r="A15" s="26" t="s">
        <v>105</v>
      </c>
      <c r="B15" s="27" t="n">
        <v>46102</v>
      </c>
      <c r="C15" s="26" t="s">
        <v>58</v>
      </c>
      <c r="D15" s="28" t="n">
        <v>5000</v>
      </c>
      <c r="E15" s="28" t="s">
        <v>70</v>
      </c>
      <c r="F15" s="28" t="s">
        <v>106</v>
      </c>
      <c r="G15" s="28" t="n">
        <v>4200</v>
      </c>
      <c r="H15" s="29" t="str">
        <f aca="false">IF(OR(G15="",D15=""),"",IF(E15="Min",IF(G15&gt;=D15,"Pass","Fail"),IF(G15&lt;=D15,"Pass","Fail")))</f>
        <v>Pass</v>
      </c>
      <c r="I15" s="26" t="s">
        <v>72</v>
      </c>
      <c r="J15" s="26" t="s">
        <v>107</v>
      </c>
      <c r="K15" s="26" t="s">
        <v>108</v>
      </c>
    </row>
    <row r="16" customFormat="false" ht="15" hidden="false" customHeight="false" outlineLevel="0" collapsed="false">
      <c r="A16" s="26" t="s">
        <v>109</v>
      </c>
      <c r="B16" s="27" t="n">
        <v>46102</v>
      </c>
      <c r="C16" s="26" t="s">
        <v>59</v>
      </c>
      <c r="D16" s="28" t="n">
        <v>15</v>
      </c>
      <c r="E16" s="28" t="s">
        <v>70</v>
      </c>
      <c r="F16" s="28" t="s">
        <v>71</v>
      </c>
      <c r="G16" s="28" t="n">
        <v>11.5</v>
      </c>
      <c r="H16" s="29" t="str">
        <f aca="false">IF(OR(G16="",D16=""),"",IF(E16="Min",IF(G16&gt;=D16,"Pass","Fail"),IF(G16&lt;=D16,"Pass","Fail")))</f>
        <v>Pass</v>
      </c>
      <c r="I16" s="26" t="s">
        <v>72</v>
      </c>
      <c r="J16" s="26" t="s">
        <v>110</v>
      </c>
      <c r="K16" s="26"/>
    </row>
    <row r="17" customFormat="false" ht="15" hidden="false" customHeight="false" outlineLevel="0" collapsed="false">
      <c r="A17" s="26"/>
      <c r="B17" s="27"/>
      <c r="C17" s="26"/>
      <c r="D17" s="28"/>
      <c r="E17" s="28"/>
      <c r="F17" s="28"/>
      <c r="G17" s="28"/>
      <c r="H17" s="29" t="str">
        <f aca="false">IF(OR(G17="",D17=""),"",IF(E17="Min",IF(G17&gt;=D17,"Pass","Fail"),IF(G17&lt;=D17,"Pass","Fail")))</f>
        <v/>
      </c>
      <c r="I17" s="26"/>
      <c r="J17" s="26"/>
      <c r="K17" s="26"/>
    </row>
    <row r="18" customFormat="false" ht="15" hidden="false" customHeight="false" outlineLevel="0" collapsed="false">
      <c r="A18" s="26"/>
      <c r="B18" s="27"/>
      <c r="C18" s="26"/>
      <c r="D18" s="28"/>
      <c r="E18" s="28"/>
      <c r="F18" s="28"/>
      <c r="G18" s="28"/>
      <c r="H18" s="29" t="str">
        <f aca="false">IF(OR(G18="",D18=""),"",IF(E18="Min",IF(G18&gt;=D18,"Pass","Fail"),IF(G18&lt;=D18,"Pass","Fail")))</f>
        <v/>
      </c>
      <c r="I18" s="26"/>
      <c r="J18" s="26"/>
      <c r="K18" s="26"/>
    </row>
    <row r="19" customFormat="false" ht="15" hidden="false" customHeight="false" outlineLevel="0" collapsed="false">
      <c r="A19" s="26"/>
      <c r="B19" s="27"/>
      <c r="C19" s="26"/>
      <c r="D19" s="28"/>
      <c r="E19" s="28"/>
      <c r="F19" s="28"/>
      <c r="G19" s="28"/>
      <c r="H19" s="29" t="str">
        <f aca="false">IF(OR(G19="",D19=""),"",IF(E19="Min",IF(G19&gt;=D19,"Pass","Fail"),IF(G19&lt;=D19,"Pass","Fail")))</f>
        <v/>
      </c>
      <c r="I19" s="26"/>
      <c r="J19" s="26"/>
      <c r="K19" s="26"/>
    </row>
    <row r="20" customFormat="false" ht="15" hidden="false" customHeight="false" outlineLevel="0" collapsed="false">
      <c r="A20" s="26"/>
      <c r="B20" s="27"/>
      <c r="C20" s="26"/>
      <c r="D20" s="28"/>
      <c r="E20" s="28"/>
      <c r="F20" s="28"/>
      <c r="G20" s="28"/>
      <c r="H20" s="29" t="str">
        <f aca="false">IF(OR(G20="",D20=""),"",IF(E20="Min",IF(G20&gt;=D20,"Pass","Fail"),IF(G20&lt;=D20,"Pass","Fail")))</f>
        <v/>
      </c>
      <c r="I20" s="26"/>
      <c r="J20" s="26"/>
      <c r="K20" s="26"/>
    </row>
    <row r="21" customFormat="false" ht="15" hidden="false" customHeight="false" outlineLevel="0" collapsed="false">
      <c r="A21" s="26"/>
      <c r="B21" s="27"/>
      <c r="C21" s="26"/>
      <c r="D21" s="28"/>
      <c r="E21" s="28"/>
      <c r="F21" s="28"/>
      <c r="G21" s="28"/>
      <c r="H21" s="29" t="str">
        <f aca="false">IF(OR(G21="",D21=""),"",IF(E21="Min",IF(G21&gt;=D21,"Pass","Fail"),IF(G21&lt;=D21,"Pass","Fail")))</f>
        <v/>
      </c>
      <c r="I21" s="26"/>
      <c r="J21" s="26"/>
      <c r="K21" s="26"/>
    </row>
    <row r="22" customFormat="false" ht="15" hidden="false" customHeight="false" outlineLevel="0" collapsed="false">
      <c r="A22" s="26"/>
      <c r="B22" s="27"/>
      <c r="C22" s="26"/>
      <c r="D22" s="28"/>
      <c r="E22" s="28"/>
      <c r="F22" s="28"/>
      <c r="G22" s="28"/>
      <c r="H22" s="29" t="str">
        <f aca="false">IF(OR(G22="",D22=""),"",IF(E22="Min",IF(G22&gt;=D22,"Pass","Fail"),IF(G22&lt;=D22,"Pass","Fail")))</f>
        <v/>
      </c>
      <c r="I22" s="26"/>
      <c r="J22" s="26"/>
      <c r="K22" s="26"/>
    </row>
    <row r="23" customFormat="false" ht="15" hidden="false" customHeight="false" outlineLevel="0" collapsed="false">
      <c r="A23" s="26"/>
      <c r="B23" s="27"/>
      <c r="C23" s="26"/>
      <c r="D23" s="28"/>
      <c r="E23" s="28"/>
      <c r="F23" s="28"/>
      <c r="G23" s="28"/>
      <c r="H23" s="29" t="str">
        <f aca="false">IF(OR(G23="",D23=""),"",IF(E23="Min",IF(G23&gt;=D23,"Pass","Fail"),IF(G23&lt;=D23,"Pass","Fail")))</f>
        <v/>
      </c>
      <c r="I23" s="26"/>
      <c r="J23" s="26"/>
      <c r="K23" s="26"/>
    </row>
    <row r="24" customFormat="false" ht="15" hidden="false" customHeight="false" outlineLevel="0" collapsed="false">
      <c r="A24" s="26"/>
      <c r="B24" s="27"/>
      <c r="C24" s="26"/>
      <c r="D24" s="28"/>
      <c r="E24" s="28"/>
      <c r="F24" s="28"/>
      <c r="G24" s="28"/>
      <c r="H24" s="29" t="str">
        <f aca="false">IF(OR(G24="",D24=""),"",IF(E24="Min",IF(G24&gt;=D24,"Pass","Fail"),IF(G24&lt;=D24,"Pass","Fail")))</f>
        <v/>
      </c>
      <c r="I24" s="26"/>
      <c r="J24" s="26"/>
      <c r="K24" s="26"/>
    </row>
    <row r="25" customFormat="false" ht="15" hidden="false" customHeight="false" outlineLevel="0" collapsed="false">
      <c r="A25" s="26"/>
      <c r="B25" s="27"/>
      <c r="C25" s="26"/>
      <c r="D25" s="28"/>
      <c r="E25" s="28"/>
      <c r="F25" s="28"/>
      <c r="G25" s="28"/>
      <c r="H25" s="29" t="str">
        <f aca="false">IF(OR(G25="",D25=""),"",IF(E25="Min",IF(G25&gt;=D25,"Pass","Fail"),IF(G25&lt;=D25,"Pass","Fail")))</f>
        <v/>
      </c>
      <c r="I25" s="26"/>
      <c r="J25" s="26"/>
      <c r="K25" s="26"/>
    </row>
    <row r="26" customFormat="false" ht="15" hidden="false" customHeight="false" outlineLevel="0" collapsed="false">
      <c r="A26" s="26"/>
      <c r="B26" s="27"/>
      <c r="C26" s="26"/>
      <c r="D26" s="28"/>
      <c r="E26" s="28"/>
      <c r="F26" s="28"/>
      <c r="G26" s="28"/>
      <c r="H26" s="29" t="str">
        <f aca="false">IF(OR(G26="",D26=""),"",IF(E26="Min",IF(G26&gt;=D26,"Pass","Fail"),IF(G26&lt;=D26,"Pass","Fail")))</f>
        <v/>
      </c>
      <c r="I26" s="26"/>
      <c r="J26" s="26"/>
      <c r="K26" s="26"/>
    </row>
    <row r="27" customFormat="false" ht="15" hidden="false" customHeight="false" outlineLevel="0" collapsed="false">
      <c r="A27" s="26"/>
      <c r="B27" s="27"/>
      <c r="C27" s="26"/>
      <c r="D27" s="28"/>
      <c r="E27" s="28"/>
      <c r="F27" s="28"/>
      <c r="G27" s="28"/>
      <c r="H27" s="29" t="str">
        <f aca="false">IF(OR(G27="",D27=""),"",IF(E27="Min",IF(G27&gt;=D27,"Pass","Fail"),IF(G27&lt;=D27,"Pass","Fail")))</f>
        <v/>
      </c>
      <c r="I27" s="26"/>
      <c r="J27" s="26"/>
      <c r="K27" s="26"/>
    </row>
    <row r="28" customFormat="false" ht="15" hidden="false" customHeight="false" outlineLevel="0" collapsed="false">
      <c r="A28" s="26"/>
      <c r="B28" s="27"/>
      <c r="C28" s="26"/>
      <c r="D28" s="28"/>
      <c r="E28" s="28"/>
      <c r="F28" s="28"/>
      <c r="G28" s="28"/>
      <c r="H28" s="29" t="str">
        <f aca="false">IF(OR(G28="",D28=""),"",IF(E28="Min",IF(G28&gt;=D28,"Pass","Fail"),IF(G28&lt;=D28,"Pass","Fail")))</f>
        <v/>
      </c>
      <c r="I28" s="26"/>
      <c r="J28" s="26"/>
      <c r="K28" s="26"/>
    </row>
    <row r="29" customFormat="false" ht="15" hidden="false" customHeight="false" outlineLevel="0" collapsed="false">
      <c r="A29" s="26"/>
      <c r="B29" s="27"/>
      <c r="C29" s="26"/>
      <c r="D29" s="28"/>
      <c r="E29" s="28"/>
      <c r="F29" s="28"/>
      <c r="G29" s="28"/>
      <c r="H29" s="29" t="str">
        <f aca="false">IF(OR(G29="",D29=""),"",IF(E29="Min",IF(G29&gt;=D29,"Pass","Fail"),IF(G29&lt;=D29,"Pass","Fail")))</f>
        <v/>
      </c>
      <c r="I29" s="26"/>
      <c r="J29" s="26"/>
      <c r="K29" s="26"/>
    </row>
    <row r="30" customFormat="false" ht="15" hidden="false" customHeight="false" outlineLevel="0" collapsed="false">
      <c r="A30" s="26"/>
      <c r="B30" s="27"/>
      <c r="C30" s="26"/>
      <c r="D30" s="28"/>
      <c r="E30" s="28"/>
      <c r="F30" s="28"/>
      <c r="G30" s="28"/>
      <c r="H30" s="29" t="str">
        <f aca="false">IF(OR(G30="",D30=""),"",IF(E30="Min",IF(G30&gt;=D30,"Pass","Fail"),IF(G30&lt;=D30,"Pass","Fail")))</f>
        <v/>
      </c>
      <c r="I30" s="26"/>
      <c r="J30" s="26"/>
      <c r="K30" s="26"/>
    </row>
    <row r="31" customFormat="false" ht="15" hidden="false" customHeight="false" outlineLevel="0" collapsed="false">
      <c r="A31" s="26"/>
      <c r="B31" s="27"/>
      <c r="C31" s="26"/>
      <c r="D31" s="28"/>
      <c r="E31" s="28"/>
      <c r="F31" s="28"/>
      <c r="G31" s="28"/>
      <c r="H31" s="29" t="str">
        <f aca="false">IF(OR(G31="",D31=""),"",IF(E31="Min",IF(G31&gt;=D31,"Pass","Fail"),IF(G31&lt;=D31,"Pass","Fail")))</f>
        <v/>
      </c>
      <c r="I31" s="26"/>
      <c r="J31" s="26"/>
      <c r="K31" s="26"/>
    </row>
    <row r="32" customFormat="false" ht="15" hidden="false" customHeight="false" outlineLevel="0" collapsed="false">
      <c r="A32" s="26"/>
      <c r="B32" s="27"/>
      <c r="C32" s="26"/>
      <c r="D32" s="28"/>
      <c r="E32" s="28"/>
      <c r="F32" s="28"/>
      <c r="G32" s="28"/>
      <c r="H32" s="29" t="str">
        <f aca="false">IF(OR(G32="",D32=""),"",IF(E32="Min",IF(G32&gt;=D32,"Pass","Fail"),IF(G32&lt;=D32,"Pass","Fail")))</f>
        <v/>
      </c>
      <c r="I32" s="26"/>
      <c r="J32" s="26"/>
      <c r="K32" s="26"/>
    </row>
    <row r="33" customFormat="false" ht="15" hidden="false" customHeight="false" outlineLevel="0" collapsed="false">
      <c r="A33" s="26"/>
      <c r="B33" s="27"/>
      <c r="C33" s="26"/>
      <c r="D33" s="28"/>
      <c r="E33" s="28"/>
      <c r="F33" s="28"/>
      <c r="G33" s="28"/>
      <c r="H33" s="29" t="str">
        <f aca="false">IF(OR(G33="",D33=""),"",IF(E33="Min",IF(G33&gt;=D33,"Pass","Fail"),IF(G33&lt;=D33,"Pass","Fail")))</f>
        <v/>
      </c>
      <c r="I33" s="26"/>
      <c r="J33" s="26"/>
      <c r="K33" s="26"/>
    </row>
    <row r="34" customFormat="false" ht="15" hidden="false" customHeight="false" outlineLevel="0" collapsed="false">
      <c r="A34" s="26"/>
      <c r="B34" s="27"/>
      <c r="C34" s="26"/>
      <c r="D34" s="28"/>
      <c r="E34" s="28"/>
      <c r="F34" s="28"/>
      <c r="G34" s="28"/>
      <c r="H34" s="29" t="str">
        <f aca="false">IF(OR(G34="",D34=""),"",IF(E34="Min",IF(G34&gt;=D34,"Pass","Fail"),IF(G34&lt;=D34,"Pass","Fail")))</f>
        <v/>
      </c>
      <c r="I34" s="26"/>
      <c r="J34" s="26"/>
      <c r="K34" s="26"/>
    </row>
    <row r="35" customFormat="false" ht="15" hidden="false" customHeight="false" outlineLevel="0" collapsed="false">
      <c r="A35" s="26"/>
      <c r="B35" s="27"/>
      <c r="C35" s="26"/>
      <c r="D35" s="28"/>
      <c r="E35" s="28"/>
      <c r="F35" s="28"/>
      <c r="G35" s="28"/>
      <c r="H35" s="29" t="str">
        <f aca="false">IF(OR(G35="",D35=""),"",IF(E35="Min",IF(G35&gt;=D35,"Pass","Fail"),IF(G35&lt;=D35,"Pass","Fail")))</f>
        <v/>
      </c>
      <c r="I35" s="26"/>
      <c r="J35" s="26"/>
      <c r="K35" s="26"/>
    </row>
    <row r="36" customFormat="false" ht="15" hidden="false" customHeight="false" outlineLevel="0" collapsed="false">
      <c r="A36" s="26"/>
      <c r="B36" s="27"/>
      <c r="C36" s="26"/>
      <c r="D36" s="28"/>
      <c r="E36" s="28"/>
      <c r="F36" s="28"/>
      <c r="G36" s="28"/>
      <c r="H36" s="29" t="str">
        <f aca="false">IF(OR(G36="",D36=""),"",IF(E36="Min",IF(G36&gt;=D36,"Pass","Fail"),IF(G36&lt;=D36,"Pass","Fail")))</f>
        <v/>
      </c>
      <c r="I36" s="26"/>
      <c r="J36" s="26"/>
      <c r="K36" s="26"/>
    </row>
    <row r="37" customFormat="false" ht="15" hidden="false" customHeight="false" outlineLevel="0" collapsed="false">
      <c r="A37" s="26"/>
      <c r="B37" s="27"/>
      <c r="C37" s="26"/>
      <c r="D37" s="28"/>
      <c r="E37" s="28"/>
      <c r="F37" s="28"/>
      <c r="G37" s="28"/>
      <c r="H37" s="29" t="str">
        <f aca="false">IF(OR(G37="",D37=""),"",IF(E37="Min",IF(G37&gt;=D37,"Pass","Fail"),IF(G37&lt;=D37,"Pass","Fail")))</f>
        <v/>
      </c>
      <c r="I37" s="26"/>
      <c r="J37" s="26"/>
      <c r="K37" s="26"/>
    </row>
    <row r="38" customFormat="false" ht="15" hidden="false" customHeight="false" outlineLevel="0" collapsed="false">
      <c r="A38" s="26"/>
      <c r="B38" s="27"/>
      <c r="C38" s="26"/>
      <c r="D38" s="28"/>
      <c r="E38" s="28"/>
      <c r="F38" s="28"/>
      <c r="G38" s="28"/>
      <c r="H38" s="29" t="str">
        <f aca="false">IF(OR(G38="",D38=""),"",IF(E38="Min",IF(G38&gt;=D38,"Pass","Fail"),IF(G38&lt;=D38,"Pass","Fail")))</f>
        <v/>
      </c>
      <c r="I38" s="26"/>
      <c r="J38" s="26"/>
      <c r="K38" s="26"/>
    </row>
    <row r="39" customFormat="false" ht="15" hidden="false" customHeight="false" outlineLevel="0" collapsed="false">
      <c r="A39" s="26"/>
      <c r="B39" s="27"/>
      <c r="C39" s="26"/>
      <c r="D39" s="28"/>
      <c r="E39" s="28"/>
      <c r="F39" s="28"/>
      <c r="G39" s="28"/>
      <c r="H39" s="29" t="str">
        <f aca="false">IF(OR(G39="",D39=""),"",IF(E39="Min",IF(G39&gt;=D39,"Pass","Fail"),IF(G39&lt;=D39,"Pass","Fail")))</f>
        <v/>
      </c>
      <c r="I39" s="26"/>
      <c r="J39" s="26"/>
      <c r="K39" s="26"/>
    </row>
    <row r="40" customFormat="false" ht="15" hidden="false" customHeight="false" outlineLevel="0" collapsed="false">
      <c r="A40" s="26"/>
      <c r="B40" s="27"/>
      <c r="C40" s="26"/>
      <c r="D40" s="28"/>
      <c r="E40" s="28"/>
      <c r="F40" s="28"/>
      <c r="G40" s="28"/>
      <c r="H40" s="29" t="str">
        <f aca="false">IF(OR(G40="",D40=""),"",IF(E40="Min",IF(G40&gt;=D40,"Pass","Fail"),IF(G40&lt;=D40,"Pass","Fail")))</f>
        <v/>
      </c>
      <c r="I40" s="26"/>
      <c r="J40" s="26"/>
      <c r="K40" s="26"/>
    </row>
    <row r="41" customFormat="false" ht="15" hidden="false" customHeight="false" outlineLevel="0" collapsed="false">
      <c r="A41" s="26"/>
      <c r="B41" s="27"/>
      <c r="C41" s="26"/>
      <c r="D41" s="28"/>
      <c r="E41" s="28"/>
      <c r="F41" s="28"/>
      <c r="G41" s="28"/>
      <c r="H41" s="29" t="str">
        <f aca="false">IF(OR(G41="",D41=""),"",IF(E41="Min",IF(G41&gt;=D41,"Pass","Fail"),IF(G41&lt;=D41,"Pass","Fail")))</f>
        <v/>
      </c>
      <c r="I41" s="26"/>
      <c r="J41" s="26"/>
      <c r="K41" s="26"/>
    </row>
    <row r="42" customFormat="false" ht="15" hidden="false" customHeight="false" outlineLevel="0" collapsed="false">
      <c r="A42" s="26"/>
      <c r="B42" s="27"/>
      <c r="C42" s="26"/>
      <c r="D42" s="28"/>
      <c r="E42" s="28"/>
      <c r="F42" s="28"/>
      <c r="G42" s="28"/>
      <c r="H42" s="29" t="str">
        <f aca="false">IF(OR(G42="",D42=""),"",IF(E42="Min",IF(G42&gt;=D42,"Pass","Fail"),IF(G42&lt;=D42,"Pass","Fail")))</f>
        <v/>
      </c>
      <c r="I42" s="26"/>
      <c r="J42" s="26"/>
      <c r="K42" s="26"/>
    </row>
    <row r="43" customFormat="false" ht="15" hidden="false" customHeight="false" outlineLevel="0" collapsed="false">
      <c r="A43" s="26"/>
      <c r="B43" s="27"/>
      <c r="C43" s="26"/>
      <c r="D43" s="28"/>
      <c r="E43" s="28"/>
      <c r="F43" s="28"/>
      <c r="G43" s="28"/>
      <c r="H43" s="29" t="str">
        <f aca="false">IF(OR(G43="",D43=""),"",IF(E43="Min",IF(G43&gt;=D43,"Pass","Fail"),IF(G43&lt;=D43,"Pass","Fail")))</f>
        <v/>
      </c>
      <c r="I43" s="26"/>
      <c r="J43" s="26"/>
      <c r="K43" s="26"/>
    </row>
    <row r="44" customFormat="false" ht="15" hidden="false" customHeight="false" outlineLevel="0" collapsed="false">
      <c r="A44" s="26"/>
      <c r="B44" s="27"/>
      <c r="C44" s="26"/>
      <c r="D44" s="28"/>
      <c r="E44" s="28"/>
      <c r="F44" s="28"/>
      <c r="G44" s="28"/>
      <c r="H44" s="29" t="str">
        <f aca="false">IF(OR(G44="",D44=""),"",IF(E44="Min",IF(G44&gt;=D44,"Pass","Fail"),IF(G44&lt;=D44,"Pass","Fail")))</f>
        <v/>
      </c>
      <c r="I44" s="26"/>
      <c r="J44" s="26"/>
      <c r="K44" s="26"/>
    </row>
    <row r="45" customFormat="false" ht="15" hidden="false" customHeight="false" outlineLevel="0" collapsed="false">
      <c r="A45" s="26"/>
      <c r="B45" s="27"/>
      <c r="C45" s="26"/>
      <c r="D45" s="28"/>
      <c r="E45" s="28"/>
      <c r="F45" s="28"/>
      <c r="G45" s="28"/>
      <c r="H45" s="29" t="str">
        <f aca="false">IF(OR(G45="",D45=""),"",IF(E45="Min",IF(G45&gt;=D45,"Pass","Fail"),IF(G45&lt;=D45,"Pass","Fail")))</f>
        <v/>
      </c>
      <c r="I45" s="26"/>
      <c r="J45" s="26"/>
      <c r="K45" s="26"/>
    </row>
    <row r="46" customFormat="false" ht="15" hidden="false" customHeight="false" outlineLevel="0" collapsed="false">
      <c r="A46" s="26"/>
      <c r="B46" s="27"/>
      <c r="C46" s="26"/>
      <c r="D46" s="28"/>
      <c r="E46" s="28"/>
      <c r="F46" s="28"/>
      <c r="G46" s="28"/>
      <c r="H46" s="29" t="str">
        <f aca="false">IF(OR(G46="",D46=""),"",IF(E46="Min",IF(G46&gt;=D46,"Pass","Fail"),IF(G46&lt;=D46,"Pass","Fail")))</f>
        <v/>
      </c>
      <c r="I46" s="26"/>
      <c r="J46" s="26"/>
      <c r="K46" s="26"/>
    </row>
    <row r="47" customFormat="false" ht="15" hidden="false" customHeight="false" outlineLevel="0" collapsed="false">
      <c r="A47" s="26"/>
      <c r="B47" s="27"/>
      <c r="C47" s="26"/>
      <c r="D47" s="28"/>
      <c r="E47" s="28"/>
      <c r="F47" s="28"/>
      <c r="G47" s="28"/>
      <c r="H47" s="29" t="str">
        <f aca="false">IF(OR(G47="",D47=""),"",IF(E47="Min",IF(G47&gt;=D47,"Pass","Fail"),IF(G47&lt;=D47,"Pass","Fail")))</f>
        <v/>
      </c>
      <c r="I47" s="26"/>
      <c r="J47" s="26"/>
      <c r="K47" s="26"/>
    </row>
    <row r="48" customFormat="false" ht="15" hidden="false" customHeight="false" outlineLevel="0" collapsed="false">
      <c r="A48" s="26"/>
      <c r="B48" s="27"/>
      <c r="C48" s="26"/>
      <c r="D48" s="28"/>
      <c r="E48" s="28"/>
      <c r="F48" s="28"/>
      <c r="G48" s="28"/>
      <c r="H48" s="29" t="str">
        <f aca="false">IF(OR(G48="",D48=""),"",IF(E48="Min",IF(G48&gt;=D48,"Pass","Fail"),IF(G48&lt;=D48,"Pass","Fail")))</f>
        <v/>
      </c>
      <c r="I48" s="26"/>
      <c r="J48" s="26"/>
      <c r="K48" s="26"/>
    </row>
    <row r="49" customFormat="false" ht="15" hidden="false" customHeight="false" outlineLevel="0" collapsed="false">
      <c r="A49" s="26"/>
      <c r="B49" s="27"/>
      <c r="C49" s="26"/>
      <c r="D49" s="28"/>
      <c r="E49" s="28"/>
      <c r="F49" s="28"/>
      <c r="G49" s="28"/>
      <c r="H49" s="29" t="str">
        <f aca="false">IF(OR(G49="",D49=""),"",IF(E49="Min",IF(G49&gt;=D49,"Pass","Fail"),IF(G49&lt;=D49,"Pass","Fail")))</f>
        <v/>
      </c>
      <c r="I49" s="26"/>
      <c r="J49" s="26"/>
      <c r="K49" s="26"/>
    </row>
    <row r="50" customFormat="false" ht="15" hidden="false" customHeight="false" outlineLevel="0" collapsed="false">
      <c r="A50" s="26"/>
      <c r="B50" s="27"/>
      <c r="C50" s="26"/>
      <c r="D50" s="28"/>
      <c r="E50" s="28"/>
      <c r="F50" s="28"/>
      <c r="G50" s="28"/>
      <c r="H50" s="29" t="str">
        <f aca="false">IF(OR(G50="",D50=""),"",IF(E50="Min",IF(G50&gt;=D50,"Pass","Fail"),IF(G50&lt;=D50,"Pass","Fail")))</f>
        <v/>
      </c>
      <c r="I50" s="26"/>
      <c r="J50" s="26"/>
      <c r="K50" s="26"/>
    </row>
    <row r="51" customFormat="false" ht="15" hidden="false" customHeight="false" outlineLevel="0" collapsed="false">
      <c r="A51" s="26"/>
      <c r="B51" s="27"/>
      <c r="C51" s="26"/>
      <c r="D51" s="28"/>
      <c r="E51" s="28"/>
      <c r="F51" s="28"/>
      <c r="G51" s="28"/>
      <c r="H51" s="29" t="str">
        <f aca="false">IF(OR(G51="",D51=""),"",IF(E51="Min",IF(G51&gt;=D51,"Pass","Fail"),IF(G51&lt;=D51,"Pass","Fail")))</f>
        <v/>
      </c>
      <c r="I51" s="26"/>
      <c r="J51" s="26"/>
      <c r="K51" s="26"/>
    </row>
    <row r="52" customFormat="false" ht="15" hidden="false" customHeight="false" outlineLevel="0" collapsed="false">
      <c r="A52" s="26"/>
      <c r="B52" s="27"/>
      <c r="C52" s="26"/>
      <c r="D52" s="28"/>
      <c r="E52" s="28"/>
      <c r="F52" s="28"/>
      <c r="G52" s="28"/>
      <c r="H52" s="29" t="str">
        <f aca="false">IF(OR(G52="",D52=""),"",IF(E52="Min",IF(G52&gt;=D52,"Pass","Fail"),IF(G52&lt;=D52,"Pass","Fail")))</f>
        <v/>
      </c>
      <c r="I52" s="26"/>
      <c r="J52" s="26"/>
      <c r="K52" s="26"/>
    </row>
    <row r="53" customFormat="false" ht="15" hidden="false" customHeight="false" outlineLevel="0" collapsed="false">
      <c r="A53" s="26"/>
      <c r="B53" s="27"/>
      <c r="C53" s="26"/>
      <c r="D53" s="28"/>
      <c r="E53" s="28"/>
      <c r="F53" s="28"/>
      <c r="G53" s="28"/>
      <c r="H53" s="29" t="str">
        <f aca="false">IF(OR(G53="",D53=""),"",IF(E53="Min",IF(G53&gt;=D53,"Pass","Fail"),IF(G53&lt;=D53,"Pass","Fail")))</f>
        <v/>
      </c>
      <c r="I53" s="26"/>
      <c r="J53" s="26"/>
      <c r="K53" s="26"/>
    </row>
    <row r="54" customFormat="false" ht="15" hidden="false" customHeight="false" outlineLevel="0" collapsed="false">
      <c r="A54" s="26"/>
      <c r="B54" s="27"/>
      <c r="C54" s="26"/>
      <c r="D54" s="28"/>
      <c r="E54" s="28"/>
      <c r="F54" s="28"/>
      <c r="G54" s="28"/>
      <c r="H54" s="29" t="str">
        <f aca="false">IF(OR(G54="",D54=""),"",IF(E54="Min",IF(G54&gt;=D54,"Pass","Fail"),IF(G54&lt;=D54,"Pass","Fail")))</f>
        <v/>
      </c>
      <c r="I54" s="26"/>
      <c r="J54" s="26"/>
      <c r="K54" s="26"/>
    </row>
    <row r="55" customFormat="false" ht="15" hidden="false" customHeight="false" outlineLevel="0" collapsed="false">
      <c r="A55" s="26"/>
      <c r="B55" s="27"/>
      <c r="C55" s="26"/>
      <c r="D55" s="28"/>
      <c r="E55" s="28"/>
      <c r="F55" s="28"/>
      <c r="G55" s="28"/>
      <c r="H55" s="29" t="str">
        <f aca="false">IF(OR(G55="",D55=""),"",IF(E55="Min",IF(G55&gt;=D55,"Pass","Fail"),IF(G55&lt;=D55,"Pass","Fail")))</f>
        <v/>
      </c>
      <c r="I55" s="26"/>
      <c r="J55" s="26"/>
      <c r="K55" s="26"/>
    </row>
    <row r="56" customFormat="false" ht="15" hidden="false" customHeight="false" outlineLevel="0" collapsed="false">
      <c r="A56" s="26"/>
      <c r="B56" s="27"/>
      <c r="C56" s="26"/>
      <c r="D56" s="28"/>
      <c r="E56" s="28"/>
      <c r="F56" s="28"/>
      <c r="G56" s="28"/>
      <c r="H56" s="29" t="str">
        <f aca="false">IF(OR(G56="",D56=""),"",IF(E56="Min",IF(G56&gt;=D56,"Pass","Fail"),IF(G56&lt;=D56,"Pass","Fail")))</f>
        <v/>
      </c>
      <c r="I56" s="26"/>
      <c r="J56" s="26"/>
      <c r="K56" s="26"/>
    </row>
    <row r="57" customFormat="false" ht="15" hidden="false" customHeight="false" outlineLevel="0" collapsed="false">
      <c r="A57" s="26"/>
      <c r="B57" s="27"/>
      <c r="C57" s="26"/>
      <c r="D57" s="28"/>
      <c r="E57" s="28"/>
      <c r="F57" s="28"/>
      <c r="G57" s="28"/>
      <c r="H57" s="29" t="str">
        <f aca="false">IF(OR(G57="",D57=""),"",IF(E57="Min",IF(G57&gt;=D57,"Pass","Fail"),IF(G57&lt;=D57,"Pass","Fail")))</f>
        <v/>
      </c>
      <c r="I57" s="26"/>
      <c r="J57" s="26"/>
      <c r="K57" s="26"/>
    </row>
    <row r="58" customFormat="false" ht="15" hidden="false" customHeight="false" outlineLevel="0" collapsed="false">
      <c r="A58" s="26"/>
      <c r="B58" s="27"/>
      <c r="C58" s="26"/>
      <c r="D58" s="28"/>
      <c r="E58" s="28"/>
      <c r="F58" s="28"/>
      <c r="G58" s="28"/>
      <c r="H58" s="29" t="str">
        <f aca="false">IF(OR(G58="",D58=""),"",IF(E58="Min",IF(G58&gt;=D58,"Pass","Fail"),IF(G58&lt;=D58,"Pass","Fail")))</f>
        <v/>
      </c>
      <c r="I58" s="26"/>
      <c r="J58" s="26"/>
      <c r="K58" s="26"/>
    </row>
    <row r="59" customFormat="false" ht="15" hidden="false" customHeight="false" outlineLevel="0" collapsed="false">
      <c r="A59" s="26"/>
      <c r="B59" s="27"/>
      <c r="C59" s="26"/>
      <c r="D59" s="28"/>
      <c r="E59" s="28"/>
      <c r="F59" s="28"/>
      <c r="G59" s="28"/>
      <c r="H59" s="29" t="str">
        <f aca="false">IF(OR(G59="",D59=""),"",IF(E59="Min",IF(G59&gt;=D59,"Pass","Fail"),IF(G59&lt;=D59,"Pass","Fail")))</f>
        <v/>
      </c>
      <c r="I59" s="26"/>
      <c r="J59" s="26"/>
      <c r="K59" s="26"/>
    </row>
    <row r="60" customFormat="false" ht="15" hidden="false" customHeight="false" outlineLevel="0" collapsed="false">
      <c r="A60" s="26"/>
      <c r="B60" s="27"/>
      <c r="C60" s="26"/>
      <c r="D60" s="28"/>
      <c r="E60" s="28"/>
      <c r="F60" s="28"/>
      <c r="G60" s="28"/>
      <c r="H60" s="29" t="str">
        <f aca="false">IF(OR(G60="",D60=""),"",IF(E60="Min",IF(G60&gt;=D60,"Pass","Fail"),IF(G60&lt;=D60,"Pass","Fail")))</f>
        <v/>
      </c>
      <c r="I60" s="26"/>
      <c r="J60" s="26"/>
      <c r="K60" s="26"/>
    </row>
    <row r="61" customFormat="false" ht="15" hidden="false" customHeight="false" outlineLevel="0" collapsed="false">
      <c r="A61" s="26"/>
      <c r="B61" s="27"/>
      <c r="C61" s="26"/>
      <c r="D61" s="28"/>
      <c r="E61" s="28"/>
      <c r="F61" s="28"/>
      <c r="G61" s="28"/>
      <c r="H61" s="29" t="str">
        <f aca="false">IF(OR(G61="",D61=""),"",IF(E61="Min",IF(G61&gt;=D61,"Pass","Fail"),IF(G61&lt;=D61,"Pass","Fail")))</f>
        <v/>
      </c>
      <c r="I61" s="26"/>
      <c r="J61" s="26"/>
      <c r="K61" s="26"/>
    </row>
    <row r="62" customFormat="false" ht="15" hidden="false" customHeight="false" outlineLevel="0" collapsed="false">
      <c r="A62" s="26"/>
      <c r="B62" s="27"/>
      <c r="C62" s="26"/>
      <c r="D62" s="28"/>
      <c r="E62" s="28"/>
      <c r="F62" s="28"/>
      <c r="G62" s="28"/>
      <c r="H62" s="29" t="str">
        <f aca="false">IF(OR(G62="",D62=""),"",IF(E62="Min",IF(G62&gt;=D62,"Pass","Fail"),IF(G62&lt;=D62,"Pass","Fail")))</f>
        <v/>
      </c>
      <c r="I62" s="26"/>
      <c r="J62" s="26"/>
      <c r="K62" s="26"/>
    </row>
    <row r="63" customFormat="false" ht="15" hidden="false" customHeight="false" outlineLevel="0" collapsed="false">
      <c r="A63" s="26"/>
      <c r="B63" s="27"/>
      <c r="C63" s="26"/>
      <c r="D63" s="28"/>
      <c r="E63" s="28"/>
      <c r="F63" s="28"/>
      <c r="G63" s="28"/>
      <c r="H63" s="29" t="str">
        <f aca="false">IF(OR(G63="",D63=""),"",IF(E63="Min",IF(G63&gt;=D63,"Pass","Fail"),IF(G63&lt;=D63,"Pass","Fail")))</f>
        <v/>
      </c>
      <c r="I63" s="26"/>
      <c r="J63" s="26"/>
      <c r="K63" s="26"/>
    </row>
    <row r="64" customFormat="false" ht="15" hidden="false" customHeight="false" outlineLevel="0" collapsed="false">
      <c r="A64" s="26"/>
      <c r="B64" s="27"/>
      <c r="C64" s="26"/>
      <c r="D64" s="28"/>
      <c r="E64" s="28"/>
      <c r="F64" s="28"/>
      <c r="G64" s="28"/>
      <c r="H64" s="29" t="str">
        <f aca="false">IF(OR(G64="",D64=""),"",IF(E64="Min",IF(G64&gt;=D64,"Pass","Fail"),IF(G64&lt;=D64,"Pass","Fail")))</f>
        <v/>
      </c>
      <c r="I64" s="26"/>
      <c r="J64" s="26"/>
      <c r="K64" s="26"/>
    </row>
    <row r="65" customFormat="false" ht="15" hidden="false" customHeight="false" outlineLevel="0" collapsed="false">
      <c r="A65" s="26"/>
      <c r="B65" s="27"/>
      <c r="C65" s="26"/>
      <c r="D65" s="28"/>
      <c r="E65" s="28"/>
      <c r="F65" s="28"/>
      <c r="G65" s="28"/>
      <c r="H65" s="29" t="str">
        <f aca="false">IF(OR(G65="",D65=""),"",IF(E65="Min",IF(G65&gt;=D65,"Pass","Fail"),IF(G65&lt;=D65,"Pass","Fail")))</f>
        <v/>
      </c>
      <c r="I65" s="26"/>
      <c r="J65" s="26"/>
      <c r="K65" s="26"/>
    </row>
    <row r="66" customFormat="false" ht="15" hidden="false" customHeight="false" outlineLevel="0" collapsed="false">
      <c r="A66" s="26"/>
      <c r="B66" s="27"/>
      <c r="C66" s="26"/>
      <c r="D66" s="28"/>
      <c r="E66" s="28"/>
      <c r="F66" s="28"/>
      <c r="G66" s="28"/>
      <c r="H66" s="29" t="str">
        <f aca="false">IF(OR(G66="",D66=""),"",IF(E66="Min",IF(G66&gt;=D66,"Pass","Fail"),IF(G66&lt;=D66,"Pass","Fail")))</f>
        <v/>
      </c>
      <c r="I66" s="26"/>
      <c r="J66" s="26"/>
      <c r="K66" s="26"/>
    </row>
    <row r="67" customFormat="false" ht="15" hidden="false" customHeight="false" outlineLevel="0" collapsed="false">
      <c r="A67" s="26"/>
      <c r="B67" s="27"/>
      <c r="C67" s="26"/>
      <c r="D67" s="28"/>
      <c r="E67" s="28"/>
      <c r="F67" s="28"/>
      <c r="G67" s="28"/>
      <c r="H67" s="29" t="str">
        <f aca="false">IF(OR(G67="",D67=""),"",IF(E67="Min",IF(G67&gt;=D67,"Pass","Fail"),IF(G67&lt;=D67,"Pass","Fail")))</f>
        <v/>
      </c>
      <c r="I67" s="26"/>
      <c r="J67" s="26"/>
      <c r="K67" s="26"/>
    </row>
    <row r="68" customFormat="false" ht="15" hidden="false" customHeight="false" outlineLevel="0" collapsed="false">
      <c r="A68" s="26"/>
      <c r="B68" s="27"/>
      <c r="C68" s="26"/>
      <c r="D68" s="28"/>
      <c r="E68" s="28"/>
      <c r="F68" s="28"/>
      <c r="G68" s="28"/>
      <c r="H68" s="29" t="str">
        <f aca="false">IF(OR(G68="",D68=""),"",IF(E68="Min",IF(G68&gt;=D68,"Pass","Fail"),IF(G68&lt;=D68,"Pass","Fail")))</f>
        <v/>
      </c>
      <c r="I68" s="26"/>
      <c r="J68" s="26"/>
      <c r="K68" s="26"/>
    </row>
    <row r="69" customFormat="false" ht="15" hidden="false" customHeight="false" outlineLevel="0" collapsed="false">
      <c r="A69" s="26"/>
      <c r="B69" s="27"/>
      <c r="C69" s="26"/>
      <c r="D69" s="28"/>
      <c r="E69" s="28"/>
      <c r="F69" s="28"/>
      <c r="G69" s="28"/>
      <c r="H69" s="29" t="str">
        <f aca="false">IF(OR(G69="",D69=""),"",IF(E69="Min",IF(G69&gt;=D69,"Pass","Fail"),IF(G69&lt;=D69,"Pass","Fail")))</f>
        <v/>
      </c>
      <c r="I69" s="26"/>
      <c r="J69" s="26"/>
      <c r="K69" s="26"/>
    </row>
    <row r="70" customFormat="false" ht="15" hidden="false" customHeight="false" outlineLevel="0" collapsed="false">
      <c r="A70" s="26"/>
      <c r="B70" s="27"/>
      <c r="C70" s="26"/>
      <c r="D70" s="28"/>
      <c r="E70" s="28"/>
      <c r="F70" s="28"/>
      <c r="G70" s="28"/>
      <c r="H70" s="29" t="str">
        <f aca="false">IF(OR(G70="",D70=""),"",IF(E70="Min",IF(G70&gt;=D70,"Pass","Fail"),IF(G70&lt;=D70,"Pass","Fail")))</f>
        <v/>
      </c>
      <c r="I70" s="26"/>
      <c r="J70" s="26"/>
      <c r="K70" s="26"/>
    </row>
    <row r="71" customFormat="false" ht="15" hidden="false" customHeight="false" outlineLevel="0" collapsed="false">
      <c r="A71" s="26"/>
      <c r="B71" s="27"/>
      <c r="C71" s="26"/>
      <c r="D71" s="28"/>
      <c r="E71" s="28"/>
      <c r="F71" s="28"/>
      <c r="G71" s="28"/>
      <c r="H71" s="29" t="str">
        <f aca="false">IF(OR(G71="",D71=""),"",IF(E71="Min",IF(G71&gt;=D71,"Pass","Fail"),IF(G71&lt;=D71,"Pass","Fail")))</f>
        <v/>
      </c>
      <c r="I71" s="26"/>
      <c r="J71" s="26"/>
      <c r="K71" s="26"/>
    </row>
    <row r="72" customFormat="false" ht="15" hidden="false" customHeight="false" outlineLevel="0" collapsed="false">
      <c r="A72" s="26"/>
      <c r="B72" s="27"/>
      <c r="C72" s="26"/>
      <c r="D72" s="28"/>
      <c r="E72" s="28"/>
      <c r="F72" s="28"/>
      <c r="G72" s="28"/>
      <c r="H72" s="29" t="str">
        <f aca="false">IF(OR(G72="",D72=""),"",IF(E72="Min",IF(G72&gt;=D72,"Pass","Fail"),IF(G72&lt;=D72,"Pass","Fail")))</f>
        <v/>
      </c>
      <c r="I72" s="26"/>
      <c r="J72" s="26"/>
      <c r="K72" s="26"/>
    </row>
    <row r="73" customFormat="false" ht="15" hidden="false" customHeight="false" outlineLevel="0" collapsed="false">
      <c r="A73" s="26"/>
      <c r="B73" s="27"/>
      <c r="C73" s="26"/>
      <c r="D73" s="28"/>
      <c r="E73" s="28"/>
      <c r="F73" s="28"/>
      <c r="G73" s="28"/>
      <c r="H73" s="29" t="str">
        <f aca="false">IF(OR(G73="",D73=""),"",IF(E73="Min",IF(G73&gt;=D73,"Pass","Fail"),IF(G73&lt;=D73,"Pass","Fail")))</f>
        <v/>
      </c>
      <c r="I73" s="26"/>
      <c r="J73" s="26"/>
      <c r="K73" s="26"/>
    </row>
    <row r="74" customFormat="false" ht="15" hidden="false" customHeight="false" outlineLevel="0" collapsed="false">
      <c r="A74" s="26"/>
      <c r="B74" s="27"/>
      <c r="C74" s="26"/>
      <c r="D74" s="28"/>
      <c r="E74" s="28"/>
      <c r="F74" s="28"/>
      <c r="G74" s="28"/>
      <c r="H74" s="29" t="str">
        <f aca="false">IF(OR(G74="",D74=""),"",IF(E74="Min",IF(G74&gt;=D74,"Pass","Fail"),IF(G74&lt;=D74,"Pass","Fail")))</f>
        <v/>
      </c>
      <c r="I74" s="26"/>
      <c r="J74" s="26"/>
      <c r="K74" s="26"/>
    </row>
    <row r="75" customFormat="false" ht="15" hidden="false" customHeight="false" outlineLevel="0" collapsed="false">
      <c r="A75" s="26"/>
      <c r="B75" s="27"/>
      <c r="C75" s="26"/>
      <c r="D75" s="28"/>
      <c r="E75" s="28"/>
      <c r="F75" s="28"/>
      <c r="G75" s="28"/>
      <c r="H75" s="29" t="str">
        <f aca="false">IF(OR(G75="",D75=""),"",IF(E75="Min",IF(G75&gt;=D75,"Pass","Fail"),IF(G75&lt;=D75,"Pass","Fail")))</f>
        <v/>
      </c>
      <c r="I75" s="26"/>
      <c r="J75" s="26"/>
      <c r="K75" s="26"/>
    </row>
    <row r="76" customFormat="false" ht="15" hidden="false" customHeight="false" outlineLevel="0" collapsed="false">
      <c r="A76" s="26"/>
      <c r="B76" s="27"/>
      <c r="C76" s="26"/>
      <c r="D76" s="28"/>
      <c r="E76" s="28"/>
      <c r="F76" s="28"/>
      <c r="G76" s="28"/>
      <c r="H76" s="29" t="str">
        <f aca="false">IF(OR(G76="",D76=""),"",IF(E76="Min",IF(G76&gt;=D76,"Pass","Fail"),IF(G76&lt;=D76,"Pass","Fail")))</f>
        <v/>
      </c>
      <c r="I76" s="26"/>
      <c r="J76" s="26"/>
      <c r="K76" s="26"/>
    </row>
    <row r="77" customFormat="false" ht="15" hidden="false" customHeight="false" outlineLevel="0" collapsed="false">
      <c r="A77" s="26"/>
      <c r="B77" s="27"/>
      <c r="C77" s="26"/>
      <c r="D77" s="28"/>
      <c r="E77" s="28"/>
      <c r="F77" s="28"/>
      <c r="G77" s="28"/>
      <c r="H77" s="29" t="str">
        <f aca="false">IF(OR(G77="",D77=""),"",IF(E77="Min",IF(G77&gt;=D77,"Pass","Fail"),IF(G77&lt;=D77,"Pass","Fail")))</f>
        <v/>
      </c>
      <c r="I77" s="26"/>
      <c r="J77" s="26"/>
      <c r="K77" s="26"/>
    </row>
    <row r="78" customFormat="false" ht="15" hidden="false" customHeight="false" outlineLevel="0" collapsed="false">
      <c r="A78" s="26"/>
      <c r="B78" s="27"/>
      <c r="C78" s="26"/>
      <c r="D78" s="28"/>
      <c r="E78" s="28"/>
      <c r="F78" s="28"/>
      <c r="G78" s="28"/>
      <c r="H78" s="29" t="str">
        <f aca="false">IF(OR(G78="",D78=""),"",IF(E78="Min",IF(G78&gt;=D78,"Pass","Fail"),IF(G78&lt;=D78,"Pass","Fail")))</f>
        <v/>
      </c>
      <c r="I78" s="26"/>
      <c r="J78" s="26"/>
      <c r="K78" s="26"/>
    </row>
    <row r="79" customFormat="false" ht="15" hidden="false" customHeight="false" outlineLevel="0" collapsed="false">
      <c r="A79" s="26"/>
      <c r="B79" s="27"/>
      <c r="C79" s="26"/>
      <c r="D79" s="28"/>
      <c r="E79" s="28"/>
      <c r="F79" s="28"/>
      <c r="G79" s="28"/>
      <c r="H79" s="29" t="str">
        <f aca="false">IF(OR(G79="",D79=""),"",IF(E79="Min",IF(G79&gt;=D79,"Pass","Fail"),IF(G79&lt;=D79,"Pass","Fail")))</f>
        <v/>
      </c>
      <c r="I79" s="26"/>
      <c r="J79" s="26"/>
      <c r="K79" s="26"/>
    </row>
    <row r="80" customFormat="false" ht="15" hidden="false" customHeight="false" outlineLevel="0" collapsed="false">
      <c r="A80" s="26"/>
      <c r="B80" s="27"/>
      <c r="C80" s="26"/>
      <c r="D80" s="28"/>
      <c r="E80" s="28"/>
      <c r="F80" s="28"/>
      <c r="G80" s="28"/>
      <c r="H80" s="29" t="str">
        <f aca="false">IF(OR(G80="",D80=""),"",IF(E80="Min",IF(G80&gt;=D80,"Pass","Fail"),IF(G80&lt;=D80,"Pass","Fail")))</f>
        <v/>
      </c>
      <c r="I80" s="26"/>
      <c r="J80" s="26"/>
      <c r="K80" s="26"/>
    </row>
    <row r="81" customFormat="false" ht="15" hidden="false" customHeight="false" outlineLevel="0" collapsed="false">
      <c r="A81" s="26"/>
      <c r="B81" s="27"/>
      <c r="C81" s="26"/>
      <c r="D81" s="28"/>
      <c r="E81" s="28"/>
      <c r="F81" s="28"/>
      <c r="G81" s="28"/>
      <c r="H81" s="29" t="str">
        <f aca="false">IF(OR(G81="",D81=""),"",IF(E81="Min",IF(G81&gt;=D81,"Pass","Fail"),IF(G81&lt;=D81,"Pass","Fail")))</f>
        <v/>
      </c>
      <c r="I81" s="26"/>
      <c r="J81" s="26"/>
      <c r="K81" s="26"/>
    </row>
    <row r="82" customFormat="false" ht="15" hidden="false" customHeight="false" outlineLevel="0" collapsed="false">
      <c r="A82" s="26"/>
      <c r="B82" s="27"/>
      <c r="C82" s="26"/>
      <c r="D82" s="28"/>
      <c r="E82" s="28"/>
      <c r="F82" s="28"/>
      <c r="G82" s="28"/>
      <c r="H82" s="29" t="str">
        <f aca="false">IF(OR(G82="",D82=""),"",IF(E82="Min",IF(G82&gt;=D82,"Pass","Fail"),IF(G82&lt;=D82,"Pass","Fail")))</f>
        <v/>
      </c>
      <c r="I82" s="26"/>
      <c r="J82" s="26"/>
      <c r="K82" s="26"/>
    </row>
    <row r="83" customFormat="false" ht="15" hidden="false" customHeight="false" outlineLevel="0" collapsed="false">
      <c r="A83" s="26"/>
      <c r="B83" s="27"/>
      <c r="C83" s="26"/>
      <c r="D83" s="28"/>
      <c r="E83" s="28"/>
      <c r="F83" s="28"/>
      <c r="G83" s="28"/>
      <c r="H83" s="29" t="str">
        <f aca="false">IF(OR(G83="",D83=""),"",IF(E83="Min",IF(G83&gt;=D83,"Pass","Fail"),IF(G83&lt;=D83,"Pass","Fail")))</f>
        <v/>
      </c>
      <c r="I83" s="26"/>
      <c r="J83" s="26"/>
      <c r="K83" s="26"/>
    </row>
    <row r="84" customFormat="false" ht="15" hidden="false" customHeight="false" outlineLevel="0" collapsed="false">
      <c r="A84" s="26"/>
      <c r="B84" s="27"/>
      <c r="C84" s="26"/>
      <c r="D84" s="28"/>
      <c r="E84" s="28"/>
      <c r="F84" s="28"/>
      <c r="G84" s="28"/>
      <c r="H84" s="29" t="str">
        <f aca="false">IF(OR(G84="",D84=""),"",IF(E84="Min",IF(G84&gt;=D84,"Pass","Fail"),IF(G84&lt;=D84,"Pass","Fail")))</f>
        <v/>
      </c>
      <c r="I84" s="26"/>
      <c r="J84" s="26"/>
      <c r="K84" s="26"/>
    </row>
    <row r="85" customFormat="false" ht="15" hidden="false" customHeight="false" outlineLevel="0" collapsed="false">
      <c r="A85" s="26"/>
      <c r="B85" s="27"/>
      <c r="C85" s="26"/>
      <c r="D85" s="28"/>
      <c r="E85" s="28"/>
      <c r="F85" s="28"/>
      <c r="G85" s="28"/>
      <c r="H85" s="29" t="str">
        <f aca="false">IF(OR(G85="",D85=""),"",IF(E85="Min",IF(G85&gt;=D85,"Pass","Fail"),IF(G85&lt;=D85,"Pass","Fail")))</f>
        <v/>
      </c>
      <c r="I85" s="26"/>
      <c r="J85" s="26"/>
      <c r="K85" s="26"/>
    </row>
    <row r="86" customFormat="false" ht="15" hidden="false" customHeight="false" outlineLevel="0" collapsed="false">
      <c r="A86" s="26"/>
      <c r="B86" s="27"/>
      <c r="C86" s="26"/>
      <c r="D86" s="28"/>
      <c r="E86" s="28"/>
      <c r="F86" s="28"/>
      <c r="G86" s="28"/>
      <c r="H86" s="29" t="str">
        <f aca="false">IF(OR(G86="",D86=""),"",IF(E86="Min",IF(G86&gt;=D86,"Pass","Fail"),IF(G86&lt;=D86,"Pass","Fail")))</f>
        <v/>
      </c>
      <c r="I86" s="26"/>
      <c r="J86" s="26"/>
      <c r="K86" s="26"/>
    </row>
    <row r="87" customFormat="false" ht="15" hidden="false" customHeight="false" outlineLevel="0" collapsed="false">
      <c r="A87" s="26"/>
      <c r="B87" s="27"/>
      <c r="C87" s="26"/>
      <c r="D87" s="28"/>
      <c r="E87" s="28"/>
      <c r="F87" s="28"/>
      <c r="G87" s="28"/>
      <c r="H87" s="29" t="str">
        <f aca="false">IF(OR(G87="",D87=""),"",IF(E87="Min",IF(G87&gt;=D87,"Pass","Fail"),IF(G87&lt;=D87,"Pass","Fail")))</f>
        <v/>
      </c>
      <c r="I87" s="26"/>
      <c r="J87" s="26"/>
      <c r="K87" s="26"/>
    </row>
    <row r="88" customFormat="false" ht="15" hidden="false" customHeight="false" outlineLevel="0" collapsed="false">
      <c r="A88" s="26"/>
      <c r="B88" s="27"/>
      <c r="C88" s="26"/>
      <c r="D88" s="28"/>
      <c r="E88" s="28"/>
      <c r="F88" s="28"/>
      <c r="G88" s="28"/>
      <c r="H88" s="29" t="str">
        <f aca="false">IF(OR(G88="",D88=""),"",IF(E88="Min",IF(G88&gt;=D88,"Pass","Fail"),IF(G88&lt;=D88,"Pass","Fail")))</f>
        <v/>
      </c>
      <c r="I88" s="26"/>
      <c r="J88" s="26"/>
      <c r="K88" s="26"/>
    </row>
    <row r="89" customFormat="false" ht="15" hidden="false" customHeight="false" outlineLevel="0" collapsed="false">
      <c r="A89" s="26"/>
      <c r="B89" s="27"/>
      <c r="C89" s="26"/>
      <c r="D89" s="28"/>
      <c r="E89" s="28"/>
      <c r="F89" s="28"/>
      <c r="G89" s="28"/>
      <c r="H89" s="29" t="str">
        <f aca="false">IF(OR(G89="",D89=""),"",IF(E89="Min",IF(G89&gt;=D89,"Pass","Fail"),IF(G89&lt;=D89,"Pass","Fail")))</f>
        <v/>
      </c>
      <c r="I89" s="26"/>
      <c r="J89" s="26"/>
      <c r="K89" s="26"/>
    </row>
    <row r="90" customFormat="false" ht="15" hidden="false" customHeight="false" outlineLevel="0" collapsed="false">
      <c r="A90" s="26"/>
      <c r="B90" s="27"/>
      <c r="C90" s="26"/>
      <c r="D90" s="28"/>
      <c r="E90" s="28"/>
      <c r="F90" s="28"/>
      <c r="G90" s="28"/>
      <c r="H90" s="29" t="str">
        <f aca="false">IF(OR(G90="",D90=""),"",IF(E90="Min",IF(G90&gt;=D90,"Pass","Fail"),IF(G90&lt;=D90,"Pass","Fail")))</f>
        <v/>
      </c>
      <c r="I90" s="26"/>
      <c r="J90" s="26"/>
      <c r="K90" s="26"/>
    </row>
    <row r="91" customFormat="false" ht="15" hidden="false" customHeight="false" outlineLevel="0" collapsed="false">
      <c r="A91" s="26"/>
      <c r="B91" s="27"/>
      <c r="C91" s="26"/>
      <c r="D91" s="28"/>
      <c r="E91" s="28"/>
      <c r="F91" s="28"/>
      <c r="G91" s="28"/>
      <c r="H91" s="29" t="str">
        <f aca="false">IF(OR(G91="",D91=""),"",IF(E91="Min",IF(G91&gt;=D91,"Pass","Fail"),IF(G91&lt;=D91,"Pass","Fail")))</f>
        <v/>
      </c>
      <c r="I91" s="26"/>
      <c r="J91" s="26"/>
      <c r="K91" s="26"/>
    </row>
    <row r="92" customFormat="false" ht="15" hidden="false" customHeight="false" outlineLevel="0" collapsed="false">
      <c r="A92" s="26"/>
      <c r="B92" s="27"/>
      <c r="C92" s="26"/>
      <c r="D92" s="28"/>
      <c r="E92" s="28"/>
      <c r="F92" s="28"/>
      <c r="G92" s="28"/>
      <c r="H92" s="29" t="str">
        <f aca="false">IF(OR(G92="",D92=""),"",IF(E92="Min",IF(G92&gt;=D92,"Pass","Fail"),IF(G92&lt;=D92,"Pass","Fail")))</f>
        <v/>
      </c>
      <c r="I92" s="26"/>
      <c r="J92" s="26"/>
      <c r="K92" s="26"/>
    </row>
    <row r="93" customFormat="false" ht="15" hidden="false" customHeight="false" outlineLevel="0" collapsed="false">
      <c r="A93" s="26"/>
      <c r="B93" s="27"/>
      <c r="C93" s="26"/>
      <c r="D93" s="28"/>
      <c r="E93" s="28"/>
      <c r="F93" s="28"/>
      <c r="G93" s="28"/>
      <c r="H93" s="29" t="str">
        <f aca="false">IF(OR(G93="",D93=""),"",IF(E93="Min",IF(G93&gt;=D93,"Pass","Fail"),IF(G93&lt;=D93,"Pass","Fail")))</f>
        <v/>
      </c>
      <c r="I93" s="26"/>
      <c r="J93" s="26"/>
      <c r="K93" s="26"/>
    </row>
    <row r="94" customFormat="false" ht="15" hidden="false" customHeight="false" outlineLevel="0" collapsed="false">
      <c r="A94" s="26"/>
      <c r="B94" s="27"/>
      <c r="C94" s="26"/>
      <c r="D94" s="28"/>
      <c r="E94" s="28"/>
      <c r="F94" s="28"/>
      <c r="G94" s="28"/>
      <c r="H94" s="29" t="str">
        <f aca="false">IF(OR(G94="",D94=""),"",IF(E94="Min",IF(G94&gt;=D94,"Pass","Fail"),IF(G94&lt;=D94,"Pass","Fail")))</f>
        <v/>
      </c>
      <c r="I94" s="26"/>
      <c r="J94" s="26"/>
      <c r="K94" s="26"/>
    </row>
    <row r="95" customFormat="false" ht="15" hidden="false" customHeight="false" outlineLevel="0" collapsed="false">
      <c r="A95" s="26"/>
      <c r="B95" s="27"/>
      <c r="C95" s="26"/>
      <c r="D95" s="28"/>
      <c r="E95" s="28"/>
      <c r="F95" s="28"/>
      <c r="G95" s="28"/>
      <c r="H95" s="29" t="str">
        <f aca="false">IF(OR(G95="",D95=""),"",IF(E95="Min",IF(G95&gt;=D95,"Pass","Fail"),IF(G95&lt;=D95,"Pass","Fail")))</f>
        <v/>
      </c>
      <c r="I95" s="26"/>
      <c r="J95" s="26"/>
      <c r="K95" s="26"/>
    </row>
    <row r="96" customFormat="false" ht="15" hidden="false" customHeight="false" outlineLevel="0" collapsed="false">
      <c r="A96" s="26"/>
      <c r="B96" s="27"/>
      <c r="C96" s="26"/>
      <c r="D96" s="28"/>
      <c r="E96" s="28"/>
      <c r="F96" s="28"/>
      <c r="G96" s="28"/>
      <c r="H96" s="29" t="str">
        <f aca="false">IF(OR(G96="",D96=""),"",IF(E96="Min",IF(G96&gt;=D96,"Pass","Fail"),IF(G96&lt;=D96,"Pass","Fail")))</f>
        <v/>
      </c>
      <c r="I96" s="26"/>
      <c r="J96" s="26"/>
      <c r="K96" s="26"/>
    </row>
    <row r="97" customFormat="false" ht="15" hidden="false" customHeight="false" outlineLevel="0" collapsed="false">
      <c r="A97" s="26"/>
      <c r="B97" s="27"/>
      <c r="C97" s="26"/>
      <c r="D97" s="28"/>
      <c r="E97" s="28"/>
      <c r="F97" s="28"/>
      <c r="G97" s="28"/>
      <c r="H97" s="29" t="str">
        <f aca="false">IF(OR(G97="",D97=""),"",IF(E97="Min",IF(G97&gt;=D97,"Pass","Fail"),IF(G97&lt;=D97,"Pass","Fail")))</f>
        <v/>
      </c>
      <c r="I97" s="26"/>
      <c r="J97" s="26"/>
      <c r="K97" s="26"/>
    </row>
    <row r="98" customFormat="false" ht="15" hidden="false" customHeight="false" outlineLevel="0" collapsed="false">
      <c r="A98" s="26"/>
      <c r="B98" s="27"/>
      <c r="C98" s="26"/>
      <c r="D98" s="28"/>
      <c r="E98" s="28"/>
      <c r="F98" s="28"/>
      <c r="G98" s="28"/>
      <c r="H98" s="29" t="str">
        <f aca="false">IF(OR(G98="",D98=""),"",IF(E98="Min",IF(G98&gt;=D98,"Pass","Fail"),IF(G98&lt;=D98,"Pass","Fail")))</f>
        <v/>
      </c>
      <c r="I98" s="26"/>
      <c r="J98" s="26"/>
      <c r="K98" s="26"/>
    </row>
    <row r="99" customFormat="false" ht="15" hidden="false" customHeight="false" outlineLevel="0" collapsed="false">
      <c r="A99" s="26"/>
      <c r="B99" s="27"/>
      <c r="C99" s="26"/>
      <c r="D99" s="28"/>
      <c r="E99" s="28"/>
      <c r="F99" s="28"/>
      <c r="G99" s="28"/>
      <c r="H99" s="29" t="str">
        <f aca="false">IF(OR(G99="",D99=""),"",IF(E99="Min",IF(G99&gt;=D99,"Pass","Fail"),IF(G99&lt;=D99,"Pass","Fail")))</f>
        <v/>
      </c>
      <c r="I99" s="26"/>
      <c r="J99" s="26"/>
      <c r="K99" s="26"/>
    </row>
    <row r="100" customFormat="false" ht="15" hidden="false" customHeight="false" outlineLevel="0" collapsed="false">
      <c r="A100" s="26"/>
      <c r="B100" s="27"/>
      <c r="C100" s="26"/>
      <c r="D100" s="28"/>
      <c r="E100" s="28"/>
      <c r="F100" s="28"/>
      <c r="G100" s="28"/>
      <c r="H100" s="29" t="str">
        <f aca="false">IF(OR(G100="",D100=""),"",IF(E100="Min",IF(G100&gt;=D100,"Pass","Fail"),IF(G100&lt;=D100,"Pass","Fail")))</f>
        <v/>
      </c>
      <c r="I100" s="26"/>
      <c r="J100" s="26"/>
      <c r="K100" s="26"/>
    </row>
    <row r="101" customFormat="false" ht="15" hidden="false" customHeight="false" outlineLevel="0" collapsed="false">
      <c r="A101" s="26"/>
      <c r="B101" s="27"/>
      <c r="C101" s="26"/>
      <c r="D101" s="28"/>
      <c r="E101" s="28"/>
      <c r="F101" s="28"/>
      <c r="G101" s="28"/>
      <c r="H101" s="29" t="str">
        <f aca="false">IF(OR(G101="",D101=""),"",IF(E101="Min",IF(G101&gt;=D101,"Pass","Fail"),IF(G101&lt;=D101,"Pass","Fail")))</f>
        <v/>
      </c>
      <c r="I101" s="26"/>
      <c r="J101" s="26"/>
      <c r="K101" s="26"/>
    </row>
    <row r="102" customFormat="false" ht="15" hidden="false" customHeight="false" outlineLevel="0" collapsed="false">
      <c r="A102" s="26"/>
      <c r="B102" s="27"/>
      <c r="C102" s="26"/>
      <c r="D102" s="28"/>
      <c r="E102" s="28"/>
      <c r="F102" s="28"/>
      <c r="G102" s="28"/>
      <c r="H102" s="29" t="str">
        <f aca="false">IF(OR(G102="",D102=""),"",IF(E102="Min",IF(G102&gt;=D102,"Pass","Fail"),IF(G102&lt;=D102,"Pass","Fail")))</f>
        <v/>
      </c>
      <c r="I102" s="26"/>
      <c r="J102" s="26"/>
      <c r="K102" s="26"/>
    </row>
    <row r="103" customFormat="false" ht="15" hidden="false" customHeight="false" outlineLevel="0" collapsed="false">
      <c r="A103" s="26"/>
      <c r="B103" s="27"/>
      <c r="C103" s="26"/>
      <c r="D103" s="28"/>
      <c r="E103" s="28"/>
      <c r="F103" s="28"/>
      <c r="G103" s="28"/>
      <c r="H103" s="29" t="str">
        <f aca="false">IF(OR(G103="",D103=""),"",IF(E103="Min",IF(G103&gt;=D103,"Pass","Fail"),IF(G103&lt;=D103,"Pass","Fail")))</f>
        <v/>
      </c>
      <c r="I103" s="26"/>
      <c r="J103" s="26"/>
      <c r="K103" s="26"/>
    </row>
    <row r="104" customFormat="false" ht="15" hidden="false" customHeight="false" outlineLevel="0" collapsed="false">
      <c r="A104" s="26"/>
      <c r="B104" s="27"/>
      <c r="C104" s="26"/>
      <c r="D104" s="28"/>
      <c r="E104" s="28"/>
      <c r="F104" s="28"/>
      <c r="G104" s="28"/>
      <c r="H104" s="29" t="str">
        <f aca="false">IF(OR(G104="",D104=""),"",IF(E104="Min",IF(G104&gt;=D104,"Pass","Fail"),IF(G104&lt;=D104,"Pass","Fail")))</f>
        <v/>
      </c>
      <c r="I104" s="26"/>
      <c r="J104" s="26"/>
      <c r="K104" s="26"/>
    </row>
    <row r="105" customFormat="false" ht="15" hidden="false" customHeight="false" outlineLevel="0" collapsed="false">
      <c r="A105" s="26"/>
      <c r="B105" s="27"/>
      <c r="C105" s="26"/>
      <c r="D105" s="28"/>
      <c r="E105" s="28"/>
      <c r="F105" s="28"/>
      <c r="G105" s="28"/>
      <c r="H105" s="29" t="str">
        <f aca="false">IF(OR(G105="",D105=""),"",IF(E105="Min",IF(G105&gt;=D105,"Pass","Fail"),IF(G105&lt;=D105,"Pass","Fail")))</f>
        <v/>
      </c>
      <c r="I105" s="26"/>
      <c r="J105" s="26"/>
      <c r="K105" s="26"/>
    </row>
    <row r="106" customFormat="false" ht="15" hidden="false" customHeight="false" outlineLevel="0" collapsed="false">
      <c r="A106" s="26"/>
      <c r="B106" s="27"/>
      <c r="C106" s="26"/>
      <c r="D106" s="28"/>
      <c r="E106" s="28"/>
      <c r="F106" s="28"/>
      <c r="G106" s="28"/>
      <c r="H106" s="29" t="str">
        <f aca="false">IF(OR(G106="",D106=""),"",IF(E106="Min",IF(G106&gt;=D106,"Pass","Fail"),IF(G106&lt;=D106,"Pass","Fail")))</f>
        <v/>
      </c>
      <c r="I106" s="26"/>
      <c r="J106" s="26"/>
      <c r="K106" s="26"/>
    </row>
    <row r="107" customFormat="false" ht="15" hidden="false" customHeight="false" outlineLevel="0" collapsed="false">
      <c r="A107" s="26"/>
      <c r="B107" s="27"/>
      <c r="C107" s="26"/>
      <c r="D107" s="28"/>
      <c r="E107" s="28"/>
      <c r="F107" s="28"/>
      <c r="G107" s="28"/>
      <c r="H107" s="29" t="str">
        <f aca="false">IF(OR(G107="",D107=""),"",IF(E107="Min",IF(G107&gt;=D107,"Pass","Fail"),IF(G107&lt;=D107,"Pass","Fail")))</f>
        <v/>
      </c>
      <c r="I107" s="26"/>
      <c r="J107" s="26"/>
      <c r="K107" s="26"/>
    </row>
    <row r="108" customFormat="false" ht="15" hidden="false" customHeight="false" outlineLevel="0" collapsed="false">
      <c r="A108" s="26"/>
      <c r="B108" s="27"/>
      <c r="C108" s="26"/>
      <c r="D108" s="28"/>
      <c r="E108" s="28"/>
      <c r="F108" s="28"/>
      <c r="G108" s="28"/>
      <c r="H108" s="29" t="str">
        <f aca="false">IF(OR(G108="",D108=""),"",IF(E108="Min",IF(G108&gt;=D108,"Pass","Fail"),IF(G108&lt;=D108,"Pass","Fail")))</f>
        <v/>
      </c>
      <c r="I108" s="26"/>
      <c r="J108" s="26"/>
      <c r="K108" s="26"/>
    </row>
    <row r="109" customFormat="false" ht="15" hidden="false" customHeight="false" outlineLevel="0" collapsed="false">
      <c r="A109" s="26"/>
      <c r="B109" s="27"/>
      <c r="C109" s="26"/>
      <c r="D109" s="28"/>
      <c r="E109" s="28"/>
      <c r="F109" s="28"/>
      <c r="G109" s="28"/>
      <c r="H109" s="29" t="str">
        <f aca="false">IF(OR(G109="",D109=""),"",IF(E109="Min",IF(G109&gt;=D109,"Pass","Fail"),IF(G109&lt;=D109,"Pass","Fail")))</f>
        <v/>
      </c>
      <c r="I109" s="26"/>
      <c r="J109" s="26"/>
      <c r="K109" s="26"/>
    </row>
    <row r="110" customFormat="false" ht="15" hidden="false" customHeight="false" outlineLevel="0" collapsed="false">
      <c r="A110" s="26"/>
      <c r="B110" s="27"/>
      <c r="C110" s="26"/>
      <c r="D110" s="28"/>
      <c r="E110" s="28"/>
      <c r="F110" s="28"/>
      <c r="G110" s="28"/>
      <c r="H110" s="29" t="str">
        <f aca="false">IF(OR(G110="",D110=""),"",IF(E110="Min",IF(G110&gt;=D110,"Pass","Fail"),IF(G110&lt;=D110,"Pass","Fail")))</f>
        <v/>
      </c>
      <c r="I110" s="26"/>
      <c r="J110" s="26"/>
      <c r="K110" s="26"/>
    </row>
    <row r="111" customFormat="false" ht="15" hidden="false" customHeight="false" outlineLevel="0" collapsed="false">
      <c r="A111" s="26"/>
      <c r="B111" s="27"/>
      <c r="C111" s="26"/>
      <c r="D111" s="28"/>
      <c r="E111" s="28"/>
      <c r="F111" s="28"/>
      <c r="G111" s="28"/>
      <c r="H111" s="29" t="str">
        <f aca="false">IF(OR(G111="",D111=""),"",IF(E111="Min",IF(G111&gt;=D111,"Pass","Fail"),IF(G111&lt;=D111,"Pass","Fail")))</f>
        <v/>
      </c>
      <c r="I111" s="26"/>
      <c r="J111" s="26"/>
      <c r="K111" s="26"/>
    </row>
    <row r="112" customFormat="false" ht="15" hidden="false" customHeight="false" outlineLevel="0" collapsed="false">
      <c r="A112" s="26"/>
      <c r="B112" s="27"/>
      <c r="C112" s="26"/>
      <c r="D112" s="28"/>
      <c r="E112" s="28"/>
      <c r="F112" s="28"/>
      <c r="G112" s="28"/>
      <c r="H112" s="29" t="str">
        <f aca="false">IF(OR(G112="",D112=""),"",IF(E112="Min",IF(G112&gt;=D112,"Pass","Fail"),IF(G112&lt;=D112,"Pass","Fail")))</f>
        <v/>
      </c>
      <c r="I112" s="26"/>
      <c r="J112" s="26"/>
      <c r="K112" s="26"/>
    </row>
    <row r="113" customFormat="false" ht="15" hidden="false" customHeight="false" outlineLevel="0" collapsed="false">
      <c r="A113" s="26"/>
      <c r="B113" s="27"/>
      <c r="C113" s="26"/>
      <c r="D113" s="28"/>
      <c r="E113" s="28"/>
      <c r="F113" s="28"/>
      <c r="G113" s="28"/>
      <c r="H113" s="29" t="str">
        <f aca="false">IF(OR(G113="",D113=""),"",IF(E113="Min",IF(G113&gt;=D113,"Pass","Fail"),IF(G113&lt;=D113,"Pass","Fail")))</f>
        <v/>
      </c>
      <c r="I113" s="26"/>
      <c r="J113" s="26"/>
      <c r="K113" s="26"/>
    </row>
    <row r="114" customFormat="false" ht="15" hidden="false" customHeight="false" outlineLevel="0" collapsed="false">
      <c r="A114" s="26"/>
      <c r="B114" s="27"/>
      <c r="C114" s="26"/>
      <c r="D114" s="28"/>
      <c r="E114" s="28"/>
      <c r="F114" s="28"/>
      <c r="G114" s="28"/>
      <c r="H114" s="29" t="str">
        <f aca="false">IF(OR(G114="",D114=""),"",IF(E114="Min",IF(G114&gt;=D114,"Pass","Fail"),IF(G114&lt;=D114,"Pass","Fail")))</f>
        <v/>
      </c>
      <c r="I114" s="26"/>
      <c r="J114" s="26"/>
      <c r="K114" s="26"/>
    </row>
    <row r="115" customFormat="false" ht="15" hidden="false" customHeight="false" outlineLevel="0" collapsed="false">
      <c r="A115" s="26"/>
      <c r="B115" s="27"/>
      <c r="C115" s="26"/>
      <c r="D115" s="28"/>
      <c r="E115" s="28"/>
      <c r="F115" s="28"/>
      <c r="G115" s="28"/>
      <c r="H115" s="29" t="str">
        <f aca="false">IF(OR(G115="",D115=""),"",IF(E115="Min",IF(G115&gt;=D115,"Pass","Fail"),IF(G115&lt;=D115,"Pass","Fail")))</f>
        <v/>
      </c>
      <c r="I115" s="26"/>
      <c r="J115" s="26"/>
      <c r="K115" s="26"/>
    </row>
    <row r="116" customFormat="false" ht="15" hidden="false" customHeight="false" outlineLevel="0" collapsed="false">
      <c r="A116" s="26"/>
      <c r="B116" s="27"/>
      <c r="C116" s="26"/>
      <c r="D116" s="28"/>
      <c r="E116" s="28"/>
      <c r="F116" s="28"/>
      <c r="G116" s="28"/>
      <c r="H116" s="29" t="str">
        <f aca="false">IF(OR(G116="",D116=""),"",IF(E116="Min",IF(G116&gt;=D116,"Pass","Fail"),IF(G116&lt;=D116,"Pass","Fail")))</f>
        <v/>
      </c>
      <c r="I116" s="26"/>
      <c r="J116" s="26"/>
      <c r="K116" s="26"/>
    </row>
    <row r="117" customFormat="false" ht="15" hidden="false" customHeight="false" outlineLevel="0" collapsed="false">
      <c r="A117" s="26"/>
      <c r="B117" s="27"/>
      <c r="C117" s="26"/>
      <c r="D117" s="28"/>
      <c r="E117" s="28"/>
      <c r="F117" s="28"/>
      <c r="G117" s="28"/>
      <c r="H117" s="29" t="str">
        <f aca="false">IF(OR(G117="",D117=""),"",IF(E117="Min",IF(G117&gt;=D117,"Pass","Fail"),IF(G117&lt;=D117,"Pass","Fail")))</f>
        <v/>
      </c>
      <c r="I117" s="26"/>
      <c r="J117" s="26"/>
      <c r="K117" s="26"/>
    </row>
    <row r="118" customFormat="false" ht="15" hidden="false" customHeight="false" outlineLevel="0" collapsed="false">
      <c r="A118" s="26"/>
      <c r="B118" s="27"/>
      <c r="C118" s="26"/>
      <c r="D118" s="28"/>
      <c r="E118" s="28"/>
      <c r="F118" s="28"/>
      <c r="G118" s="28"/>
      <c r="H118" s="29" t="str">
        <f aca="false">IF(OR(G118="",D118=""),"",IF(E118="Min",IF(G118&gt;=D118,"Pass","Fail"),IF(G118&lt;=D118,"Pass","Fail")))</f>
        <v/>
      </c>
      <c r="I118" s="26"/>
      <c r="J118" s="26"/>
      <c r="K118" s="26"/>
    </row>
    <row r="119" customFormat="false" ht="15" hidden="false" customHeight="false" outlineLevel="0" collapsed="false">
      <c r="A119" s="26"/>
      <c r="B119" s="27"/>
      <c r="C119" s="26"/>
      <c r="D119" s="28"/>
      <c r="E119" s="28"/>
      <c r="F119" s="28"/>
      <c r="G119" s="28"/>
      <c r="H119" s="29" t="str">
        <f aca="false">IF(OR(G119="",D119=""),"",IF(E119="Min",IF(G119&gt;=D119,"Pass","Fail"),IF(G119&lt;=D119,"Pass","Fail")))</f>
        <v/>
      </c>
      <c r="I119" s="26"/>
      <c r="J119" s="26"/>
      <c r="K119" s="26"/>
    </row>
    <row r="120" customFormat="false" ht="15" hidden="false" customHeight="false" outlineLevel="0" collapsed="false">
      <c r="A120" s="26"/>
      <c r="B120" s="27"/>
      <c r="C120" s="26"/>
      <c r="D120" s="28"/>
      <c r="E120" s="28"/>
      <c r="F120" s="28"/>
      <c r="G120" s="28"/>
      <c r="H120" s="29" t="str">
        <f aca="false">IF(OR(G120="",D120=""),"",IF(E120="Min",IF(G120&gt;=D120,"Pass","Fail"),IF(G120&lt;=D120,"Pass","Fail")))</f>
        <v/>
      </c>
      <c r="I120" s="26"/>
      <c r="J120" s="26"/>
      <c r="K120" s="26"/>
    </row>
    <row r="121" customFormat="false" ht="15" hidden="false" customHeight="false" outlineLevel="0" collapsed="false">
      <c r="A121" s="26"/>
      <c r="B121" s="27"/>
      <c r="C121" s="26"/>
      <c r="D121" s="28"/>
      <c r="E121" s="28"/>
      <c r="F121" s="28"/>
      <c r="G121" s="28"/>
      <c r="H121" s="29" t="str">
        <f aca="false">IF(OR(G121="",D121=""),"",IF(E121="Min",IF(G121&gt;=D121,"Pass","Fail"),IF(G121&lt;=D121,"Pass","Fail")))</f>
        <v/>
      </c>
      <c r="I121" s="26"/>
      <c r="J121" s="26"/>
      <c r="K121" s="26"/>
    </row>
    <row r="122" customFormat="false" ht="15" hidden="false" customHeight="false" outlineLevel="0" collapsed="false">
      <c r="A122" s="26"/>
      <c r="B122" s="27"/>
      <c r="C122" s="26"/>
      <c r="D122" s="28"/>
      <c r="E122" s="28"/>
      <c r="F122" s="28"/>
      <c r="G122" s="28"/>
      <c r="H122" s="29" t="str">
        <f aca="false">IF(OR(G122="",D122=""),"",IF(E122="Min",IF(G122&gt;=D122,"Pass","Fail"),IF(G122&lt;=D122,"Pass","Fail")))</f>
        <v/>
      </c>
      <c r="I122" s="26"/>
      <c r="J122" s="26"/>
      <c r="K122" s="26"/>
    </row>
    <row r="123" customFormat="false" ht="15" hidden="false" customHeight="false" outlineLevel="0" collapsed="false">
      <c r="A123" s="26"/>
      <c r="B123" s="27"/>
      <c r="C123" s="26"/>
      <c r="D123" s="28"/>
      <c r="E123" s="28"/>
      <c r="F123" s="28"/>
      <c r="G123" s="28"/>
      <c r="H123" s="29" t="str">
        <f aca="false">IF(OR(G123="",D123=""),"",IF(E123="Min",IF(G123&gt;=D123,"Pass","Fail"),IF(G123&lt;=D123,"Pass","Fail")))</f>
        <v/>
      </c>
      <c r="I123" s="26"/>
      <c r="J123" s="26"/>
      <c r="K123" s="26"/>
    </row>
    <row r="124" customFormat="false" ht="15" hidden="false" customHeight="false" outlineLevel="0" collapsed="false">
      <c r="A124" s="26"/>
      <c r="B124" s="27"/>
      <c r="C124" s="26"/>
      <c r="D124" s="28"/>
      <c r="E124" s="28"/>
      <c r="F124" s="28"/>
      <c r="G124" s="28"/>
      <c r="H124" s="29" t="str">
        <f aca="false">IF(OR(G124="",D124=""),"",IF(E124="Min",IF(G124&gt;=D124,"Pass","Fail"),IF(G124&lt;=D124,"Pass","Fail")))</f>
        <v/>
      </c>
      <c r="I124" s="26"/>
      <c r="J124" s="26"/>
      <c r="K124" s="26"/>
    </row>
    <row r="125" customFormat="false" ht="15" hidden="false" customHeight="false" outlineLevel="0" collapsed="false">
      <c r="A125" s="26"/>
      <c r="B125" s="27"/>
      <c r="C125" s="26"/>
      <c r="D125" s="28"/>
      <c r="E125" s="28"/>
      <c r="F125" s="28"/>
      <c r="G125" s="28"/>
      <c r="H125" s="29" t="str">
        <f aca="false">IF(OR(G125="",D125=""),"",IF(E125="Min",IF(G125&gt;=D125,"Pass","Fail"),IF(G125&lt;=D125,"Pass","Fail")))</f>
        <v/>
      </c>
      <c r="I125" s="26"/>
      <c r="J125" s="26"/>
      <c r="K125" s="26"/>
    </row>
    <row r="126" customFormat="false" ht="15" hidden="false" customHeight="false" outlineLevel="0" collapsed="false">
      <c r="A126" s="26"/>
      <c r="B126" s="27"/>
      <c r="C126" s="26"/>
      <c r="D126" s="28"/>
      <c r="E126" s="28"/>
      <c r="F126" s="28"/>
      <c r="G126" s="28"/>
      <c r="H126" s="29" t="str">
        <f aca="false">IF(OR(G126="",D126=""),"",IF(E126="Min",IF(G126&gt;=D126,"Pass","Fail"),IF(G126&lt;=D126,"Pass","Fail")))</f>
        <v/>
      </c>
      <c r="I126" s="26"/>
      <c r="J126" s="26"/>
      <c r="K126" s="26"/>
    </row>
    <row r="127" customFormat="false" ht="15" hidden="false" customHeight="false" outlineLevel="0" collapsed="false">
      <c r="A127" s="26"/>
      <c r="B127" s="27"/>
      <c r="C127" s="26"/>
      <c r="D127" s="28"/>
      <c r="E127" s="28"/>
      <c r="F127" s="28"/>
      <c r="G127" s="28"/>
      <c r="H127" s="29" t="str">
        <f aca="false">IF(OR(G127="",D127=""),"",IF(E127="Min",IF(G127&gt;=D127,"Pass","Fail"),IF(G127&lt;=D127,"Pass","Fail")))</f>
        <v/>
      </c>
      <c r="I127" s="26"/>
      <c r="J127" s="26"/>
      <c r="K127" s="26"/>
    </row>
    <row r="128" customFormat="false" ht="15" hidden="false" customHeight="false" outlineLevel="0" collapsed="false">
      <c r="A128" s="26"/>
      <c r="B128" s="27"/>
      <c r="C128" s="26"/>
      <c r="D128" s="28"/>
      <c r="E128" s="28"/>
      <c r="F128" s="28"/>
      <c r="G128" s="28"/>
      <c r="H128" s="29" t="str">
        <f aca="false">IF(OR(G128="",D128=""),"",IF(E128="Min",IF(G128&gt;=D128,"Pass","Fail"),IF(G128&lt;=D128,"Pass","Fail")))</f>
        <v/>
      </c>
      <c r="I128" s="26"/>
      <c r="J128" s="26"/>
      <c r="K128" s="26"/>
    </row>
    <row r="129" customFormat="false" ht="15" hidden="false" customHeight="false" outlineLevel="0" collapsed="false">
      <c r="A129" s="26"/>
      <c r="B129" s="27"/>
      <c r="C129" s="26"/>
      <c r="D129" s="28"/>
      <c r="E129" s="28"/>
      <c r="F129" s="28"/>
      <c r="G129" s="28"/>
      <c r="H129" s="29" t="str">
        <f aca="false">IF(OR(G129="",D129=""),"",IF(E129="Min",IF(G129&gt;=D129,"Pass","Fail"),IF(G129&lt;=D129,"Pass","Fail")))</f>
        <v/>
      </c>
      <c r="I129" s="26"/>
      <c r="J129" s="26"/>
      <c r="K129" s="26"/>
    </row>
    <row r="130" customFormat="false" ht="15" hidden="false" customHeight="false" outlineLevel="0" collapsed="false">
      <c r="A130" s="26"/>
      <c r="B130" s="27"/>
      <c r="C130" s="26"/>
      <c r="D130" s="28"/>
      <c r="E130" s="28"/>
      <c r="F130" s="28"/>
      <c r="G130" s="28"/>
      <c r="H130" s="29" t="str">
        <f aca="false">IF(OR(G130="",D130=""),"",IF(E130="Min",IF(G130&gt;=D130,"Pass","Fail"),IF(G130&lt;=D130,"Pass","Fail")))</f>
        <v/>
      </c>
      <c r="I130" s="26"/>
      <c r="J130" s="26"/>
      <c r="K130" s="26"/>
    </row>
    <row r="131" customFormat="false" ht="15" hidden="false" customHeight="false" outlineLevel="0" collapsed="false">
      <c r="A131" s="26"/>
      <c r="B131" s="27"/>
      <c r="C131" s="26"/>
      <c r="D131" s="28"/>
      <c r="E131" s="28"/>
      <c r="F131" s="28"/>
      <c r="G131" s="28"/>
      <c r="H131" s="29" t="str">
        <f aca="false">IF(OR(G131="",D131=""),"",IF(E131="Min",IF(G131&gt;=D131,"Pass","Fail"),IF(G131&lt;=D131,"Pass","Fail")))</f>
        <v/>
      </c>
      <c r="I131" s="26"/>
      <c r="J131" s="26"/>
      <c r="K131" s="26"/>
    </row>
    <row r="132" customFormat="false" ht="15" hidden="false" customHeight="false" outlineLevel="0" collapsed="false">
      <c r="A132" s="26"/>
      <c r="B132" s="27"/>
      <c r="C132" s="26"/>
      <c r="D132" s="28"/>
      <c r="E132" s="28"/>
      <c r="F132" s="28"/>
      <c r="G132" s="28"/>
      <c r="H132" s="29" t="str">
        <f aca="false">IF(OR(G132="",D132=""),"",IF(E132="Min",IF(G132&gt;=D132,"Pass","Fail"),IF(G132&lt;=D132,"Pass","Fail")))</f>
        <v/>
      </c>
      <c r="I132" s="26"/>
      <c r="J132" s="26"/>
      <c r="K132" s="26"/>
    </row>
    <row r="133" customFormat="false" ht="15" hidden="false" customHeight="false" outlineLevel="0" collapsed="false">
      <c r="A133" s="26"/>
      <c r="B133" s="27"/>
      <c r="C133" s="26"/>
      <c r="D133" s="28"/>
      <c r="E133" s="28"/>
      <c r="F133" s="28"/>
      <c r="G133" s="28"/>
      <c r="H133" s="29" t="str">
        <f aca="false">IF(OR(G133="",D133=""),"",IF(E133="Min",IF(G133&gt;=D133,"Pass","Fail"),IF(G133&lt;=D133,"Pass","Fail")))</f>
        <v/>
      </c>
      <c r="I133" s="26"/>
      <c r="J133" s="26"/>
      <c r="K133" s="26"/>
    </row>
    <row r="134" customFormat="false" ht="15" hidden="false" customHeight="false" outlineLevel="0" collapsed="false">
      <c r="A134" s="26"/>
      <c r="B134" s="27"/>
      <c r="C134" s="26"/>
      <c r="D134" s="28"/>
      <c r="E134" s="28"/>
      <c r="F134" s="28"/>
      <c r="G134" s="28"/>
      <c r="H134" s="29" t="str">
        <f aca="false">IF(OR(G134="",D134=""),"",IF(E134="Min",IF(G134&gt;=D134,"Pass","Fail"),IF(G134&lt;=D134,"Pass","Fail")))</f>
        <v/>
      </c>
      <c r="I134" s="26"/>
      <c r="J134" s="26"/>
      <c r="K134" s="26"/>
    </row>
    <row r="135" customFormat="false" ht="15" hidden="false" customHeight="false" outlineLevel="0" collapsed="false">
      <c r="A135" s="26"/>
      <c r="B135" s="27"/>
      <c r="C135" s="26"/>
      <c r="D135" s="28"/>
      <c r="E135" s="28"/>
      <c r="F135" s="28"/>
      <c r="G135" s="28"/>
      <c r="H135" s="29" t="str">
        <f aca="false">IF(OR(G135="",D135=""),"",IF(E135="Min",IF(G135&gt;=D135,"Pass","Fail"),IF(G135&lt;=D135,"Pass","Fail")))</f>
        <v/>
      </c>
      <c r="I135" s="26"/>
      <c r="J135" s="26"/>
      <c r="K135" s="26"/>
    </row>
    <row r="136" customFormat="false" ht="15" hidden="false" customHeight="false" outlineLevel="0" collapsed="false">
      <c r="A136" s="26"/>
      <c r="B136" s="27"/>
      <c r="C136" s="26"/>
      <c r="D136" s="28"/>
      <c r="E136" s="28"/>
      <c r="F136" s="28"/>
      <c r="G136" s="28"/>
      <c r="H136" s="29" t="str">
        <f aca="false">IF(OR(G136="",D136=""),"",IF(E136="Min",IF(G136&gt;=D136,"Pass","Fail"),IF(G136&lt;=D136,"Pass","Fail")))</f>
        <v/>
      </c>
      <c r="I136" s="26"/>
      <c r="J136" s="26"/>
      <c r="K136" s="26"/>
    </row>
    <row r="137" customFormat="false" ht="15" hidden="false" customHeight="false" outlineLevel="0" collapsed="false">
      <c r="A137" s="26"/>
      <c r="B137" s="27"/>
      <c r="C137" s="26"/>
      <c r="D137" s="28"/>
      <c r="E137" s="28"/>
      <c r="F137" s="28"/>
      <c r="G137" s="28"/>
      <c r="H137" s="29" t="str">
        <f aca="false">IF(OR(G137="",D137=""),"",IF(E137="Min",IF(G137&gt;=D137,"Pass","Fail"),IF(G137&lt;=D137,"Pass","Fail")))</f>
        <v/>
      </c>
      <c r="I137" s="26"/>
      <c r="J137" s="26"/>
      <c r="K137" s="26"/>
    </row>
    <row r="138" customFormat="false" ht="15" hidden="false" customHeight="false" outlineLevel="0" collapsed="false">
      <c r="A138" s="26"/>
      <c r="B138" s="27"/>
      <c r="C138" s="26"/>
      <c r="D138" s="28"/>
      <c r="E138" s="28"/>
      <c r="F138" s="28"/>
      <c r="G138" s="28"/>
      <c r="H138" s="29" t="str">
        <f aca="false">IF(OR(G138="",D138=""),"",IF(E138="Min",IF(G138&gt;=D138,"Pass","Fail"),IF(G138&lt;=D138,"Pass","Fail")))</f>
        <v/>
      </c>
      <c r="I138" s="26"/>
      <c r="J138" s="26"/>
      <c r="K138" s="26"/>
    </row>
    <row r="139" customFormat="false" ht="15" hidden="false" customHeight="false" outlineLevel="0" collapsed="false">
      <c r="A139" s="26"/>
      <c r="B139" s="27"/>
      <c r="C139" s="26"/>
      <c r="D139" s="28"/>
      <c r="E139" s="28"/>
      <c r="F139" s="28"/>
      <c r="G139" s="28"/>
      <c r="H139" s="29" t="str">
        <f aca="false">IF(OR(G139="",D139=""),"",IF(E139="Min",IF(G139&gt;=D139,"Pass","Fail"),IF(G139&lt;=D139,"Pass","Fail")))</f>
        <v/>
      </c>
      <c r="I139" s="26"/>
      <c r="J139" s="26"/>
      <c r="K139" s="26"/>
    </row>
    <row r="140" customFormat="false" ht="15" hidden="false" customHeight="false" outlineLevel="0" collapsed="false">
      <c r="A140" s="26"/>
      <c r="B140" s="27"/>
      <c r="C140" s="26"/>
      <c r="D140" s="28"/>
      <c r="E140" s="28"/>
      <c r="F140" s="28"/>
      <c r="G140" s="28"/>
      <c r="H140" s="29" t="str">
        <f aca="false">IF(OR(G140="",D140=""),"",IF(E140="Min",IF(G140&gt;=D140,"Pass","Fail"),IF(G140&lt;=D140,"Pass","Fail")))</f>
        <v/>
      </c>
      <c r="I140" s="26"/>
      <c r="J140" s="26"/>
      <c r="K140" s="26"/>
    </row>
    <row r="141" customFormat="false" ht="15" hidden="false" customHeight="false" outlineLevel="0" collapsed="false">
      <c r="A141" s="26"/>
      <c r="B141" s="27"/>
      <c r="C141" s="26"/>
      <c r="D141" s="28"/>
      <c r="E141" s="28"/>
      <c r="F141" s="28"/>
      <c r="G141" s="28"/>
      <c r="H141" s="29" t="str">
        <f aca="false">IF(OR(G141="",D141=""),"",IF(E141="Min",IF(G141&gt;=D141,"Pass","Fail"),IF(G141&lt;=D141,"Pass","Fail")))</f>
        <v/>
      </c>
      <c r="I141" s="26"/>
      <c r="J141" s="26"/>
      <c r="K141" s="26"/>
    </row>
    <row r="142" customFormat="false" ht="15" hidden="false" customHeight="false" outlineLevel="0" collapsed="false">
      <c r="A142" s="26"/>
      <c r="B142" s="27"/>
      <c r="C142" s="26"/>
      <c r="D142" s="28"/>
      <c r="E142" s="28"/>
      <c r="F142" s="28"/>
      <c r="G142" s="28"/>
      <c r="H142" s="29" t="str">
        <f aca="false">IF(OR(G142="",D142=""),"",IF(E142="Min",IF(G142&gt;=D142,"Pass","Fail"),IF(G142&lt;=D142,"Pass","Fail")))</f>
        <v/>
      </c>
      <c r="I142" s="26"/>
      <c r="J142" s="26"/>
      <c r="K142" s="26"/>
    </row>
    <row r="143" customFormat="false" ht="15" hidden="false" customHeight="false" outlineLevel="0" collapsed="false">
      <c r="A143" s="26"/>
      <c r="B143" s="27"/>
      <c r="C143" s="26"/>
      <c r="D143" s="28"/>
      <c r="E143" s="28"/>
      <c r="F143" s="28"/>
      <c r="G143" s="28"/>
      <c r="H143" s="29" t="str">
        <f aca="false">IF(OR(G143="",D143=""),"",IF(E143="Min",IF(G143&gt;=D143,"Pass","Fail"),IF(G143&lt;=D143,"Pass","Fail")))</f>
        <v/>
      </c>
      <c r="I143" s="26"/>
      <c r="J143" s="26"/>
      <c r="K143" s="26"/>
    </row>
    <row r="144" customFormat="false" ht="15" hidden="false" customHeight="false" outlineLevel="0" collapsed="false">
      <c r="A144" s="26"/>
      <c r="B144" s="27"/>
      <c r="C144" s="26"/>
      <c r="D144" s="28"/>
      <c r="E144" s="28"/>
      <c r="F144" s="28"/>
      <c r="G144" s="28"/>
      <c r="H144" s="29" t="str">
        <f aca="false">IF(OR(G144="",D144=""),"",IF(E144="Min",IF(G144&gt;=D144,"Pass","Fail"),IF(G144&lt;=D144,"Pass","Fail")))</f>
        <v/>
      </c>
      <c r="I144" s="26"/>
      <c r="J144" s="26"/>
      <c r="K144" s="26"/>
    </row>
    <row r="145" customFormat="false" ht="15" hidden="false" customHeight="false" outlineLevel="0" collapsed="false">
      <c r="A145" s="26"/>
      <c r="B145" s="27"/>
      <c r="C145" s="26"/>
      <c r="D145" s="28"/>
      <c r="E145" s="28"/>
      <c r="F145" s="28"/>
      <c r="G145" s="28"/>
      <c r="H145" s="29" t="str">
        <f aca="false">IF(OR(G145="",D145=""),"",IF(E145="Min",IF(G145&gt;=D145,"Pass","Fail"),IF(G145&lt;=D145,"Pass","Fail")))</f>
        <v/>
      </c>
      <c r="I145" s="26"/>
      <c r="J145" s="26"/>
      <c r="K145" s="26"/>
    </row>
    <row r="146" customFormat="false" ht="15" hidden="false" customHeight="false" outlineLevel="0" collapsed="false">
      <c r="A146" s="26"/>
      <c r="B146" s="27"/>
      <c r="C146" s="26"/>
      <c r="D146" s="28"/>
      <c r="E146" s="28"/>
      <c r="F146" s="28"/>
      <c r="G146" s="28"/>
      <c r="H146" s="29" t="str">
        <f aca="false">IF(OR(G146="",D146=""),"",IF(E146="Min",IF(G146&gt;=D146,"Pass","Fail"),IF(G146&lt;=D146,"Pass","Fail")))</f>
        <v/>
      </c>
      <c r="I146" s="26"/>
      <c r="J146" s="26"/>
      <c r="K146" s="26"/>
    </row>
    <row r="147" customFormat="false" ht="15" hidden="false" customHeight="false" outlineLevel="0" collapsed="false">
      <c r="A147" s="26"/>
      <c r="B147" s="27"/>
      <c r="C147" s="26"/>
      <c r="D147" s="28"/>
      <c r="E147" s="28"/>
      <c r="F147" s="28"/>
      <c r="G147" s="28"/>
      <c r="H147" s="29" t="str">
        <f aca="false">IF(OR(G147="",D147=""),"",IF(E147="Min",IF(G147&gt;=D147,"Pass","Fail"),IF(G147&lt;=D147,"Pass","Fail")))</f>
        <v/>
      </c>
      <c r="I147" s="26"/>
      <c r="J147" s="26"/>
      <c r="K147" s="26"/>
    </row>
    <row r="148" customFormat="false" ht="15" hidden="false" customHeight="false" outlineLevel="0" collapsed="false">
      <c r="A148" s="26"/>
      <c r="B148" s="27"/>
      <c r="C148" s="26"/>
      <c r="D148" s="28"/>
      <c r="E148" s="28"/>
      <c r="F148" s="28"/>
      <c r="G148" s="28"/>
      <c r="H148" s="29" t="str">
        <f aca="false">IF(OR(G148="",D148=""),"",IF(E148="Min",IF(G148&gt;=D148,"Pass","Fail"),IF(G148&lt;=D148,"Pass","Fail")))</f>
        <v/>
      </c>
      <c r="I148" s="26"/>
      <c r="J148" s="26"/>
      <c r="K148" s="26"/>
    </row>
    <row r="149" customFormat="false" ht="15" hidden="false" customHeight="false" outlineLevel="0" collapsed="false">
      <c r="A149" s="26"/>
      <c r="B149" s="27"/>
      <c r="C149" s="26"/>
      <c r="D149" s="28"/>
      <c r="E149" s="28"/>
      <c r="F149" s="28"/>
      <c r="G149" s="28"/>
      <c r="H149" s="29" t="str">
        <f aca="false">IF(OR(G149="",D149=""),"",IF(E149="Min",IF(G149&gt;=D149,"Pass","Fail"),IF(G149&lt;=D149,"Pass","Fail")))</f>
        <v/>
      </c>
      <c r="I149" s="26"/>
      <c r="J149" s="26"/>
      <c r="K149" s="26"/>
    </row>
    <row r="150" customFormat="false" ht="15" hidden="false" customHeight="false" outlineLevel="0" collapsed="false">
      <c r="A150" s="26"/>
      <c r="B150" s="27"/>
      <c r="C150" s="26"/>
      <c r="D150" s="28"/>
      <c r="E150" s="28"/>
      <c r="F150" s="28"/>
      <c r="G150" s="28"/>
      <c r="H150" s="29" t="str">
        <f aca="false">IF(OR(G150="",D150=""),"",IF(E150="Min",IF(G150&gt;=D150,"Pass","Fail"),IF(G150&lt;=D150,"Pass","Fail")))</f>
        <v/>
      </c>
      <c r="I150" s="26"/>
      <c r="J150" s="26"/>
      <c r="K150" s="26"/>
    </row>
    <row r="151" customFormat="false" ht="15" hidden="false" customHeight="false" outlineLevel="0" collapsed="false">
      <c r="A151" s="26"/>
      <c r="B151" s="27"/>
      <c r="C151" s="26"/>
      <c r="D151" s="28"/>
      <c r="E151" s="28"/>
      <c r="F151" s="28"/>
      <c r="G151" s="28"/>
      <c r="H151" s="29" t="str">
        <f aca="false">IF(OR(G151="",D151=""),"",IF(E151="Min",IF(G151&gt;=D151,"Pass","Fail"),IF(G151&lt;=D151,"Pass","Fail")))</f>
        <v/>
      </c>
      <c r="I151" s="26"/>
      <c r="J151" s="26"/>
      <c r="K151" s="26"/>
    </row>
    <row r="152" customFormat="false" ht="15" hidden="false" customHeight="false" outlineLevel="0" collapsed="false">
      <c r="A152" s="26"/>
      <c r="B152" s="27"/>
      <c r="C152" s="26"/>
      <c r="D152" s="28"/>
      <c r="E152" s="28"/>
      <c r="F152" s="28"/>
      <c r="G152" s="28"/>
      <c r="H152" s="29" t="str">
        <f aca="false">IF(OR(G152="",D152=""),"",IF(E152="Min",IF(G152&gt;=D152,"Pass","Fail"),IF(G152&lt;=D152,"Pass","Fail")))</f>
        <v/>
      </c>
      <c r="I152" s="26"/>
      <c r="J152" s="26"/>
      <c r="K152" s="26"/>
    </row>
    <row r="153" customFormat="false" ht="15" hidden="false" customHeight="false" outlineLevel="0" collapsed="false">
      <c r="A153" s="26"/>
      <c r="B153" s="27"/>
      <c r="C153" s="26"/>
      <c r="D153" s="28"/>
      <c r="E153" s="28"/>
      <c r="F153" s="28"/>
      <c r="G153" s="28"/>
      <c r="H153" s="29" t="str">
        <f aca="false">IF(OR(G153="",D153=""),"",IF(E153="Min",IF(G153&gt;=D153,"Pass","Fail"),IF(G153&lt;=D153,"Pass","Fail")))</f>
        <v/>
      </c>
      <c r="I153" s="26"/>
      <c r="J153" s="26"/>
      <c r="K153" s="26"/>
    </row>
    <row r="154" customFormat="false" ht="15" hidden="false" customHeight="false" outlineLevel="0" collapsed="false">
      <c r="A154" s="26"/>
      <c r="B154" s="27"/>
      <c r="C154" s="26"/>
      <c r="D154" s="28"/>
      <c r="E154" s="28"/>
      <c r="F154" s="28"/>
      <c r="G154" s="28"/>
      <c r="H154" s="29" t="str">
        <f aca="false">IF(OR(G154="",D154=""),"",IF(E154="Min",IF(G154&gt;=D154,"Pass","Fail"),IF(G154&lt;=D154,"Pass","Fail")))</f>
        <v/>
      </c>
      <c r="I154" s="26"/>
      <c r="J154" s="26"/>
      <c r="K154" s="26"/>
    </row>
    <row r="155" customFormat="false" ht="15" hidden="false" customHeight="false" outlineLevel="0" collapsed="false">
      <c r="A155" s="26"/>
      <c r="B155" s="27"/>
      <c r="C155" s="26"/>
      <c r="D155" s="28"/>
      <c r="E155" s="28"/>
      <c r="F155" s="28"/>
      <c r="G155" s="28"/>
      <c r="H155" s="29" t="str">
        <f aca="false">IF(OR(G155="",D155=""),"",IF(E155="Min",IF(G155&gt;=D155,"Pass","Fail"),IF(G155&lt;=D155,"Pass","Fail")))</f>
        <v/>
      </c>
      <c r="I155" s="26"/>
      <c r="J155" s="26"/>
      <c r="K155" s="26"/>
    </row>
    <row r="156" customFormat="false" ht="15" hidden="false" customHeight="false" outlineLevel="0" collapsed="false">
      <c r="A156" s="26"/>
      <c r="B156" s="27"/>
      <c r="C156" s="26"/>
      <c r="D156" s="28"/>
      <c r="E156" s="28"/>
      <c r="F156" s="28"/>
      <c r="G156" s="28"/>
      <c r="H156" s="29" t="str">
        <f aca="false">IF(OR(G156="",D156=""),"",IF(E156="Min",IF(G156&gt;=D156,"Pass","Fail"),IF(G156&lt;=D156,"Pass","Fail")))</f>
        <v/>
      </c>
      <c r="I156" s="26"/>
      <c r="J156" s="26"/>
      <c r="K156" s="26"/>
    </row>
    <row r="157" customFormat="false" ht="15" hidden="false" customHeight="false" outlineLevel="0" collapsed="false">
      <c r="A157" s="26"/>
      <c r="B157" s="27"/>
      <c r="C157" s="26"/>
      <c r="D157" s="28"/>
      <c r="E157" s="28"/>
      <c r="F157" s="28"/>
      <c r="G157" s="28"/>
      <c r="H157" s="29" t="str">
        <f aca="false">IF(OR(G157="",D157=""),"",IF(E157="Min",IF(G157&gt;=D157,"Pass","Fail"),IF(G157&lt;=D157,"Pass","Fail")))</f>
        <v/>
      </c>
      <c r="I157" s="26"/>
      <c r="J157" s="26"/>
      <c r="K157" s="26"/>
    </row>
    <row r="158" customFormat="false" ht="15" hidden="false" customHeight="false" outlineLevel="0" collapsed="false">
      <c r="A158" s="26"/>
      <c r="B158" s="27"/>
      <c r="C158" s="26"/>
      <c r="D158" s="28"/>
      <c r="E158" s="28"/>
      <c r="F158" s="28"/>
      <c r="G158" s="28"/>
      <c r="H158" s="29" t="str">
        <f aca="false">IF(OR(G158="",D158=""),"",IF(E158="Min",IF(G158&gt;=D158,"Pass","Fail"),IF(G158&lt;=D158,"Pass","Fail")))</f>
        <v/>
      </c>
      <c r="I158" s="26"/>
      <c r="J158" s="26"/>
      <c r="K158" s="26"/>
    </row>
    <row r="159" customFormat="false" ht="15" hidden="false" customHeight="false" outlineLevel="0" collapsed="false">
      <c r="A159" s="26"/>
      <c r="B159" s="27"/>
      <c r="C159" s="26"/>
      <c r="D159" s="28"/>
      <c r="E159" s="28"/>
      <c r="F159" s="28"/>
      <c r="G159" s="28"/>
      <c r="H159" s="29" t="str">
        <f aca="false">IF(OR(G159="",D159=""),"",IF(E159="Min",IF(G159&gt;=D159,"Pass","Fail"),IF(G159&lt;=D159,"Pass","Fail")))</f>
        <v/>
      </c>
      <c r="I159" s="26"/>
      <c r="J159" s="26"/>
      <c r="K159" s="26"/>
    </row>
    <row r="160" customFormat="false" ht="15" hidden="false" customHeight="false" outlineLevel="0" collapsed="false">
      <c r="A160" s="26"/>
      <c r="B160" s="27"/>
      <c r="C160" s="26"/>
      <c r="D160" s="28"/>
      <c r="E160" s="28"/>
      <c r="F160" s="28"/>
      <c r="G160" s="28"/>
      <c r="H160" s="29" t="str">
        <f aca="false">IF(OR(G160="",D160=""),"",IF(E160="Min",IF(G160&gt;=D160,"Pass","Fail"),IF(G160&lt;=D160,"Pass","Fail")))</f>
        <v/>
      </c>
      <c r="I160" s="26"/>
      <c r="J160" s="26"/>
      <c r="K160" s="26"/>
    </row>
    <row r="161" customFormat="false" ht="15" hidden="false" customHeight="false" outlineLevel="0" collapsed="false">
      <c r="A161" s="26"/>
      <c r="B161" s="27"/>
      <c r="C161" s="26"/>
      <c r="D161" s="28"/>
      <c r="E161" s="28"/>
      <c r="F161" s="28"/>
      <c r="G161" s="28"/>
      <c r="H161" s="29" t="str">
        <f aca="false">IF(OR(G161="",D161=""),"",IF(E161="Min",IF(G161&gt;=D161,"Pass","Fail"),IF(G161&lt;=D161,"Pass","Fail")))</f>
        <v/>
      </c>
      <c r="I161" s="26"/>
      <c r="J161" s="26"/>
      <c r="K161" s="26"/>
    </row>
    <row r="162" customFormat="false" ht="15" hidden="false" customHeight="false" outlineLevel="0" collapsed="false">
      <c r="A162" s="26"/>
      <c r="B162" s="27"/>
      <c r="C162" s="26"/>
      <c r="D162" s="28"/>
      <c r="E162" s="28"/>
      <c r="F162" s="28"/>
      <c r="G162" s="28"/>
      <c r="H162" s="29" t="str">
        <f aca="false">IF(OR(G162="",D162=""),"",IF(E162="Min",IF(G162&gt;=D162,"Pass","Fail"),IF(G162&lt;=D162,"Pass","Fail")))</f>
        <v/>
      </c>
      <c r="I162" s="26"/>
      <c r="J162" s="26"/>
      <c r="K162" s="26"/>
    </row>
    <row r="163" customFormat="false" ht="15" hidden="false" customHeight="false" outlineLevel="0" collapsed="false">
      <c r="A163" s="26"/>
      <c r="B163" s="27"/>
      <c r="C163" s="26"/>
      <c r="D163" s="28"/>
      <c r="E163" s="28"/>
      <c r="F163" s="28"/>
      <c r="G163" s="28"/>
      <c r="H163" s="29" t="str">
        <f aca="false">IF(OR(G163="",D163=""),"",IF(E163="Min",IF(G163&gt;=D163,"Pass","Fail"),IF(G163&lt;=D163,"Pass","Fail")))</f>
        <v/>
      </c>
      <c r="I163" s="26"/>
      <c r="J163" s="26"/>
      <c r="K163" s="26"/>
    </row>
    <row r="164" customFormat="false" ht="15" hidden="false" customHeight="false" outlineLevel="0" collapsed="false">
      <c r="A164" s="26"/>
      <c r="B164" s="27"/>
      <c r="C164" s="26"/>
      <c r="D164" s="28"/>
      <c r="E164" s="28"/>
      <c r="F164" s="28"/>
      <c r="G164" s="28"/>
      <c r="H164" s="29" t="str">
        <f aca="false">IF(OR(G164="",D164=""),"",IF(E164="Min",IF(G164&gt;=D164,"Pass","Fail"),IF(G164&lt;=D164,"Pass","Fail")))</f>
        <v/>
      </c>
      <c r="I164" s="26"/>
      <c r="J164" s="26"/>
      <c r="K164" s="26"/>
    </row>
    <row r="165" customFormat="false" ht="15" hidden="false" customHeight="false" outlineLevel="0" collapsed="false">
      <c r="A165" s="26"/>
      <c r="B165" s="27"/>
      <c r="C165" s="26"/>
      <c r="D165" s="28"/>
      <c r="E165" s="28"/>
      <c r="F165" s="28"/>
      <c r="G165" s="28"/>
      <c r="H165" s="29" t="str">
        <f aca="false">IF(OR(G165="",D165=""),"",IF(E165="Min",IF(G165&gt;=D165,"Pass","Fail"),IF(G165&lt;=D165,"Pass","Fail")))</f>
        <v/>
      </c>
      <c r="I165" s="26"/>
      <c r="J165" s="26"/>
      <c r="K165" s="26"/>
    </row>
    <row r="166" customFormat="false" ht="15" hidden="false" customHeight="false" outlineLevel="0" collapsed="false">
      <c r="A166" s="26"/>
      <c r="B166" s="27"/>
      <c r="C166" s="26"/>
      <c r="D166" s="28"/>
      <c r="E166" s="28"/>
      <c r="F166" s="28"/>
      <c r="G166" s="28"/>
      <c r="H166" s="29" t="str">
        <f aca="false">IF(OR(G166="",D166=""),"",IF(E166="Min",IF(G166&gt;=D166,"Pass","Fail"),IF(G166&lt;=D166,"Pass","Fail")))</f>
        <v/>
      </c>
      <c r="I166" s="26"/>
      <c r="J166" s="26"/>
      <c r="K166" s="26"/>
    </row>
    <row r="167" customFormat="false" ht="15" hidden="false" customHeight="false" outlineLevel="0" collapsed="false">
      <c r="A167" s="26"/>
      <c r="B167" s="27"/>
      <c r="C167" s="26"/>
      <c r="D167" s="28"/>
      <c r="E167" s="28"/>
      <c r="F167" s="28"/>
      <c r="G167" s="28"/>
      <c r="H167" s="29" t="str">
        <f aca="false">IF(OR(G167="",D167=""),"",IF(E167="Min",IF(G167&gt;=D167,"Pass","Fail"),IF(G167&lt;=D167,"Pass","Fail")))</f>
        <v/>
      </c>
      <c r="I167" s="26"/>
      <c r="J167" s="26"/>
      <c r="K167" s="26"/>
    </row>
    <row r="168" customFormat="false" ht="15" hidden="false" customHeight="false" outlineLevel="0" collapsed="false">
      <c r="A168" s="26"/>
      <c r="B168" s="27"/>
      <c r="C168" s="26"/>
      <c r="D168" s="28"/>
      <c r="E168" s="28"/>
      <c r="F168" s="28"/>
      <c r="G168" s="28"/>
      <c r="H168" s="29" t="str">
        <f aca="false">IF(OR(G168="",D168=""),"",IF(E168="Min",IF(G168&gt;=D168,"Pass","Fail"),IF(G168&lt;=D168,"Pass","Fail")))</f>
        <v/>
      </c>
      <c r="I168" s="26"/>
      <c r="J168" s="26"/>
      <c r="K168" s="26"/>
    </row>
    <row r="169" customFormat="false" ht="15" hidden="false" customHeight="false" outlineLevel="0" collapsed="false">
      <c r="A169" s="26"/>
      <c r="B169" s="27"/>
      <c r="C169" s="26"/>
      <c r="D169" s="28"/>
      <c r="E169" s="28"/>
      <c r="F169" s="28"/>
      <c r="G169" s="28"/>
      <c r="H169" s="29" t="str">
        <f aca="false">IF(OR(G169="",D169=""),"",IF(E169="Min",IF(G169&gt;=D169,"Pass","Fail"),IF(G169&lt;=D169,"Pass","Fail")))</f>
        <v/>
      </c>
      <c r="I169" s="26"/>
      <c r="J169" s="26"/>
      <c r="K169" s="26"/>
    </row>
    <row r="170" customFormat="false" ht="15" hidden="false" customHeight="false" outlineLevel="0" collapsed="false">
      <c r="A170" s="26"/>
      <c r="B170" s="27"/>
      <c r="C170" s="26"/>
      <c r="D170" s="28"/>
      <c r="E170" s="28"/>
      <c r="F170" s="28"/>
      <c r="G170" s="28"/>
      <c r="H170" s="29" t="str">
        <f aca="false">IF(OR(G170="",D170=""),"",IF(E170="Min",IF(G170&gt;=D170,"Pass","Fail"),IF(G170&lt;=D170,"Pass","Fail")))</f>
        <v/>
      </c>
      <c r="I170" s="26"/>
      <c r="J170" s="26"/>
      <c r="K170" s="26"/>
    </row>
    <row r="171" customFormat="false" ht="15" hidden="false" customHeight="false" outlineLevel="0" collapsed="false">
      <c r="A171" s="26"/>
      <c r="B171" s="27"/>
      <c r="C171" s="26"/>
      <c r="D171" s="28"/>
      <c r="E171" s="28"/>
      <c r="F171" s="28"/>
      <c r="G171" s="28"/>
      <c r="H171" s="29" t="str">
        <f aca="false">IF(OR(G171="",D171=""),"",IF(E171="Min",IF(G171&gt;=D171,"Pass","Fail"),IF(G171&lt;=D171,"Pass","Fail")))</f>
        <v/>
      </c>
      <c r="I171" s="26"/>
      <c r="J171" s="26"/>
      <c r="K171" s="26"/>
    </row>
    <row r="172" customFormat="false" ht="15" hidden="false" customHeight="false" outlineLevel="0" collapsed="false">
      <c r="A172" s="26"/>
      <c r="B172" s="27"/>
      <c r="C172" s="26"/>
      <c r="D172" s="28"/>
      <c r="E172" s="28"/>
      <c r="F172" s="28"/>
      <c r="G172" s="28"/>
      <c r="H172" s="29" t="str">
        <f aca="false">IF(OR(G172="",D172=""),"",IF(E172="Min",IF(G172&gt;=D172,"Pass","Fail"),IF(G172&lt;=D172,"Pass","Fail")))</f>
        <v/>
      </c>
      <c r="I172" s="26"/>
      <c r="J172" s="26"/>
      <c r="K172" s="26"/>
    </row>
    <row r="173" customFormat="false" ht="15" hidden="false" customHeight="false" outlineLevel="0" collapsed="false">
      <c r="A173" s="26"/>
      <c r="B173" s="27"/>
      <c r="C173" s="26"/>
      <c r="D173" s="28"/>
      <c r="E173" s="28"/>
      <c r="F173" s="28"/>
      <c r="G173" s="28"/>
      <c r="H173" s="29" t="str">
        <f aca="false">IF(OR(G173="",D173=""),"",IF(E173="Min",IF(G173&gt;=D173,"Pass","Fail"),IF(G173&lt;=D173,"Pass","Fail")))</f>
        <v/>
      </c>
      <c r="I173" s="26"/>
      <c r="J173" s="26"/>
      <c r="K173" s="26"/>
    </row>
    <row r="174" customFormat="false" ht="15" hidden="false" customHeight="false" outlineLevel="0" collapsed="false">
      <c r="A174" s="26"/>
      <c r="B174" s="27"/>
      <c r="C174" s="26"/>
      <c r="D174" s="28"/>
      <c r="E174" s="28"/>
      <c r="F174" s="28"/>
      <c r="G174" s="28"/>
      <c r="H174" s="29" t="str">
        <f aca="false">IF(OR(G174="",D174=""),"",IF(E174="Min",IF(G174&gt;=D174,"Pass","Fail"),IF(G174&lt;=D174,"Pass","Fail")))</f>
        <v/>
      </c>
      <c r="I174" s="26"/>
      <c r="J174" s="26"/>
      <c r="K174" s="26"/>
    </row>
    <row r="175" customFormat="false" ht="15" hidden="false" customHeight="false" outlineLevel="0" collapsed="false">
      <c r="A175" s="26"/>
      <c r="B175" s="27"/>
      <c r="C175" s="26"/>
      <c r="D175" s="28"/>
      <c r="E175" s="28"/>
      <c r="F175" s="28"/>
      <c r="G175" s="28"/>
      <c r="H175" s="29" t="str">
        <f aca="false">IF(OR(G175="",D175=""),"",IF(E175="Min",IF(G175&gt;=D175,"Pass","Fail"),IF(G175&lt;=D175,"Pass","Fail")))</f>
        <v/>
      </c>
      <c r="I175" s="26"/>
      <c r="J175" s="26"/>
      <c r="K175" s="26"/>
    </row>
    <row r="176" customFormat="false" ht="15" hidden="false" customHeight="false" outlineLevel="0" collapsed="false">
      <c r="A176" s="26"/>
      <c r="B176" s="27"/>
      <c r="C176" s="26"/>
      <c r="D176" s="28"/>
      <c r="E176" s="28"/>
      <c r="F176" s="28"/>
      <c r="G176" s="28"/>
      <c r="H176" s="29" t="str">
        <f aca="false">IF(OR(G176="",D176=""),"",IF(E176="Min",IF(G176&gt;=D176,"Pass","Fail"),IF(G176&lt;=D176,"Pass","Fail")))</f>
        <v/>
      </c>
      <c r="I176" s="26"/>
      <c r="J176" s="26"/>
      <c r="K176" s="26"/>
    </row>
    <row r="177" customFormat="false" ht="15" hidden="false" customHeight="false" outlineLevel="0" collapsed="false">
      <c r="A177" s="26"/>
      <c r="B177" s="27"/>
      <c r="C177" s="26"/>
      <c r="D177" s="28"/>
      <c r="E177" s="28"/>
      <c r="F177" s="28"/>
      <c r="G177" s="28"/>
      <c r="H177" s="29" t="str">
        <f aca="false">IF(OR(G177="",D177=""),"",IF(E177="Min",IF(G177&gt;=D177,"Pass","Fail"),IF(G177&lt;=D177,"Pass","Fail")))</f>
        <v/>
      </c>
      <c r="I177" s="26"/>
      <c r="J177" s="26"/>
      <c r="K177" s="26"/>
    </row>
    <row r="178" customFormat="false" ht="15" hidden="false" customHeight="false" outlineLevel="0" collapsed="false">
      <c r="A178" s="26"/>
      <c r="B178" s="27"/>
      <c r="C178" s="26"/>
      <c r="D178" s="28"/>
      <c r="E178" s="28"/>
      <c r="F178" s="28"/>
      <c r="G178" s="28"/>
      <c r="H178" s="29" t="str">
        <f aca="false">IF(OR(G178="",D178=""),"",IF(E178="Min",IF(G178&gt;=D178,"Pass","Fail"),IF(G178&lt;=D178,"Pass","Fail")))</f>
        <v/>
      </c>
      <c r="I178" s="26"/>
      <c r="J178" s="26"/>
      <c r="K178" s="26"/>
    </row>
    <row r="179" customFormat="false" ht="15" hidden="false" customHeight="false" outlineLevel="0" collapsed="false">
      <c r="A179" s="26"/>
      <c r="B179" s="27"/>
      <c r="C179" s="26"/>
      <c r="D179" s="28"/>
      <c r="E179" s="28"/>
      <c r="F179" s="28"/>
      <c r="G179" s="28"/>
      <c r="H179" s="29" t="str">
        <f aca="false">IF(OR(G179="",D179=""),"",IF(E179="Min",IF(G179&gt;=D179,"Pass","Fail"),IF(G179&lt;=D179,"Pass","Fail")))</f>
        <v/>
      </c>
      <c r="I179" s="26"/>
      <c r="J179" s="26"/>
      <c r="K179" s="26"/>
    </row>
    <row r="180" customFormat="false" ht="15" hidden="false" customHeight="false" outlineLevel="0" collapsed="false">
      <c r="A180" s="26"/>
      <c r="B180" s="27"/>
      <c r="C180" s="26"/>
      <c r="D180" s="28"/>
      <c r="E180" s="28"/>
      <c r="F180" s="28"/>
      <c r="G180" s="28"/>
      <c r="H180" s="29" t="str">
        <f aca="false">IF(OR(G180="",D180=""),"",IF(E180="Min",IF(G180&gt;=D180,"Pass","Fail"),IF(G180&lt;=D180,"Pass","Fail")))</f>
        <v/>
      </c>
      <c r="I180" s="26"/>
      <c r="J180" s="26"/>
      <c r="K180" s="26"/>
    </row>
    <row r="181" customFormat="false" ht="15" hidden="false" customHeight="false" outlineLevel="0" collapsed="false">
      <c r="A181" s="26"/>
      <c r="B181" s="27"/>
      <c r="C181" s="26"/>
      <c r="D181" s="28"/>
      <c r="E181" s="28"/>
      <c r="F181" s="28"/>
      <c r="G181" s="28"/>
      <c r="H181" s="29" t="str">
        <f aca="false">IF(OR(G181="",D181=""),"",IF(E181="Min",IF(G181&gt;=D181,"Pass","Fail"),IF(G181&lt;=D181,"Pass","Fail")))</f>
        <v/>
      </c>
      <c r="I181" s="26"/>
      <c r="J181" s="26"/>
      <c r="K181" s="26"/>
    </row>
    <row r="182" customFormat="false" ht="15" hidden="false" customHeight="false" outlineLevel="0" collapsed="false">
      <c r="A182" s="26"/>
      <c r="B182" s="27"/>
      <c r="C182" s="26"/>
      <c r="D182" s="28"/>
      <c r="E182" s="28"/>
      <c r="F182" s="28"/>
      <c r="G182" s="28"/>
      <c r="H182" s="29" t="str">
        <f aca="false">IF(OR(G182="",D182=""),"",IF(E182="Min",IF(G182&gt;=D182,"Pass","Fail"),IF(G182&lt;=D182,"Pass","Fail")))</f>
        <v/>
      </c>
      <c r="I182" s="26"/>
      <c r="J182" s="26"/>
      <c r="K182" s="26"/>
    </row>
    <row r="183" customFormat="false" ht="15" hidden="false" customHeight="false" outlineLevel="0" collapsed="false">
      <c r="A183" s="26"/>
      <c r="B183" s="27"/>
      <c r="C183" s="26"/>
      <c r="D183" s="28"/>
      <c r="E183" s="28"/>
      <c r="F183" s="28"/>
      <c r="G183" s="28"/>
      <c r="H183" s="29" t="str">
        <f aca="false">IF(OR(G183="",D183=""),"",IF(E183="Min",IF(G183&gt;=D183,"Pass","Fail"),IF(G183&lt;=D183,"Pass","Fail")))</f>
        <v/>
      </c>
      <c r="I183" s="26"/>
      <c r="J183" s="26"/>
      <c r="K183" s="26"/>
    </row>
    <row r="184" customFormat="false" ht="15" hidden="false" customHeight="false" outlineLevel="0" collapsed="false">
      <c r="A184" s="26"/>
      <c r="B184" s="27"/>
      <c r="C184" s="26"/>
      <c r="D184" s="28"/>
      <c r="E184" s="28"/>
      <c r="F184" s="28"/>
      <c r="G184" s="28"/>
      <c r="H184" s="29" t="str">
        <f aca="false">IF(OR(G184="",D184=""),"",IF(E184="Min",IF(G184&gt;=D184,"Pass","Fail"),IF(G184&lt;=D184,"Pass","Fail")))</f>
        <v/>
      </c>
      <c r="I184" s="26"/>
      <c r="J184" s="26"/>
      <c r="K184" s="26"/>
    </row>
    <row r="185" customFormat="false" ht="15" hidden="false" customHeight="false" outlineLevel="0" collapsed="false">
      <c r="A185" s="26"/>
      <c r="B185" s="27"/>
      <c r="C185" s="26"/>
      <c r="D185" s="28"/>
      <c r="E185" s="28"/>
      <c r="F185" s="28"/>
      <c r="G185" s="28"/>
      <c r="H185" s="29" t="str">
        <f aca="false">IF(OR(G185="",D185=""),"",IF(E185="Min",IF(G185&gt;=D185,"Pass","Fail"),IF(G185&lt;=D185,"Pass","Fail")))</f>
        <v/>
      </c>
      <c r="I185" s="26"/>
      <c r="J185" s="26"/>
      <c r="K185" s="26"/>
    </row>
    <row r="186" customFormat="false" ht="15" hidden="false" customHeight="false" outlineLevel="0" collapsed="false">
      <c r="A186" s="26"/>
      <c r="B186" s="27"/>
      <c r="C186" s="26"/>
      <c r="D186" s="28"/>
      <c r="E186" s="28"/>
      <c r="F186" s="28"/>
      <c r="G186" s="28"/>
      <c r="H186" s="29" t="str">
        <f aca="false">IF(OR(G186="",D186=""),"",IF(E186="Min",IF(G186&gt;=D186,"Pass","Fail"),IF(G186&lt;=D186,"Pass","Fail")))</f>
        <v/>
      </c>
      <c r="I186" s="26"/>
      <c r="J186" s="26"/>
      <c r="K186" s="26"/>
    </row>
    <row r="187" customFormat="false" ht="15" hidden="false" customHeight="false" outlineLevel="0" collapsed="false">
      <c r="A187" s="26"/>
      <c r="B187" s="27"/>
      <c r="C187" s="26"/>
      <c r="D187" s="28"/>
      <c r="E187" s="28"/>
      <c r="F187" s="28"/>
      <c r="G187" s="28"/>
      <c r="H187" s="29" t="str">
        <f aca="false">IF(OR(G187="",D187=""),"",IF(E187="Min",IF(G187&gt;=D187,"Pass","Fail"),IF(G187&lt;=D187,"Pass","Fail")))</f>
        <v/>
      </c>
      <c r="I187" s="26"/>
      <c r="J187" s="26"/>
      <c r="K187" s="26"/>
    </row>
    <row r="188" customFormat="false" ht="15" hidden="false" customHeight="false" outlineLevel="0" collapsed="false">
      <c r="A188" s="26"/>
      <c r="B188" s="27"/>
      <c r="C188" s="26"/>
      <c r="D188" s="28"/>
      <c r="E188" s="28"/>
      <c r="F188" s="28"/>
      <c r="G188" s="28"/>
      <c r="H188" s="29" t="str">
        <f aca="false">IF(OR(G188="",D188=""),"",IF(E188="Min",IF(G188&gt;=D188,"Pass","Fail"),IF(G188&lt;=D188,"Pass","Fail")))</f>
        <v/>
      </c>
      <c r="I188" s="26"/>
      <c r="J188" s="26"/>
      <c r="K188" s="26"/>
    </row>
    <row r="189" customFormat="false" ht="15" hidden="false" customHeight="false" outlineLevel="0" collapsed="false">
      <c r="A189" s="26"/>
      <c r="B189" s="27"/>
      <c r="C189" s="26"/>
      <c r="D189" s="28"/>
      <c r="E189" s="28"/>
      <c r="F189" s="28"/>
      <c r="G189" s="28"/>
      <c r="H189" s="29" t="str">
        <f aca="false">IF(OR(G189="",D189=""),"",IF(E189="Min",IF(G189&gt;=D189,"Pass","Fail"),IF(G189&lt;=D189,"Pass","Fail")))</f>
        <v/>
      </c>
      <c r="I189" s="26"/>
      <c r="J189" s="26"/>
      <c r="K189" s="26"/>
    </row>
    <row r="190" customFormat="false" ht="15" hidden="false" customHeight="false" outlineLevel="0" collapsed="false">
      <c r="A190" s="26"/>
      <c r="B190" s="27"/>
      <c r="C190" s="26"/>
      <c r="D190" s="28"/>
      <c r="E190" s="28"/>
      <c r="F190" s="28"/>
      <c r="G190" s="28"/>
      <c r="H190" s="29" t="str">
        <f aca="false">IF(OR(G190="",D190=""),"",IF(E190="Min",IF(G190&gt;=D190,"Pass","Fail"),IF(G190&lt;=D190,"Pass","Fail")))</f>
        <v/>
      </c>
      <c r="I190" s="26"/>
      <c r="J190" s="26"/>
      <c r="K190" s="26"/>
    </row>
    <row r="191" customFormat="false" ht="15" hidden="false" customHeight="false" outlineLevel="0" collapsed="false">
      <c r="A191" s="26"/>
      <c r="B191" s="27"/>
      <c r="C191" s="26"/>
      <c r="D191" s="28"/>
      <c r="E191" s="28"/>
      <c r="F191" s="28"/>
      <c r="G191" s="28"/>
      <c r="H191" s="29" t="str">
        <f aca="false">IF(OR(G191="",D191=""),"",IF(E191="Min",IF(G191&gt;=D191,"Pass","Fail"),IF(G191&lt;=D191,"Pass","Fail")))</f>
        <v/>
      </c>
      <c r="I191" s="26"/>
      <c r="J191" s="26"/>
      <c r="K191" s="26"/>
    </row>
    <row r="192" customFormat="false" ht="15" hidden="false" customHeight="false" outlineLevel="0" collapsed="false">
      <c r="A192" s="26"/>
      <c r="B192" s="27"/>
      <c r="C192" s="26"/>
      <c r="D192" s="28"/>
      <c r="E192" s="28"/>
      <c r="F192" s="28"/>
      <c r="G192" s="28"/>
      <c r="H192" s="29" t="str">
        <f aca="false">IF(OR(G192="",D192=""),"",IF(E192="Min",IF(G192&gt;=D192,"Pass","Fail"),IF(G192&lt;=D192,"Pass","Fail")))</f>
        <v/>
      </c>
      <c r="I192" s="26"/>
      <c r="J192" s="26"/>
      <c r="K192" s="26"/>
    </row>
    <row r="193" customFormat="false" ht="15" hidden="false" customHeight="false" outlineLevel="0" collapsed="false">
      <c r="A193" s="26"/>
      <c r="B193" s="27"/>
      <c r="C193" s="26"/>
      <c r="D193" s="28"/>
      <c r="E193" s="28"/>
      <c r="F193" s="28"/>
      <c r="G193" s="28"/>
      <c r="H193" s="29" t="str">
        <f aca="false">IF(OR(G193="",D193=""),"",IF(E193="Min",IF(G193&gt;=D193,"Pass","Fail"),IF(G193&lt;=D193,"Pass","Fail")))</f>
        <v/>
      </c>
      <c r="I193" s="26"/>
      <c r="J193" s="26"/>
      <c r="K193" s="26"/>
    </row>
    <row r="194" customFormat="false" ht="15" hidden="false" customHeight="false" outlineLevel="0" collapsed="false">
      <c r="A194" s="26"/>
      <c r="B194" s="27"/>
      <c r="C194" s="26"/>
      <c r="D194" s="28"/>
      <c r="E194" s="28"/>
      <c r="F194" s="28"/>
      <c r="G194" s="28"/>
      <c r="H194" s="29" t="str">
        <f aca="false">IF(OR(G194="",D194=""),"",IF(E194="Min",IF(G194&gt;=D194,"Pass","Fail"),IF(G194&lt;=D194,"Pass","Fail")))</f>
        <v/>
      </c>
      <c r="I194" s="26"/>
      <c r="J194" s="26"/>
      <c r="K194" s="26"/>
    </row>
    <row r="195" customFormat="false" ht="15" hidden="false" customHeight="false" outlineLevel="0" collapsed="false">
      <c r="A195" s="26"/>
      <c r="B195" s="27"/>
      <c r="C195" s="26"/>
      <c r="D195" s="28"/>
      <c r="E195" s="28"/>
      <c r="F195" s="28"/>
      <c r="G195" s="28"/>
      <c r="H195" s="29" t="str">
        <f aca="false">IF(OR(G195="",D195=""),"",IF(E195="Min",IF(G195&gt;=D195,"Pass","Fail"),IF(G195&lt;=D195,"Pass","Fail")))</f>
        <v/>
      </c>
      <c r="I195" s="26"/>
      <c r="J195" s="26"/>
      <c r="K195" s="26"/>
    </row>
    <row r="196" customFormat="false" ht="15" hidden="false" customHeight="false" outlineLevel="0" collapsed="false">
      <c r="A196" s="26"/>
      <c r="B196" s="27"/>
      <c r="C196" s="26"/>
      <c r="D196" s="28"/>
      <c r="E196" s="28"/>
      <c r="F196" s="28"/>
      <c r="G196" s="28"/>
      <c r="H196" s="29" t="str">
        <f aca="false">IF(OR(G196="",D196=""),"",IF(E196="Min",IF(G196&gt;=D196,"Pass","Fail"),IF(G196&lt;=D196,"Pass","Fail")))</f>
        <v/>
      </c>
      <c r="I196" s="26"/>
      <c r="J196" s="26"/>
      <c r="K196" s="26"/>
    </row>
    <row r="197" customFormat="false" ht="15" hidden="false" customHeight="false" outlineLevel="0" collapsed="false">
      <c r="A197" s="26"/>
      <c r="B197" s="27"/>
      <c r="C197" s="26"/>
      <c r="D197" s="28"/>
      <c r="E197" s="28"/>
      <c r="F197" s="28"/>
      <c r="G197" s="28"/>
      <c r="H197" s="29" t="str">
        <f aca="false">IF(OR(G197="",D197=""),"",IF(E197="Min",IF(G197&gt;=D197,"Pass","Fail"),IF(G197&lt;=D197,"Pass","Fail")))</f>
        <v/>
      </c>
      <c r="I197" s="26"/>
      <c r="J197" s="26"/>
      <c r="K197" s="26"/>
    </row>
    <row r="198" customFormat="false" ht="15" hidden="false" customHeight="false" outlineLevel="0" collapsed="false">
      <c r="A198" s="26"/>
      <c r="B198" s="27"/>
      <c r="C198" s="26"/>
      <c r="D198" s="28"/>
      <c r="E198" s="28"/>
      <c r="F198" s="28"/>
      <c r="G198" s="28"/>
      <c r="H198" s="29" t="str">
        <f aca="false">IF(OR(G198="",D198=""),"",IF(E198="Min",IF(G198&gt;=D198,"Pass","Fail"),IF(G198&lt;=D198,"Pass","Fail")))</f>
        <v/>
      </c>
      <c r="I198" s="26"/>
      <c r="J198" s="26"/>
      <c r="K198" s="26"/>
    </row>
    <row r="199" customFormat="false" ht="15" hidden="false" customHeight="false" outlineLevel="0" collapsed="false">
      <c r="A199" s="26"/>
      <c r="B199" s="27"/>
      <c r="C199" s="26"/>
      <c r="D199" s="28"/>
      <c r="E199" s="28"/>
      <c r="F199" s="28"/>
      <c r="G199" s="28"/>
      <c r="H199" s="29" t="str">
        <f aca="false">IF(OR(G199="",D199=""),"",IF(E199="Min",IF(G199&gt;=D199,"Pass","Fail"),IF(G199&lt;=D199,"Pass","Fail")))</f>
        <v/>
      </c>
      <c r="I199" s="26"/>
      <c r="J199" s="26"/>
      <c r="K199" s="26"/>
    </row>
    <row r="200" customFormat="false" ht="15" hidden="false" customHeight="false" outlineLevel="0" collapsed="false">
      <c r="A200" s="26"/>
      <c r="B200" s="27"/>
      <c r="C200" s="26"/>
      <c r="D200" s="28"/>
      <c r="E200" s="28"/>
      <c r="F200" s="28"/>
      <c r="G200" s="28"/>
      <c r="H200" s="29" t="str">
        <f aca="false">IF(OR(G200="",D200=""),"",IF(E200="Min",IF(G200&gt;=D200,"Pass","Fail"),IF(G200&lt;=D200,"Pass","Fail")))</f>
        <v/>
      </c>
      <c r="I200" s="26"/>
      <c r="J200" s="26"/>
      <c r="K200" s="26"/>
    </row>
    <row r="201" customFormat="false" ht="15" hidden="false" customHeight="false" outlineLevel="0" collapsed="false">
      <c r="A201" s="26"/>
      <c r="B201" s="27"/>
      <c r="C201" s="26"/>
      <c r="D201" s="28"/>
      <c r="E201" s="28"/>
      <c r="F201" s="28"/>
      <c r="G201" s="28"/>
      <c r="H201" s="29" t="str">
        <f aca="false">IF(OR(G201="",D201=""),"",IF(E201="Min",IF(G201&gt;=D201,"Pass","Fail"),IF(G201&lt;=D201,"Pass","Fail")))</f>
        <v/>
      </c>
      <c r="I201" s="26"/>
      <c r="J201" s="26"/>
      <c r="K201" s="26"/>
    </row>
    <row r="202" customFormat="false" ht="15" hidden="false" customHeight="false" outlineLevel="0" collapsed="false">
      <c r="A202" s="26"/>
      <c r="B202" s="27"/>
      <c r="C202" s="26"/>
      <c r="D202" s="28"/>
      <c r="E202" s="28"/>
      <c r="F202" s="28"/>
      <c r="G202" s="28"/>
      <c r="H202" s="29" t="str">
        <f aca="false">IF(OR(G202="",D202=""),"",IF(E202="Min",IF(G202&gt;=D202,"Pass","Fail"),IF(G202&lt;=D202,"Pass","Fail")))</f>
        <v/>
      </c>
      <c r="I202" s="26"/>
      <c r="J202" s="26"/>
      <c r="K202" s="26"/>
    </row>
    <row r="203" customFormat="false" ht="15" hidden="false" customHeight="false" outlineLevel="0" collapsed="false">
      <c r="A203" s="26"/>
      <c r="B203" s="27"/>
      <c r="C203" s="26"/>
      <c r="D203" s="28"/>
      <c r="E203" s="28"/>
      <c r="F203" s="28"/>
      <c r="G203" s="28"/>
      <c r="H203" s="29" t="str">
        <f aca="false">IF(OR(G203="",D203=""),"",IF(E203="Min",IF(G203&gt;=D203,"Pass","Fail"),IF(G203&lt;=D203,"Pass","Fail")))</f>
        <v/>
      </c>
      <c r="I203" s="26"/>
      <c r="J203" s="26"/>
      <c r="K203" s="26"/>
    </row>
    <row r="204" customFormat="false" ht="15" hidden="false" customHeight="false" outlineLevel="0" collapsed="false">
      <c r="A204" s="26"/>
      <c r="B204" s="27"/>
      <c r="C204" s="26"/>
      <c r="D204" s="28"/>
      <c r="E204" s="28"/>
      <c r="F204" s="28"/>
      <c r="G204" s="28"/>
      <c r="H204" s="29" t="str">
        <f aca="false">IF(OR(G204="",D204=""),"",IF(E204="Min",IF(G204&gt;=D204,"Pass","Fail"),IF(G204&lt;=D204,"Pass","Fail")))</f>
        <v/>
      </c>
      <c r="I204" s="26"/>
      <c r="J204" s="26"/>
      <c r="K204" s="26"/>
    </row>
    <row r="205" customFormat="false" ht="15" hidden="false" customHeight="false" outlineLevel="0" collapsed="false">
      <c r="A205" s="26"/>
      <c r="B205" s="27"/>
      <c r="C205" s="26"/>
      <c r="D205" s="28"/>
      <c r="E205" s="28"/>
      <c r="F205" s="28"/>
      <c r="G205" s="28"/>
      <c r="H205" s="29" t="str">
        <f aca="false">IF(OR(G205="",D205=""),"",IF(E205="Min",IF(G205&gt;=D205,"Pass","Fail"),IF(G205&lt;=D205,"Pass","Fail")))</f>
        <v/>
      </c>
      <c r="I205" s="26"/>
      <c r="J205" s="26"/>
      <c r="K205" s="26"/>
    </row>
    <row r="206" customFormat="false" ht="15" hidden="false" customHeight="false" outlineLevel="0" collapsed="false">
      <c r="A206" s="26"/>
      <c r="B206" s="27"/>
      <c r="C206" s="26"/>
      <c r="D206" s="28"/>
      <c r="E206" s="28"/>
      <c r="F206" s="28"/>
      <c r="G206" s="28"/>
      <c r="H206" s="29" t="str">
        <f aca="false">IF(OR(G206="",D206=""),"",IF(E206="Min",IF(G206&gt;=D206,"Pass","Fail"),IF(G206&lt;=D206,"Pass","Fail")))</f>
        <v/>
      </c>
      <c r="I206" s="26"/>
      <c r="J206" s="26"/>
      <c r="K206" s="26"/>
    </row>
    <row r="207" customFormat="false" ht="15" hidden="false" customHeight="false" outlineLevel="0" collapsed="false">
      <c r="A207" s="26"/>
      <c r="B207" s="27"/>
      <c r="C207" s="26"/>
      <c r="D207" s="28"/>
      <c r="E207" s="28"/>
      <c r="F207" s="28"/>
      <c r="G207" s="28"/>
      <c r="H207" s="29" t="str">
        <f aca="false">IF(OR(G207="",D207=""),"",IF(E207="Min",IF(G207&gt;=D207,"Pass","Fail"),IF(G207&lt;=D207,"Pass","Fail")))</f>
        <v/>
      </c>
      <c r="I207" s="26"/>
      <c r="J207" s="26"/>
      <c r="K207" s="26"/>
    </row>
    <row r="208" customFormat="false" ht="15" hidden="false" customHeight="false" outlineLevel="0" collapsed="false">
      <c r="A208" s="26"/>
      <c r="B208" s="27"/>
      <c r="C208" s="26"/>
      <c r="D208" s="28"/>
      <c r="E208" s="28"/>
      <c r="F208" s="28"/>
      <c r="G208" s="28"/>
      <c r="H208" s="29" t="str">
        <f aca="false">IF(OR(G208="",D208=""),"",IF(E208="Min",IF(G208&gt;=D208,"Pass","Fail"),IF(G208&lt;=D208,"Pass","Fail")))</f>
        <v/>
      </c>
      <c r="I208" s="26"/>
      <c r="J208" s="26"/>
      <c r="K208" s="26"/>
    </row>
    <row r="209" customFormat="false" ht="15" hidden="false" customHeight="false" outlineLevel="0" collapsed="false">
      <c r="A209" s="26"/>
      <c r="B209" s="27"/>
      <c r="C209" s="26"/>
      <c r="D209" s="28"/>
      <c r="E209" s="28"/>
      <c r="F209" s="28"/>
      <c r="G209" s="28"/>
      <c r="H209" s="29" t="str">
        <f aca="false">IF(OR(G209="",D209=""),"",IF(E209="Min",IF(G209&gt;=D209,"Pass","Fail"),IF(G209&lt;=D209,"Pass","Fail")))</f>
        <v/>
      </c>
      <c r="I209" s="26"/>
      <c r="J209" s="26"/>
      <c r="K209" s="26"/>
    </row>
    <row r="210" customFormat="false" ht="15" hidden="false" customHeight="false" outlineLevel="0" collapsed="false">
      <c r="A210" s="26"/>
      <c r="B210" s="27"/>
      <c r="C210" s="26"/>
      <c r="D210" s="28"/>
      <c r="E210" s="28"/>
      <c r="F210" s="28"/>
      <c r="G210" s="28"/>
      <c r="H210" s="29" t="str">
        <f aca="false">IF(OR(G210="",D210=""),"",IF(E210="Min",IF(G210&gt;=D210,"Pass","Fail"),IF(G210&lt;=D210,"Pass","Fail")))</f>
        <v/>
      </c>
      <c r="I210" s="26"/>
      <c r="J210" s="26"/>
      <c r="K210" s="26"/>
    </row>
    <row r="211" customFormat="false" ht="15" hidden="false" customHeight="false" outlineLevel="0" collapsed="false">
      <c r="A211" s="26"/>
      <c r="B211" s="27"/>
      <c r="C211" s="26"/>
      <c r="D211" s="28"/>
      <c r="E211" s="28"/>
      <c r="F211" s="28"/>
      <c r="G211" s="28"/>
      <c r="H211" s="29" t="str">
        <f aca="false">IF(OR(G211="",D211=""),"",IF(E211="Min",IF(G211&gt;=D211,"Pass","Fail"),IF(G211&lt;=D211,"Pass","Fail")))</f>
        <v/>
      </c>
      <c r="I211" s="26"/>
      <c r="J211" s="26"/>
      <c r="K211" s="26"/>
    </row>
    <row r="212" customFormat="false" ht="15" hidden="false" customHeight="false" outlineLevel="0" collapsed="false">
      <c r="A212" s="26"/>
      <c r="B212" s="27"/>
      <c r="C212" s="26"/>
      <c r="D212" s="28"/>
      <c r="E212" s="28"/>
      <c r="F212" s="28"/>
      <c r="G212" s="28"/>
      <c r="H212" s="29" t="str">
        <f aca="false">IF(OR(G212="",D212=""),"",IF(E212="Min",IF(G212&gt;=D212,"Pass","Fail"),IF(G212&lt;=D212,"Pass","Fail")))</f>
        <v/>
      </c>
      <c r="I212" s="26"/>
      <c r="J212" s="26"/>
      <c r="K212" s="26"/>
    </row>
    <row r="213" customFormat="false" ht="15" hidden="false" customHeight="false" outlineLevel="0" collapsed="false">
      <c r="A213" s="26"/>
      <c r="B213" s="27"/>
      <c r="C213" s="26"/>
      <c r="D213" s="28"/>
      <c r="E213" s="28"/>
      <c r="F213" s="28"/>
      <c r="G213" s="28"/>
      <c r="H213" s="29" t="str">
        <f aca="false">IF(OR(G213="",D213=""),"",IF(E213="Min",IF(G213&gt;=D213,"Pass","Fail"),IF(G213&lt;=D213,"Pass","Fail")))</f>
        <v/>
      </c>
      <c r="I213" s="26"/>
      <c r="J213" s="26"/>
      <c r="K213" s="26"/>
    </row>
    <row r="214" customFormat="false" ht="15" hidden="false" customHeight="false" outlineLevel="0" collapsed="false">
      <c r="A214" s="26"/>
      <c r="B214" s="27"/>
      <c r="C214" s="26"/>
      <c r="D214" s="28"/>
      <c r="E214" s="28"/>
      <c r="F214" s="28"/>
      <c r="G214" s="28"/>
      <c r="H214" s="29" t="str">
        <f aca="false">IF(OR(G214="",D214=""),"",IF(E214="Min",IF(G214&gt;=D214,"Pass","Fail"),IF(G214&lt;=D214,"Pass","Fail")))</f>
        <v/>
      </c>
      <c r="I214" s="26"/>
      <c r="J214" s="26"/>
      <c r="K214" s="26"/>
    </row>
    <row r="215" customFormat="false" ht="15" hidden="false" customHeight="false" outlineLevel="0" collapsed="false">
      <c r="A215" s="26"/>
      <c r="B215" s="27"/>
      <c r="C215" s="26"/>
      <c r="D215" s="28"/>
      <c r="E215" s="28"/>
      <c r="F215" s="28"/>
      <c r="G215" s="28"/>
      <c r="H215" s="29" t="str">
        <f aca="false">IF(OR(G215="",D215=""),"",IF(E215="Min",IF(G215&gt;=D215,"Pass","Fail"),IF(G215&lt;=D215,"Pass","Fail")))</f>
        <v/>
      </c>
      <c r="I215" s="26"/>
      <c r="J215" s="26"/>
      <c r="K215" s="26"/>
    </row>
    <row r="216" customFormat="false" ht="15" hidden="false" customHeight="false" outlineLevel="0" collapsed="false">
      <c r="A216" s="26"/>
      <c r="B216" s="27"/>
      <c r="C216" s="26"/>
      <c r="D216" s="28"/>
      <c r="E216" s="28"/>
      <c r="F216" s="28"/>
      <c r="G216" s="28"/>
      <c r="H216" s="29" t="str">
        <f aca="false">IF(OR(G216="",D216=""),"",IF(E216="Min",IF(G216&gt;=D216,"Pass","Fail"),IF(G216&lt;=D216,"Pass","Fail")))</f>
        <v/>
      </c>
      <c r="I216" s="26"/>
      <c r="J216" s="26"/>
      <c r="K216" s="26"/>
    </row>
    <row r="217" customFormat="false" ht="15" hidden="false" customHeight="false" outlineLevel="0" collapsed="false">
      <c r="A217" s="26"/>
      <c r="B217" s="27"/>
      <c r="C217" s="26"/>
      <c r="D217" s="28"/>
      <c r="E217" s="28"/>
      <c r="F217" s="28"/>
      <c r="G217" s="28"/>
      <c r="H217" s="29" t="str">
        <f aca="false">IF(OR(G217="",D217=""),"",IF(E217="Min",IF(G217&gt;=D217,"Pass","Fail"),IF(G217&lt;=D217,"Pass","Fail")))</f>
        <v/>
      </c>
      <c r="I217" s="26"/>
      <c r="J217" s="26"/>
      <c r="K217" s="26"/>
    </row>
    <row r="218" customFormat="false" ht="15" hidden="false" customHeight="false" outlineLevel="0" collapsed="false">
      <c r="A218" s="26"/>
      <c r="B218" s="27"/>
      <c r="C218" s="26"/>
      <c r="D218" s="28"/>
      <c r="E218" s="28"/>
      <c r="F218" s="28"/>
      <c r="G218" s="28"/>
      <c r="H218" s="29" t="str">
        <f aca="false">IF(OR(G218="",D218=""),"",IF(E218="Min",IF(G218&gt;=D218,"Pass","Fail"),IF(G218&lt;=D218,"Pass","Fail")))</f>
        <v/>
      </c>
      <c r="I218" s="26"/>
      <c r="J218" s="26"/>
      <c r="K218" s="26"/>
    </row>
    <row r="219" customFormat="false" ht="15" hidden="false" customHeight="false" outlineLevel="0" collapsed="false">
      <c r="A219" s="26"/>
      <c r="B219" s="27"/>
      <c r="C219" s="26"/>
      <c r="D219" s="28"/>
      <c r="E219" s="28"/>
      <c r="F219" s="28"/>
      <c r="G219" s="28"/>
      <c r="H219" s="29" t="str">
        <f aca="false">IF(OR(G219="",D219=""),"",IF(E219="Min",IF(G219&gt;=D219,"Pass","Fail"),IF(G219&lt;=D219,"Pass","Fail")))</f>
        <v/>
      </c>
      <c r="I219" s="26"/>
      <c r="J219" s="26"/>
      <c r="K219" s="26"/>
    </row>
    <row r="220" customFormat="false" ht="15" hidden="false" customHeight="false" outlineLevel="0" collapsed="false">
      <c r="A220" s="26"/>
      <c r="B220" s="27"/>
      <c r="C220" s="26"/>
      <c r="D220" s="28"/>
      <c r="E220" s="28"/>
      <c r="F220" s="28"/>
      <c r="G220" s="28"/>
      <c r="H220" s="29" t="str">
        <f aca="false">IF(OR(G220="",D220=""),"",IF(E220="Min",IF(G220&gt;=D220,"Pass","Fail"),IF(G220&lt;=D220,"Pass","Fail")))</f>
        <v/>
      </c>
      <c r="I220" s="26"/>
      <c r="J220" s="26"/>
      <c r="K220" s="26"/>
    </row>
    <row r="221" customFormat="false" ht="15" hidden="false" customHeight="false" outlineLevel="0" collapsed="false">
      <c r="A221" s="26"/>
      <c r="B221" s="27"/>
      <c r="C221" s="26"/>
      <c r="D221" s="28"/>
      <c r="E221" s="28"/>
      <c r="F221" s="28"/>
      <c r="G221" s="28"/>
      <c r="H221" s="29" t="str">
        <f aca="false">IF(OR(G221="",D221=""),"",IF(E221="Min",IF(G221&gt;=D221,"Pass","Fail"),IF(G221&lt;=D221,"Pass","Fail")))</f>
        <v/>
      </c>
      <c r="I221" s="26"/>
      <c r="J221" s="26"/>
      <c r="K221" s="26"/>
    </row>
    <row r="222" customFormat="false" ht="15" hidden="false" customHeight="false" outlineLevel="0" collapsed="false">
      <c r="A222" s="26"/>
      <c r="B222" s="27"/>
      <c r="C222" s="26"/>
      <c r="D222" s="28"/>
      <c r="E222" s="28"/>
      <c r="F222" s="28"/>
      <c r="G222" s="28"/>
      <c r="H222" s="29" t="str">
        <f aca="false">IF(OR(G222="",D222=""),"",IF(E222="Min",IF(G222&gt;=D222,"Pass","Fail"),IF(G222&lt;=D222,"Pass","Fail")))</f>
        <v/>
      </c>
      <c r="I222" s="26"/>
      <c r="J222" s="26"/>
      <c r="K222" s="26"/>
    </row>
    <row r="223" customFormat="false" ht="15" hidden="false" customHeight="false" outlineLevel="0" collapsed="false">
      <c r="A223" s="26"/>
      <c r="B223" s="27"/>
      <c r="C223" s="26"/>
      <c r="D223" s="28"/>
      <c r="E223" s="28"/>
      <c r="F223" s="28"/>
      <c r="G223" s="28"/>
      <c r="H223" s="29" t="str">
        <f aca="false">IF(OR(G223="",D223=""),"",IF(E223="Min",IF(G223&gt;=D223,"Pass","Fail"),IF(G223&lt;=D223,"Pass","Fail")))</f>
        <v/>
      </c>
      <c r="I223" s="26"/>
      <c r="J223" s="26"/>
      <c r="K223" s="26"/>
    </row>
    <row r="224" customFormat="false" ht="15" hidden="false" customHeight="false" outlineLevel="0" collapsed="false">
      <c r="A224" s="26"/>
      <c r="B224" s="27"/>
      <c r="C224" s="26"/>
      <c r="D224" s="28"/>
      <c r="E224" s="28"/>
      <c r="F224" s="28"/>
      <c r="G224" s="28"/>
      <c r="H224" s="29" t="str">
        <f aca="false">IF(OR(G224="",D224=""),"",IF(E224="Min",IF(G224&gt;=D224,"Pass","Fail"),IF(G224&lt;=D224,"Pass","Fail")))</f>
        <v/>
      </c>
      <c r="I224" s="26"/>
      <c r="J224" s="26"/>
      <c r="K224" s="26"/>
    </row>
    <row r="225" customFormat="false" ht="15" hidden="false" customHeight="false" outlineLevel="0" collapsed="false">
      <c r="A225" s="26"/>
      <c r="B225" s="27"/>
      <c r="C225" s="26"/>
      <c r="D225" s="28"/>
      <c r="E225" s="28"/>
      <c r="F225" s="28"/>
      <c r="G225" s="28"/>
      <c r="H225" s="29" t="str">
        <f aca="false">IF(OR(G225="",D225=""),"",IF(E225="Min",IF(G225&gt;=D225,"Pass","Fail"),IF(G225&lt;=D225,"Pass","Fail")))</f>
        <v/>
      </c>
      <c r="I225" s="26"/>
      <c r="J225" s="26"/>
      <c r="K225" s="26"/>
    </row>
    <row r="226" customFormat="false" ht="15" hidden="false" customHeight="false" outlineLevel="0" collapsed="false">
      <c r="A226" s="26"/>
      <c r="B226" s="27"/>
      <c r="C226" s="26"/>
      <c r="D226" s="28"/>
      <c r="E226" s="28"/>
      <c r="F226" s="28"/>
      <c r="G226" s="28"/>
      <c r="H226" s="29" t="str">
        <f aca="false">IF(OR(G226="",D226=""),"",IF(E226="Min",IF(G226&gt;=D226,"Pass","Fail"),IF(G226&lt;=D226,"Pass","Fail")))</f>
        <v/>
      </c>
      <c r="I226" s="26"/>
      <c r="J226" s="26"/>
      <c r="K226" s="26"/>
    </row>
    <row r="227" customFormat="false" ht="15" hidden="false" customHeight="false" outlineLevel="0" collapsed="false">
      <c r="A227" s="26"/>
      <c r="B227" s="27"/>
      <c r="C227" s="26"/>
      <c r="D227" s="28"/>
      <c r="E227" s="28"/>
      <c r="F227" s="28"/>
      <c r="G227" s="28"/>
      <c r="H227" s="29" t="str">
        <f aca="false">IF(OR(G227="",D227=""),"",IF(E227="Min",IF(G227&gt;=D227,"Pass","Fail"),IF(G227&lt;=D227,"Pass","Fail")))</f>
        <v/>
      </c>
      <c r="I227" s="26"/>
      <c r="J227" s="26"/>
      <c r="K227" s="26"/>
    </row>
    <row r="228" customFormat="false" ht="15" hidden="false" customHeight="false" outlineLevel="0" collapsed="false">
      <c r="A228" s="26"/>
      <c r="B228" s="27"/>
      <c r="C228" s="26"/>
      <c r="D228" s="28"/>
      <c r="E228" s="28"/>
      <c r="F228" s="28"/>
      <c r="G228" s="28"/>
      <c r="H228" s="29" t="str">
        <f aca="false">IF(OR(G228="",D228=""),"",IF(E228="Min",IF(G228&gt;=D228,"Pass","Fail"),IF(G228&lt;=D228,"Pass","Fail")))</f>
        <v/>
      </c>
      <c r="I228" s="26"/>
      <c r="J228" s="26"/>
      <c r="K228" s="26"/>
    </row>
    <row r="229" customFormat="false" ht="15" hidden="false" customHeight="false" outlineLevel="0" collapsed="false">
      <c r="A229" s="26"/>
      <c r="B229" s="27"/>
      <c r="C229" s="26"/>
      <c r="D229" s="28"/>
      <c r="E229" s="28"/>
      <c r="F229" s="28"/>
      <c r="G229" s="28"/>
      <c r="H229" s="29" t="str">
        <f aca="false">IF(OR(G229="",D229=""),"",IF(E229="Min",IF(G229&gt;=D229,"Pass","Fail"),IF(G229&lt;=D229,"Pass","Fail")))</f>
        <v/>
      </c>
      <c r="I229" s="26"/>
      <c r="J229" s="26"/>
      <c r="K229" s="26"/>
    </row>
    <row r="230" customFormat="false" ht="15" hidden="false" customHeight="false" outlineLevel="0" collapsed="false">
      <c r="A230" s="26"/>
      <c r="B230" s="27"/>
      <c r="C230" s="26"/>
      <c r="D230" s="28"/>
      <c r="E230" s="28"/>
      <c r="F230" s="28"/>
      <c r="G230" s="28"/>
      <c r="H230" s="29" t="str">
        <f aca="false">IF(OR(G230="",D230=""),"",IF(E230="Min",IF(G230&gt;=D230,"Pass","Fail"),IF(G230&lt;=D230,"Pass","Fail")))</f>
        <v/>
      </c>
      <c r="I230" s="26"/>
      <c r="J230" s="26"/>
      <c r="K230" s="26"/>
    </row>
    <row r="231" customFormat="false" ht="15" hidden="false" customHeight="false" outlineLevel="0" collapsed="false">
      <c r="A231" s="26"/>
      <c r="B231" s="27"/>
      <c r="C231" s="26"/>
      <c r="D231" s="28"/>
      <c r="E231" s="28"/>
      <c r="F231" s="28"/>
      <c r="G231" s="28"/>
      <c r="H231" s="29" t="str">
        <f aca="false">IF(OR(G231="",D231=""),"",IF(E231="Min",IF(G231&gt;=D231,"Pass","Fail"),IF(G231&lt;=D231,"Pass","Fail")))</f>
        <v/>
      </c>
      <c r="I231" s="26"/>
      <c r="J231" s="26"/>
      <c r="K231" s="26"/>
    </row>
    <row r="232" customFormat="false" ht="15" hidden="false" customHeight="false" outlineLevel="0" collapsed="false">
      <c r="A232" s="26"/>
      <c r="B232" s="27"/>
      <c r="C232" s="26"/>
      <c r="D232" s="28"/>
      <c r="E232" s="28"/>
      <c r="F232" s="28"/>
      <c r="G232" s="28"/>
      <c r="H232" s="29" t="str">
        <f aca="false">IF(OR(G232="",D232=""),"",IF(E232="Min",IF(G232&gt;=D232,"Pass","Fail"),IF(G232&lt;=D232,"Pass","Fail")))</f>
        <v/>
      </c>
      <c r="I232" s="26"/>
      <c r="J232" s="26"/>
      <c r="K232" s="26"/>
    </row>
    <row r="233" customFormat="false" ht="15" hidden="false" customHeight="false" outlineLevel="0" collapsed="false">
      <c r="A233" s="26"/>
      <c r="B233" s="27"/>
      <c r="C233" s="26"/>
      <c r="D233" s="28"/>
      <c r="E233" s="28"/>
      <c r="F233" s="28"/>
      <c r="G233" s="28"/>
      <c r="H233" s="29" t="str">
        <f aca="false">IF(OR(G233="",D233=""),"",IF(E233="Min",IF(G233&gt;=D233,"Pass","Fail"),IF(G233&lt;=D233,"Pass","Fail")))</f>
        <v/>
      </c>
      <c r="I233" s="26"/>
      <c r="J233" s="26"/>
      <c r="K233" s="26"/>
    </row>
    <row r="234" customFormat="false" ht="15" hidden="false" customHeight="false" outlineLevel="0" collapsed="false">
      <c r="A234" s="26"/>
      <c r="B234" s="27"/>
      <c r="C234" s="26"/>
      <c r="D234" s="28"/>
      <c r="E234" s="28"/>
      <c r="F234" s="28"/>
      <c r="G234" s="28"/>
      <c r="H234" s="29" t="str">
        <f aca="false">IF(OR(G234="",D234=""),"",IF(E234="Min",IF(G234&gt;=D234,"Pass","Fail"),IF(G234&lt;=D234,"Pass","Fail")))</f>
        <v/>
      </c>
      <c r="I234" s="26"/>
      <c r="J234" s="26"/>
      <c r="K234" s="26"/>
    </row>
    <row r="235" customFormat="false" ht="15" hidden="false" customHeight="false" outlineLevel="0" collapsed="false">
      <c r="A235" s="26"/>
      <c r="B235" s="27"/>
      <c r="C235" s="26"/>
      <c r="D235" s="28"/>
      <c r="E235" s="28"/>
      <c r="F235" s="28"/>
      <c r="G235" s="28"/>
      <c r="H235" s="29" t="str">
        <f aca="false">IF(OR(G235="",D235=""),"",IF(E235="Min",IF(G235&gt;=D235,"Pass","Fail"),IF(G235&lt;=D235,"Pass","Fail")))</f>
        <v/>
      </c>
      <c r="I235" s="26"/>
      <c r="J235" s="26"/>
      <c r="K235" s="26"/>
    </row>
    <row r="236" customFormat="false" ht="15" hidden="false" customHeight="false" outlineLevel="0" collapsed="false">
      <c r="A236" s="26"/>
      <c r="B236" s="27"/>
      <c r="C236" s="26"/>
      <c r="D236" s="28"/>
      <c r="E236" s="28"/>
      <c r="F236" s="28"/>
      <c r="G236" s="28"/>
      <c r="H236" s="29" t="str">
        <f aca="false">IF(OR(G236="",D236=""),"",IF(E236="Min",IF(G236&gt;=D236,"Pass","Fail"),IF(G236&lt;=D236,"Pass","Fail")))</f>
        <v/>
      </c>
      <c r="I236" s="26"/>
      <c r="J236" s="26"/>
      <c r="K236" s="26"/>
    </row>
    <row r="237" customFormat="false" ht="15" hidden="false" customHeight="false" outlineLevel="0" collapsed="false">
      <c r="A237" s="26"/>
      <c r="B237" s="27"/>
      <c r="C237" s="26"/>
      <c r="D237" s="28"/>
      <c r="E237" s="28"/>
      <c r="F237" s="28"/>
      <c r="G237" s="28"/>
      <c r="H237" s="29" t="str">
        <f aca="false">IF(OR(G237="",D237=""),"",IF(E237="Min",IF(G237&gt;=D237,"Pass","Fail"),IF(G237&lt;=D237,"Pass","Fail")))</f>
        <v/>
      </c>
      <c r="I237" s="26"/>
      <c r="J237" s="26"/>
      <c r="K237" s="26"/>
    </row>
    <row r="238" customFormat="false" ht="15" hidden="false" customHeight="false" outlineLevel="0" collapsed="false">
      <c r="A238" s="26"/>
      <c r="B238" s="27"/>
      <c r="C238" s="26"/>
      <c r="D238" s="28"/>
      <c r="E238" s="28"/>
      <c r="F238" s="28"/>
      <c r="G238" s="28"/>
      <c r="H238" s="29" t="str">
        <f aca="false">IF(OR(G238="",D238=""),"",IF(E238="Min",IF(G238&gt;=D238,"Pass","Fail"),IF(G238&lt;=D238,"Pass","Fail")))</f>
        <v/>
      </c>
      <c r="I238" s="26"/>
      <c r="J238" s="26"/>
      <c r="K238" s="26"/>
    </row>
    <row r="239" customFormat="false" ht="15" hidden="false" customHeight="false" outlineLevel="0" collapsed="false">
      <c r="A239" s="26"/>
      <c r="B239" s="27"/>
      <c r="C239" s="26"/>
      <c r="D239" s="28"/>
      <c r="E239" s="28"/>
      <c r="F239" s="28"/>
      <c r="G239" s="28"/>
      <c r="H239" s="29" t="str">
        <f aca="false">IF(OR(G239="",D239=""),"",IF(E239="Min",IF(G239&gt;=D239,"Pass","Fail"),IF(G239&lt;=D239,"Pass","Fail")))</f>
        <v/>
      </c>
      <c r="I239" s="26"/>
      <c r="J239" s="26"/>
      <c r="K239" s="26"/>
    </row>
    <row r="240" customFormat="false" ht="15" hidden="false" customHeight="false" outlineLevel="0" collapsed="false">
      <c r="A240" s="26"/>
      <c r="B240" s="27"/>
      <c r="C240" s="26"/>
      <c r="D240" s="28"/>
      <c r="E240" s="28"/>
      <c r="F240" s="28"/>
      <c r="G240" s="28"/>
      <c r="H240" s="29" t="str">
        <f aca="false">IF(OR(G240="",D240=""),"",IF(E240="Min",IF(G240&gt;=D240,"Pass","Fail"),IF(G240&lt;=D240,"Pass","Fail")))</f>
        <v/>
      </c>
      <c r="I240" s="26"/>
      <c r="J240" s="26"/>
      <c r="K240" s="26"/>
    </row>
    <row r="241" customFormat="false" ht="15" hidden="false" customHeight="false" outlineLevel="0" collapsed="false">
      <c r="A241" s="26"/>
      <c r="B241" s="27"/>
      <c r="C241" s="26"/>
      <c r="D241" s="28"/>
      <c r="E241" s="28"/>
      <c r="F241" s="28"/>
      <c r="G241" s="28"/>
      <c r="H241" s="29" t="str">
        <f aca="false">IF(OR(G241="",D241=""),"",IF(E241="Min",IF(G241&gt;=D241,"Pass","Fail"),IF(G241&lt;=D241,"Pass","Fail")))</f>
        <v/>
      </c>
      <c r="I241" s="26"/>
      <c r="J241" s="26"/>
      <c r="K241" s="26"/>
    </row>
    <row r="242" customFormat="false" ht="15" hidden="false" customHeight="false" outlineLevel="0" collapsed="false">
      <c r="A242" s="26"/>
      <c r="B242" s="27"/>
      <c r="C242" s="26"/>
      <c r="D242" s="28"/>
      <c r="E242" s="28"/>
      <c r="F242" s="28"/>
      <c r="G242" s="28"/>
      <c r="H242" s="29" t="str">
        <f aca="false">IF(OR(G242="",D242=""),"",IF(E242="Min",IF(G242&gt;=D242,"Pass","Fail"),IF(G242&lt;=D242,"Pass","Fail")))</f>
        <v/>
      </c>
      <c r="I242" s="26"/>
      <c r="J242" s="26"/>
      <c r="K242" s="26"/>
    </row>
    <row r="243" customFormat="false" ht="15" hidden="false" customHeight="false" outlineLevel="0" collapsed="false">
      <c r="A243" s="26"/>
      <c r="B243" s="27"/>
      <c r="C243" s="26"/>
      <c r="D243" s="28"/>
      <c r="E243" s="28"/>
      <c r="F243" s="28"/>
      <c r="G243" s="28"/>
      <c r="H243" s="29" t="str">
        <f aca="false">IF(OR(G243="",D243=""),"",IF(E243="Min",IF(G243&gt;=D243,"Pass","Fail"),IF(G243&lt;=D243,"Pass","Fail")))</f>
        <v/>
      </c>
      <c r="I243" s="26"/>
      <c r="J243" s="26"/>
      <c r="K243" s="26"/>
    </row>
    <row r="244" customFormat="false" ht="15" hidden="false" customHeight="false" outlineLevel="0" collapsed="false">
      <c r="A244" s="26"/>
      <c r="B244" s="27"/>
      <c r="C244" s="26"/>
      <c r="D244" s="28"/>
      <c r="E244" s="28"/>
      <c r="F244" s="28"/>
      <c r="G244" s="28"/>
      <c r="H244" s="29" t="str">
        <f aca="false">IF(OR(G244="",D244=""),"",IF(E244="Min",IF(G244&gt;=D244,"Pass","Fail"),IF(G244&lt;=D244,"Pass","Fail")))</f>
        <v/>
      </c>
      <c r="I244" s="26"/>
      <c r="J244" s="26"/>
      <c r="K244" s="26"/>
    </row>
    <row r="245" customFormat="false" ht="15" hidden="false" customHeight="false" outlineLevel="0" collapsed="false">
      <c r="A245" s="26"/>
      <c r="B245" s="27"/>
      <c r="C245" s="26"/>
      <c r="D245" s="28"/>
      <c r="E245" s="28"/>
      <c r="F245" s="28"/>
      <c r="G245" s="28"/>
      <c r="H245" s="29" t="str">
        <f aca="false">IF(OR(G245="",D245=""),"",IF(E245="Min",IF(G245&gt;=D245,"Pass","Fail"),IF(G245&lt;=D245,"Pass","Fail")))</f>
        <v/>
      </c>
      <c r="I245" s="26"/>
      <c r="J245" s="26"/>
      <c r="K245" s="26"/>
    </row>
    <row r="246" customFormat="false" ht="15" hidden="false" customHeight="false" outlineLevel="0" collapsed="false">
      <c r="A246" s="26"/>
      <c r="B246" s="27"/>
      <c r="C246" s="26"/>
      <c r="D246" s="28"/>
      <c r="E246" s="28"/>
      <c r="F246" s="28"/>
      <c r="G246" s="28"/>
      <c r="H246" s="29" t="str">
        <f aca="false">IF(OR(G246="",D246=""),"",IF(E246="Min",IF(G246&gt;=D246,"Pass","Fail"),IF(G246&lt;=D246,"Pass","Fail")))</f>
        <v/>
      </c>
      <c r="I246" s="26"/>
      <c r="J246" s="26"/>
      <c r="K246" s="26"/>
    </row>
    <row r="247" customFormat="false" ht="15" hidden="false" customHeight="false" outlineLevel="0" collapsed="false">
      <c r="A247" s="26"/>
      <c r="B247" s="27"/>
      <c r="C247" s="26"/>
      <c r="D247" s="28"/>
      <c r="E247" s="28"/>
      <c r="F247" s="28"/>
      <c r="G247" s="28"/>
      <c r="H247" s="29" t="str">
        <f aca="false">IF(OR(G247="",D247=""),"",IF(E247="Min",IF(G247&gt;=D247,"Pass","Fail"),IF(G247&lt;=D247,"Pass","Fail")))</f>
        <v/>
      </c>
      <c r="I247" s="26"/>
      <c r="J247" s="26"/>
      <c r="K247" s="26"/>
    </row>
    <row r="248" customFormat="false" ht="15" hidden="false" customHeight="false" outlineLevel="0" collapsed="false">
      <c r="A248" s="26"/>
      <c r="B248" s="27"/>
      <c r="C248" s="26"/>
      <c r="D248" s="28"/>
      <c r="E248" s="28"/>
      <c r="F248" s="28"/>
      <c r="G248" s="28"/>
      <c r="H248" s="29" t="str">
        <f aca="false">IF(OR(G248="",D248=""),"",IF(E248="Min",IF(G248&gt;=D248,"Pass","Fail"),IF(G248&lt;=D248,"Pass","Fail")))</f>
        <v/>
      </c>
      <c r="I248" s="26"/>
      <c r="J248" s="26"/>
      <c r="K248" s="26"/>
    </row>
    <row r="249" customFormat="false" ht="15" hidden="false" customHeight="false" outlineLevel="0" collapsed="false">
      <c r="A249" s="26"/>
      <c r="B249" s="27"/>
      <c r="C249" s="26"/>
      <c r="D249" s="28"/>
      <c r="E249" s="28"/>
      <c r="F249" s="28"/>
      <c r="G249" s="28"/>
      <c r="H249" s="29" t="str">
        <f aca="false">IF(OR(G249="",D249=""),"",IF(E249="Min",IF(G249&gt;=D249,"Pass","Fail"),IF(G249&lt;=D249,"Pass","Fail")))</f>
        <v/>
      </c>
      <c r="I249" s="26"/>
      <c r="J249" s="26"/>
      <c r="K249" s="26"/>
    </row>
    <row r="250" customFormat="false" ht="15" hidden="false" customHeight="false" outlineLevel="0" collapsed="false">
      <c r="A250" s="26"/>
      <c r="B250" s="27"/>
      <c r="C250" s="26"/>
      <c r="D250" s="28"/>
      <c r="E250" s="28"/>
      <c r="F250" s="28"/>
      <c r="G250" s="28"/>
      <c r="H250" s="29" t="str">
        <f aca="false">IF(OR(G250="",D250=""),"",IF(E250="Min",IF(G250&gt;=D250,"Pass","Fail"),IF(G250&lt;=D250,"Pass","Fail")))</f>
        <v/>
      </c>
      <c r="I250" s="26"/>
      <c r="J250" s="26"/>
      <c r="K250" s="26"/>
    </row>
    <row r="251" customFormat="false" ht="15" hidden="false" customHeight="false" outlineLevel="0" collapsed="false">
      <c r="A251" s="26"/>
      <c r="B251" s="27"/>
      <c r="C251" s="26"/>
      <c r="D251" s="28"/>
      <c r="E251" s="28"/>
      <c r="F251" s="28"/>
      <c r="G251" s="28"/>
      <c r="H251" s="29" t="str">
        <f aca="false">IF(OR(G251="",D251=""),"",IF(E251="Min",IF(G251&gt;=D251,"Pass","Fail"),IF(G251&lt;=D251,"Pass","Fail")))</f>
        <v/>
      </c>
      <c r="I251" s="26"/>
      <c r="J251" s="26"/>
      <c r="K251" s="26"/>
    </row>
    <row r="252" customFormat="false" ht="15" hidden="false" customHeight="false" outlineLevel="0" collapsed="false">
      <c r="A252" s="26"/>
      <c r="B252" s="27"/>
      <c r="C252" s="26"/>
      <c r="D252" s="28"/>
      <c r="E252" s="28"/>
      <c r="F252" s="28"/>
      <c r="G252" s="28"/>
      <c r="H252" s="29" t="str">
        <f aca="false">IF(OR(G252="",D252=""),"",IF(E252="Min",IF(G252&gt;=D252,"Pass","Fail"),IF(G252&lt;=D252,"Pass","Fail")))</f>
        <v/>
      </c>
      <c r="I252" s="26"/>
      <c r="J252" s="26"/>
      <c r="K252" s="26"/>
    </row>
    <row r="253" customFormat="false" ht="15" hidden="false" customHeight="false" outlineLevel="0" collapsed="false">
      <c r="A253" s="26"/>
      <c r="B253" s="27"/>
      <c r="C253" s="26"/>
      <c r="D253" s="28"/>
      <c r="E253" s="28"/>
      <c r="F253" s="28"/>
      <c r="G253" s="28"/>
      <c r="H253" s="29" t="str">
        <f aca="false">IF(OR(G253="",D253=""),"",IF(E253="Min",IF(G253&gt;=D253,"Pass","Fail"),IF(G253&lt;=D253,"Pass","Fail")))</f>
        <v/>
      </c>
      <c r="I253" s="26"/>
      <c r="J253" s="26"/>
      <c r="K253" s="26"/>
    </row>
    <row r="254" customFormat="false" ht="15" hidden="false" customHeight="false" outlineLevel="0" collapsed="false">
      <c r="A254" s="26"/>
      <c r="B254" s="27"/>
      <c r="C254" s="26"/>
      <c r="D254" s="28"/>
      <c r="E254" s="28"/>
      <c r="F254" s="28"/>
      <c r="G254" s="28"/>
      <c r="H254" s="29" t="str">
        <f aca="false">IF(OR(G254="",D254=""),"",IF(E254="Min",IF(G254&gt;=D254,"Pass","Fail"),IF(G254&lt;=D254,"Pass","Fail")))</f>
        <v/>
      </c>
      <c r="I254" s="26"/>
      <c r="J254" s="26"/>
      <c r="K254" s="26"/>
    </row>
    <row r="255" customFormat="false" ht="15" hidden="false" customHeight="false" outlineLevel="0" collapsed="false">
      <c r="A255" s="26"/>
      <c r="B255" s="27"/>
      <c r="C255" s="26"/>
      <c r="D255" s="28"/>
      <c r="E255" s="28"/>
      <c r="F255" s="28"/>
      <c r="G255" s="28"/>
      <c r="H255" s="29" t="str">
        <f aca="false">IF(OR(G255="",D255=""),"",IF(E255="Min",IF(G255&gt;=D255,"Pass","Fail"),IF(G255&lt;=D255,"Pass","Fail")))</f>
        <v/>
      </c>
      <c r="I255" s="26"/>
      <c r="J255" s="26"/>
      <c r="K255" s="26"/>
    </row>
    <row r="256" customFormat="false" ht="15" hidden="false" customHeight="false" outlineLevel="0" collapsed="false">
      <c r="A256" s="26"/>
      <c r="B256" s="27"/>
      <c r="C256" s="26"/>
      <c r="D256" s="28"/>
      <c r="E256" s="28"/>
      <c r="F256" s="28"/>
      <c r="G256" s="28"/>
      <c r="H256" s="29" t="str">
        <f aca="false">IF(OR(G256="",D256=""),"",IF(E256="Min",IF(G256&gt;=D256,"Pass","Fail"),IF(G256&lt;=D256,"Pass","Fail")))</f>
        <v/>
      </c>
      <c r="I256" s="26"/>
      <c r="J256" s="26"/>
      <c r="K256" s="26"/>
    </row>
    <row r="257" customFormat="false" ht="15" hidden="false" customHeight="false" outlineLevel="0" collapsed="false">
      <c r="A257" s="26"/>
      <c r="B257" s="27"/>
      <c r="C257" s="26"/>
      <c r="D257" s="28"/>
      <c r="E257" s="28"/>
      <c r="F257" s="28"/>
      <c r="G257" s="28"/>
      <c r="H257" s="29" t="str">
        <f aca="false">IF(OR(G257="",D257=""),"",IF(E257="Min",IF(G257&gt;=D257,"Pass","Fail"),IF(G257&lt;=D257,"Pass","Fail")))</f>
        <v/>
      </c>
      <c r="I257" s="26"/>
      <c r="J257" s="26"/>
      <c r="K257" s="26"/>
    </row>
    <row r="258" customFormat="false" ht="15" hidden="false" customHeight="false" outlineLevel="0" collapsed="false">
      <c r="A258" s="26"/>
      <c r="B258" s="27"/>
      <c r="C258" s="26"/>
      <c r="D258" s="28"/>
      <c r="E258" s="28"/>
      <c r="F258" s="28"/>
      <c r="G258" s="28"/>
      <c r="H258" s="29" t="str">
        <f aca="false">IF(OR(G258="",D258=""),"",IF(E258="Min",IF(G258&gt;=D258,"Pass","Fail"),IF(G258&lt;=D258,"Pass","Fail")))</f>
        <v/>
      </c>
      <c r="I258" s="26"/>
      <c r="J258" s="26"/>
      <c r="K258" s="26"/>
    </row>
    <row r="259" customFormat="false" ht="15" hidden="false" customHeight="false" outlineLevel="0" collapsed="false">
      <c r="A259" s="26"/>
      <c r="B259" s="27"/>
      <c r="C259" s="26"/>
      <c r="D259" s="28"/>
      <c r="E259" s="28"/>
      <c r="F259" s="28"/>
      <c r="G259" s="28"/>
      <c r="H259" s="29" t="str">
        <f aca="false">IF(OR(G259="",D259=""),"",IF(E259="Min",IF(G259&gt;=D259,"Pass","Fail"),IF(G259&lt;=D259,"Pass","Fail")))</f>
        <v/>
      </c>
      <c r="I259" s="26"/>
      <c r="J259" s="26"/>
      <c r="K259" s="26"/>
    </row>
    <row r="260" customFormat="false" ht="15" hidden="false" customHeight="false" outlineLevel="0" collapsed="false">
      <c r="A260" s="26"/>
      <c r="B260" s="27"/>
      <c r="C260" s="26"/>
      <c r="D260" s="28"/>
      <c r="E260" s="28"/>
      <c r="F260" s="28"/>
      <c r="G260" s="28"/>
      <c r="H260" s="29" t="str">
        <f aca="false">IF(OR(G260="",D260=""),"",IF(E260="Min",IF(G260&gt;=D260,"Pass","Fail"),IF(G260&lt;=D260,"Pass","Fail")))</f>
        <v/>
      </c>
      <c r="I260" s="26"/>
      <c r="J260" s="26"/>
      <c r="K260" s="26"/>
    </row>
    <row r="261" customFormat="false" ht="15" hidden="false" customHeight="false" outlineLevel="0" collapsed="false">
      <c r="A261" s="26"/>
      <c r="B261" s="27"/>
      <c r="C261" s="26"/>
      <c r="D261" s="28"/>
      <c r="E261" s="28"/>
      <c r="F261" s="28"/>
      <c r="G261" s="28"/>
      <c r="H261" s="29" t="str">
        <f aca="false">IF(OR(G261="",D261=""),"",IF(E261="Min",IF(G261&gt;=D261,"Pass","Fail"),IF(G261&lt;=D261,"Pass","Fail")))</f>
        <v/>
      </c>
      <c r="I261" s="26"/>
      <c r="J261" s="26"/>
      <c r="K261" s="26"/>
    </row>
    <row r="262" customFormat="false" ht="15" hidden="false" customHeight="false" outlineLevel="0" collapsed="false">
      <c r="A262" s="26"/>
      <c r="B262" s="27"/>
      <c r="C262" s="26"/>
      <c r="D262" s="28"/>
      <c r="E262" s="28"/>
      <c r="F262" s="28"/>
      <c r="G262" s="28"/>
      <c r="H262" s="29" t="str">
        <f aca="false">IF(OR(G262="",D262=""),"",IF(E262="Min",IF(G262&gt;=D262,"Pass","Fail"),IF(G262&lt;=D262,"Pass","Fail")))</f>
        <v/>
      </c>
      <c r="I262" s="26"/>
      <c r="J262" s="26"/>
      <c r="K262" s="26"/>
    </row>
    <row r="263" customFormat="false" ht="15" hidden="false" customHeight="false" outlineLevel="0" collapsed="false">
      <c r="A263" s="26"/>
      <c r="B263" s="27"/>
      <c r="C263" s="26"/>
      <c r="D263" s="28"/>
      <c r="E263" s="28"/>
      <c r="F263" s="28"/>
      <c r="G263" s="28"/>
      <c r="H263" s="29" t="str">
        <f aca="false">IF(OR(G263="",D263=""),"",IF(E263="Min",IF(G263&gt;=D263,"Pass","Fail"),IF(G263&lt;=D263,"Pass","Fail")))</f>
        <v/>
      </c>
      <c r="I263" s="26"/>
      <c r="J263" s="26"/>
      <c r="K263" s="26"/>
    </row>
    <row r="264" customFormat="false" ht="15" hidden="false" customHeight="false" outlineLevel="0" collapsed="false">
      <c r="A264" s="26"/>
      <c r="B264" s="27"/>
      <c r="C264" s="26"/>
      <c r="D264" s="28"/>
      <c r="E264" s="28"/>
      <c r="F264" s="28"/>
      <c r="G264" s="28"/>
      <c r="H264" s="29" t="str">
        <f aca="false">IF(OR(G264="",D264=""),"",IF(E264="Min",IF(G264&gt;=D264,"Pass","Fail"),IF(G264&lt;=D264,"Pass","Fail")))</f>
        <v/>
      </c>
      <c r="I264" s="26"/>
      <c r="J264" s="26"/>
      <c r="K264" s="26"/>
    </row>
    <row r="265" customFormat="false" ht="15" hidden="false" customHeight="false" outlineLevel="0" collapsed="false">
      <c r="A265" s="26"/>
      <c r="B265" s="27"/>
      <c r="C265" s="26"/>
      <c r="D265" s="28"/>
      <c r="E265" s="28"/>
      <c r="F265" s="28"/>
      <c r="G265" s="28"/>
      <c r="H265" s="29" t="str">
        <f aca="false">IF(OR(G265="",D265=""),"",IF(E265="Min",IF(G265&gt;=D265,"Pass","Fail"),IF(G265&lt;=D265,"Pass","Fail")))</f>
        <v/>
      </c>
      <c r="I265" s="26"/>
      <c r="J265" s="26"/>
      <c r="K265" s="26"/>
    </row>
    <row r="266" customFormat="false" ht="15" hidden="false" customHeight="false" outlineLevel="0" collapsed="false">
      <c r="A266" s="26"/>
      <c r="B266" s="27"/>
      <c r="C266" s="26"/>
      <c r="D266" s="28"/>
      <c r="E266" s="28"/>
      <c r="F266" s="28"/>
      <c r="G266" s="28"/>
      <c r="H266" s="29" t="str">
        <f aca="false">IF(OR(G266="",D266=""),"",IF(E266="Min",IF(G266&gt;=D266,"Pass","Fail"),IF(G266&lt;=D266,"Pass","Fail")))</f>
        <v/>
      </c>
      <c r="I266" s="26"/>
      <c r="J266" s="26"/>
      <c r="K266" s="26"/>
    </row>
    <row r="267" customFormat="false" ht="15" hidden="false" customHeight="false" outlineLevel="0" collapsed="false">
      <c r="A267" s="26"/>
      <c r="B267" s="27"/>
      <c r="C267" s="26"/>
      <c r="D267" s="28"/>
      <c r="E267" s="28"/>
      <c r="F267" s="28"/>
      <c r="G267" s="28"/>
      <c r="H267" s="29" t="str">
        <f aca="false">IF(OR(G267="",D267=""),"",IF(E267="Min",IF(G267&gt;=D267,"Pass","Fail"),IF(G267&lt;=D267,"Pass","Fail")))</f>
        <v/>
      </c>
      <c r="I267" s="26"/>
      <c r="J267" s="26"/>
      <c r="K267" s="26"/>
    </row>
    <row r="268" customFormat="false" ht="15" hidden="false" customHeight="false" outlineLevel="0" collapsed="false">
      <c r="A268" s="26"/>
      <c r="B268" s="27"/>
      <c r="C268" s="26"/>
      <c r="D268" s="28"/>
      <c r="E268" s="28"/>
      <c r="F268" s="28"/>
      <c r="G268" s="28"/>
      <c r="H268" s="29" t="str">
        <f aca="false">IF(OR(G268="",D268=""),"",IF(E268="Min",IF(G268&gt;=D268,"Pass","Fail"),IF(G268&lt;=D268,"Pass","Fail")))</f>
        <v/>
      </c>
      <c r="I268" s="26"/>
      <c r="J268" s="26"/>
      <c r="K268" s="26"/>
    </row>
    <row r="269" customFormat="false" ht="15" hidden="false" customHeight="false" outlineLevel="0" collapsed="false">
      <c r="A269" s="26"/>
      <c r="B269" s="27"/>
      <c r="C269" s="26"/>
      <c r="D269" s="28"/>
      <c r="E269" s="28"/>
      <c r="F269" s="28"/>
      <c r="G269" s="28"/>
      <c r="H269" s="29" t="str">
        <f aca="false">IF(OR(G269="",D269=""),"",IF(E269="Min",IF(G269&gt;=D269,"Pass","Fail"),IF(G269&lt;=D269,"Pass","Fail")))</f>
        <v/>
      </c>
      <c r="I269" s="26"/>
      <c r="J269" s="26"/>
      <c r="K269" s="26"/>
    </row>
    <row r="270" customFormat="false" ht="15" hidden="false" customHeight="false" outlineLevel="0" collapsed="false">
      <c r="A270" s="26"/>
      <c r="B270" s="27"/>
      <c r="C270" s="26"/>
      <c r="D270" s="28"/>
      <c r="E270" s="28"/>
      <c r="F270" s="28"/>
      <c r="G270" s="28"/>
      <c r="H270" s="29" t="str">
        <f aca="false">IF(OR(G270="",D270=""),"",IF(E270="Min",IF(G270&gt;=D270,"Pass","Fail"),IF(G270&lt;=D270,"Pass","Fail")))</f>
        <v/>
      </c>
      <c r="I270" s="26"/>
      <c r="J270" s="26"/>
      <c r="K270" s="26"/>
    </row>
    <row r="271" customFormat="false" ht="15" hidden="false" customHeight="false" outlineLevel="0" collapsed="false">
      <c r="A271" s="26"/>
      <c r="B271" s="27"/>
      <c r="C271" s="26"/>
      <c r="D271" s="28"/>
      <c r="E271" s="28"/>
      <c r="F271" s="28"/>
      <c r="G271" s="28"/>
      <c r="H271" s="29" t="str">
        <f aca="false">IF(OR(G271="",D271=""),"",IF(E271="Min",IF(G271&gt;=D271,"Pass","Fail"),IF(G271&lt;=D271,"Pass","Fail")))</f>
        <v/>
      </c>
      <c r="I271" s="26"/>
      <c r="J271" s="26"/>
      <c r="K271" s="26"/>
    </row>
    <row r="272" customFormat="false" ht="15" hidden="false" customHeight="false" outlineLevel="0" collapsed="false">
      <c r="A272" s="26"/>
      <c r="B272" s="27"/>
      <c r="C272" s="26"/>
      <c r="D272" s="28"/>
      <c r="E272" s="28"/>
      <c r="F272" s="28"/>
      <c r="G272" s="28"/>
      <c r="H272" s="29" t="str">
        <f aca="false">IF(OR(G272="",D272=""),"",IF(E272="Min",IF(G272&gt;=D272,"Pass","Fail"),IF(G272&lt;=D272,"Pass","Fail")))</f>
        <v/>
      </c>
      <c r="I272" s="26"/>
      <c r="J272" s="26"/>
      <c r="K272" s="26"/>
    </row>
    <row r="273" customFormat="false" ht="15" hidden="false" customHeight="false" outlineLevel="0" collapsed="false">
      <c r="A273" s="26"/>
      <c r="B273" s="27"/>
      <c r="C273" s="26"/>
      <c r="D273" s="28"/>
      <c r="E273" s="28"/>
      <c r="F273" s="28"/>
      <c r="G273" s="28"/>
      <c r="H273" s="29" t="str">
        <f aca="false">IF(OR(G273="",D273=""),"",IF(E273="Min",IF(G273&gt;=D273,"Pass","Fail"),IF(G273&lt;=D273,"Pass","Fail")))</f>
        <v/>
      </c>
      <c r="I273" s="26"/>
      <c r="J273" s="26"/>
      <c r="K273" s="26"/>
    </row>
    <row r="274" customFormat="false" ht="15" hidden="false" customHeight="false" outlineLevel="0" collapsed="false">
      <c r="A274" s="26"/>
      <c r="B274" s="27"/>
      <c r="C274" s="26"/>
      <c r="D274" s="28"/>
      <c r="E274" s="28"/>
      <c r="F274" s="28"/>
      <c r="G274" s="28"/>
      <c r="H274" s="29" t="str">
        <f aca="false">IF(OR(G274="",D274=""),"",IF(E274="Min",IF(G274&gt;=D274,"Pass","Fail"),IF(G274&lt;=D274,"Pass","Fail")))</f>
        <v/>
      </c>
      <c r="I274" s="26"/>
      <c r="J274" s="26"/>
      <c r="K274" s="26"/>
    </row>
    <row r="275" customFormat="false" ht="15" hidden="false" customHeight="false" outlineLevel="0" collapsed="false">
      <c r="A275" s="26"/>
      <c r="B275" s="27"/>
      <c r="C275" s="26"/>
      <c r="D275" s="28"/>
      <c r="E275" s="28"/>
      <c r="F275" s="28"/>
      <c r="G275" s="28"/>
      <c r="H275" s="29" t="str">
        <f aca="false">IF(OR(G275="",D275=""),"",IF(E275="Min",IF(G275&gt;=D275,"Pass","Fail"),IF(G275&lt;=D275,"Pass","Fail")))</f>
        <v/>
      </c>
      <c r="I275" s="26"/>
      <c r="J275" s="26"/>
      <c r="K275" s="26"/>
    </row>
    <row r="276" customFormat="false" ht="15" hidden="false" customHeight="false" outlineLevel="0" collapsed="false">
      <c r="A276" s="26"/>
      <c r="B276" s="27"/>
      <c r="C276" s="26"/>
      <c r="D276" s="28"/>
      <c r="E276" s="28"/>
      <c r="F276" s="28"/>
      <c r="G276" s="28"/>
      <c r="H276" s="29" t="str">
        <f aca="false">IF(OR(G276="",D276=""),"",IF(E276="Min",IF(G276&gt;=D276,"Pass","Fail"),IF(G276&lt;=D276,"Pass","Fail")))</f>
        <v/>
      </c>
      <c r="I276" s="26"/>
      <c r="J276" s="26"/>
      <c r="K276" s="26"/>
    </row>
    <row r="277" customFormat="false" ht="15" hidden="false" customHeight="false" outlineLevel="0" collapsed="false">
      <c r="A277" s="26"/>
      <c r="B277" s="27"/>
      <c r="C277" s="26"/>
      <c r="D277" s="28"/>
      <c r="E277" s="28"/>
      <c r="F277" s="28"/>
      <c r="G277" s="28"/>
      <c r="H277" s="29" t="str">
        <f aca="false">IF(OR(G277="",D277=""),"",IF(E277="Min",IF(G277&gt;=D277,"Pass","Fail"),IF(G277&lt;=D277,"Pass","Fail")))</f>
        <v/>
      </c>
      <c r="I277" s="26"/>
      <c r="J277" s="26"/>
      <c r="K277" s="26"/>
    </row>
    <row r="278" customFormat="false" ht="15" hidden="false" customHeight="false" outlineLevel="0" collapsed="false">
      <c r="A278" s="26"/>
      <c r="B278" s="27"/>
      <c r="C278" s="26"/>
      <c r="D278" s="28"/>
      <c r="E278" s="28"/>
      <c r="F278" s="28"/>
      <c r="G278" s="28"/>
      <c r="H278" s="29" t="str">
        <f aca="false">IF(OR(G278="",D278=""),"",IF(E278="Min",IF(G278&gt;=D278,"Pass","Fail"),IF(G278&lt;=D278,"Pass","Fail")))</f>
        <v/>
      </c>
      <c r="I278" s="26"/>
      <c r="J278" s="26"/>
      <c r="K278" s="26"/>
    </row>
    <row r="279" customFormat="false" ht="15" hidden="false" customHeight="false" outlineLevel="0" collapsed="false">
      <c r="A279" s="26"/>
      <c r="B279" s="27"/>
      <c r="C279" s="26"/>
      <c r="D279" s="28"/>
      <c r="E279" s="28"/>
      <c r="F279" s="28"/>
      <c r="G279" s="28"/>
      <c r="H279" s="29" t="str">
        <f aca="false">IF(OR(G279="",D279=""),"",IF(E279="Min",IF(G279&gt;=D279,"Pass","Fail"),IF(G279&lt;=D279,"Pass","Fail")))</f>
        <v/>
      </c>
      <c r="I279" s="26"/>
      <c r="J279" s="26"/>
      <c r="K279" s="26"/>
    </row>
    <row r="280" customFormat="false" ht="15" hidden="false" customHeight="false" outlineLevel="0" collapsed="false">
      <c r="A280" s="26"/>
      <c r="B280" s="27"/>
      <c r="C280" s="26"/>
      <c r="D280" s="28"/>
      <c r="E280" s="28"/>
      <c r="F280" s="28"/>
      <c r="G280" s="28"/>
      <c r="H280" s="29" t="str">
        <f aca="false">IF(OR(G280="",D280=""),"",IF(E280="Min",IF(G280&gt;=D280,"Pass","Fail"),IF(G280&lt;=D280,"Pass","Fail")))</f>
        <v/>
      </c>
      <c r="I280" s="26"/>
      <c r="J280" s="26"/>
      <c r="K280" s="26"/>
    </row>
    <row r="281" customFormat="false" ht="15" hidden="false" customHeight="false" outlineLevel="0" collapsed="false">
      <c r="A281" s="26"/>
      <c r="B281" s="27"/>
      <c r="C281" s="26"/>
      <c r="D281" s="28"/>
      <c r="E281" s="28"/>
      <c r="F281" s="28"/>
      <c r="G281" s="28"/>
      <c r="H281" s="29" t="str">
        <f aca="false">IF(OR(G281="",D281=""),"",IF(E281="Min",IF(G281&gt;=D281,"Pass","Fail"),IF(G281&lt;=D281,"Pass","Fail")))</f>
        <v/>
      </c>
      <c r="I281" s="26"/>
      <c r="J281" s="26"/>
      <c r="K281" s="26"/>
    </row>
    <row r="282" customFormat="false" ht="15" hidden="false" customHeight="false" outlineLevel="0" collapsed="false">
      <c r="A282" s="26"/>
      <c r="B282" s="27"/>
      <c r="C282" s="26"/>
      <c r="D282" s="28"/>
      <c r="E282" s="28"/>
      <c r="F282" s="28"/>
      <c r="G282" s="28"/>
      <c r="H282" s="29" t="str">
        <f aca="false">IF(OR(G282="",D282=""),"",IF(E282="Min",IF(G282&gt;=D282,"Pass","Fail"),IF(G282&lt;=D282,"Pass","Fail")))</f>
        <v/>
      </c>
      <c r="I282" s="26"/>
      <c r="J282" s="26"/>
      <c r="K282" s="26"/>
    </row>
    <row r="283" customFormat="false" ht="15" hidden="false" customHeight="false" outlineLevel="0" collapsed="false">
      <c r="A283" s="26"/>
      <c r="B283" s="27"/>
      <c r="C283" s="26"/>
      <c r="D283" s="28"/>
      <c r="E283" s="28"/>
      <c r="F283" s="28"/>
      <c r="G283" s="28"/>
      <c r="H283" s="29" t="str">
        <f aca="false">IF(OR(G283="",D283=""),"",IF(E283="Min",IF(G283&gt;=D283,"Pass","Fail"),IF(G283&lt;=D283,"Pass","Fail")))</f>
        <v/>
      </c>
      <c r="I283" s="26"/>
      <c r="J283" s="26"/>
      <c r="K283" s="26"/>
    </row>
    <row r="284" customFormat="false" ht="15" hidden="false" customHeight="false" outlineLevel="0" collapsed="false">
      <c r="A284" s="26"/>
      <c r="B284" s="27"/>
      <c r="C284" s="26"/>
      <c r="D284" s="28"/>
      <c r="E284" s="28"/>
      <c r="F284" s="28"/>
      <c r="G284" s="28"/>
      <c r="H284" s="29" t="str">
        <f aca="false">IF(OR(G284="",D284=""),"",IF(E284="Min",IF(G284&gt;=D284,"Pass","Fail"),IF(G284&lt;=D284,"Pass","Fail")))</f>
        <v/>
      </c>
      <c r="I284" s="26"/>
      <c r="J284" s="26"/>
      <c r="K284" s="26"/>
    </row>
    <row r="285" customFormat="false" ht="15" hidden="false" customHeight="false" outlineLevel="0" collapsed="false">
      <c r="A285" s="26"/>
      <c r="B285" s="27"/>
      <c r="C285" s="26"/>
      <c r="D285" s="28"/>
      <c r="E285" s="28"/>
      <c r="F285" s="28"/>
      <c r="G285" s="28"/>
      <c r="H285" s="29" t="str">
        <f aca="false">IF(OR(G285="",D285=""),"",IF(E285="Min",IF(G285&gt;=D285,"Pass","Fail"),IF(G285&lt;=D285,"Pass","Fail")))</f>
        <v/>
      </c>
      <c r="I285" s="26"/>
      <c r="J285" s="26"/>
      <c r="K285" s="26"/>
    </row>
    <row r="286" customFormat="false" ht="15" hidden="false" customHeight="false" outlineLevel="0" collapsed="false">
      <c r="A286" s="26"/>
      <c r="B286" s="27"/>
      <c r="C286" s="26"/>
      <c r="D286" s="28"/>
      <c r="E286" s="28"/>
      <c r="F286" s="28"/>
      <c r="G286" s="28"/>
      <c r="H286" s="29" t="str">
        <f aca="false">IF(OR(G286="",D286=""),"",IF(E286="Min",IF(G286&gt;=D286,"Pass","Fail"),IF(G286&lt;=D286,"Pass","Fail")))</f>
        <v/>
      </c>
      <c r="I286" s="26"/>
      <c r="J286" s="26"/>
      <c r="K286" s="26"/>
    </row>
    <row r="287" customFormat="false" ht="15" hidden="false" customHeight="false" outlineLevel="0" collapsed="false">
      <c r="A287" s="26"/>
      <c r="B287" s="27"/>
      <c r="C287" s="26"/>
      <c r="D287" s="28"/>
      <c r="E287" s="28"/>
      <c r="F287" s="28"/>
      <c r="G287" s="28"/>
      <c r="H287" s="29" t="str">
        <f aca="false">IF(OR(G287="",D287=""),"",IF(E287="Min",IF(G287&gt;=D287,"Pass","Fail"),IF(G287&lt;=D287,"Pass","Fail")))</f>
        <v/>
      </c>
      <c r="I287" s="26"/>
      <c r="J287" s="26"/>
      <c r="K287" s="26"/>
    </row>
    <row r="288" customFormat="false" ht="15" hidden="false" customHeight="false" outlineLevel="0" collapsed="false">
      <c r="A288" s="26"/>
      <c r="B288" s="27"/>
      <c r="C288" s="26"/>
      <c r="D288" s="28"/>
      <c r="E288" s="28"/>
      <c r="F288" s="28"/>
      <c r="G288" s="28"/>
      <c r="H288" s="29" t="str">
        <f aca="false">IF(OR(G288="",D288=""),"",IF(E288="Min",IF(G288&gt;=D288,"Pass","Fail"),IF(G288&lt;=D288,"Pass","Fail")))</f>
        <v/>
      </c>
      <c r="I288" s="26"/>
      <c r="J288" s="26"/>
      <c r="K288" s="26"/>
    </row>
    <row r="289" customFormat="false" ht="15" hidden="false" customHeight="false" outlineLevel="0" collapsed="false">
      <c r="A289" s="26"/>
      <c r="B289" s="27"/>
      <c r="C289" s="26"/>
      <c r="D289" s="28"/>
      <c r="E289" s="28"/>
      <c r="F289" s="28"/>
      <c r="G289" s="28"/>
      <c r="H289" s="29" t="str">
        <f aca="false">IF(OR(G289="",D289=""),"",IF(E289="Min",IF(G289&gt;=D289,"Pass","Fail"),IF(G289&lt;=D289,"Pass","Fail")))</f>
        <v/>
      </c>
      <c r="I289" s="26"/>
      <c r="J289" s="26"/>
      <c r="K289" s="26"/>
    </row>
    <row r="290" customFormat="false" ht="15" hidden="false" customHeight="false" outlineLevel="0" collapsed="false">
      <c r="A290" s="26"/>
      <c r="B290" s="27"/>
      <c r="C290" s="26"/>
      <c r="D290" s="28"/>
      <c r="E290" s="28"/>
      <c r="F290" s="28"/>
      <c r="G290" s="28"/>
      <c r="H290" s="29" t="str">
        <f aca="false">IF(OR(G290="",D290=""),"",IF(E290="Min",IF(G290&gt;=D290,"Pass","Fail"),IF(G290&lt;=D290,"Pass","Fail")))</f>
        <v/>
      </c>
      <c r="I290" s="26"/>
      <c r="J290" s="26"/>
      <c r="K290" s="26"/>
    </row>
    <row r="291" customFormat="false" ht="15" hidden="false" customHeight="false" outlineLevel="0" collapsed="false">
      <c r="A291" s="26"/>
      <c r="B291" s="27"/>
      <c r="C291" s="26"/>
      <c r="D291" s="28"/>
      <c r="E291" s="28"/>
      <c r="F291" s="28"/>
      <c r="G291" s="28"/>
      <c r="H291" s="29" t="str">
        <f aca="false">IF(OR(G291="",D291=""),"",IF(E291="Min",IF(G291&gt;=D291,"Pass","Fail"),IF(G291&lt;=D291,"Pass","Fail")))</f>
        <v/>
      </c>
      <c r="I291" s="26"/>
      <c r="J291" s="26"/>
      <c r="K291" s="26"/>
    </row>
    <row r="292" customFormat="false" ht="15" hidden="false" customHeight="false" outlineLevel="0" collapsed="false">
      <c r="A292" s="26"/>
      <c r="B292" s="27"/>
      <c r="C292" s="26"/>
      <c r="D292" s="28"/>
      <c r="E292" s="28"/>
      <c r="F292" s="28"/>
      <c r="G292" s="28"/>
      <c r="H292" s="29" t="str">
        <f aca="false">IF(OR(G292="",D292=""),"",IF(E292="Min",IF(G292&gt;=D292,"Pass","Fail"),IF(G292&lt;=D292,"Pass","Fail")))</f>
        <v/>
      </c>
      <c r="I292" s="26"/>
      <c r="J292" s="26"/>
      <c r="K292" s="26"/>
    </row>
    <row r="293" customFormat="false" ht="15" hidden="false" customHeight="false" outlineLevel="0" collapsed="false">
      <c r="A293" s="26"/>
      <c r="B293" s="27"/>
      <c r="C293" s="26"/>
      <c r="D293" s="28"/>
      <c r="E293" s="28"/>
      <c r="F293" s="28"/>
      <c r="G293" s="28"/>
      <c r="H293" s="29" t="str">
        <f aca="false">IF(OR(G293="",D293=""),"",IF(E293="Min",IF(G293&gt;=D293,"Pass","Fail"),IF(G293&lt;=D293,"Pass","Fail")))</f>
        <v/>
      </c>
      <c r="I293" s="26"/>
      <c r="J293" s="26"/>
      <c r="K293" s="26"/>
    </row>
    <row r="294" customFormat="false" ht="15" hidden="false" customHeight="false" outlineLevel="0" collapsed="false">
      <c r="A294" s="26"/>
      <c r="B294" s="27"/>
      <c r="C294" s="26"/>
      <c r="D294" s="28"/>
      <c r="E294" s="28"/>
      <c r="F294" s="28"/>
      <c r="G294" s="28"/>
      <c r="H294" s="29" t="str">
        <f aca="false">IF(OR(G294="",D294=""),"",IF(E294="Min",IF(G294&gt;=D294,"Pass","Fail"),IF(G294&lt;=D294,"Pass","Fail")))</f>
        <v/>
      </c>
      <c r="I294" s="26"/>
      <c r="J294" s="26"/>
      <c r="K294" s="26"/>
    </row>
    <row r="295" customFormat="false" ht="15" hidden="false" customHeight="false" outlineLevel="0" collapsed="false">
      <c r="A295" s="26"/>
      <c r="B295" s="27"/>
      <c r="C295" s="26"/>
      <c r="D295" s="28"/>
      <c r="E295" s="28"/>
      <c r="F295" s="28"/>
      <c r="G295" s="28"/>
      <c r="H295" s="29" t="str">
        <f aca="false">IF(OR(G295="",D295=""),"",IF(E295="Min",IF(G295&gt;=D295,"Pass","Fail"),IF(G295&lt;=D295,"Pass","Fail")))</f>
        <v/>
      </c>
      <c r="I295" s="26"/>
      <c r="J295" s="26"/>
      <c r="K295" s="26"/>
    </row>
    <row r="296" customFormat="false" ht="15" hidden="false" customHeight="false" outlineLevel="0" collapsed="false">
      <c r="A296" s="26"/>
      <c r="B296" s="27"/>
      <c r="C296" s="26"/>
      <c r="D296" s="28"/>
      <c r="E296" s="28"/>
      <c r="F296" s="28"/>
      <c r="G296" s="28"/>
      <c r="H296" s="29" t="str">
        <f aca="false">IF(OR(G296="",D296=""),"",IF(E296="Min",IF(G296&gt;=D296,"Pass","Fail"),IF(G296&lt;=D296,"Pass","Fail")))</f>
        <v/>
      </c>
      <c r="I296" s="26"/>
      <c r="J296" s="26"/>
      <c r="K296" s="26"/>
    </row>
    <row r="297" customFormat="false" ht="15" hidden="false" customHeight="false" outlineLevel="0" collapsed="false">
      <c r="A297" s="26"/>
      <c r="B297" s="27"/>
      <c r="C297" s="26"/>
      <c r="D297" s="28"/>
      <c r="E297" s="28"/>
      <c r="F297" s="28"/>
      <c r="G297" s="28"/>
      <c r="H297" s="29" t="str">
        <f aca="false">IF(OR(G297="",D297=""),"",IF(E297="Min",IF(G297&gt;=D297,"Pass","Fail"),IF(G297&lt;=D297,"Pass","Fail")))</f>
        <v/>
      </c>
      <c r="I297" s="26"/>
      <c r="J297" s="26"/>
      <c r="K297" s="26"/>
    </row>
    <row r="298" customFormat="false" ht="15" hidden="false" customHeight="false" outlineLevel="0" collapsed="false">
      <c r="A298" s="26"/>
      <c r="B298" s="27"/>
      <c r="C298" s="26"/>
      <c r="D298" s="28"/>
      <c r="E298" s="28"/>
      <c r="F298" s="28"/>
      <c r="G298" s="28"/>
      <c r="H298" s="29" t="str">
        <f aca="false">IF(OR(G298="",D298=""),"",IF(E298="Min",IF(G298&gt;=D298,"Pass","Fail"),IF(G298&lt;=D298,"Pass","Fail")))</f>
        <v/>
      </c>
      <c r="I298" s="26"/>
      <c r="J298" s="26"/>
      <c r="K298" s="26"/>
    </row>
    <row r="299" customFormat="false" ht="15" hidden="false" customHeight="false" outlineLevel="0" collapsed="false">
      <c r="A299" s="26"/>
      <c r="B299" s="27"/>
      <c r="C299" s="26"/>
      <c r="D299" s="28"/>
      <c r="E299" s="28"/>
      <c r="F299" s="28"/>
      <c r="G299" s="28"/>
      <c r="H299" s="29" t="str">
        <f aca="false">IF(OR(G299="",D299=""),"",IF(E299="Min",IF(G299&gt;=D299,"Pass","Fail"),IF(G299&lt;=D299,"Pass","Fail")))</f>
        <v/>
      </c>
      <c r="I299" s="26"/>
      <c r="J299" s="26"/>
      <c r="K299" s="26"/>
    </row>
    <row r="300" customFormat="false" ht="15" hidden="false" customHeight="false" outlineLevel="0" collapsed="false">
      <c r="A300" s="26"/>
      <c r="B300" s="27"/>
      <c r="C300" s="26"/>
      <c r="D300" s="28"/>
      <c r="E300" s="28"/>
      <c r="F300" s="28"/>
      <c r="G300" s="28"/>
      <c r="H300" s="29" t="str">
        <f aca="false">IF(OR(G300="",D300=""),"",IF(E300="Min",IF(G300&gt;=D300,"Pass","Fail"),IF(G300&lt;=D300,"Pass","Fail")))</f>
        <v/>
      </c>
      <c r="I300" s="26"/>
      <c r="J300" s="26"/>
      <c r="K300" s="26"/>
    </row>
    <row r="301" customFormat="false" ht="15" hidden="false" customHeight="false" outlineLevel="0" collapsed="false">
      <c r="A301" s="26"/>
      <c r="B301" s="27"/>
      <c r="C301" s="26"/>
      <c r="D301" s="28"/>
      <c r="E301" s="28"/>
      <c r="F301" s="28"/>
      <c r="G301" s="28"/>
      <c r="H301" s="29" t="str">
        <f aca="false">IF(OR(G301="",D301=""),"",IF(E301="Min",IF(G301&gt;=D301,"Pass","Fail"),IF(G301&lt;=D301,"Pass","Fail")))</f>
        <v/>
      </c>
      <c r="I301" s="26"/>
      <c r="J301" s="26"/>
      <c r="K301" s="26"/>
    </row>
    <row r="302" customFormat="false" ht="15" hidden="false" customHeight="false" outlineLevel="0" collapsed="false">
      <c r="A302" s="26"/>
      <c r="B302" s="27"/>
      <c r="C302" s="26"/>
      <c r="D302" s="28"/>
      <c r="E302" s="28"/>
      <c r="F302" s="28"/>
      <c r="G302" s="28"/>
      <c r="H302" s="29" t="str">
        <f aca="false">IF(OR(G302="",D302=""),"",IF(E302="Min",IF(G302&gt;=D302,"Pass","Fail"),IF(G302&lt;=D302,"Pass","Fail")))</f>
        <v/>
      </c>
      <c r="I302" s="26"/>
      <c r="J302" s="26"/>
      <c r="K302" s="26"/>
    </row>
    <row r="303" customFormat="false" ht="15" hidden="false" customHeight="false" outlineLevel="0" collapsed="false">
      <c r="A303" s="26"/>
      <c r="B303" s="27"/>
      <c r="C303" s="26"/>
      <c r="D303" s="28"/>
      <c r="E303" s="28"/>
      <c r="F303" s="28"/>
      <c r="G303" s="28"/>
      <c r="H303" s="29" t="str">
        <f aca="false">IF(OR(G303="",D303=""),"",IF(E303="Min",IF(G303&gt;=D303,"Pass","Fail"),IF(G303&lt;=D303,"Pass","Fail")))</f>
        <v/>
      </c>
      <c r="I303" s="26"/>
      <c r="J303" s="26"/>
      <c r="K303" s="26"/>
    </row>
    <row r="304" customFormat="false" ht="15" hidden="false" customHeight="false" outlineLevel="0" collapsed="false">
      <c r="A304" s="26"/>
      <c r="B304" s="27"/>
      <c r="C304" s="26"/>
      <c r="D304" s="28"/>
      <c r="E304" s="28"/>
      <c r="F304" s="28"/>
      <c r="G304" s="28"/>
      <c r="H304" s="29" t="str">
        <f aca="false">IF(OR(G304="",D304=""),"",IF(E304="Min",IF(G304&gt;=D304,"Pass","Fail"),IF(G304&lt;=D304,"Pass","Fail")))</f>
        <v/>
      </c>
      <c r="I304" s="26"/>
      <c r="J304" s="26"/>
      <c r="K304" s="26"/>
    </row>
    <row r="305" customFormat="false" ht="15" hidden="false" customHeight="false" outlineLevel="0" collapsed="false">
      <c r="A305" s="26"/>
      <c r="B305" s="27"/>
      <c r="C305" s="26"/>
      <c r="D305" s="28"/>
      <c r="E305" s="28"/>
      <c r="F305" s="28"/>
      <c r="G305" s="28"/>
      <c r="H305" s="29" t="str">
        <f aca="false">IF(OR(G305="",D305=""),"",IF(E305="Min",IF(G305&gt;=D305,"Pass","Fail"),IF(G305&lt;=D305,"Pass","Fail")))</f>
        <v/>
      </c>
      <c r="I305" s="26"/>
      <c r="J305" s="26"/>
      <c r="K305" s="26"/>
    </row>
    <row r="306" customFormat="false" ht="15" hidden="false" customHeight="false" outlineLevel="0" collapsed="false">
      <c r="A306" s="26"/>
      <c r="B306" s="27"/>
      <c r="C306" s="26"/>
      <c r="D306" s="28"/>
      <c r="E306" s="28"/>
      <c r="F306" s="28"/>
      <c r="G306" s="28"/>
      <c r="H306" s="29" t="str">
        <f aca="false">IF(OR(G306="",D306=""),"",IF(E306="Min",IF(G306&gt;=D306,"Pass","Fail"),IF(G306&lt;=D306,"Pass","Fail")))</f>
        <v/>
      </c>
      <c r="I306" s="26"/>
      <c r="J306" s="26"/>
      <c r="K306" s="26"/>
    </row>
    <row r="307" customFormat="false" ht="15" hidden="false" customHeight="false" outlineLevel="0" collapsed="false">
      <c r="A307" s="26"/>
      <c r="B307" s="27"/>
      <c r="C307" s="26"/>
      <c r="D307" s="28"/>
      <c r="E307" s="28"/>
      <c r="F307" s="28"/>
      <c r="G307" s="28"/>
      <c r="H307" s="29" t="str">
        <f aca="false">IF(OR(G307="",D307=""),"",IF(E307="Min",IF(G307&gt;=D307,"Pass","Fail"),IF(G307&lt;=D307,"Pass","Fail")))</f>
        <v/>
      </c>
      <c r="I307" s="26"/>
      <c r="J307" s="26"/>
      <c r="K307" s="26"/>
    </row>
    <row r="308" customFormat="false" ht="15" hidden="false" customHeight="false" outlineLevel="0" collapsed="false">
      <c r="A308" s="26"/>
      <c r="B308" s="27"/>
      <c r="C308" s="26"/>
      <c r="D308" s="28"/>
      <c r="E308" s="28"/>
      <c r="F308" s="28"/>
      <c r="G308" s="28"/>
      <c r="H308" s="29" t="str">
        <f aca="false">IF(OR(G308="",D308=""),"",IF(E308="Min",IF(G308&gt;=D308,"Pass","Fail"),IF(G308&lt;=D308,"Pass","Fail")))</f>
        <v/>
      </c>
      <c r="I308" s="26"/>
      <c r="J308" s="26"/>
      <c r="K308" s="26"/>
    </row>
    <row r="309" customFormat="false" ht="15" hidden="false" customHeight="false" outlineLevel="0" collapsed="false">
      <c r="A309" s="26"/>
      <c r="B309" s="27"/>
      <c r="C309" s="26"/>
      <c r="D309" s="28"/>
      <c r="E309" s="28"/>
      <c r="F309" s="28"/>
      <c r="G309" s="28"/>
      <c r="H309" s="29" t="str">
        <f aca="false">IF(OR(G309="",D309=""),"",IF(E309="Min",IF(G309&gt;=D309,"Pass","Fail"),IF(G309&lt;=D309,"Pass","Fail")))</f>
        <v/>
      </c>
      <c r="I309" s="26"/>
      <c r="J309" s="26"/>
      <c r="K309" s="26"/>
    </row>
    <row r="310" customFormat="false" ht="15" hidden="false" customHeight="false" outlineLevel="0" collapsed="false">
      <c r="A310" s="26"/>
      <c r="B310" s="27"/>
      <c r="C310" s="26"/>
      <c r="D310" s="28"/>
      <c r="E310" s="28"/>
      <c r="F310" s="28"/>
      <c r="G310" s="28"/>
      <c r="H310" s="29" t="str">
        <f aca="false">IF(OR(G310="",D310=""),"",IF(E310="Min",IF(G310&gt;=D310,"Pass","Fail"),IF(G310&lt;=D310,"Pass","Fail")))</f>
        <v/>
      </c>
      <c r="I310" s="26"/>
      <c r="J310" s="26"/>
      <c r="K310" s="26"/>
    </row>
    <row r="311" customFormat="false" ht="15" hidden="false" customHeight="false" outlineLevel="0" collapsed="false">
      <c r="A311" s="26"/>
      <c r="B311" s="27"/>
      <c r="C311" s="26"/>
      <c r="D311" s="28"/>
      <c r="E311" s="28"/>
      <c r="F311" s="28"/>
      <c r="G311" s="28"/>
      <c r="H311" s="29" t="str">
        <f aca="false">IF(OR(G311="",D311=""),"",IF(E311="Min",IF(G311&gt;=D311,"Pass","Fail"),IF(G311&lt;=D311,"Pass","Fail")))</f>
        <v/>
      </c>
      <c r="I311" s="26"/>
      <c r="J311" s="26"/>
      <c r="K311" s="26"/>
    </row>
    <row r="312" customFormat="false" ht="15" hidden="false" customHeight="false" outlineLevel="0" collapsed="false">
      <c r="A312" s="26"/>
      <c r="B312" s="27"/>
      <c r="C312" s="26"/>
      <c r="D312" s="28"/>
      <c r="E312" s="28"/>
      <c r="F312" s="28"/>
      <c r="G312" s="28"/>
      <c r="H312" s="29" t="str">
        <f aca="false">IF(OR(G312="",D312=""),"",IF(E312="Min",IF(G312&gt;=D312,"Pass","Fail"),IF(G312&lt;=D312,"Pass","Fail")))</f>
        <v/>
      </c>
      <c r="I312" s="26"/>
      <c r="J312" s="26"/>
      <c r="K312" s="26"/>
    </row>
    <row r="313" customFormat="false" ht="15" hidden="false" customHeight="false" outlineLevel="0" collapsed="false">
      <c r="A313" s="26"/>
      <c r="B313" s="27"/>
      <c r="C313" s="26"/>
      <c r="D313" s="28"/>
      <c r="E313" s="28"/>
      <c r="F313" s="28"/>
      <c r="G313" s="28"/>
      <c r="H313" s="29" t="str">
        <f aca="false">IF(OR(G313="",D313=""),"",IF(E313="Min",IF(G313&gt;=D313,"Pass","Fail"),IF(G313&lt;=D313,"Pass","Fail")))</f>
        <v/>
      </c>
      <c r="I313" s="26"/>
      <c r="J313" s="26"/>
      <c r="K313" s="26"/>
    </row>
    <row r="314" customFormat="false" ht="15" hidden="false" customHeight="false" outlineLevel="0" collapsed="false">
      <c r="A314" s="26"/>
      <c r="B314" s="27"/>
      <c r="C314" s="26"/>
      <c r="D314" s="28"/>
      <c r="E314" s="28"/>
      <c r="F314" s="28"/>
      <c r="G314" s="28"/>
      <c r="H314" s="29" t="str">
        <f aca="false">IF(OR(G314="",D314=""),"",IF(E314="Min",IF(G314&gt;=D314,"Pass","Fail"),IF(G314&lt;=D314,"Pass","Fail")))</f>
        <v/>
      </c>
      <c r="I314" s="26"/>
      <c r="J314" s="26"/>
      <c r="K314" s="26"/>
    </row>
    <row r="315" customFormat="false" ht="15" hidden="false" customHeight="false" outlineLevel="0" collapsed="false">
      <c r="A315" s="26"/>
      <c r="B315" s="27"/>
      <c r="C315" s="26"/>
      <c r="D315" s="28"/>
      <c r="E315" s="28"/>
      <c r="F315" s="28"/>
      <c r="G315" s="28"/>
      <c r="H315" s="29" t="str">
        <f aca="false">IF(OR(G315="",D315=""),"",IF(E315="Min",IF(G315&gt;=D315,"Pass","Fail"),IF(G315&lt;=D315,"Pass","Fail")))</f>
        <v/>
      </c>
      <c r="I315" s="26"/>
      <c r="J315" s="26"/>
      <c r="K315" s="26"/>
    </row>
    <row r="316" customFormat="false" ht="15" hidden="false" customHeight="false" outlineLevel="0" collapsed="false">
      <c r="A316" s="26"/>
      <c r="B316" s="27"/>
      <c r="C316" s="26"/>
      <c r="D316" s="28"/>
      <c r="E316" s="28"/>
      <c r="F316" s="28"/>
      <c r="G316" s="28"/>
      <c r="H316" s="29" t="str">
        <f aca="false">IF(OR(G316="",D316=""),"",IF(E316="Min",IF(G316&gt;=D316,"Pass","Fail"),IF(G316&lt;=D316,"Pass","Fail")))</f>
        <v/>
      </c>
      <c r="I316" s="26"/>
      <c r="J316" s="26"/>
      <c r="K316" s="26"/>
    </row>
    <row r="317" customFormat="false" ht="15" hidden="false" customHeight="false" outlineLevel="0" collapsed="false">
      <c r="A317" s="26"/>
      <c r="B317" s="27"/>
      <c r="C317" s="26"/>
      <c r="D317" s="28"/>
      <c r="E317" s="28"/>
      <c r="F317" s="28"/>
      <c r="G317" s="28"/>
      <c r="H317" s="29" t="str">
        <f aca="false">IF(OR(G317="",D317=""),"",IF(E317="Min",IF(G317&gt;=D317,"Pass","Fail"),IF(G317&lt;=D317,"Pass","Fail")))</f>
        <v/>
      </c>
      <c r="I317" s="26"/>
      <c r="J317" s="26"/>
      <c r="K317" s="26"/>
    </row>
    <row r="318" customFormat="false" ht="15" hidden="false" customHeight="false" outlineLevel="0" collapsed="false">
      <c r="A318" s="26"/>
      <c r="B318" s="27"/>
      <c r="C318" s="26"/>
      <c r="D318" s="28"/>
      <c r="E318" s="28"/>
      <c r="F318" s="28"/>
      <c r="G318" s="28"/>
      <c r="H318" s="29" t="str">
        <f aca="false">IF(OR(G318="",D318=""),"",IF(E318="Min",IF(G318&gt;=D318,"Pass","Fail"),IF(G318&lt;=D318,"Pass","Fail")))</f>
        <v/>
      </c>
      <c r="I318" s="26"/>
      <c r="J318" s="26"/>
      <c r="K318" s="26"/>
    </row>
    <row r="319" customFormat="false" ht="15" hidden="false" customHeight="false" outlineLevel="0" collapsed="false">
      <c r="A319" s="26"/>
      <c r="B319" s="27"/>
      <c r="C319" s="26"/>
      <c r="D319" s="28"/>
      <c r="E319" s="28"/>
      <c r="F319" s="28"/>
      <c r="G319" s="28"/>
      <c r="H319" s="29" t="str">
        <f aca="false">IF(OR(G319="",D319=""),"",IF(E319="Min",IF(G319&gt;=D319,"Pass","Fail"),IF(G319&lt;=D319,"Pass","Fail")))</f>
        <v/>
      </c>
      <c r="I319" s="26"/>
      <c r="J319" s="26"/>
      <c r="K319" s="26"/>
    </row>
    <row r="320" customFormat="false" ht="15" hidden="false" customHeight="false" outlineLevel="0" collapsed="false">
      <c r="A320" s="26"/>
      <c r="B320" s="27"/>
      <c r="C320" s="26"/>
      <c r="D320" s="28"/>
      <c r="E320" s="28"/>
      <c r="F320" s="28"/>
      <c r="G320" s="28"/>
      <c r="H320" s="29" t="str">
        <f aca="false">IF(OR(G320="",D320=""),"",IF(E320="Min",IF(G320&gt;=D320,"Pass","Fail"),IF(G320&lt;=D320,"Pass","Fail")))</f>
        <v/>
      </c>
      <c r="I320" s="26"/>
      <c r="J320" s="26"/>
      <c r="K320" s="26"/>
    </row>
    <row r="321" customFormat="false" ht="15" hidden="false" customHeight="false" outlineLevel="0" collapsed="false">
      <c r="A321" s="26"/>
      <c r="B321" s="27"/>
      <c r="C321" s="26"/>
      <c r="D321" s="28"/>
      <c r="E321" s="28"/>
      <c r="F321" s="28"/>
      <c r="G321" s="28"/>
      <c r="H321" s="29" t="str">
        <f aca="false">IF(OR(G321="",D321=""),"",IF(E321="Min",IF(G321&gt;=D321,"Pass","Fail"),IF(G321&lt;=D321,"Pass","Fail")))</f>
        <v/>
      </c>
      <c r="I321" s="26"/>
      <c r="J321" s="26"/>
      <c r="K321" s="26"/>
    </row>
    <row r="322" customFormat="false" ht="15" hidden="false" customHeight="false" outlineLevel="0" collapsed="false">
      <c r="A322" s="26"/>
      <c r="B322" s="27"/>
      <c r="C322" s="26"/>
      <c r="D322" s="28"/>
      <c r="E322" s="28"/>
      <c r="F322" s="28"/>
      <c r="G322" s="28"/>
      <c r="H322" s="29" t="str">
        <f aca="false">IF(OR(G322="",D322=""),"",IF(E322="Min",IF(G322&gt;=D322,"Pass","Fail"),IF(G322&lt;=D322,"Pass","Fail")))</f>
        <v/>
      </c>
      <c r="I322" s="26"/>
      <c r="J322" s="26"/>
      <c r="K322" s="26"/>
    </row>
    <row r="323" customFormat="false" ht="15" hidden="false" customHeight="false" outlineLevel="0" collapsed="false">
      <c r="A323" s="26"/>
      <c r="B323" s="27"/>
      <c r="C323" s="26"/>
      <c r="D323" s="28"/>
      <c r="E323" s="28"/>
      <c r="F323" s="28"/>
      <c r="G323" s="28"/>
      <c r="H323" s="29" t="str">
        <f aca="false">IF(OR(G323="",D323=""),"",IF(E323="Min",IF(G323&gt;=D323,"Pass","Fail"),IF(G323&lt;=D323,"Pass","Fail")))</f>
        <v/>
      </c>
      <c r="I323" s="26"/>
      <c r="J323" s="26"/>
      <c r="K323" s="26"/>
    </row>
    <row r="324" customFormat="false" ht="15" hidden="false" customHeight="false" outlineLevel="0" collapsed="false">
      <c r="A324" s="26"/>
      <c r="B324" s="27"/>
      <c r="C324" s="26"/>
      <c r="D324" s="28"/>
      <c r="E324" s="28"/>
      <c r="F324" s="28"/>
      <c r="G324" s="28"/>
      <c r="H324" s="29" t="str">
        <f aca="false">IF(OR(G324="",D324=""),"",IF(E324="Min",IF(G324&gt;=D324,"Pass","Fail"),IF(G324&lt;=D324,"Pass","Fail")))</f>
        <v/>
      </c>
      <c r="I324" s="26"/>
      <c r="J324" s="26"/>
      <c r="K324" s="26"/>
    </row>
    <row r="325" customFormat="false" ht="15" hidden="false" customHeight="false" outlineLevel="0" collapsed="false">
      <c r="A325" s="26"/>
      <c r="B325" s="27"/>
      <c r="C325" s="26"/>
      <c r="D325" s="28"/>
      <c r="E325" s="28"/>
      <c r="F325" s="28"/>
      <c r="G325" s="28"/>
      <c r="H325" s="29" t="str">
        <f aca="false">IF(OR(G325="",D325=""),"",IF(E325="Min",IF(G325&gt;=D325,"Pass","Fail"),IF(G325&lt;=D325,"Pass","Fail")))</f>
        <v/>
      </c>
      <c r="I325" s="26"/>
      <c r="J325" s="26"/>
      <c r="K325" s="26"/>
    </row>
    <row r="326" customFormat="false" ht="15" hidden="false" customHeight="false" outlineLevel="0" collapsed="false">
      <c r="A326" s="26"/>
      <c r="B326" s="27"/>
      <c r="C326" s="26"/>
      <c r="D326" s="28"/>
      <c r="E326" s="28"/>
      <c r="F326" s="28"/>
      <c r="G326" s="28"/>
      <c r="H326" s="29" t="str">
        <f aca="false">IF(OR(G326="",D326=""),"",IF(E326="Min",IF(G326&gt;=D326,"Pass","Fail"),IF(G326&lt;=D326,"Pass","Fail")))</f>
        <v/>
      </c>
      <c r="I326" s="26"/>
      <c r="J326" s="26"/>
      <c r="K326" s="26"/>
    </row>
    <row r="327" customFormat="false" ht="15" hidden="false" customHeight="false" outlineLevel="0" collapsed="false">
      <c r="A327" s="26"/>
      <c r="B327" s="27"/>
      <c r="C327" s="26"/>
      <c r="D327" s="28"/>
      <c r="E327" s="28"/>
      <c r="F327" s="28"/>
      <c r="G327" s="28"/>
      <c r="H327" s="29" t="str">
        <f aca="false">IF(OR(G327="",D327=""),"",IF(E327="Min",IF(G327&gt;=D327,"Pass","Fail"),IF(G327&lt;=D327,"Pass","Fail")))</f>
        <v/>
      </c>
      <c r="I327" s="26"/>
      <c r="J327" s="26"/>
      <c r="K327" s="26"/>
    </row>
    <row r="328" customFormat="false" ht="15" hidden="false" customHeight="false" outlineLevel="0" collapsed="false">
      <c r="A328" s="26"/>
      <c r="B328" s="27"/>
      <c r="C328" s="26"/>
      <c r="D328" s="28"/>
      <c r="E328" s="28"/>
      <c r="F328" s="28"/>
      <c r="G328" s="28"/>
      <c r="H328" s="29" t="str">
        <f aca="false">IF(OR(G328="",D328=""),"",IF(E328="Min",IF(G328&gt;=D328,"Pass","Fail"),IF(G328&lt;=D328,"Pass","Fail")))</f>
        <v/>
      </c>
      <c r="I328" s="26"/>
      <c r="J328" s="26"/>
      <c r="K328" s="26"/>
    </row>
    <row r="329" customFormat="false" ht="15" hidden="false" customHeight="false" outlineLevel="0" collapsed="false">
      <c r="A329" s="26"/>
      <c r="B329" s="27"/>
      <c r="C329" s="26"/>
      <c r="D329" s="28"/>
      <c r="E329" s="28"/>
      <c r="F329" s="28"/>
      <c r="G329" s="28"/>
      <c r="H329" s="29" t="str">
        <f aca="false">IF(OR(G329="",D329=""),"",IF(E329="Min",IF(G329&gt;=D329,"Pass","Fail"),IF(G329&lt;=D329,"Pass","Fail")))</f>
        <v/>
      </c>
      <c r="I329" s="26"/>
      <c r="J329" s="26"/>
      <c r="K329" s="26"/>
    </row>
    <row r="330" customFormat="false" ht="15" hidden="false" customHeight="false" outlineLevel="0" collapsed="false">
      <c r="A330" s="26"/>
      <c r="B330" s="27"/>
      <c r="C330" s="26"/>
      <c r="D330" s="28"/>
      <c r="E330" s="28"/>
      <c r="F330" s="28"/>
      <c r="G330" s="28"/>
      <c r="H330" s="29" t="str">
        <f aca="false">IF(OR(G330="",D330=""),"",IF(E330="Min",IF(G330&gt;=D330,"Pass","Fail"),IF(G330&lt;=D330,"Pass","Fail")))</f>
        <v/>
      </c>
      <c r="I330" s="26"/>
      <c r="J330" s="26"/>
      <c r="K330" s="26"/>
    </row>
    <row r="331" customFormat="false" ht="15" hidden="false" customHeight="false" outlineLevel="0" collapsed="false">
      <c r="A331" s="26"/>
      <c r="B331" s="27"/>
      <c r="C331" s="26"/>
      <c r="D331" s="28"/>
      <c r="E331" s="28"/>
      <c r="F331" s="28"/>
      <c r="G331" s="28"/>
      <c r="H331" s="29" t="str">
        <f aca="false">IF(OR(G331="",D331=""),"",IF(E331="Min",IF(G331&gt;=D331,"Pass","Fail"),IF(G331&lt;=D331,"Pass","Fail")))</f>
        <v/>
      </c>
      <c r="I331" s="26"/>
      <c r="J331" s="26"/>
      <c r="K331" s="26"/>
    </row>
    <row r="332" customFormat="false" ht="15" hidden="false" customHeight="false" outlineLevel="0" collapsed="false">
      <c r="A332" s="26"/>
      <c r="B332" s="27"/>
      <c r="C332" s="26"/>
      <c r="D332" s="28"/>
      <c r="E332" s="28"/>
      <c r="F332" s="28"/>
      <c r="G332" s="28"/>
      <c r="H332" s="29" t="str">
        <f aca="false">IF(OR(G332="",D332=""),"",IF(E332="Min",IF(G332&gt;=D332,"Pass","Fail"),IF(G332&lt;=D332,"Pass","Fail")))</f>
        <v/>
      </c>
      <c r="I332" s="26"/>
      <c r="J332" s="26"/>
      <c r="K332" s="26"/>
    </row>
    <row r="333" customFormat="false" ht="15" hidden="false" customHeight="false" outlineLevel="0" collapsed="false">
      <c r="A333" s="26"/>
      <c r="B333" s="27"/>
      <c r="C333" s="26"/>
      <c r="D333" s="28"/>
      <c r="E333" s="28"/>
      <c r="F333" s="28"/>
      <c r="G333" s="28"/>
      <c r="H333" s="29" t="str">
        <f aca="false">IF(OR(G333="",D333=""),"",IF(E333="Min",IF(G333&gt;=D333,"Pass","Fail"),IF(G333&lt;=D333,"Pass","Fail")))</f>
        <v/>
      </c>
      <c r="I333" s="26"/>
      <c r="J333" s="26"/>
      <c r="K333" s="26"/>
    </row>
    <row r="334" customFormat="false" ht="15" hidden="false" customHeight="false" outlineLevel="0" collapsed="false">
      <c r="A334" s="26"/>
      <c r="B334" s="27"/>
      <c r="C334" s="26"/>
      <c r="D334" s="28"/>
      <c r="E334" s="28"/>
      <c r="F334" s="28"/>
      <c r="G334" s="28"/>
      <c r="H334" s="29" t="str">
        <f aca="false">IF(OR(G334="",D334=""),"",IF(E334="Min",IF(G334&gt;=D334,"Pass","Fail"),IF(G334&lt;=D334,"Pass","Fail")))</f>
        <v/>
      </c>
      <c r="I334" s="26"/>
      <c r="J334" s="26"/>
      <c r="K334" s="26"/>
    </row>
    <row r="335" customFormat="false" ht="15" hidden="false" customHeight="false" outlineLevel="0" collapsed="false">
      <c r="A335" s="26"/>
      <c r="B335" s="27"/>
      <c r="C335" s="26"/>
      <c r="D335" s="28"/>
      <c r="E335" s="28"/>
      <c r="F335" s="28"/>
      <c r="G335" s="28"/>
      <c r="H335" s="29" t="str">
        <f aca="false">IF(OR(G335="",D335=""),"",IF(E335="Min",IF(G335&gt;=D335,"Pass","Fail"),IF(G335&lt;=D335,"Pass","Fail")))</f>
        <v/>
      </c>
      <c r="I335" s="26"/>
      <c r="J335" s="26"/>
      <c r="K335" s="26"/>
    </row>
    <row r="336" customFormat="false" ht="15" hidden="false" customHeight="false" outlineLevel="0" collapsed="false">
      <c r="A336" s="26"/>
      <c r="B336" s="27"/>
      <c r="C336" s="26"/>
      <c r="D336" s="28"/>
      <c r="E336" s="28"/>
      <c r="F336" s="28"/>
      <c r="G336" s="28"/>
      <c r="H336" s="29" t="str">
        <f aca="false">IF(OR(G336="",D336=""),"",IF(E336="Min",IF(G336&gt;=D336,"Pass","Fail"),IF(G336&lt;=D336,"Pass","Fail")))</f>
        <v/>
      </c>
      <c r="I336" s="26"/>
      <c r="J336" s="26"/>
      <c r="K336" s="26"/>
    </row>
    <row r="337" customFormat="false" ht="15" hidden="false" customHeight="false" outlineLevel="0" collapsed="false">
      <c r="A337" s="26"/>
      <c r="B337" s="27"/>
      <c r="C337" s="26"/>
      <c r="D337" s="28"/>
      <c r="E337" s="28"/>
      <c r="F337" s="28"/>
      <c r="G337" s="28"/>
      <c r="H337" s="29" t="str">
        <f aca="false">IF(OR(G337="",D337=""),"",IF(E337="Min",IF(G337&gt;=D337,"Pass","Fail"),IF(G337&lt;=D337,"Pass","Fail")))</f>
        <v/>
      </c>
      <c r="I337" s="26"/>
      <c r="J337" s="26"/>
      <c r="K337" s="26"/>
    </row>
    <row r="338" customFormat="false" ht="15" hidden="false" customHeight="false" outlineLevel="0" collapsed="false">
      <c r="A338" s="26"/>
      <c r="B338" s="27"/>
      <c r="C338" s="26"/>
      <c r="D338" s="28"/>
      <c r="E338" s="28"/>
      <c r="F338" s="28"/>
      <c r="G338" s="28"/>
      <c r="H338" s="29" t="str">
        <f aca="false">IF(OR(G338="",D338=""),"",IF(E338="Min",IF(G338&gt;=D338,"Pass","Fail"),IF(G338&lt;=D338,"Pass","Fail")))</f>
        <v/>
      </c>
      <c r="I338" s="26"/>
      <c r="J338" s="26"/>
      <c r="K338" s="26"/>
    </row>
    <row r="339" customFormat="false" ht="15" hidden="false" customHeight="false" outlineLevel="0" collapsed="false">
      <c r="A339" s="26"/>
      <c r="B339" s="27"/>
      <c r="C339" s="26"/>
      <c r="D339" s="28"/>
      <c r="E339" s="28"/>
      <c r="F339" s="28"/>
      <c r="G339" s="28"/>
      <c r="H339" s="29" t="str">
        <f aca="false">IF(OR(G339="",D339=""),"",IF(E339="Min",IF(G339&gt;=D339,"Pass","Fail"),IF(G339&lt;=D339,"Pass","Fail")))</f>
        <v/>
      </c>
      <c r="I339" s="26"/>
      <c r="J339" s="26"/>
      <c r="K339" s="26"/>
    </row>
    <row r="340" customFormat="false" ht="15" hidden="false" customHeight="false" outlineLevel="0" collapsed="false">
      <c r="A340" s="26"/>
      <c r="B340" s="27"/>
      <c r="C340" s="26"/>
      <c r="D340" s="28"/>
      <c r="E340" s="28"/>
      <c r="F340" s="28"/>
      <c r="G340" s="28"/>
      <c r="H340" s="29" t="str">
        <f aca="false">IF(OR(G340="",D340=""),"",IF(E340="Min",IF(G340&gt;=D340,"Pass","Fail"),IF(G340&lt;=D340,"Pass","Fail")))</f>
        <v/>
      </c>
      <c r="I340" s="26"/>
      <c r="J340" s="26"/>
      <c r="K340" s="26"/>
    </row>
    <row r="341" customFormat="false" ht="15" hidden="false" customHeight="false" outlineLevel="0" collapsed="false">
      <c r="A341" s="26"/>
      <c r="B341" s="27"/>
      <c r="C341" s="26"/>
      <c r="D341" s="28"/>
      <c r="E341" s="28"/>
      <c r="F341" s="28"/>
      <c r="G341" s="28"/>
      <c r="H341" s="29" t="str">
        <f aca="false">IF(OR(G341="",D341=""),"",IF(E341="Min",IF(G341&gt;=D341,"Pass","Fail"),IF(G341&lt;=D341,"Pass","Fail")))</f>
        <v/>
      </c>
      <c r="I341" s="26"/>
      <c r="J341" s="26"/>
      <c r="K341" s="26"/>
    </row>
    <row r="342" customFormat="false" ht="15" hidden="false" customHeight="false" outlineLevel="0" collapsed="false">
      <c r="A342" s="26"/>
      <c r="B342" s="27"/>
      <c r="C342" s="26"/>
      <c r="D342" s="28"/>
      <c r="E342" s="28"/>
      <c r="F342" s="28"/>
      <c r="G342" s="28"/>
      <c r="H342" s="29" t="str">
        <f aca="false">IF(OR(G342="",D342=""),"",IF(E342="Min",IF(G342&gt;=D342,"Pass","Fail"),IF(G342&lt;=D342,"Pass","Fail")))</f>
        <v/>
      </c>
      <c r="I342" s="26"/>
      <c r="J342" s="26"/>
      <c r="K342" s="26"/>
    </row>
    <row r="343" customFormat="false" ht="15" hidden="false" customHeight="false" outlineLevel="0" collapsed="false">
      <c r="A343" s="26"/>
      <c r="B343" s="27"/>
      <c r="C343" s="26"/>
      <c r="D343" s="28"/>
      <c r="E343" s="28"/>
      <c r="F343" s="28"/>
      <c r="G343" s="28"/>
      <c r="H343" s="29" t="str">
        <f aca="false">IF(OR(G343="",D343=""),"",IF(E343="Min",IF(G343&gt;=D343,"Pass","Fail"),IF(G343&lt;=D343,"Pass","Fail")))</f>
        <v/>
      </c>
      <c r="I343" s="26"/>
      <c r="J343" s="26"/>
      <c r="K343" s="26"/>
    </row>
    <row r="344" customFormat="false" ht="15" hidden="false" customHeight="false" outlineLevel="0" collapsed="false">
      <c r="A344" s="26"/>
      <c r="B344" s="27"/>
      <c r="C344" s="26"/>
      <c r="D344" s="28"/>
      <c r="E344" s="28"/>
      <c r="F344" s="28"/>
      <c r="G344" s="28"/>
      <c r="H344" s="29" t="str">
        <f aca="false">IF(OR(G344="",D344=""),"",IF(E344="Min",IF(G344&gt;=D344,"Pass","Fail"),IF(G344&lt;=D344,"Pass","Fail")))</f>
        <v/>
      </c>
      <c r="I344" s="26"/>
      <c r="J344" s="26"/>
      <c r="K344" s="26"/>
    </row>
    <row r="345" customFormat="false" ht="15" hidden="false" customHeight="false" outlineLevel="0" collapsed="false">
      <c r="A345" s="26"/>
      <c r="B345" s="27"/>
      <c r="C345" s="26"/>
      <c r="D345" s="28"/>
      <c r="E345" s="28"/>
      <c r="F345" s="28"/>
      <c r="G345" s="28"/>
      <c r="H345" s="29" t="str">
        <f aca="false">IF(OR(G345="",D345=""),"",IF(E345="Min",IF(G345&gt;=D345,"Pass","Fail"),IF(G345&lt;=D345,"Pass","Fail")))</f>
        <v/>
      </c>
      <c r="I345" s="26"/>
      <c r="J345" s="26"/>
      <c r="K345" s="26"/>
    </row>
    <row r="346" customFormat="false" ht="15" hidden="false" customHeight="false" outlineLevel="0" collapsed="false">
      <c r="A346" s="26"/>
      <c r="B346" s="27"/>
      <c r="C346" s="26"/>
      <c r="D346" s="28"/>
      <c r="E346" s="28"/>
      <c r="F346" s="28"/>
      <c r="G346" s="28"/>
      <c r="H346" s="29" t="str">
        <f aca="false">IF(OR(G346="",D346=""),"",IF(E346="Min",IF(G346&gt;=D346,"Pass","Fail"),IF(G346&lt;=D346,"Pass","Fail")))</f>
        <v/>
      </c>
      <c r="I346" s="26"/>
      <c r="J346" s="26"/>
      <c r="K346" s="26"/>
    </row>
    <row r="347" customFormat="false" ht="15" hidden="false" customHeight="false" outlineLevel="0" collapsed="false">
      <c r="A347" s="26"/>
      <c r="B347" s="27"/>
      <c r="C347" s="26"/>
      <c r="D347" s="28"/>
      <c r="E347" s="28"/>
      <c r="F347" s="28"/>
      <c r="G347" s="28"/>
      <c r="H347" s="29" t="str">
        <f aca="false">IF(OR(G347="",D347=""),"",IF(E347="Min",IF(G347&gt;=D347,"Pass","Fail"),IF(G347&lt;=D347,"Pass","Fail")))</f>
        <v/>
      </c>
      <c r="I347" s="26"/>
      <c r="J347" s="26"/>
      <c r="K347" s="26"/>
    </row>
    <row r="348" customFormat="false" ht="15" hidden="false" customHeight="false" outlineLevel="0" collapsed="false">
      <c r="A348" s="26"/>
      <c r="B348" s="27"/>
      <c r="C348" s="26"/>
      <c r="D348" s="28"/>
      <c r="E348" s="28"/>
      <c r="F348" s="28"/>
      <c r="G348" s="28"/>
      <c r="H348" s="29" t="str">
        <f aca="false">IF(OR(G348="",D348=""),"",IF(E348="Min",IF(G348&gt;=D348,"Pass","Fail"),IF(G348&lt;=D348,"Pass","Fail")))</f>
        <v/>
      </c>
      <c r="I348" s="26"/>
      <c r="J348" s="26"/>
      <c r="K348" s="26"/>
    </row>
    <row r="349" customFormat="false" ht="15" hidden="false" customHeight="false" outlineLevel="0" collapsed="false">
      <c r="A349" s="26"/>
      <c r="B349" s="27"/>
      <c r="C349" s="26"/>
      <c r="D349" s="28"/>
      <c r="E349" s="28"/>
      <c r="F349" s="28"/>
      <c r="G349" s="28"/>
      <c r="H349" s="29" t="str">
        <f aca="false">IF(OR(G349="",D349=""),"",IF(E349="Min",IF(G349&gt;=D349,"Pass","Fail"),IF(G349&lt;=D349,"Pass","Fail")))</f>
        <v/>
      </c>
      <c r="I349" s="26"/>
      <c r="J349" s="26"/>
      <c r="K349" s="26"/>
    </row>
    <row r="350" customFormat="false" ht="15" hidden="false" customHeight="false" outlineLevel="0" collapsed="false">
      <c r="A350" s="26"/>
      <c r="B350" s="27"/>
      <c r="C350" s="26"/>
      <c r="D350" s="28"/>
      <c r="E350" s="28"/>
      <c r="F350" s="28"/>
      <c r="G350" s="28"/>
      <c r="H350" s="29" t="str">
        <f aca="false">IF(OR(G350="",D350=""),"",IF(E350="Min",IF(G350&gt;=D350,"Pass","Fail"),IF(G350&lt;=D350,"Pass","Fail")))</f>
        <v/>
      </c>
      <c r="I350" s="26"/>
      <c r="J350" s="26"/>
      <c r="K350" s="26"/>
    </row>
    <row r="351" customFormat="false" ht="15" hidden="false" customHeight="false" outlineLevel="0" collapsed="false">
      <c r="A351" s="26"/>
      <c r="B351" s="27"/>
      <c r="C351" s="26"/>
      <c r="D351" s="28"/>
      <c r="E351" s="28"/>
      <c r="F351" s="28"/>
      <c r="G351" s="28"/>
      <c r="H351" s="29" t="str">
        <f aca="false">IF(OR(G351="",D351=""),"",IF(E351="Min",IF(G351&gt;=D351,"Pass","Fail"),IF(G351&lt;=D351,"Pass","Fail")))</f>
        <v/>
      </c>
      <c r="I351" s="26"/>
      <c r="J351" s="26"/>
      <c r="K351" s="26"/>
    </row>
    <row r="352" customFormat="false" ht="15" hidden="false" customHeight="false" outlineLevel="0" collapsed="false">
      <c r="A352" s="26"/>
      <c r="B352" s="27"/>
      <c r="C352" s="26"/>
      <c r="D352" s="28"/>
      <c r="E352" s="28"/>
      <c r="F352" s="28"/>
      <c r="G352" s="28"/>
      <c r="H352" s="29" t="str">
        <f aca="false">IF(OR(G352="",D352=""),"",IF(E352="Min",IF(G352&gt;=D352,"Pass","Fail"),IF(G352&lt;=D352,"Pass","Fail")))</f>
        <v/>
      </c>
      <c r="I352" s="26"/>
      <c r="J352" s="26"/>
      <c r="K352" s="26"/>
    </row>
    <row r="353" customFormat="false" ht="15" hidden="false" customHeight="false" outlineLevel="0" collapsed="false">
      <c r="A353" s="26"/>
      <c r="B353" s="27"/>
      <c r="C353" s="26"/>
      <c r="D353" s="28"/>
      <c r="E353" s="28"/>
      <c r="F353" s="28"/>
      <c r="G353" s="28"/>
      <c r="H353" s="29" t="str">
        <f aca="false">IF(OR(G353="",D353=""),"",IF(E353="Min",IF(G353&gt;=D353,"Pass","Fail"),IF(G353&lt;=D353,"Pass","Fail")))</f>
        <v/>
      </c>
      <c r="I353" s="26"/>
      <c r="J353" s="26"/>
      <c r="K353" s="26"/>
    </row>
    <row r="354" customFormat="false" ht="15" hidden="false" customHeight="false" outlineLevel="0" collapsed="false">
      <c r="A354" s="26"/>
      <c r="B354" s="27"/>
      <c r="C354" s="26"/>
      <c r="D354" s="28"/>
      <c r="E354" s="28"/>
      <c r="F354" s="28"/>
      <c r="G354" s="28"/>
      <c r="H354" s="29" t="str">
        <f aca="false">IF(OR(G354="",D354=""),"",IF(E354="Min",IF(G354&gt;=D354,"Pass","Fail"),IF(G354&lt;=D354,"Pass","Fail")))</f>
        <v/>
      </c>
      <c r="I354" s="26"/>
      <c r="J354" s="26"/>
      <c r="K354" s="26"/>
    </row>
    <row r="355" customFormat="false" ht="15" hidden="false" customHeight="false" outlineLevel="0" collapsed="false">
      <c r="A355" s="26"/>
      <c r="B355" s="27"/>
      <c r="C355" s="26"/>
      <c r="D355" s="28"/>
      <c r="E355" s="28"/>
      <c r="F355" s="28"/>
      <c r="G355" s="28"/>
      <c r="H355" s="29" t="str">
        <f aca="false">IF(OR(G355="",D355=""),"",IF(E355="Min",IF(G355&gt;=D355,"Pass","Fail"),IF(G355&lt;=D355,"Pass","Fail")))</f>
        <v/>
      </c>
      <c r="I355" s="26"/>
      <c r="J355" s="26"/>
      <c r="K355" s="26"/>
    </row>
    <row r="356" customFormat="false" ht="15" hidden="false" customHeight="false" outlineLevel="0" collapsed="false">
      <c r="A356" s="26"/>
      <c r="B356" s="27"/>
      <c r="C356" s="26"/>
      <c r="D356" s="28"/>
      <c r="E356" s="28"/>
      <c r="F356" s="28"/>
      <c r="G356" s="28"/>
      <c r="H356" s="29" t="str">
        <f aca="false">IF(OR(G356="",D356=""),"",IF(E356="Min",IF(G356&gt;=D356,"Pass","Fail"),IF(G356&lt;=D356,"Pass","Fail")))</f>
        <v/>
      </c>
      <c r="I356" s="26"/>
      <c r="J356" s="26"/>
      <c r="K356" s="26"/>
    </row>
    <row r="357" customFormat="false" ht="15" hidden="false" customHeight="false" outlineLevel="0" collapsed="false">
      <c r="A357" s="26"/>
      <c r="B357" s="27"/>
      <c r="C357" s="26"/>
      <c r="D357" s="28"/>
      <c r="E357" s="28"/>
      <c r="F357" s="28"/>
      <c r="G357" s="28"/>
      <c r="H357" s="29" t="str">
        <f aca="false">IF(OR(G357="",D357=""),"",IF(E357="Min",IF(G357&gt;=D357,"Pass","Fail"),IF(G357&lt;=D357,"Pass","Fail")))</f>
        <v/>
      </c>
      <c r="I357" s="26"/>
      <c r="J357" s="26"/>
      <c r="K357" s="26"/>
    </row>
    <row r="358" customFormat="false" ht="15" hidden="false" customHeight="false" outlineLevel="0" collapsed="false">
      <c r="A358" s="26"/>
      <c r="B358" s="27"/>
      <c r="C358" s="26"/>
      <c r="D358" s="28"/>
      <c r="E358" s="28"/>
      <c r="F358" s="28"/>
      <c r="G358" s="28"/>
      <c r="H358" s="29" t="str">
        <f aca="false">IF(OR(G358="",D358=""),"",IF(E358="Min",IF(G358&gt;=D358,"Pass","Fail"),IF(G358&lt;=D358,"Pass","Fail")))</f>
        <v/>
      </c>
      <c r="I358" s="26"/>
      <c r="J358" s="26"/>
      <c r="K358" s="26"/>
    </row>
    <row r="359" customFormat="false" ht="15" hidden="false" customHeight="false" outlineLevel="0" collapsed="false">
      <c r="A359" s="26"/>
      <c r="B359" s="27"/>
      <c r="C359" s="26"/>
      <c r="D359" s="28"/>
      <c r="E359" s="28"/>
      <c r="F359" s="28"/>
      <c r="G359" s="28"/>
      <c r="H359" s="29" t="str">
        <f aca="false">IF(OR(G359="",D359=""),"",IF(E359="Min",IF(G359&gt;=D359,"Pass","Fail"),IF(G359&lt;=D359,"Pass","Fail")))</f>
        <v/>
      </c>
      <c r="I359" s="26"/>
      <c r="J359" s="26"/>
      <c r="K359" s="26"/>
    </row>
    <row r="360" customFormat="false" ht="15" hidden="false" customHeight="false" outlineLevel="0" collapsed="false">
      <c r="A360" s="26"/>
      <c r="B360" s="27"/>
      <c r="C360" s="26"/>
      <c r="D360" s="28"/>
      <c r="E360" s="28"/>
      <c r="F360" s="28"/>
      <c r="G360" s="28"/>
      <c r="H360" s="29" t="str">
        <f aca="false">IF(OR(G360="",D360=""),"",IF(E360="Min",IF(G360&gt;=D360,"Pass","Fail"),IF(G360&lt;=D360,"Pass","Fail")))</f>
        <v/>
      </c>
      <c r="I360" s="26"/>
      <c r="J360" s="26"/>
      <c r="K360" s="26"/>
    </row>
    <row r="361" customFormat="false" ht="15" hidden="false" customHeight="false" outlineLevel="0" collapsed="false">
      <c r="A361" s="26"/>
      <c r="B361" s="27"/>
      <c r="C361" s="26"/>
      <c r="D361" s="28"/>
      <c r="E361" s="28"/>
      <c r="F361" s="28"/>
      <c r="G361" s="28"/>
      <c r="H361" s="29" t="str">
        <f aca="false">IF(OR(G361="",D361=""),"",IF(E361="Min",IF(G361&gt;=D361,"Pass","Fail"),IF(G361&lt;=D361,"Pass","Fail")))</f>
        <v/>
      </c>
      <c r="I361" s="26"/>
      <c r="J361" s="26"/>
      <c r="K361" s="26"/>
    </row>
    <row r="362" customFormat="false" ht="15" hidden="false" customHeight="false" outlineLevel="0" collapsed="false">
      <c r="A362" s="26"/>
      <c r="B362" s="27"/>
      <c r="C362" s="26"/>
      <c r="D362" s="28"/>
      <c r="E362" s="28"/>
      <c r="F362" s="28"/>
      <c r="G362" s="28"/>
      <c r="H362" s="29" t="str">
        <f aca="false">IF(OR(G362="",D362=""),"",IF(E362="Min",IF(G362&gt;=D362,"Pass","Fail"),IF(G362&lt;=D362,"Pass","Fail")))</f>
        <v/>
      </c>
      <c r="I362" s="26"/>
      <c r="J362" s="26"/>
      <c r="K362" s="26"/>
    </row>
    <row r="363" customFormat="false" ht="15" hidden="false" customHeight="false" outlineLevel="0" collapsed="false">
      <c r="A363" s="26"/>
      <c r="B363" s="27"/>
      <c r="C363" s="26"/>
      <c r="D363" s="28"/>
      <c r="E363" s="28"/>
      <c r="F363" s="28"/>
      <c r="G363" s="28"/>
      <c r="H363" s="29" t="str">
        <f aca="false">IF(OR(G363="",D363=""),"",IF(E363="Min",IF(G363&gt;=D363,"Pass","Fail"),IF(G363&lt;=D363,"Pass","Fail")))</f>
        <v/>
      </c>
      <c r="I363" s="26"/>
      <c r="J363" s="26"/>
      <c r="K363" s="26"/>
    </row>
    <row r="364" customFormat="false" ht="15" hidden="false" customHeight="false" outlineLevel="0" collapsed="false">
      <c r="A364" s="26"/>
      <c r="B364" s="27"/>
      <c r="C364" s="26"/>
      <c r="D364" s="28"/>
      <c r="E364" s="28"/>
      <c r="F364" s="28"/>
      <c r="G364" s="28"/>
      <c r="H364" s="29" t="str">
        <f aca="false">IF(OR(G364="",D364=""),"",IF(E364="Min",IF(G364&gt;=D364,"Pass","Fail"),IF(G364&lt;=D364,"Pass","Fail")))</f>
        <v/>
      </c>
      <c r="I364" s="26"/>
      <c r="J364" s="26"/>
      <c r="K364" s="26"/>
    </row>
    <row r="365" customFormat="false" ht="15" hidden="false" customHeight="false" outlineLevel="0" collapsed="false">
      <c r="A365" s="26"/>
      <c r="B365" s="27"/>
      <c r="C365" s="26"/>
      <c r="D365" s="28"/>
      <c r="E365" s="28"/>
      <c r="F365" s="28"/>
      <c r="G365" s="28"/>
      <c r="H365" s="29" t="str">
        <f aca="false">IF(OR(G365="",D365=""),"",IF(E365="Min",IF(G365&gt;=D365,"Pass","Fail"),IF(G365&lt;=D365,"Pass","Fail")))</f>
        <v/>
      </c>
      <c r="I365" s="26"/>
      <c r="J365" s="26"/>
      <c r="K365" s="26"/>
    </row>
    <row r="366" customFormat="false" ht="15" hidden="false" customHeight="false" outlineLevel="0" collapsed="false">
      <c r="A366" s="26"/>
      <c r="B366" s="27"/>
      <c r="C366" s="26"/>
      <c r="D366" s="28"/>
      <c r="E366" s="28"/>
      <c r="F366" s="28"/>
      <c r="G366" s="28"/>
      <c r="H366" s="29" t="str">
        <f aca="false">IF(OR(G366="",D366=""),"",IF(E366="Min",IF(G366&gt;=D366,"Pass","Fail"),IF(G366&lt;=D366,"Pass","Fail")))</f>
        <v/>
      </c>
      <c r="I366" s="26"/>
      <c r="J366" s="26"/>
      <c r="K366" s="26"/>
    </row>
    <row r="367" customFormat="false" ht="15" hidden="false" customHeight="false" outlineLevel="0" collapsed="false">
      <c r="A367" s="26"/>
      <c r="B367" s="27"/>
      <c r="C367" s="26"/>
      <c r="D367" s="28"/>
      <c r="E367" s="28"/>
      <c r="F367" s="28"/>
      <c r="G367" s="28"/>
      <c r="H367" s="29" t="str">
        <f aca="false">IF(OR(G367="",D367=""),"",IF(E367="Min",IF(G367&gt;=D367,"Pass","Fail"),IF(G367&lt;=D367,"Pass","Fail")))</f>
        <v/>
      </c>
      <c r="I367" s="26"/>
      <c r="J367" s="26"/>
      <c r="K367" s="26"/>
    </row>
    <row r="368" customFormat="false" ht="15" hidden="false" customHeight="false" outlineLevel="0" collapsed="false">
      <c r="A368" s="26"/>
      <c r="B368" s="27"/>
      <c r="C368" s="26"/>
      <c r="D368" s="28"/>
      <c r="E368" s="28"/>
      <c r="F368" s="28"/>
      <c r="G368" s="28"/>
      <c r="H368" s="29" t="str">
        <f aca="false">IF(OR(G368="",D368=""),"",IF(E368="Min",IF(G368&gt;=D368,"Pass","Fail"),IF(G368&lt;=D368,"Pass","Fail")))</f>
        <v/>
      </c>
      <c r="I368" s="26"/>
      <c r="J368" s="26"/>
      <c r="K368" s="26"/>
    </row>
    <row r="369" customFormat="false" ht="15" hidden="false" customHeight="false" outlineLevel="0" collapsed="false">
      <c r="A369" s="26"/>
      <c r="B369" s="27"/>
      <c r="C369" s="26"/>
      <c r="D369" s="28"/>
      <c r="E369" s="28"/>
      <c r="F369" s="28"/>
      <c r="G369" s="28"/>
      <c r="H369" s="29" t="str">
        <f aca="false">IF(OR(G369="",D369=""),"",IF(E369="Min",IF(G369&gt;=D369,"Pass","Fail"),IF(G369&lt;=D369,"Pass","Fail")))</f>
        <v/>
      </c>
      <c r="I369" s="26"/>
      <c r="J369" s="26"/>
      <c r="K369" s="26"/>
    </row>
    <row r="370" customFormat="false" ht="15" hidden="false" customHeight="false" outlineLevel="0" collapsed="false">
      <c r="A370" s="26"/>
      <c r="B370" s="27"/>
      <c r="C370" s="26"/>
      <c r="D370" s="28"/>
      <c r="E370" s="28"/>
      <c r="F370" s="28"/>
      <c r="G370" s="28"/>
      <c r="H370" s="29" t="str">
        <f aca="false">IF(OR(G370="",D370=""),"",IF(E370="Min",IF(G370&gt;=D370,"Pass","Fail"),IF(G370&lt;=D370,"Pass","Fail")))</f>
        <v/>
      </c>
      <c r="I370" s="26"/>
      <c r="J370" s="26"/>
      <c r="K370" s="26"/>
    </row>
    <row r="371" customFormat="false" ht="15" hidden="false" customHeight="false" outlineLevel="0" collapsed="false">
      <c r="A371" s="26"/>
      <c r="B371" s="27"/>
      <c r="C371" s="26"/>
      <c r="D371" s="28"/>
      <c r="E371" s="28"/>
      <c r="F371" s="28"/>
      <c r="G371" s="28"/>
      <c r="H371" s="29" t="str">
        <f aca="false">IF(OR(G371="",D371=""),"",IF(E371="Min",IF(G371&gt;=D371,"Pass","Fail"),IF(G371&lt;=D371,"Pass","Fail")))</f>
        <v/>
      </c>
      <c r="I371" s="26"/>
      <c r="J371" s="26"/>
      <c r="K371" s="26"/>
    </row>
    <row r="372" customFormat="false" ht="15" hidden="false" customHeight="false" outlineLevel="0" collapsed="false">
      <c r="A372" s="26"/>
      <c r="B372" s="27"/>
      <c r="C372" s="26"/>
      <c r="D372" s="28"/>
      <c r="E372" s="28"/>
      <c r="F372" s="28"/>
      <c r="G372" s="28"/>
      <c r="H372" s="29" t="str">
        <f aca="false">IF(OR(G372="",D372=""),"",IF(E372="Min",IF(G372&gt;=D372,"Pass","Fail"),IF(G372&lt;=D372,"Pass","Fail")))</f>
        <v/>
      </c>
      <c r="I372" s="26"/>
      <c r="J372" s="26"/>
      <c r="K372" s="26"/>
    </row>
    <row r="373" customFormat="false" ht="15" hidden="false" customHeight="false" outlineLevel="0" collapsed="false">
      <c r="A373" s="26"/>
      <c r="B373" s="27"/>
      <c r="C373" s="26"/>
      <c r="D373" s="28"/>
      <c r="E373" s="28"/>
      <c r="F373" s="28"/>
      <c r="G373" s="28"/>
      <c r="H373" s="29" t="str">
        <f aca="false">IF(OR(G373="",D373=""),"",IF(E373="Min",IF(G373&gt;=D373,"Pass","Fail"),IF(G373&lt;=D373,"Pass","Fail")))</f>
        <v/>
      </c>
      <c r="I373" s="26"/>
      <c r="J373" s="26"/>
      <c r="K373" s="26"/>
    </row>
    <row r="374" customFormat="false" ht="15" hidden="false" customHeight="false" outlineLevel="0" collapsed="false">
      <c r="A374" s="26"/>
      <c r="B374" s="27"/>
      <c r="C374" s="26"/>
      <c r="D374" s="28"/>
      <c r="E374" s="28"/>
      <c r="F374" s="28"/>
      <c r="G374" s="28"/>
      <c r="H374" s="29" t="str">
        <f aca="false">IF(OR(G374="",D374=""),"",IF(E374="Min",IF(G374&gt;=D374,"Pass","Fail"),IF(G374&lt;=D374,"Pass","Fail")))</f>
        <v/>
      </c>
      <c r="I374" s="26"/>
      <c r="J374" s="26"/>
      <c r="K374" s="26"/>
    </row>
    <row r="375" customFormat="false" ht="15" hidden="false" customHeight="false" outlineLevel="0" collapsed="false">
      <c r="A375" s="26"/>
      <c r="B375" s="27"/>
      <c r="C375" s="26"/>
      <c r="D375" s="28"/>
      <c r="E375" s="28"/>
      <c r="F375" s="28"/>
      <c r="G375" s="28"/>
      <c r="H375" s="29" t="str">
        <f aca="false">IF(OR(G375="",D375=""),"",IF(E375="Min",IF(G375&gt;=D375,"Pass","Fail"),IF(G375&lt;=D375,"Pass","Fail")))</f>
        <v/>
      </c>
      <c r="I375" s="26"/>
      <c r="J375" s="26"/>
      <c r="K375" s="26"/>
    </row>
    <row r="376" customFormat="false" ht="15" hidden="false" customHeight="false" outlineLevel="0" collapsed="false">
      <c r="A376" s="26"/>
      <c r="B376" s="27"/>
      <c r="C376" s="26"/>
      <c r="D376" s="28"/>
      <c r="E376" s="28"/>
      <c r="F376" s="28"/>
      <c r="G376" s="28"/>
      <c r="H376" s="29" t="str">
        <f aca="false">IF(OR(G376="",D376=""),"",IF(E376="Min",IF(G376&gt;=D376,"Pass","Fail"),IF(G376&lt;=D376,"Pass","Fail")))</f>
        <v/>
      </c>
      <c r="I376" s="26"/>
      <c r="J376" s="26"/>
      <c r="K376" s="26"/>
    </row>
    <row r="377" customFormat="false" ht="15" hidden="false" customHeight="false" outlineLevel="0" collapsed="false">
      <c r="A377" s="26"/>
      <c r="B377" s="27"/>
      <c r="C377" s="26"/>
      <c r="D377" s="28"/>
      <c r="E377" s="28"/>
      <c r="F377" s="28"/>
      <c r="G377" s="28"/>
      <c r="H377" s="29" t="str">
        <f aca="false">IF(OR(G377="",D377=""),"",IF(E377="Min",IF(G377&gt;=D377,"Pass","Fail"),IF(G377&lt;=D377,"Pass","Fail")))</f>
        <v/>
      </c>
      <c r="I377" s="26"/>
      <c r="J377" s="26"/>
      <c r="K377" s="26"/>
    </row>
    <row r="378" customFormat="false" ht="15" hidden="false" customHeight="false" outlineLevel="0" collapsed="false">
      <c r="A378" s="26"/>
      <c r="B378" s="27"/>
      <c r="C378" s="26"/>
      <c r="D378" s="28"/>
      <c r="E378" s="28"/>
      <c r="F378" s="28"/>
      <c r="G378" s="28"/>
      <c r="H378" s="29" t="str">
        <f aca="false">IF(OR(G378="",D378=""),"",IF(E378="Min",IF(G378&gt;=D378,"Pass","Fail"),IF(G378&lt;=D378,"Pass","Fail")))</f>
        <v/>
      </c>
      <c r="I378" s="26"/>
      <c r="J378" s="26"/>
      <c r="K378" s="26"/>
    </row>
    <row r="379" customFormat="false" ht="15" hidden="false" customHeight="false" outlineLevel="0" collapsed="false">
      <c r="A379" s="26"/>
      <c r="B379" s="27"/>
      <c r="C379" s="26"/>
      <c r="D379" s="28"/>
      <c r="E379" s="28"/>
      <c r="F379" s="28"/>
      <c r="G379" s="28"/>
      <c r="H379" s="29" t="str">
        <f aca="false">IF(OR(G379="",D379=""),"",IF(E379="Min",IF(G379&gt;=D379,"Pass","Fail"),IF(G379&lt;=D379,"Pass","Fail")))</f>
        <v/>
      </c>
      <c r="I379" s="26"/>
      <c r="J379" s="26"/>
      <c r="K379" s="26"/>
    </row>
    <row r="380" customFormat="false" ht="15" hidden="false" customHeight="false" outlineLevel="0" collapsed="false">
      <c r="A380" s="26"/>
      <c r="B380" s="27"/>
      <c r="C380" s="26"/>
      <c r="D380" s="28"/>
      <c r="E380" s="28"/>
      <c r="F380" s="28"/>
      <c r="G380" s="28"/>
      <c r="H380" s="29" t="str">
        <f aca="false">IF(OR(G380="",D380=""),"",IF(E380="Min",IF(G380&gt;=D380,"Pass","Fail"),IF(G380&lt;=D380,"Pass","Fail")))</f>
        <v/>
      </c>
      <c r="I380" s="26"/>
      <c r="J380" s="26"/>
      <c r="K380" s="26"/>
    </row>
    <row r="381" customFormat="false" ht="15" hidden="false" customHeight="false" outlineLevel="0" collapsed="false">
      <c r="A381" s="26"/>
      <c r="B381" s="27"/>
      <c r="C381" s="26"/>
      <c r="D381" s="28"/>
      <c r="E381" s="28"/>
      <c r="F381" s="28"/>
      <c r="G381" s="28"/>
      <c r="H381" s="29" t="str">
        <f aca="false">IF(OR(G381="",D381=""),"",IF(E381="Min",IF(G381&gt;=D381,"Pass","Fail"),IF(G381&lt;=D381,"Pass","Fail")))</f>
        <v/>
      </c>
      <c r="I381" s="26"/>
      <c r="J381" s="26"/>
      <c r="K381" s="26"/>
    </row>
    <row r="382" customFormat="false" ht="15" hidden="false" customHeight="false" outlineLevel="0" collapsed="false">
      <c r="A382" s="26"/>
      <c r="B382" s="27"/>
      <c r="C382" s="26"/>
      <c r="D382" s="28"/>
      <c r="E382" s="28"/>
      <c r="F382" s="28"/>
      <c r="G382" s="28"/>
      <c r="H382" s="29" t="str">
        <f aca="false">IF(OR(G382="",D382=""),"",IF(E382="Min",IF(G382&gt;=D382,"Pass","Fail"),IF(G382&lt;=D382,"Pass","Fail")))</f>
        <v/>
      </c>
      <c r="I382" s="26"/>
      <c r="J382" s="26"/>
      <c r="K382" s="26"/>
    </row>
    <row r="383" customFormat="false" ht="15" hidden="false" customHeight="false" outlineLevel="0" collapsed="false">
      <c r="A383" s="26"/>
      <c r="B383" s="27"/>
      <c r="C383" s="26"/>
      <c r="D383" s="28"/>
      <c r="E383" s="28"/>
      <c r="F383" s="28"/>
      <c r="G383" s="28"/>
      <c r="H383" s="29" t="str">
        <f aca="false">IF(OR(G383="",D383=""),"",IF(E383="Min",IF(G383&gt;=D383,"Pass","Fail"),IF(G383&lt;=D383,"Pass","Fail")))</f>
        <v/>
      </c>
      <c r="I383" s="26"/>
      <c r="J383" s="26"/>
      <c r="K383" s="26"/>
    </row>
    <row r="384" customFormat="false" ht="15" hidden="false" customHeight="false" outlineLevel="0" collapsed="false">
      <c r="A384" s="26"/>
      <c r="B384" s="27"/>
      <c r="C384" s="26"/>
      <c r="D384" s="28"/>
      <c r="E384" s="28"/>
      <c r="F384" s="28"/>
      <c r="G384" s="28"/>
      <c r="H384" s="29" t="str">
        <f aca="false">IF(OR(G384="",D384=""),"",IF(E384="Min",IF(G384&gt;=D384,"Pass","Fail"),IF(G384&lt;=D384,"Pass","Fail")))</f>
        <v/>
      </c>
      <c r="I384" s="26"/>
      <c r="J384" s="26"/>
      <c r="K384" s="26"/>
    </row>
    <row r="385" customFormat="false" ht="15" hidden="false" customHeight="false" outlineLevel="0" collapsed="false">
      <c r="A385" s="26"/>
      <c r="B385" s="27"/>
      <c r="C385" s="26"/>
      <c r="D385" s="28"/>
      <c r="E385" s="28"/>
      <c r="F385" s="28"/>
      <c r="G385" s="28"/>
      <c r="H385" s="29" t="str">
        <f aca="false">IF(OR(G385="",D385=""),"",IF(E385="Min",IF(G385&gt;=D385,"Pass","Fail"),IF(G385&lt;=D385,"Pass","Fail")))</f>
        <v/>
      </c>
      <c r="I385" s="26"/>
      <c r="J385" s="26"/>
      <c r="K385" s="26"/>
    </row>
    <row r="386" customFormat="false" ht="15" hidden="false" customHeight="false" outlineLevel="0" collapsed="false">
      <c r="A386" s="26"/>
      <c r="B386" s="27"/>
      <c r="C386" s="26"/>
      <c r="D386" s="28"/>
      <c r="E386" s="28"/>
      <c r="F386" s="28"/>
      <c r="G386" s="28"/>
      <c r="H386" s="29" t="str">
        <f aca="false">IF(OR(G386="",D386=""),"",IF(E386="Min",IF(G386&gt;=D386,"Pass","Fail"),IF(G386&lt;=D386,"Pass","Fail")))</f>
        <v/>
      </c>
      <c r="I386" s="26"/>
      <c r="J386" s="26"/>
      <c r="K386" s="26"/>
    </row>
    <row r="387" customFormat="false" ht="15" hidden="false" customHeight="false" outlineLevel="0" collapsed="false">
      <c r="A387" s="26"/>
      <c r="B387" s="27"/>
      <c r="C387" s="26"/>
      <c r="D387" s="28"/>
      <c r="E387" s="28"/>
      <c r="F387" s="28"/>
      <c r="G387" s="28"/>
      <c r="H387" s="29" t="str">
        <f aca="false">IF(OR(G387="",D387=""),"",IF(E387="Min",IF(G387&gt;=D387,"Pass","Fail"),IF(G387&lt;=D387,"Pass","Fail")))</f>
        <v/>
      </c>
      <c r="I387" s="26"/>
      <c r="J387" s="26"/>
      <c r="K387" s="26"/>
    </row>
    <row r="388" customFormat="false" ht="15" hidden="false" customHeight="false" outlineLevel="0" collapsed="false">
      <c r="A388" s="26"/>
      <c r="B388" s="27"/>
      <c r="C388" s="26"/>
      <c r="D388" s="28"/>
      <c r="E388" s="28"/>
      <c r="F388" s="28"/>
      <c r="G388" s="28"/>
      <c r="H388" s="29" t="str">
        <f aca="false">IF(OR(G388="",D388=""),"",IF(E388="Min",IF(G388&gt;=D388,"Pass","Fail"),IF(G388&lt;=D388,"Pass","Fail")))</f>
        <v/>
      </c>
      <c r="I388" s="26"/>
      <c r="J388" s="26"/>
      <c r="K388" s="26"/>
    </row>
    <row r="389" customFormat="false" ht="15" hidden="false" customHeight="false" outlineLevel="0" collapsed="false">
      <c r="A389" s="26"/>
      <c r="B389" s="27"/>
      <c r="C389" s="26"/>
      <c r="D389" s="28"/>
      <c r="E389" s="28"/>
      <c r="F389" s="28"/>
      <c r="G389" s="28"/>
      <c r="H389" s="29" t="str">
        <f aca="false">IF(OR(G389="",D389=""),"",IF(E389="Min",IF(G389&gt;=D389,"Pass","Fail"),IF(G389&lt;=D389,"Pass","Fail")))</f>
        <v/>
      </c>
      <c r="I389" s="26"/>
      <c r="J389" s="26"/>
      <c r="K389" s="26"/>
    </row>
    <row r="390" customFormat="false" ht="15" hidden="false" customHeight="false" outlineLevel="0" collapsed="false">
      <c r="A390" s="26"/>
      <c r="B390" s="27"/>
      <c r="C390" s="26"/>
      <c r="D390" s="28"/>
      <c r="E390" s="28"/>
      <c r="F390" s="28"/>
      <c r="G390" s="28"/>
      <c r="H390" s="29" t="str">
        <f aca="false">IF(OR(G390="",D390=""),"",IF(E390="Min",IF(G390&gt;=D390,"Pass","Fail"),IF(G390&lt;=D390,"Pass","Fail")))</f>
        <v/>
      </c>
      <c r="I390" s="26"/>
      <c r="J390" s="26"/>
      <c r="K390" s="26"/>
    </row>
    <row r="391" customFormat="false" ht="15" hidden="false" customHeight="false" outlineLevel="0" collapsed="false">
      <c r="A391" s="26"/>
      <c r="B391" s="27"/>
      <c r="C391" s="26"/>
      <c r="D391" s="28"/>
      <c r="E391" s="28"/>
      <c r="F391" s="28"/>
      <c r="G391" s="28"/>
      <c r="H391" s="29" t="str">
        <f aca="false">IF(OR(G391="",D391=""),"",IF(E391="Min",IF(G391&gt;=D391,"Pass","Fail"),IF(G391&lt;=D391,"Pass","Fail")))</f>
        <v/>
      </c>
      <c r="I391" s="26"/>
      <c r="J391" s="26"/>
      <c r="K391" s="26"/>
    </row>
    <row r="392" customFormat="false" ht="15" hidden="false" customHeight="false" outlineLevel="0" collapsed="false">
      <c r="A392" s="26"/>
      <c r="B392" s="27"/>
      <c r="C392" s="26"/>
      <c r="D392" s="28"/>
      <c r="E392" s="28"/>
      <c r="F392" s="28"/>
      <c r="G392" s="28"/>
      <c r="H392" s="29" t="str">
        <f aca="false">IF(OR(G392="",D392=""),"",IF(E392="Min",IF(G392&gt;=D392,"Pass","Fail"),IF(G392&lt;=D392,"Pass","Fail")))</f>
        <v/>
      </c>
      <c r="I392" s="26"/>
      <c r="J392" s="26"/>
      <c r="K392" s="26"/>
    </row>
    <row r="393" customFormat="false" ht="15" hidden="false" customHeight="false" outlineLevel="0" collapsed="false">
      <c r="A393" s="26"/>
      <c r="B393" s="27"/>
      <c r="C393" s="26"/>
      <c r="D393" s="28"/>
      <c r="E393" s="28"/>
      <c r="F393" s="28"/>
      <c r="G393" s="28"/>
      <c r="H393" s="29" t="str">
        <f aca="false">IF(OR(G393="",D393=""),"",IF(E393="Min",IF(G393&gt;=D393,"Pass","Fail"),IF(G393&lt;=D393,"Pass","Fail")))</f>
        <v/>
      </c>
      <c r="I393" s="26"/>
      <c r="J393" s="26"/>
      <c r="K393" s="26"/>
    </row>
    <row r="394" customFormat="false" ht="15" hidden="false" customHeight="false" outlineLevel="0" collapsed="false">
      <c r="A394" s="26"/>
      <c r="B394" s="27"/>
      <c r="C394" s="26"/>
      <c r="D394" s="28"/>
      <c r="E394" s="28"/>
      <c r="F394" s="28"/>
      <c r="G394" s="28"/>
      <c r="H394" s="29" t="str">
        <f aca="false">IF(OR(G394="",D394=""),"",IF(E394="Min",IF(G394&gt;=D394,"Pass","Fail"),IF(G394&lt;=D394,"Pass","Fail")))</f>
        <v/>
      </c>
      <c r="I394" s="26"/>
      <c r="J394" s="26"/>
      <c r="K394" s="26"/>
    </row>
    <row r="395" customFormat="false" ht="15" hidden="false" customHeight="false" outlineLevel="0" collapsed="false">
      <c r="A395" s="26"/>
      <c r="B395" s="27"/>
      <c r="C395" s="26"/>
      <c r="D395" s="28"/>
      <c r="E395" s="28"/>
      <c r="F395" s="28"/>
      <c r="G395" s="28"/>
      <c r="H395" s="29" t="str">
        <f aca="false">IF(OR(G395="",D395=""),"",IF(E395="Min",IF(G395&gt;=D395,"Pass","Fail"),IF(G395&lt;=D395,"Pass","Fail")))</f>
        <v/>
      </c>
      <c r="I395" s="26"/>
      <c r="J395" s="26"/>
      <c r="K395" s="26"/>
    </row>
    <row r="396" customFormat="false" ht="15" hidden="false" customHeight="false" outlineLevel="0" collapsed="false">
      <c r="A396" s="26"/>
      <c r="B396" s="27"/>
      <c r="C396" s="26"/>
      <c r="D396" s="28"/>
      <c r="E396" s="28"/>
      <c r="F396" s="28"/>
      <c r="G396" s="28"/>
      <c r="H396" s="29" t="str">
        <f aca="false">IF(OR(G396="",D396=""),"",IF(E396="Min",IF(G396&gt;=D396,"Pass","Fail"),IF(G396&lt;=D396,"Pass","Fail")))</f>
        <v/>
      </c>
      <c r="I396" s="26"/>
      <c r="J396" s="26"/>
      <c r="K396" s="26"/>
    </row>
    <row r="397" customFormat="false" ht="15" hidden="false" customHeight="false" outlineLevel="0" collapsed="false">
      <c r="A397" s="26"/>
      <c r="B397" s="27"/>
      <c r="C397" s="26"/>
      <c r="D397" s="28"/>
      <c r="E397" s="28"/>
      <c r="F397" s="28"/>
      <c r="G397" s="28"/>
      <c r="H397" s="29" t="str">
        <f aca="false">IF(OR(G397="",D397=""),"",IF(E397="Min",IF(G397&gt;=D397,"Pass","Fail"),IF(G397&lt;=D397,"Pass","Fail")))</f>
        <v/>
      </c>
      <c r="I397" s="26"/>
      <c r="J397" s="26"/>
      <c r="K397" s="26"/>
    </row>
    <row r="398" customFormat="false" ht="15" hidden="false" customHeight="false" outlineLevel="0" collapsed="false">
      <c r="A398" s="26"/>
      <c r="B398" s="27"/>
      <c r="C398" s="26"/>
      <c r="D398" s="28"/>
      <c r="E398" s="28"/>
      <c r="F398" s="28"/>
      <c r="G398" s="28"/>
      <c r="H398" s="29" t="str">
        <f aca="false">IF(OR(G398="",D398=""),"",IF(E398="Min",IF(G398&gt;=D398,"Pass","Fail"),IF(G398&lt;=D398,"Pass","Fail")))</f>
        <v/>
      </c>
      <c r="I398" s="26"/>
      <c r="J398" s="26"/>
      <c r="K398" s="26"/>
    </row>
    <row r="399" customFormat="false" ht="15" hidden="false" customHeight="false" outlineLevel="0" collapsed="false">
      <c r="A399" s="26"/>
      <c r="B399" s="27"/>
      <c r="C399" s="26"/>
      <c r="D399" s="28"/>
      <c r="E399" s="28"/>
      <c r="F399" s="28"/>
      <c r="G399" s="28"/>
      <c r="H399" s="29" t="str">
        <f aca="false">IF(OR(G399="",D399=""),"",IF(E399="Min",IF(G399&gt;=D399,"Pass","Fail"),IF(G399&lt;=D399,"Pass","Fail")))</f>
        <v/>
      </c>
      <c r="I399" s="26"/>
      <c r="J399" s="26"/>
      <c r="K399" s="26"/>
    </row>
    <row r="400" customFormat="false" ht="15" hidden="false" customHeight="false" outlineLevel="0" collapsed="false">
      <c r="A400" s="26"/>
      <c r="B400" s="27"/>
      <c r="C400" s="26"/>
      <c r="D400" s="28"/>
      <c r="E400" s="28"/>
      <c r="F400" s="28"/>
      <c r="G400" s="28"/>
      <c r="H400" s="29" t="str">
        <f aca="false">IF(OR(G400="",D400=""),"",IF(E400="Min",IF(G400&gt;=D400,"Pass","Fail"),IF(G400&lt;=D400,"Pass","Fail")))</f>
        <v/>
      </c>
      <c r="I400" s="26"/>
      <c r="J400" s="26"/>
      <c r="K400" s="26"/>
    </row>
    <row r="401" customFormat="false" ht="15" hidden="false" customHeight="false" outlineLevel="0" collapsed="false">
      <c r="A401" s="26"/>
      <c r="B401" s="27"/>
      <c r="C401" s="26"/>
      <c r="D401" s="28"/>
      <c r="E401" s="28"/>
      <c r="F401" s="28"/>
      <c r="G401" s="28"/>
      <c r="H401" s="29" t="str">
        <f aca="false">IF(OR(G401="",D401=""),"",IF(E401="Min",IF(G401&gt;=D401,"Pass","Fail"),IF(G401&lt;=D401,"Pass","Fail")))</f>
        <v/>
      </c>
      <c r="I401" s="26"/>
      <c r="J401" s="26"/>
      <c r="K401" s="26"/>
    </row>
    <row r="402" customFormat="false" ht="15" hidden="false" customHeight="false" outlineLevel="0" collapsed="false">
      <c r="A402" s="26"/>
      <c r="B402" s="27"/>
      <c r="C402" s="26"/>
      <c r="D402" s="28"/>
      <c r="E402" s="28"/>
      <c r="F402" s="28"/>
      <c r="G402" s="28"/>
      <c r="H402" s="29" t="str">
        <f aca="false">IF(OR(G402="",D402=""),"",IF(E402="Min",IF(G402&gt;=D402,"Pass","Fail"),IF(G402&lt;=D402,"Pass","Fail")))</f>
        <v/>
      </c>
      <c r="I402" s="26"/>
      <c r="J402" s="26"/>
      <c r="K402" s="26"/>
    </row>
    <row r="403" customFormat="false" ht="15" hidden="false" customHeight="false" outlineLevel="0" collapsed="false">
      <c r="A403" s="26"/>
      <c r="B403" s="27"/>
      <c r="C403" s="26"/>
      <c r="D403" s="28"/>
      <c r="E403" s="28"/>
      <c r="F403" s="28"/>
      <c r="G403" s="28"/>
      <c r="H403" s="29" t="str">
        <f aca="false">IF(OR(G403="",D403=""),"",IF(E403="Min",IF(G403&gt;=D403,"Pass","Fail"),IF(G403&lt;=D403,"Pass","Fail")))</f>
        <v/>
      </c>
      <c r="I403" s="26"/>
      <c r="J403" s="26"/>
      <c r="K403" s="26"/>
    </row>
    <row r="404" customFormat="false" ht="15" hidden="false" customHeight="false" outlineLevel="0" collapsed="false">
      <c r="A404" s="26"/>
      <c r="B404" s="27"/>
      <c r="C404" s="26"/>
      <c r="D404" s="28"/>
      <c r="E404" s="28"/>
      <c r="F404" s="28"/>
      <c r="G404" s="28"/>
      <c r="H404" s="29" t="str">
        <f aca="false">IF(OR(G404="",D404=""),"",IF(E404="Min",IF(G404&gt;=D404,"Pass","Fail"),IF(G404&lt;=D404,"Pass","Fail")))</f>
        <v/>
      </c>
      <c r="I404" s="26"/>
      <c r="J404" s="26"/>
      <c r="K404" s="26"/>
    </row>
    <row r="405" customFormat="false" ht="15" hidden="false" customHeight="false" outlineLevel="0" collapsed="false">
      <c r="A405" s="26"/>
      <c r="B405" s="27"/>
      <c r="C405" s="26"/>
      <c r="D405" s="28"/>
      <c r="E405" s="28"/>
      <c r="F405" s="28"/>
      <c r="G405" s="28"/>
      <c r="H405" s="29" t="str">
        <f aca="false">IF(OR(G405="",D405=""),"",IF(E405="Min",IF(G405&gt;=D405,"Pass","Fail"),IF(G405&lt;=D405,"Pass","Fail")))</f>
        <v/>
      </c>
      <c r="I405" s="26"/>
      <c r="J405" s="26"/>
      <c r="K405" s="26"/>
    </row>
    <row r="406" customFormat="false" ht="15" hidden="false" customHeight="false" outlineLevel="0" collapsed="false">
      <c r="A406" s="26"/>
      <c r="B406" s="27"/>
      <c r="C406" s="26"/>
      <c r="D406" s="28"/>
      <c r="E406" s="28"/>
      <c r="F406" s="28"/>
      <c r="G406" s="28"/>
      <c r="H406" s="29" t="str">
        <f aca="false">IF(OR(G406="",D406=""),"",IF(E406="Min",IF(G406&gt;=D406,"Pass","Fail"),IF(G406&lt;=D406,"Pass","Fail")))</f>
        <v/>
      </c>
      <c r="I406" s="26"/>
      <c r="J406" s="26"/>
      <c r="K406" s="26"/>
    </row>
    <row r="407" customFormat="false" ht="15" hidden="false" customHeight="false" outlineLevel="0" collapsed="false">
      <c r="A407" s="26"/>
      <c r="B407" s="27"/>
      <c r="C407" s="26"/>
      <c r="D407" s="28"/>
      <c r="E407" s="28"/>
      <c r="F407" s="28"/>
      <c r="G407" s="28"/>
      <c r="H407" s="29" t="str">
        <f aca="false">IF(OR(G407="",D407=""),"",IF(E407="Min",IF(G407&gt;=D407,"Pass","Fail"),IF(G407&lt;=D407,"Pass","Fail")))</f>
        <v/>
      </c>
      <c r="I407" s="26"/>
      <c r="J407" s="26"/>
      <c r="K407" s="26"/>
    </row>
    <row r="408" customFormat="false" ht="15" hidden="false" customHeight="false" outlineLevel="0" collapsed="false">
      <c r="A408" s="26"/>
      <c r="B408" s="27"/>
      <c r="C408" s="26"/>
      <c r="D408" s="28"/>
      <c r="E408" s="28"/>
      <c r="F408" s="28"/>
      <c r="G408" s="28"/>
      <c r="H408" s="29" t="str">
        <f aca="false">IF(OR(G408="",D408=""),"",IF(E408="Min",IF(G408&gt;=D408,"Pass","Fail"),IF(G408&lt;=D408,"Pass","Fail")))</f>
        <v/>
      </c>
      <c r="I408" s="26"/>
      <c r="J408" s="26"/>
      <c r="K408" s="26"/>
    </row>
    <row r="409" customFormat="false" ht="15" hidden="false" customHeight="false" outlineLevel="0" collapsed="false">
      <c r="A409" s="26"/>
      <c r="B409" s="27"/>
      <c r="C409" s="26"/>
      <c r="D409" s="28"/>
      <c r="E409" s="28"/>
      <c r="F409" s="28"/>
      <c r="G409" s="28"/>
      <c r="H409" s="29" t="str">
        <f aca="false">IF(OR(G409="",D409=""),"",IF(E409="Min",IF(G409&gt;=D409,"Pass","Fail"),IF(G409&lt;=D409,"Pass","Fail")))</f>
        <v/>
      </c>
      <c r="I409" s="26"/>
      <c r="J409" s="26"/>
      <c r="K409" s="26"/>
    </row>
    <row r="410" customFormat="false" ht="15" hidden="false" customHeight="false" outlineLevel="0" collapsed="false">
      <c r="A410" s="26"/>
      <c r="B410" s="27"/>
      <c r="C410" s="26"/>
      <c r="D410" s="28"/>
      <c r="E410" s="28"/>
      <c r="F410" s="28"/>
      <c r="G410" s="28"/>
      <c r="H410" s="29" t="str">
        <f aca="false">IF(OR(G410="",D410=""),"",IF(E410="Min",IF(G410&gt;=D410,"Pass","Fail"),IF(G410&lt;=D410,"Pass","Fail")))</f>
        <v/>
      </c>
      <c r="I410" s="26"/>
      <c r="J410" s="26"/>
      <c r="K410" s="26"/>
    </row>
    <row r="411" customFormat="false" ht="15" hidden="false" customHeight="false" outlineLevel="0" collapsed="false">
      <c r="A411" s="26"/>
      <c r="B411" s="27"/>
      <c r="C411" s="26"/>
      <c r="D411" s="28"/>
      <c r="E411" s="28"/>
      <c r="F411" s="28"/>
      <c r="G411" s="28"/>
      <c r="H411" s="29" t="str">
        <f aca="false">IF(OR(G411="",D411=""),"",IF(E411="Min",IF(G411&gt;=D411,"Pass","Fail"),IF(G411&lt;=D411,"Pass","Fail")))</f>
        <v/>
      </c>
      <c r="I411" s="26"/>
      <c r="J411" s="26"/>
      <c r="K411" s="26"/>
    </row>
    <row r="412" customFormat="false" ht="15" hidden="false" customHeight="false" outlineLevel="0" collapsed="false">
      <c r="A412" s="26"/>
      <c r="B412" s="27"/>
      <c r="C412" s="26"/>
      <c r="D412" s="28"/>
      <c r="E412" s="28"/>
      <c r="F412" s="28"/>
      <c r="G412" s="28"/>
      <c r="H412" s="29" t="str">
        <f aca="false">IF(OR(G412="",D412=""),"",IF(E412="Min",IF(G412&gt;=D412,"Pass","Fail"),IF(G412&lt;=D412,"Pass","Fail")))</f>
        <v/>
      </c>
      <c r="I412" s="26"/>
      <c r="J412" s="26"/>
      <c r="K412" s="26"/>
    </row>
    <row r="413" customFormat="false" ht="15" hidden="false" customHeight="false" outlineLevel="0" collapsed="false">
      <c r="A413" s="26"/>
      <c r="B413" s="27"/>
      <c r="C413" s="26"/>
      <c r="D413" s="28"/>
      <c r="E413" s="28"/>
      <c r="F413" s="28"/>
      <c r="G413" s="28"/>
      <c r="H413" s="29" t="str">
        <f aca="false">IF(OR(G413="",D413=""),"",IF(E413="Min",IF(G413&gt;=D413,"Pass","Fail"),IF(G413&lt;=D413,"Pass","Fail")))</f>
        <v/>
      </c>
      <c r="I413" s="26"/>
      <c r="J413" s="26"/>
      <c r="K413" s="26"/>
    </row>
    <row r="414" customFormat="false" ht="15" hidden="false" customHeight="false" outlineLevel="0" collapsed="false">
      <c r="A414" s="26"/>
      <c r="B414" s="27"/>
      <c r="C414" s="26"/>
      <c r="D414" s="28"/>
      <c r="E414" s="28"/>
      <c r="F414" s="28"/>
      <c r="G414" s="28"/>
      <c r="H414" s="29" t="str">
        <f aca="false">IF(OR(G414="",D414=""),"",IF(E414="Min",IF(G414&gt;=D414,"Pass","Fail"),IF(G414&lt;=D414,"Pass","Fail")))</f>
        <v/>
      </c>
      <c r="I414" s="26"/>
      <c r="J414" s="26"/>
      <c r="K414" s="26"/>
    </row>
    <row r="415" customFormat="false" ht="15" hidden="false" customHeight="false" outlineLevel="0" collapsed="false">
      <c r="A415" s="26"/>
      <c r="B415" s="27"/>
      <c r="C415" s="26"/>
      <c r="D415" s="28"/>
      <c r="E415" s="28"/>
      <c r="F415" s="28"/>
      <c r="G415" s="28"/>
      <c r="H415" s="29" t="str">
        <f aca="false">IF(OR(G415="",D415=""),"",IF(E415="Min",IF(G415&gt;=D415,"Pass","Fail"),IF(G415&lt;=D415,"Pass","Fail")))</f>
        <v/>
      </c>
      <c r="I415" s="26"/>
      <c r="J415" s="26"/>
      <c r="K415" s="26"/>
    </row>
    <row r="416" customFormat="false" ht="15" hidden="false" customHeight="false" outlineLevel="0" collapsed="false">
      <c r="A416" s="26"/>
      <c r="B416" s="27"/>
      <c r="C416" s="26"/>
      <c r="D416" s="28"/>
      <c r="E416" s="28"/>
      <c r="F416" s="28"/>
      <c r="G416" s="28"/>
      <c r="H416" s="29" t="str">
        <f aca="false">IF(OR(G416="",D416=""),"",IF(E416="Min",IF(G416&gt;=D416,"Pass","Fail"),IF(G416&lt;=D416,"Pass","Fail")))</f>
        <v/>
      </c>
      <c r="I416" s="26"/>
      <c r="J416" s="26"/>
      <c r="K416" s="26"/>
    </row>
    <row r="417" customFormat="false" ht="15" hidden="false" customHeight="false" outlineLevel="0" collapsed="false">
      <c r="A417" s="26"/>
      <c r="B417" s="27"/>
      <c r="C417" s="26"/>
      <c r="D417" s="28"/>
      <c r="E417" s="28"/>
      <c r="F417" s="28"/>
      <c r="G417" s="28"/>
      <c r="H417" s="29" t="str">
        <f aca="false">IF(OR(G417="",D417=""),"",IF(E417="Min",IF(G417&gt;=D417,"Pass","Fail"),IF(G417&lt;=D417,"Pass","Fail")))</f>
        <v/>
      </c>
      <c r="I417" s="26"/>
      <c r="J417" s="26"/>
      <c r="K417" s="26"/>
    </row>
    <row r="418" customFormat="false" ht="15" hidden="false" customHeight="false" outlineLevel="0" collapsed="false">
      <c r="A418" s="26"/>
      <c r="B418" s="27"/>
      <c r="C418" s="26"/>
      <c r="D418" s="28"/>
      <c r="E418" s="28"/>
      <c r="F418" s="28"/>
      <c r="G418" s="28"/>
      <c r="H418" s="29" t="str">
        <f aca="false">IF(OR(G418="",D418=""),"",IF(E418="Min",IF(G418&gt;=D418,"Pass","Fail"),IF(G418&lt;=D418,"Pass","Fail")))</f>
        <v/>
      </c>
      <c r="I418" s="26"/>
      <c r="J418" s="26"/>
      <c r="K418" s="26"/>
    </row>
    <row r="419" customFormat="false" ht="15" hidden="false" customHeight="false" outlineLevel="0" collapsed="false">
      <c r="A419" s="26"/>
      <c r="B419" s="27"/>
      <c r="C419" s="26"/>
      <c r="D419" s="28"/>
      <c r="E419" s="28"/>
      <c r="F419" s="28"/>
      <c r="G419" s="28"/>
      <c r="H419" s="29" t="str">
        <f aca="false">IF(OR(G419="",D419=""),"",IF(E419="Min",IF(G419&gt;=D419,"Pass","Fail"),IF(G419&lt;=D419,"Pass","Fail")))</f>
        <v/>
      </c>
      <c r="I419" s="26"/>
      <c r="J419" s="26"/>
      <c r="K419" s="26"/>
    </row>
    <row r="420" customFormat="false" ht="15" hidden="false" customHeight="false" outlineLevel="0" collapsed="false">
      <c r="A420" s="26"/>
      <c r="B420" s="27"/>
      <c r="C420" s="26"/>
      <c r="D420" s="28"/>
      <c r="E420" s="28"/>
      <c r="F420" s="28"/>
      <c r="G420" s="28"/>
      <c r="H420" s="29" t="str">
        <f aca="false">IF(OR(G420="",D420=""),"",IF(E420="Min",IF(G420&gt;=D420,"Pass","Fail"),IF(G420&lt;=D420,"Pass","Fail")))</f>
        <v/>
      </c>
      <c r="I420" s="26"/>
      <c r="J420" s="26"/>
      <c r="K420" s="26"/>
    </row>
    <row r="421" customFormat="false" ht="15" hidden="false" customHeight="false" outlineLevel="0" collapsed="false">
      <c r="A421" s="26"/>
      <c r="B421" s="27"/>
      <c r="C421" s="26"/>
      <c r="D421" s="28"/>
      <c r="E421" s="28"/>
      <c r="F421" s="28"/>
      <c r="G421" s="28"/>
      <c r="H421" s="29" t="str">
        <f aca="false">IF(OR(G421="",D421=""),"",IF(E421="Min",IF(G421&gt;=D421,"Pass","Fail"),IF(G421&lt;=D421,"Pass","Fail")))</f>
        <v/>
      </c>
      <c r="I421" s="26"/>
      <c r="J421" s="26"/>
      <c r="K421" s="26"/>
    </row>
    <row r="422" customFormat="false" ht="15" hidden="false" customHeight="false" outlineLevel="0" collapsed="false">
      <c r="A422" s="26"/>
      <c r="B422" s="27"/>
      <c r="C422" s="26"/>
      <c r="D422" s="28"/>
      <c r="E422" s="28"/>
      <c r="F422" s="28"/>
      <c r="G422" s="28"/>
      <c r="H422" s="29" t="str">
        <f aca="false">IF(OR(G422="",D422=""),"",IF(E422="Min",IF(G422&gt;=D422,"Pass","Fail"),IF(G422&lt;=D422,"Pass","Fail")))</f>
        <v/>
      </c>
      <c r="I422" s="26"/>
      <c r="J422" s="26"/>
      <c r="K422" s="26"/>
    </row>
    <row r="423" customFormat="false" ht="15" hidden="false" customHeight="false" outlineLevel="0" collapsed="false">
      <c r="A423" s="26"/>
      <c r="B423" s="27"/>
      <c r="C423" s="26"/>
      <c r="D423" s="28"/>
      <c r="E423" s="28"/>
      <c r="F423" s="28"/>
      <c r="G423" s="28"/>
      <c r="H423" s="29" t="str">
        <f aca="false">IF(OR(G423="",D423=""),"",IF(E423="Min",IF(G423&gt;=D423,"Pass","Fail"),IF(G423&lt;=D423,"Pass","Fail")))</f>
        <v/>
      </c>
      <c r="I423" s="26"/>
      <c r="J423" s="26"/>
      <c r="K423" s="26"/>
    </row>
    <row r="424" customFormat="false" ht="15" hidden="false" customHeight="false" outlineLevel="0" collapsed="false">
      <c r="A424" s="26"/>
      <c r="B424" s="27"/>
      <c r="C424" s="26"/>
      <c r="D424" s="28"/>
      <c r="E424" s="28"/>
      <c r="F424" s="28"/>
      <c r="G424" s="28"/>
      <c r="H424" s="29" t="str">
        <f aca="false">IF(OR(G424="",D424=""),"",IF(E424="Min",IF(G424&gt;=D424,"Pass","Fail"),IF(G424&lt;=D424,"Pass","Fail")))</f>
        <v/>
      </c>
      <c r="I424" s="26"/>
      <c r="J424" s="26"/>
      <c r="K424" s="26"/>
    </row>
    <row r="425" customFormat="false" ht="15" hidden="false" customHeight="false" outlineLevel="0" collapsed="false">
      <c r="A425" s="26"/>
      <c r="B425" s="27"/>
      <c r="C425" s="26"/>
      <c r="D425" s="28"/>
      <c r="E425" s="28"/>
      <c r="F425" s="28"/>
      <c r="G425" s="28"/>
      <c r="H425" s="29" t="str">
        <f aca="false">IF(OR(G425="",D425=""),"",IF(E425="Min",IF(G425&gt;=D425,"Pass","Fail"),IF(G425&lt;=D425,"Pass","Fail")))</f>
        <v/>
      </c>
      <c r="I425" s="26"/>
      <c r="J425" s="26"/>
      <c r="K425" s="26"/>
    </row>
    <row r="426" customFormat="false" ht="15" hidden="false" customHeight="false" outlineLevel="0" collapsed="false">
      <c r="A426" s="26"/>
      <c r="B426" s="27"/>
      <c r="C426" s="26"/>
      <c r="D426" s="28"/>
      <c r="E426" s="28"/>
      <c r="F426" s="28"/>
      <c r="G426" s="28"/>
      <c r="H426" s="29" t="str">
        <f aca="false">IF(OR(G426="",D426=""),"",IF(E426="Min",IF(G426&gt;=D426,"Pass","Fail"),IF(G426&lt;=D426,"Pass","Fail")))</f>
        <v/>
      </c>
      <c r="I426" s="26"/>
      <c r="J426" s="26"/>
      <c r="K426" s="26"/>
    </row>
    <row r="427" customFormat="false" ht="15" hidden="false" customHeight="false" outlineLevel="0" collapsed="false">
      <c r="A427" s="26"/>
      <c r="B427" s="27"/>
      <c r="C427" s="26"/>
      <c r="D427" s="28"/>
      <c r="E427" s="28"/>
      <c r="F427" s="28"/>
      <c r="G427" s="28"/>
      <c r="H427" s="29" t="str">
        <f aca="false">IF(OR(G427="",D427=""),"",IF(E427="Min",IF(G427&gt;=D427,"Pass","Fail"),IF(G427&lt;=D427,"Pass","Fail")))</f>
        <v/>
      </c>
      <c r="I427" s="26"/>
      <c r="J427" s="26"/>
      <c r="K427" s="26"/>
    </row>
    <row r="428" customFormat="false" ht="15" hidden="false" customHeight="false" outlineLevel="0" collapsed="false">
      <c r="A428" s="26"/>
      <c r="B428" s="27"/>
      <c r="C428" s="26"/>
      <c r="D428" s="28"/>
      <c r="E428" s="28"/>
      <c r="F428" s="28"/>
      <c r="G428" s="28"/>
      <c r="H428" s="29" t="str">
        <f aca="false">IF(OR(G428="",D428=""),"",IF(E428="Min",IF(G428&gt;=D428,"Pass","Fail"),IF(G428&lt;=D428,"Pass","Fail")))</f>
        <v/>
      </c>
      <c r="I428" s="26"/>
      <c r="J428" s="26"/>
      <c r="K428" s="26"/>
    </row>
    <row r="429" customFormat="false" ht="15" hidden="false" customHeight="false" outlineLevel="0" collapsed="false">
      <c r="A429" s="26"/>
      <c r="B429" s="27"/>
      <c r="C429" s="26"/>
      <c r="D429" s="28"/>
      <c r="E429" s="28"/>
      <c r="F429" s="28"/>
      <c r="G429" s="28"/>
      <c r="H429" s="29" t="str">
        <f aca="false">IF(OR(G429="",D429=""),"",IF(E429="Min",IF(G429&gt;=D429,"Pass","Fail"),IF(G429&lt;=D429,"Pass","Fail")))</f>
        <v/>
      </c>
      <c r="I429" s="26"/>
      <c r="J429" s="26"/>
      <c r="K429" s="26"/>
    </row>
    <row r="430" customFormat="false" ht="15" hidden="false" customHeight="false" outlineLevel="0" collapsed="false">
      <c r="A430" s="26"/>
      <c r="B430" s="27"/>
      <c r="C430" s="26"/>
      <c r="D430" s="28"/>
      <c r="E430" s="28"/>
      <c r="F430" s="28"/>
      <c r="G430" s="28"/>
      <c r="H430" s="29" t="str">
        <f aca="false">IF(OR(G430="",D430=""),"",IF(E430="Min",IF(G430&gt;=D430,"Pass","Fail"),IF(G430&lt;=D430,"Pass","Fail")))</f>
        <v/>
      </c>
      <c r="I430" s="26"/>
      <c r="J430" s="26"/>
      <c r="K430" s="26"/>
    </row>
    <row r="431" customFormat="false" ht="15" hidden="false" customHeight="false" outlineLevel="0" collapsed="false">
      <c r="A431" s="26"/>
      <c r="B431" s="27"/>
      <c r="C431" s="26"/>
      <c r="D431" s="28"/>
      <c r="E431" s="28"/>
      <c r="F431" s="28"/>
      <c r="G431" s="28"/>
      <c r="H431" s="29" t="str">
        <f aca="false">IF(OR(G431="",D431=""),"",IF(E431="Min",IF(G431&gt;=D431,"Pass","Fail"),IF(G431&lt;=D431,"Pass","Fail")))</f>
        <v/>
      </c>
      <c r="I431" s="26"/>
      <c r="J431" s="26"/>
      <c r="K431" s="26"/>
    </row>
    <row r="432" customFormat="false" ht="15" hidden="false" customHeight="false" outlineLevel="0" collapsed="false">
      <c r="A432" s="26"/>
      <c r="B432" s="27"/>
      <c r="C432" s="26"/>
      <c r="D432" s="28"/>
      <c r="E432" s="28"/>
      <c r="F432" s="28"/>
      <c r="G432" s="28"/>
      <c r="H432" s="29" t="str">
        <f aca="false">IF(OR(G432="",D432=""),"",IF(E432="Min",IF(G432&gt;=D432,"Pass","Fail"),IF(G432&lt;=D432,"Pass","Fail")))</f>
        <v/>
      </c>
      <c r="I432" s="26"/>
      <c r="J432" s="26"/>
      <c r="K432" s="26"/>
    </row>
    <row r="433" customFormat="false" ht="15" hidden="false" customHeight="false" outlineLevel="0" collapsed="false">
      <c r="A433" s="26"/>
      <c r="B433" s="27"/>
      <c r="C433" s="26"/>
      <c r="D433" s="28"/>
      <c r="E433" s="28"/>
      <c r="F433" s="28"/>
      <c r="G433" s="28"/>
      <c r="H433" s="29" t="str">
        <f aca="false">IF(OR(G433="",D433=""),"",IF(E433="Min",IF(G433&gt;=D433,"Pass","Fail"),IF(G433&lt;=D433,"Pass","Fail")))</f>
        <v/>
      </c>
      <c r="I433" s="26"/>
      <c r="J433" s="26"/>
      <c r="K433" s="26"/>
    </row>
    <row r="434" customFormat="false" ht="15" hidden="false" customHeight="false" outlineLevel="0" collapsed="false">
      <c r="A434" s="26"/>
      <c r="B434" s="27"/>
      <c r="C434" s="26"/>
      <c r="D434" s="28"/>
      <c r="E434" s="28"/>
      <c r="F434" s="28"/>
      <c r="G434" s="28"/>
      <c r="H434" s="29" t="str">
        <f aca="false">IF(OR(G434="",D434=""),"",IF(E434="Min",IF(G434&gt;=D434,"Pass","Fail"),IF(G434&lt;=D434,"Pass","Fail")))</f>
        <v/>
      </c>
      <c r="I434" s="26"/>
      <c r="J434" s="26"/>
      <c r="K434" s="26"/>
    </row>
    <row r="435" customFormat="false" ht="15" hidden="false" customHeight="false" outlineLevel="0" collapsed="false">
      <c r="A435" s="26"/>
      <c r="B435" s="27"/>
      <c r="C435" s="26"/>
      <c r="D435" s="28"/>
      <c r="E435" s="28"/>
      <c r="F435" s="28"/>
      <c r="G435" s="28"/>
      <c r="H435" s="29" t="str">
        <f aca="false">IF(OR(G435="",D435=""),"",IF(E435="Min",IF(G435&gt;=D435,"Pass","Fail"),IF(G435&lt;=D435,"Pass","Fail")))</f>
        <v/>
      </c>
      <c r="I435" s="26"/>
      <c r="J435" s="26"/>
      <c r="K435" s="26"/>
    </row>
    <row r="436" customFormat="false" ht="15" hidden="false" customHeight="false" outlineLevel="0" collapsed="false">
      <c r="A436" s="26"/>
      <c r="B436" s="27"/>
      <c r="C436" s="26"/>
      <c r="D436" s="28"/>
      <c r="E436" s="28"/>
      <c r="F436" s="28"/>
      <c r="G436" s="28"/>
      <c r="H436" s="29" t="str">
        <f aca="false">IF(OR(G436="",D436=""),"",IF(E436="Min",IF(G436&gt;=D436,"Pass","Fail"),IF(G436&lt;=D436,"Pass","Fail")))</f>
        <v/>
      </c>
      <c r="I436" s="26"/>
      <c r="J436" s="26"/>
      <c r="K436" s="26"/>
    </row>
    <row r="437" customFormat="false" ht="15" hidden="false" customHeight="false" outlineLevel="0" collapsed="false">
      <c r="A437" s="26"/>
      <c r="B437" s="27"/>
      <c r="C437" s="26"/>
      <c r="D437" s="28"/>
      <c r="E437" s="28"/>
      <c r="F437" s="28"/>
      <c r="G437" s="28"/>
      <c r="H437" s="29" t="str">
        <f aca="false">IF(OR(G437="",D437=""),"",IF(E437="Min",IF(G437&gt;=D437,"Pass","Fail"),IF(G437&lt;=D437,"Pass","Fail")))</f>
        <v/>
      </c>
      <c r="I437" s="26"/>
      <c r="J437" s="26"/>
      <c r="K437" s="26"/>
    </row>
    <row r="438" customFormat="false" ht="15" hidden="false" customHeight="false" outlineLevel="0" collapsed="false">
      <c r="A438" s="26"/>
      <c r="B438" s="27"/>
      <c r="C438" s="26"/>
      <c r="D438" s="28"/>
      <c r="E438" s="28"/>
      <c r="F438" s="28"/>
      <c r="G438" s="28"/>
      <c r="H438" s="29" t="str">
        <f aca="false">IF(OR(G438="",D438=""),"",IF(E438="Min",IF(G438&gt;=D438,"Pass","Fail"),IF(G438&lt;=D438,"Pass","Fail")))</f>
        <v/>
      </c>
      <c r="I438" s="26"/>
      <c r="J438" s="26"/>
      <c r="K438" s="26"/>
    </row>
    <row r="439" customFormat="false" ht="15" hidden="false" customHeight="false" outlineLevel="0" collapsed="false">
      <c r="A439" s="26"/>
      <c r="B439" s="27"/>
      <c r="C439" s="26"/>
      <c r="D439" s="28"/>
      <c r="E439" s="28"/>
      <c r="F439" s="28"/>
      <c r="G439" s="28"/>
      <c r="H439" s="29" t="str">
        <f aca="false">IF(OR(G439="",D439=""),"",IF(E439="Min",IF(G439&gt;=D439,"Pass","Fail"),IF(G439&lt;=D439,"Pass","Fail")))</f>
        <v/>
      </c>
      <c r="I439" s="26"/>
      <c r="J439" s="26"/>
      <c r="K439" s="26"/>
    </row>
    <row r="440" customFormat="false" ht="15" hidden="false" customHeight="false" outlineLevel="0" collapsed="false">
      <c r="A440" s="26"/>
      <c r="B440" s="27"/>
      <c r="C440" s="26"/>
      <c r="D440" s="28"/>
      <c r="E440" s="28"/>
      <c r="F440" s="28"/>
      <c r="G440" s="28"/>
      <c r="H440" s="29" t="str">
        <f aca="false">IF(OR(G440="",D440=""),"",IF(E440="Min",IF(G440&gt;=D440,"Pass","Fail"),IF(G440&lt;=D440,"Pass","Fail")))</f>
        <v/>
      </c>
      <c r="I440" s="26"/>
      <c r="J440" s="26"/>
      <c r="K440" s="26"/>
    </row>
    <row r="441" customFormat="false" ht="15" hidden="false" customHeight="false" outlineLevel="0" collapsed="false">
      <c r="A441" s="26"/>
      <c r="B441" s="27"/>
      <c r="C441" s="26"/>
      <c r="D441" s="28"/>
      <c r="E441" s="28"/>
      <c r="F441" s="28"/>
      <c r="G441" s="28"/>
      <c r="H441" s="29" t="str">
        <f aca="false">IF(OR(G441="",D441=""),"",IF(E441="Min",IF(G441&gt;=D441,"Pass","Fail"),IF(G441&lt;=D441,"Pass","Fail")))</f>
        <v/>
      </c>
      <c r="I441" s="26"/>
      <c r="J441" s="26"/>
      <c r="K441" s="26"/>
    </row>
    <row r="442" customFormat="false" ht="15" hidden="false" customHeight="false" outlineLevel="0" collapsed="false">
      <c r="A442" s="26"/>
      <c r="B442" s="27"/>
      <c r="C442" s="26"/>
      <c r="D442" s="28"/>
      <c r="E442" s="28"/>
      <c r="F442" s="28"/>
      <c r="G442" s="28"/>
      <c r="H442" s="29" t="str">
        <f aca="false">IF(OR(G442="",D442=""),"",IF(E442="Min",IF(G442&gt;=D442,"Pass","Fail"),IF(G442&lt;=D442,"Pass","Fail")))</f>
        <v/>
      </c>
      <c r="I442" s="26"/>
      <c r="J442" s="26"/>
      <c r="K442" s="26"/>
    </row>
    <row r="443" customFormat="false" ht="15" hidden="false" customHeight="false" outlineLevel="0" collapsed="false">
      <c r="A443" s="26"/>
      <c r="B443" s="27"/>
      <c r="C443" s="26"/>
      <c r="D443" s="28"/>
      <c r="E443" s="28"/>
      <c r="F443" s="28"/>
      <c r="G443" s="28"/>
      <c r="H443" s="29" t="str">
        <f aca="false">IF(OR(G443="",D443=""),"",IF(E443="Min",IF(G443&gt;=D443,"Pass","Fail"),IF(G443&lt;=D443,"Pass","Fail")))</f>
        <v/>
      </c>
      <c r="I443" s="26"/>
      <c r="J443" s="26"/>
      <c r="K443" s="26"/>
    </row>
    <row r="444" customFormat="false" ht="15" hidden="false" customHeight="false" outlineLevel="0" collapsed="false">
      <c r="A444" s="26"/>
      <c r="B444" s="27"/>
      <c r="C444" s="26"/>
      <c r="D444" s="28"/>
      <c r="E444" s="28"/>
      <c r="F444" s="28"/>
      <c r="G444" s="28"/>
      <c r="H444" s="29" t="str">
        <f aca="false">IF(OR(G444="",D444=""),"",IF(E444="Min",IF(G444&gt;=D444,"Pass","Fail"),IF(G444&lt;=D444,"Pass","Fail")))</f>
        <v/>
      </c>
      <c r="I444" s="26"/>
      <c r="J444" s="26"/>
      <c r="K444" s="26"/>
    </row>
    <row r="445" customFormat="false" ht="15" hidden="false" customHeight="false" outlineLevel="0" collapsed="false">
      <c r="A445" s="26"/>
      <c r="B445" s="27"/>
      <c r="C445" s="26"/>
      <c r="D445" s="28"/>
      <c r="E445" s="28"/>
      <c r="F445" s="28"/>
      <c r="G445" s="28"/>
      <c r="H445" s="29" t="str">
        <f aca="false">IF(OR(G445="",D445=""),"",IF(E445="Min",IF(G445&gt;=D445,"Pass","Fail"),IF(G445&lt;=D445,"Pass","Fail")))</f>
        <v/>
      </c>
      <c r="I445" s="26"/>
      <c r="J445" s="26"/>
      <c r="K445" s="26"/>
    </row>
    <row r="446" customFormat="false" ht="15" hidden="false" customHeight="false" outlineLevel="0" collapsed="false">
      <c r="A446" s="26"/>
      <c r="B446" s="27"/>
      <c r="C446" s="26"/>
      <c r="D446" s="28"/>
      <c r="E446" s="28"/>
      <c r="F446" s="28"/>
      <c r="G446" s="28"/>
      <c r="H446" s="29" t="str">
        <f aca="false">IF(OR(G446="",D446=""),"",IF(E446="Min",IF(G446&gt;=D446,"Pass","Fail"),IF(G446&lt;=D446,"Pass","Fail")))</f>
        <v/>
      </c>
      <c r="I446" s="26"/>
      <c r="J446" s="26"/>
      <c r="K446" s="26"/>
    </row>
    <row r="447" customFormat="false" ht="15" hidden="false" customHeight="false" outlineLevel="0" collapsed="false">
      <c r="A447" s="26"/>
      <c r="B447" s="27"/>
      <c r="C447" s="26"/>
      <c r="D447" s="28"/>
      <c r="E447" s="28"/>
      <c r="F447" s="28"/>
      <c r="G447" s="28"/>
      <c r="H447" s="29" t="str">
        <f aca="false">IF(OR(G447="",D447=""),"",IF(E447="Min",IF(G447&gt;=D447,"Pass","Fail"),IF(G447&lt;=D447,"Pass","Fail")))</f>
        <v/>
      </c>
      <c r="I447" s="26"/>
      <c r="J447" s="26"/>
      <c r="K447" s="26"/>
    </row>
    <row r="448" customFormat="false" ht="15" hidden="false" customHeight="false" outlineLevel="0" collapsed="false">
      <c r="A448" s="26"/>
      <c r="B448" s="27"/>
      <c r="C448" s="26"/>
      <c r="D448" s="28"/>
      <c r="E448" s="28"/>
      <c r="F448" s="28"/>
      <c r="G448" s="28"/>
      <c r="H448" s="29" t="str">
        <f aca="false">IF(OR(G448="",D448=""),"",IF(E448="Min",IF(G448&gt;=D448,"Pass","Fail"),IF(G448&lt;=D448,"Pass","Fail")))</f>
        <v/>
      </c>
      <c r="I448" s="26"/>
      <c r="J448" s="26"/>
      <c r="K448" s="26"/>
    </row>
    <row r="449" customFormat="false" ht="15" hidden="false" customHeight="false" outlineLevel="0" collapsed="false">
      <c r="A449" s="26"/>
      <c r="B449" s="27"/>
      <c r="C449" s="26"/>
      <c r="D449" s="28"/>
      <c r="E449" s="28"/>
      <c r="F449" s="28"/>
      <c r="G449" s="28"/>
      <c r="H449" s="29" t="str">
        <f aca="false">IF(OR(G449="",D449=""),"",IF(E449="Min",IF(G449&gt;=D449,"Pass","Fail"),IF(G449&lt;=D449,"Pass","Fail")))</f>
        <v/>
      </c>
      <c r="I449" s="26"/>
      <c r="J449" s="26"/>
      <c r="K449" s="26"/>
    </row>
    <row r="450" customFormat="false" ht="15" hidden="false" customHeight="false" outlineLevel="0" collapsed="false">
      <c r="A450" s="26"/>
      <c r="B450" s="27"/>
      <c r="C450" s="26"/>
      <c r="D450" s="28"/>
      <c r="E450" s="28"/>
      <c r="F450" s="28"/>
      <c r="G450" s="28"/>
      <c r="H450" s="29" t="str">
        <f aca="false">IF(OR(G450="",D450=""),"",IF(E450="Min",IF(G450&gt;=D450,"Pass","Fail"),IF(G450&lt;=D450,"Pass","Fail")))</f>
        <v/>
      </c>
      <c r="I450" s="26"/>
      <c r="J450" s="26"/>
      <c r="K450" s="26"/>
    </row>
    <row r="451" customFormat="false" ht="15" hidden="false" customHeight="false" outlineLevel="0" collapsed="false">
      <c r="A451" s="26"/>
      <c r="B451" s="27"/>
      <c r="C451" s="26"/>
      <c r="D451" s="28"/>
      <c r="E451" s="28"/>
      <c r="F451" s="28"/>
      <c r="G451" s="28"/>
      <c r="H451" s="29" t="str">
        <f aca="false">IF(OR(G451="",D451=""),"",IF(E451="Min",IF(G451&gt;=D451,"Pass","Fail"),IF(G451&lt;=D451,"Pass","Fail")))</f>
        <v/>
      </c>
      <c r="I451" s="26"/>
      <c r="J451" s="26"/>
      <c r="K451" s="26"/>
    </row>
    <row r="452" customFormat="false" ht="15" hidden="false" customHeight="false" outlineLevel="0" collapsed="false">
      <c r="A452" s="26"/>
      <c r="B452" s="27"/>
      <c r="C452" s="26"/>
      <c r="D452" s="28"/>
      <c r="E452" s="28"/>
      <c r="F452" s="28"/>
      <c r="G452" s="28"/>
      <c r="H452" s="29" t="str">
        <f aca="false">IF(OR(G452="",D452=""),"",IF(E452="Min",IF(G452&gt;=D452,"Pass","Fail"),IF(G452&lt;=D452,"Pass","Fail")))</f>
        <v/>
      </c>
      <c r="I452" s="26"/>
      <c r="J452" s="26"/>
      <c r="K452" s="26"/>
    </row>
    <row r="453" customFormat="false" ht="15" hidden="false" customHeight="false" outlineLevel="0" collapsed="false">
      <c r="A453" s="26"/>
      <c r="B453" s="27"/>
      <c r="C453" s="26"/>
      <c r="D453" s="28"/>
      <c r="E453" s="28"/>
      <c r="F453" s="28"/>
      <c r="G453" s="28"/>
      <c r="H453" s="29" t="str">
        <f aca="false">IF(OR(G453="",D453=""),"",IF(E453="Min",IF(G453&gt;=D453,"Pass","Fail"),IF(G453&lt;=D453,"Pass","Fail")))</f>
        <v/>
      </c>
      <c r="I453" s="26"/>
      <c r="J453" s="26"/>
      <c r="K453" s="26"/>
    </row>
    <row r="454" customFormat="false" ht="15" hidden="false" customHeight="false" outlineLevel="0" collapsed="false">
      <c r="A454" s="26"/>
      <c r="B454" s="27"/>
      <c r="C454" s="26"/>
      <c r="D454" s="28"/>
      <c r="E454" s="28"/>
      <c r="F454" s="28"/>
      <c r="G454" s="28"/>
      <c r="H454" s="29" t="str">
        <f aca="false">IF(OR(G454="",D454=""),"",IF(E454="Min",IF(G454&gt;=D454,"Pass","Fail"),IF(G454&lt;=D454,"Pass","Fail")))</f>
        <v/>
      </c>
      <c r="I454" s="26"/>
      <c r="J454" s="26"/>
      <c r="K454" s="26"/>
    </row>
    <row r="455" customFormat="false" ht="15" hidden="false" customHeight="false" outlineLevel="0" collapsed="false">
      <c r="A455" s="26"/>
      <c r="B455" s="27"/>
      <c r="C455" s="26"/>
      <c r="D455" s="28"/>
      <c r="E455" s="28"/>
      <c r="F455" s="28"/>
      <c r="G455" s="28"/>
      <c r="H455" s="29" t="str">
        <f aca="false">IF(OR(G455="",D455=""),"",IF(E455="Min",IF(G455&gt;=D455,"Pass","Fail"),IF(G455&lt;=D455,"Pass","Fail")))</f>
        <v/>
      </c>
      <c r="I455" s="26"/>
      <c r="J455" s="26"/>
      <c r="K455" s="26"/>
    </row>
    <row r="456" customFormat="false" ht="15" hidden="false" customHeight="false" outlineLevel="0" collapsed="false">
      <c r="A456" s="26"/>
      <c r="B456" s="27"/>
      <c r="C456" s="26"/>
      <c r="D456" s="28"/>
      <c r="E456" s="28"/>
      <c r="F456" s="28"/>
      <c r="G456" s="28"/>
      <c r="H456" s="29" t="str">
        <f aca="false">IF(OR(G456="",D456=""),"",IF(E456="Min",IF(G456&gt;=D456,"Pass","Fail"),IF(G456&lt;=D456,"Pass","Fail")))</f>
        <v/>
      </c>
      <c r="I456" s="26"/>
      <c r="J456" s="26"/>
      <c r="K456" s="26"/>
    </row>
    <row r="457" customFormat="false" ht="15" hidden="false" customHeight="false" outlineLevel="0" collapsed="false">
      <c r="A457" s="26"/>
      <c r="B457" s="27"/>
      <c r="C457" s="26"/>
      <c r="D457" s="28"/>
      <c r="E457" s="28"/>
      <c r="F457" s="28"/>
      <c r="G457" s="28"/>
      <c r="H457" s="29" t="str">
        <f aca="false">IF(OR(G457="",D457=""),"",IF(E457="Min",IF(G457&gt;=D457,"Pass","Fail"),IF(G457&lt;=D457,"Pass","Fail")))</f>
        <v/>
      </c>
      <c r="I457" s="26"/>
      <c r="J457" s="26"/>
      <c r="K457" s="26"/>
    </row>
    <row r="458" customFormat="false" ht="15" hidden="false" customHeight="false" outlineLevel="0" collapsed="false">
      <c r="A458" s="26"/>
      <c r="B458" s="27"/>
      <c r="C458" s="26"/>
      <c r="D458" s="28"/>
      <c r="E458" s="28"/>
      <c r="F458" s="28"/>
      <c r="G458" s="28"/>
      <c r="H458" s="29" t="str">
        <f aca="false">IF(OR(G458="",D458=""),"",IF(E458="Min",IF(G458&gt;=D458,"Pass","Fail"),IF(G458&lt;=D458,"Pass","Fail")))</f>
        <v/>
      </c>
      <c r="I458" s="26"/>
      <c r="J458" s="26"/>
      <c r="K458" s="26"/>
    </row>
    <row r="459" customFormat="false" ht="15" hidden="false" customHeight="false" outlineLevel="0" collapsed="false">
      <c r="A459" s="26"/>
      <c r="B459" s="27"/>
      <c r="C459" s="26"/>
      <c r="D459" s="28"/>
      <c r="E459" s="28"/>
      <c r="F459" s="28"/>
      <c r="G459" s="28"/>
      <c r="H459" s="29" t="str">
        <f aca="false">IF(OR(G459="",D459=""),"",IF(E459="Min",IF(G459&gt;=D459,"Pass","Fail"),IF(G459&lt;=D459,"Pass","Fail")))</f>
        <v/>
      </c>
      <c r="I459" s="26"/>
      <c r="J459" s="26"/>
      <c r="K459" s="26"/>
    </row>
    <row r="460" customFormat="false" ht="15" hidden="false" customHeight="false" outlineLevel="0" collapsed="false">
      <c r="A460" s="26"/>
      <c r="B460" s="27"/>
      <c r="C460" s="26"/>
      <c r="D460" s="28"/>
      <c r="E460" s="28"/>
      <c r="F460" s="28"/>
      <c r="G460" s="28"/>
      <c r="H460" s="29" t="str">
        <f aca="false">IF(OR(G460="",D460=""),"",IF(E460="Min",IF(G460&gt;=D460,"Pass","Fail"),IF(G460&lt;=D460,"Pass","Fail")))</f>
        <v/>
      </c>
      <c r="I460" s="26"/>
      <c r="J460" s="26"/>
      <c r="K460" s="26"/>
    </row>
    <row r="461" customFormat="false" ht="15" hidden="false" customHeight="false" outlineLevel="0" collapsed="false">
      <c r="A461" s="26"/>
      <c r="B461" s="27"/>
      <c r="C461" s="26"/>
      <c r="D461" s="28"/>
      <c r="E461" s="28"/>
      <c r="F461" s="28"/>
      <c r="G461" s="28"/>
      <c r="H461" s="29" t="str">
        <f aca="false">IF(OR(G461="",D461=""),"",IF(E461="Min",IF(G461&gt;=D461,"Pass","Fail"),IF(G461&lt;=D461,"Pass","Fail")))</f>
        <v/>
      </c>
      <c r="I461" s="26"/>
      <c r="J461" s="26"/>
      <c r="K461" s="26"/>
    </row>
    <row r="462" customFormat="false" ht="15" hidden="false" customHeight="false" outlineLevel="0" collapsed="false">
      <c r="A462" s="26"/>
      <c r="B462" s="27"/>
      <c r="C462" s="26"/>
      <c r="D462" s="28"/>
      <c r="E462" s="28"/>
      <c r="F462" s="28"/>
      <c r="G462" s="28"/>
      <c r="H462" s="29" t="str">
        <f aca="false">IF(OR(G462="",D462=""),"",IF(E462="Min",IF(G462&gt;=D462,"Pass","Fail"),IF(G462&lt;=D462,"Pass","Fail")))</f>
        <v/>
      </c>
      <c r="I462" s="26"/>
      <c r="J462" s="26"/>
      <c r="K462" s="26"/>
    </row>
    <row r="463" customFormat="false" ht="15" hidden="false" customHeight="false" outlineLevel="0" collapsed="false">
      <c r="A463" s="26"/>
      <c r="B463" s="27"/>
      <c r="C463" s="26"/>
      <c r="D463" s="28"/>
      <c r="E463" s="28"/>
      <c r="F463" s="28"/>
      <c r="G463" s="28"/>
      <c r="H463" s="29" t="str">
        <f aca="false">IF(OR(G463="",D463=""),"",IF(E463="Min",IF(G463&gt;=D463,"Pass","Fail"),IF(G463&lt;=D463,"Pass","Fail")))</f>
        <v/>
      </c>
      <c r="I463" s="26"/>
      <c r="J463" s="26"/>
      <c r="K463" s="26"/>
    </row>
    <row r="464" customFormat="false" ht="15" hidden="false" customHeight="false" outlineLevel="0" collapsed="false">
      <c r="A464" s="26"/>
      <c r="B464" s="27"/>
      <c r="C464" s="26"/>
      <c r="D464" s="28"/>
      <c r="E464" s="28"/>
      <c r="F464" s="28"/>
      <c r="G464" s="28"/>
      <c r="H464" s="29" t="str">
        <f aca="false">IF(OR(G464="",D464=""),"",IF(E464="Min",IF(G464&gt;=D464,"Pass","Fail"),IF(G464&lt;=D464,"Pass","Fail")))</f>
        <v/>
      </c>
      <c r="I464" s="26"/>
      <c r="J464" s="26"/>
      <c r="K464" s="26"/>
    </row>
    <row r="465" customFormat="false" ht="15" hidden="false" customHeight="false" outlineLevel="0" collapsed="false">
      <c r="A465" s="26"/>
      <c r="B465" s="27"/>
      <c r="C465" s="26"/>
      <c r="D465" s="28"/>
      <c r="E465" s="28"/>
      <c r="F465" s="28"/>
      <c r="G465" s="28"/>
      <c r="H465" s="29" t="str">
        <f aca="false">IF(OR(G465="",D465=""),"",IF(E465="Min",IF(G465&gt;=D465,"Pass","Fail"),IF(G465&lt;=D465,"Pass","Fail")))</f>
        <v/>
      </c>
      <c r="I465" s="26"/>
      <c r="J465" s="26"/>
      <c r="K465" s="26"/>
    </row>
    <row r="466" customFormat="false" ht="15" hidden="false" customHeight="false" outlineLevel="0" collapsed="false">
      <c r="A466" s="26"/>
      <c r="B466" s="27"/>
      <c r="C466" s="26"/>
      <c r="D466" s="28"/>
      <c r="E466" s="28"/>
      <c r="F466" s="28"/>
      <c r="G466" s="28"/>
      <c r="H466" s="29" t="str">
        <f aca="false">IF(OR(G466="",D466=""),"",IF(E466="Min",IF(G466&gt;=D466,"Pass","Fail"),IF(G466&lt;=D466,"Pass","Fail")))</f>
        <v/>
      </c>
      <c r="I466" s="26"/>
      <c r="J466" s="26"/>
      <c r="K466" s="26"/>
    </row>
    <row r="467" customFormat="false" ht="15" hidden="false" customHeight="false" outlineLevel="0" collapsed="false">
      <c r="A467" s="26"/>
      <c r="B467" s="27"/>
      <c r="C467" s="26"/>
      <c r="D467" s="28"/>
      <c r="E467" s="28"/>
      <c r="F467" s="28"/>
      <c r="G467" s="28"/>
      <c r="H467" s="29" t="str">
        <f aca="false">IF(OR(G467="",D467=""),"",IF(E467="Min",IF(G467&gt;=D467,"Pass","Fail"),IF(G467&lt;=D467,"Pass","Fail")))</f>
        <v/>
      </c>
      <c r="I467" s="26"/>
      <c r="J467" s="26"/>
      <c r="K467" s="26"/>
    </row>
    <row r="468" customFormat="false" ht="15" hidden="false" customHeight="false" outlineLevel="0" collapsed="false">
      <c r="A468" s="26"/>
      <c r="B468" s="27"/>
      <c r="C468" s="26"/>
      <c r="D468" s="28"/>
      <c r="E468" s="28"/>
      <c r="F468" s="28"/>
      <c r="G468" s="28"/>
      <c r="H468" s="29" t="str">
        <f aca="false">IF(OR(G468="",D468=""),"",IF(E468="Min",IF(G468&gt;=D468,"Pass","Fail"),IF(G468&lt;=D468,"Pass","Fail")))</f>
        <v/>
      </c>
      <c r="I468" s="26"/>
      <c r="J468" s="26"/>
      <c r="K468" s="26"/>
    </row>
    <row r="469" customFormat="false" ht="15" hidden="false" customHeight="false" outlineLevel="0" collapsed="false">
      <c r="A469" s="26"/>
      <c r="B469" s="27"/>
      <c r="C469" s="26"/>
      <c r="D469" s="28"/>
      <c r="E469" s="28"/>
      <c r="F469" s="28"/>
      <c r="G469" s="28"/>
      <c r="H469" s="29" t="str">
        <f aca="false">IF(OR(G469="",D469=""),"",IF(E469="Min",IF(G469&gt;=D469,"Pass","Fail"),IF(G469&lt;=D469,"Pass","Fail")))</f>
        <v/>
      </c>
      <c r="I469" s="26"/>
      <c r="J469" s="26"/>
      <c r="K469" s="26"/>
    </row>
    <row r="470" customFormat="false" ht="15" hidden="false" customHeight="false" outlineLevel="0" collapsed="false">
      <c r="A470" s="26"/>
      <c r="B470" s="27"/>
      <c r="C470" s="26"/>
      <c r="D470" s="28"/>
      <c r="E470" s="28"/>
      <c r="F470" s="28"/>
      <c r="G470" s="28"/>
      <c r="H470" s="29" t="str">
        <f aca="false">IF(OR(G470="",D470=""),"",IF(E470="Min",IF(G470&gt;=D470,"Pass","Fail"),IF(G470&lt;=D470,"Pass","Fail")))</f>
        <v/>
      </c>
      <c r="I470" s="26"/>
      <c r="J470" s="26"/>
      <c r="K470" s="26"/>
    </row>
    <row r="471" customFormat="false" ht="15" hidden="false" customHeight="false" outlineLevel="0" collapsed="false">
      <c r="A471" s="26"/>
      <c r="B471" s="27"/>
      <c r="C471" s="26"/>
      <c r="D471" s="28"/>
      <c r="E471" s="28"/>
      <c r="F471" s="28"/>
      <c r="G471" s="28"/>
      <c r="H471" s="29" t="str">
        <f aca="false">IF(OR(G471="",D471=""),"",IF(E471="Min",IF(G471&gt;=D471,"Pass","Fail"),IF(G471&lt;=D471,"Pass","Fail")))</f>
        <v/>
      </c>
      <c r="I471" s="26"/>
      <c r="J471" s="26"/>
      <c r="K471" s="26"/>
    </row>
    <row r="472" customFormat="false" ht="15" hidden="false" customHeight="false" outlineLevel="0" collapsed="false">
      <c r="A472" s="26"/>
      <c r="B472" s="27"/>
      <c r="C472" s="26"/>
      <c r="D472" s="28"/>
      <c r="E472" s="28"/>
      <c r="F472" s="28"/>
      <c r="G472" s="28"/>
      <c r="H472" s="29" t="str">
        <f aca="false">IF(OR(G472="",D472=""),"",IF(E472="Min",IF(G472&gt;=D472,"Pass","Fail"),IF(G472&lt;=D472,"Pass","Fail")))</f>
        <v/>
      </c>
      <c r="I472" s="26"/>
      <c r="J472" s="26"/>
      <c r="K472" s="26"/>
    </row>
    <row r="473" customFormat="false" ht="15" hidden="false" customHeight="false" outlineLevel="0" collapsed="false">
      <c r="A473" s="26"/>
      <c r="B473" s="27"/>
      <c r="C473" s="26"/>
      <c r="D473" s="28"/>
      <c r="E473" s="28"/>
      <c r="F473" s="28"/>
      <c r="G473" s="28"/>
      <c r="H473" s="29" t="str">
        <f aca="false">IF(OR(G473="",D473=""),"",IF(E473="Min",IF(G473&gt;=D473,"Pass","Fail"),IF(G473&lt;=D473,"Pass","Fail")))</f>
        <v/>
      </c>
      <c r="I473" s="26"/>
      <c r="J473" s="26"/>
      <c r="K473" s="26"/>
    </row>
    <row r="474" customFormat="false" ht="15" hidden="false" customHeight="false" outlineLevel="0" collapsed="false">
      <c r="A474" s="26"/>
      <c r="B474" s="27"/>
      <c r="C474" s="26"/>
      <c r="D474" s="28"/>
      <c r="E474" s="28"/>
      <c r="F474" s="28"/>
      <c r="G474" s="28"/>
      <c r="H474" s="29" t="str">
        <f aca="false">IF(OR(G474="",D474=""),"",IF(E474="Min",IF(G474&gt;=D474,"Pass","Fail"),IF(G474&lt;=D474,"Pass","Fail")))</f>
        <v/>
      </c>
      <c r="I474" s="26"/>
      <c r="J474" s="26"/>
      <c r="K474" s="26"/>
    </row>
    <row r="475" customFormat="false" ht="15" hidden="false" customHeight="false" outlineLevel="0" collapsed="false">
      <c r="A475" s="26"/>
      <c r="B475" s="27"/>
      <c r="C475" s="26"/>
      <c r="D475" s="28"/>
      <c r="E475" s="28"/>
      <c r="F475" s="28"/>
      <c r="G475" s="28"/>
      <c r="H475" s="29" t="str">
        <f aca="false">IF(OR(G475="",D475=""),"",IF(E475="Min",IF(G475&gt;=D475,"Pass","Fail"),IF(G475&lt;=D475,"Pass","Fail")))</f>
        <v/>
      </c>
      <c r="I475" s="26"/>
      <c r="J475" s="26"/>
      <c r="K475" s="26"/>
    </row>
    <row r="476" customFormat="false" ht="15" hidden="false" customHeight="false" outlineLevel="0" collapsed="false">
      <c r="A476" s="26"/>
      <c r="B476" s="27"/>
      <c r="C476" s="26"/>
      <c r="D476" s="28"/>
      <c r="E476" s="28"/>
      <c r="F476" s="28"/>
      <c r="G476" s="28"/>
      <c r="H476" s="29" t="str">
        <f aca="false">IF(OR(G476="",D476=""),"",IF(E476="Min",IF(G476&gt;=D476,"Pass","Fail"),IF(G476&lt;=D476,"Pass","Fail")))</f>
        <v/>
      </c>
      <c r="I476" s="26"/>
      <c r="J476" s="26"/>
      <c r="K476" s="26"/>
    </row>
    <row r="477" customFormat="false" ht="15" hidden="false" customHeight="false" outlineLevel="0" collapsed="false">
      <c r="A477" s="26"/>
      <c r="B477" s="27"/>
      <c r="C477" s="26"/>
      <c r="D477" s="28"/>
      <c r="E477" s="28"/>
      <c r="F477" s="28"/>
      <c r="G477" s="28"/>
      <c r="H477" s="29" t="str">
        <f aca="false">IF(OR(G477="",D477=""),"",IF(E477="Min",IF(G477&gt;=D477,"Pass","Fail"),IF(G477&lt;=D477,"Pass","Fail")))</f>
        <v/>
      </c>
      <c r="I477" s="26"/>
      <c r="J477" s="26"/>
      <c r="K477" s="26"/>
    </row>
    <row r="478" customFormat="false" ht="15" hidden="false" customHeight="false" outlineLevel="0" collapsed="false">
      <c r="A478" s="26"/>
      <c r="B478" s="27"/>
      <c r="C478" s="26"/>
      <c r="D478" s="28"/>
      <c r="E478" s="28"/>
      <c r="F478" s="28"/>
      <c r="G478" s="28"/>
      <c r="H478" s="29" t="str">
        <f aca="false">IF(OR(G478="",D478=""),"",IF(E478="Min",IF(G478&gt;=D478,"Pass","Fail"),IF(G478&lt;=D478,"Pass","Fail")))</f>
        <v/>
      </c>
      <c r="I478" s="26"/>
      <c r="J478" s="26"/>
      <c r="K478" s="26"/>
    </row>
    <row r="479" customFormat="false" ht="15" hidden="false" customHeight="false" outlineLevel="0" collapsed="false">
      <c r="A479" s="26"/>
      <c r="B479" s="27"/>
      <c r="C479" s="26"/>
      <c r="D479" s="28"/>
      <c r="E479" s="28"/>
      <c r="F479" s="28"/>
      <c r="G479" s="28"/>
      <c r="H479" s="29" t="str">
        <f aca="false">IF(OR(G479="",D479=""),"",IF(E479="Min",IF(G479&gt;=D479,"Pass","Fail"),IF(G479&lt;=D479,"Pass","Fail")))</f>
        <v/>
      </c>
      <c r="I479" s="26"/>
      <c r="J479" s="26"/>
      <c r="K479" s="26"/>
    </row>
    <row r="480" customFormat="false" ht="15" hidden="false" customHeight="false" outlineLevel="0" collapsed="false">
      <c r="A480" s="26"/>
      <c r="B480" s="27"/>
      <c r="C480" s="26"/>
      <c r="D480" s="28"/>
      <c r="E480" s="28"/>
      <c r="F480" s="28"/>
      <c r="G480" s="28"/>
      <c r="H480" s="29" t="str">
        <f aca="false">IF(OR(G480="",D480=""),"",IF(E480="Min",IF(G480&gt;=D480,"Pass","Fail"),IF(G480&lt;=D480,"Pass","Fail")))</f>
        <v/>
      </c>
      <c r="I480" s="26"/>
      <c r="J480" s="26"/>
      <c r="K480" s="26"/>
    </row>
    <row r="481" customFormat="false" ht="15" hidden="false" customHeight="false" outlineLevel="0" collapsed="false">
      <c r="A481" s="26"/>
      <c r="B481" s="27"/>
      <c r="C481" s="26"/>
      <c r="D481" s="28"/>
      <c r="E481" s="28"/>
      <c r="F481" s="28"/>
      <c r="G481" s="28"/>
      <c r="H481" s="29" t="str">
        <f aca="false">IF(OR(G481="",D481=""),"",IF(E481="Min",IF(G481&gt;=D481,"Pass","Fail"),IF(G481&lt;=D481,"Pass","Fail")))</f>
        <v/>
      </c>
      <c r="I481" s="26"/>
      <c r="J481" s="26"/>
      <c r="K481" s="26"/>
    </row>
    <row r="482" customFormat="false" ht="15" hidden="false" customHeight="false" outlineLevel="0" collapsed="false">
      <c r="A482" s="26"/>
      <c r="B482" s="27"/>
      <c r="C482" s="26"/>
      <c r="D482" s="28"/>
      <c r="E482" s="28"/>
      <c r="F482" s="28"/>
      <c r="G482" s="28"/>
      <c r="H482" s="29" t="str">
        <f aca="false">IF(OR(G482="",D482=""),"",IF(E482="Min",IF(G482&gt;=D482,"Pass","Fail"),IF(G482&lt;=D482,"Pass","Fail")))</f>
        <v/>
      </c>
      <c r="I482" s="26"/>
      <c r="J482" s="26"/>
      <c r="K482" s="26"/>
    </row>
    <row r="483" customFormat="false" ht="15" hidden="false" customHeight="false" outlineLevel="0" collapsed="false">
      <c r="A483" s="26"/>
      <c r="B483" s="27"/>
      <c r="C483" s="26"/>
      <c r="D483" s="28"/>
      <c r="E483" s="28"/>
      <c r="F483" s="28"/>
      <c r="G483" s="28"/>
      <c r="H483" s="29" t="str">
        <f aca="false">IF(OR(G483="",D483=""),"",IF(E483="Min",IF(G483&gt;=D483,"Pass","Fail"),IF(G483&lt;=D483,"Pass","Fail")))</f>
        <v/>
      </c>
      <c r="I483" s="26"/>
      <c r="J483" s="26"/>
      <c r="K483" s="26"/>
    </row>
    <row r="484" customFormat="false" ht="15" hidden="false" customHeight="false" outlineLevel="0" collapsed="false">
      <c r="A484" s="26"/>
      <c r="B484" s="27"/>
      <c r="C484" s="26"/>
      <c r="D484" s="28"/>
      <c r="E484" s="28"/>
      <c r="F484" s="28"/>
      <c r="G484" s="28"/>
      <c r="H484" s="29" t="str">
        <f aca="false">IF(OR(G484="",D484=""),"",IF(E484="Min",IF(G484&gt;=D484,"Pass","Fail"),IF(G484&lt;=D484,"Pass","Fail")))</f>
        <v/>
      </c>
      <c r="I484" s="26"/>
      <c r="J484" s="26"/>
      <c r="K484" s="26"/>
    </row>
    <row r="485" customFormat="false" ht="15" hidden="false" customHeight="false" outlineLevel="0" collapsed="false">
      <c r="A485" s="26"/>
      <c r="B485" s="27"/>
      <c r="C485" s="26"/>
      <c r="D485" s="28"/>
      <c r="E485" s="28"/>
      <c r="F485" s="28"/>
      <c r="G485" s="28"/>
      <c r="H485" s="29" t="str">
        <f aca="false">IF(OR(G485="",D485=""),"",IF(E485="Min",IF(G485&gt;=D485,"Pass","Fail"),IF(G485&lt;=D485,"Pass","Fail")))</f>
        <v/>
      </c>
      <c r="I485" s="26"/>
      <c r="J485" s="26"/>
      <c r="K485" s="26"/>
    </row>
    <row r="486" customFormat="false" ht="15" hidden="false" customHeight="false" outlineLevel="0" collapsed="false">
      <c r="A486" s="26"/>
      <c r="B486" s="27"/>
      <c r="C486" s="26"/>
      <c r="D486" s="28"/>
      <c r="E486" s="28"/>
      <c r="F486" s="28"/>
      <c r="G486" s="28"/>
      <c r="H486" s="29" t="str">
        <f aca="false">IF(OR(G486="",D486=""),"",IF(E486="Min",IF(G486&gt;=D486,"Pass","Fail"),IF(G486&lt;=D486,"Pass","Fail")))</f>
        <v/>
      </c>
      <c r="I486" s="26"/>
      <c r="J486" s="26"/>
      <c r="K486" s="26"/>
    </row>
    <row r="487" customFormat="false" ht="15" hidden="false" customHeight="false" outlineLevel="0" collapsed="false">
      <c r="A487" s="26"/>
      <c r="B487" s="27"/>
      <c r="C487" s="26"/>
      <c r="D487" s="28"/>
      <c r="E487" s="28"/>
      <c r="F487" s="28"/>
      <c r="G487" s="28"/>
      <c r="H487" s="29" t="str">
        <f aca="false">IF(OR(G487="",D487=""),"",IF(E487="Min",IF(G487&gt;=D487,"Pass","Fail"),IF(G487&lt;=D487,"Pass","Fail")))</f>
        <v/>
      </c>
      <c r="I487" s="26"/>
      <c r="J487" s="26"/>
      <c r="K487" s="26"/>
    </row>
    <row r="488" customFormat="false" ht="15" hidden="false" customHeight="false" outlineLevel="0" collapsed="false">
      <c r="A488" s="26"/>
      <c r="B488" s="27"/>
      <c r="C488" s="26"/>
      <c r="D488" s="28"/>
      <c r="E488" s="28"/>
      <c r="F488" s="28"/>
      <c r="G488" s="28"/>
      <c r="H488" s="29" t="str">
        <f aca="false">IF(OR(G488="",D488=""),"",IF(E488="Min",IF(G488&gt;=D488,"Pass","Fail"),IF(G488&lt;=D488,"Pass","Fail")))</f>
        <v/>
      </c>
      <c r="I488" s="26"/>
      <c r="J488" s="26"/>
      <c r="K488" s="26"/>
    </row>
    <row r="489" customFormat="false" ht="15" hidden="false" customHeight="false" outlineLevel="0" collapsed="false">
      <c r="A489" s="26"/>
      <c r="B489" s="27"/>
      <c r="C489" s="26"/>
      <c r="D489" s="28"/>
      <c r="E489" s="28"/>
      <c r="F489" s="28"/>
      <c r="G489" s="28"/>
      <c r="H489" s="29" t="str">
        <f aca="false">IF(OR(G489="",D489=""),"",IF(E489="Min",IF(G489&gt;=D489,"Pass","Fail"),IF(G489&lt;=D489,"Pass","Fail")))</f>
        <v/>
      </c>
      <c r="I489" s="26"/>
      <c r="J489" s="26"/>
      <c r="K489" s="26"/>
    </row>
    <row r="490" customFormat="false" ht="15" hidden="false" customHeight="false" outlineLevel="0" collapsed="false">
      <c r="A490" s="26"/>
      <c r="B490" s="27"/>
      <c r="C490" s="26"/>
      <c r="D490" s="28"/>
      <c r="E490" s="28"/>
      <c r="F490" s="28"/>
      <c r="G490" s="28"/>
      <c r="H490" s="29" t="str">
        <f aca="false">IF(OR(G490="",D490=""),"",IF(E490="Min",IF(G490&gt;=D490,"Pass","Fail"),IF(G490&lt;=D490,"Pass","Fail")))</f>
        <v/>
      </c>
      <c r="I490" s="26"/>
      <c r="J490" s="26"/>
      <c r="K490" s="26"/>
    </row>
    <row r="491" customFormat="false" ht="15" hidden="false" customHeight="false" outlineLevel="0" collapsed="false">
      <c r="A491" s="26"/>
      <c r="B491" s="27"/>
      <c r="C491" s="26"/>
      <c r="D491" s="28"/>
      <c r="E491" s="28"/>
      <c r="F491" s="28"/>
      <c r="G491" s="28"/>
      <c r="H491" s="29" t="str">
        <f aca="false">IF(OR(G491="",D491=""),"",IF(E491="Min",IF(G491&gt;=D491,"Pass","Fail"),IF(G491&lt;=D491,"Pass","Fail")))</f>
        <v/>
      </c>
      <c r="I491" s="26"/>
      <c r="J491" s="26"/>
      <c r="K491" s="26"/>
    </row>
    <row r="492" customFormat="false" ht="15" hidden="false" customHeight="false" outlineLevel="0" collapsed="false">
      <c r="A492" s="26"/>
      <c r="B492" s="27"/>
      <c r="C492" s="26"/>
      <c r="D492" s="28"/>
      <c r="E492" s="28"/>
      <c r="F492" s="28"/>
      <c r="G492" s="28"/>
      <c r="H492" s="29" t="str">
        <f aca="false">IF(OR(G492="",D492=""),"",IF(E492="Min",IF(G492&gt;=D492,"Pass","Fail"),IF(G492&lt;=D492,"Pass","Fail")))</f>
        <v/>
      </c>
      <c r="I492" s="26"/>
      <c r="J492" s="26"/>
      <c r="K492" s="26"/>
    </row>
    <row r="493" customFormat="false" ht="15" hidden="false" customHeight="false" outlineLevel="0" collapsed="false">
      <c r="A493" s="26"/>
      <c r="B493" s="27"/>
      <c r="C493" s="26"/>
      <c r="D493" s="28"/>
      <c r="E493" s="28"/>
      <c r="F493" s="28"/>
      <c r="G493" s="28"/>
      <c r="H493" s="29" t="str">
        <f aca="false">IF(OR(G493="",D493=""),"",IF(E493="Min",IF(G493&gt;=D493,"Pass","Fail"),IF(G493&lt;=D493,"Pass","Fail")))</f>
        <v/>
      </c>
      <c r="I493" s="26"/>
      <c r="J493" s="26"/>
      <c r="K493" s="26"/>
    </row>
    <row r="494" customFormat="false" ht="15" hidden="false" customHeight="false" outlineLevel="0" collapsed="false">
      <c r="A494" s="26"/>
      <c r="B494" s="27"/>
      <c r="C494" s="26"/>
      <c r="D494" s="28"/>
      <c r="E494" s="28"/>
      <c r="F494" s="28"/>
      <c r="G494" s="28"/>
      <c r="H494" s="29" t="str">
        <f aca="false">IF(OR(G494="",D494=""),"",IF(E494="Min",IF(G494&gt;=D494,"Pass","Fail"),IF(G494&lt;=D494,"Pass","Fail")))</f>
        <v/>
      </c>
      <c r="I494" s="26"/>
      <c r="J494" s="26"/>
      <c r="K494" s="26"/>
    </row>
    <row r="495" customFormat="false" ht="15" hidden="false" customHeight="false" outlineLevel="0" collapsed="false">
      <c r="A495" s="26"/>
      <c r="B495" s="27"/>
      <c r="C495" s="26"/>
      <c r="D495" s="28"/>
      <c r="E495" s="28"/>
      <c r="F495" s="28"/>
      <c r="G495" s="28"/>
      <c r="H495" s="29" t="str">
        <f aca="false">IF(OR(G495="",D495=""),"",IF(E495="Min",IF(G495&gt;=D495,"Pass","Fail"),IF(G495&lt;=D495,"Pass","Fail")))</f>
        <v/>
      </c>
      <c r="I495" s="26"/>
      <c r="J495" s="26"/>
      <c r="K495" s="26"/>
    </row>
    <row r="496" customFormat="false" ht="15" hidden="false" customHeight="false" outlineLevel="0" collapsed="false">
      <c r="A496" s="26"/>
      <c r="B496" s="27"/>
      <c r="C496" s="26"/>
      <c r="D496" s="28"/>
      <c r="E496" s="28"/>
      <c r="F496" s="28"/>
      <c r="G496" s="28"/>
      <c r="H496" s="29" t="str">
        <f aca="false">IF(OR(G496="",D496=""),"",IF(E496="Min",IF(G496&gt;=D496,"Pass","Fail"),IF(G496&lt;=D496,"Pass","Fail")))</f>
        <v/>
      </c>
      <c r="I496" s="26"/>
      <c r="J496" s="26"/>
      <c r="K496" s="26"/>
    </row>
    <row r="497" customFormat="false" ht="15" hidden="false" customHeight="false" outlineLevel="0" collapsed="false">
      <c r="A497" s="26"/>
      <c r="B497" s="27"/>
      <c r="C497" s="26"/>
      <c r="D497" s="28"/>
      <c r="E497" s="28"/>
      <c r="F497" s="28"/>
      <c r="G497" s="28"/>
      <c r="H497" s="29" t="str">
        <f aca="false">IF(OR(G497="",D497=""),"",IF(E497="Min",IF(G497&gt;=D497,"Pass","Fail"),IF(G497&lt;=D497,"Pass","Fail")))</f>
        <v/>
      </c>
      <c r="I497" s="26"/>
      <c r="J497" s="26"/>
      <c r="K497" s="26"/>
    </row>
    <row r="498" customFormat="false" ht="15" hidden="false" customHeight="false" outlineLevel="0" collapsed="false">
      <c r="A498" s="26"/>
      <c r="B498" s="27"/>
      <c r="C498" s="26"/>
      <c r="D498" s="28"/>
      <c r="E498" s="28"/>
      <c r="F498" s="28"/>
      <c r="G498" s="28"/>
      <c r="H498" s="29" t="str">
        <f aca="false">IF(OR(G498="",D498=""),"",IF(E498="Min",IF(G498&gt;=D498,"Pass","Fail"),IF(G498&lt;=D498,"Pass","Fail")))</f>
        <v/>
      </c>
      <c r="I498" s="26"/>
      <c r="J498" s="26"/>
      <c r="K498" s="26"/>
    </row>
    <row r="499" customFormat="false" ht="15" hidden="false" customHeight="false" outlineLevel="0" collapsed="false">
      <c r="A499" s="26"/>
      <c r="B499" s="27"/>
      <c r="C499" s="26"/>
      <c r="D499" s="28"/>
      <c r="E499" s="28"/>
      <c r="F499" s="28"/>
      <c r="G499" s="28"/>
      <c r="H499" s="29" t="str">
        <f aca="false">IF(OR(G499="",D499=""),"",IF(E499="Min",IF(G499&gt;=D499,"Pass","Fail"),IF(G499&lt;=D499,"Pass","Fail")))</f>
        <v/>
      </c>
      <c r="I499" s="26"/>
      <c r="J499" s="26"/>
      <c r="K499" s="26"/>
    </row>
    <row r="500" customFormat="false" ht="15" hidden="false" customHeight="false" outlineLevel="0" collapsed="false">
      <c r="A500" s="26"/>
      <c r="B500" s="27"/>
      <c r="C500" s="26"/>
      <c r="D500" s="28"/>
      <c r="E500" s="28"/>
      <c r="F500" s="28"/>
      <c r="G500" s="28"/>
      <c r="H500" s="29" t="str">
        <f aca="false">IF(OR(G500="",D500=""),"",IF(E500="Min",IF(G500&gt;=D500,"Pass","Fail"),IF(G500&lt;=D500,"Pass","Fail")))</f>
        <v/>
      </c>
      <c r="I500" s="26"/>
      <c r="J500" s="26"/>
      <c r="K500" s="26"/>
    </row>
  </sheetData>
  <autoFilter ref="A1:K1"/>
  <conditionalFormatting sqref="H2:H50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2">
      <formula>"Fail"</formula>
    </cfRule>
  </conditionalFormatting>
  <conditionalFormatting sqref="G2:G500">
    <cfRule type="expression" priority="4" aboveAverage="0" equalAverage="0" bottom="0" percent="0" rank="0" text="" dxfId="1">
      <formula>AND(G2&gt;=D2*0.8,G2&lt;=D2,E2&lt;&gt;"Min",G2&lt;&gt;"")</formula>
    </cfRule>
    <cfRule type="expression" priority="5" aboveAverage="0" equalAverage="0" bottom="0" percent="0" rank="0" text="" dxfId="2">
      <formula>AND(G2&gt;D2,E2&lt;&gt;"Min",G2&lt;&gt;"")</formula>
    </cfRule>
  </conditionalFormatting>
  <dataValidations count="4">
    <dataValidation allowBlank="true" errorStyle="stop" operator="between" showDropDown="false" showErrorMessage="false" showInputMessage="false" sqref="C2:C500" type="list">
      <formula1>"BOD,Suspended Solids,Ammonia,Total Phosphorus,pH (lower),pH (upper),Flow,Total Nitrogen"</formula1>
      <formula2>0</formula2>
    </dataValidation>
    <dataValidation allowBlank="true" errorStyle="stop" operator="between" showDropDown="false" showErrorMessage="false" showInputMessage="false" sqref="E2:E500" type="list">
      <formula1>"Max,Mean,95th Percentile,Min"</formula1>
      <formula2>0</formula2>
    </dataValidation>
    <dataValidation allowBlank="true" errorStyle="stop" operator="between" showDropDown="false" showErrorMessage="false" showInputMessage="false" sqref="F2:F500" type="list">
      <formula1>"mg/l,pH,m³/d,µg/l"</formula1>
      <formula2>0</formula2>
    </dataValidation>
    <dataValidation allowBlank="true" errorStyle="stop" operator="between" showDropDown="false" showErrorMessage="false" showInputMessage="false" sqref="B2:B5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&amp;CProcess Proving — Sample Data</oddHeader>
    <oddFooter>&amp;Rebrora.com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30" t="s">
        <v>111</v>
      </c>
    </row>
    <row r="2" customFormat="false" ht="15" hidden="false" customHeight="false" outlineLevel="0" collapsed="false">
      <c r="A2" s="31"/>
    </row>
    <row r="3" customFormat="false" ht="15" hidden="false" customHeight="false" outlineLevel="0" collapsed="false">
      <c r="A3" s="31" t="s">
        <v>112</v>
      </c>
    </row>
    <row r="4" customFormat="false" ht="15" hidden="false" customHeight="false" outlineLevel="0" collapsed="false">
      <c r="A4" s="31"/>
    </row>
    <row r="5" customFormat="false" ht="15" hidden="false" customHeight="false" outlineLevel="0" collapsed="false">
      <c r="A5" s="32" t="s">
        <v>113</v>
      </c>
    </row>
    <row r="6" customFormat="false" ht="23.85" hidden="false" customHeight="false" outlineLevel="0" collapsed="false">
      <c r="A6" s="32" t="s">
        <v>114</v>
      </c>
    </row>
    <row r="7" customFormat="false" ht="15" hidden="false" customHeight="false" outlineLevel="0" collapsed="false">
      <c r="A7" s="32" t="s">
        <v>115</v>
      </c>
    </row>
    <row r="8" customFormat="false" ht="15" hidden="false" customHeight="false" outlineLevel="0" collapsed="false">
      <c r="A8" s="32" t="s">
        <v>116</v>
      </c>
    </row>
    <row r="9" customFormat="false" ht="23.85" hidden="false" customHeight="false" outlineLevel="0" collapsed="false">
      <c r="A9" s="32" t="s">
        <v>117</v>
      </c>
    </row>
    <row r="10" customFormat="false" ht="15" hidden="false" customHeight="false" outlineLevel="0" collapsed="false">
      <c r="A10" s="32" t="s">
        <v>118</v>
      </c>
    </row>
    <row r="11" customFormat="false" ht="15" hidden="false" customHeight="false" outlineLevel="0" collapsed="false">
      <c r="A11" s="31"/>
    </row>
    <row r="12" customFormat="false" ht="15" hidden="false" customHeight="false" outlineLevel="0" collapsed="false">
      <c r="A12" s="31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&amp; Commissioning</cp:category>
  <dcterms:created xsi:type="dcterms:W3CDTF">2026-03-24T14:03:18Z</dcterms:created>
  <dc:creator>Ebrora Ltd</dc:creator>
  <dc:description>Track laboratory sample results against environmental consent limits during process proving, with automated pass/fail calculations and a compliance dashboard showing KPIs by parameter.
Free professional construction management template from Ebrora Ltd. Visit ebrora.com for our full range of tools and templates.</dc:description>
  <cp:keywords>Ebrora construction process proving consent KPI compliance water quality commissioning</cp:keywords>
  <dc:language>en-US</dc:language>
  <cp:lastModifiedBy>Ebrora Ltd</cp:lastModifiedBy>
  <dcterms:modified xsi:type="dcterms:W3CDTF">2026-03-24T14:03:19Z</dcterms:modified>
  <cp:revision>0</cp:revision>
  <dc:subject>Track sample results against consent limits during process proving with automated pass/fail assessment and compliance KPIs.</dc:subject>
  <dc:title>Process Proving KPI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