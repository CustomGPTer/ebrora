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Rebar Inspection"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'Rebar Inspection'!$A$1:$M$48</definedName>
    <definedName function="false" hidden="true" localSheetId="2" name="_xlnm._FilterDatabase" vbProcedure="false">'Rebar Inspection'!$A$7:$Q$48</definedName>
    <definedName function="false" hidden="false" name="DataTable" vbProcedure="false">'Rebar Inspection'!$A$7:$Q$48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<sst xmlns="http://schemas.openxmlformats.org/spreadsheetml/2006/main" count="136" uniqueCount="98">
  <si>
    <t xml:space="preserve">EBRORA</t>
  </si>
  <si>
    <t xml:space="preserve">ebrora.com</t>
  </si>
  <si>
    <t xml:space="preserve">Rebar Fixing
Inspection Log</t>
  </si>
  <si>
    <t xml:space="preserve">Record reinforcement fixing inspections with bar size, spacing, cover, and lap length verification against design drawings.</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</si>
  <si>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</si>
  <si>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</si>
  <si>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</si>
  <si>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</si>
  <si>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'Rebar Inspection' sheet. The summary panel shows total inspections and pass/fail rates.</t>
  </si>
  <si>
    <t xml:space="preserve">2. Enter each inspection with the element reference, drawing number, date, and the bar sizes/spacing specified.</t>
  </si>
  <si>
    <t xml:space="preserve">3. Record the actual bar sizes and spacing found during inspection. Also record the measured cover and lap lengths.</t>
  </si>
  <si>
    <t xml:space="preserve">4. The 'Bars OK', 'Spacing OK', 'Cover OK', and 'Laps OK' columns use Pass/Fail dropdowns for each check.</t>
  </si>
  <si>
    <t xml:space="preserve">5. Overall Result auto-calculates: PASS (all four checks pass), FAIL (any check fails), or INCOMPLETE.</t>
  </si>
  <si>
    <t xml:space="preserve">6. Any failed element must be corrected and re-inspected before the pour is authorised.</t>
  </si>
  <si>
    <t xml:space="preserve">7. Expand optional columns [+] for MTC reference, tying wire check, spacer type, and congestion assessment.</t>
  </si>
  <si>
    <t xml:space="preserve">8. Cross-reference this log with the formwork checklist — both must pass before concrete is placed.</t>
  </si>
  <si>
    <t xml:space="preserve">Colour Key</t>
  </si>
  <si>
    <t xml:space="preserve">Light teal</t>
  </si>
  <si>
    <t xml:space="preserve">Editable cells</t>
  </si>
  <si>
    <t xml:space="preserve">Dark navy</t>
  </si>
  <si>
    <t xml:space="preserve">Headers</t>
  </si>
  <si>
    <t xml:space="preserve">Green</t>
  </si>
  <si>
    <t xml:space="preserve">PASS — all checks satisfactory</t>
  </si>
  <si>
    <t xml:space="preserve">Red</t>
  </si>
  <si>
    <t xml:space="preserve">FAIL — one or more checks failed</t>
  </si>
  <si>
    <t xml:space="preserve">Tips</t>
  </si>
  <si>
    <t xml:space="preserve">• Always check cover with a cover meter after fixing — spacers alone don't guarantee correct cover if displaced.</t>
  </si>
  <si>
    <t xml:space="preserve">• Verify bar marks match the bending schedule — wrong bar shapes are a common cause of rebar rejection.</t>
  </si>
  <si>
    <t xml:space="preserve">• Lap lengths vary by bar size and concrete grade — refer to the structural engineer's lap length schedule, not rules of thumb.</t>
  </si>
  <si>
    <t xml:space="preserve">REBAR FIXING INSPECTION LOG</t>
  </si>
  <si>
    <t xml:space="preserve">Total Inspections</t>
  </si>
  <si>
    <t xml:space="preserve">Pass</t>
  </si>
  <si>
    <t xml:space="preserve">Fail</t>
  </si>
  <si>
    <t xml:space="preserve">Pass Rate</t>
  </si>
  <si>
    <t xml:space="preserve">Outstanding</t>
  </si>
  <si>
    <t xml:space="preserve">Completion %</t>
  </si>
  <si>
    <t xml:space="preserve">▸ Optional Fields — Click [+] to expand</t>
  </si>
  <si>
    <t xml:space="preserve">Insp
Ref</t>
  </si>
  <si>
    <t xml:space="preserve">Date</t>
  </si>
  <si>
    <t xml:space="preserve">Element</t>
  </si>
  <si>
    <t xml:space="preserve">Drawing
Ref</t>
  </si>
  <si>
    <t xml:space="preserve">Bar Sizes
(Specified)</t>
  </si>
  <si>
    <t xml:space="preserve">Spacing
(Specified)</t>
  </si>
  <si>
    <t xml:space="preserve">Bars
OK</t>
  </si>
  <si>
    <t xml:space="preserve">Spacing
OK</t>
  </si>
  <si>
    <t xml:space="preserve">Cover
OK</t>
  </si>
  <si>
    <t xml:space="preserve">Laps
OK</t>
  </si>
  <si>
    <t xml:space="preserve">Overall
Result</t>
  </si>
  <si>
    <t xml:space="preserve">Inspector</t>
  </si>
  <si>
    <t xml:space="preserve">Notes</t>
  </si>
  <si>
    <t xml:space="preserve">MTC
Ref</t>
  </si>
  <si>
    <t xml:space="preserve">Tying
Wire OK</t>
  </si>
  <si>
    <t xml:space="preserve">Spacer
Type</t>
  </si>
  <si>
    <t xml:space="preserve">Congestion
Assessment</t>
  </si>
  <si>
    <t xml:space="preserve">RI-001</t>
  </si>
  <si>
    <t xml:space="preserve">Pad Foundation PF-01</t>
  </si>
  <si>
    <t xml:space="preserve">RC-101</t>
  </si>
  <si>
    <t xml:space="preserve">T16 @ 200 c/c B.W.</t>
  </si>
  <si>
    <t xml:space="preserve">200 c/c</t>
  </si>
  <si>
    <t xml:space="preserve">M. Evans</t>
  </si>
  <si>
    <t xml:space="preserve">All checks satisfactory</t>
  </si>
  <si>
    <t xml:space="preserve">MTC-005</t>
  </si>
  <si>
    <t xml:space="preserve">Concrete spacers</t>
  </si>
  <si>
    <t xml:space="preserve">OK</t>
  </si>
  <si>
    <t xml:space="preserve">RI-002</t>
  </si>
  <si>
    <t xml:space="preserve">Ground Beam GB-01</t>
  </si>
  <si>
    <t xml:space="preserve">RC-102</t>
  </si>
  <si>
    <t xml:space="preserve">T20 top &amp; btm, T10 links</t>
  </si>
  <si>
    <t xml:space="preserve">150 c/c links</t>
  </si>
  <si>
    <t xml:space="preserve">Plastic chairs</t>
  </si>
  <si>
    <t xml:space="preserve">RI-003</t>
  </si>
  <si>
    <t xml:space="preserve">Column C4</t>
  </si>
  <si>
    <t xml:space="preserve">RC-103</t>
  </si>
  <si>
    <t xml:space="preserve">T25 main, T10 links @ 175</t>
  </si>
  <si>
    <t xml:space="preserve">175 c/c</t>
  </si>
  <si>
    <t xml:space="preserve">J. Patel</t>
  </si>
  <si>
    <t xml:space="preserve">Link spacing 220mm — too wide. Rectify.</t>
  </si>
  <si>
    <t xml:space="preserve">Plastic spacers</t>
  </si>
  <si>
    <t xml:space="preserve">Tight</t>
  </si>
  <si>
    <t xml:space="preserve">RI-004</t>
  </si>
  <si>
    <t xml:space="preserve">Slab Bay 1 — Bottom Mat</t>
  </si>
  <si>
    <t xml:space="preserve">RC-104</t>
  </si>
  <si>
    <t xml:space="preserve">T12 @ 200 c/c B.W.</t>
  </si>
  <si>
    <t xml:space="preserve">RI-005</t>
  </si>
  <si>
    <t xml:space="preserve">Retaining Wall W2 — Face A</t>
  </si>
  <si>
    <t xml:space="preserve">RC-106</t>
  </si>
  <si>
    <t xml:space="preserve">T16 vert @ 150, T12 horiz @ 200</t>
  </si>
  <si>
    <t xml:space="preserve">150/200</t>
  </si>
  <si>
    <t xml:space="preserve">Cover 22mm measured — spec requires 40mm min. Add spacers.</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</si>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</sst>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0%"/>
    <numFmt numFmtId="167" formatCode="dd/mm/yyyy"/>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006100"/>
      <name val="Calibri"/>
      <family val="0"/>
      <charset val="1"/>
    </font>
    <font>
      <b val="true"/>
      <sz val="16"/>
      <color rgb="FF9C0006"/>
      <name val="Calibri"/>
      <family val="0"/>
      <charset val="1"/>
    </font>
    <font>
      <i val="true"/>
      <sz val="9"/>
      <color rgb="FF2AABB3"/>
      <name val="Calibri"/>
      <family val="0"/>
      <charset val="1"/>
    </font>
    <font>
      <b val="true"/>
      <sz val="11"/>
      <color rgb="FFFFFFFF"/>
      <name val="Calibri"/>
      <family val="0"/>
      <charset val="1"/>
    </font>
  </fonts>
  <fills count="7">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7"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FFC7CE"/>
          <bgColor rgb="FF000000"/>
        </patternFill>
      </fill>
    </dxf>
    <dxf>
      <fill>
        <patternFill patternType="solid">
          <fgColor rgb="FF9C0006"/>
          <bgColor rgb="FF000000"/>
        </patternFill>
      </fill>
    </dxf>
    <dxf>
      <font>
        <name val="Calibri"/>
        <charset val="1"/>
        <family val="0"/>
        <b val="1"/>
        <color rgb="FF006100"/>
      </font>
      <fill>
        <patternFill>
          <bgColor rgb="FFC6EFCE"/>
        </patternFill>
      </fill>
    </dxf>
    <dxf>
      <font>
        <name val="Calibri"/>
        <charset val="1"/>
        <family val="0"/>
        <b val="1"/>
        <color rgb="FF9C0006"/>
      </font>
      <fill>
        <patternFill>
          <bgColor rgb="FFFFC7CE"/>
        </patternFill>
      </fill>
    </dxf>
    <dxf>
      <font>
        <name val="Calibri"/>
        <charset val="1"/>
        <family val="0"/>
        <b val="1"/>
        <color rgb="FF9C6500"/>
      </font>
      <fill>
        <patternFill>
          <bgColor rgb="FFFFEB9C"/>
        </patternFill>
      </fill>
    </dxf>
    <dxf>
      <font>
        <name val="Calibri"/>
        <charset val="1"/>
        <family val="0"/>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9" customFormat="false" ht="15" hidden="false" customHeight="false" outlineLevel="0" collapsed="false">
      <c r="A19" s="9" t="s">
        <v>25</v>
      </c>
      <c r="B19" s="9"/>
      <c r="C19" s="9"/>
      <c r="D19" s="9"/>
      <c r="E19" s="9"/>
      <c r="F19" s="9"/>
    </row>
    <row r="20" customFormat="false" ht="30" hidden="false" customHeight="true" outlineLevel="0" collapsed="false">
      <c r="A20" s="10" t="s">
        <v>26</v>
      </c>
      <c r="B20" s="10"/>
      <c r="C20" s="10"/>
      <c r="D20" s="10"/>
      <c r="E20" s="10"/>
      <c r="F20" s="10"/>
    </row>
    <row r="21" customFormat="false" ht="30" hidden="false" customHeight="true" outlineLevel="0" collapsed="false">
      <c r="A21" s="10" t="s">
        <v>27</v>
      </c>
      <c r="B21" s="10"/>
      <c r="C21" s="10"/>
      <c r="D21" s="10"/>
      <c r="E21" s="10"/>
      <c r="F21" s="10"/>
    </row>
    <row r="22" customFormat="false" ht="30" hidden="false" customHeight="true" outlineLevel="0" collapsed="false">
      <c r="A22" s="10" t="s">
        <v>28</v>
      </c>
      <c r="B22" s="10"/>
      <c r="C22" s="10"/>
      <c r="D22" s="10"/>
      <c r="E22" s="10"/>
      <c r="F22" s="10"/>
    </row>
  </sheetData>
  <mergeCells count="23">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A19:F19"/>
    <mergeCell ref="A20:F20"/>
    <mergeCell ref="A21:F21"/>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2"/>
    <col collapsed="false" customWidth="true" hidden="false" outlineLevel="0" max="3" min="3" style="0" width="24"/>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10" min="7" style="0" width="10"/>
    <col collapsed="false" customWidth="true" hidden="false" outlineLevel="0" max="12" min="11" style="0" width="14"/>
    <col collapsed="false" customWidth="true" hidden="false" outlineLevel="0" max="13" min="13" style="0" width="28"/>
    <col collapsed="false" customWidth="true" hidden="true" outlineLevel="1" max="17" min="14" style="0" width="12"/>
  </cols>
  <sheetData>
    <row r="1" customFormat="false" ht="18.65" hidden="false" customHeight="true" outlineLevel="0" collapsed="false">
      <c r="A1" s="17" t="s">
        <v>29</v>
      </c>
      <c r="B1" s="17"/>
      <c r="C1" s="17"/>
      <c r="D1" s="17"/>
      <c r="E1" s="17"/>
      <c r="F1" s="17"/>
      <c r="G1" s="17"/>
      <c r="H1" s="17"/>
      <c r="I1" s="17"/>
      <c r="J1" s="17"/>
      <c r="K1" s="17"/>
      <c r="L1" s="17"/>
      <c r="M1" s="17"/>
      <c r="N1" s="18"/>
      <c r="O1" s="18"/>
      <c r="P1" s="18"/>
      <c r="Q1" s="18"/>
    </row>
    <row r="2" customFormat="false" ht="6" hidden="false" customHeight="true" outlineLevel="0" collapsed="false"/>
    <row r="3" customFormat="false" ht="23.85" hidden="false" customHeight="false" outlineLevel="0" collapsed="false">
      <c r="A3" s="19" t="s">
        <v>30</v>
      </c>
      <c r="C3" s="19" t="s">
        <v>31</v>
      </c>
      <c r="E3" s="19" t="s">
        <v>32</v>
      </c>
      <c r="G3" s="19" t="s">
        <v>33</v>
      </c>
      <c r="I3" s="19" t="s">
        <v>34</v>
      </c>
      <c r="K3" s="19" t="s">
        <v>35</v>
      </c>
    </row>
    <row r="4" customFormat="false" ht="20.85" hidden="false" customHeight="false" outlineLevel="0" collapsed="false">
      <c r="A4" s="20" t="n">
        <f aca="false">COUNTA(A8:A48)</f>
        <v>5</v>
      </c>
      <c r="C4" s="21" t="n">
        <f aca="false">COUNTIF(K8:K48,"PASS")</f>
        <v>3</v>
      </c>
      <c r="E4" s="22" t="n">
        <f aca="false">COUNTIF(K8:K48,"FAIL")</f>
        <v>2</v>
      </c>
      <c r="G4" s="23" t="n">
        <f aca="false">IFERROR(C4/(C4+E4),0)</f>
        <v>0.6</v>
      </c>
      <c r="I4" s="20" t="n">
        <f aca="false">COUNTIF(K8:K48,"INCOMPLETE")</f>
        <v>0</v>
      </c>
      <c r="K4" s="23" t="n">
        <f aca="false">IFERROR((C4+E4)/A4,0)</f>
        <v>1</v>
      </c>
    </row>
    <row r="5" customFormat="false" ht="15" hidden="false" customHeight="false" outlineLevel="0" collapsed="false">
      <c r="A5" s="24"/>
      <c r="B5" s="24"/>
      <c r="C5" s="24"/>
      <c r="D5" s="24"/>
      <c r="E5" s="24"/>
      <c r="F5" s="24"/>
      <c r="G5" s="24"/>
      <c r="H5" s="24"/>
      <c r="I5" s="24"/>
      <c r="J5" s="24"/>
      <c r="K5" s="24"/>
      <c r="L5" s="24"/>
      <c r="M5" s="24"/>
      <c r="N5" s="24"/>
      <c r="O5" s="24"/>
      <c r="P5" s="24"/>
      <c r="Q5" s="24"/>
    </row>
    <row r="6" customFormat="false" ht="3.75" hidden="false" customHeight="true" outlineLevel="0" collapsed="false">
      <c r="N6" s="25" t="s">
        <v>36</v>
      </c>
      <c r="O6" s="25"/>
      <c r="P6" s="25"/>
      <c r="Q6" s="25"/>
    </row>
    <row r="7" customFormat="false" ht="37.5" hidden="false" customHeight="true" outlineLevel="0" collapsed="false">
      <c r="A7" s="26" t="s">
        <v>37</v>
      </c>
      <c r="B7" s="26" t="s">
        <v>38</v>
      </c>
      <c r="C7" s="26" t="s">
        <v>39</v>
      </c>
      <c r="D7" s="26" t="s">
        <v>40</v>
      </c>
      <c r="E7" s="26" t="s">
        <v>41</v>
      </c>
      <c r="F7" s="26" t="s">
        <v>42</v>
      </c>
      <c r="G7" s="26" t="s">
        <v>43</v>
      </c>
      <c r="H7" s="26" t="s">
        <v>44</v>
      </c>
      <c r="I7" s="26" t="s">
        <v>45</v>
      </c>
      <c r="J7" s="26" t="s">
        <v>46</v>
      </c>
      <c r="K7" s="26" t="s">
        <v>47</v>
      </c>
      <c r="L7" s="26" t="s">
        <v>48</v>
      </c>
      <c r="M7" s="26" t="s">
        <v>49</v>
      </c>
      <c r="N7" s="26" t="s">
        <v>50</v>
      </c>
      <c r="O7" s="26" t="s">
        <v>51</v>
      </c>
      <c r="P7" s="26" t="s">
        <v>52</v>
      </c>
      <c r="Q7" s="26" t="s">
        <v>53</v>
      </c>
    </row>
    <row r="8" customFormat="false" ht="23.85" hidden="false" customHeight="false" outlineLevel="0" collapsed="false">
      <c r="A8" s="27" t="s">
        <v>54</v>
      </c>
      <c r="B8" s="28" t="n">
        <v>46063</v>
      </c>
      <c r="C8" s="29" t="s">
        <v>55</v>
      </c>
      <c r="D8" s="27" t="s">
        <v>56</v>
      </c>
      <c r="E8" s="29" t="s">
        <v>57</v>
      </c>
      <c r="F8" s="27" t="s">
        <v>58</v>
      </c>
      <c r="G8" s="27" t="s">
        <v>31</v>
      </c>
      <c r="H8" s="27" t="s">
        <v>31</v>
      </c>
      <c r="I8" s="27" t="s">
        <v>31</v>
      </c>
      <c r="J8" s="27" t="s">
        <v>31</v>
      </c>
      <c r="K8" s="30" t="str">
        <f aca="false">IF(A8="","",IF(AND(G8="Pass",H8="Pass",I8="Pass",J8="Pass"),"PASS",IF(OR(G8="Fail",H8="Fail",I8="Fail",J8="Fail"),"FAIL","INCOMPLETE")))</f>
        <v>PASS</v>
      </c>
      <c r="L8" s="27" t="s">
        <v>59</v>
      </c>
      <c r="M8" s="29" t="s">
        <v>60</v>
      </c>
      <c r="N8" s="27" t="s">
        <v>61</v>
      </c>
      <c r="O8" s="27" t="s">
        <v>31</v>
      </c>
      <c r="P8" s="27" t="s">
        <v>62</v>
      </c>
      <c r="Q8" s="27" t="s">
        <v>63</v>
      </c>
    </row>
    <row r="9" customFormat="false" ht="23.85" hidden="false" customHeight="false" outlineLevel="0" collapsed="false">
      <c r="A9" s="27" t="s">
        <v>64</v>
      </c>
      <c r="B9" s="28" t="n">
        <v>46065</v>
      </c>
      <c r="C9" s="29" t="s">
        <v>65</v>
      </c>
      <c r="D9" s="27" t="s">
        <v>66</v>
      </c>
      <c r="E9" s="29" t="s">
        <v>67</v>
      </c>
      <c r="F9" s="27" t="s">
        <v>68</v>
      </c>
      <c r="G9" s="27" t="s">
        <v>31</v>
      </c>
      <c r="H9" s="27" t="s">
        <v>31</v>
      </c>
      <c r="I9" s="27" t="s">
        <v>31</v>
      </c>
      <c r="J9" s="27" t="s">
        <v>31</v>
      </c>
      <c r="K9" s="30" t="str">
        <f aca="false">IF(A9="","",IF(AND(G9="Pass",H9="Pass",I9="Pass",J9="Pass"),"PASS",IF(OR(G9="Fail",H9="Fail",I9="Fail",J9="Fail"),"FAIL","INCOMPLETE")))</f>
        <v>PASS</v>
      </c>
      <c r="L9" s="27" t="s">
        <v>59</v>
      </c>
      <c r="M9" s="29"/>
      <c r="N9" s="27" t="s">
        <v>61</v>
      </c>
      <c r="O9" s="27" t="s">
        <v>31</v>
      </c>
      <c r="P9" s="27" t="s">
        <v>69</v>
      </c>
      <c r="Q9" s="27" t="s">
        <v>63</v>
      </c>
    </row>
    <row r="10" customFormat="false" ht="23.85" hidden="false" customHeight="false" outlineLevel="0" collapsed="false">
      <c r="A10" s="27" t="s">
        <v>70</v>
      </c>
      <c r="B10" s="28" t="n">
        <v>46066</v>
      </c>
      <c r="C10" s="29" t="s">
        <v>71</v>
      </c>
      <c r="D10" s="27" t="s">
        <v>72</v>
      </c>
      <c r="E10" s="29" t="s">
        <v>73</v>
      </c>
      <c r="F10" s="27" t="s">
        <v>74</v>
      </c>
      <c r="G10" s="27" t="s">
        <v>31</v>
      </c>
      <c r="H10" s="27" t="s">
        <v>32</v>
      </c>
      <c r="I10" s="27" t="s">
        <v>31</v>
      </c>
      <c r="J10" s="27" t="s">
        <v>31</v>
      </c>
      <c r="K10" s="30" t="str">
        <f aca="false">IF(A10="","",IF(AND(G10="Pass",H10="Pass",I10="Pass",J10="Pass"),"PASS",IF(OR(G10="Fail",H10="Fail",I10="Fail",J10="Fail"),"FAIL","INCOMPLETE")))</f>
        <v>FAIL</v>
      </c>
      <c r="L10" s="27" t="s">
        <v>75</v>
      </c>
      <c r="M10" s="29" t="s">
        <v>76</v>
      </c>
      <c r="N10" s="27" t="s">
        <v>61</v>
      </c>
      <c r="O10" s="27" t="s">
        <v>31</v>
      </c>
      <c r="P10" s="27" t="s">
        <v>77</v>
      </c>
      <c r="Q10" s="27" t="s">
        <v>78</v>
      </c>
    </row>
    <row r="11" customFormat="false" ht="23.85" hidden="false" customHeight="false" outlineLevel="0" collapsed="false">
      <c r="A11" s="27" t="s">
        <v>79</v>
      </c>
      <c r="B11" s="28" t="n">
        <v>46067</v>
      </c>
      <c r="C11" s="29" t="s">
        <v>80</v>
      </c>
      <c r="D11" s="27" t="s">
        <v>81</v>
      </c>
      <c r="E11" s="29" t="s">
        <v>82</v>
      </c>
      <c r="F11" s="27" t="s">
        <v>58</v>
      </c>
      <c r="G11" s="27" t="s">
        <v>31</v>
      </c>
      <c r="H11" s="27" t="s">
        <v>31</v>
      </c>
      <c r="I11" s="27" t="s">
        <v>31</v>
      </c>
      <c r="J11" s="27" t="s">
        <v>31</v>
      </c>
      <c r="K11" s="30" t="str">
        <f aca="false">IF(A11="","",IF(AND(G11="Pass",H11="Pass",I11="Pass",J11="Pass"),"PASS",IF(OR(G11="Fail",H11="Fail",I11="Fail",J11="Fail"),"FAIL","INCOMPLETE")))</f>
        <v>PASS</v>
      </c>
      <c r="L11" s="27" t="s">
        <v>59</v>
      </c>
      <c r="M11" s="29"/>
      <c r="N11" s="27" t="s">
        <v>61</v>
      </c>
      <c r="O11" s="27" t="s">
        <v>31</v>
      </c>
      <c r="P11" s="27" t="s">
        <v>62</v>
      </c>
      <c r="Q11" s="27" t="s">
        <v>63</v>
      </c>
    </row>
    <row r="12" customFormat="false" ht="23.85" hidden="false" customHeight="false" outlineLevel="0" collapsed="false">
      <c r="A12" s="27" t="s">
        <v>83</v>
      </c>
      <c r="B12" s="28" t="n">
        <v>46068</v>
      </c>
      <c r="C12" s="29" t="s">
        <v>84</v>
      </c>
      <c r="D12" s="27" t="s">
        <v>85</v>
      </c>
      <c r="E12" s="29" t="s">
        <v>86</v>
      </c>
      <c r="F12" s="27" t="s">
        <v>87</v>
      </c>
      <c r="G12" s="27" t="s">
        <v>31</v>
      </c>
      <c r="H12" s="27" t="s">
        <v>31</v>
      </c>
      <c r="I12" s="27" t="s">
        <v>32</v>
      </c>
      <c r="J12" s="27" t="s">
        <v>31</v>
      </c>
      <c r="K12" s="30" t="str">
        <f aca="false">IF(A12="","",IF(AND(G12="Pass",H12="Pass",I12="Pass",J12="Pass"),"PASS",IF(OR(G12="Fail",H12="Fail",I12="Fail",J12="Fail"),"FAIL","INCOMPLETE")))</f>
        <v>FAIL</v>
      </c>
      <c r="L12" s="27" t="s">
        <v>75</v>
      </c>
      <c r="M12" s="29" t="s">
        <v>88</v>
      </c>
      <c r="N12" s="27" t="s">
        <v>61</v>
      </c>
      <c r="O12" s="27" t="s">
        <v>31</v>
      </c>
      <c r="P12" s="27" t="s">
        <v>62</v>
      </c>
      <c r="Q12" s="27" t="s">
        <v>63</v>
      </c>
    </row>
    <row r="13" customFormat="false" ht="15" hidden="false" customHeight="false" outlineLevel="0" collapsed="false">
      <c r="A13" s="27"/>
      <c r="B13" s="28"/>
      <c r="C13" s="29"/>
      <c r="D13" s="27"/>
      <c r="E13" s="29"/>
      <c r="F13" s="27"/>
      <c r="G13" s="27"/>
      <c r="H13" s="27"/>
      <c r="I13" s="27"/>
      <c r="J13" s="27"/>
      <c r="K13" s="30" t="str">
        <f aca="false">IF(A13="","",IF(AND(G13="Pass",H13="Pass",I13="Pass",J13="Pass"),"PASS",IF(OR(G13="Fail",H13="Fail",I13="Fail",J13="Fail"),"FAIL","INCOMPLETE")))</f>
        <v/>
      </c>
      <c r="L13" s="27"/>
      <c r="M13" s="29"/>
      <c r="N13" s="27"/>
      <c r="O13" s="27"/>
      <c r="P13" s="27"/>
      <c r="Q13" s="27"/>
    </row>
    <row r="14" customFormat="false" ht="15" hidden="false" customHeight="false" outlineLevel="0" collapsed="false">
      <c r="A14" s="27"/>
      <c r="B14" s="28"/>
      <c r="C14" s="29"/>
      <c r="D14" s="27"/>
      <c r="E14" s="29"/>
      <c r="F14" s="27"/>
      <c r="G14" s="27"/>
      <c r="H14" s="27"/>
      <c r="I14" s="27"/>
      <c r="J14" s="27"/>
      <c r="K14" s="30" t="str">
        <f aca="false">IF(A14="","",IF(AND(G14="Pass",H14="Pass",I14="Pass",J14="Pass"),"PASS",IF(OR(G14="Fail",H14="Fail",I14="Fail",J14="Fail"),"FAIL","INCOMPLETE")))</f>
        <v/>
      </c>
      <c r="L14" s="27"/>
      <c r="M14" s="29"/>
      <c r="N14" s="27"/>
      <c r="O14" s="27"/>
      <c r="P14" s="27"/>
      <c r="Q14" s="27"/>
    </row>
    <row r="15" customFormat="false" ht="15" hidden="false" customHeight="false" outlineLevel="0" collapsed="false">
      <c r="A15" s="27"/>
      <c r="B15" s="28"/>
      <c r="C15" s="29"/>
      <c r="D15" s="27"/>
      <c r="E15" s="29"/>
      <c r="F15" s="27"/>
      <c r="G15" s="27"/>
      <c r="H15" s="27"/>
      <c r="I15" s="27"/>
      <c r="J15" s="27"/>
      <c r="K15" s="30" t="str">
        <f aca="false">IF(A15="","",IF(AND(G15="Pass",H15="Pass",I15="Pass",J15="Pass"),"PASS",IF(OR(G15="Fail",H15="Fail",I15="Fail",J15="Fail"),"FAIL","INCOMPLETE")))</f>
        <v/>
      </c>
      <c r="L15" s="27"/>
      <c r="M15" s="29"/>
      <c r="N15" s="27"/>
      <c r="O15" s="27"/>
      <c r="P15" s="27"/>
      <c r="Q15" s="27"/>
    </row>
    <row r="16" customFormat="false" ht="15" hidden="false" customHeight="false" outlineLevel="0" collapsed="false">
      <c r="A16" s="27"/>
      <c r="B16" s="28"/>
      <c r="C16" s="29"/>
      <c r="D16" s="27"/>
      <c r="E16" s="29"/>
      <c r="F16" s="27"/>
      <c r="G16" s="27"/>
      <c r="H16" s="27"/>
      <c r="I16" s="27"/>
      <c r="J16" s="27"/>
      <c r="K16" s="30" t="str">
        <f aca="false">IF(A16="","",IF(AND(G16="Pass",H16="Pass",I16="Pass",J16="Pass"),"PASS",IF(OR(G16="Fail",H16="Fail",I16="Fail",J16="Fail"),"FAIL","INCOMPLETE")))</f>
        <v/>
      </c>
      <c r="L16" s="27"/>
      <c r="M16" s="29"/>
      <c r="N16" s="27"/>
      <c r="O16" s="27"/>
      <c r="P16" s="27"/>
      <c r="Q16" s="27"/>
    </row>
    <row r="17" customFormat="false" ht="15" hidden="false" customHeight="false" outlineLevel="0" collapsed="false">
      <c r="A17" s="27"/>
      <c r="B17" s="28"/>
      <c r="C17" s="29"/>
      <c r="D17" s="27"/>
      <c r="E17" s="29"/>
      <c r="F17" s="27"/>
      <c r="G17" s="27"/>
      <c r="H17" s="27"/>
      <c r="I17" s="27"/>
      <c r="J17" s="27"/>
      <c r="K17" s="30" t="str">
        <f aca="false">IF(A17="","",IF(AND(G17="Pass",H17="Pass",I17="Pass",J17="Pass"),"PASS",IF(OR(G17="Fail",H17="Fail",I17="Fail",J17="Fail"),"FAIL","INCOMPLETE")))</f>
        <v/>
      </c>
      <c r="L17" s="27"/>
      <c r="M17" s="29"/>
      <c r="N17" s="27"/>
      <c r="O17" s="27"/>
      <c r="P17" s="27"/>
      <c r="Q17" s="27"/>
    </row>
    <row r="18" customFormat="false" ht="15" hidden="false" customHeight="false" outlineLevel="0" collapsed="false">
      <c r="A18" s="27"/>
      <c r="B18" s="28"/>
      <c r="C18" s="29"/>
      <c r="D18" s="27"/>
      <c r="E18" s="29"/>
      <c r="F18" s="27"/>
      <c r="G18" s="27"/>
      <c r="H18" s="27"/>
      <c r="I18" s="27"/>
      <c r="J18" s="27"/>
      <c r="K18" s="30" t="str">
        <f aca="false">IF(A18="","",IF(AND(G18="Pass",H18="Pass",I18="Pass",J18="Pass"),"PASS",IF(OR(G18="Fail",H18="Fail",I18="Fail",J18="Fail"),"FAIL","INCOMPLETE")))</f>
        <v/>
      </c>
      <c r="L18" s="27"/>
      <c r="M18" s="29"/>
      <c r="N18" s="27"/>
      <c r="O18" s="27"/>
      <c r="P18" s="27"/>
      <c r="Q18" s="27"/>
    </row>
    <row r="19" customFormat="false" ht="15" hidden="false" customHeight="false" outlineLevel="0" collapsed="false">
      <c r="A19" s="27"/>
      <c r="B19" s="28"/>
      <c r="C19" s="29"/>
      <c r="D19" s="27"/>
      <c r="E19" s="29"/>
      <c r="F19" s="27"/>
      <c r="G19" s="27"/>
      <c r="H19" s="27"/>
      <c r="I19" s="27"/>
      <c r="J19" s="27"/>
      <c r="K19" s="30" t="str">
        <f aca="false">IF(A19="","",IF(AND(G19="Pass",H19="Pass",I19="Pass",J19="Pass"),"PASS",IF(OR(G19="Fail",H19="Fail",I19="Fail",J19="Fail"),"FAIL","INCOMPLETE")))</f>
        <v/>
      </c>
      <c r="L19" s="27"/>
      <c r="M19" s="29"/>
      <c r="N19" s="27"/>
      <c r="O19" s="27"/>
      <c r="P19" s="27"/>
      <c r="Q19" s="27"/>
    </row>
    <row r="20" customFormat="false" ht="15" hidden="false" customHeight="false" outlineLevel="0" collapsed="false">
      <c r="A20" s="27"/>
      <c r="B20" s="28"/>
      <c r="C20" s="29"/>
      <c r="D20" s="27"/>
      <c r="E20" s="29"/>
      <c r="F20" s="27"/>
      <c r="G20" s="27"/>
      <c r="H20" s="27"/>
      <c r="I20" s="27"/>
      <c r="J20" s="27"/>
      <c r="K20" s="30" t="str">
        <f aca="false">IF(A20="","",IF(AND(G20="Pass",H20="Pass",I20="Pass",J20="Pass"),"PASS",IF(OR(G20="Fail",H20="Fail",I20="Fail",J20="Fail"),"FAIL","INCOMPLETE")))</f>
        <v/>
      </c>
      <c r="L20" s="27"/>
      <c r="M20" s="29"/>
      <c r="N20" s="27"/>
      <c r="O20" s="27"/>
      <c r="P20" s="27"/>
      <c r="Q20" s="27"/>
    </row>
    <row r="21" customFormat="false" ht="15" hidden="false" customHeight="false" outlineLevel="0" collapsed="false">
      <c r="A21" s="27"/>
      <c r="B21" s="28"/>
      <c r="C21" s="29"/>
      <c r="D21" s="27"/>
      <c r="E21" s="29"/>
      <c r="F21" s="27"/>
      <c r="G21" s="27"/>
      <c r="H21" s="27"/>
      <c r="I21" s="27"/>
      <c r="J21" s="27"/>
      <c r="K21" s="30" t="str">
        <f aca="false">IF(A21="","",IF(AND(G21="Pass",H21="Pass",I21="Pass",J21="Pass"),"PASS",IF(OR(G21="Fail",H21="Fail",I21="Fail",J21="Fail"),"FAIL","INCOMPLETE")))</f>
        <v/>
      </c>
      <c r="L21" s="27"/>
      <c r="M21" s="29"/>
      <c r="N21" s="27"/>
      <c r="O21" s="27"/>
      <c r="P21" s="27"/>
      <c r="Q21" s="27"/>
    </row>
    <row r="22" customFormat="false" ht="15" hidden="false" customHeight="false" outlineLevel="0" collapsed="false">
      <c r="A22" s="27"/>
      <c r="B22" s="28"/>
      <c r="C22" s="29"/>
      <c r="D22" s="27"/>
      <c r="E22" s="29"/>
      <c r="F22" s="27"/>
      <c r="G22" s="27"/>
      <c r="H22" s="27"/>
      <c r="I22" s="27"/>
      <c r="J22" s="27"/>
      <c r="K22" s="30" t="str">
        <f aca="false">IF(A22="","",IF(AND(G22="Pass",H22="Pass",I22="Pass",J22="Pass"),"PASS",IF(OR(G22="Fail",H22="Fail",I22="Fail",J22="Fail"),"FAIL","INCOMPLETE")))</f>
        <v/>
      </c>
      <c r="L22" s="27"/>
      <c r="M22" s="29"/>
      <c r="N22" s="27"/>
      <c r="O22" s="27"/>
      <c r="P22" s="27"/>
      <c r="Q22" s="27"/>
    </row>
    <row r="23" customFormat="false" ht="15" hidden="false" customHeight="false" outlineLevel="0" collapsed="false">
      <c r="A23" s="27"/>
      <c r="B23" s="28"/>
      <c r="C23" s="29"/>
      <c r="D23" s="27"/>
      <c r="E23" s="29"/>
      <c r="F23" s="27"/>
      <c r="G23" s="27"/>
      <c r="H23" s="27"/>
      <c r="I23" s="27"/>
      <c r="J23" s="27"/>
      <c r="K23" s="30" t="str">
        <f aca="false">IF(A23="","",IF(AND(G23="Pass",H23="Pass",I23="Pass",J23="Pass"),"PASS",IF(OR(G23="Fail",H23="Fail",I23="Fail",J23="Fail"),"FAIL","INCOMPLETE")))</f>
        <v/>
      </c>
      <c r="L23" s="27"/>
      <c r="M23" s="29"/>
      <c r="N23" s="27"/>
      <c r="O23" s="27"/>
      <c r="P23" s="27"/>
      <c r="Q23" s="27"/>
    </row>
    <row r="24" customFormat="false" ht="15" hidden="false" customHeight="false" outlineLevel="0" collapsed="false">
      <c r="A24" s="27"/>
      <c r="B24" s="28"/>
      <c r="C24" s="29"/>
      <c r="D24" s="27"/>
      <c r="E24" s="29"/>
      <c r="F24" s="27"/>
      <c r="G24" s="27"/>
      <c r="H24" s="27"/>
      <c r="I24" s="27"/>
      <c r="J24" s="27"/>
      <c r="K24" s="30" t="str">
        <f aca="false">IF(A24="","",IF(AND(G24="Pass",H24="Pass",I24="Pass",J24="Pass"),"PASS",IF(OR(G24="Fail",H24="Fail",I24="Fail",J24="Fail"),"FAIL","INCOMPLETE")))</f>
        <v/>
      </c>
      <c r="L24" s="27"/>
      <c r="M24" s="29"/>
      <c r="N24" s="27"/>
      <c r="O24" s="27"/>
      <c r="P24" s="27"/>
      <c r="Q24" s="27"/>
    </row>
    <row r="25" customFormat="false" ht="15" hidden="false" customHeight="false" outlineLevel="0" collapsed="false">
      <c r="A25" s="27"/>
      <c r="B25" s="28"/>
      <c r="C25" s="29"/>
      <c r="D25" s="27"/>
      <c r="E25" s="29"/>
      <c r="F25" s="27"/>
      <c r="G25" s="27"/>
      <c r="H25" s="27"/>
      <c r="I25" s="27"/>
      <c r="J25" s="27"/>
      <c r="K25" s="30" t="str">
        <f aca="false">IF(A25="","",IF(AND(G25="Pass",H25="Pass",I25="Pass",J25="Pass"),"PASS",IF(OR(G25="Fail",H25="Fail",I25="Fail",J25="Fail"),"FAIL","INCOMPLETE")))</f>
        <v/>
      </c>
      <c r="L25" s="27"/>
      <c r="M25" s="29"/>
      <c r="N25" s="27"/>
      <c r="O25" s="27"/>
      <c r="P25" s="27"/>
      <c r="Q25" s="27"/>
    </row>
    <row r="26" customFormat="false" ht="15" hidden="false" customHeight="false" outlineLevel="0" collapsed="false">
      <c r="A26" s="27"/>
      <c r="B26" s="28"/>
      <c r="C26" s="29"/>
      <c r="D26" s="27"/>
      <c r="E26" s="29"/>
      <c r="F26" s="27"/>
      <c r="G26" s="27"/>
      <c r="H26" s="27"/>
      <c r="I26" s="27"/>
      <c r="J26" s="27"/>
      <c r="K26" s="30" t="str">
        <f aca="false">IF(A26="","",IF(AND(G26="Pass",H26="Pass",I26="Pass",J26="Pass"),"PASS",IF(OR(G26="Fail",H26="Fail",I26="Fail",J26="Fail"),"FAIL","INCOMPLETE")))</f>
        <v/>
      </c>
      <c r="L26" s="27"/>
      <c r="M26" s="29"/>
      <c r="N26" s="27"/>
      <c r="O26" s="27"/>
      <c r="P26" s="27"/>
      <c r="Q26" s="27"/>
    </row>
    <row r="27" customFormat="false" ht="15" hidden="false" customHeight="false" outlineLevel="0" collapsed="false">
      <c r="A27" s="27"/>
      <c r="B27" s="28"/>
      <c r="C27" s="29"/>
      <c r="D27" s="27"/>
      <c r="E27" s="29"/>
      <c r="F27" s="27"/>
      <c r="G27" s="27"/>
      <c r="H27" s="27"/>
      <c r="I27" s="27"/>
      <c r="J27" s="27"/>
      <c r="K27" s="30" t="str">
        <f aca="false">IF(A27="","",IF(AND(G27="Pass",H27="Pass",I27="Pass",J27="Pass"),"PASS",IF(OR(G27="Fail",H27="Fail",I27="Fail",J27="Fail"),"FAIL","INCOMPLETE")))</f>
        <v/>
      </c>
      <c r="L27" s="27"/>
      <c r="M27" s="29"/>
      <c r="N27" s="27"/>
      <c r="O27" s="27"/>
      <c r="P27" s="27"/>
      <c r="Q27" s="27"/>
    </row>
    <row r="28" customFormat="false" ht="15" hidden="false" customHeight="false" outlineLevel="0" collapsed="false">
      <c r="A28" s="27"/>
      <c r="B28" s="28"/>
      <c r="C28" s="29"/>
      <c r="D28" s="27"/>
      <c r="E28" s="29"/>
      <c r="F28" s="27"/>
      <c r="G28" s="27"/>
      <c r="H28" s="27"/>
      <c r="I28" s="27"/>
      <c r="J28" s="27"/>
      <c r="K28" s="30" t="str">
        <f aca="false">IF(A28="","",IF(AND(G28="Pass",H28="Pass",I28="Pass",J28="Pass"),"PASS",IF(OR(G28="Fail",H28="Fail",I28="Fail",J28="Fail"),"FAIL","INCOMPLETE")))</f>
        <v/>
      </c>
      <c r="L28" s="27"/>
      <c r="M28" s="29"/>
      <c r="N28" s="27"/>
      <c r="O28" s="27"/>
      <c r="P28" s="27"/>
      <c r="Q28" s="27"/>
    </row>
    <row r="29" customFormat="false" ht="15" hidden="false" customHeight="false" outlineLevel="0" collapsed="false">
      <c r="A29" s="27"/>
      <c r="B29" s="28"/>
      <c r="C29" s="29"/>
      <c r="D29" s="27"/>
      <c r="E29" s="29"/>
      <c r="F29" s="27"/>
      <c r="G29" s="27"/>
      <c r="H29" s="27"/>
      <c r="I29" s="27"/>
      <c r="J29" s="27"/>
      <c r="K29" s="30" t="str">
        <f aca="false">IF(A29="","",IF(AND(G29="Pass",H29="Pass",I29="Pass",J29="Pass"),"PASS",IF(OR(G29="Fail",H29="Fail",I29="Fail",J29="Fail"),"FAIL","INCOMPLETE")))</f>
        <v/>
      </c>
      <c r="L29" s="27"/>
      <c r="M29" s="29"/>
      <c r="N29" s="27"/>
      <c r="O29" s="27"/>
      <c r="P29" s="27"/>
      <c r="Q29" s="27"/>
    </row>
    <row r="30" customFormat="false" ht="15" hidden="false" customHeight="false" outlineLevel="0" collapsed="false">
      <c r="A30" s="27"/>
      <c r="B30" s="28"/>
      <c r="C30" s="29"/>
      <c r="D30" s="27"/>
      <c r="E30" s="29"/>
      <c r="F30" s="27"/>
      <c r="G30" s="27"/>
      <c r="H30" s="27"/>
      <c r="I30" s="27"/>
      <c r="J30" s="27"/>
      <c r="K30" s="30" t="str">
        <f aca="false">IF(A30="","",IF(AND(G30="Pass",H30="Pass",I30="Pass",J30="Pass"),"PASS",IF(OR(G30="Fail",H30="Fail",I30="Fail",J30="Fail"),"FAIL","INCOMPLETE")))</f>
        <v/>
      </c>
      <c r="L30" s="27"/>
      <c r="M30" s="29"/>
      <c r="N30" s="27"/>
      <c r="O30" s="27"/>
      <c r="P30" s="27"/>
      <c r="Q30" s="27"/>
    </row>
    <row r="31" customFormat="false" ht="15" hidden="false" customHeight="false" outlineLevel="0" collapsed="false">
      <c r="A31" s="27"/>
      <c r="B31" s="28"/>
      <c r="C31" s="29"/>
      <c r="D31" s="27"/>
      <c r="E31" s="29"/>
      <c r="F31" s="27"/>
      <c r="G31" s="27"/>
      <c r="H31" s="27"/>
      <c r="I31" s="27"/>
      <c r="J31" s="27"/>
      <c r="K31" s="30" t="str">
        <f aca="false">IF(A31="","",IF(AND(G31="Pass",H31="Pass",I31="Pass",J31="Pass"),"PASS",IF(OR(G31="Fail",H31="Fail",I31="Fail",J31="Fail"),"FAIL","INCOMPLETE")))</f>
        <v/>
      </c>
      <c r="L31" s="27"/>
      <c r="M31" s="29"/>
      <c r="N31" s="27"/>
      <c r="O31" s="27"/>
      <c r="P31" s="27"/>
      <c r="Q31" s="27"/>
    </row>
    <row r="32" customFormat="false" ht="15" hidden="false" customHeight="false" outlineLevel="0" collapsed="false">
      <c r="A32" s="27"/>
      <c r="B32" s="28"/>
      <c r="C32" s="29"/>
      <c r="D32" s="27"/>
      <c r="E32" s="29"/>
      <c r="F32" s="27"/>
      <c r="G32" s="27"/>
      <c r="H32" s="27"/>
      <c r="I32" s="27"/>
      <c r="J32" s="27"/>
      <c r="K32" s="30" t="str">
        <f aca="false">IF(A32="","",IF(AND(G32="Pass",H32="Pass",I32="Pass",J32="Pass"),"PASS",IF(OR(G32="Fail",H32="Fail",I32="Fail",J32="Fail"),"FAIL","INCOMPLETE")))</f>
        <v/>
      </c>
      <c r="L32" s="27"/>
      <c r="M32" s="29"/>
      <c r="N32" s="27"/>
      <c r="O32" s="27"/>
      <c r="P32" s="27"/>
      <c r="Q32" s="27"/>
    </row>
    <row r="33" customFormat="false" ht="15" hidden="false" customHeight="false" outlineLevel="0" collapsed="false">
      <c r="A33" s="27"/>
      <c r="B33" s="28"/>
      <c r="C33" s="29"/>
      <c r="D33" s="27"/>
      <c r="E33" s="29"/>
      <c r="F33" s="27"/>
      <c r="G33" s="27"/>
      <c r="H33" s="27"/>
      <c r="I33" s="27"/>
      <c r="J33" s="27"/>
      <c r="K33" s="30" t="str">
        <f aca="false">IF(A33="","",IF(AND(G33="Pass",H33="Pass",I33="Pass",J33="Pass"),"PASS",IF(OR(G33="Fail",H33="Fail",I33="Fail",J33="Fail"),"FAIL","INCOMPLETE")))</f>
        <v/>
      </c>
      <c r="L33" s="27"/>
      <c r="M33" s="29"/>
      <c r="N33" s="27"/>
      <c r="O33" s="27"/>
      <c r="P33" s="27"/>
      <c r="Q33" s="27"/>
    </row>
    <row r="34" customFormat="false" ht="15" hidden="false" customHeight="false" outlineLevel="0" collapsed="false">
      <c r="A34" s="27"/>
      <c r="B34" s="28"/>
      <c r="C34" s="29"/>
      <c r="D34" s="27"/>
      <c r="E34" s="29"/>
      <c r="F34" s="27"/>
      <c r="G34" s="27"/>
      <c r="H34" s="27"/>
      <c r="I34" s="27"/>
      <c r="J34" s="27"/>
      <c r="K34" s="30" t="str">
        <f aca="false">IF(A34="","",IF(AND(G34="Pass",H34="Pass",I34="Pass",J34="Pass"),"PASS",IF(OR(G34="Fail",H34="Fail",I34="Fail",J34="Fail"),"FAIL","INCOMPLETE")))</f>
        <v/>
      </c>
      <c r="L34" s="27"/>
      <c r="M34" s="29"/>
      <c r="N34" s="27"/>
      <c r="O34" s="27"/>
      <c r="P34" s="27"/>
      <c r="Q34" s="27"/>
    </row>
    <row r="35" customFormat="false" ht="15" hidden="false" customHeight="false" outlineLevel="0" collapsed="false">
      <c r="A35" s="27"/>
      <c r="B35" s="28"/>
      <c r="C35" s="29"/>
      <c r="D35" s="27"/>
      <c r="E35" s="29"/>
      <c r="F35" s="27"/>
      <c r="G35" s="27"/>
      <c r="H35" s="27"/>
      <c r="I35" s="27"/>
      <c r="J35" s="27"/>
      <c r="K35" s="30" t="str">
        <f aca="false">IF(A35="","",IF(AND(G35="Pass",H35="Pass",I35="Pass",J35="Pass"),"PASS",IF(OR(G35="Fail",H35="Fail",I35="Fail",J35="Fail"),"FAIL","INCOMPLETE")))</f>
        <v/>
      </c>
      <c r="L35" s="27"/>
      <c r="M35" s="29"/>
      <c r="N35" s="27"/>
      <c r="O35" s="27"/>
      <c r="P35" s="27"/>
      <c r="Q35" s="27"/>
    </row>
    <row r="36" customFormat="false" ht="15" hidden="false" customHeight="false" outlineLevel="0" collapsed="false">
      <c r="A36" s="27"/>
      <c r="B36" s="28"/>
      <c r="C36" s="29"/>
      <c r="D36" s="27"/>
      <c r="E36" s="29"/>
      <c r="F36" s="27"/>
      <c r="G36" s="27"/>
      <c r="H36" s="27"/>
      <c r="I36" s="27"/>
      <c r="J36" s="27"/>
      <c r="K36" s="30" t="str">
        <f aca="false">IF(A36="","",IF(AND(G36="Pass",H36="Pass",I36="Pass",J36="Pass"),"PASS",IF(OR(G36="Fail",H36="Fail",I36="Fail",J36="Fail"),"FAIL","INCOMPLETE")))</f>
        <v/>
      </c>
      <c r="L36" s="27"/>
      <c r="M36" s="29"/>
      <c r="N36" s="27"/>
      <c r="O36" s="27"/>
      <c r="P36" s="27"/>
      <c r="Q36" s="27"/>
    </row>
    <row r="37" customFormat="false" ht="15" hidden="false" customHeight="false" outlineLevel="0" collapsed="false">
      <c r="A37" s="27"/>
      <c r="B37" s="28"/>
      <c r="C37" s="29"/>
      <c r="D37" s="27"/>
      <c r="E37" s="29"/>
      <c r="F37" s="27"/>
      <c r="G37" s="27"/>
      <c r="H37" s="27"/>
      <c r="I37" s="27"/>
      <c r="J37" s="27"/>
      <c r="K37" s="30" t="str">
        <f aca="false">IF(A37="","",IF(AND(G37="Pass",H37="Pass",I37="Pass",J37="Pass"),"PASS",IF(OR(G37="Fail",H37="Fail",I37="Fail",J37="Fail"),"FAIL","INCOMPLETE")))</f>
        <v/>
      </c>
      <c r="L37" s="27"/>
      <c r="M37" s="29"/>
      <c r="N37" s="27"/>
      <c r="O37" s="27"/>
      <c r="P37" s="27"/>
      <c r="Q37" s="27"/>
    </row>
    <row r="38" customFormat="false" ht="15" hidden="false" customHeight="false" outlineLevel="0" collapsed="false">
      <c r="A38" s="27"/>
      <c r="B38" s="28"/>
      <c r="C38" s="29"/>
      <c r="D38" s="27"/>
      <c r="E38" s="29"/>
      <c r="F38" s="27"/>
      <c r="G38" s="27"/>
      <c r="H38" s="27"/>
      <c r="I38" s="27"/>
      <c r="J38" s="27"/>
      <c r="K38" s="30" t="str">
        <f aca="false">IF(A38="","",IF(AND(G38="Pass",H38="Pass",I38="Pass",J38="Pass"),"PASS",IF(OR(G38="Fail",H38="Fail",I38="Fail",J38="Fail"),"FAIL","INCOMPLETE")))</f>
        <v/>
      </c>
      <c r="L38" s="27"/>
      <c r="M38" s="29"/>
      <c r="N38" s="27"/>
      <c r="O38" s="27"/>
      <c r="P38" s="27"/>
      <c r="Q38" s="27"/>
    </row>
    <row r="39" customFormat="false" ht="15" hidden="false" customHeight="false" outlineLevel="0" collapsed="false">
      <c r="A39" s="27"/>
      <c r="B39" s="28"/>
      <c r="C39" s="29"/>
      <c r="D39" s="27"/>
      <c r="E39" s="29"/>
      <c r="F39" s="27"/>
      <c r="G39" s="27"/>
      <c r="H39" s="27"/>
      <c r="I39" s="27"/>
      <c r="J39" s="27"/>
      <c r="K39" s="30" t="str">
        <f aca="false">IF(A39="","",IF(AND(G39="Pass",H39="Pass",I39="Pass",J39="Pass"),"PASS",IF(OR(G39="Fail",H39="Fail",I39="Fail",J39="Fail"),"FAIL","INCOMPLETE")))</f>
        <v/>
      </c>
      <c r="L39" s="27"/>
      <c r="M39" s="29"/>
      <c r="N39" s="27"/>
      <c r="O39" s="27"/>
      <c r="P39" s="27"/>
      <c r="Q39" s="27"/>
    </row>
    <row r="40" customFormat="false" ht="15" hidden="false" customHeight="false" outlineLevel="0" collapsed="false">
      <c r="A40" s="27"/>
      <c r="B40" s="28"/>
      <c r="C40" s="29"/>
      <c r="D40" s="27"/>
      <c r="E40" s="29"/>
      <c r="F40" s="27"/>
      <c r="G40" s="27"/>
      <c r="H40" s="27"/>
      <c r="I40" s="27"/>
      <c r="J40" s="27"/>
      <c r="K40" s="30" t="str">
        <f aca="false">IF(A40="","",IF(AND(G40="Pass",H40="Pass",I40="Pass",J40="Pass"),"PASS",IF(OR(G40="Fail",H40="Fail",I40="Fail",J40="Fail"),"FAIL","INCOMPLETE")))</f>
        <v/>
      </c>
      <c r="L40" s="27"/>
      <c r="M40" s="29"/>
      <c r="N40" s="27"/>
      <c r="O40" s="27"/>
      <c r="P40" s="27"/>
      <c r="Q40" s="27"/>
    </row>
    <row r="41" customFormat="false" ht="15" hidden="false" customHeight="false" outlineLevel="0" collapsed="false">
      <c r="A41" s="27"/>
      <c r="B41" s="28"/>
      <c r="C41" s="29"/>
      <c r="D41" s="27"/>
      <c r="E41" s="29"/>
      <c r="F41" s="27"/>
      <c r="G41" s="27"/>
      <c r="H41" s="27"/>
      <c r="I41" s="27"/>
      <c r="J41" s="27"/>
      <c r="K41" s="30" t="str">
        <f aca="false">IF(A41="","",IF(AND(G41="Pass",H41="Pass",I41="Pass",J41="Pass"),"PASS",IF(OR(G41="Fail",H41="Fail",I41="Fail",J41="Fail"),"FAIL","INCOMPLETE")))</f>
        <v/>
      </c>
      <c r="L41" s="27"/>
      <c r="M41" s="29"/>
      <c r="N41" s="27"/>
      <c r="O41" s="27"/>
      <c r="P41" s="27"/>
      <c r="Q41" s="27"/>
    </row>
    <row r="42" customFormat="false" ht="15" hidden="false" customHeight="false" outlineLevel="0" collapsed="false">
      <c r="A42" s="27"/>
      <c r="B42" s="28"/>
      <c r="C42" s="29"/>
      <c r="D42" s="27"/>
      <c r="E42" s="29"/>
      <c r="F42" s="27"/>
      <c r="G42" s="27"/>
      <c r="H42" s="27"/>
      <c r="I42" s="27"/>
      <c r="J42" s="27"/>
      <c r="K42" s="30" t="str">
        <f aca="false">IF(A42="","",IF(AND(G42="Pass",H42="Pass",I42="Pass",J42="Pass"),"PASS",IF(OR(G42="Fail",H42="Fail",I42="Fail",J42="Fail"),"FAIL","INCOMPLETE")))</f>
        <v/>
      </c>
      <c r="L42" s="27"/>
      <c r="M42" s="29"/>
      <c r="N42" s="27"/>
      <c r="O42" s="27"/>
      <c r="P42" s="27"/>
      <c r="Q42" s="27"/>
    </row>
    <row r="43" customFormat="false" ht="15" hidden="false" customHeight="false" outlineLevel="0" collapsed="false">
      <c r="A43" s="27"/>
      <c r="B43" s="28"/>
      <c r="C43" s="29"/>
      <c r="D43" s="27"/>
      <c r="E43" s="29"/>
      <c r="F43" s="27"/>
      <c r="G43" s="27"/>
      <c r="H43" s="27"/>
      <c r="I43" s="27"/>
      <c r="J43" s="27"/>
      <c r="K43" s="30" t="str">
        <f aca="false">IF(A43="","",IF(AND(G43="Pass",H43="Pass",I43="Pass",J43="Pass"),"PASS",IF(OR(G43="Fail",H43="Fail",I43="Fail",J43="Fail"),"FAIL","INCOMPLETE")))</f>
        <v/>
      </c>
      <c r="L43" s="27"/>
      <c r="M43" s="29"/>
      <c r="N43" s="27"/>
      <c r="O43" s="27"/>
      <c r="P43" s="27"/>
      <c r="Q43" s="27"/>
    </row>
    <row r="44" customFormat="false" ht="15" hidden="false" customHeight="false" outlineLevel="0" collapsed="false">
      <c r="A44" s="27"/>
      <c r="B44" s="28"/>
      <c r="C44" s="29"/>
      <c r="D44" s="27"/>
      <c r="E44" s="29"/>
      <c r="F44" s="27"/>
      <c r="G44" s="27"/>
      <c r="H44" s="27"/>
      <c r="I44" s="27"/>
      <c r="J44" s="27"/>
      <c r="K44" s="30" t="str">
        <f aca="false">IF(A44="","",IF(AND(G44="Pass",H44="Pass",I44="Pass",J44="Pass"),"PASS",IF(OR(G44="Fail",H44="Fail",I44="Fail",J44="Fail"),"FAIL","INCOMPLETE")))</f>
        <v/>
      </c>
      <c r="L44" s="27"/>
      <c r="M44" s="29"/>
      <c r="N44" s="27"/>
      <c r="O44" s="27"/>
      <c r="P44" s="27"/>
      <c r="Q44" s="27"/>
    </row>
    <row r="45" customFormat="false" ht="15" hidden="false" customHeight="false" outlineLevel="0" collapsed="false">
      <c r="A45" s="27"/>
      <c r="B45" s="28"/>
      <c r="C45" s="29"/>
      <c r="D45" s="27"/>
      <c r="E45" s="29"/>
      <c r="F45" s="27"/>
      <c r="G45" s="27"/>
      <c r="H45" s="27"/>
      <c r="I45" s="27"/>
      <c r="J45" s="27"/>
      <c r="K45" s="30" t="str">
        <f aca="false">IF(A45="","",IF(AND(G45="Pass",H45="Pass",I45="Pass",J45="Pass"),"PASS",IF(OR(G45="Fail",H45="Fail",I45="Fail",J45="Fail"),"FAIL","INCOMPLETE")))</f>
        <v/>
      </c>
      <c r="L45" s="27"/>
      <c r="M45" s="29"/>
      <c r="N45" s="27"/>
      <c r="O45" s="27"/>
      <c r="P45" s="27"/>
      <c r="Q45" s="27"/>
    </row>
    <row r="46" customFormat="false" ht="15" hidden="false" customHeight="false" outlineLevel="0" collapsed="false">
      <c r="A46" s="27"/>
      <c r="B46" s="28"/>
      <c r="C46" s="29"/>
      <c r="D46" s="27"/>
      <c r="E46" s="29"/>
      <c r="F46" s="27"/>
      <c r="G46" s="27"/>
      <c r="H46" s="27"/>
      <c r="I46" s="27"/>
      <c r="J46" s="27"/>
      <c r="K46" s="30" t="str">
        <f aca="false">IF(A46="","",IF(AND(G46="Pass",H46="Pass",I46="Pass",J46="Pass"),"PASS",IF(OR(G46="Fail",H46="Fail",I46="Fail",J46="Fail"),"FAIL","INCOMPLETE")))</f>
        <v/>
      </c>
      <c r="L46" s="27"/>
      <c r="M46" s="29"/>
      <c r="N46" s="27"/>
      <c r="O46" s="27"/>
      <c r="P46" s="27"/>
      <c r="Q46" s="27"/>
    </row>
    <row r="47" customFormat="false" ht="15" hidden="false" customHeight="false" outlineLevel="0" collapsed="false">
      <c r="A47" s="27"/>
      <c r="B47" s="28"/>
      <c r="C47" s="29"/>
      <c r="D47" s="27"/>
      <c r="E47" s="29"/>
      <c r="F47" s="27"/>
      <c r="G47" s="27"/>
      <c r="H47" s="27"/>
      <c r="I47" s="27"/>
      <c r="J47" s="27"/>
      <c r="K47" s="30" t="str">
        <f aca="false">IF(A47="","",IF(AND(G47="Pass",H47="Pass",I47="Pass",J47="Pass"),"PASS",IF(OR(G47="Fail",H47="Fail",I47="Fail",J47="Fail"),"FAIL","INCOMPLETE")))</f>
        <v/>
      </c>
      <c r="L47" s="27"/>
      <c r="M47" s="29"/>
      <c r="N47" s="27"/>
      <c r="O47" s="27"/>
      <c r="P47" s="27"/>
      <c r="Q47" s="27"/>
    </row>
    <row r="48" customFormat="false" ht="15" hidden="false" customHeight="false" outlineLevel="0" collapsed="false">
      <c r="A48" s="27"/>
      <c r="B48" s="28"/>
      <c r="C48" s="29"/>
      <c r="D48" s="27"/>
      <c r="E48" s="29"/>
      <c r="F48" s="27"/>
      <c r="G48" s="27"/>
      <c r="H48" s="27"/>
      <c r="I48" s="27"/>
      <c r="J48" s="27"/>
      <c r="K48" s="30" t="str">
        <f aca="false">IF(A48="","",IF(AND(G48="Pass",H48="Pass",I48="Pass",J48="Pass"),"PASS",IF(OR(G48="Fail",H48="Fail",I48="Fail",J48="Fail"),"FAIL","INCOMPLETE")))</f>
        <v/>
      </c>
      <c r="L48" s="27"/>
      <c r="M48" s="29"/>
      <c r="N48" s="27"/>
      <c r="O48" s="27"/>
      <c r="P48" s="27"/>
      <c r="Q48" s="27"/>
    </row>
  </sheetData>
  <autoFilter ref="A7:Q48"/>
  <mergeCells count="2">
    <mergeCell ref="A1:M1"/>
    <mergeCell ref="N6:Q6"/>
  </mergeCells>
  <conditionalFormatting sqref="K8:K48">
    <cfRule type="cellIs" priority="2" operator="equal" aboveAverage="0" equalAverage="0" bottom="0" percent="0" rank="0" text="" dxfId="7">
      <formula>"PASS"</formula>
    </cfRule>
    <cfRule type="cellIs" priority="3" operator="equal" aboveAverage="0" equalAverage="0" bottom="0" percent="0" rank="0" text="" dxfId="8">
      <formula>"FAIL"</formula>
    </cfRule>
    <cfRule type="cellIs" priority="4" operator="equal" aboveAverage="0" equalAverage="0" bottom="0" percent="0" rank="0" text="" dxfId="9">
      <formula>"INCOMPLETE"</formula>
    </cfRule>
  </conditionalFormatting>
  <conditionalFormatting sqref="G8:G48">
    <cfRule type="cellIs" priority="5" operator="equal" aboveAverage="0" equalAverage="0" bottom="0" percent="0" rank="0" text="" dxfId="10">
      <formula>"Pass"</formula>
    </cfRule>
    <cfRule type="cellIs" priority="6" operator="equal" aboveAverage="0" equalAverage="0" bottom="0" percent="0" rank="0" text="" dxfId="8">
      <formula>"Fail"</formula>
    </cfRule>
  </conditionalFormatting>
  <conditionalFormatting sqref="H8:H48">
    <cfRule type="cellIs" priority="7" operator="equal" aboveAverage="0" equalAverage="0" bottom="0" percent="0" rank="0" text="" dxfId="10">
      <formula>"Pass"</formula>
    </cfRule>
    <cfRule type="cellIs" priority="8" operator="equal" aboveAverage="0" equalAverage="0" bottom="0" percent="0" rank="0" text="" dxfId="8">
      <formula>"Fail"</formula>
    </cfRule>
  </conditionalFormatting>
  <conditionalFormatting sqref="I8:I48">
    <cfRule type="cellIs" priority="9" operator="equal" aboveAverage="0" equalAverage="0" bottom="0" percent="0" rank="0" text="" dxfId="10">
      <formula>"Pass"</formula>
    </cfRule>
    <cfRule type="cellIs" priority="10" operator="equal" aboveAverage="0" equalAverage="0" bottom="0" percent="0" rank="0" text="" dxfId="8">
      <formula>"Fail"</formula>
    </cfRule>
  </conditionalFormatting>
  <conditionalFormatting sqref="J8:J48">
    <cfRule type="cellIs" priority="11" operator="equal" aboveAverage="0" equalAverage="0" bottom="0" percent="0" rank="0" text="" dxfId="10">
      <formula>"Pass"</formula>
    </cfRule>
    <cfRule type="cellIs" priority="12" operator="equal" aboveAverage="0" equalAverage="0" bottom="0" percent="0" rank="0" text="" dxfId="8">
      <formula>"Fail"</formula>
    </cfRule>
  </conditionalFormatting>
  <dataValidations count="2">
    <dataValidation allowBlank="true" errorStyle="stop" operator="between" showDropDown="false" showErrorMessage="false" showInputMessage="false" sqref="G8:J48 O8:O48" type="list">
      <formula1>"Pass,Fail"</formula1>
      <formula2>0</formula2>
    </dataValidation>
    <dataValidation allowBlank="true" errorStyle="stop" operator="between" showDropDown="false" showErrorMessage="false" showInputMessage="false" sqref="Q8:Q48" type="list">
      <formula1>"OK,Tight,Congested — Review"</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&amp;CRebar Fixing Inspection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1" t="s">
        <v>89</v>
      </c>
    </row>
    <row r="2" customFormat="false" ht="15" hidden="false" customHeight="false" outlineLevel="0" collapsed="false">
      <c r="A2" s="31"/>
    </row>
    <row r="3" customFormat="false" ht="15" hidden="false" customHeight="false" outlineLevel="0" collapsed="false">
      <c r="A3" s="31" t="s">
        <v>90</v>
      </c>
    </row>
    <row r="4" customFormat="false" ht="15" hidden="false" customHeight="false" outlineLevel="0" collapsed="false">
      <c r="A4" s="31"/>
    </row>
    <row r="5" customFormat="false" ht="15" hidden="false" customHeight="false" outlineLevel="0" collapsed="false">
      <c r="A5" s="31" t="s">
        <v>91</v>
      </c>
    </row>
    <row r="6" customFormat="false" ht="15" hidden="false" customHeight="false" outlineLevel="0" collapsed="false">
      <c r="A6" s="31"/>
    </row>
    <row r="7" customFormat="false" ht="15" hidden="false" customHeight="false" outlineLevel="0" collapsed="false">
      <c r="A7" s="31" t="s">
        <v>92</v>
      </c>
    </row>
    <row r="8" customFormat="false" ht="15" hidden="false" customHeight="false" outlineLevel="0" collapsed="false">
      <c r="A8" s="31"/>
    </row>
    <row r="9" customFormat="false" ht="15" hidden="false" customHeight="false" outlineLevel="0" collapsed="false">
      <c r="A9" s="31" t="s">
        <v>93</v>
      </c>
    </row>
    <row r="10" customFormat="false" ht="15" hidden="false" customHeight="false" outlineLevel="0" collapsed="false">
      <c r="A10" s="31"/>
    </row>
    <row r="11" customFormat="false" ht="15" hidden="false" customHeight="false" outlineLevel="0" collapsed="false">
      <c r="A11" s="31" t="s">
        <v>94</v>
      </c>
    </row>
    <row r="12" customFormat="false" ht="15" hidden="false" customHeight="false" outlineLevel="0" collapsed="false">
      <c r="A12" s="31"/>
    </row>
    <row r="13" customFormat="false" ht="15" hidden="false" customHeight="false" outlineLevel="0" collapsed="false">
      <c r="A13" s="31" t="s">
        <v>95</v>
      </c>
    </row>
    <row r="14" customFormat="false" ht="15" hidden="false" customHeight="false" outlineLevel="0" collapsed="false">
      <c r="A14" s="31"/>
    </row>
    <row r="15" customFormat="false" ht="15" hidden="false" customHeight="false" outlineLevel="0" collapsed="false">
      <c r="A15" s="31" t="s">
        <v>96</v>
      </c>
    </row>
    <row r="16" customFormat="false" ht="15" hidden="false" customHeight="false" outlineLevel="0" collapsed="false">
      <c r="A16" s="31"/>
    </row>
    <row r="17" customFormat="false" ht="15" hidden="false" customHeight="false" outlineLevel="0" collapsed="false">
      <c r="A17" s="31"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Civils &amp; Groundworks</cp:category>
  <dcterms:created xsi:type="dcterms:W3CDTF">2026-03-23T13:38:39Z</dcterms:created>
  <dc:creator>Ebrora Ltd</dc:creator>
  <dc:description>Record reinforcement fixing inspections with bar size, spacing, cover, and lap length verification against design drawings.
Free professional construction management template from Ebrora Ltd. Visit ebrora.com for our full range of tools and templates.</dc:description>
  <cp:keywords>Ebrora construction civils rebar reinforcement inspection fixing concrete groundworks</cp:keywords>
  <dc:language>en-US</dc:language>
  <cp:lastModifiedBy>Ebrora Ltd</cp:lastModifiedBy>
  <dcterms:modified xsi:type="dcterms:W3CDTF">2026-03-23T13:38:39Z</dcterms:modified>
  <cp:revision>0</cp:revision>
  <dc:subject>Record reinforcement fixing inspections with bar size, spacing, cover, and lap length verification.</dc:subject>
  <dc:title>Rebar Fixing Inspection Log</dc:title>
</cp:coreProperties>
</file>

<file path=docProps/custom.xml><?xml version="1.0" encoding="utf-8"?>
<Properties xmlns="http://schemas.openxmlformats.org/officeDocument/2006/custom-properties" xmlns:vt="http://schemas.openxmlformats.org/officeDocument/2006/docPropsVTypes"/>
</file>