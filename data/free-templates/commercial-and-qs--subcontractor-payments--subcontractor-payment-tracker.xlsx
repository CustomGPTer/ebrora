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Payment Tracker"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Instructions!$A$1:$F$33</definedName>
    <definedName function="false" hidden="false" localSheetId="2" name="_xlnm.Print_Area" vbProcedure="false">'Payment Tracker'!$A$1:$M$64</definedName>
    <definedName function="false" hidden="true" localSheetId="2" name="_xlnm._FilterDatabase" vbProcedure="false">'Payment Tracker'!$A$13:$T$64</definedName>
    <definedName function="false" hidden="false" name="DueDays" vbProcedure="false">'Payment Tracker'!$M$4</definedName>
    <definedName function="false" hidden="false" name="FinalDays" vbProcedure="false">'Payment Tracker'!$M$5</definedName>
    <definedName function="false" hidden="false" name="PaymentData" vbProcedure="false">'Payment Tracker'!$A$13:$T$64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<sst xmlns="http://schemas.openxmlformats.org/spreadsheetml/2006/main" count="120" uniqueCount="118">
  <si>
    <t xml:space="preserve">EBRORA</t>
  </si>
  <si>
    <t xml:space="preserve">ebrora.com</t>
  </si>
  <si>
    <t xml:space="preserve">Subcontractor Payment Tracker</t>
  </si>
  <si>
    <t xml:space="preserve">Track subcontractor payment applications through the statutory</t>
  </si>
  <si>
    <t xml:space="preserve">payment cycle with automatic due dates and compliance monitoring.</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</si>
  <si>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</si>
  <si>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</si>
  <si>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</si>
  <si>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</si>
  <si>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</si>
  <si>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</si>
  <si>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'Payment Tracker' sheet. The top section shows two panels: a Payment Value Summary (left) and a Payment Compliance Monitor (right) tracking timely vs late payments.</t>
  </si>
  <si>
    <t xml:space="preserve">2.</t>
  </si>
  <si>
    <t xml:space="preserve">Each row tracks one subcontractor payment application. Enter the Application Ref, Subcontractor name, Application Date, and Applied Amount (£).</t>
  </si>
  <si>
    <t xml:space="preserve">3.</t>
  </si>
  <si>
    <t xml:space="preserve">The Due Date auto-calculates based on the Application Date + the payment cycle days (set in the contract terms box). Default: 7 days to Due Date. Adjust per your contract.</t>
  </si>
  <si>
    <t xml:space="preserve">4.</t>
  </si>
  <si>
    <t xml:space="preserve">Enter the Certified Amount once the QS has assessed the application. If a Pay Less Notice is issued, enter the Pay Less Amount. The Final Payment Due = Certified – Pay Less (or Certified if no Pay Less).</t>
  </si>
  <si>
    <t xml:space="preserve">5.</t>
  </si>
  <si>
    <t xml:space="preserve">When payment is made, enter the Date Paid. Days to Pay calculates automatically. Late Payment flags when Date Paid exceeds the Final Date for Payment.</t>
  </si>
  <si>
    <t xml:space="preserve">Construction Act Compliance</t>
  </si>
  <si>
    <t xml:space="preserve">Under the Housing Grants, Construction and Regeneration Act 1996 (as amended), every construction contract must provide:</t>
  </si>
  <si>
    <t xml:space="preserve">• An adequate mechanism for determining what payments become due and when (Due Date)</t>
  </si>
  <si>
    <t xml:space="preserve">• A final date for payment (typically 14–28 days after Due Date)</t>
  </si>
  <si>
    <t xml:space="preserve">• A payment notice within 5 days of Due Date</t>
  </si>
  <si>
    <t xml:space="preserve">• A pay less notice at least 7 days before Final Date for Payment</t>
  </si>
  <si>
    <t xml:space="preserve">This template auto-calculates these statutory dates. Adjust the cycle days in the contract terms box to match your subcontract conditions.</t>
  </si>
  <si>
    <t xml:space="preserve">Optional Fields</t>
  </si>
  <si>
    <t xml:space="preserve">6.</t>
  </si>
  <si>
    <t xml:space="preserve">Click [+] to expand: Subcontract Ref, Retention Held (£), CIS Deduction (£), Net Amount Paid (£), Payment Notice Date, Pay Less Notice Date, and Remittance Ref.</t>
  </si>
  <si>
    <t xml:space="preserve">Colour Key</t>
  </si>
  <si>
    <t xml:space="preserve">Light teal cells (#E8F6F7) — User input.</t>
  </si>
  <si>
    <t xml:space="preserve">Dark navy headers — Do not edit.</t>
  </si>
  <si>
    <t xml:space="preserve">Green — Paid on time, or Status = 'Paid'.</t>
  </si>
  <si>
    <t xml:space="preserve">Amber — Application certified, payment pending within terms.</t>
  </si>
  <si>
    <t xml:space="preserve">Red — Payment overdue (past Final Date), or late payment detected.</t>
  </si>
  <si>
    <t xml:space="preserve">Blue — Status = 'Applied' (awaiting certification).</t>
  </si>
  <si>
    <t xml:space="preserve">Tips</t>
  </si>
  <si>
    <t xml:space="preserve">Tip 1:</t>
  </si>
  <si>
    <t xml:space="preserve">Process every subcontractor application within the statutory timescales. Late payment under the Construction Act entitles the subcontractor to statutory interest at 8% above base rate, plus the right to suspend works.</t>
  </si>
  <si>
    <t xml:space="preserve">Tip 2:</t>
  </si>
  <si>
    <t xml:space="preserve">Always issue a formal Payment Notice even if you intend to pay the full applied amount. Failure to issue a notice means the applied amount becomes the notified sum by default.</t>
  </si>
  <si>
    <t xml:space="preserve">Tip 3:</t>
  </si>
  <si>
    <t xml:space="preserve">Use this tracker alongside your Invoice Tracker (Template 60) — this template focuses on the subcontract payment cycle, while the Invoice Tracker covers all project invoices including suppliers and consultants.</t>
  </si>
  <si>
    <t xml:space="preserve">SUBCONTRACTOR PAYMENT TRACKER — CONSTRUCTION ACT COMPLIANCE</t>
  </si>
  <si>
    <t xml:space="preserve">PAYMENT VALUE SUMMARY</t>
  </si>
  <si>
    <t xml:space="preserve">PAYMENT COMPLIANCE</t>
  </si>
  <si>
    <t xml:space="preserve">CONTRACT TERMS</t>
  </si>
  <si>
    <t xml:space="preserve">Total Applied (£)</t>
  </si>
  <si>
    <t xml:space="preserve">Total Applications</t>
  </si>
  <si>
    <t xml:space="preserve">Due Date (days after application):</t>
  </si>
  <si>
    <t xml:space="preserve">Total Certified (£)</t>
  </si>
  <si>
    <t xml:space="preserve">Paid on Time</t>
  </si>
  <si>
    <t xml:space="preserve">Final Date for Payment (days after due):</t>
  </si>
  <si>
    <t xml:space="preserve">Total Paid (£)</t>
  </si>
  <si>
    <t xml:space="preserve">Paid Late</t>
  </si>
  <si>
    <t xml:space="preserve">Outstanding (£)</t>
  </si>
  <si>
    <t xml:space="preserve">Payment Overdue</t>
  </si>
  <si>
    <t xml:space="preserve">Avg Days to Pay</t>
  </si>
  <si>
    <t xml:space="preserve">Housing Grants, Construction and Regeneration Act 1996 (as amended 2011)  |  Due Date + Final Date for Payment = statutory payment cycle  |  Failure to pay = right to suspend + statutory interest</t>
  </si>
  <si>
    <t xml:space="preserve">▸ Optional Fields — Click [+] to expand</t>
  </si>
  <si>
    <t xml:space="preserve">APPLICATION DETAILS</t>
  </si>
  <si>
    <t xml:space="preserve">STATUTORY PAYMENT CYCLE</t>
  </si>
  <si>
    <t xml:space="preserve">PAYMENT &amp; STATUS</t>
  </si>
  <si>
    <t xml:space="preserve">App Ref</t>
  </si>
  <si>
    <t xml:space="preserve">Subcontractor</t>
  </si>
  <si>
    <t xml:space="preserve">Application
Date</t>
  </si>
  <si>
    <t xml:space="preserve">Applied
Amount (£)</t>
  </si>
  <si>
    <t xml:space="preserve">Due Date</t>
  </si>
  <si>
    <t xml:space="preserve">Certified
Amount (£)</t>
  </si>
  <si>
    <t xml:space="preserve">Pay Less
Amount (£)</t>
  </si>
  <si>
    <t xml:space="preserve">Final Payment
Due (£)</t>
  </si>
  <si>
    <t xml:space="preserve">Final Date
for Payment</t>
  </si>
  <si>
    <t xml:space="preserve">Date Paid</t>
  </si>
  <si>
    <t xml:space="preserve">Days to
Pay</t>
  </si>
  <si>
    <t xml:space="preserve">Status</t>
  </si>
  <si>
    <t xml:space="preserve">Notes</t>
  </si>
  <si>
    <t xml:space="preserve">Subcontract
Ref</t>
  </si>
  <si>
    <t xml:space="preserve">Retention
Held (£)</t>
  </si>
  <si>
    <t xml:space="preserve">CIS
Deduction (£)</t>
  </si>
  <si>
    <t xml:space="preserve">Net Amount
Paid (£)</t>
  </si>
  <si>
    <t xml:space="preserve">Payment
Notice Date</t>
  </si>
  <si>
    <t xml:space="preserve">Pay Less
Notice Date</t>
  </si>
  <si>
    <t xml:space="preserve">Remittance
Ref</t>
  </si>
  <si>
    <t xml:space="preserve">SPA-001</t>
  </si>
  <si>
    <t xml:space="preserve">Murphy Ground Engineering</t>
  </si>
  <si>
    <t xml:space="preserve">Paid</t>
  </si>
  <si>
    <t xml:space="preserve">Paid in full less retention</t>
  </si>
  <si>
    <t xml:space="preserve">SC-001</t>
  </si>
  <si>
    <t xml:space="preserve">REM-0891</t>
  </si>
  <si>
    <t xml:space="preserve">SPA-002</t>
  </si>
  <si>
    <t xml:space="preserve">Severfield UK Ltd</t>
  </si>
  <si>
    <t xml:space="preserve">Pay less notice issued for prelim overlap</t>
  </si>
  <si>
    <t xml:space="preserve">SC-002</t>
  </si>
  <si>
    <t xml:space="preserve">REM-0923</t>
  </si>
  <si>
    <t xml:space="preserve">SPA-003</t>
  </si>
  <si>
    <t xml:space="preserve">Kawneer UK</t>
  </si>
  <si>
    <t xml:space="preserve">SC-003</t>
  </si>
  <si>
    <t xml:space="preserve">REM-0958</t>
  </si>
  <si>
    <t xml:space="preserve">SPA-004</t>
  </si>
  <si>
    <t xml:space="preserve">McCann Electrical Ltd</t>
  </si>
  <si>
    <t xml:space="preserve">Certified</t>
  </si>
  <si>
    <t xml:space="preserve">Certified 02/02. Payment run 15/02.</t>
  </si>
  <si>
    <t xml:space="preserve">SC-004</t>
  </si>
  <si>
    <t xml:space="preserve">SPA-005</t>
  </si>
  <si>
    <t xml:space="preserve">Wates Interiors</t>
  </si>
  <si>
    <t xml:space="preserve">Applied</t>
  </si>
  <si>
    <t xml:space="preserve">Under QS review. Due for certification this week.</t>
  </si>
  <si>
    <t xml:space="preserve">SC-006</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</si>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</sst>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0"/>
    <numFmt numFmtId="166" formatCode="General"/>
    <numFmt numFmtId="167" formatCode="dd/mm/yyyy"/>
    <numFmt numFmtId="168" formatCode="0"/>
  </numFmts>
  <fonts count="20">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b val="true"/>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1"/>
      <color rgb="FFFFFFFF"/>
      <name val="Calibri"/>
      <family val="0"/>
      <charset val="1"/>
    </font>
    <font>
      <b val="true"/>
      <sz val="10"/>
      <color rgb="FFFFFFFF"/>
      <name val="Calibri"/>
      <family val="0"/>
      <charset val="1"/>
    </font>
    <font>
      <b val="true"/>
      <sz val="12"/>
      <color rgb="FF1B2A4A"/>
      <name val="Calibri"/>
      <family val="0"/>
      <charset val="1"/>
    </font>
    <font>
      <sz val="9"/>
      <color rgb="FF1B2A4A"/>
      <name val="Calibri"/>
      <family val="0"/>
      <charset val="1"/>
    </font>
    <font>
      <i val="true"/>
      <sz val="9"/>
      <color rgb="FF2AABB3"/>
      <name val="Calibri"/>
      <family val="0"/>
      <charset val="1"/>
    </font>
    <font>
      <b val="true"/>
      <sz val="9"/>
      <color rgb="FF2AABB3"/>
      <name val="Calibri"/>
      <family val="0"/>
      <charset val="1"/>
    </font>
  </fonts>
  <fills count="9">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F2F2F2"/>
        <bgColor rgb="FFE8F6F7"/>
      </patternFill>
    </fill>
    <fill>
      <patternFill patternType="solid">
        <fgColor rgb="FFC6EFCE"/>
        <bgColor rgb="FFCCFFFF"/>
      </patternFill>
    </fill>
    <fill>
      <patternFill patternType="solid">
        <fgColor rgb="FFFFC7CE"/>
        <bgColor rgb="FFFFEB9C"/>
      </patternFill>
    </fill>
    <fill>
      <patternFill patternType="solid">
        <fgColor rgb="FFFFEB9C"/>
        <bgColor rgb="FFF2F2F2"/>
      </patternFill>
    </fill>
  </fills>
  <borders count="4">
    <border diagonalUp="false" diagonalDown="false">
      <left/>
      <right/>
      <top/>
      <bottom/>
      <diagonal/>
    </border>
    <border diagonalUp="false" diagonalDown="false">
      <left style="thin">
        <color rgb="FF2AABB3"/>
      </left>
      <right style="thin">
        <color rgb="FF2AABB3"/>
      </right>
      <top style="thin">
        <color rgb="FF2AABB3"/>
      </top>
      <bottom style="thin">
        <color rgb="FF2AABB3"/>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5" fillId="2" borderId="0" xfId="0" applyFont="true" applyBorder="true" applyAlignment="true" applyProtection="false">
      <alignment horizontal="center" vertical="center" textRotation="0" wrapText="true" indent="0" shrinkToFit="false"/>
      <protection locked="true" hidden="false"/>
    </xf>
    <xf numFmtId="164" fontId="12" fillId="5" borderId="2" xfId="0" applyFont="true" applyBorder="true" applyAlignment="true" applyProtection="false">
      <alignment horizontal="left" vertical="center" textRotation="0" wrapText="true" indent="0" shrinkToFit="false"/>
      <protection locked="true" hidden="false"/>
    </xf>
    <xf numFmtId="165" fontId="16" fillId="3" borderId="2" xfId="0" applyFont="true" applyBorder="true" applyAlignment="true" applyProtection="false">
      <alignment horizontal="right" vertical="center" textRotation="0" wrapText="true" indent="0" shrinkToFit="false"/>
      <protection locked="true" hidden="false"/>
    </xf>
    <xf numFmtId="166" fontId="16" fillId="3" borderId="2" xfId="0" applyFont="true" applyBorder="true" applyAlignment="true" applyProtection="false">
      <alignment horizontal="center" vertical="center" textRotation="0" wrapText="true" indent="0" shrinkToFit="false"/>
      <protection locked="true" hidden="false"/>
    </xf>
    <xf numFmtId="164" fontId="17" fillId="5" borderId="2" xfId="0" applyFont="true" applyBorder="true" applyAlignment="true" applyProtection="false">
      <alignment horizontal="right"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left" vertical="center" textRotation="0" wrapText="true" indent="0" shrinkToFit="false"/>
      <protection locked="true" hidden="false"/>
    </xf>
    <xf numFmtId="164" fontId="12" fillId="7" borderId="2" xfId="0" applyFont="true" applyBorder="true" applyAlignment="true" applyProtection="false">
      <alignment horizontal="left" vertical="center" textRotation="0" wrapText="true" indent="0" shrinkToFit="false"/>
      <protection locked="true" hidden="false"/>
    </xf>
    <xf numFmtId="164" fontId="12" fillId="8" borderId="2" xfId="0" applyFont="true" applyBorder="true" applyAlignment="true" applyProtection="false">
      <alignment horizontal="left" vertical="center" textRotation="0" wrapText="true" indent="0" shrinkToFit="false"/>
      <protection locked="true" hidden="false"/>
    </xf>
    <xf numFmtId="164" fontId="18" fillId="4" borderId="0" xfId="0" applyFont="true" applyBorder="true" applyAlignment="true" applyProtection="false">
      <alignment horizontal="left" vertical="center" textRotation="0" wrapText="tru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18" fillId="0" borderId="3"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true" applyAlignment="true" applyProtection="false">
      <alignment horizontal="center" vertical="center" textRotation="0" wrapText="tru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4" fontId="13" fillId="4" borderId="2" xfId="0" applyFont="true" applyBorder="true" applyAlignment="true" applyProtection="false">
      <alignment horizontal="center" vertical="center" textRotation="0" wrapText="true" indent="0" shrinkToFit="false"/>
      <protection locked="true" hidden="false"/>
    </xf>
    <xf numFmtId="164" fontId="13" fillId="4" borderId="2" xfId="0" applyFont="true" applyBorder="true" applyAlignment="true" applyProtection="false">
      <alignment horizontal="left" vertical="center" textRotation="0" wrapText="true" indent="0" shrinkToFit="false"/>
      <protection locked="true" hidden="false"/>
    </xf>
    <xf numFmtId="167" fontId="13" fillId="4" borderId="2" xfId="0" applyFont="true" applyBorder="true" applyAlignment="true" applyProtection="false">
      <alignment horizontal="center" vertical="center" textRotation="0" wrapText="true" indent="0" shrinkToFit="false"/>
      <protection locked="true" hidden="false"/>
    </xf>
    <xf numFmtId="165" fontId="13" fillId="4" borderId="2" xfId="0" applyFont="true" applyBorder="true" applyAlignment="true" applyProtection="false">
      <alignment horizontal="right" vertical="center" textRotation="0" wrapText="true" indent="0" shrinkToFit="false"/>
      <protection locked="true" hidden="false"/>
    </xf>
    <xf numFmtId="167" fontId="13" fillId="3" borderId="2" xfId="0" applyFont="true" applyBorder="true" applyAlignment="true" applyProtection="false">
      <alignment horizontal="center" vertical="center" textRotation="0" wrapText="true" indent="0" shrinkToFit="false"/>
      <protection locked="true" hidden="false"/>
    </xf>
    <xf numFmtId="165" fontId="13" fillId="3" borderId="2" xfId="0" applyFont="true" applyBorder="true" applyAlignment="true" applyProtection="false">
      <alignment horizontal="right" vertical="center" textRotation="0" wrapText="true" indent="0" shrinkToFit="false"/>
      <protection locked="true" hidden="false"/>
    </xf>
    <xf numFmtId="168" fontId="13" fillId="3" borderId="2"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BDD7EE"/>
          <bgColor rgb="FF000000"/>
        </patternFill>
      </fill>
    </dxf>
    <dxf>
      <fill>
        <patternFill patternType="solid">
          <fgColor rgb="FFC6EFCE"/>
          <bgColor rgb="FF000000"/>
        </patternFill>
      </fill>
    </dxf>
    <dxf>
      <fill>
        <patternFill>
          <bgColor rgb="FFBDD7EE"/>
        </patternFill>
      </fill>
    </dxf>
    <dxf>
      <fill>
        <patternFill>
          <bgColor rgb="FFFFEB9C"/>
        </patternFill>
      </fill>
    </dxf>
    <dxf>
      <fill>
        <patternFill>
          <bgColor rgb="FFC6EFCE"/>
        </patternFill>
      </fill>
    </dxf>
    <dxf>
      <fill>
        <patternFill>
          <bgColor rgb="FFFFC7CE"/>
        </patternFill>
      </fill>
    </dxf>
    <dxf>
      <fill>
        <patternFill>
          <bgColor rgb="FFF2F2F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1" width="14"/>
  </cols>
  <sheetData>
    <row r="1" customFormat="false" ht="15" hidden="false" customHeight="true" outlineLevel="0" collapsed="false">
      <c r="A1" s="2"/>
      <c r="B1" s="2"/>
      <c r="C1" s="2"/>
      <c r="D1" s="2"/>
      <c r="E1" s="2"/>
      <c r="F1" s="2"/>
      <c r="G1" s="2"/>
      <c r="H1" s="2"/>
    </row>
    <row r="2" customFormat="false" ht="45" hidden="false" customHeight="true" outlineLevel="0" collapsed="false">
      <c r="A2" s="3" t="s">
        <v>0</v>
      </c>
      <c r="B2" s="3"/>
      <c r="C2" s="3"/>
      <c r="D2" s="3"/>
      <c r="E2" s="3"/>
      <c r="F2" s="3"/>
      <c r="G2" s="3"/>
      <c r="H2" s="3"/>
    </row>
    <row r="3" customFormat="false" ht="15" hidden="false" customHeight="true" outlineLevel="0" collapsed="false">
      <c r="A3" s="2"/>
      <c r="B3" s="2"/>
      <c r="C3" s="2"/>
      <c r="D3" s="2"/>
      <c r="E3" s="2"/>
      <c r="F3" s="2"/>
      <c r="G3" s="2"/>
      <c r="H3" s="2"/>
    </row>
    <row r="4" customFormat="false" ht="15" hidden="false" customHeight="true" outlineLevel="0" collapsed="false">
      <c r="A4" s="4" t="s">
        <v>1</v>
      </c>
      <c r="B4" s="4"/>
      <c r="C4" s="4"/>
      <c r="D4" s="4"/>
      <c r="E4" s="4"/>
      <c r="F4" s="4"/>
      <c r="G4" s="4"/>
      <c r="H4" s="4"/>
    </row>
    <row r="5" customFormat="false" ht="15" hidden="false" customHeight="true" outlineLevel="0" collapsed="false">
      <c r="A5" s="5"/>
      <c r="B5" s="5"/>
      <c r="C5" s="5"/>
      <c r="D5" s="5"/>
      <c r="E5" s="5"/>
      <c r="F5" s="5"/>
      <c r="G5" s="5"/>
      <c r="H5" s="5"/>
    </row>
    <row r="6" customFormat="false" ht="15" hidden="false" customHeight="true" outlineLevel="0" collapsed="false">
      <c r="A6" s="2"/>
      <c r="B6" s="2"/>
      <c r="C6" s="2"/>
      <c r="D6" s="2"/>
      <c r="E6" s="2"/>
      <c r="F6" s="2"/>
      <c r="G6" s="2"/>
      <c r="H6" s="2"/>
    </row>
    <row r="7" customFormat="false" ht="34.5" hidden="false" customHeight="true" outlineLevel="0" collapsed="false">
      <c r="A7" s="6" t="s">
        <v>2</v>
      </c>
      <c r="B7" s="6"/>
      <c r="C7" s="6"/>
      <c r="D7" s="6"/>
      <c r="E7" s="6"/>
      <c r="F7" s="6"/>
      <c r="G7" s="6"/>
      <c r="H7" s="6"/>
    </row>
    <row r="8" customFormat="false" ht="15" hidden="false" customHeight="true" outlineLevel="0" collapsed="false">
      <c r="A8" s="2"/>
      <c r="B8" s="2"/>
      <c r="C8" s="2"/>
      <c r="D8" s="2"/>
      <c r="E8" s="2"/>
      <c r="F8" s="2"/>
      <c r="G8" s="2"/>
      <c r="H8" s="2"/>
    </row>
    <row r="9" customFormat="false" ht="15" hidden="false" customHeight="true" outlineLevel="0" collapsed="false">
      <c r="A9" s="5"/>
      <c r="B9" s="5"/>
      <c r="C9" s="5"/>
      <c r="D9" s="5"/>
      <c r="E9" s="5"/>
      <c r="F9" s="5"/>
      <c r="G9" s="5"/>
      <c r="H9" s="5"/>
    </row>
    <row r="10" customFormat="false" ht="15" hidden="false" customHeight="true" outlineLevel="0" collapsed="false">
      <c r="A10" s="7" t="s">
        <v>3</v>
      </c>
      <c r="B10" s="7"/>
      <c r="C10" s="7"/>
      <c r="D10" s="7"/>
      <c r="E10" s="7"/>
      <c r="F10" s="7"/>
      <c r="G10" s="7"/>
      <c r="H10" s="7"/>
    </row>
    <row r="11" customFormat="false" ht="15" hidden="false" customHeight="true" outlineLevel="0" collapsed="false">
      <c r="A11" s="7" t="s">
        <v>4</v>
      </c>
      <c r="B11" s="7"/>
      <c r="C11" s="7"/>
      <c r="D11" s="7"/>
      <c r="E11" s="7"/>
      <c r="F11" s="7"/>
      <c r="G11" s="7"/>
      <c r="H11" s="7"/>
    </row>
    <row r="12" customFormat="false" ht="15" hidden="false" customHeight="true" outlineLevel="0" collapsed="false">
      <c r="A12" s="5"/>
      <c r="B12" s="5"/>
      <c r="C12" s="5"/>
      <c r="D12" s="5"/>
      <c r="E12" s="5"/>
      <c r="F12" s="5"/>
      <c r="G12" s="5"/>
      <c r="H12" s="5"/>
    </row>
    <row r="13" customFormat="false" ht="15" hidden="false" customHeight="true" outlineLevel="0" collapsed="false">
      <c r="A13" s="5"/>
      <c r="B13" s="5"/>
      <c r="C13" s="5"/>
      <c r="D13" s="5"/>
      <c r="E13" s="5"/>
      <c r="F13" s="5"/>
      <c r="G13" s="5"/>
      <c r="H13" s="5"/>
    </row>
    <row r="14" customFormat="false" ht="15" hidden="false" customHeight="true" outlineLevel="0" collapsed="false">
      <c r="A14" s="8"/>
      <c r="B14" s="8"/>
      <c r="C14" s="8"/>
      <c r="D14" s="8"/>
      <c r="E14" s="8"/>
      <c r="F14" s="8"/>
      <c r="G14" s="8"/>
      <c r="H14" s="8"/>
    </row>
    <row r="15" customFormat="false" ht="15" hidden="false" customHeight="true" outlineLevel="0" collapsed="false">
      <c r="A15" s="9" t="s">
        <v>5</v>
      </c>
      <c r="B15" s="9"/>
      <c r="C15" s="9"/>
      <c r="D15" s="9"/>
      <c r="E15" s="9"/>
      <c r="F15" s="9"/>
      <c r="G15" s="9"/>
      <c r="H15" s="9"/>
    </row>
    <row r="16" customFormat="false" ht="15" hidden="false" customHeight="true" outlineLevel="0" collapsed="false">
      <c r="A16" s="9" t="s">
        <v>6</v>
      </c>
      <c r="B16" s="9"/>
      <c r="C16" s="9"/>
      <c r="D16" s="9"/>
      <c r="E16" s="9"/>
      <c r="F16" s="9"/>
      <c r="G16" s="9"/>
      <c r="H16" s="9"/>
    </row>
    <row r="17" customFormat="false" ht="15" hidden="false" customHeight="true" outlineLevel="0" collapsed="false">
      <c r="A17" s="8"/>
      <c r="B17" s="8"/>
      <c r="C17" s="8"/>
      <c r="D17" s="8"/>
      <c r="E17" s="8"/>
      <c r="F17" s="8"/>
      <c r="G17" s="8"/>
      <c r="H17" s="8"/>
    </row>
    <row r="18" customFormat="false" ht="15" hidden="false" customHeight="true" outlineLevel="0" collapsed="false">
      <c r="A18" s="5"/>
      <c r="B18" s="5"/>
      <c r="C18" s="5"/>
      <c r="D18" s="5"/>
      <c r="E18" s="5"/>
      <c r="F18" s="5"/>
      <c r="G18" s="5"/>
      <c r="H18" s="5"/>
    </row>
    <row r="19" customFormat="false" ht="15" hidden="false" customHeight="true" outlineLevel="0" collapsed="false">
      <c r="A19" s="10" t="s">
        <v>7</v>
      </c>
      <c r="B19" s="10"/>
      <c r="C19" s="10"/>
      <c r="D19" s="10"/>
      <c r="E19" s="10"/>
      <c r="F19" s="10"/>
      <c r="G19" s="10"/>
      <c r="H19" s="10"/>
    </row>
    <row r="20" customFormat="false" ht="15" hidden="false" customHeight="true" outlineLevel="0" collapsed="false">
      <c r="A20" s="5"/>
      <c r="B20" s="5"/>
      <c r="C20" s="5"/>
      <c r="D20" s="5"/>
      <c r="E20" s="5"/>
      <c r="F20" s="5"/>
      <c r="G20" s="5"/>
      <c r="H20" s="5"/>
    </row>
    <row r="21" customFormat="false" ht="15" hidden="false" customHeight="true" outlineLevel="0" collapsed="false">
      <c r="A21" s="5"/>
      <c r="B21" s="5"/>
      <c r="C21" s="5"/>
      <c r="D21" s="5"/>
      <c r="E21" s="5"/>
      <c r="F21" s="5"/>
      <c r="G21" s="5"/>
      <c r="H21" s="5"/>
    </row>
    <row r="22" customFormat="false" ht="15" hidden="false" customHeight="true" outlineLevel="0" collapsed="false">
      <c r="A22" s="5"/>
      <c r="B22" s="5"/>
      <c r="C22" s="5"/>
      <c r="D22" s="5"/>
      <c r="E22" s="5"/>
      <c r="F22" s="5"/>
      <c r="G22" s="5"/>
      <c r="H22" s="5"/>
    </row>
    <row r="23" customFormat="false" ht="15" hidden="false" customHeight="true" outlineLevel="0" collapsed="false">
      <c r="A23" s="5"/>
      <c r="B23" s="5"/>
      <c r="C23" s="5"/>
      <c r="D23" s="5"/>
      <c r="E23" s="5"/>
      <c r="F23" s="5"/>
      <c r="G23" s="5"/>
      <c r="H23" s="5"/>
    </row>
    <row r="24" customFormat="false" ht="15" hidden="false" customHeight="true" outlineLevel="0" collapsed="false">
      <c r="A24" s="5"/>
      <c r="B24" s="5"/>
      <c r="C24" s="5"/>
      <c r="D24" s="5"/>
      <c r="E24" s="5"/>
      <c r="F24" s="5"/>
      <c r="G24" s="5"/>
      <c r="H24" s="5"/>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6" min="2" style="1" width="18"/>
  </cols>
  <sheetData>
    <row r="1" customFormat="false" ht="18" hidden="false" customHeight="true" outlineLevel="0" collapsed="false">
      <c r="A1" s="11" t="s">
        <v>8</v>
      </c>
      <c r="B1" s="11"/>
      <c r="C1" s="11"/>
      <c r="D1" s="11"/>
      <c r="E1" s="11"/>
      <c r="F1" s="11"/>
    </row>
    <row r="3" customFormat="false" ht="15" hidden="false" customHeight="true" outlineLevel="0" collapsed="false">
      <c r="A3" s="12" t="s">
        <v>9</v>
      </c>
      <c r="B3" s="12"/>
      <c r="C3" s="12"/>
      <c r="D3" s="12"/>
      <c r="E3" s="12"/>
      <c r="F3" s="12"/>
    </row>
    <row r="4" customFormat="false" ht="23.25" hidden="false" customHeight="true" outlineLevel="0" collapsed="false">
      <c r="A4" s="13" t="s">
        <v>10</v>
      </c>
      <c r="B4" s="14" t="s">
        <v>11</v>
      </c>
      <c r="C4" s="14"/>
      <c r="D4" s="14"/>
      <c r="E4" s="14"/>
      <c r="F4" s="14"/>
    </row>
    <row r="5" customFormat="false" ht="23.25" hidden="false" customHeight="true" outlineLevel="0" collapsed="false">
      <c r="A5" s="13" t="s">
        <v>12</v>
      </c>
      <c r="B5" s="14" t="s">
        <v>13</v>
      </c>
      <c r="C5" s="14"/>
      <c r="D5" s="14"/>
      <c r="E5" s="14"/>
      <c r="F5" s="14"/>
    </row>
    <row r="6" customFormat="false" ht="23.25" hidden="false" customHeight="true" outlineLevel="0" collapsed="false">
      <c r="A6" s="13" t="s">
        <v>14</v>
      </c>
      <c r="B6" s="14" t="s">
        <v>15</v>
      </c>
      <c r="C6" s="14"/>
      <c r="D6" s="14"/>
      <c r="E6" s="14"/>
      <c r="F6" s="14"/>
    </row>
    <row r="7" customFormat="false" ht="23.25" hidden="false" customHeight="true" outlineLevel="0" collapsed="false">
      <c r="A7" s="13" t="s">
        <v>16</v>
      </c>
      <c r="B7" s="14" t="s">
        <v>17</v>
      </c>
      <c r="C7" s="14"/>
      <c r="D7" s="14"/>
      <c r="E7" s="14"/>
      <c r="F7" s="14"/>
    </row>
    <row r="8" customFormat="false" ht="23.25" hidden="false" customHeight="true" outlineLevel="0" collapsed="false">
      <c r="A8" s="13" t="s">
        <v>18</v>
      </c>
      <c r="B8" s="14" t="s">
        <v>19</v>
      </c>
      <c r="C8" s="14"/>
      <c r="D8" s="14"/>
      <c r="E8" s="14"/>
      <c r="F8" s="14"/>
    </row>
    <row r="10" customFormat="false" ht="15" hidden="false" customHeight="true" outlineLevel="0" collapsed="false">
      <c r="A10" s="12" t="s">
        <v>20</v>
      </c>
      <c r="B10" s="12"/>
      <c r="C10" s="12"/>
      <c r="D10" s="12"/>
      <c r="E10" s="12"/>
      <c r="F10" s="12"/>
    </row>
    <row r="11" customFormat="false" ht="15" hidden="false" customHeight="true" outlineLevel="0" collapsed="false">
      <c r="A11" s="15" t="s">
        <v>21</v>
      </c>
      <c r="B11" s="15"/>
      <c r="C11" s="15"/>
      <c r="D11" s="15"/>
      <c r="E11" s="15"/>
      <c r="F11" s="15"/>
    </row>
    <row r="12" customFormat="false" ht="15" hidden="false" customHeight="true" outlineLevel="0" collapsed="false">
      <c r="A12" s="15" t="s">
        <v>22</v>
      </c>
      <c r="B12" s="15"/>
      <c r="C12" s="15"/>
      <c r="D12" s="15"/>
      <c r="E12" s="15"/>
      <c r="F12" s="15"/>
    </row>
    <row r="13" customFormat="false" ht="15" hidden="false" customHeight="true" outlineLevel="0" collapsed="false">
      <c r="A13" s="15" t="s">
        <v>23</v>
      </c>
      <c r="B13" s="15"/>
      <c r="C13" s="15"/>
      <c r="D13" s="15"/>
      <c r="E13" s="15"/>
      <c r="F13" s="15"/>
    </row>
    <row r="14" customFormat="false" ht="15" hidden="false" customHeight="true" outlineLevel="0" collapsed="false">
      <c r="A14" s="15" t="s">
        <v>24</v>
      </c>
      <c r="B14" s="15"/>
      <c r="C14" s="15"/>
      <c r="D14" s="15"/>
      <c r="E14" s="15"/>
      <c r="F14" s="15"/>
    </row>
    <row r="15" customFormat="false" ht="15" hidden="false" customHeight="true" outlineLevel="0" collapsed="false">
      <c r="A15" s="15" t="s">
        <v>25</v>
      </c>
      <c r="B15" s="15"/>
      <c r="C15" s="15"/>
      <c r="D15" s="15"/>
      <c r="E15" s="15"/>
      <c r="F15" s="15"/>
    </row>
    <row r="16" customFormat="false" ht="23.25" hidden="false" customHeight="true" outlineLevel="0" collapsed="false">
      <c r="A16" s="15" t="s">
        <v>26</v>
      </c>
      <c r="B16" s="15"/>
      <c r="C16" s="15"/>
      <c r="D16" s="15"/>
      <c r="E16" s="15"/>
      <c r="F16" s="15"/>
    </row>
    <row r="18" customFormat="false" ht="15" hidden="false" customHeight="true" outlineLevel="0" collapsed="false">
      <c r="A18" s="12" t="s">
        <v>27</v>
      </c>
      <c r="B18" s="12"/>
      <c r="C18" s="12"/>
      <c r="D18" s="12"/>
      <c r="E18" s="12"/>
      <c r="F18" s="12"/>
    </row>
    <row r="19" customFormat="false" ht="23.25" hidden="false" customHeight="true" outlineLevel="0" collapsed="false">
      <c r="A19" s="13" t="s">
        <v>28</v>
      </c>
      <c r="B19" s="14" t="s">
        <v>29</v>
      </c>
      <c r="C19" s="14"/>
      <c r="D19" s="14"/>
      <c r="E19" s="14"/>
      <c r="F19" s="14"/>
    </row>
    <row r="21" customFormat="false" ht="15" hidden="false" customHeight="true" outlineLevel="0" collapsed="false">
      <c r="A21" s="12" t="s">
        <v>30</v>
      </c>
      <c r="B21" s="12"/>
      <c r="C21" s="12"/>
      <c r="D21" s="12"/>
      <c r="E21" s="12"/>
      <c r="F21" s="12"/>
    </row>
    <row r="22" customFormat="false" ht="15" hidden="false" customHeight="true" outlineLevel="0" collapsed="false">
      <c r="A22" s="15" t="s">
        <v>31</v>
      </c>
      <c r="B22" s="15"/>
      <c r="C22" s="15"/>
      <c r="D22" s="15"/>
      <c r="E22" s="15"/>
      <c r="F22" s="15"/>
    </row>
    <row r="23" customFormat="false" ht="15" hidden="false" customHeight="true" outlineLevel="0" collapsed="false">
      <c r="A23" s="15" t="s">
        <v>32</v>
      </c>
      <c r="B23" s="15"/>
      <c r="C23" s="15"/>
      <c r="D23" s="15"/>
      <c r="E23" s="15"/>
      <c r="F23" s="15"/>
    </row>
    <row r="24" customFormat="false" ht="15" hidden="false" customHeight="true" outlineLevel="0" collapsed="false">
      <c r="A24" s="15" t="s">
        <v>33</v>
      </c>
      <c r="B24" s="15"/>
      <c r="C24" s="15"/>
      <c r="D24" s="15"/>
      <c r="E24" s="15"/>
      <c r="F24" s="15"/>
    </row>
    <row r="25" customFormat="false" ht="15" hidden="false" customHeight="true" outlineLevel="0" collapsed="false">
      <c r="A25" s="15" t="s">
        <v>34</v>
      </c>
      <c r="B25" s="15"/>
      <c r="C25" s="15"/>
      <c r="D25" s="15"/>
      <c r="E25" s="15"/>
      <c r="F25" s="15"/>
    </row>
    <row r="26" customFormat="false" ht="15" hidden="false" customHeight="true" outlineLevel="0" collapsed="false">
      <c r="A26" s="15" t="s">
        <v>35</v>
      </c>
      <c r="B26" s="15"/>
      <c r="C26" s="15"/>
      <c r="D26" s="15"/>
      <c r="E26" s="15"/>
      <c r="F26" s="15"/>
    </row>
    <row r="27" customFormat="false" ht="15" hidden="false" customHeight="true" outlineLevel="0" collapsed="false">
      <c r="A27" s="15" t="s">
        <v>36</v>
      </c>
      <c r="B27" s="15"/>
      <c r="C27" s="15"/>
      <c r="D27" s="15"/>
      <c r="E27" s="15"/>
      <c r="F27" s="15"/>
    </row>
    <row r="29" customFormat="false" ht="15" hidden="false" customHeight="true" outlineLevel="0" collapsed="false">
      <c r="A29" s="12" t="s">
        <v>37</v>
      </c>
      <c r="B29" s="12"/>
      <c r="C29" s="12"/>
      <c r="D29" s="12"/>
      <c r="E29" s="12"/>
      <c r="F29" s="12"/>
    </row>
    <row r="30" customFormat="false" ht="23.25" hidden="false" customHeight="true" outlineLevel="0" collapsed="false">
      <c r="A30" s="13" t="s">
        <v>38</v>
      </c>
      <c r="B30" s="14" t="s">
        <v>39</v>
      </c>
      <c r="C30" s="14"/>
      <c r="D30" s="14"/>
      <c r="E30" s="14"/>
      <c r="F30" s="14"/>
    </row>
    <row r="31" customFormat="false" ht="23.25" hidden="false" customHeight="true" outlineLevel="0" collapsed="false">
      <c r="A31" s="13" t="s">
        <v>40</v>
      </c>
      <c r="B31" s="14" t="s">
        <v>41</v>
      </c>
      <c r="C31" s="14"/>
      <c r="D31" s="14"/>
      <c r="E31" s="14"/>
      <c r="F31" s="14"/>
    </row>
    <row r="32" customFormat="false" ht="23.25" hidden="false" customHeight="true" outlineLevel="0" collapsed="false">
      <c r="A32" s="13" t="s">
        <v>42</v>
      </c>
      <c r="B32" s="14" t="s">
        <v>43</v>
      </c>
      <c r="C32" s="14"/>
      <c r="D32" s="14"/>
      <c r="E32" s="14"/>
      <c r="F32" s="14"/>
    </row>
  </sheetData>
  <mergeCells count="27">
    <mergeCell ref="A1:F1"/>
    <mergeCell ref="A3:F3"/>
    <mergeCell ref="B4:F4"/>
    <mergeCell ref="B5:F5"/>
    <mergeCell ref="B6:F6"/>
    <mergeCell ref="B7:F7"/>
    <mergeCell ref="B8:F8"/>
    <mergeCell ref="A10:F10"/>
    <mergeCell ref="A11:F11"/>
    <mergeCell ref="A12:F12"/>
    <mergeCell ref="A13:F13"/>
    <mergeCell ref="A14:F14"/>
    <mergeCell ref="A15:F15"/>
    <mergeCell ref="A16:F16"/>
    <mergeCell ref="A18:F18"/>
    <mergeCell ref="B19:F19"/>
    <mergeCell ref="A21:F21"/>
    <mergeCell ref="A22:F22"/>
    <mergeCell ref="A23:F23"/>
    <mergeCell ref="A24:F24"/>
    <mergeCell ref="A25:F25"/>
    <mergeCell ref="A26:F26"/>
    <mergeCell ref="A27:F27"/>
    <mergeCell ref="A29:F29"/>
    <mergeCell ref="B30:F30"/>
    <mergeCell ref="B31:F31"/>
    <mergeCell ref="B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3" topLeftCell="C14" activePane="bottomRight" state="frozen"/>
      <selection pane="topLeft" activeCell="A1" activeCellId="0" sqref="A1"/>
      <selection pane="topRight" activeCell="C1" activeCellId="0" sqref="C1"/>
      <selection pane="bottomLeft" activeCell="A14" activeCellId="0" sqref="A14"/>
      <selection pane="bottomRight" activeCell="A1" activeCellId="0" sqref="A1"/>
    </sheetView>
  </sheetViews>
  <sheetFormatPr defaultColWidth="8.6796875" defaultRowHeight="15" zeroHeight="false" outlineLevelRow="0" outlineLevelCol="1"/>
  <cols>
    <col collapsed="false" customWidth="true" hidden="false" outlineLevel="0" max="1" min="1" style="1" width="10"/>
    <col collapsed="false" customWidth="true" hidden="false" outlineLevel="0" max="2" min="2" style="1" width="26"/>
    <col collapsed="false" customWidth="true" hidden="false" outlineLevel="0" max="3" min="3" style="1" width="12"/>
    <col collapsed="false" customWidth="true" hidden="false" outlineLevel="0" max="4" min="4" style="1" width="14"/>
    <col collapsed="false" customWidth="true" hidden="false" outlineLevel="0" max="5" min="5" style="1" width="11"/>
    <col collapsed="false" customWidth="true" hidden="false" outlineLevel="0" max="6" min="6" style="1" width="14"/>
    <col collapsed="false" customWidth="true" hidden="false" outlineLevel="0" max="7" min="7" style="1" width="13"/>
    <col collapsed="false" customWidth="true" hidden="false" outlineLevel="0" max="8" min="8" style="1" width="14"/>
    <col collapsed="false" customWidth="true" hidden="false" outlineLevel="0" max="9" min="9" style="1" width="12"/>
    <col collapsed="false" customWidth="true" hidden="false" outlineLevel="0" max="10" min="10" style="1" width="11"/>
    <col collapsed="false" customWidth="true" hidden="false" outlineLevel="0" max="11" min="11" style="1" width="9"/>
    <col collapsed="false" customWidth="true" hidden="false" outlineLevel="0" max="12" min="12" style="1" width="13"/>
    <col collapsed="false" customWidth="true" hidden="false" outlineLevel="0" max="13" min="13" style="1" width="28"/>
    <col collapsed="false" customWidth="true" hidden="true" outlineLevel="1" max="20" min="14" style="1" width="12"/>
  </cols>
  <sheetData>
    <row r="1" customFormat="false" ht="15" hidden="false" customHeight="true" outlineLevel="0" collapsed="false">
      <c r="A1" s="16" t="s">
        <v>44</v>
      </c>
      <c r="B1" s="16"/>
      <c r="C1" s="16"/>
      <c r="D1" s="16"/>
      <c r="E1" s="16"/>
      <c r="F1" s="16"/>
      <c r="G1" s="16"/>
      <c r="H1" s="16"/>
      <c r="I1" s="16"/>
      <c r="J1" s="16"/>
      <c r="K1" s="16"/>
      <c r="L1" s="16"/>
      <c r="M1" s="16"/>
      <c r="N1" s="16"/>
      <c r="O1" s="16"/>
      <c r="P1" s="16"/>
      <c r="Q1" s="16"/>
      <c r="R1" s="16"/>
      <c r="S1" s="16"/>
      <c r="T1" s="16"/>
    </row>
    <row r="3" customFormat="false" ht="15" hidden="false" customHeight="true" outlineLevel="0" collapsed="false">
      <c r="A3" s="16" t="s">
        <v>45</v>
      </c>
      <c r="B3" s="16"/>
      <c r="C3" s="16"/>
      <c r="D3" s="16"/>
      <c r="F3" s="16" t="s">
        <v>46</v>
      </c>
      <c r="G3" s="16"/>
      <c r="H3" s="16"/>
      <c r="I3" s="16"/>
      <c r="J3" s="17" t="s">
        <v>47</v>
      </c>
      <c r="K3" s="17"/>
    </row>
    <row r="4" customFormat="false" ht="15" hidden="false" customHeight="true" outlineLevel="0" collapsed="false">
      <c r="A4" s="18" t="s">
        <v>48</v>
      </c>
      <c r="B4" s="18"/>
      <c r="C4" s="19" t="n">
        <f aca="false">SUM(D14:D64)</f>
        <v>645000</v>
      </c>
      <c r="D4" s="19"/>
      <c r="F4" s="18" t="s">
        <v>49</v>
      </c>
      <c r="G4" s="18"/>
      <c r="H4" s="20" t="n">
        <f aca="false">COUNTA(A14:A64)</f>
        <v>5</v>
      </c>
      <c r="I4" s="20"/>
      <c r="J4" s="21" t="s">
        <v>50</v>
      </c>
      <c r="K4" s="21"/>
      <c r="L4" s="21"/>
      <c r="M4" s="22" t="n">
        <v>7</v>
      </c>
    </row>
    <row r="5" customFormat="false" ht="15" hidden="false" customHeight="true" outlineLevel="0" collapsed="false">
      <c r="A5" s="18" t="s">
        <v>51</v>
      </c>
      <c r="B5" s="18"/>
      <c r="C5" s="19" t="n">
        <f aca="false">SUM(F14:F64)</f>
        <v>569500</v>
      </c>
      <c r="D5" s="19"/>
      <c r="F5" s="23" t="s">
        <v>52</v>
      </c>
      <c r="G5" s="23"/>
      <c r="H5" s="20" t="n">
        <f aca="false">COUNTIFS(L14:L64,"Paid",K14:K64,"&lt;="&amp;M$4+M$5)</f>
        <v>2</v>
      </c>
      <c r="I5" s="20"/>
      <c r="J5" s="21" t="s">
        <v>53</v>
      </c>
      <c r="K5" s="21"/>
      <c r="L5" s="21"/>
      <c r="M5" s="22" t="n">
        <v>21</v>
      </c>
    </row>
    <row r="6" customFormat="false" ht="15" hidden="false" customHeight="true" outlineLevel="0" collapsed="false">
      <c r="A6" s="18" t="s">
        <v>54</v>
      </c>
      <c r="B6" s="18"/>
      <c r="C6" s="19" t="n">
        <f aca="false">SUMIFS(H14:H64,L14:L64,"Paid")</f>
        <v>469500</v>
      </c>
      <c r="D6" s="19"/>
      <c r="F6" s="24" t="s">
        <v>55</v>
      </c>
      <c r="G6" s="24"/>
      <c r="H6" s="20" t="n">
        <f aca="false">COUNTIFS(L14:L64,"Paid",K14:K64,"&gt;"&amp;M$4+M$5)</f>
        <v>1</v>
      </c>
      <c r="I6" s="20"/>
    </row>
    <row r="7" customFormat="false" ht="15" hidden="false" customHeight="true" outlineLevel="0" collapsed="false">
      <c r="A7" s="25" t="s">
        <v>56</v>
      </c>
      <c r="B7" s="25"/>
      <c r="C7" s="19" t="n">
        <f aca="false">C5-C6</f>
        <v>100000</v>
      </c>
      <c r="D7" s="19"/>
      <c r="F7" s="24" t="s">
        <v>57</v>
      </c>
      <c r="G7" s="24"/>
      <c r="H7" s="20" t="n">
        <f aca="true">COUNTIFS(L14:L64,"&lt;&gt;Paid",L14:L64,"&lt;&gt;",I14:I64,"&lt;"&amp;TODAY(),I14:I64,"&lt;&gt;")</f>
        <v>1</v>
      </c>
      <c r="I7" s="20"/>
    </row>
    <row r="8" customFormat="false" ht="15" hidden="false" customHeight="true" outlineLevel="0" collapsed="false">
      <c r="F8" s="18" t="s">
        <v>58</v>
      </c>
      <c r="G8" s="18"/>
      <c r="H8" s="20" t="n">
        <f aca="false">IFERROR(AVERAGEIFS(K14:K64,K14:K64,"&gt;0"),"—")</f>
        <v>27</v>
      </c>
      <c r="I8" s="20"/>
    </row>
    <row r="10" customFormat="false" ht="15" hidden="false" customHeight="true" outlineLevel="0" collapsed="false">
      <c r="A10" s="26" t="s">
        <v>59</v>
      </c>
      <c r="B10" s="26"/>
      <c r="C10" s="26"/>
      <c r="D10" s="26"/>
      <c r="E10" s="26"/>
      <c r="F10" s="26"/>
      <c r="G10" s="26"/>
      <c r="H10" s="26"/>
      <c r="I10" s="26"/>
      <c r="J10" s="26"/>
      <c r="K10" s="26"/>
      <c r="L10" s="26"/>
      <c r="M10" s="26"/>
      <c r="N10" s="26"/>
      <c r="O10" s="26"/>
      <c r="P10" s="26"/>
      <c r="Q10" s="26"/>
      <c r="R10" s="26"/>
      <c r="S10" s="26"/>
      <c r="T10" s="26"/>
    </row>
    <row r="11" customFormat="false" ht="32.25" hidden="false" customHeight="true" outlineLevel="0" collapsed="false">
      <c r="A11" s="27"/>
      <c r="B11" s="27"/>
      <c r="C11" s="27"/>
      <c r="D11" s="27"/>
      <c r="E11" s="27"/>
      <c r="F11" s="27"/>
      <c r="G11" s="27"/>
      <c r="H11" s="27"/>
      <c r="I11" s="27"/>
      <c r="J11" s="27"/>
      <c r="K11" s="27"/>
      <c r="L11" s="27"/>
      <c r="M11" s="27"/>
      <c r="N11" s="28" t="s">
        <v>60</v>
      </c>
      <c r="O11" s="28"/>
      <c r="P11" s="28"/>
      <c r="Q11" s="28"/>
      <c r="R11" s="28"/>
      <c r="S11" s="28"/>
      <c r="T11" s="28"/>
    </row>
    <row r="12" customFormat="false" ht="15" hidden="false" customHeight="true" outlineLevel="0" collapsed="false">
      <c r="A12" s="29" t="s">
        <v>61</v>
      </c>
      <c r="B12" s="29"/>
      <c r="C12" s="29"/>
      <c r="D12" s="29"/>
      <c r="E12" s="29" t="s">
        <v>62</v>
      </c>
      <c r="F12" s="29"/>
      <c r="G12" s="29"/>
      <c r="H12" s="29"/>
      <c r="I12" s="29"/>
      <c r="J12" s="29" t="s">
        <v>63</v>
      </c>
      <c r="K12" s="29"/>
      <c r="L12" s="29"/>
    </row>
    <row r="13" customFormat="false" ht="41.25" hidden="false" customHeight="true" outlineLevel="0" collapsed="false">
      <c r="A13" s="30" t="s">
        <v>64</v>
      </c>
      <c r="B13" s="30" t="s">
        <v>65</v>
      </c>
      <c r="C13" s="30" t="s">
        <v>66</v>
      </c>
      <c r="D13" s="30" t="s">
        <v>67</v>
      </c>
      <c r="E13" s="30" t="s">
        <v>68</v>
      </c>
      <c r="F13" s="30" t="s">
        <v>69</v>
      </c>
      <c r="G13" s="30" t="s">
        <v>70</v>
      </c>
      <c r="H13" s="30" t="s">
        <v>71</v>
      </c>
      <c r="I13" s="30" t="s">
        <v>72</v>
      </c>
      <c r="J13" s="30" t="s">
        <v>73</v>
      </c>
      <c r="K13" s="30" t="s">
        <v>74</v>
      </c>
      <c r="L13" s="30" t="s">
        <v>75</v>
      </c>
      <c r="M13" s="30" t="s">
        <v>76</v>
      </c>
      <c r="N13" s="30" t="s">
        <v>77</v>
      </c>
      <c r="O13" s="30" t="s">
        <v>78</v>
      </c>
      <c r="P13" s="30" t="s">
        <v>79</v>
      </c>
      <c r="Q13" s="30" t="s">
        <v>80</v>
      </c>
      <c r="R13" s="30" t="s">
        <v>81</v>
      </c>
      <c r="S13" s="30" t="s">
        <v>82</v>
      </c>
      <c r="T13" s="30" t="s">
        <v>83</v>
      </c>
    </row>
    <row r="14" customFormat="false" ht="15" hidden="false" customHeight="true" outlineLevel="0" collapsed="false">
      <c r="A14" s="31" t="s">
        <v>84</v>
      </c>
      <c r="B14" s="32" t="s">
        <v>85</v>
      </c>
      <c r="C14" s="33" t="n">
        <v>45894</v>
      </c>
      <c r="D14" s="34" t="n">
        <v>142000</v>
      </c>
      <c r="E14" s="35" t="n">
        <f aca="false">IF(C14&lt;&gt;"",C14+$M$4,"")</f>
        <v>45901</v>
      </c>
      <c r="F14" s="34" t="n">
        <v>138500</v>
      </c>
      <c r="G14" s="34" t="n">
        <v>0</v>
      </c>
      <c r="H14" s="36" t="n">
        <f aca="false">IF(F14&lt;&gt;"",IF(G14&lt;&gt;"",F14-G14,F14),"")</f>
        <v>138500</v>
      </c>
      <c r="I14" s="35" t="n">
        <f aca="false">IF(E14&lt;&gt;"",E14+$M$5,"")</f>
        <v>45922</v>
      </c>
      <c r="J14" s="33" t="n">
        <v>45922</v>
      </c>
      <c r="K14" s="37" t="n">
        <f aca="false">IF(AND(C14&lt;&gt;"",J14&lt;&gt;""),J14-C14,"")</f>
        <v>28</v>
      </c>
      <c r="L14" s="31" t="s">
        <v>86</v>
      </c>
      <c r="M14" s="32" t="s">
        <v>87</v>
      </c>
      <c r="N14" s="31" t="s">
        <v>88</v>
      </c>
      <c r="O14" s="34" t="n">
        <v>6925</v>
      </c>
      <c r="P14" s="34" t="n">
        <v>0</v>
      </c>
      <c r="Q14" s="36" t="n">
        <f aca="false">IF(AND(H14&lt;&gt;"",L14="Paid"),H14-O14-P14,"")</f>
        <v>131575</v>
      </c>
      <c r="R14" s="33" t="n">
        <v>45902</v>
      </c>
      <c r="S14" s="33"/>
      <c r="T14" s="31" t="s">
        <v>89</v>
      </c>
    </row>
    <row r="15" customFormat="false" ht="23.25" hidden="false" customHeight="true" outlineLevel="0" collapsed="false">
      <c r="A15" s="31" t="s">
        <v>90</v>
      </c>
      <c r="B15" s="32" t="s">
        <v>91</v>
      </c>
      <c r="C15" s="33" t="n">
        <v>45930</v>
      </c>
      <c r="D15" s="34" t="n">
        <v>285000</v>
      </c>
      <c r="E15" s="35" t="n">
        <f aca="false">IF(C15&lt;&gt;"",C15+$M$4,"")</f>
        <v>45937</v>
      </c>
      <c r="F15" s="34" t="n">
        <v>278000</v>
      </c>
      <c r="G15" s="34" t="n">
        <v>12000</v>
      </c>
      <c r="H15" s="36" t="n">
        <f aca="false">IF(F15&lt;&gt;"",IF(G15&lt;&gt;"",F15-G15,F15),"")</f>
        <v>266000</v>
      </c>
      <c r="I15" s="35" t="n">
        <f aca="false">IF(E15&lt;&gt;"",E15+$M$5,"")</f>
        <v>45958</v>
      </c>
      <c r="J15" s="33" t="n">
        <v>45959</v>
      </c>
      <c r="K15" s="37" t="n">
        <f aca="false">IF(AND(C15&lt;&gt;"",J15&lt;&gt;""),J15-C15,"")</f>
        <v>29</v>
      </c>
      <c r="L15" s="31" t="s">
        <v>86</v>
      </c>
      <c r="M15" s="32" t="s">
        <v>92</v>
      </c>
      <c r="N15" s="31" t="s">
        <v>93</v>
      </c>
      <c r="O15" s="34" t="n">
        <v>13300</v>
      </c>
      <c r="P15" s="34" t="n">
        <v>0</v>
      </c>
      <c r="Q15" s="36" t="n">
        <f aca="false">IF(AND(H15&lt;&gt;"",L15="Paid"),H15-O15-P15,"")</f>
        <v>252700</v>
      </c>
      <c r="R15" s="33" t="n">
        <v>45938</v>
      </c>
      <c r="S15" s="33" t="n">
        <v>45945</v>
      </c>
      <c r="T15" s="31" t="s">
        <v>94</v>
      </c>
    </row>
    <row r="16" customFormat="false" ht="15" hidden="false" customHeight="true" outlineLevel="0" collapsed="false">
      <c r="A16" s="31" t="s">
        <v>95</v>
      </c>
      <c r="B16" s="32" t="s">
        <v>96</v>
      </c>
      <c r="C16" s="33" t="n">
        <v>45989</v>
      </c>
      <c r="D16" s="34" t="n">
        <v>68500</v>
      </c>
      <c r="E16" s="35" t="n">
        <f aca="false">IF(C16&lt;&gt;"",C16+$M$4,"")</f>
        <v>45996</v>
      </c>
      <c r="F16" s="34" t="n">
        <v>65000</v>
      </c>
      <c r="G16" s="34" t="n">
        <v>0</v>
      </c>
      <c r="H16" s="36" t="n">
        <f aca="false">IF(F16&lt;&gt;"",IF(G16&lt;&gt;"",F16-G16,F16),"")</f>
        <v>65000</v>
      </c>
      <c r="I16" s="35" t="n">
        <f aca="false">IF(E16&lt;&gt;"",E16+$M$5,"")</f>
        <v>46017</v>
      </c>
      <c r="J16" s="33" t="n">
        <v>46013</v>
      </c>
      <c r="K16" s="37" t="n">
        <f aca="false">IF(AND(C16&lt;&gt;"",J16&lt;&gt;""),J16-C16,"")</f>
        <v>24</v>
      </c>
      <c r="L16" s="31" t="s">
        <v>86</v>
      </c>
      <c r="M16" s="32"/>
      <c r="N16" s="31" t="s">
        <v>97</v>
      </c>
      <c r="O16" s="34" t="n">
        <v>3250</v>
      </c>
      <c r="P16" s="34" t="n">
        <v>0</v>
      </c>
      <c r="Q16" s="36" t="n">
        <f aca="false">IF(AND(H16&lt;&gt;"",L16="Paid"),H16-O16-P16,"")</f>
        <v>61750</v>
      </c>
      <c r="R16" s="33" t="n">
        <v>45996</v>
      </c>
      <c r="S16" s="33"/>
      <c r="T16" s="31" t="s">
        <v>98</v>
      </c>
    </row>
    <row r="17" customFormat="false" ht="15" hidden="false" customHeight="true" outlineLevel="0" collapsed="false">
      <c r="A17" s="31" t="s">
        <v>99</v>
      </c>
      <c r="B17" s="32" t="s">
        <v>100</v>
      </c>
      <c r="C17" s="33" t="n">
        <v>46047</v>
      </c>
      <c r="D17" s="34" t="n">
        <v>94500</v>
      </c>
      <c r="E17" s="35" t="n">
        <f aca="false">IF(C17&lt;&gt;"",C17+$M$4,"")</f>
        <v>46054</v>
      </c>
      <c r="F17" s="34" t="n">
        <v>88000</v>
      </c>
      <c r="G17" s="34" t="n">
        <v>0</v>
      </c>
      <c r="H17" s="36" t="n">
        <f aca="false">IF(F17&lt;&gt;"",IF(G17&lt;&gt;"",F17-G17,F17),"")</f>
        <v>88000</v>
      </c>
      <c r="I17" s="35" t="n">
        <f aca="false">IF(E17&lt;&gt;"",E17+$M$5,"")</f>
        <v>46075</v>
      </c>
      <c r="J17" s="33"/>
      <c r="K17" s="37" t="str">
        <f aca="false">IF(AND(C17&lt;&gt;"",J17&lt;&gt;""),J17-C17,"")</f>
        <v/>
      </c>
      <c r="L17" s="31" t="s">
        <v>101</v>
      </c>
      <c r="M17" s="32" t="s">
        <v>102</v>
      </c>
      <c r="N17" s="31" t="s">
        <v>103</v>
      </c>
      <c r="O17" s="34" t="n">
        <v>4400</v>
      </c>
      <c r="P17" s="34" t="n">
        <v>0</v>
      </c>
      <c r="Q17" s="36" t="str">
        <f aca="false">IF(AND(H17&lt;&gt;"",L17="Paid"),H17-O17-P17,"")</f>
        <v/>
      </c>
      <c r="R17" s="33" t="n">
        <v>46055</v>
      </c>
      <c r="S17" s="33"/>
      <c r="T17" s="31"/>
    </row>
    <row r="18" customFormat="false" ht="23.25" hidden="false" customHeight="true" outlineLevel="0" collapsed="false">
      <c r="A18" s="31" t="s">
        <v>104</v>
      </c>
      <c r="B18" s="32" t="s">
        <v>105</v>
      </c>
      <c r="C18" s="33" t="n">
        <v>46078</v>
      </c>
      <c r="D18" s="34" t="n">
        <v>55000</v>
      </c>
      <c r="E18" s="35" t="n">
        <f aca="false">IF(C18&lt;&gt;"",C18+$M$4,"")</f>
        <v>46085</v>
      </c>
      <c r="F18" s="34" t="n">
        <v>0</v>
      </c>
      <c r="G18" s="34" t="n">
        <v>0</v>
      </c>
      <c r="H18" s="36" t="n">
        <f aca="false">IF(F18&lt;&gt;"",IF(G18&lt;&gt;"",F18-G18,F18),"")</f>
        <v>0</v>
      </c>
      <c r="I18" s="35" t="n">
        <f aca="false">IF(E18&lt;&gt;"",E18+$M$5,"")</f>
        <v>46106</v>
      </c>
      <c r="J18" s="33"/>
      <c r="K18" s="37" t="str">
        <f aca="false">IF(AND(C18&lt;&gt;"",J18&lt;&gt;""),J18-C18,"")</f>
        <v/>
      </c>
      <c r="L18" s="31" t="s">
        <v>106</v>
      </c>
      <c r="M18" s="32" t="s">
        <v>107</v>
      </c>
      <c r="N18" s="31" t="s">
        <v>108</v>
      </c>
      <c r="O18" s="34" t="n">
        <v>0</v>
      </c>
      <c r="P18" s="34" t="n">
        <v>0</v>
      </c>
      <c r="Q18" s="36" t="str">
        <f aca="false">IF(AND(H18&lt;&gt;"",L18="Paid"),H18-O18-P18,"")</f>
        <v/>
      </c>
      <c r="R18" s="33"/>
      <c r="S18" s="33"/>
      <c r="T18" s="31"/>
    </row>
    <row r="19" customFormat="false" ht="15" hidden="false" customHeight="true" outlineLevel="0" collapsed="false">
      <c r="A19" s="31"/>
      <c r="B19" s="32"/>
      <c r="C19" s="33"/>
      <c r="D19" s="34"/>
      <c r="E19" s="35" t="str">
        <f aca="false">IF(C19&lt;&gt;"",C19+$M$4,"")</f>
        <v/>
      </c>
      <c r="F19" s="34"/>
      <c r="G19" s="34"/>
      <c r="H19" s="36" t="str">
        <f aca="false">IF(F19&lt;&gt;"",IF(G19&lt;&gt;"",F19-G19,F19),"")</f>
        <v/>
      </c>
      <c r="I19" s="35" t="str">
        <f aca="false">IF(E19&lt;&gt;"",E19+$M$5,"")</f>
        <v/>
      </c>
      <c r="J19" s="33"/>
      <c r="K19" s="37" t="str">
        <f aca="false">IF(AND(C19&lt;&gt;"",J19&lt;&gt;""),J19-C19,"")</f>
        <v/>
      </c>
      <c r="L19" s="31"/>
      <c r="M19" s="32"/>
      <c r="N19" s="31"/>
      <c r="O19" s="34"/>
      <c r="P19" s="34"/>
      <c r="Q19" s="36" t="str">
        <f aca="false">IF(AND(H19&lt;&gt;"",L19="Paid"),H19-O19-P19,"")</f>
        <v/>
      </c>
      <c r="R19" s="33"/>
      <c r="S19" s="33"/>
      <c r="T19" s="31"/>
    </row>
    <row r="20" customFormat="false" ht="15" hidden="false" customHeight="true" outlineLevel="0" collapsed="false">
      <c r="A20" s="31"/>
      <c r="B20" s="32"/>
      <c r="C20" s="33"/>
      <c r="D20" s="34"/>
      <c r="E20" s="35" t="str">
        <f aca="false">IF(C20&lt;&gt;"",C20+$M$4,"")</f>
        <v/>
      </c>
      <c r="F20" s="34"/>
      <c r="G20" s="34"/>
      <c r="H20" s="36" t="str">
        <f aca="false">IF(F20&lt;&gt;"",IF(G20&lt;&gt;"",F20-G20,F20),"")</f>
        <v/>
      </c>
      <c r="I20" s="35" t="str">
        <f aca="false">IF(E20&lt;&gt;"",E20+$M$5,"")</f>
        <v/>
      </c>
      <c r="J20" s="33"/>
      <c r="K20" s="37" t="str">
        <f aca="false">IF(AND(C20&lt;&gt;"",J20&lt;&gt;""),J20-C20,"")</f>
        <v/>
      </c>
      <c r="L20" s="31"/>
      <c r="M20" s="32"/>
      <c r="N20" s="31"/>
      <c r="O20" s="34"/>
      <c r="P20" s="34"/>
      <c r="Q20" s="36" t="str">
        <f aca="false">IF(AND(H20&lt;&gt;"",L20="Paid"),H20-O20-P20,"")</f>
        <v/>
      </c>
      <c r="R20" s="33"/>
      <c r="S20" s="33"/>
      <c r="T20" s="31"/>
    </row>
    <row r="21" customFormat="false" ht="15" hidden="false" customHeight="true" outlineLevel="0" collapsed="false">
      <c r="A21" s="31"/>
      <c r="B21" s="32"/>
      <c r="C21" s="33"/>
      <c r="D21" s="34"/>
      <c r="E21" s="35" t="str">
        <f aca="false">IF(C21&lt;&gt;"",C21+$M$4,"")</f>
        <v/>
      </c>
      <c r="F21" s="34"/>
      <c r="G21" s="34"/>
      <c r="H21" s="36" t="str">
        <f aca="false">IF(F21&lt;&gt;"",IF(G21&lt;&gt;"",F21-G21,F21),"")</f>
        <v/>
      </c>
      <c r="I21" s="35" t="str">
        <f aca="false">IF(E21&lt;&gt;"",E21+$M$5,"")</f>
        <v/>
      </c>
      <c r="J21" s="33"/>
      <c r="K21" s="37" t="str">
        <f aca="false">IF(AND(C21&lt;&gt;"",J21&lt;&gt;""),J21-C21,"")</f>
        <v/>
      </c>
      <c r="L21" s="31"/>
      <c r="M21" s="32"/>
      <c r="N21" s="31"/>
      <c r="O21" s="34"/>
      <c r="P21" s="34"/>
      <c r="Q21" s="36" t="str">
        <f aca="false">IF(AND(H21&lt;&gt;"",L21="Paid"),H21-O21-P21,"")</f>
        <v/>
      </c>
      <c r="R21" s="33"/>
      <c r="S21" s="33"/>
      <c r="T21" s="31"/>
    </row>
    <row r="22" customFormat="false" ht="15" hidden="false" customHeight="true" outlineLevel="0" collapsed="false">
      <c r="A22" s="31"/>
      <c r="B22" s="32"/>
      <c r="C22" s="33"/>
      <c r="D22" s="34"/>
      <c r="E22" s="35" t="str">
        <f aca="false">IF(C22&lt;&gt;"",C22+$M$4,"")</f>
        <v/>
      </c>
      <c r="F22" s="34"/>
      <c r="G22" s="34"/>
      <c r="H22" s="36" t="str">
        <f aca="false">IF(F22&lt;&gt;"",IF(G22&lt;&gt;"",F22-G22,F22),"")</f>
        <v/>
      </c>
      <c r="I22" s="35" t="str">
        <f aca="false">IF(E22&lt;&gt;"",E22+$M$5,"")</f>
        <v/>
      </c>
      <c r="J22" s="33"/>
      <c r="K22" s="37" t="str">
        <f aca="false">IF(AND(C22&lt;&gt;"",J22&lt;&gt;""),J22-C22,"")</f>
        <v/>
      </c>
      <c r="L22" s="31"/>
      <c r="M22" s="32"/>
      <c r="N22" s="31"/>
      <c r="O22" s="34"/>
      <c r="P22" s="34"/>
      <c r="Q22" s="36" t="str">
        <f aca="false">IF(AND(H22&lt;&gt;"",L22="Paid"),H22-O22-P22,"")</f>
        <v/>
      </c>
      <c r="R22" s="33"/>
      <c r="S22" s="33"/>
      <c r="T22" s="31"/>
    </row>
    <row r="23" customFormat="false" ht="15" hidden="false" customHeight="true" outlineLevel="0" collapsed="false">
      <c r="A23" s="31"/>
      <c r="B23" s="32"/>
      <c r="C23" s="33"/>
      <c r="D23" s="34"/>
      <c r="E23" s="35" t="str">
        <f aca="false">IF(C23&lt;&gt;"",C23+$M$4,"")</f>
        <v/>
      </c>
      <c r="F23" s="34"/>
      <c r="G23" s="34"/>
      <c r="H23" s="36" t="str">
        <f aca="false">IF(F23&lt;&gt;"",IF(G23&lt;&gt;"",F23-G23,F23),"")</f>
        <v/>
      </c>
      <c r="I23" s="35" t="str">
        <f aca="false">IF(E23&lt;&gt;"",E23+$M$5,"")</f>
        <v/>
      </c>
      <c r="J23" s="33"/>
      <c r="K23" s="37" t="str">
        <f aca="false">IF(AND(C23&lt;&gt;"",J23&lt;&gt;""),J23-C23,"")</f>
        <v/>
      </c>
      <c r="L23" s="31"/>
      <c r="M23" s="32"/>
      <c r="N23" s="31"/>
      <c r="O23" s="34"/>
      <c r="P23" s="34"/>
      <c r="Q23" s="36" t="str">
        <f aca="false">IF(AND(H23&lt;&gt;"",L23="Paid"),H23-O23-P23,"")</f>
        <v/>
      </c>
      <c r="R23" s="33"/>
      <c r="S23" s="33"/>
      <c r="T23" s="31"/>
    </row>
    <row r="24" customFormat="false" ht="15" hidden="false" customHeight="true" outlineLevel="0" collapsed="false">
      <c r="A24" s="31"/>
      <c r="B24" s="32"/>
      <c r="C24" s="33"/>
      <c r="D24" s="34"/>
      <c r="E24" s="35" t="str">
        <f aca="false">IF(C24&lt;&gt;"",C24+$M$4,"")</f>
        <v/>
      </c>
      <c r="F24" s="34"/>
      <c r="G24" s="34"/>
      <c r="H24" s="36" t="str">
        <f aca="false">IF(F24&lt;&gt;"",IF(G24&lt;&gt;"",F24-G24,F24),"")</f>
        <v/>
      </c>
      <c r="I24" s="35" t="str">
        <f aca="false">IF(E24&lt;&gt;"",E24+$M$5,"")</f>
        <v/>
      </c>
      <c r="J24" s="33"/>
      <c r="K24" s="37" t="str">
        <f aca="false">IF(AND(C24&lt;&gt;"",J24&lt;&gt;""),J24-C24,"")</f>
        <v/>
      </c>
      <c r="L24" s="31"/>
      <c r="M24" s="32"/>
      <c r="N24" s="31"/>
      <c r="O24" s="34"/>
      <c r="P24" s="34"/>
      <c r="Q24" s="36" t="str">
        <f aca="false">IF(AND(H24&lt;&gt;"",L24="Paid"),H24-O24-P24,"")</f>
        <v/>
      </c>
      <c r="R24" s="33"/>
      <c r="S24" s="33"/>
      <c r="T24" s="31"/>
    </row>
    <row r="25" customFormat="false" ht="15" hidden="false" customHeight="true" outlineLevel="0" collapsed="false">
      <c r="A25" s="31"/>
      <c r="B25" s="32"/>
      <c r="C25" s="33"/>
      <c r="D25" s="34"/>
      <c r="E25" s="35" t="str">
        <f aca="false">IF(C25&lt;&gt;"",C25+$M$4,"")</f>
        <v/>
      </c>
      <c r="F25" s="34"/>
      <c r="G25" s="34"/>
      <c r="H25" s="36" t="str">
        <f aca="false">IF(F25&lt;&gt;"",IF(G25&lt;&gt;"",F25-G25,F25),"")</f>
        <v/>
      </c>
      <c r="I25" s="35" t="str">
        <f aca="false">IF(E25&lt;&gt;"",E25+$M$5,"")</f>
        <v/>
      </c>
      <c r="J25" s="33"/>
      <c r="K25" s="37" t="str">
        <f aca="false">IF(AND(C25&lt;&gt;"",J25&lt;&gt;""),J25-C25,"")</f>
        <v/>
      </c>
      <c r="L25" s="31"/>
      <c r="M25" s="32"/>
      <c r="N25" s="31"/>
      <c r="O25" s="34"/>
      <c r="P25" s="34"/>
      <c r="Q25" s="36" t="str">
        <f aca="false">IF(AND(H25&lt;&gt;"",L25="Paid"),H25-O25-P25,"")</f>
        <v/>
      </c>
      <c r="R25" s="33"/>
      <c r="S25" s="33"/>
      <c r="T25" s="31"/>
    </row>
    <row r="26" customFormat="false" ht="15" hidden="false" customHeight="true" outlineLevel="0" collapsed="false">
      <c r="A26" s="31"/>
      <c r="B26" s="32"/>
      <c r="C26" s="33"/>
      <c r="D26" s="34"/>
      <c r="E26" s="35" t="str">
        <f aca="false">IF(C26&lt;&gt;"",C26+$M$4,"")</f>
        <v/>
      </c>
      <c r="F26" s="34"/>
      <c r="G26" s="34"/>
      <c r="H26" s="36" t="str">
        <f aca="false">IF(F26&lt;&gt;"",IF(G26&lt;&gt;"",F26-G26,F26),"")</f>
        <v/>
      </c>
      <c r="I26" s="35" t="str">
        <f aca="false">IF(E26&lt;&gt;"",E26+$M$5,"")</f>
        <v/>
      </c>
      <c r="J26" s="33"/>
      <c r="K26" s="37" t="str">
        <f aca="false">IF(AND(C26&lt;&gt;"",J26&lt;&gt;""),J26-C26,"")</f>
        <v/>
      </c>
      <c r="L26" s="31"/>
      <c r="M26" s="32"/>
      <c r="N26" s="31"/>
      <c r="O26" s="34"/>
      <c r="P26" s="34"/>
      <c r="Q26" s="36" t="str">
        <f aca="false">IF(AND(H26&lt;&gt;"",L26="Paid"),H26-O26-P26,"")</f>
        <v/>
      </c>
      <c r="R26" s="33"/>
      <c r="S26" s="33"/>
      <c r="T26" s="31"/>
    </row>
    <row r="27" customFormat="false" ht="15" hidden="false" customHeight="true" outlineLevel="0" collapsed="false">
      <c r="A27" s="31"/>
      <c r="B27" s="32"/>
      <c r="C27" s="33"/>
      <c r="D27" s="34"/>
      <c r="E27" s="35" t="str">
        <f aca="false">IF(C27&lt;&gt;"",C27+$M$4,"")</f>
        <v/>
      </c>
      <c r="F27" s="34"/>
      <c r="G27" s="34"/>
      <c r="H27" s="36" t="str">
        <f aca="false">IF(F27&lt;&gt;"",IF(G27&lt;&gt;"",F27-G27,F27),"")</f>
        <v/>
      </c>
      <c r="I27" s="35" t="str">
        <f aca="false">IF(E27&lt;&gt;"",E27+$M$5,"")</f>
        <v/>
      </c>
      <c r="J27" s="33"/>
      <c r="K27" s="37" t="str">
        <f aca="false">IF(AND(C27&lt;&gt;"",J27&lt;&gt;""),J27-C27,"")</f>
        <v/>
      </c>
      <c r="L27" s="31"/>
      <c r="M27" s="32"/>
      <c r="N27" s="31"/>
      <c r="O27" s="34"/>
      <c r="P27" s="34"/>
      <c r="Q27" s="36" t="str">
        <f aca="false">IF(AND(H27&lt;&gt;"",L27="Paid"),H27-O27-P27,"")</f>
        <v/>
      </c>
      <c r="R27" s="33"/>
      <c r="S27" s="33"/>
      <c r="T27" s="31"/>
    </row>
    <row r="28" customFormat="false" ht="15" hidden="false" customHeight="true" outlineLevel="0" collapsed="false">
      <c r="A28" s="31"/>
      <c r="B28" s="32"/>
      <c r="C28" s="33"/>
      <c r="D28" s="34"/>
      <c r="E28" s="35" t="str">
        <f aca="false">IF(C28&lt;&gt;"",C28+$M$4,"")</f>
        <v/>
      </c>
      <c r="F28" s="34"/>
      <c r="G28" s="34"/>
      <c r="H28" s="36" t="str">
        <f aca="false">IF(F28&lt;&gt;"",IF(G28&lt;&gt;"",F28-G28,F28),"")</f>
        <v/>
      </c>
      <c r="I28" s="35" t="str">
        <f aca="false">IF(E28&lt;&gt;"",E28+$M$5,"")</f>
        <v/>
      </c>
      <c r="J28" s="33"/>
      <c r="K28" s="37" t="str">
        <f aca="false">IF(AND(C28&lt;&gt;"",J28&lt;&gt;""),J28-C28,"")</f>
        <v/>
      </c>
      <c r="L28" s="31"/>
      <c r="M28" s="32"/>
      <c r="N28" s="31"/>
      <c r="O28" s="34"/>
      <c r="P28" s="34"/>
      <c r="Q28" s="36" t="str">
        <f aca="false">IF(AND(H28&lt;&gt;"",L28="Paid"),H28-O28-P28,"")</f>
        <v/>
      </c>
      <c r="R28" s="33"/>
      <c r="S28" s="33"/>
      <c r="T28" s="31"/>
    </row>
    <row r="29" customFormat="false" ht="15" hidden="false" customHeight="true" outlineLevel="0" collapsed="false">
      <c r="A29" s="31"/>
      <c r="B29" s="32"/>
      <c r="C29" s="33"/>
      <c r="D29" s="34"/>
      <c r="E29" s="35" t="str">
        <f aca="false">IF(C29&lt;&gt;"",C29+$M$4,"")</f>
        <v/>
      </c>
      <c r="F29" s="34"/>
      <c r="G29" s="34"/>
      <c r="H29" s="36" t="str">
        <f aca="false">IF(F29&lt;&gt;"",IF(G29&lt;&gt;"",F29-G29,F29),"")</f>
        <v/>
      </c>
      <c r="I29" s="35" t="str">
        <f aca="false">IF(E29&lt;&gt;"",E29+$M$5,"")</f>
        <v/>
      </c>
      <c r="J29" s="33"/>
      <c r="K29" s="37" t="str">
        <f aca="false">IF(AND(C29&lt;&gt;"",J29&lt;&gt;""),J29-C29,"")</f>
        <v/>
      </c>
      <c r="L29" s="31"/>
      <c r="M29" s="32"/>
      <c r="N29" s="31"/>
      <c r="O29" s="34"/>
      <c r="P29" s="34"/>
      <c r="Q29" s="36" t="str">
        <f aca="false">IF(AND(H29&lt;&gt;"",L29="Paid"),H29-O29-P29,"")</f>
        <v/>
      </c>
      <c r="R29" s="33"/>
      <c r="S29" s="33"/>
      <c r="T29" s="31"/>
    </row>
    <row r="30" customFormat="false" ht="15" hidden="false" customHeight="true" outlineLevel="0" collapsed="false">
      <c r="A30" s="31"/>
      <c r="B30" s="32"/>
      <c r="C30" s="33"/>
      <c r="D30" s="34"/>
      <c r="E30" s="35" t="str">
        <f aca="false">IF(C30&lt;&gt;"",C30+$M$4,"")</f>
        <v/>
      </c>
      <c r="F30" s="34"/>
      <c r="G30" s="34"/>
      <c r="H30" s="36" t="str">
        <f aca="false">IF(F30&lt;&gt;"",IF(G30&lt;&gt;"",F30-G30,F30),"")</f>
        <v/>
      </c>
      <c r="I30" s="35" t="str">
        <f aca="false">IF(E30&lt;&gt;"",E30+$M$5,"")</f>
        <v/>
      </c>
      <c r="J30" s="33"/>
      <c r="K30" s="37" t="str">
        <f aca="false">IF(AND(C30&lt;&gt;"",J30&lt;&gt;""),J30-C30,"")</f>
        <v/>
      </c>
      <c r="L30" s="31"/>
      <c r="M30" s="32"/>
      <c r="N30" s="31"/>
      <c r="O30" s="34"/>
      <c r="P30" s="34"/>
      <c r="Q30" s="36" t="str">
        <f aca="false">IF(AND(H30&lt;&gt;"",L30="Paid"),H30-O30-P30,"")</f>
        <v/>
      </c>
      <c r="R30" s="33"/>
      <c r="S30" s="33"/>
      <c r="T30" s="31"/>
    </row>
    <row r="31" customFormat="false" ht="15" hidden="false" customHeight="true" outlineLevel="0" collapsed="false">
      <c r="A31" s="31"/>
      <c r="B31" s="32"/>
      <c r="C31" s="33"/>
      <c r="D31" s="34"/>
      <c r="E31" s="35" t="str">
        <f aca="false">IF(C31&lt;&gt;"",C31+$M$4,"")</f>
        <v/>
      </c>
      <c r="F31" s="34"/>
      <c r="G31" s="34"/>
      <c r="H31" s="36" t="str">
        <f aca="false">IF(F31&lt;&gt;"",IF(G31&lt;&gt;"",F31-G31,F31),"")</f>
        <v/>
      </c>
      <c r="I31" s="35" t="str">
        <f aca="false">IF(E31&lt;&gt;"",E31+$M$5,"")</f>
        <v/>
      </c>
      <c r="J31" s="33"/>
      <c r="K31" s="37" t="str">
        <f aca="false">IF(AND(C31&lt;&gt;"",J31&lt;&gt;""),J31-C31,"")</f>
        <v/>
      </c>
      <c r="L31" s="31"/>
      <c r="M31" s="32"/>
      <c r="N31" s="31"/>
      <c r="O31" s="34"/>
      <c r="P31" s="34"/>
      <c r="Q31" s="36" t="str">
        <f aca="false">IF(AND(H31&lt;&gt;"",L31="Paid"),H31-O31-P31,"")</f>
        <v/>
      </c>
      <c r="R31" s="33"/>
      <c r="S31" s="33"/>
      <c r="T31" s="31"/>
    </row>
    <row r="32" customFormat="false" ht="15" hidden="false" customHeight="true" outlineLevel="0" collapsed="false">
      <c r="A32" s="31"/>
      <c r="B32" s="32"/>
      <c r="C32" s="33"/>
      <c r="D32" s="34"/>
      <c r="E32" s="35" t="str">
        <f aca="false">IF(C32&lt;&gt;"",C32+$M$4,"")</f>
        <v/>
      </c>
      <c r="F32" s="34"/>
      <c r="G32" s="34"/>
      <c r="H32" s="36" t="str">
        <f aca="false">IF(F32&lt;&gt;"",IF(G32&lt;&gt;"",F32-G32,F32),"")</f>
        <v/>
      </c>
      <c r="I32" s="35" t="str">
        <f aca="false">IF(E32&lt;&gt;"",E32+$M$5,"")</f>
        <v/>
      </c>
      <c r="J32" s="33"/>
      <c r="K32" s="37" t="str">
        <f aca="false">IF(AND(C32&lt;&gt;"",J32&lt;&gt;""),J32-C32,"")</f>
        <v/>
      </c>
      <c r="L32" s="31"/>
      <c r="M32" s="32"/>
      <c r="N32" s="31"/>
      <c r="O32" s="34"/>
      <c r="P32" s="34"/>
      <c r="Q32" s="36" t="str">
        <f aca="false">IF(AND(H32&lt;&gt;"",L32="Paid"),H32-O32-P32,"")</f>
        <v/>
      </c>
      <c r="R32" s="33"/>
      <c r="S32" s="33"/>
      <c r="T32" s="31"/>
    </row>
    <row r="33" customFormat="false" ht="15" hidden="false" customHeight="true" outlineLevel="0" collapsed="false">
      <c r="A33" s="31"/>
      <c r="B33" s="32"/>
      <c r="C33" s="33"/>
      <c r="D33" s="34"/>
      <c r="E33" s="35" t="str">
        <f aca="false">IF(C33&lt;&gt;"",C33+$M$4,"")</f>
        <v/>
      </c>
      <c r="F33" s="34"/>
      <c r="G33" s="34"/>
      <c r="H33" s="36" t="str">
        <f aca="false">IF(F33&lt;&gt;"",IF(G33&lt;&gt;"",F33-G33,F33),"")</f>
        <v/>
      </c>
      <c r="I33" s="35" t="str">
        <f aca="false">IF(E33&lt;&gt;"",E33+$M$5,"")</f>
        <v/>
      </c>
      <c r="J33" s="33"/>
      <c r="K33" s="37" t="str">
        <f aca="false">IF(AND(C33&lt;&gt;"",J33&lt;&gt;""),J33-C33,"")</f>
        <v/>
      </c>
      <c r="L33" s="31"/>
      <c r="M33" s="32"/>
      <c r="N33" s="31"/>
      <c r="O33" s="34"/>
      <c r="P33" s="34"/>
      <c r="Q33" s="36" t="str">
        <f aca="false">IF(AND(H33&lt;&gt;"",L33="Paid"),H33-O33-P33,"")</f>
        <v/>
      </c>
      <c r="R33" s="33"/>
      <c r="S33" s="33"/>
      <c r="T33" s="31"/>
    </row>
    <row r="34" customFormat="false" ht="15" hidden="false" customHeight="true" outlineLevel="0" collapsed="false">
      <c r="A34" s="31"/>
      <c r="B34" s="32"/>
      <c r="C34" s="33"/>
      <c r="D34" s="34"/>
      <c r="E34" s="35" t="str">
        <f aca="false">IF(C34&lt;&gt;"",C34+$M$4,"")</f>
        <v/>
      </c>
      <c r="F34" s="34"/>
      <c r="G34" s="34"/>
      <c r="H34" s="36" t="str">
        <f aca="false">IF(F34&lt;&gt;"",IF(G34&lt;&gt;"",F34-G34,F34),"")</f>
        <v/>
      </c>
      <c r="I34" s="35" t="str">
        <f aca="false">IF(E34&lt;&gt;"",E34+$M$5,"")</f>
        <v/>
      </c>
      <c r="J34" s="33"/>
      <c r="K34" s="37" t="str">
        <f aca="false">IF(AND(C34&lt;&gt;"",J34&lt;&gt;""),J34-C34,"")</f>
        <v/>
      </c>
      <c r="L34" s="31"/>
      <c r="M34" s="32"/>
      <c r="N34" s="31"/>
      <c r="O34" s="34"/>
      <c r="P34" s="34"/>
      <c r="Q34" s="36" t="str">
        <f aca="false">IF(AND(H34&lt;&gt;"",L34="Paid"),H34-O34-P34,"")</f>
        <v/>
      </c>
      <c r="R34" s="33"/>
      <c r="S34" s="33"/>
      <c r="T34" s="31"/>
    </row>
    <row r="35" customFormat="false" ht="15" hidden="false" customHeight="true" outlineLevel="0" collapsed="false">
      <c r="A35" s="31"/>
      <c r="B35" s="32"/>
      <c r="C35" s="33"/>
      <c r="D35" s="34"/>
      <c r="E35" s="35" t="str">
        <f aca="false">IF(C35&lt;&gt;"",C35+$M$4,"")</f>
        <v/>
      </c>
      <c r="F35" s="34"/>
      <c r="G35" s="34"/>
      <c r="H35" s="36" t="str">
        <f aca="false">IF(F35&lt;&gt;"",IF(G35&lt;&gt;"",F35-G35,F35),"")</f>
        <v/>
      </c>
      <c r="I35" s="35" t="str">
        <f aca="false">IF(E35&lt;&gt;"",E35+$M$5,"")</f>
        <v/>
      </c>
      <c r="J35" s="33"/>
      <c r="K35" s="37" t="str">
        <f aca="false">IF(AND(C35&lt;&gt;"",J35&lt;&gt;""),J35-C35,"")</f>
        <v/>
      </c>
      <c r="L35" s="31"/>
      <c r="M35" s="32"/>
      <c r="N35" s="31"/>
      <c r="O35" s="34"/>
      <c r="P35" s="34"/>
      <c r="Q35" s="36" t="str">
        <f aca="false">IF(AND(H35&lt;&gt;"",L35="Paid"),H35-O35-P35,"")</f>
        <v/>
      </c>
      <c r="R35" s="33"/>
      <c r="S35" s="33"/>
      <c r="T35" s="31"/>
    </row>
    <row r="36" customFormat="false" ht="15" hidden="false" customHeight="true" outlineLevel="0" collapsed="false">
      <c r="A36" s="31"/>
      <c r="B36" s="32"/>
      <c r="C36" s="33"/>
      <c r="D36" s="34"/>
      <c r="E36" s="35" t="str">
        <f aca="false">IF(C36&lt;&gt;"",C36+$M$4,"")</f>
        <v/>
      </c>
      <c r="F36" s="34"/>
      <c r="G36" s="34"/>
      <c r="H36" s="36" t="str">
        <f aca="false">IF(F36&lt;&gt;"",IF(G36&lt;&gt;"",F36-G36,F36),"")</f>
        <v/>
      </c>
      <c r="I36" s="35" t="str">
        <f aca="false">IF(E36&lt;&gt;"",E36+$M$5,"")</f>
        <v/>
      </c>
      <c r="J36" s="33"/>
      <c r="K36" s="37" t="str">
        <f aca="false">IF(AND(C36&lt;&gt;"",J36&lt;&gt;""),J36-C36,"")</f>
        <v/>
      </c>
      <c r="L36" s="31"/>
      <c r="M36" s="32"/>
      <c r="N36" s="31"/>
      <c r="O36" s="34"/>
      <c r="P36" s="34"/>
      <c r="Q36" s="36" t="str">
        <f aca="false">IF(AND(H36&lt;&gt;"",L36="Paid"),H36-O36-P36,"")</f>
        <v/>
      </c>
      <c r="R36" s="33"/>
      <c r="S36" s="33"/>
      <c r="T36" s="31"/>
    </row>
    <row r="37" customFormat="false" ht="15" hidden="false" customHeight="true" outlineLevel="0" collapsed="false">
      <c r="A37" s="31"/>
      <c r="B37" s="32"/>
      <c r="C37" s="33"/>
      <c r="D37" s="34"/>
      <c r="E37" s="35" t="str">
        <f aca="false">IF(C37&lt;&gt;"",C37+$M$4,"")</f>
        <v/>
      </c>
      <c r="F37" s="34"/>
      <c r="G37" s="34"/>
      <c r="H37" s="36" t="str">
        <f aca="false">IF(F37&lt;&gt;"",IF(G37&lt;&gt;"",F37-G37,F37),"")</f>
        <v/>
      </c>
      <c r="I37" s="35" t="str">
        <f aca="false">IF(E37&lt;&gt;"",E37+$M$5,"")</f>
        <v/>
      </c>
      <c r="J37" s="33"/>
      <c r="K37" s="37" t="str">
        <f aca="false">IF(AND(C37&lt;&gt;"",J37&lt;&gt;""),J37-C37,"")</f>
        <v/>
      </c>
      <c r="L37" s="31"/>
      <c r="M37" s="32"/>
      <c r="N37" s="31"/>
      <c r="O37" s="34"/>
      <c r="P37" s="34"/>
      <c r="Q37" s="36" t="str">
        <f aca="false">IF(AND(H37&lt;&gt;"",L37="Paid"),H37-O37-P37,"")</f>
        <v/>
      </c>
      <c r="R37" s="33"/>
      <c r="S37" s="33"/>
      <c r="T37" s="31"/>
    </row>
    <row r="38" customFormat="false" ht="15" hidden="false" customHeight="true" outlineLevel="0" collapsed="false">
      <c r="A38" s="31"/>
      <c r="B38" s="32"/>
      <c r="C38" s="33"/>
      <c r="D38" s="34"/>
      <c r="E38" s="35" t="str">
        <f aca="false">IF(C38&lt;&gt;"",C38+$M$4,"")</f>
        <v/>
      </c>
      <c r="F38" s="34"/>
      <c r="G38" s="34"/>
      <c r="H38" s="36" t="str">
        <f aca="false">IF(F38&lt;&gt;"",IF(G38&lt;&gt;"",F38-G38,F38),"")</f>
        <v/>
      </c>
      <c r="I38" s="35" t="str">
        <f aca="false">IF(E38&lt;&gt;"",E38+$M$5,"")</f>
        <v/>
      </c>
      <c r="J38" s="33"/>
      <c r="K38" s="37" t="str">
        <f aca="false">IF(AND(C38&lt;&gt;"",J38&lt;&gt;""),J38-C38,"")</f>
        <v/>
      </c>
      <c r="L38" s="31"/>
      <c r="M38" s="32"/>
      <c r="N38" s="31"/>
      <c r="O38" s="34"/>
      <c r="P38" s="34"/>
      <c r="Q38" s="36" t="str">
        <f aca="false">IF(AND(H38&lt;&gt;"",L38="Paid"),H38-O38-P38,"")</f>
        <v/>
      </c>
      <c r="R38" s="33"/>
      <c r="S38" s="33"/>
      <c r="T38" s="31"/>
    </row>
    <row r="39" customFormat="false" ht="15" hidden="false" customHeight="true" outlineLevel="0" collapsed="false">
      <c r="A39" s="31"/>
      <c r="B39" s="32"/>
      <c r="C39" s="33"/>
      <c r="D39" s="34"/>
      <c r="E39" s="35" t="str">
        <f aca="false">IF(C39&lt;&gt;"",C39+$M$4,"")</f>
        <v/>
      </c>
      <c r="F39" s="34"/>
      <c r="G39" s="34"/>
      <c r="H39" s="36" t="str">
        <f aca="false">IF(F39&lt;&gt;"",IF(G39&lt;&gt;"",F39-G39,F39),"")</f>
        <v/>
      </c>
      <c r="I39" s="35" t="str">
        <f aca="false">IF(E39&lt;&gt;"",E39+$M$5,"")</f>
        <v/>
      </c>
      <c r="J39" s="33"/>
      <c r="K39" s="37" t="str">
        <f aca="false">IF(AND(C39&lt;&gt;"",J39&lt;&gt;""),J39-C39,"")</f>
        <v/>
      </c>
      <c r="L39" s="31"/>
      <c r="M39" s="32"/>
      <c r="N39" s="31"/>
      <c r="O39" s="34"/>
      <c r="P39" s="34"/>
      <c r="Q39" s="36" t="str">
        <f aca="false">IF(AND(H39&lt;&gt;"",L39="Paid"),H39-O39-P39,"")</f>
        <v/>
      </c>
      <c r="R39" s="33"/>
      <c r="S39" s="33"/>
      <c r="T39" s="31"/>
    </row>
    <row r="40" customFormat="false" ht="15" hidden="false" customHeight="true" outlineLevel="0" collapsed="false">
      <c r="A40" s="31"/>
      <c r="B40" s="32"/>
      <c r="C40" s="33"/>
      <c r="D40" s="34"/>
      <c r="E40" s="35" t="str">
        <f aca="false">IF(C40&lt;&gt;"",C40+$M$4,"")</f>
        <v/>
      </c>
      <c r="F40" s="34"/>
      <c r="G40" s="34"/>
      <c r="H40" s="36" t="str">
        <f aca="false">IF(F40&lt;&gt;"",IF(G40&lt;&gt;"",F40-G40,F40),"")</f>
        <v/>
      </c>
      <c r="I40" s="35" t="str">
        <f aca="false">IF(E40&lt;&gt;"",E40+$M$5,"")</f>
        <v/>
      </c>
      <c r="J40" s="33"/>
      <c r="K40" s="37" t="str">
        <f aca="false">IF(AND(C40&lt;&gt;"",J40&lt;&gt;""),J40-C40,"")</f>
        <v/>
      </c>
      <c r="L40" s="31"/>
      <c r="M40" s="32"/>
      <c r="N40" s="31"/>
      <c r="O40" s="34"/>
      <c r="P40" s="34"/>
      <c r="Q40" s="36" t="str">
        <f aca="false">IF(AND(H40&lt;&gt;"",L40="Paid"),H40-O40-P40,"")</f>
        <v/>
      </c>
      <c r="R40" s="33"/>
      <c r="S40" s="33"/>
      <c r="T40" s="31"/>
    </row>
    <row r="41" customFormat="false" ht="15" hidden="false" customHeight="true" outlineLevel="0" collapsed="false">
      <c r="A41" s="31"/>
      <c r="B41" s="32"/>
      <c r="C41" s="33"/>
      <c r="D41" s="34"/>
      <c r="E41" s="35" t="str">
        <f aca="false">IF(C41&lt;&gt;"",C41+$M$4,"")</f>
        <v/>
      </c>
      <c r="F41" s="34"/>
      <c r="G41" s="34"/>
      <c r="H41" s="36" t="str">
        <f aca="false">IF(F41&lt;&gt;"",IF(G41&lt;&gt;"",F41-G41,F41),"")</f>
        <v/>
      </c>
      <c r="I41" s="35" t="str">
        <f aca="false">IF(E41&lt;&gt;"",E41+$M$5,"")</f>
        <v/>
      </c>
      <c r="J41" s="33"/>
      <c r="K41" s="37" t="str">
        <f aca="false">IF(AND(C41&lt;&gt;"",J41&lt;&gt;""),J41-C41,"")</f>
        <v/>
      </c>
      <c r="L41" s="31"/>
      <c r="M41" s="32"/>
      <c r="N41" s="31"/>
      <c r="O41" s="34"/>
      <c r="P41" s="34"/>
      <c r="Q41" s="36" t="str">
        <f aca="false">IF(AND(H41&lt;&gt;"",L41="Paid"),H41-O41-P41,"")</f>
        <v/>
      </c>
      <c r="R41" s="33"/>
      <c r="S41" s="33"/>
      <c r="T41" s="31"/>
    </row>
    <row r="42" customFormat="false" ht="15" hidden="false" customHeight="true" outlineLevel="0" collapsed="false">
      <c r="A42" s="31"/>
      <c r="B42" s="32"/>
      <c r="C42" s="33"/>
      <c r="D42" s="34"/>
      <c r="E42" s="35" t="str">
        <f aca="false">IF(C42&lt;&gt;"",C42+$M$4,"")</f>
        <v/>
      </c>
      <c r="F42" s="34"/>
      <c r="G42" s="34"/>
      <c r="H42" s="36" t="str">
        <f aca="false">IF(F42&lt;&gt;"",IF(G42&lt;&gt;"",F42-G42,F42),"")</f>
        <v/>
      </c>
      <c r="I42" s="35" t="str">
        <f aca="false">IF(E42&lt;&gt;"",E42+$M$5,"")</f>
        <v/>
      </c>
      <c r="J42" s="33"/>
      <c r="K42" s="37" t="str">
        <f aca="false">IF(AND(C42&lt;&gt;"",J42&lt;&gt;""),J42-C42,"")</f>
        <v/>
      </c>
      <c r="L42" s="31"/>
      <c r="M42" s="32"/>
      <c r="N42" s="31"/>
      <c r="O42" s="34"/>
      <c r="P42" s="34"/>
      <c r="Q42" s="36" t="str">
        <f aca="false">IF(AND(H42&lt;&gt;"",L42="Paid"),H42-O42-P42,"")</f>
        <v/>
      </c>
      <c r="R42" s="33"/>
      <c r="S42" s="33"/>
      <c r="T42" s="31"/>
    </row>
    <row r="43" customFormat="false" ht="15" hidden="false" customHeight="true" outlineLevel="0" collapsed="false">
      <c r="A43" s="31"/>
      <c r="B43" s="32"/>
      <c r="C43" s="33"/>
      <c r="D43" s="34"/>
      <c r="E43" s="35" t="str">
        <f aca="false">IF(C43&lt;&gt;"",C43+$M$4,"")</f>
        <v/>
      </c>
      <c r="F43" s="34"/>
      <c r="G43" s="34"/>
      <c r="H43" s="36" t="str">
        <f aca="false">IF(F43&lt;&gt;"",IF(G43&lt;&gt;"",F43-G43,F43),"")</f>
        <v/>
      </c>
      <c r="I43" s="35" t="str">
        <f aca="false">IF(E43&lt;&gt;"",E43+$M$5,"")</f>
        <v/>
      </c>
      <c r="J43" s="33"/>
      <c r="K43" s="37" t="str">
        <f aca="false">IF(AND(C43&lt;&gt;"",J43&lt;&gt;""),J43-C43,"")</f>
        <v/>
      </c>
      <c r="L43" s="31"/>
      <c r="M43" s="32"/>
      <c r="N43" s="31"/>
      <c r="O43" s="34"/>
      <c r="P43" s="34"/>
      <c r="Q43" s="36" t="str">
        <f aca="false">IF(AND(H43&lt;&gt;"",L43="Paid"),H43-O43-P43,"")</f>
        <v/>
      </c>
      <c r="R43" s="33"/>
      <c r="S43" s="33"/>
      <c r="T43" s="31"/>
    </row>
    <row r="44" customFormat="false" ht="15" hidden="false" customHeight="true" outlineLevel="0" collapsed="false">
      <c r="A44" s="31"/>
      <c r="B44" s="32"/>
      <c r="C44" s="33"/>
      <c r="D44" s="34"/>
      <c r="E44" s="35" t="str">
        <f aca="false">IF(C44&lt;&gt;"",C44+$M$4,"")</f>
        <v/>
      </c>
      <c r="F44" s="34"/>
      <c r="G44" s="34"/>
      <c r="H44" s="36" t="str">
        <f aca="false">IF(F44&lt;&gt;"",IF(G44&lt;&gt;"",F44-G44,F44),"")</f>
        <v/>
      </c>
      <c r="I44" s="35" t="str">
        <f aca="false">IF(E44&lt;&gt;"",E44+$M$5,"")</f>
        <v/>
      </c>
      <c r="J44" s="33"/>
      <c r="K44" s="37" t="str">
        <f aca="false">IF(AND(C44&lt;&gt;"",J44&lt;&gt;""),J44-C44,"")</f>
        <v/>
      </c>
      <c r="L44" s="31"/>
      <c r="M44" s="32"/>
      <c r="N44" s="31"/>
      <c r="O44" s="34"/>
      <c r="P44" s="34"/>
      <c r="Q44" s="36" t="str">
        <f aca="false">IF(AND(H44&lt;&gt;"",L44="Paid"),H44-O44-P44,"")</f>
        <v/>
      </c>
      <c r="R44" s="33"/>
      <c r="S44" s="33"/>
      <c r="T44" s="31"/>
    </row>
    <row r="45" customFormat="false" ht="15" hidden="false" customHeight="true" outlineLevel="0" collapsed="false">
      <c r="A45" s="31"/>
      <c r="B45" s="32"/>
      <c r="C45" s="33"/>
      <c r="D45" s="34"/>
      <c r="E45" s="35" t="str">
        <f aca="false">IF(C45&lt;&gt;"",C45+$M$4,"")</f>
        <v/>
      </c>
      <c r="F45" s="34"/>
      <c r="G45" s="34"/>
      <c r="H45" s="36" t="str">
        <f aca="false">IF(F45&lt;&gt;"",IF(G45&lt;&gt;"",F45-G45,F45),"")</f>
        <v/>
      </c>
      <c r="I45" s="35" t="str">
        <f aca="false">IF(E45&lt;&gt;"",E45+$M$5,"")</f>
        <v/>
      </c>
      <c r="J45" s="33"/>
      <c r="K45" s="37" t="str">
        <f aca="false">IF(AND(C45&lt;&gt;"",J45&lt;&gt;""),J45-C45,"")</f>
        <v/>
      </c>
      <c r="L45" s="31"/>
      <c r="M45" s="32"/>
      <c r="N45" s="31"/>
      <c r="O45" s="34"/>
      <c r="P45" s="34"/>
      <c r="Q45" s="36" t="str">
        <f aca="false">IF(AND(H45&lt;&gt;"",L45="Paid"),H45-O45-P45,"")</f>
        <v/>
      </c>
      <c r="R45" s="33"/>
      <c r="S45" s="33"/>
      <c r="T45" s="31"/>
    </row>
    <row r="46" customFormat="false" ht="15" hidden="false" customHeight="true" outlineLevel="0" collapsed="false">
      <c r="A46" s="31"/>
      <c r="B46" s="32"/>
      <c r="C46" s="33"/>
      <c r="D46" s="34"/>
      <c r="E46" s="35" t="str">
        <f aca="false">IF(C46&lt;&gt;"",C46+$M$4,"")</f>
        <v/>
      </c>
      <c r="F46" s="34"/>
      <c r="G46" s="34"/>
      <c r="H46" s="36" t="str">
        <f aca="false">IF(F46&lt;&gt;"",IF(G46&lt;&gt;"",F46-G46,F46),"")</f>
        <v/>
      </c>
      <c r="I46" s="35" t="str">
        <f aca="false">IF(E46&lt;&gt;"",E46+$M$5,"")</f>
        <v/>
      </c>
      <c r="J46" s="33"/>
      <c r="K46" s="37" t="str">
        <f aca="false">IF(AND(C46&lt;&gt;"",J46&lt;&gt;""),J46-C46,"")</f>
        <v/>
      </c>
      <c r="L46" s="31"/>
      <c r="M46" s="32"/>
      <c r="N46" s="31"/>
      <c r="O46" s="34"/>
      <c r="P46" s="34"/>
      <c r="Q46" s="36" t="str">
        <f aca="false">IF(AND(H46&lt;&gt;"",L46="Paid"),H46-O46-P46,"")</f>
        <v/>
      </c>
      <c r="R46" s="33"/>
      <c r="S46" s="33"/>
      <c r="T46" s="31"/>
    </row>
    <row r="47" customFormat="false" ht="15" hidden="false" customHeight="true" outlineLevel="0" collapsed="false">
      <c r="A47" s="31"/>
      <c r="B47" s="32"/>
      <c r="C47" s="33"/>
      <c r="D47" s="34"/>
      <c r="E47" s="35" t="str">
        <f aca="false">IF(C47&lt;&gt;"",C47+$M$4,"")</f>
        <v/>
      </c>
      <c r="F47" s="34"/>
      <c r="G47" s="34"/>
      <c r="H47" s="36" t="str">
        <f aca="false">IF(F47&lt;&gt;"",IF(G47&lt;&gt;"",F47-G47,F47),"")</f>
        <v/>
      </c>
      <c r="I47" s="35" t="str">
        <f aca="false">IF(E47&lt;&gt;"",E47+$M$5,"")</f>
        <v/>
      </c>
      <c r="J47" s="33"/>
      <c r="K47" s="37" t="str">
        <f aca="false">IF(AND(C47&lt;&gt;"",J47&lt;&gt;""),J47-C47,"")</f>
        <v/>
      </c>
      <c r="L47" s="31"/>
      <c r="M47" s="32"/>
      <c r="N47" s="31"/>
      <c r="O47" s="34"/>
      <c r="P47" s="34"/>
      <c r="Q47" s="36" t="str">
        <f aca="false">IF(AND(H47&lt;&gt;"",L47="Paid"),H47-O47-P47,"")</f>
        <v/>
      </c>
      <c r="R47" s="33"/>
      <c r="S47" s="33"/>
      <c r="T47" s="31"/>
    </row>
    <row r="48" customFormat="false" ht="15" hidden="false" customHeight="true" outlineLevel="0" collapsed="false">
      <c r="A48" s="31"/>
      <c r="B48" s="32"/>
      <c r="C48" s="33"/>
      <c r="D48" s="34"/>
      <c r="E48" s="35" t="str">
        <f aca="false">IF(C48&lt;&gt;"",C48+$M$4,"")</f>
        <v/>
      </c>
      <c r="F48" s="34"/>
      <c r="G48" s="34"/>
      <c r="H48" s="36" t="str">
        <f aca="false">IF(F48&lt;&gt;"",IF(G48&lt;&gt;"",F48-G48,F48),"")</f>
        <v/>
      </c>
      <c r="I48" s="35" t="str">
        <f aca="false">IF(E48&lt;&gt;"",E48+$M$5,"")</f>
        <v/>
      </c>
      <c r="J48" s="33"/>
      <c r="K48" s="37" t="str">
        <f aca="false">IF(AND(C48&lt;&gt;"",J48&lt;&gt;""),J48-C48,"")</f>
        <v/>
      </c>
      <c r="L48" s="31"/>
      <c r="M48" s="32"/>
      <c r="N48" s="31"/>
      <c r="O48" s="34"/>
      <c r="P48" s="34"/>
      <c r="Q48" s="36" t="str">
        <f aca="false">IF(AND(H48&lt;&gt;"",L48="Paid"),H48-O48-P48,"")</f>
        <v/>
      </c>
      <c r="R48" s="33"/>
      <c r="S48" s="33"/>
      <c r="T48" s="31"/>
    </row>
    <row r="49" customFormat="false" ht="15" hidden="false" customHeight="true" outlineLevel="0" collapsed="false">
      <c r="A49" s="31"/>
      <c r="B49" s="32"/>
      <c r="C49" s="33"/>
      <c r="D49" s="34"/>
      <c r="E49" s="35" t="str">
        <f aca="false">IF(C49&lt;&gt;"",C49+$M$4,"")</f>
        <v/>
      </c>
      <c r="F49" s="34"/>
      <c r="G49" s="34"/>
      <c r="H49" s="36" t="str">
        <f aca="false">IF(F49&lt;&gt;"",IF(G49&lt;&gt;"",F49-G49,F49),"")</f>
        <v/>
      </c>
      <c r="I49" s="35" t="str">
        <f aca="false">IF(E49&lt;&gt;"",E49+$M$5,"")</f>
        <v/>
      </c>
      <c r="J49" s="33"/>
      <c r="K49" s="37" t="str">
        <f aca="false">IF(AND(C49&lt;&gt;"",J49&lt;&gt;""),J49-C49,"")</f>
        <v/>
      </c>
      <c r="L49" s="31"/>
      <c r="M49" s="32"/>
      <c r="N49" s="31"/>
      <c r="O49" s="34"/>
      <c r="P49" s="34"/>
      <c r="Q49" s="36" t="str">
        <f aca="false">IF(AND(H49&lt;&gt;"",L49="Paid"),H49-O49-P49,"")</f>
        <v/>
      </c>
      <c r="R49" s="33"/>
      <c r="S49" s="33"/>
      <c r="T49" s="31"/>
    </row>
    <row r="50" customFormat="false" ht="15" hidden="false" customHeight="true" outlineLevel="0" collapsed="false">
      <c r="A50" s="31"/>
      <c r="B50" s="32"/>
      <c r="C50" s="33"/>
      <c r="D50" s="34"/>
      <c r="E50" s="35" t="str">
        <f aca="false">IF(C50&lt;&gt;"",C50+$M$4,"")</f>
        <v/>
      </c>
      <c r="F50" s="34"/>
      <c r="G50" s="34"/>
      <c r="H50" s="36" t="str">
        <f aca="false">IF(F50&lt;&gt;"",IF(G50&lt;&gt;"",F50-G50,F50),"")</f>
        <v/>
      </c>
      <c r="I50" s="35" t="str">
        <f aca="false">IF(E50&lt;&gt;"",E50+$M$5,"")</f>
        <v/>
      </c>
      <c r="J50" s="33"/>
      <c r="K50" s="37" t="str">
        <f aca="false">IF(AND(C50&lt;&gt;"",J50&lt;&gt;""),J50-C50,"")</f>
        <v/>
      </c>
      <c r="L50" s="31"/>
      <c r="M50" s="32"/>
      <c r="N50" s="31"/>
      <c r="O50" s="34"/>
      <c r="P50" s="34"/>
      <c r="Q50" s="36" t="str">
        <f aca="false">IF(AND(H50&lt;&gt;"",L50="Paid"),H50-O50-P50,"")</f>
        <v/>
      </c>
      <c r="R50" s="33"/>
      <c r="S50" s="33"/>
      <c r="T50" s="31"/>
    </row>
    <row r="51" customFormat="false" ht="15" hidden="false" customHeight="true" outlineLevel="0" collapsed="false">
      <c r="A51" s="31"/>
      <c r="B51" s="32"/>
      <c r="C51" s="33"/>
      <c r="D51" s="34"/>
      <c r="E51" s="35" t="str">
        <f aca="false">IF(C51&lt;&gt;"",C51+$M$4,"")</f>
        <v/>
      </c>
      <c r="F51" s="34"/>
      <c r="G51" s="34"/>
      <c r="H51" s="36" t="str">
        <f aca="false">IF(F51&lt;&gt;"",IF(G51&lt;&gt;"",F51-G51,F51),"")</f>
        <v/>
      </c>
      <c r="I51" s="35" t="str">
        <f aca="false">IF(E51&lt;&gt;"",E51+$M$5,"")</f>
        <v/>
      </c>
      <c r="J51" s="33"/>
      <c r="K51" s="37" t="str">
        <f aca="false">IF(AND(C51&lt;&gt;"",J51&lt;&gt;""),J51-C51,"")</f>
        <v/>
      </c>
      <c r="L51" s="31"/>
      <c r="M51" s="32"/>
      <c r="N51" s="31"/>
      <c r="O51" s="34"/>
      <c r="P51" s="34"/>
      <c r="Q51" s="36" t="str">
        <f aca="false">IF(AND(H51&lt;&gt;"",L51="Paid"),H51-O51-P51,"")</f>
        <v/>
      </c>
      <c r="R51" s="33"/>
      <c r="S51" s="33"/>
      <c r="T51" s="31"/>
    </row>
    <row r="52" customFormat="false" ht="15" hidden="false" customHeight="true" outlineLevel="0" collapsed="false">
      <c r="A52" s="31"/>
      <c r="B52" s="32"/>
      <c r="C52" s="33"/>
      <c r="D52" s="34"/>
      <c r="E52" s="35" t="str">
        <f aca="false">IF(C52&lt;&gt;"",C52+$M$4,"")</f>
        <v/>
      </c>
      <c r="F52" s="34"/>
      <c r="G52" s="34"/>
      <c r="H52" s="36" t="str">
        <f aca="false">IF(F52&lt;&gt;"",IF(G52&lt;&gt;"",F52-G52,F52),"")</f>
        <v/>
      </c>
      <c r="I52" s="35" t="str">
        <f aca="false">IF(E52&lt;&gt;"",E52+$M$5,"")</f>
        <v/>
      </c>
      <c r="J52" s="33"/>
      <c r="K52" s="37" t="str">
        <f aca="false">IF(AND(C52&lt;&gt;"",J52&lt;&gt;""),J52-C52,"")</f>
        <v/>
      </c>
      <c r="L52" s="31"/>
      <c r="M52" s="32"/>
      <c r="N52" s="31"/>
      <c r="O52" s="34"/>
      <c r="P52" s="34"/>
      <c r="Q52" s="36" t="str">
        <f aca="false">IF(AND(H52&lt;&gt;"",L52="Paid"),H52-O52-P52,"")</f>
        <v/>
      </c>
      <c r="R52" s="33"/>
      <c r="S52" s="33"/>
      <c r="T52" s="31"/>
    </row>
    <row r="53" customFormat="false" ht="15" hidden="false" customHeight="true" outlineLevel="0" collapsed="false">
      <c r="A53" s="31"/>
      <c r="B53" s="32"/>
      <c r="C53" s="33"/>
      <c r="D53" s="34"/>
      <c r="E53" s="35" t="str">
        <f aca="false">IF(C53&lt;&gt;"",C53+$M$4,"")</f>
        <v/>
      </c>
      <c r="F53" s="34"/>
      <c r="G53" s="34"/>
      <c r="H53" s="36" t="str">
        <f aca="false">IF(F53&lt;&gt;"",IF(G53&lt;&gt;"",F53-G53,F53),"")</f>
        <v/>
      </c>
      <c r="I53" s="35" t="str">
        <f aca="false">IF(E53&lt;&gt;"",E53+$M$5,"")</f>
        <v/>
      </c>
      <c r="J53" s="33"/>
      <c r="K53" s="37" t="str">
        <f aca="false">IF(AND(C53&lt;&gt;"",J53&lt;&gt;""),J53-C53,"")</f>
        <v/>
      </c>
      <c r="L53" s="31"/>
      <c r="M53" s="32"/>
      <c r="N53" s="31"/>
      <c r="O53" s="34"/>
      <c r="P53" s="34"/>
      <c r="Q53" s="36" t="str">
        <f aca="false">IF(AND(H53&lt;&gt;"",L53="Paid"),H53-O53-P53,"")</f>
        <v/>
      </c>
      <c r="R53" s="33"/>
      <c r="S53" s="33"/>
      <c r="T53" s="31"/>
    </row>
    <row r="54" customFormat="false" ht="15" hidden="false" customHeight="true" outlineLevel="0" collapsed="false">
      <c r="A54" s="31"/>
      <c r="B54" s="32"/>
      <c r="C54" s="33"/>
      <c r="D54" s="34"/>
      <c r="E54" s="35" t="str">
        <f aca="false">IF(C54&lt;&gt;"",C54+$M$4,"")</f>
        <v/>
      </c>
      <c r="F54" s="34"/>
      <c r="G54" s="34"/>
      <c r="H54" s="36" t="str">
        <f aca="false">IF(F54&lt;&gt;"",IF(G54&lt;&gt;"",F54-G54,F54),"")</f>
        <v/>
      </c>
      <c r="I54" s="35" t="str">
        <f aca="false">IF(E54&lt;&gt;"",E54+$M$5,"")</f>
        <v/>
      </c>
      <c r="J54" s="33"/>
      <c r="K54" s="37" t="str">
        <f aca="false">IF(AND(C54&lt;&gt;"",J54&lt;&gt;""),J54-C54,"")</f>
        <v/>
      </c>
      <c r="L54" s="31"/>
      <c r="M54" s="32"/>
      <c r="N54" s="31"/>
      <c r="O54" s="34"/>
      <c r="P54" s="34"/>
      <c r="Q54" s="36" t="str">
        <f aca="false">IF(AND(H54&lt;&gt;"",L54="Paid"),H54-O54-P54,"")</f>
        <v/>
      </c>
      <c r="R54" s="33"/>
      <c r="S54" s="33"/>
      <c r="T54" s="31"/>
    </row>
    <row r="55" customFormat="false" ht="15" hidden="false" customHeight="true" outlineLevel="0" collapsed="false">
      <c r="A55" s="31"/>
      <c r="B55" s="32"/>
      <c r="C55" s="33"/>
      <c r="D55" s="34"/>
      <c r="E55" s="35" t="str">
        <f aca="false">IF(C55&lt;&gt;"",C55+$M$4,"")</f>
        <v/>
      </c>
      <c r="F55" s="34"/>
      <c r="G55" s="34"/>
      <c r="H55" s="36" t="str">
        <f aca="false">IF(F55&lt;&gt;"",IF(G55&lt;&gt;"",F55-G55,F55),"")</f>
        <v/>
      </c>
      <c r="I55" s="35" t="str">
        <f aca="false">IF(E55&lt;&gt;"",E55+$M$5,"")</f>
        <v/>
      </c>
      <c r="J55" s="33"/>
      <c r="K55" s="37" t="str">
        <f aca="false">IF(AND(C55&lt;&gt;"",J55&lt;&gt;""),J55-C55,"")</f>
        <v/>
      </c>
      <c r="L55" s="31"/>
      <c r="M55" s="32"/>
      <c r="N55" s="31"/>
      <c r="O55" s="34"/>
      <c r="P55" s="34"/>
      <c r="Q55" s="36" t="str">
        <f aca="false">IF(AND(H55&lt;&gt;"",L55="Paid"),H55-O55-P55,"")</f>
        <v/>
      </c>
      <c r="R55" s="33"/>
      <c r="S55" s="33"/>
      <c r="T55" s="31"/>
    </row>
    <row r="56" customFormat="false" ht="15" hidden="false" customHeight="true" outlineLevel="0" collapsed="false">
      <c r="A56" s="31"/>
      <c r="B56" s="32"/>
      <c r="C56" s="33"/>
      <c r="D56" s="34"/>
      <c r="E56" s="35" t="str">
        <f aca="false">IF(C56&lt;&gt;"",C56+$M$4,"")</f>
        <v/>
      </c>
      <c r="F56" s="34"/>
      <c r="G56" s="34"/>
      <c r="H56" s="36" t="str">
        <f aca="false">IF(F56&lt;&gt;"",IF(G56&lt;&gt;"",F56-G56,F56),"")</f>
        <v/>
      </c>
      <c r="I56" s="35" t="str">
        <f aca="false">IF(E56&lt;&gt;"",E56+$M$5,"")</f>
        <v/>
      </c>
      <c r="J56" s="33"/>
      <c r="K56" s="37" t="str">
        <f aca="false">IF(AND(C56&lt;&gt;"",J56&lt;&gt;""),J56-C56,"")</f>
        <v/>
      </c>
      <c r="L56" s="31"/>
      <c r="M56" s="32"/>
      <c r="N56" s="31"/>
      <c r="O56" s="34"/>
      <c r="P56" s="34"/>
      <c r="Q56" s="36" t="str">
        <f aca="false">IF(AND(H56&lt;&gt;"",L56="Paid"),H56-O56-P56,"")</f>
        <v/>
      </c>
      <c r="R56" s="33"/>
      <c r="S56" s="33"/>
      <c r="T56" s="31"/>
    </row>
    <row r="57" customFormat="false" ht="15" hidden="false" customHeight="true" outlineLevel="0" collapsed="false">
      <c r="A57" s="31"/>
      <c r="B57" s="32"/>
      <c r="C57" s="33"/>
      <c r="D57" s="34"/>
      <c r="E57" s="35" t="str">
        <f aca="false">IF(C57&lt;&gt;"",C57+$M$4,"")</f>
        <v/>
      </c>
      <c r="F57" s="34"/>
      <c r="G57" s="34"/>
      <c r="H57" s="36" t="str">
        <f aca="false">IF(F57&lt;&gt;"",IF(G57&lt;&gt;"",F57-G57,F57),"")</f>
        <v/>
      </c>
      <c r="I57" s="35" t="str">
        <f aca="false">IF(E57&lt;&gt;"",E57+$M$5,"")</f>
        <v/>
      </c>
      <c r="J57" s="33"/>
      <c r="K57" s="37" t="str">
        <f aca="false">IF(AND(C57&lt;&gt;"",J57&lt;&gt;""),J57-C57,"")</f>
        <v/>
      </c>
      <c r="L57" s="31"/>
      <c r="M57" s="32"/>
      <c r="N57" s="31"/>
      <c r="O57" s="34"/>
      <c r="P57" s="34"/>
      <c r="Q57" s="36" t="str">
        <f aca="false">IF(AND(H57&lt;&gt;"",L57="Paid"),H57-O57-P57,"")</f>
        <v/>
      </c>
      <c r="R57" s="33"/>
      <c r="S57" s="33"/>
      <c r="T57" s="31"/>
    </row>
    <row r="58" customFormat="false" ht="15" hidden="false" customHeight="true" outlineLevel="0" collapsed="false">
      <c r="A58" s="31"/>
      <c r="B58" s="32"/>
      <c r="C58" s="33"/>
      <c r="D58" s="34"/>
      <c r="E58" s="35" t="str">
        <f aca="false">IF(C58&lt;&gt;"",C58+$M$4,"")</f>
        <v/>
      </c>
      <c r="F58" s="34"/>
      <c r="G58" s="34"/>
      <c r="H58" s="36" t="str">
        <f aca="false">IF(F58&lt;&gt;"",IF(G58&lt;&gt;"",F58-G58,F58),"")</f>
        <v/>
      </c>
      <c r="I58" s="35" t="str">
        <f aca="false">IF(E58&lt;&gt;"",E58+$M$5,"")</f>
        <v/>
      </c>
      <c r="J58" s="33"/>
      <c r="K58" s="37" t="str">
        <f aca="false">IF(AND(C58&lt;&gt;"",J58&lt;&gt;""),J58-C58,"")</f>
        <v/>
      </c>
      <c r="L58" s="31"/>
      <c r="M58" s="32"/>
      <c r="N58" s="31"/>
      <c r="O58" s="34"/>
      <c r="P58" s="34"/>
      <c r="Q58" s="36" t="str">
        <f aca="false">IF(AND(H58&lt;&gt;"",L58="Paid"),H58-O58-P58,"")</f>
        <v/>
      </c>
      <c r="R58" s="33"/>
      <c r="S58" s="33"/>
      <c r="T58" s="31"/>
    </row>
    <row r="59" customFormat="false" ht="15" hidden="false" customHeight="true" outlineLevel="0" collapsed="false">
      <c r="A59" s="31"/>
      <c r="B59" s="32"/>
      <c r="C59" s="33"/>
      <c r="D59" s="34"/>
      <c r="E59" s="35" t="str">
        <f aca="false">IF(C59&lt;&gt;"",C59+$M$4,"")</f>
        <v/>
      </c>
      <c r="F59" s="34"/>
      <c r="G59" s="34"/>
      <c r="H59" s="36" t="str">
        <f aca="false">IF(F59&lt;&gt;"",IF(G59&lt;&gt;"",F59-G59,F59),"")</f>
        <v/>
      </c>
      <c r="I59" s="35" t="str">
        <f aca="false">IF(E59&lt;&gt;"",E59+$M$5,"")</f>
        <v/>
      </c>
      <c r="J59" s="33"/>
      <c r="K59" s="37" t="str">
        <f aca="false">IF(AND(C59&lt;&gt;"",J59&lt;&gt;""),J59-C59,"")</f>
        <v/>
      </c>
      <c r="L59" s="31"/>
      <c r="M59" s="32"/>
      <c r="N59" s="31"/>
      <c r="O59" s="34"/>
      <c r="P59" s="34"/>
      <c r="Q59" s="36" t="str">
        <f aca="false">IF(AND(H59&lt;&gt;"",L59="Paid"),H59-O59-P59,"")</f>
        <v/>
      </c>
      <c r="R59" s="33"/>
      <c r="S59" s="33"/>
      <c r="T59" s="31"/>
    </row>
    <row r="60" customFormat="false" ht="15" hidden="false" customHeight="true" outlineLevel="0" collapsed="false">
      <c r="A60" s="31"/>
      <c r="B60" s="32"/>
      <c r="C60" s="33"/>
      <c r="D60" s="34"/>
      <c r="E60" s="35" t="str">
        <f aca="false">IF(C60&lt;&gt;"",C60+$M$4,"")</f>
        <v/>
      </c>
      <c r="F60" s="34"/>
      <c r="G60" s="34"/>
      <c r="H60" s="36" t="str">
        <f aca="false">IF(F60&lt;&gt;"",IF(G60&lt;&gt;"",F60-G60,F60),"")</f>
        <v/>
      </c>
      <c r="I60" s="35" t="str">
        <f aca="false">IF(E60&lt;&gt;"",E60+$M$5,"")</f>
        <v/>
      </c>
      <c r="J60" s="33"/>
      <c r="K60" s="37" t="str">
        <f aca="false">IF(AND(C60&lt;&gt;"",J60&lt;&gt;""),J60-C60,"")</f>
        <v/>
      </c>
      <c r="L60" s="31"/>
      <c r="M60" s="32"/>
      <c r="N60" s="31"/>
      <c r="O60" s="34"/>
      <c r="P60" s="34"/>
      <c r="Q60" s="36" t="str">
        <f aca="false">IF(AND(H60&lt;&gt;"",L60="Paid"),H60-O60-P60,"")</f>
        <v/>
      </c>
      <c r="R60" s="33"/>
      <c r="S60" s="33"/>
      <c r="T60" s="31"/>
    </row>
    <row r="61" customFormat="false" ht="15" hidden="false" customHeight="true" outlineLevel="0" collapsed="false">
      <c r="A61" s="31"/>
      <c r="B61" s="32"/>
      <c r="C61" s="33"/>
      <c r="D61" s="34"/>
      <c r="E61" s="35" t="str">
        <f aca="false">IF(C61&lt;&gt;"",C61+$M$4,"")</f>
        <v/>
      </c>
      <c r="F61" s="34"/>
      <c r="G61" s="34"/>
      <c r="H61" s="36" t="str">
        <f aca="false">IF(F61&lt;&gt;"",IF(G61&lt;&gt;"",F61-G61,F61),"")</f>
        <v/>
      </c>
      <c r="I61" s="35" t="str">
        <f aca="false">IF(E61&lt;&gt;"",E61+$M$5,"")</f>
        <v/>
      </c>
      <c r="J61" s="33"/>
      <c r="K61" s="37" t="str">
        <f aca="false">IF(AND(C61&lt;&gt;"",J61&lt;&gt;""),J61-C61,"")</f>
        <v/>
      </c>
      <c r="L61" s="31"/>
      <c r="M61" s="32"/>
      <c r="N61" s="31"/>
      <c r="O61" s="34"/>
      <c r="P61" s="34"/>
      <c r="Q61" s="36" t="str">
        <f aca="false">IF(AND(H61&lt;&gt;"",L61="Paid"),H61-O61-P61,"")</f>
        <v/>
      </c>
      <c r="R61" s="33"/>
      <c r="S61" s="33"/>
      <c r="T61" s="31"/>
    </row>
    <row r="62" customFormat="false" ht="15" hidden="false" customHeight="true" outlineLevel="0" collapsed="false">
      <c r="A62" s="31"/>
      <c r="B62" s="32"/>
      <c r="C62" s="33"/>
      <c r="D62" s="34"/>
      <c r="E62" s="35" t="str">
        <f aca="false">IF(C62&lt;&gt;"",C62+$M$4,"")</f>
        <v/>
      </c>
      <c r="F62" s="34"/>
      <c r="G62" s="34"/>
      <c r="H62" s="36" t="str">
        <f aca="false">IF(F62&lt;&gt;"",IF(G62&lt;&gt;"",F62-G62,F62),"")</f>
        <v/>
      </c>
      <c r="I62" s="35" t="str">
        <f aca="false">IF(E62&lt;&gt;"",E62+$M$5,"")</f>
        <v/>
      </c>
      <c r="J62" s="33"/>
      <c r="K62" s="37" t="str">
        <f aca="false">IF(AND(C62&lt;&gt;"",J62&lt;&gt;""),J62-C62,"")</f>
        <v/>
      </c>
      <c r="L62" s="31"/>
      <c r="M62" s="32"/>
      <c r="N62" s="31"/>
      <c r="O62" s="34"/>
      <c r="P62" s="34"/>
      <c r="Q62" s="36" t="str">
        <f aca="false">IF(AND(H62&lt;&gt;"",L62="Paid"),H62-O62-P62,"")</f>
        <v/>
      </c>
      <c r="R62" s="33"/>
      <c r="S62" s="33"/>
      <c r="T62" s="31"/>
    </row>
    <row r="63" customFormat="false" ht="15" hidden="false" customHeight="true" outlineLevel="0" collapsed="false">
      <c r="A63" s="31"/>
      <c r="B63" s="32"/>
      <c r="C63" s="33"/>
      <c r="D63" s="34"/>
      <c r="E63" s="35" t="str">
        <f aca="false">IF(C63&lt;&gt;"",C63+$M$4,"")</f>
        <v/>
      </c>
      <c r="F63" s="34"/>
      <c r="G63" s="34"/>
      <c r="H63" s="36" t="str">
        <f aca="false">IF(F63&lt;&gt;"",IF(G63&lt;&gt;"",F63-G63,F63),"")</f>
        <v/>
      </c>
      <c r="I63" s="35" t="str">
        <f aca="false">IF(E63&lt;&gt;"",E63+$M$5,"")</f>
        <v/>
      </c>
      <c r="J63" s="33"/>
      <c r="K63" s="37" t="str">
        <f aca="false">IF(AND(C63&lt;&gt;"",J63&lt;&gt;""),J63-C63,"")</f>
        <v/>
      </c>
      <c r="L63" s="31"/>
      <c r="M63" s="32"/>
      <c r="N63" s="31"/>
      <c r="O63" s="34"/>
      <c r="P63" s="34"/>
      <c r="Q63" s="36" t="str">
        <f aca="false">IF(AND(H63&lt;&gt;"",L63="Paid"),H63-O63-P63,"")</f>
        <v/>
      </c>
      <c r="R63" s="33"/>
      <c r="S63" s="33"/>
      <c r="T63" s="31"/>
    </row>
    <row r="64" customFormat="false" ht="15" hidden="false" customHeight="true" outlineLevel="0" collapsed="false">
      <c r="A64" s="31"/>
      <c r="B64" s="32"/>
      <c r="C64" s="33"/>
      <c r="D64" s="34"/>
      <c r="E64" s="35" t="str">
        <f aca="false">IF(C64&lt;&gt;"",C64+$M$4,"")</f>
        <v/>
      </c>
      <c r="F64" s="34"/>
      <c r="G64" s="34"/>
      <c r="H64" s="36" t="str">
        <f aca="false">IF(F64&lt;&gt;"",IF(G64&lt;&gt;"",F64-G64,F64),"")</f>
        <v/>
      </c>
      <c r="I64" s="35" t="str">
        <f aca="false">IF(E64&lt;&gt;"",E64+$M$5,"")</f>
        <v/>
      </c>
      <c r="J64" s="33"/>
      <c r="K64" s="37" t="str">
        <f aca="false">IF(AND(C64&lt;&gt;"",J64&lt;&gt;""),J64-C64,"")</f>
        <v/>
      </c>
      <c r="L64" s="31"/>
      <c r="M64" s="32"/>
      <c r="N64" s="31"/>
      <c r="O64" s="34"/>
      <c r="P64" s="34"/>
      <c r="Q64" s="36" t="str">
        <f aca="false">IF(AND(H64&lt;&gt;"",L64="Paid"),H64-O64-P64,"")</f>
        <v/>
      </c>
      <c r="R64" s="33"/>
      <c r="S64" s="33"/>
      <c r="T64" s="31"/>
    </row>
  </sheetData>
  <autoFilter ref="A13:T64"/>
  <mergeCells count="29">
    <mergeCell ref="A1:T1"/>
    <mergeCell ref="A3:D3"/>
    <mergeCell ref="F3:I3"/>
    <mergeCell ref="J3:K3"/>
    <mergeCell ref="A4:B4"/>
    <mergeCell ref="C4:D4"/>
    <mergeCell ref="F4:G4"/>
    <mergeCell ref="H4:I4"/>
    <mergeCell ref="J4:L4"/>
    <mergeCell ref="A5:B5"/>
    <mergeCell ref="C5:D5"/>
    <mergeCell ref="F5:G5"/>
    <mergeCell ref="H5:I5"/>
    <mergeCell ref="J5:L5"/>
    <mergeCell ref="A6:B6"/>
    <mergeCell ref="C6:D6"/>
    <mergeCell ref="F6:G6"/>
    <mergeCell ref="H6:I6"/>
    <mergeCell ref="A7:B7"/>
    <mergeCell ref="C7:D7"/>
    <mergeCell ref="F7:G7"/>
    <mergeCell ref="H7:I7"/>
    <mergeCell ref="F8:G8"/>
    <mergeCell ref="H8:I8"/>
    <mergeCell ref="A10:T10"/>
    <mergeCell ref="N11:T11"/>
    <mergeCell ref="A12:D12"/>
    <mergeCell ref="E12:I12"/>
    <mergeCell ref="J12:L12"/>
  </mergeCells>
  <conditionalFormatting sqref="L14:L64">
    <cfRule type="cellIs" priority="2" operator="equal" aboveAverage="0" equalAverage="0" bottom="0" percent="0" rank="0" text="" dxfId="7">
      <formula>"Applied"</formula>
    </cfRule>
    <cfRule type="cellIs" priority="3" operator="equal" aboveAverage="0" equalAverage="0" bottom="0" percent="0" rank="0" text="" dxfId="8">
      <formula>"Certified"</formula>
    </cfRule>
    <cfRule type="cellIs" priority="4" operator="equal" aboveAverage="0" equalAverage="0" bottom="0" percent="0" rank="0" text="" dxfId="8">
      <formula>"Payment Due"</formula>
    </cfRule>
    <cfRule type="cellIs" priority="5" operator="equal" aboveAverage="0" equalAverage="0" bottom="0" percent="0" rank="0" text="" dxfId="9">
      <formula>"Paid"</formula>
    </cfRule>
    <cfRule type="cellIs" priority="6" operator="equal" aboveAverage="0" equalAverage="0" bottom="0" percent="0" rank="0" text="" dxfId="10">
      <formula>"Disputed"</formula>
    </cfRule>
    <cfRule type="cellIs" priority="7" operator="equal" aboveAverage="0" equalAverage="0" bottom="0" percent="0" rank="0" text="" dxfId="11">
      <formula>"On Hold"</formula>
    </cfRule>
  </conditionalFormatting>
  <conditionalFormatting sqref="I14:I64">
    <cfRule type="expression" priority="8" aboveAverage="0" equalAverage="0" bottom="0" percent="0" rank="0" text="" dxfId="10">
      <formula>AND(I14&lt;&gt;"",I14&lt;TODAY(),L14&lt;&gt;"Paid")</formula>
    </cfRule>
  </conditionalFormatting>
  <conditionalFormatting sqref="K14:K64">
    <cfRule type="expression" priority="9" aboveAverage="0" equalAverage="0" bottom="0" percent="0" rank="0" text="" dxfId="10">
      <formula>AND(K14&lt;&gt;"",K14&gt;28)</formula>
    </cfRule>
    <cfRule type="expression" priority="10" aboveAverage="0" equalAverage="0" bottom="0" percent="0" rank="0" text="" dxfId="8">
      <formula>AND(K14&lt;&gt;"",K14&gt;21,K14&lt;=28)</formula>
    </cfRule>
    <cfRule type="expression" priority="11" aboveAverage="0" equalAverage="0" bottom="0" percent="0" rank="0" text="" dxfId="9">
      <formula>AND(K14&lt;&gt;"",K14&lt;=21)</formula>
    </cfRule>
  </conditionalFormatting>
  <conditionalFormatting sqref="H7:I7">
    <cfRule type="expression" priority="12" aboveAverage="0" equalAverage="0" bottom="0" percent="0" rank="0" text="" dxfId="10">
      <formula>H7&gt;0</formula>
    </cfRule>
  </conditionalFormatting>
  <dataValidations count="1">
    <dataValidation allowBlank="true" errorStyle="stop" operator="between" showDropDown="false" showErrorMessage="false" showInputMessage="false" sqref="L14:L64" type="list">
      <formula1>"Applied,Certified,Payment Due,Paid,Disputed,On Hold"</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&amp;CSubcontractor Payment Tracker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true" outlineLevel="0" collapsed="false">
      <c r="A1" s="38" t="s">
        <v>109</v>
      </c>
    </row>
    <row r="2" customFormat="false" ht="15" hidden="false" customHeight="true" outlineLevel="0" collapsed="false">
      <c r="A2" s="38"/>
    </row>
    <row r="3" customFormat="false" ht="15" hidden="false" customHeight="true" outlineLevel="0" collapsed="false">
      <c r="A3" s="38" t="s">
        <v>110</v>
      </c>
    </row>
    <row r="4" customFormat="false" ht="15" hidden="false" customHeight="true" outlineLevel="0" collapsed="false">
      <c r="A4" s="38"/>
    </row>
    <row r="5" customFormat="false" ht="15" hidden="false" customHeight="true" outlineLevel="0" collapsed="false">
      <c r="A5" s="38" t="s">
        <v>111</v>
      </c>
    </row>
    <row r="6" customFormat="false" ht="15" hidden="false" customHeight="true" outlineLevel="0" collapsed="false">
      <c r="A6" s="38"/>
    </row>
    <row r="7" customFormat="false" ht="15" hidden="false" customHeight="true" outlineLevel="0" collapsed="false">
      <c r="A7" s="38" t="s">
        <v>112</v>
      </c>
    </row>
    <row r="8" customFormat="false" ht="15" hidden="false" customHeight="true" outlineLevel="0" collapsed="false">
      <c r="A8" s="38"/>
    </row>
    <row r="9" customFormat="false" ht="15" hidden="false" customHeight="true" outlineLevel="0" collapsed="false">
      <c r="A9" s="38" t="s">
        <v>113</v>
      </c>
    </row>
    <row r="10" customFormat="false" ht="15" hidden="false" customHeight="true" outlineLevel="0" collapsed="false">
      <c r="A10" s="38"/>
    </row>
    <row r="11" customFormat="false" ht="15" hidden="false" customHeight="true" outlineLevel="0" collapsed="false">
      <c r="A11" s="38" t="s">
        <v>114</v>
      </c>
    </row>
    <row r="12" customFormat="false" ht="15" hidden="false" customHeight="true" outlineLevel="0" collapsed="false">
      <c r="A12" s="38"/>
    </row>
    <row r="13" customFormat="false" ht="15" hidden="false" customHeight="true" outlineLevel="0" collapsed="false">
      <c r="A13" s="38" t="s">
        <v>115</v>
      </c>
    </row>
    <row r="14" customFormat="false" ht="15" hidden="false" customHeight="true" outlineLevel="0" collapsed="false">
      <c r="A14" s="38"/>
    </row>
    <row r="15" customFormat="false" ht="15" hidden="false" customHeight="true" outlineLevel="0" collapsed="false">
      <c r="A15" s="38" t="s">
        <v>116</v>
      </c>
    </row>
    <row r="16" customFormat="false" ht="15" hidden="false" customHeight="true" outlineLevel="0" collapsed="false">
      <c r="A16" s="38"/>
    </row>
    <row r="17" customFormat="false" ht="15" hidden="false" customHeight="true" outlineLevel="0" collapsed="false">
      <c r="A17" s="38" t="s">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Commercial &amp; Project Controls</cp:category>
  <dcterms:created xsi:type="dcterms:W3CDTF">2026-03-22T22:08:23Z</dcterms:created>
  <dc:creator>Ebrora Ltd</dc:creator>
  <dc:description>Track subcontractor payment applications through the statutory Construction Act payment cycle with automatic due date and final date calculation, pay less notice tracking, and compliance monitoring, designed for UK construction commercial and QS teams.
Free professional construction management template from Ebrora Ltd. Visit ebrora.com for our full range of tools and templates.</dc:description>
  <cp:keywords>Ebrora construction subcontractor payment Construction Act due date pay less notice commercial compliance</cp:keywords>
  <dc:language>en-US</dc:language>
  <cp:lastModifiedBy>Ebrora Ltd</cp:lastModifiedBy>
  <dcterms:modified xsi:type="dcterms:W3CDTF">2026-03-22T22:08:48Z</dcterms:modified>
  <cp:revision>0</cp:revision>
  <dc:subject>Tracker for managing subcontractor payment applications through the statutory payment cycle with automatic due date calculation and compliance monitoring.</dc:subject>
  <dc:title>Subcontractor Payment Tracker</dc:title>
</cp:coreProperties>
</file>

<file path=docProps/custom.xml><?xml version="1.0" encoding="utf-8"?>
<Properties xmlns="http://schemas.openxmlformats.org/officeDocument/2006/custom-properties" xmlns:vt="http://schemas.openxmlformats.org/officeDocument/2006/docPropsVTypes"/>
</file>