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BLE SCHEDULE AND PULL REGISTE" sheetId="1" state="visible" r:id="rId3"/>
    <sheet name="Instructions" sheetId="2" state="visible" r:id="rId4"/>
  </sheets>
  <definedNames>
    <definedName function="false" hidden="false" localSheetId="0" name="_xlnm.Print_Area" vbProcedure="false">'CABLE SCHEDULE AND PULL REGISTE'!$A$1:$P$37</definedName>
    <definedName function="false" hidden="false" localSheetId="0" name="_xlnm.Print_Titles" vbProcedure="false">'CABLE SCHEDULE AND PULL REGISTE'!$1:$6</definedName>
    <definedName function="false" hidden="true" localSheetId="0" name="_xlnm._FilterDatabase" vbProcedure="false">'CABLE SCHEDULE AND PULL REGISTE'!$A$6:$P$31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<sst xmlns="http://schemas.openxmlformats.org/spreadsheetml/2006/main" count="33" uniqueCount="32">
  <si>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</si>
  <si>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CABLE SCHEDULE AND PULL REGISTER</t>
  </si>
  <si>
    <t xml:space="preserve">Ref: BS 7671 (IET Wiring Regulations); BS EN 61439; Contract Specification</t>
  </si>
  <si>
    <t xml:space="preserve">Project:</t>
  </si>
  <si>
    <t xml:space="preserve">Prepared By:</t>
  </si>
  <si>
    <t xml:space="preserve">Rev:</t>
  </si>
  <si>
    <t xml:space="preserve">No.</t>
  </si>
  <si>
    <t xml:space="preserve">Cable
Ref</t>
  </si>
  <si>
    <t xml:space="preserve">From
(Board/Panel)</t>
  </si>
  <si>
    <t xml:space="preserve">To
(Equipment)</t>
  </si>
  <si>
    <t xml:space="preserve">Cable
Type</t>
  </si>
  <si>
    <t xml:space="preserve">No. of
Cores</t>
  </si>
  <si>
    <t xml:space="preserve">CSA
(mm²)</t>
  </si>
  <si>
    <t xml:space="preserve">Route /
Containment</t>
  </si>
  <si>
    <t xml:space="preserve">Length
(m)</t>
  </si>
  <si>
    <t xml:space="preserve">Cable
Drum No.</t>
  </si>
  <si>
    <t xml:space="preserve">Pull
Date</t>
  </si>
  <si>
    <t xml:space="preserve">Terminated
From?
(Yes/No)</t>
  </si>
  <si>
    <t xml:space="preserve">Terminated
To?
(Yes/No)</t>
  </si>
  <si>
    <t xml:space="preserve">Megger
Test Ref</t>
  </si>
  <si>
    <t xml:space="preserve">Status</t>
  </si>
  <si>
    <t xml:space="preserve">Comments</t>
  </si>
  <si>
    <t xml:space="preserve">SUMMARY</t>
  </si>
  <si>
    <t xml:space="preserve">Total Cables:</t>
  </si>
  <si>
    <t xml:space="preserve">Commissioned:</t>
  </si>
  <si>
    <t xml:space="preserve">Not Pulled:</t>
  </si>
  <si>
    <t xml:space="preserve">INSTRUCTIONS — CABLE SCHEDULE AND PULL REGISTER</t>
  </si>
  <si>
    <t xml:space="preserve">How to Use</t>
  </si>
  <si>
    <t xml:space="preserve">1. Register every cable from the cable schedule.</t>
  </si>
  <si>
    <t xml:space="preserve">2. Track pulling, termination, testing, and commissioning.</t>
  </si>
  <si>
    <t xml:space="preserve">References:</t>
  </si>
  <si>
    <t xml:space="preserve">  BS 7671 — IET Wiring Regulations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</si>
</sst>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7"/>
    <col collapsed="false" customWidth="true" hidden="false" outlineLevel="0" max="7" min="7" style="1" width="8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4" min="10" style="1" width="10"/>
    <col collapsed="false" customWidth="true" hidden="false" outlineLevel="0" max="15" min="15" style="1" width="12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3" customFormat="false" ht="15" hidden="false" customHeight="true" outlineLevel="0" collapsed="false">
      <c r="A33" s="11" t="s">
        <v>22</v>
      </c>
      <c r="B33" s="11"/>
      <c r="C33" s="11"/>
    </row>
    <row r="34" customFormat="false" ht="15" hidden="false" customHeight="true" outlineLevel="0" collapsed="false">
      <c r="A34" s="5" t="s">
        <v>23</v>
      </c>
      <c r="B34" s="5"/>
      <c r="C34" s="12" t="n">
        <f aca="false">COUNTA(B7:B31)</f>
        <v>0</v>
      </c>
    </row>
    <row r="35" customFormat="false" ht="15" hidden="false" customHeight="true" outlineLevel="0" collapsed="false">
      <c r="A35" s="5" t="s">
        <v>24</v>
      </c>
      <c r="B35" s="5"/>
      <c r="C35" s="12" t="n">
        <f aca="false">COUNTIF(O7:O31,"Commissioned")</f>
        <v>0</v>
      </c>
    </row>
    <row r="36" customFormat="false" ht="15" hidden="false" customHeight="true" outlineLevel="0" collapsed="false">
      <c r="A36" s="5" t="s">
        <v>25</v>
      </c>
      <c r="B36" s="5"/>
      <c r="C36" s="12" t="n">
        <f aca="false">COUNTIF(O7:O31,"Not Pulled")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"Commissioned"</formula>
    </cfRule>
    <cfRule type="cellIs" priority="3" operator="equal" aboveAverage="0" equalAverage="0" bottom="0" percent="0" rank="0" text="" dxfId="6">
      <formula>"Defective"</formula>
    </cfRule>
    <cfRule type="cellIs" priority="4" operator="equal" aboveAverage="0" equalAverage="0" bottom="0" percent="0" rank="0" text="" dxfId="7">
      <formula>"Terminated"</formula>
    </cfRule>
  </conditionalFormatting>
  <dataValidations count="4">
    <dataValidation allowBlank="true" errorStyle="stop" operator="between" showDropDown="false" showErrorMessage="false" showInputMessage="false" sqref="E7:E31" type="list">
      <formula1>"SWA,LSF,XLPE,FP200,MI (Mineral Insulated),Armoured,Flex,Data/Cat6,Fibre Optic,Other"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"Not Pulled,Pulled,Terminated,Tested,Commissioned,Defective"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1" t="s">
        <v>27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28</v>
      </c>
    </row>
    <row r="7" customFormat="false" ht="15" hidden="false" customHeight="false" outlineLevel="0" collapsed="false">
      <c r="B7" s="13" t="s">
        <v>29</v>
      </c>
    </row>
    <row r="8" customFormat="false" ht="15" hidden="false" customHeight="false" outlineLevel="0" collapsed="false">
      <c r="B8" s="13"/>
    </row>
    <row r="9" customFormat="false" ht="15" hidden="false" customHeight="false" outlineLevel="0" collapsed="false">
      <c r="B9" s="11" t="s">
        <v>30</v>
      </c>
    </row>
    <row r="10" customFormat="false" ht="15" hidden="false" customHeight="false" outlineLevel="0" collapsed="false">
      <c r="B10" s="4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