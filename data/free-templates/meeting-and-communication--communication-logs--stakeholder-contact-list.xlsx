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ontacts" sheetId="3" state="visible" r:id="rId5"/>
    <sheet name="Terms of Use" sheetId="4" state="hidden" r:id="rId6"/>
  </sheets>
  <definedNames>
    <definedName function="false" hidden="false" localSheetId="2" name="_xlnm.Print_Area" vbProcedure="false">Contacts!$A$1:$K$42</definedName>
    <definedName function="false" hidden="true" localSheetId="2" name="_xlnm._FilterDatabase" vbProcedure="false">Contacts!$A$6:$N$42</definedName>
    <definedName function="false" hidden="false" localSheetId="0" name="_xlnm.Print_Area" vbProcedure="false">Cover!$A$1:$H$20</definedName>
    <definedName function="false" hidden="false" name="DataTable" vbProcedure="false">Contacts!$A$6:$N$42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<sst xmlns="http://schemas.openxmlformats.org/spreadsheetml/2006/main" count="112" uniqueCount="107">
  <si>
    <t xml:space="preserve">EBRORA</t>
  </si>
  <si>
    <t xml:space="preserve">ebrora.com</t>
  </si>
  <si>
    <t xml:space="preserve">Stakeholder
Contact List</t>
  </si>
  <si>
    <t xml:space="preserve">Centralised stakeholder directory with contact details, organisation, role, influence/interest mapping, and communication preferences.</t>
  </si>
  <si>
    <t xml:space="preserve">This is a free template from Ebrora.
For our full range of professional-grade construction management tools,
visit ebrora.com</t>
  </si>
  <si>
    <t xml:space="preserve">© Ebrora 2026 — All rights reserved</t>
  </si>
  <si>
    <t xml:space="preserve">How to Use This Template</t>
  </si>
  <si>
    <t xml:space="preserve">Step-by-Step Instructions</t>
  </si>
  <si>
    <t xml:space="preserve">1. Go to the 'Contacts' sheet. List all project stakeholders with their contact details.</t>
  </si>
  <si>
    <t xml:space="preserve">2. Enter the name, organisation, role, and contact details (phone, email) for each stakeholder.</t>
  </si>
  <si>
    <t xml:space="preserve">3. Categorise each stakeholder (Client, Consultant, Subcontractor, Statutory, Community, etc.).</t>
  </si>
  <si>
    <t xml:space="preserve">4. Rate their Influence (1–5) and Interest (1–5) to understand engagement priority.</t>
  </si>
  <si>
    <t xml:space="preserve">5. Engagement Level auto-calculates: Manage Closely (high both), Keep Satisfied, Keep Informed, or Monitor.</t>
  </si>
  <si>
    <t xml:space="preserve">6. Record the preferred communication method and frequency for each stakeholder.</t>
  </si>
  <si>
    <t xml:space="preserve">7. Expand optional columns [+] for address, emergency contact, and notes.</t>
  </si>
  <si>
    <t xml:space="preserve">8. Keep this list updated — it's the single source of truth for who to contact about what.</t>
  </si>
  <si>
    <t xml:space="preserve">Colour Key</t>
  </si>
  <si>
    <t xml:space="preserve">Light teal</t>
  </si>
  <si>
    <t xml:space="preserve">Editable cells</t>
  </si>
  <si>
    <t xml:space="preserve">Dark navy</t>
  </si>
  <si>
    <t xml:space="preserve">Headers</t>
  </si>
  <si>
    <t xml:space="preserve">Green</t>
  </si>
  <si>
    <t xml:space="preserve">Monitor — low engagement needed</t>
  </si>
  <si>
    <t xml:space="preserve">Amber</t>
  </si>
  <si>
    <t xml:space="preserve">Keep Informed / Keep Satisfied</t>
  </si>
  <si>
    <t xml:space="preserve">Red</t>
  </si>
  <si>
    <t xml:space="preserve">Manage Closely — high influence &amp; interest</t>
  </si>
  <si>
    <t xml:space="preserve">Tips</t>
  </si>
  <si>
    <t xml:space="preserve">• Influence = their power to affect the project. Interest = how much they care about the outcome.</t>
  </si>
  <si>
    <t xml:space="preserve">• 'Manage Closely' stakeholders should hear from you weekly. 'Monitor' stakeholders need updates monthly at most.</t>
  </si>
  <si>
    <t xml:space="preserve">• Include statutory bodies (EA, HSE, local authority) — you'll need their details when something goes wrong.</t>
  </si>
  <si>
    <t xml:space="preserve">STAKEHOLDER CONTACT LIST</t>
  </si>
  <si>
    <t xml:space="preserve">Total Contacts</t>
  </si>
  <si>
    <t xml:space="preserve">Manage Closely</t>
  </si>
  <si>
    <t xml:space="preserve">Keep Satisfied</t>
  </si>
  <si>
    <t xml:space="preserve">Keep Informed</t>
  </si>
  <si>
    <t xml:space="preserve">Monitor</t>
  </si>
  <si>
    <t xml:space="preserve">▸ Optional Fields — Click [+] to expand</t>
  </si>
  <si>
    <t xml:space="preserve">Name</t>
  </si>
  <si>
    <t xml:space="preserve">Organisation</t>
  </si>
  <si>
    <t xml:space="preserve">Role / Title</t>
  </si>
  <si>
    <t xml:space="preserve">Category</t>
  </si>
  <si>
    <t xml:space="preserve">Email</t>
  </si>
  <si>
    <t xml:space="preserve">Phone</t>
  </si>
  <si>
    <t xml:space="preserve">Influence
(1–5)</t>
  </si>
  <si>
    <t xml:space="preserve">Interest
(1–5)</t>
  </si>
  <si>
    <t xml:space="preserve">Engagement
Level</t>
  </si>
  <si>
    <t xml:space="preserve">Comms
Method</t>
  </si>
  <si>
    <t xml:space="preserve">Notes</t>
  </si>
  <si>
    <t xml:space="preserve">Address</t>
  </si>
  <si>
    <t xml:space="preserve">Emergency
Contact</t>
  </si>
  <si>
    <t xml:space="preserve">Additional Notes</t>
  </si>
  <si>
    <t xml:space="preserve">J. Stevens</t>
  </si>
  <si>
    <t xml:space="preserve">Client Co</t>
  </si>
  <si>
    <t xml:space="preserve">Project Manager</t>
  </si>
  <si>
    <t xml:space="preserve">Client</t>
  </si>
  <si>
    <t xml:space="preserve">j.stevens@clientco.com</t>
  </si>
  <si>
    <t xml:space="preserve">07700 900001</t>
  </si>
  <si>
    <t xml:space="preserve">Meeting</t>
  </si>
  <si>
    <t xml:space="preserve">Key decision maker — weekly meetings</t>
  </si>
  <si>
    <t xml:space="preserve">123 High Street, London EC1</t>
  </si>
  <si>
    <t xml:space="preserve">Chair of progress meetings</t>
  </si>
  <si>
    <t xml:space="preserve">S. Okonkwo</t>
  </si>
  <si>
    <t xml:space="preserve">Design Consultants</t>
  </si>
  <si>
    <t xml:space="preserve">Lead Structural Engineer</t>
  </si>
  <si>
    <t xml:space="preserve">Consultant</t>
  </si>
  <si>
    <t xml:space="preserve">s.okonkwo@designco.com</t>
  </si>
  <si>
    <t xml:space="preserve">07700 900002</t>
  </si>
  <si>
    <t xml:space="preserve">Design authority for structural elements</t>
  </si>
  <si>
    <t xml:space="preserve">D. Murphy</t>
  </si>
  <si>
    <t xml:space="preserve">Murphy Groundworks</t>
  </si>
  <si>
    <t xml:space="preserve">Contracts Manager</t>
  </si>
  <si>
    <t xml:space="preserve">Subcontractor</t>
  </si>
  <si>
    <t xml:space="preserve">d.murphy@murphygw.com</t>
  </si>
  <si>
    <t xml:space="preserve">07700 900003</t>
  </si>
  <si>
    <t xml:space="preserve">Groundworks subcontractor — main package</t>
  </si>
  <si>
    <t xml:space="preserve">07700 900099</t>
  </si>
  <si>
    <t xml:space="preserve">P. Wilson</t>
  </si>
  <si>
    <t xml:space="preserve">Environment Agency</t>
  </si>
  <si>
    <t xml:space="preserve">Area Officer</t>
  </si>
  <si>
    <t xml:space="preserve">Statutory Body</t>
  </si>
  <si>
    <t xml:space="preserve">p.wilson@environment-agency.gov.uk</t>
  </si>
  <si>
    <t xml:space="preserve">03708 506506</t>
  </si>
  <si>
    <t xml:space="preserve">Letter</t>
  </si>
  <si>
    <t xml:space="preserve">Discharge consent holder — formal comms only</t>
  </si>
  <si>
    <t xml:space="preserve">Mrs A. Brown</t>
  </si>
  <si>
    <t xml:space="preserve">Local Resident</t>
  </si>
  <si>
    <t xml:space="preserve">Neighbour</t>
  </si>
  <si>
    <t xml:space="preserve">Community</t>
  </si>
  <si>
    <t xml:space="preserve">07700 900005</t>
  </si>
  <si>
    <t xml:space="preserve">Adjacent property — noise concerns raised</t>
  </si>
  <si>
    <t xml:space="preserve">14 Oak Lane, Anytown</t>
  </si>
  <si>
    <t xml:space="preserve">Very engaged — responds to all consultations</t>
  </si>
  <si>
    <t xml:space="preserve">T. Kowalski</t>
  </si>
  <si>
    <t xml:space="preserve">HSE</t>
  </si>
  <si>
    <t xml:space="preserve">Inspector</t>
  </si>
  <si>
    <t xml:space="preserve">0300 003 1647</t>
  </si>
  <si>
    <t xml:space="preserve">Construction division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</si>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</sst>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0"/>
      <color rgb="FF2AABB3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medium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color rgb="FF9C6500"/>
      </font>
      <fill>
        <patternFill>
          <bgColor rgb="FFFFEB9C"/>
        </patternFill>
      </fill>
    </dxf>
    <dxf>
      <font>
        <name val="Calibri"/>
        <charset val="1"/>
        <family val="0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false" outlineLevel="0" collapsed="false">
      <c r="A3" s="9" t="s">
        <v>7</v>
      </c>
      <c r="B3" s="9"/>
      <c r="C3" s="9"/>
      <c r="D3" s="9"/>
      <c r="E3" s="9"/>
      <c r="F3" s="9"/>
    </row>
    <row r="4" customFormat="false" ht="30" hidden="false" customHeight="true" outlineLevel="0" collapsed="false">
      <c r="A4" s="10" t="s">
        <v>8</v>
      </c>
      <c r="B4" s="10"/>
      <c r="C4" s="10"/>
      <c r="D4" s="10"/>
      <c r="E4" s="10"/>
      <c r="F4" s="10"/>
    </row>
    <row r="5" customFormat="false" ht="30" hidden="false" customHeight="true" outlineLevel="0" collapsed="false">
      <c r="A5" s="10" t="s">
        <v>9</v>
      </c>
      <c r="B5" s="10"/>
      <c r="C5" s="10"/>
      <c r="D5" s="10"/>
      <c r="E5" s="10"/>
      <c r="F5" s="10"/>
    </row>
    <row r="6" customFormat="false" ht="30" hidden="false" customHeight="true" outlineLevel="0" collapsed="false">
      <c r="A6" s="10" t="s">
        <v>10</v>
      </c>
      <c r="B6" s="10"/>
      <c r="C6" s="10"/>
      <c r="D6" s="10"/>
      <c r="E6" s="10"/>
      <c r="F6" s="10"/>
    </row>
    <row r="7" customFormat="false" ht="30" hidden="false" customHeight="true" outlineLevel="0" collapsed="false">
      <c r="A7" s="10" t="s">
        <v>11</v>
      </c>
      <c r="B7" s="10"/>
      <c r="C7" s="10"/>
      <c r="D7" s="10"/>
      <c r="E7" s="10"/>
      <c r="F7" s="10"/>
    </row>
    <row r="8" customFormat="false" ht="30" hidden="false" customHeight="true" outlineLevel="0" collapsed="false">
      <c r="A8" s="10" t="s">
        <v>12</v>
      </c>
      <c r="B8" s="10"/>
      <c r="C8" s="10"/>
      <c r="D8" s="10"/>
      <c r="E8" s="10"/>
      <c r="F8" s="10"/>
    </row>
    <row r="9" customFormat="false" ht="30" hidden="false" customHeight="true" outlineLevel="0" collapsed="false">
      <c r="A9" s="10" t="s">
        <v>13</v>
      </c>
      <c r="B9" s="10"/>
      <c r="C9" s="10"/>
      <c r="D9" s="10"/>
      <c r="E9" s="10"/>
      <c r="F9" s="10"/>
    </row>
    <row r="10" customFormat="false" ht="30" hidden="false" customHeight="true" outlineLevel="0" collapsed="false">
      <c r="A10" s="10" t="s">
        <v>14</v>
      </c>
      <c r="B10" s="10"/>
      <c r="C10" s="10"/>
      <c r="D10" s="10"/>
      <c r="E10" s="10"/>
      <c r="F10" s="10"/>
    </row>
    <row r="11" customFormat="false" ht="30" hidden="false" customHeight="true" outlineLevel="0" collapsed="false">
      <c r="A11" s="10" t="s">
        <v>15</v>
      </c>
      <c r="B11" s="10"/>
      <c r="C11" s="10"/>
      <c r="D11" s="10"/>
      <c r="E11" s="10"/>
      <c r="F11" s="10"/>
    </row>
    <row r="13" customFormat="false" ht="15" hidden="false" customHeight="false" outlineLevel="0" collapsed="false">
      <c r="A13" s="9" t="s">
        <v>16</v>
      </c>
      <c r="B13" s="9"/>
      <c r="C13" s="9"/>
      <c r="D13" s="9"/>
      <c r="E13" s="9"/>
      <c r="F13" s="9"/>
    </row>
    <row r="14" customFormat="false" ht="15" hidden="false" customHeight="false" outlineLevel="0" collapsed="false">
      <c r="A14" s="11"/>
      <c r="B14" s="12" t="s">
        <v>17</v>
      </c>
      <c r="C14" s="12"/>
      <c r="D14" s="13" t="s">
        <v>18</v>
      </c>
      <c r="E14" s="13"/>
      <c r="F14" s="13"/>
    </row>
    <row r="15" customFormat="false" ht="15" hidden="false" customHeight="false" outlineLevel="0" collapsed="false">
      <c r="A15" s="14"/>
      <c r="B15" s="12" t="s">
        <v>19</v>
      </c>
      <c r="C15" s="12"/>
      <c r="D15" s="13" t="s">
        <v>20</v>
      </c>
      <c r="E15" s="13"/>
      <c r="F15" s="13"/>
    </row>
    <row r="16" customFormat="false" ht="15" hidden="false" customHeight="false" outlineLevel="0" collapsed="false">
      <c r="A16" s="15"/>
      <c r="B16" s="12" t="s">
        <v>21</v>
      </c>
      <c r="C16" s="12"/>
      <c r="D16" s="13" t="s">
        <v>22</v>
      </c>
      <c r="E16" s="13"/>
      <c r="F16" s="13"/>
    </row>
    <row r="17" customFormat="false" ht="15" hidden="false" customHeight="false" outlineLevel="0" collapsed="false">
      <c r="A17" s="16"/>
      <c r="B17" s="12" t="s">
        <v>23</v>
      </c>
      <c r="C17" s="12"/>
      <c r="D17" s="13" t="s">
        <v>24</v>
      </c>
      <c r="E17" s="13"/>
      <c r="F17" s="13"/>
    </row>
    <row r="18" customFormat="false" ht="15" hidden="false" customHeight="false" outlineLevel="0" collapsed="false">
      <c r="A18" s="17"/>
      <c r="B18" s="12" t="s">
        <v>25</v>
      </c>
      <c r="C18" s="12"/>
      <c r="D18" s="13" t="s">
        <v>26</v>
      </c>
      <c r="E18" s="13"/>
      <c r="F18" s="13"/>
    </row>
    <row r="20" customFormat="false" ht="15" hidden="false" customHeight="false" outlineLevel="0" collapsed="false">
      <c r="A20" s="9" t="s">
        <v>27</v>
      </c>
      <c r="B20" s="9"/>
      <c r="C20" s="9"/>
      <c r="D20" s="9"/>
      <c r="E20" s="9"/>
      <c r="F20" s="9"/>
    </row>
    <row r="21" customFormat="false" ht="30" hidden="false" customHeight="true" outlineLevel="0" collapsed="false">
      <c r="A21" s="10" t="s">
        <v>28</v>
      </c>
      <c r="B21" s="10"/>
      <c r="C21" s="10"/>
      <c r="D21" s="10"/>
      <c r="E21" s="10"/>
      <c r="F21" s="10"/>
    </row>
    <row r="22" customFormat="false" ht="30" hidden="false" customHeight="true" outlineLevel="0" collapsed="false">
      <c r="A22" s="10" t="s">
        <v>29</v>
      </c>
      <c r="B22" s="10"/>
      <c r="C22" s="10"/>
      <c r="D22" s="10"/>
      <c r="E22" s="10"/>
      <c r="F22" s="10"/>
    </row>
    <row r="23" customFormat="false" ht="30" hidden="false" customHeight="true" outlineLevel="0" collapsed="false">
      <c r="A23" s="10" t="s">
        <v>30</v>
      </c>
      <c r="B23" s="10"/>
      <c r="C23" s="10"/>
      <c r="D23" s="10"/>
      <c r="E23" s="10"/>
      <c r="F23" s="10"/>
    </row>
  </sheetData>
  <mergeCells count="25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A20:F20"/>
    <mergeCell ref="A21:F21"/>
    <mergeCell ref="A22:F2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8"/>
    <col collapsed="false" customWidth="true" hidden="true" outlineLevel="1" max="14" min="12" style="0" width="30"/>
  </cols>
  <sheetData>
    <row r="1" customFormat="false" ht="18.65" hidden="false" customHeight="true" outlineLevel="0" collapsed="false">
      <c r="A1" s="18" t="s">
        <v>31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  <c r="M1" s="19"/>
      <c r="N1" s="19"/>
    </row>
    <row r="2" customFormat="false" ht="6" hidden="false" customHeight="true" outlineLevel="0" collapsed="false"/>
    <row r="3" customFormat="false" ht="15" hidden="false" customHeight="false" outlineLevel="0" collapsed="false">
      <c r="A3" s="20" t="s">
        <v>32</v>
      </c>
      <c r="C3" s="20" t="s">
        <v>33</v>
      </c>
      <c r="E3" s="20" t="s">
        <v>34</v>
      </c>
      <c r="G3" s="20" t="s">
        <v>35</v>
      </c>
      <c r="I3" s="20" t="s">
        <v>36</v>
      </c>
    </row>
    <row r="4" customFormat="false" ht="20.85" hidden="false" customHeight="false" outlineLevel="0" collapsed="false">
      <c r="A4" s="21" t="n">
        <f aca="false">COUNTA(A7:A42)</f>
        <v>6</v>
      </c>
      <c r="C4" s="21" t="n">
        <f aca="false">COUNTIF(I7:I42,"Manage Closely")</f>
        <v>2</v>
      </c>
      <c r="E4" s="21" t="n">
        <f aca="false">COUNTIF(I7:I42,"Keep Satisfied")</f>
        <v>2</v>
      </c>
      <c r="G4" s="21" t="n">
        <f aca="false">COUNTIF(I7:I42,"Keep Informed")</f>
        <v>2</v>
      </c>
      <c r="I4" s="21" t="n">
        <f aca="false">COUNTIF(I7:I42,"Monitor")</f>
        <v>0</v>
      </c>
    </row>
    <row r="5" customFormat="false" ht="15" hidden="false" customHeight="true" outlineLevel="0" collapsed="false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 t="s">
        <v>37</v>
      </c>
      <c r="M5" s="23"/>
      <c r="N5" s="23"/>
    </row>
    <row r="6" customFormat="false" ht="36" hidden="false" customHeight="true" outlineLevel="0" collapsed="false">
      <c r="A6" s="24" t="s">
        <v>38</v>
      </c>
      <c r="B6" s="24" t="s">
        <v>39</v>
      </c>
      <c r="C6" s="24" t="s">
        <v>40</v>
      </c>
      <c r="D6" s="24" t="s">
        <v>41</v>
      </c>
      <c r="E6" s="24" t="s">
        <v>42</v>
      </c>
      <c r="F6" s="24" t="s">
        <v>43</v>
      </c>
      <c r="G6" s="24" t="s">
        <v>44</v>
      </c>
      <c r="H6" s="24" t="s">
        <v>45</v>
      </c>
      <c r="I6" s="24" t="s">
        <v>46</v>
      </c>
      <c r="J6" s="24" t="s">
        <v>47</v>
      </c>
      <c r="K6" s="24" t="s">
        <v>48</v>
      </c>
      <c r="L6" s="24" t="s">
        <v>49</v>
      </c>
      <c r="M6" s="24" t="s">
        <v>50</v>
      </c>
      <c r="N6" s="24" t="s">
        <v>51</v>
      </c>
    </row>
    <row r="7" customFormat="false" ht="23.85" hidden="false" customHeight="false" outlineLevel="0" collapsed="false">
      <c r="A7" s="25" t="s">
        <v>52</v>
      </c>
      <c r="B7" s="25" t="s">
        <v>53</v>
      </c>
      <c r="C7" s="25" t="s">
        <v>54</v>
      </c>
      <c r="D7" s="26" t="s">
        <v>55</v>
      </c>
      <c r="E7" s="25" t="s">
        <v>56</v>
      </c>
      <c r="F7" s="26" t="s">
        <v>57</v>
      </c>
      <c r="G7" s="26" t="n">
        <v>5</v>
      </c>
      <c r="H7" s="26" t="n">
        <v>5</v>
      </c>
      <c r="I7" s="27" t="str">
        <f aca="false">IF(OR(G7="",H7=""),"",IF(AND(G7&gt;=4,H7&gt;=4),"Manage Closely",IF(AND(G7&gt;=4,H7&lt;4),"Keep Satisfied",IF(AND(G7&lt;4,H7&gt;=4),"Keep Informed","Monitor"))))</f>
        <v>Manage Closely</v>
      </c>
      <c r="J7" s="26" t="s">
        <v>58</v>
      </c>
      <c r="K7" s="25" t="s">
        <v>59</v>
      </c>
      <c r="L7" s="25" t="s">
        <v>60</v>
      </c>
      <c r="M7" s="26"/>
      <c r="N7" s="25" t="s">
        <v>61</v>
      </c>
    </row>
    <row r="8" customFormat="false" ht="23.85" hidden="false" customHeight="false" outlineLevel="0" collapsed="false">
      <c r="A8" s="25" t="s">
        <v>62</v>
      </c>
      <c r="B8" s="25" t="s">
        <v>63</v>
      </c>
      <c r="C8" s="25" t="s">
        <v>64</v>
      </c>
      <c r="D8" s="26" t="s">
        <v>65</v>
      </c>
      <c r="E8" s="25" t="s">
        <v>66</v>
      </c>
      <c r="F8" s="26" t="s">
        <v>67</v>
      </c>
      <c r="G8" s="26" t="n">
        <v>4</v>
      </c>
      <c r="H8" s="26" t="n">
        <v>4</v>
      </c>
      <c r="I8" s="27" t="str">
        <f aca="false">IF(OR(G8="",H8=""),"",IF(AND(G8&gt;=4,H8&gt;=4),"Manage Closely",IF(AND(G8&gt;=4,H8&lt;4),"Keep Satisfied",IF(AND(G8&lt;4,H8&gt;=4),"Keep Informed","Monitor"))))</f>
        <v>Manage Closely</v>
      </c>
      <c r="J8" s="26" t="s">
        <v>42</v>
      </c>
      <c r="K8" s="25" t="s">
        <v>68</v>
      </c>
      <c r="L8" s="25"/>
      <c r="M8" s="26"/>
      <c r="N8" s="25"/>
    </row>
    <row r="9" customFormat="false" ht="23.85" hidden="false" customHeight="false" outlineLevel="0" collapsed="false">
      <c r="A9" s="25" t="s">
        <v>69</v>
      </c>
      <c r="B9" s="25" t="s">
        <v>70</v>
      </c>
      <c r="C9" s="25" t="s">
        <v>71</v>
      </c>
      <c r="D9" s="26" t="s">
        <v>72</v>
      </c>
      <c r="E9" s="25" t="s">
        <v>73</v>
      </c>
      <c r="F9" s="26" t="s">
        <v>74</v>
      </c>
      <c r="G9" s="26" t="n">
        <v>3</v>
      </c>
      <c r="H9" s="26" t="n">
        <v>4</v>
      </c>
      <c r="I9" s="27" t="str">
        <f aca="false">IF(OR(G9="",H9=""),"",IF(AND(G9&gt;=4,H9&gt;=4),"Manage Closely",IF(AND(G9&gt;=4,H9&lt;4),"Keep Satisfied",IF(AND(G9&lt;4,H9&gt;=4),"Keep Informed","Monitor"))))</f>
        <v>Keep Informed</v>
      </c>
      <c r="J9" s="26" t="s">
        <v>43</v>
      </c>
      <c r="K9" s="25" t="s">
        <v>75</v>
      </c>
      <c r="L9" s="25"/>
      <c r="M9" s="26" t="s">
        <v>76</v>
      </c>
      <c r="N9" s="25"/>
    </row>
    <row r="10" customFormat="false" ht="23.85" hidden="false" customHeight="false" outlineLevel="0" collapsed="false">
      <c r="A10" s="25" t="s">
        <v>77</v>
      </c>
      <c r="B10" s="25" t="s">
        <v>78</v>
      </c>
      <c r="C10" s="25" t="s">
        <v>79</v>
      </c>
      <c r="D10" s="26" t="s">
        <v>80</v>
      </c>
      <c r="E10" s="25" t="s">
        <v>81</v>
      </c>
      <c r="F10" s="26" t="s">
        <v>82</v>
      </c>
      <c r="G10" s="26" t="n">
        <v>5</v>
      </c>
      <c r="H10" s="26" t="n">
        <v>2</v>
      </c>
      <c r="I10" s="27" t="str">
        <f aca="false">IF(OR(G10="",H10=""),"",IF(AND(G10&gt;=4,H10&gt;=4),"Manage Closely",IF(AND(G10&gt;=4,H10&lt;4),"Keep Satisfied",IF(AND(G10&lt;4,H10&gt;=4),"Keep Informed","Monitor"))))</f>
        <v>Keep Satisfied</v>
      </c>
      <c r="J10" s="26" t="s">
        <v>83</v>
      </c>
      <c r="K10" s="25" t="s">
        <v>84</v>
      </c>
      <c r="L10" s="25"/>
      <c r="M10" s="26"/>
      <c r="N10" s="25"/>
    </row>
    <row r="11" customFormat="false" ht="23.85" hidden="false" customHeight="false" outlineLevel="0" collapsed="false">
      <c r="A11" s="25" t="s">
        <v>85</v>
      </c>
      <c r="B11" s="25" t="s">
        <v>86</v>
      </c>
      <c r="C11" s="25" t="s">
        <v>87</v>
      </c>
      <c r="D11" s="26" t="s">
        <v>88</v>
      </c>
      <c r="E11" s="25"/>
      <c r="F11" s="26" t="s">
        <v>89</v>
      </c>
      <c r="G11" s="26" t="n">
        <v>2</v>
      </c>
      <c r="H11" s="26" t="n">
        <v>5</v>
      </c>
      <c r="I11" s="27" t="str">
        <f aca="false">IF(OR(G11="",H11=""),"",IF(AND(G11&gt;=4,H11&gt;=4),"Manage Closely",IF(AND(G11&gt;=4,H11&lt;4),"Keep Satisfied",IF(AND(G11&lt;4,H11&gt;=4),"Keep Informed","Monitor"))))</f>
        <v>Keep Informed</v>
      </c>
      <c r="J11" s="26" t="s">
        <v>83</v>
      </c>
      <c r="K11" s="25" t="s">
        <v>90</v>
      </c>
      <c r="L11" s="25" t="s">
        <v>91</v>
      </c>
      <c r="M11" s="26"/>
      <c r="N11" s="25" t="s">
        <v>92</v>
      </c>
    </row>
    <row r="12" customFormat="false" ht="15" hidden="false" customHeight="false" outlineLevel="0" collapsed="false">
      <c r="A12" s="25" t="s">
        <v>93</v>
      </c>
      <c r="B12" s="25" t="s">
        <v>94</v>
      </c>
      <c r="C12" s="25" t="s">
        <v>95</v>
      </c>
      <c r="D12" s="26" t="s">
        <v>80</v>
      </c>
      <c r="E12" s="25"/>
      <c r="F12" s="26" t="s">
        <v>96</v>
      </c>
      <c r="G12" s="26" t="n">
        <v>5</v>
      </c>
      <c r="H12" s="26" t="n">
        <v>3</v>
      </c>
      <c r="I12" s="27" t="str">
        <f aca="false">IF(OR(G12="",H12=""),"",IF(AND(G12&gt;=4,H12&gt;=4),"Manage Closely",IF(AND(G12&gt;=4,H12&lt;4),"Keep Satisfied",IF(AND(G12&lt;4,H12&gt;=4),"Keep Informed","Monitor"))))</f>
        <v>Keep Satisfied</v>
      </c>
      <c r="J12" s="26" t="s">
        <v>43</v>
      </c>
      <c r="K12" s="25" t="s">
        <v>97</v>
      </c>
      <c r="L12" s="25"/>
      <c r="M12" s="26"/>
      <c r="N12" s="25"/>
    </row>
    <row r="13" customFormat="false" ht="15" hidden="false" customHeight="false" outlineLevel="0" collapsed="false">
      <c r="A13" s="25"/>
      <c r="B13" s="25"/>
      <c r="C13" s="25"/>
      <c r="D13" s="26"/>
      <c r="E13" s="25"/>
      <c r="F13" s="26"/>
      <c r="G13" s="26"/>
      <c r="H13" s="26"/>
      <c r="I13" s="27" t="str">
        <f aca="false">IF(OR(G13="",H13=""),"",IF(AND(G13&gt;=4,H13&gt;=4),"Manage Closely",IF(AND(G13&gt;=4,H13&lt;4),"Keep Satisfied",IF(AND(G13&lt;4,H13&gt;=4),"Keep Informed","Monitor"))))</f>
        <v/>
      </c>
      <c r="J13" s="26"/>
      <c r="K13" s="25"/>
      <c r="L13" s="25"/>
      <c r="M13" s="26"/>
      <c r="N13" s="25"/>
    </row>
    <row r="14" customFormat="false" ht="15" hidden="false" customHeight="false" outlineLevel="0" collapsed="false">
      <c r="A14" s="25"/>
      <c r="B14" s="25"/>
      <c r="C14" s="25"/>
      <c r="D14" s="26"/>
      <c r="E14" s="25"/>
      <c r="F14" s="26"/>
      <c r="G14" s="26"/>
      <c r="H14" s="26"/>
      <c r="I14" s="27" t="str">
        <f aca="false">IF(OR(G14="",H14=""),"",IF(AND(G14&gt;=4,H14&gt;=4),"Manage Closely",IF(AND(G14&gt;=4,H14&lt;4),"Keep Satisfied",IF(AND(G14&lt;4,H14&gt;=4),"Keep Informed","Monitor"))))</f>
        <v/>
      </c>
      <c r="J14" s="26"/>
      <c r="K14" s="25"/>
      <c r="L14" s="25"/>
      <c r="M14" s="26"/>
      <c r="N14" s="25"/>
    </row>
    <row r="15" customFormat="false" ht="15" hidden="false" customHeight="false" outlineLevel="0" collapsed="false">
      <c r="A15" s="25"/>
      <c r="B15" s="25"/>
      <c r="C15" s="25"/>
      <c r="D15" s="26"/>
      <c r="E15" s="25"/>
      <c r="F15" s="26"/>
      <c r="G15" s="26"/>
      <c r="H15" s="26"/>
      <c r="I15" s="27" t="str">
        <f aca="false">IF(OR(G15="",H15=""),"",IF(AND(G15&gt;=4,H15&gt;=4),"Manage Closely",IF(AND(G15&gt;=4,H15&lt;4),"Keep Satisfied",IF(AND(G15&lt;4,H15&gt;=4),"Keep Informed","Monitor"))))</f>
        <v/>
      </c>
      <c r="J15" s="26"/>
      <c r="K15" s="25"/>
      <c r="L15" s="25"/>
      <c r="M15" s="26"/>
      <c r="N15" s="25"/>
    </row>
    <row r="16" customFormat="false" ht="15" hidden="false" customHeight="false" outlineLevel="0" collapsed="false">
      <c r="A16" s="25"/>
      <c r="B16" s="25"/>
      <c r="C16" s="25"/>
      <c r="D16" s="26"/>
      <c r="E16" s="25"/>
      <c r="F16" s="26"/>
      <c r="G16" s="26"/>
      <c r="H16" s="26"/>
      <c r="I16" s="27" t="str">
        <f aca="false">IF(OR(G16="",H16=""),"",IF(AND(G16&gt;=4,H16&gt;=4),"Manage Closely",IF(AND(G16&gt;=4,H16&lt;4),"Keep Satisfied",IF(AND(G16&lt;4,H16&gt;=4),"Keep Informed","Monitor"))))</f>
        <v/>
      </c>
      <c r="J16" s="26"/>
      <c r="K16" s="25"/>
      <c r="L16" s="25"/>
      <c r="M16" s="26"/>
      <c r="N16" s="25"/>
    </row>
    <row r="17" customFormat="false" ht="15" hidden="false" customHeight="false" outlineLevel="0" collapsed="false">
      <c r="A17" s="25"/>
      <c r="B17" s="25"/>
      <c r="C17" s="25"/>
      <c r="D17" s="26"/>
      <c r="E17" s="25"/>
      <c r="F17" s="26"/>
      <c r="G17" s="26"/>
      <c r="H17" s="26"/>
      <c r="I17" s="27" t="str">
        <f aca="false">IF(OR(G17="",H17=""),"",IF(AND(G17&gt;=4,H17&gt;=4),"Manage Closely",IF(AND(G17&gt;=4,H17&lt;4),"Keep Satisfied",IF(AND(G17&lt;4,H17&gt;=4),"Keep Informed","Monitor"))))</f>
        <v/>
      </c>
      <c r="J17" s="26"/>
      <c r="K17" s="25"/>
      <c r="L17" s="25"/>
      <c r="M17" s="26"/>
      <c r="N17" s="25"/>
    </row>
    <row r="18" customFormat="false" ht="15" hidden="false" customHeight="false" outlineLevel="0" collapsed="false">
      <c r="A18" s="25"/>
      <c r="B18" s="25"/>
      <c r="C18" s="25"/>
      <c r="D18" s="26"/>
      <c r="E18" s="25"/>
      <c r="F18" s="26"/>
      <c r="G18" s="26"/>
      <c r="H18" s="26"/>
      <c r="I18" s="27" t="str">
        <f aca="false">IF(OR(G18="",H18=""),"",IF(AND(G18&gt;=4,H18&gt;=4),"Manage Closely",IF(AND(G18&gt;=4,H18&lt;4),"Keep Satisfied",IF(AND(G18&lt;4,H18&gt;=4),"Keep Informed","Monitor"))))</f>
        <v/>
      </c>
      <c r="J18" s="26"/>
      <c r="K18" s="25"/>
      <c r="L18" s="25"/>
      <c r="M18" s="26"/>
      <c r="N18" s="25"/>
    </row>
    <row r="19" customFormat="false" ht="15" hidden="false" customHeight="false" outlineLevel="0" collapsed="false">
      <c r="A19" s="25"/>
      <c r="B19" s="25"/>
      <c r="C19" s="25"/>
      <c r="D19" s="26"/>
      <c r="E19" s="25"/>
      <c r="F19" s="26"/>
      <c r="G19" s="26"/>
      <c r="H19" s="26"/>
      <c r="I19" s="27" t="str">
        <f aca="false">IF(OR(G19="",H19=""),"",IF(AND(G19&gt;=4,H19&gt;=4),"Manage Closely",IF(AND(G19&gt;=4,H19&lt;4),"Keep Satisfied",IF(AND(G19&lt;4,H19&gt;=4),"Keep Informed","Monitor"))))</f>
        <v/>
      </c>
      <c r="J19" s="26"/>
      <c r="K19" s="25"/>
      <c r="L19" s="25"/>
      <c r="M19" s="26"/>
      <c r="N19" s="25"/>
    </row>
    <row r="20" customFormat="false" ht="15" hidden="false" customHeight="false" outlineLevel="0" collapsed="false">
      <c r="A20" s="25"/>
      <c r="B20" s="25"/>
      <c r="C20" s="25"/>
      <c r="D20" s="26"/>
      <c r="E20" s="25"/>
      <c r="F20" s="26"/>
      <c r="G20" s="26"/>
      <c r="H20" s="26"/>
      <c r="I20" s="27" t="str">
        <f aca="false">IF(OR(G20="",H20=""),"",IF(AND(G20&gt;=4,H20&gt;=4),"Manage Closely",IF(AND(G20&gt;=4,H20&lt;4),"Keep Satisfied",IF(AND(G20&lt;4,H20&gt;=4),"Keep Informed","Monitor"))))</f>
        <v/>
      </c>
      <c r="J20" s="26"/>
      <c r="K20" s="25"/>
      <c r="L20" s="25"/>
      <c r="M20" s="26"/>
      <c r="N20" s="25"/>
    </row>
    <row r="21" customFormat="false" ht="15" hidden="false" customHeight="false" outlineLevel="0" collapsed="false">
      <c r="A21" s="25"/>
      <c r="B21" s="25"/>
      <c r="C21" s="25"/>
      <c r="D21" s="26"/>
      <c r="E21" s="25"/>
      <c r="F21" s="26"/>
      <c r="G21" s="26"/>
      <c r="H21" s="26"/>
      <c r="I21" s="27" t="str">
        <f aca="false">IF(OR(G21="",H21=""),"",IF(AND(G21&gt;=4,H21&gt;=4),"Manage Closely",IF(AND(G21&gt;=4,H21&lt;4),"Keep Satisfied",IF(AND(G21&lt;4,H21&gt;=4),"Keep Informed","Monitor"))))</f>
        <v/>
      </c>
      <c r="J21" s="26"/>
      <c r="K21" s="25"/>
      <c r="L21" s="25"/>
      <c r="M21" s="26"/>
      <c r="N21" s="25"/>
    </row>
    <row r="22" customFormat="false" ht="15" hidden="false" customHeight="false" outlineLevel="0" collapsed="false">
      <c r="A22" s="25"/>
      <c r="B22" s="25"/>
      <c r="C22" s="25"/>
      <c r="D22" s="26"/>
      <c r="E22" s="25"/>
      <c r="F22" s="26"/>
      <c r="G22" s="26"/>
      <c r="H22" s="26"/>
      <c r="I22" s="27" t="str">
        <f aca="false">IF(OR(G22="",H22=""),"",IF(AND(G22&gt;=4,H22&gt;=4),"Manage Closely",IF(AND(G22&gt;=4,H22&lt;4),"Keep Satisfied",IF(AND(G22&lt;4,H22&gt;=4),"Keep Informed","Monitor"))))</f>
        <v/>
      </c>
      <c r="J22" s="26"/>
      <c r="K22" s="25"/>
      <c r="L22" s="25"/>
      <c r="M22" s="26"/>
      <c r="N22" s="25"/>
    </row>
    <row r="23" customFormat="false" ht="15" hidden="false" customHeight="false" outlineLevel="0" collapsed="false">
      <c r="A23" s="25"/>
      <c r="B23" s="25"/>
      <c r="C23" s="25"/>
      <c r="D23" s="26"/>
      <c r="E23" s="25"/>
      <c r="F23" s="26"/>
      <c r="G23" s="26"/>
      <c r="H23" s="26"/>
      <c r="I23" s="27" t="str">
        <f aca="false">IF(OR(G23="",H23=""),"",IF(AND(G23&gt;=4,H23&gt;=4),"Manage Closely",IF(AND(G23&gt;=4,H23&lt;4),"Keep Satisfied",IF(AND(G23&lt;4,H23&gt;=4),"Keep Informed","Monitor"))))</f>
        <v/>
      </c>
      <c r="J23" s="26"/>
      <c r="K23" s="25"/>
      <c r="L23" s="25"/>
      <c r="M23" s="26"/>
      <c r="N23" s="25"/>
    </row>
    <row r="24" customFormat="false" ht="15" hidden="false" customHeight="false" outlineLevel="0" collapsed="false">
      <c r="A24" s="25"/>
      <c r="B24" s="25"/>
      <c r="C24" s="25"/>
      <c r="D24" s="26"/>
      <c r="E24" s="25"/>
      <c r="F24" s="26"/>
      <c r="G24" s="26"/>
      <c r="H24" s="26"/>
      <c r="I24" s="27" t="str">
        <f aca="false">IF(OR(G24="",H24=""),"",IF(AND(G24&gt;=4,H24&gt;=4),"Manage Closely",IF(AND(G24&gt;=4,H24&lt;4),"Keep Satisfied",IF(AND(G24&lt;4,H24&gt;=4),"Keep Informed","Monitor"))))</f>
        <v/>
      </c>
      <c r="J24" s="26"/>
      <c r="K24" s="25"/>
      <c r="L24" s="25"/>
      <c r="M24" s="26"/>
      <c r="N24" s="25"/>
    </row>
    <row r="25" customFormat="false" ht="15" hidden="false" customHeight="false" outlineLevel="0" collapsed="false">
      <c r="A25" s="25"/>
      <c r="B25" s="25"/>
      <c r="C25" s="25"/>
      <c r="D25" s="26"/>
      <c r="E25" s="25"/>
      <c r="F25" s="26"/>
      <c r="G25" s="26"/>
      <c r="H25" s="26"/>
      <c r="I25" s="27" t="str">
        <f aca="false">IF(OR(G25="",H25=""),"",IF(AND(G25&gt;=4,H25&gt;=4),"Manage Closely",IF(AND(G25&gt;=4,H25&lt;4),"Keep Satisfied",IF(AND(G25&lt;4,H25&gt;=4),"Keep Informed","Monitor"))))</f>
        <v/>
      </c>
      <c r="J25" s="26"/>
      <c r="K25" s="25"/>
      <c r="L25" s="25"/>
      <c r="M25" s="26"/>
      <c r="N25" s="25"/>
    </row>
    <row r="26" customFormat="false" ht="15" hidden="false" customHeight="false" outlineLevel="0" collapsed="false">
      <c r="A26" s="25"/>
      <c r="B26" s="25"/>
      <c r="C26" s="25"/>
      <c r="D26" s="26"/>
      <c r="E26" s="25"/>
      <c r="F26" s="26"/>
      <c r="G26" s="26"/>
      <c r="H26" s="26"/>
      <c r="I26" s="27" t="str">
        <f aca="false">IF(OR(G26="",H26=""),"",IF(AND(G26&gt;=4,H26&gt;=4),"Manage Closely",IF(AND(G26&gt;=4,H26&lt;4),"Keep Satisfied",IF(AND(G26&lt;4,H26&gt;=4),"Keep Informed","Monitor"))))</f>
        <v/>
      </c>
      <c r="J26" s="26"/>
      <c r="K26" s="25"/>
      <c r="L26" s="25"/>
      <c r="M26" s="26"/>
      <c r="N26" s="25"/>
    </row>
    <row r="27" customFormat="false" ht="15" hidden="false" customHeight="false" outlineLevel="0" collapsed="false">
      <c r="A27" s="25"/>
      <c r="B27" s="25"/>
      <c r="C27" s="25"/>
      <c r="D27" s="26"/>
      <c r="E27" s="25"/>
      <c r="F27" s="26"/>
      <c r="G27" s="26"/>
      <c r="H27" s="26"/>
      <c r="I27" s="27" t="str">
        <f aca="false">IF(OR(G27="",H27=""),"",IF(AND(G27&gt;=4,H27&gt;=4),"Manage Closely",IF(AND(G27&gt;=4,H27&lt;4),"Keep Satisfied",IF(AND(G27&lt;4,H27&gt;=4),"Keep Informed","Monitor"))))</f>
        <v/>
      </c>
      <c r="J27" s="26"/>
      <c r="K27" s="25"/>
      <c r="L27" s="25"/>
      <c r="M27" s="26"/>
      <c r="N27" s="25"/>
    </row>
    <row r="28" customFormat="false" ht="15" hidden="false" customHeight="false" outlineLevel="0" collapsed="false">
      <c r="A28" s="25"/>
      <c r="B28" s="25"/>
      <c r="C28" s="25"/>
      <c r="D28" s="26"/>
      <c r="E28" s="25"/>
      <c r="F28" s="26"/>
      <c r="G28" s="26"/>
      <c r="H28" s="26"/>
      <c r="I28" s="27" t="str">
        <f aca="false">IF(OR(G28="",H28=""),"",IF(AND(G28&gt;=4,H28&gt;=4),"Manage Closely",IF(AND(G28&gt;=4,H28&lt;4),"Keep Satisfied",IF(AND(G28&lt;4,H28&gt;=4),"Keep Informed","Monitor"))))</f>
        <v/>
      </c>
      <c r="J28" s="26"/>
      <c r="K28" s="25"/>
      <c r="L28" s="25"/>
      <c r="M28" s="26"/>
      <c r="N28" s="25"/>
    </row>
    <row r="29" customFormat="false" ht="15" hidden="false" customHeight="false" outlineLevel="0" collapsed="false">
      <c r="A29" s="25"/>
      <c r="B29" s="25"/>
      <c r="C29" s="25"/>
      <c r="D29" s="26"/>
      <c r="E29" s="25"/>
      <c r="F29" s="26"/>
      <c r="G29" s="26"/>
      <c r="H29" s="26"/>
      <c r="I29" s="27" t="str">
        <f aca="false">IF(OR(G29="",H29=""),"",IF(AND(G29&gt;=4,H29&gt;=4),"Manage Closely",IF(AND(G29&gt;=4,H29&lt;4),"Keep Satisfied",IF(AND(G29&lt;4,H29&gt;=4),"Keep Informed","Monitor"))))</f>
        <v/>
      </c>
      <c r="J29" s="26"/>
      <c r="K29" s="25"/>
      <c r="L29" s="25"/>
      <c r="M29" s="26"/>
      <c r="N29" s="25"/>
    </row>
    <row r="30" customFormat="false" ht="15" hidden="false" customHeight="false" outlineLevel="0" collapsed="false">
      <c r="A30" s="25"/>
      <c r="B30" s="25"/>
      <c r="C30" s="25"/>
      <c r="D30" s="26"/>
      <c r="E30" s="25"/>
      <c r="F30" s="26"/>
      <c r="G30" s="26"/>
      <c r="H30" s="26"/>
      <c r="I30" s="27" t="str">
        <f aca="false">IF(OR(G30="",H30=""),"",IF(AND(G30&gt;=4,H30&gt;=4),"Manage Closely",IF(AND(G30&gt;=4,H30&lt;4),"Keep Satisfied",IF(AND(G30&lt;4,H30&gt;=4),"Keep Informed","Monitor"))))</f>
        <v/>
      </c>
      <c r="J30" s="26"/>
      <c r="K30" s="25"/>
      <c r="L30" s="25"/>
      <c r="M30" s="26"/>
      <c r="N30" s="25"/>
    </row>
    <row r="31" customFormat="false" ht="15" hidden="false" customHeight="false" outlineLevel="0" collapsed="false">
      <c r="A31" s="25"/>
      <c r="B31" s="25"/>
      <c r="C31" s="25"/>
      <c r="D31" s="26"/>
      <c r="E31" s="25"/>
      <c r="F31" s="26"/>
      <c r="G31" s="26"/>
      <c r="H31" s="26"/>
      <c r="I31" s="27" t="str">
        <f aca="false">IF(OR(G31="",H31=""),"",IF(AND(G31&gt;=4,H31&gt;=4),"Manage Closely",IF(AND(G31&gt;=4,H31&lt;4),"Keep Satisfied",IF(AND(G31&lt;4,H31&gt;=4),"Keep Informed","Monitor"))))</f>
        <v/>
      </c>
      <c r="J31" s="26"/>
      <c r="K31" s="25"/>
      <c r="L31" s="25"/>
      <c r="M31" s="26"/>
      <c r="N31" s="25"/>
    </row>
    <row r="32" customFormat="false" ht="15" hidden="false" customHeight="false" outlineLevel="0" collapsed="false">
      <c r="A32" s="25"/>
      <c r="B32" s="25"/>
      <c r="C32" s="25"/>
      <c r="D32" s="26"/>
      <c r="E32" s="25"/>
      <c r="F32" s="26"/>
      <c r="G32" s="26"/>
      <c r="H32" s="26"/>
      <c r="I32" s="27" t="str">
        <f aca="false">IF(OR(G32="",H32=""),"",IF(AND(G32&gt;=4,H32&gt;=4),"Manage Closely",IF(AND(G32&gt;=4,H32&lt;4),"Keep Satisfied",IF(AND(G32&lt;4,H32&gt;=4),"Keep Informed","Monitor"))))</f>
        <v/>
      </c>
      <c r="J32" s="26"/>
      <c r="K32" s="25"/>
      <c r="L32" s="25"/>
      <c r="M32" s="26"/>
      <c r="N32" s="25"/>
    </row>
    <row r="33" customFormat="false" ht="15" hidden="false" customHeight="false" outlineLevel="0" collapsed="false">
      <c r="A33" s="25"/>
      <c r="B33" s="25"/>
      <c r="C33" s="25"/>
      <c r="D33" s="26"/>
      <c r="E33" s="25"/>
      <c r="F33" s="26"/>
      <c r="G33" s="26"/>
      <c r="H33" s="26"/>
      <c r="I33" s="27" t="str">
        <f aca="false">IF(OR(G33="",H33=""),"",IF(AND(G33&gt;=4,H33&gt;=4),"Manage Closely",IF(AND(G33&gt;=4,H33&lt;4),"Keep Satisfied",IF(AND(G33&lt;4,H33&gt;=4),"Keep Informed","Monitor"))))</f>
        <v/>
      </c>
      <c r="J33" s="26"/>
      <c r="K33" s="25"/>
      <c r="L33" s="25"/>
      <c r="M33" s="26"/>
      <c r="N33" s="25"/>
    </row>
    <row r="34" customFormat="false" ht="15" hidden="false" customHeight="false" outlineLevel="0" collapsed="false">
      <c r="A34" s="25"/>
      <c r="B34" s="25"/>
      <c r="C34" s="25"/>
      <c r="D34" s="26"/>
      <c r="E34" s="25"/>
      <c r="F34" s="26"/>
      <c r="G34" s="26"/>
      <c r="H34" s="26"/>
      <c r="I34" s="27" t="str">
        <f aca="false">IF(OR(G34="",H34=""),"",IF(AND(G34&gt;=4,H34&gt;=4),"Manage Closely",IF(AND(G34&gt;=4,H34&lt;4),"Keep Satisfied",IF(AND(G34&lt;4,H34&gt;=4),"Keep Informed","Monitor"))))</f>
        <v/>
      </c>
      <c r="J34" s="26"/>
      <c r="K34" s="25"/>
      <c r="L34" s="25"/>
      <c r="M34" s="26"/>
      <c r="N34" s="25"/>
    </row>
    <row r="35" customFormat="false" ht="15" hidden="false" customHeight="false" outlineLevel="0" collapsed="false">
      <c r="A35" s="25"/>
      <c r="B35" s="25"/>
      <c r="C35" s="25"/>
      <c r="D35" s="26"/>
      <c r="E35" s="25"/>
      <c r="F35" s="26"/>
      <c r="G35" s="26"/>
      <c r="H35" s="26"/>
      <c r="I35" s="27" t="str">
        <f aca="false">IF(OR(G35="",H35=""),"",IF(AND(G35&gt;=4,H35&gt;=4),"Manage Closely",IF(AND(G35&gt;=4,H35&lt;4),"Keep Satisfied",IF(AND(G35&lt;4,H35&gt;=4),"Keep Informed","Monitor"))))</f>
        <v/>
      </c>
      <c r="J35" s="26"/>
      <c r="K35" s="25"/>
      <c r="L35" s="25"/>
      <c r="M35" s="26"/>
      <c r="N35" s="25"/>
    </row>
    <row r="36" customFormat="false" ht="15" hidden="false" customHeight="false" outlineLevel="0" collapsed="false">
      <c r="A36" s="25"/>
      <c r="B36" s="25"/>
      <c r="C36" s="25"/>
      <c r="D36" s="26"/>
      <c r="E36" s="25"/>
      <c r="F36" s="26"/>
      <c r="G36" s="26"/>
      <c r="H36" s="26"/>
      <c r="I36" s="27" t="str">
        <f aca="false">IF(OR(G36="",H36=""),"",IF(AND(G36&gt;=4,H36&gt;=4),"Manage Closely",IF(AND(G36&gt;=4,H36&lt;4),"Keep Satisfied",IF(AND(G36&lt;4,H36&gt;=4),"Keep Informed","Monitor"))))</f>
        <v/>
      </c>
      <c r="J36" s="26"/>
      <c r="K36" s="25"/>
      <c r="L36" s="25"/>
      <c r="M36" s="26"/>
      <c r="N36" s="25"/>
    </row>
    <row r="37" customFormat="false" ht="15" hidden="false" customHeight="false" outlineLevel="0" collapsed="false">
      <c r="A37" s="25"/>
      <c r="B37" s="25"/>
      <c r="C37" s="25"/>
      <c r="D37" s="26"/>
      <c r="E37" s="25"/>
      <c r="F37" s="26"/>
      <c r="G37" s="26"/>
      <c r="H37" s="26"/>
      <c r="I37" s="27" t="str">
        <f aca="false">IF(OR(G37="",H37=""),"",IF(AND(G37&gt;=4,H37&gt;=4),"Manage Closely",IF(AND(G37&gt;=4,H37&lt;4),"Keep Satisfied",IF(AND(G37&lt;4,H37&gt;=4),"Keep Informed","Monitor"))))</f>
        <v/>
      </c>
      <c r="J37" s="26"/>
      <c r="K37" s="25"/>
      <c r="L37" s="25"/>
      <c r="M37" s="26"/>
      <c r="N37" s="25"/>
    </row>
    <row r="38" customFormat="false" ht="15" hidden="false" customHeight="false" outlineLevel="0" collapsed="false">
      <c r="A38" s="25"/>
      <c r="B38" s="25"/>
      <c r="C38" s="25"/>
      <c r="D38" s="26"/>
      <c r="E38" s="25"/>
      <c r="F38" s="26"/>
      <c r="G38" s="26"/>
      <c r="H38" s="26"/>
      <c r="I38" s="27" t="str">
        <f aca="false">IF(OR(G38="",H38=""),"",IF(AND(G38&gt;=4,H38&gt;=4),"Manage Closely",IF(AND(G38&gt;=4,H38&lt;4),"Keep Satisfied",IF(AND(G38&lt;4,H38&gt;=4),"Keep Informed","Monitor"))))</f>
        <v/>
      </c>
      <c r="J38" s="26"/>
      <c r="K38" s="25"/>
      <c r="L38" s="25"/>
      <c r="M38" s="26"/>
      <c r="N38" s="25"/>
    </row>
    <row r="39" customFormat="false" ht="15" hidden="false" customHeight="false" outlineLevel="0" collapsed="false">
      <c r="A39" s="25"/>
      <c r="B39" s="25"/>
      <c r="C39" s="25"/>
      <c r="D39" s="26"/>
      <c r="E39" s="25"/>
      <c r="F39" s="26"/>
      <c r="G39" s="26"/>
      <c r="H39" s="26"/>
      <c r="I39" s="27" t="str">
        <f aca="false">IF(OR(G39="",H39=""),"",IF(AND(G39&gt;=4,H39&gt;=4),"Manage Closely",IF(AND(G39&gt;=4,H39&lt;4),"Keep Satisfied",IF(AND(G39&lt;4,H39&gt;=4),"Keep Informed","Monitor"))))</f>
        <v/>
      </c>
      <c r="J39" s="26"/>
      <c r="K39" s="25"/>
      <c r="L39" s="25"/>
      <c r="M39" s="26"/>
      <c r="N39" s="25"/>
    </row>
    <row r="40" customFormat="false" ht="15" hidden="false" customHeight="false" outlineLevel="0" collapsed="false">
      <c r="A40" s="25"/>
      <c r="B40" s="25"/>
      <c r="C40" s="25"/>
      <c r="D40" s="26"/>
      <c r="E40" s="25"/>
      <c r="F40" s="26"/>
      <c r="G40" s="26"/>
      <c r="H40" s="26"/>
      <c r="I40" s="27" t="str">
        <f aca="false">IF(OR(G40="",H40=""),"",IF(AND(G40&gt;=4,H40&gt;=4),"Manage Closely",IF(AND(G40&gt;=4,H40&lt;4),"Keep Satisfied",IF(AND(G40&lt;4,H40&gt;=4),"Keep Informed","Monitor"))))</f>
        <v/>
      </c>
      <c r="J40" s="26"/>
      <c r="K40" s="25"/>
      <c r="L40" s="25"/>
      <c r="M40" s="26"/>
      <c r="N40" s="25"/>
    </row>
    <row r="41" customFormat="false" ht="15" hidden="false" customHeight="false" outlineLevel="0" collapsed="false">
      <c r="A41" s="25"/>
      <c r="B41" s="25"/>
      <c r="C41" s="25"/>
      <c r="D41" s="26"/>
      <c r="E41" s="25"/>
      <c r="F41" s="26"/>
      <c r="G41" s="26"/>
      <c r="H41" s="26"/>
      <c r="I41" s="27" t="str">
        <f aca="false">IF(OR(G41="",H41=""),"",IF(AND(G41&gt;=4,H41&gt;=4),"Manage Closely",IF(AND(G41&gt;=4,H41&lt;4),"Keep Satisfied",IF(AND(G41&lt;4,H41&gt;=4),"Keep Informed","Monitor"))))</f>
        <v/>
      </c>
      <c r="J41" s="26"/>
      <c r="K41" s="25"/>
      <c r="L41" s="25"/>
      <c r="M41" s="26"/>
      <c r="N41" s="25"/>
    </row>
    <row r="42" customFormat="false" ht="15" hidden="false" customHeight="false" outlineLevel="0" collapsed="false">
      <c r="A42" s="25"/>
      <c r="B42" s="25"/>
      <c r="C42" s="25"/>
      <c r="D42" s="26"/>
      <c r="E42" s="25"/>
      <c r="F42" s="26"/>
      <c r="G42" s="26"/>
      <c r="H42" s="26"/>
      <c r="I42" s="27" t="str">
        <f aca="false">IF(OR(G42="",H42=""),"",IF(AND(G42&gt;=4,H42&gt;=4),"Manage Closely",IF(AND(G42&gt;=4,H42&lt;4),"Keep Satisfied",IF(AND(G42&lt;4,H42&gt;=4),"Keep Informed","Monitor"))))</f>
        <v/>
      </c>
      <c r="J42" s="26"/>
      <c r="K42" s="25"/>
      <c r="L42" s="25"/>
      <c r="M42" s="26"/>
      <c r="N42" s="25"/>
    </row>
  </sheetData>
  <autoFilter ref="A6:N42"/>
  <mergeCells count="2">
    <mergeCell ref="A1:K1"/>
    <mergeCell ref="L5:N5"/>
  </mergeCells>
  <conditionalFormatting sqref="I7:I42">
    <cfRule type="cellIs" priority="2" operator="equal" aboveAverage="0" equalAverage="0" bottom="0" percent="0" rank="0" text="" dxfId="7">
      <formula>"Manage Closely"</formula>
    </cfRule>
    <cfRule type="cellIs" priority="3" operator="equal" aboveAverage="0" equalAverage="0" bottom="0" percent="0" rank="0" text="" dxfId="8">
      <formula>"Keep Satisfied"</formula>
    </cfRule>
    <cfRule type="cellIs" priority="4" operator="equal" aboveAverage="0" equalAverage="0" bottom="0" percent="0" rank="0" text="" dxfId="9">
      <formula>"Keep Informed"</formula>
    </cfRule>
    <cfRule type="cellIs" priority="5" operator="equal" aboveAverage="0" equalAverage="0" bottom="0" percent="0" rank="0" text="" dxfId="10">
      <formula>"Monitor"</formula>
    </cfRule>
  </conditionalFormatting>
  <dataValidations count="3">
    <dataValidation allowBlank="true" errorStyle="stop" operator="between" showDropDown="false" showErrorMessage="false" showInputMessage="false" sqref="D7:D42" type="list">
      <formula1>"Client,Consultant,Subcontractor,Supplier,Statutory Body,Utility,Community,Internal,Other"</formula1>
      <formula2>0</formula2>
    </dataValidation>
    <dataValidation allowBlank="true" errorStyle="stop" operator="between" showDropDown="false" showErrorMessage="false" showInputMessage="false" sqref="G7:H42" type="whole">
      <formula1>1</formula1>
      <formula2>5</formula2>
    </dataValidation>
    <dataValidation allowBlank="true" errorStyle="stop" operator="between" showDropDown="false" showErrorMessage="false" showInputMessage="false" sqref="J7:J42" type="list">
      <formula1>"Email,Phone,Meeting,Letter,Site Visit,Portal"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&amp;CStakeholder Contact List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5" hidden="false" customHeight="false" outlineLevel="0" collapsed="false">
      <c r="A1" s="28" t="s">
        <v>98</v>
      </c>
    </row>
    <row r="2" customFormat="false" ht="15" hidden="false" customHeight="false" outlineLevel="0" collapsed="false">
      <c r="A2" s="28"/>
    </row>
    <row r="3" customFormat="false" ht="15" hidden="false" customHeight="false" outlineLevel="0" collapsed="false">
      <c r="A3" s="28" t="s">
        <v>99</v>
      </c>
    </row>
    <row r="4" customFormat="false" ht="15" hidden="false" customHeight="false" outlineLevel="0" collapsed="false">
      <c r="A4" s="28"/>
    </row>
    <row r="5" customFormat="false" ht="15" hidden="false" customHeight="false" outlineLevel="0" collapsed="false">
      <c r="A5" s="28" t="s">
        <v>100</v>
      </c>
    </row>
    <row r="6" customFormat="false" ht="15" hidden="false" customHeight="false" outlineLevel="0" collapsed="false">
      <c r="A6" s="28"/>
    </row>
    <row r="7" customFormat="false" ht="15" hidden="false" customHeight="false" outlineLevel="0" collapsed="false">
      <c r="A7" s="28" t="s">
        <v>101</v>
      </c>
    </row>
    <row r="8" customFormat="false" ht="15" hidden="false" customHeight="false" outlineLevel="0" collapsed="false">
      <c r="A8" s="28"/>
    </row>
    <row r="9" customFormat="false" ht="15" hidden="false" customHeight="false" outlineLevel="0" collapsed="false">
      <c r="A9" s="28" t="s">
        <v>102</v>
      </c>
    </row>
    <row r="10" customFormat="false" ht="15" hidden="false" customHeight="false" outlineLevel="0" collapsed="false">
      <c r="A10" s="28"/>
    </row>
    <row r="11" customFormat="false" ht="15" hidden="false" customHeight="false" outlineLevel="0" collapsed="false">
      <c r="A11" s="28" t="s">
        <v>103</v>
      </c>
    </row>
    <row r="12" customFormat="false" ht="15" hidden="false" customHeight="false" outlineLevel="0" collapsed="false">
      <c r="A12" s="28"/>
    </row>
    <row r="13" customFormat="false" ht="15" hidden="false" customHeight="false" outlineLevel="0" collapsed="false">
      <c r="A13" s="28" t="s">
        <v>104</v>
      </c>
    </row>
    <row r="14" customFormat="false" ht="15" hidden="false" customHeight="false" outlineLevel="0" collapsed="false">
      <c r="A14" s="28"/>
    </row>
    <row r="15" customFormat="false" ht="15" hidden="false" customHeight="false" outlineLevel="0" collapsed="false">
      <c r="A15" s="28" t="s">
        <v>105</v>
      </c>
    </row>
    <row r="16" customFormat="false" ht="15" hidden="false" customHeight="false" outlineLevel="0" collapsed="false">
      <c r="A16" s="28"/>
    </row>
    <row r="17" customFormat="false" ht="15" hidden="false" customHeight="false" outlineLevel="0" collapsed="false">
      <c r="A17" s="28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General Business / Admin</cp:category>
  <dcterms:created xsi:type="dcterms:W3CDTF">2026-03-23T17:58:18Z</dcterms:created>
  <dc:creator>Ebrora Ltd</dc:creator>
  <dc:description>Centralised stakeholder directory with contact details, organisation, role, influence/interest mapping, and communication preferences.
Free professional construction management template from Ebrora Ltd. Visit ebrora.com for our full range of tools and templates.</dc:description>
  <cp:keywords>Ebrora construction business stakeholder contacts directory communication admin</cp:keywords>
  <dc:language>en-US</dc:language>
  <cp:lastModifiedBy>Ebrora Ltd</cp:lastModifiedBy>
  <dcterms:modified xsi:type="dcterms:W3CDTF">2026-03-23T17:58:18Z</dcterms:modified>
  <cp:revision>0</cp:revision>
  <dc:subject>Centralised stakeholder directory with contact details, influence/interest mapping, and communication preferences.</dc:subject>
  <dc:title>Stakeholder Contact 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